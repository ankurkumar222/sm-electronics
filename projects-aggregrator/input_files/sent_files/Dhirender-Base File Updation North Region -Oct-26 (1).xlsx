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neha_chauhan_mysmindia_com/Documents/Desktop/Base file Oct/"/>
    </mc:Choice>
  </mc:AlternateContent>
  <xr:revisionPtr revIDLastSave="30" documentId="13_ncr:1_{5B68896D-46FE-4CE5-904B-46A1853F365F}" xr6:coauthVersionLast="47" xr6:coauthVersionMax="47" xr10:uidLastSave="{4691EA95-3789-4EEA-9799-E12F0CF3C521}"/>
  <bookViews>
    <workbookView xWindow="20" yWindow="20" windowWidth="19180" windowHeight="10060" tabRatio="743" xr2:uid="{00000000-000D-0000-FFFF-FFFF00000000}"/>
  </bookViews>
  <sheets>
    <sheet name="INR Sheet " sheetId="1" r:id="rId1"/>
  </sheets>
  <definedNames>
    <definedName name="_xlnm._FilterDatabase" localSheetId="0" hidden="1">'INR Sheet '!$A$2:$CB$14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" l="1"/>
  <c r="BY1" i="1" l="1"/>
  <c r="BW1" i="1"/>
  <c r="BV1" i="1"/>
  <c r="BT1" i="1"/>
  <c r="BR1" i="1"/>
  <c r="BQ1" i="1"/>
  <c r="BO1" i="1"/>
  <c r="BM1" i="1"/>
  <c r="BL1" i="1"/>
  <c r="BJ1" i="1"/>
  <c r="BH1" i="1"/>
  <c r="BG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CA1" i="1"/>
  <c r="S3" i="1" l="1"/>
  <c r="S4" i="1"/>
  <c r="S12" i="1"/>
  <c r="S14" i="1"/>
  <c r="BZ14" i="1"/>
  <c r="BX14" i="1"/>
  <c r="BU14" i="1"/>
  <c r="BS14" i="1"/>
  <c r="BP14" i="1"/>
  <c r="BN14" i="1"/>
  <c r="BK14" i="1"/>
  <c r="BI14" i="1"/>
  <c r="BF14" i="1"/>
  <c r="BD14" i="1"/>
  <c r="BA14" i="1"/>
  <c r="AY14" i="1"/>
  <c r="AV14" i="1"/>
  <c r="AT14" i="1"/>
  <c r="AQ14" i="1"/>
  <c r="AO14" i="1"/>
  <c r="AL14" i="1"/>
  <c r="AJ14" i="1"/>
  <c r="AG14" i="1"/>
  <c r="AE14" i="1"/>
  <c r="AB14" i="1"/>
  <c r="Z14" i="1"/>
  <c r="W14" i="1"/>
  <c r="U14" i="1"/>
  <c r="P14" i="1"/>
  <c r="BZ13" i="1"/>
  <c r="BX13" i="1"/>
  <c r="BU13" i="1"/>
  <c r="BS13" i="1"/>
  <c r="BP13" i="1"/>
  <c r="BN13" i="1"/>
  <c r="BK13" i="1"/>
  <c r="BI13" i="1"/>
  <c r="BF13" i="1"/>
  <c r="BD13" i="1"/>
  <c r="BA13" i="1"/>
  <c r="AY13" i="1"/>
  <c r="AV13" i="1"/>
  <c r="AT13" i="1"/>
  <c r="AQ13" i="1"/>
  <c r="AO13" i="1"/>
  <c r="AL13" i="1"/>
  <c r="AJ13" i="1"/>
  <c r="AG13" i="1"/>
  <c r="AE13" i="1"/>
  <c r="AB13" i="1"/>
  <c r="Z13" i="1"/>
  <c r="W13" i="1"/>
  <c r="U13" i="1"/>
  <c r="P13" i="1"/>
  <c r="BZ12" i="1"/>
  <c r="BX12" i="1"/>
  <c r="BU12" i="1"/>
  <c r="BS12" i="1"/>
  <c r="BP12" i="1"/>
  <c r="BN12" i="1"/>
  <c r="BK12" i="1"/>
  <c r="BI12" i="1"/>
  <c r="BF12" i="1"/>
  <c r="BD12" i="1"/>
  <c r="BA12" i="1"/>
  <c r="AY12" i="1"/>
  <c r="AV12" i="1"/>
  <c r="AT12" i="1"/>
  <c r="AQ12" i="1"/>
  <c r="AO12" i="1"/>
  <c r="AL12" i="1"/>
  <c r="AJ12" i="1"/>
  <c r="AG12" i="1"/>
  <c r="AE12" i="1"/>
  <c r="AB12" i="1"/>
  <c r="Z12" i="1"/>
  <c r="W12" i="1"/>
  <c r="U12" i="1"/>
  <c r="P12" i="1"/>
  <c r="BZ11" i="1"/>
  <c r="BX11" i="1"/>
  <c r="BU11" i="1"/>
  <c r="BS11" i="1"/>
  <c r="BP11" i="1"/>
  <c r="BN11" i="1"/>
  <c r="BK11" i="1"/>
  <c r="BI11" i="1"/>
  <c r="BF11" i="1"/>
  <c r="BD11" i="1"/>
  <c r="BA11" i="1"/>
  <c r="AY11" i="1"/>
  <c r="AV11" i="1"/>
  <c r="AT11" i="1"/>
  <c r="AQ11" i="1"/>
  <c r="AO11" i="1"/>
  <c r="AL11" i="1"/>
  <c r="AJ11" i="1"/>
  <c r="AG11" i="1"/>
  <c r="AE11" i="1"/>
  <c r="AB11" i="1"/>
  <c r="Z11" i="1"/>
  <c r="W11" i="1"/>
  <c r="U11" i="1"/>
  <c r="P11" i="1"/>
  <c r="BZ10" i="1"/>
  <c r="BX10" i="1"/>
  <c r="BU10" i="1"/>
  <c r="BS10" i="1"/>
  <c r="BP10" i="1"/>
  <c r="BN10" i="1"/>
  <c r="BK10" i="1"/>
  <c r="BI10" i="1"/>
  <c r="BF10" i="1"/>
  <c r="BD10" i="1"/>
  <c r="BA10" i="1"/>
  <c r="AY10" i="1"/>
  <c r="AV10" i="1"/>
  <c r="AT10" i="1"/>
  <c r="AQ10" i="1"/>
  <c r="AO10" i="1"/>
  <c r="AL10" i="1"/>
  <c r="AJ10" i="1"/>
  <c r="AG10" i="1"/>
  <c r="AE10" i="1"/>
  <c r="AB10" i="1"/>
  <c r="Z10" i="1"/>
  <c r="W10" i="1"/>
  <c r="U10" i="1"/>
  <c r="P10" i="1"/>
  <c r="BZ9" i="1"/>
  <c r="BX9" i="1"/>
  <c r="BU9" i="1"/>
  <c r="BS9" i="1"/>
  <c r="BP9" i="1"/>
  <c r="BN9" i="1"/>
  <c r="BK9" i="1"/>
  <c r="BI9" i="1"/>
  <c r="BF9" i="1"/>
  <c r="BD9" i="1"/>
  <c r="BA9" i="1"/>
  <c r="AY9" i="1"/>
  <c r="AV9" i="1"/>
  <c r="AT9" i="1"/>
  <c r="AQ9" i="1"/>
  <c r="AO9" i="1"/>
  <c r="AL9" i="1"/>
  <c r="AJ9" i="1"/>
  <c r="AG9" i="1"/>
  <c r="AE9" i="1"/>
  <c r="AB9" i="1"/>
  <c r="Z9" i="1"/>
  <c r="W9" i="1"/>
  <c r="U9" i="1"/>
  <c r="P9" i="1"/>
  <c r="BZ8" i="1"/>
  <c r="BX8" i="1"/>
  <c r="BU8" i="1"/>
  <c r="BS8" i="1"/>
  <c r="BP8" i="1"/>
  <c r="BN8" i="1"/>
  <c r="BK8" i="1"/>
  <c r="BI8" i="1"/>
  <c r="BF8" i="1"/>
  <c r="BD8" i="1"/>
  <c r="BA8" i="1"/>
  <c r="AY8" i="1"/>
  <c r="AV8" i="1"/>
  <c r="AT8" i="1"/>
  <c r="AQ8" i="1"/>
  <c r="AO8" i="1"/>
  <c r="AL8" i="1"/>
  <c r="AJ8" i="1"/>
  <c r="AG8" i="1"/>
  <c r="AE8" i="1"/>
  <c r="AB8" i="1"/>
  <c r="Z8" i="1"/>
  <c r="W8" i="1"/>
  <c r="U8" i="1"/>
  <c r="P8" i="1"/>
  <c r="BZ7" i="1"/>
  <c r="BX7" i="1"/>
  <c r="BU7" i="1"/>
  <c r="BS7" i="1"/>
  <c r="BP7" i="1"/>
  <c r="BN7" i="1"/>
  <c r="BK7" i="1"/>
  <c r="BI7" i="1"/>
  <c r="BF7" i="1"/>
  <c r="BD7" i="1"/>
  <c r="BA7" i="1"/>
  <c r="AY7" i="1"/>
  <c r="AV7" i="1"/>
  <c r="AT7" i="1"/>
  <c r="AQ7" i="1"/>
  <c r="AO7" i="1"/>
  <c r="AL7" i="1"/>
  <c r="AJ7" i="1"/>
  <c r="AG7" i="1"/>
  <c r="AE7" i="1"/>
  <c r="AB7" i="1"/>
  <c r="Z7" i="1"/>
  <c r="W7" i="1"/>
  <c r="U7" i="1"/>
  <c r="P7" i="1"/>
  <c r="BZ6" i="1"/>
  <c r="BX6" i="1"/>
  <c r="BU6" i="1"/>
  <c r="BS6" i="1"/>
  <c r="BP6" i="1"/>
  <c r="BN6" i="1"/>
  <c r="BK6" i="1"/>
  <c r="BI6" i="1"/>
  <c r="BF6" i="1"/>
  <c r="BD6" i="1"/>
  <c r="BA6" i="1"/>
  <c r="AY6" i="1"/>
  <c r="AV6" i="1"/>
  <c r="AT6" i="1"/>
  <c r="AQ6" i="1"/>
  <c r="AO6" i="1"/>
  <c r="AL6" i="1"/>
  <c r="AJ6" i="1"/>
  <c r="AG6" i="1"/>
  <c r="AE6" i="1"/>
  <c r="AB6" i="1"/>
  <c r="Z6" i="1"/>
  <c r="W6" i="1"/>
  <c r="U6" i="1"/>
  <c r="P6" i="1"/>
  <c r="BZ5" i="1"/>
  <c r="BX5" i="1"/>
  <c r="BU5" i="1"/>
  <c r="BS5" i="1"/>
  <c r="BP5" i="1"/>
  <c r="BN5" i="1"/>
  <c r="BK5" i="1"/>
  <c r="BI5" i="1"/>
  <c r="BF5" i="1"/>
  <c r="BD5" i="1"/>
  <c r="BA5" i="1"/>
  <c r="AY5" i="1"/>
  <c r="AV5" i="1"/>
  <c r="AT5" i="1"/>
  <c r="AQ5" i="1"/>
  <c r="AO5" i="1"/>
  <c r="AL5" i="1"/>
  <c r="AJ5" i="1"/>
  <c r="AG5" i="1"/>
  <c r="AE5" i="1"/>
  <c r="AB5" i="1"/>
  <c r="Z5" i="1"/>
  <c r="W5" i="1"/>
  <c r="U5" i="1"/>
  <c r="P5" i="1"/>
  <c r="BZ4" i="1"/>
  <c r="BX4" i="1"/>
  <c r="BU4" i="1"/>
  <c r="BS4" i="1"/>
  <c r="BP4" i="1"/>
  <c r="BN4" i="1"/>
  <c r="BK4" i="1"/>
  <c r="BI4" i="1"/>
  <c r="BF4" i="1"/>
  <c r="BD4" i="1"/>
  <c r="BA4" i="1"/>
  <c r="AY4" i="1"/>
  <c r="AV4" i="1"/>
  <c r="AT4" i="1"/>
  <c r="AQ4" i="1"/>
  <c r="AO4" i="1"/>
  <c r="AL4" i="1"/>
  <c r="AJ4" i="1"/>
  <c r="AG4" i="1"/>
  <c r="AE4" i="1"/>
  <c r="AB4" i="1"/>
  <c r="Z4" i="1"/>
  <c r="W4" i="1"/>
  <c r="U4" i="1"/>
  <c r="P4" i="1"/>
  <c r="BZ3" i="1"/>
  <c r="BX3" i="1"/>
  <c r="BU3" i="1"/>
  <c r="BS3" i="1"/>
  <c r="BP3" i="1"/>
  <c r="BN3" i="1"/>
  <c r="BK3" i="1"/>
  <c r="BI3" i="1"/>
  <c r="BF3" i="1"/>
  <c r="BD3" i="1"/>
  <c r="BA3" i="1"/>
  <c r="AY3" i="1"/>
  <c r="AV3" i="1"/>
  <c r="AT3" i="1"/>
  <c r="AQ3" i="1"/>
  <c r="AO3" i="1"/>
  <c r="AL3" i="1"/>
  <c r="AJ3" i="1"/>
  <c r="AG3" i="1"/>
  <c r="AE3" i="1"/>
  <c r="AB3" i="1"/>
  <c r="Z3" i="1"/>
  <c r="W3" i="1"/>
  <c r="U3" i="1"/>
  <c r="P3" i="1"/>
  <c r="AQ1" i="1" l="1"/>
  <c r="BU1" i="1"/>
  <c r="AT1" i="1"/>
  <c r="BX1" i="1"/>
  <c r="BE1" i="1"/>
  <c r="AO1" i="1"/>
  <c r="BS1" i="1"/>
  <c r="P1" i="1"/>
  <c r="AV1" i="1"/>
  <c r="BZ1" i="1"/>
  <c r="BD1" i="1"/>
  <c r="AL1" i="1"/>
  <c r="BP1" i="1"/>
  <c r="U1" i="1"/>
  <c r="W1" i="1"/>
  <c r="BA1" i="1"/>
  <c r="BI1" i="1"/>
  <c r="BK1" i="1"/>
  <c r="AY1" i="1"/>
  <c r="Z1" i="1"/>
  <c r="AB1" i="1"/>
  <c r="AE1" i="1"/>
  <c r="AG1" i="1"/>
  <c r="AJ1" i="1"/>
  <c r="BN1" i="1"/>
  <c r="S10" i="1"/>
  <c r="S13" i="1"/>
  <c r="S5" i="1"/>
  <c r="S6" i="1"/>
  <c r="S7" i="1"/>
  <c r="S8" i="1"/>
  <c r="S9" i="1"/>
  <c r="R8" i="1"/>
  <c r="R9" i="1"/>
  <c r="R11" i="1"/>
  <c r="R5" i="1"/>
  <c r="R6" i="1"/>
  <c r="R3" i="1"/>
  <c r="R4" i="1"/>
  <c r="R14" i="1"/>
  <c r="R7" i="1"/>
  <c r="R13" i="1"/>
  <c r="R10" i="1"/>
  <c r="R12" i="1"/>
  <c r="Q4" i="1"/>
  <c r="Q5" i="1"/>
  <c r="Q11" i="1"/>
  <c r="Q3" i="1"/>
  <c r="Q10" i="1"/>
  <c r="Q9" i="1"/>
  <c r="Q8" i="1"/>
  <c r="Q6" i="1"/>
  <c r="Q14" i="1"/>
  <c r="Q7" i="1"/>
  <c r="Q13" i="1"/>
  <c r="Q12" i="1"/>
  <c r="BF1" i="1" l="1"/>
  <c r="Q1" i="1"/>
  <c r="R1" i="1"/>
  <c r="S11" i="1" l="1"/>
  <c r="S1" i="1" l="1"/>
</calcChain>
</file>

<file path=xl/sharedStrings.xml><?xml version="1.0" encoding="utf-8"?>
<sst xmlns="http://schemas.openxmlformats.org/spreadsheetml/2006/main" count="232" uniqueCount="127">
  <si>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</si>
  <si>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</si>
  <si>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</si>
  <si>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</si>
  <si>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</si>
  <si>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</si>
  <si>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</si>
  <si>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</si>
  <si>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</si>
  <si>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</si>
  <si>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</si>
  <si>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</si>
  <si>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</si>
  <si>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</si>
  <si>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</si>
  <si>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</si>
  <si>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</si>
  <si>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</si>
  <si>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</si>
  <si>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</si>
  <si>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</si>
  <si>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</si>
  <si>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</si>
  <si>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</si>
  <si>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</si>
  <si>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</si>
  <si>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</si>
  <si>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</si>
  <si>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</si>
  <si>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</si>
  <si>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</si>
  <si>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</si>
  <si>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</si>
  <si>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</si>
  <si>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</si>
  <si>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</si>
  <si>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</si>
  <si>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</si>
  <si>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</si>
  <si>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</si>
  <si>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</si>
  <si>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</si>
  <si>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</si>
  <si>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</si>
  <si>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</si>
  <si>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</si>
  <si>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</si>
  <si>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</si>
  <si>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</si>
  <si>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</si>
  <si>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</si>
  <si>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</si>
  <si>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</si>
  <si>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</si>
  <si>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</si>
  <si>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</si>
  <si>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</si>
  <si>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</si>
  <si>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</si>
  <si>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</si>
  <si>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</si>
  <si>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</si>
  <si>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</si>
  <si>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</si>
  <si>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</si>
  <si>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</si>
  <si>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</si>
  <si>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</si>
  <si>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</si>
  <si>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</si>
  <si>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</si>
  <si>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</si>
  <si>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</si>
  <si>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</si>
  <si>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</si>
  <si>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</si>
  <si>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</si>
  <si>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</si>
  <si>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</si>
  <si>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</si>
  <si>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</si>
  <si>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</si>
  <si>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</si>
  <si>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Vikram</t>
  </si>
  <si>
    <t>Bhavya</t>
  </si>
  <si>
    <t>EVE</t>
  </si>
  <si>
    <t>Manju N</t>
  </si>
  <si>
    <t>R5F10268ASP#55</t>
  </si>
  <si>
    <t>Uma</t>
  </si>
  <si>
    <t>GUJARAT</t>
  </si>
  <si>
    <t>BCX56-16</t>
  </si>
  <si>
    <t>LDI1117-3.3H</t>
  </si>
  <si>
    <t>S1M</t>
  </si>
  <si>
    <t>BC817-40</t>
  </si>
  <si>
    <t>KORCHIP</t>
  </si>
  <si>
    <t>Poonam Kashyap</t>
  </si>
  <si>
    <t xml:space="preserve">All Month Budget (B) Values In K </t>
  </si>
  <si>
    <t>S2M</t>
  </si>
  <si>
    <t>R5F104BAAFP#10</t>
  </si>
  <si>
    <t>NORTH</t>
  </si>
  <si>
    <t>NEW DELHI</t>
  </si>
  <si>
    <t>Neha</t>
  </si>
  <si>
    <t>Palak</t>
  </si>
  <si>
    <t>Abha</t>
  </si>
  <si>
    <t>Masila</t>
  </si>
  <si>
    <t>DEL00035</t>
  </si>
  <si>
    <t>ECOSTAR INNOVATION PVT. LTD.</t>
  </si>
  <si>
    <t>DHIRENDRA PANDEY</t>
  </si>
  <si>
    <t>48000 Nos CSD is TBA</t>
  </si>
  <si>
    <t>DEL02210</t>
  </si>
  <si>
    <t>EI EMS INDIA PRIVATE LIMITED-DEL</t>
  </si>
  <si>
    <t>DCM5R5104HF</t>
  </si>
  <si>
    <t>DEL00043</t>
  </si>
  <si>
    <t>FILM ELECTRONICS PVT LTD</t>
  </si>
  <si>
    <t>MM3Z9B1</t>
  </si>
  <si>
    <t>MMBTA06</t>
  </si>
  <si>
    <t>MMBTA56</t>
  </si>
  <si>
    <t>DEL00430</t>
  </si>
  <si>
    <t>GENNEX ELECTRONICS</t>
  </si>
  <si>
    <t>DEL01265</t>
  </si>
  <si>
    <t>LENTO INDUSTRIES PRIVATE LIMITED</t>
  </si>
  <si>
    <t>GUJ00025</t>
  </si>
  <si>
    <t>MOBA MOBILE AUTOMATION I PVT LTD</t>
  </si>
  <si>
    <t>ER34615C</t>
  </si>
  <si>
    <t xml:space="preserve">Oct -26 to Mar-27 (F) Value </t>
  </si>
  <si>
    <t>Oct-26 to Mar-27 Incoming Qty</t>
  </si>
  <si>
    <t xml:space="preserve">Oct Month Total Inventory Qty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</si>
</sst>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name val="Calibri"/>
      <family val="2"/>
    </font>
    <font>
      <sz val="11"/>
      <color theme="1"/>
      <name val="Aptos Slab"/>
      <family val="2"/>
    </font>
    <font>
      <sz val="12"/>
      <color rgb="FF002060"/>
      <name val="Aptos Slab"/>
      <family val="2"/>
    </font>
    <font>
      <b/>
      <sz val="11"/>
      <color theme="1"/>
      <name val="Aptos Slab"/>
      <family val="2"/>
    </font>
    <font>
      <sz val="11"/>
      <color theme="1"/>
      <name val="Aptos"/>
      <family val="2"/>
    </font>
    <font>
      <sz val="12"/>
      <color rgb="FF002060"/>
      <name val="Aptos"/>
      <family val="2"/>
    </font>
    <font>
      <sz val="12"/>
      <color theme="1"/>
      <name val="Aptos SemiBold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7" fillId="4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2" fillId="4" borderId="1" xfId="0" applyFont="1" applyFill="1" applyBorder="1" applyAlignment="1" applyProtection="1">
      <alignment horizontal="left"/>
      <protection locked="0"/>
    </xf>
    <xf numFmtId="43" fontId="2" fillId="4" borderId="1" xfId="1" applyFont="1" applyFill="1" applyBorder="1" applyProtection="1">
      <protection locked="0"/>
    </xf>
    <xf numFmtId="164" fontId="8" fillId="4" borderId="1" xfId="1" applyNumberFormat="1" applyFont="1" applyFill="1" applyBorder="1" applyProtection="1">
      <protection locked="0"/>
    </xf>
    <xf numFmtId="164" fontId="2" fillId="4" borderId="1" xfId="1" applyNumberFormat="1" applyFont="1" applyFill="1" applyBorder="1" applyAlignment="1" applyProtection="1">
      <alignment wrapText="1"/>
      <protection locked="0"/>
    </xf>
    <xf numFmtId="164" fontId="2" fillId="4" borderId="1" xfId="1" applyNumberFormat="1" applyFont="1" applyFill="1" applyBorder="1" applyProtection="1">
      <protection locked="0"/>
    </xf>
    <xf numFmtId="164" fontId="2" fillId="4" borderId="1" xfId="1" applyNumberFormat="1" applyFont="1" applyFill="1" applyBorder="1" applyProtection="1"/>
    <xf numFmtId="164" fontId="2" fillId="4" borderId="2" xfId="1" applyNumberFormat="1" applyFont="1" applyFill="1" applyBorder="1" applyProtection="1">
      <protection locked="0"/>
    </xf>
    <xf numFmtId="164" fontId="5" fillId="5" borderId="1" xfId="1" applyNumberFormat="1" applyFont="1" applyFill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0" fontId="5" fillId="4" borderId="1" xfId="0" applyFont="1" applyFill="1" applyBorder="1" applyProtection="1">
      <protection locked="0"/>
    </xf>
    <xf numFmtId="164" fontId="4" fillId="4" borderId="0" xfId="1" applyNumberFormat="1" applyFont="1" applyFill="1" applyProtection="1">
      <protection locked="0"/>
    </xf>
    <xf numFmtId="164" fontId="4" fillId="4" borderId="0" xfId="1" applyNumberFormat="1" applyFont="1" applyFill="1" applyAlignment="1" applyProtection="1">
      <alignment horizontal="left"/>
      <protection locked="0"/>
    </xf>
    <xf numFmtId="43" fontId="4" fillId="4" borderId="0" xfId="1" applyFont="1" applyFill="1" applyProtection="1">
      <protection locked="0"/>
    </xf>
    <xf numFmtId="164" fontId="6" fillId="4" borderId="0" xfId="1" applyNumberFormat="1" applyFont="1" applyFill="1" applyAlignment="1" applyProtection="1">
      <alignment wrapText="1"/>
      <protection locked="0"/>
    </xf>
    <xf numFmtId="164" fontId="6" fillId="4" borderId="0" xfId="1" applyNumberFormat="1" applyFont="1" applyFill="1" applyProtection="1">
      <protection locked="0"/>
    </xf>
    <xf numFmtId="164" fontId="4" fillId="0" borderId="0" xfId="1" applyNumberFormat="1" applyFont="1" applyProtection="1">
      <protection locked="0"/>
    </xf>
    <xf numFmtId="0" fontId="6" fillId="6" borderId="1" xfId="0" applyFont="1" applyFill="1" applyBorder="1" applyAlignment="1" applyProtection="1">
      <alignment vertical="center"/>
      <protection locked="0"/>
    </xf>
    <xf numFmtId="0" fontId="6" fillId="6" borderId="1" xfId="0" applyFont="1" applyFill="1" applyBorder="1" applyAlignment="1" applyProtection="1">
      <alignment horizontal="left" vertical="center"/>
      <protection locked="0"/>
    </xf>
    <xf numFmtId="43" fontId="6" fillId="6" borderId="1" xfId="1" applyFont="1" applyFill="1" applyBorder="1" applyAlignment="1" applyProtection="1">
      <alignment vertical="center"/>
      <protection locked="0"/>
    </xf>
    <xf numFmtId="0" fontId="6" fillId="7" borderId="1" xfId="1" applyNumberFormat="1" applyFont="1" applyFill="1" applyBorder="1" applyAlignment="1" applyProtection="1">
      <alignment vertical="center" wrapText="1"/>
      <protection locked="0"/>
    </xf>
    <xf numFmtId="164" fontId="6" fillId="7" borderId="1" xfId="1" applyNumberFormat="1" applyFont="1" applyFill="1" applyBorder="1" applyAlignment="1" applyProtection="1">
      <alignment vertical="center" wrapText="1"/>
      <protection locked="0"/>
    </xf>
    <xf numFmtId="164" fontId="6" fillId="6" borderId="1" xfId="1" applyNumberFormat="1" applyFont="1" applyFill="1" applyBorder="1" applyAlignment="1" applyProtection="1">
      <alignment vertical="center"/>
      <protection locked="0"/>
    </xf>
    <xf numFmtId="164" fontId="6" fillId="3" borderId="1" xfId="1" applyNumberFormat="1" applyFont="1" applyFill="1" applyBorder="1" applyAlignment="1" applyProtection="1">
      <alignment vertical="center"/>
      <protection locked="0"/>
    </xf>
    <xf numFmtId="164" fontId="6" fillId="2" borderId="1" xfId="1" applyNumberFormat="1" applyFont="1" applyFill="1" applyBorder="1" applyAlignment="1" applyProtection="1">
      <alignment vertical="center"/>
      <protection locked="0"/>
    </xf>
    <xf numFmtId="0" fontId="6" fillId="3" borderId="1" xfId="1" applyNumberFormat="1" applyFont="1" applyFill="1" applyBorder="1" applyAlignment="1" applyProtection="1">
      <alignment vertical="center"/>
      <protection locked="0"/>
    </xf>
    <xf numFmtId="0" fontId="6" fillId="6" borderId="1" xfId="1" applyNumberFormat="1" applyFont="1" applyFill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164" fontId="7" fillId="5" borderId="1" xfId="1" applyNumberFormat="1" applyFont="1" applyFill="1" applyBorder="1" applyProtection="1">
      <protection locked="0"/>
    </xf>
    <xf numFmtId="164" fontId="2" fillId="5" borderId="1" xfId="1" applyNumberFormat="1" applyFont="1" applyFill="1" applyBorder="1" applyProtection="1">
      <protection locked="0"/>
    </xf>
    <xf numFmtId="0" fontId="4" fillId="4" borderId="0" xfId="0" applyFont="1" applyFill="1" applyProtection="1">
      <protection locked="0"/>
    </xf>
    <xf numFmtId="0" fontId="4" fillId="4" borderId="0" xfId="0" applyFont="1" applyFill="1" applyAlignment="1" applyProtection="1">
      <alignment horizontal="left"/>
      <protection locked="0"/>
    </xf>
    <xf numFmtId="164" fontId="4" fillId="4" borderId="0" xfId="1" applyNumberFormat="1" applyFont="1" applyFill="1" applyAlignment="1" applyProtection="1">
      <alignment wrapText="1"/>
      <protection locked="0"/>
    </xf>
    <xf numFmtId="164" fontId="4" fillId="4" borderId="0" xfId="1" applyNumberFormat="1" applyFont="1" applyFill="1" applyProtection="1"/>
    <xf numFmtId="0" fontId="6" fillId="6" borderId="1" xfId="0" applyFont="1" applyFill="1" applyBorder="1" applyAlignment="1" applyProtection="1">
      <alignment vertical="center"/>
    </xf>
    <xf numFmtId="0" fontId="2" fillId="4" borderId="1" xfId="0" applyFont="1" applyFill="1" applyBorder="1" applyProtection="1"/>
    <xf numFmtId="0" fontId="4" fillId="4" borderId="0" xfId="0" applyFont="1" applyFill="1" applyProtection="1"/>
    <xf numFmtId="164" fontId="6" fillId="4" borderId="0" xfId="1" applyNumberFormat="1" applyFont="1" applyFill="1" applyAlignment="1" applyProtection="1">
      <alignment wrapText="1"/>
    </xf>
    <xf numFmtId="164" fontId="6" fillId="6" borderId="1" xfId="1" applyNumberFormat="1" applyFont="1" applyFill="1" applyBorder="1" applyAlignment="1" applyProtection="1">
      <alignment vertical="center"/>
    </xf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  <color rgb="FFFFCCFF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4"/>
  <sheetViews>
    <sheetView tabSelected="1" topLeftCell="E1" zoomScale="77" zoomScaleNormal="77" workbookViewId="0">
      <pane ySplit="2" topLeftCell="A3" activePane="bottomLeft" state="frozen"/>
      <selection pane="bottomLeft" activeCell="AZ1" sqref="AZ1"/>
    </sheetView>
  </sheetViews>
  <sheetFormatPr defaultColWidth="23.08984375" defaultRowHeight="14.5" x14ac:dyDescent="0.35"/>
  <cols>
    <col min="1" max="1" width="12.453125" style="33" hidden="1" customWidth="1"/>
    <col min="2" max="2" width="8.36328125" style="33" hidden="1" customWidth="1"/>
    <col min="3" max="3" width="15" style="33" hidden="1" customWidth="1"/>
    <col min="4" max="4" width="17.7265625" style="34" hidden="1" customWidth="1"/>
    <col min="5" max="5" width="23.54296875" style="39" bestFit="1" customWidth="1"/>
    <col min="6" max="6" width="22.08984375" style="33" bestFit="1" customWidth="1"/>
    <col min="7" max="7" width="17.90625" style="33" hidden="1" customWidth="1"/>
    <col min="8" max="8" width="28.7265625" style="33" hidden="1" customWidth="1"/>
    <col min="9" max="9" width="11.54296875" style="33" customWidth="1"/>
    <col min="10" max="10" width="15" style="33" hidden="1" customWidth="1"/>
    <col min="11" max="11" width="14.26953125" style="33" hidden="1" customWidth="1"/>
    <col min="12" max="12" width="20.54296875" style="34" customWidth="1"/>
    <col min="13" max="13" width="19.1796875" style="33" hidden="1" customWidth="1"/>
    <col min="14" max="14" width="13.6328125" style="15" bestFit="1" customWidth="1"/>
    <col min="15" max="15" width="18.26953125" style="35" hidden="1" customWidth="1"/>
    <col min="16" max="16" width="23.7265625" style="35" hidden="1" customWidth="1"/>
    <col min="17" max="17" width="20.08984375" style="35" hidden="1" customWidth="1"/>
    <col min="18" max="18" width="22.453125" style="35" hidden="1" customWidth="1"/>
    <col min="19" max="19" width="20.54296875" style="35" hidden="1" customWidth="1"/>
    <col min="20" max="20" width="17.08984375" style="13" hidden="1" customWidth="1"/>
    <col min="21" max="21" width="16.453125" style="13" hidden="1" customWidth="1"/>
    <col min="22" max="22" width="14.08984375" style="13" hidden="1" customWidth="1"/>
    <col min="23" max="23" width="16.1796875" style="13" hidden="1" customWidth="1"/>
    <col min="24" max="24" width="17.26953125" style="13" hidden="1" customWidth="1"/>
    <col min="25" max="25" width="17.453125" style="13" hidden="1" customWidth="1"/>
    <col min="26" max="26" width="17.26953125" style="13" hidden="1" customWidth="1"/>
    <col min="27" max="27" width="14.90625" style="13" hidden="1" customWidth="1"/>
    <col min="28" max="28" width="17" style="13" hidden="1" customWidth="1"/>
    <col min="29" max="29" width="20" style="13" hidden="1" customWidth="1"/>
    <col min="30" max="30" width="17.90625" style="13" hidden="1" customWidth="1"/>
    <col min="31" max="31" width="16.54296875" style="13" hidden="1" customWidth="1"/>
    <col min="32" max="32" width="14.26953125" style="13" hidden="1" customWidth="1"/>
    <col min="33" max="33" width="16.36328125" style="13" hidden="1" customWidth="1"/>
    <col min="34" max="34" width="19.26953125" style="13" hidden="1" customWidth="1"/>
    <col min="35" max="35" width="17.26953125" style="13" hidden="1" customWidth="1"/>
    <col min="36" max="36" width="15.453125" style="13" hidden="1" customWidth="1"/>
    <col min="37" max="37" width="14.6328125" style="13" hidden="1" customWidth="1"/>
    <col min="38" max="38" width="16.7265625" style="13" hidden="1" customWidth="1"/>
    <col min="39" max="39" width="19.7265625" style="13" hidden="1" customWidth="1"/>
    <col min="40" max="40" width="17.36328125" style="13" hidden="1" customWidth="1"/>
    <col min="41" max="41" width="17.08984375" style="13" hidden="1" customWidth="1"/>
    <col min="42" max="42" width="14.36328125" style="13" hidden="1" customWidth="1"/>
    <col min="43" max="43" width="16.453125" style="13" hidden="1" customWidth="1"/>
    <col min="44" max="44" width="17.453125" style="13" hidden="1" customWidth="1"/>
    <col min="45" max="45" width="17.08984375" style="13" hidden="1" customWidth="1"/>
    <col min="46" max="46" width="16.81640625" style="13" hidden="1" customWidth="1"/>
    <col min="47" max="47" width="14.08984375" style="13" hidden="1" customWidth="1"/>
    <col min="48" max="48" width="16.1796875" style="13" hidden="1" customWidth="1"/>
    <col min="49" max="49" width="17.26953125" style="13" hidden="1" customWidth="1"/>
    <col min="50" max="50" width="16.81640625" style="36" customWidth="1"/>
    <col min="51" max="51" width="16.54296875" style="36" customWidth="1"/>
    <col min="52" max="52" width="13.81640625" style="13" customWidth="1"/>
    <col min="53" max="53" width="15.90625" style="13" customWidth="1"/>
    <col min="54" max="54" width="17" style="13" hidden="1" customWidth="1"/>
    <col min="55" max="55" width="17.36328125" style="13" hidden="1" customWidth="1"/>
    <col min="56" max="56" width="17.08984375" style="13" hidden="1" customWidth="1"/>
    <col min="57" max="57" width="14.36328125" style="13" customWidth="1"/>
    <col min="58" max="58" width="16.453125" style="13" customWidth="1"/>
    <col min="59" max="59" width="17.453125" style="13" hidden="1" customWidth="1"/>
    <col min="60" max="60" width="17.26953125" style="13" hidden="1" customWidth="1"/>
    <col min="61" max="61" width="17" style="13" hidden="1" customWidth="1"/>
    <col min="62" max="62" width="14.26953125" style="13" customWidth="1"/>
    <col min="63" max="63" width="16.36328125" style="13" customWidth="1"/>
    <col min="64" max="64" width="17.36328125" style="13" hidden="1" customWidth="1"/>
    <col min="65" max="65" width="16.7265625" style="13" hidden="1" customWidth="1"/>
    <col min="66" max="66" width="16.453125" style="13" hidden="1" customWidth="1"/>
    <col min="67" max="67" width="13.7265625" style="13" hidden="1" customWidth="1"/>
    <col min="68" max="68" width="15.81640625" style="13" hidden="1" customWidth="1"/>
    <col min="69" max="69" width="19.7265625" style="13" hidden="1" customWidth="1"/>
    <col min="70" max="70" width="17" style="13" hidden="1" customWidth="1"/>
    <col min="71" max="71" width="16.7265625" style="13" hidden="1" customWidth="1"/>
    <col min="72" max="72" width="14" style="13" hidden="1" customWidth="1"/>
    <col min="73" max="73" width="16.08984375" style="13" hidden="1" customWidth="1"/>
    <col min="74" max="74" width="19.54296875" style="13" hidden="1" customWidth="1"/>
    <col min="75" max="75" width="18" style="13" hidden="1" customWidth="1"/>
    <col min="76" max="76" width="17" style="13" hidden="1" customWidth="1"/>
    <col min="77" max="77" width="14.26953125" style="13" hidden="1" customWidth="1"/>
    <col min="78" max="78" width="16.36328125" style="13" hidden="1" customWidth="1"/>
    <col min="79" max="79" width="19.453125" style="13" hidden="1" customWidth="1"/>
    <col min="80" max="80" width="62.36328125" style="33" bestFit="1" customWidth="1"/>
    <col min="81" max="16384" width="23.08984375" style="30"/>
  </cols>
  <sheetData>
    <row r="1" spans="1:80" s="18" customFormat="1" ht="19.5" customHeight="1" x14ac:dyDescent="0.35">
      <c r="A1" s="13"/>
      <c r="B1" s="13"/>
      <c r="C1" s="13"/>
      <c r="D1" s="14"/>
      <c r="E1" s="36"/>
      <c r="F1" s="13"/>
      <c r="G1" s="13"/>
      <c r="H1" s="13"/>
      <c r="I1" s="13"/>
      <c r="J1" s="13"/>
      <c r="K1" s="13"/>
      <c r="L1" s="14"/>
      <c r="M1" s="13"/>
      <c r="N1" s="15"/>
      <c r="O1" s="16">
        <f>SUBTOTAL(9,O3:O17)</f>
        <v>2500</v>
      </c>
      <c r="P1" s="16">
        <f>SUBTOTAL(9,P3:P17)</f>
        <v>1446.6</v>
      </c>
      <c r="Q1" s="16">
        <f>SUBTOTAL(9,Q3:Q17)</f>
        <v>3906.6</v>
      </c>
      <c r="R1" s="16">
        <f>SUBTOTAL(9,R3:R17)</f>
        <v>138300</v>
      </c>
      <c r="S1" s="16">
        <f>SUBTOTAL(9,S3:S17)</f>
        <v>360000</v>
      </c>
      <c r="T1" s="16">
        <f>SUBTOTAL(9,T3:T17)</f>
        <v>193000</v>
      </c>
      <c r="U1" s="16">
        <f>SUBTOTAL(9,U3:U17)</f>
        <v>1042000</v>
      </c>
      <c r="V1" s="16">
        <f>SUBTOTAL(9,V3:V17)</f>
        <v>202000</v>
      </c>
      <c r="W1" s="16">
        <f>SUBTOTAL(9,W3:W17)</f>
        <v>361000</v>
      </c>
      <c r="X1" s="16">
        <f>SUBTOTAL(9,X3:X17)</f>
        <v>120000</v>
      </c>
      <c r="Y1" s="16">
        <f>SUBTOTAL(9,Y3:Y17)</f>
        <v>90000</v>
      </c>
      <c r="Z1" s="16">
        <f>SUBTOTAL(9,Z3:Z17)</f>
        <v>118800</v>
      </c>
      <c r="AA1" s="16">
        <f>SUBTOTAL(9,AA3:AA17)</f>
        <v>1000</v>
      </c>
      <c r="AB1" s="16">
        <f>SUBTOTAL(9,AB3:AB17)</f>
        <v>689000</v>
      </c>
      <c r="AC1" s="16">
        <f>SUBTOTAL(9,AC3:AC17)</f>
        <v>0</v>
      </c>
      <c r="AD1" s="16">
        <f>SUBTOTAL(9,AD3:AD17)</f>
        <v>92300</v>
      </c>
      <c r="AE1" s="16">
        <f>SUBTOTAL(9,AE3:AE17)</f>
        <v>238800</v>
      </c>
      <c r="AF1" s="16">
        <f>SUBTOTAL(9,AF3:AF17)</f>
        <v>182000</v>
      </c>
      <c r="AG1" s="16">
        <f>SUBTOTAL(9,AG3:AG17)</f>
        <v>320400</v>
      </c>
      <c r="AH1" s="16">
        <f>SUBTOTAL(9,AH3:AH17)</f>
        <v>204000</v>
      </c>
      <c r="AI1" s="16">
        <f>SUBTOTAL(9,AI3:AI17)</f>
        <v>140000</v>
      </c>
      <c r="AJ1" s="16">
        <f>SUBTOTAL(9,AJ3:AJ17)</f>
        <v>167800</v>
      </c>
      <c r="AK1" s="16">
        <f>SUBTOTAL(9,AK3:AK17)</f>
        <v>190000</v>
      </c>
      <c r="AL1" s="16">
        <f>SUBTOTAL(9,AL3:AL17)</f>
        <v>251700</v>
      </c>
      <c r="AM1" s="16">
        <f>SUBTOTAL(9,AM3:AM17)</f>
        <v>24000</v>
      </c>
      <c r="AN1" s="16">
        <f>SUBTOTAL(9,AN3:AN17)</f>
        <v>94000</v>
      </c>
      <c r="AO1" s="16">
        <f>SUBTOTAL(9,AO3:AO17)</f>
        <v>230200</v>
      </c>
      <c r="AP1" s="16">
        <f>SUBTOTAL(9,AP3:AP17)</f>
        <v>97500</v>
      </c>
      <c r="AQ1" s="16">
        <f>SUBTOTAL(9,AQ3:AQ17)</f>
        <v>170325</v>
      </c>
      <c r="AR1" s="16">
        <f>SUBTOTAL(9,AR3:AR17)</f>
        <v>10000</v>
      </c>
      <c r="AS1" s="16">
        <f>SUBTOTAL(9,AS3:AS17)</f>
        <v>92000</v>
      </c>
      <c r="AT1" s="16">
        <f>SUBTOTAL(9,AT3:AT17)</f>
        <v>225000</v>
      </c>
      <c r="AU1" s="16">
        <f>SUBTOTAL(9,AU3:AU17)</f>
        <v>76000</v>
      </c>
      <c r="AV1" s="16">
        <f>SUBTOTAL(9,AV3:AV17)</f>
        <v>238220</v>
      </c>
      <c r="AW1" s="16">
        <f>SUBTOTAL(9,AW3:AW17)</f>
        <v>203000</v>
      </c>
      <c r="AX1" s="40">
        <f>SUBTOTAL(9,AX3:AX17)</f>
        <v>190000</v>
      </c>
      <c r="AY1" s="40">
        <f>SUBTOTAL(9,AY3:AY17)</f>
        <v>246800</v>
      </c>
      <c r="AZ1" s="16">
        <f>SUBTOTAL(9,AZ3:AZ17)</f>
        <v>138000</v>
      </c>
      <c r="BA1" s="16">
        <f>SUBTOTAL(9,BA3:BA17)</f>
        <v>138300</v>
      </c>
      <c r="BB1" s="16">
        <f>SUBTOTAL(9,BB3:BB17)</f>
        <v>0</v>
      </c>
      <c r="BC1" s="16">
        <f>SUBTOTAL(9,BC3:BC17)</f>
        <v>90000</v>
      </c>
      <c r="BD1" s="16">
        <f>SUBTOTAL(9,BD3:BD17)</f>
        <v>118800</v>
      </c>
      <c r="BE1" s="16">
        <f>SUBTOTAL(9,BE3:BE17)</f>
        <v>0</v>
      </c>
      <c r="BF1" s="16">
        <f>SUBTOTAL(9,BF3:BF17)</f>
        <v>0</v>
      </c>
      <c r="BG1" s="16">
        <f>SUBTOTAL(9,BG3:BG17)</f>
        <v>90000</v>
      </c>
      <c r="BH1" s="16">
        <f>SUBTOTAL(9,BH3:BH17)</f>
        <v>93000</v>
      </c>
      <c r="BI1" s="16">
        <f>SUBTOTAL(9,BI3:BI17)</f>
        <v>914000</v>
      </c>
      <c r="BJ1" s="16">
        <f>SUBTOTAL(9,BJ3:BJ17)</f>
        <v>0</v>
      </c>
      <c r="BK1" s="16">
        <f>SUBTOTAL(9,BK3:BK17)</f>
        <v>0</v>
      </c>
      <c r="BL1" s="16">
        <f>SUBTOTAL(9,BL3:BL17)</f>
        <v>90000</v>
      </c>
      <c r="BM1" s="16">
        <f>SUBTOTAL(9,BM3:BM17)</f>
        <v>90000</v>
      </c>
      <c r="BN1" s="16">
        <f>SUBTOTAL(9,BN3:BN17)</f>
        <v>118800</v>
      </c>
      <c r="BO1" s="16">
        <f>SUBTOTAL(9,BO3:BO17)</f>
        <v>0</v>
      </c>
      <c r="BP1" s="16">
        <f>SUBTOTAL(9,BP3:BP17)</f>
        <v>0</v>
      </c>
      <c r="BQ1" s="16">
        <f>SUBTOTAL(9,BQ3:BQ17)</f>
        <v>90000</v>
      </c>
      <c r="BR1" s="16">
        <f>SUBTOTAL(9,BR3:BR17)</f>
        <v>192300</v>
      </c>
      <c r="BS1" s="16">
        <f>SUBTOTAL(9,BS3:BS17)</f>
        <v>366800</v>
      </c>
      <c r="BT1" s="16">
        <f>SUBTOTAL(9,BT3:BT17)</f>
        <v>0</v>
      </c>
      <c r="BU1" s="16">
        <f>SUBTOTAL(9,BU3:BU17)</f>
        <v>0</v>
      </c>
      <c r="BV1" s="16">
        <f>SUBTOTAL(9,BV3:BV17)</f>
        <v>90000</v>
      </c>
      <c r="BW1" s="16">
        <f>SUBTOTAL(9,BW3:BW17)</f>
        <v>90000</v>
      </c>
      <c r="BX1" s="16">
        <f>SUBTOTAL(9,BX3:BX17)</f>
        <v>118800</v>
      </c>
      <c r="BY1" s="16">
        <f>SUBTOTAL(9,BY3:BY17)</f>
        <v>0</v>
      </c>
      <c r="BZ1" s="16">
        <f>SUBTOTAL(9,BZ3:BZ17)</f>
        <v>0</v>
      </c>
      <c r="CA1" s="16">
        <f>SUBTOTAL(9,CA3:CA17)</f>
        <v>0</v>
      </c>
      <c r="CB1" s="17"/>
    </row>
    <row r="2" spans="1:80" s="29" customFormat="1" ht="28.5" customHeight="1" x14ac:dyDescent="0.35">
      <c r="A2" s="19" t="s">
        <v>0</v>
      </c>
      <c r="B2" s="19" t="s">
        <v>1</v>
      </c>
      <c r="C2" s="19" t="s">
        <v>2</v>
      </c>
      <c r="D2" s="20" t="s">
        <v>3</v>
      </c>
      <c r="E2" s="37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20" t="s">
        <v>11</v>
      </c>
      <c r="M2" s="19" t="s">
        <v>12</v>
      </c>
      <c r="N2" s="21" t="s">
        <v>13</v>
      </c>
      <c r="O2" s="22" t="s">
        <v>126</v>
      </c>
      <c r="P2" s="23" t="s">
        <v>14</v>
      </c>
      <c r="Q2" s="23" t="s">
        <v>96</v>
      </c>
      <c r="R2" s="23" t="s">
        <v>124</v>
      </c>
      <c r="S2" s="23" t="s">
        <v>125</v>
      </c>
      <c r="T2" s="24" t="s">
        <v>15</v>
      </c>
      <c r="U2" s="24" t="s">
        <v>16</v>
      </c>
      <c r="V2" s="24" t="s">
        <v>17</v>
      </c>
      <c r="W2" s="24" t="s">
        <v>18</v>
      </c>
      <c r="X2" s="25" t="s">
        <v>19</v>
      </c>
      <c r="Y2" s="24" t="s">
        <v>20</v>
      </c>
      <c r="Z2" s="24" t="s">
        <v>21</v>
      </c>
      <c r="AA2" s="24" t="s">
        <v>22</v>
      </c>
      <c r="AB2" s="24" t="s">
        <v>23</v>
      </c>
      <c r="AC2" s="25" t="s">
        <v>24</v>
      </c>
      <c r="AD2" s="24" t="s">
        <v>25</v>
      </c>
      <c r="AE2" s="24" t="s">
        <v>26</v>
      </c>
      <c r="AF2" s="24" t="s">
        <v>27</v>
      </c>
      <c r="AG2" s="24" t="s">
        <v>28</v>
      </c>
      <c r="AH2" s="25" t="s">
        <v>29</v>
      </c>
      <c r="AI2" s="24" t="s">
        <v>30</v>
      </c>
      <c r="AJ2" s="24" t="s">
        <v>31</v>
      </c>
      <c r="AK2" s="24" t="s">
        <v>32</v>
      </c>
      <c r="AL2" s="24" t="s">
        <v>33</v>
      </c>
      <c r="AM2" s="25" t="s">
        <v>34</v>
      </c>
      <c r="AN2" s="24" t="s">
        <v>35</v>
      </c>
      <c r="AO2" s="24" t="s">
        <v>36</v>
      </c>
      <c r="AP2" s="24" t="s">
        <v>37</v>
      </c>
      <c r="AQ2" s="24" t="s">
        <v>38</v>
      </c>
      <c r="AR2" s="25" t="s">
        <v>39</v>
      </c>
      <c r="AS2" s="24" t="s">
        <v>40</v>
      </c>
      <c r="AT2" s="24" t="s">
        <v>41</v>
      </c>
      <c r="AU2" s="24" t="s">
        <v>42</v>
      </c>
      <c r="AV2" s="24" t="s">
        <v>43</v>
      </c>
      <c r="AW2" s="25" t="s">
        <v>44</v>
      </c>
      <c r="AX2" s="41" t="s">
        <v>45</v>
      </c>
      <c r="AY2" s="41" t="s">
        <v>46</v>
      </c>
      <c r="AZ2" s="26" t="s">
        <v>47</v>
      </c>
      <c r="BA2" s="24" t="s">
        <v>48</v>
      </c>
      <c r="BB2" s="25" t="s">
        <v>49</v>
      </c>
      <c r="BC2" s="24" t="s">
        <v>50</v>
      </c>
      <c r="BD2" s="24" t="s">
        <v>51</v>
      </c>
      <c r="BE2" s="26" t="s">
        <v>52</v>
      </c>
      <c r="BF2" s="24" t="s">
        <v>53</v>
      </c>
      <c r="BG2" s="25" t="s">
        <v>54</v>
      </c>
      <c r="BH2" s="24" t="s">
        <v>55</v>
      </c>
      <c r="BI2" s="24" t="s">
        <v>56</v>
      </c>
      <c r="BJ2" s="26" t="s">
        <v>57</v>
      </c>
      <c r="BK2" s="24" t="s">
        <v>58</v>
      </c>
      <c r="BL2" s="25" t="s">
        <v>59</v>
      </c>
      <c r="BM2" s="24" t="s">
        <v>60</v>
      </c>
      <c r="BN2" s="24" t="s">
        <v>61</v>
      </c>
      <c r="BO2" s="24" t="s">
        <v>62</v>
      </c>
      <c r="BP2" s="24" t="s">
        <v>63</v>
      </c>
      <c r="BQ2" s="25" t="s">
        <v>64</v>
      </c>
      <c r="BR2" s="24" t="s">
        <v>65</v>
      </c>
      <c r="BS2" s="24" t="s">
        <v>66</v>
      </c>
      <c r="BT2" s="24" t="s">
        <v>67</v>
      </c>
      <c r="BU2" s="24" t="s">
        <v>68</v>
      </c>
      <c r="BV2" s="27" t="s">
        <v>69</v>
      </c>
      <c r="BW2" s="24" t="s">
        <v>70</v>
      </c>
      <c r="BX2" s="24" t="s">
        <v>71</v>
      </c>
      <c r="BY2" s="24" t="s">
        <v>72</v>
      </c>
      <c r="BZ2" s="24" t="s">
        <v>73</v>
      </c>
      <c r="CA2" s="27" t="s">
        <v>74</v>
      </c>
      <c r="CB2" s="28" t="s">
        <v>75</v>
      </c>
    </row>
    <row r="3" spans="1:80" ht="16" x14ac:dyDescent="0.4">
      <c r="A3" s="2" t="s">
        <v>76</v>
      </c>
      <c r="B3" s="2" t="s">
        <v>99</v>
      </c>
      <c r="C3" s="2" t="s">
        <v>100</v>
      </c>
      <c r="D3" s="2" t="s">
        <v>105</v>
      </c>
      <c r="E3" s="38" t="s">
        <v>106</v>
      </c>
      <c r="F3" s="2" t="s">
        <v>107</v>
      </c>
      <c r="G3" s="2" t="s">
        <v>102</v>
      </c>
      <c r="H3" s="2" t="s">
        <v>82</v>
      </c>
      <c r="I3" s="2" t="s">
        <v>82</v>
      </c>
      <c r="J3" s="2" t="s">
        <v>88</v>
      </c>
      <c r="K3" s="2" t="s">
        <v>81</v>
      </c>
      <c r="L3" s="2" t="s">
        <v>98</v>
      </c>
      <c r="M3" s="2" t="s">
        <v>80</v>
      </c>
      <c r="N3" s="4">
        <v>53.1</v>
      </c>
      <c r="O3" s="5"/>
      <c r="P3" s="6">
        <f t="shared" ref="P3:P4" si="0">+(T3+Y3+AD3+AI3+AN3+AS3+AX3+BC3+BH3+BM3+BR3+BW3)/1000</f>
        <v>10</v>
      </c>
      <c r="Q3" s="6">
        <f t="shared" ref="Q3:Q4" si="1">+(U3+Z3+AE3+AJ3+AO3+AT3+AY3+BD3+BI3+BN3+BS3+BX3)/1000</f>
        <v>531</v>
      </c>
      <c r="R3" s="6">
        <f t="shared" ref="R3:R4" si="2">+(+BA3+BF3+BK3+BP3+BU3+BZ3)</f>
        <v>0</v>
      </c>
      <c r="S3" s="6">
        <f t="shared" ref="S3:S4" si="3">+(+BB3+BG3+BL3+BQ3+BV3+CA3)</f>
        <v>0</v>
      </c>
      <c r="T3" s="7">
        <v>2000</v>
      </c>
      <c r="U3" s="7">
        <f t="shared" ref="U3:U4" si="4">T3*N3</f>
        <v>106200</v>
      </c>
      <c r="V3" s="7">
        <v>2000</v>
      </c>
      <c r="W3" s="7">
        <f t="shared" ref="W3:W4" si="5">V3*N3</f>
        <v>106200</v>
      </c>
      <c r="X3" s="7"/>
      <c r="Y3" s="7"/>
      <c r="Z3" s="7">
        <f t="shared" ref="Z3:Z4" si="6">Y3*N3</f>
        <v>0</v>
      </c>
      <c r="AA3" s="7"/>
      <c r="AB3" s="7">
        <f t="shared" ref="AB3:AB4" si="7">AA3*N3</f>
        <v>0</v>
      </c>
      <c r="AC3" s="7"/>
      <c r="AD3" s="7">
        <v>2000</v>
      </c>
      <c r="AE3" s="7">
        <f t="shared" ref="AE3:AE4" si="8">AD3*N3</f>
        <v>106200</v>
      </c>
      <c r="AF3" s="7">
        <v>2000</v>
      </c>
      <c r="AG3" s="7">
        <f t="shared" ref="AG3:AG4" si="9">AF3*N3</f>
        <v>106200</v>
      </c>
      <c r="AH3" s="7"/>
      <c r="AI3" s="7"/>
      <c r="AJ3" s="7">
        <f t="shared" ref="AJ3:AJ4" si="10">AI3*N3</f>
        <v>0</v>
      </c>
      <c r="AK3" s="7"/>
      <c r="AL3" s="7">
        <f t="shared" ref="AL3:AL4" si="11">AK3*N3</f>
        <v>0</v>
      </c>
      <c r="AM3" s="7"/>
      <c r="AN3" s="7"/>
      <c r="AO3" s="7">
        <f t="shared" ref="AO3:AO4" si="12">AN3*N3</f>
        <v>0</v>
      </c>
      <c r="AP3" s="7"/>
      <c r="AQ3" s="7">
        <f t="shared" ref="AQ3:AQ4" si="13">AP3*N3</f>
        <v>0</v>
      </c>
      <c r="AR3" s="7"/>
      <c r="AS3" s="7">
        <v>2000</v>
      </c>
      <c r="AT3" s="7">
        <f t="shared" ref="AT3:AT4" si="14">AS3*N3</f>
        <v>106200</v>
      </c>
      <c r="AU3" s="7">
        <v>2000</v>
      </c>
      <c r="AV3" s="7">
        <f t="shared" ref="AV3:AV4" si="15">AU3*N3</f>
        <v>106200</v>
      </c>
      <c r="AW3" s="7"/>
      <c r="AX3" s="8"/>
      <c r="AY3" s="8">
        <f t="shared" ref="AY3:AY4" si="16">AX3*N3</f>
        <v>0</v>
      </c>
      <c r="AZ3" s="7"/>
      <c r="BA3" s="7">
        <f t="shared" ref="BA3:BA4" si="17">AZ3*N3</f>
        <v>0</v>
      </c>
      <c r="BB3" s="7"/>
      <c r="BC3" s="7"/>
      <c r="BD3" s="7">
        <f t="shared" ref="BD3:BD4" si="18">BC3*N3</f>
        <v>0</v>
      </c>
      <c r="BE3" s="7"/>
      <c r="BF3" s="7">
        <f t="shared" ref="BF3:BF4" si="19">BE3*N3</f>
        <v>0</v>
      </c>
      <c r="BG3" s="7"/>
      <c r="BH3" s="7">
        <v>2000</v>
      </c>
      <c r="BI3" s="7">
        <f t="shared" ref="BI3:BI4" si="20">BH3*N3</f>
        <v>106200</v>
      </c>
      <c r="BJ3" s="7"/>
      <c r="BK3" s="7">
        <f t="shared" ref="BK3:BK4" si="21">BJ3*N3</f>
        <v>0</v>
      </c>
      <c r="BL3" s="7"/>
      <c r="BM3" s="7"/>
      <c r="BN3" s="7">
        <f t="shared" ref="BN3:BN4" si="22">BM3*N3</f>
        <v>0</v>
      </c>
      <c r="BO3" s="7"/>
      <c r="BP3" s="7">
        <f t="shared" ref="BP3:BP4" si="23">BO3*N3</f>
        <v>0</v>
      </c>
      <c r="BQ3" s="7"/>
      <c r="BR3" s="7">
        <v>2000</v>
      </c>
      <c r="BS3" s="7">
        <f t="shared" ref="BS3:BS4" si="24">BR3*N3</f>
        <v>106200</v>
      </c>
      <c r="BT3" s="7"/>
      <c r="BU3" s="7">
        <f t="shared" ref="BU3:BU4" si="25">BT3*N3</f>
        <v>0</v>
      </c>
      <c r="BV3" s="7"/>
      <c r="BW3" s="7"/>
      <c r="BX3" s="7">
        <f t="shared" ref="BX3:BX4" si="26">BW3*N3</f>
        <v>0</v>
      </c>
      <c r="BY3" s="7"/>
      <c r="BZ3" s="7">
        <f t="shared" ref="BZ3:BZ4" si="27">BY3*N3</f>
        <v>0</v>
      </c>
      <c r="CA3" s="7"/>
      <c r="CB3" s="2"/>
    </row>
    <row r="4" spans="1:80" ht="16" x14ac:dyDescent="0.4">
      <c r="A4" s="2" t="s">
        <v>76</v>
      </c>
      <c r="B4" s="2" t="s">
        <v>99</v>
      </c>
      <c r="C4" s="2" t="s">
        <v>100</v>
      </c>
      <c r="D4" s="2" t="s">
        <v>109</v>
      </c>
      <c r="E4" s="38" t="s">
        <v>110</v>
      </c>
      <c r="F4" s="2" t="s">
        <v>107</v>
      </c>
      <c r="G4" s="2" t="s">
        <v>101</v>
      </c>
      <c r="H4" s="2" t="s">
        <v>94</v>
      </c>
      <c r="I4" s="2" t="s">
        <v>94</v>
      </c>
      <c r="J4" s="2" t="s">
        <v>83</v>
      </c>
      <c r="K4" s="1" t="s">
        <v>104</v>
      </c>
      <c r="L4" s="2" t="s">
        <v>111</v>
      </c>
      <c r="M4" s="2" t="s">
        <v>80</v>
      </c>
      <c r="N4" s="4">
        <v>27.85</v>
      </c>
      <c r="O4" s="5"/>
      <c r="P4" s="6">
        <f t="shared" si="0"/>
        <v>4</v>
      </c>
      <c r="Q4" s="6">
        <f t="shared" si="1"/>
        <v>111.4</v>
      </c>
      <c r="R4" s="6">
        <f t="shared" si="2"/>
        <v>0</v>
      </c>
      <c r="S4" s="6">
        <f t="shared" si="3"/>
        <v>0</v>
      </c>
      <c r="T4" s="7"/>
      <c r="U4" s="7">
        <f t="shared" si="4"/>
        <v>0</v>
      </c>
      <c r="V4" s="7"/>
      <c r="W4" s="7">
        <f t="shared" si="5"/>
        <v>0</v>
      </c>
      <c r="X4" s="7"/>
      <c r="Y4" s="7"/>
      <c r="Z4" s="7">
        <f t="shared" si="6"/>
        <v>0</v>
      </c>
      <c r="AA4" s="7"/>
      <c r="AB4" s="7">
        <f t="shared" si="7"/>
        <v>0</v>
      </c>
      <c r="AC4" s="7"/>
      <c r="AD4" s="7"/>
      <c r="AE4" s="7">
        <f t="shared" si="8"/>
        <v>0</v>
      </c>
      <c r="AF4" s="7"/>
      <c r="AG4" s="7">
        <f t="shared" si="9"/>
        <v>0</v>
      </c>
      <c r="AH4" s="7"/>
      <c r="AI4" s="7"/>
      <c r="AJ4" s="7">
        <f t="shared" si="10"/>
        <v>0</v>
      </c>
      <c r="AK4" s="7"/>
      <c r="AL4" s="7">
        <f t="shared" si="11"/>
        <v>0</v>
      </c>
      <c r="AM4" s="7"/>
      <c r="AN4" s="7">
        <v>4000</v>
      </c>
      <c r="AO4" s="7">
        <f t="shared" si="12"/>
        <v>111400</v>
      </c>
      <c r="AP4" s="7"/>
      <c r="AQ4" s="7">
        <f t="shared" si="13"/>
        <v>0</v>
      </c>
      <c r="AR4" s="7"/>
      <c r="AS4" s="7"/>
      <c r="AT4" s="7">
        <f t="shared" si="14"/>
        <v>0</v>
      </c>
      <c r="AU4" s="7"/>
      <c r="AV4" s="7">
        <f t="shared" si="15"/>
        <v>0</v>
      </c>
      <c r="AW4" s="7"/>
      <c r="AX4" s="8"/>
      <c r="AY4" s="8">
        <f t="shared" si="16"/>
        <v>0</v>
      </c>
      <c r="AZ4" s="7"/>
      <c r="BA4" s="7">
        <f t="shared" si="17"/>
        <v>0</v>
      </c>
      <c r="BB4" s="7"/>
      <c r="BC4" s="7"/>
      <c r="BD4" s="7">
        <f t="shared" si="18"/>
        <v>0</v>
      </c>
      <c r="BE4" s="7"/>
      <c r="BF4" s="7">
        <f t="shared" si="19"/>
        <v>0</v>
      </c>
      <c r="BG4" s="7"/>
      <c r="BH4" s="7"/>
      <c r="BI4" s="7">
        <f t="shared" si="20"/>
        <v>0</v>
      </c>
      <c r="BJ4" s="7"/>
      <c r="BK4" s="7">
        <f t="shared" si="21"/>
        <v>0</v>
      </c>
      <c r="BL4" s="7"/>
      <c r="BM4" s="7"/>
      <c r="BN4" s="7">
        <f t="shared" si="22"/>
        <v>0</v>
      </c>
      <c r="BO4" s="7"/>
      <c r="BP4" s="7">
        <f t="shared" si="23"/>
        <v>0</v>
      </c>
      <c r="BQ4" s="7"/>
      <c r="BR4" s="7"/>
      <c r="BS4" s="7">
        <f t="shared" si="24"/>
        <v>0</v>
      </c>
      <c r="BT4" s="7"/>
      <c r="BU4" s="7">
        <f t="shared" si="25"/>
        <v>0</v>
      </c>
      <c r="BV4" s="7"/>
      <c r="BW4" s="7"/>
      <c r="BX4" s="7">
        <f t="shared" si="26"/>
        <v>0</v>
      </c>
      <c r="BY4" s="7"/>
      <c r="BZ4" s="7">
        <f t="shared" si="27"/>
        <v>0</v>
      </c>
      <c r="CA4" s="9"/>
      <c r="CB4" s="2"/>
    </row>
    <row r="5" spans="1:80" ht="16" x14ac:dyDescent="0.4">
      <c r="A5" s="2" t="s">
        <v>76</v>
      </c>
      <c r="B5" s="2" t="s">
        <v>99</v>
      </c>
      <c r="C5" s="2" t="s">
        <v>100</v>
      </c>
      <c r="D5" s="2" t="s">
        <v>112</v>
      </c>
      <c r="E5" s="38" t="s">
        <v>113</v>
      </c>
      <c r="F5" s="2" t="s">
        <v>107</v>
      </c>
      <c r="G5" s="2" t="s">
        <v>95</v>
      </c>
      <c r="H5" s="2" t="s">
        <v>77</v>
      </c>
      <c r="I5" s="2" t="s">
        <v>77</v>
      </c>
      <c r="J5" s="2" t="s">
        <v>78</v>
      </c>
      <c r="K5" s="2" t="s">
        <v>79</v>
      </c>
      <c r="L5" s="2" t="s">
        <v>92</v>
      </c>
      <c r="M5" s="2" t="s">
        <v>80</v>
      </c>
      <c r="N5" s="4">
        <v>0.8</v>
      </c>
      <c r="O5" s="5"/>
      <c r="P5" s="6">
        <f t="shared" ref="P5:P12" si="28">+(T5+Y5+AD5+AI5+AN5+AS5+AX5+BC5+BH5+BM5+BR5+BW5)/1000</f>
        <v>360</v>
      </c>
      <c r="Q5" s="6">
        <f t="shared" ref="Q5:Q12" si="29">+(U5+Z5+AE5+AJ5+AO5+AT5+AY5+BD5+BI5+BN5+BS5+BX5)/1000</f>
        <v>288</v>
      </c>
      <c r="R5" s="6">
        <f t="shared" ref="R5:R12" si="30">+(+BA5+BF5+BK5+BP5+BU5+BZ5)</f>
        <v>24000</v>
      </c>
      <c r="S5" s="6">
        <f t="shared" ref="S5:S12" si="31">+(+BB5+BG5+BL5+BQ5+BV5+CA5)</f>
        <v>0</v>
      </c>
      <c r="T5" s="7">
        <v>30000</v>
      </c>
      <c r="U5" s="7">
        <f t="shared" ref="U5:U12" si="32">T5*N5</f>
        <v>24000</v>
      </c>
      <c r="V5" s="7">
        <v>40000</v>
      </c>
      <c r="W5" s="7">
        <f t="shared" ref="W5:W12" si="33">V5*N5</f>
        <v>32000</v>
      </c>
      <c r="X5" s="7"/>
      <c r="Y5" s="7">
        <v>30000</v>
      </c>
      <c r="Z5" s="7">
        <f t="shared" ref="Z5:Z12" si="34">Y5*N5</f>
        <v>24000</v>
      </c>
      <c r="AA5" s="7"/>
      <c r="AB5" s="7">
        <f t="shared" ref="AB5:AB12" si="35">AA5*N5</f>
        <v>0</v>
      </c>
      <c r="AC5" s="7"/>
      <c r="AD5" s="7">
        <v>30000</v>
      </c>
      <c r="AE5" s="7">
        <f t="shared" ref="AE5:AE12" si="36">AD5*N5</f>
        <v>24000</v>
      </c>
      <c r="AF5" s="7">
        <v>90000</v>
      </c>
      <c r="AG5" s="7">
        <f t="shared" ref="AG5:AG12" si="37">AF5*N5</f>
        <v>72000</v>
      </c>
      <c r="AH5" s="7"/>
      <c r="AI5" s="7">
        <v>30000</v>
      </c>
      <c r="AJ5" s="7">
        <f t="shared" ref="AJ5:AJ12" si="38">AI5*N5</f>
        <v>24000</v>
      </c>
      <c r="AK5" s="7">
        <v>90000</v>
      </c>
      <c r="AL5" s="7">
        <f t="shared" ref="AL5:AL12" si="39">AK5*N5</f>
        <v>72000</v>
      </c>
      <c r="AM5" s="7"/>
      <c r="AN5" s="7">
        <v>30000</v>
      </c>
      <c r="AO5" s="7">
        <f t="shared" ref="AO5:AO12" si="40">AN5*N5</f>
        <v>24000</v>
      </c>
      <c r="AP5" s="7"/>
      <c r="AQ5" s="7">
        <f t="shared" ref="AQ5:AQ12" si="41">AP5*N5</f>
        <v>0</v>
      </c>
      <c r="AR5" s="7"/>
      <c r="AS5" s="7">
        <v>30000</v>
      </c>
      <c r="AT5" s="7">
        <f t="shared" ref="AT5:AT12" si="42">AS5*N5</f>
        <v>24000</v>
      </c>
      <c r="AU5" s="7"/>
      <c r="AV5" s="7">
        <f t="shared" ref="AV5:AV12" si="43">AU5*N5</f>
        <v>0</v>
      </c>
      <c r="AW5" s="7"/>
      <c r="AX5" s="8">
        <v>30000</v>
      </c>
      <c r="AY5" s="8">
        <f t="shared" ref="AY5:AY12" si="44">AX5*N5</f>
        <v>24000</v>
      </c>
      <c r="AZ5" s="7">
        <v>30000</v>
      </c>
      <c r="BA5" s="7">
        <f t="shared" ref="BA5:BA12" si="45">AZ5*N5</f>
        <v>24000</v>
      </c>
      <c r="BB5" s="7"/>
      <c r="BC5" s="7">
        <v>30000</v>
      </c>
      <c r="BD5" s="7">
        <f t="shared" ref="BD5:BD12" si="46">BC5*N5</f>
        <v>24000</v>
      </c>
      <c r="BE5" s="7"/>
      <c r="BF5" s="7">
        <f t="shared" ref="BF5:BF12" si="47">BE5*N5</f>
        <v>0</v>
      </c>
      <c r="BG5" s="7"/>
      <c r="BH5" s="7">
        <v>30000</v>
      </c>
      <c r="BI5" s="7">
        <f t="shared" ref="BI5:BI12" si="48">BH5*N5</f>
        <v>24000</v>
      </c>
      <c r="BJ5" s="7"/>
      <c r="BK5" s="7">
        <f t="shared" ref="BK5:BK12" si="49">BJ5*N5</f>
        <v>0</v>
      </c>
      <c r="BL5" s="7"/>
      <c r="BM5" s="7">
        <v>30000</v>
      </c>
      <c r="BN5" s="7">
        <f t="shared" ref="BN5:BN12" si="50">BM5*N5</f>
        <v>24000</v>
      </c>
      <c r="BO5" s="7"/>
      <c r="BP5" s="7">
        <f t="shared" ref="BP5:BP12" si="51">BO5*N5</f>
        <v>0</v>
      </c>
      <c r="BQ5" s="7"/>
      <c r="BR5" s="7">
        <v>30000</v>
      </c>
      <c r="BS5" s="7">
        <f t="shared" ref="BS5:BS12" si="52">BR5*N5</f>
        <v>24000</v>
      </c>
      <c r="BT5" s="7"/>
      <c r="BU5" s="7">
        <f t="shared" ref="BU5:BU12" si="53">BT5*N5</f>
        <v>0</v>
      </c>
      <c r="BV5" s="7"/>
      <c r="BW5" s="7">
        <v>30000</v>
      </c>
      <c r="BX5" s="7">
        <f t="shared" ref="BX5:BX12" si="54">BW5*N5</f>
        <v>24000</v>
      </c>
      <c r="BY5" s="7"/>
      <c r="BZ5" s="7">
        <f t="shared" ref="BZ5:BZ12" si="55">BY5*N5</f>
        <v>0</v>
      </c>
      <c r="CA5" s="7"/>
      <c r="CB5" s="2"/>
    </row>
    <row r="6" spans="1:80" ht="16" x14ac:dyDescent="0.4">
      <c r="A6" s="2" t="s">
        <v>76</v>
      </c>
      <c r="B6" s="2" t="s">
        <v>99</v>
      </c>
      <c r="C6" s="2" t="s">
        <v>100</v>
      </c>
      <c r="D6" s="2" t="s">
        <v>112</v>
      </c>
      <c r="E6" s="38" t="s">
        <v>113</v>
      </c>
      <c r="F6" s="2" t="s">
        <v>107</v>
      </c>
      <c r="G6" s="2" t="s">
        <v>95</v>
      </c>
      <c r="H6" s="2" t="s">
        <v>77</v>
      </c>
      <c r="I6" s="2" t="s">
        <v>77</v>
      </c>
      <c r="J6" s="2" t="s">
        <v>78</v>
      </c>
      <c r="K6" s="2" t="s">
        <v>79</v>
      </c>
      <c r="L6" s="2" t="s">
        <v>114</v>
      </c>
      <c r="M6" s="2"/>
      <c r="N6" s="4">
        <v>1.23</v>
      </c>
      <c r="O6" s="5"/>
      <c r="P6" s="6">
        <f t="shared" si="28"/>
        <v>0</v>
      </c>
      <c r="Q6" s="6">
        <f t="shared" si="29"/>
        <v>0</v>
      </c>
      <c r="R6" s="6">
        <f t="shared" si="30"/>
        <v>0</v>
      </c>
      <c r="S6" s="6">
        <f t="shared" si="31"/>
        <v>0</v>
      </c>
      <c r="T6" s="7"/>
      <c r="U6" s="7">
        <f t="shared" si="32"/>
        <v>0</v>
      </c>
      <c r="V6" s="7"/>
      <c r="W6" s="7">
        <f t="shared" si="33"/>
        <v>0</v>
      </c>
      <c r="X6" s="7"/>
      <c r="Y6" s="7"/>
      <c r="Z6" s="7">
        <f t="shared" si="34"/>
        <v>0</v>
      </c>
      <c r="AA6" s="7"/>
      <c r="AB6" s="7">
        <f t="shared" si="35"/>
        <v>0</v>
      </c>
      <c r="AC6" s="7"/>
      <c r="AD6" s="7"/>
      <c r="AE6" s="7">
        <f t="shared" si="36"/>
        <v>0</v>
      </c>
      <c r="AF6" s="7"/>
      <c r="AG6" s="7">
        <f t="shared" si="37"/>
        <v>0</v>
      </c>
      <c r="AH6" s="7"/>
      <c r="AI6" s="7"/>
      <c r="AJ6" s="7">
        <f t="shared" si="38"/>
        <v>0</v>
      </c>
      <c r="AK6" s="7"/>
      <c r="AL6" s="7">
        <f t="shared" si="39"/>
        <v>0</v>
      </c>
      <c r="AM6" s="7">
        <v>24000</v>
      </c>
      <c r="AN6" s="7"/>
      <c r="AO6" s="7">
        <f t="shared" si="40"/>
        <v>0</v>
      </c>
      <c r="AP6" s="7"/>
      <c r="AQ6" s="7">
        <f t="shared" si="41"/>
        <v>0</v>
      </c>
      <c r="AR6" s="7"/>
      <c r="AS6" s="7"/>
      <c r="AT6" s="7">
        <f t="shared" si="42"/>
        <v>0</v>
      </c>
      <c r="AU6" s="7">
        <v>24000</v>
      </c>
      <c r="AV6" s="7">
        <f t="shared" si="43"/>
        <v>29520</v>
      </c>
      <c r="AW6" s="7"/>
      <c r="AX6" s="8"/>
      <c r="AY6" s="8">
        <f t="shared" si="44"/>
        <v>0</v>
      </c>
      <c r="AZ6" s="7"/>
      <c r="BA6" s="7">
        <f t="shared" si="45"/>
        <v>0</v>
      </c>
      <c r="BB6" s="7"/>
      <c r="BC6" s="7"/>
      <c r="BD6" s="7">
        <f t="shared" si="46"/>
        <v>0</v>
      </c>
      <c r="BE6" s="7"/>
      <c r="BF6" s="7">
        <f t="shared" si="47"/>
        <v>0</v>
      </c>
      <c r="BG6" s="7"/>
      <c r="BH6" s="7"/>
      <c r="BI6" s="7">
        <f t="shared" si="48"/>
        <v>0</v>
      </c>
      <c r="BJ6" s="7"/>
      <c r="BK6" s="7">
        <f t="shared" si="49"/>
        <v>0</v>
      </c>
      <c r="BL6" s="7"/>
      <c r="BM6" s="7"/>
      <c r="BN6" s="7">
        <f t="shared" si="50"/>
        <v>0</v>
      </c>
      <c r="BO6" s="7"/>
      <c r="BP6" s="7">
        <f t="shared" si="51"/>
        <v>0</v>
      </c>
      <c r="BQ6" s="7"/>
      <c r="BR6" s="7"/>
      <c r="BS6" s="7">
        <f t="shared" si="52"/>
        <v>0</v>
      </c>
      <c r="BT6" s="7"/>
      <c r="BU6" s="7">
        <f t="shared" si="53"/>
        <v>0</v>
      </c>
      <c r="BV6" s="7"/>
      <c r="BW6" s="7"/>
      <c r="BX6" s="7">
        <f t="shared" si="54"/>
        <v>0</v>
      </c>
      <c r="BY6" s="7"/>
      <c r="BZ6" s="7">
        <f t="shared" si="55"/>
        <v>0</v>
      </c>
      <c r="CA6" s="7"/>
      <c r="CB6" s="2"/>
    </row>
    <row r="7" spans="1:80" ht="16" x14ac:dyDescent="0.4">
      <c r="A7" s="2" t="s">
        <v>76</v>
      </c>
      <c r="B7" s="2" t="s">
        <v>99</v>
      </c>
      <c r="C7" s="2" t="s">
        <v>100</v>
      </c>
      <c r="D7" s="2" t="s">
        <v>112</v>
      </c>
      <c r="E7" s="38" t="s">
        <v>113</v>
      </c>
      <c r="F7" s="2" t="s">
        <v>107</v>
      </c>
      <c r="G7" s="2" t="s">
        <v>95</v>
      </c>
      <c r="H7" s="2" t="s">
        <v>77</v>
      </c>
      <c r="I7" s="2" t="s">
        <v>77</v>
      </c>
      <c r="J7" s="2" t="s">
        <v>78</v>
      </c>
      <c r="K7" s="2" t="s">
        <v>79</v>
      </c>
      <c r="L7" s="2" t="s">
        <v>115</v>
      </c>
      <c r="M7" s="2" t="s">
        <v>80</v>
      </c>
      <c r="N7" s="4">
        <v>1.28</v>
      </c>
      <c r="O7" s="5"/>
      <c r="P7" s="6">
        <f t="shared" si="28"/>
        <v>400</v>
      </c>
      <c r="Q7" s="6">
        <f t="shared" si="29"/>
        <v>512</v>
      </c>
      <c r="R7" s="6">
        <f t="shared" si="30"/>
        <v>0</v>
      </c>
      <c r="S7" s="6">
        <f t="shared" si="31"/>
        <v>0</v>
      </c>
      <c r="T7" s="7">
        <v>100000</v>
      </c>
      <c r="U7" s="7">
        <f t="shared" si="32"/>
        <v>128000</v>
      </c>
      <c r="V7" s="7">
        <v>100000</v>
      </c>
      <c r="W7" s="7">
        <f t="shared" si="33"/>
        <v>128000</v>
      </c>
      <c r="X7" s="7"/>
      <c r="Y7" s="7"/>
      <c r="Z7" s="7">
        <f t="shared" si="34"/>
        <v>0</v>
      </c>
      <c r="AA7" s="7"/>
      <c r="AB7" s="7">
        <f t="shared" si="35"/>
        <v>0</v>
      </c>
      <c r="AC7" s="7"/>
      <c r="AD7" s="7"/>
      <c r="AE7" s="7">
        <f t="shared" si="36"/>
        <v>0</v>
      </c>
      <c r="AF7" s="7"/>
      <c r="AG7" s="7">
        <f t="shared" si="37"/>
        <v>0</v>
      </c>
      <c r="AH7" s="7"/>
      <c r="AI7" s="7">
        <v>100000</v>
      </c>
      <c r="AJ7" s="7">
        <f t="shared" si="38"/>
        <v>128000</v>
      </c>
      <c r="AK7" s="7"/>
      <c r="AL7" s="7">
        <f t="shared" si="39"/>
        <v>0</v>
      </c>
      <c r="AM7" s="7"/>
      <c r="AN7" s="7"/>
      <c r="AO7" s="7">
        <f t="shared" si="40"/>
        <v>0</v>
      </c>
      <c r="AP7" s="7"/>
      <c r="AQ7" s="7">
        <f t="shared" si="41"/>
        <v>0</v>
      </c>
      <c r="AR7" s="7"/>
      <c r="AS7" s="7"/>
      <c r="AT7" s="7">
        <f t="shared" si="42"/>
        <v>0</v>
      </c>
      <c r="AU7" s="7"/>
      <c r="AV7" s="7">
        <f t="shared" si="43"/>
        <v>0</v>
      </c>
      <c r="AW7" s="7"/>
      <c r="AX7" s="8">
        <v>100000</v>
      </c>
      <c r="AY7" s="8">
        <f t="shared" si="44"/>
        <v>128000</v>
      </c>
      <c r="AZ7" s="7"/>
      <c r="BA7" s="7">
        <f t="shared" si="45"/>
        <v>0</v>
      </c>
      <c r="BB7" s="7"/>
      <c r="BC7" s="7"/>
      <c r="BD7" s="7">
        <f t="shared" si="46"/>
        <v>0</v>
      </c>
      <c r="BE7" s="7"/>
      <c r="BF7" s="7">
        <f t="shared" si="47"/>
        <v>0</v>
      </c>
      <c r="BG7" s="7"/>
      <c r="BH7" s="7"/>
      <c r="BI7" s="7">
        <f t="shared" si="48"/>
        <v>0</v>
      </c>
      <c r="BJ7" s="7"/>
      <c r="BK7" s="7">
        <f t="shared" si="49"/>
        <v>0</v>
      </c>
      <c r="BL7" s="7"/>
      <c r="BM7" s="7"/>
      <c r="BN7" s="7">
        <f t="shared" si="50"/>
        <v>0</v>
      </c>
      <c r="BO7" s="7"/>
      <c r="BP7" s="7">
        <f t="shared" si="51"/>
        <v>0</v>
      </c>
      <c r="BQ7" s="7"/>
      <c r="BR7" s="7">
        <v>100000</v>
      </c>
      <c r="BS7" s="7">
        <f t="shared" si="52"/>
        <v>128000</v>
      </c>
      <c r="BT7" s="7"/>
      <c r="BU7" s="7">
        <f t="shared" si="53"/>
        <v>0</v>
      </c>
      <c r="BV7" s="7"/>
      <c r="BW7" s="7"/>
      <c r="BX7" s="7">
        <f t="shared" si="54"/>
        <v>0</v>
      </c>
      <c r="BY7" s="7"/>
      <c r="BZ7" s="7">
        <f t="shared" si="55"/>
        <v>0</v>
      </c>
      <c r="CA7" s="7"/>
      <c r="CB7" s="2"/>
    </row>
    <row r="8" spans="1:80" ht="16" x14ac:dyDescent="0.4">
      <c r="A8" s="2" t="s">
        <v>76</v>
      </c>
      <c r="B8" s="2" t="s">
        <v>99</v>
      </c>
      <c r="C8" s="2" t="s">
        <v>100</v>
      </c>
      <c r="D8" s="2" t="s">
        <v>112</v>
      </c>
      <c r="E8" s="38" t="s">
        <v>113</v>
      </c>
      <c r="F8" s="2" t="s">
        <v>107</v>
      </c>
      <c r="G8" s="2" t="s">
        <v>95</v>
      </c>
      <c r="H8" s="2" t="s">
        <v>77</v>
      </c>
      <c r="I8" s="2" t="s">
        <v>77</v>
      </c>
      <c r="J8" s="2" t="s">
        <v>78</v>
      </c>
      <c r="K8" s="2" t="s">
        <v>79</v>
      </c>
      <c r="L8" s="2" t="s">
        <v>116</v>
      </c>
      <c r="M8" s="2"/>
      <c r="N8" s="4">
        <v>1.4</v>
      </c>
      <c r="O8" s="5"/>
      <c r="P8" s="6">
        <f t="shared" si="28"/>
        <v>0</v>
      </c>
      <c r="Q8" s="6">
        <f t="shared" si="29"/>
        <v>0</v>
      </c>
      <c r="R8" s="6">
        <f t="shared" si="30"/>
        <v>67200</v>
      </c>
      <c r="S8" s="6">
        <f t="shared" si="31"/>
        <v>0</v>
      </c>
      <c r="T8" s="7"/>
      <c r="U8" s="7">
        <f t="shared" si="32"/>
        <v>0</v>
      </c>
      <c r="V8" s="7"/>
      <c r="W8" s="7">
        <f t="shared" si="33"/>
        <v>0</v>
      </c>
      <c r="X8" s="7">
        <v>30000</v>
      </c>
      <c r="Y8" s="7"/>
      <c r="Z8" s="7">
        <f t="shared" si="34"/>
        <v>0</v>
      </c>
      <c r="AA8" s="7"/>
      <c r="AB8" s="7">
        <f t="shared" si="35"/>
        <v>0</v>
      </c>
      <c r="AC8" s="7"/>
      <c r="AD8" s="7"/>
      <c r="AE8" s="7">
        <f t="shared" si="36"/>
        <v>0</v>
      </c>
      <c r="AF8" s="7"/>
      <c r="AG8" s="7">
        <f t="shared" si="37"/>
        <v>0</v>
      </c>
      <c r="AH8" s="7">
        <v>60000</v>
      </c>
      <c r="AI8" s="7"/>
      <c r="AJ8" s="7">
        <f t="shared" si="38"/>
        <v>0</v>
      </c>
      <c r="AK8" s="7"/>
      <c r="AL8" s="7">
        <f t="shared" si="39"/>
        <v>0</v>
      </c>
      <c r="AM8" s="7"/>
      <c r="AN8" s="7"/>
      <c r="AO8" s="7">
        <f t="shared" si="40"/>
        <v>0</v>
      </c>
      <c r="AP8" s="7"/>
      <c r="AQ8" s="7">
        <f t="shared" si="41"/>
        <v>0</v>
      </c>
      <c r="AR8" s="7"/>
      <c r="AS8" s="7"/>
      <c r="AT8" s="7">
        <f t="shared" si="42"/>
        <v>0</v>
      </c>
      <c r="AU8" s="7"/>
      <c r="AV8" s="7">
        <f t="shared" si="43"/>
        <v>0</v>
      </c>
      <c r="AW8" s="10">
        <v>48000</v>
      </c>
      <c r="AX8" s="8"/>
      <c r="AY8" s="8">
        <f t="shared" si="44"/>
        <v>0</v>
      </c>
      <c r="AZ8" s="7">
        <v>48000</v>
      </c>
      <c r="BA8" s="7">
        <f t="shared" si="45"/>
        <v>67200</v>
      </c>
      <c r="BB8" s="7"/>
      <c r="BC8" s="7"/>
      <c r="BD8" s="7">
        <f t="shared" si="46"/>
        <v>0</v>
      </c>
      <c r="BE8" s="7"/>
      <c r="BF8" s="7">
        <f t="shared" si="47"/>
        <v>0</v>
      </c>
      <c r="BG8" s="7"/>
      <c r="BH8" s="7"/>
      <c r="BI8" s="7">
        <f t="shared" si="48"/>
        <v>0</v>
      </c>
      <c r="BJ8" s="7"/>
      <c r="BK8" s="7">
        <f t="shared" si="49"/>
        <v>0</v>
      </c>
      <c r="BL8" s="7"/>
      <c r="BM8" s="7"/>
      <c r="BN8" s="7">
        <f t="shared" si="50"/>
        <v>0</v>
      </c>
      <c r="BO8" s="7"/>
      <c r="BP8" s="7">
        <f t="shared" si="51"/>
        <v>0</v>
      </c>
      <c r="BQ8" s="7"/>
      <c r="BR8" s="7"/>
      <c r="BS8" s="7">
        <f t="shared" si="52"/>
        <v>0</v>
      </c>
      <c r="BT8" s="7"/>
      <c r="BU8" s="7">
        <f t="shared" si="53"/>
        <v>0</v>
      </c>
      <c r="BV8" s="7"/>
      <c r="BW8" s="7"/>
      <c r="BX8" s="7">
        <f t="shared" si="54"/>
        <v>0</v>
      </c>
      <c r="BY8" s="7"/>
      <c r="BZ8" s="7">
        <f t="shared" si="55"/>
        <v>0</v>
      </c>
      <c r="CA8" s="7"/>
      <c r="CB8" s="31" t="s">
        <v>108</v>
      </c>
    </row>
    <row r="9" spans="1:80" ht="16" x14ac:dyDescent="0.4">
      <c r="A9" s="2" t="s">
        <v>76</v>
      </c>
      <c r="B9" s="2" t="s">
        <v>99</v>
      </c>
      <c r="C9" s="2" t="s">
        <v>100</v>
      </c>
      <c r="D9" s="2" t="s">
        <v>112</v>
      </c>
      <c r="E9" s="38" t="s">
        <v>113</v>
      </c>
      <c r="F9" s="2" t="s">
        <v>107</v>
      </c>
      <c r="G9" s="2" t="s">
        <v>95</v>
      </c>
      <c r="H9" s="2" t="s">
        <v>77</v>
      </c>
      <c r="I9" s="2" t="s">
        <v>77</v>
      </c>
      <c r="J9" s="2" t="s">
        <v>78</v>
      </c>
      <c r="K9" s="2" t="s">
        <v>79</v>
      </c>
      <c r="L9" s="2" t="s">
        <v>90</v>
      </c>
      <c r="M9" s="2"/>
      <c r="N9" s="4">
        <v>2.0499999999999998</v>
      </c>
      <c r="O9" s="5"/>
      <c r="P9" s="6">
        <f t="shared" si="28"/>
        <v>0</v>
      </c>
      <c r="Q9" s="6">
        <f t="shared" si="29"/>
        <v>0</v>
      </c>
      <c r="R9" s="6">
        <f t="shared" si="30"/>
        <v>0</v>
      </c>
      <c r="S9" s="6">
        <f t="shared" si="31"/>
        <v>0</v>
      </c>
      <c r="T9" s="7"/>
      <c r="U9" s="7">
        <f t="shared" si="32"/>
        <v>0</v>
      </c>
      <c r="V9" s="7"/>
      <c r="W9" s="7">
        <f t="shared" si="33"/>
        <v>0</v>
      </c>
      <c r="X9" s="7"/>
      <c r="Y9" s="7"/>
      <c r="Z9" s="7">
        <f t="shared" si="34"/>
        <v>0</v>
      </c>
      <c r="AA9" s="7"/>
      <c r="AB9" s="7">
        <f t="shared" si="35"/>
        <v>0</v>
      </c>
      <c r="AC9" s="7"/>
      <c r="AD9" s="7"/>
      <c r="AE9" s="7">
        <f t="shared" si="36"/>
        <v>0</v>
      </c>
      <c r="AF9" s="7"/>
      <c r="AG9" s="7">
        <f t="shared" si="37"/>
        <v>0</v>
      </c>
      <c r="AH9" s="7"/>
      <c r="AI9" s="7"/>
      <c r="AJ9" s="7">
        <f t="shared" si="38"/>
        <v>0</v>
      </c>
      <c r="AK9" s="7"/>
      <c r="AL9" s="7">
        <f t="shared" si="39"/>
        <v>0</v>
      </c>
      <c r="AM9" s="7"/>
      <c r="AN9" s="7"/>
      <c r="AO9" s="7">
        <f t="shared" si="40"/>
        <v>0</v>
      </c>
      <c r="AP9" s="7"/>
      <c r="AQ9" s="7">
        <f t="shared" si="41"/>
        <v>0</v>
      </c>
      <c r="AR9" s="7"/>
      <c r="AS9" s="7"/>
      <c r="AT9" s="7">
        <f t="shared" si="42"/>
        <v>0</v>
      </c>
      <c r="AU9" s="7">
        <v>50000</v>
      </c>
      <c r="AV9" s="7">
        <f t="shared" si="43"/>
        <v>102499.99999999999</v>
      </c>
      <c r="AW9" s="32">
        <v>5000</v>
      </c>
      <c r="AX9" s="8"/>
      <c r="AY9" s="8">
        <f t="shared" si="44"/>
        <v>0</v>
      </c>
      <c r="AZ9" s="7"/>
      <c r="BA9" s="7">
        <f t="shared" si="45"/>
        <v>0</v>
      </c>
      <c r="BB9" s="7"/>
      <c r="BC9" s="7"/>
      <c r="BD9" s="7">
        <f t="shared" si="46"/>
        <v>0</v>
      </c>
      <c r="BE9" s="7"/>
      <c r="BF9" s="7">
        <f t="shared" si="47"/>
        <v>0</v>
      </c>
      <c r="BG9" s="7"/>
      <c r="BH9" s="7"/>
      <c r="BI9" s="7">
        <f t="shared" si="48"/>
        <v>0</v>
      </c>
      <c r="BJ9" s="7"/>
      <c r="BK9" s="7">
        <f t="shared" si="49"/>
        <v>0</v>
      </c>
      <c r="BL9" s="7"/>
      <c r="BM9" s="7"/>
      <c r="BN9" s="7">
        <f t="shared" si="50"/>
        <v>0</v>
      </c>
      <c r="BO9" s="7"/>
      <c r="BP9" s="7">
        <f t="shared" si="51"/>
        <v>0</v>
      </c>
      <c r="BQ9" s="7"/>
      <c r="BR9" s="7"/>
      <c r="BS9" s="7">
        <f t="shared" si="52"/>
        <v>0</v>
      </c>
      <c r="BT9" s="7"/>
      <c r="BU9" s="7">
        <f t="shared" si="53"/>
        <v>0</v>
      </c>
      <c r="BV9" s="7"/>
      <c r="BW9" s="7"/>
      <c r="BX9" s="7">
        <f t="shared" si="54"/>
        <v>0</v>
      </c>
      <c r="BY9" s="7"/>
      <c r="BZ9" s="7">
        <f t="shared" si="55"/>
        <v>0</v>
      </c>
      <c r="CA9" s="7"/>
      <c r="CB9" s="2"/>
    </row>
    <row r="10" spans="1:80" ht="16" x14ac:dyDescent="0.4">
      <c r="A10" s="2" t="s">
        <v>76</v>
      </c>
      <c r="B10" s="2" t="s">
        <v>99</v>
      </c>
      <c r="C10" s="2" t="s">
        <v>100</v>
      </c>
      <c r="D10" s="2" t="s">
        <v>112</v>
      </c>
      <c r="E10" s="38" t="s">
        <v>113</v>
      </c>
      <c r="F10" s="2" t="s">
        <v>107</v>
      </c>
      <c r="G10" s="2" t="s">
        <v>95</v>
      </c>
      <c r="H10" s="2" t="s">
        <v>77</v>
      </c>
      <c r="I10" s="2" t="s">
        <v>77</v>
      </c>
      <c r="J10" s="2" t="s">
        <v>78</v>
      </c>
      <c r="K10" s="2" t="s">
        <v>79</v>
      </c>
      <c r="L10" s="2" t="s">
        <v>93</v>
      </c>
      <c r="M10" s="2"/>
      <c r="N10" s="4">
        <v>0.78500000000000003</v>
      </c>
      <c r="O10" s="5"/>
      <c r="P10" s="6">
        <f t="shared" si="28"/>
        <v>0</v>
      </c>
      <c r="Q10" s="6">
        <f t="shared" si="29"/>
        <v>0</v>
      </c>
      <c r="R10" s="6">
        <f t="shared" si="30"/>
        <v>47100</v>
      </c>
      <c r="S10" s="6">
        <f t="shared" si="31"/>
        <v>0</v>
      </c>
      <c r="T10" s="7"/>
      <c r="U10" s="7">
        <f t="shared" si="32"/>
        <v>0</v>
      </c>
      <c r="V10" s="7"/>
      <c r="W10" s="7">
        <f t="shared" si="33"/>
        <v>0</v>
      </c>
      <c r="X10" s="7"/>
      <c r="Y10" s="7"/>
      <c r="Z10" s="7">
        <f t="shared" si="34"/>
        <v>0</v>
      </c>
      <c r="AA10" s="7"/>
      <c r="AB10" s="7">
        <f t="shared" si="35"/>
        <v>0</v>
      </c>
      <c r="AC10" s="7"/>
      <c r="AD10" s="7"/>
      <c r="AE10" s="7">
        <f t="shared" si="36"/>
        <v>0</v>
      </c>
      <c r="AF10" s="7"/>
      <c r="AG10" s="7">
        <f t="shared" si="37"/>
        <v>0</v>
      </c>
      <c r="AH10" s="7"/>
      <c r="AI10" s="7"/>
      <c r="AJ10" s="7">
        <f t="shared" si="38"/>
        <v>0</v>
      </c>
      <c r="AK10" s="7"/>
      <c r="AL10" s="7">
        <f t="shared" si="39"/>
        <v>0</v>
      </c>
      <c r="AM10" s="7"/>
      <c r="AN10" s="7"/>
      <c r="AO10" s="7">
        <f t="shared" si="40"/>
        <v>0</v>
      </c>
      <c r="AP10" s="7"/>
      <c r="AQ10" s="7">
        <f t="shared" si="41"/>
        <v>0</v>
      </c>
      <c r="AR10" s="7"/>
      <c r="AS10" s="7"/>
      <c r="AT10" s="7">
        <f t="shared" si="42"/>
        <v>0</v>
      </c>
      <c r="AU10" s="7"/>
      <c r="AV10" s="7">
        <f t="shared" si="43"/>
        <v>0</v>
      </c>
      <c r="AW10" s="32">
        <v>60000</v>
      </c>
      <c r="AX10" s="8"/>
      <c r="AY10" s="8">
        <f t="shared" si="44"/>
        <v>0</v>
      </c>
      <c r="AZ10" s="7">
        <v>60000</v>
      </c>
      <c r="BA10" s="7">
        <f t="shared" si="45"/>
        <v>47100</v>
      </c>
      <c r="BB10" s="7"/>
      <c r="BC10" s="7"/>
      <c r="BD10" s="7">
        <f t="shared" si="46"/>
        <v>0</v>
      </c>
      <c r="BE10" s="7"/>
      <c r="BF10" s="7">
        <f t="shared" si="47"/>
        <v>0</v>
      </c>
      <c r="BG10" s="7"/>
      <c r="BH10" s="7"/>
      <c r="BI10" s="7">
        <f t="shared" si="48"/>
        <v>0</v>
      </c>
      <c r="BJ10" s="7"/>
      <c r="BK10" s="7">
        <f t="shared" si="49"/>
        <v>0</v>
      </c>
      <c r="BL10" s="7"/>
      <c r="BM10" s="7"/>
      <c r="BN10" s="7">
        <f t="shared" si="50"/>
        <v>0</v>
      </c>
      <c r="BO10" s="7"/>
      <c r="BP10" s="7">
        <f t="shared" si="51"/>
        <v>0</v>
      </c>
      <c r="BQ10" s="7"/>
      <c r="BR10" s="7"/>
      <c r="BS10" s="7">
        <f t="shared" si="52"/>
        <v>0</v>
      </c>
      <c r="BT10" s="7"/>
      <c r="BU10" s="7">
        <f t="shared" si="53"/>
        <v>0</v>
      </c>
      <c r="BV10" s="7"/>
      <c r="BW10" s="7"/>
      <c r="BX10" s="7">
        <f t="shared" si="54"/>
        <v>0</v>
      </c>
      <c r="BY10" s="7"/>
      <c r="BZ10" s="7">
        <f t="shared" si="55"/>
        <v>0</v>
      </c>
      <c r="CA10" s="7"/>
      <c r="CB10" s="2"/>
    </row>
    <row r="11" spans="1:80" ht="16" x14ac:dyDescent="0.4">
      <c r="A11" s="2" t="s">
        <v>76</v>
      </c>
      <c r="B11" s="2" t="s">
        <v>99</v>
      </c>
      <c r="C11" s="2" t="s">
        <v>100</v>
      </c>
      <c r="D11" s="2" t="s">
        <v>112</v>
      </c>
      <c r="E11" s="38" t="s">
        <v>113</v>
      </c>
      <c r="F11" s="2" t="s">
        <v>107</v>
      </c>
      <c r="G11" s="2" t="s">
        <v>95</v>
      </c>
      <c r="H11" s="2" t="s">
        <v>77</v>
      </c>
      <c r="I11" s="2" t="s">
        <v>77</v>
      </c>
      <c r="J11" s="2" t="s">
        <v>78</v>
      </c>
      <c r="K11" s="2" t="s">
        <v>79</v>
      </c>
      <c r="L11" s="2" t="s">
        <v>97</v>
      </c>
      <c r="M11" s="2" t="s">
        <v>80</v>
      </c>
      <c r="N11" s="4">
        <v>1.58</v>
      </c>
      <c r="O11" s="5"/>
      <c r="P11" s="6">
        <f t="shared" si="28"/>
        <v>670</v>
      </c>
      <c r="Q11" s="6">
        <f t="shared" si="29"/>
        <v>1058.5999999999999</v>
      </c>
      <c r="R11" s="6">
        <f t="shared" si="30"/>
        <v>0</v>
      </c>
      <c r="S11" s="6">
        <f t="shared" si="31"/>
        <v>360000</v>
      </c>
      <c r="T11" s="7">
        <v>60000</v>
      </c>
      <c r="U11" s="7">
        <f t="shared" si="32"/>
        <v>94800</v>
      </c>
      <c r="V11" s="7">
        <v>60000</v>
      </c>
      <c r="W11" s="7">
        <f t="shared" si="33"/>
        <v>94800</v>
      </c>
      <c r="X11" s="7">
        <v>90000</v>
      </c>
      <c r="Y11" s="7">
        <v>60000</v>
      </c>
      <c r="Z11" s="7">
        <f t="shared" si="34"/>
        <v>94800</v>
      </c>
      <c r="AA11" s="7"/>
      <c r="AB11" s="7">
        <f t="shared" si="35"/>
        <v>0</v>
      </c>
      <c r="AC11" s="7"/>
      <c r="AD11" s="7">
        <v>60000</v>
      </c>
      <c r="AE11" s="7">
        <f t="shared" si="36"/>
        <v>94800</v>
      </c>
      <c r="AF11" s="7">
        <v>90000</v>
      </c>
      <c r="AG11" s="7">
        <f t="shared" si="37"/>
        <v>142200</v>
      </c>
      <c r="AH11" s="7">
        <v>144000</v>
      </c>
      <c r="AI11" s="7">
        <v>10000</v>
      </c>
      <c r="AJ11" s="7">
        <f t="shared" si="38"/>
        <v>15800</v>
      </c>
      <c r="AK11" s="7">
        <v>90000</v>
      </c>
      <c r="AL11" s="7">
        <f t="shared" si="39"/>
        <v>142200</v>
      </c>
      <c r="AM11" s="7"/>
      <c r="AN11" s="7">
        <v>60000</v>
      </c>
      <c r="AO11" s="7">
        <f t="shared" si="40"/>
        <v>94800</v>
      </c>
      <c r="AP11" s="7">
        <v>90000</v>
      </c>
      <c r="AQ11" s="7">
        <f t="shared" si="41"/>
        <v>142200</v>
      </c>
      <c r="AR11" s="7"/>
      <c r="AS11" s="7">
        <v>60000</v>
      </c>
      <c r="AT11" s="7">
        <f t="shared" si="42"/>
        <v>94800</v>
      </c>
      <c r="AU11" s="7"/>
      <c r="AV11" s="7">
        <f t="shared" si="43"/>
        <v>0</v>
      </c>
      <c r="AW11" s="32">
        <v>90000</v>
      </c>
      <c r="AX11" s="8">
        <v>60000</v>
      </c>
      <c r="AY11" s="8">
        <f t="shared" si="44"/>
        <v>94800</v>
      </c>
      <c r="AZ11" s="7"/>
      <c r="BA11" s="7">
        <f t="shared" si="45"/>
        <v>0</v>
      </c>
      <c r="BB11" s="7"/>
      <c r="BC11" s="7">
        <v>60000</v>
      </c>
      <c r="BD11" s="7">
        <f t="shared" si="46"/>
        <v>94800</v>
      </c>
      <c r="BE11" s="7"/>
      <c r="BF11" s="7">
        <f t="shared" si="47"/>
        <v>0</v>
      </c>
      <c r="BG11" s="7">
        <v>90000</v>
      </c>
      <c r="BH11" s="7">
        <v>60000</v>
      </c>
      <c r="BI11" s="7">
        <f t="shared" si="48"/>
        <v>94800</v>
      </c>
      <c r="BJ11" s="7"/>
      <c r="BK11" s="7">
        <f t="shared" si="49"/>
        <v>0</v>
      </c>
      <c r="BL11" s="7">
        <v>90000</v>
      </c>
      <c r="BM11" s="7">
        <v>60000</v>
      </c>
      <c r="BN11" s="7">
        <f t="shared" si="50"/>
        <v>94800</v>
      </c>
      <c r="BO11" s="7"/>
      <c r="BP11" s="7">
        <f t="shared" si="51"/>
        <v>0</v>
      </c>
      <c r="BQ11" s="7">
        <v>90000</v>
      </c>
      <c r="BR11" s="7">
        <v>60000</v>
      </c>
      <c r="BS11" s="7">
        <f t="shared" si="52"/>
        <v>94800</v>
      </c>
      <c r="BT11" s="7"/>
      <c r="BU11" s="7">
        <f t="shared" si="53"/>
        <v>0</v>
      </c>
      <c r="BV11" s="7">
        <v>90000</v>
      </c>
      <c r="BW11" s="7">
        <v>60000</v>
      </c>
      <c r="BX11" s="7">
        <f t="shared" si="54"/>
        <v>94800</v>
      </c>
      <c r="BY11" s="7"/>
      <c r="BZ11" s="7">
        <f t="shared" si="55"/>
        <v>0</v>
      </c>
      <c r="CA11" s="7"/>
      <c r="CB11" s="2"/>
    </row>
    <row r="12" spans="1:80" ht="16" x14ac:dyDescent="0.4">
      <c r="A12" s="2" t="s">
        <v>76</v>
      </c>
      <c r="B12" s="2" t="s">
        <v>99</v>
      </c>
      <c r="C12" s="2" t="s">
        <v>100</v>
      </c>
      <c r="D12" s="2" t="s">
        <v>117</v>
      </c>
      <c r="E12" s="38" t="s">
        <v>118</v>
      </c>
      <c r="F12" s="2" t="s">
        <v>107</v>
      </c>
      <c r="G12" s="2" t="s">
        <v>103</v>
      </c>
      <c r="H12" s="2" t="s">
        <v>82</v>
      </c>
      <c r="I12" s="2" t="s">
        <v>82</v>
      </c>
      <c r="J12" s="2" t="s">
        <v>88</v>
      </c>
      <c r="K12" s="2" t="s">
        <v>81</v>
      </c>
      <c r="L12" s="2" t="s">
        <v>87</v>
      </c>
      <c r="M12" s="2" t="s">
        <v>80</v>
      </c>
      <c r="N12" s="4">
        <v>46</v>
      </c>
      <c r="O12" s="5"/>
      <c r="P12" s="6">
        <f t="shared" si="28"/>
        <v>0.6</v>
      </c>
      <c r="Q12" s="6">
        <f t="shared" si="29"/>
        <v>27.6</v>
      </c>
      <c r="R12" s="6">
        <f t="shared" si="30"/>
        <v>0</v>
      </c>
      <c r="S12" s="6">
        <f t="shared" si="31"/>
        <v>0</v>
      </c>
      <c r="T12" s="7"/>
      <c r="U12" s="7">
        <f t="shared" si="32"/>
        <v>0</v>
      </c>
      <c r="V12" s="7"/>
      <c r="W12" s="7">
        <f t="shared" si="33"/>
        <v>0</v>
      </c>
      <c r="X12" s="7"/>
      <c r="Y12" s="7"/>
      <c r="Z12" s="7">
        <f t="shared" si="34"/>
        <v>0</v>
      </c>
      <c r="AA12" s="7"/>
      <c r="AB12" s="7">
        <f t="shared" si="35"/>
        <v>0</v>
      </c>
      <c r="AC12" s="7"/>
      <c r="AD12" s="7">
        <v>300</v>
      </c>
      <c r="AE12" s="7">
        <f t="shared" si="36"/>
        <v>13800</v>
      </c>
      <c r="AF12" s="7"/>
      <c r="AG12" s="7">
        <f t="shared" si="37"/>
        <v>0</v>
      </c>
      <c r="AH12" s="7"/>
      <c r="AI12" s="7"/>
      <c r="AJ12" s="7">
        <f t="shared" si="38"/>
        <v>0</v>
      </c>
      <c r="AK12" s="7"/>
      <c r="AL12" s="7">
        <f t="shared" si="39"/>
        <v>0</v>
      </c>
      <c r="AM12" s="7"/>
      <c r="AN12" s="7"/>
      <c r="AO12" s="7">
        <f t="shared" si="40"/>
        <v>0</v>
      </c>
      <c r="AP12" s="7"/>
      <c r="AQ12" s="7">
        <f t="shared" si="41"/>
        <v>0</v>
      </c>
      <c r="AR12" s="7"/>
      <c r="AS12" s="7"/>
      <c r="AT12" s="7">
        <f t="shared" si="42"/>
        <v>0</v>
      </c>
      <c r="AU12" s="7"/>
      <c r="AV12" s="7">
        <f t="shared" si="43"/>
        <v>0</v>
      </c>
      <c r="AW12" s="7"/>
      <c r="AX12" s="8"/>
      <c r="AY12" s="8">
        <f t="shared" si="44"/>
        <v>0</v>
      </c>
      <c r="AZ12" s="7"/>
      <c r="BA12" s="7">
        <f t="shared" si="45"/>
        <v>0</v>
      </c>
      <c r="BB12" s="7"/>
      <c r="BC12" s="7"/>
      <c r="BD12" s="7">
        <f t="shared" si="46"/>
        <v>0</v>
      </c>
      <c r="BE12" s="7"/>
      <c r="BF12" s="7">
        <f t="shared" si="47"/>
        <v>0</v>
      </c>
      <c r="BG12" s="7"/>
      <c r="BH12" s="7"/>
      <c r="BI12" s="7">
        <f t="shared" si="48"/>
        <v>0</v>
      </c>
      <c r="BJ12" s="7"/>
      <c r="BK12" s="7">
        <f t="shared" si="49"/>
        <v>0</v>
      </c>
      <c r="BL12" s="7"/>
      <c r="BM12" s="7"/>
      <c r="BN12" s="7">
        <f t="shared" si="50"/>
        <v>0</v>
      </c>
      <c r="BO12" s="7"/>
      <c r="BP12" s="7">
        <f t="shared" si="51"/>
        <v>0</v>
      </c>
      <c r="BQ12" s="7"/>
      <c r="BR12" s="7">
        <v>300</v>
      </c>
      <c r="BS12" s="7">
        <f t="shared" si="52"/>
        <v>13800</v>
      </c>
      <c r="BT12" s="7"/>
      <c r="BU12" s="7">
        <f t="shared" si="53"/>
        <v>0</v>
      </c>
      <c r="BV12" s="7"/>
      <c r="BW12" s="7"/>
      <c r="BX12" s="7">
        <f t="shared" si="54"/>
        <v>0</v>
      </c>
      <c r="BY12" s="7"/>
      <c r="BZ12" s="7">
        <f t="shared" si="55"/>
        <v>0</v>
      </c>
      <c r="CA12" s="7"/>
      <c r="CB12" s="2"/>
    </row>
    <row r="13" spans="1:80" ht="16" x14ac:dyDescent="0.4">
      <c r="A13" s="2" t="s">
        <v>76</v>
      </c>
      <c r="B13" s="2" t="s">
        <v>99</v>
      </c>
      <c r="C13" s="2" t="s">
        <v>100</v>
      </c>
      <c r="D13" s="2" t="s">
        <v>119</v>
      </c>
      <c r="E13" s="38" t="s">
        <v>120</v>
      </c>
      <c r="F13" s="2" t="s">
        <v>107</v>
      </c>
      <c r="G13" s="2" t="s">
        <v>103</v>
      </c>
      <c r="H13" s="2" t="s">
        <v>77</v>
      </c>
      <c r="I13" s="2" t="s">
        <v>77</v>
      </c>
      <c r="J13" s="2" t="s">
        <v>78</v>
      </c>
      <c r="K13" s="2" t="s">
        <v>79</v>
      </c>
      <c r="L13" s="2" t="s">
        <v>91</v>
      </c>
      <c r="M13" s="2"/>
      <c r="N13" s="4">
        <v>3.75</v>
      </c>
      <c r="O13" s="11">
        <v>2500</v>
      </c>
      <c r="P13" s="6">
        <f t="shared" ref="P13" si="56">+(T13+Y13+AD13+AI13+AN13+AS13+AX13+BC13+BH13+BM13+BR13+BW13)/1000</f>
        <v>0</v>
      </c>
      <c r="Q13" s="6">
        <f t="shared" ref="Q13" si="57">+(U13+Z13+AE13+AJ13+AO13+AT13+AY13+BD13+BI13+BN13+BS13+BX13)/1000</f>
        <v>0</v>
      </c>
      <c r="R13" s="6">
        <f t="shared" ref="R13" si="58">+(+BA13+BF13+BK13+BP13+BU13+BZ13)</f>
        <v>0</v>
      </c>
      <c r="S13" s="6">
        <f t="shared" ref="S13" si="59">+(+BB13+BG13+BL13+BQ13+BV13+CA13)</f>
        <v>0</v>
      </c>
      <c r="T13" s="7"/>
      <c r="U13" s="7">
        <f t="shared" ref="U13" si="60">T13*N13</f>
        <v>0</v>
      </c>
      <c r="V13" s="7"/>
      <c r="W13" s="7">
        <f t="shared" ref="W13" si="61">V13*N13</f>
        <v>0</v>
      </c>
      <c r="X13" s="7"/>
      <c r="Y13" s="7"/>
      <c r="Z13" s="7">
        <f t="shared" ref="Z13" si="62">Y13*N13</f>
        <v>0</v>
      </c>
      <c r="AA13" s="7"/>
      <c r="AB13" s="7">
        <f t="shared" ref="AB13" si="63">AA13*N13</f>
        <v>0</v>
      </c>
      <c r="AC13" s="7"/>
      <c r="AD13" s="7"/>
      <c r="AE13" s="7">
        <f t="shared" ref="AE13" si="64">AD13*N13</f>
        <v>0</v>
      </c>
      <c r="AF13" s="7"/>
      <c r="AG13" s="7">
        <f t="shared" ref="AG13" si="65">AF13*N13</f>
        <v>0</v>
      </c>
      <c r="AH13" s="7"/>
      <c r="AI13" s="7"/>
      <c r="AJ13" s="7">
        <f t="shared" ref="AJ13" si="66">AI13*N13</f>
        <v>0</v>
      </c>
      <c r="AK13" s="7">
        <v>10000</v>
      </c>
      <c r="AL13" s="7">
        <f t="shared" ref="AL13" si="67">AK13*N13</f>
        <v>37500</v>
      </c>
      <c r="AM13" s="7"/>
      <c r="AN13" s="7"/>
      <c r="AO13" s="7">
        <f t="shared" ref="AO13" si="68">AN13*N13</f>
        <v>0</v>
      </c>
      <c r="AP13" s="7">
        <v>7500</v>
      </c>
      <c r="AQ13" s="7">
        <f t="shared" ref="AQ13" si="69">AP13*N13</f>
        <v>28125</v>
      </c>
      <c r="AR13" s="7">
        <v>10000</v>
      </c>
      <c r="AS13" s="7"/>
      <c r="AT13" s="7">
        <f t="shared" ref="AT13" si="70">AS13*N13</f>
        <v>0</v>
      </c>
      <c r="AU13" s="7"/>
      <c r="AV13" s="7">
        <f t="shared" ref="AV13" si="71">AU13*N13</f>
        <v>0</v>
      </c>
      <c r="AW13" s="7"/>
      <c r="AX13" s="8"/>
      <c r="AY13" s="8">
        <f t="shared" ref="AY13" si="72">AX13*N13</f>
        <v>0</v>
      </c>
      <c r="AZ13" s="7"/>
      <c r="BA13" s="7">
        <f t="shared" ref="BA13" si="73">AZ13*N13</f>
        <v>0</v>
      </c>
      <c r="BB13" s="7"/>
      <c r="BC13" s="7"/>
      <c r="BD13" s="7">
        <f t="shared" ref="BD13" si="74">BC13*N13</f>
        <v>0</v>
      </c>
      <c r="BE13" s="7"/>
      <c r="BF13" s="7">
        <f t="shared" ref="BF13" si="75">BE13*N13</f>
        <v>0</v>
      </c>
      <c r="BG13" s="7"/>
      <c r="BH13" s="7"/>
      <c r="BI13" s="7">
        <f t="shared" ref="BI13" si="76">BH13*N13</f>
        <v>0</v>
      </c>
      <c r="BJ13" s="7"/>
      <c r="BK13" s="7">
        <f t="shared" ref="BK13" si="77">BJ13*N13</f>
        <v>0</v>
      </c>
      <c r="BL13" s="7"/>
      <c r="BM13" s="7"/>
      <c r="BN13" s="7">
        <f t="shared" ref="BN13" si="78">BM13*N13</f>
        <v>0</v>
      </c>
      <c r="BO13" s="7"/>
      <c r="BP13" s="7">
        <f t="shared" ref="BP13" si="79">BO13*N13</f>
        <v>0</v>
      </c>
      <c r="BQ13" s="7"/>
      <c r="BR13" s="7"/>
      <c r="BS13" s="7">
        <f t="shared" ref="BS13" si="80">BR13*N13</f>
        <v>0</v>
      </c>
      <c r="BT13" s="7"/>
      <c r="BU13" s="7">
        <f t="shared" ref="BU13" si="81">BT13*N13</f>
        <v>0</v>
      </c>
      <c r="BV13" s="7"/>
      <c r="BW13" s="7"/>
      <c r="BX13" s="7">
        <f t="shared" ref="BX13" si="82">BW13*N13</f>
        <v>0</v>
      </c>
      <c r="BY13" s="7"/>
      <c r="BZ13" s="7">
        <f t="shared" ref="BZ13" si="83">BY13*N13</f>
        <v>0</v>
      </c>
      <c r="CA13" s="7"/>
      <c r="CB13" s="12"/>
    </row>
    <row r="14" spans="1:80" ht="16" x14ac:dyDescent="0.4">
      <c r="A14" s="2" t="s">
        <v>76</v>
      </c>
      <c r="B14" s="2" t="s">
        <v>99</v>
      </c>
      <c r="C14" s="2" t="s">
        <v>89</v>
      </c>
      <c r="D14" s="2" t="s">
        <v>121</v>
      </c>
      <c r="E14" s="38" t="s">
        <v>122</v>
      </c>
      <c r="F14" s="2" t="s">
        <v>107</v>
      </c>
      <c r="G14" s="2" t="s">
        <v>95</v>
      </c>
      <c r="H14" s="2" t="s">
        <v>85</v>
      </c>
      <c r="I14" s="2" t="s">
        <v>85</v>
      </c>
      <c r="J14" s="3" t="s">
        <v>86</v>
      </c>
      <c r="K14" s="1" t="s">
        <v>84</v>
      </c>
      <c r="L14" s="2" t="s">
        <v>123</v>
      </c>
      <c r="M14" s="2" t="s">
        <v>80</v>
      </c>
      <c r="N14" s="4">
        <v>689</v>
      </c>
      <c r="O14" s="5"/>
      <c r="P14" s="6">
        <f t="shared" ref="P14" si="84">+(T14+Y14+AD14+AI14+AN14+AS14+AX14+BC14+BH14+BM14+BR14+BW14)/1000</f>
        <v>2</v>
      </c>
      <c r="Q14" s="6">
        <f t="shared" ref="Q14" si="85">+(U14+Z14+AE14+AJ14+AO14+AT14+AY14+BD14+BI14+BN14+BS14+BX14)/1000</f>
        <v>1378</v>
      </c>
      <c r="R14" s="6">
        <f t="shared" ref="R14" si="86">+(+BA14+BF14+BK14+BP14+BU14+BZ14)</f>
        <v>0</v>
      </c>
      <c r="S14" s="6">
        <f t="shared" ref="S14" si="87">+(+BB14+BG14+BL14+BQ14+BV14+CA14)</f>
        <v>0</v>
      </c>
      <c r="T14" s="7">
        <v>1000</v>
      </c>
      <c r="U14" s="7">
        <f t="shared" ref="U14" si="88">T14*N14</f>
        <v>689000</v>
      </c>
      <c r="V14" s="7"/>
      <c r="W14" s="7">
        <f t="shared" ref="W14" si="89">V14*N14</f>
        <v>0</v>
      </c>
      <c r="X14" s="7"/>
      <c r="Y14" s="7"/>
      <c r="Z14" s="7">
        <f t="shared" ref="Z14" si="90">Y14*N14</f>
        <v>0</v>
      </c>
      <c r="AA14" s="7">
        <v>1000</v>
      </c>
      <c r="AB14" s="7">
        <f t="shared" ref="AB14" si="91">AA14*N14</f>
        <v>689000</v>
      </c>
      <c r="AC14" s="7"/>
      <c r="AD14" s="7"/>
      <c r="AE14" s="7">
        <f t="shared" ref="AE14" si="92">AD14*N14</f>
        <v>0</v>
      </c>
      <c r="AF14" s="7"/>
      <c r="AG14" s="7">
        <f t="shared" ref="AG14" si="93">AF14*N14</f>
        <v>0</v>
      </c>
      <c r="AH14" s="7"/>
      <c r="AI14" s="7"/>
      <c r="AJ14" s="7">
        <f t="shared" ref="AJ14" si="94">AI14*N14</f>
        <v>0</v>
      </c>
      <c r="AK14" s="7"/>
      <c r="AL14" s="7">
        <f t="shared" ref="AL14" si="95">AK14*N14</f>
        <v>0</v>
      </c>
      <c r="AM14" s="7"/>
      <c r="AN14" s="7"/>
      <c r="AO14" s="7">
        <f t="shared" ref="AO14" si="96">AN14*N14</f>
        <v>0</v>
      </c>
      <c r="AP14" s="7"/>
      <c r="AQ14" s="7">
        <f t="shared" ref="AQ14" si="97">AP14*N14</f>
        <v>0</v>
      </c>
      <c r="AR14" s="7"/>
      <c r="AS14" s="7"/>
      <c r="AT14" s="7">
        <f t="shared" ref="AT14" si="98">AS14*N14</f>
        <v>0</v>
      </c>
      <c r="AU14" s="7"/>
      <c r="AV14" s="7">
        <f t="shared" ref="AV14" si="99">AU14*N14</f>
        <v>0</v>
      </c>
      <c r="AW14" s="7"/>
      <c r="AX14" s="8"/>
      <c r="AY14" s="8">
        <f t="shared" ref="AY14" si="100">AX14*N14</f>
        <v>0</v>
      </c>
      <c r="AZ14" s="7"/>
      <c r="BA14" s="7">
        <f t="shared" ref="BA14" si="101">AZ14*N14</f>
        <v>0</v>
      </c>
      <c r="BB14" s="7"/>
      <c r="BC14" s="7"/>
      <c r="BD14" s="7">
        <f t="shared" ref="BD14" si="102">BC14*N14</f>
        <v>0</v>
      </c>
      <c r="BE14" s="7"/>
      <c r="BF14" s="7">
        <f t="shared" ref="BF14" si="103">BE14*N14</f>
        <v>0</v>
      </c>
      <c r="BG14" s="7"/>
      <c r="BH14" s="7">
        <v>1000</v>
      </c>
      <c r="BI14" s="7">
        <f t="shared" ref="BI14" si="104">BH14*N14</f>
        <v>689000</v>
      </c>
      <c r="BJ14" s="7"/>
      <c r="BK14" s="7">
        <f t="shared" ref="BK14" si="105">BJ14*N14</f>
        <v>0</v>
      </c>
      <c r="BL14" s="7"/>
      <c r="BM14" s="7"/>
      <c r="BN14" s="7">
        <f t="shared" ref="BN14" si="106">BM14*N14</f>
        <v>0</v>
      </c>
      <c r="BO14" s="7"/>
      <c r="BP14" s="7">
        <f t="shared" ref="BP14" si="107">BO14*N14</f>
        <v>0</v>
      </c>
      <c r="BQ14" s="7"/>
      <c r="BR14" s="7"/>
      <c r="BS14" s="7">
        <f t="shared" ref="BS14" si="108">BR14*N14</f>
        <v>0</v>
      </c>
      <c r="BT14" s="7"/>
      <c r="BU14" s="7">
        <f t="shared" ref="BU14" si="109">BT14*N14</f>
        <v>0</v>
      </c>
      <c r="BV14" s="7"/>
      <c r="BW14" s="7"/>
      <c r="BX14" s="7">
        <f t="shared" ref="BX14" si="110">BW14*N14</f>
        <v>0</v>
      </c>
      <c r="BY14" s="7"/>
      <c r="BZ14" s="7">
        <f t="shared" ref="BZ14" si="111">BY14*N14</f>
        <v>0</v>
      </c>
      <c r="CA14" s="7"/>
      <c r="CB14" s="2"/>
    </row>
  </sheetData>
  <sheetProtection algorithmName="SHA-512" hashValue="0BoFMqQCLeNniIcTuQvA8qsvXDE57aS1PZIZguZaAfdKJPPfVJd12f2+U1R1FkAdiwOhEsB6yD93BQfx36Uliw==" saltValue="vCxJJlpKWSeLIzSnauY0NQ==" spinCount="100000" sheet="1" objects="1" scenarios="1" selectLockedCells="1"/>
  <conditionalFormatting sqref="E12">
    <cfRule type="duplicateValues" dxfId="0" priority="8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1BC1CF7478143B5B3C59CD5273383" ma:contentTypeVersion="8" ma:contentTypeDescription="Create a new document." ma:contentTypeScope="" ma:versionID="67c7a9acf4df7b5ee4c7c629ee779ef9">
  <xsd:schema xmlns:xsd="http://www.w3.org/2001/XMLSchema" xmlns:xs="http://www.w3.org/2001/XMLSchema" xmlns:p="http://schemas.microsoft.com/office/2006/metadata/properties" xmlns:ns2="683c045b-5725-4f36-b8a3-d216de519753" xmlns:ns3="037720bd-2f8f-4241-82a4-ef04fe219b04" targetNamespace="http://schemas.microsoft.com/office/2006/metadata/properties" ma:root="true" ma:fieldsID="89afe5bb8a3d9b61c533469929bf2785" ns2:_="" ns3:_="">
    <xsd:import namespace="683c045b-5725-4f36-b8a3-d216de519753"/>
    <xsd:import namespace="037720bd-2f8f-4241-82a4-ef04fe219b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c045b-5725-4f36-b8a3-d216de519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720bd-2f8f-4241-82a4-ef04fe219b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4A8B25-0440-424A-91A8-BF2F6F021C4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37720bd-2f8f-4241-82a4-ef04fe219b04"/>
    <ds:schemaRef ds:uri="http://purl.org/dc/terms/"/>
    <ds:schemaRef ds:uri="http://schemas.openxmlformats.org/package/2006/metadata/core-properties"/>
    <ds:schemaRef ds:uri="683c045b-5725-4f36-b8a3-d216de51975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DE1DD8A-FA1C-44A8-B5E8-AA3E7A4E5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c045b-5725-4f36-b8a3-d216de519753"/>
    <ds:schemaRef ds:uri="037720bd-2f8f-4241-82a4-ef04fe219b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629955-BD0A-4587-8049-5B2114298E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INR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Neha Chauhan</cp:lastModifiedBy>
  <dcterms:created xsi:type="dcterms:W3CDTF">2015-06-05T18:17:20Z</dcterms:created>
  <dcterms:modified xsi:type="dcterms:W3CDTF">2026-09-24T05:57:31Z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0x0101008C81BC1CF7478143B5B3C59CD5273383</vt:lpwstr>
  </property>
</Properties>
</file>