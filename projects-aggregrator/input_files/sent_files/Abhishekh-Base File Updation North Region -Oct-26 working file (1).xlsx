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Base file Oct/"/>
    </mc:Choice>
  </mc:AlternateContent>
  <xr:revisionPtr revIDLastSave="41" documentId="13_ncr:1_{5B68896D-46FE-4CE5-904B-46A1853F365F}" xr6:coauthVersionLast="47" xr6:coauthVersionMax="47" xr10:uidLastSave="{D2BF3BA1-81E4-407B-AC7E-489B81DB4DBC}"/>
  <bookViews>
    <workbookView xWindow="20" yWindow="20" windowWidth="19180" windowHeight="10060" tabRatio="743" xr2:uid="{00000000-000D-0000-FFFF-FFFF00000000}"/>
  </bookViews>
  <sheets>
    <sheet name="INR Sheet " sheetId="1" r:id="rId1"/>
    <sheet name="USD Sheet " sheetId="2" r:id="rId2"/>
  </sheets>
  <definedNames>
    <definedName name="_xlnm._FilterDatabase" localSheetId="0" hidden="1">'INR Sheet '!$A$2:$CB$2</definedName>
    <definedName name="_xlnm._FilterDatabase" localSheetId="1" hidden="1">'USD Sheet '!$A$2:$CI$28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1" i="1" l="1"/>
  <c r="S11" i="1"/>
  <c r="O1" i="1"/>
  <c r="BG1" i="2"/>
  <c r="T1" i="2" l="1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E1" i="2"/>
  <c r="BC1" i="2"/>
  <c r="BB1" i="2"/>
  <c r="BA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U5" i="2" l="1"/>
  <c r="X5" i="2"/>
  <c r="U6" i="2"/>
  <c r="X6" i="2"/>
  <c r="BY1" i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CA1" i="1"/>
  <c r="BX11" i="1"/>
  <c r="BZ11" i="1"/>
  <c r="BS11" i="1"/>
  <c r="BU11" i="1"/>
  <c r="BN11" i="1"/>
  <c r="BP11" i="1"/>
  <c r="BI11" i="1"/>
  <c r="BK11" i="1"/>
  <c r="BD11" i="1"/>
  <c r="BE11" i="1"/>
  <c r="BF11" i="1" s="1"/>
  <c r="AY11" i="1"/>
  <c r="BA11" i="1"/>
  <c r="Z11" i="1"/>
  <c r="AB11" i="1"/>
  <c r="AE11" i="1"/>
  <c r="AG11" i="1"/>
  <c r="AJ11" i="1"/>
  <c r="AL11" i="1"/>
  <c r="AO11" i="1"/>
  <c r="AQ11" i="1"/>
  <c r="AT11" i="1"/>
  <c r="AV11" i="1"/>
  <c r="U11" i="1"/>
  <c r="W11" i="1"/>
  <c r="R11" i="1" l="1"/>
  <c r="Q11" i="1"/>
  <c r="S70" i="1"/>
  <c r="S67" i="1"/>
  <c r="S65" i="1"/>
  <c r="S63" i="1"/>
  <c r="S47" i="1"/>
  <c r="S35" i="1"/>
  <c r="S34" i="1"/>
  <c r="S33" i="1"/>
  <c r="S32" i="1"/>
  <c r="S31" i="1"/>
  <c r="S74" i="1"/>
  <c r="S3" i="1"/>
  <c r="S4" i="1"/>
  <c r="S5" i="1"/>
  <c r="S6" i="1"/>
  <c r="S7" i="1"/>
  <c r="S12" i="1"/>
  <c r="S13" i="1"/>
  <c r="S21" i="1"/>
  <c r="S24" i="1"/>
  <c r="S25" i="1"/>
  <c r="S26" i="1"/>
  <c r="S28" i="1"/>
  <c r="S29" i="1"/>
  <c r="S30" i="1"/>
  <c r="S36" i="1"/>
  <c r="S37" i="1"/>
  <c r="S38" i="1"/>
  <c r="S39" i="1"/>
  <c r="S40" i="1"/>
  <c r="S41" i="1"/>
  <c r="S42" i="1"/>
  <c r="S56" i="1"/>
  <c r="S57" i="1"/>
  <c r="S58" i="1"/>
  <c r="S59" i="1"/>
  <c r="S60" i="1"/>
  <c r="S61" i="1"/>
  <c r="S62" i="1"/>
  <c r="S64" i="1"/>
  <c r="S66" i="1"/>
  <c r="S68" i="1"/>
  <c r="S69" i="1"/>
  <c r="S71" i="1"/>
  <c r="S72" i="1"/>
  <c r="S73" i="1"/>
  <c r="S75" i="1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2" i="2"/>
  <c r="X23" i="2"/>
  <c r="X24" i="2"/>
  <c r="X25" i="2"/>
  <c r="X26" i="2"/>
  <c r="X27" i="2"/>
  <c r="X3" i="2"/>
  <c r="X4" i="2"/>
  <c r="CE6" i="2"/>
  <c r="CC6" i="2"/>
  <c r="BZ6" i="2"/>
  <c r="BX6" i="2"/>
  <c r="BU6" i="2"/>
  <c r="BS6" i="2"/>
  <c r="BP6" i="2"/>
  <c r="BN6" i="2"/>
  <c r="BK6" i="2"/>
  <c r="BI6" i="2"/>
  <c r="BF6" i="2"/>
  <c r="BD6" i="2"/>
  <c r="AY6" i="2"/>
  <c r="AV6" i="2"/>
  <c r="AT6" i="2"/>
  <c r="AQ6" i="2"/>
  <c r="AO6" i="2"/>
  <c r="AL6" i="2"/>
  <c r="AJ6" i="2"/>
  <c r="AG6" i="2"/>
  <c r="AE6" i="2"/>
  <c r="AB6" i="2"/>
  <c r="Z6" i="2"/>
  <c r="CE5" i="2"/>
  <c r="CC5" i="2"/>
  <c r="BZ5" i="2"/>
  <c r="BX5" i="2"/>
  <c r="BU5" i="2"/>
  <c r="BS5" i="2"/>
  <c r="BP5" i="2"/>
  <c r="BN5" i="2"/>
  <c r="BK5" i="2"/>
  <c r="BI5" i="2"/>
  <c r="BF5" i="2"/>
  <c r="BD5" i="2"/>
  <c r="AY5" i="2"/>
  <c r="AV5" i="2"/>
  <c r="AT5" i="2"/>
  <c r="AQ5" i="2"/>
  <c r="AO5" i="2"/>
  <c r="AL5" i="2"/>
  <c r="AJ5" i="2"/>
  <c r="AG5" i="2"/>
  <c r="AE5" i="2"/>
  <c r="AB5" i="2"/>
  <c r="Z5" i="2"/>
  <c r="CE4" i="2"/>
  <c r="CC4" i="2"/>
  <c r="BZ4" i="2"/>
  <c r="BX4" i="2"/>
  <c r="BU4" i="2"/>
  <c r="BS4" i="2"/>
  <c r="BP4" i="2"/>
  <c r="BN4" i="2"/>
  <c r="BK4" i="2"/>
  <c r="BI4" i="2"/>
  <c r="BF4" i="2"/>
  <c r="BD4" i="2"/>
  <c r="AY4" i="2"/>
  <c r="AV4" i="2"/>
  <c r="AT4" i="2"/>
  <c r="AQ4" i="2"/>
  <c r="AO4" i="2"/>
  <c r="AL4" i="2"/>
  <c r="AJ4" i="2"/>
  <c r="AG4" i="2"/>
  <c r="AE4" i="2"/>
  <c r="AB4" i="2"/>
  <c r="Z4" i="2"/>
  <c r="U4" i="2"/>
  <c r="CE3" i="2"/>
  <c r="CC3" i="2"/>
  <c r="BZ3" i="2"/>
  <c r="BX3" i="2"/>
  <c r="BU3" i="2"/>
  <c r="BS3" i="2"/>
  <c r="BP3" i="2"/>
  <c r="BN3" i="2"/>
  <c r="BK3" i="2"/>
  <c r="BI3" i="2"/>
  <c r="BF3" i="2"/>
  <c r="BD3" i="2"/>
  <c r="AY3" i="2"/>
  <c r="AV3" i="2"/>
  <c r="AT3" i="2"/>
  <c r="AQ3" i="2"/>
  <c r="AO3" i="2"/>
  <c r="AL3" i="2"/>
  <c r="AJ3" i="2"/>
  <c r="AG3" i="2"/>
  <c r="AE3" i="2"/>
  <c r="AB3" i="2"/>
  <c r="Z3" i="2"/>
  <c r="U3" i="2"/>
  <c r="CE28" i="2"/>
  <c r="CC28" i="2"/>
  <c r="BZ28" i="2"/>
  <c r="BX28" i="2"/>
  <c r="BU28" i="2"/>
  <c r="BS28" i="2"/>
  <c r="BP28" i="2"/>
  <c r="BN28" i="2"/>
  <c r="BK28" i="2"/>
  <c r="BI28" i="2"/>
  <c r="BF28" i="2"/>
  <c r="BD28" i="2"/>
  <c r="AY28" i="2"/>
  <c r="AV28" i="2"/>
  <c r="AT28" i="2"/>
  <c r="AQ28" i="2"/>
  <c r="AO28" i="2"/>
  <c r="AL28" i="2"/>
  <c r="AJ28" i="2"/>
  <c r="AG28" i="2"/>
  <c r="AE28" i="2"/>
  <c r="AB28" i="2"/>
  <c r="Z28" i="2"/>
  <c r="U28" i="2"/>
  <c r="CE27" i="2"/>
  <c r="CC27" i="2"/>
  <c r="BZ27" i="2"/>
  <c r="BX27" i="2"/>
  <c r="BU27" i="2"/>
  <c r="BS27" i="2"/>
  <c r="BP27" i="2"/>
  <c r="BN27" i="2"/>
  <c r="BK27" i="2"/>
  <c r="BI27" i="2"/>
  <c r="BF27" i="2"/>
  <c r="BD27" i="2"/>
  <c r="AY27" i="2"/>
  <c r="AV27" i="2"/>
  <c r="AT27" i="2"/>
  <c r="AQ27" i="2"/>
  <c r="AO27" i="2"/>
  <c r="AL27" i="2"/>
  <c r="AJ27" i="2"/>
  <c r="AG27" i="2"/>
  <c r="AE27" i="2"/>
  <c r="AB27" i="2"/>
  <c r="Z27" i="2"/>
  <c r="U27" i="2"/>
  <c r="CE26" i="2"/>
  <c r="CC26" i="2"/>
  <c r="BZ26" i="2"/>
  <c r="BX26" i="2"/>
  <c r="BU26" i="2"/>
  <c r="BS26" i="2"/>
  <c r="BP26" i="2"/>
  <c r="BN26" i="2"/>
  <c r="BK26" i="2"/>
  <c r="BI26" i="2"/>
  <c r="BF26" i="2"/>
  <c r="BD26" i="2"/>
  <c r="AY26" i="2"/>
  <c r="AV26" i="2"/>
  <c r="AT26" i="2"/>
  <c r="AQ26" i="2"/>
  <c r="AO26" i="2"/>
  <c r="AL26" i="2"/>
  <c r="AJ26" i="2"/>
  <c r="AG26" i="2"/>
  <c r="AE26" i="2"/>
  <c r="AB26" i="2"/>
  <c r="Z26" i="2"/>
  <c r="U26" i="2"/>
  <c r="CE25" i="2"/>
  <c r="CC25" i="2"/>
  <c r="BZ25" i="2"/>
  <c r="BX25" i="2"/>
  <c r="BU25" i="2"/>
  <c r="BS25" i="2"/>
  <c r="BP25" i="2"/>
  <c r="BN25" i="2"/>
  <c r="BK25" i="2"/>
  <c r="BI25" i="2"/>
  <c r="BF25" i="2"/>
  <c r="BD25" i="2"/>
  <c r="AY25" i="2"/>
  <c r="AV25" i="2"/>
  <c r="AT25" i="2"/>
  <c r="AQ25" i="2"/>
  <c r="AO25" i="2"/>
  <c r="AL25" i="2"/>
  <c r="AJ25" i="2"/>
  <c r="AG25" i="2"/>
  <c r="AE25" i="2"/>
  <c r="AB25" i="2"/>
  <c r="Z25" i="2"/>
  <c r="U25" i="2"/>
  <c r="CE24" i="2"/>
  <c r="CC24" i="2"/>
  <c r="BZ24" i="2"/>
  <c r="BX24" i="2"/>
  <c r="BU24" i="2"/>
  <c r="BS24" i="2"/>
  <c r="BP24" i="2"/>
  <c r="BN24" i="2"/>
  <c r="BK24" i="2"/>
  <c r="BI24" i="2"/>
  <c r="BF24" i="2"/>
  <c r="BD24" i="2"/>
  <c r="AY24" i="2"/>
  <c r="AV24" i="2"/>
  <c r="AT24" i="2"/>
  <c r="AQ24" i="2"/>
  <c r="AO24" i="2"/>
  <c r="AL24" i="2"/>
  <c r="AJ24" i="2"/>
  <c r="AG24" i="2"/>
  <c r="AE24" i="2"/>
  <c r="AB24" i="2"/>
  <c r="Z24" i="2"/>
  <c r="U24" i="2"/>
  <c r="CE23" i="2"/>
  <c r="CC23" i="2"/>
  <c r="BZ23" i="2"/>
  <c r="BX23" i="2"/>
  <c r="BU23" i="2"/>
  <c r="BS23" i="2"/>
  <c r="BP23" i="2"/>
  <c r="BN23" i="2"/>
  <c r="BK23" i="2"/>
  <c r="BI23" i="2"/>
  <c r="BF23" i="2"/>
  <c r="BD23" i="2"/>
  <c r="AY23" i="2"/>
  <c r="AV23" i="2"/>
  <c r="AT23" i="2"/>
  <c r="AQ23" i="2"/>
  <c r="AO23" i="2"/>
  <c r="AL23" i="2"/>
  <c r="AJ23" i="2"/>
  <c r="AG23" i="2"/>
  <c r="AE23" i="2"/>
  <c r="AB23" i="2"/>
  <c r="Z23" i="2"/>
  <c r="U23" i="2"/>
  <c r="CE22" i="2"/>
  <c r="CC22" i="2"/>
  <c r="BZ22" i="2"/>
  <c r="BX22" i="2"/>
  <c r="BU22" i="2"/>
  <c r="BS22" i="2"/>
  <c r="BP22" i="2"/>
  <c r="BN22" i="2"/>
  <c r="BK22" i="2"/>
  <c r="BI22" i="2"/>
  <c r="BF22" i="2"/>
  <c r="BD22" i="2"/>
  <c r="AY22" i="2"/>
  <c r="AV22" i="2"/>
  <c r="AT22" i="2"/>
  <c r="AQ22" i="2"/>
  <c r="AO22" i="2"/>
  <c r="AL22" i="2"/>
  <c r="AJ22" i="2"/>
  <c r="AG22" i="2"/>
  <c r="AE22" i="2"/>
  <c r="AB22" i="2"/>
  <c r="Z22" i="2"/>
  <c r="U22" i="2"/>
  <c r="CE21" i="2"/>
  <c r="CC21" i="2"/>
  <c r="BZ21" i="2"/>
  <c r="BX21" i="2"/>
  <c r="BU21" i="2"/>
  <c r="BS21" i="2"/>
  <c r="BP21" i="2"/>
  <c r="BN21" i="2"/>
  <c r="BK21" i="2"/>
  <c r="BI21" i="2"/>
  <c r="BF21" i="2"/>
  <c r="BD21" i="2"/>
  <c r="AY21" i="2"/>
  <c r="AV21" i="2"/>
  <c r="AT21" i="2"/>
  <c r="AQ21" i="2"/>
  <c r="AO21" i="2"/>
  <c r="AL21" i="2"/>
  <c r="AJ21" i="2"/>
  <c r="AG21" i="2"/>
  <c r="AE21" i="2"/>
  <c r="AB21" i="2"/>
  <c r="Z21" i="2"/>
  <c r="U21" i="2"/>
  <c r="CE20" i="2"/>
  <c r="CC20" i="2"/>
  <c r="BZ20" i="2"/>
  <c r="BX20" i="2"/>
  <c r="BU20" i="2"/>
  <c r="BS20" i="2"/>
  <c r="BP20" i="2"/>
  <c r="BN20" i="2"/>
  <c r="BK20" i="2"/>
  <c r="BI20" i="2"/>
  <c r="BF20" i="2"/>
  <c r="BD20" i="2"/>
  <c r="AY20" i="2"/>
  <c r="AV20" i="2"/>
  <c r="AT20" i="2"/>
  <c r="AQ20" i="2"/>
  <c r="AO20" i="2"/>
  <c r="AL20" i="2"/>
  <c r="AJ20" i="2"/>
  <c r="AG20" i="2"/>
  <c r="AE20" i="2"/>
  <c r="AB20" i="2"/>
  <c r="Z20" i="2"/>
  <c r="U20" i="2"/>
  <c r="CE19" i="2"/>
  <c r="CC19" i="2"/>
  <c r="BZ19" i="2"/>
  <c r="BX19" i="2"/>
  <c r="BU19" i="2"/>
  <c r="BS19" i="2"/>
  <c r="BP19" i="2"/>
  <c r="BN19" i="2"/>
  <c r="BK19" i="2"/>
  <c r="BI19" i="2"/>
  <c r="BF19" i="2"/>
  <c r="BD19" i="2"/>
  <c r="AY19" i="2"/>
  <c r="AV19" i="2"/>
  <c r="AT19" i="2"/>
  <c r="AQ19" i="2"/>
  <c r="AO19" i="2"/>
  <c r="AL19" i="2"/>
  <c r="AJ19" i="2"/>
  <c r="AG19" i="2"/>
  <c r="AE19" i="2"/>
  <c r="AB19" i="2"/>
  <c r="Z19" i="2"/>
  <c r="U19" i="2"/>
  <c r="CE18" i="2"/>
  <c r="CC18" i="2"/>
  <c r="BZ18" i="2"/>
  <c r="BX18" i="2"/>
  <c r="BU18" i="2"/>
  <c r="BS18" i="2"/>
  <c r="BP18" i="2"/>
  <c r="BN18" i="2"/>
  <c r="BK18" i="2"/>
  <c r="BI18" i="2"/>
  <c r="BF18" i="2"/>
  <c r="BD18" i="2"/>
  <c r="AY18" i="2"/>
  <c r="AV18" i="2"/>
  <c r="AT18" i="2"/>
  <c r="AQ18" i="2"/>
  <c r="AO18" i="2"/>
  <c r="AL18" i="2"/>
  <c r="AJ18" i="2"/>
  <c r="AG18" i="2"/>
  <c r="AE18" i="2"/>
  <c r="AB18" i="2"/>
  <c r="Z18" i="2"/>
  <c r="U18" i="2"/>
  <c r="CE17" i="2"/>
  <c r="CC17" i="2"/>
  <c r="BZ17" i="2"/>
  <c r="BX17" i="2"/>
  <c r="BU17" i="2"/>
  <c r="BS17" i="2"/>
  <c r="BP17" i="2"/>
  <c r="BN17" i="2"/>
  <c r="BK17" i="2"/>
  <c r="BI17" i="2"/>
  <c r="BF17" i="2"/>
  <c r="BD17" i="2"/>
  <c r="AY17" i="2"/>
  <c r="AV17" i="2"/>
  <c r="AT17" i="2"/>
  <c r="AQ17" i="2"/>
  <c r="AO17" i="2"/>
  <c r="AL17" i="2"/>
  <c r="AJ17" i="2"/>
  <c r="AG17" i="2"/>
  <c r="AE17" i="2"/>
  <c r="AB17" i="2"/>
  <c r="Z17" i="2"/>
  <c r="U17" i="2"/>
  <c r="CE16" i="2"/>
  <c r="CC16" i="2"/>
  <c r="BZ16" i="2"/>
  <c r="BX16" i="2"/>
  <c r="BU16" i="2"/>
  <c r="BS16" i="2"/>
  <c r="BP16" i="2"/>
  <c r="BN16" i="2"/>
  <c r="BK16" i="2"/>
  <c r="BI16" i="2"/>
  <c r="BF16" i="2"/>
  <c r="BD16" i="2"/>
  <c r="AY16" i="2"/>
  <c r="AV16" i="2"/>
  <c r="AT16" i="2"/>
  <c r="AQ16" i="2"/>
  <c r="AO16" i="2"/>
  <c r="AL16" i="2"/>
  <c r="AJ16" i="2"/>
  <c r="AG16" i="2"/>
  <c r="AE16" i="2"/>
  <c r="AB16" i="2"/>
  <c r="Z16" i="2"/>
  <c r="U16" i="2"/>
  <c r="CE15" i="2"/>
  <c r="CC15" i="2"/>
  <c r="BZ15" i="2"/>
  <c r="BX15" i="2"/>
  <c r="BU15" i="2"/>
  <c r="BS15" i="2"/>
  <c r="BP15" i="2"/>
  <c r="BN15" i="2"/>
  <c r="BK15" i="2"/>
  <c r="BI15" i="2"/>
  <c r="BF15" i="2"/>
  <c r="BD15" i="2"/>
  <c r="AY15" i="2"/>
  <c r="AV15" i="2"/>
  <c r="AT15" i="2"/>
  <c r="AQ15" i="2"/>
  <c r="AO15" i="2"/>
  <c r="AL15" i="2"/>
  <c r="AJ15" i="2"/>
  <c r="AG15" i="2"/>
  <c r="AE15" i="2"/>
  <c r="AB15" i="2"/>
  <c r="Z15" i="2"/>
  <c r="U15" i="2"/>
  <c r="CE14" i="2"/>
  <c r="CC14" i="2"/>
  <c r="BZ14" i="2"/>
  <c r="BX14" i="2"/>
  <c r="BU14" i="2"/>
  <c r="BS14" i="2"/>
  <c r="BP14" i="2"/>
  <c r="BN14" i="2"/>
  <c r="BK14" i="2"/>
  <c r="BI14" i="2"/>
  <c r="BF14" i="2"/>
  <c r="BD14" i="2"/>
  <c r="AY14" i="2"/>
  <c r="AV14" i="2"/>
  <c r="AT14" i="2"/>
  <c r="AQ14" i="2"/>
  <c r="AO14" i="2"/>
  <c r="AL14" i="2"/>
  <c r="AJ14" i="2"/>
  <c r="AG14" i="2"/>
  <c r="AE14" i="2"/>
  <c r="AB14" i="2"/>
  <c r="Z14" i="2"/>
  <c r="U14" i="2"/>
  <c r="CE13" i="2"/>
  <c r="CC13" i="2"/>
  <c r="BZ13" i="2"/>
  <c r="BX13" i="2"/>
  <c r="BU13" i="2"/>
  <c r="BS13" i="2"/>
  <c r="BP13" i="2"/>
  <c r="BN13" i="2"/>
  <c r="BK13" i="2"/>
  <c r="BI13" i="2"/>
  <c r="BF13" i="2"/>
  <c r="BD13" i="2"/>
  <c r="AY13" i="2"/>
  <c r="AV13" i="2"/>
  <c r="AT13" i="2"/>
  <c r="AQ13" i="2"/>
  <c r="AO13" i="2"/>
  <c r="AL13" i="2"/>
  <c r="AJ13" i="2"/>
  <c r="AG13" i="2"/>
  <c r="AE13" i="2"/>
  <c r="AB13" i="2"/>
  <c r="Z13" i="2"/>
  <c r="U13" i="2"/>
  <c r="CE12" i="2"/>
  <c r="CC12" i="2"/>
  <c r="BZ12" i="2"/>
  <c r="BX12" i="2"/>
  <c r="BU12" i="2"/>
  <c r="BS12" i="2"/>
  <c r="BP12" i="2"/>
  <c r="BN12" i="2"/>
  <c r="BK12" i="2"/>
  <c r="BI12" i="2"/>
  <c r="BF12" i="2"/>
  <c r="BD12" i="2"/>
  <c r="AY12" i="2"/>
  <c r="AV12" i="2"/>
  <c r="AT12" i="2"/>
  <c r="AQ12" i="2"/>
  <c r="AO12" i="2"/>
  <c r="AL12" i="2"/>
  <c r="AJ12" i="2"/>
  <c r="AG12" i="2"/>
  <c r="AE12" i="2"/>
  <c r="AB12" i="2"/>
  <c r="Z12" i="2"/>
  <c r="U12" i="2"/>
  <c r="CE11" i="2"/>
  <c r="CC11" i="2"/>
  <c r="BZ11" i="2"/>
  <c r="BX11" i="2"/>
  <c r="BU11" i="2"/>
  <c r="BS11" i="2"/>
  <c r="BP11" i="2"/>
  <c r="BN11" i="2"/>
  <c r="BK11" i="2"/>
  <c r="BI11" i="2"/>
  <c r="BF11" i="2"/>
  <c r="BD11" i="2"/>
  <c r="AY11" i="2"/>
  <c r="AV11" i="2"/>
  <c r="AT11" i="2"/>
  <c r="AQ11" i="2"/>
  <c r="AO11" i="2"/>
  <c r="AL11" i="2"/>
  <c r="AJ11" i="2"/>
  <c r="AG11" i="2"/>
  <c r="AE11" i="2"/>
  <c r="AB11" i="2"/>
  <c r="Z11" i="2"/>
  <c r="U11" i="2"/>
  <c r="CE10" i="2"/>
  <c r="CC10" i="2"/>
  <c r="BZ10" i="2"/>
  <c r="BX10" i="2"/>
  <c r="BU10" i="2"/>
  <c r="BS10" i="2"/>
  <c r="BP10" i="2"/>
  <c r="BN10" i="2"/>
  <c r="BK10" i="2"/>
  <c r="BI10" i="2"/>
  <c r="BF10" i="2"/>
  <c r="BD10" i="2"/>
  <c r="AY10" i="2"/>
  <c r="AV10" i="2"/>
  <c r="AT10" i="2"/>
  <c r="AQ10" i="2"/>
  <c r="AO10" i="2"/>
  <c r="AL10" i="2"/>
  <c r="AJ10" i="2"/>
  <c r="AG10" i="2"/>
  <c r="AE10" i="2"/>
  <c r="AB10" i="2"/>
  <c r="Z10" i="2"/>
  <c r="U10" i="2"/>
  <c r="CE9" i="2"/>
  <c r="CC9" i="2"/>
  <c r="BZ9" i="2"/>
  <c r="BX9" i="2"/>
  <c r="BU9" i="2"/>
  <c r="BS9" i="2"/>
  <c r="BP9" i="2"/>
  <c r="BN9" i="2"/>
  <c r="BK9" i="2"/>
  <c r="BI9" i="2"/>
  <c r="BF9" i="2"/>
  <c r="BD9" i="2"/>
  <c r="AY9" i="2"/>
  <c r="AV9" i="2"/>
  <c r="AT9" i="2"/>
  <c r="AQ9" i="2"/>
  <c r="AO9" i="2"/>
  <c r="AL9" i="2"/>
  <c r="AJ9" i="2"/>
  <c r="AG9" i="2"/>
  <c r="AE9" i="2"/>
  <c r="AB9" i="2"/>
  <c r="Z9" i="2"/>
  <c r="U9" i="2"/>
  <c r="CE8" i="2"/>
  <c r="CC8" i="2"/>
  <c r="BZ8" i="2"/>
  <c r="BX8" i="2"/>
  <c r="BU8" i="2"/>
  <c r="BS8" i="2"/>
  <c r="BP8" i="2"/>
  <c r="BN8" i="2"/>
  <c r="BK8" i="2"/>
  <c r="BI8" i="2"/>
  <c r="BF8" i="2"/>
  <c r="BD8" i="2"/>
  <c r="AY8" i="2"/>
  <c r="AV8" i="2"/>
  <c r="AT8" i="2"/>
  <c r="AQ8" i="2"/>
  <c r="AO8" i="2"/>
  <c r="AL8" i="2"/>
  <c r="AJ8" i="2"/>
  <c r="AG8" i="2"/>
  <c r="AE8" i="2"/>
  <c r="AB8" i="2"/>
  <c r="Z8" i="2"/>
  <c r="U8" i="2"/>
  <c r="CE7" i="2"/>
  <c r="CC7" i="2"/>
  <c r="BZ7" i="2"/>
  <c r="BX7" i="2"/>
  <c r="BU7" i="2"/>
  <c r="BS7" i="2"/>
  <c r="BP7" i="2"/>
  <c r="BN7" i="2"/>
  <c r="BK7" i="2"/>
  <c r="BI7" i="2"/>
  <c r="BF7" i="2"/>
  <c r="BD7" i="2"/>
  <c r="AY7" i="2"/>
  <c r="AV7" i="2"/>
  <c r="AT7" i="2"/>
  <c r="AQ7" i="2"/>
  <c r="AO7" i="2"/>
  <c r="AL7" i="2"/>
  <c r="AJ7" i="2"/>
  <c r="AG7" i="2"/>
  <c r="AE7" i="2"/>
  <c r="AB7" i="2"/>
  <c r="Z7" i="2"/>
  <c r="U7" i="2"/>
  <c r="BZ75" i="1"/>
  <c r="BX75" i="1"/>
  <c r="BU75" i="1"/>
  <c r="BS75" i="1"/>
  <c r="BP75" i="1"/>
  <c r="BN75" i="1"/>
  <c r="BK75" i="1"/>
  <c r="BI75" i="1"/>
  <c r="BF75" i="1"/>
  <c r="BD75" i="1"/>
  <c r="BA75" i="1"/>
  <c r="AY75" i="1"/>
  <c r="AV75" i="1"/>
  <c r="AT75" i="1"/>
  <c r="AQ75" i="1"/>
  <c r="AO75" i="1"/>
  <c r="AL75" i="1"/>
  <c r="AJ75" i="1"/>
  <c r="AG75" i="1"/>
  <c r="AE75" i="1"/>
  <c r="AB75" i="1"/>
  <c r="Z75" i="1"/>
  <c r="W75" i="1"/>
  <c r="U75" i="1"/>
  <c r="P75" i="1"/>
  <c r="BZ74" i="1"/>
  <c r="BX74" i="1"/>
  <c r="BU74" i="1"/>
  <c r="BS74" i="1"/>
  <c r="BP74" i="1"/>
  <c r="BN74" i="1"/>
  <c r="BK74" i="1"/>
  <c r="BI74" i="1"/>
  <c r="BF74" i="1"/>
  <c r="BD74" i="1"/>
  <c r="BA74" i="1"/>
  <c r="AY74" i="1"/>
  <c r="AV74" i="1"/>
  <c r="AT74" i="1"/>
  <c r="AQ74" i="1"/>
  <c r="AO74" i="1"/>
  <c r="AL74" i="1"/>
  <c r="AJ74" i="1"/>
  <c r="AG74" i="1"/>
  <c r="AE74" i="1"/>
  <c r="AB74" i="1"/>
  <c r="Z74" i="1"/>
  <c r="W74" i="1"/>
  <c r="U74" i="1"/>
  <c r="P74" i="1"/>
  <c r="BZ73" i="1"/>
  <c r="BX73" i="1"/>
  <c r="BU73" i="1"/>
  <c r="BS73" i="1"/>
  <c r="BP73" i="1"/>
  <c r="BN73" i="1"/>
  <c r="BK73" i="1"/>
  <c r="BI73" i="1"/>
  <c r="BF73" i="1"/>
  <c r="BD73" i="1"/>
  <c r="BA73" i="1"/>
  <c r="AY73" i="1"/>
  <c r="AV73" i="1"/>
  <c r="AT73" i="1"/>
  <c r="AQ73" i="1"/>
  <c r="AO73" i="1"/>
  <c r="AL73" i="1"/>
  <c r="AJ73" i="1"/>
  <c r="AG73" i="1"/>
  <c r="AE73" i="1"/>
  <c r="AB73" i="1"/>
  <c r="Z73" i="1"/>
  <c r="W73" i="1"/>
  <c r="U73" i="1"/>
  <c r="P73" i="1"/>
  <c r="BZ72" i="1"/>
  <c r="BX72" i="1"/>
  <c r="BU72" i="1"/>
  <c r="BS72" i="1"/>
  <c r="BP72" i="1"/>
  <c r="BN72" i="1"/>
  <c r="BK72" i="1"/>
  <c r="BI72" i="1"/>
  <c r="BF72" i="1"/>
  <c r="BD72" i="1"/>
  <c r="BA72" i="1"/>
  <c r="AY72" i="1"/>
  <c r="AV72" i="1"/>
  <c r="AT72" i="1"/>
  <c r="AQ72" i="1"/>
  <c r="AO72" i="1"/>
  <c r="AL72" i="1"/>
  <c r="AJ72" i="1"/>
  <c r="AG72" i="1"/>
  <c r="AE72" i="1"/>
  <c r="AB72" i="1"/>
  <c r="Z72" i="1"/>
  <c r="W72" i="1"/>
  <c r="U72" i="1"/>
  <c r="P72" i="1"/>
  <c r="BZ71" i="1"/>
  <c r="BX71" i="1"/>
  <c r="BU71" i="1"/>
  <c r="BS71" i="1"/>
  <c r="BP71" i="1"/>
  <c r="BN71" i="1"/>
  <c r="BK71" i="1"/>
  <c r="BI71" i="1"/>
  <c r="BF71" i="1"/>
  <c r="BD71" i="1"/>
  <c r="BA71" i="1"/>
  <c r="AY71" i="1"/>
  <c r="AV71" i="1"/>
  <c r="AT71" i="1"/>
  <c r="AQ71" i="1"/>
  <c r="AO71" i="1"/>
  <c r="AL71" i="1"/>
  <c r="AJ71" i="1"/>
  <c r="AG71" i="1"/>
  <c r="AE71" i="1"/>
  <c r="AB71" i="1"/>
  <c r="Z71" i="1"/>
  <c r="W71" i="1"/>
  <c r="U71" i="1"/>
  <c r="P71" i="1"/>
  <c r="BZ70" i="1"/>
  <c r="BX70" i="1"/>
  <c r="BU70" i="1"/>
  <c r="BS70" i="1"/>
  <c r="BP70" i="1"/>
  <c r="BN70" i="1"/>
  <c r="BK70" i="1"/>
  <c r="BI70" i="1"/>
  <c r="BF70" i="1"/>
  <c r="BD70" i="1"/>
  <c r="BA70" i="1"/>
  <c r="AY70" i="1"/>
  <c r="AV70" i="1"/>
  <c r="AT70" i="1"/>
  <c r="AQ70" i="1"/>
  <c r="AO70" i="1"/>
  <c r="AL70" i="1"/>
  <c r="AJ70" i="1"/>
  <c r="AG70" i="1"/>
  <c r="AE70" i="1"/>
  <c r="AB70" i="1"/>
  <c r="Z70" i="1"/>
  <c r="W70" i="1"/>
  <c r="U70" i="1"/>
  <c r="P70" i="1"/>
  <c r="BZ69" i="1"/>
  <c r="BX69" i="1"/>
  <c r="BU69" i="1"/>
  <c r="BS69" i="1"/>
  <c r="BP69" i="1"/>
  <c r="BN69" i="1"/>
  <c r="BK69" i="1"/>
  <c r="BI69" i="1"/>
  <c r="BF69" i="1"/>
  <c r="BD69" i="1"/>
  <c r="BA69" i="1"/>
  <c r="AY69" i="1"/>
  <c r="AV69" i="1"/>
  <c r="AT69" i="1"/>
  <c r="AQ69" i="1"/>
  <c r="AO69" i="1"/>
  <c r="AL69" i="1"/>
  <c r="AJ69" i="1"/>
  <c r="AG69" i="1"/>
  <c r="AE69" i="1"/>
  <c r="AB69" i="1"/>
  <c r="Z69" i="1"/>
  <c r="W69" i="1"/>
  <c r="U69" i="1"/>
  <c r="P69" i="1"/>
  <c r="BZ68" i="1"/>
  <c r="BX68" i="1"/>
  <c r="BU68" i="1"/>
  <c r="BS68" i="1"/>
  <c r="BP68" i="1"/>
  <c r="BN68" i="1"/>
  <c r="BK68" i="1"/>
  <c r="BI68" i="1"/>
  <c r="BF68" i="1"/>
  <c r="BD68" i="1"/>
  <c r="BA68" i="1"/>
  <c r="AY68" i="1"/>
  <c r="AV68" i="1"/>
  <c r="AT68" i="1"/>
  <c r="AQ68" i="1"/>
  <c r="AO68" i="1"/>
  <c r="AL68" i="1"/>
  <c r="AJ68" i="1"/>
  <c r="AG68" i="1"/>
  <c r="AE68" i="1"/>
  <c r="AB68" i="1"/>
  <c r="Z68" i="1"/>
  <c r="W68" i="1"/>
  <c r="U68" i="1"/>
  <c r="P68" i="1"/>
  <c r="BZ67" i="1"/>
  <c r="BX67" i="1"/>
  <c r="BU67" i="1"/>
  <c r="BS67" i="1"/>
  <c r="BP67" i="1"/>
  <c r="BN67" i="1"/>
  <c r="BK67" i="1"/>
  <c r="BI67" i="1"/>
  <c r="BF67" i="1"/>
  <c r="BD67" i="1"/>
  <c r="BA67" i="1"/>
  <c r="AY67" i="1"/>
  <c r="AV67" i="1"/>
  <c r="AT67" i="1"/>
  <c r="AQ67" i="1"/>
  <c r="AO67" i="1"/>
  <c r="AL67" i="1"/>
  <c r="AJ67" i="1"/>
  <c r="AG67" i="1"/>
  <c r="AE67" i="1"/>
  <c r="AB67" i="1"/>
  <c r="Z67" i="1"/>
  <c r="W67" i="1"/>
  <c r="U67" i="1"/>
  <c r="P67" i="1"/>
  <c r="BZ66" i="1"/>
  <c r="BX66" i="1"/>
  <c r="BU66" i="1"/>
  <c r="BS66" i="1"/>
  <c r="BP66" i="1"/>
  <c r="BN66" i="1"/>
  <c r="BK66" i="1"/>
  <c r="BI66" i="1"/>
  <c r="BF66" i="1"/>
  <c r="BD66" i="1"/>
  <c r="BA66" i="1"/>
  <c r="AY66" i="1"/>
  <c r="AV66" i="1"/>
  <c r="AT66" i="1"/>
  <c r="AQ66" i="1"/>
  <c r="AO66" i="1"/>
  <c r="AL66" i="1"/>
  <c r="AJ66" i="1"/>
  <c r="AG66" i="1"/>
  <c r="AE66" i="1"/>
  <c r="AB66" i="1"/>
  <c r="Z66" i="1"/>
  <c r="W66" i="1"/>
  <c r="U66" i="1"/>
  <c r="P66" i="1"/>
  <c r="BZ65" i="1"/>
  <c r="BX65" i="1"/>
  <c r="BU65" i="1"/>
  <c r="BS65" i="1"/>
  <c r="BP65" i="1"/>
  <c r="BN65" i="1"/>
  <c r="BK65" i="1"/>
  <c r="BI65" i="1"/>
  <c r="BF65" i="1"/>
  <c r="BD65" i="1"/>
  <c r="BA65" i="1"/>
  <c r="AY65" i="1"/>
  <c r="AV65" i="1"/>
  <c r="AT65" i="1"/>
  <c r="AQ65" i="1"/>
  <c r="AO65" i="1"/>
  <c r="AL65" i="1"/>
  <c r="AJ65" i="1"/>
  <c r="AG65" i="1"/>
  <c r="AE65" i="1"/>
  <c r="AB65" i="1"/>
  <c r="Z65" i="1"/>
  <c r="W65" i="1"/>
  <c r="U65" i="1"/>
  <c r="P65" i="1"/>
  <c r="BZ64" i="1"/>
  <c r="BX64" i="1"/>
  <c r="BU64" i="1"/>
  <c r="BS64" i="1"/>
  <c r="BP64" i="1"/>
  <c r="BN64" i="1"/>
  <c r="BK64" i="1"/>
  <c r="BI64" i="1"/>
  <c r="BF64" i="1"/>
  <c r="BD64" i="1"/>
  <c r="BA64" i="1"/>
  <c r="AY64" i="1"/>
  <c r="AV64" i="1"/>
  <c r="AT64" i="1"/>
  <c r="AQ64" i="1"/>
  <c r="AO64" i="1"/>
  <c r="AL64" i="1"/>
  <c r="AJ64" i="1"/>
  <c r="AG64" i="1"/>
  <c r="AE64" i="1"/>
  <c r="AB64" i="1"/>
  <c r="Z64" i="1"/>
  <c r="W64" i="1"/>
  <c r="U64" i="1"/>
  <c r="P64" i="1"/>
  <c r="BZ63" i="1"/>
  <c r="BX63" i="1"/>
  <c r="BU63" i="1"/>
  <c r="BS63" i="1"/>
  <c r="BP63" i="1"/>
  <c r="BN63" i="1"/>
  <c r="BK63" i="1"/>
  <c r="BI63" i="1"/>
  <c r="BF63" i="1"/>
  <c r="BD63" i="1"/>
  <c r="BA63" i="1"/>
  <c r="AY63" i="1"/>
  <c r="AV63" i="1"/>
  <c r="AT63" i="1"/>
  <c r="AQ63" i="1"/>
  <c r="AO63" i="1"/>
  <c r="AL63" i="1"/>
  <c r="AJ63" i="1"/>
  <c r="AG63" i="1"/>
  <c r="AE63" i="1"/>
  <c r="AB63" i="1"/>
  <c r="Z63" i="1"/>
  <c r="W63" i="1"/>
  <c r="U63" i="1"/>
  <c r="P63" i="1"/>
  <c r="BZ62" i="1"/>
  <c r="BX62" i="1"/>
  <c r="BU62" i="1"/>
  <c r="BS62" i="1"/>
  <c r="BP62" i="1"/>
  <c r="BN62" i="1"/>
  <c r="BK62" i="1"/>
  <c r="BI62" i="1"/>
  <c r="BF62" i="1"/>
  <c r="BD62" i="1"/>
  <c r="BA62" i="1"/>
  <c r="AY62" i="1"/>
  <c r="AV62" i="1"/>
  <c r="AT62" i="1"/>
  <c r="AQ62" i="1"/>
  <c r="AO62" i="1"/>
  <c r="AL62" i="1"/>
  <c r="AJ62" i="1"/>
  <c r="AG62" i="1"/>
  <c r="AE62" i="1"/>
  <c r="AB62" i="1"/>
  <c r="Z62" i="1"/>
  <c r="W62" i="1"/>
  <c r="U62" i="1"/>
  <c r="P62" i="1"/>
  <c r="BZ61" i="1"/>
  <c r="BX61" i="1"/>
  <c r="BU61" i="1"/>
  <c r="BS61" i="1"/>
  <c r="BP61" i="1"/>
  <c r="BN61" i="1"/>
  <c r="BK61" i="1"/>
  <c r="BI61" i="1"/>
  <c r="BF61" i="1"/>
  <c r="BD61" i="1"/>
  <c r="BA61" i="1"/>
  <c r="AY61" i="1"/>
  <c r="AV61" i="1"/>
  <c r="AT61" i="1"/>
  <c r="AQ61" i="1"/>
  <c r="AO61" i="1"/>
  <c r="AL61" i="1"/>
  <c r="AJ61" i="1"/>
  <c r="AG61" i="1"/>
  <c r="AE61" i="1"/>
  <c r="AB61" i="1"/>
  <c r="Z61" i="1"/>
  <c r="W61" i="1"/>
  <c r="U61" i="1"/>
  <c r="P61" i="1"/>
  <c r="BZ60" i="1"/>
  <c r="BX60" i="1"/>
  <c r="BU60" i="1"/>
  <c r="BS60" i="1"/>
  <c r="BP60" i="1"/>
  <c r="BN60" i="1"/>
  <c r="BK60" i="1"/>
  <c r="BI60" i="1"/>
  <c r="BF60" i="1"/>
  <c r="BD60" i="1"/>
  <c r="BA60" i="1"/>
  <c r="AY60" i="1"/>
  <c r="AV60" i="1"/>
  <c r="AT60" i="1"/>
  <c r="AQ60" i="1"/>
  <c r="AO60" i="1"/>
  <c r="AL60" i="1"/>
  <c r="AJ60" i="1"/>
  <c r="AG60" i="1"/>
  <c r="AE60" i="1"/>
  <c r="AB60" i="1"/>
  <c r="Z60" i="1"/>
  <c r="W60" i="1"/>
  <c r="U60" i="1"/>
  <c r="P60" i="1"/>
  <c r="BZ59" i="1"/>
  <c r="BX59" i="1"/>
  <c r="BU59" i="1"/>
  <c r="BS59" i="1"/>
  <c r="BP59" i="1"/>
  <c r="BN59" i="1"/>
  <c r="BK59" i="1"/>
  <c r="BI59" i="1"/>
  <c r="BF59" i="1"/>
  <c r="BD59" i="1"/>
  <c r="BA59" i="1"/>
  <c r="AY59" i="1"/>
  <c r="AV59" i="1"/>
  <c r="AT59" i="1"/>
  <c r="AQ59" i="1"/>
  <c r="AO59" i="1"/>
  <c r="AL59" i="1"/>
  <c r="AJ59" i="1"/>
  <c r="AG59" i="1"/>
  <c r="AE59" i="1"/>
  <c r="AB59" i="1"/>
  <c r="Z59" i="1"/>
  <c r="W59" i="1"/>
  <c r="U59" i="1"/>
  <c r="P59" i="1"/>
  <c r="BZ58" i="1"/>
  <c r="BX58" i="1"/>
  <c r="BU58" i="1"/>
  <c r="BS58" i="1"/>
  <c r="BP58" i="1"/>
  <c r="BN58" i="1"/>
  <c r="BK58" i="1"/>
  <c r="BI58" i="1"/>
  <c r="BF58" i="1"/>
  <c r="BD58" i="1"/>
  <c r="BA58" i="1"/>
  <c r="AY58" i="1"/>
  <c r="AV58" i="1"/>
  <c r="AT58" i="1"/>
  <c r="AQ58" i="1"/>
  <c r="AO58" i="1"/>
  <c r="AL58" i="1"/>
  <c r="AJ58" i="1"/>
  <c r="AG58" i="1"/>
  <c r="AE58" i="1"/>
  <c r="AB58" i="1"/>
  <c r="Z58" i="1"/>
  <c r="W58" i="1"/>
  <c r="U58" i="1"/>
  <c r="P58" i="1"/>
  <c r="BZ57" i="1"/>
  <c r="BX57" i="1"/>
  <c r="BU57" i="1"/>
  <c r="BS57" i="1"/>
  <c r="BP57" i="1"/>
  <c r="BN57" i="1"/>
  <c r="BK57" i="1"/>
  <c r="BI57" i="1"/>
  <c r="BF57" i="1"/>
  <c r="BD57" i="1"/>
  <c r="BA57" i="1"/>
  <c r="AY57" i="1"/>
  <c r="AV57" i="1"/>
  <c r="AT57" i="1"/>
  <c r="AQ57" i="1"/>
  <c r="AO57" i="1"/>
  <c r="AL57" i="1"/>
  <c r="AJ57" i="1"/>
  <c r="AG57" i="1"/>
  <c r="AE57" i="1"/>
  <c r="AB57" i="1"/>
  <c r="Z57" i="1"/>
  <c r="W57" i="1"/>
  <c r="U57" i="1"/>
  <c r="P57" i="1"/>
  <c r="BZ56" i="1"/>
  <c r="BX56" i="1"/>
  <c r="BU56" i="1"/>
  <c r="BS56" i="1"/>
  <c r="BP56" i="1"/>
  <c r="BN56" i="1"/>
  <c r="BK56" i="1"/>
  <c r="BI56" i="1"/>
  <c r="BF56" i="1"/>
  <c r="BD56" i="1"/>
  <c r="BA56" i="1"/>
  <c r="AY56" i="1"/>
  <c r="AV56" i="1"/>
  <c r="AT56" i="1"/>
  <c r="AQ56" i="1"/>
  <c r="AO56" i="1"/>
  <c r="AL56" i="1"/>
  <c r="AJ56" i="1"/>
  <c r="AG56" i="1"/>
  <c r="AE56" i="1"/>
  <c r="AB56" i="1"/>
  <c r="Z56" i="1"/>
  <c r="W56" i="1"/>
  <c r="U56" i="1"/>
  <c r="P56" i="1"/>
  <c r="BZ55" i="1"/>
  <c r="BX55" i="1"/>
  <c r="BU55" i="1"/>
  <c r="BS55" i="1"/>
  <c r="BP55" i="1"/>
  <c r="BN55" i="1"/>
  <c r="BK55" i="1"/>
  <c r="BI55" i="1"/>
  <c r="BF55" i="1"/>
  <c r="BD55" i="1"/>
  <c r="BA55" i="1"/>
  <c r="AY55" i="1"/>
  <c r="AV55" i="1"/>
  <c r="AT55" i="1"/>
  <c r="AQ55" i="1"/>
  <c r="AO55" i="1"/>
  <c r="AL55" i="1"/>
  <c r="AJ55" i="1"/>
  <c r="AG55" i="1"/>
  <c r="AE55" i="1"/>
  <c r="AB55" i="1"/>
  <c r="Z55" i="1"/>
  <c r="W55" i="1"/>
  <c r="U55" i="1"/>
  <c r="P55" i="1"/>
  <c r="BZ54" i="1"/>
  <c r="BX54" i="1"/>
  <c r="BU54" i="1"/>
  <c r="BS54" i="1"/>
  <c r="BP54" i="1"/>
  <c r="BN54" i="1"/>
  <c r="BK54" i="1"/>
  <c r="BI54" i="1"/>
  <c r="BF54" i="1"/>
  <c r="BD54" i="1"/>
  <c r="BA54" i="1"/>
  <c r="AY54" i="1"/>
  <c r="AV54" i="1"/>
  <c r="AT54" i="1"/>
  <c r="AQ54" i="1"/>
  <c r="AO54" i="1"/>
  <c r="AL54" i="1"/>
  <c r="AJ54" i="1"/>
  <c r="AG54" i="1"/>
  <c r="AE54" i="1"/>
  <c r="AB54" i="1"/>
  <c r="Z54" i="1"/>
  <c r="W54" i="1"/>
  <c r="U54" i="1"/>
  <c r="P54" i="1"/>
  <c r="BZ45" i="1"/>
  <c r="BX45" i="1"/>
  <c r="BU45" i="1"/>
  <c r="BS45" i="1"/>
  <c r="BP45" i="1"/>
  <c r="BN45" i="1"/>
  <c r="BK45" i="1"/>
  <c r="BI45" i="1"/>
  <c r="BF45" i="1"/>
  <c r="BD45" i="1"/>
  <c r="BA45" i="1"/>
  <c r="AY45" i="1"/>
  <c r="AV45" i="1"/>
  <c r="AT45" i="1"/>
  <c r="AQ45" i="1"/>
  <c r="AO45" i="1"/>
  <c r="AL45" i="1"/>
  <c r="AJ45" i="1"/>
  <c r="AG45" i="1"/>
  <c r="AE45" i="1"/>
  <c r="AB45" i="1"/>
  <c r="Z45" i="1"/>
  <c r="W45" i="1"/>
  <c r="U45" i="1"/>
  <c r="P45" i="1"/>
  <c r="BZ53" i="1"/>
  <c r="BX53" i="1"/>
  <c r="BU53" i="1"/>
  <c r="BS53" i="1"/>
  <c r="BP53" i="1"/>
  <c r="BN53" i="1"/>
  <c r="BK53" i="1"/>
  <c r="BI53" i="1"/>
  <c r="BF53" i="1"/>
  <c r="BD53" i="1"/>
  <c r="BA53" i="1"/>
  <c r="AY53" i="1"/>
  <c r="AV53" i="1"/>
  <c r="AT53" i="1"/>
  <c r="AQ53" i="1"/>
  <c r="AO53" i="1"/>
  <c r="AL53" i="1"/>
  <c r="AJ53" i="1"/>
  <c r="AG53" i="1"/>
  <c r="AE53" i="1"/>
  <c r="AB53" i="1"/>
  <c r="Z53" i="1"/>
  <c r="W53" i="1"/>
  <c r="U53" i="1"/>
  <c r="P53" i="1"/>
  <c r="BZ52" i="1"/>
  <c r="BX52" i="1"/>
  <c r="BU52" i="1"/>
  <c r="BS52" i="1"/>
  <c r="BP52" i="1"/>
  <c r="BN52" i="1"/>
  <c r="BK52" i="1"/>
  <c r="BI52" i="1"/>
  <c r="BF52" i="1"/>
  <c r="BD52" i="1"/>
  <c r="BA52" i="1"/>
  <c r="AY52" i="1"/>
  <c r="AV52" i="1"/>
  <c r="AT52" i="1"/>
  <c r="AQ52" i="1"/>
  <c r="AO52" i="1"/>
  <c r="AL52" i="1"/>
  <c r="AJ52" i="1"/>
  <c r="AG52" i="1"/>
  <c r="AE52" i="1"/>
  <c r="AB52" i="1"/>
  <c r="Z52" i="1"/>
  <c r="W52" i="1"/>
  <c r="U52" i="1"/>
  <c r="P52" i="1"/>
  <c r="BZ51" i="1"/>
  <c r="BX51" i="1"/>
  <c r="BU51" i="1"/>
  <c r="BS51" i="1"/>
  <c r="BP51" i="1"/>
  <c r="BN51" i="1"/>
  <c r="BK51" i="1"/>
  <c r="BI51" i="1"/>
  <c r="BF51" i="1"/>
  <c r="BD51" i="1"/>
  <c r="BA51" i="1"/>
  <c r="AY51" i="1"/>
  <c r="AV51" i="1"/>
  <c r="AT51" i="1"/>
  <c r="AQ51" i="1"/>
  <c r="AO51" i="1"/>
  <c r="AL51" i="1"/>
  <c r="AJ51" i="1"/>
  <c r="AG51" i="1"/>
  <c r="AE51" i="1"/>
  <c r="AB51" i="1"/>
  <c r="Z51" i="1"/>
  <c r="W51" i="1"/>
  <c r="U51" i="1"/>
  <c r="P51" i="1"/>
  <c r="BZ44" i="1"/>
  <c r="BX44" i="1"/>
  <c r="BU44" i="1"/>
  <c r="BS44" i="1"/>
  <c r="BP44" i="1"/>
  <c r="BN44" i="1"/>
  <c r="BK44" i="1"/>
  <c r="BI44" i="1"/>
  <c r="BF44" i="1"/>
  <c r="BD44" i="1"/>
  <c r="BA44" i="1"/>
  <c r="AY44" i="1"/>
  <c r="AV44" i="1"/>
  <c r="AT44" i="1"/>
  <c r="AQ44" i="1"/>
  <c r="AO44" i="1"/>
  <c r="AL44" i="1"/>
  <c r="AJ44" i="1"/>
  <c r="AG44" i="1"/>
  <c r="AE44" i="1"/>
  <c r="AB44" i="1"/>
  <c r="Z44" i="1"/>
  <c r="W44" i="1"/>
  <c r="U44" i="1"/>
  <c r="P44" i="1"/>
  <c r="BZ50" i="1"/>
  <c r="BX50" i="1"/>
  <c r="BU50" i="1"/>
  <c r="BS50" i="1"/>
  <c r="BP50" i="1"/>
  <c r="BN50" i="1"/>
  <c r="BK50" i="1"/>
  <c r="BI50" i="1"/>
  <c r="BF50" i="1"/>
  <c r="BD50" i="1"/>
  <c r="BA50" i="1"/>
  <c r="AY50" i="1"/>
  <c r="AV50" i="1"/>
  <c r="AT50" i="1"/>
  <c r="AQ50" i="1"/>
  <c r="AO50" i="1"/>
  <c r="AL50" i="1"/>
  <c r="AJ50" i="1"/>
  <c r="AG50" i="1"/>
  <c r="AE50" i="1"/>
  <c r="AB50" i="1"/>
  <c r="Z50" i="1"/>
  <c r="W50" i="1"/>
  <c r="U50" i="1"/>
  <c r="P50" i="1"/>
  <c r="BZ49" i="1"/>
  <c r="BX49" i="1"/>
  <c r="BU49" i="1"/>
  <c r="BS49" i="1"/>
  <c r="BP49" i="1"/>
  <c r="BN49" i="1"/>
  <c r="BK49" i="1"/>
  <c r="BI49" i="1"/>
  <c r="BF49" i="1"/>
  <c r="BD49" i="1"/>
  <c r="BA49" i="1"/>
  <c r="AY49" i="1"/>
  <c r="AV49" i="1"/>
  <c r="AT49" i="1"/>
  <c r="AQ49" i="1"/>
  <c r="AO49" i="1"/>
  <c r="AL49" i="1"/>
  <c r="AJ49" i="1"/>
  <c r="AG49" i="1"/>
  <c r="AE49" i="1"/>
  <c r="AB49" i="1"/>
  <c r="Z49" i="1"/>
  <c r="W49" i="1"/>
  <c r="U49" i="1"/>
  <c r="P49" i="1"/>
  <c r="BZ48" i="1"/>
  <c r="BX48" i="1"/>
  <c r="BU48" i="1"/>
  <c r="BS48" i="1"/>
  <c r="BP48" i="1"/>
  <c r="BN48" i="1"/>
  <c r="BK48" i="1"/>
  <c r="BI48" i="1"/>
  <c r="BF48" i="1"/>
  <c r="BD48" i="1"/>
  <c r="BA48" i="1"/>
  <c r="AY48" i="1"/>
  <c r="AV48" i="1"/>
  <c r="AT48" i="1"/>
  <c r="AQ48" i="1"/>
  <c r="AO48" i="1"/>
  <c r="AL48" i="1"/>
  <c r="AJ48" i="1"/>
  <c r="AG48" i="1"/>
  <c r="AE48" i="1"/>
  <c r="AB48" i="1"/>
  <c r="Z48" i="1"/>
  <c r="W48" i="1"/>
  <c r="U48" i="1"/>
  <c r="P48" i="1"/>
  <c r="BZ47" i="1"/>
  <c r="BX47" i="1"/>
  <c r="BU47" i="1"/>
  <c r="BS47" i="1"/>
  <c r="BP47" i="1"/>
  <c r="BN47" i="1"/>
  <c r="BK47" i="1"/>
  <c r="BI47" i="1"/>
  <c r="BF47" i="1"/>
  <c r="BD47" i="1"/>
  <c r="BA47" i="1"/>
  <c r="AY47" i="1"/>
  <c r="AV47" i="1"/>
  <c r="AT47" i="1"/>
  <c r="AQ47" i="1"/>
  <c r="AO47" i="1"/>
  <c r="AL47" i="1"/>
  <c r="AJ47" i="1"/>
  <c r="AG47" i="1"/>
  <c r="AE47" i="1"/>
  <c r="AB47" i="1"/>
  <c r="Z47" i="1"/>
  <c r="W47" i="1"/>
  <c r="U47" i="1"/>
  <c r="P47" i="1"/>
  <c r="BZ43" i="1"/>
  <c r="BX43" i="1"/>
  <c r="BU43" i="1"/>
  <c r="BS43" i="1"/>
  <c r="BP43" i="1"/>
  <c r="BN43" i="1"/>
  <c r="BK43" i="1"/>
  <c r="BI43" i="1"/>
  <c r="BF43" i="1"/>
  <c r="BD43" i="1"/>
  <c r="BA43" i="1"/>
  <c r="AY43" i="1"/>
  <c r="AV43" i="1"/>
  <c r="AT43" i="1"/>
  <c r="AQ43" i="1"/>
  <c r="AO43" i="1"/>
  <c r="AL43" i="1"/>
  <c r="AJ43" i="1"/>
  <c r="AG43" i="1"/>
  <c r="AE43" i="1"/>
  <c r="AB43" i="1"/>
  <c r="Z43" i="1"/>
  <c r="W43" i="1"/>
  <c r="U43" i="1"/>
  <c r="P43" i="1"/>
  <c r="BZ46" i="1"/>
  <c r="BX46" i="1"/>
  <c r="BU46" i="1"/>
  <c r="BS46" i="1"/>
  <c r="BP46" i="1"/>
  <c r="BN46" i="1"/>
  <c r="BK46" i="1"/>
  <c r="BI46" i="1"/>
  <c r="BF46" i="1"/>
  <c r="BD46" i="1"/>
  <c r="BA46" i="1"/>
  <c r="AY46" i="1"/>
  <c r="AV46" i="1"/>
  <c r="AT46" i="1"/>
  <c r="AQ46" i="1"/>
  <c r="AO46" i="1"/>
  <c r="AL46" i="1"/>
  <c r="AJ46" i="1"/>
  <c r="AG46" i="1"/>
  <c r="AE46" i="1"/>
  <c r="AB46" i="1"/>
  <c r="Z46" i="1"/>
  <c r="W46" i="1"/>
  <c r="U46" i="1"/>
  <c r="P46" i="1"/>
  <c r="BZ42" i="1"/>
  <c r="BX42" i="1"/>
  <c r="BU42" i="1"/>
  <c r="BS42" i="1"/>
  <c r="BP42" i="1"/>
  <c r="BN42" i="1"/>
  <c r="BK42" i="1"/>
  <c r="BI42" i="1"/>
  <c r="BF42" i="1"/>
  <c r="BD42" i="1"/>
  <c r="BA42" i="1"/>
  <c r="AY42" i="1"/>
  <c r="AV42" i="1"/>
  <c r="AT42" i="1"/>
  <c r="AQ42" i="1"/>
  <c r="AO42" i="1"/>
  <c r="AL42" i="1"/>
  <c r="AJ42" i="1"/>
  <c r="AG42" i="1"/>
  <c r="AE42" i="1"/>
  <c r="AB42" i="1"/>
  <c r="Z42" i="1"/>
  <c r="W42" i="1"/>
  <c r="U42" i="1"/>
  <c r="P42" i="1"/>
  <c r="BZ41" i="1"/>
  <c r="BX41" i="1"/>
  <c r="BU41" i="1"/>
  <c r="BS41" i="1"/>
  <c r="BP41" i="1"/>
  <c r="BN41" i="1"/>
  <c r="BK41" i="1"/>
  <c r="BI41" i="1"/>
  <c r="BF41" i="1"/>
  <c r="BD41" i="1"/>
  <c r="BA41" i="1"/>
  <c r="AY41" i="1"/>
  <c r="AV41" i="1"/>
  <c r="AT41" i="1"/>
  <c r="AQ41" i="1"/>
  <c r="AO41" i="1"/>
  <c r="AL41" i="1"/>
  <c r="AJ41" i="1"/>
  <c r="AG41" i="1"/>
  <c r="AE41" i="1"/>
  <c r="AB41" i="1"/>
  <c r="Z41" i="1"/>
  <c r="W41" i="1"/>
  <c r="U41" i="1"/>
  <c r="P41" i="1"/>
  <c r="BZ40" i="1"/>
  <c r="BX40" i="1"/>
  <c r="BU40" i="1"/>
  <c r="BS40" i="1"/>
  <c r="BP40" i="1"/>
  <c r="BN40" i="1"/>
  <c r="BK40" i="1"/>
  <c r="BI40" i="1"/>
  <c r="BF40" i="1"/>
  <c r="BD40" i="1"/>
  <c r="BA40" i="1"/>
  <c r="AY40" i="1"/>
  <c r="AV40" i="1"/>
  <c r="AT40" i="1"/>
  <c r="AQ40" i="1"/>
  <c r="AO40" i="1"/>
  <c r="AL40" i="1"/>
  <c r="AJ40" i="1"/>
  <c r="AG40" i="1"/>
  <c r="AE40" i="1"/>
  <c r="AB40" i="1"/>
  <c r="Z40" i="1"/>
  <c r="W40" i="1"/>
  <c r="U40" i="1"/>
  <c r="P40" i="1"/>
  <c r="BZ39" i="1"/>
  <c r="BX39" i="1"/>
  <c r="BU39" i="1"/>
  <c r="BS39" i="1"/>
  <c r="BP39" i="1"/>
  <c r="BN39" i="1"/>
  <c r="BK39" i="1"/>
  <c r="BI39" i="1"/>
  <c r="BF39" i="1"/>
  <c r="BD39" i="1"/>
  <c r="BA39" i="1"/>
  <c r="AY39" i="1"/>
  <c r="AV39" i="1"/>
  <c r="AT39" i="1"/>
  <c r="AQ39" i="1"/>
  <c r="AO39" i="1"/>
  <c r="AL39" i="1"/>
  <c r="AJ39" i="1"/>
  <c r="AG39" i="1"/>
  <c r="AE39" i="1"/>
  <c r="AB39" i="1"/>
  <c r="Z39" i="1"/>
  <c r="W39" i="1"/>
  <c r="U39" i="1"/>
  <c r="P39" i="1"/>
  <c r="BZ38" i="1"/>
  <c r="BX38" i="1"/>
  <c r="BU38" i="1"/>
  <c r="BS38" i="1"/>
  <c r="BP38" i="1"/>
  <c r="BN38" i="1"/>
  <c r="BK38" i="1"/>
  <c r="BI38" i="1"/>
  <c r="BF38" i="1"/>
  <c r="BD38" i="1"/>
  <c r="BA38" i="1"/>
  <c r="AY38" i="1"/>
  <c r="AV38" i="1"/>
  <c r="AT38" i="1"/>
  <c r="AQ38" i="1"/>
  <c r="AO38" i="1"/>
  <c r="AL38" i="1"/>
  <c r="AJ38" i="1"/>
  <c r="AG38" i="1"/>
  <c r="AE38" i="1"/>
  <c r="AB38" i="1"/>
  <c r="Z38" i="1"/>
  <c r="W38" i="1"/>
  <c r="U38" i="1"/>
  <c r="P38" i="1"/>
  <c r="BZ37" i="1"/>
  <c r="BX37" i="1"/>
  <c r="BU37" i="1"/>
  <c r="BS37" i="1"/>
  <c r="BP37" i="1"/>
  <c r="BN37" i="1"/>
  <c r="BK37" i="1"/>
  <c r="BI37" i="1"/>
  <c r="BF37" i="1"/>
  <c r="BD37" i="1"/>
  <c r="BA37" i="1"/>
  <c r="AY37" i="1"/>
  <c r="AV37" i="1"/>
  <c r="AT37" i="1"/>
  <c r="AQ37" i="1"/>
  <c r="AO37" i="1"/>
  <c r="AL37" i="1"/>
  <c r="AJ37" i="1"/>
  <c r="AG37" i="1"/>
  <c r="AE37" i="1"/>
  <c r="AB37" i="1"/>
  <c r="Z37" i="1"/>
  <c r="W37" i="1"/>
  <c r="U37" i="1"/>
  <c r="P37" i="1"/>
  <c r="BZ36" i="1"/>
  <c r="BX36" i="1"/>
  <c r="BU36" i="1"/>
  <c r="BS36" i="1"/>
  <c r="BP36" i="1"/>
  <c r="BN36" i="1"/>
  <c r="BK36" i="1"/>
  <c r="BI36" i="1"/>
  <c r="BF36" i="1"/>
  <c r="BD36" i="1"/>
  <c r="BA36" i="1"/>
  <c r="AY36" i="1"/>
  <c r="AV36" i="1"/>
  <c r="AT36" i="1"/>
  <c r="AQ36" i="1"/>
  <c r="AO36" i="1"/>
  <c r="AL36" i="1"/>
  <c r="AJ36" i="1"/>
  <c r="AG36" i="1"/>
  <c r="AE36" i="1"/>
  <c r="AB36" i="1"/>
  <c r="Z36" i="1"/>
  <c r="W36" i="1"/>
  <c r="U36" i="1"/>
  <c r="P36" i="1"/>
  <c r="BZ35" i="1"/>
  <c r="BX35" i="1"/>
  <c r="BU35" i="1"/>
  <c r="BS35" i="1"/>
  <c r="BP35" i="1"/>
  <c r="BN35" i="1"/>
  <c r="BK35" i="1"/>
  <c r="BI35" i="1"/>
  <c r="BF35" i="1"/>
  <c r="BD35" i="1"/>
  <c r="BA35" i="1"/>
  <c r="AY35" i="1"/>
  <c r="AV35" i="1"/>
  <c r="AT35" i="1"/>
  <c r="AQ35" i="1"/>
  <c r="AO35" i="1"/>
  <c r="AL35" i="1"/>
  <c r="AJ35" i="1"/>
  <c r="AG35" i="1"/>
  <c r="AE35" i="1"/>
  <c r="AB35" i="1"/>
  <c r="Z35" i="1"/>
  <c r="W35" i="1"/>
  <c r="U35" i="1"/>
  <c r="P35" i="1"/>
  <c r="BZ34" i="1"/>
  <c r="BX34" i="1"/>
  <c r="BU34" i="1"/>
  <c r="BS34" i="1"/>
  <c r="BP34" i="1"/>
  <c r="BN34" i="1"/>
  <c r="BK34" i="1"/>
  <c r="BI34" i="1"/>
  <c r="BF34" i="1"/>
  <c r="BD34" i="1"/>
  <c r="BA34" i="1"/>
  <c r="AY34" i="1"/>
  <c r="AV34" i="1"/>
  <c r="AT34" i="1"/>
  <c r="AQ34" i="1"/>
  <c r="AO34" i="1"/>
  <c r="AL34" i="1"/>
  <c r="AJ34" i="1"/>
  <c r="AG34" i="1"/>
  <c r="AE34" i="1"/>
  <c r="AB34" i="1"/>
  <c r="Z34" i="1"/>
  <c r="W34" i="1"/>
  <c r="U34" i="1"/>
  <c r="P34" i="1"/>
  <c r="BZ33" i="1"/>
  <c r="BX33" i="1"/>
  <c r="BU33" i="1"/>
  <c r="BS33" i="1"/>
  <c r="BP33" i="1"/>
  <c r="BN33" i="1"/>
  <c r="BK33" i="1"/>
  <c r="BI33" i="1"/>
  <c r="BF33" i="1"/>
  <c r="BD33" i="1"/>
  <c r="BA33" i="1"/>
  <c r="AY33" i="1"/>
  <c r="AV33" i="1"/>
  <c r="AT33" i="1"/>
  <c r="AQ33" i="1"/>
  <c r="AO33" i="1"/>
  <c r="AL33" i="1"/>
  <c r="AJ33" i="1"/>
  <c r="AG33" i="1"/>
  <c r="AE33" i="1"/>
  <c r="AB33" i="1"/>
  <c r="Z33" i="1"/>
  <c r="W33" i="1"/>
  <c r="U33" i="1"/>
  <c r="P33" i="1"/>
  <c r="BZ32" i="1"/>
  <c r="BX32" i="1"/>
  <c r="BU32" i="1"/>
  <c r="BS32" i="1"/>
  <c r="BP32" i="1"/>
  <c r="BN32" i="1"/>
  <c r="BK32" i="1"/>
  <c r="BI32" i="1"/>
  <c r="BF32" i="1"/>
  <c r="BD32" i="1"/>
  <c r="BA32" i="1"/>
  <c r="AY32" i="1"/>
  <c r="AV32" i="1"/>
  <c r="AT32" i="1"/>
  <c r="AQ32" i="1"/>
  <c r="AO32" i="1"/>
  <c r="AL32" i="1"/>
  <c r="AJ32" i="1"/>
  <c r="AG32" i="1"/>
  <c r="AE32" i="1"/>
  <c r="AB32" i="1"/>
  <c r="Z32" i="1"/>
  <c r="W32" i="1"/>
  <c r="U32" i="1"/>
  <c r="P32" i="1"/>
  <c r="BZ31" i="1"/>
  <c r="BX31" i="1"/>
  <c r="BU31" i="1"/>
  <c r="BS31" i="1"/>
  <c r="BP31" i="1"/>
  <c r="BN31" i="1"/>
  <c r="BK31" i="1"/>
  <c r="BI31" i="1"/>
  <c r="BF31" i="1"/>
  <c r="BD31" i="1"/>
  <c r="BA31" i="1"/>
  <c r="AY31" i="1"/>
  <c r="AV31" i="1"/>
  <c r="AT31" i="1"/>
  <c r="AQ31" i="1"/>
  <c r="AO31" i="1"/>
  <c r="AL31" i="1"/>
  <c r="AJ31" i="1"/>
  <c r="AG31" i="1"/>
  <c r="AE31" i="1"/>
  <c r="AB31" i="1"/>
  <c r="Z31" i="1"/>
  <c r="W31" i="1"/>
  <c r="U31" i="1"/>
  <c r="P31" i="1"/>
  <c r="BZ30" i="1"/>
  <c r="BX30" i="1"/>
  <c r="BU30" i="1"/>
  <c r="BS30" i="1"/>
  <c r="BP30" i="1"/>
  <c r="BN30" i="1"/>
  <c r="BK30" i="1"/>
  <c r="BI30" i="1"/>
  <c r="BF30" i="1"/>
  <c r="BD30" i="1"/>
  <c r="BA30" i="1"/>
  <c r="AY30" i="1"/>
  <c r="AV30" i="1"/>
  <c r="AT30" i="1"/>
  <c r="AQ30" i="1"/>
  <c r="AO30" i="1"/>
  <c r="AL30" i="1"/>
  <c r="AJ30" i="1"/>
  <c r="AG30" i="1"/>
  <c r="AE30" i="1"/>
  <c r="AB30" i="1"/>
  <c r="Z30" i="1"/>
  <c r="W30" i="1"/>
  <c r="U30" i="1"/>
  <c r="P30" i="1"/>
  <c r="BZ29" i="1"/>
  <c r="BX29" i="1"/>
  <c r="BU29" i="1"/>
  <c r="BS29" i="1"/>
  <c r="BP29" i="1"/>
  <c r="BN29" i="1"/>
  <c r="BK29" i="1"/>
  <c r="BI29" i="1"/>
  <c r="BF29" i="1"/>
  <c r="BD29" i="1"/>
  <c r="BA29" i="1"/>
  <c r="AY29" i="1"/>
  <c r="AV29" i="1"/>
  <c r="AT29" i="1"/>
  <c r="AQ29" i="1"/>
  <c r="AO29" i="1"/>
  <c r="AL29" i="1"/>
  <c r="AJ29" i="1"/>
  <c r="AG29" i="1"/>
  <c r="AE29" i="1"/>
  <c r="AB29" i="1"/>
  <c r="Z29" i="1"/>
  <c r="W29" i="1"/>
  <c r="U29" i="1"/>
  <c r="P29" i="1"/>
  <c r="BZ28" i="1"/>
  <c r="BX28" i="1"/>
  <c r="BU28" i="1"/>
  <c r="BS28" i="1"/>
  <c r="BP28" i="1"/>
  <c r="BN28" i="1"/>
  <c r="BK28" i="1"/>
  <c r="BI28" i="1"/>
  <c r="BF28" i="1"/>
  <c r="BD28" i="1"/>
  <c r="BA28" i="1"/>
  <c r="AY28" i="1"/>
  <c r="AV28" i="1"/>
  <c r="AT28" i="1"/>
  <c r="AQ28" i="1"/>
  <c r="AO28" i="1"/>
  <c r="AL28" i="1"/>
  <c r="AJ28" i="1"/>
  <c r="AG28" i="1"/>
  <c r="AE28" i="1"/>
  <c r="AB28" i="1"/>
  <c r="Z28" i="1"/>
  <c r="W28" i="1"/>
  <c r="U28" i="1"/>
  <c r="P28" i="1"/>
  <c r="BZ27" i="1"/>
  <c r="BX27" i="1"/>
  <c r="BU27" i="1"/>
  <c r="BS27" i="1"/>
  <c r="BP27" i="1"/>
  <c r="BN27" i="1"/>
  <c r="BK27" i="1"/>
  <c r="BI27" i="1"/>
  <c r="BF27" i="1"/>
  <c r="BD27" i="1"/>
  <c r="BA27" i="1"/>
  <c r="AY27" i="1"/>
  <c r="AV27" i="1"/>
  <c r="AT27" i="1"/>
  <c r="AQ27" i="1"/>
  <c r="AO27" i="1"/>
  <c r="AL27" i="1"/>
  <c r="AJ27" i="1"/>
  <c r="AG27" i="1"/>
  <c r="AE27" i="1"/>
  <c r="AB27" i="1"/>
  <c r="Z27" i="1"/>
  <c r="W27" i="1"/>
  <c r="U27" i="1"/>
  <c r="P27" i="1"/>
  <c r="BZ26" i="1"/>
  <c r="BX26" i="1"/>
  <c r="BU26" i="1"/>
  <c r="BS26" i="1"/>
  <c r="BP26" i="1"/>
  <c r="BN26" i="1"/>
  <c r="BK26" i="1"/>
  <c r="BI26" i="1"/>
  <c r="BF26" i="1"/>
  <c r="BD26" i="1"/>
  <c r="BA26" i="1"/>
  <c r="AY26" i="1"/>
  <c r="AV26" i="1"/>
  <c r="AT26" i="1"/>
  <c r="AQ26" i="1"/>
  <c r="AO26" i="1"/>
  <c r="AL26" i="1"/>
  <c r="AJ26" i="1"/>
  <c r="AG26" i="1"/>
  <c r="AE26" i="1"/>
  <c r="AB26" i="1"/>
  <c r="Z26" i="1"/>
  <c r="W26" i="1"/>
  <c r="U26" i="1"/>
  <c r="P26" i="1"/>
  <c r="BZ25" i="1"/>
  <c r="BX25" i="1"/>
  <c r="BU25" i="1"/>
  <c r="BS25" i="1"/>
  <c r="BP25" i="1"/>
  <c r="BN25" i="1"/>
  <c r="BK25" i="1"/>
  <c r="BI25" i="1"/>
  <c r="BF25" i="1"/>
  <c r="BD25" i="1"/>
  <c r="BA25" i="1"/>
  <c r="AY25" i="1"/>
  <c r="AV25" i="1"/>
  <c r="AT25" i="1"/>
  <c r="AQ25" i="1"/>
  <c r="AO25" i="1"/>
  <c r="AL25" i="1"/>
  <c r="AJ25" i="1"/>
  <c r="AG25" i="1"/>
  <c r="AE25" i="1"/>
  <c r="AB25" i="1"/>
  <c r="Z25" i="1"/>
  <c r="W25" i="1"/>
  <c r="U25" i="1"/>
  <c r="P25" i="1"/>
  <c r="BZ24" i="1"/>
  <c r="BX24" i="1"/>
  <c r="BU24" i="1"/>
  <c r="BS24" i="1"/>
  <c r="BP24" i="1"/>
  <c r="BN24" i="1"/>
  <c r="BK24" i="1"/>
  <c r="BI24" i="1"/>
  <c r="BF24" i="1"/>
  <c r="BD24" i="1"/>
  <c r="BA24" i="1"/>
  <c r="AY24" i="1"/>
  <c r="AV24" i="1"/>
  <c r="AT24" i="1"/>
  <c r="AQ24" i="1"/>
  <c r="AO24" i="1"/>
  <c r="AL24" i="1"/>
  <c r="AJ24" i="1"/>
  <c r="AG24" i="1"/>
  <c r="AE24" i="1"/>
  <c r="AB24" i="1"/>
  <c r="Z24" i="1"/>
  <c r="W24" i="1"/>
  <c r="U24" i="1"/>
  <c r="P24" i="1"/>
  <c r="BZ23" i="1"/>
  <c r="BX23" i="1"/>
  <c r="BU23" i="1"/>
  <c r="BS23" i="1"/>
  <c r="BP23" i="1"/>
  <c r="BN23" i="1"/>
  <c r="BK23" i="1"/>
  <c r="BI23" i="1"/>
  <c r="BF23" i="1"/>
  <c r="BD23" i="1"/>
  <c r="BA23" i="1"/>
  <c r="AY23" i="1"/>
  <c r="AV23" i="1"/>
  <c r="AT23" i="1"/>
  <c r="AQ23" i="1"/>
  <c r="AO23" i="1"/>
  <c r="AL23" i="1"/>
  <c r="AJ23" i="1"/>
  <c r="AG23" i="1"/>
  <c r="AE23" i="1"/>
  <c r="AB23" i="1"/>
  <c r="Z23" i="1"/>
  <c r="W23" i="1"/>
  <c r="U23" i="1"/>
  <c r="P23" i="1"/>
  <c r="BZ22" i="1"/>
  <c r="BX22" i="1"/>
  <c r="BU22" i="1"/>
  <c r="BS22" i="1"/>
  <c r="BP22" i="1"/>
  <c r="BN22" i="1"/>
  <c r="BK22" i="1"/>
  <c r="BI22" i="1"/>
  <c r="BF22" i="1"/>
  <c r="BD22" i="1"/>
  <c r="BA22" i="1"/>
  <c r="AY22" i="1"/>
  <c r="AV22" i="1"/>
  <c r="AT22" i="1"/>
  <c r="AQ22" i="1"/>
  <c r="AO22" i="1"/>
  <c r="AL22" i="1"/>
  <c r="AJ22" i="1"/>
  <c r="AG22" i="1"/>
  <c r="AE22" i="1"/>
  <c r="AB22" i="1"/>
  <c r="Z22" i="1"/>
  <c r="W22" i="1"/>
  <c r="U22" i="1"/>
  <c r="P22" i="1"/>
  <c r="BZ21" i="1"/>
  <c r="BX21" i="1"/>
  <c r="BU21" i="1"/>
  <c r="BS21" i="1"/>
  <c r="BP21" i="1"/>
  <c r="BN21" i="1"/>
  <c r="BK21" i="1"/>
  <c r="BI21" i="1"/>
  <c r="BF21" i="1"/>
  <c r="BD21" i="1"/>
  <c r="BA21" i="1"/>
  <c r="AY21" i="1"/>
  <c r="AV21" i="1"/>
  <c r="AT21" i="1"/>
  <c r="AQ21" i="1"/>
  <c r="AO21" i="1"/>
  <c r="AL21" i="1"/>
  <c r="AJ21" i="1"/>
  <c r="AG21" i="1"/>
  <c r="AE21" i="1"/>
  <c r="AB21" i="1"/>
  <c r="Z21" i="1"/>
  <c r="W21" i="1"/>
  <c r="U21" i="1"/>
  <c r="P21" i="1"/>
  <c r="BZ20" i="1"/>
  <c r="BX20" i="1"/>
  <c r="BU20" i="1"/>
  <c r="BS20" i="1"/>
  <c r="BP20" i="1"/>
  <c r="BN20" i="1"/>
  <c r="BK20" i="1"/>
  <c r="BI20" i="1"/>
  <c r="BF20" i="1"/>
  <c r="BD20" i="1"/>
  <c r="BA20" i="1"/>
  <c r="AY20" i="1"/>
  <c r="AV20" i="1"/>
  <c r="AT20" i="1"/>
  <c r="AQ20" i="1"/>
  <c r="AO20" i="1"/>
  <c r="AL20" i="1"/>
  <c r="AJ20" i="1"/>
  <c r="AG20" i="1"/>
  <c r="AE20" i="1"/>
  <c r="AB20" i="1"/>
  <c r="Z20" i="1"/>
  <c r="W20" i="1"/>
  <c r="U20" i="1"/>
  <c r="P20" i="1"/>
  <c r="BZ19" i="1"/>
  <c r="BX19" i="1"/>
  <c r="BU19" i="1"/>
  <c r="BS19" i="1"/>
  <c r="BP19" i="1"/>
  <c r="BN19" i="1"/>
  <c r="BK19" i="1"/>
  <c r="BI19" i="1"/>
  <c r="BF19" i="1"/>
  <c r="BD19" i="1"/>
  <c r="BA19" i="1"/>
  <c r="AY19" i="1"/>
  <c r="AV19" i="1"/>
  <c r="AT19" i="1"/>
  <c r="AQ19" i="1"/>
  <c r="AO19" i="1"/>
  <c r="AL19" i="1"/>
  <c r="AJ19" i="1"/>
  <c r="AG19" i="1"/>
  <c r="AE19" i="1"/>
  <c r="AB19" i="1"/>
  <c r="Z19" i="1"/>
  <c r="W19" i="1"/>
  <c r="U19" i="1"/>
  <c r="P19" i="1"/>
  <c r="BZ18" i="1"/>
  <c r="BX18" i="1"/>
  <c r="BU18" i="1"/>
  <c r="BS18" i="1"/>
  <c r="BP18" i="1"/>
  <c r="BN18" i="1"/>
  <c r="BK18" i="1"/>
  <c r="BI18" i="1"/>
  <c r="BF18" i="1"/>
  <c r="BD18" i="1"/>
  <c r="BA18" i="1"/>
  <c r="AY18" i="1"/>
  <c r="AV18" i="1"/>
  <c r="AT18" i="1"/>
  <c r="AQ18" i="1"/>
  <c r="AO18" i="1"/>
  <c r="AL18" i="1"/>
  <c r="AJ18" i="1"/>
  <c r="AG18" i="1"/>
  <c r="AE18" i="1"/>
  <c r="AB18" i="1"/>
  <c r="Z18" i="1"/>
  <c r="W18" i="1"/>
  <c r="U18" i="1"/>
  <c r="P18" i="1"/>
  <c r="BZ17" i="1"/>
  <c r="BX17" i="1"/>
  <c r="BU17" i="1"/>
  <c r="BS17" i="1"/>
  <c r="BP17" i="1"/>
  <c r="BN17" i="1"/>
  <c r="BK17" i="1"/>
  <c r="BI17" i="1"/>
  <c r="BF17" i="1"/>
  <c r="BD17" i="1"/>
  <c r="BA17" i="1"/>
  <c r="AY17" i="1"/>
  <c r="AV17" i="1"/>
  <c r="AT17" i="1"/>
  <c r="AQ17" i="1"/>
  <c r="AO17" i="1"/>
  <c r="AL17" i="1"/>
  <c r="AJ17" i="1"/>
  <c r="AG17" i="1"/>
  <c r="AE17" i="1"/>
  <c r="AB17" i="1"/>
  <c r="Z17" i="1"/>
  <c r="W17" i="1"/>
  <c r="U17" i="1"/>
  <c r="P17" i="1"/>
  <c r="BZ16" i="1"/>
  <c r="BX16" i="1"/>
  <c r="BU16" i="1"/>
  <c r="BS16" i="1"/>
  <c r="BP16" i="1"/>
  <c r="BN16" i="1"/>
  <c r="BK16" i="1"/>
  <c r="BI16" i="1"/>
  <c r="BF16" i="1"/>
  <c r="BD16" i="1"/>
  <c r="BA16" i="1"/>
  <c r="AY16" i="1"/>
  <c r="AV16" i="1"/>
  <c r="AT16" i="1"/>
  <c r="AQ16" i="1"/>
  <c r="AO16" i="1"/>
  <c r="AL16" i="1"/>
  <c r="AJ16" i="1"/>
  <c r="AG16" i="1"/>
  <c r="AE16" i="1"/>
  <c r="AB16" i="1"/>
  <c r="Z16" i="1"/>
  <c r="W16" i="1"/>
  <c r="U16" i="1"/>
  <c r="P16" i="1"/>
  <c r="BZ15" i="1"/>
  <c r="BX15" i="1"/>
  <c r="BU15" i="1"/>
  <c r="BS15" i="1"/>
  <c r="BP15" i="1"/>
  <c r="BN15" i="1"/>
  <c r="BK15" i="1"/>
  <c r="BI15" i="1"/>
  <c r="BF15" i="1"/>
  <c r="BD15" i="1"/>
  <c r="BA15" i="1"/>
  <c r="AY15" i="1"/>
  <c r="AV15" i="1"/>
  <c r="AT15" i="1"/>
  <c r="AQ15" i="1"/>
  <c r="AO15" i="1"/>
  <c r="AL15" i="1"/>
  <c r="AJ15" i="1"/>
  <c r="AG15" i="1"/>
  <c r="AE15" i="1"/>
  <c r="AB15" i="1"/>
  <c r="Z15" i="1"/>
  <c r="W15" i="1"/>
  <c r="U15" i="1"/>
  <c r="P15" i="1"/>
  <c r="BZ14" i="1"/>
  <c r="BX14" i="1"/>
  <c r="BU14" i="1"/>
  <c r="BS14" i="1"/>
  <c r="BP14" i="1"/>
  <c r="BN14" i="1"/>
  <c r="BK14" i="1"/>
  <c r="BI14" i="1"/>
  <c r="BF14" i="1"/>
  <c r="BD14" i="1"/>
  <c r="BA14" i="1"/>
  <c r="AY14" i="1"/>
  <c r="AV14" i="1"/>
  <c r="AT14" i="1"/>
  <c r="AQ14" i="1"/>
  <c r="AO14" i="1"/>
  <c r="AL14" i="1"/>
  <c r="AJ14" i="1"/>
  <c r="AG14" i="1"/>
  <c r="AE14" i="1"/>
  <c r="AB14" i="1"/>
  <c r="Z14" i="1"/>
  <c r="W14" i="1"/>
  <c r="U14" i="1"/>
  <c r="P14" i="1"/>
  <c r="BZ13" i="1"/>
  <c r="BX13" i="1"/>
  <c r="BU13" i="1"/>
  <c r="BS13" i="1"/>
  <c r="BP13" i="1"/>
  <c r="BN13" i="1"/>
  <c r="BK13" i="1"/>
  <c r="BI13" i="1"/>
  <c r="BF13" i="1"/>
  <c r="BD13" i="1"/>
  <c r="BA13" i="1"/>
  <c r="AY13" i="1"/>
  <c r="AV13" i="1"/>
  <c r="AT13" i="1"/>
  <c r="AQ13" i="1"/>
  <c r="AO13" i="1"/>
  <c r="AL13" i="1"/>
  <c r="AJ13" i="1"/>
  <c r="AG13" i="1"/>
  <c r="AE13" i="1"/>
  <c r="AB13" i="1"/>
  <c r="Z13" i="1"/>
  <c r="W13" i="1"/>
  <c r="U13" i="1"/>
  <c r="P13" i="1"/>
  <c r="BZ12" i="1"/>
  <c r="BX12" i="1"/>
  <c r="BU12" i="1"/>
  <c r="BS12" i="1"/>
  <c r="BP12" i="1"/>
  <c r="BN12" i="1"/>
  <c r="BK12" i="1"/>
  <c r="BI12" i="1"/>
  <c r="BF12" i="1"/>
  <c r="BD12" i="1"/>
  <c r="BA12" i="1"/>
  <c r="AY12" i="1"/>
  <c r="AV12" i="1"/>
  <c r="AT12" i="1"/>
  <c r="AQ12" i="1"/>
  <c r="AO12" i="1"/>
  <c r="AL12" i="1"/>
  <c r="AJ12" i="1"/>
  <c r="AG12" i="1"/>
  <c r="AE12" i="1"/>
  <c r="AB12" i="1"/>
  <c r="Z12" i="1"/>
  <c r="W12" i="1"/>
  <c r="U12" i="1"/>
  <c r="P12" i="1"/>
  <c r="BZ10" i="1"/>
  <c r="BX10" i="1"/>
  <c r="BU10" i="1"/>
  <c r="BS10" i="1"/>
  <c r="BP10" i="1"/>
  <c r="BN10" i="1"/>
  <c r="BK10" i="1"/>
  <c r="BI10" i="1"/>
  <c r="BF10" i="1"/>
  <c r="BD10" i="1"/>
  <c r="BA10" i="1"/>
  <c r="AY10" i="1"/>
  <c r="AV10" i="1"/>
  <c r="AT10" i="1"/>
  <c r="AQ10" i="1"/>
  <c r="AO10" i="1"/>
  <c r="AL10" i="1"/>
  <c r="AJ10" i="1"/>
  <c r="AG10" i="1"/>
  <c r="AE10" i="1"/>
  <c r="AB10" i="1"/>
  <c r="Z10" i="1"/>
  <c r="W10" i="1"/>
  <c r="U10" i="1"/>
  <c r="P10" i="1"/>
  <c r="BZ9" i="1"/>
  <c r="BX9" i="1"/>
  <c r="BU9" i="1"/>
  <c r="BS9" i="1"/>
  <c r="BP9" i="1"/>
  <c r="BN9" i="1"/>
  <c r="BK9" i="1"/>
  <c r="BI9" i="1"/>
  <c r="BF9" i="1"/>
  <c r="BD9" i="1"/>
  <c r="BA9" i="1"/>
  <c r="AY9" i="1"/>
  <c r="AV9" i="1"/>
  <c r="AT9" i="1"/>
  <c r="AQ9" i="1"/>
  <c r="AO9" i="1"/>
  <c r="AL9" i="1"/>
  <c r="AJ9" i="1"/>
  <c r="AG9" i="1"/>
  <c r="AE9" i="1"/>
  <c r="AB9" i="1"/>
  <c r="Z9" i="1"/>
  <c r="W9" i="1"/>
  <c r="U9" i="1"/>
  <c r="P9" i="1"/>
  <c r="BZ8" i="1"/>
  <c r="BX8" i="1"/>
  <c r="BU8" i="1"/>
  <c r="BS8" i="1"/>
  <c r="BP8" i="1"/>
  <c r="BN8" i="1"/>
  <c r="BK8" i="1"/>
  <c r="BI8" i="1"/>
  <c r="BF8" i="1"/>
  <c r="BD8" i="1"/>
  <c r="BA8" i="1"/>
  <c r="AY8" i="1"/>
  <c r="AV8" i="1"/>
  <c r="AT8" i="1"/>
  <c r="AQ8" i="1"/>
  <c r="AO8" i="1"/>
  <c r="AL8" i="1"/>
  <c r="AJ8" i="1"/>
  <c r="AG8" i="1"/>
  <c r="AE8" i="1"/>
  <c r="AB8" i="1"/>
  <c r="Z8" i="1"/>
  <c r="W8" i="1"/>
  <c r="U8" i="1"/>
  <c r="P8" i="1"/>
  <c r="BZ7" i="1"/>
  <c r="BX7" i="1"/>
  <c r="BU7" i="1"/>
  <c r="BS7" i="1"/>
  <c r="BP7" i="1"/>
  <c r="BN7" i="1"/>
  <c r="BK7" i="1"/>
  <c r="BI7" i="1"/>
  <c r="BF7" i="1"/>
  <c r="BD7" i="1"/>
  <c r="BA7" i="1"/>
  <c r="AY7" i="1"/>
  <c r="AV7" i="1"/>
  <c r="AT7" i="1"/>
  <c r="AQ7" i="1"/>
  <c r="AO7" i="1"/>
  <c r="AL7" i="1"/>
  <c r="AJ7" i="1"/>
  <c r="AG7" i="1"/>
  <c r="AE7" i="1"/>
  <c r="AB7" i="1"/>
  <c r="Z7" i="1"/>
  <c r="W7" i="1"/>
  <c r="U7" i="1"/>
  <c r="P7" i="1"/>
  <c r="BZ6" i="1"/>
  <c r="BX6" i="1"/>
  <c r="BU6" i="1"/>
  <c r="BS6" i="1"/>
  <c r="BP6" i="1"/>
  <c r="BN6" i="1"/>
  <c r="BK6" i="1"/>
  <c r="BI6" i="1"/>
  <c r="BF6" i="1"/>
  <c r="BD6" i="1"/>
  <c r="BA6" i="1"/>
  <c r="AY6" i="1"/>
  <c r="AV6" i="1"/>
  <c r="AT6" i="1"/>
  <c r="AQ6" i="1"/>
  <c r="AO6" i="1"/>
  <c r="AL6" i="1"/>
  <c r="AJ6" i="1"/>
  <c r="AG6" i="1"/>
  <c r="AE6" i="1"/>
  <c r="AB6" i="1"/>
  <c r="Z6" i="1"/>
  <c r="W6" i="1"/>
  <c r="U6" i="1"/>
  <c r="P6" i="1"/>
  <c r="BZ5" i="1"/>
  <c r="BX5" i="1"/>
  <c r="BU5" i="1"/>
  <c r="BS5" i="1"/>
  <c r="BP5" i="1"/>
  <c r="BN5" i="1"/>
  <c r="BK5" i="1"/>
  <c r="BI5" i="1"/>
  <c r="BF5" i="1"/>
  <c r="BD5" i="1"/>
  <c r="BA5" i="1"/>
  <c r="AY5" i="1"/>
  <c r="AV5" i="1"/>
  <c r="AT5" i="1"/>
  <c r="AQ5" i="1"/>
  <c r="AO5" i="1"/>
  <c r="AL5" i="1"/>
  <c r="AJ5" i="1"/>
  <c r="AG5" i="1"/>
  <c r="AE5" i="1"/>
  <c r="AB5" i="1"/>
  <c r="Z5" i="1"/>
  <c r="W5" i="1"/>
  <c r="U5" i="1"/>
  <c r="P5" i="1"/>
  <c r="BZ4" i="1"/>
  <c r="BX4" i="1"/>
  <c r="BU4" i="1"/>
  <c r="BS4" i="1"/>
  <c r="BP4" i="1"/>
  <c r="BN4" i="1"/>
  <c r="BK4" i="1"/>
  <c r="BI4" i="1"/>
  <c r="BF4" i="1"/>
  <c r="BD4" i="1"/>
  <c r="BA4" i="1"/>
  <c r="AY4" i="1"/>
  <c r="AV4" i="1"/>
  <c r="AT4" i="1"/>
  <c r="AQ4" i="1"/>
  <c r="AO4" i="1"/>
  <c r="AL4" i="1"/>
  <c r="AJ4" i="1"/>
  <c r="AG4" i="1"/>
  <c r="AE4" i="1"/>
  <c r="AB4" i="1"/>
  <c r="Z4" i="1"/>
  <c r="W4" i="1"/>
  <c r="U4" i="1"/>
  <c r="P4" i="1"/>
  <c r="BZ3" i="1"/>
  <c r="BX3" i="1"/>
  <c r="BU3" i="1"/>
  <c r="BS3" i="1"/>
  <c r="BP3" i="1"/>
  <c r="BN3" i="1"/>
  <c r="BK3" i="1"/>
  <c r="BI3" i="1"/>
  <c r="BF3" i="1"/>
  <c r="BD3" i="1"/>
  <c r="BA3" i="1"/>
  <c r="AY3" i="1"/>
  <c r="AV3" i="1"/>
  <c r="AT3" i="1"/>
  <c r="AQ3" i="1"/>
  <c r="AO3" i="1"/>
  <c r="AL3" i="1"/>
  <c r="AJ3" i="1"/>
  <c r="AG3" i="1"/>
  <c r="AE3" i="1"/>
  <c r="AB3" i="1"/>
  <c r="Z3" i="1"/>
  <c r="W3" i="1"/>
  <c r="U3" i="1"/>
  <c r="P3" i="1"/>
  <c r="BP1" i="2" l="1"/>
  <c r="AJ1" i="2"/>
  <c r="AL1" i="2"/>
  <c r="BS1" i="2"/>
  <c r="AO1" i="2"/>
  <c r="BU1" i="2"/>
  <c r="AQ1" i="2"/>
  <c r="BX1" i="2"/>
  <c r="AY1" i="2"/>
  <c r="CE1" i="2"/>
  <c r="U1" i="2"/>
  <c r="AB1" i="2"/>
  <c r="BI1" i="2"/>
  <c r="CC1" i="2"/>
  <c r="BF1" i="2"/>
  <c r="AE1" i="2"/>
  <c r="BK1" i="2"/>
  <c r="AV1" i="2"/>
  <c r="BD1" i="2"/>
  <c r="Z1" i="2"/>
  <c r="AG1" i="2"/>
  <c r="BN1" i="2"/>
  <c r="BZ1" i="2"/>
  <c r="AT1" i="2"/>
  <c r="V6" i="2"/>
  <c r="W6" i="2"/>
  <c r="V5" i="2"/>
  <c r="W5" i="2"/>
  <c r="AQ1" i="1"/>
  <c r="BU1" i="1"/>
  <c r="AT1" i="1"/>
  <c r="BX1" i="1"/>
  <c r="BE1" i="1"/>
  <c r="AO1" i="1"/>
  <c r="BS1" i="1"/>
  <c r="P1" i="1"/>
  <c r="AV1" i="1"/>
  <c r="BZ1" i="1"/>
  <c r="BD1" i="1"/>
  <c r="AL1" i="1"/>
  <c r="BP1" i="1"/>
  <c r="U1" i="1"/>
  <c r="W1" i="1"/>
  <c r="BA1" i="1"/>
  <c r="BI1" i="1"/>
  <c r="BK1" i="1"/>
  <c r="AY1" i="1"/>
  <c r="Z1" i="1"/>
  <c r="AB1" i="1"/>
  <c r="AE1" i="1"/>
  <c r="AG1" i="1"/>
  <c r="AJ1" i="1"/>
  <c r="BN1" i="1"/>
  <c r="S43" i="1"/>
  <c r="S46" i="1"/>
  <c r="S54" i="1"/>
  <c r="S55" i="1"/>
  <c r="X20" i="2"/>
  <c r="X28" i="2"/>
  <c r="S22" i="1"/>
  <c r="S14" i="1"/>
  <c r="S48" i="1"/>
  <c r="S51" i="1"/>
  <c r="S8" i="1"/>
  <c r="S27" i="1"/>
  <c r="S20" i="1"/>
  <c r="S23" i="1"/>
  <c r="S16" i="1"/>
  <c r="S19" i="1"/>
  <c r="S45" i="1"/>
  <c r="S10" i="1"/>
  <c r="S49" i="1"/>
  <c r="S17" i="1"/>
  <c r="S18" i="1"/>
  <c r="S53" i="1"/>
  <c r="S9" i="1"/>
  <c r="S15" i="1"/>
  <c r="S44" i="1"/>
  <c r="S52" i="1"/>
  <c r="R70" i="1"/>
  <c r="R13" i="1"/>
  <c r="R14" i="1"/>
  <c r="R62" i="1"/>
  <c r="R74" i="1"/>
  <c r="R29" i="1"/>
  <c r="R45" i="1"/>
  <c r="R18" i="1"/>
  <c r="R42" i="1"/>
  <c r="R17" i="1"/>
  <c r="R34" i="1"/>
  <c r="R54" i="1"/>
  <c r="R33" i="1"/>
  <c r="R69" i="1"/>
  <c r="R4" i="1"/>
  <c r="R41" i="1"/>
  <c r="R65" i="1"/>
  <c r="R5" i="1"/>
  <c r="R30" i="1"/>
  <c r="R22" i="1"/>
  <c r="R58" i="1"/>
  <c r="R6" i="1"/>
  <c r="R31" i="1"/>
  <c r="R46" i="1"/>
  <c r="R55" i="1"/>
  <c r="R67" i="1"/>
  <c r="R8" i="1"/>
  <c r="R47" i="1"/>
  <c r="R57" i="1"/>
  <c r="R10" i="1"/>
  <c r="R23" i="1"/>
  <c r="R35" i="1"/>
  <c r="R49" i="1"/>
  <c r="R59" i="1"/>
  <c r="R71" i="1"/>
  <c r="R9" i="1"/>
  <c r="R12" i="1"/>
  <c r="R24" i="1"/>
  <c r="R32" i="1"/>
  <c r="R36" i="1"/>
  <c r="R48" i="1"/>
  <c r="R50" i="1"/>
  <c r="R60" i="1"/>
  <c r="R66" i="1"/>
  <c r="R68" i="1"/>
  <c r="R72" i="1"/>
  <c r="R19" i="1"/>
  <c r="R7" i="1"/>
  <c r="R20" i="1"/>
  <c r="R43" i="1"/>
  <c r="R56" i="1"/>
  <c r="R21" i="1"/>
  <c r="R25" i="1"/>
  <c r="R37" i="1"/>
  <c r="R44" i="1"/>
  <c r="R61" i="1"/>
  <c r="R73" i="1"/>
  <c r="R26" i="1"/>
  <c r="R38" i="1"/>
  <c r="R51" i="1"/>
  <c r="R15" i="1"/>
  <c r="R27" i="1"/>
  <c r="R39" i="1"/>
  <c r="R52" i="1"/>
  <c r="R63" i="1"/>
  <c r="R75" i="1"/>
  <c r="R3" i="1"/>
  <c r="R16" i="1"/>
  <c r="R28" i="1"/>
  <c r="R40" i="1"/>
  <c r="R53" i="1"/>
  <c r="R64" i="1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4" i="2"/>
  <c r="W3" i="2"/>
  <c r="V10" i="2"/>
  <c r="V17" i="2"/>
  <c r="V20" i="2"/>
  <c r="V8" i="2"/>
  <c r="V3" i="2"/>
  <c r="V23" i="2"/>
  <c r="V26" i="2"/>
  <c r="Q35" i="1"/>
  <c r="Q4" i="1"/>
  <c r="Q59" i="1"/>
  <c r="Q27" i="1"/>
  <c r="V24" i="2"/>
  <c r="V7" i="2"/>
  <c r="V14" i="2"/>
  <c r="V18" i="2"/>
  <c r="V13" i="2"/>
  <c r="V11" i="2"/>
  <c r="V16" i="2"/>
  <c r="V27" i="2"/>
  <c r="V4" i="2"/>
  <c r="V15" i="2"/>
  <c r="V19" i="2"/>
  <c r="V12" i="2"/>
  <c r="V28" i="2"/>
  <c r="V9" i="2"/>
  <c r="V21" i="2"/>
  <c r="V25" i="2"/>
  <c r="V22" i="2"/>
  <c r="Q44" i="1"/>
  <c r="Q38" i="1"/>
  <c r="Q23" i="1"/>
  <c r="Q19" i="1"/>
  <c r="Q45" i="1"/>
  <c r="Q14" i="1"/>
  <c r="Q43" i="1"/>
  <c r="Q51" i="1"/>
  <c r="Q65" i="1"/>
  <c r="Q10" i="1"/>
  <c r="Q12" i="1"/>
  <c r="Q49" i="1"/>
  <c r="Q52" i="1"/>
  <c r="Q74" i="1"/>
  <c r="Q7" i="1"/>
  <c r="Q17" i="1"/>
  <c r="Q18" i="1"/>
  <c r="Q62" i="1"/>
  <c r="Q73" i="1"/>
  <c r="Q20" i="1"/>
  <c r="Q32" i="1"/>
  <c r="Q30" i="1"/>
  <c r="Q56" i="1"/>
  <c r="Q69" i="1"/>
  <c r="Q26" i="1"/>
  <c r="Q46" i="1"/>
  <c r="Q31" i="1"/>
  <c r="Q39" i="1"/>
  <c r="Q57" i="1"/>
  <c r="Q61" i="1"/>
  <c r="Q47" i="1"/>
  <c r="Q28" i="1"/>
  <c r="Q71" i="1"/>
  <c r="Q72" i="1"/>
  <c r="Q15" i="1"/>
  <c r="Q54" i="1"/>
  <c r="Q24" i="1"/>
  <c r="Q41" i="1"/>
  <c r="Q48" i="1"/>
  <c r="Q68" i="1"/>
  <c r="Q6" i="1"/>
  <c r="Q42" i="1"/>
  <c r="Q55" i="1"/>
  <c r="Q29" i="1"/>
  <c r="Q8" i="1"/>
  <c r="Q13" i="1"/>
  <c r="Q63" i="1"/>
  <c r="Q67" i="1"/>
  <c r="Q75" i="1"/>
  <c r="Q21" i="1"/>
  <c r="Q36" i="1"/>
  <c r="Q25" i="1"/>
  <c r="Q50" i="1"/>
  <c r="Q5" i="1"/>
  <c r="Q9" i="1"/>
  <c r="Q33" i="1"/>
  <c r="Q37" i="1"/>
  <c r="Q60" i="1"/>
  <c r="Q64" i="1"/>
  <c r="Q3" i="1"/>
  <c r="Q22" i="1"/>
  <c r="Q40" i="1"/>
  <c r="Q58" i="1"/>
  <c r="Q66" i="1"/>
  <c r="Q16" i="1"/>
  <c r="Q34" i="1"/>
  <c r="Q53" i="1"/>
  <c r="Q70" i="1"/>
  <c r="V1" i="2" l="1"/>
  <c r="BF1" i="1"/>
  <c r="W1" i="2"/>
  <c r="Q1" i="1"/>
  <c r="R1" i="1"/>
  <c r="S50" i="1" l="1"/>
  <c r="X21" i="2" l="1"/>
  <c r="X1" i="2" l="1"/>
  <c r="S1" i="1" l="1"/>
</calcChain>
</file>

<file path=xl/sharedStrings.xml><?xml version="1.0" encoding="utf-8"?>
<sst xmlns="http://schemas.openxmlformats.org/spreadsheetml/2006/main" count="1405" uniqueCount="279">
  <si>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</si>
  <si>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</si>
  <si>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</si>
  <si>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</si>
  <si>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</si>
  <si>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</si>
  <si>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</si>
  <si>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</si>
  <si>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</si>
  <si>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</si>
  <si>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</si>
  <si>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</si>
  <si>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</si>
  <si>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</si>
  <si>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</si>
  <si>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</si>
  <si>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</si>
  <si>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</si>
  <si>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</si>
  <si>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</si>
  <si>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</si>
  <si>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</si>
  <si>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</si>
  <si>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</si>
  <si>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</si>
  <si>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</si>
  <si>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</si>
  <si>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</si>
  <si>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</si>
  <si>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</si>
  <si>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</si>
  <si>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</si>
  <si>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</si>
  <si>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</si>
  <si>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</si>
  <si>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</si>
  <si>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</si>
  <si>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</si>
  <si>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</si>
  <si>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</si>
  <si>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</si>
  <si>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</si>
  <si>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</si>
  <si>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</si>
  <si>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</si>
  <si>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</si>
  <si>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</si>
  <si>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</si>
  <si>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</si>
  <si>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</si>
  <si>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</si>
  <si>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</si>
  <si>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</si>
  <si>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</si>
  <si>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</si>
  <si>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</si>
  <si>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</si>
  <si>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</si>
  <si>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</si>
  <si>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</si>
  <si>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</si>
  <si>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</si>
  <si>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</si>
  <si>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</si>
  <si>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</si>
  <si>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</si>
  <si>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</si>
  <si>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</si>
  <si>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</si>
  <si>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</si>
  <si>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</si>
  <si>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</si>
  <si>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</si>
  <si>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</si>
  <si>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</si>
  <si>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</si>
  <si>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</si>
  <si>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</si>
  <si>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</si>
  <si>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</si>
  <si>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</si>
  <si>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</si>
  <si>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</si>
  <si>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Milana</t>
  </si>
  <si>
    <t>Shraddha</t>
  </si>
  <si>
    <t>Mahesha</t>
  </si>
  <si>
    <t>NICHICON</t>
  </si>
  <si>
    <t>Abhinandan</t>
  </si>
  <si>
    <t>Vikram</t>
  </si>
  <si>
    <t>Karthik</t>
  </si>
  <si>
    <t>QUECTEL</t>
  </si>
  <si>
    <t>Ram Mohan</t>
  </si>
  <si>
    <t>Lavanya</t>
  </si>
  <si>
    <t>TIANMA</t>
  </si>
  <si>
    <t>Bhavya</t>
  </si>
  <si>
    <t>EVE</t>
  </si>
  <si>
    <t>Manju 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</si>
  <si>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</si>
  <si>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</si>
  <si>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</si>
  <si>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</si>
  <si>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</si>
  <si>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</si>
  <si>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</si>
  <si>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</si>
  <si>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</si>
  <si>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Uma</t>
  </si>
  <si>
    <t>All Month Budget Qty In K</t>
  </si>
  <si>
    <t>PANASONIC</t>
  </si>
  <si>
    <t>Anbarasu</t>
  </si>
  <si>
    <t>MURATA</t>
  </si>
  <si>
    <t>Anita</t>
  </si>
  <si>
    <t>EPCOS</t>
  </si>
  <si>
    <t>Suchitra</t>
  </si>
  <si>
    <t>Kishore</t>
  </si>
  <si>
    <t>ROHM</t>
  </si>
  <si>
    <t>Vivek</t>
  </si>
  <si>
    <t>BC847B</t>
  </si>
  <si>
    <t>BC857B</t>
  </si>
  <si>
    <t>BCX56-16</t>
  </si>
  <si>
    <t>VISHAY</t>
  </si>
  <si>
    <t>Tanuja</t>
  </si>
  <si>
    <t>TDK</t>
  </si>
  <si>
    <t>EC200UCNAC-N05-SNNSA</t>
  </si>
  <si>
    <t>ERZHF2M220F</t>
  </si>
  <si>
    <t>R5F100ACASP#50</t>
  </si>
  <si>
    <t>Manju/Pavan</t>
  </si>
  <si>
    <t>R5F21258SNFP#V2</t>
  </si>
  <si>
    <t>TAIWAN SEMI</t>
  </si>
  <si>
    <t xml:space="preserve">Gaurav Mann </t>
  </si>
  <si>
    <t>UUD1H101MNL1GS</t>
  </si>
  <si>
    <t>ERZHF2M220D</t>
  </si>
  <si>
    <t>M7, T/R</t>
  </si>
  <si>
    <t>CR2032CKP</t>
  </si>
  <si>
    <t>BC847C</t>
  </si>
  <si>
    <t>UCD1V220MCL1GS</t>
  </si>
  <si>
    <t>DI62063.3S1</t>
  </si>
  <si>
    <t>BCX53-16</t>
  </si>
  <si>
    <t>MMFTP2319</t>
  </si>
  <si>
    <t>BC817-40</t>
  </si>
  <si>
    <t>Consumer</t>
  </si>
  <si>
    <t>YC0003AA</t>
  </si>
  <si>
    <t>White Goods</t>
  </si>
  <si>
    <t>R5F100ACASP#10</t>
  </si>
  <si>
    <t>KORCHIP</t>
  </si>
  <si>
    <t>R5F102AAASP#50</t>
  </si>
  <si>
    <t>Poonam Kashyap</t>
  </si>
  <si>
    <t xml:space="preserve">All Month Budget (B) Values In K </t>
  </si>
  <si>
    <t xml:space="preserve">All Month Budget (B) Value in K </t>
  </si>
  <si>
    <t xml:space="preserve">Sale person Name </t>
  </si>
  <si>
    <t>CR2450CKP</t>
  </si>
  <si>
    <t>UCS2G220MHD</t>
  </si>
  <si>
    <t>BAV21WS</t>
  </si>
  <si>
    <t>YF0022AA</t>
  </si>
  <si>
    <t>EG800AKCN11LC-4I-SNNSI</t>
  </si>
  <si>
    <t>8000 Nos CSD is TBA</t>
  </si>
  <si>
    <t>R5F10NPJDFB#15</t>
  </si>
  <si>
    <t>GRM21BR71C475KE51L</t>
  </si>
  <si>
    <t>BLM15PD600SN1D</t>
  </si>
  <si>
    <t>UHW1C102MPD</t>
  </si>
  <si>
    <t>UCS2W330MHDFZX</t>
  </si>
  <si>
    <t>UCY2W220MHD</t>
  </si>
  <si>
    <t>UHW1E102MPD</t>
  </si>
  <si>
    <t>GRT155R61E474KE01D</t>
  </si>
  <si>
    <t>UCY2V330MHD</t>
  </si>
  <si>
    <t>UHW1E471MPD</t>
  </si>
  <si>
    <t>UHW1C471MPD</t>
  </si>
  <si>
    <t>NORTH</t>
  </si>
  <si>
    <t>NEW DELHI</t>
  </si>
  <si>
    <t>Vinny</t>
  </si>
  <si>
    <t>JAIPUR</t>
  </si>
  <si>
    <t>Neha</t>
  </si>
  <si>
    <t>Palak</t>
  </si>
  <si>
    <t>TJMS5760#02</t>
  </si>
  <si>
    <t>Abha</t>
  </si>
  <si>
    <t>UCD1C221MCL1GS</t>
  </si>
  <si>
    <t>UCW1C101MCL1GS</t>
  </si>
  <si>
    <t>UUL1E100MCL1GS</t>
  </si>
  <si>
    <t>Neha Chauhan</t>
  </si>
  <si>
    <t>Masila</t>
  </si>
  <si>
    <t>DEL02379</t>
  </si>
  <si>
    <t>LAN ENGINEERING &amp; TECHNOLOGIES PRIVATE LIMITED</t>
  </si>
  <si>
    <t>ABHISHEKH CHOUDHARY</t>
  </si>
  <si>
    <t>UPW1E471MPD</t>
  </si>
  <si>
    <t>UPA1E471MPD</t>
  </si>
  <si>
    <t>UCD1J220MCL1GS</t>
  </si>
  <si>
    <t>GRM1555C1H221JA01D</t>
  </si>
  <si>
    <t>GCQ0335C1H3R9BB01D</t>
  </si>
  <si>
    <t>GRM155R71E104KE14D</t>
  </si>
  <si>
    <t>GCM1555C1H330FA16D</t>
  </si>
  <si>
    <t>GJM1555C1H1R8WB01D</t>
  </si>
  <si>
    <t>GRM1555C1H100JA01D</t>
  </si>
  <si>
    <t>DEL00063</t>
  </si>
  <si>
    <t>M S ELECTROVISION PVT LTD HARYANA</t>
  </si>
  <si>
    <t>PS1240P02B2</t>
  </si>
  <si>
    <t>DEL01762</t>
  </si>
  <si>
    <t>PRICOL LIMITED-GURGAON</t>
  </si>
  <si>
    <t>LTR50UZPJ122</t>
  </si>
  <si>
    <t>LTR50UZPJ621</t>
  </si>
  <si>
    <t>DEL00981</t>
  </si>
  <si>
    <t>SEMICONIC DEVICES PVT LTD</t>
  </si>
  <si>
    <t>LGG2H471MELHNS</t>
  </si>
  <si>
    <t>UCD1V471MNJ1MS</t>
  </si>
  <si>
    <t>DEL00994</t>
  </si>
  <si>
    <t>SHIVALIK INDUSTRIES</t>
  </si>
  <si>
    <t>RAA2900034H12HPD#GB0</t>
  </si>
  <si>
    <t>R5F100GGAFB#10</t>
  </si>
  <si>
    <t>DEL00219</t>
  </si>
  <si>
    <t>KYOCERA AVX COMPONENTS (NEW DELHI) PRIVATE LIMITED</t>
  </si>
  <si>
    <t>MMZ1608A222BTD25</t>
  </si>
  <si>
    <t>CGA3E2X8R1H473M080AA</t>
  </si>
  <si>
    <t>CGA3E2X8R1H102M080AA</t>
  </si>
  <si>
    <t>CGA3E2C0G1H101J080AA</t>
  </si>
  <si>
    <t>204000 Nos CSD is TBA</t>
  </si>
  <si>
    <t>BAV70</t>
  </si>
  <si>
    <t>ABS15Y</t>
  </si>
  <si>
    <t>SK310SMB</t>
  </si>
  <si>
    <t>DEL02284</t>
  </si>
  <si>
    <t>DAKSH ELECTRONICS PVT. LTD</t>
  </si>
  <si>
    <t>BPV10NF</t>
  </si>
  <si>
    <t>TSAL6100</t>
  </si>
  <si>
    <t>DEL00031</t>
  </si>
  <si>
    <t>DIGITALS INDIA SECURITY PRODUCTS PVT LTD</t>
  </si>
  <si>
    <t>PS1740P02CE</t>
  </si>
  <si>
    <t>DEL00369</t>
  </si>
  <si>
    <t>ELECTROFUSION TECHNOLOGIES</t>
  </si>
  <si>
    <t>SK810-3G</t>
  </si>
  <si>
    <t>DEL00567</t>
  </si>
  <si>
    <t>JNJ ELECTRONICS LTD</t>
  </si>
  <si>
    <t>LAN Engineering and technology</t>
  </si>
  <si>
    <t>DEL00625</t>
  </si>
  <si>
    <t>BC847A</t>
  </si>
  <si>
    <t>S1YL</t>
  </si>
  <si>
    <t>BC857A</t>
  </si>
  <si>
    <t>DR3R0106</t>
  </si>
  <si>
    <t>P6SMBJ8.0A</t>
  </si>
  <si>
    <t>LQW15AN1N5D80D</t>
  </si>
  <si>
    <t>MMFTP84</t>
  </si>
  <si>
    <t>ULD1C221MPD</t>
  </si>
  <si>
    <t>ULD1J470MPD</t>
  </si>
  <si>
    <t>COMPOMALL ELECTRONICS</t>
  </si>
  <si>
    <t xml:space="preserve">COMPOMALL ELECTRONICS </t>
  </si>
  <si>
    <t>DR3R0106R</t>
  </si>
  <si>
    <t>YC0002BA</t>
  </si>
  <si>
    <t>DEL01714</t>
  </si>
  <si>
    <t>MAXOMTECHNOVATION</t>
  </si>
  <si>
    <t>JPR00044</t>
  </si>
  <si>
    <t>NORMET INDIA PVT LTD</t>
  </si>
  <si>
    <t>Sensata/Gigavac</t>
  </si>
  <si>
    <t>MX14CAB</t>
  </si>
  <si>
    <t>DEL01996</t>
  </si>
  <si>
    <t>NOVUS HI-TECH ROBOTIC SYSTEMZ PRIVATE LIMITED</t>
  </si>
  <si>
    <t>CR2032HT</t>
  </si>
  <si>
    <t>DEL02032</t>
  </si>
  <si>
    <t>DEL02203</t>
  </si>
  <si>
    <t>PYROTECH TECHNOLOGIES PRIVATE LIMITED</t>
  </si>
  <si>
    <t>DEL02051</t>
  </si>
  <si>
    <t>RIOT LABZ PRIVATE LIMITED</t>
  </si>
  <si>
    <t>UCW1H470MNL1GS</t>
  </si>
  <si>
    <t>UCY2G330MHD3</t>
  </si>
  <si>
    <t>DEL02382</t>
  </si>
  <si>
    <t>SHIVA LED ENTERPRISES</t>
  </si>
  <si>
    <t>B32642H8153J000</t>
  </si>
  <si>
    <t>DEL00091</t>
  </si>
  <si>
    <t>SUNRISE EMBEDDED SOLUTIONS PVT LTD</t>
  </si>
  <si>
    <t>B43254A5337M000</t>
  </si>
  <si>
    <t>FRAF10JG</t>
  </si>
  <si>
    <t>TSM60NC390CP</t>
  </si>
  <si>
    <t>Oct-26 to Mar-27 (F) Value</t>
  </si>
  <si>
    <t xml:space="preserve">Oct-26 to Mar-27 Incoming Qty </t>
  </si>
  <si>
    <t xml:space="preserve">Oct-26 Month Inventory Qty </t>
  </si>
  <si>
    <t xml:space="preserve">Oct -26 to Mar-27 (F) Value </t>
  </si>
  <si>
    <t>Oct-26 to Mar-27 Incoming Qty</t>
  </si>
  <si>
    <t xml:space="preserve">Oct Month Total Inventory Qty </t>
  </si>
  <si>
    <t>PRICOL LIMITED-Delhi</t>
  </si>
  <si>
    <t>MM5Z24</t>
  </si>
  <si>
    <t>119000 Nos CSD is TBA</t>
  </si>
  <si>
    <t>Deepa</t>
  </si>
  <si>
    <t>70400 Nos CSD is 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</si>
</sst>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 * #,##0.000_ ;_ * \-#,##0.000_ ;_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1"/>
      <color theme="1"/>
      <name val="Aptos Slab"/>
      <family val="2"/>
    </font>
    <font>
      <sz val="12"/>
      <color rgb="FF00B0F0"/>
      <name val="Aptos Slab"/>
      <family val="2"/>
    </font>
    <font>
      <sz val="12"/>
      <color rgb="FF7030A0"/>
      <name val="Aptos Slab"/>
      <family val="2"/>
    </font>
    <font>
      <sz val="12"/>
      <color rgb="FF002060"/>
      <name val="Aptos Slab"/>
      <family val="2"/>
    </font>
    <font>
      <b/>
      <sz val="12"/>
      <color theme="1" tint="0.249977111117893"/>
      <name val="Aptos Slab"/>
      <family val="2"/>
    </font>
    <font>
      <b/>
      <sz val="11"/>
      <color theme="1"/>
      <name val="Aptos Slab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2"/>
      <color rgb="FF002060"/>
      <name val="Aptos"/>
      <family val="2"/>
    </font>
    <font>
      <b/>
      <sz val="12"/>
      <color theme="1"/>
      <name val="Amasis MT Pro Light"/>
      <family val="1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i/>
      <sz val="12"/>
      <color rgb="FF002060"/>
      <name val="Aptos Slab"/>
      <family val="2"/>
    </font>
    <font>
      <sz val="11"/>
      <color theme="1"/>
      <name val="Amasis MT Pro Medium"/>
      <family val="1"/>
    </font>
    <font>
      <sz val="12"/>
      <color theme="1"/>
      <name val="Amasis MT Pro Medium"/>
      <family val="1"/>
    </font>
    <font>
      <sz val="12"/>
      <color rgb="FF002060"/>
      <name val="Amasis MT Pro Medium"/>
      <family val="1"/>
    </font>
    <font>
      <sz val="12"/>
      <color theme="1"/>
      <name val="Aptos SemiBold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1">
    <xf numFmtId="0" fontId="0" fillId="0" borderId="0" xfId="0"/>
    <xf numFmtId="0" fontId="5" fillId="5" borderId="1" xfId="0" applyFont="1" applyFill="1" applyBorder="1" applyProtection="1">
      <protection locked="0"/>
    </xf>
    <xf numFmtId="0" fontId="12" fillId="5" borderId="1" xfId="0" applyFont="1" applyFill="1" applyBorder="1" applyProtection="1">
      <protection locked="0"/>
    </xf>
    <xf numFmtId="43" fontId="5" fillId="5" borderId="1" xfId="1" applyFont="1" applyFill="1" applyBorder="1" applyProtection="1">
      <protection locked="0"/>
    </xf>
    <xf numFmtId="164" fontId="5" fillId="5" borderId="1" xfId="1" applyNumberFormat="1" applyFont="1" applyFill="1" applyBorder="1" applyAlignment="1" applyProtection="1">
      <alignment wrapText="1"/>
      <protection locked="0"/>
    </xf>
    <xf numFmtId="0" fontId="5" fillId="5" borderId="1" xfId="0" applyFont="1" applyFill="1" applyBorder="1" applyAlignment="1" applyProtection="1">
      <alignment horizontal="left"/>
      <protection locked="0"/>
    </xf>
    <xf numFmtId="0" fontId="2" fillId="5" borderId="1" xfId="0" applyFont="1" applyFill="1" applyBorder="1" applyProtection="1">
      <protection locked="0"/>
    </xf>
    <xf numFmtId="0" fontId="2" fillId="5" borderId="1" xfId="0" applyFont="1" applyFill="1" applyBorder="1" applyAlignment="1" applyProtection="1">
      <alignment horizontal="left"/>
      <protection locked="0"/>
    </xf>
    <xf numFmtId="43" fontId="2" fillId="5" borderId="1" xfId="1" applyFont="1" applyFill="1" applyBorder="1" applyProtection="1">
      <protection locked="0"/>
    </xf>
    <xf numFmtId="164" fontId="14" fillId="5" borderId="1" xfId="1" applyNumberFormat="1" applyFont="1" applyFill="1" applyBorder="1" applyProtection="1">
      <protection locked="0"/>
    </xf>
    <xf numFmtId="0" fontId="2" fillId="5" borderId="2" xfId="0" applyFont="1" applyFill="1" applyBorder="1" applyProtection="1">
      <protection locked="0"/>
    </xf>
    <xf numFmtId="164" fontId="2" fillId="5" borderId="1" xfId="1" applyNumberFormat="1" applyFont="1" applyFill="1" applyBorder="1" applyAlignment="1" applyProtection="1">
      <alignment wrapText="1"/>
      <protection locked="0"/>
    </xf>
    <xf numFmtId="164" fontId="2" fillId="5" borderId="1" xfId="1" applyNumberFormat="1" applyFont="1" applyFill="1" applyBorder="1" applyProtection="1">
      <protection locked="0"/>
    </xf>
    <xf numFmtId="164" fontId="2" fillId="5" borderId="1" xfId="1" applyNumberFormat="1" applyFont="1" applyFill="1" applyBorder="1" applyProtection="1"/>
    <xf numFmtId="164" fontId="4" fillId="5" borderId="1" xfId="1" applyNumberFormat="1" applyFont="1" applyFill="1" applyBorder="1" applyProtection="1">
      <protection locked="0"/>
    </xf>
    <xf numFmtId="164" fontId="9" fillId="5" borderId="1" xfId="1" applyNumberFormat="1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164" fontId="2" fillId="6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Protection="1"/>
    <xf numFmtId="164" fontId="2" fillId="5" borderId="7" xfId="1" applyNumberFormat="1" applyFont="1" applyFill="1" applyBorder="1" applyProtection="1">
      <protection locked="0"/>
    </xf>
    <xf numFmtId="164" fontId="5" fillId="5" borderId="1" xfId="1" applyNumberFormat="1" applyFont="1" applyFill="1" applyBorder="1" applyAlignment="1" applyProtection="1">
      <protection locked="0"/>
    </xf>
    <xf numFmtId="164" fontId="16" fillId="5" borderId="1" xfId="1" applyNumberFormat="1" applyFont="1" applyFill="1" applyBorder="1" applyProtection="1">
      <protection locked="0"/>
    </xf>
    <xf numFmtId="165" fontId="14" fillId="5" borderId="1" xfId="1" applyNumberFormat="1" applyFont="1" applyFill="1" applyBorder="1" applyProtection="1">
      <protection locked="0"/>
    </xf>
    <xf numFmtId="164" fontId="15" fillId="5" borderId="1" xfId="1" applyNumberFormat="1" applyFont="1" applyFill="1" applyBorder="1" applyProtection="1">
      <protection locked="0"/>
    </xf>
    <xf numFmtId="164" fontId="9" fillId="5" borderId="1" xfId="1" applyNumberFormat="1" applyFont="1" applyFill="1" applyBorder="1" applyAlignment="1" applyProtection="1">
      <protection locked="0"/>
    </xf>
    <xf numFmtId="164" fontId="16" fillId="5" borderId="1" xfId="1" applyNumberFormat="1" applyFont="1" applyFill="1" applyBorder="1" applyAlignment="1" applyProtection="1">
      <protection locked="0"/>
    </xf>
    <xf numFmtId="0" fontId="14" fillId="5" borderId="1" xfId="0" applyFont="1" applyFill="1" applyBorder="1" applyProtection="1">
      <protection locked="0"/>
    </xf>
    <xf numFmtId="164" fontId="13" fillId="5" borderId="1" xfId="1" applyNumberFormat="1" applyFont="1" applyFill="1" applyBorder="1" applyProtection="1">
      <protection locked="0"/>
    </xf>
    <xf numFmtId="43" fontId="5" fillId="5" borderId="1" xfId="1" applyFont="1" applyFill="1" applyBorder="1" applyAlignment="1" applyProtection="1">
      <protection locked="0"/>
    </xf>
    <xf numFmtId="164" fontId="5" fillId="5" borderId="1" xfId="1" applyNumberFormat="1" applyFont="1" applyFill="1" applyBorder="1" applyAlignment="1" applyProtection="1"/>
    <xf numFmtId="2" fontId="5" fillId="5" borderId="1" xfId="0" applyNumberFormat="1" applyFont="1" applyFill="1" applyBorder="1" applyAlignment="1" applyProtection="1">
      <alignment horizontal="left"/>
      <protection locked="0"/>
    </xf>
    <xf numFmtId="164" fontId="2" fillId="6" borderId="1" xfId="1" applyNumberFormat="1" applyFont="1" applyFill="1" applyBorder="1" applyAlignment="1" applyProtection="1">
      <alignment wrapText="1"/>
      <protection locked="0"/>
    </xf>
    <xf numFmtId="164" fontId="9" fillId="7" borderId="1" xfId="1" applyNumberFormat="1" applyFont="1" applyFill="1" applyBorder="1" applyProtection="1">
      <protection locked="0"/>
    </xf>
    <xf numFmtId="0" fontId="18" fillId="7" borderId="1" xfId="0" applyFont="1" applyFill="1" applyBorder="1" applyProtection="1">
      <protection locked="0"/>
    </xf>
    <xf numFmtId="165" fontId="21" fillId="5" borderId="1" xfId="1" applyNumberFormat="1" applyFont="1" applyFill="1" applyBorder="1" applyProtection="1">
      <protection locked="0"/>
    </xf>
    <xf numFmtId="0" fontId="17" fillId="5" borderId="1" xfId="0" applyFont="1" applyFill="1" applyBorder="1" applyProtection="1">
      <protection locked="0"/>
    </xf>
    <xf numFmtId="164" fontId="22" fillId="5" borderId="1" xfId="1" applyNumberFormat="1" applyFont="1" applyFill="1" applyBorder="1" applyProtection="1">
      <protection locked="0"/>
    </xf>
    <xf numFmtId="164" fontId="14" fillId="6" borderId="1" xfId="1" applyNumberFormat="1" applyFont="1" applyFill="1" applyBorder="1" applyProtection="1">
      <protection locked="0"/>
    </xf>
    <xf numFmtId="164" fontId="12" fillId="5" borderId="1" xfId="1" applyNumberFormat="1" applyFont="1" applyFill="1" applyBorder="1" applyProtection="1">
      <protection locked="0"/>
    </xf>
    <xf numFmtId="0" fontId="9" fillId="5" borderId="1" xfId="0" applyFont="1" applyFill="1" applyBorder="1" applyProtection="1">
      <protection locked="0"/>
    </xf>
    <xf numFmtId="0" fontId="9" fillId="5" borderId="1" xfId="1" applyNumberFormat="1" applyFont="1" applyFill="1" applyBorder="1" applyProtection="1">
      <protection locked="0"/>
    </xf>
    <xf numFmtId="0" fontId="9" fillId="5" borderId="1" xfId="0" applyFont="1" applyFill="1" applyBorder="1" applyAlignment="1" applyProtection="1">
      <alignment horizontal="left" vertical="center"/>
      <protection locked="0"/>
    </xf>
    <xf numFmtId="164" fontId="6" fillId="5" borderId="0" xfId="1" applyNumberFormat="1" applyFont="1" applyFill="1" applyProtection="1">
      <protection locked="0"/>
    </xf>
    <xf numFmtId="164" fontId="6" fillId="5" borderId="0" xfId="1" applyNumberFormat="1" applyFont="1" applyFill="1" applyAlignment="1" applyProtection="1">
      <alignment horizontal="left"/>
      <protection locked="0"/>
    </xf>
    <xf numFmtId="43" fontId="6" fillId="5" borderId="0" xfId="1" applyFont="1" applyFill="1" applyProtection="1">
      <protection locked="0"/>
    </xf>
    <xf numFmtId="164" fontId="11" fillId="5" borderId="0" xfId="1" applyNumberFormat="1" applyFont="1" applyFill="1" applyAlignment="1" applyProtection="1">
      <alignment wrapText="1"/>
      <protection locked="0"/>
    </xf>
    <xf numFmtId="164" fontId="11" fillId="5" borderId="0" xfId="1" applyNumberFormat="1" applyFont="1" applyFill="1" applyProtection="1">
      <protection locked="0"/>
    </xf>
    <xf numFmtId="164" fontId="6" fillId="0" borderId="0" xfId="1" applyNumberFormat="1" applyFont="1" applyProtection="1">
      <protection locked="0"/>
    </xf>
    <xf numFmtId="0" fontId="11" fillId="10" borderId="1" xfId="0" applyFont="1" applyFill="1" applyBorder="1" applyAlignment="1" applyProtection="1">
      <alignment vertical="center"/>
      <protection locked="0"/>
    </xf>
    <xf numFmtId="0" fontId="11" fillId="10" borderId="1" xfId="0" applyFont="1" applyFill="1" applyBorder="1" applyAlignment="1" applyProtection="1">
      <alignment horizontal="left" vertical="center"/>
      <protection locked="0"/>
    </xf>
    <xf numFmtId="43" fontId="11" fillId="10" borderId="1" xfId="1" applyFont="1" applyFill="1" applyBorder="1" applyAlignment="1" applyProtection="1">
      <alignment vertical="center"/>
      <protection locked="0"/>
    </xf>
    <xf numFmtId="0" fontId="11" fillId="11" borderId="1" xfId="1" applyNumberFormat="1" applyFont="1" applyFill="1" applyBorder="1" applyAlignment="1" applyProtection="1">
      <alignment vertical="center" wrapText="1"/>
      <protection locked="0"/>
    </xf>
    <xf numFmtId="164" fontId="11" fillId="11" borderId="1" xfId="1" applyNumberFormat="1" applyFont="1" applyFill="1" applyBorder="1" applyAlignment="1" applyProtection="1">
      <alignment vertical="center" wrapText="1"/>
      <protection locked="0"/>
    </xf>
    <xf numFmtId="164" fontId="11" fillId="10" borderId="1" xfId="1" applyNumberFormat="1" applyFont="1" applyFill="1" applyBorder="1" applyAlignment="1" applyProtection="1">
      <alignment vertical="center"/>
      <protection locked="0"/>
    </xf>
    <xf numFmtId="164" fontId="11" fillId="3" borderId="1" xfId="1" applyNumberFormat="1" applyFont="1" applyFill="1" applyBorder="1" applyAlignment="1" applyProtection="1">
      <alignment vertical="center"/>
      <protection locked="0"/>
    </xf>
    <xf numFmtId="0" fontId="11" fillId="3" borderId="1" xfId="1" applyNumberFormat="1" applyFont="1" applyFill="1" applyBorder="1" applyAlignment="1" applyProtection="1">
      <alignment vertical="center"/>
      <protection locked="0"/>
    </xf>
    <xf numFmtId="0" fontId="11" fillId="10" borderId="1" xfId="1" applyNumberFormat="1" applyFont="1" applyFill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6" fillId="6" borderId="1" xfId="0" applyFont="1" applyFill="1" applyBorder="1" applyProtection="1">
      <protection locked="0"/>
    </xf>
    <xf numFmtId="43" fontId="6" fillId="6" borderId="1" xfId="1" applyFont="1" applyFill="1" applyBorder="1" applyProtection="1">
      <protection locked="0"/>
    </xf>
    <xf numFmtId="164" fontId="12" fillId="7" borderId="1" xfId="1" applyNumberFormat="1" applyFont="1" applyFill="1" applyBorder="1" applyProtection="1">
      <protection locked="0"/>
    </xf>
    <xf numFmtId="164" fontId="22" fillId="0" borderId="1" xfId="1" applyNumberFormat="1" applyFont="1" applyBorder="1" applyProtection="1">
      <protection locked="0"/>
    </xf>
    <xf numFmtId="164" fontId="2" fillId="7" borderId="1" xfId="1" applyNumberFormat="1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6" fillId="5" borderId="0" xfId="0" applyFont="1" applyFill="1" applyProtection="1">
      <protection locked="0"/>
    </xf>
    <xf numFmtId="0" fontId="6" fillId="5" borderId="0" xfId="0" applyFont="1" applyFill="1" applyAlignment="1" applyProtection="1">
      <alignment horizontal="left"/>
      <protection locked="0"/>
    </xf>
    <xf numFmtId="164" fontId="6" fillId="5" borderId="0" xfId="1" applyNumberFormat="1" applyFont="1" applyFill="1" applyAlignment="1" applyProtection="1">
      <alignment wrapText="1"/>
      <protection locked="0"/>
    </xf>
    <xf numFmtId="164" fontId="11" fillId="5" borderId="0" xfId="1" applyNumberFormat="1" applyFont="1" applyFill="1" applyAlignment="1" applyProtection="1">
      <alignment wrapText="1"/>
    </xf>
    <xf numFmtId="164" fontId="11" fillId="10" borderId="1" xfId="1" applyNumberFormat="1" applyFont="1" applyFill="1" applyBorder="1" applyAlignment="1" applyProtection="1">
      <alignment vertical="center"/>
    </xf>
    <xf numFmtId="164" fontId="6" fillId="5" borderId="0" xfId="1" applyNumberFormat="1" applyFont="1" applyFill="1" applyProtection="1"/>
    <xf numFmtId="164" fontId="11" fillId="2" borderId="1" xfId="1" applyNumberFormat="1" applyFont="1" applyFill="1" applyBorder="1" applyAlignment="1" applyProtection="1">
      <alignment vertical="center"/>
      <protection locked="0"/>
    </xf>
    <xf numFmtId="0" fontId="11" fillId="10" borderId="1" xfId="0" applyFont="1" applyFill="1" applyBorder="1" applyAlignment="1" applyProtection="1">
      <alignment vertical="center"/>
    </xf>
    <xf numFmtId="0" fontId="2" fillId="5" borderId="1" xfId="0" applyFont="1" applyFill="1" applyBorder="1" applyProtection="1"/>
    <xf numFmtId="0" fontId="2" fillId="6" borderId="1" xfId="0" applyFont="1" applyFill="1" applyBorder="1" applyProtection="1"/>
    <xf numFmtId="0" fontId="2" fillId="0" borderId="1" xfId="0" applyFont="1" applyBorder="1" applyProtection="1"/>
    <xf numFmtId="0" fontId="12" fillId="0" borderId="1" xfId="0" applyFont="1" applyBorder="1" applyProtection="1"/>
    <xf numFmtId="0" fontId="6" fillId="5" borderId="0" xfId="0" applyFont="1" applyFill="1" applyProtection="1"/>
    <xf numFmtId="0" fontId="4" fillId="5" borderId="1" xfId="0" applyFont="1" applyFill="1" applyBorder="1" applyAlignment="1" applyProtection="1">
      <alignment vertical="center"/>
      <protection locked="0"/>
    </xf>
    <xf numFmtId="0" fontId="4" fillId="5" borderId="1" xfId="0" applyFont="1" applyFill="1" applyBorder="1" applyAlignment="1" applyProtection="1">
      <alignment horizontal="left" vertical="center"/>
      <protection locked="0"/>
    </xf>
    <xf numFmtId="2" fontId="4" fillId="5" borderId="1" xfId="0" applyNumberFormat="1" applyFont="1" applyFill="1" applyBorder="1" applyAlignment="1" applyProtection="1">
      <alignment horizontal="left" vertical="center"/>
      <protection locked="0"/>
    </xf>
    <xf numFmtId="2" fontId="4" fillId="5" borderId="1" xfId="0" applyNumberFormat="1" applyFont="1" applyFill="1" applyBorder="1" applyAlignment="1" applyProtection="1">
      <alignment vertical="center"/>
      <protection locked="0"/>
    </xf>
    <xf numFmtId="0" fontId="4" fillId="5" borderId="1" xfId="1" applyNumberFormat="1" applyFont="1" applyFill="1" applyBorder="1" applyAlignment="1" applyProtection="1">
      <alignment vertical="center"/>
      <protection locked="0"/>
    </xf>
    <xf numFmtId="166" fontId="4" fillId="5" borderId="1" xfId="1" applyNumberFormat="1" applyFont="1" applyFill="1" applyBorder="1" applyAlignment="1" applyProtection="1">
      <alignment vertical="center"/>
      <protection locked="0"/>
    </xf>
    <xf numFmtId="164" fontId="4" fillId="5" borderId="1" xfId="1" applyNumberFormat="1" applyFont="1" applyFill="1" applyBorder="1" applyAlignment="1" applyProtection="1">
      <alignment vertical="center"/>
      <protection locked="0"/>
    </xf>
    <xf numFmtId="164" fontId="4" fillId="0" borderId="1" xfId="1" applyNumberFormat="1" applyFont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8" borderId="4" xfId="0" applyFont="1" applyFill="1" applyBorder="1" applyAlignment="1" applyProtection="1">
      <alignment horizontal="left" vertical="center"/>
      <protection locked="0"/>
    </xf>
    <xf numFmtId="2" fontId="4" fillId="8" borderId="4" xfId="0" applyNumberFormat="1" applyFont="1" applyFill="1" applyBorder="1" applyAlignment="1" applyProtection="1">
      <alignment horizontal="left" vertical="center"/>
      <protection locked="0"/>
    </xf>
    <xf numFmtId="166" fontId="4" fillId="8" borderId="4" xfId="1" applyNumberFormat="1" applyFont="1" applyFill="1" applyBorder="1" applyAlignment="1" applyProtection="1">
      <alignment horizontal="left" vertical="center"/>
      <protection locked="0"/>
    </xf>
    <xf numFmtId="164" fontId="4" fillId="9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3" borderId="4" xfId="1" applyNumberFormat="1" applyFont="1" applyFill="1" applyBorder="1" applyAlignment="1" applyProtection="1">
      <alignment horizontal="left" vertical="center"/>
      <protection locked="0"/>
    </xf>
    <xf numFmtId="164" fontId="4" fillId="4" borderId="4" xfId="1" applyNumberFormat="1" applyFont="1" applyFill="1" applyBorder="1" applyAlignment="1" applyProtection="1">
      <alignment horizontal="left" vertical="center"/>
      <protection locked="0"/>
    </xf>
    <xf numFmtId="164" fontId="10" fillId="4" borderId="4" xfId="1" applyNumberFormat="1" applyFont="1" applyFill="1" applyBorder="1" applyAlignment="1" applyProtection="1">
      <alignment horizontal="left" vertical="center"/>
      <protection locked="0"/>
    </xf>
    <xf numFmtId="164" fontId="4" fillId="3" borderId="3" xfId="1" applyNumberFormat="1" applyFont="1" applyFill="1" applyBorder="1" applyAlignment="1" applyProtection="1">
      <alignment horizontal="left" vertical="center"/>
      <protection locked="0"/>
    </xf>
    <xf numFmtId="164" fontId="10" fillId="4" borderId="5" xfId="1" applyNumberFormat="1" applyFont="1" applyFill="1" applyBorder="1" applyAlignment="1" applyProtection="1">
      <alignment horizontal="left" vertical="center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64" fontId="20" fillId="5" borderId="1" xfId="1" applyNumberFormat="1" applyFont="1" applyFill="1" applyBorder="1" applyProtection="1">
      <protection locked="0"/>
    </xf>
    <xf numFmtId="43" fontId="5" fillId="5" borderId="0" xfId="1" applyFont="1" applyFill="1" applyBorder="1" applyAlignment="1" applyProtection="1">
      <protection locked="0"/>
    </xf>
    <xf numFmtId="164" fontId="19" fillId="5" borderId="1" xfId="1" applyNumberFormat="1" applyFont="1" applyFill="1" applyBorder="1" applyProtection="1"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left"/>
      <protection locked="0"/>
    </xf>
    <xf numFmtId="2" fontId="5" fillId="5" borderId="0" xfId="0" applyNumberFormat="1" applyFont="1" applyFill="1" applyAlignment="1" applyProtection="1">
      <alignment horizontal="left"/>
      <protection locked="0"/>
    </xf>
    <xf numFmtId="2" fontId="5" fillId="5" borderId="0" xfId="0" applyNumberFormat="1" applyFont="1" applyFill="1" applyProtection="1">
      <protection locked="0"/>
    </xf>
    <xf numFmtId="166" fontId="5" fillId="5" borderId="0" xfId="1" applyNumberFormat="1" applyFont="1" applyFill="1" applyAlignment="1" applyProtection="1">
      <protection locked="0"/>
    </xf>
    <xf numFmtId="164" fontId="5" fillId="5" borderId="0" xfId="1" applyNumberFormat="1" applyFont="1" applyFill="1" applyAlignment="1" applyProtection="1">
      <protection locked="0"/>
    </xf>
    <xf numFmtId="164" fontId="5" fillId="0" borderId="0" xfId="1" applyNumberFormat="1" applyFont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8" fillId="0" borderId="0" xfId="1" applyNumberFormat="1" applyFont="1" applyAlignment="1" applyProtection="1">
      <protection locked="0"/>
    </xf>
    <xf numFmtId="164" fontId="4" fillId="2" borderId="4" xfId="1" applyNumberFormat="1" applyFont="1" applyFill="1" applyBorder="1" applyAlignment="1" applyProtection="1">
      <alignment horizontal="left" vertical="center"/>
      <protection locked="0"/>
    </xf>
    <xf numFmtId="0" fontId="4" fillId="5" borderId="1" xfId="0" applyFont="1" applyFill="1" applyBorder="1" applyAlignment="1" applyProtection="1">
      <alignment vertical="center"/>
    </xf>
    <xf numFmtId="0" fontId="4" fillId="8" borderId="4" xfId="0" applyFont="1" applyFill="1" applyBorder="1" applyAlignment="1" applyProtection="1">
      <alignment horizontal="left" vertical="center"/>
    </xf>
    <xf numFmtId="0" fontId="5" fillId="5" borderId="1" xfId="0" applyFont="1" applyFill="1" applyBorder="1" applyProtection="1"/>
    <xf numFmtId="0" fontId="5" fillId="5" borderId="6" xfId="0" applyFont="1" applyFill="1" applyBorder="1" applyProtection="1"/>
    <xf numFmtId="0" fontId="5" fillId="5" borderId="0" xfId="0" applyFont="1" applyFill="1" applyProtection="1"/>
    <xf numFmtId="164" fontId="4" fillId="5" borderId="1" xfId="1" applyNumberFormat="1" applyFont="1" applyFill="1" applyBorder="1" applyAlignment="1" applyProtection="1">
      <alignment vertical="center"/>
    </xf>
    <xf numFmtId="164" fontId="4" fillId="3" borderId="4" xfId="1" applyNumberFormat="1" applyFont="1" applyFill="1" applyBorder="1" applyAlignment="1" applyProtection="1">
      <alignment horizontal="left" vertical="center"/>
    </xf>
    <xf numFmtId="164" fontId="5" fillId="0" borderId="0" xfId="1" applyNumberFormat="1" applyFont="1" applyAlignment="1" applyProtection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0"/>
  <tableStyles count="0" defaultTableStyle="TableStyleMedium2" defaultPivotStyle="PivotStyleLight16"/>
  <colors>
    <mruColors>
      <color rgb="FFFFFFCC"/>
      <color rgb="FFFFCCFF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5"/>
  <sheetViews>
    <sheetView tabSelected="1" topLeftCell="E1" zoomScale="77" zoomScaleNormal="77" workbookViewId="0">
      <pane ySplit="2" topLeftCell="A3" activePane="bottomLeft" state="frozen"/>
      <selection pane="bottomLeft" activeCell="L2" sqref="L2"/>
    </sheetView>
  </sheetViews>
  <sheetFormatPr defaultColWidth="23.08984375" defaultRowHeight="14.5" x14ac:dyDescent="0.35"/>
  <cols>
    <col min="1" max="1" width="12.453125" style="65" hidden="1" customWidth="1"/>
    <col min="2" max="2" width="8.36328125" style="65" hidden="1" customWidth="1"/>
    <col min="3" max="3" width="15" style="65" hidden="1" customWidth="1"/>
    <col min="4" max="4" width="17.7265625" style="66" hidden="1" customWidth="1"/>
    <col min="5" max="5" width="32.1796875" style="77" bestFit="1" customWidth="1"/>
    <col min="6" max="6" width="26.7265625" style="65" bestFit="1" customWidth="1"/>
    <col min="7" max="7" width="17.90625" style="65" hidden="1" customWidth="1"/>
    <col min="8" max="8" width="28.7265625" style="65" hidden="1" customWidth="1"/>
    <col min="9" max="9" width="16.54296875" style="65" customWidth="1"/>
    <col min="10" max="10" width="15" style="65" hidden="1" customWidth="1"/>
    <col min="11" max="11" width="14.26953125" style="65" hidden="1" customWidth="1"/>
    <col min="12" max="12" width="19.90625" style="66" bestFit="1" customWidth="1"/>
    <col min="13" max="13" width="19.1796875" style="65" hidden="1" customWidth="1"/>
    <col min="14" max="14" width="9.6328125" style="44" customWidth="1"/>
    <col min="15" max="15" width="18.26953125" style="67" hidden="1" customWidth="1"/>
    <col min="16" max="16" width="23.7265625" style="67" hidden="1" customWidth="1"/>
    <col min="17" max="17" width="20.08984375" style="67" hidden="1" customWidth="1"/>
    <col min="18" max="18" width="22.453125" style="67" hidden="1" customWidth="1"/>
    <col min="19" max="19" width="20.54296875" style="67" hidden="1" customWidth="1"/>
    <col min="20" max="20" width="17.08984375" style="42" hidden="1" customWidth="1"/>
    <col min="21" max="21" width="16.453125" style="42" hidden="1" customWidth="1"/>
    <col min="22" max="22" width="14.08984375" style="42" hidden="1" customWidth="1"/>
    <col min="23" max="23" width="16.1796875" style="42" hidden="1" customWidth="1"/>
    <col min="24" max="24" width="17.26953125" style="42" hidden="1" customWidth="1"/>
    <col min="25" max="25" width="17.453125" style="42" hidden="1" customWidth="1"/>
    <col min="26" max="26" width="17.26953125" style="42" hidden="1" customWidth="1"/>
    <col min="27" max="27" width="14.90625" style="42" hidden="1" customWidth="1"/>
    <col min="28" max="28" width="17" style="42" hidden="1" customWidth="1"/>
    <col min="29" max="29" width="20" style="42" hidden="1" customWidth="1"/>
    <col min="30" max="30" width="17.90625" style="42" hidden="1" customWidth="1"/>
    <col min="31" max="31" width="16.54296875" style="42" hidden="1" customWidth="1"/>
    <col min="32" max="32" width="14.26953125" style="42" hidden="1" customWidth="1"/>
    <col min="33" max="33" width="16.36328125" style="42" hidden="1" customWidth="1"/>
    <col min="34" max="34" width="19.26953125" style="42" hidden="1" customWidth="1"/>
    <col min="35" max="35" width="17.26953125" style="42" hidden="1" customWidth="1"/>
    <col min="36" max="36" width="15.453125" style="42" hidden="1" customWidth="1"/>
    <col min="37" max="37" width="14.6328125" style="42" hidden="1" customWidth="1"/>
    <col min="38" max="38" width="16.7265625" style="42" hidden="1" customWidth="1"/>
    <col min="39" max="39" width="19.7265625" style="42" hidden="1" customWidth="1"/>
    <col min="40" max="40" width="17.36328125" style="42" hidden="1" customWidth="1"/>
    <col min="41" max="41" width="17.08984375" style="42" hidden="1" customWidth="1"/>
    <col min="42" max="42" width="14.36328125" style="42" hidden="1" customWidth="1"/>
    <col min="43" max="43" width="16.453125" style="42" hidden="1" customWidth="1"/>
    <col min="44" max="44" width="17.453125" style="42" hidden="1" customWidth="1"/>
    <col min="45" max="45" width="17.08984375" style="42" hidden="1" customWidth="1"/>
    <col min="46" max="46" width="16.81640625" style="42" hidden="1" customWidth="1"/>
    <col min="47" max="47" width="14.08984375" style="42" hidden="1" customWidth="1"/>
    <col min="48" max="48" width="16.1796875" style="42" hidden="1" customWidth="1"/>
    <col min="49" max="49" width="17.26953125" style="42" hidden="1" customWidth="1"/>
    <col min="50" max="50" width="16.81640625" style="70" customWidth="1"/>
    <col min="51" max="51" width="16.54296875" style="70" customWidth="1"/>
    <col min="52" max="52" width="13.81640625" style="42" customWidth="1"/>
    <col min="53" max="53" width="15.90625" style="42" customWidth="1"/>
    <col min="54" max="54" width="17" style="42" hidden="1" customWidth="1"/>
    <col min="55" max="55" width="17.36328125" style="42" hidden="1" customWidth="1"/>
    <col min="56" max="56" width="17.08984375" style="42" hidden="1" customWidth="1"/>
    <col min="57" max="57" width="14.36328125" style="42" customWidth="1"/>
    <col min="58" max="58" width="16.453125" style="42" customWidth="1"/>
    <col min="59" max="59" width="17.453125" style="42" hidden="1" customWidth="1"/>
    <col min="60" max="60" width="17.26953125" style="42" hidden="1" customWidth="1"/>
    <col min="61" max="61" width="17" style="42" hidden="1" customWidth="1"/>
    <col min="62" max="62" width="14.26953125" style="42" customWidth="1"/>
    <col min="63" max="63" width="16.36328125" style="42" customWidth="1"/>
    <col min="64" max="64" width="17.36328125" style="42" hidden="1" customWidth="1"/>
    <col min="65" max="65" width="16.7265625" style="42" hidden="1" customWidth="1"/>
    <col min="66" max="66" width="16.453125" style="42" hidden="1" customWidth="1"/>
    <col min="67" max="67" width="13.7265625" style="42" hidden="1" customWidth="1"/>
    <col min="68" max="68" width="15.81640625" style="42" hidden="1" customWidth="1"/>
    <col min="69" max="69" width="19.7265625" style="42" hidden="1" customWidth="1"/>
    <col min="70" max="70" width="17" style="42" hidden="1" customWidth="1"/>
    <col min="71" max="71" width="16.7265625" style="42" hidden="1" customWidth="1"/>
    <col min="72" max="72" width="14" style="42" hidden="1" customWidth="1"/>
    <col min="73" max="73" width="16.08984375" style="42" hidden="1" customWidth="1"/>
    <col min="74" max="74" width="19.54296875" style="42" hidden="1" customWidth="1"/>
    <col min="75" max="75" width="18" style="42" hidden="1" customWidth="1"/>
    <col min="76" max="76" width="17" style="42" hidden="1" customWidth="1"/>
    <col min="77" max="77" width="14.26953125" style="42" hidden="1" customWidth="1"/>
    <col min="78" max="78" width="16.36328125" style="42" hidden="1" customWidth="1"/>
    <col min="79" max="79" width="19.453125" style="42" hidden="1" customWidth="1"/>
    <col min="80" max="80" width="62.36328125" style="65" bestFit="1" customWidth="1"/>
    <col min="81" max="16384" width="23.08984375" style="58"/>
  </cols>
  <sheetData>
    <row r="1" spans="1:80" s="47" customFormat="1" ht="19.5" customHeight="1" x14ac:dyDescent="0.35">
      <c r="A1" s="42"/>
      <c r="B1" s="42"/>
      <c r="C1" s="42"/>
      <c r="D1" s="43"/>
      <c r="E1" s="70"/>
      <c r="F1" s="42"/>
      <c r="G1" s="42"/>
      <c r="H1" s="42"/>
      <c r="I1" s="42"/>
      <c r="J1" s="42"/>
      <c r="K1" s="42"/>
      <c r="L1" s="43"/>
      <c r="M1" s="42"/>
      <c r="N1" s="44"/>
      <c r="O1" s="45">
        <f t="shared" ref="O1:AT1" si="0">SUBTOTAL(9,O3:O78)</f>
        <v>309375</v>
      </c>
      <c r="P1" s="45">
        <f t="shared" si="0"/>
        <v>6981.166000000002</v>
      </c>
      <c r="Q1" s="45">
        <f t="shared" si="0"/>
        <v>81472.386800000007</v>
      </c>
      <c r="R1" s="45">
        <f t="shared" si="0"/>
        <v>7798678</v>
      </c>
      <c r="S1" s="45">
        <f t="shared" si="0"/>
        <v>1084000</v>
      </c>
      <c r="T1" s="45">
        <f t="shared" si="0"/>
        <v>576932</v>
      </c>
      <c r="U1" s="45">
        <f t="shared" si="0"/>
        <v>4312782.5999999996</v>
      </c>
      <c r="V1" s="45">
        <f t="shared" si="0"/>
        <v>690020</v>
      </c>
      <c r="W1" s="45">
        <f t="shared" si="0"/>
        <v>4387710</v>
      </c>
      <c r="X1" s="45">
        <f t="shared" si="0"/>
        <v>308420</v>
      </c>
      <c r="Y1" s="45">
        <f t="shared" si="0"/>
        <v>398500</v>
      </c>
      <c r="Z1" s="45">
        <f t="shared" si="0"/>
        <v>6383566</v>
      </c>
      <c r="AA1" s="45">
        <f t="shared" si="0"/>
        <v>592000</v>
      </c>
      <c r="AB1" s="45">
        <f t="shared" si="0"/>
        <v>5135930</v>
      </c>
      <c r="AC1" s="45">
        <f t="shared" si="0"/>
        <v>164000</v>
      </c>
      <c r="AD1" s="45">
        <f t="shared" si="0"/>
        <v>806810</v>
      </c>
      <c r="AE1" s="45">
        <f t="shared" si="0"/>
        <v>6760840</v>
      </c>
      <c r="AF1" s="45">
        <f t="shared" si="0"/>
        <v>552180</v>
      </c>
      <c r="AG1" s="45">
        <f t="shared" si="0"/>
        <v>5094893.8</v>
      </c>
      <c r="AH1" s="45">
        <f t="shared" si="0"/>
        <v>1744000</v>
      </c>
      <c r="AI1" s="45">
        <f t="shared" si="0"/>
        <v>495920</v>
      </c>
      <c r="AJ1" s="45">
        <f t="shared" si="0"/>
        <v>7319099.7999999998</v>
      </c>
      <c r="AK1" s="45">
        <f t="shared" si="0"/>
        <v>545000</v>
      </c>
      <c r="AL1" s="45">
        <f t="shared" si="0"/>
        <v>6146430</v>
      </c>
      <c r="AM1" s="45">
        <f t="shared" si="0"/>
        <v>118000</v>
      </c>
      <c r="AN1" s="45">
        <f t="shared" si="0"/>
        <v>561052</v>
      </c>
      <c r="AO1" s="45">
        <f t="shared" si="0"/>
        <v>6037894.7999999998</v>
      </c>
      <c r="AP1" s="45">
        <f t="shared" si="0"/>
        <v>458000</v>
      </c>
      <c r="AQ1" s="45">
        <f t="shared" si="0"/>
        <v>3752780</v>
      </c>
      <c r="AR1" s="45">
        <f t="shared" si="0"/>
        <v>217000</v>
      </c>
      <c r="AS1" s="45">
        <f t="shared" si="0"/>
        <v>620280</v>
      </c>
      <c r="AT1" s="45">
        <f t="shared" si="0"/>
        <v>7126786</v>
      </c>
      <c r="AU1" s="45">
        <f t="shared" ref="AU1:CA1" si="1">SUBTOTAL(9,AU3:AU78)</f>
        <v>740200</v>
      </c>
      <c r="AV1" s="45">
        <f t="shared" si="1"/>
        <v>4806114</v>
      </c>
      <c r="AW1" s="45">
        <f t="shared" si="1"/>
        <v>694020</v>
      </c>
      <c r="AX1" s="68">
        <f t="shared" si="1"/>
        <v>646990</v>
      </c>
      <c r="AY1" s="68">
        <f t="shared" si="1"/>
        <v>8786751</v>
      </c>
      <c r="AZ1" s="45">
        <f t="shared" si="1"/>
        <v>560800</v>
      </c>
      <c r="BA1" s="45">
        <f t="shared" si="1"/>
        <v>4506906</v>
      </c>
      <c r="BB1" s="45">
        <f t="shared" si="1"/>
        <v>388000</v>
      </c>
      <c r="BC1" s="45">
        <f t="shared" si="1"/>
        <v>478420</v>
      </c>
      <c r="BD1" s="45">
        <f t="shared" si="1"/>
        <v>6834274.7999999998</v>
      </c>
      <c r="BE1" s="45">
        <f t="shared" si="1"/>
        <v>140600</v>
      </c>
      <c r="BF1" s="45">
        <f t="shared" si="1"/>
        <v>3291772</v>
      </c>
      <c r="BG1" s="45">
        <f t="shared" si="1"/>
        <v>30000</v>
      </c>
      <c r="BH1" s="45">
        <f t="shared" si="1"/>
        <v>740332</v>
      </c>
      <c r="BI1" s="45">
        <f t="shared" si="1"/>
        <v>6265018.7999999998</v>
      </c>
      <c r="BJ1" s="45">
        <f t="shared" si="1"/>
        <v>0</v>
      </c>
      <c r="BK1" s="45">
        <f t="shared" si="1"/>
        <v>0</v>
      </c>
      <c r="BL1" s="45">
        <f t="shared" si="1"/>
        <v>567000</v>
      </c>
      <c r="BM1" s="45">
        <f t="shared" si="1"/>
        <v>396960</v>
      </c>
      <c r="BN1" s="45">
        <f t="shared" si="1"/>
        <v>8693980</v>
      </c>
      <c r="BO1" s="45">
        <f t="shared" si="1"/>
        <v>0</v>
      </c>
      <c r="BP1" s="45">
        <f t="shared" si="1"/>
        <v>0</v>
      </c>
      <c r="BQ1" s="45">
        <f t="shared" si="1"/>
        <v>99000</v>
      </c>
      <c r="BR1" s="45">
        <f t="shared" si="1"/>
        <v>402990</v>
      </c>
      <c r="BS1" s="45">
        <f t="shared" si="1"/>
        <v>5633951</v>
      </c>
      <c r="BT1" s="45">
        <f t="shared" si="1"/>
        <v>0</v>
      </c>
      <c r="BU1" s="45">
        <f t="shared" si="1"/>
        <v>0</v>
      </c>
      <c r="BV1" s="45">
        <f t="shared" si="1"/>
        <v>0</v>
      </c>
      <c r="BW1" s="45">
        <f t="shared" si="1"/>
        <v>855980</v>
      </c>
      <c r="BX1" s="45">
        <f t="shared" si="1"/>
        <v>7317442</v>
      </c>
      <c r="BY1" s="45">
        <f t="shared" si="1"/>
        <v>0</v>
      </c>
      <c r="BZ1" s="45">
        <f t="shared" si="1"/>
        <v>0</v>
      </c>
      <c r="CA1" s="45">
        <f t="shared" si="1"/>
        <v>0</v>
      </c>
      <c r="CB1" s="46"/>
    </row>
    <row r="2" spans="1:80" s="57" customFormat="1" ht="28.5" customHeight="1" x14ac:dyDescent="0.35">
      <c r="A2" s="48" t="s">
        <v>0</v>
      </c>
      <c r="B2" s="48" t="s">
        <v>1</v>
      </c>
      <c r="C2" s="48" t="s">
        <v>2</v>
      </c>
      <c r="D2" s="49" t="s">
        <v>3</v>
      </c>
      <c r="E2" s="72" t="s">
        <v>4</v>
      </c>
      <c r="F2" s="48" t="s">
        <v>5</v>
      </c>
      <c r="G2" s="48" t="s">
        <v>6</v>
      </c>
      <c r="H2" s="48" t="s">
        <v>7</v>
      </c>
      <c r="I2" s="48" t="s">
        <v>8</v>
      </c>
      <c r="J2" s="48" t="s">
        <v>9</v>
      </c>
      <c r="K2" s="48" t="s">
        <v>10</v>
      </c>
      <c r="L2" s="49" t="s">
        <v>11</v>
      </c>
      <c r="M2" s="48" t="s">
        <v>12</v>
      </c>
      <c r="N2" s="50" t="s">
        <v>13</v>
      </c>
      <c r="O2" s="51" t="s">
        <v>273</v>
      </c>
      <c r="P2" s="52" t="s">
        <v>14</v>
      </c>
      <c r="Q2" s="52" t="s">
        <v>147</v>
      </c>
      <c r="R2" s="52" t="s">
        <v>271</v>
      </c>
      <c r="S2" s="52" t="s">
        <v>272</v>
      </c>
      <c r="T2" s="53" t="s">
        <v>15</v>
      </c>
      <c r="U2" s="53" t="s">
        <v>16</v>
      </c>
      <c r="V2" s="53" t="s">
        <v>17</v>
      </c>
      <c r="W2" s="53" t="s">
        <v>18</v>
      </c>
      <c r="X2" s="54" t="s">
        <v>19</v>
      </c>
      <c r="Y2" s="53" t="s">
        <v>20</v>
      </c>
      <c r="Z2" s="53" t="s">
        <v>21</v>
      </c>
      <c r="AA2" s="53" t="s">
        <v>22</v>
      </c>
      <c r="AB2" s="53" t="s">
        <v>23</v>
      </c>
      <c r="AC2" s="54" t="s">
        <v>24</v>
      </c>
      <c r="AD2" s="53" t="s">
        <v>25</v>
      </c>
      <c r="AE2" s="53" t="s">
        <v>26</v>
      </c>
      <c r="AF2" s="53" t="s">
        <v>27</v>
      </c>
      <c r="AG2" s="53" t="s">
        <v>28</v>
      </c>
      <c r="AH2" s="54" t="s">
        <v>29</v>
      </c>
      <c r="AI2" s="53" t="s">
        <v>30</v>
      </c>
      <c r="AJ2" s="53" t="s">
        <v>31</v>
      </c>
      <c r="AK2" s="53" t="s">
        <v>32</v>
      </c>
      <c r="AL2" s="53" t="s">
        <v>33</v>
      </c>
      <c r="AM2" s="54" t="s">
        <v>34</v>
      </c>
      <c r="AN2" s="53" t="s">
        <v>35</v>
      </c>
      <c r="AO2" s="53" t="s">
        <v>36</v>
      </c>
      <c r="AP2" s="53" t="s">
        <v>37</v>
      </c>
      <c r="AQ2" s="53" t="s">
        <v>38</v>
      </c>
      <c r="AR2" s="54" t="s">
        <v>39</v>
      </c>
      <c r="AS2" s="53" t="s">
        <v>40</v>
      </c>
      <c r="AT2" s="53" t="s">
        <v>41</v>
      </c>
      <c r="AU2" s="53" t="s">
        <v>42</v>
      </c>
      <c r="AV2" s="53" t="s">
        <v>43</v>
      </c>
      <c r="AW2" s="54" t="s">
        <v>44</v>
      </c>
      <c r="AX2" s="69" t="s">
        <v>45</v>
      </c>
      <c r="AY2" s="69" t="s">
        <v>46</v>
      </c>
      <c r="AZ2" s="71" t="s">
        <v>47</v>
      </c>
      <c r="BA2" s="53" t="s">
        <v>48</v>
      </c>
      <c r="BB2" s="54" t="s">
        <v>49</v>
      </c>
      <c r="BC2" s="53" t="s">
        <v>50</v>
      </c>
      <c r="BD2" s="53" t="s">
        <v>51</v>
      </c>
      <c r="BE2" s="71" t="s">
        <v>52</v>
      </c>
      <c r="BF2" s="53" t="s">
        <v>53</v>
      </c>
      <c r="BG2" s="54" t="s">
        <v>54</v>
      </c>
      <c r="BH2" s="53" t="s">
        <v>55</v>
      </c>
      <c r="BI2" s="53" t="s">
        <v>56</v>
      </c>
      <c r="BJ2" s="71" t="s">
        <v>57</v>
      </c>
      <c r="BK2" s="53" t="s">
        <v>58</v>
      </c>
      <c r="BL2" s="54" t="s">
        <v>59</v>
      </c>
      <c r="BM2" s="53" t="s">
        <v>60</v>
      </c>
      <c r="BN2" s="53" t="s">
        <v>61</v>
      </c>
      <c r="BO2" s="53" t="s">
        <v>62</v>
      </c>
      <c r="BP2" s="53" t="s">
        <v>63</v>
      </c>
      <c r="BQ2" s="54" t="s">
        <v>64</v>
      </c>
      <c r="BR2" s="53" t="s">
        <v>65</v>
      </c>
      <c r="BS2" s="53" t="s">
        <v>66</v>
      </c>
      <c r="BT2" s="53" t="s">
        <v>67</v>
      </c>
      <c r="BU2" s="53" t="s">
        <v>68</v>
      </c>
      <c r="BV2" s="55" t="s">
        <v>69</v>
      </c>
      <c r="BW2" s="53" t="s">
        <v>70</v>
      </c>
      <c r="BX2" s="53" t="s">
        <v>71</v>
      </c>
      <c r="BY2" s="53" t="s">
        <v>72</v>
      </c>
      <c r="BZ2" s="53" t="s">
        <v>73</v>
      </c>
      <c r="CA2" s="55" t="s">
        <v>74</v>
      </c>
      <c r="CB2" s="56" t="s">
        <v>75</v>
      </c>
    </row>
    <row r="3" spans="1:80" ht="16" x14ac:dyDescent="0.4">
      <c r="A3" s="6" t="s">
        <v>76</v>
      </c>
      <c r="B3" s="6" t="s">
        <v>167</v>
      </c>
      <c r="C3" s="6" t="s">
        <v>168</v>
      </c>
      <c r="D3" s="6" t="s">
        <v>217</v>
      </c>
      <c r="E3" s="73" t="s">
        <v>218</v>
      </c>
      <c r="F3" s="6" t="s">
        <v>182</v>
      </c>
      <c r="G3" s="6" t="s">
        <v>174</v>
      </c>
      <c r="H3" s="6" t="s">
        <v>120</v>
      </c>
      <c r="I3" s="6" t="s">
        <v>120</v>
      </c>
      <c r="J3" s="6" t="s">
        <v>85</v>
      </c>
      <c r="K3" s="6" t="s">
        <v>121</v>
      </c>
      <c r="L3" s="6" t="s">
        <v>219</v>
      </c>
      <c r="M3" s="6" t="s">
        <v>80</v>
      </c>
      <c r="N3" s="8">
        <v>16.75</v>
      </c>
      <c r="O3" s="9"/>
      <c r="P3" s="11">
        <f t="shared" ref="P3:P9" si="2">+(T3+Y3+AD3+AI3+AN3+AS3+AX3+BC3+BH3+BM3+BR3+BW3)/1000</f>
        <v>24</v>
      </c>
      <c r="Q3" s="11">
        <f t="shared" ref="Q3:Q9" si="3">+(U3+Z3+AE3+AJ3+AO3+AT3+AY3+BD3+BI3+BN3+BS3+BX3)/1000</f>
        <v>402</v>
      </c>
      <c r="R3" s="11">
        <f t="shared" ref="R3:R9" si="4">+(+BA3+BF3+BK3+BP3+BU3+BZ3)</f>
        <v>134000</v>
      </c>
      <c r="S3" s="11">
        <f t="shared" ref="S3:S9" si="5">+(+BB3+BG3+BL3+BQ3+BV3+CA3)</f>
        <v>0</v>
      </c>
      <c r="T3" s="12"/>
      <c r="U3" s="12">
        <f t="shared" ref="U3:U9" si="6">T3*N3</f>
        <v>0</v>
      </c>
      <c r="V3" s="12"/>
      <c r="W3" s="12">
        <f t="shared" ref="W3:W9" si="7">V3*N3</f>
        <v>0</v>
      </c>
      <c r="X3" s="12"/>
      <c r="Y3" s="12"/>
      <c r="Z3" s="12">
        <f t="shared" ref="Z3:Z9" si="8">Y3*N3</f>
        <v>0</v>
      </c>
      <c r="AA3" s="12"/>
      <c r="AB3" s="12">
        <f t="shared" ref="AB3:AB9" si="9">AA3*N3</f>
        <v>0</v>
      </c>
      <c r="AC3" s="12"/>
      <c r="AD3" s="12"/>
      <c r="AE3" s="12">
        <f t="shared" ref="AE3:AE9" si="10">AD3*N3</f>
        <v>0</v>
      </c>
      <c r="AF3" s="12"/>
      <c r="AG3" s="12">
        <f t="shared" ref="AG3:AG9" si="11">AF3*N3</f>
        <v>0</v>
      </c>
      <c r="AH3" s="12"/>
      <c r="AI3" s="12">
        <v>8000</v>
      </c>
      <c r="AJ3" s="12">
        <f t="shared" ref="AJ3:AJ9" si="12">AI3*N3</f>
        <v>134000</v>
      </c>
      <c r="AK3" s="12"/>
      <c r="AL3" s="12">
        <f t="shared" ref="AL3:AL9" si="13">AK3*N3</f>
        <v>0</v>
      </c>
      <c r="AM3" s="12"/>
      <c r="AN3" s="12"/>
      <c r="AO3" s="12">
        <f t="shared" ref="AO3:AO9" si="14">AN3*N3</f>
        <v>0</v>
      </c>
      <c r="AP3" s="12"/>
      <c r="AQ3" s="12">
        <f t="shared" ref="AQ3:AQ9" si="15">AP3*N3</f>
        <v>0</v>
      </c>
      <c r="AR3" s="12"/>
      <c r="AS3" s="12"/>
      <c r="AT3" s="12">
        <f t="shared" ref="AT3:AT9" si="16">AS3*N3</f>
        <v>0</v>
      </c>
      <c r="AU3" s="12"/>
      <c r="AV3" s="12">
        <f t="shared" ref="AV3:AV9" si="17">AU3*N3</f>
        <v>0</v>
      </c>
      <c r="AW3" s="12"/>
      <c r="AX3" s="13"/>
      <c r="AY3" s="13">
        <f t="shared" ref="AY3:AY9" si="18">AX3*N3</f>
        <v>0</v>
      </c>
      <c r="AZ3" s="12"/>
      <c r="BA3" s="12">
        <f t="shared" ref="BA3:BA9" si="19">AZ3*N3</f>
        <v>0</v>
      </c>
      <c r="BB3" s="12"/>
      <c r="BC3" s="12">
        <v>8000</v>
      </c>
      <c r="BD3" s="12">
        <f t="shared" ref="BD3:BD9" si="20">BC3*N3</f>
        <v>134000</v>
      </c>
      <c r="BE3" s="12">
        <v>8000</v>
      </c>
      <c r="BF3" s="12">
        <f t="shared" ref="BF3:BF9" si="21">BE3*N3</f>
        <v>134000</v>
      </c>
      <c r="BG3" s="12"/>
      <c r="BH3" s="12"/>
      <c r="BI3" s="12">
        <f t="shared" ref="BI3:BI9" si="22">BH3*N3</f>
        <v>0</v>
      </c>
      <c r="BJ3" s="12"/>
      <c r="BK3" s="12">
        <f t="shared" ref="BK3:BK9" si="23">BJ3*N3</f>
        <v>0</v>
      </c>
      <c r="BL3" s="12"/>
      <c r="BM3" s="12"/>
      <c r="BN3" s="12">
        <f t="shared" ref="BN3:BN9" si="24">BM3*N3</f>
        <v>0</v>
      </c>
      <c r="BO3" s="12"/>
      <c r="BP3" s="12">
        <f t="shared" ref="BP3:BP9" si="25">BO3*N3</f>
        <v>0</v>
      </c>
      <c r="BQ3" s="12"/>
      <c r="BR3" s="12">
        <v>8000</v>
      </c>
      <c r="BS3" s="12">
        <f t="shared" ref="BS3:BS9" si="26">BR3*N3</f>
        <v>134000</v>
      </c>
      <c r="BT3" s="12"/>
      <c r="BU3" s="12">
        <f t="shared" ref="BU3:BU9" si="27">BT3*N3</f>
        <v>0</v>
      </c>
      <c r="BV3" s="12"/>
      <c r="BW3" s="12"/>
      <c r="BX3" s="12">
        <f t="shared" ref="BX3:BX9" si="28">BW3*N3</f>
        <v>0</v>
      </c>
      <c r="BY3" s="12"/>
      <c r="BZ3" s="12">
        <f t="shared" ref="BZ3:BZ9" si="29">BY3*N3</f>
        <v>0</v>
      </c>
      <c r="CA3" s="12"/>
      <c r="CB3" s="6"/>
    </row>
    <row r="4" spans="1:80" ht="16" x14ac:dyDescent="0.4">
      <c r="A4" s="6" t="s">
        <v>76</v>
      </c>
      <c r="B4" s="6" t="s">
        <v>167</v>
      </c>
      <c r="C4" s="6" t="s">
        <v>168</v>
      </c>
      <c r="D4" s="6" t="s">
        <v>217</v>
      </c>
      <c r="E4" s="73" t="s">
        <v>218</v>
      </c>
      <c r="F4" s="6" t="s">
        <v>182</v>
      </c>
      <c r="G4" s="6" t="s">
        <v>174</v>
      </c>
      <c r="H4" s="6" t="s">
        <v>120</v>
      </c>
      <c r="I4" s="6" t="s">
        <v>120</v>
      </c>
      <c r="J4" s="6" t="s">
        <v>85</v>
      </c>
      <c r="K4" s="6" t="s">
        <v>121</v>
      </c>
      <c r="L4" s="6" t="s">
        <v>220</v>
      </c>
      <c r="M4" s="6" t="s">
        <v>80</v>
      </c>
      <c r="N4" s="8">
        <v>5.4</v>
      </c>
      <c r="O4" s="9"/>
      <c r="P4" s="11">
        <f t="shared" si="2"/>
        <v>24</v>
      </c>
      <c r="Q4" s="11">
        <f t="shared" si="3"/>
        <v>129.6</v>
      </c>
      <c r="R4" s="11">
        <f t="shared" si="4"/>
        <v>43200</v>
      </c>
      <c r="S4" s="11">
        <f t="shared" si="5"/>
        <v>0</v>
      </c>
      <c r="T4" s="12"/>
      <c r="U4" s="12">
        <f t="shared" si="6"/>
        <v>0</v>
      </c>
      <c r="V4" s="12"/>
      <c r="W4" s="12">
        <f t="shared" si="7"/>
        <v>0</v>
      </c>
      <c r="X4" s="12"/>
      <c r="Y4" s="12"/>
      <c r="Z4" s="12">
        <f t="shared" si="8"/>
        <v>0</v>
      </c>
      <c r="AA4" s="12"/>
      <c r="AB4" s="12">
        <f t="shared" si="9"/>
        <v>0</v>
      </c>
      <c r="AC4" s="12"/>
      <c r="AD4" s="12">
        <v>8000</v>
      </c>
      <c r="AE4" s="12">
        <f t="shared" si="10"/>
        <v>43200</v>
      </c>
      <c r="AF4" s="12"/>
      <c r="AG4" s="12">
        <f t="shared" si="11"/>
        <v>0</v>
      </c>
      <c r="AH4" s="12"/>
      <c r="AI4" s="12"/>
      <c r="AJ4" s="12">
        <f t="shared" si="12"/>
        <v>0</v>
      </c>
      <c r="AK4" s="12"/>
      <c r="AL4" s="12">
        <f t="shared" si="13"/>
        <v>0</v>
      </c>
      <c r="AM4" s="12"/>
      <c r="AN4" s="12"/>
      <c r="AO4" s="12">
        <f t="shared" si="14"/>
        <v>0</v>
      </c>
      <c r="AP4" s="12"/>
      <c r="AQ4" s="12">
        <f t="shared" si="15"/>
        <v>0</v>
      </c>
      <c r="AR4" s="12"/>
      <c r="AS4" s="12"/>
      <c r="AT4" s="12">
        <f t="shared" si="16"/>
        <v>0</v>
      </c>
      <c r="AU4" s="12"/>
      <c r="AV4" s="12">
        <f t="shared" si="17"/>
        <v>0</v>
      </c>
      <c r="AW4" s="12"/>
      <c r="AX4" s="13">
        <v>8000</v>
      </c>
      <c r="AY4" s="13">
        <f t="shared" si="18"/>
        <v>43200</v>
      </c>
      <c r="AZ4" s="12"/>
      <c r="BA4" s="12">
        <f t="shared" si="19"/>
        <v>0</v>
      </c>
      <c r="BB4" s="12"/>
      <c r="BC4" s="12"/>
      <c r="BD4" s="12">
        <f t="shared" si="20"/>
        <v>0</v>
      </c>
      <c r="BE4" s="12">
        <v>8000</v>
      </c>
      <c r="BF4" s="12">
        <f t="shared" si="21"/>
        <v>43200</v>
      </c>
      <c r="BG4" s="12"/>
      <c r="BH4" s="12"/>
      <c r="BI4" s="12">
        <f t="shared" si="22"/>
        <v>0</v>
      </c>
      <c r="BJ4" s="12"/>
      <c r="BK4" s="12">
        <f t="shared" si="23"/>
        <v>0</v>
      </c>
      <c r="BL4" s="12"/>
      <c r="BM4" s="12"/>
      <c r="BN4" s="12">
        <f t="shared" si="24"/>
        <v>0</v>
      </c>
      <c r="BO4" s="12"/>
      <c r="BP4" s="12">
        <f t="shared" si="25"/>
        <v>0</v>
      </c>
      <c r="BQ4" s="12"/>
      <c r="BR4" s="12"/>
      <c r="BS4" s="12">
        <f t="shared" si="26"/>
        <v>0</v>
      </c>
      <c r="BT4" s="12"/>
      <c r="BU4" s="12">
        <f t="shared" si="27"/>
        <v>0</v>
      </c>
      <c r="BV4" s="12"/>
      <c r="BW4" s="12">
        <v>8000</v>
      </c>
      <c r="BX4" s="12">
        <f t="shared" si="28"/>
        <v>43200</v>
      </c>
      <c r="BY4" s="12"/>
      <c r="BZ4" s="12">
        <f t="shared" si="29"/>
        <v>0</v>
      </c>
      <c r="CA4" s="12"/>
      <c r="CB4" s="6"/>
    </row>
    <row r="5" spans="1:80" ht="16" x14ac:dyDescent="0.4">
      <c r="A5" s="6" t="s">
        <v>76</v>
      </c>
      <c r="B5" s="6" t="s">
        <v>167</v>
      </c>
      <c r="C5" s="6" t="s">
        <v>168</v>
      </c>
      <c r="D5" s="6" t="s">
        <v>221</v>
      </c>
      <c r="E5" s="73" t="s">
        <v>222</v>
      </c>
      <c r="F5" s="6" t="s">
        <v>182</v>
      </c>
      <c r="G5" s="6" t="s">
        <v>174</v>
      </c>
      <c r="H5" s="6" t="s">
        <v>82</v>
      </c>
      <c r="I5" s="6" t="s">
        <v>82</v>
      </c>
      <c r="J5" s="6" t="s">
        <v>106</v>
      </c>
      <c r="K5" s="6" t="s">
        <v>81</v>
      </c>
      <c r="L5" s="6" t="s">
        <v>206</v>
      </c>
      <c r="M5" s="6" t="s">
        <v>80</v>
      </c>
      <c r="N5" s="8">
        <v>90</v>
      </c>
      <c r="O5" s="9"/>
      <c r="P5" s="11">
        <f t="shared" si="2"/>
        <v>12</v>
      </c>
      <c r="Q5" s="11">
        <f t="shared" si="3"/>
        <v>1080</v>
      </c>
      <c r="R5" s="11">
        <f t="shared" si="4"/>
        <v>0</v>
      </c>
      <c r="S5" s="11">
        <f t="shared" si="5"/>
        <v>0</v>
      </c>
      <c r="T5" s="12"/>
      <c r="U5" s="12">
        <f t="shared" si="6"/>
        <v>0</v>
      </c>
      <c r="V5" s="12"/>
      <c r="W5" s="12">
        <f t="shared" si="7"/>
        <v>0</v>
      </c>
      <c r="X5" s="12"/>
      <c r="Y5" s="12">
        <v>3000</v>
      </c>
      <c r="Z5" s="12">
        <f t="shared" si="8"/>
        <v>270000</v>
      </c>
      <c r="AA5" s="12"/>
      <c r="AB5" s="12">
        <f t="shared" si="9"/>
        <v>0</v>
      </c>
      <c r="AC5" s="12"/>
      <c r="AD5" s="12"/>
      <c r="AE5" s="12">
        <f t="shared" si="10"/>
        <v>0</v>
      </c>
      <c r="AF5" s="12"/>
      <c r="AG5" s="12">
        <f t="shared" si="11"/>
        <v>0</v>
      </c>
      <c r="AH5" s="12"/>
      <c r="AI5" s="12"/>
      <c r="AJ5" s="12">
        <f t="shared" si="12"/>
        <v>0</v>
      </c>
      <c r="AK5" s="12"/>
      <c r="AL5" s="12">
        <f t="shared" si="13"/>
        <v>0</v>
      </c>
      <c r="AM5" s="12"/>
      <c r="AN5" s="12">
        <v>3000</v>
      </c>
      <c r="AO5" s="12">
        <f t="shared" si="14"/>
        <v>270000</v>
      </c>
      <c r="AP5" s="12"/>
      <c r="AQ5" s="12">
        <f t="shared" si="15"/>
        <v>0</v>
      </c>
      <c r="AR5" s="12"/>
      <c r="AS5" s="12"/>
      <c r="AT5" s="12">
        <f t="shared" si="16"/>
        <v>0</v>
      </c>
      <c r="AU5" s="12"/>
      <c r="AV5" s="12">
        <f t="shared" si="17"/>
        <v>0</v>
      </c>
      <c r="AW5" s="12"/>
      <c r="AX5" s="13"/>
      <c r="AY5" s="13">
        <f t="shared" si="18"/>
        <v>0</v>
      </c>
      <c r="AZ5" s="12"/>
      <c r="BA5" s="12">
        <f t="shared" si="19"/>
        <v>0</v>
      </c>
      <c r="BB5" s="12"/>
      <c r="BC5" s="12">
        <v>3000</v>
      </c>
      <c r="BD5" s="12">
        <f t="shared" si="20"/>
        <v>270000</v>
      </c>
      <c r="BE5" s="12"/>
      <c r="BF5" s="12">
        <f t="shared" si="21"/>
        <v>0</v>
      </c>
      <c r="BG5" s="12"/>
      <c r="BH5" s="12"/>
      <c r="BI5" s="12">
        <f t="shared" si="22"/>
        <v>0</v>
      </c>
      <c r="BJ5" s="12"/>
      <c r="BK5" s="12">
        <f t="shared" si="23"/>
        <v>0</v>
      </c>
      <c r="BL5" s="12"/>
      <c r="BM5" s="12"/>
      <c r="BN5" s="12">
        <f t="shared" si="24"/>
        <v>0</v>
      </c>
      <c r="BO5" s="12"/>
      <c r="BP5" s="12">
        <f t="shared" si="25"/>
        <v>0</v>
      </c>
      <c r="BQ5" s="12"/>
      <c r="BR5" s="12"/>
      <c r="BS5" s="12">
        <f t="shared" si="26"/>
        <v>0</v>
      </c>
      <c r="BT5" s="12"/>
      <c r="BU5" s="12">
        <f t="shared" si="27"/>
        <v>0</v>
      </c>
      <c r="BV5" s="12"/>
      <c r="BW5" s="12">
        <v>3000</v>
      </c>
      <c r="BX5" s="12">
        <f t="shared" si="28"/>
        <v>270000</v>
      </c>
      <c r="BY5" s="12"/>
      <c r="BZ5" s="12">
        <f t="shared" si="29"/>
        <v>0</v>
      </c>
      <c r="CA5" s="12"/>
      <c r="CB5" s="6"/>
    </row>
    <row r="6" spans="1:80" ht="16" x14ac:dyDescent="0.4">
      <c r="A6" s="6" t="s">
        <v>76</v>
      </c>
      <c r="B6" s="6" t="s">
        <v>167</v>
      </c>
      <c r="C6" s="6" t="s">
        <v>168</v>
      </c>
      <c r="D6" s="6" t="s">
        <v>221</v>
      </c>
      <c r="E6" s="73" t="s">
        <v>222</v>
      </c>
      <c r="F6" s="6" t="s">
        <v>182</v>
      </c>
      <c r="G6" s="6" t="s">
        <v>174</v>
      </c>
      <c r="H6" s="6" t="s">
        <v>82</v>
      </c>
      <c r="I6" s="6" t="s">
        <v>82</v>
      </c>
      <c r="J6" s="6" t="s">
        <v>106</v>
      </c>
      <c r="K6" s="6" t="s">
        <v>81</v>
      </c>
      <c r="L6" s="6" t="s">
        <v>127</v>
      </c>
      <c r="M6" s="6" t="s">
        <v>80</v>
      </c>
      <c r="N6" s="8">
        <v>160.91</v>
      </c>
      <c r="O6" s="9"/>
      <c r="P6" s="11">
        <f t="shared" si="2"/>
        <v>0.54</v>
      </c>
      <c r="Q6" s="11">
        <f t="shared" si="3"/>
        <v>86.89139999999999</v>
      </c>
      <c r="R6" s="11">
        <f t="shared" si="4"/>
        <v>0</v>
      </c>
      <c r="S6" s="11">
        <f t="shared" si="5"/>
        <v>0</v>
      </c>
      <c r="T6" s="12">
        <v>180</v>
      </c>
      <c r="U6" s="12">
        <f t="shared" si="6"/>
        <v>28963.8</v>
      </c>
      <c r="V6" s="12"/>
      <c r="W6" s="12">
        <f t="shared" si="7"/>
        <v>0</v>
      </c>
      <c r="X6" s="12"/>
      <c r="Y6" s="12"/>
      <c r="Z6" s="12">
        <f t="shared" si="8"/>
        <v>0</v>
      </c>
      <c r="AA6" s="12"/>
      <c r="AB6" s="12">
        <f t="shared" si="9"/>
        <v>0</v>
      </c>
      <c r="AC6" s="12"/>
      <c r="AD6" s="12"/>
      <c r="AE6" s="12">
        <f t="shared" si="10"/>
        <v>0</v>
      </c>
      <c r="AF6" s="12">
        <v>180</v>
      </c>
      <c r="AG6" s="12">
        <f t="shared" si="11"/>
        <v>28963.8</v>
      </c>
      <c r="AH6" s="12"/>
      <c r="AI6" s="12">
        <v>180</v>
      </c>
      <c r="AJ6" s="12">
        <f t="shared" si="12"/>
        <v>28963.8</v>
      </c>
      <c r="AK6" s="12"/>
      <c r="AL6" s="12">
        <f t="shared" si="13"/>
        <v>0</v>
      </c>
      <c r="AM6" s="12"/>
      <c r="AN6" s="12"/>
      <c r="AO6" s="12">
        <f t="shared" si="14"/>
        <v>0</v>
      </c>
      <c r="AP6" s="12"/>
      <c r="AQ6" s="12">
        <f t="shared" si="15"/>
        <v>0</v>
      </c>
      <c r="AR6" s="12"/>
      <c r="AS6" s="12"/>
      <c r="AT6" s="12">
        <f t="shared" si="16"/>
        <v>0</v>
      </c>
      <c r="AU6" s="12"/>
      <c r="AV6" s="12">
        <f t="shared" si="17"/>
        <v>0</v>
      </c>
      <c r="AW6" s="12"/>
      <c r="AX6" s="13"/>
      <c r="AY6" s="13">
        <f t="shared" si="18"/>
        <v>0</v>
      </c>
      <c r="AZ6" s="12"/>
      <c r="BA6" s="12">
        <f t="shared" si="19"/>
        <v>0</v>
      </c>
      <c r="BB6" s="12"/>
      <c r="BC6" s="12">
        <v>180</v>
      </c>
      <c r="BD6" s="12">
        <f t="shared" si="20"/>
        <v>28963.8</v>
      </c>
      <c r="BE6" s="12"/>
      <c r="BF6" s="12">
        <f t="shared" si="21"/>
        <v>0</v>
      </c>
      <c r="BG6" s="12"/>
      <c r="BH6" s="12"/>
      <c r="BI6" s="12">
        <f t="shared" si="22"/>
        <v>0</v>
      </c>
      <c r="BJ6" s="12"/>
      <c r="BK6" s="12">
        <f t="shared" si="23"/>
        <v>0</v>
      </c>
      <c r="BL6" s="12"/>
      <c r="BM6" s="12"/>
      <c r="BN6" s="12">
        <f t="shared" si="24"/>
        <v>0</v>
      </c>
      <c r="BO6" s="12"/>
      <c r="BP6" s="12">
        <f t="shared" si="25"/>
        <v>0</v>
      </c>
      <c r="BQ6" s="12"/>
      <c r="BR6" s="12"/>
      <c r="BS6" s="12">
        <f t="shared" si="26"/>
        <v>0</v>
      </c>
      <c r="BT6" s="12"/>
      <c r="BU6" s="12">
        <f t="shared" si="27"/>
        <v>0</v>
      </c>
      <c r="BV6" s="12"/>
      <c r="BW6" s="12"/>
      <c r="BX6" s="12">
        <f t="shared" si="28"/>
        <v>0</v>
      </c>
      <c r="BY6" s="12"/>
      <c r="BZ6" s="12">
        <f t="shared" si="29"/>
        <v>0</v>
      </c>
      <c r="CA6" s="12"/>
      <c r="CB6" s="6"/>
    </row>
    <row r="7" spans="1:80" ht="16" x14ac:dyDescent="0.4">
      <c r="A7" s="6" t="s">
        <v>76</v>
      </c>
      <c r="B7" s="6" t="s">
        <v>167</v>
      </c>
      <c r="C7" s="6" t="s">
        <v>168</v>
      </c>
      <c r="D7" s="6" t="s">
        <v>221</v>
      </c>
      <c r="E7" s="73" t="s">
        <v>222</v>
      </c>
      <c r="F7" s="6" t="s">
        <v>182</v>
      </c>
      <c r="G7" s="6" t="s">
        <v>174</v>
      </c>
      <c r="H7" s="6" t="s">
        <v>122</v>
      </c>
      <c r="I7" s="6" t="s">
        <v>122</v>
      </c>
      <c r="J7" s="6" t="s">
        <v>89</v>
      </c>
      <c r="K7" s="6" t="s">
        <v>113</v>
      </c>
      <c r="L7" s="6" t="s">
        <v>223</v>
      </c>
      <c r="M7" s="6" t="s">
        <v>80</v>
      </c>
      <c r="N7" s="8">
        <v>24</v>
      </c>
      <c r="O7" s="9"/>
      <c r="P7" s="11">
        <f t="shared" si="2"/>
        <v>3</v>
      </c>
      <c r="Q7" s="11">
        <f t="shared" si="3"/>
        <v>72</v>
      </c>
      <c r="R7" s="11">
        <f t="shared" si="4"/>
        <v>0</v>
      </c>
      <c r="S7" s="11">
        <f t="shared" si="5"/>
        <v>0</v>
      </c>
      <c r="T7" s="12">
        <v>0</v>
      </c>
      <c r="U7" s="12">
        <f t="shared" si="6"/>
        <v>0</v>
      </c>
      <c r="V7" s="12"/>
      <c r="W7" s="12">
        <f t="shared" si="7"/>
        <v>0</v>
      </c>
      <c r="X7" s="12"/>
      <c r="Y7" s="12">
        <v>0</v>
      </c>
      <c r="Z7" s="12">
        <f t="shared" si="8"/>
        <v>0</v>
      </c>
      <c r="AA7" s="12"/>
      <c r="AB7" s="12">
        <f t="shared" si="9"/>
        <v>0</v>
      </c>
      <c r="AC7" s="12"/>
      <c r="AD7" s="12">
        <v>0</v>
      </c>
      <c r="AE7" s="12">
        <f t="shared" si="10"/>
        <v>0</v>
      </c>
      <c r="AF7" s="12"/>
      <c r="AG7" s="12">
        <f t="shared" si="11"/>
        <v>0</v>
      </c>
      <c r="AH7" s="12"/>
      <c r="AI7" s="12">
        <v>0</v>
      </c>
      <c r="AJ7" s="12">
        <f t="shared" si="12"/>
        <v>0</v>
      </c>
      <c r="AK7" s="12"/>
      <c r="AL7" s="12">
        <f t="shared" si="13"/>
        <v>0</v>
      </c>
      <c r="AM7" s="12"/>
      <c r="AN7" s="12">
        <v>0</v>
      </c>
      <c r="AO7" s="12">
        <f t="shared" si="14"/>
        <v>0</v>
      </c>
      <c r="AP7" s="12"/>
      <c r="AQ7" s="12">
        <f t="shared" si="15"/>
        <v>0</v>
      </c>
      <c r="AR7" s="12"/>
      <c r="AS7" s="12">
        <v>3000</v>
      </c>
      <c r="AT7" s="12">
        <f t="shared" si="16"/>
        <v>72000</v>
      </c>
      <c r="AU7" s="12"/>
      <c r="AV7" s="12">
        <f t="shared" si="17"/>
        <v>0</v>
      </c>
      <c r="AW7" s="12"/>
      <c r="AX7" s="13">
        <v>0</v>
      </c>
      <c r="AY7" s="13">
        <f t="shared" si="18"/>
        <v>0</v>
      </c>
      <c r="AZ7" s="12"/>
      <c r="BA7" s="12">
        <f t="shared" si="19"/>
        <v>0</v>
      </c>
      <c r="BB7" s="12"/>
      <c r="BC7" s="12">
        <v>0</v>
      </c>
      <c r="BD7" s="12">
        <f t="shared" si="20"/>
        <v>0</v>
      </c>
      <c r="BE7" s="12"/>
      <c r="BF7" s="12">
        <f t="shared" si="21"/>
        <v>0</v>
      </c>
      <c r="BG7" s="12"/>
      <c r="BH7" s="12">
        <v>0</v>
      </c>
      <c r="BI7" s="12">
        <f t="shared" si="22"/>
        <v>0</v>
      </c>
      <c r="BJ7" s="12"/>
      <c r="BK7" s="12">
        <f t="shared" si="23"/>
        <v>0</v>
      </c>
      <c r="BL7" s="12"/>
      <c r="BM7" s="12">
        <v>0</v>
      </c>
      <c r="BN7" s="12">
        <f t="shared" si="24"/>
        <v>0</v>
      </c>
      <c r="BO7" s="12"/>
      <c r="BP7" s="12">
        <f t="shared" si="25"/>
        <v>0</v>
      </c>
      <c r="BQ7" s="12"/>
      <c r="BR7" s="12">
        <v>0</v>
      </c>
      <c r="BS7" s="12">
        <f t="shared" si="26"/>
        <v>0</v>
      </c>
      <c r="BT7" s="12"/>
      <c r="BU7" s="12">
        <f t="shared" si="27"/>
        <v>0</v>
      </c>
      <c r="BV7" s="12"/>
      <c r="BW7" s="12">
        <v>0</v>
      </c>
      <c r="BX7" s="12">
        <f t="shared" si="28"/>
        <v>0</v>
      </c>
      <c r="BY7" s="12"/>
      <c r="BZ7" s="12">
        <f t="shared" si="29"/>
        <v>0</v>
      </c>
      <c r="CA7" s="12"/>
      <c r="CB7" s="6"/>
    </row>
    <row r="8" spans="1:80" ht="16" x14ac:dyDescent="0.4">
      <c r="A8" s="6" t="s">
        <v>76</v>
      </c>
      <c r="B8" s="6" t="s">
        <v>167</v>
      </c>
      <c r="C8" s="6" t="s">
        <v>168</v>
      </c>
      <c r="D8" s="6" t="s">
        <v>224</v>
      </c>
      <c r="E8" s="73" t="s">
        <v>225</v>
      </c>
      <c r="F8" s="6" t="s">
        <v>182</v>
      </c>
      <c r="G8" s="6" t="s">
        <v>174</v>
      </c>
      <c r="H8" s="6" t="s">
        <v>77</v>
      </c>
      <c r="I8" s="6" t="s">
        <v>77</v>
      </c>
      <c r="J8" s="6" t="s">
        <v>78</v>
      </c>
      <c r="K8" s="6" t="s">
        <v>79</v>
      </c>
      <c r="L8" s="6" t="s">
        <v>216</v>
      </c>
      <c r="M8" s="6" t="s">
        <v>80</v>
      </c>
      <c r="N8" s="8">
        <v>4.3</v>
      </c>
      <c r="O8" s="9"/>
      <c r="P8" s="11">
        <f t="shared" si="2"/>
        <v>6</v>
      </c>
      <c r="Q8" s="11">
        <f t="shared" si="3"/>
        <v>25.8</v>
      </c>
      <c r="R8" s="11">
        <f t="shared" si="4"/>
        <v>0</v>
      </c>
      <c r="S8" s="11">
        <f t="shared" si="5"/>
        <v>0</v>
      </c>
      <c r="T8" s="12"/>
      <c r="U8" s="12">
        <f t="shared" si="6"/>
        <v>0</v>
      </c>
      <c r="V8" s="12"/>
      <c r="W8" s="12">
        <f t="shared" si="7"/>
        <v>0</v>
      </c>
      <c r="X8" s="12"/>
      <c r="Y8" s="12"/>
      <c r="Z8" s="12">
        <f t="shared" si="8"/>
        <v>0</v>
      </c>
      <c r="AA8" s="12"/>
      <c r="AB8" s="12">
        <f t="shared" si="9"/>
        <v>0</v>
      </c>
      <c r="AC8" s="12"/>
      <c r="AD8" s="12"/>
      <c r="AE8" s="12">
        <f t="shared" si="10"/>
        <v>0</v>
      </c>
      <c r="AF8" s="12"/>
      <c r="AG8" s="12">
        <f t="shared" si="11"/>
        <v>0</v>
      </c>
      <c r="AH8" s="12"/>
      <c r="AI8" s="12"/>
      <c r="AJ8" s="12">
        <f t="shared" si="12"/>
        <v>0</v>
      </c>
      <c r="AK8" s="12"/>
      <c r="AL8" s="12">
        <f t="shared" si="13"/>
        <v>0</v>
      </c>
      <c r="AM8" s="12"/>
      <c r="AN8" s="12"/>
      <c r="AO8" s="12">
        <f t="shared" si="14"/>
        <v>0</v>
      </c>
      <c r="AP8" s="12"/>
      <c r="AQ8" s="12">
        <f t="shared" si="15"/>
        <v>0</v>
      </c>
      <c r="AR8" s="12"/>
      <c r="AS8" s="12"/>
      <c r="AT8" s="12">
        <f t="shared" si="16"/>
        <v>0</v>
      </c>
      <c r="AU8" s="12"/>
      <c r="AV8" s="12">
        <f t="shared" si="17"/>
        <v>0</v>
      </c>
      <c r="AW8" s="12"/>
      <c r="AX8" s="13">
        <v>6000</v>
      </c>
      <c r="AY8" s="13">
        <f t="shared" si="18"/>
        <v>25800</v>
      </c>
      <c r="AZ8" s="12"/>
      <c r="BA8" s="12">
        <f t="shared" si="19"/>
        <v>0</v>
      </c>
      <c r="BB8" s="12"/>
      <c r="BC8" s="12"/>
      <c r="BD8" s="12">
        <f t="shared" si="20"/>
        <v>0</v>
      </c>
      <c r="BE8" s="12"/>
      <c r="BF8" s="12">
        <f t="shared" si="21"/>
        <v>0</v>
      </c>
      <c r="BG8" s="12"/>
      <c r="BH8" s="12"/>
      <c r="BI8" s="12">
        <f t="shared" si="22"/>
        <v>0</v>
      </c>
      <c r="BJ8" s="12"/>
      <c r="BK8" s="12">
        <f t="shared" si="23"/>
        <v>0</v>
      </c>
      <c r="BL8" s="12"/>
      <c r="BM8" s="12"/>
      <c r="BN8" s="12">
        <f t="shared" si="24"/>
        <v>0</v>
      </c>
      <c r="BO8" s="12"/>
      <c r="BP8" s="12">
        <f t="shared" si="25"/>
        <v>0</v>
      </c>
      <c r="BQ8" s="12"/>
      <c r="BR8" s="12"/>
      <c r="BS8" s="12">
        <f t="shared" si="26"/>
        <v>0</v>
      </c>
      <c r="BT8" s="12"/>
      <c r="BU8" s="12">
        <f t="shared" si="27"/>
        <v>0</v>
      </c>
      <c r="BV8" s="12"/>
      <c r="BW8" s="12"/>
      <c r="BX8" s="12">
        <f t="shared" si="28"/>
        <v>0</v>
      </c>
      <c r="BY8" s="12"/>
      <c r="BZ8" s="12">
        <f t="shared" si="29"/>
        <v>0</v>
      </c>
      <c r="CA8" s="12"/>
      <c r="CB8" s="6"/>
    </row>
    <row r="9" spans="1:80" ht="16" x14ac:dyDescent="0.4">
      <c r="A9" s="6" t="s">
        <v>76</v>
      </c>
      <c r="B9" s="6" t="s">
        <v>167</v>
      </c>
      <c r="C9" s="6" t="s">
        <v>168</v>
      </c>
      <c r="D9" s="6" t="s">
        <v>224</v>
      </c>
      <c r="E9" s="73" t="s">
        <v>225</v>
      </c>
      <c r="F9" s="6" t="s">
        <v>182</v>
      </c>
      <c r="G9" s="6" t="s">
        <v>174</v>
      </c>
      <c r="H9" s="6" t="s">
        <v>77</v>
      </c>
      <c r="I9" s="6" t="s">
        <v>77</v>
      </c>
      <c r="J9" s="6" t="s">
        <v>78</v>
      </c>
      <c r="K9" s="6" t="s">
        <v>79</v>
      </c>
      <c r="L9" s="6" t="s">
        <v>226</v>
      </c>
      <c r="M9" s="6" t="s">
        <v>80</v>
      </c>
      <c r="N9" s="8">
        <v>9.1</v>
      </c>
      <c r="O9" s="9"/>
      <c r="P9" s="11">
        <f t="shared" si="2"/>
        <v>3.3</v>
      </c>
      <c r="Q9" s="11">
        <f t="shared" si="3"/>
        <v>30.03</v>
      </c>
      <c r="R9" s="11">
        <f t="shared" si="4"/>
        <v>0</v>
      </c>
      <c r="S9" s="11">
        <f t="shared" si="5"/>
        <v>0</v>
      </c>
      <c r="T9" s="12"/>
      <c r="U9" s="12">
        <f t="shared" si="6"/>
        <v>0</v>
      </c>
      <c r="V9" s="12"/>
      <c r="W9" s="12">
        <f t="shared" si="7"/>
        <v>0</v>
      </c>
      <c r="X9" s="12"/>
      <c r="Y9" s="12"/>
      <c r="Z9" s="12">
        <f t="shared" si="8"/>
        <v>0</v>
      </c>
      <c r="AA9" s="12"/>
      <c r="AB9" s="12">
        <f t="shared" si="9"/>
        <v>0</v>
      </c>
      <c r="AC9" s="12"/>
      <c r="AD9" s="12">
        <v>300</v>
      </c>
      <c r="AE9" s="12">
        <f t="shared" si="10"/>
        <v>2730</v>
      </c>
      <c r="AF9" s="12"/>
      <c r="AG9" s="12">
        <f t="shared" si="11"/>
        <v>0</v>
      </c>
      <c r="AH9" s="12"/>
      <c r="AI9" s="12"/>
      <c r="AJ9" s="12">
        <f t="shared" si="12"/>
        <v>0</v>
      </c>
      <c r="AK9" s="12"/>
      <c r="AL9" s="12">
        <f t="shared" si="13"/>
        <v>0</v>
      </c>
      <c r="AM9" s="12"/>
      <c r="AN9" s="12"/>
      <c r="AO9" s="12">
        <f t="shared" si="14"/>
        <v>0</v>
      </c>
      <c r="AP9" s="12"/>
      <c r="AQ9" s="12">
        <f t="shared" si="15"/>
        <v>0</v>
      </c>
      <c r="AR9" s="12"/>
      <c r="AS9" s="12"/>
      <c r="AT9" s="12">
        <f t="shared" si="16"/>
        <v>0</v>
      </c>
      <c r="AU9" s="12"/>
      <c r="AV9" s="12">
        <f t="shared" si="17"/>
        <v>0</v>
      </c>
      <c r="AW9" s="12"/>
      <c r="AX9" s="13">
        <v>3000</v>
      </c>
      <c r="AY9" s="13">
        <f t="shared" si="18"/>
        <v>27300</v>
      </c>
      <c r="AZ9" s="12"/>
      <c r="BA9" s="12">
        <f t="shared" si="19"/>
        <v>0</v>
      </c>
      <c r="BB9" s="12"/>
      <c r="BC9" s="12"/>
      <c r="BD9" s="12">
        <f t="shared" si="20"/>
        <v>0</v>
      </c>
      <c r="BE9" s="12"/>
      <c r="BF9" s="12">
        <f t="shared" si="21"/>
        <v>0</v>
      </c>
      <c r="BG9" s="12"/>
      <c r="BH9" s="12"/>
      <c r="BI9" s="12">
        <f t="shared" si="22"/>
        <v>0</v>
      </c>
      <c r="BJ9" s="12"/>
      <c r="BK9" s="12">
        <f t="shared" si="23"/>
        <v>0</v>
      </c>
      <c r="BL9" s="12"/>
      <c r="BM9" s="12"/>
      <c r="BN9" s="12">
        <f t="shared" si="24"/>
        <v>0</v>
      </c>
      <c r="BO9" s="12"/>
      <c r="BP9" s="12">
        <f t="shared" si="25"/>
        <v>0</v>
      </c>
      <c r="BQ9" s="12"/>
      <c r="BR9" s="12"/>
      <c r="BS9" s="12">
        <f t="shared" si="26"/>
        <v>0</v>
      </c>
      <c r="BT9" s="12"/>
      <c r="BU9" s="12">
        <f t="shared" si="27"/>
        <v>0</v>
      </c>
      <c r="BV9" s="12"/>
      <c r="BW9" s="12"/>
      <c r="BX9" s="12">
        <f t="shared" si="28"/>
        <v>0</v>
      </c>
      <c r="BY9" s="12"/>
      <c r="BZ9" s="12">
        <f t="shared" si="29"/>
        <v>0</v>
      </c>
      <c r="CA9" s="12"/>
      <c r="CB9" s="6"/>
    </row>
    <row r="10" spans="1:80" ht="16" x14ac:dyDescent="0.4">
      <c r="A10" s="6" t="s">
        <v>76</v>
      </c>
      <c r="B10" s="6" t="s">
        <v>167</v>
      </c>
      <c r="C10" s="6" t="s">
        <v>168</v>
      </c>
      <c r="D10" s="6" t="s">
        <v>227</v>
      </c>
      <c r="E10" s="73" t="s">
        <v>228</v>
      </c>
      <c r="F10" s="6" t="s">
        <v>182</v>
      </c>
      <c r="G10" s="6" t="s">
        <v>174</v>
      </c>
      <c r="H10" s="6" t="s">
        <v>77</v>
      </c>
      <c r="I10" s="6" t="s">
        <v>77</v>
      </c>
      <c r="J10" s="6" t="s">
        <v>78</v>
      </c>
      <c r="K10" s="6" t="s">
        <v>79</v>
      </c>
      <c r="L10" s="6" t="s">
        <v>214</v>
      </c>
      <c r="M10" s="6" t="s">
        <v>80</v>
      </c>
      <c r="N10" s="8">
        <v>0.75</v>
      </c>
      <c r="O10" s="9"/>
      <c r="P10" s="11">
        <f t="shared" ref="P10" si="30">+(T10+Y10+AD10+AI10+AN10+AS10+AX10+BC10+BH10+BM10+BR10+BW10)/1000</f>
        <v>10</v>
      </c>
      <c r="Q10" s="11">
        <f t="shared" ref="Q10" si="31">+(U10+Z10+AE10+AJ10+AO10+AT10+AY10+BD10+BI10+BN10+BS10+BX10)/1000</f>
        <v>7.5</v>
      </c>
      <c r="R10" s="11">
        <f t="shared" ref="R10" si="32">+(+BA10+BF10+BK10+BP10+BU10+BZ10)</f>
        <v>0</v>
      </c>
      <c r="S10" s="11">
        <f t="shared" ref="S10" si="33">+(+BB10+BG10+BL10+BQ10+BV10+CA10)</f>
        <v>0</v>
      </c>
      <c r="T10" s="12"/>
      <c r="U10" s="12">
        <f t="shared" ref="U10" si="34">T10*N10</f>
        <v>0</v>
      </c>
      <c r="V10" s="12"/>
      <c r="W10" s="12">
        <f t="shared" ref="W10" si="35">V10*N10</f>
        <v>0</v>
      </c>
      <c r="X10" s="12"/>
      <c r="Y10" s="12"/>
      <c r="Z10" s="12">
        <f t="shared" ref="Z10" si="36">Y10*N10</f>
        <v>0</v>
      </c>
      <c r="AA10" s="12"/>
      <c r="AB10" s="12">
        <f t="shared" ref="AB10" si="37">AA10*N10</f>
        <v>0</v>
      </c>
      <c r="AC10" s="12"/>
      <c r="AD10" s="12"/>
      <c r="AE10" s="12">
        <f t="shared" ref="AE10" si="38">AD10*N10</f>
        <v>0</v>
      </c>
      <c r="AF10" s="12"/>
      <c r="AG10" s="12">
        <f t="shared" ref="AG10" si="39">AF10*N10</f>
        <v>0</v>
      </c>
      <c r="AH10" s="12"/>
      <c r="AI10" s="12"/>
      <c r="AJ10" s="12">
        <f t="shared" ref="AJ10" si="40">AI10*N10</f>
        <v>0</v>
      </c>
      <c r="AK10" s="12"/>
      <c r="AL10" s="12">
        <f t="shared" ref="AL10" si="41">AK10*N10</f>
        <v>0</v>
      </c>
      <c r="AM10" s="12"/>
      <c r="AN10" s="12"/>
      <c r="AO10" s="12">
        <f t="shared" ref="AO10" si="42">AN10*N10</f>
        <v>0</v>
      </c>
      <c r="AP10" s="12"/>
      <c r="AQ10" s="12">
        <f t="shared" ref="AQ10" si="43">AP10*N10</f>
        <v>0</v>
      </c>
      <c r="AR10" s="12"/>
      <c r="AS10" s="12"/>
      <c r="AT10" s="12">
        <f t="shared" ref="AT10" si="44">AS10*N10</f>
        <v>0</v>
      </c>
      <c r="AU10" s="12"/>
      <c r="AV10" s="12">
        <f t="shared" ref="AV10" si="45">AU10*N10</f>
        <v>0</v>
      </c>
      <c r="AW10" s="12"/>
      <c r="AX10" s="13"/>
      <c r="AY10" s="13">
        <f t="shared" ref="AY10" si="46">AX10*N10</f>
        <v>0</v>
      </c>
      <c r="AZ10" s="12"/>
      <c r="BA10" s="12">
        <f t="shared" ref="BA10" si="47">AZ10*N10</f>
        <v>0</v>
      </c>
      <c r="BB10" s="12"/>
      <c r="BC10" s="12"/>
      <c r="BD10" s="12">
        <f t="shared" ref="BD10" si="48">BC10*N10</f>
        <v>0</v>
      </c>
      <c r="BE10" s="12"/>
      <c r="BF10" s="12">
        <f t="shared" ref="BF10" si="49">BE10*N10</f>
        <v>0</v>
      </c>
      <c r="BG10" s="12"/>
      <c r="BH10" s="12">
        <v>10000</v>
      </c>
      <c r="BI10" s="12">
        <f t="shared" ref="BI10" si="50">BH10*N10</f>
        <v>7500</v>
      </c>
      <c r="BJ10" s="12"/>
      <c r="BK10" s="12">
        <f t="shared" ref="BK10" si="51">BJ10*N10</f>
        <v>0</v>
      </c>
      <c r="BL10" s="12"/>
      <c r="BM10" s="12"/>
      <c r="BN10" s="12">
        <f t="shared" ref="BN10" si="52">BM10*N10</f>
        <v>0</v>
      </c>
      <c r="BO10" s="12"/>
      <c r="BP10" s="12">
        <f t="shared" ref="BP10" si="53">BO10*N10</f>
        <v>0</v>
      </c>
      <c r="BQ10" s="12"/>
      <c r="BR10" s="12"/>
      <c r="BS10" s="12">
        <f t="shared" ref="BS10" si="54">BR10*N10</f>
        <v>0</v>
      </c>
      <c r="BT10" s="12"/>
      <c r="BU10" s="12">
        <f t="shared" ref="BU10" si="55">BT10*N10</f>
        <v>0</v>
      </c>
      <c r="BV10" s="12"/>
      <c r="BW10" s="12"/>
      <c r="BX10" s="12">
        <f t="shared" ref="BX10" si="56">BW10*N10</f>
        <v>0</v>
      </c>
      <c r="BY10" s="12"/>
      <c r="BZ10" s="12">
        <f t="shared" ref="BZ10" si="57">BY10*N10</f>
        <v>0</v>
      </c>
      <c r="CA10" s="12"/>
      <c r="CB10" s="6"/>
    </row>
    <row r="11" spans="1:80" ht="16" x14ac:dyDescent="0.4">
      <c r="A11" s="16" t="s">
        <v>76</v>
      </c>
      <c r="B11" s="16" t="s">
        <v>167</v>
      </c>
      <c r="C11" s="16" t="s">
        <v>168</v>
      </c>
      <c r="D11" s="16" t="s">
        <v>207</v>
      </c>
      <c r="E11" s="74" t="s">
        <v>208</v>
      </c>
      <c r="F11" s="16" t="s">
        <v>182</v>
      </c>
      <c r="G11" s="16" t="s">
        <v>169</v>
      </c>
      <c r="H11" s="16" t="s">
        <v>77</v>
      </c>
      <c r="I11" s="16" t="s">
        <v>77</v>
      </c>
      <c r="J11" s="16" t="s">
        <v>78</v>
      </c>
      <c r="K11" s="16" t="s">
        <v>79</v>
      </c>
      <c r="L11" s="16" t="s">
        <v>275</v>
      </c>
      <c r="M11" s="59"/>
      <c r="N11" s="60"/>
      <c r="O11" s="37"/>
      <c r="P11" s="31">
        <f t="shared" ref="P11:P38" si="58">+(T11+Y11+AD11+AI11+AN11+AS11+AX11+BC11+BH11+BM11+BR11+BW11)/1000</f>
        <v>0</v>
      </c>
      <c r="Q11" s="31">
        <f t="shared" ref="Q11:Q38" si="59">+(U11+Z11+AE11+AJ11+AO11+AT11+AY11+BD11+BI11+BN11+BS11+BX11)/1000</f>
        <v>0</v>
      </c>
      <c r="R11" s="31">
        <f t="shared" ref="R11:R38" si="60">+(+BA11+BF11+BK11+BP11+BU11+BZ11)</f>
        <v>0</v>
      </c>
      <c r="S11" s="31">
        <f t="shared" ref="S11:S38" si="61">+(+BB11+BG11+BL11+BQ11+BV11+CA11)</f>
        <v>0</v>
      </c>
      <c r="T11" s="17"/>
      <c r="U11" s="17">
        <f t="shared" ref="U11:U38" si="62">T11*N11</f>
        <v>0</v>
      </c>
      <c r="V11" s="17"/>
      <c r="W11" s="17">
        <f t="shared" ref="W11:W38" si="63">V11*N11</f>
        <v>0</v>
      </c>
      <c r="X11" s="17"/>
      <c r="Y11" s="17"/>
      <c r="Z11" s="17">
        <f t="shared" ref="Z11:Z38" si="64">Y11*N11</f>
        <v>0</v>
      </c>
      <c r="AA11" s="17"/>
      <c r="AB11" s="17">
        <f t="shared" ref="AB11:AB38" si="65">AA11*N11</f>
        <v>0</v>
      </c>
      <c r="AC11" s="17"/>
      <c r="AD11" s="17"/>
      <c r="AE11" s="17">
        <f t="shared" ref="AE11:AE38" si="66">AD11*N11</f>
        <v>0</v>
      </c>
      <c r="AF11" s="17"/>
      <c r="AG11" s="17">
        <f t="shared" ref="AG11:AG38" si="67">AF11*N11</f>
        <v>0</v>
      </c>
      <c r="AH11" s="17"/>
      <c r="AI11" s="17"/>
      <c r="AJ11" s="17">
        <f t="shared" ref="AJ11:AJ38" si="68">AI11*N11</f>
        <v>0</v>
      </c>
      <c r="AK11" s="17"/>
      <c r="AL11" s="17">
        <f t="shared" ref="AL11:AL38" si="69">AK11*N11</f>
        <v>0</v>
      </c>
      <c r="AM11" s="17"/>
      <c r="AN11" s="17"/>
      <c r="AO11" s="17">
        <f t="shared" ref="AO11:AO38" si="70">AN11*N11</f>
        <v>0</v>
      </c>
      <c r="AP11" s="17"/>
      <c r="AQ11" s="17">
        <f t="shared" ref="AQ11:AQ38" si="71">AP11*N11</f>
        <v>0</v>
      </c>
      <c r="AR11" s="17"/>
      <c r="AS11" s="17"/>
      <c r="AT11" s="17">
        <f t="shared" ref="AT11:AT38" si="72">AS11*N11</f>
        <v>0</v>
      </c>
      <c r="AU11" s="17"/>
      <c r="AV11" s="17">
        <f t="shared" ref="AV11:AV38" si="73">AU11*N11</f>
        <v>0</v>
      </c>
      <c r="AW11" s="17"/>
      <c r="AX11" s="18"/>
      <c r="AY11" s="18">
        <f t="shared" ref="AY11:AY38" si="74">AX11*N11</f>
        <v>0</v>
      </c>
      <c r="AZ11" s="17"/>
      <c r="BA11" s="17">
        <f t="shared" ref="BA11:BA38" si="75">AZ11*N11</f>
        <v>0</v>
      </c>
      <c r="BB11" s="17"/>
      <c r="BC11" s="17"/>
      <c r="BD11" s="17">
        <f t="shared" ref="BD11:BD38" si="76">BC11*N11</f>
        <v>0</v>
      </c>
      <c r="BE11" s="17">
        <f>AU11</f>
        <v>0</v>
      </c>
      <c r="BF11" s="17">
        <f t="shared" ref="BF11:BF38" si="77">BE11*N11</f>
        <v>0</v>
      </c>
      <c r="BG11" s="17"/>
      <c r="BH11" s="17"/>
      <c r="BI11" s="17">
        <f t="shared" ref="BI11:BI38" si="78">BH11*N11</f>
        <v>0</v>
      </c>
      <c r="BJ11" s="17"/>
      <c r="BK11" s="17">
        <f t="shared" ref="BK11:BK38" si="79">BJ11*N11</f>
        <v>0</v>
      </c>
      <c r="BL11" s="17"/>
      <c r="BM11" s="17"/>
      <c r="BN11" s="17">
        <f t="shared" ref="BN11:BN38" si="80">BM11*N11</f>
        <v>0</v>
      </c>
      <c r="BO11" s="17"/>
      <c r="BP11" s="17">
        <f t="shared" ref="BP11:BP38" si="81">BO11*N11</f>
        <v>0</v>
      </c>
      <c r="BQ11" s="17"/>
      <c r="BR11" s="17"/>
      <c r="BS11" s="17">
        <f t="shared" ref="BS11:BS38" si="82">BR11*N11</f>
        <v>0</v>
      </c>
      <c r="BT11" s="17"/>
      <c r="BU11" s="17">
        <f t="shared" ref="BU11:BU38" si="83">BT11*N11</f>
        <v>0</v>
      </c>
      <c r="BV11" s="17"/>
      <c r="BW11" s="17"/>
      <c r="BX11" s="17">
        <f t="shared" ref="BX11:BX38" si="84">BW11*N11</f>
        <v>0</v>
      </c>
      <c r="BY11" s="17"/>
      <c r="BZ11" s="17">
        <f t="shared" ref="BZ11:BZ38" si="85">BY11*N11</f>
        <v>0</v>
      </c>
      <c r="CA11" s="17"/>
      <c r="CB11" s="61" t="s">
        <v>213</v>
      </c>
    </row>
    <row r="12" spans="1:80" ht="16" x14ac:dyDescent="0.4">
      <c r="A12" s="6" t="s">
        <v>76</v>
      </c>
      <c r="B12" s="6" t="s">
        <v>167</v>
      </c>
      <c r="C12" s="6" t="s">
        <v>168</v>
      </c>
      <c r="D12" s="6" t="s">
        <v>180</v>
      </c>
      <c r="E12" s="73" t="s">
        <v>229</v>
      </c>
      <c r="F12" s="6" t="s">
        <v>182</v>
      </c>
      <c r="G12" s="6" t="s">
        <v>172</v>
      </c>
      <c r="H12" s="6" t="s">
        <v>86</v>
      </c>
      <c r="I12" s="6" t="s">
        <v>86</v>
      </c>
      <c r="J12" s="6" t="s">
        <v>87</v>
      </c>
      <c r="K12" s="6" t="s">
        <v>84</v>
      </c>
      <c r="L12" s="6" t="s">
        <v>175</v>
      </c>
      <c r="M12" s="6"/>
      <c r="N12" s="8">
        <v>7.13</v>
      </c>
      <c r="O12" s="9"/>
      <c r="P12" s="11">
        <f t="shared" si="58"/>
        <v>0</v>
      </c>
      <c r="Q12" s="11">
        <f t="shared" si="59"/>
        <v>0</v>
      </c>
      <c r="R12" s="11">
        <f t="shared" si="60"/>
        <v>0</v>
      </c>
      <c r="S12" s="11">
        <f t="shared" si="61"/>
        <v>0</v>
      </c>
      <c r="T12" s="12"/>
      <c r="U12" s="12">
        <f t="shared" si="62"/>
        <v>0</v>
      </c>
      <c r="V12" s="12"/>
      <c r="W12" s="12">
        <f t="shared" si="63"/>
        <v>0</v>
      </c>
      <c r="X12" s="12"/>
      <c r="Y12" s="12"/>
      <c r="Z12" s="12">
        <f t="shared" si="64"/>
        <v>0</v>
      </c>
      <c r="AA12" s="12"/>
      <c r="AB12" s="12">
        <f t="shared" si="65"/>
        <v>0</v>
      </c>
      <c r="AC12" s="12"/>
      <c r="AD12" s="12"/>
      <c r="AE12" s="12">
        <f t="shared" si="66"/>
        <v>0</v>
      </c>
      <c r="AF12" s="12"/>
      <c r="AG12" s="12">
        <f t="shared" si="67"/>
        <v>0</v>
      </c>
      <c r="AH12" s="12"/>
      <c r="AI12" s="12"/>
      <c r="AJ12" s="12">
        <f t="shared" si="68"/>
        <v>0</v>
      </c>
      <c r="AK12" s="12"/>
      <c r="AL12" s="12">
        <f t="shared" si="69"/>
        <v>0</v>
      </c>
      <c r="AM12" s="12"/>
      <c r="AN12" s="12"/>
      <c r="AO12" s="12">
        <f t="shared" si="70"/>
        <v>0</v>
      </c>
      <c r="AP12" s="12"/>
      <c r="AQ12" s="12">
        <f t="shared" si="71"/>
        <v>0</v>
      </c>
      <c r="AR12" s="12"/>
      <c r="AS12" s="12"/>
      <c r="AT12" s="12">
        <f t="shared" si="72"/>
        <v>0</v>
      </c>
      <c r="AU12" s="12">
        <v>3600</v>
      </c>
      <c r="AV12" s="12">
        <f t="shared" si="73"/>
        <v>25668</v>
      </c>
      <c r="AW12" s="12"/>
      <c r="AX12" s="13"/>
      <c r="AY12" s="13">
        <f t="shared" si="74"/>
        <v>0</v>
      </c>
      <c r="AZ12" s="12"/>
      <c r="BA12" s="12">
        <f t="shared" si="75"/>
        <v>0</v>
      </c>
      <c r="BB12" s="12"/>
      <c r="BC12" s="12"/>
      <c r="BD12" s="12">
        <f t="shared" si="76"/>
        <v>0</v>
      </c>
      <c r="BE12" s="12"/>
      <c r="BF12" s="12">
        <f t="shared" si="77"/>
        <v>0</v>
      </c>
      <c r="BG12" s="12"/>
      <c r="BH12" s="12"/>
      <c r="BI12" s="12">
        <f t="shared" si="78"/>
        <v>0</v>
      </c>
      <c r="BJ12" s="12"/>
      <c r="BK12" s="12">
        <f t="shared" si="79"/>
        <v>0</v>
      </c>
      <c r="BL12" s="12"/>
      <c r="BM12" s="12"/>
      <c r="BN12" s="12">
        <f t="shared" si="80"/>
        <v>0</v>
      </c>
      <c r="BO12" s="12"/>
      <c r="BP12" s="12">
        <f t="shared" si="81"/>
        <v>0</v>
      </c>
      <c r="BQ12" s="12"/>
      <c r="BR12" s="12"/>
      <c r="BS12" s="12">
        <f t="shared" si="82"/>
        <v>0</v>
      </c>
      <c r="BT12" s="12"/>
      <c r="BU12" s="12">
        <f t="shared" si="83"/>
        <v>0</v>
      </c>
      <c r="BV12" s="12"/>
      <c r="BW12" s="12"/>
      <c r="BX12" s="12">
        <f t="shared" si="84"/>
        <v>0</v>
      </c>
      <c r="BY12" s="12"/>
      <c r="BZ12" s="12">
        <f t="shared" si="85"/>
        <v>0</v>
      </c>
      <c r="CA12" s="12"/>
      <c r="CB12" s="39"/>
    </row>
    <row r="13" spans="1:80" ht="16" x14ac:dyDescent="0.4">
      <c r="A13" s="6" t="s">
        <v>76</v>
      </c>
      <c r="B13" s="6" t="s">
        <v>167</v>
      </c>
      <c r="C13" s="6" t="s">
        <v>168</v>
      </c>
      <c r="D13" s="6" t="s">
        <v>180</v>
      </c>
      <c r="E13" s="73" t="s">
        <v>229</v>
      </c>
      <c r="F13" s="6" t="s">
        <v>182</v>
      </c>
      <c r="G13" s="6" t="s">
        <v>172</v>
      </c>
      <c r="H13" s="6" t="s">
        <v>90</v>
      </c>
      <c r="I13" s="6" t="s">
        <v>90</v>
      </c>
      <c r="J13" s="6" t="s">
        <v>91</v>
      </c>
      <c r="K13" s="6" t="s">
        <v>92</v>
      </c>
      <c r="L13" s="6" t="s">
        <v>141</v>
      </c>
      <c r="M13" s="6"/>
      <c r="N13" s="8"/>
      <c r="O13" s="9"/>
      <c r="P13" s="11">
        <f t="shared" si="58"/>
        <v>0</v>
      </c>
      <c r="Q13" s="11">
        <f t="shared" si="59"/>
        <v>0</v>
      </c>
      <c r="R13" s="11">
        <f t="shared" si="60"/>
        <v>0</v>
      </c>
      <c r="S13" s="11">
        <f t="shared" si="61"/>
        <v>0</v>
      </c>
      <c r="T13" s="12"/>
      <c r="U13" s="12">
        <f t="shared" si="62"/>
        <v>0</v>
      </c>
      <c r="V13" s="12"/>
      <c r="W13" s="12">
        <f t="shared" si="63"/>
        <v>0</v>
      </c>
      <c r="X13" s="12"/>
      <c r="Y13" s="12"/>
      <c r="Z13" s="12">
        <f t="shared" si="64"/>
        <v>0</v>
      </c>
      <c r="AA13" s="12"/>
      <c r="AB13" s="12">
        <f t="shared" si="65"/>
        <v>0</v>
      </c>
      <c r="AC13" s="12"/>
      <c r="AD13" s="12"/>
      <c r="AE13" s="12">
        <f t="shared" si="66"/>
        <v>0</v>
      </c>
      <c r="AF13" s="12"/>
      <c r="AG13" s="12">
        <f t="shared" si="67"/>
        <v>0</v>
      </c>
      <c r="AH13" s="12"/>
      <c r="AI13" s="12"/>
      <c r="AJ13" s="12">
        <f t="shared" si="68"/>
        <v>0</v>
      </c>
      <c r="AK13" s="12"/>
      <c r="AL13" s="12">
        <f t="shared" si="69"/>
        <v>0</v>
      </c>
      <c r="AM13" s="12"/>
      <c r="AN13" s="12"/>
      <c r="AO13" s="12">
        <f t="shared" si="70"/>
        <v>0</v>
      </c>
      <c r="AP13" s="12"/>
      <c r="AQ13" s="12">
        <f t="shared" si="71"/>
        <v>0</v>
      </c>
      <c r="AR13" s="12"/>
      <c r="AS13" s="12"/>
      <c r="AT13" s="12">
        <f t="shared" si="72"/>
        <v>0</v>
      </c>
      <c r="AU13" s="12"/>
      <c r="AV13" s="12">
        <f t="shared" si="73"/>
        <v>0</v>
      </c>
      <c r="AW13" s="12"/>
      <c r="AX13" s="13"/>
      <c r="AY13" s="13">
        <f t="shared" si="74"/>
        <v>0</v>
      </c>
      <c r="AZ13" s="12"/>
      <c r="BA13" s="12">
        <f t="shared" si="75"/>
        <v>0</v>
      </c>
      <c r="BB13" s="12"/>
      <c r="BC13" s="12"/>
      <c r="BD13" s="12">
        <f t="shared" si="76"/>
        <v>0</v>
      </c>
      <c r="BE13" s="12"/>
      <c r="BF13" s="12">
        <f t="shared" si="77"/>
        <v>0</v>
      </c>
      <c r="BG13" s="12"/>
      <c r="BH13" s="12"/>
      <c r="BI13" s="12">
        <f t="shared" si="78"/>
        <v>0</v>
      </c>
      <c r="BJ13" s="12"/>
      <c r="BK13" s="12">
        <f t="shared" si="79"/>
        <v>0</v>
      </c>
      <c r="BL13" s="12"/>
      <c r="BM13" s="12"/>
      <c r="BN13" s="12">
        <f t="shared" si="80"/>
        <v>0</v>
      </c>
      <c r="BO13" s="12"/>
      <c r="BP13" s="12">
        <f t="shared" si="81"/>
        <v>0</v>
      </c>
      <c r="BQ13" s="12"/>
      <c r="BR13" s="12"/>
      <c r="BS13" s="12">
        <f t="shared" si="82"/>
        <v>0</v>
      </c>
      <c r="BT13" s="12"/>
      <c r="BU13" s="12">
        <f t="shared" si="83"/>
        <v>0</v>
      </c>
      <c r="BV13" s="12"/>
      <c r="BW13" s="12"/>
      <c r="BX13" s="12">
        <f t="shared" si="84"/>
        <v>0</v>
      </c>
      <c r="BY13" s="12"/>
      <c r="BZ13" s="12">
        <f t="shared" si="85"/>
        <v>0</v>
      </c>
      <c r="CA13" s="12"/>
      <c r="CB13" s="40"/>
    </row>
    <row r="14" spans="1:80" ht="16" x14ac:dyDescent="0.4">
      <c r="A14" s="6" t="s">
        <v>76</v>
      </c>
      <c r="B14" s="6" t="s">
        <v>167</v>
      </c>
      <c r="C14" s="6" t="s">
        <v>168</v>
      </c>
      <c r="D14" s="6" t="s">
        <v>230</v>
      </c>
      <c r="E14" s="73" t="s">
        <v>229</v>
      </c>
      <c r="F14" s="6" t="s">
        <v>182</v>
      </c>
      <c r="G14" s="6" t="s">
        <v>172</v>
      </c>
      <c r="H14" s="6" t="s">
        <v>77</v>
      </c>
      <c r="I14" s="6" t="s">
        <v>77</v>
      </c>
      <c r="J14" s="6" t="s">
        <v>78</v>
      </c>
      <c r="K14" s="6" t="s">
        <v>79</v>
      </c>
      <c r="L14" s="6" t="s">
        <v>132</v>
      </c>
      <c r="M14" s="6" t="s">
        <v>80</v>
      </c>
      <c r="N14" s="8">
        <v>0.42</v>
      </c>
      <c r="O14" s="9"/>
      <c r="P14" s="11">
        <f t="shared" si="58"/>
        <v>1200</v>
      </c>
      <c r="Q14" s="11">
        <f t="shared" si="59"/>
        <v>504</v>
      </c>
      <c r="R14" s="11">
        <f t="shared" si="60"/>
        <v>0</v>
      </c>
      <c r="S14" s="11">
        <f t="shared" si="61"/>
        <v>0</v>
      </c>
      <c r="T14" s="12">
        <v>200000</v>
      </c>
      <c r="U14" s="12">
        <f t="shared" si="62"/>
        <v>84000</v>
      </c>
      <c r="V14" s="12">
        <v>200000</v>
      </c>
      <c r="W14" s="12">
        <f t="shared" si="63"/>
        <v>84000</v>
      </c>
      <c r="X14" s="12"/>
      <c r="Y14" s="12"/>
      <c r="Z14" s="12">
        <f t="shared" si="64"/>
        <v>0</v>
      </c>
      <c r="AA14" s="12">
        <v>10000</v>
      </c>
      <c r="AB14" s="12">
        <f t="shared" si="65"/>
        <v>4200</v>
      </c>
      <c r="AC14" s="12"/>
      <c r="AD14" s="12">
        <v>200000</v>
      </c>
      <c r="AE14" s="12">
        <f t="shared" si="66"/>
        <v>84000</v>
      </c>
      <c r="AF14" s="12">
        <v>15000</v>
      </c>
      <c r="AG14" s="12">
        <f t="shared" si="67"/>
        <v>6300</v>
      </c>
      <c r="AH14" s="12"/>
      <c r="AI14" s="12"/>
      <c r="AJ14" s="12">
        <f t="shared" si="68"/>
        <v>0</v>
      </c>
      <c r="AK14" s="12"/>
      <c r="AL14" s="12">
        <f t="shared" si="69"/>
        <v>0</v>
      </c>
      <c r="AM14" s="12"/>
      <c r="AN14" s="12">
        <v>200000</v>
      </c>
      <c r="AO14" s="12">
        <f t="shared" si="70"/>
        <v>84000</v>
      </c>
      <c r="AP14" s="12"/>
      <c r="AQ14" s="12">
        <f t="shared" si="71"/>
        <v>0</v>
      </c>
      <c r="AR14" s="12"/>
      <c r="AS14" s="12"/>
      <c r="AT14" s="12">
        <f t="shared" si="72"/>
        <v>0</v>
      </c>
      <c r="AU14" s="12">
        <v>50000</v>
      </c>
      <c r="AV14" s="12">
        <f t="shared" si="73"/>
        <v>21000</v>
      </c>
      <c r="AW14" s="12"/>
      <c r="AX14" s="13">
        <v>200000</v>
      </c>
      <c r="AY14" s="13">
        <f t="shared" si="74"/>
        <v>84000</v>
      </c>
      <c r="AZ14" s="12"/>
      <c r="BA14" s="12">
        <f t="shared" si="75"/>
        <v>0</v>
      </c>
      <c r="BB14" s="12"/>
      <c r="BC14" s="12"/>
      <c r="BD14" s="12">
        <f t="shared" si="76"/>
        <v>0</v>
      </c>
      <c r="BE14" s="12"/>
      <c r="BF14" s="12">
        <f t="shared" si="77"/>
        <v>0</v>
      </c>
      <c r="BG14" s="12"/>
      <c r="BH14" s="12">
        <v>200000</v>
      </c>
      <c r="BI14" s="12">
        <f t="shared" si="78"/>
        <v>84000</v>
      </c>
      <c r="BJ14" s="12"/>
      <c r="BK14" s="12">
        <f t="shared" si="79"/>
        <v>0</v>
      </c>
      <c r="BL14" s="12"/>
      <c r="BM14" s="12"/>
      <c r="BN14" s="12">
        <f t="shared" si="80"/>
        <v>0</v>
      </c>
      <c r="BO14" s="12"/>
      <c r="BP14" s="12">
        <f t="shared" si="81"/>
        <v>0</v>
      </c>
      <c r="BQ14" s="12"/>
      <c r="BR14" s="12"/>
      <c r="BS14" s="12">
        <f t="shared" si="82"/>
        <v>0</v>
      </c>
      <c r="BT14" s="12"/>
      <c r="BU14" s="12">
        <f t="shared" si="83"/>
        <v>0</v>
      </c>
      <c r="BV14" s="12"/>
      <c r="BW14" s="12">
        <v>200000</v>
      </c>
      <c r="BX14" s="12">
        <f t="shared" si="84"/>
        <v>84000</v>
      </c>
      <c r="BY14" s="12"/>
      <c r="BZ14" s="12">
        <f t="shared" si="85"/>
        <v>0</v>
      </c>
      <c r="CA14" s="12"/>
      <c r="CB14" s="6"/>
    </row>
    <row r="15" spans="1:80" ht="16" x14ac:dyDescent="0.4">
      <c r="A15" s="6" t="s">
        <v>76</v>
      </c>
      <c r="B15" s="6" t="s">
        <v>167</v>
      </c>
      <c r="C15" s="6" t="s">
        <v>168</v>
      </c>
      <c r="D15" s="6" t="s">
        <v>180</v>
      </c>
      <c r="E15" s="73" t="s">
        <v>229</v>
      </c>
      <c r="F15" s="6" t="s">
        <v>182</v>
      </c>
      <c r="G15" s="6" t="s">
        <v>172</v>
      </c>
      <c r="H15" s="6" t="s">
        <v>77</v>
      </c>
      <c r="I15" s="6" t="s">
        <v>77</v>
      </c>
      <c r="J15" s="6" t="s">
        <v>78</v>
      </c>
      <c r="K15" s="6" t="s">
        <v>79</v>
      </c>
      <c r="L15" s="6" t="s">
        <v>215</v>
      </c>
      <c r="M15" s="6"/>
      <c r="N15" s="8">
        <v>6.69</v>
      </c>
      <c r="O15" s="9"/>
      <c r="P15" s="11">
        <f t="shared" si="58"/>
        <v>0</v>
      </c>
      <c r="Q15" s="11">
        <f t="shared" si="59"/>
        <v>0</v>
      </c>
      <c r="R15" s="11">
        <f t="shared" si="60"/>
        <v>100350</v>
      </c>
      <c r="S15" s="11">
        <f t="shared" si="61"/>
        <v>0</v>
      </c>
      <c r="T15" s="12"/>
      <c r="U15" s="12">
        <f t="shared" si="62"/>
        <v>0</v>
      </c>
      <c r="V15" s="12"/>
      <c r="W15" s="12">
        <f t="shared" si="63"/>
        <v>0</v>
      </c>
      <c r="X15" s="12"/>
      <c r="Y15" s="12"/>
      <c r="Z15" s="12">
        <f t="shared" si="64"/>
        <v>0</v>
      </c>
      <c r="AA15" s="12"/>
      <c r="AB15" s="12">
        <f t="shared" si="65"/>
        <v>0</v>
      </c>
      <c r="AC15" s="12"/>
      <c r="AD15" s="12"/>
      <c r="AE15" s="12">
        <f t="shared" si="66"/>
        <v>0</v>
      </c>
      <c r="AF15" s="12"/>
      <c r="AG15" s="12">
        <f t="shared" si="67"/>
        <v>0</v>
      </c>
      <c r="AH15" s="12"/>
      <c r="AI15" s="12"/>
      <c r="AJ15" s="12">
        <f t="shared" si="68"/>
        <v>0</v>
      </c>
      <c r="AK15" s="12"/>
      <c r="AL15" s="12">
        <f t="shared" si="69"/>
        <v>0</v>
      </c>
      <c r="AM15" s="12"/>
      <c r="AN15" s="12"/>
      <c r="AO15" s="12">
        <f t="shared" si="70"/>
        <v>0</v>
      </c>
      <c r="AP15" s="12"/>
      <c r="AQ15" s="12">
        <f t="shared" si="71"/>
        <v>0</v>
      </c>
      <c r="AR15" s="12">
        <v>15000</v>
      </c>
      <c r="AS15" s="12"/>
      <c r="AT15" s="12">
        <f t="shared" si="72"/>
        <v>0</v>
      </c>
      <c r="AU15" s="12"/>
      <c r="AV15" s="12">
        <f t="shared" si="73"/>
        <v>0</v>
      </c>
      <c r="AW15" s="12"/>
      <c r="AX15" s="13"/>
      <c r="AY15" s="13">
        <f t="shared" si="74"/>
        <v>0</v>
      </c>
      <c r="AZ15" s="12">
        <v>15000</v>
      </c>
      <c r="BA15" s="12">
        <f t="shared" si="75"/>
        <v>100350</v>
      </c>
      <c r="BB15" s="12"/>
      <c r="BC15" s="12"/>
      <c r="BD15" s="12">
        <f t="shared" si="76"/>
        <v>0</v>
      </c>
      <c r="BE15" s="12"/>
      <c r="BF15" s="12">
        <f t="shared" si="77"/>
        <v>0</v>
      </c>
      <c r="BG15" s="12"/>
      <c r="BH15" s="12"/>
      <c r="BI15" s="12">
        <f t="shared" si="78"/>
        <v>0</v>
      </c>
      <c r="BJ15" s="12"/>
      <c r="BK15" s="12">
        <f t="shared" si="79"/>
        <v>0</v>
      </c>
      <c r="BL15" s="12"/>
      <c r="BM15" s="12"/>
      <c r="BN15" s="12">
        <f t="shared" si="80"/>
        <v>0</v>
      </c>
      <c r="BO15" s="12"/>
      <c r="BP15" s="12">
        <f t="shared" si="81"/>
        <v>0</v>
      </c>
      <c r="BQ15" s="12"/>
      <c r="BR15" s="12"/>
      <c r="BS15" s="12">
        <f t="shared" si="82"/>
        <v>0</v>
      </c>
      <c r="BT15" s="12"/>
      <c r="BU15" s="12">
        <f t="shared" si="83"/>
        <v>0</v>
      </c>
      <c r="BV15" s="12"/>
      <c r="BW15" s="12"/>
      <c r="BX15" s="12">
        <f t="shared" si="84"/>
        <v>0</v>
      </c>
      <c r="BY15" s="12"/>
      <c r="BZ15" s="12">
        <f t="shared" si="85"/>
        <v>0</v>
      </c>
      <c r="CA15" s="12"/>
      <c r="CB15" s="39"/>
    </row>
    <row r="16" spans="1:80" ht="16" x14ac:dyDescent="0.4">
      <c r="A16" s="6" t="s">
        <v>76</v>
      </c>
      <c r="B16" s="6" t="s">
        <v>167</v>
      </c>
      <c r="C16" s="6" t="s">
        <v>168</v>
      </c>
      <c r="D16" s="6" t="s">
        <v>180</v>
      </c>
      <c r="E16" s="73" t="s">
        <v>229</v>
      </c>
      <c r="F16" s="6" t="s">
        <v>182</v>
      </c>
      <c r="G16" s="6" t="s">
        <v>172</v>
      </c>
      <c r="H16" s="6" t="s">
        <v>77</v>
      </c>
      <c r="I16" s="6" t="s">
        <v>77</v>
      </c>
      <c r="J16" s="6" t="s">
        <v>78</v>
      </c>
      <c r="K16" s="6" t="s">
        <v>79</v>
      </c>
      <c r="L16" s="6" t="s">
        <v>231</v>
      </c>
      <c r="M16" s="6"/>
      <c r="N16" s="8">
        <v>0.64</v>
      </c>
      <c r="O16" s="62">
        <v>6000</v>
      </c>
      <c r="P16" s="11">
        <f t="shared" si="58"/>
        <v>0</v>
      </c>
      <c r="Q16" s="11">
        <f t="shared" si="59"/>
        <v>0</v>
      </c>
      <c r="R16" s="11">
        <f t="shared" si="60"/>
        <v>7680</v>
      </c>
      <c r="S16" s="11">
        <f t="shared" si="61"/>
        <v>0</v>
      </c>
      <c r="T16" s="12"/>
      <c r="U16" s="12">
        <f t="shared" si="62"/>
        <v>0</v>
      </c>
      <c r="V16" s="12"/>
      <c r="W16" s="12">
        <f t="shared" si="63"/>
        <v>0</v>
      </c>
      <c r="X16" s="12"/>
      <c r="Y16" s="12"/>
      <c r="Z16" s="12">
        <f t="shared" si="64"/>
        <v>0</v>
      </c>
      <c r="AA16" s="12"/>
      <c r="AB16" s="12">
        <f t="shared" si="65"/>
        <v>0</v>
      </c>
      <c r="AC16" s="12"/>
      <c r="AD16" s="12"/>
      <c r="AE16" s="12">
        <f t="shared" si="66"/>
        <v>0</v>
      </c>
      <c r="AF16" s="12"/>
      <c r="AG16" s="12">
        <f t="shared" si="67"/>
        <v>0</v>
      </c>
      <c r="AH16" s="12"/>
      <c r="AI16" s="12"/>
      <c r="AJ16" s="12">
        <f t="shared" si="68"/>
        <v>0</v>
      </c>
      <c r="AK16" s="12"/>
      <c r="AL16" s="12">
        <f t="shared" si="69"/>
        <v>0</v>
      </c>
      <c r="AM16" s="12"/>
      <c r="AN16" s="12"/>
      <c r="AO16" s="12">
        <f t="shared" si="70"/>
        <v>0</v>
      </c>
      <c r="AP16" s="12"/>
      <c r="AQ16" s="12">
        <f t="shared" si="71"/>
        <v>0</v>
      </c>
      <c r="AR16" s="12">
        <v>12000</v>
      </c>
      <c r="AS16" s="12"/>
      <c r="AT16" s="12">
        <f t="shared" si="72"/>
        <v>0</v>
      </c>
      <c r="AU16" s="12"/>
      <c r="AV16" s="12">
        <f t="shared" si="73"/>
        <v>0</v>
      </c>
      <c r="AW16" s="12"/>
      <c r="AX16" s="13"/>
      <c r="AY16" s="13">
        <f t="shared" si="74"/>
        <v>0</v>
      </c>
      <c r="AZ16" s="12">
        <v>12000</v>
      </c>
      <c r="BA16" s="12">
        <f t="shared" si="75"/>
        <v>7680</v>
      </c>
      <c r="BB16" s="12"/>
      <c r="BC16" s="12"/>
      <c r="BD16" s="12">
        <f t="shared" si="76"/>
        <v>0</v>
      </c>
      <c r="BE16" s="12"/>
      <c r="BF16" s="12">
        <f t="shared" si="77"/>
        <v>0</v>
      </c>
      <c r="BG16" s="12"/>
      <c r="BH16" s="12"/>
      <c r="BI16" s="12">
        <f t="shared" si="78"/>
        <v>0</v>
      </c>
      <c r="BJ16" s="12"/>
      <c r="BK16" s="12">
        <f t="shared" si="79"/>
        <v>0</v>
      </c>
      <c r="BL16" s="12"/>
      <c r="BM16" s="12"/>
      <c r="BN16" s="12">
        <f t="shared" si="80"/>
        <v>0</v>
      </c>
      <c r="BO16" s="12"/>
      <c r="BP16" s="12">
        <f t="shared" si="81"/>
        <v>0</v>
      </c>
      <c r="BQ16" s="12"/>
      <c r="BR16" s="12"/>
      <c r="BS16" s="12">
        <f t="shared" si="82"/>
        <v>0</v>
      </c>
      <c r="BT16" s="12"/>
      <c r="BU16" s="12">
        <f t="shared" si="83"/>
        <v>0</v>
      </c>
      <c r="BV16" s="12"/>
      <c r="BW16" s="12"/>
      <c r="BX16" s="12">
        <f t="shared" si="84"/>
        <v>0</v>
      </c>
      <c r="BY16" s="12"/>
      <c r="BZ16" s="12">
        <f t="shared" si="85"/>
        <v>0</v>
      </c>
      <c r="CA16" s="12"/>
      <c r="CB16" s="40"/>
    </row>
    <row r="17" spans="1:80" ht="16" x14ac:dyDescent="0.4">
      <c r="A17" s="6" t="s">
        <v>76</v>
      </c>
      <c r="B17" s="6" t="s">
        <v>167</v>
      </c>
      <c r="C17" s="6" t="s">
        <v>168</v>
      </c>
      <c r="D17" s="6" t="s">
        <v>180</v>
      </c>
      <c r="E17" s="73" t="s">
        <v>229</v>
      </c>
      <c r="F17" s="6" t="s">
        <v>182</v>
      </c>
      <c r="G17" s="6" t="s">
        <v>172</v>
      </c>
      <c r="H17" s="6" t="s">
        <v>77</v>
      </c>
      <c r="I17" s="6" t="s">
        <v>77</v>
      </c>
      <c r="J17" s="6" t="s">
        <v>78</v>
      </c>
      <c r="K17" s="6" t="s">
        <v>79</v>
      </c>
      <c r="L17" s="6" t="s">
        <v>117</v>
      </c>
      <c r="M17" s="6"/>
      <c r="N17" s="8">
        <v>0.6</v>
      </c>
      <c r="O17" s="9"/>
      <c r="P17" s="11">
        <f t="shared" si="58"/>
        <v>0</v>
      </c>
      <c r="Q17" s="11">
        <f t="shared" si="59"/>
        <v>0</v>
      </c>
      <c r="R17" s="11">
        <f t="shared" si="60"/>
        <v>14400</v>
      </c>
      <c r="S17" s="11">
        <f t="shared" si="61"/>
        <v>0</v>
      </c>
      <c r="T17" s="12"/>
      <c r="U17" s="12">
        <f t="shared" si="62"/>
        <v>0</v>
      </c>
      <c r="V17" s="12"/>
      <c r="W17" s="12">
        <f t="shared" si="63"/>
        <v>0</v>
      </c>
      <c r="X17" s="12"/>
      <c r="Y17" s="12"/>
      <c r="Z17" s="12">
        <f t="shared" si="64"/>
        <v>0</v>
      </c>
      <c r="AA17" s="12"/>
      <c r="AB17" s="12">
        <f t="shared" si="65"/>
        <v>0</v>
      </c>
      <c r="AC17" s="12"/>
      <c r="AD17" s="12"/>
      <c r="AE17" s="12">
        <f t="shared" si="66"/>
        <v>0</v>
      </c>
      <c r="AF17" s="12"/>
      <c r="AG17" s="12">
        <f t="shared" si="67"/>
        <v>0</v>
      </c>
      <c r="AH17" s="12"/>
      <c r="AI17" s="12"/>
      <c r="AJ17" s="12">
        <f t="shared" si="68"/>
        <v>0</v>
      </c>
      <c r="AK17" s="12"/>
      <c r="AL17" s="12">
        <f t="shared" si="69"/>
        <v>0</v>
      </c>
      <c r="AM17" s="12"/>
      <c r="AN17" s="12"/>
      <c r="AO17" s="12">
        <f t="shared" si="70"/>
        <v>0</v>
      </c>
      <c r="AP17" s="12"/>
      <c r="AQ17" s="12">
        <f t="shared" si="71"/>
        <v>0</v>
      </c>
      <c r="AR17" s="14">
        <v>30000</v>
      </c>
      <c r="AS17" s="12"/>
      <c r="AT17" s="12">
        <f t="shared" si="72"/>
        <v>0</v>
      </c>
      <c r="AU17" s="12"/>
      <c r="AV17" s="12">
        <f t="shared" si="73"/>
        <v>0</v>
      </c>
      <c r="AW17" s="12"/>
      <c r="AX17" s="13"/>
      <c r="AY17" s="13">
        <f t="shared" si="74"/>
        <v>0</v>
      </c>
      <c r="AZ17" s="12">
        <v>24000</v>
      </c>
      <c r="BA17" s="12">
        <f t="shared" si="75"/>
        <v>14400</v>
      </c>
      <c r="BB17" s="12"/>
      <c r="BC17" s="12"/>
      <c r="BD17" s="12">
        <f t="shared" si="76"/>
        <v>0</v>
      </c>
      <c r="BE17" s="12"/>
      <c r="BF17" s="12">
        <f t="shared" si="77"/>
        <v>0</v>
      </c>
      <c r="BG17" s="12"/>
      <c r="BH17" s="12"/>
      <c r="BI17" s="12">
        <f t="shared" si="78"/>
        <v>0</v>
      </c>
      <c r="BJ17" s="12"/>
      <c r="BK17" s="12">
        <f t="shared" si="79"/>
        <v>0</v>
      </c>
      <c r="BL17" s="12"/>
      <c r="BM17" s="12"/>
      <c r="BN17" s="12">
        <f t="shared" si="80"/>
        <v>0</v>
      </c>
      <c r="BO17" s="12"/>
      <c r="BP17" s="12">
        <f t="shared" si="81"/>
        <v>0</v>
      </c>
      <c r="BQ17" s="12"/>
      <c r="BR17" s="12"/>
      <c r="BS17" s="12">
        <f t="shared" si="82"/>
        <v>0</v>
      </c>
      <c r="BT17" s="12"/>
      <c r="BU17" s="12">
        <f t="shared" si="83"/>
        <v>0</v>
      </c>
      <c r="BV17" s="12"/>
      <c r="BW17" s="12"/>
      <c r="BX17" s="12">
        <f t="shared" si="84"/>
        <v>0</v>
      </c>
      <c r="BY17" s="12"/>
      <c r="BZ17" s="12">
        <f t="shared" si="85"/>
        <v>0</v>
      </c>
      <c r="CA17" s="12"/>
      <c r="CB17" s="40"/>
    </row>
    <row r="18" spans="1:80" ht="16" x14ac:dyDescent="0.4">
      <c r="A18" s="6" t="s">
        <v>76</v>
      </c>
      <c r="B18" s="6" t="s">
        <v>167</v>
      </c>
      <c r="C18" s="6" t="s">
        <v>168</v>
      </c>
      <c r="D18" s="6" t="s">
        <v>180</v>
      </c>
      <c r="E18" s="73" t="s">
        <v>229</v>
      </c>
      <c r="F18" s="6" t="s">
        <v>182</v>
      </c>
      <c r="G18" s="6" t="s">
        <v>172</v>
      </c>
      <c r="H18" s="6" t="s">
        <v>77</v>
      </c>
      <c r="I18" s="6" t="s">
        <v>77</v>
      </c>
      <c r="J18" s="6" t="s">
        <v>78</v>
      </c>
      <c r="K18" s="6" t="s">
        <v>79</v>
      </c>
      <c r="L18" s="6" t="s">
        <v>118</v>
      </c>
      <c r="M18" s="6"/>
      <c r="N18" s="8">
        <v>0.59</v>
      </c>
      <c r="O18" s="9"/>
      <c r="P18" s="11">
        <f t="shared" si="58"/>
        <v>0</v>
      </c>
      <c r="Q18" s="11">
        <f t="shared" si="59"/>
        <v>0</v>
      </c>
      <c r="R18" s="11">
        <f t="shared" si="60"/>
        <v>7080</v>
      </c>
      <c r="S18" s="11">
        <f t="shared" si="61"/>
        <v>0</v>
      </c>
      <c r="T18" s="12"/>
      <c r="U18" s="12">
        <f t="shared" si="62"/>
        <v>0</v>
      </c>
      <c r="V18" s="12"/>
      <c r="W18" s="12">
        <f t="shared" si="63"/>
        <v>0</v>
      </c>
      <c r="X18" s="12"/>
      <c r="Y18" s="12"/>
      <c r="Z18" s="12">
        <f t="shared" si="64"/>
        <v>0</v>
      </c>
      <c r="AA18" s="12"/>
      <c r="AB18" s="12">
        <f t="shared" si="65"/>
        <v>0</v>
      </c>
      <c r="AC18" s="12"/>
      <c r="AD18" s="12"/>
      <c r="AE18" s="12">
        <f t="shared" si="66"/>
        <v>0</v>
      </c>
      <c r="AF18" s="12"/>
      <c r="AG18" s="12">
        <f t="shared" si="67"/>
        <v>0</v>
      </c>
      <c r="AH18" s="12"/>
      <c r="AI18" s="12"/>
      <c r="AJ18" s="12">
        <f t="shared" si="68"/>
        <v>0</v>
      </c>
      <c r="AK18" s="12"/>
      <c r="AL18" s="12">
        <f t="shared" si="69"/>
        <v>0</v>
      </c>
      <c r="AM18" s="12"/>
      <c r="AN18" s="12"/>
      <c r="AO18" s="12">
        <f t="shared" si="70"/>
        <v>0</v>
      </c>
      <c r="AP18" s="12"/>
      <c r="AQ18" s="12">
        <f t="shared" si="71"/>
        <v>0</v>
      </c>
      <c r="AR18" s="12">
        <v>12000</v>
      </c>
      <c r="AS18" s="12"/>
      <c r="AT18" s="12">
        <f t="shared" si="72"/>
        <v>0</v>
      </c>
      <c r="AU18" s="12"/>
      <c r="AV18" s="12">
        <f t="shared" si="73"/>
        <v>0</v>
      </c>
      <c r="AW18" s="12"/>
      <c r="AX18" s="13"/>
      <c r="AY18" s="13">
        <f t="shared" si="74"/>
        <v>0</v>
      </c>
      <c r="AZ18" s="12">
        <v>12000</v>
      </c>
      <c r="BA18" s="12">
        <f t="shared" si="75"/>
        <v>7080</v>
      </c>
      <c r="BB18" s="12"/>
      <c r="BC18" s="12"/>
      <c r="BD18" s="12">
        <f t="shared" si="76"/>
        <v>0</v>
      </c>
      <c r="BE18" s="12"/>
      <c r="BF18" s="12">
        <f t="shared" si="77"/>
        <v>0</v>
      </c>
      <c r="BG18" s="12"/>
      <c r="BH18" s="12"/>
      <c r="BI18" s="12">
        <f t="shared" si="78"/>
        <v>0</v>
      </c>
      <c r="BJ18" s="12"/>
      <c r="BK18" s="12">
        <f t="shared" si="79"/>
        <v>0</v>
      </c>
      <c r="BL18" s="12"/>
      <c r="BM18" s="12"/>
      <c r="BN18" s="12">
        <f t="shared" si="80"/>
        <v>0</v>
      </c>
      <c r="BO18" s="12"/>
      <c r="BP18" s="12">
        <f t="shared" si="81"/>
        <v>0</v>
      </c>
      <c r="BQ18" s="12"/>
      <c r="BR18" s="12"/>
      <c r="BS18" s="12">
        <f t="shared" si="82"/>
        <v>0</v>
      </c>
      <c r="BT18" s="12"/>
      <c r="BU18" s="12">
        <f t="shared" si="83"/>
        <v>0</v>
      </c>
      <c r="BV18" s="12"/>
      <c r="BW18" s="12"/>
      <c r="BX18" s="12">
        <f t="shared" si="84"/>
        <v>0</v>
      </c>
      <c r="BY18" s="12"/>
      <c r="BZ18" s="12">
        <f t="shared" si="85"/>
        <v>0</v>
      </c>
      <c r="CA18" s="12"/>
      <c r="CB18" s="39"/>
    </row>
    <row r="19" spans="1:80" ht="16" x14ac:dyDescent="0.4">
      <c r="A19" s="6" t="s">
        <v>76</v>
      </c>
      <c r="B19" s="6" t="s">
        <v>167</v>
      </c>
      <c r="C19" s="6" t="s">
        <v>168</v>
      </c>
      <c r="D19" s="6" t="s">
        <v>180</v>
      </c>
      <c r="E19" s="73" t="s">
        <v>229</v>
      </c>
      <c r="F19" s="6" t="s">
        <v>182</v>
      </c>
      <c r="G19" s="6" t="s">
        <v>172</v>
      </c>
      <c r="H19" s="6" t="s">
        <v>77</v>
      </c>
      <c r="I19" s="6" t="s">
        <v>77</v>
      </c>
      <c r="J19" s="6" t="s">
        <v>78</v>
      </c>
      <c r="K19" s="6" t="s">
        <v>79</v>
      </c>
      <c r="L19" s="6" t="s">
        <v>232</v>
      </c>
      <c r="M19" s="6"/>
      <c r="N19" s="8"/>
      <c r="O19" s="9"/>
      <c r="P19" s="11">
        <f t="shared" si="58"/>
        <v>0</v>
      </c>
      <c r="Q19" s="11">
        <f t="shared" si="59"/>
        <v>0</v>
      </c>
      <c r="R19" s="11">
        <f t="shared" si="60"/>
        <v>0</v>
      </c>
      <c r="S19" s="11">
        <f t="shared" si="61"/>
        <v>0</v>
      </c>
      <c r="T19" s="12"/>
      <c r="U19" s="12">
        <f t="shared" si="62"/>
        <v>0</v>
      </c>
      <c r="V19" s="12"/>
      <c r="W19" s="12">
        <f t="shared" si="63"/>
        <v>0</v>
      </c>
      <c r="X19" s="12"/>
      <c r="Y19" s="12"/>
      <c r="Z19" s="12">
        <f t="shared" si="64"/>
        <v>0</v>
      </c>
      <c r="AA19" s="12"/>
      <c r="AB19" s="12">
        <f t="shared" si="65"/>
        <v>0</v>
      </c>
      <c r="AC19" s="12"/>
      <c r="AD19" s="12"/>
      <c r="AE19" s="12">
        <f t="shared" si="66"/>
        <v>0</v>
      </c>
      <c r="AF19" s="12"/>
      <c r="AG19" s="12">
        <f t="shared" si="67"/>
        <v>0</v>
      </c>
      <c r="AH19" s="12"/>
      <c r="AI19" s="12"/>
      <c r="AJ19" s="12">
        <f t="shared" si="68"/>
        <v>0</v>
      </c>
      <c r="AK19" s="12"/>
      <c r="AL19" s="12">
        <f t="shared" si="69"/>
        <v>0</v>
      </c>
      <c r="AM19" s="12"/>
      <c r="AN19" s="12"/>
      <c r="AO19" s="12">
        <f t="shared" si="70"/>
        <v>0</v>
      </c>
      <c r="AP19" s="12"/>
      <c r="AQ19" s="12">
        <f t="shared" si="71"/>
        <v>0</v>
      </c>
      <c r="AR19" s="12"/>
      <c r="AS19" s="12"/>
      <c r="AT19" s="12">
        <f t="shared" si="72"/>
        <v>0</v>
      </c>
      <c r="AU19" s="12"/>
      <c r="AV19" s="12">
        <f t="shared" si="73"/>
        <v>0</v>
      </c>
      <c r="AW19" s="63">
        <v>15000</v>
      </c>
      <c r="AX19" s="13"/>
      <c r="AY19" s="13">
        <f t="shared" si="74"/>
        <v>0</v>
      </c>
      <c r="AZ19" s="12"/>
      <c r="BA19" s="12">
        <f t="shared" si="75"/>
        <v>0</v>
      </c>
      <c r="BB19" s="12"/>
      <c r="BC19" s="12"/>
      <c r="BD19" s="12">
        <f t="shared" si="76"/>
        <v>0</v>
      </c>
      <c r="BE19" s="12"/>
      <c r="BF19" s="12">
        <f t="shared" si="77"/>
        <v>0</v>
      </c>
      <c r="BG19" s="12"/>
      <c r="BH19" s="12"/>
      <c r="BI19" s="12">
        <f t="shared" si="78"/>
        <v>0</v>
      </c>
      <c r="BJ19" s="12"/>
      <c r="BK19" s="12">
        <f t="shared" si="79"/>
        <v>0</v>
      </c>
      <c r="BL19" s="12"/>
      <c r="BM19" s="12"/>
      <c r="BN19" s="12">
        <f t="shared" si="80"/>
        <v>0</v>
      </c>
      <c r="BO19" s="12"/>
      <c r="BP19" s="12">
        <f t="shared" si="81"/>
        <v>0</v>
      </c>
      <c r="BQ19" s="12"/>
      <c r="BR19" s="12"/>
      <c r="BS19" s="12">
        <f t="shared" si="82"/>
        <v>0</v>
      </c>
      <c r="BT19" s="12"/>
      <c r="BU19" s="12">
        <f t="shared" si="83"/>
        <v>0</v>
      </c>
      <c r="BV19" s="12"/>
      <c r="BW19" s="12"/>
      <c r="BX19" s="12">
        <f t="shared" si="84"/>
        <v>0</v>
      </c>
      <c r="BY19" s="12"/>
      <c r="BZ19" s="12">
        <f t="shared" si="85"/>
        <v>0</v>
      </c>
      <c r="CA19" s="12"/>
      <c r="CB19" s="6"/>
    </row>
    <row r="20" spans="1:80" ht="16" x14ac:dyDescent="0.4">
      <c r="A20" s="6" t="s">
        <v>76</v>
      </c>
      <c r="B20" s="6" t="s">
        <v>167</v>
      </c>
      <c r="C20" s="6" t="s">
        <v>168</v>
      </c>
      <c r="D20" s="6" t="s">
        <v>180</v>
      </c>
      <c r="E20" s="73" t="s">
        <v>229</v>
      </c>
      <c r="F20" s="6" t="s">
        <v>182</v>
      </c>
      <c r="G20" s="6" t="s">
        <v>172</v>
      </c>
      <c r="H20" s="6" t="s">
        <v>77</v>
      </c>
      <c r="I20" s="6" t="s">
        <v>77</v>
      </c>
      <c r="J20" s="6" t="s">
        <v>78</v>
      </c>
      <c r="K20" s="6" t="s">
        <v>79</v>
      </c>
      <c r="L20" s="6" t="s">
        <v>233</v>
      </c>
      <c r="M20" s="6"/>
      <c r="N20" s="8">
        <v>0.64</v>
      </c>
      <c r="O20" s="9"/>
      <c r="P20" s="11">
        <f t="shared" si="58"/>
        <v>0</v>
      </c>
      <c r="Q20" s="11">
        <f t="shared" si="59"/>
        <v>0</v>
      </c>
      <c r="R20" s="11">
        <f t="shared" si="60"/>
        <v>0</v>
      </c>
      <c r="S20" s="11">
        <f t="shared" si="61"/>
        <v>0</v>
      </c>
      <c r="T20" s="12"/>
      <c r="U20" s="12">
        <f t="shared" si="62"/>
        <v>0</v>
      </c>
      <c r="V20" s="12"/>
      <c r="W20" s="12">
        <f t="shared" si="63"/>
        <v>0</v>
      </c>
      <c r="X20" s="12"/>
      <c r="Y20" s="12"/>
      <c r="Z20" s="12">
        <f t="shared" si="64"/>
        <v>0</v>
      </c>
      <c r="AA20" s="12"/>
      <c r="AB20" s="12">
        <f t="shared" si="65"/>
        <v>0</v>
      </c>
      <c r="AC20" s="12"/>
      <c r="AD20" s="12"/>
      <c r="AE20" s="12">
        <f t="shared" si="66"/>
        <v>0</v>
      </c>
      <c r="AF20" s="12"/>
      <c r="AG20" s="12">
        <f t="shared" si="67"/>
        <v>0</v>
      </c>
      <c r="AH20" s="12"/>
      <c r="AI20" s="12"/>
      <c r="AJ20" s="12">
        <f t="shared" si="68"/>
        <v>0</v>
      </c>
      <c r="AK20" s="12"/>
      <c r="AL20" s="12">
        <f t="shared" si="69"/>
        <v>0</v>
      </c>
      <c r="AM20" s="12"/>
      <c r="AN20" s="12"/>
      <c r="AO20" s="12">
        <f t="shared" si="70"/>
        <v>0</v>
      </c>
      <c r="AP20" s="12"/>
      <c r="AQ20" s="12">
        <f t="shared" si="71"/>
        <v>0</v>
      </c>
      <c r="AR20" s="12"/>
      <c r="AS20" s="12"/>
      <c r="AT20" s="12">
        <f t="shared" si="72"/>
        <v>0</v>
      </c>
      <c r="AU20" s="12">
        <v>20000</v>
      </c>
      <c r="AV20" s="12">
        <f t="shared" si="73"/>
        <v>12800</v>
      </c>
      <c r="AW20" s="63">
        <v>6000</v>
      </c>
      <c r="AX20" s="13"/>
      <c r="AY20" s="13">
        <f t="shared" si="74"/>
        <v>0</v>
      </c>
      <c r="AZ20" s="12"/>
      <c r="BA20" s="12">
        <f t="shared" si="75"/>
        <v>0</v>
      </c>
      <c r="BB20" s="12"/>
      <c r="BC20" s="12"/>
      <c r="BD20" s="12">
        <f t="shared" si="76"/>
        <v>0</v>
      </c>
      <c r="BE20" s="12"/>
      <c r="BF20" s="12">
        <f t="shared" si="77"/>
        <v>0</v>
      </c>
      <c r="BG20" s="12"/>
      <c r="BH20" s="12"/>
      <c r="BI20" s="12">
        <f t="shared" si="78"/>
        <v>0</v>
      </c>
      <c r="BJ20" s="12"/>
      <c r="BK20" s="12">
        <f t="shared" si="79"/>
        <v>0</v>
      </c>
      <c r="BL20" s="12"/>
      <c r="BM20" s="12"/>
      <c r="BN20" s="12">
        <f t="shared" si="80"/>
        <v>0</v>
      </c>
      <c r="BO20" s="12"/>
      <c r="BP20" s="12">
        <f t="shared" si="81"/>
        <v>0</v>
      </c>
      <c r="BQ20" s="12"/>
      <c r="BR20" s="12"/>
      <c r="BS20" s="12">
        <f t="shared" si="82"/>
        <v>0</v>
      </c>
      <c r="BT20" s="12"/>
      <c r="BU20" s="12">
        <f t="shared" si="83"/>
        <v>0</v>
      </c>
      <c r="BV20" s="12"/>
      <c r="BW20" s="12"/>
      <c r="BX20" s="12">
        <f t="shared" si="84"/>
        <v>0</v>
      </c>
      <c r="BY20" s="12"/>
      <c r="BZ20" s="12">
        <f t="shared" si="85"/>
        <v>0</v>
      </c>
      <c r="CA20" s="12"/>
      <c r="CB20" s="6"/>
    </row>
    <row r="21" spans="1:80" ht="16" x14ac:dyDescent="0.4">
      <c r="A21" s="6" t="s">
        <v>76</v>
      </c>
      <c r="B21" s="6" t="s">
        <v>167</v>
      </c>
      <c r="C21" s="6" t="s">
        <v>168</v>
      </c>
      <c r="D21" s="6" t="s">
        <v>230</v>
      </c>
      <c r="E21" s="73" t="s">
        <v>229</v>
      </c>
      <c r="F21" s="6" t="s">
        <v>182</v>
      </c>
      <c r="G21" s="6" t="s">
        <v>172</v>
      </c>
      <c r="H21" s="6" t="s">
        <v>144</v>
      </c>
      <c r="I21" s="6" t="s">
        <v>144</v>
      </c>
      <c r="J21" s="6" t="s">
        <v>88</v>
      </c>
      <c r="K21" s="2" t="s">
        <v>179</v>
      </c>
      <c r="L21" s="6" t="s">
        <v>234</v>
      </c>
      <c r="M21" s="6"/>
      <c r="N21" s="8">
        <v>16.2</v>
      </c>
      <c r="O21" s="9"/>
      <c r="P21" s="11">
        <f t="shared" si="58"/>
        <v>80</v>
      </c>
      <c r="Q21" s="11">
        <f t="shared" si="59"/>
        <v>1296</v>
      </c>
      <c r="R21" s="11">
        <f t="shared" si="60"/>
        <v>0</v>
      </c>
      <c r="S21" s="11">
        <f t="shared" si="61"/>
        <v>0</v>
      </c>
      <c r="T21" s="12"/>
      <c r="U21" s="12">
        <f t="shared" si="62"/>
        <v>0</v>
      </c>
      <c r="V21" s="12"/>
      <c r="W21" s="12">
        <f t="shared" si="63"/>
        <v>0</v>
      </c>
      <c r="X21" s="12"/>
      <c r="Y21" s="12"/>
      <c r="Z21" s="12">
        <f t="shared" si="64"/>
        <v>0</v>
      </c>
      <c r="AA21" s="12"/>
      <c r="AB21" s="12">
        <f t="shared" si="65"/>
        <v>0</v>
      </c>
      <c r="AC21" s="12"/>
      <c r="AD21" s="12">
        <v>20000</v>
      </c>
      <c r="AE21" s="12">
        <f t="shared" si="66"/>
        <v>324000</v>
      </c>
      <c r="AF21" s="12"/>
      <c r="AG21" s="12">
        <f t="shared" si="67"/>
        <v>0</v>
      </c>
      <c r="AH21" s="12"/>
      <c r="AI21" s="12"/>
      <c r="AJ21" s="12">
        <f t="shared" si="68"/>
        <v>0</v>
      </c>
      <c r="AK21" s="12">
        <v>12000</v>
      </c>
      <c r="AL21" s="12">
        <f t="shared" si="69"/>
        <v>194400</v>
      </c>
      <c r="AM21" s="12"/>
      <c r="AN21" s="12"/>
      <c r="AO21" s="12">
        <f t="shared" si="70"/>
        <v>0</v>
      </c>
      <c r="AP21" s="12"/>
      <c r="AQ21" s="12">
        <f t="shared" si="71"/>
        <v>0</v>
      </c>
      <c r="AR21" s="12"/>
      <c r="AS21" s="12">
        <v>20000</v>
      </c>
      <c r="AT21" s="12">
        <f t="shared" si="72"/>
        <v>324000</v>
      </c>
      <c r="AU21" s="12"/>
      <c r="AV21" s="12">
        <f t="shared" si="73"/>
        <v>0</v>
      </c>
      <c r="AW21" s="12"/>
      <c r="AX21" s="13"/>
      <c r="AY21" s="13">
        <f t="shared" si="74"/>
        <v>0</v>
      </c>
      <c r="AZ21" s="12"/>
      <c r="BA21" s="12">
        <f t="shared" si="75"/>
        <v>0</v>
      </c>
      <c r="BB21" s="12"/>
      <c r="BC21" s="12"/>
      <c r="BD21" s="12">
        <f t="shared" si="76"/>
        <v>0</v>
      </c>
      <c r="BE21" s="12"/>
      <c r="BF21" s="12">
        <f t="shared" si="77"/>
        <v>0</v>
      </c>
      <c r="BG21" s="12"/>
      <c r="BH21" s="12">
        <v>20000</v>
      </c>
      <c r="BI21" s="12">
        <f t="shared" si="78"/>
        <v>324000</v>
      </c>
      <c r="BJ21" s="12"/>
      <c r="BK21" s="12">
        <f t="shared" si="79"/>
        <v>0</v>
      </c>
      <c r="BL21" s="12"/>
      <c r="BM21" s="12"/>
      <c r="BN21" s="12">
        <f t="shared" si="80"/>
        <v>0</v>
      </c>
      <c r="BO21" s="12"/>
      <c r="BP21" s="12">
        <f t="shared" si="81"/>
        <v>0</v>
      </c>
      <c r="BQ21" s="12"/>
      <c r="BR21" s="12"/>
      <c r="BS21" s="12">
        <f t="shared" si="82"/>
        <v>0</v>
      </c>
      <c r="BT21" s="12"/>
      <c r="BU21" s="12">
        <f t="shared" si="83"/>
        <v>0</v>
      </c>
      <c r="BV21" s="12"/>
      <c r="BW21" s="12">
        <v>20000</v>
      </c>
      <c r="BX21" s="12">
        <f t="shared" si="84"/>
        <v>324000</v>
      </c>
      <c r="BY21" s="12"/>
      <c r="BZ21" s="12">
        <f t="shared" si="85"/>
        <v>0</v>
      </c>
      <c r="CA21" s="12"/>
      <c r="CB21" s="6"/>
    </row>
    <row r="22" spans="1:80" ht="16" x14ac:dyDescent="0.4">
      <c r="A22" s="6" t="s">
        <v>76</v>
      </c>
      <c r="B22" s="6" t="s">
        <v>167</v>
      </c>
      <c r="C22" s="6" t="s">
        <v>168</v>
      </c>
      <c r="D22" s="6" t="s">
        <v>180</v>
      </c>
      <c r="E22" s="73" t="s">
        <v>229</v>
      </c>
      <c r="F22" s="6" t="s">
        <v>182</v>
      </c>
      <c r="G22" s="6" t="s">
        <v>172</v>
      </c>
      <c r="H22" s="6" t="s">
        <v>77</v>
      </c>
      <c r="I22" s="6" t="s">
        <v>77</v>
      </c>
      <c r="J22" s="6" t="s">
        <v>78</v>
      </c>
      <c r="K22" s="6" t="s">
        <v>79</v>
      </c>
      <c r="L22" s="6" t="s">
        <v>134</v>
      </c>
      <c r="M22" s="6"/>
      <c r="N22" s="8">
        <v>0.59</v>
      </c>
      <c r="O22" s="9"/>
      <c r="P22" s="11">
        <f t="shared" si="58"/>
        <v>0</v>
      </c>
      <c r="Q22" s="11">
        <f t="shared" si="59"/>
        <v>0</v>
      </c>
      <c r="R22" s="11">
        <f t="shared" si="60"/>
        <v>0</v>
      </c>
      <c r="S22" s="11">
        <f t="shared" si="61"/>
        <v>0</v>
      </c>
      <c r="T22" s="12"/>
      <c r="U22" s="12">
        <f t="shared" si="62"/>
        <v>0</v>
      </c>
      <c r="V22" s="12"/>
      <c r="W22" s="12">
        <f t="shared" si="63"/>
        <v>0</v>
      </c>
      <c r="X22" s="12"/>
      <c r="Y22" s="12"/>
      <c r="Z22" s="12">
        <f t="shared" si="64"/>
        <v>0</v>
      </c>
      <c r="AA22" s="12"/>
      <c r="AB22" s="12">
        <f t="shared" si="65"/>
        <v>0</v>
      </c>
      <c r="AC22" s="12"/>
      <c r="AD22" s="12"/>
      <c r="AE22" s="12">
        <f t="shared" si="66"/>
        <v>0</v>
      </c>
      <c r="AF22" s="12"/>
      <c r="AG22" s="12">
        <f t="shared" si="67"/>
        <v>0</v>
      </c>
      <c r="AH22" s="12"/>
      <c r="AI22" s="12"/>
      <c r="AJ22" s="12">
        <f t="shared" si="68"/>
        <v>0</v>
      </c>
      <c r="AK22" s="12"/>
      <c r="AL22" s="12">
        <f t="shared" si="69"/>
        <v>0</v>
      </c>
      <c r="AM22" s="12"/>
      <c r="AN22" s="12"/>
      <c r="AO22" s="12">
        <f t="shared" si="70"/>
        <v>0</v>
      </c>
      <c r="AP22" s="12"/>
      <c r="AQ22" s="12">
        <f t="shared" si="71"/>
        <v>0</v>
      </c>
      <c r="AR22" s="12"/>
      <c r="AS22" s="12"/>
      <c r="AT22" s="12">
        <f t="shared" si="72"/>
        <v>0</v>
      </c>
      <c r="AU22" s="12">
        <v>3000</v>
      </c>
      <c r="AV22" s="12">
        <f t="shared" si="73"/>
        <v>1770</v>
      </c>
      <c r="AW22" s="12"/>
      <c r="AX22" s="13"/>
      <c r="AY22" s="13">
        <f t="shared" si="74"/>
        <v>0</v>
      </c>
      <c r="AZ22" s="12"/>
      <c r="BA22" s="12">
        <f t="shared" si="75"/>
        <v>0</v>
      </c>
      <c r="BB22" s="12"/>
      <c r="BC22" s="12"/>
      <c r="BD22" s="12">
        <f t="shared" si="76"/>
        <v>0</v>
      </c>
      <c r="BE22" s="12"/>
      <c r="BF22" s="12">
        <f t="shared" si="77"/>
        <v>0</v>
      </c>
      <c r="BG22" s="12"/>
      <c r="BH22" s="12"/>
      <c r="BI22" s="12">
        <f t="shared" si="78"/>
        <v>0</v>
      </c>
      <c r="BJ22" s="12"/>
      <c r="BK22" s="12">
        <f t="shared" si="79"/>
        <v>0</v>
      </c>
      <c r="BL22" s="12"/>
      <c r="BM22" s="12"/>
      <c r="BN22" s="12">
        <f t="shared" si="80"/>
        <v>0</v>
      </c>
      <c r="BO22" s="12"/>
      <c r="BP22" s="12">
        <f t="shared" si="81"/>
        <v>0</v>
      </c>
      <c r="BQ22" s="12"/>
      <c r="BR22" s="12"/>
      <c r="BS22" s="12">
        <f t="shared" si="82"/>
        <v>0</v>
      </c>
      <c r="BT22" s="12"/>
      <c r="BU22" s="12">
        <f t="shared" si="83"/>
        <v>0</v>
      </c>
      <c r="BV22" s="12"/>
      <c r="BW22" s="12"/>
      <c r="BX22" s="12">
        <f t="shared" si="84"/>
        <v>0</v>
      </c>
      <c r="BY22" s="12"/>
      <c r="BZ22" s="12">
        <f t="shared" si="85"/>
        <v>0</v>
      </c>
      <c r="CA22" s="12"/>
      <c r="CB22" s="40"/>
    </row>
    <row r="23" spans="1:80" ht="16" x14ac:dyDescent="0.4">
      <c r="A23" s="6" t="s">
        <v>76</v>
      </c>
      <c r="B23" s="6" t="s">
        <v>167</v>
      </c>
      <c r="C23" s="6" t="s">
        <v>168</v>
      </c>
      <c r="D23" s="6" t="s">
        <v>180</v>
      </c>
      <c r="E23" s="73" t="s">
        <v>229</v>
      </c>
      <c r="F23" s="6" t="s">
        <v>182</v>
      </c>
      <c r="G23" s="6" t="s">
        <v>172</v>
      </c>
      <c r="H23" s="6" t="s">
        <v>77</v>
      </c>
      <c r="I23" s="6" t="s">
        <v>77</v>
      </c>
      <c r="J23" s="6" t="s">
        <v>78</v>
      </c>
      <c r="K23" s="6" t="s">
        <v>79</v>
      </c>
      <c r="L23" s="6" t="s">
        <v>235</v>
      </c>
      <c r="M23" s="6"/>
      <c r="N23" s="8"/>
      <c r="O23" s="9"/>
      <c r="P23" s="11">
        <f t="shared" si="58"/>
        <v>0</v>
      </c>
      <c r="Q23" s="11">
        <f t="shared" si="59"/>
        <v>0</v>
      </c>
      <c r="R23" s="11">
        <f t="shared" si="60"/>
        <v>0</v>
      </c>
      <c r="S23" s="11">
        <f t="shared" si="61"/>
        <v>0</v>
      </c>
      <c r="T23" s="12"/>
      <c r="U23" s="12">
        <f t="shared" si="62"/>
        <v>0</v>
      </c>
      <c r="V23" s="12"/>
      <c r="W23" s="12">
        <f t="shared" si="63"/>
        <v>0</v>
      </c>
      <c r="X23" s="12"/>
      <c r="Y23" s="12"/>
      <c r="Z23" s="12">
        <f t="shared" si="64"/>
        <v>0</v>
      </c>
      <c r="AA23" s="12"/>
      <c r="AB23" s="12">
        <f t="shared" si="65"/>
        <v>0</v>
      </c>
      <c r="AC23" s="12"/>
      <c r="AD23" s="12"/>
      <c r="AE23" s="12">
        <f t="shared" si="66"/>
        <v>0</v>
      </c>
      <c r="AF23" s="12"/>
      <c r="AG23" s="12">
        <f t="shared" si="67"/>
        <v>0</v>
      </c>
      <c r="AH23" s="12"/>
      <c r="AI23" s="12"/>
      <c r="AJ23" s="12">
        <f t="shared" si="68"/>
        <v>0</v>
      </c>
      <c r="AK23" s="12"/>
      <c r="AL23" s="12">
        <f t="shared" si="69"/>
        <v>0</v>
      </c>
      <c r="AM23" s="12"/>
      <c r="AN23" s="12"/>
      <c r="AO23" s="12">
        <f t="shared" si="70"/>
        <v>0</v>
      </c>
      <c r="AP23" s="12"/>
      <c r="AQ23" s="12">
        <f t="shared" si="71"/>
        <v>0</v>
      </c>
      <c r="AR23" s="12"/>
      <c r="AS23" s="12"/>
      <c r="AT23" s="12">
        <f t="shared" si="72"/>
        <v>0</v>
      </c>
      <c r="AU23" s="12"/>
      <c r="AV23" s="12">
        <f t="shared" si="73"/>
        <v>0</v>
      </c>
      <c r="AW23" s="12"/>
      <c r="AX23" s="13"/>
      <c r="AY23" s="13">
        <f t="shared" si="74"/>
        <v>0</v>
      </c>
      <c r="AZ23" s="12"/>
      <c r="BA23" s="12">
        <f t="shared" si="75"/>
        <v>0</v>
      </c>
      <c r="BB23" s="12"/>
      <c r="BC23" s="12"/>
      <c r="BD23" s="12">
        <f t="shared" si="76"/>
        <v>0</v>
      </c>
      <c r="BE23" s="12"/>
      <c r="BF23" s="12">
        <f t="shared" si="77"/>
        <v>0</v>
      </c>
      <c r="BG23" s="12"/>
      <c r="BH23" s="12"/>
      <c r="BI23" s="12">
        <f t="shared" si="78"/>
        <v>0</v>
      </c>
      <c r="BJ23" s="12"/>
      <c r="BK23" s="12">
        <f t="shared" si="79"/>
        <v>0</v>
      </c>
      <c r="BL23" s="12"/>
      <c r="BM23" s="12"/>
      <c r="BN23" s="12">
        <f t="shared" si="80"/>
        <v>0</v>
      </c>
      <c r="BO23" s="12"/>
      <c r="BP23" s="12">
        <f t="shared" si="81"/>
        <v>0</v>
      </c>
      <c r="BQ23" s="12"/>
      <c r="BR23" s="12"/>
      <c r="BS23" s="12">
        <f t="shared" si="82"/>
        <v>0</v>
      </c>
      <c r="BT23" s="12"/>
      <c r="BU23" s="12">
        <f t="shared" si="83"/>
        <v>0</v>
      </c>
      <c r="BV23" s="12"/>
      <c r="BW23" s="12"/>
      <c r="BX23" s="12">
        <f t="shared" si="84"/>
        <v>0</v>
      </c>
      <c r="BY23" s="12"/>
      <c r="BZ23" s="12">
        <f t="shared" si="85"/>
        <v>0</v>
      </c>
      <c r="CA23" s="12"/>
      <c r="CB23" s="6"/>
    </row>
    <row r="24" spans="1:80" ht="16" x14ac:dyDescent="0.4">
      <c r="A24" s="6" t="s">
        <v>76</v>
      </c>
      <c r="B24" s="6" t="s">
        <v>167</v>
      </c>
      <c r="C24" s="6" t="s">
        <v>168</v>
      </c>
      <c r="D24" s="6" t="s">
        <v>230</v>
      </c>
      <c r="E24" s="73" t="s">
        <v>229</v>
      </c>
      <c r="F24" s="6" t="s">
        <v>182</v>
      </c>
      <c r="G24" s="6" t="s">
        <v>172</v>
      </c>
      <c r="H24" s="6" t="s">
        <v>95</v>
      </c>
      <c r="I24" s="6" t="s">
        <v>95</v>
      </c>
      <c r="J24" s="7" t="s">
        <v>96</v>
      </c>
      <c r="K24" s="2" t="s">
        <v>94</v>
      </c>
      <c r="L24" s="6" t="s">
        <v>133</v>
      </c>
      <c r="M24" s="6" t="s">
        <v>80</v>
      </c>
      <c r="N24" s="8">
        <v>8.5</v>
      </c>
      <c r="O24" s="9"/>
      <c r="P24" s="11">
        <f t="shared" si="58"/>
        <v>200</v>
      </c>
      <c r="Q24" s="11">
        <f t="shared" si="59"/>
        <v>1700</v>
      </c>
      <c r="R24" s="11">
        <f t="shared" si="60"/>
        <v>0</v>
      </c>
      <c r="S24" s="11">
        <f t="shared" si="61"/>
        <v>0</v>
      </c>
      <c r="T24" s="12"/>
      <c r="U24" s="12">
        <f t="shared" si="62"/>
        <v>0</v>
      </c>
      <c r="V24" s="12"/>
      <c r="W24" s="12">
        <f t="shared" si="63"/>
        <v>0</v>
      </c>
      <c r="X24" s="12"/>
      <c r="Y24" s="12"/>
      <c r="Z24" s="12">
        <f t="shared" si="64"/>
        <v>0</v>
      </c>
      <c r="AA24" s="12"/>
      <c r="AB24" s="12">
        <f t="shared" si="65"/>
        <v>0</v>
      </c>
      <c r="AC24" s="12"/>
      <c r="AD24" s="12"/>
      <c r="AE24" s="12">
        <f t="shared" si="66"/>
        <v>0</v>
      </c>
      <c r="AF24" s="12"/>
      <c r="AG24" s="12">
        <f t="shared" si="67"/>
        <v>0</v>
      </c>
      <c r="AH24" s="12"/>
      <c r="AI24" s="12">
        <v>50000</v>
      </c>
      <c r="AJ24" s="12">
        <f t="shared" si="68"/>
        <v>425000</v>
      </c>
      <c r="AK24" s="12"/>
      <c r="AL24" s="12">
        <f t="shared" si="69"/>
        <v>0</v>
      </c>
      <c r="AM24" s="12"/>
      <c r="AN24" s="12"/>
      <c r="AO24" s="12">
        <f t="shared" si="70"/>
        <v>0</v>
      </c>
      <c r="AP24" s="12"/>
      <c r="AQ24" s="12">
        <f t="shared" si="71"/>
        <v>0</v>
      </c>
      <c r="AR24" s="12"/>
      <c r="AS24" s="12">
        <v>50000</v>
      </c>
      <c r="AT24" s="12">
        <f t="shared" si="72"/>
        <v>425000</v>
      </c>
      <c r="AU24" s="12"/>
      <c r="AV24" s="12">
        <f t="shared" si="73"/>
        <v>0</v>
      </c>
      <c r="AW24" s="12"/>
      <c r="AX24" s="13"/>
      <c r="AY24" s="13">
        <f t="shared" si="74"/>
        <v>0</v>
      </c>
      <c r="AZ24" s="12"/>
      <c r="BA24" s="12">
        <f t="shared" si="75"/>
        <v>0</v>
      </c>
      <c r="BB24" s="12"/>
      <c r="BC24" s="12">
        <v>50000</v>
      </c>
      <c r="BD24" s="12">
        <f t="shared" si="76"/>
        <v>425000</v>
      </c>
      <c r="BE24" s="12"/>
      <c r="BF24" s="12">
        <f t="shared" si="77"/>
        <v>0</v>
      </c>
      <c r="BG24" s="12"/>
      <c r="BH24" s="12"/>
      <c r="BI24" s="12">
        <f t="shared" si="78"/>
        <v>0</v>
      </c>
      <c r="BJ24" s="12"/>
      <c r="BK24" s="12">
        <f t="shared" si="79"/>
        <v>0</v>
      </c>
      <c r="BL24" s="12"/>
      <c r="BM24" s="12"/>
      <c r="BN24" s="12">
        <f t="shared" si="80"/>
        <v>0</v>
      </c>
      <c r="BO24" s="12"/>
      <c r="BP24" s="12">
        <f t="shared" si="81"/>
        <v>0</v>
      </c>
      <c r="BQ24" s="12"/>
      <c r="BR24" s="12"/>
      <c r="BS24" s="12">
        <f t="shared" si="82"/>
        <v>0</v>
      </c>
      <c r="BT24" s="12"/>
      <c r="BU24" s="12">
        <f t="shared" si="83"/>
        <v>0</v>
      </c>
      <c r="BV24" s="12"/>
      <c r="BW24" s="12">
        <v>50000</v>
      </c>
      <c r="BX24" s="12">
        <f t="shared" si="84"/>
        <v>425000</v>
      </c>
      <c r="BY24" s="12"/>
      <c r="BZ24" s="12">
        <f t="shared" si="85"/>
        <v>0</v>
      </c>
      <c r="CA24" s="12"/>
      <c r="CB24" s="6"/>
    </row>
    <row r="25" spans="1:80" ht="16" x14ac:dyDescent="0.4">
      <c r="A25" s="6" t="s">
        <v>76</v>
      </c>
      <c r="B25" s="6" t="s">
        <v>167</v>
      </c>
      <c r="C25" s="6" t="s">
        <v>168</v>
      </c>
      <c r="D25" s="6" t="s">
        <v>230</v>
      </c>
      <c r="E25" s="73" t="s">
        <v>229</v>
      </c>
      <c r="F25" s="6" t="s">
        <v>182</v>
      </c>
      <c r="G25" s="6" t="s">
        <v>172</v>
      </c>
      <c r="H25" s="6" t="s">
        <v>95</v>
      </c>
      <c r="I25" s="6" t="s">
        <v>95</v>
      </c>
      <c r="J25" s="7" t="s">
        <v>96</v>
      </c>
      <c r="K25" s="2" t="s">
        <v>94</v>
      </c>
      <c r="L25" s="6" t="s">
        <v>150</v>
      </c>
      <c r="M25" s="6"/>
      <c r="N25" s="8">
        <v>19.5</v>
      </c>
      <c r="O25" s="9"/>
      <c r="P25" s="11">
        <f t="shared" si="58"/>
        <v>50</v>
      </c>
      <c r="Q25" s="11">
        <f t="shared" si="59"/>
        <v>975</v>
      </c>
      <c r="R25" s="11">
        <f t="shared" si="60"/>
        <v>0</v>
      </c>
      <c r="S25" s="11">
        <f t="shared" si="61"/>
        <v>0</v>
      </c>
      <c r="T25" s="12"/>
      <c r="U25" s="12">
        <f t="shared" si="62"/>
        <v>0</v>
      </c>
      <c r="V25" s="12"/>
      <c r="W25" s="12">
        <f t="shared" si="63"/>
        <v>0</v>
      </c>
      <c r="X25" s="12"/>
      <c r="Y25" s="12"/>
      <c r="Z25" s="12">
        <f t="shared" si="64"/>
        <v>0</v>
      </c>
      <c r="AA25" s="12"/>
      <c r="AB25" s="12">
        <f t="shared" si="65"/>
        <v>0</v>
      </c>
      <c r="AC25" s="12"/>
      <c r="AD25" s="12"/>
      <c r="AE25" s="12">
        <f t="shared" si="66"/>
        <v>0</v>
      </c>
      <c r="AF25" s="12"/>
      <c r="AG25" s="12">
        <f t="shared" si="67"/>
        <v>0</v>
      </c>
      <c r="AH25" s="12"/>
      <c r="AI25" s="12">
        <v>10000</v>
      </c>
      <c r="AJ25" s="12">
        <f t="shared" si="68"/>
        <v>195000</v>
      </c>
      <c r="AK25" s="12"/>
      <c r="AL25" s="12">
        <f t="shared" si="69"/>
        <v>0</v>
      </c>
      <c r="AM25" s="12"/>
      <c r="AN25" s="12"/>
      <c r="AO25" s="12">
        <f t="shared" si="70"/>
        <v>0</v>
      </c>
      <c r="AP25" s="12"/>
      <c r="AQ25" s="12">
        <f t="shared" si="71"/>
        <v>0</v>
      </c>
      <c r="AR25" s="12"/>
      <c r="AS25" s="12">
        <v>10000</v>
      </c>
      <c r="AT25" s="12">
        <f t="shared" si="72"/>
        <v>195000</v>
      </c>
      <c r="AU25" s="12"/>
      <c r="AV25" s="12">
        <f t="shared" si="73"/>
        <v>0</v>
      </c>
      <c r="AW25" s="12"/>
      <c r="AX25" s="13"/>
      <c r="AY25" s="13">
        <f t="shared" si="74"/>
        <v>0</v>
      </c>
      <c r="AZ25" s="12"/>
      <c r="BA25" s="12">
        <f t="shared" si="75"/>
        <v>0</v>
      </c>
      <c r="BB25" s="12"/>
      <c r="BC25" s="12">
        <v>10000</v>
      </c>
      <c r="BD25" s="12">
        <f t="shared" si="76"/>
        <v>195000</v>
      </c>
      <c r="BE25" s="12"/>
      <c r="BF25" s="12">
        <f t="shared" si="77"/>
        <v>0</v>
      </c>
      <c r="BG25" s="12"/>
      <c r="BH25" s="12"/>
      <c r="BI25" s="12">
        <f t="shared" si="78"/>
        <v>0</v>
      </c>
      <c r="BJ25" s="12"/>
      <c r="BK25" s="12">
        <f t="shared" si="79"/>
        <v>0</v>
      </c>
      <c r="BL25" s="12"/>
      <c r="BM25" s="12">
        <v>10000</v>
      </c>
      <c r="BN25" s="12">
        <f t="shared" si="80"/>
        <v>195000</v>
      </c>
      <c r="BO25" s="12"/>
      <c r="BP25" s="12">
        <f t="shared" si="81"/>
        <v>0</v>
      </c>
      <c r="BQ25" s="12"/>
      <c r="BR25" s="12"/>
      <c r="BS25" s="12">
        <f t="shared" si="82"/>
        <v>0</v>
      </c>
      <c r="BT25" s="12"/>
      <c r="BU25" s="12">
        <f t="shared" si="83"/>
        <v>0</v>
      </c>
      <c r="BV25" s="12"/>
      <c r="BW25" s="12">
        <v>10000</v>
      </c>
      <c r="BX25" s="12">
        <f t="shared" si="84"/>
        <v>195000</v>
      </c>
      <c r="BY25" s="12"/>
      <c r="BZ25" s="12">
        <f t="shared" si="85"/>
        <v>0</v>
      </c>
      <c r="CA25" s="12"/>
      <c r="CB25" s="6"/>
    </row>
    <row r="26" spans="1:80" ht="16" x14ac:dyDescent="0.4">
      <c r="A26" s="6" t="s">
        <v>76</v>
      </c>
      <c r="B26" s="6" t="s">
        <v>167</v>
      </c>
      <c r="C26" s="6" t="s">
        <v>168</v>
      </c>
      <c r="D26" s="6" t="s">
        <v>230</v>
      </c>
      <c r="E26" s="73" t="s">
        <v>229</v>
      </c>
      <c r="F26" s="6" t="s">
        <v>182</v>
      </c>
      <c r="G26" s="6" t="s">
        <v>172</v>
      </c>
      <c r="H26" s="6" t="s">
        <v>110</v>
      </c>
      <c r="I26" s="6" t="s">
        <v>110</v>
      </c>
      <c r="J26" s="6" t="s">
        <v>111</v>
      </c>
      <c r="K26" s="6" t="s">
        <v>84</v>
      </c>
      <c r="L26" s="6" t="s">
        <v>236</v>
      </c>
      <c r="M26" s="6"/>
      <c r="N26" s="8">
        <v>2.62</v>
      </c>
      <c r="O26" s="36">
        <v>10000</v>
      </c>
      <c r="P26" s="11">
        <f t="shared" si="58"/>
        <v>80</v>
      </c>
      <c r="Q26" s="11">
        <f t="shared" si="59"/>
        <v>209.6</v>
      </c>
      <c r="R26" s="11">
        <f t="shared" si="60"/>
        <v>0</v>
      </c>
      <c r="S26" s="11">
        <f t="shared" si="61"/>
        <v>0</v>
      </c>
      <c r="T26" s="12"/>
      <c r="U26" s="12">
        <f t="shared" si="62"/>
        <v>0</v>
      </c>
      <c r="V26" s="12"/>
      <c r="W26" s="12">
        <f t="shared" si="63"/>
        <v>0</v>
      </c>
      <c r="X26" s="12"/>
      <c r="Y26" s="12"/>
      <c r="Z26" s="12">
        <f t="shared" si="64"/>
        <v>0</v>
      </c>
      <c r="AA26" s="12"/>
      <c r="AB26" s="12">
        <f t="shared" si="65"/>
        <v>0</v>
      </c>
      <c r="AC26" s="12"/>
      <c r="AD26" s="12">
        <v>20000</v>
      </c>
      <c r="AE26" s="12">
        <f t="shared" si="66"/>
        <v>52400</v>
      </c>
      <c r="AF26" s="12"/>
      <c r="AG26" s="12">
        <f t="shared" si="67"/>
        <v>0</v>
      </c>
      <c r="AH26" s="12"/>
      <c r="AI26" s="12"/>
      <c r="AJ26" s="12">
        <f t="shared" si="68"/>
        <v>0</v>
      </c>
      <c r="AK26" s="12"/>
      <c r="AL26" s="12">
        <f t="shared" si="69"/>
        <v>0</v>
      </c>
      <c r="AM26" s="12"/>
      <c r="AN26" s="12"/>
      <c r="AO26" s="12">
        <f t="shared" si="70"/>
        <v>0</v>
      </c>
      <c r="AP26" s="12"/>
      <c r="AQ26" s="12">
        <f t="shared" si="71"/>
        <v>0</v>
      </c>
      <c r="AR26" s="12"/>
      <c r="AS26" s="12">
        <v>20000</v>
      </c>
      <c r="AT26" s="12">
        <f t="shared" si="72"/>
        <v>52400</v>
      </c>
      <c r="AU26" s="12">
        <v>20000</v>
      </c>
      <c r="AV26" s="12">
        <f t="shared" si="73"/>
        <v>52400</v>
      </c>
      <c r="AW26" s="12"/>
      <c r="AX26" s="13"/>
      <c r="AY26" s="13">
        <f t="shared" si="74"/>
        <v>0</v>
      </c>
      <c r="AZ26" s="12"/>
      <c r="BA26" s="12">
        <f t="shared" si="75"/>
        <v>0</v>
      </c>
      <c r="BB26" s="12"/>
      <c r="BC26" s="12"/>
      <c r="BD26" s="12">
        <f t="shared" si="76"/>
        <v>0</v>
      </c>
      <c r="BE26" s="12"/>
      <c r="BF26" s="12">
        <f t="shared" si="77"/>
        <v>0</v>
      </c>
      <c r="BG26" s="12"/>
      <c r="BH26" s="12">
        <v>20000</v>
      </c>
      <c r="BI26" s="12">
        <f t="shared" si="78"/>
        <v>52400</v>
      </c>
      <c r="BJ26" s="12"/>
      <c r="BK26" s="12">
        <f t="shared" si="79"/>
        <v>0</v>
      </c>
      <c r="BL26" s="12"/>
      <c r="BM26" s="12"/>
      <c r="BN26" s="12">
        <f t="shared" si="80"/>
        <v>0</v>
      </c>
      <c r="BO26" s="12"/>
      <c r="BP26" s="12">
        <f t="shared" si="81"/>
        <v>0</v>
      </c>
      <c r="BQ26" s="12"/>
      <c r="BR26" s="12"/>
      <c r="BS26" s="12">
        <f t="shared" si="82"/>
        <v>0</v>
      </c>
      <c r="BT26" s="12"/>
      <c r="BU26" s="12">
        <f t="shared" si="83"/>
        <v>0</v>
      </c>
      <c r="BV26" s="12"/>
      <c r="BW26" s="12">
        <v>20000</v>
      </c>
      <c r="BX26" s="12">
        <f t="shared" si="84"/>
        <v>52400</v>
      </c>
      <c r="BY26" s="12"/>
      <c r="BZ26" s="12">
        <f t="shared" si="85"/>
        <v>0</v>
      </c>
      <c r="CA26" s="12"/>
      <c r="CB26" s="6"/>
    </row>
    <row r="27" spans="1:80" ht="16" x14ac:dyDescent="0.4">
      <c r="A27" s="6" t="s">
        <v>76</v>
      </c>
      <c r="B27" s="6" t="s">
        <v>167</v>
      </c>
      <c r="C27" s="6" t="s">
        <v>168</v>
      </c>
      <c r="D27" s="6" t="s">
        <v>230</v>
      </c>
      <c r="E27" s="73" t="s">
        <v>229</v>
      </c>
      <c r="F27" s="6" t="s">
        <v>182</v>
      </c>
      <c r="G27" s="6" t="s">
        <v>172</v>
      </c>
      <c r="H27" s="6" t="s">
        <v>77</v>
      </c>
      <c r="I27" s="6" t="s">
        <v>77</v>
      </c>
      <c r="J27" s="6" t="s">
        <v>78</v>
      </c>
      <c r="K27" s="6" t="s">
        <v>79</v>
      </c>
      <c r="L27" s="6" t="s">
        <v>237</v>
      </c>
      <c r="M27" s="6"/>
      <c r="N27" s="8">
        <v>1.58</v>
      </c>
      <c r="O27" s="9"/>
      <c r="P27" s="11">
        <f t="shared" si="58"/>
        <v>80</v>
      </c>
      <c r="Q27" s="11">
        <f t="shared" si="59"/>
        <v>126.4</v>
      </c>
      <c r="R27" s="11">
        <f t="shared" si="60"/>
        <v>0</v>
      </c>
      <c r="S27" s="11">
        <f t="shared" si="61"/>
        <v>0</v>
      </c>
      <c r="T27" s="12"/>
      <c r="U27" s="12">
        <f t="shared" si="62"/>
        <v>0</v>
      </c>
      <c r="V27" s="12"/>
      <c r="W27" s="12">
        <f t="shared" si="63"/>
        <v>0</v>
      </c>
      <c r="X27" s="12"/>
      <c r="Y27" s="12"/>
      <c r="Z27" s="12">
        <f t="shared" si="64"/>
        <v>0</v>
      </c>
      <c r="AA27" s="12"/>
      <c r="AB27" s="12">
        <f t="shared" si="65"/>
        <v>0</v>
      </c>
      <c r="AC27" s="12"/>
      <c r="AD27" s="12">
        <v>20000</v>
      </c>
      <c r="AE27" s="12">
        <f t="shared" si="66"/>
        <v>31600</v>
      </c>
      <c r="AF27" s="12"/>
      <c r="AG27" s="12">
        <f t="shared" si="67"/>
        <v>0</v>
      </c>
      <c r="AH27" s="12"/>
      <c r="AI27" s="12"/>
      <c r="AJ27" s="12">
        <f t="shared" si="68"/>
        <v>0</v>
      </c>
      <c r="AK27" s="12"/>
      <c r="AL27" s="12">
        <f t="shared" si="69"/>
        <v>0</v>
      </c>
      <c r="AM27" s="12"/>
      <c r="AN27" s="12"/>
      <c r="AO27" s="12">
        <f t="shared" si="70"/>
        <v>0</v>
      </c>
      <c r="AP27" s="12"/>
      <c r="AQ27" s="12">
        <f t="shared" si="71"/>
        <v>0</v>
      </c>
      <c r="AR27" s="12"/>
      <c r="AS27" s="12">
        <v>20000</v>
      </c>
      <c r="AT27" s="12">
        <f t="shared" si="72"/>
        <v>31600</v>
      </c>
      <c r="AU27" s="12">
        <v>20000</v>
      </c>
      <c r="AV27" s="12">
        <f t="shared" si="73"/>
        <v>31600</v>
      </c>
      <c r="AW27" s="12"/>
      <c r="AX27" s="13"/>
      <c r="AY27" s="13">
        <f t="shared" si="74"/>
        <v>0</v>
      </c>
      <c r="AZ27" s="12"/>
      <c r="BA27" s="12">
        <f t="shared" si="75"/>
        <v>0</v>
      </c>
      <c r="BB27" s="12"/>
      <c r="BC27" s="12"/>
      <c r="BD27" s="12">
        <f t="shared" si="76"/>
        <v>0</v>
      </c>
      <c r="BE27" s="12"/>
      <c r="BF27" s="12">
        <f t="shared" si="77"/>
        <v>0</v>
      </c>
      <c r="BG27" s="12"/>
      <c r="BH27" s="12">
        <v>20000</v>
      </c>
      <c r="BI27" s="12">
        <f t="shared" si="78"/>
        <v>31600</v>
      </c>
      <c r="BJ27" s="12"/>
      <c r="BK27" s="12">
        <f t="shared" si="79"/>
        <v>0</v>
      </c>
      <c r="BL27" s="12"/>
      <c r="BM27" s="12"/>
      <c r="BN27" s="12">
        <f t="shared" si="80"/>
        <v>0</v>
      </c>
      <c r="BO27" s="12"/>
      <c r="BP27" s="12">
        <f t="shared" si="81"/>
        <v>0</v>
      </c>
      <c r="BQ27" s="12"/>
      <c r="BR27" s="12"/>
      <c r="BS27" s="12">
        <f t="shared" si="82"/>
        <v>0</v>
      </c>
      <c r="BT27" s="12"/>
      <c r="BU27" s="12">
        <f t="shared" si="83"/>
        <v>0</v>
      </c>
      <c r="BV27" s="12"/>
      <c r="BW27" s="12">
        <v>20000</v>
      </c>
      <c r="BX27" s="12">
        <f t="shared" si="84"/>
        <v>31600</v>
      </c>
      <c r="BY27" s="12"/>
      <c r="BZ27" s="12">
        <f t="shared" si="85"/>
        <v>0</v>
      </c>
      <c r="CA27" s="12"/>
      <c r="CB27" s="6"/>
    </row>
    <row r="28" spans="1:80" ht="16" x14ac:dyDescent="0.4">
      <c r="A28" s="6" t="s">
        <v>76</v>
      </c>
      <c r="B28" s="6" t="s">
        <v>167</v>
      </c>
      <c r="C28" s="6" t="s">
        <v>168</v>
      </c>
      <c r="D28" s="6" t="s">
        <v>230</v>
      </c>
      <c r="E28" s="73" t="s">
        <v>229</v>
      </c>
      <c r="F28" s="6" t="s">
        <v>182</v>
      </c>
      <c r="G28" s="6" t="s">
        <v>172</v>
      </c>
      <c r="H28" s="6" t="s">
        <v>86</v>
      </c>
      <c r="I28" s="6" t="s">
        <v>86</v>
      </c>
      <c r="J28" s="6" t="s">
        <v>87</v>
      </c>
      <c r="K28" s="6" t="s">
        <v>84</v>
      </c>
      <c r="L28" s="6" t="s">
        <v>160</v>
      </c>
      <c r="M28" s="6"/>
      <c r="N28" s="8">
        <v>0.21</v>
      </c>
      <c r="O28" s="9"/>
      <c r="P28" s="11">
        <f t="shared" si="58"/>
        <v>80</v>
      </c>
      <c r="Q28" s="11">
        <f t="shared" si="59"/>
        <v>16.8</v>
      </c>
      <c r="R28" s="11">
        <f t="shared" si="60"/>
        <v>0</v>
      </c>
      <c r="S28" s="11">
        <f t="shared" si="61"/>
        <v>0</v>
      </c>
      <c r="T28" s="12"/>
      <c r="U28" s="12">
        <f t="shared" si="62"/>
        <v>0</v>
      </c>
      <c r="V28" s="12"/>
      <c r="W28" s="12">
        <f t="shared" si="63"/>
        <v>0</v>
      </c>
      <c r="X28" s="12"/>
      <c r="Y28" s="12"/>
      <c r="Z28" s="12">
        <f t="shared" si="64"/>
        <v>0</v>
      </c>
      <c r="AA28" s="12"/>
      <c r="AB28" s="12">
        <f t="shared" si="65"/>
        <v>0</v>
      </c>
      <c r="AC28" s="12"/>
      <c r="AD28" s="12">
        <v>20000</v>
      </c>
      <c r="AE28" s="12">
        <f t="shared" si="66"/>
        <v>4200</v>
      </c>
      <c r="AF28" s="12"/>
      <c r="AG28" s="12">
        <f t="shared" si="67"/>
        <v>0</v>
      </c>
      <c r="AH28" s="12"/>
      <c r="AI28" s="12"/>
      <c r="AJ28" s="12">
        <f t="shared" si="68"/>
        <v>0</v>
      </c>
      <c r="AK28" s="12"/>
      <c r="AL28" s="12">
        <f t="shared" si="69"/>
        <v>0</v>
      </c>
      <c r="AM28" s="12"/>
      <c r="AN28" s="12"/>
      <c r="AO28" s="12">
        <f t="shared" si="70"/>
        <v>0</v>
      </c>
      <c r="AP28" s="12"/>
      <c r="AQ28" s="12">
        <f t="shared" si="71"/>
        <v>0</v>
      </c>
      <c r="AR28" s="12"/>
      <c r="AS28" s="12">
        <v>20000</v>
      </c>
      <c r="AT28" s="12">
        <f t="shared" si="72"/>
        <v>4200</v>
      </c>
      <c r="AU28" s="12"/>
      <c r="AV28" s="12">
        <f t="shared" si="73"/>
        <v>0</v>
      </c>
      <c r="AW28" s="12"/>
      <c r="AX28" s="13"/>
      <c r="AY28" s="13">
        <f t="shared" si="74"/>
        <v>0</v>
      </c>
      <c r="AZ28" s="12"/>
      <c r="BA28" s="12">
        <f t="shared" si="75"/>
        <v>0</v>
      </c>
      <c r="BB28" s="12"/>
      <c r="BC28" s="12"/>
      <c r="BD28" s="12">
        <f t="shared" si="76"/>
        <v>0</v>
      </c>
      <c r="BE28" s="12"/>
      <c r="BF28" s="12">
        <f t="shared" si="77"/>
        <v>0</v>
      </c>
      <c r="BG28" s="12"/>
      <c r="BH28" s="12">
        <v>20000</v>
      </c>
      <c r="BI28" s="12">
        <f t="shared" si="78"/>
        <v>4200</v>
      </c>
      <c r="BJ28" s="12"/>
      <c r="BK28" s="12">
        <f t="shared" si="79"/>
        <v>0</v>
      </c>
      <c r="BL28" s="12"/>
      <c r="BM28" s="12"/>
      <c r="BN28" s="12">
        <f t="shared" si="80"/>
        <v>0</v>
      </c>
      <c r="BO28" s="12"/>
      <c r="BP28" s="12">
        <f t="shared" si="81"/>
        <v>0</v>
      </c>
      <c r="BQ28" s="12"/>
      <c r="BR28" s="12"/>
      <c r="BS28" s="12">
        <f t="shared" si="82"/>
        <v>0</v>
      </c>
      <c r="BT28" s="12"/>
      <c r="BU28" s="12">
        <f t="shared" si="83"/>
        <v>0</v>
      </c>
      <c r="BV28" s="12"/>
      <c r="BW28" s="12">
        <v>20000</v>
      </c>
      <c r="BX28" s="12">
        <f t="shared" si="84"/>
        <v>4200</v>
      </c>
      <c r="BY28" s="12"/>
      <c r="BZ28" s="12">
        <f t="shared" si="85"/>
        <v>0</v>
      </c>
      <c r="CA28" s="12"/>
      <c r="CB28" s="6"/>
    </row>
    <row r="29" spans="1:80" ht="16" x14ac:dyDescent="0.4">
      <c r="A29" s="6" t="s">
        <v>76</v>
      </c>
      <c r="B29" s="6" t="s">
        <v>167</v>
      </c>
      <c r="C29" s="6" t="s">
        <v>168</v>
      </c>
      <c r="D29" s="6" t="s">
        <v>230</v>
      </c>
      <c r="E29" s="73" t="s">
        <v>229</v>
      </c>
      <c r="F29" s="6" t="s">
        <v>182</v>
      </c>
      <c r="G29" s="6" t="s">
        <v>172</v>
      </c>
      <c r="H29" s="6" t="s">
        <v>86</v>
      </c>
      <c r="I29" s="6" t="s">
        <v>86</v>
      </c>
      <c r="J29" s="6" t="s">
        <v>87</v>
      </c>
      <c r="K29" s="6" t="s">
        <v>84</v>
      </c>
      <c r="L29" s="6" t="s">
        <v>176</v>
      </c>
      <c r="M29" s="6"/>
      <c r="N29" s="8">
        <v>4.3200000000000002E-2</v>
      </c>
      <c r="O29" s="9"/>
      <c r="P29" s="11">
        <f t="shared" si="58"/>
        <v>80</v>
      </c>
      <c r="Q29" s="11">
        <f t="shared" si="59"/>
        <v>3.456</v>
      </c>
      <c r="R29" s="11">
        <f t="shared" si="60"/>
        <v>0</v>
      </c>
      <c r="S29" s="11">
        <f t="shared" si="61"/>
        <v>0</v>
      </c>
      <c r="T29" s="12"/>
      <c r="U29" s="12">
        <f t="shared" si="62"/>
        <v>0</v>
      </c>
      <c r="V29" s="12"/>
      <c r="W29" s="12">
        <f t="shared" si="63"/>
        <v>0</v>
      </c>
      <c r="X29" s="12"/>
      <c r="Y29" s="12"/>
      <c r="Z29" s="12">
        <f t="shared" si="64"/>
        <v>0</v>
      </c>
      <c r="AA29" s="12"/>
      <c r="AB29" s="12">
        <f t="shared" si="65"/>
        <v>0</v>
      </c>
      <c r="AC29" s="12"/>
      <c r="AD29" s="12">
        <v>20000</v>
      </c>
      <c r="AE29" s="12">
        <f t="shared" si="66"/>
        <v>864</v>
      </c>
      <c r="AF29" s="12"/>
      <c r="AG29" s="12">
        <f t="shared" si="67"/>
        <v>0</v>
      </c>
      <c r="AH29" s="12"/>
      <c r="AI29" s="12"/>
      <c r="AJ29" s="12">
        <f t="shared" si="68"/>
        <v>0</v>
      </c>
      <c r="AK29" s="12"/>
      <c r="AL29" s="12">
        <f t="shared" si="69"/>
        <v>0</v>
      </c>
      <c r="AM29" s="12"/>
      <c r="AN29" s="12"/>
      <c r="AO29" s="12">
        <f t="shared" si="70"/>
        <v>0</v>
      </c>
      <c r="AP29" s="12"/>
      <c r="AQ29" s="12">
        <f t="shared" si="71"/>
        <v>0</v>
      </c>
      <c r="AR29" s="12"/>
      <c r="AS29" s="12">
        <v>20000</v>
      </c>
      <c r="AT29" s="12">
        <f t="shared" si="72"/>
        <v>864</v>
      </c>
      <c r="AU29" s="12">
        <v>20000</v>
      </c>
      <c r="AV29" s="12">
        <f t="shared" si="73"/>
        <v>864</v>
      </c>
      <c r="AW29" s="12"/>
      <c r="AX29" s="13"/>
      <c r="AY29" s="13">
        <f t="shared" si="74"/>
        <v>0</v>
      </c>
      <c r="AZ29" s="12"/>
      <c r="BA29" s="12">
        <f t="shared" si="75"/>
        <v>0</v>
      </c>
      <c r="BB29" s="12"/>
      <c r="BC29" s="12"/>
      <c r="BD29" s="12">
        <f t="shared" si="76"/>
        <v>0</v>
      </c>
      <c r="BE29" s="12"/>
      <c r="BF29" s="12">
        <f t="shared" si="77"/>
        <v>0</v>
      </c>
      <c r="BG29" s="12"/>
      <c r="BH29" s="12">
        <v>20000</v>
      </c>
      <c r="BI29" s="12">
        <f t="shared" si="78"/>
        <v>864</v>
      </c>
      <c r="BJ29" s="12"/>
      <c r="BK29" s="12">
        <f t="shared" si="79"/>
        <v>0</v>
      </c>
      <c r="BL29" s="12"/>
      <c r="BM29" s="12"/>
      <c r="BN29" s="12">
        <f t="shared" si="80"/>
        <v>0</v>
      </c>
      <c r="BO29" s="12"/>
      <c r="BP29" s="12">
        <f t="shared" si="81"/>
        <v>0</v>
      </c>
      <c r="BQ29" s="12"/>
      <c r="BR29" s="12"/>
      <c r="BS29" s="12">
        <f t="shared" si="82"/>
        <v>0</v>
      </c>
      <c r="BT29" s="12"/>
      <c r="BU29" s="12">
        <f t="shared" si="83"/>
        <v>0</v>
      </c>
      <c r="BV29" s="12"/>
      <c r="BW29" s="12">
        <v>20000</v>
      </c>
      <c r="BX29" s="12">
        <f t="shared" si="84"/>
        <v>864</v>
      </c>
      <c r="BY29" s="12"/>
      <c r="BZ29" s="12">
        <f t="shared" si="85"/>
        <v>0</v>
      </c>
      <c r="CA29" s="12"/>
      <c r="CB29" s="6"/>
    </row>
    <row r="30" spans="1:80" ht="16" x14ac:dyDescent="0.4">
      <c r="A30" s="6" t="s">
        <v>76</v>
      </c>
      <c r="B30" s="6" t="s">
        <v>167</v>
      </c>
      <c r="C30" s="6" t="s">
        <v>168</v>
      </c>
      <c r="D30" s="6" t="s">
        <v>230</v>
      </c>
      <c r="E30" s="73" t="s">
        <v>229</v>
      </c>
      <c r="F30" s="6" t="s">
        <v>182</v>
      </c>
      <c r="G30" s="6" t="s">
        <v>172</v>
      </c>
      <c r="H30" s="6" t="s">
        <v>86</v>
      </c>
      <c r="I30" s="6" t="s">
        <v>86</v>
      </c>
      <c r="J30" s="6" t="s">
        <v>87</v>
      </c>
      <c r="K30" s="6" t="s">
        <v>84</v>
      </c>
      <c r="L30" s="6" t="s">
        <v>161</v>
      </c>
      <c r="M30" s="6"/>
      <c r="N30" s="8">
        <v>0.191</v>
      </c>
      <c r="O30" s="9"/>
      <c r="P30" s="11">
        <f t="shared" si="58"/>
        <v>80</v>
      </c>
      <c r="Q30" s="11">
        <f t="shared" si="59"/>
        <v>15.28</v>
      </c>
      <c r="R30" s="11">
        <f t="shared" si="60"/>
        <v>0</v>
      </c>
      <c r="S30" s="11">
        <f t="shared" si="61"/>
        <v>0</v>
      </c>
      <c r="T30" s="12"/>
      <c r="U30" s="12">
        <f t="shared" si="62"/>
        <v>0</v>
      </c>
      <c r="V30" s="12"/>
      <c r="W30" s="12">
        <f t="shared" si="63"/>
        <v>0</v>
      </c>
      <c r="X30" s="12"/>
      <c r="Y30" s="12"/>
      <c r="Z30" s="12">
        <f t="shared" si="64"/>
        <v>0</v>
      </c>
      <c r="AA30" s="12"/>
      <c r="AB30" s="12">
        <f t="shared" si="65"/>
        <v>0</v>
      </c>
      <c r="AC30" s="12"/>
      <c r="AD30" s="12">
        <v>20000</v>
      </c>
      <c r="AE30" s="12">
        <f t="shared" si="66"/>
        <v>3820</v>
      </c>
      <c r="AF30" s="12"/>
      <c r="AG30" s="12">
        <f t="shared" si="67"/>
        <v>0</v>
      </c>
      <c r="AH30" s="12"/>
      <c r="AI30" s="12"/>
      <c r="AJ30" s="12">
        <f t="shared" si="68"/>
        <v>0</v>
      </c>
      <c r="AK30" s="12"/>
      <c r="AL30" s="12">
        <f t="shared" si="69"/>
        <v>0</v>
      </c>
      <c r="AM30" s="12"/>
      <c r="AN30" s="12"/>
      <c r="AO30" s="12">
        <f t="shared" si="70"/>
        <v>0</v>
      </c>
      <c r="AP30" s="12"/>
      <c r="AQ30" s="12">
        <f t="shared" si="71"/>
        <v>0</v>
      </c>
      <c r="AR30" s="12"/>
      <c r="AS30" s="12">
        <v>20000</v>
      </c>
      <c r="AT30" s="12">
        <f t="shared" si="72"/>
        <v>3820</v>
      </c>
      <c r="AU30" s="12">
        <v>20000</v>
      </c>
      <c r="AV30" s="12">
        <f t="shared" si="73"/>
        <v>3820</v>
      </c>
      <c r="AW30" s="12"/>
      <c r="AX30" s="13"/>
      <c r="AY30" s="13">
        <f t="shared" si="74"/>
        <v>0</v>
      </c>
      <c r="AZ30" s="12"/>
      <c r="BA30" s="12">
        <f t="shared" si="75"/>
        <v>0</v>
      </c>
      <c r="BB30" s="12"/>
      <c r="BC30" s="12"/>
      <c r="BD30" s="12">
        <f t="shared" si="76"/>
        <v>0</v>
      </c>
      <c r="BE30" s="12"/>
      <c r="BF30" s="12">
        <f t="shared" si="77"/>
        <v>0</v>
      </c>
      <c r="BG30" s="12"/>
      <c r="BH30" s="12">
        <v>20000</v>
      </c>
      <c r="BI30" s="12">
        <f t="shared" si="78"/>
        <v>3820</v>
      </c>
      <c r="BJ30" s="12"/>
      <c r="BK30" s="12">
        <f t="shared" si="79"/>
        <v>0</v>
      </c>
      <c r="BL30" s="12"/>
      <c r="BM30" s="12"/>
      <c r="BN30" s="12">
        <f t="shared" si="80"/>
        <v>0</v>
      </c>
      <c r="BO30" s="12"/>
      <c r="BP30" s="12">
        <f t="shared" si="81"/>
        <v>0</v>
      </c>
      <c r="BQ30" s="12"/>
      <c r="BR30" s="12"/>
      <c r="BS30" s="12">
        <f t="shared" si="82"/>
        <v>0</v>
      </c>
      <c r="BT30" s="12"/>
      <c r="BU30" s="12">
        <f t="shared" si="83"/>
        <v>0</v>
      </c>
      <c r="BV30" s="12"/>
      <c r="BW30" s="12">
        <v>20000</v>
      </c>
      <c r="BX30" s="12">
        <f t="shared" si="84"/>
        <v>3820</v>
      </c>
      <c r="BY30" s="12"/>
      <c r="BZ30" s="12">
        <f t="shared" si="85"/>
        <v>0</v>
      </c>
      <c r="CA30" s="12"/>
      <c r="CB30" s="6"/>
    </row>
    <row r="31" spans="1:80" ht="16" x14ac:dyDescent="0.4">
      <c r="A31" s="6" t="s">
        <v>76</v>
      </c>
      <c r="B31" s="6" t="s">
        <v>167</v>
      </c>
      <c r="C31" s="6" t="s">
        <v>168</v>
      </c>
      <c r="D31" s="6" t="s">
        <v>230</v>
      </c>
      <c r="E31" s="73" t="s">
        <v>229</v>
      </c>
      <c r="F31" s="6" t="s">
        <v>182</v>
      </c>
      <c r="G31" s="6" t="s">
        <v>172</v>
      </c>
      <c r="H31" s="6" t="s">
        <v>86</v>
      </c>
      <c r="I31" s="6" t="s">
        <v>86</v>
      </c>
      <c r="J31" s="6" t="s">
        <v>87</v>
      </c>
      <c r="K31" s="6" t="s">
        <v>84</v>
      </c>
      <c r="L31" s="6" t="s">
        <v>159</v>
      </c>
      <c r="M31" s="6"/>
      <c r="N31" s="8">
        <v>7.6999999999999999E-2</v>
      </c>
      <c r="O31" s="9"/>
      <c r="P31" s="11">
        <f t="shared" si="58"/>
        <v>80</v>
      </c>
      <c r="Q31" s="11">
        <f t="shared" si="59"/>
        <v>6.16</v>
      </c>
      <c r="R31" s="11">
        <f t="shared" si="60"/>
        <v>0</v>
      </c>
      <c r="S31" s="11">
        <f t="shared" si="61"/>
        <v>0</v>
      </c>
      <c r="T31" s="12"/>
      <c r="U31" s="12">
        <f t="shared" si="62"/>
        <v>0</v>
      </c>
      <c r="V31" s="12"/>
      <c r="W31" s="12">
        <f t="shared" si="63"/>
        <v>0</v>
      </c>
      <c r="X31" s="12"/>
      <c r="Y31" s="12"/>
      <c r="Z31" s="12">
        <f t="shared" si="64"/>
        <v>0</v>
      </c>
      <c r="AA31" s="12"/>
      <c r="AB31" s="12">
        <f t="shared" si="65"/>
        <v>0</v>
      </c>
      <c r="AC31" s="12"/>
      <c r="AD31" s="12">
        <v>20000</v>
      </c>
      <c r="AE31" s="12">
        <f t="shared" si="66"/>
        <v>1540</v>
      </c>
      <c r="AF31" s="12"/>
      <c r="AG31" s="12">
        <f t="shared" si="67"/>
        <v>0</v>
      </c>
      <c r="AH31" s="12"/>
      <c r="AI31" s="12"/>
      <c r="AJ31" s="12">
        <f t="shared" si="68"/>
        <v>0</v>
      </c>
      <c r="AK31" s="12"/>
      <c r="AL31" s="12">
        <f t="shared" si="69"/>
        <v>0</v>
      </c>
      <c r="AM31" s="12"/>
      <c r="AN31" s="12"/>
      <c r="AO31" s="12">
        <f t="shared" si="70"/>
        <v>0</v>
      </c>
      <c r="AP31" s="12"/>
      <c r="AQ31" s="12">
        <f t="shared" si="71"/>
        <v>0</v>
      </c>
      <c r="AR31" s="12"/>
      <c r="AS31" s="12">
        <v>20000</v>
      </c>
      <c r="AT31" s="12">
        <f t="shared" si="72"/>
        <v>1540</v>
      </c>
      <c r="AU31" s="12">
        <v>20000</v>
      </c>
      <c r="AV31" s="12">
        <f t="shared" si="73"/>
        <v>1540</v>
      </c>
      <c r="AW31" s="12"/>
      <c r="AX31" s="13"/>
      <c r="AY31" s="13">
        <f t="shared" si="74"/>
        <v>0</v>
      </c>
      <c r="AZ31" s="12"/>
      <c r="BA31" s="12">
        <f t="shared" si="75"/>
        <v>0</v>
      </c>
      <c r="BB31" s="12"/>
      <c r="BC31" s="12"/>
      <c r="BD31" s="12">
        <f t="shared" si="76"/>
        <v>0</v>
      </c>
      <c r="BE31" s="12"/>
      <c r="BF31" s="12">
        <f t="shared" si="77"/>
        <v>0</v>
      </c>
      <c r="BG31" s="12"/>
      <c r="BH31" s="12">
        <v>20000</v>
      </c>
      <c r="BI31" s="12">
        <f t="shared" si="78"/>
        <v>1540</v>
      </c>
      <c r="BJ31" s="12"/>
      <c r="BK31" s="12">
        <f t="shared" si="79"/>
        <v>0</v>
      </c>
      <c r="BL31" s="12"/>
      <c r="BM31" s="12"/>
      <c r="BN31" s="12">
        <f t="shared" si="80"/>
        <v>0</v>
      </c>
      <c r="BO31" s="12"/>
      <c r="BP31" s="12">
        <f t="shared" si="81"/>
        <v>0</v>
      </c>
      <c r="BQ31" s="12"/>
      <c r="BR31" s="12"/>
      <c r="BS31" s="12">
        <f t="shared" si="82"/>
        <v>0</v>
      </c>
      <c r="BT31" s="12"/>
      <c r="BU31" s="12">
        <f t="shared" si="83"/>
        <v>0</v>
      </c>
      <c r="BV31" s="12"/>
      <c r="BW31" s="12">
        <v>20000</v>
      </c>
      <c r="BX31" s="12">
        <f t="shared" si="84"/>
        <v>1540</v>
      </c>
      <c r="BY31" s="12"/>
      <c r="BZ31" s="12">
        <f t="shared" si="85"/>
        <v>0</v>
      </c>
      <c r="CA31" s="12"/>
      <c r="CB31" s="6"/>
    </row>
    <row r="32" spans="1:80" ht="16" x14ac:dyDescent="0.4">
      <c r="A32" s="6" t="s">
        <v>76</v>
      </c>
      <c r="B32" s="6" t="s">
        <v>167</v>
      </c>
      <c r="C32" s="6" t="s">
        <v>168</v>
      </c>
      <c r="D32" s="6" t="s">
        <v>230</v>
      </c>
      <c r="E32" s="73" t="s">
        <v>229</v>
      </c>
      <c r="F32" s="6" t="s">
        <v>182</v>
      </c>
      <c r="G32" s="6" t="s">
        <v>172</v>
      </c>
      <c r="H32" s="6" t="s">
        <v>86</v>
      </c>
      <c r="I32" s="6" t="s">
        <v>86</v>
      </c>
      <c r="J32" s="6" t="s">
        <v>87</v>
      </c>
      <c r="K32" s="6" t="s">
        <v>84</v>
      </c>
      <c r="L32" s="6" t="s">
        <v>166</v>
      </c>
      <c r="M32" s="6"/>
      <c r="N32" s="8">
        <v>7.1</v>
      </c>
      <c r="O32" s="9"/>
      <c r="P32" s="11">
        <f t="shared" si="58"/>
        <v>0</v>
      </c>
      <c r="Q32" s="11">
        <f t="shared" si="59"/>
        <v>0</v>
      </c>
      <c r="R32" s="11">
        <f t="shared" si="60"/>
        <v>21300</v>
      </c>
      <c r="S32" s="11">
        <f t="shared" si="61"/>
        <v>3000</v>
      </c>
      <c r="T32" s="12"/>
      <c r="U32" s="12">
        <f t="shared" si="62"/>
        <v>0</v>
      </c>
      <c r="V32" s="12"/>
      <c r="W32" s="12">
        <f t="shared" si="63"/>
        <v>0</v>
      </c>
      <c r="X32" s="12"/>
      <c r="Y32" s="12"/>
      <c r="Z32" s="12">
        <f t="shared" si="64"/>
        <v>0</v>
      </c>
      <c r="AA32" s="12"/>
      <c r="AB32" s="12">
        <f t="shared" si="65"/>
        <v>0</v>
      </c>
      <c r="AC32" s="12"/>
      <c r="AD32" s="12"/>
      <c r="AE32" s="12">
        <f t="shared" si="66"/>
        <v>0</v>
      </c>
      <c r="AF32" s="12"/>
      <c r="AG32" s="12">
        <f t="shared" si="67"/>
        <v>0</v>
      </c>
      <c r="AH32" s="12">
        <v>3000</v>
      </c>
      <c r="AI32" s="12"/>
      <c r="AJ32" s="12">
        <f t="shared" si="68"/>
        <v>0</v>
      </c>
      <c r="AK32" s="12"/>
      <c r="AL32" s="12">
        <f t="shared" si="69"/>
        <v>0</v>
      </c>
      <c r="AM32" s="12">
        <v>3000</v>
      </c>
      <c r="AN32" s="12"/>
      <c r="AO32" s="12">
        <f t="shared" si="70"/>
        <v>0</v>
      </c>
      <c r="AP32" s="12"/>
      <c r="AQ32" s="12">
        <f t="shared" si="71"/>
        <v>0</v>
      </c>
      <c r="AR32" s="12"/>
      <c r="AS32" s="12"/>
      <c r="AT32" s="12">
        <f t="shared" si="72"/>
        <v>0</v>
      </c>
      <c r="AU32" s="12">
        <v>20000</v>
      </c>
      <c r="AV32" s="12">
        <f t="shared" si="73"/>
        <v>142000</v>
      </c>
      <c r="AW32" s="12"/>
      <c r="AX32" s="13"/>
      <c r="AY32" s="13">
        <f t="shared" si="74"/>
        <v>0</v>
      </c>
      <c r="AZ32" s="12"/>
      <c r="BA32" s="12">
        <f t="shared" si="75"/>
        <v>0</v>
      </c>
      <c r="BB32" s="38">
        <v>3000</v>
      </c>
      <c r="BC32" s="12"/>
      <c r="BD32" s="12">
        <f t="shared" si="76"/>
        <v>0</v>
      </c>
      <c r="BE32" s="12">
        <v>3000</v>
      </c>
      <c r="BF32" s="12">
        <f t="shared" si="77"/>
        <v>21300</v>
      </c>
      <c r="BG32" s="12"/>
      <c r="BH32" s="12"/>
      <c r="BI32" s="12">
        <f t="shared" si="78"/>
        <v>0</v>
      </c>
      <c r="BJ32" s="12"/>
      <c r="BK32" s="12">
        <f t="shared" si="79"/>
        <v>0</v>
      </c>
      <c r="BL32" s="12"/>
      <c r="BM32" s="12"/>
      <c r="BN32" s="12">
        <f t="shared" si="80"/>
        <v>0</v>
      </c>
      <c r="BO32" s="12"/>
      <c r="BP32" s="12">
        <f t="shared" si="81"/>
        <v>0</v>
      </c>
      <c r="BQ32" s="12"/>
      <c r="BR32" s="12"/>
      <c r="BS32" s="12">
        <f t="shared" si="82"/>
        <v>0</v>
      </c>
      <c r="BT32" s="12"/>
      <c r="BU32" s="12">
        <f t="shared" si="83"/>
        <v>0</v>
      </c>
      <c r="BV32" s="12"/>
      <c r="BW32" s="12"/>
      <c r="BX32" s="12">
        <f t="shared" si="84"/>
        <v>0</v>
      </c>
      <c r="BY32" s="12"/>
      <c r="BZ32" s="12">
        <f t="shared" si="85"/>
        <v>0</v>
      </c>
      <c r="CA32" s="12"/>
      <c r="CB32" s="6"/>
    </row>
    <row r="33" spans="1:80" ht="16" x14ac:dyDescent="0.4">
      <c r="A33" s="6" t="s">
        <v>76</v>
      </c>
      <c r="B33" s="6" t="s">
        <v>167</v>
      </c>
      <c r="C33" s="6" t="s">
        <v>168</v>
      </c>
      <c r="D33" s="6" t="s">
        <v>230</v>
      </c>
      <c r="E33" s="73" t="s">
        <v>229</v>
      </c>
      <c r="F33" s="6" t="s">
        <v>182</v>
      </c>
      <c r="G33" s="6" t="s">
        <v>172</v>
      </c>
      <c r="H33" s="6" t="s">
        <v>86</v>
      </c>
      <c r="I33" s="6" t="s">
        <v>86</v>
      </c>
      <c r="J33" s="6" t="s">
        <v>87</v>
      </c>
      <c r="K33" s="6" t="s">
        <v>84</v>
      </c>
      <c r="L33" s="6" t="s">
        <v>165</v>
      </c>
      <c r="M33" s="6"/>
      <c r="N33" s="8">
        <v>6.3E-2</v>
      </c>
      <c r="O33" s="9"/>
      <c r="P33" s="11">
        <f t="shared" si="58"/>
        <v>80</v>
      </c>
      <c r="Q33" s="11">
        <f t="shared" si="59"/>
        <v>5.04</v>
      </c>
      <c r="R33" s="11">
        <f t="shared" si="60"/>
        <v>0</v>
      </c>
      <c r="S33" s="11">
        <f t="shared" si="61"/>
        <v>0</v>
      </c>
      <c r="T33" s="12"/>
      <c r="U33" s="12">
        <f t="shared" si="62"/>
        <v>0</v>
      </c>
      <c r="V33" s="12"/>
      <c r="W33" s="12">
        <f t="shared" si="63"/>
        <v>0</v>
      </c>
      <c r="X33" s="12"/>
      <c r="Y33" s="12"/>
      <c r="Z33" s="12">
        <f t="shared" si="64"/>
        <v>0</v>
      </c>
      <c r="AA33" s="12"/>
      <c r="AB33" s="12">
        <f t="shared" si="65"/>
        <v>0</v>
      </c>
      <c r="AC33" s="12"/>
      <c r="AD33" s="12">
        <v>20000</v>
      </c>
      <c r="AE33" s="12">
        <f t="shared" si="66"/>
        <v>1260</v>
      </c>
      <c r="AF33" s="12"/>
      <c r="AG33" s="12">
        <f t="shared" si="67"/>
        <v>0</v>
      </c>
      <c r="AH33" s="12"/>
      <c r="AI33" s="12"/>
      <c r="AJ33" s="12">
        <f t="shared" si="68"/>
        <v>0</v>
      </c>
      <c r="AK33" s="12"/>
      <c r="AL33" s="12">
        <f t="shared" si="69"/>
        <v>0</v>
      </c>
      <c r="AM33" s="12"/>
      <c r="AN33" s="12"/>
      <c r="AO33" s="12">
        <f t="shared" si="70"/>
        <v>0</v>
      </c>
      <c r="AP33" s="12"/>
      <c r="AQ33" s="12">
        <f t="shared" si="71"/>
        <v>0</v>
      </c>
      <c r="AR33" s="12"/>
      <c r="AS33" s="12">
        <v>20000</v>
      </c>
      <c r="AT33" s="12">
        <f t="shared" si="72"/>
        <v>1260</v>
      </c>
      <c r="AU33" s="12">
        <v>20000</v>
      </c>
      <c r="AV33" s="12">
        <f t="shared" si="73"/>
        <v>1260</v>
      </c>
      <c r="AW33" s="12"/>
      <c r="AX33" s="13"/>
      <c r="AY33" s="13">
        <f t="shared" si="74"/>
        <v>0</v>
      </c>
      <c r="AZ33" s="12"/>
      <c r="BA33" s="12">
        <f t="shared" si="75"/>
        <v>0</v>
      </c>
      <c r="BB33" s="12"/>
      <c r="BC33" s="12"/>
      <c r="BD33" s="12">
        <f t="shared" si="76"/>
        <v>0</v>
      </c>
      <c r="BE33" s="12"/>
      <c r="BF33" s="12">
        <f t="shared" si="77"/>
        <v>0</v>
      </c>
      <c r="BG33" s="12"/>
      <c r="BH33" s="12">
        <v>20000</v>
      </c>
      <c r="BI33" s="12">
        <f t="shared" si="78"/>
        <v>1260</v>
      </c>
      <c r="BJ33" s="12"/>
      <c r="BK33" s="12">
        <f t="shared" si="79"/>
        <v>0</v>
      </c>
      <c r="BL33" s="12"/>
      <c r="BM33" s="12"/>
      <c r="BN33" s="12">
        <f t="shared" si="80"/>
        <v>0</v>
      </c>
      <c r="BO33" s="12"/>
      <c r="BP33" s="12">
        <f t="shared" si="81"/>
        <v>0</v>
      </c>
      <c r="BQ33" s="12"/>
      <c r="BR33" s="12"/>
      <c r="BS33" s="12">
        <f t="shared" si="82"/>
        <v>0</v>
      </c>
      <c r="BT33" s="12"/>
      <c r="BU33" s="12">
        <f t="shared" si="83"/>
        <v>0</v>
      </c>
      <c r="BV33" s="12"/>
      <c r="BW33" s="12">
        <v>20000</v>
      </c>
      <c r="BX33" s="12">
        <f t="shared" si="84"/>
        <v>1260</v>
      </c>
      <c r="BY33" s="12"/>
      <c r="BZ33" s="12">
        <f t="shared" si="85"/>
        <v>0</v>
      </c>
      <c r="CA33" s="12"/>
      <c r="CB33" s="6"/>
    </row>
    <row r="34" spans="1:80" ht="16" x14ac:dyDescent="0.4">
      <c r="A34" s="6" t="s">
        <v>76</v>
      </c>
      <c r="B34" s="6" t="s">
        <v>167</v>
      </c>
      <c r="C34" s="6" t="s">
        <v>168</v>
      </c>
      <c r="D34" s="6" t="s">
        <v>230</v>
      </c>
      <c r="E34" s="73" t="s">
        <v>229</v>
      </c>
      <c r="F34" s="6" t="s">
        <v>182</v>
      </c>
      <c r="G34" s="6" t="s">
        <v>172</v>
      </c>
      <c r="H34" s="6" t="s">
        <v>86</v>
      </c>
      <c r="I34" s="6" t="s">
        <v>86</v>
      </c>
      <c r="J34" s="6" t="s">
        <v>87</v>
      </c>
      <c r="K34" s="6" t="s">
        <v>84</v>
      </c>
      <c r="L34" s="6" t="s">
        <v>238</v>
      </c>
      <c r="M34" s="6"/>
      <c r="N34" s="8">
        <v>6.52</v>
      </c>
      <c r="O34" s="9"/>
      <c r="P34" s="11">
        <f t="shared" si="58"/>
        <v>0</v>
      </c>
      <c r="Q34" s="11">
        <f t="shared" si="59"/>
        <v>0</v>
      </c>
      <c r="R34" s="11">
        <f t="shared" si="60"/>
        <v>0</v>
      </c>
      <c r="S34" s="11">
        <f t="shared" si="61"/>
        <v>0</v>
      </c>
      <c r="T34" s="12"/>
      <c r="U34" s="12">
        <f t="shared" si="62"/>
        <v>0</v>
      </c>
      <c r="V34" s="12"/>
      <c r="W34" s="12">
        <f t="shared" si="63"/>
        <v>0</v>
      </c>
      <c r="X34" s="12"/>
      <c r="Y34" s="12"/>
      <c r="Z34" s="12">
        <f t="shared" si="64"/>
        <v>0</v>
      </c>
      <c r="AA34" s="12"/>
      <c r="AB34" s="12">
        <f t="shared" si="65"/>
        <v>0</v>
      </c>
      <c r="AC34" s="12"/>
      <c r="AD34" s="12"/>
      <c r="AE34" s="12">
        <f t="shared" si="66"/>
        <v>0</v>
      </c>
      <c r="AF34" s="12"/>
      <c r="AG34" s="12">
        <f t="shared" si="67"/>
        <v>0</v>
      </c>
      <c r="AH34" s="12">
        <v>6000</v>
      </c>
      <c r="AI34" s="12"/>
      <c r="AJ34" s="12">
        <f t="shared" si="68"/>
        <v>0</v>
      </c>
      <c r="AK34" s="12"/>
      <c r="AL34" s="12">
        <f t="shared" si="69"/>
        <v>0</v>
      </c>
      <c r="AM34" s="12"/>
      <c r="AN34" s="12"/>
      <c r="AO34" s="12">
        <f t="shared" si="70"/>
        <v>0</v>
      </c>
      <c r="AP34" s="12"/>
      <c r="AQ34" s="12">
        <f t="shared" si="71"/>
        <v>0</v>
      </c>
      <c r="AR34" s="12"/>
      <c r="AS34" s="12"/>
      <c r="AT34" s="12">
        <f t="shared" si="72"/>
        <v>0</v>
      </c>
      <c r="AU34" s="12">
        <v>20000</v>
      </c>
      <c r="AV34" s="12">
        <f t="shared" si="73"/>
        <v>130399.99999999999</v>
      </c>
      <c r="AW34" s="15">
        <v>9000</v>
      </c>
      <c r="AX34" s="13"/>
      <c r="AY34" s="13">
        <f t="shared" si="74"/>
        <v>0</v>
      </c>
      <c r="AZ34" s="12"/>
      <c r="BA34" s="12">
        <f t="shared" si="75"/>
        <v>0</v>
      </c>
      <c r="BB34" s="12"/>
      <c r="BC34" s="12"/>
      <c r="BD34" s="12">
        <f t="shared" si="76"/>
        <v>0</v>
      </c>
      <c r="BE34" s="12"/>
      <c r="BF34" s="12">
        <f t="shared" si="77"/>
        <v>0</v>
      </c>
      <c r="BG34" s="12"/>
      <c r="BH34" s="12"/>
      <c r="BI34" s="12">
        <f t="shared" si="78"/>
        <v>0</v>
      </c>
      <c r="BJ34" s="12"/>
      <c r="BK34" s="12">
        <f t="shared" si="79"/>
        <v>0</v>
      </c>
      <c r="BL34" s="12"/>
      <c r="BM34" s="12"/>
      <c r="BN34" s="12">
        <f t="shared" si="80"/>
        <v>0</v>
      </c>
      <c r="BO34" s="12"/>
      <c r="BP34" s="12">
        <f t="shared" si="81"/>
        <v>0</v>
      </c>
      <c r="BQ34" s="12"/>
      <c r="BR34" s="12"/>
      <c r="BS34" s="12">
        <f t="shared" si="82"/>
        <v>0</v>
      </c>
      <c r="BT34" s="12"/>
      <c r="BU34" s="12">
        <f t="shared" si="83"/>
        <v>0</v>
      </c>
      <c r="BV34" s="12"/>
      <c r="BW34" s="12"/>
      <c r="BX34" s="12">
        <f t="shared" si="84"/>
        <v>0</v>
      </c>
      <c r="BY34" s="12"/>
      <c r="BZ34" s="12">
        <f t="shared" si="85"/>
        <v>0</v>
      </c>
      <c r="CA34" s="12"/>
      <c r="CB34" s="6"/>
    </row>
    <row r="35" spans="1:80" ht="16" x14ac:dyDescent="0.4">
      <c r="A35" s="6" t="s">
        <v>76</v>
      </c>
      <c r="B35" s="6" t="s">
        <v>167</v>
      </c>
      <c r="C35" s="6" t="s">
        <v>168</v>
      </c>
      <c r="D35" s="6" t="s">
        <v>230</v>
      </c>
      <c r="E35" s="73" t="s">
        <v>229</v>
      </c>
      <c r="F35" s="6" t="s">
        <v>182</v>
      </c>
      <c r="G35" s="6" t="s">
        <v>172</v>
      </c>
      <c r="H35" s="6" t="s">
        <v>86</v>
      </c>
      <c r="I35" s="6" t="s">
        <v>86</v>
      </c>
      <c r="J35" s="6" t="s">
        <v>87</v>
      </c>
      <c r="K35" s="6" t="s">
        <v>84</v>
      </c>
      <c r="L35" s="6" t="s">
        <v>239</v>
      </c>
      <c r="M35" s="6"/>
      <c r="N35" s="8">
        <v>0.108</v>
      </c>
      <c r="O35" s="36">
        <v>1000</v>
      </c>
      <c r="P35" s="11">
        <f t="shared" si="58"/>
        <v>80</v>
      </c>
      <c r="Q35" s="11">
        <f t="shared" si="59"/>
        <v>8.64</v>
      </c>
      <c r="R35" s="11">
        <f t="shared" si="60"/>
        <v>0</v>
      </c>
      <c r="S35" s="11">
        <f t="shared" si="61"/>
        <v>0</v>
      </c>
      <c r="T35" s="12"/>
      <c r="U35" s="12">
        <f t="shared" si="62"/>
        <v>0</v>
      </c>
      <c r="V35" s="12"/>
      <c r="W35" s="12">
        <f t="shared" si="63"/>
        <v>0</v>
      </c>
      <c r="X35" s="12"/>
      <c r="Y35" s="12"/>
      <c r="Z35" s="12">
        <f t="shared" si="64"/>
        <v>0</v>
      </c>
      <c r="AA35" s="12"/>
      <c r="AB35" s="12">
        <f t="shared" si="65"/>
        <v>0</v>
      </c>
      <c r="AC35" s="12"/>
      <c r="AD35" s="12">
        <v>20000</v>
      </c>
      <c r="AE35" s="12">
        <f t="shared" si="66"/>
        <v>2160</v>
      </c>
      <c r="AF35" s="12"/>
      <c r="AG35" s="12">
        <f t="shared" si="67"/>
        <v>0</v>
      </c>
      <c r="AH35" s="12"/>
      <c r="AI35" s="12"/>
      <c r="AJ35" s="12">
        <f t="shared" si="68"/>
        <v>0</v>
      </c>
      <c r="AK35" s="12"/>
      <c r="AL35" s="12">
        <f t="shared" si="69"/>
        <v>0</v>
      </c>
      <c r="AM35" s="12"/>
      <c r="AN35" s="12"/>
      <c r="AO35" s="12">
        <f t="shared" si="70"/>
        <v>0</v>
      </c>
      <c r="AP35" s="12"/>
      <c r="AQ35" s="12">
        <f t="shared" si="71"/>
        <v>0</v>
      </c>
      <c r="AR35" s="12"/>
      <c r="AS35" s="12">
        <v>20000</v>
      </c>
      <c r="AT35" s="12">
        <f t="shared" si="72"/>
        <v>2160</v>
      </c>
      <c r="AU35" s="12"/>
      <c r="AV35" s="12">
        <f t="shared" si="73"/>
        <v>0</v>
      </c>
      <c r="AW35" s="12"/>
      <c r="AX35" s="13"/>
      <c r="AY35" s="13">
        <f t="shared" si="74"/>
        <v>0</v>
      </c>
      <c r="AZ35" s="12"/>
      <c r="BA35" s="12">
        <f t="shared" si="75"/>
        <v>0</v>
      </c>
      <c r="BB35" s="12"/>
      <c r="BC35" s="12"/>
      <c r="BD35" s="12">
        <f t="shared" si="76"/>
        <v>0</v>
      </c>
      <c r="BE35" s="12"/>
      <c r="BF35" s="12">
        <f t="shared" si="77"/>
        <v>0</v>
      </c>
      <c r="BG35" s="12"/>
      <c r="BH35" s="12">
        <v>20000</v>
      </c>
      <c r="BI35" s="12">
        <f t="shared" si="78"/>
        <v>2160</v>
      </c>
      <c r="BJ35" s="12"/>
      <c r="BK35" s="12">
        <f t="shared" si="79"/>
        <v>0</v>
      </c>
      <c r="BL35" s="12"/>
      <c r="BM35" s="12"/>
      <c r="BN35" s="12">
        <f t="shared" si="80"/>
        <v>0</v>
      </c>
      <c r="BO35" s="12"/>
      <c r="BP35" s="12">
        <f t="shared" si="81"/>
        <v>0</v>
      </c>
      <c r="BQ35" s="12"/>
      <c r="BR35" s="12"/>
      <c r="BS35" s="12">
        <f t="shared" si="82"/>
        <v>0</v>
      </c>
      <c r="BT35" s="12"/>
      <c r="BU35" s="12">
        <f t="shared" si="83"/>
        <v>0</v>
      </c>
      <c r="BV35" s="12"/>
      <c r="BW35" s="12">
        <v>20000</v>
      </c>
      <c r="BX35" s="12">
        <f t="shared" si="84"/>
        <v>2160</v>
      </c>
      <c r="BY35" s="12"/>
      <c r="BZ35" s="12">
        <f t="shared" si="85"/>
        <v>0</v>
      </c>
      <c r="CA35" s="12"/>
      <c r="CB35" s="6"/>
    </row>
    <row r="36" spans="1:80" ht="16" x14ac:dyDescent="0.4">
      <c r="A36" s="6" t="s">
        <v>76</v>
      </c>
      <c r="B36" s="6" t="s">
        <v>167</v>
      </c>
      <c r="C36" s="6" t="s">
        <v>168</v>
      </c>
      <c r="D36" s="6" t="s">
        <v>180</v>
      </c>
      <c r="E36" s="73" t="s">
        <v>229</v>
      </c>
      <c r="F36" s="6" t="s">
        <v>182</v>
      </c>
      <c r="G36" s="6" t="s">
        <v>172</v>
      </c>
      <c r="H36" s="6" t="s">
        <v>240</v>
      </c>
      <c r="I36" s="6" t="s">
        <v>241</v>
      </c>
      <c r="J36" s="6"/>
      <c r="K36" s="6" t="s">
        <v>179</v>
      </c>
      <c r="L36" s="6" t="s">
        <v>242</v>
      </c>
      <c r="M36" s="6"/>
      <c r="N36" s="8"/>
      <c r="O36" s="9"/>
      <c r="P36" s="11">
        <f t="shared" si="58"/>
        <v>0</v>
      </c>
      <c r="Q36" s="11">
        <f t="shared" si="59"/>
        <v>0</v>
      </c>
      <c r="R36" s="11">
        <f t="shared" si="60"/>
        <v>0</v>
      </c>
      <c r="S36" s="11">
        <f t="shared" si="61"/>
        <v>3000</v>
      </c>
      <c r="T36" s="12"/>
      <c r="U36" s="12">
        <f t="shared" si="62"/>
        <v>0</v>
      </c>
      <c r="V36" s="12"/>
      <c r="W36" s="12">
        <f t="shared" si="63"/>
        <v>0</v>
      </c>
      <c r="X36" s="12"/>
      <c r="Y36" s="12"/>
      <c r="Z36" s="12">
        <f t="shared" si="64"/>
        <v>0</v>
      </c>
      <c r="AA36" s="12"/>
      <c r="AB36" s="12">
        <f t="shared" si="65"/>
        <v>0</v>
      </c>
      <c r="AC36" s="12"/>
      <c r="AD36" s="12"/>
      <c r="AE36" s="12">
        <f t="shared" si="66"/>
        <v>0</v>
      </c>
      <c r="AF36" s="12"/>
      <c r="AG36" s="12">
        <f t="shared" si="67"/>
        <v>0</v>
      </c>
      <c r="AH36" s="12"/>
      <c r="AI36" s="12"/>
      <c r="AJ36" s="12">
        <f t="shared" si="68"/>
        <v>0</v>
      </c>
      <c r="AK36" s="12"/>
      <c r="AL36" s="12">
        <f t="shared" si="69"/>
        <v>0</v>
      </c>
      <c r="AM36" s="12">
        <v>25000</v>
      </c>
      <c r="AN36" s="12"/>
      <c r="AO36" s="12">
        <f t="shared" si="70"/>
        <v>0</v>
      </c>
      <c r="AP36" s="12"/>
      <c r="AQ36" s="12">
        <f t="shared" si="71"/>
        <v>0</v>
      </c>
      <c r="AR36" s="12"/>
      <c r="AS36" s="12"/>
      <c r="AT36" s="12">
        <f t="shared" si="72"/>
        <v>0</v>
      </c>
      <c r="AU36" s="12"/>
      <c r="AV36" s="12">
        <f t="shared" si="73"/>
        <v>0</v>
      </c>
      <c r="AW36" s="12"/>
      <c r="AX36" s="13"/>
      <c r="AY36" s="13">
        <f t="shared" si="74"/>
        <v>0</v>
      </c>
      <c r="AZ36" s="12"/>
      <c r="BA36" s="12">
        <f t="shared" si="75"/>
        <v>0</v>
      </c>
      <c r="BB36" s="38">
        <v>3000</v>
      </c>
      <c r="BC36" s="12"/>
      <c r="BD36" s="12">
        <f t="shared" si="76"/>
        <v>0</v>
      </c>
      <c r="BE36" s="12"/>
      <c r="BF36" s="12">
        <f t="shared" si="77"/>
        <v>0</v>
      </c>
      <c r="BG36" s="12"/>
      <c r="BH36" s="12"/>
      <c r="BI36" s="12">
        <f t="shared" si="78"/>
        <v>0</v>
      </c>
      <c r="BJ36" s="12"/>
      <c r="BK36" s="12">
        <f t="shared" si="79"/>
        <v>0</v>
      </c>
      <c r="BL36" s="12"/>
      <c r="BM36" s="12"/>
      <c r="BN36" s="12">
        <f t="shared" si="80"/>
        <v>0</v>
      </c>
      <c r="BO36" s="12"/>
      <c r="BP36" s="12">
        <f t="shared" si="81"/>
        <v>0</v>
      </c>
      <c r="BQ36" s="12"/>
      <c r="BR36" s="12"/>
      <c r="BS36" s="12">
        <f t="shared" si="82"/>
        <v>0</v>
      </c>
      <c r="BT36" s="12"/>
      <c r="BU36" s="12">
        <f t="shared" si="83"/>
        <v>0</v>
      </c>
      <c r="BV36" s="12"/>
      <c r="BW36" s="12"/>
      <c r="BX36" s="12">
        <f t="shared" si="84"/>
        <v>0</v>
      </c>
      <c r="BY36" s="12"/>
      <c r="BZ36" s="12">
        <f t="shared" si="85"/>
        <v>0</v>
      </c>
      <c r="CA36" s="12"/>
      <c r="CB36" s="41"/>
    </row>
    <row r="37" spans="1:80" ht="16" x14ac:dyDescent="0.4">
      <c r="A37" s="6" t="s">
        <v>76</v>
      </c>
      <c r="B37" s="6" t="s">
        <v>167</v>
      </c>
      <c r="C37" s="6" t="s">
        <v>168</v>
      </c>
      <c r="D37" s="6" t="s">
        <v>180</v>
      </c>
      <c r="E37" s="73" t="s">
        <v>229</v>
      </c>
      <c r="F37" s="6" t="s">
        <v>182</v>
      </c>
      <c r="G37" s="6" t="s">
        <v>172</v>
      </c>
      <c r="H37" s="6" t="s">
        <v>90</v>
      </c>
      <c r="I37" s="6" t="s">
        <v>90</v>
      </c>
      <c r="J37" s="6" t="s">
        <v>91</v>
      </c>
      <c r="K37" s="6" t="s">
        <v>92</v>
      </c>
      <c r="L37" s="6" t="s">
        <v>154</v>
      </c>
      <c r="M37" s="6"/>
      <c r="N37" s="8"/>
      <c r="O37" s="9"/>
      <c r="P37" s="11">
        <f t="shared" si="58"/>
        <v>0</v>
      </c>
      <c r="Q37" s="11">
        <f t="shared" si="59"/>
        <v>0</v>
      </c>
      <c r="R37" s="11">
        <f t="shared" si="60"/>
        <v>0</v>
      </c>
      <c r="S37" s="11">
        <f t="shared" si="61"/>
        <v>0</v>
      </c>
      <c r="T37" s="12"/>
      <c r="U37" s="12">
        <f t="shared" si="62"/>
        <v>0</v>
      </c>
      <c r="V37" s="12"/>
      <c r="W37" s="12">
        <f t="shared" si="63"/>
        <v>0</v>
      </c>
      <c r="X37" s="12"/>
      <c r="Y37" s="12"/>
      <c r="Z37" s="12">
        <f t="shared" si="64"/>
        <v>0</v>
      </c>
      <c r="AA37" s="12"/>
      <c r="AB37" s="12">
        <f t="shared" si="65"/>
        <v>0</v>
      </c>
      <c r="AC37" s="12"/>
      <c r="AD37" s="12"/>
      <c r="AE37" s="12">
        <f t="shared" si="66"/>
        <v>0</v>
      </c>
      <c r="AF37" s="12"/>
      <c r="AG37" s="12">
        <f t="shared" si="67"/>
        <v>0</v>
      </c>
      <c r="AH37" s="12"/>
      <c r="AI37" s="12"/>
      <c r="AJ37" s="12">
        <f t="shared" si="68"/>
        <v>0</v>
      </c>
      <c r="AK37" s="12"/>
      <c r="AL37" s="12">
        <f t="shared" si="69"/>
        <v>0</v>
      </c>
      <c r="AM37" s="12"/>
      <c r="AN37" s="12"/>
      <c r="AO37" s="12">
        <f t="shared" si="70"/>
        <v>0</v>
      </c>
      <c r="AP37" s="12"/>
      <c r="AQ37" s="12">
        <f t="shared" si="71"/>
        <v>0</v>
      </c>
      <c r="AR37" s="12"/>
      <c r="AS37" s="12"/>
      <c r="AT37" s="12">
        <f t="shared" si="72"/>
        <v>0</v>
      </c>
      <c r="AU37" s="12"/>
      <c r="AV37" s="12">
        <f t="shared" si="73"/>
        <v>0</v>
      </c>
      <c r="AW37" s="12"/>
      <c r="AX37" s="13"/>
      <c r="AY37" s="13">
        <f t="shared" si="74"/>
        <v>0</v>
      </c>
      <c r="AZ37" s="12"/>
      <c r="BA37" s="12">
        <f t="shared" si="75"/>
        <v>0</v>
      </c>
      <c r="BB37" s="12"/>
      <c r="BC37" s="12"/>
      <c r="BD37" s="12">
        <f t="shared" si="76"/>
        <v>0</v>
      </c>
      <c r="BE37" s="12"/>
      <c r="BF37" s="12">
        <f t="shared" si="77"/>
        <v>0</v>
      </c>
      <c r="BG37" s="12"/>
      <c r="BH37" s="12"/>
      <c r="BI37" s="12">
        <f t="shared" si="78"/>
        <v>0</v>
      </c>
      <c r="BJ37" s="12"/>
      <c r="BK37" s="12">
        <f t="shared" si="79"/>
        <v>0</v>
      </c>
      <c r="BL37" s="12"/>
      <c r="BM37" s="12"/>
      <c r="BN37" s="12">
        <f t="shared" si="80"/>
        <v>0</v>
      </c>
      <c r="BO37" s="12"/>
      <c r="BP37" s="12">
        <f t="shared" si="81"/>
        <v>0</v>
      </c>
      <c r="BQ37" s="12"/>
      <c r="BR37" s="12"/>
      <c r="BS37" s="12">
        <f t="shared" si="82"/>
        <v>0</v>
      </c>
      <c r="BT37" s="12"/>
      <c r="BU37" s="12">
        <f t="shared" si="83"/>
        <v>0</v>
      </c>
      <c r="BV37" s="12"/>
      <c r="BW37" s="12"/>
      <c r="BX37" s="12">
        <f t="shared" si="84"/>
        <v>0</v>
      </c>
      <c r="BY37" s="12"/>
      <c r="BZ37" s="12">
        <f t="shared" si="85"/>
        <v>0</v>
      </c>
      <c r="CA37" s="12"/>
      <c r="CB37" s="6"/>
    </row>
    <row r="38" spans="1:80" ht="16" x14ac:dyDescent="0.4">
      <c r="A38" s="6" t="s">
        <v>76</v>
      </c>
      <c r="B38" s="6" t="s">
        <v>167</v>
      </c>
      <c r="C38" s="6" t="s">
        <v>168</v>
      </c>
      <c r="D38" s="6" t="s">
        <v>180</v>
      </c>
      <c r="E38" s="73" t="s">
        <v>229</v>
      </c>
      <c r="F38" s="6" t="s">
        <v>182</v>
      </c>
      <c r="G38" s="6" t="s">
        <v>172</v>
      </c>
      <c r="H38" s="6" t="s">
        <v>90</v>
      </c>
      <c r="I38" s="6" t="s">
        <v>90</v>
      </c>
      <c r="J38" s="6" t="s">
        <v>91</v>
      </c>
      <c r="K38" s="6" t="s">
        <v>92</v>
      </c>
      <c r="L38" s="6" t="s">
        <v>243</v>
      </c>
      <c r="M38" s="6"/>
      <c r="N38" s="8"/>
      <c r="O38" s="9"/>
      <c r="P38" s="11">
        <f t="shared" si="58"/>
        <v>0</v>
      </c>
      <c r="Q38" s="11">
        <f t="shared" si="59"/>
        <v>0</v>
      </c>
      <c r="R38" s="11">
        <f t="shared" si="60"/>
        <v>0</v>
      </c>
      <c r="S38" s="11">
        <f t="shared" si="61"/>
        <v>0</v>
      </c>
      <c r="T38" s="12"/>
      <c r="U38" s="12">
        <f t="shared" si="62"/>
        <v>0</v>
      </c>
      <c r="V38" s="12"/>
      <c r="W38" s="12">
        <f t="shared" si="63"/>
        <v>0</v>
      </c>
      <c r="X38" s="12"/>
      <c r="Y38" s="12"/>
      <c r="Z38" s="12">
        <f t="shared" si="64"/>
        <v>0</v>
      </c>
      <c r="AA38" s="12"/>
      <c r="AB38" s="12">
        <f t="shared" si="65"/>
        <v>0</v>
      </c>
      <c r="AC38" s="12"/>
      <c r="AD38" s="12"/>
      <c r="AE38" s="12">
        <f t="shared" si="66"/>
        <v>0</v>
      </c>
      <c r="AF38" s="12"/>
      <c r="AG38" s="12">
        <f t="shared" si="67"/>
        <v>0</v>
      </c>
      <c r="AH38" s="12"/>
      <c r="AI38" s="12"/>
      <c r="AJ38" s="12">
        <f t="shared" si="68"/>
        <v>0</v>
      </c>
      <c r="AK38" s="12"/>
      <c r="AL38" s="12">
        <f t="shared" si="69"/>
        <v>0</v>
      </c>
      <c r="AM38" s="12"/>
      <c r="AN38" s="12"/>
      <c r="AO38" s="12">
        <f t="shared" si="70"/>
        <v>0</v>
      </c>
      <c r="AP38" s="12"/>
      <c r="AQ38" s="12">
        <f t="shared" si="71"/>
        <v>0</v>
      </c>
      <c r="AR38" s="12"/>
      <c r="AS38" s="12"/>
      <c r="AT38" s="12">
        <f t="shared" si="72"/>
        <v>0</v>
      </c>
      <c r="AU38" s="12"/>
      <c r="AV38" s="12">
        <f t="shared" si="73"/>
        <v>0</v>
      </c>
      <c r="AW38" s="12"/>
      <c r="AX38" s="13"/>
      <c r="AY38" s="13">
        <f t="shared" si="74"/>
        <v>0</v>
      </c>
      <c r="AZ38" s="12"/>
      <c r="BA38" s="12">
        <f t="shared" si="75"/>
        <v>0</v>
      </c>
      <c r="BB38" s="12"/>
      <c r="BC38" s="12"/>
      <c r="BD38" s="12">
        <f t="shared" si="76"/>
        <v>0</v>
      </c>
      <c r="BE38" s="12"/>
      <c r="BF38" s="12">
        <f t="shared" si="77"/>
        <v>0</v>
      </c>
      <c r="BG38" s="12"/>
      <c r="BH38" s="12"/>
      <c r="BI38" s="12">
        <f t="shared" si="78"/>
        <v>0</v>
      </c>
      <c r="BJ38" s="12"/>
      <c r="BK38" s="12">
        <f t="shared" si="79"/>
        <v>0</v>
      </c>
      <c r="BL38" s="12"/>
      <c r="BM38" s="12"/>
      <c r="BN38" s="12">
        <f t="shared" si="80"/>
        <v>0</v>
      </c>
      <c r="BO38" s="12"/>
      <c r="BP38" s="12">
        <f t="shared" si="81"/>
        <v>0</v>
      </c>
      <c r="BQ38" s="12"/>
      <c r="BR38" s="12"/>
      <c r="BS38" s="12">
        <f t="shared" si="82"/>
        <v>0</v>
      </c>
      <c r="BT38" s="12"/>
      <c r="BU38" s="12">
        <f t="shared" si="83"/>
        <v>0</v>
      </c>
      <c r="BV38" s="12"/>
      <c r="BW38" s="12"/>
      <c r="BX38" s="12">
        <f t="shared" si="84"/>
        <v>0</v>
      </c>
      <c r="BY38" s="12"/>
      <c r="BZ38" s="12">
        <f t="shared" si="85"/>
        <v>0</v>
      </c>
      <c r="CA38" s="12"/>
      <c r="CB38" s="6"/>
    </row>
    <row r="39" spans="1:80" ht="16" x14ac:dyDescent="0.4">
      <c r="A39" s="6" t="s">
        <v>76</v>
      </c>
      <c r="B39" s="6" t="s">
        <v>167</v>
      </c>
      <c r="C39" s="6" t="s">
        <v>168</v>
      </c>
      <c r="D39" s="6" t="s">
        <v>244</v>
      </c>
      <c r="E39" s="73" t="s">
        <v>245</v>
      </c>
      <c r="F39" s="6" t="s">
        <v>182</v>
      </c>
      <c r="G39" s="6" t="s">
        <v>174</v>
      </c>
      <c r="H39" s="6" t="s">
        <v>90</v>
      </c>
      <c r="I39" s="6" t="s">
        <v>90</v>
      </c>
      <c r="J39" s="6" t="s">
        <v>91</v>
      </c>
      <c r="K39" s="6" t="s">
        <v>92</v>
      </c>
      <c r="L39" s="6" t="s">
        <v>123</v>
      </c>
      <c r="M39" s="6" t="s">
        <v>80</v>
      </c>
      <c r="N39" s="8">
        <v>580</v>
      </c>
      <c r="O39" s="9"/>
      <c r="P39" s="11">
        <f t="shared" ref="P39:P40" si="86">+(T39+Y39+AD39+AI39+AN39+AS39+AX39+BC39+BH39+BM39+BR39+BW39)/1000</f>
        <v>0.01</v>
      </c>
      <c r="Q39" s="11">
        <f t="shared" ref="Q39:Q40" si="87">+(U39+Z39+AE39+AJ39+AO39+AT39+AY39+BD39+BI39+BN39+BS39+BX39)/1000</f>
        <v>5.8</v>
      </c>
      <c r="R39" s="11">
        <f t="shared" ref="R39:R40" si="88">+(+BA39+BF39+BK39+BP39+BU39+BZ39)</f>
        <v>0</v>
      </c>
      <c r="S39" s="11">
        <f t="shared" ref="S39:S40" si="89">+(+BB39+BG39+BL39+BQ39+BV39+CA39)</f>
        <v>0</v>
      </c>
      <c r="T39" s="12"/>
      <c r="U39" s="12">
        <f t="shared" ref="U39:U40" si="90">T39*N39</f>
        <v>0</v>
      </c>
      <c r="V39" s="12"/>
      <c r="W39" s="12">
        <f t="shared" ref="W39:W40" si="91">V39*N39</f>
        <v>0</v>
      </c>
      <c r="X39" s="12"/>
      <c r="Y39" s="12"/>
      <c r="Z39" s="12">
        <f t="shared" ref="Z39:Z40" si="92">Y39*N39</f>
        <v>0</v>
      </c>
      <c r="AA39" s="12"/>
      <c r="AB39" s="12">
        <f t="shared" ref="AB39:AB40" si="93">AA39*N39</f>
        <v>0</v>
      </c>
      <c r="AC39" s="12"/>
      <c r="AD39" s="12"/>
      <c r="AE39" s="12">
        <f t="shared" ref="AE39:AE40" si="94">AD39*N39</f>
        <v>0</v>
      </c>
      <c r="AF39" s="12"/>
      <c r="AG39" s="12">
        <f t="shared" ref="AG39:AG40" si="95">AF39*N39</f>
        <v>0</v>
      </c>
      <c r="AH39" s="12"/>
      <c r="AI39" s="12"/>
      <c r="AJ39" s="12">
        <f t="shared" ref="AJ39:AJ40" si="96">AI39*N39</f>
        <v>0</v>
      </c>
      <c r="AK39" s="12"/>
      <c r="AL39" s="12">
        <f t="shared" ref="AL39:AL40" si="97">AK39*N39</f>
        <v>0</v>
      </c>
      <c r="AM39" s="12"/>
      <c r="AN39" s="12"/>
      <c r="AO39" s="12">
        <f t="shared" ref="AO39:AO40" si="98">AN39*N39</f>
        <v>0</v>
      </c>
      <c r="AP39" s="12"/>
      <c r="AQ39" s="12">
        <f t="shared" ref="AQ39:AQ40" si="99">AP39*N39</f>
        <v>0</v>
      </c>
      <c r="AR39" s="12"/>
      <c r="AS39" s="12">
        <v>10</v>
      </c>
      <c r="AT39" s="12">
        <f t="shared" ref="AT39:AT40" si="100">AS39*N39</f>
        <v>5800</v>
      </c>
      <c r="AU39" s="12"/>
      <c r="AV39" s="12">
        <f t="shared" ref="AV39:AV40" si="101">AU39*N39</f>
        <v>0</v>
      </c>
      <c r="AW39" s="12"/>
      <c r="AX39" s="13"/>
      <c r="AY39" s="13">
        <f t="shared" ref="AY39:AY40" si="102">AX39*N39</f>
        <v>0</v>
      </c>
      <c r="AZ39" s="12"/>
      <c r="BA39" s="12">
        <f t="shared" ref="BA39:BA40" si="103">AZ39*N39</f>
        <v>0</v>
      </c>
      <c r="BB39" s="12"/>
      <c r="BC39" s="12"/>
      <c r="BD39" s="12">
        <f t="shared" ref="BD39:BD40" si="104">BC39*N39</f>
        <v>0</v>
      </c>
      <c r="BE39" s="12"/>
      <c r="BF39" s="12">
        <f t="shared" ref="BF39:BF40" si="105">BE39*N39</f>
        <v>0</v>
      </c>
      <c r="BG39" s="12"/>
      <c r="BH39" s="12"/>
      <c r="BI39" s="12">
        <f t="shared" ref="BI39:BI40" si="106">BH39*N39</f>
        <v>0</v>
      </c>
      <c r="BJ39" s="12"/>
      <c r="BK39" s="12">
        <f t="shared" ref="BK39:BK40" si="107">BJ39*N39</f>
        <v>0</v>
      </c>
      <c r="BL39" s="12"/>
      <c r="BM39" s="12"/>
      <c r="BN39" s="12">
        <f t="shared" ref="BN39:BN40" si="108">BM39*N39</f>
        <v>0</v>
      </c>
      <c r="BO39" s="12"/>
      <c r="BP39" s="12">
        <f t="shared" ref="BP39:BP40" si="109">BO39*N39</f>
        <v>0</v>
      </c>
      <c r="BQ39" s="12"/>
      <c r="BR39" s="12"/>
      <c r="BS39" s="12">
        <f t="shared" ref="BS39:BS40" si="110">BR39*N39</f>
        <v>0</v>
      </c>
      <c r="BT39" s="12"/>
      <c r="BU39" s="12">
        <f t="shared" ref="BU39:BU40" si="111">BT39*N39</f>
        <v>0</v>
      </c>
      <c r="BV39" s="12"/>
      <c r="BW39" s="12"/>
      <c r="BX39" s="12">
        <f t="shared" ref="BX39:BX40" si="112">BW39*N39</f>
        <v>0</v>
      </c>
      <c r="BY39" s="12"/>
      <c r="BZ39" s="12">
        <f t="shared" ref="BZ39:BZ40" si="113">BY39*N39</f>
        <v>0</v>
      </c>
      <c r="CA39" s="12"/>
      <c r="CB39" s="6"/>
    </row>
    <row r="40" spans="1:80" ht="16" x14ac:dyDescent="0.4">
      <c r="A40" s="6" t="s">
        <v>76</v>
      </c>
      <c r="B40" s="6" t="s">
        <v>167</v>
      </c>
      <c r="C40" s="6" t="s">
        <v>168</v>
      </c>
      <c r="D40" s="6" t="s">
        <v>244</v>
      </c>
      <c r="E40" s="73" t="s">
        <v>245</v>
      </c>
      <c r="F40" s="6" t="s">
        <v>182</v>
      </c>
      <c r="G40" s="6" t="s">
        <v>174</v>
      </c>
      <c r="H40" s="6" t="s">
        <v>90</v>
      </c>
      <c r="I40" s="6" t="s">
        <v>90</v>
      </c>
      <c r="J40" s="6" t="s">
        <v>91</v>
      </c>
      <c r="K40" s="6" t="s">
        <v>92</v>
      </c>
      <c r="L40" s="6" t="s">
        <v>153</v>
      </c>
      <c r="M40" s="6" t="s">
        <v>80</v>
      </c>
      <c r="N40" s="8">
        <v>35</v>
      </c>
      <c r="O40" s="9"/>
      <c r="P40" s="11">
        <f t="shared" si="86"/>
        <v>0.05</v>
      </c>
      <c r="Q40" s="11">
        <f t="shared" si="87"/>
        <v>1.75</v>
      </c>
      <c r="R40" s="11">
        <f t="shared" si="88"/>
        <v>0</v>
      </c>
      <c r="S40" s="11">
        <f t="shared" si="89"/>
        <v>0</v>
      </c>
      <c r="T40" s="12"/>
      <c r="U40" s="12">
        <f t="shared" si="90"/>
        <v>0</v>
      </c>
      <c r="V40" s="12"/>
      <c r="W40" s="12">
        <f t="shared" si="91"/>
        <v>0</v>
      </c>
      <c r="X40" s="12"/>
      <c r="Y40" s="12"/>
      <c r="Z40" s="12">
        <f t="shared" si="92"/>
        <v>0</v>
      </c>
      <c r="AA40" s="12"/>
      <c r="AB40" s="12">
        <f t="shared" si="93"/>
        <v>0</v>
      </c>
      <c r="AC40" s="12"/>
      <c r="AD40" s="12"/>
      <c r="AE40" s="12">
        <f t="shared" si="94"/>
        <v>0</v>
      </c>
      <c r="AF40" s="12"/>
      <c r="AG40" s="12">
        <f t="shared" si="95"/>
        <v>0</v>
      </c>
      <c r="AH40" s="12"/>
      <c r="AI40" s="12"/>
      <c r="AJ40" s="12">
        <f t="shared" si="96"/>
        <v>0</v>
      </c>
      <c r="AK40" s="12"/>
      <c r="AL40" s="12">
        <f t="shared" si="97"/>
        <v>0</v>
      </c>
      <c r="AM40" s="12"/>
      <c r="AN40" s="12"/>
      <c r="AO40" s="12">
        <f t="shared" si="98"/>
        <v>0</v>
      </c>
      <c r="AP40" s="12"/>
      <c r="AQ40" s="12">
        <f t="shared" si="99"/>
        <v>0</v>
      </c>
      <c r="AR40" s="12"/>
      <c r="AS40" s="12">
        <v>50</v>
      </c>
      <c r="AT40" s="12">
        <f t="shared" si="100"/>
        <v>1750</v>
      </c>
      <c r="AU40" s="12"/>
      <c r="AV40" s="12">
        <f t="shared" si="101"/>
        <v>0</v>
      </c>
      <c r="AW40" s="12"/>
      <c r="AX40" s="13"/>
      <c r="AY40" s="13">
        <f t="shared" si="102"/>
        <v>0</v>
      </c>
      <c r="AZ40" s="12"/>
      <c r="BA40" s="12">
        <f t="shared" si="103"/>
        <v>0</v>
      </c>
      <c r="BB40" s="12"/>
      <c r="BC40" s="12"/>
      <c r="BD40" s="12">
        <f t="shared" si="104"/>
        <v>0</v>
      </c>
      <c r="BE40" s="12"/>
      <c r="BF40" s="12">
        <f t="shared" si="105"/>
        <v>0</v>
      </c>
      <c r="BG40" s="12"/>
      <c r="BH40" s="12"/>
      <c r="BI40" s="12">
        <f t="shared" si="106"/>
        <v>0</v>
      </c>
      <c r="BJ40" s="12"/>
      <c r="BK40" s="12">
        <f t="shared" si="107"/>
        <v>0</v>
      </c>
      <c r="BL40" s="12"/>
      <c r="BM40" s="12"/>
      <c r="BN40" s="12">
        <f t="shared" si="108"/>
        <v>0</v>
      </c>
      <c r="BO40" s="12"/>
      <c r="BP40" s="12">
        <f t="shared" si="109"/>
        <v>0</v>
      </c>
      <c r="BQ40" s="12"/>
      <c r="BR40" s="12"/>
      <c r="BS40" s="12">
        <f t="shared" si="110"/>
        <v>0</v>
      </c>
      <c r="BT40" s="12"/>
      <c r="BU40" s="12">
        <f t="shared" si="111"/>
        <v>0</v>
      </c>
      <c r="BV40" s="12"/>
      <c r="BW40" s="12"/>
      <c r="BX40" s="12">
        <f t="shared" si="112"/>
        <v>0</v>
      </c>
      <c r="BY40" s="12"/>
      <c r="BZ40" s="12">
        <f t="shared" si="113"/>
        <v>0</v>
      </c>
      <c r="CA40" s="12"/>
      <c r="CB40" s="6"/>
    </row>
    <row r="41" spans="1:80" ht="16" x14ac:dyDescent="0.4">
      <c r="A41" s="6" t="s">
        <v>76</v>
      </c>
      <c r="B41" s="6" t="s">
        <v>167</v>
      </c>
      <c r="C41" s="6" t="s">
        <v>170</v>
      </c>
      <c r="D41" s="6" t="s">
        <v>246</v>
      </c>
      <c r="E41" s="73" t="s">
        <v>247</v>
      </c>
      <c r="F41" s="6" t="s">
        <v>182</v>
      </c>
      <c r="G41" s="6" t="s">
        <v>174</v>
      </c>
      <c r="H41" s="6" t="s">
        <v>248</v>
      </c>
      <c r="I41" s="6" t="s">
        <v>248</v>
      </c>
      <c r="J41" s="6" t="s">
        <v>114</v>
      </c>
      <c r="K41" s="6" t="s">
        <v>83</v>
      </c>
      <c r="L41" s="6" t="s">
        <v>249</v>
      </c>
      <c r="M41" s="6" t="s">
        <v>80</v>
      </c>
      <c r="N41" s="8">
        <v>16050</v>
      </c>
      <c r="O41" s="9"/>
      <c r="P41" s="11">
        <f t="shared" ref="P41:P42" si="114">+(T41+Y41+AD41+AI41+AN41+AS41+AX41+BC41+BH41+BM41+BR41+BW41)/1000</f>
        <v>0.06</v>
      </c>
      <c r="Q41" s="11">
        <f t="shared" ref="Q41:Q42" si="115">+(U41+Z41+AE41+AJ41+AO41+AT41+AY41+BD41+BI41+BN41+BS41+BX41)/1000</f>
        <v>963</v>
      </c>
      <c r="R41" s="11">
        <f t="shared" ref="R41:R42" si="116">+(+BA41+BF41+BK41+BP41+BU41+BZ41)</f>
        <v>0</v>
      </c>
      <c r="S41" s="11">
        <f t="shared" ref="S41:S42" si="117">+(+BB41+BG41+BL41+BQ41+BV41+CA41)</f>
        <v>0</v>
      </c>
      <c r="T41" s="12"/>
      <c r="U41" s="12">
        <f t="shared" ref="U41:U42" si="118">T41*N41</f>
        <v>0</v>
      </c>
      <c r="V41" s="12">
        <v>20</v>
      </c>
      <c r="W41" s="12">
        <f t="shared" ref="W41:W42" si="119">V41*N41</f>
        <v>321000</v>
      </c>
      <c r="X41" s="12">
        <v>20</v>
      </c>
      <c r="Y41" s="12"/>
      <c r="Z41" s="12">
        <f t="shared" ref="Z41:Z42" si="120">Y41*N41</f>
        <v>0</v>
      </c>
      <c r="AA41" s="12"/>
      <c r="AB41" s="12">
        <f t="shared" ref="AB41:AB42" si="121">AA41*N41</f>
        <v>0</v>
      </c>
      <c r="AC41" s="12"/>
      <c r="AD41" s="12">
        <v>20</v>
      </c>
      <c r="AE41" s="12">
        <f t="shared" ref="AE41:AE42" si="122">AD41*N41</f>
        <v>321000</v>
      </c>
      <c r="AF41" s="12"/>
      <c r="AG41" s="12">
        <f t="shared" ref="AG41:AG42" si="123">AF41*N41</f>
        <v>0</v>
      </c>
      <c r="AH41" s="12"/>
      <c r="AI41" s="12"/>
      <c r="AJ41" s="12">
        <f t="shared" ref="AJ41:AJ42" si="124">AI41*N41</f>
        <v>0</v>
      </c>
      <c r="AK41" s="12"/>
      <c r="AL41" s="12">
        <f t="shared" ref="AL41:AL42" si="125">AK41*N41</f>
        <v>0</v>
      </c>
      <c r="AM41" s="12"/>
      <c r="AN41" s="12"/>
      <c r="AO41" s="12">
        <f t="shared" ref="AO41:AO42" si="126">AN41*N41</f>
        <v>0</v>
      </c>
      <c r="AP41" s="12"/>
      <c r="AQ41" s="12">
        <f t="shared" ref="AQ41:AQ42" si="127">AP41*N41</f>
        <v>0</v>
      </c>
      <c r="AR41" s="12"/>
      <c r="AS41" s="12">
        <v>20</v>
      </c>
      <c r="AT41" s="12">
        <f t="shared" ref="AT41:AT42" si="128">AS41*N41</f>
        <v>321000</v>
      </c>
      <c r="AU41" s="12"/>
      <c r="AV41" s="12">
        <f t="shared" ref="AV41:AV42" si="129">AU41*N41</f>
        <v>0</v>
      </c>
      <c r="AW41" s="64">
        <v>20</v>
      </c>
      <c r="AX41" s="13"/>
      <c r="AY41" s="13">
        <f t="shared" ref="AY41:AY42" si="130">AX41*N41</f>
        <v>0</v>
      </c>
      <c r="AZ41" s="12"/>
      <c r="BA41" s="12">
        <f t="shared" ref="BA41:BA42" si="131">AZ41*N41</f>
        <v>0</v>
      </c>
      <c r="BB41" s="12"/>
      <c r="BC41" s="12"/>
      <c r="BD41" s="12">
        <f t="shared" ref="BD41:BD42" si="132">BC41*N41</f>
        <v>0</v>
      </c>
      <c r="BE41" s="12"/>
      <c r="BF41" s="12">
        <f t="shared" ref="BF41:BF42" si="133">BE41*N41</f>
        <v>0</v>
      </c>
      <c r="BG41" s="12"/>
      <c r="BH41" s="12">
        <v>20</v>
      </c>
      <c r="BI41" s="12">
        <f t="shared" ref="BI41:BI42" si="134">BH41*N41</f>
        <v>321000</v>
      </c>
      <c r="BJ41" s="12"/>
      <c r="BK41" s="12">
        <f t="shared" ref="BK41:BK42" si="135">BJ41*N41</f>
        <v>0</v>
      </c>
      <c r="BL41" s="12"/>
      <c r="BM41" s="12"/>
      <c r="BN41" s="12">
        <f t="shared" ref="BN41:BN42" si="136">BM41*N41</f>
        <v>0</v>
      </c>
      <c r="BO41" s="12"/>
      <c r="BP41" s="12">
        <f t="shared" ref="BP41:BP42" si="137">BO41*N41</f>
        <v>0</v>
      </c>
      <c r="BQ41" s="12"/>
      <c r="BR41" s="12"/>
      <c r="BS41" s="12">
        <f t="shared" ref="BS41:BS42" si="138">BR41*N41</f>
        <v>0</v>
      </c>
      <c r="BT41" s="12"/>
      <c r="BU41" s="12">
        <f t="shared" ref="BU41:BU42" si="139">BT41*N41</f>
        <v>0</v>
      </c>
      <c r="BV41" s="12"/>
      <c r="BW41" s="12"/>
      <c r="BX41" s="12">
        <f t="shared" ref="BX41:BX42" si="140">BW41*N41</f>
        <v>0</v>
      </c>
      <c r="BY41" s="12"/>
      <c r="BZ41" s="12">
        <f t="shared" ref="BZ41:BZ42" si="141">BY41*N41</f>
        <v>0</v>
      </c>
      <c r="CA41" s="12"/>
      <c r="CB41" s="39"/>
    </row>
    <row r="42" spans="1:80" ht="16" x14ac:dyDescent="0.4">
      <c r="A42" s="6" t="s">
        <v>76</v>
      </c>
      <c r="B42" s="6" t="s">
        <v>167</v>
      </c>
      <c r="C42" s="6" t="s">
        <v>168</v>
      </c>
      <c r="D42" s="6" t="s">
        <v>250</v>
      </c>
      <c r="E42" s="73" t="s">
        <v>251</v>
      </c>
      <c r="F42" s="6" t="s">
        <v>182</v>
      </c>
      <c r="G42" s="6" t="s">
        <v>146</v>
      </c>
      <c r="H42" s="6" t="s">
        <v>95</v>
      </c>
      <c r="I42" s="6" t="s">
        <v>95</v>
      </c>
      <c r="J42" s="7" t="s">
        <v>96</v>
      </c>
      <c r="K42" s="2" t="s">
        <v>94</v>
      </c>
      <c r="L42" s="6" t="s">
        <v>252</v>
      </c>
      <c r="M42" s="6" t="s">
        <v>80</v>
      </c>
      <c r="N42" s="8">
        <v>70</v>
      </c>
      <c r="O42" s="9"/>
      <c r="P42" s="11">
        <f t="shared" si="114"/>
        <v>12</v>
      </c>
      <c r="Q42" s="11">
        <f t="shared" si="115"/>
        <v>840</v>
      </c>
      <c r="R42" s="11">
        <f t="shared" si="116"/>
        <v>0</v>
      </c>
      <c r="S42" s="11">
        <f t="shared" si="117"/>
        <v>0</v>
      </c>
      <c r="T42" s="12"/>
      <c r="U42" s="12">
        <f t="shared" si="118"/>
        <v>0</v>
      </c>
      <c r="V42" s="12">
        <v>4000</v>
      </c>
      <c r="W42" s="12">
        <f t="shared" si="119"/>
        <v>280000</v>
      </c>
      <c r="X42" s="12"/>
      <c r="Y42" s="12"/>
      <c r="Z42" s="12">
        <f t="shared" si="120"/>
        <v>0</v>
      </c>
      <c r="AA42" s="12">
        <v>4000</v>
      </c>
      <c r="AB42" s="12">
        <f t="shared" si="121"/>
        <v>280000</v>
      </c>
      <c r="AC42" s="12">
        <v>4000</v>
      </c>
      <c r="AD42" s="12"/>
      <c r="AE42" s="12">
        <f t="shared" si="122"/>
        <v>0</v>
      </c>
      <c r="AF42" s="12">
        <v>4000</v>
      </c>
      <c r="AG42" s="12">
        <f t="shared" si="123"/>
        <v>280000</v>
      </c>
      <c r="AH42" s="12"/>
      <c r="AI42" s="12"/>
      <c r="AJ42" s="12">
        <f t="shared" si="124"/>
        <v>0</v>
      </c>
      <c r="AK42" s="12"/>
      <c r="AL42" s="12">
        <f t="shared" si="125"/>
        <v>0</v>
      </c>
      <c r="AM42" s="12"/>
      <c r="AN42" s="12">
        <v>4000</v>
      </c>
      <c r="AO42" s="12">
        <f t="shared" si="126"/>
        <v>280000</v>
      </c>
      <c r="AP42" s="12"/>
      <c r="AQ42" s="12">
        <f t="shared" si="127"/>
        <v>0</v>
      </c>
      <c r="AR42" s="12"/>
      <c r="AS42" s="12"/>
      <c r="AT42" s="12">
        <f t="shared" si="128"/>
        <v>0</v>
      </c>
      <c r="AU42" s="12"/>
      <c r="AV42" s="12">
        <f t="shared" si="129"/>
        <v>0</v>
      </c>
      <c r="AW42" s="15">
        <v>8000</v>
      </c>
      <c r="AX42" s="13"/>
      <c r="AY42" s="13">
        <f t="shared" si="130"/>
        <v>0</v>
      </c>
      <c r="AZ42" s="12"/>
      <c r="BA42" s="12">
        <f t="shared" si="131"/>
        <v>0</v>
      </c>
      <c r="BB42" s="12"/>
      <c r="BC42" s="12">
        <v>4000</v>
      </c>
      <c r="BD42" s="12">
        <f t="shared" si="132"/>
        <v>280000</v>
      </c>
      <c r="BE42" s="12"/>
      <c r="BF42" s="12">
        <f t="shared" si="133"/>
        <v>0</v>
      </c>
      <c r="BG42" s="12"/>
      <c r="BH42" s="12"/>
      <c r="BI42" s="12">
        <f t="shared" si="134"/>
        <v>0</v>
      </c>
      <c r="BJ42" s="12"/>
      <c r="BK42" s="12">
        <f t="shared" si="135"/>
        <v>0</v>
      </c>
      <c r="BL42" s="12"/>
      <c r="BM42" s="12"/>
      <c r="BN42" s="12">
        <f t="shared" si="136"/>
        <v>0</v>
      </c>
      <c r="BO42" s="12"/>
      <c r="BP42" s="12">
        <f t="shared" si="137"/>
        <v>0</v>
      </c>
      <c r="BQ42" s="12"/>
      <c r="BR42" s="12"/>
      <c r="BS42" s="12">
        <f t="shared" si="138"/>
        <v>0</v>
      </c>
      <c r="BT42" s="12"/>
      <c r="BU42" s="12">
        <f t="shared" si="139"/>
        <v>0</v>
      </c>
      <c r="BV42" s="12"/>
      <c r="BW42" s="12">
        <v>4000</v>
      </c>
      <c r="BX42" s="12">
        <f t="shared" si="140"/>
        <v>280000</v>
      </c>
      <c r="BY42" s="12"/>
      <c r="BZ42" s="12">
        <f t="shared" si="141"/>
        <v>0</v>
      </c>
      <c r="CA42" s="12"/>
      <c r="CB42" s="63" t="s">
        <v>155</v>
      </c>
    </row>
    <row r="43" spans="1:80" ht="16" x14ac:dyDescent="0.4">
      <c r="A43" s="6" t="s">
        <v>76</v>
      </c>
      <c r="B43" s="6" t="s">
        <v>167</v>
      </c>
      <c r="C43" s="6" t="s">
        <v>168</v>
      </c>
      <c r="D43" s="6" t="s">
        <v>253</v>
      </c>
      <c r="E43" s="75" t="s">
        <v>274</v>
      </c>
      <c r="F43" s="6" t="s">
        <v>182</v>
      </c>
      <c r="G43" s="6" t="s">
        <v>146</v>
      </c>
      <c r="H43" s="6" t="s">
        <v>108</v>
      </c>
      <c r="I43" s="6" t="s">
        <v>108</v>
      </c>
      <c r="J43" s="6" t="s">
        <v>88</v>
      </c>
      <c r="K43" s="6" t="s">
        <v>109</v>
      </c>
      <c r="L43" s="6" t="s">
        <v>131</v>
      </c>
      <c r="M43" s="6" t="s">
        <v>80</v>
      </c>
      <c r="N43" s="8">
        <v>30.92</v>
      </c>
      <c r="O43" s="9"/>
      <c r="P43" s="11">
        <f t="shared" ref="P43:P70" si="142">+(T43+Y43+AD43+AI43+AN43+AS43+AX43+BC43+BH43+BM43+BR43+BW43)/1000</f>
        <v>342</v>
      </c>
      <c r="Q43" s="11">
        <f t="shared" ref="Q43:Q70" si="143">+(U43+Z43+AE43+AJ43+AO43+AT43+AY43+BD43+BI43+BN43+BS43+BX43)/1000</f>
        <v>10574.64</v>
      </c>
      <c r="R43" s="11">
        <f t="shared" ref="R43:R70" si="144">+(+BA43+BF43+BK43+BP43+BU43+BZ43)</f>
        <v>3079632</v>
      </c>
      <c r="S43" s="11">
        <f t="shared" ref="S43:S70" si="145">+(+BB43+BG43+BL43+BQ43+BV43+CA43)</f>
        <v>100000</v>
      </c>
      <c r="T43" s="12">
        <v>28500</v>
      </c>
      <c r="U43" s="12">
        <f t="shared" ref="U43:U70" si="146">T43*N43</f>
        <v>881220</v>
      </c>
      <c r="V43" s="12"/>
      <c r="W43" s="12">
        <f t="shared" ref="W43:W70" si="147">V43*N43</f>
        <v>0</v>
      </c>
      <c r="X43" s="12">
        <v>40000</v>
      </c>
      <c r="Y43" s="12">
        <v>28500</v>
      </c>
      <c r="Z43" s="12">
        <f t="shared" ref="Z43:Z70" si="148">Y43*N43</f>
        <v>881220</v>
      </c>
      <c r="AA43" s="12"/>
      <c r="AB43" s="12">
        <f t="shared" ref="AB43:AB70" si="149">AA43*N43</f>
        <v>0</v>
      </c>
      <c r="AC43" s="12"/>
      <c r="AD43" s="12">
        <v>28500</v>
      </c>
      <c r="AE43" s="12">
        <f t="shared" ref="AE43:AE70" si="150">AD43*N43</f>
        <v>881220</v>
      </c>
      <c r="AF43" s="12"/>
      <c r="AG43" s="12">
        <f t="shared" ref="AG43:AG70" si="151">AF43*N43</f>
        <v>0</v>
      </c>
      <c r="AH43" s="12"/>
      <c r="AI43" s="12">
        <v>28500</v>
      </c>
      <c r="AJ43" s="12">
        <f t="shared" ref="AJ43:AJ70" si="152">AI43*N43</f>
        <v>881220</v>
      </c>
      <c r="AK43" s="12"/>
      <c r="AL43" s="12">
        <f t="shared" ref="AL43:AL70" si="153">AK43*N43</f>
        <v>0</v>
      </c>
      <c r="AM43" s="12"/>
      <c r="AN43" s="12">
        <v>28500</v>
      </c>
      <c r="AO43" s="12">
        <f t="shared" ref="AO43:AO70" si="154">AN43*N43</f>
        <v>881220</v>
      </c>
      <c r="AP43" s="12"/>
      <c r="AQ43" s="12">
        <f t="shared" ref="AQ43:AQ70" si="155">AP43*N43</f>
        <v>0</v>
      </c>
      <c r="AR43" s="12"/>
      <c r="AS43" s="12">
        <v>28500</v>
      </c>
      <c r="AT43" s="12">
        <f t="shared" ref="AT43:AT70" si="156">AS43*N43</f>
        <v>881220</v>
      </c>
      <c r="AU43" s="27">
        <v>49800</v>
      </c>
      <c r="AV43" s="12">
        <f t="shared" ref="AV43:AV70" si="157">AU43*N43</f>
        <v>1539816</v>
      </c>
      <c r="AW43" s="15">
        <v>160000</v>
      </c>
      <c r="AX43" s="13">
        <v>28500</v>
      </c>
      <c r="AY43" s="13">
        <f t="shared" ref="AY43:AY70" si="158">AX43*N43</f>
        <v>881220</v>
      </c>
      <c r="AZ43" s="12">
        <v>49800</v>
      </c>
      <c r="BA43" s="12">
        <f t="shared" ref="BA43:BA70" si="159">AZ43*N43</f>
        <v>1539816</v>
      </c>
      <c r="BB43" s="38">
        <v>100000</v>
      </c>
      <c r="BC43" s="12">
        <v>28500</v>
      </c>
      <c r="BD43" s="12">
        <f t="shared" ref="BD43:BD70" si="160">BC43*N43</f>
        <v>881220</v>
      </c>
      <c r="BE43" s="12">
        <v>49800</v>
      </c>
      <c r="BF43" s="12">
        <f t="shared" ref="BF43:BF70" si="161">BE43*N43</f>
        <v>1539816</v>
      </c>
      <c r="BG43" s="12"/>
      <c r="BH43" s="12">
        <v>28500</v>
      </c>
      <c r="BI43" s="12">
        <f t="shared" ref="BI43:BI70" si="162">BH43*N43</f>
        <v>881220</v>
      </c>
      <c r="BJ43" s="12"/>
      <c r="BK43" s="12">
        <f t="shared" ref="BK43:BK70" si="163">BJ43*N43</f>
        <v>0</v>
      </c>
      <c r="BL43" s="12"/>
      <c r="BM43" s="12">
        <v>28500</v>
      </c>
      <c r="BN43" s="12">
        <f t="shared" ref="BN43:BN70" si="164">BM43*N43</f>
        <v>881220</v>
      </c>
      <c r="BO43" s="12"/>
      <c r="BP43" s="12">
        <f t="shared" ref="BP43:BP70" si="165">BO43*N43</f>
        <v>0</v>
      </c>
      <c r="BQ43" s="12"/>
      <c r="BR43" s="12">
        <v>28500</v>
      </c>
      <c r="BS43" s="12">
        <f t="shared" ref="BS43:BS70" si="166">BR43*N43</f>
        <v>881220</v>
      </c>
      <c r="BT43" s="12"/>
      <c r="BU43" s="12">
        <f t="shared" ref="BU43:BU70" si="167">BT43*N43</f>
        <v>0</v>
      </c>
      <c r="BV43" s="12"/>
      <c r="BW43" s="12">
        <v>28500</v>
      </c>
      <c r="BX43" s="12">
        <f t="shared" ref="BX43:BX70" si="168">BW43*N43</f>
        <v>881220</v>
      </c>
      <c r="BY43" s="12"/>
      <c r="BZ43" s="12">
        <f t="shared" ref="BZ43:BZ70" si="169">BY43*N43</f>
        <v>0</v>
      </c>
      <c r="CA43" s="12"/>
      <c r="CB43" s="63" t="s">
        <v>278</v>
      </c>
    </row>
    <row r="44" spans="1:80" ht="16" x14ac:dyDescent="0.4">
      <c r="A44" s="6" t="s">
        <v>76</v>
      </c>
      <c r="B44" s="6" t="s">
        <v>167</v>
      </c>
      <c r="C44" s="6" t="s">
        <v>168</v>
      </c>
      <c r="D44" s="6" t="s">
        <v>253</v>
      </c>
      <c r="E44" s="76" t="s">
        <v>274</v>
      </c>
      <c r="F44" s="6" t="s">
        <v>182</v>
      </c>
      <c r="G44" s="6" t="s">
        <v>146</v>
      </c>
      <c r="H44" s="6" t="s">
        <v>77</v>
      </c>
      <c r="I44" s="6" t="s">
        <v>77</v>
      </c>
      <c r="J44" s="6" t="s">
        <v>78</v>
      </c>
      <c r="K44" s="6" t="s">
        <v>79</v>
      </c>
      <c r="L44" s="6" t="s">
        <v>138</v>
      </c>
      <c r="M44" s="6" t="s">
        <v>80</v>
      </c>
      <c r="N44" s="8">
        <v>6.11</v>
      </c>
      <c r="O44" s="9"/>
      <c r="P44" s="11">
        <f t="shared" si="142"/>
        <v>66</v>
      </c>
      <c r="Q44" s="11">
        <f t="shared" si="143"/>
        <v>403.26</v>
      </c>
      <c r="R44" s="11">
        <f t="shared" si="144"/>
        <v>103870</v>
      </c>
      <c r="S44" s="11">
        <f t="shared" si="145"/>
        <v>129000</v>
      </c>
      <c r="T44" s="12">
        <v>5500</v>
      </c>
      <c r="U44" s="12">
        <f t="shared" si="146"/>
        <v>33605</v>
      </c>
      <c r="V44" s="12">
        <v>17000</v>
      </c>
      <c r="W44" s="12">
        <f t="shared" si="147"/>
        <v>103870</v>
      </c>
      <c r="X44" s="12"/>
      <c r="Y44" s="12">
        <v>5500</v>
      </c>
      <c r="Z44" s="12">
        <f t="shared" si="148"/>
        <v>33605</v>
      </c>
      <c r="AA44" s="12">
        <v>17000</v>
      </c>
      <c r="AB44" s="12">
        <f t="shared" si="149"/>
        <v>103870</v>
      </c>
      <c r="AC44" s="12"/>
      <c r="AD44" s="12">
        <v>5500</v>
      </c>
      <c r="AE44" s="12">
        <f t="shared" si="150"/>
        <v>33605</v>
      </c>
      <c r="AF44" s="12">
        <v>17000</v>
      </c>
      <c r="AG44" s="12">
        <f t="shared" si="151"/>
        <v>103870</v>
      </c>
      <c r="AH44" s="12">
        <v>153000</v>
      </c>
      <c r="AI44" s="12">
        <v>5500</v>
      </c>
      <c r="AJ44" s="12">
        <f t="shared" si="152"/>
        <v>33605</v>
      </c>
      <c r="AK44" s="12">
        <v>17000</v>
      </c>
      <c r="AL44" s="12">
        <f t="shared" si="153"/>
        <v>103870</v>
      </c>
      <c r="AM44" s="12">
        <v>21000</v>
      </c>
      <c r="AN44" s="12">
        <v>5500</v>
      </c>
      <c r="AO44" s="12">
        <f t="shared" si="154"/>
        <v>33605</v>
      </c>
      <c r="AP44" s="12">
        <v>17000</v>
      </c>
      <c r="AQ44" s="12">
        <f t="shared" si="155"/>
        <v>103870</v>
      </c>
      <c r="AR44" s="12"/>
      <c r="AS44" s="12">
        <v>5500</v>
      </c>
      <c r="AT44" s="12">
        <f t="shared" si="156"/>
        <v>33605</v>
      </c>
      <c r="AU44" s="12">
        <v>17000</v>
      </c>
      <c r="AV44" s="12">
        <f t="shared" si="157"/>
        <v>103870</v>
      </c>
      <c r="AW44" s="32">
        <v>60000</v>
      </c>
      <c r="AX44" s="13">
        <v>5500</v>
      </c>
      <c r="AY44" s="13">
        <f t="shared" si="158"/>
        <v>33605</v>
      </c>
      <c r="AZ44" s="12">
        <v>17000</v>
      </c>
      <c r="BA44" s="12">
        <f t="shared" si="159"/>
        <v>103870</v>
      </c>
      <c r="BB44" s="38">
        <v>129000</v>
      </c>
      <c r="BC44" s="12">
        <v>5500</v>
      </c>
      <c r="BD44" s="12">
        <f t="shared" si="160"/>
        <v>33605</v>
      </c>
      <c r="BE44" s="12"/>
      <c r="BF44" s="12">
        <f t="shared" si="161"/>
        <v>0</v>
      </c>
      <c r="BG44" s="12"/>
      <c r="BH44" s="12">
        <v>5500</v>
      </c>
      <c r="BI44" s="12">
        <f t="shared" si="162"/>
        <v>33605</v>
      </c>
      <c r="BJ44" s="12"/>
      <c r="BK44" s="12">
        <f t="shared" si="163"/>
        <v>0</v>
      </c>
      <c r="BL44" s="12"/>
      <c r="BM44" s="12">
        <v>5500</v>
      </c>
      <c r="BN44" s="12">
        <f t="shared" si="164"/>
        <v>33605</v>
      </c>
      <c r="BO44" s="12"/>
      <c r="BP44" s="12">
        <f t="shared" si="165"/>
        <v>0</v>
      </c>
      <c r="BQ44" s="12"/>
      <c r="BR44" s="12">
        <v>5500</v>
      </c>
      <c r="BS44" s="12">
        <f t="shared" si="166"/>
        <v>33605</v>
      </c>
      <c r="BT44" s="12"/>
      <c r="BU44" s="12">
        <f t="shared" si="167"/>
        <v>0</v>
      </c>
      <c r="BV44" s="12"/>
      <c r="BW44" s="12">
        <v>5500</v>
      </c>
      <c r="BX44" s="12">
        <f t="shared" si="168"/>
        <v>33605</v>
      </c>
      <c r="BY44" s="12"/>
      <c r="BZ44" s="12">
        <f t="shared" si="169"/>
        <v>0</v>
      </c>
      <c r="CA44" s="12"/>
      <c r="CB44" s="6"/>
    </row>
    <row r="45" spans="1:80" ht="16" x14ac:dyDescent="0.4">
      <c r="A45" s="6" t="s">
        <v>76</v>
      </c>
      <c r="B45" s="6" t="s">
        <v>167</v>
      </c>
      <c r="C45" s="6" t="s">
        <v>168</v>
      </c>
      <c r="D45" s="6" t="s">
        <v>253</v>
      </c>
      <c r="E45" s="73" t="s">
        <v>274</v>
      </c>
      <c r="F45" s="6" t="s">
        <v>182</v>
      </c>
      <c r="G45" s="6" t="s">
        <v>146</v>
      </c>
      <c r="H45" s="6" t="s">
        <v>77</v>
      </c>
      <c r="I45" s="6" t="s">
        <v>77</v>
      </c>
      <c r="J45" s="6" t="s">
        <v>78</v>
      </c>
      <c r="K45" s="6" t="s">
        <v>79</v>
      </c>
      <c r="L45" s="6" t="s">
        <v>139</v>
      </c>
      <c r="M45" s="6"/>
      <c r="N45" s="8"/>
      <c r="O45" s="36">
        <v>69000</v>
      </c>
      <c r="P45" s="11">
        <f t="shared" si="142"/>
        <v>0</v>
      </c>
      <c r="Q45" s="11">
        <f t="shared" si="143"/>
        <v>0</v>
      </c>
      <c r="R45" s="11">
        <f t="shared" si="144"/>
        <v>0</v>
      </c>
      <c r="S45" s="11">
        <f t="shared" si="145"/>
        <v>0</v>
      </c>
      <c r="T45" s="12"/>
      <c r="U45" s="12">
        <f t="shared" si="146"/>
        <v>0</v>
      </c>
      <c r="V45" s="12"/>
      <c r="W45" s="12">
        <f t="shared" si="147"/>
        <v>0</v>
      </c>
      <c r="X45" s="12"/>
      <c r="Y45" s="12"/>
      <c r="Z45" s="12">
        <f t="shared" si="148"/>
        <v>0</v>
      </c>
      <c r="AA45" s="12"/>
      <c r="AB45" s="12">
        <f t="shared" si="149"/>
        <v>0</v>
      </c>
      <c r="AC45" s="12"/>
      <c r="AD45" s="12"/>
      <c r="AE45" s="12">
        <f t="shared" si="150"/>
        <v>0</v>
      </c>
      <c r="AF45" s="12"/>
      <c r="AG45" s="12">
        <f t="shared" si="151"/>
        <v>0</v>
      </c>
      <c r="AH45" s="12">
        <v>249000</v>
      </c>
      <c r="AI45" s="12"/>
      <c r="AJ45" s="12">
        <f t="shared" si="152"/>
        <v>0</v>
      </c>
      <c r="AK45" s="12"/>
      <c r="AL45" s="12">
        <f t="shared" si="153"/>
        <v>0</v>
      </c>
      <c r="AM45" s="12"/>
      <c r="AN45" s="12"/>
      <c r="AO45" s="12">
        <f t="shared" si="154"/>
        <v>0</v>
      </c>
      <c r="AP45" s="12"/>
      <c r="AQ45" s="12">
        <f t="shared" si="155"/>
        <v>0</v>
      </c>
      <c r="AR45" s="12"/>
      <c r="AS45" s="12"/>
      <c r="AT45" s="12">
        <f t="shared" si="156"/>
        <v>0</v>
      </c>
      <c r="AU45" s="12"/>
      <c r="AV45" s="12">
        <f t="shared" si="157"/>
        <v>0</v>
      </c>
      <c r="AW45" s="12"/>
      <c r="AX45" s="13"/>
      <c r="AY45" s="13">
        <f t="shared" si="158"/>
        <v>0</v>
      </c>
      <c r="AZ45" s="12"/>
      <c r="BA45" s="12">
        <f t="shared" si="159"/>
        <v>0</v>
      </c>
      <c r="BB45" s="12"/>
      <c r="BC45" s="12"/>
      <c r="BD45" s="12">
        <f t="shared" si="160"/>
        <v>0</v>
      </c>
      <c r="BE45" s="12"/>
      <c r="BF45" s="12">
        <f t="shared" si="161"/>
        <v>0</v>
      </c>
      <c r="BG45" s="12"/>
      <c r="BH45" s="12"/>
      <c r="BI45" s="12">
        <f t="shared" si="162"/>
        <v>0</v>
      </c>
      <c r="BJ45" s="12"/>
      <c r="BK45" s="12">
        <f t="shared" si="163"/>
        <v>0</v>
      </c>
      <c r="BL45" s="12"/>
      <c r="BM45" s="12"/>
      <c r="BN45" s="12">
        <f t="shared" si="164"/>
        <v>0</v>
      </c>
      <c r="BO45" s="12"/>
      <c r="BP45" s="12">
        <f t="shared" si="165"/>
        <v>0</v>
      </c>
      <c r="BQ45" s="12"/>
      <c r="BR45" s="12"/>
      <c r="BS45" s="12">
        <f t="shared" si="166"/>
        <v>0</v>
      </c>
      <c r="BT45" s="12"/>
      <c r="BU45" s="12">
        <f t="shared" si="167"/>
        <v>0</v>
      </c>
      <c r="BV45" s="12"/>
      <c r="BW45" s="12"/>
      <c r="BX45" s="12">
        <f t="shared" si="168"/>
        <v>0</v>
      </c>
      <c r="BY45" s="12"/>
      <c r="BZ45" s="12">
        <f t="shared" si="169"/>
        <v>0</v>
      </c>
      <c r="CA45" s="12"/>
      <c r="CB45" s="39"/>
    </row>
    <row r="46" spans="1:80" ht="16" x14ac:dyDescent="0.4">
      <c r="A46" s="6" t="s">
        <v>76</v>
      </c>
      <c r="B46" s="6" t="s">
        <v>167</v>
      </c>
      <c r="C46" s="6" t="s">
        <v>168</v>
      </c>
      <c r="D46" s="6" t="s">
        <v>195</v>
      </c>
      <c r="E46" s="73" t="s">
        <v>196</v>
      </c>
      <c r="F46" s="6" t="s">
        <v>182</v>
      </c>
      <c r="G46" s="6" t="s">
        <v>146</v>
      </c>
      <c r="H46" s="6" t="s">
        <v>108</v>
      </c>
      <c r="I46" s="6" t="s">
        <v>108</v>
      </c>
      <c r="J46" s="6" t="s">
        <v>88</v>
      </c>
      <c r="K46" s="6" t="s">
        <v>109</v>
      </c>
      <c r="L46" s="6" t="s">
        <v>131</v>
      </c>
      <c r="M46" s="6" t="s">
        <v>80</v>
      </c>
      <c r="N46" s="8">
        <v>30.92</v>
      </c>
      <c r="O46" s="9"/>
      <c r="P46" s="11">
        <f t="shared" si="142"/>
        <v>750</v>
      </c>
      <c r="Q46" s="11">
        <f t="shared" si="143"/>
        <v>23190</v>
      </c>
      <c r="R46" s="11">
        <f t="shared" si="144"/>
        <v>3085816</v>
      </c>
      <c r="S46" s="11">
        <f t="shared" si="145"/>
        <v>0</v>
      </c>
      <c r="T46" s="12">
        <v>70000</v>
      </c>
      <c r="U46" s="12">
        <f t="shared" si="146"/>
        <v>2164400</v>
      </c>
      <c r="V46" s="12">
        <v>50000</v>
      </c>
      <c r="W46" s="12">
        <f t="shared" si="147"/>
        <v>1546000</v>
      </c>
      <c r="X46" s="12">
        <v>150400</v>
      </c>
      <c r="Y46" s="12">
        <v>70000</v>
      </c>
      <c r="Z46" s="12">
        <f t="shared" si="148"/>
        <v>2164400</v>
      </c>
      <c r="AA46" s="12">
        <v>50000</v>
      </c>
      <c r="AB46" s="12">
        <f t="shared" si="149"/>
        <v>1546000</v>
      </c>
      <c r="AC46" s="12"/>
      <c r="AD46" s="12">
        <v>70000</v>
      </c>
      <c r="AE46" s="12">
        <f t="shared" si="150"/>
        <v>2164400</v>
      </c>
      <c r="AF46" s="12">
        <v>50000</v>
      </c>
      <c r="AG46" s="12">
        <f t="shared" si="151"/>
        <v>1546000</v>
      </c>
      <c r="AH46" s="12"/>
      <c r="AI46" s="12">
        <v>60000</v>
      </c>
      <c r="AJ46" s="12">
        <f t="shared" si="152"/>
        <v>1855200</v>
      </c>
      <c r="AK46" s="12">
        <v>50000</v>
      </c>
      <c r="AL46" s="12">
        <f t="shared" si="153"/>
        <v>1546000</v>
      </c>
      <c r="AM46" s="12"/>
      <c r="AN46" s="12">
        <v>60000</v>
      </c>
      <c r="AO46" s="12">
        <f t="shared" si="154"/>
        <v>1855200</v>
      </c>
      <c r="AP46" s="12">
        <v>50000</v>
      </c>
      <c r="AQ46" s="12">
        <f t="shared" si="155"/>
        <v>1546000</v>
      </c>
      <c r="AR46" s="12"/>
      <c r="AS46" s="12">
        <v>60000</v>
      </c>
      <c r="AT46" s="12">
        <f t="shared" si="156"/>
        <v>1855200</v>
      </c>
      <c r="AU46" s="27">
        <v>50000</v>
      </c>
      <c r="AV46" s="12">
        <f t="shared" si="157"/>
        <v>1546000</v>
      </c>
      <c r="AW46" s="15">
        <v>160000</v>
      </c>
      <c r="AX46" s="13">
        <v>60000</v>
      </c>
      <c r="AY46" s="13">
        <f t="shared" si="158"/>
        <v>1855200</v>
      </c>
      <c r="AZ46" s="12">
        <v>50000</v>
      </c>
      <c r="BA46" s="12">
        <f t="shared" si="159"/>
        <v>1546000</v>
      </c>
      <c r="BB46" s="12"/>
      <c r="BC46" s="12">
        <v>60000</v>
      </c>
      <c r="BD46" s="12">
        <f t="shared" si="160"/>
        <v>1855200</v>
      </c>
      <c r="BE46" s="12">
        <v>49800</v>
      </c>
      <c r="BF46" s="12">
        <f t="shared" si="161"/>
        <v>1539816</v>
      </c>
      <c r="BG46" s="12"/>
      <c r="BH46" s="12">
        <v>60000</v>
      </c>
      <c r="BI46" s="12">
        <f t="shared" si="162"/>
        <v>1855200</v>
      </c>
      <c r="BJ46" s="12"/>
      <c r="BK46" s="12">
        <f t="shared" si="163"/>
        <v>0</v>
      </c>
      <c r="BL46" s="12"/>
      <c r="BM46" s="12">
        <v>60000</v>
      </c>
      <c r="BN46" s="12">
        <f t="shared" si="164"/>
        <v>1855200</v>
      </c>
      <c r="BO46" s="12"/>
      <c r="BP46" s="12">
        <f t="shared" si="165"/>
        <v>0</v>
      </c>
      <c r="BQ46" s="12"/>
      <c r="BR46" s="12">
        <v>60000</v>
      </c>
      <c r="BS46" s="12">
        <f t="shared" si="166"/>
        <v>1855200</v>
      </c>
      <c r="BT46" s="12"/>
      <c r="BU46" s="12">
        <f t="shared" si="167"/>
        <v>0</v>
      </c>
      <c r="BV46" s="12"/>
      <c r="BW46" s="12">
        <v>60000</v>
      </c>
      <c r="BX46" s="12">
        <f t="shared" si="168"/>
        <v>1855200</v>
      </c>
      <c r="BY46" s="12"/>
      <c r="BZ46" s="12">
        <f t="shared" si="169"/>
        <v>0</v>
      </c>
      <c r="CA46" s="12"/>
      <c r="CB46" s="6"/>
    </row>
    <row r="47" spans="1:80" ht="16" x14ac:dyDescent="0.4">
      <c r="A47" s="6" t="s">
        <v>76</v>
      </c>
      <c r="B47" s="6" t="s">
        <v>167</v>
      </c>
      <c r="C47" s="6" t="s">
        <v>168</v>
      </c>
      <c r="D47" s="6" t="s">
        <v>253</v>
      </c>
      <c r="E47" s="73" t="s">
        <v>196</v>
      </c>
      <c r="F47" s="6" t="s">
        <v>182</v>
      </c>
      <c r="G47" s="6" t="s">
        <v>146</v>
      </c>
      <c r="H47" s="6" t="s">
        <v>86</v>
      </c>
      <c r="I47" s="6" t="s">
        <v>86</v>
      </c>
      <c r="J47" s="6" t="s">
        <v>87</v>
      </c>
      <c r="K47" s="6" t="s">
        <v>84</v>
      </c>
      <c r="L47" s="6" t="s">
        <v>130</v>
      </c>
      <c r="M47" s="6" t="s">
        <v>80</v>
      </c>
      <c r="N47" s="8">
        <v>6.97</v>
      </c>
      <c r="O47" s="9"/>
      <c r="P47" s="11">
        <f t="shared" si="142"/>
        <v>228</v>
      </c>
      <c r="Q47" s="11">
        <f t="shared" si="143"/>
        <v>1589.16</v>
      </c>
      <c r="R47" s="11">
        <f t="shared" si="144"/>
        <v>383350</v>
      </c>
      <c r="S47" s="11">
        <f t="shared" si="145"/>
        <v>0</v>
      </c>
      <c r="T47" s="12">
        <v>46500</v>
      </c>
      <c r="U47" s="12">
        <f t="shared" si="146"/>
        <v>324105</v>
      </c>
      <c r="V47" s="12">
        <v>40000</v>
      </c>
      <c r="W47" s="12">
        <f t="shared" si="147"/>
        <v>278800</v>
      </c>
      <c r="X47" s="12"/>
      <c r="Y47" s="12">
        <v>16500</v>
      </c>
      <c r="Z47" s="12">
        <f t="shared" si="148"/>
        <v>115005</v>
      </c>
      <c r="AA47" s="12">
        <v>60000</v>
      </c>
      <c r="AB47" s="12">
        <f t="shared" si="149"/>
        <v>418200</v>
      </c>
      <c r="AC47" s="12"/>
      <c r="AD47" s="12">
        <v>16500</v>
      </c>
      <c r="AE47" s="12">
        <f t="shared" si="150"/>
        <v>115005</v>
      </c>
      <c r="AF47" s="12">
        <v>60000</v>
      </c>
      <c r="AG47" s="12">
        <f t="shared" si="151"/>
        <v>418200</v>
      </c>
      <c r="AH47" s="12"/>
      <c r="AI47" s="12">
        <v>16500</v>
      </c>
      <c r="AJ47" s="12">
        <f t="shared" si="152"/>
        <v>115005</v>
      </c>
      <c r="AK47" s="12">
        <v>60000</v>
      </c>
      <c r="AL47" s="12">
        <f t="shared" si="153"/>
        <v>418200</v>
      </c>
      <c r="AM47" s="12"/>
      <c r="AN47" s="12">
        <v>16500</v>
      </c>
      <c r="AO47" s="12">
        <f t="shared" si="154"/>
        <v>115005</v>
      </c>
      <c r="AP47" s="12">
        <v>55000</v>
      </c>
      <c r="AQ47" s="12">
        <f t="shared" si="155"/>
        <v>383350</v>
      </c>
      <c r="AR47" s="12"/>
      <c r="AS47" s="12">
        <v>16500</v>
      </c>
      <c r="AT47" s="12">
        <f t="shared" si="156"/>
        <v>115005</v>
      </c>
      <c r="AU47" s="12">
        <v>55000</v>
      </c>
      <c r="AV47" s="12">
        <f t="shared" si="157"/>
        <v>383350</v>
      </c>
      <c r="AW47" s="12"/>
      <c r="AX47" s="13">
        <v>16500</v>
      </c>
      <c r="AY47" s="13">
        <f t="shared" si="158"/>
        <v>115005</v>
      </c>
      <c r="AZ47" s="12">
        <v>55000</v>
      </c>
      <c r="BA47" s="12">
        <f t="shared" si="159"/>
        <v>383350</v>
      </c>
      <c r="BB47" s="12"/>
      <c r="BC47" s="12">
        <v>16500</v>
      </c>
      <c r="BD47" s="12">
        <f t="shared" si="160"/>
        <v>115005</v>
      </c>
      <c r="BE47" s="12"/>
      <c r="BF47" s="12">
        <f t="shared" si="161"/>
        <v>0</v>
      </c>
      <c r="BG47" s="12"/>
      <c r="BH47" s="12">
        <v>16500</v>
      </c>
      <c r="BI47" s="12">
        <f t="shared" si="162"/>
        <v>115005</v>
      </c>
      <c r="BJ47" s="12"/>
      <c r="BK47" s="12">
        <f t="shared" si="163"/>
        <v>0</v>
      </c>
      <c r="BL47" s="12"/>
      <c r="BM47" s="12">
        <v>16500</v>
      </c>
      <c r="BN47" s="12">
        <f t="shared" si="164"/>
        <v>115005</v>
      </c>
      <c r="BO47" s="12"/>
      <c r="BP47" s="12">
        <f t="shared" si="165"/>
        <v>0</v>
      </c>
      <c r="BQ47" s="12"/>
      <c r="BR47" s="12">
        <v>16500</v>
      </c>
      <c r="BS47" s="12">
        <f t="shared" si="166"/>
        <v>115005</v>
      </c>
      <c r="BT47" s="12"/>
      <c r="BU47" s="12">
        <f t="shared" si="167"/>
        <v>0</v>
      </c>
      <c r="BV47" s="12"/>
      <c r="BW47" s="12">
        <v>16500</v>
      </c>
      <c r="BX47" s="12">
        <f t="shared" si="168"/>
        <v>115005</v>
      </c>
      <c r="BY47" s="12"/>
      <c r="BZ47" s="12">
        <f t="shared" si="169"/>
        <v>0</v>
      </c>
      <c r="CA47" s="12"/>
      <c r="CB47" s="39"/>
    </row>
    <row r="48" spans="1:80" ht="16" x14ac:dyDescent="0.4">
      <c r="A48" s="6" t="s">
        <v>76</v>
      </c>
      <c r="B48" s="6" t="s">
        <v>167</v>
      </c>
      <c r="C48" s="6" t="s">
        <v>168</v>
      </c>
      <c r="D48" s="6" t="s">
        <v>195</v>
      </c>
      <c r="E48" s="73" t="s">
        <v>196</v>
      </c>
      <c r="F48" s="6" t="s">
        <v>182</v>
      </c>
      <c r="G48" s="6" t="s">
        <v>146</v>
      </c>
      <c r="H48" s="6" t="s">
        <v>77</v>
      </c>
      <c r="I48" s="6" t="s">
        <v>77</v>
      </c>
      <c r="J48" s="6" t="s">
        <v>78</v>
      </c>
      <c r="K48" s="6" t="s">
        <v>79</v>
      </c>
      <c r="L48" s="6" t="s">
        <v>119</v>
      </c>
      <c r="M48" s="6" t="s">
        <v>80</v>
      </c>
      <c r="N48" s="8">
        <v>1.9</v>
      </c>
      <c r="O48" s="36">
        <v>30000</v>
      </c>
      <c r="P48" s="11">
        <f t="shared" si="142"/>
        <v>486</v>
      </c>
      <c r="Q48" s="11">
        <f t="shared" si="143"/>
        <v>923.4</v>
      </c>
      <c r="R48" s="11">
        <f t="shared" si="144"/>
        <v>247000</v>
      </c>
      <c r="S48" s="11">
        <f t="shared" si="145"/>
        <v>264000</v>
      </c>
      <c r="T48" s="12">
        <v>21000</v>
      </c>
      <c r="U48" s="12">
        <f t="shared" si="146"/>
        <v>39900</v>
      </c>
      <c r="V48" s="12">
        <v>171000</v>
      </c>
      <c r="W48" s="12">
        <f t="shared" si="147"/>
        <v>324900</v>
      </c>
      <c r="X48" s="12">
        <v>64000</v>
      </c>
      <c r="Y48" s="12">
        <v>21000</v>
      </c>
      <c r="Z48" s="12">
        <f t="shared" si="148"/>
        <v>39900</v>
      </c>
      <c r="AA48" s="12">
        <v>180000</v>
      </c>
      <c r="AB48" s="12">
        <f t="shared" si="149"/>
        <v>342000</v>
      </c>
      <c r="AC48" s="12">
        <v>60000</v>
      </c>
      <c r="AD48" s="12">
        <v>60000</v>
      </c>
      <c r="AE48" s="12">
        <f t="shared" si="150"/>
        <v>114000</v>
      </c>
      <c r="AF48" s="12">
        <v>130000</v>
      </c>
      <c r="AG48" s="12">
        <f t="shared" si="151"/>
        <v>247000</v>
      </c>
      <c r="AH48" s="12">
        <v>640000</v>
      </c>
      <c r="AI48" s="12">
        <v>60000</v>
      </c>
      <c r="AJ48" s="12">
        <f t="shared" si="152"/>
        <v>114000</v>
      </c>
      <c r="AK48" s="12">
        <v>130000</v>
      </c>
      <c r="AL48" s="12">
        <f t="shared" si="153"/>
        <v>247000</v>
      </c>
      <c r="AM48" s="12"/>
      <c r="AN48" s="12">
        <v>21000</v>
      </c>
      <c r="AO48" s="12">
        <f t="shared" si="154"/>
        <v>39900</v>
      </c>
      <c r="AP48" s="12">
        <v>130000</v>
      </c>
      <c r="AQ48" s="12">
        <f t="shared" si="155"/>
        <v>247000</v>
      </c>
      <c r="AR48" s="14">
        <v>55000</v>
      </c>
      <c r="AS48" s="12">
        <v>21000</v>
      </c>
      <c r="AT48" s="12">
        <f t="shared" si="156"/>
        <v>39900</v>
      </c>
      <c r="AU48" s="12">
        <v>130000</v>
      </c>
      <c r="AV48" s="12">
        <f t="shared" si="157"/>
        <v>247000</v>
      </c>
      <c r="AW48" s="63">
        <v>186000</v>
      </c>
      <c r="AX48" s="13">
        <v>60000</v>
      </c>
      <c r="AY48" s="13">
        <f t="shared" si="158"/>
        <v>114000</v>
      </c>
      <c r="AZ48" s="12">
        <v>130000</v>
      </c>
      <c r="BA48" s="12">
        <f t="shared" si="159"/>
        <v>247000</v>
      </c>
      <c r="BB48" s="12"/>
      <c r="BC48" s="12">
        <v>60000</v>
      </c>
      <c r="BD48" s="12">
        <f t="shared" si="160"/>
        <v>114000</v>
      </c>
      <c r="BE48" s="12"/>
      <c r="BF48" s="12">
        <f t="shared" si="161"/>
        <v>0</v>
      </c>
      <c r="BG48" s="12"/>
      <c r="BH48" s="12">
        <v>21000</v>
      </c>
      <c r="BI48" s="12">
        <f t="shared" si="162"/>
        <v>39900</v>
      </c>
      <c r="BJ48" s="12"/>
      <c r="BK48" s="12">
        <f t="shared" si="163"/>
        <v>0</v>
      </c>
      <c r="BL48" s="12">
        <v>264000</v>
      </c>
      <c r="BM48" s="12">
        <v>21000</v>
      </c>
      <c r="BN48" s="12">
        <f t="shared" si="164"/>
        <v>39900</v>
      </c>
      <c r="BO48" s="12"/>
      <c r="BP48" s="12">
        <f t="shared" si="165"/>
        <v>0</v>
      </c>
      <c r="BQ48" s="12"/>
      <c r="BR48" s="12">
        <v>60000</v>
      </c>
      <c r="BS48" s="12">
        <f t="shared" si="166"/>
        <v>114000</v>
      </c>
      <c r="BT48" s="12"/>
      <c r="BU48" s="12">
        <f t="shared" si="167"/>
        <v>0</v>
      </c>
      <c r="BV48" s="12"/>
      <c r="BW48" s="12">
        <v>60000</v>
      </c>
      <c r="BX48" s="12">
        <f t="shared" si="168"/>
        <v>114000</v>
      </c>
      <c r="BY48" s="12"/>
      <c r="BZ48" s="12">
        <f t="shared" si="169"/>
        <v>0</v>
      </c>
      <c r="CA48" s="12"/>
      <c r="CB48" s="33" t="s">
        <v>276</v>
      </c>
    </row>
    <row r="49" spans="1:80" ht="16" x14ac:dyDescent="0.4">
      <c r="A49" s="6" t="s">
        <v>76</v>
      </c>
      <c r="B49" s="6" t="s">
        <v>167</v>
      </c>
      <c r="C49" s="6" t="s">
        <v>168</v>
      </c>
      <c r="D49" s="6" t="s">
        <v>253</v>
      </c>
      <c r="E49" s="73" t="s">
        <v>196</v>
      </c>
      <c r="F49" s="6" t="s">
        <v>182</v>
      </c>
      <c r="G49" s="6" t="s">
        <v>146</v>
      </c>
      <c r="H49" s="6" t="s">
        <v>77</v>
      </c>
      <c r="I49" s="6" t="s">
        <v>77</v>
      </c>
      <c r="J49" s="6" t="s">
        <v>78</v>
      </c>
      <c r="K49" s="6" t="s">
        <v>79</v>
      </c>
      <c r="L49" s="6" t="s">
        <v>136</v>
      </c>
      <c r="M49" s="6" t="s">
        <v>80</v>
      </c>
      <c r="N49" s="8">
        <v>4.58</v>
      </c>
      <c r="O49" s="9"/>
      <c r="P49" s="11">
        <f t="shared" si="142"/>
        <v>456</v>
      </c>
      <c r="Q49" s="11">
        <f t="shared" si="143"/>
        <v>2088.48</v>
      </c>
      <c r="R49" s="11">
        <f t="shared" si="144"/>
        <v>229000</v>
      </c>
      <c r="S49" s="11">
        <f t="shared" si="145"/>
        <v>0</v>
      </c>
      <c r="T49" s="12">
        <v>38000</v>
      </c>
      <c r="U49" s="12">
        <f t="shared" si="146"/>
        <v>174040</v>
      </c>
      <c r="V49" s="12">
        <v>55000</v>
      </c>
      <c r="W49" s="12">
        <f t="shared" si="147"/>
        <v>251900</v>
      </c>
      <c r="X49" s="12">
        <v>39000</v>
      </c>
      <c r="Y49" s="12">
        <v>38000</v>
      </c>
      <c r="Z49" s="12">
        <f t="shared" si="148"/>
        <v>174040</v>
      </c>
      <c r="AA49" s="12">
        <v>55000</v>
      </c>
      <c r="AB49" s="12">
        <f t="shared" si="149"/>
        <v>251900</v>
      </c>
      <c r="AC49" s="12"/>
      <c r="AD49" s="12">
        <v>38000</v>
      </c>
      <c r="AE49" s="12">
        <f t="shared" si="150"/>
        <v>174040</v>
      </c>
      <c r="AF49" s="12">
        <v>60000</v>
      </c>
      <c r="AG49" s="12">
        <f t="shared" si="151"/>
        <v>274800</v>
      </c>
      <c r="AH49" s="12"/>
      <c r="AI49" s="12">
        <v>38000</v>
      </c>
      <c r="AJ49" s="12">
        <f t="shared" si="152"/>
        <v>174040</v>
      </c>
      <c r="AK49" s="12">
        <v>50000</v>
      </c>
      <c r="AL49" s="12">
        <f t="shared" si="153"/>
        <v>229000</v>
      </c>
      <c r="AM49" s="12">
        <v>69000</v>
      </c>
      <c r="AN49" s="12">
        <v>38000</v>
      </c>
      <c r="AO49" s="12">
        <f t="shared" si="154"/>
        <v>174040</v>
      </c>
      <c r="AP49" s="12">
        <v>50000</v>
      </c>
      <c r="AQ49" s="12">
        <f t="shared" si="155"/>
        <v>229000</v>
      </c>
      <c r="AR49" s="14">
        <v>51000</v>
      </c>
      <c r="AS49" s="12">
        <v>38000</v>
      </c>
      <c r="AT49" s="12">
        <f t="shared" si="156"/>
        <v>174040</v>
      </c>
      <c r="AU49" s="12">
        <v>50000</v>
      </c>
      <c r="AV49" s="12">
        <f t="shared" si="157"/>
        <v>229000</v>
      </c>
      <c r="AW49" s="12"/>
      <c r="AX49" s="13">
        <v>38000</v>
      </c>
      <c r="AY49" s="13">
        <f t="shared" si="158"/>
        <v>174040</v>
      </c>
      <c r="AZ49" s="12">
        <v>50000</v>
      </c>
      <c r="BA49" s="12">
        <f t="shared" si="159"/>
        <v>229000</v>
      </c>
      <c r="BB49" s="12"/>
      <c r="BC49" s="12">
        <v>38000</v>
      </c>
      <c r="BD49" s="12">
        <f t="shared" si="160"/>
        <v>174040</v>
      </c>
      <c r="BE49" s="12"/>
      <c r="BF49" s="12">
        <f t="shared" si="161"/>
        <v>0</v>
      </c>
      <c r="BG49" s="12"/>
      <c r="BH49" s="12">
        <v>38000</v>
      </c>
      <c r="BI49" s="12">
        <f t="shared" si="162"/>
        <v>174040</v>
      </c>
      <c r="BJ49" s="12"/>
      <c r="BK49" s="12">
        <f t="shared" si="163"/>
        <v>0</v>
      </c>
      <c r="BL49" s="12"/>
      <c r="BM49" s="12">
        <v>38000</v>
      </c>
      <c r="BN49" s="12">
        <f t="shared" si="164"/>
        <v>174040</v>
      </c>
      <c r="BO49" s="12"/>
      <c r="BP49" s="12">
        <f t="shared" si="165"/>
        <v>0</v>
      </c>
      <c r="BQ49" s="12"/>
      <c r="BR49" s="12">
        <v>38000</v>
      </c>
      <c r="BS49" s="12">
        <f t="shared" si="166"/>
        <v>174040</v>
      </c>
      <c r="BT49" s="12"/>
      <c r="BU49" s="12">
        <f t="shared" si="167"/>
        <v>0</v>
      </c>
      <c r="BV49" s="12"/>
      <c r="BW49" s="12">
        <v>38000</v>
      </c>
      <c r="BX49" s="12">
        <f t="shared" si="168"/>
        <v>174040</v>
      </c>
      <c r="BY49" s="12"/>
      <c r="BZ49" s="12">
        <f t="shared" si="169"/>
        <v>0</v>
      </c>
      <c r="CA49" s="19"/>
      <c r="CB49" s="6"/>
    </row>
    <row r="50" spans="1:80" ht="16" x14ac:dyDescent="0.4">
      <c r="A50" s="10" t="s">
        <v>76</v>
      </c>
      <c r="B50" s="6" t="s">
        <v>167</v>
      </c>
      <c r="C50" s="6" t="s">
        <v>168</v>
      </c>
      <c r="D50" s="6" t="s">
        <v>195</v>
      </c>
      <c r="E50" s="73" t="s">
        <v>196</v>
      </c>
      <c r="F50" s="6" t="s">
        <v>182</v>
      </c>
      <c r="G50" s="6" t="s">
        <v>146</v>
      </c>
      <c r="H50" s="6" t="s">
        <v>77</v>
      </c>
      <c r="I50" s="6" t="s">
        <v>77</v>
      </c>
      <c r="J50" s="6" t="s">
        <v>78</v>
      </c>
      <c r="K50" s="6" t="s">
        <v>79</v>
      </c>
      <c r="L50" s="6" t="s">
        <v>138</v>
      </c>
      <c r="M50" s="6" t="s">
        <v>80</v>
      </c>
      <c r="N50" s="8">
        <v>6.11</v>
      </c>
      <c r="O50" s="9"/>
      <c r="P50" s="11">
        <f t="shared" si="142"/>
        <v>360</v>
      </c>
      <c r="Q50" s="11">
        <f t="shared" si="143"/>
        <v>2199.6</v>
      </c>
      <c r="R50" s="11">
        <f t="shared" si="144"/>
        <v>219960</v>
      </c>
      <c r="S50" s="11">
        <f t="shared" si="145"/>
        <v>420000</v>
      </c>
      <c r="T50" s="12">
        <v>30000</v>
      </c>
      <c r="U50" s="12">
        <f t="shared" si="146"/>
        <v>183300</v>
      </c>
      <c r="V50" s="12">
        <v>30000</v>
      </c>
      <c r="W50" s="12">
        <f t="shared" si="147"/>
        <v>183300</v>
      </c>
      <c r="X50" s="12"/>
      <c r="Y50" s="12">
        <v>30000</v>
      </c>
      <c r="Z50" s="12">
        <f t="shared" si="148"/>
        <v>183300</v>
      </c>
      <c r="AA50" s="12">
        <v>36000</v>
      </c>
      <c r="AB50" s="12">
        <f t="shared" si="149"/>
        <v>219960</v>
      </c>
      <c r="AC50" s="12"/>
      <c r="AD50" s="12">
        <v>30000</v>
      </c>
      <c r="AE50" s="12">
        <f t="shared" si="150"/>
        <v>183300</v>
      </c>
      <c r="AF50" s="12">
        <v>36000</v>
      </c>
      <c r="AG50" s="12">
        <f t="shared" si="151"/>
        <v>219960</v>
      </c>
      <c r="AH50" s="12"/>
      <c r="AI50" s="12">
        <v>30000</v>
      </c>
      <c r="AJ50" s="12">
        <f t="shared" si="152"/>
        <v>183300</v>
      </c>
      <c r="AK50" s="12">
        <v>36000</v>
      </c>
      <c r="AL50" s="12">
        <f t="shared" si="153"/>
        <v>219960</v>
      </c>
      <c r="AM50" s="12"/>
      <c r="AN50" s="12">
        <v>30000</v>
      </c>
      <c r="AO50" s="12">
        <f t="shared" si="154"/>
        <v>183300</v>
      </c>
      <c r="AP50" s="12">
        <v>36000</v>
      </c>
      <c r="AQ50" s="12">
        <f t="shared" si="155"/>
        <v>219960</v>
      </c>
      <c r="AR50" s="12"/>
      <c r="AS50" s="12">
        <v>30000</v>
      </c>
      <c r="AT50" s="12">
        <f t="shared" si="156"/>
        <v>183300</v>
      </c>
      <c r="AU50" s="12">
        <v>36000</v>
      </c>
      <c r="AV50" s="12">
        <f t="shared" si="157"/>
        <v>219960</v>
      </c>
      <c r="AW50" s="12"/>
      <c r="AX50" s="13">
        <v>30000</v>
      </c>
      <c r="AY50" s="13">
        <f t="shared" si="158"/>
        <v>183300</v>
      </c>
      <c r="AZ50" s="12">
        <v>36000</v>
      </c>
      <c r="BA50" s="12">
        <f t="shared" si="159"/>
        <v>219960</v>
      </c>
      <c r="BB50" s="12"/>
      <c r="BC50" s="12">
        <v>30000</v>
      </c>
      <c r="BD50" s="12">
        <f t="shared" si="160"/>
        <v>183300</v>
      </c>
      <c r="BE50" s="12"/>
      <c r="BF50" s="12">
        <f t="shared" si="161"/>
        <v>0</v>
      </c>
      <c r="BG50" s="12">
        <v>30000</v>
      </c>
      <c r="BH50" s="12">
        <v>30000</v>
      </c>
      <c r="BI50" s="12">
        <f t="shared" si="162"/>
        <v>183300</v>
      </c>
      <c r="BJ50" s="12"/>
      <c r="BK50" s="12">
        <f t="shared" si="163"/>
        <v>0</v>
      </c>
      <c r="BL50" s="12">
        <v>291000</v>
      </c>
      <c r="BM50" s="12">
        <v>30000</v>
      </c>
      <c r="BN50" s="12">
        <f t="shared" si="164"/>
        <v>183300</v>
      </c>
      <c r="BO50" s="12"/>
      <c r="BP50" s="12">
        <f t="shared" si="165"/>
        <v>0</v>
      </c>
      <c r="BQ50" s="12">
        <v>99000</v>
      </c>
      <c r="BR50" s="12">
        <v>30000</v>
      </c>
      <c r="BS50" s="12">
        <f t="shared" si="166"/>
        <v>183300</v>
      </c>
      <c r="BT50" s="12"/>
      <c r="BU50" s="12">
        <f t="shared" si="167"/>
        <v>0</v>
      </c>
      <c r="BV50" s="12"/>
      <c r="BW50" s="12">
        <v>30000</v>
      </c>
      <c r="BX50" s="12">
        <f t="shared" si="168"/>
        <v>183300</v>
      </c>
      <c r="BY50" s="12"/>
      <c r="BZ50" s="12">
        <f t="shared" si="169"/>
        <v>0</v>
      </c>
      <c r="CA50" s="12"/>
      <c r="CB50" s="6"/>
    </row>
    <row r="51" spans="1:80" ht="16" x14ac:dyDescent="0.4">
      <c r="A51" s="10" t="s">
        <v>76</v>
      </c>
      <c r="B51" s="6" t="s">
        <v>167</v>
      </c>
      <c r="C51" s="6" t="s">
        <v>168</v>
      </c>
      <c r="D51" s="6" t="s">
        <v>195</v>
      </c>
      <c r="E51" s="73" t="s">
        <v>196</v>
      </c>
      <c r="F51" s="6" t="s">
        <v>182</v>
      </c>
      <c r="G51" s="6" t="s">
        <v>146</v>
      </c>
      <c r="H51" s="6" t="s">
        <v>77</v>
      </c>
      <c r="I51" s="6" t="s">
        <v>77</v>
      </c>
      <c r="J51" s="6" t="s">
        <v>78</v>
      </c>
      <c r="K51" s="6" t="s">
        <v>79</v>
      </c>
      <c r="L51" s="6" t="s">
        <v>137</v>
      </c>
      <c r="M51" s="6" t="s">
        <v>80</v>
      </c>
      <c r="N51" s="8">
        <v>1.9</v>
      </c>
      <c r="O51" s="9"/>
      <c r="P51" s="11">
        <f t="shared" si="142"/>
        <v>306.42599999999999</v>
      </c>
      <c r="Q51" s="11">
        <f t="shared" si="143"/>
        <v>582.20939999999996</v>
      </c>
      <c r="R51" s="11">
        <f t="shared" si="144"/>
        <v>57000</v>
      </c>
      <c r="S51" s="11">
        <f t="shared" si="145"/>
        <v>60000</v>
      </c>
      <c r="T51" s="12">
        <v>23752</v>
      </c>
      <c r="U51" s="12">
        <f t="shared" si="146"/>
        <v>45128.799999999996</v>
      </c>
      <c r="V51" s="12">
        <v>21000</v>
      </c>
      <c r="W51" s="12">
        <f t="shared" si="147"/>
        <v>39900</v>
      </c>
      <c r="X51" s="12"/>
      <c r="Y51" s="12">
        <v>25660</v>
      </c>
      <c r="Z51" s="12">
        <f t="shared" si="148"/>
        <v>48754</v>
      </c>
      <c r="AA51" s="12">
        <v>30000</v>
      </c>
      <c r="AB51" s="12">
        <f t="shared" si="149"/>
        <v>57000</v>
      </c>
      <c r="AC51" s="12"/>
      <c r="AD51" s="12">
        <v>26490</v>
      </c>
      <c r="AE51" s="12">
        <f t="shared" si="150"/>
        <v>50331</v>
      </c>
      <c r="AF51" s="12">
        <v>30000</v>
      </c>
      <c r="AG51" s="12">
        <f t="shared" si="151"/>
        <v>57000</v>
      </c>
      <c r="AH51" s="12">
        <v>102000</v>
      </c>
      <c r="AI51" s="12">
        <v>26240</v>
      </c>
      <c r="AJ51" s="12">
        <f t="shared" si="152"/>
        <v>49856</v>
      </c>
      <c r="AK51" s="12">
        <v>30000</v>
      </c>
      <c r="AL51" s="12">
        <f t="shared" si="153"/>
        <v>57000</v>
      </c>
      <c r="AM51" s="12"/>
      <c r="AN51" s="12">
        <v>23752</v>
      </c>
      <c r="AO51" s="12">
        <f t="shared" si="154"/>
        <v>45128.799999999996</v>
      </c>
      <c r="AP51" s="12">
        <v>30000</v>
      </c>
      <c r="AQ51" s="12">
        <f t="shared" si="155"/>
        <v>57000</v>
      </c>
      <c r="AR51" s="12"/>
      <c r="AS51" s="12">
        <v>25660</v>
      </c>
      <c r="AT51" s="12">
        <f t="shared" si="156"/>
        <v>48754</v>
      </c>
      <c r="AU51" s="12">
        <v>30000</v>
      </c>
      <c r="AV51" s="12">
        <f t="shared" si="157"/>
        <v>57000</v>
      </c>
      <c r="AW51" s="12"/>
      <c r="AX51" s="13">
        <v>26490</v>
      </c>
      <c r="AY51" s="13">
        <f t="shared" si="158"/>
        <v>50331</v>
      </c>
      <c r="AZ51" s="12">
        <v>30000</v>
      </c>
      <c r="BA51" s="12">
        <f t="shared" si="159"/>
        <v>57000</v>
      </c>
      <c r="BB51" s="38">
        <v>48000</v>
      </c>
      <c r="BC51" s="12">
        <v>26240</v>
      </c>
      <c r="BD51" s="12">
        <f t="shared" si="160"/>
        <v>49856</v>
      </c>
      <c r="BE51" s="12"/>
      <c r="BF51" s="12">
        <f t="shared" si="161"/>
        <v>0</v>
      </c>
      <c r="BG51" s="12"/>
      <c r="BH51" s="12">
        <v>23752</v>
      </c>
      <c r="BI51" s="12">
        <f t="shared" si="162"/>
        <v>45128.799999999996</v>
      </c>
      <c r="BJ51" s="12"/>
      <c r="BK51" s="12">
        <f t="shared" si="163"/>
        <v>0</v>
      </c>
      <c r="BL51" s="12">
        <v>12000</v>
      </c>
      <c r="BM51" s="12">
        <v>25660</v>
      </c>
      <c r="BN51" s="12">
        <f t="shared" si="164"/>
        <v>48754</v>
      </c>
      <c r="BO51" s="12"/>
      <c r="BP51" s="12">
        <f t="shared" si="165"/>
        <v>0</v>
      </c>
      <c r="BQ51" s="12"/>
      <c r="BR51" s="12">
        <v>26490</v>
      </c>
      <c r="BS51" s="12">
        <f t="shared" si="166"/>
        <v>50331</v>
      </c>
      <c r="BT51" s="12"/>
      <c r="BU51" s="12">
        <f t="shared" si="167"/>
        <v>0</v>
      </c>
      <c r="BV51" s="12"/>
      <c r="BW51" s="12">
        <v>26240</v>
      </c>
      <c r="BX51" s="12">
        <f t="shared" si="168"/>
        <v>49856</v>
      </c>
      <c r="BY51" s="12"/>
      <c r="BZ51" s="12">
        <f t="shared" si="169"/>
        <v>0</v>
      </c>
      <c r="CA51" s="12"/>
      <c r="CB51" s="6"/>
    </row>
    <row r="52" spans="1:80" ht="16" x14ac:dyDescent="0.4">
      <c r="A52" s="10" t="s">
        <v>76</v>
      </c>
      <c r="B52" s="6" t="s">
        <v>167</v>
      </c>
      <c r="C52" s="6" t="s">
        <v>168</v>
      </c>
      <c r="D52" s="6" t="s">
        <v>195</v>
      </c>
      <c r="E52" s="73" t="s">
        <v>196</v>
      </c>
      <c r="F52" s="6" t="s">
        <v>182</v>
      </c>
      <c r="G52" s="6" t="s">
        <v>146</v>
      </c>
      <c r="H52" s="6" t="s">
        <v>77</v>
      </c>
      <c r="I52" s="6" t="s">
        <v>77</v>
      </c>
      <c r="J52" s="6" t="s">
        <v>78</v>
      </c>
      <c r="K52" s="6" t="s">
        <v>79</v>
      </c>
      <c r="L52" s="6" t="s">
        <v>139</v>
      </c>
      <c r="M52" s="6" t="s">
        <v>80</v>
      </c>
      <c r="N52" s="8">
        <v>0.65</v>
      </c>
      <c r="O52" s="36">
        <v>159000</v>
      </c>
      <c r="P52" s="11">
        <f t="shared" si="142"/>
        <v>720</v>
      </c>
      <c r="Q52" s="11">
        <f t="shared" si="143"/>
        <v>468</v>
      </c>
      <c r="R52" s="11">
        <f t="shared" si="144"/>
        <v>39000</v>
      </c>
      <c r="S52" s="11">
        <f t="shared" si="145"/>
        <v>105000</v>
      </c>
      <c r="T52" s="12">
        <v>60000</v>
      </c>
      <c r="U52" s="12">
        <f t="shared" si="146"/>
        <v>39000</v>
      </c>
      <c r="V52" s="12">
        <v>60000</v>
      </c>
      <c r="W52" s="12">
        <f t="shared" si="147"/>
        <v>39000</v>
      </c>
      <c r="X52" s="12">
        <v>15000</v>
      </c>
      <c r="Y52" s="12">
        <v>60000</v>
      </c>
      <c r="Z52" s="12">
        <f t="shared" si="148"/>
        <v>39000</v>
      </c>
      <c r="AA52" s="12">
        <v>60000</v>
      </c>
      <c r="AB52" s="12">
        <f t="shared" si="149"/>
        <v>39000</v>
      </c>
      <c r="AC52" s="12"/>
      <c r="AD52" s="12">
        <v>60000</v>
      </c>
      <c r="AE52" s="12">
        <f t="shared" si="150"/>
        <v>39000</v>
      </c>
      <c r="AF52" s="12">
        <v>60000</v>
      </c>
      <c r="AG52" s="12">
        <f t="shared" si="151"/>
        <v>39000</v>
      </c>
      <c r="AH52" s="12">
        <v>591000</v>
      </c>
      <c r="AI52" s="12">
        <v>60000</v>
      </c>
      <c r="AJ52" s="12">
        <f t="shared" si="152"/>
        <v>39000</v>
      </c>
      <c r="AK52" s="12">
        <v>60000</v>
      </c>
      <c r="AL52" s="12">
        <f t="shared" si="153"/>
        <v>39000</v>
      </c>
      <c r="AM52" s="12"/>
      <c r="AN52" s="12">
        <v>60000</v>
      </c>
      <c r="AO52" s="12">
        <f t="shared" si="154"/>
        <v>39000</v>
      </c>
      <c r="AP52" s="12">
        <v>60000</v>
      </c>
      <c r="AQ52" s="12">
        <f t="shared" si="155"/>
        <v>39000</v>
      </c>
      <c r="AR52" s="12"/>
      <c r="AS52" s="12">
        <v>60000</v>
      </c>
      <c r="AT52" s="12">
        <f t="shared" si="156"/>
        <v>39000</v>
      </c>
      <c r="AU52" s="12">
        <v>60000</v>
      </c>
      <c r="AV52" s="12">
        <f t="shared" si="157"/>
        <v>39000</v>
      </c>
      <c r="AW52" s="63">
        <v>48000</v>
      </c>
      <c r="AX52" s="13">
        <v>60000</v>
      </c>
      <c r="AY52" s="13">
        <f t="shared" si="158"/>
        <v>39000</v>
      </c>
      <c r="AZ52" s="12">
        <v>60000</v>
      </c>
      <c r="BA52" s="12">
        <f t="shared" si="159"/>
        <v>39000</v>
      </c>
      <c r="BB52" s="38">
        <v>105000</v>
      </c>
      <c r="BC52" s="12">
        <v>60000</v>
      </c>
      <c r="BD52" s="12">
        <f t="shared" si="160"/>
        <v>39000</v>
      </c>
      <c r="BE52" s="12"/>
      <c r="BF52" s="12">
        <f t="shared" si="161"/>
        <v>0</v>
      </c>
      <c r="BG52" s="12"/>
      <c r="BH52" s="12">
        <v>60000</v>
      </c>
      <c r="BI52" s="12">
        <f t="shared" si="162"/>
        <v>39000</v>
      </c>
      <c r="BJ52" s="12"/>
      <c r="BK52" s="12">
        <f t="shared" si="163"/>
        <v>0</v>
      </c>
      <c r="BL52" s="12"/>
      <c r="BM52" s="12">
        <v>60000</v>
      </c>
      <c r="BN52" s="12">
        <f t="shared" si="164"/>
        <v>39000</v>
      </c>
      <c r="BO52" s="12"/>
      <c r="BP52" s="12">
        <f t="shared" si="165"/>
        <v>0</v>
      </c>
      <c r="BQ52" s="12"/>
      <c r="BR52" s="12">
        <v>60000</v>
      </c>
      <c r="BS52" s="12">
        <f t="shared" si="166"/>
        <v>39000</v>
      </c>
      <c r="BT52" s="12"/>
      <c r="BU52" s="12">
        <f t="shared" si="167"/>
        <v>0</v>
      </c>
      <c r="BV52" s="12"/>
      <c r="BW52" s="12">
        <v>60000</v>
      </c>
      <c r="BX52" s="12">
        <f t="shared" si="168"/>
        <v>39000</v>
      </c>
      <c r="BY52" s="12"/>
      <c r="BZ52" s="12">
        <f t="shared" si="169"/>
        <v>0</v>
      </c>
      <c r="CA52" s="12"/>
      <c r="CB52" s="6"/>
    </row>
    <row r="53" spans="1:80" ht="16" x14ac:dyDescent="0.4">
      <c r="A53" s="10" t="s">
        <v>76</v>
      </c>
      <c r="B53" s="6" t="s">
        <v>167</v>
      </c>
      <c r="C53" s="6" t="s">
        <v>168</v>
      </c>
      <c r="D53" s="6" t="s">
        <v>195</v>
      </c>
      <c r="E53" s="73" t="s">
        <v>196</v>
      </c>
      <c r="F53" s="6" t="s">
        <v>182</v>
      </c>
      <c r="G53" s="6" t="s">
        <v>146</v>
      </c>
      <c r="H53" s="6" t="s">
        <v>77</v>
      </c>
      <c r="I53" s="6" t="s">
        <v>77</v>
      </c>
      <c r="J53" s="6" t="s">
        <v>78</v>
      </c>
      <c r="K53" s="6" t="s">
        <v>79</v>
      </c>
      <c r="L53" s="6" t="s">
        <v>152</v>
      </c>
      <c r="M53" s="6" t="s">
        <v>80</v>
      </c>
      <c r="N53" s="8">
        <v>0.62</v>
      </c>
      <c r="O53" s="36">
        <v>33000</v>
      </c>
      <c r="P53" s="11">
        <f t="shared" si="142"/>
        <v>310.2</v>
      </c>
      <c r="Q53" s="11">
        <f t="shared" si="143"/>
        <v>192.32400000000001</v>
      </c>
      <c r="R53" s="11">
        <f t="shared" si="144"/>
        <v>26040</v>
      </c>
      <c r="S53" s="11">
        <f t="shared" si="145"/>
        <v>0</v>
      </c>
      <c r="T53" s="12">
        <v>28500</v>
      </c>
      <c r="U53" s="12">
        <f t="shared" si="146"/>
        <v>17670</v>
      </c>
      <c r="V53" s="12">
        <v>12000</v>
      </c>
      <c r="W53" s="12">
        <f t="shared" si="147"/>
        <v>7440</v>
      </c>
      <c r="X53" s="12"/>
      <c r="Y53" s="12">
        <v>28500</v>
      </c>
      <c r="Z53" s="12">
        <f t="shared" si="148"/>
        <v>17670</v>
      </c>
      <c r="AA53" s="12">
        <v>30000</v>
      </c>
      <c r="AB53" s="12">
        <f t="shared" si="149"/>
        <v>18600</v>
      </c>
      <c r="AC53" s="12"/>
      <c r="AD53" s="12">
        <v>25000</v>
      </c>
      <c r="AE53" s="12">
        <f t="shared" si="150"/>
        <v>15500</v>
      </c>
      <c r="AF53" s="12">
        <v>30000</v>
      </c>
      <c r="AG53" s="12">
        <f t="shared" si="151"/>
        <v>18600</v>
      </c>
      <c r="AH53" s="12"/>
      <c r="AI53" s="12">
        <v>25000</v>
      </c>
      <c r="AJ53" s="12">
        <f t="shared" si="152"/>
        <v>15500</v>
      </c>
      <c r="AK53" s="12"/>
      <c r="AL53" s="12">
        <f t="shared" si="153"/>
        <v>0</v>
      </c>
      <c r="AM53" s="12"/>
      <c r="AN53" s="12">
        <v>25800</v>
      </c>
      <c r="AO53" s="12">
        <f t="shared" si="154"/>
        <v>15996</v>
      </c>
      <c r="AP53" s="12"/>
      <c r="AQ53" s="12">
        <f t="shared" si="155"/>
        <v>0</v>
      </c>
      <c r="AR53" s="12">
        <v>42000</v>
      </c>
      <c r="AS53" s="12">
        <v>25800</v>
      </c>
      <c r="AT53" s="12">
        <f t="shared" si="156"/>
        <v>15996</v>
      </c>
      <c r="AU53" s="12">
        <v>25800</v>
      </c>
      <c r="AV53" s="12">
        <f t="shared" si="157"/>
        <v>15996</v>
      </c>
      <c r="AW53" s="32">
        <v>42000</v>
      </c>
      <c r="AX53" s="13">
        <v>25000</v>
      </c>
      <c r="AY53" s="13">
        <f t="shared" si="158"/>
        <v>15500</v>
      </c>
      <c r="AZ53" s="12">
        <v>20000</v>
      </c>
      <c r="BA53" s="12">
        <f t="shared" si="159"/>
        <v>12400</v>
      </c>
      <c r="BB53" s="12"/>
      <c r="BC53" s="12">
        <v>25000</v>
      </c>
      <c r="BD53" s="12">
        <f t="shared" si="160"/>
        <v>15500</v>
      </c>
      <c r="BE53" s="12">
        <v>22000</v>
      </c>
      <c r="BF53" s="12">
        <f t="shared" si="161"/>
        <v>13640</v>
      </c>
      <c r="BG53" s="12"/>
      <c r="BH53" s="12">
        <v>25800</v>
      </c>
      <c r="BI53" s="12">
        <f t="shared" si="162"/>
        <v>15996</v>
      </c>
      <c r="BJ53" s="12"/>
      <c r="BK53" s="12">
        <f t="shared" si="163"/>
        <v>0</v>
      </c>
      <c r="BL53" s="12"/>
      <c r="BM53" s="12">
        <v>25800</v>
      </c>
      <c r="BN53" s="12">
        <f t="shared" si="164"/>
        <v>15996</v>
      </c>
      <c r="BO53" s="12"/>
      <c r="BP53" s="12">
        <f t="shared" si="165"/>
        <v>0</v>
      </c>
      <c r="BQ53" s="12"/>
      <c r="BR53" s="12">
        <v>25000</v>
      </c>
      <c r="BS53" s="12">
        <f t="shared" si="166"/>
        <v>15500</v>
      </c>
      <c r="BT53" s="12"/>
      <c r="BU53" s="12">
        <f t="shared" si="167"/>
        <v>0</v>
      </c>
      <c r="BV53" s="12"/>
      <c r="BW53" s="12">
        <v>25000</v>
      </c>
      <c r="BX53" s="12">
        <f t="shared" si="168"/>
        <v>15500</v>
      </c>
      <c r="BY53" s="12"/>
      <c r="BZ53" s="12">
        <f t="shared" si="169"/>
        <v>0</v>
      </c>
      <c r="CA53" s="12"/>
      <c r="CB53" s="39"/>
    </row>
    <row r="54" spans="1:80" ht="16" x14ac:dyDescent="0.4">
      <c r="A54" s="10" t="s">
        <v>76</v>
      </c>
      <c r="B54" s="6" t="s">
        <v>167</v>
      </c>
      <c r="C54" s="6" t="s">
        <v>168</v>
      </c>
      <c r="D54" s="6" t="s">
        <v>253</v>
      </c>
      <c r="E54" s="73" t="s">
        <v>196</v>
      </c>
      <c r="F54" s="6" t="s">
        <v>182</v>
      </c>
      <c r="G54" s="6" t="s">
        <v>146</v>
      </c>
      <c r="H54" s="6" t="s">
        <v>108</v>
      </c>
      <c r="I54" s="6" t="s">
        <v>108</v>
      </c>
      <c r="J54" s="6" t="s">
        <v>88</v>
      </c>
      <c r="K54" s="6" t="s">
        <v>109</v>
      </c>
      <c r="L54" s="6" t="s">
        <v>124</v>
      </c>
      <c r="M54" s="6"/>
      <c r="N54" s="8">
        <v>30.92</v>
      </c>
      <c r="O54" s="9"/>
      <c r="P54" s="11">
        <f t="shared" si="142"/>
        <v>0</v>
      </c>
      <c r="Q54" s="11">
        <f t="shared" si="143"/>
        <v>0</v>
      </c>
      <c r="R54" s="11">
        <f t="shared" si="144"/>
        <v>0</v>
      </c>
      <c r="S54" s="11">
        <f t="shared" si="145"/>
        <v>0</v>
      </c>
      <c r="T54" s="12"/>
      <c r="U54" s="12">
        <f t="shared" si="146"/>
        <v>0</v>
      </c>
      <c r="V54" s="12">
        <v>30000</v>
      </c>
      <c r="W54" s="12">
        <f t="shared" si="147"/>
        <v>927600</v>
      </c>
      <c r="X54" s="12"/>
      <c r="Y54" s="12"/>
      <c r="Z54" s="12">
        <f t="shared" si="148"/>
        <v>0</v>
      </c>
      <c r="AA54" s="12">
        <v>30000</v>
      </c>
      <c r="AB54" s="12">
        <f t="shared" si="149"/>
        <v>927600</v>
      </c>
      <c r="AC54" s="12"/>
      <c r="AD54" s="12"/>
      <c r="AE54" s="12">
        <f t="shared" si="150"/>
        <v>0</v>
      </c>
      <c r="AF54" s="12">
        <v>30000</v>
      </c>
      <c r="AG54" s="12">
        <f t="shared" si="151"/>
        <v>927600</v>
      </c>
      <c r="AH54" s="12"/>
      <c r="AI54" s="12"/>
      <c r="AJ54" s="12">
        <f t="shared" si="152"/>
        <v>0</v>
      </c>
      <c r="AK54" s="12">
        <v>100000</v>
      </c>
      <c r="AL54" s="12">
        <f t="shared" si="153"/>
        <v>3092000</v>
      </c>
      <c r="AM54" s="12"/>
      <c r="AN54" s="12"/>
      <c r="AO54" s="12">
        <f t="shared" si="154"/>
        <v>0</v>
      </c>
      <c r="AP54" s="12"/>
      <c r="AQ54" s="12">
        <f t="shared" si="155"/>
        <v>0</v>
      </c>
      <c r="AR54" s="12"/>
      <c r="AS54" s="12"/>
      <c r="AT54" s="12">
        <f t="shared" si="156"/>
        <v>0</v>
      </c>
      <c r="AU54" s="12"/>
      <c r="AV54" s="12">
        <f t="shared" si="157"/>
        <v>0</v>
      </c>
      <c r="AW54" s="12"/>
      <c r="AX54" s="13"/>
      <c r="AY54" s="13">
        <f t="shared" si="158"/>
        <v>0</v>
      </c>
      <c r="AZ54" s="12"/>
      <c r="BA54" s="12">
        <f t="shared" si="159"/>
        <v>0</v>
      </c>
      <c r="BB54" s="12"/>
      <c r="BC54" s="12"/>
      <c r="BD54" s="12">
        <f t="shared" si="160"/>
        <v>0</v>
      </c>
      <c r="BE54" s="12"/>
      <c r="BF54" s="12">
        <f t="shared" si="161"/>
        <v>0</v>
      </c>
      <c r="BG54" s="12"/>
      <c r="BH54" s="12"/>
      <c r="BI54" s="12">
        <f t="shared" si="162"/>
        <v>0</v>
      </c>
      <c r="BJ54" s="12"/>
      <c r="BK54" s="12">
        <f t="shared" si="163"/>
        <v>0</v>
      </c>
      <c r="BL54" s="12"/>
      <c r="BM54" s="12"/>
      <c r="BN54" s="12">
        <f t="shared" si="164"/>
        <v>0</v>
      </c>
      <c r="BO54" s="12"/>
      <c r="BP54" s="12">
        <f t="shared" si="165"/>
        <v>0</v>
      </c>
      <c r="BQ54" s="12"/>
      <c r="BR54" s="12"/>
      <c r="BS54" s="12">
        <f t="shared" si="166"/>
        <v>0</v>
      </c>
      <c r="BT54" s="12"/>
      <c r="BU54" s="12">
        <f t="shared" si="167"/>
        <v>0</v>
      </c>
      <c r="BV54" s="12"/>
      <c r="BW54" s="12"/>
      <c r="BX54" s="12">
        <f t="shared" si="168"/>
        <v>0</v>
      </c>
      <c r="BY54" s="12"/>
      <c r="BZ54" s="12">
        <f t="shared" si="169"/>
        <v>0</v>
      </c>
      <c r="CA54" s="12"/>
      <c r="CB54" s="6"/>
    </row>
    <row r="55" spans="1:80" ht="16" x14ac:dyDescent="0.4">
      <c r="A55" s="10" t="s">
        <v>76</v>
      </c>
      <c r="B55" s="6" t="s">
        <v>167</v>
      </c>
      <c r="C55" s="6" t="s">
        <v>168</v>
      </c>
      <c r="D55" s="6" t="s">
        <v>195</v>
      </c>
      <c r="E55" s="73" t="s">
        <v>196</v>
      </c>
      <c r="F55" s="6" t="s">
        <v>182</v>
      </c>
      <c r="G55" s="6" t="s">
        <v>146</v>
      </c>
      <c r="H55" s="6" t="s">
        <v>108</v>
      </c>
      <c r="I55" s="6" t="s">
        <v>108</v>
      </c>
      <c r="J55" s="6" t="s">
        <v>88</v>
      </c>
      <c r="K55" s="6" t="s">
        <v>109</v>
      </c>
      <c r="L55" s="6" t="s">
        <v>124</v>
      </c>
      <c r="M55" s="6"/>
      <c r="N55" s="8">
        <v>30.92</v>
      </c>
      <c r="O55" s="9"/>
      <c r="P55" s="11">
        <f t="shared" si="142"/>
        <v>0</v>
      </c>
      <c r="Q55" s="11">
        <f t="shared" si="143"/>
        <v>0</v>
      </c>
      <c r="R55" s="11">
        <f t="shared" si="144"/>
        <v>0</v>
      </c>
      <c r="S55" s="11">
        <f t="shared" si="145"/>
        <v>0</v>
      </c>
      <c r="T55" s="12"/>
      <c r="U55" s="12">
        <f t="shared" si="146"/>
        <v>0</v>
      </c>
      <c r="V55" s="12"/>
      <c r="W55" s="12">
        <f t="shared" si="147"/>
        <v>0</v>
      </c>
      <c r="X55" s="12"/>
      <c r="Y55" s="12"/>
      <c r="Z55" s="12">
        <f t="shared" si="148"/>
        <v>0</v>
      </c>
      <c r="AA55" s="12">
        <v>30000</v>
      </c>
      <c r="AB55" s="12">
        <f t="shared" si="149"/>
        <v>927600</v>
      </c>
      <c r="AC55" s="12">
        <v>100000</v>
      </c>
      <c r="AD55" s="12"/>
      <c r="AE55" s="12">
        <f t="shared" si="150"/>
        <v>0</v>
      </c>
      <c r="AF55" s="12">
        <v>30000</v>
      </c>
      <c r="AG55" s="12">
        <f t="shared" si="151"/>
        <v>927600</v>
      </c>
      <c r="AH55" s="12"/>
      <c r="AI55" s="12"/>
      <c r="AJ55" s="12">
        <f t="shared" si="152"/>
        <v>0</v>
      </c>
      <c r="AK55" s="12"/>
      <c r="AL55" s="12">
        <f t="shared" si="153"/>
        <v>0</v>
      </c>
      <c r="AM55" s="12"/>
      <c r="AN55" s="12"/>
      <c r="AO55" s="12">
        <f t="shared" si="154"/>
        <v>0</v>
      </c>
      <c r="AP55" s="12">
        <v>30000</v>
      </c>
      <c r="AQ55" s="12">
        <f t="shared" si="155"/>
        <v>927600</v>
      </c>
      <c r="AR55" s="12"/>
      <c r="AS55" s="12"/>
      <c r="AT55" s="12">
        <f t="shared" si="156"/>
        <v>0</v>
      </c>
      <c r="AU55" s="12"/>
      <c r="AV55" s="12">
        <f t="shared" si="157"/>
        <v>0</v>
      </c>
      <c r="AW55" s="12"/>
      <c r="AX55" s="13"/>
      <c r="AY55" s="13">
        <f t="shared" si="158"/>
        <v>0</v>
      </c>
      <c r="AZ55" s="12"/>
      <c r="BA55" s="12">
        <f t="shared" si="159"/>
        <v>0</v>
      </c>
      <c r="BB55" s="12"/>
      <c r="BC55" s="12"/>
      <c r="BD55" s="12">
        <f t="shared" si="160"/>
        <v>0</v>
      </c>
      <c r="BE55" s="12"/>
      <c r="BF55" s="12">
        <f t="shared" si="161"/>
        <v>0</v>
      </c>
      <c r="BG55" s="12"/>
      <c r="BH55" s="12"/>
      <c r="BI55" s="12">
        <f t="shared" si="162"/>
        <v>0</v>
      </c>
      <c r="BJ55" s="12"/>
      <c r="BK55" s="12">
        <f t="shared" si="163"/>
        <v>0</v>
      </c>
      <c r="BL55" s="12"/>
      <c r="BM55" s="12"/>
      <c r="BN55" s="12">
        <f t="shared" si="164"/>
        <v>0</v>
      </c>
      <c r="BO55" s="12"/>
      <c r="BP55" s="12">
        <f t="shared" si="165"/>
        <v>0</v>
      </c>
      <c r="BQ55" s="12"/>
      <c r="BR55" s="12"/>
      <c r="BS55" s="12">
        <f t="shared" si="166"/>
        <v>0</v>
      </c>
      <c r="BT55" s="12"/>
      <c r="BU55" s="12">
        <f t="shared" si="167"/>
        <v>0</v>
      </c>
      <c r="BV55" s="12"/>
      <c r="BW55" s="12"/>
      <c r="BX55" s="12">
        <f t="shared" si="168"/>
        <v>0</v>
      </c>
      <c r="BY55" s="12"/>
      <c r="BZ55" s="12">
        <f t="shared" si="169"/>
        <v>0</v>
      </c>
      <c r="CA55" s="12"/>
      <c r="CB55" s="6"/>
    </row>
    <row r="56" spans="1:80" ht="16" x14ac:dyDescent="0.4">
      <c r="A56" s="6" t="s">
        <v>76</v>
      </c>
      <c r="B56" s="6" t="s">
        <v>167</v>
      </c>
      <c r="C56" s="6" t="s">
        <v>168</v>
      </c>
      <c r="D56" s="6" t="s">
        <v>254</v>
      </c>
      <c r="E56" s="73" t="s">
        <v>255</v>
      </c>
      <c r="F56" s="6" t="s">
        <v>182</v>
      </c>
      <c r="G56" s="6" t="s">
        <v>174</v>
      </c>
      <c r="H56" s="6" t="s">
        <v>82</v>
      </c>
      <c r="I56" s="6" t="s">
        <v>82</v>
      </c>
      <c r="J56" s="6" t="s">
        <v>106</v>
      </c>
      <c r="K56" s="6" t="s">
        <v>81</v>
      </c>
      <c r="L56" s="6" t="s">
        <v>143</v>
      </c>
      <c r="M56" s="6" t="s">
        <v>80</v>
      </c>
      <c r="N56" s="8">
        <v>78</v>
      </c>
      <c r="O56" s="9"/>
      <c r="P56" s="11">
        <f t="shared" si="142"/>
        <v>1.26</v>
      </c>
      <c r="Q56" s="11">
        <f t="shared" si="143"/>
        <v>98.28</v>
      </c>
      <c r="R56" s="11">
        <f t="shared" si="144"/>
        <v>0</v>
      </c>
      <c r="S56" s="11">
        <f t="shared" si="145"/>
        <v>0</v>
      </c>
      <c r="T56" s="12"/>
      <c r="U56" s="12">
        <f t="shared" si="146"/>
        <v>0</v>
      </c>
      <c r="V56" s="12"/>
      <c r="W56" s="12">
        <f t="shared" si="147"/>
        <v>0</v>
      </c>
      <c r="X56" s="12"/>
      <c r="Y56" s="12"/>
      <c r="Z56" s="12">
        <f t="shared" si="148"/>
        <v>0</v>
      </c>
      <c r="AA56" s="12"/>
      <c r="AB56" s="12">
        <f t="shared" si="149"/>
        <v>0</v>
      </c>
      <c r="AC56" s="12"/>
      <c r="AD56" s="12"/>
      <c r="AE56" s="12">
        <f t="shared" si="150"/>
        <v>0</v>
      </c>
      <c r="AF56" s="12"/>
      <c r="AG56" s="12">
        <f t="shared" si="151"/>
        <v>0</v>
      </c>
      <c r="AH56" s="12"/>
      <c r="AI56" s="12"/>
      <c r="AJ56" s="12">
        <f t="shared" si="152"/>
        <v>0</v>
      </c>
      <c r="AK56" s="12"/>
      <c r="AL56" s="12">
        <f t="shared" si="153"/>
        <v>0</v>
      </c>
      <c r="AM56" s="12"/>
      <c r="AN56" s="12"/>
      <c r="AO56" s="12">
        <f t="shared" si="154"/>
        <v>0</v>
      </c>
      <c r="AP56" s="12"/>
      <c r="AQ56" s="12">
        <f t="shared" si="155"/>
        <v>0</v>
      </c>
      <c r="AR56" s="12"/>
      <c r="AS56" s="12"/>
      <c r="AT56" s="12">
        <f t="shared" si="156"/>
        <v>0</v>
      </c>
      <c r="AU56" s="12"/>
      <c r="AV56" s="12">
        <f t="shared" si="157"/>
        <v>0</v>
      </c>
      <c r="AW56" s="12"/>
      <c r="AX56" s="13"/>
      <c r="AY56" s="13">
        <f t="shared" si="158"/>
        <v>0</v>
      </c>
      <c r="AZ56" s="12"/>
      <c r="BA56" s="12">
        <f t="shared" si="159"/>
        <v>0</v>
      </c>
      <c r="BB56" s="12"/>
      <c r="BC56" s="12"/>
      <c r="BD56" s="12">
        <f t="shared" si="160"/>
        <v>0</v>
      </c>
      <c r="BE56" s="12"/>
      <c r="BF56" s="12">
        <f t="shared" si="161"/>
        <v>0</v>
      </c>
      <c r="BG56" s="12"/>
      <c r="BH56" s="12">
        <v>1260</v>
      </c>
      <c r="BI56" s="12">
        <f t="shared" si="162"/>
        <v>98280</v>
      </c>
      <c r="BJ56" s="12"/>
      <c r="BK56" s="12">
        <f t="shared" si="163"/>
        <v>0</v>
      </c>
      <c r="BL56" s="12"/>
      <c r="BM56" s="12"/>
      <c r="BN56" s="12">
        <f t="shared" si="164"/>
        <v>0</v>
      </c>
      <c r="BO56" s="12"/>
      <c r="BP56" s="12">
        <f t="shared" si="165"/>
        <v>0</v>
      </c>
      <c r="BQ56" s="12"/>
      <c r="BR56" s="12"/>
      <c r="BS56" s="12">
        <f t="shared" si="166"/>
        <v>0</v>
      </c>
      <c r="BT56" s="12"/>
      <c r="BU56" s="12">
        <f t="shared" si="167"/>
        <v>0</v>
      </c>
      <c r="BV56" s="12"/>
      <c r="BW56" s="12"/>
      <c r="BX56" s="12">
        <f t="shared" si="168"/>
        <v>0</v>
      </c>
      <c r="BY56" s="12"/>
      <c r="BZ56" s="12">
        <f t="shared" si="169"/>
        <v>0</v>
      </c>
      <c r="CA56" s="12"/>
      <c r="CB56" s="6"/>
    </row>
    <row r="57" spans="1:80" ht="16" x14ac:dyDescent="0.4">
      <c r="A57" s="6" t="s">
        <v>76</v>
      </c>
      <c r="B57" s="6" t="s">
        <v>167</v>
      </c>
      <c r="C57" s="6" t="s">
        <v>168</v>
      </c>
      <c r="D57" s="6" t="s">
        <v>254</v>
      </c>
      <c r="E57" s="73" t="s">
        <v>255</v>
      </c>
      <c r="F57" s="6" t="s">
        <v>182</v>
      </c>
      <c r="G57" s="6" t="s">
        <v>174</v>
      </c>
      <c r="H57" s="6" t="s">
        <v>82</v>
      </c>
      <c r="I57" s="6" t="s">
        <v>82</v>
      </c>
      <c r="J57" s="6" t="s">
        <v>106</v>
      </c>
      <c r="K57" s="6" t="s">
        <v>81</v>
      </c>
      <c r="L57" s="6" t="s">
        <v>125</v>
      </c>
      <c r="M57" s="6" t="s">
        <v>80</v>
      </c>
      <c r="N57" s="8">
        <v>78</v>
      </c>
      <c r="O57" s="9"/>
      <c r="P57" s="11">
        <f t="shared" si="142"/>
        <v>0.6</v>
      </c>
      <c r="Q57" s="11">
        <f t="shared" si="143"/>
        <v>46.8</v>
      </c>
      <c r="R57" s="11">
        <f t="shared" si="144"/>
        <v>0</v>
      </c>
      <c r="S57" s="11">
        <f t="shared" si="145"/>
        <v>0</v>
      </c>
      <c r="T57" s="12"/>
      <c r="U57" s="12">
        <f t="shared" si="146"/>
        <v>0</v>
      </c>
      <c r="V57" s="12"/>
      <c r="W57" s="12">
        <f t="shared" si="147"/>
        <v>0</v>
      </c>
      <c r="X57" s="12"/>
      <c r="Y57" s="12">
        <v>600</v>
      </c>
      <c r="Z57" s="12">
        <f t="shared" si="148"/>
        <v>46800</v>
      </c>
      <c r="AA57" s="12"/>
      <c r="AB57" s="12">
        <f t="shared" si="149"/>
        <v>0</v>
      </c>
      <c r="AC57" s="12"/>
      <c r="AD57" s="12"/>
      <c r="AE57" s="12">
        <f t="shared" si="150"/>
        <v>0</v>
      </c>
      <c r="AF57" s="12"/>
      <c r="AG57" s="12">
        <f t="shared" si="151"/>
        <v>0</v>
      </c>
      <c r="AH57" s="12"/>
      <c r="AI57" s="12"/>
      <c r="AJ57" s="12">
        <f t="shared" si="152"/>
        <v>0</v>
      </c>
      <c r="AK57" s="12"/>
      <c r="AL57" s="12">
        <f t="shared" si="153"/>
        <v>0</v>
      </c>
      <c r="AM57" s="12"/>
      <c r="AN57" s="12"/>
      <c r="AO57" s="12">
        <f t="shared" si="154"/>
        <v>0</v>
      </c>
      <c r="AP57" s="12"/>
      <c r="AQ57" s="12">
        <f t="shared" si="155"/>
        <v>0</v>
      </c>
      <c r="AR57" s="12"/>
      <c r="AS57" s="12"/>
      <c r="AT57" s="12">
        <f t="shared" si="156"/>
        <v>0</v>
      </c>
      <c r="AU57" s="12"/>
      <c r="AV57" s="12">
        <f t="shared" si="157"/>
        <v>0</v>
      </c>
      <c r="AW57" s="12"/>
      <c r="AX57" s="13"/>
      <c r="AY57" s="13">
        <f t="shared" si="158"/>
        <v>0</v>
      </c>
      <c r="AZ57" s="12"/>
      <c r="BA57" s="12">
        <f t="shared" si="159"/>
        <v>0</v>
      </c>
      <c r="BB57" s="12"/>
      <c r="BC57" s="12"/>
      <c r="BD57" s="12">
        <f t="shared" si="160"/>
        <v>0</v>
      </c>
      <c r="BE57" s="12"/>
      <c r="BF57" s="12">
        <f t="shared" si="161"/>
        <v>0</v>
      </c>
      <c r="BG57" s="12"/>
      <c r="BH57" s="12"/>
      <c r="BI57" s="12">
        <f t="shared" si="162"/>
        <v>0</v>
      </c>
      <c r="BJ57" s="12"/>
      <c r="BK57" s="12">
        <f t="shared" si="163"/>
        <v>0</v>
      </c>
      <c r="BL57" s="12"/>
      <c r="BM57" s="12"/>
      <c r="BN57" s="12">
        <f t="shared" si="164"/>
        <v>0</v>
      </c>
      <c r="BO57" s="12"/>
      <c r="BP57" s="12">
        <f t="shared" si="165"/>
        <v>0</v>
      </c>
      <c r="BQ57" s="12"/>
      <c r="BR57" s="12"/>
      <c r="BS57" s="12">
        <f t="shared" si="166"/>
        <v>0</v>
      </c>
      <c r="BT57" s="12"/>
      <c r="BU57" s="12">
        <f t="shared" si="167"/>
        <v>0</v>
      </c>
      <c r="BV57" s="12"/>
      <c r="BW57" s="12"/>
      <c r="BX57" s="12">
        <f t="shared" si="168"/>
        <v>0</v>
      </c>
      <c r="BY57" s="12"/>
      <c r="BZ57" s="12">
        <f t="shared" si="169"/>
        <v>0</v>
      </c>
      <c r="CA57" s="12"/>
      <c r="CB57" s="6"/>
    </row>
    <row r="58" spans="1:80" ht="16" x14ac:dyDescent="0.4">
      <c r="A58" s="6" t="s">
        <v>76</v>
      </c>
      <c r="B58" s="6" t="s">
        <v>167</v>
      </c>
      <c r="C58" s="6" t="s">
        <v>168</v>
      </c>
      <c r="D58" s="6" t="s">
        <v>254</v>
      </c>
      <c r="E58" s="73" t="s">
        <v>255</v>
      </c>
      <c r="F58" s="6" t="s">
        <v>182</v>
      </c>
      <c r="G58" s="6" t="s">
        <v>174</v>
      </c>
      <c r="H58" s="6" t="s">
        <v>82</v>
      </c>
      <c r="I58" s="6" t="s">
        <v>82</v>
      </c>
      <c r="J58" s="6" t="s">
        <v>106</v>
      </c>
      <c r="K58" s="6" t="s">
        <v>81</v>
      </c>
      <c r="L58" s="6" t="s">
        <v>104</v>
      </c>
      <c r="M58" s="6" t="s">
        <v>80</v>
      </c>
      <c r="N58" s="8">
        <v>48.8</v>
      </c>
      <c r="O58" s="9"/>
      <c r="P58" s="11">
        <f t="shared" si="142"/>
        <v>0.72</v>
      </c>
      <c r="Q58" s="11">
        <f t="shared" si="143"/>
        <v>35.136000000000003</v>
      </c>
      <c r="R58" s="11">
        <f t="shared" si="144"/>
        <v>0</v>
      </c>
      <c r="S58" s="11">
        <f t="shared" si="145"/>
        <v>0</v>
      </c>
      <c r="T58" s="12"/>
      <c r="U58" s="12">
        <f t="shared" si="146"/>
        <v>0</v>
      </c>
      <c r="V58" s="12"/>
      <c r="W58" s="12">
        <f t="shared" si="147"/>
        <v>0</v>
      </c>
      <c r="X58" s="12"/>
      <c r="Y58" s="12">
        <v>240</v>
      </c>
      <c r="Z58" s="12">
        <f t="shared" si="148"/>
        <v>11712</v>
      </c>
      <c r="AA58" s="12"/>
      <c r="AB58" s="12">
        <f t="shared" si="149"/>
        <v>0</v>
      </c>
      <c r="AC58" s="12"/>
      <c r="AD58" s="12"/>
      <c r="AE58" s="12">
        <f t="shared" si="150"/>
        <v>0</v>
      </c>
      <c r="AF58" s="12"/>
      <c r="AG58" s="12">
        <f t="shared" si="151"/>
        <v>0</v>
      </c>
      <c r="AH58" s="12"/>
      <c r="AI58" s="12"/>
      <c r="AJ58" s="12">
        <f t="shared" si="152"/>
        <v>0</v>
      </c>
      <c r="AK58" s="12"/>
      <c r="AL58" s="12">
        <f t="shared" si="153"/>
        <v>0</v>
      </c>
      <c r="AM58" s="12"/>
      <c r="AN58" s="12"/>
      <c r="AO58" s="12">
        <f t="shared" si="154"/>
        <v>0</v>
      </c>
      <c r="AP58" s="12"/>
      <c r="AQ58" s="12">
        <f t="shared" si="155"/>
        <v>0</v>
      </c>
      <c r="AR58" s="12"/>
      <c r="AS58" s="12">
        <v>240</v>
      </c>
      <c r="AT58" s="12">
        <f t="shared" si="156"/>
        <v>11712</v>
      </c>
      <c r="AU58" s="12"/>
      <c r="AV58" s="12">
        <f t="shared" si="157"/>
        <v>0</v>
      </c>
      <c r="AW58" s="12"/>
      <c r="AX58" s="13"/>
      <c r="AY58" s="13">
        <f t="shared" si="158"/>
        <v>0</v>
      </c>
      <c r="AZ58" s="12"/>
      <c r="BA58" s="12">
        <f t="shared" si="159"/>
        <v>0</v>
      </c>
      <c r="BB58" s="12"/>
      <c r="BC58" s="12"/>
      <c r="BD58" s="12">
        <f t="shared" si="160"/>
        <v>0</v>
      </c>
      <c r="BE58" s="12"/>
      <c r="BF58" s="12">
        <f t="shared" si="161"/>
        <v>0</v>
      </c>
      <c r="BG58" s="12"/>
      <c r="BH58" s="12"/>
      <c r="BI58" s="12">
        <f t="shared" si="162"/>
        <v>0</v>
      </c>
      <c r="BJ58" s="12"/>
      <c r="BK58" s="12">
        <f t="shared" si="163"/>
        <v>0</v>
      </c>
      <c r="BL58" s="12"/>
      <c r="BM58" s="12"/>
      <c r="BN58" s="12">
        <f t="shared" si="164"/>
        <v>0</v>
      </c>
      <c r="BO58" s="12"/>
      <c r="BP58" s="12">
        <f t="shared" si="165"/>
        <v>0</v>
      </c>
      <c r="BQ58" s="12"/>
      <c r="BR58" s="12"/>
      <c r="BS58" s="12">
        <f t="shared" si="166"/>
        <v>0</v>
      </c>
      <c r="BT58" s="12"/>
      <c r="BU58" s="12">
        <f t="shared" si="167"/>
        <v>0</v>
      </c>
      <c r="BV58" s="12"/>
      <c r="BW58" s="12">
        <v>240</v>
      </c>
      <c r="BX58" s="12">
        <f t="shared" si="168"/>
        <v>11712</v>
      </c>
      <c r="BY58" s="12"/>
      <c r="BZ58" s="12">
        <f t="shared" si="169"/>
        <v>0</v>
      </c>
      <c r="CA58" s="12"/>
      <c r="CB58" s="6"/>
    </row>
    <row r="59" spans="1:80" ht="16" x14ac:dyDescent="0.4">
      <c r="A59" s="6" t="s">
        <v>76</v>
      </c>
      <c r="B59" s="6" t="s">
        <v>167</v>
      </c>
      <c r="C59" s="6" t="s">
        <v>168</v>
      </c>
      <c r="D59" s="6" t="s">
        <v>256</v>
      </c>
      <c r="E59" s="73" t="s">
        <v>257</v>
      </c>
      <c r="F59" s="6" t="s">
        <v>182</v>
      </c>
      <c r="G59" s="6" t="s">
        <v>146</v>
      </c>
      <c r="H59" s="6" t="s">
        <v>82</v>
      </c>
      <c r="I59" s="6" t="s">
        <v>82</v>
      </c>
      <c r="J59" s="6" t="s">
        <v>106</v>
      </c>
      <c r="K59" s="6" t="s">
        <v>81</v>
      </c>
      <c r="L59" s="6" t="s">
        <v>156</v>
      </c>
      <c r="M59" s="6" t="s">
        <v>80</v>
      </c>
      <c r="N59" s="8">
        <v>130</v>
      </c>
      <c r="O59" s="36">
        <v>1375</v>
      </c>
      <c r="P59" s="11">
        <f t="shared" si="142"/>
        <v>110</v>
      </c>
      <c r="Q59" s="11">
        <f t="shared" si="143"/>
        <v>14300</v>
      </c>
      <c r="R59" s="11">
        <f t="shared" si="144"/>
        <v>0</v>
      </c>
      <c r="S59" s="11">
        <f t="shared" si="145"/>
        <v>0</v>
      </c>
      <c r="T59" s="12"/>
      <c r="U59" s="12">
        <f t="shared" si="146"/>
        <v>0</v>
      </c>
      <c r="V59" s="12"/>
      <c r="W59" s="12">
        <f t="shared" si="147"/>
        <v>0</v>
      </c>
      <c r="X59" s="12"/>
      <c r="Y59" s="12">
        <v>10000</v>
      </c>
      <c r="Z59" s="12">
        <f t="shared" si="148"/>
        <v>1300000</v>
      </c>
      <c r="AA59" s="12"/>
      <c r="AB59" s="12">
        <f t="shared" si="149"/>
        <v>0</v>
      </c>
      <c r="AC59" s="12"/>
      <c r="AD59" s="12">
        <v>10000</v>
      </c>
      <c r="AE59" s="12">
        <f t="shared" si="150"/>
        <v>1300000</v>
      </c>
      <c r="AF59" s="12"/>
      <c r="AG59" s="12">
        <f t="shared" si="151"/>
        <v>0</v>
      </c>
      <c r="AH59" s="12"/>
      <c r="AI59" s="12">
        <v>10000</v>
      </c>
      <c r="AJ59" s="12">
        <f t="shared" si="152"/>
        <v>1300000</v>
      </c>
      <c r="AK59" s="12"/>
      <c r="AL59" s="12">
        <f t="shared" si="153"/>
        <v>0</v>
      </c>
      <c r="AM59" s="12"/>
      <c r="AN59" s="12">
        <v>10000</v>
      </c>
      <c r="AO59" s="12">
        <f t="shared" si="154"/>
        <v>1300000</v>
      </c>
      <c r="AP59" s="12"/>
      <c r="AQ59" s="12">
        <f t="shared" si="155"/>
        <v>0</v>
      </c>
      <c r="AR59" s="12"/>
      <c r="AS59" s="12">
        <v>10000</v>
      </c>
      <c r="AT59" s="12">
        <f t="shared" si="156"/>
        <v>1300000</v>
      </c>
      <c r="AU59" s="12"/>
      <c r="AV59" s="12">
        <f t="shared" si="157"/>
        <v>0</v>
      </c>
      <c r="AW59" s="12"/>
      <c r="AX59" s="13">
        <v>10000</v>
      </c>
      <c r="AY59" s="13">
        <f t="shared" si="158"/>
        <v>1300000</v>
      </c>
      <c r="AZ59" s="12"/>
      <c r="BA59" s="12">
        <f t="shared" si="159"/>
        <v>0</v>
      </c>
      <c r="BB59" s="12"/>
      <c r="BC59" s="12">
        <v>10000</v>
      </c>
      <c r="BD59" s="12">
        <f t="shared" si="160"/>
        <v>1300000</v>
      </c>
      <c r="BE59" s="12"/>
      <c r="BF59" s="12">
        <f t="shared" si="161"/>
        <v>0</v>
      </c>
      <c r="BG59" s="12"/>
      <c r="BH59" s="12">
        <v>10000</v>
      </c>
      <c r="BI59" s="12">
        <f t="shared" si="162"/>
        <v>1300000</v>
      </c>
      <c r="BJ59" s="12"/>
      <c r="BK59" s="12">
        <f t="shared" si="163"/>
        <v>0</v>
      </c>
      <c r="BL59" s="12"/>
      <c r="BM59" s="12">
        <v>10000</v>
      </c>
      <c r="BN59" s="12">
        <f t="shared" si="164"/>
        <v>1300000</v>
      </c>
      <c r="BO59" s="12"/>
      <c r="BP59" s="12">
        <f t="shared" si="165"/>
        <v>0</v>
      </c>
      <c r="BQ59" s="12"/>
      <c r="BR59" s="12">
        <v>10000</v>
      </c>
      <c r="BS59" s="12">
        <f t="shared" si="166"/>
        <v>1300000</v>
      </c>
      <c r="BT59" s="12"/>
      <c r="BU59" s="12">
        <f t="shared" si="167"/>
        <v>0</v>
      </c>
      <c r="BV59" s="12"/>
      <c r="BW59" s="12">
        <v>10000</v>
      </c>
      <c r="BX59" s="12">
        <f t="shared" si="168"/>
        <v>1300000</v>
      </c>
      <c r="BY59" s="12"/>
      <c r="BZ59" s="12">
        <f t="shared" si="169"/>
        <v>0</v>
      </c>
      <c r="CA59" s="12"/>
      <c r="CB59" s="6"/>
    </row>
    <row r="60" spans="1:80" ht="16" x14ac:dyDescent="0.4">
      <c r="A60" s="6" t="s">
        <v>76</v>
      </c>
      <c r="B60" s="6" t="s">
        <v>167</v>
      </c>
      <c r="C60" s="6" t="s">
        <v>168</v>
      </c>
      <c r="D60" s="6" t="s">
        <v>256</v>
      </c>
      <c r="E60" s="73" t="s">
        <v>257</v>
      </c>
      <c r="F60" s="6" t="s">
        <v>182</v>
      </c>
      <c r="G60" s="6" t="s">
        <v>146</v>
      </c>
      <c r="H60" s="6" t="s">
        <v>93</v>
      </c>
      <c r="I60" s="6" t="s">
        <v>93</v>
      </c>
      <c r="J60" s="7" t="s">
        <v>126</v>
      </c>
      <c r="K60" s="2" t="s">
        <v>94</v>
      </c>
      <c r="L60" s="6" t="s">
        <v>173</v>
      </c>
      <c r="M60" s="6"/>
      <c r="N60" s="8">
        <v>36</v>
      </c>
      <c r="O60" s="9"/>
      <c r="P60" s="11">
        <f t="shared" si="142"/>
        <v>110</v>
      </c>
      <c r="Q60" s="11">
        <f t="shared" si="143"/>
        <v>3960</v>
      </c>
      <c r="R60" s="11">
        <f t="shared" si="144"/>
        <v>0</v>
      </c>
      <c r="S60" s="11">
        <f t="shared" si="145"/>
        <v>0</v>
      </c>
      <c r="T60" s="12"/>
      <c r="U60" s="12">
        <f t="shared" si="146"/>
        <v>0</v>
      </c>
      <c r="V60" s="12"/>
      <c r="W60" s="12">
        <f t="shared" si="147"/>
        <v>0</v>
      </c>
      <c r="X60" s="12"/>
      <c r="Y60" s="12">
        <v>10000</v>
      </c>
      <c r="Z60" s="12">
        <f t="shared" si="148"/>
        <v>360000</v>
      </c>
      <c r="AA60" s="12"/>
      <c r="AB60" s="12">
        <f t="shared" si="149"/>
        <v>0</v>
      </c>
      <c r="AC60" s="12"/>
      <c r="AD60" s="12">
        <v>10000</v>
      </c>
      <c r="AE60" s="12">
        <f t="shared" si="150"/>
        <v>360000</v>
      </c>
      <c r="AF60" s="12"/>
      <c r="AG60" s="12">
        <f t="shared" si="151"/>
        <v>0</v>
      </c>
      <c r="AH60" s="12"/>
      <c r="AI60" s="12">
        <v>10000</v>
      </c>
      <c r="AJ60" s="12">
        <f t="shared" si="152"/>
        <v>360000</v>
      </c>
      <c r="AK60" s="12"/>
      <c r="AL60" s="12">
        <f t="shared" si="153"/>
        <v>0</v>
      </c>
      <c r="AM60" s="12"/>
      <c r="AN60" s="12">
        <v>10000</v>
      </c>
      <c r="AO60" s="12">
        <f t="shared" si="154"/>
        <v>360000</v>
      </c>
      <c r="AP60" s="12"/>
      <c r="AQ60" s="12">
        <f t="shared" si="155"/>
        <v>0</v>
      </c>
      <c r="AR60" s="12"/>
      <c r="AS60" s="12">
        <v>10000</v>
      </c>
      <c r="AT60" s="12">
        <f t="shared" si="156"/>
        <v>360000</v>
      </c>
      <c r="AU60" s="12"/>
      <c r="AV60" s="12">
        <f t="shared" si="157"/>
        <v>0</v>
      </c>
      <c r="AW60" s="12"/>
      <c r="AX60" s="13">
        <v>10000</v>
      </c>
      <c r="AY60" s="13">
        <f t="shared" si="158"/>
        <v>360000</v>
      </c>
      <c r="AZ60" s="12"/>
      <c r="BA60" s="12">
        <f t="shared" si="159"/>
        <v>0</v>
      </c>
      <c r="BB60" s="12"/>
      <c r="BC60" s="12">
        <v>10000</v>
      </c>
      <c r="BD60" s="12">
        <f t="shared" si="160"/>
        <v>360000</v>
      </c>
      <c r="BE60" s="12"/>
      <c r="BF60" s="12">
        <f t="shared" si="161"/>
        <v>0</v>
      </c>
      <c r="BG60" s="12"/>
      <c r="BH60" s="12">
        <v>10000</v>
      </c>
      <c r="BI60" s="12">
        <f t="shared" si="162"/>
        <v>360000</v>
      </c>
      <c r="BJ60" s="12"/>
      <c r="BK60" s="12">
        <f t="shared" si="163"/>
        <v>0</v>
      </c>
      <c r="BL60" s="12"/>
      <c r="BM60" s="12">
        <v>10000</v>
      </c>
      <c r="BN60" s="12">
        <f t="shared" si="164"/>
        <v>360000</v>
      </c>
      <c r="BO60" s="12"/>
      <c r="BP60" s="12">
        <f t="shared" si="165"/>
        <v>0</v>
      </c>
      <c r="BQ60" s="12"/>
      <c r="BR60" s="12">
        <v>10000</v>
      </c>
      <c r="BS60" s="12">
        <f t="shared" si="166"/>
        <v>360000</v>
      </c>
      <c r="BT60" s="12"/>
      <c r="BU60" s="12">
        <f t="shared" si="167"/>
        <v>0</v>
      </c>
      <c r="BV60" s="12"/>
      <c r="BW60" s="12">
        <v>10000</v>
      </c>
      <c r="BX60" s="12">
        <f t="shared" si="168"/>
        <v>360000</v>
      </c>
      <c r="BY60" s="12"/>
      <c r="BZ60" s="12">
        <f t="shared" si="169"/>
        <v>0</v>
      </c>
      <c r="CA60" s="12"/>
      <c r="CB60" s="6"/>
    </row>
    <row r="61" spans="1:80" ht="16" x14ac:dyDescent="0.4">
      <c r="A61" s="6" t="s">
        <v>76</v>
      </c>
      <c r="B61" s="6" t="s">
        <v>167</v>
      </c>
      <c r="C61" s="6" t="s">
        <v>168</v>
      </c>
      <c r="D61" s="6" t="s">
        <v>256</v>
      </c>
      <c r="E61" s="73" t="s">
        <v>257</v>
      </c>
      <c r="F61" s="6" t="s">
        <v>182</v>
      </c>
      <c r="G61" s="6" t="s">
        <v>146</v>
      </c>
      <c r="H61" s="6" t="s">
        <v>95</v>
      </c>
      <c r="I61" s="6" t="s">
        <v>95</v>
      </c>
      <c r="J61" s="7" t="s">
        <v>96</v>
      </c>
      <c r="K61" s="2" t="s">
        <v>94</v>
      </c>
      <c r="L61" s="6" t="s">
        <v>150</v>
      </c>
      <c r="M61" s="6"/>
      <c r="N61" s="8">
        <v>19</v>
      </c>
      <c r="O61" s="9"/>
      <c r="P61" s="11">
        <f t="shared" si="142"/>
        <v>110</v>
      </c>
      <c r="Q61" s="11">
        <f t="shared" si="143"/>
        <v>2090</v>
      </c>
      <c r="R61" s="11">
        <f t="shared" si="144"/>
        <v>0</v>
      </c>
      <c r="S61" s="11">
        <f t="shared" si="145"/>
        <v>0</v>
      </c>
      <c r="T61" s="12"/>
      <c r="U61" s="12">
        <f t="shared" si="146"/>
        <v>0</v>
      </c>
      <c r="V61" s="12"/>
      <c r="W61" s="12">
        <f t="shared" si="147"/>
        <v>0</v>
      </c>
      <c r="X61" s="12"/>
      <c r="Y61" s="12">
        <v>10000</v>
      </c>
      <c r="Z61" s="12">
        <f t="shared" si="148"/>
        <v>190000</v>
      </c>
      <c r="AA61" s="12"/>
      <c r="AB61" s="12">
        <f t="shared" si="149"/>
        <v>0</v>
      </c>
      <c r="AC61" s="12"/>
      <c r="AD61" s="12">
        <v>10000</v>
      </c>
      <c r="AE61" s="12">
        <f t="shared" si="150"/>
        <v>190000</v>
      </c>
      <c r="AF61" s="12"/>
      <c r="AG61" s="12">
        <f t="shared" si="151"/>
        <v>0</v>
      </c>
      <c r="AH61" s="12"/>
      <c r="AI61" s="12">
        <v>10000</v>
      </c>
      <c r="AJ61" s="12">
        <f t="shared" si="152"/>
        <v>190000</v>
      </c>
      <c r="AK61" s="12"/>
      <c r="AL61" s="12">
        <f t="shared" si="153"/>
        <v>0</v>
      </c>
      <c r="AM61" s="12"/>
      <c r="AN61" s="12">
        <v>10000</v>
      </c>
      <c r="AO61" s="12">
        <f t="shared" si="154"/>
        <v>190000</v>
      </c>
      <c r="AP61" s="12"/>
      <c r="AQ61" s="12">
        <f t="shared" si="155"/>
        <v>0</v>
      </c>
      <c r="AR61" s="12"/>
      <c r="AS61" s="12">
        <v>10000</v>
      </c>
      <c r="AT61" s="12">
        <f t="shared" si="156"/>
        <v>190000</v>
      </c>
      <c r="AU61" s="12"/>
      <c r="AV61" s="12">
        <f t="shared" si="157"/>
        <v>0</v>
      </c>
      <c r="AW61" s="12"/>
      <c r="AX61" s="13">
        <v>10000</v>
      </c>
      <c r="AY61" s="13">
        <f t="shared" si="158"/>
        <v>190000</v>
      </c>
      <c r="AZ61" s="12"/>
      <c r="BA61" s="12">
        <f t="shared" si="159"/>
        <v>0</v>
      </c>
      <c r="BB61" s="12"/>
      <c r="BC61" s="12">
        <v>10000</v>
      </c>
      <c r="BD61" s="12">
        <f t="shared" si="160"/>
        <v>190000</v>
      </c>
      <c r="BE61" s="12"/>
      <c r="BF61" s="12">
        <f t="shared" si="161"/>
        <v>0</v>
      </c>
      <c r="BG61" s="12"/>
      <c r="BH61" s="12">
        <v>10000</v>
      </c>
      <c r="BI61" s="12">
        <f t="shared" si="162"/>
        <v>190000</v>
      </c>
      <c r="BJ61" s="12"/>
      <c r="BK61" s="12">
        <f t="shared" si="163"/>
        <v>0</v>
      </c>
      <c r="BL61" s="12"/>
      <c r="BM61" s="12">
        <v>10000</v>
      </c>
      <c r="BN61" s="12">
        <f t="shared" si="164"/>
        <v>190000</v>
      </c>
      <c r="BO61" s="12"/>
      <c r="BP61" s="12">
        <f t="shared" si="165"/>
        <v>0</v>
      </c>
      <c r="BQ61" s="12"/>
      <c r="BR61" s="12">
        <v>10000</v>
      </c>
      <c r="BS61" s="12">
        <f t="shared" si="166"/>
        <v>190000</v>
      </c>
      <c r="BT61" s="12"/>
      <c r="BU61" s="12">
        <f t="shared" si="167"/>
        <v>0</v>
      </c>
      <c r="BV61" s="12"/>
      <c r="BW61" s="12">
        <v>10000</v>
      </c>
      <c r="BX61" s="12">
        <f t="shared" si="168"/>
        <v>190000</v>
      </c>
      <c r="BY61" s="12"/>
      <c r="BZ61" s="12">
        <f t="shared" si="169"/>
        <v>0</v>
      </c>
      <c r="CA61" s="12"/>
      <c r="CB61" s="6"/>
    </row>
    <row r="62" spans="1:80" ht="16" x14ac:dyDescent="0.4">
      <c r="A62" s="6" t="s">
        <v>76</v>
      </c>
      <c r="B62" s="6" t="s">
        <v>167</v>
      </c>
      <c r="C62" s="6" t="s">
        <v>168</v>
      </c>
      <c r="D62" s="6" t="s">
        <v>256</v>
      </c>
      <c r="E62" s="73" t="s">
        <v>257</v>
      </c>
      <c r="F62" s="6" t="s">
        <v>182</v>
      </c>
      <c r="G62" s="6" t="s">
        <v>146</v>
      </c>
      <c r="H62" s="6" t="s">
        <v>95</v>
      </c>
      <c r="I62" s="6" t="s">
        <v>95</v>
      </c>
      <c r="J62" s="7" t="s">
        <v>96</v>
      </c>
      <c r="K62" s="2" t="s">
        <v>94</v>
      </c>
      <c r="L62" s="6" t="s">
        <v>133</v>
      </c>
      <c r="M62" s="6"/>
      <c r="N62" s="8">
        <v>10</v>
      </c>
      <c r="O62" s="9"/>
      <c r="P62" s="11">
        <f t="shared" si="142"/>
        <v>110</v>
      </c>
      <c r="Q62" s="11">
        <f t="shared" si="143"/>
        <v>1100</v>
      </c>
      <c r="R62" s="11">
        <f t="shared" si="144"/>
        <v>0</v>
      </c>
      <c r="S62" s="11">
        <f t="shared" si="145"/>
        <v>0</v>
      </c>
      <c r="T62" s="12"/>
      <c r="U62" s="12">
        <f t="shared" si="146"/>
        <v>0</v>
      </c>
      <c r="V62" s="12"/>
      <c r="W62" s="12">
        <f t="shared" si="147"/>
        <v>0</v>
      </c>
      <c r="X62" s="12"/>
      <c r="Y62" s="12">
        <v>10000</v>
      </c>
      <c r="Z62" s="12">
        <f t="shared" si="148"/>
        <v>100000</v>
      </c>
      <c r="AA62" s="12"/>
      <c r="AB62" s="12">
        <f t="shared" si="149"/>
        <v>0</v>
      </c>
      <c r="AC62" s="12"/>
      <c r="AD62" s="12">
        <v>10000</v>
      </c>
      <c r="AE62" s="12">
        <f t="shared" si="150"/>
        <v>100000</v>
      </c>
      <c r="AF62" s="12"/>
      <c r="AG62" s="12">
        <f t="shared" si="151"/>
        <v>0</v>
      </c>
      <c r="AH62" s="12"/>
      <c r="AI62" s="12">
        <v>10000</v>
      </c>
      <c r="AJ62" s="12">
        <f t="shared" si="152"/>
        <v>100000</v>
      </c>
      <c r="AK62" s="12"/>
      <c r="AL62" s="12">
        <f t="shared" si="153"/>
        <v>0</v>
      </c>
      <c r="AM62" s="12"/>
      <c r="AN62" s="12">
        <v>10000</v>
      </c>
      <c r="AO62" s="12">
        <f t="shared" si="154"/>
        <v>100000</v>
      </c>
      <c r="AP62" s="12"/>
      <c r="AQ62" s="12">
        <f t="shared" si="155"/>
        <v>0</v>
      </c>
      <c r="AR62" s="12"/>
      <c r="AS62" s="12">
        <v>10000</v>
      </c>
      <c r="AT62" s="12">
        <f t="shared" si="156"/>
        <v>100000</v>
      </c>
      <c r="AU62" s="12"/>
      <c r="AV62" s="12">
        <f t="shared" si="157"/>
        <v>0</v>
      </c>
      <c r="AW62" s="12"/>
      <c r="AX62" s="13">
        <v>10000</v>
      </c>
      <c r="AY62" s="13">
        <f t="shared" si="158"/>
        <v>100000</v>
      </c>
      <c r="AZ62" s="12"/>
      <c r="BA62" s="12">
        <f t="shared" si="159"/>
        <v>0</v>
      </c>
      <c r="BB62" s="12"/>
      <c r="BC62" s="12">
        <v>10000</v>
      </c>
      <c r="BD62" s="12">
        <f t="shared" si="160"/>
        <v>100000</v>
      </c>
      <c r="BE62" s="12"/>
      <c r="BF62" s="12">
        <f t="shared" si="161"/>
        <v>0</v>
      </c>
      <c r="BG62" s="12"/>
      <c r="BH62" s="12">
        <v>10000</v>
      </c>
      <c r="BI62" s="12">
        <f t="shared" si="162"/>
        <v>100000</v>
      </c>
      <c r="BJ62" s="12"/>
      <c r="BK62" s="12">
        <f t="shared" si="163"/>
        <v>0</v>
      </c>
      <c r="BL62" s="12"/>
      <c r="BM62" s="12">
        <v>10000</v>
      </c>
      <c r="BN62" s="12">
        <f t="shared" si="164"/>
        <v>100000</v>
      </c>
      <c r="BO62" s="12"/>
      <c r="BP62" s="12">
        <f t="shared" si="165"/>
        <v>0</v>
      </c>
      <c r="BQ62" s="12"/>
      <c r="BR62" s="12">
        <v>10000</v>
      </c>
      <c r="BS62" s="12">
        <f t="shared" si="166"/>
        <v>100000</v>
      </c>
      <c r="BT62" s="12"/>
      <c r="BU62" s="12">
        <f t="shared" si="167"/>
        <v>0</v>
      </c>
      <c r="BV62" s="12"/>
      <c r="BW62" s="12">
        <v>10000</v>
      </c>
      <c r="BX62" s="12">
        <f t="shared" si="168"/>
        <v>100000</v>
      </c>
      <c r="BY62" s="12"/>
      <c r="BZ62" s="12">
        <f t="shared" si="169"/>
        <v>0</v>
      </c>
      <c r="CA62" s="12"/>
      <c r="CB62" s="6"/>
    </row>
    <row r="63" spans="1:80" ht="16" x14ac:dyDescent="0.4">
      <c r="A63" s="6" t="s">
        <v>76</v>
      </c>
      <c r="B63" s="6" t="s">
        <v>167</v>
      </c>
      <c r="C63" s="6" t="s">
        <v>168</v>
      </c>
      <c r="D63" s="6" t="s">
        <v>256</v>
      </c>
      <c r="E63" s="73" t="s">
        <v>257</v>
      </c>
      <c r="F63" s="6" t="s">
        <v>182</v>
      </c>
      <c r="G63" s="6" t="s">
        <v>146</v>
      </c>
      <c r="H63" s="6" t="s">
        <v>86</v>
      </c>
      <c r="I63" s="6" t="s">
        <v>86</v>
      </c>
      <c r="J63" s="6" t="s">
        <v>87</v>
      </c>
      <c r="K63" s="6" t="s">
        <v>84</v>
      </c>
      <c r="L63" s="6" t="s">
        <v>151</v>
      </c>
      <c r="M63" s="6"/>
      <c r="N63" s="8">
        <v>14.3</v>
      </c>
      <c r="O63" s="9"/>
      <c r="P63" s="11">
        <f t="shared" si="142"/>
        <v>20</v>
      </c>
      <c r="Q63" s="11">
        <f t="shared" si="143"/>
        <v>286</v>
      </c>
      <c r="R63" s="11">
        <f t="shared" si="144"/>
        <v>0</v>
      </c>
      <c r="S63" s="11">
        <f t="shared" si="145"/>
        <v>0</v>
      </c>
      <c r="T63" s="12"/>
      <c r="U63" s="12">
        <f t="shared" si="146"/>
        <v>0</v>
      </c>
      <c r="V63" s="12"/>
      <c r="W63" s="12">
        <f t="shared" si="147"/>
        <v>0</v>
      </c>
      <c r="X63" s="12"/>
      <c r="Y63" s="12">
        <v>5000</v>
      </c>
      <c r="Z63" s="12">
        <f t="shared" si="148"/>
        <v>71500</v>
      </c>
      <c r="AA63" s="12"/>
      <c r="AB63" s="12">
        <f t="shared" si="149"/>
        <v>0</v>
      </c>
      <c r="AC63" s="12"/>
      <c r="AD63" s="12">
        <v>5000</v>
      </c>
      <c r="AE63" s="12">
        <f t="shared" si="150"/>
        <v>71500</v>
      </c>
      <c r="AF63" s="12"/>
      <c r="AG63" s="12">
        <f t="shared" si="151"/>
        <v>0</v>
      </c>
      <c r="AH63" s="12"/>
      <c r="AI63" s="12"/>
      <c r="AJ63" s="12">
        <f t="shared" si="152"/>
        <v>0</v>
      </c>
      <c r="AK63" s="12"/>
      <c r="AL63" s="12">
        <f t="shared" si="153"/>
        <v>0</v>
      </c>
      <c r="AM63" s="12"/>
      <c r="AN63" s="12">
        <v>5000</v>
      </c>
      <c r="AO63" s="12">
        <f t="shared" si="154"/>
        <v>71500</v>
      </c>
      <c r="AP63" s="12"/>
      <c r="AQ63" s="12">
        <f t="shared" si="155"/>
        <v>0</v>
      </c>
      <c r="AR63" s="12"/>
      <c r="AS63" s="12"/>
      <c r="AT63" s="12">
        <f t="shared" si="156"/>
        <v>0</v>
      </c>
      <c r="AU63" s="12"/>
      <c r="AV63" s="12">
        <f t="shared" si="157"/>
        <v>0</v>
      </c>
      <c r="AW63" s="12"/>
      <c r="AX63" s="13">
        <v>5000</v>
      </c>
      <c r="AY63" s="13">
        <f t="shared" si="158"/>
        <v>71500</v>
      </c>
      <c r="AZ63" s="12"/>
      <c r="BA63" s="12">
        <f t="shared" si="159"/>
        <v>0</v>
      </c>
      <c r="BB63" s="12"/>
      <c r="BC63" s="12"/>
      <c r="BD63" s="12">
        <f t="shared" si="160"/>
        <v>0</v>
      </c>
      <c r="BE63" s="12"/>
      <c r="BF63" s="12">
        <f t="shared" si="161"/>
        <v>0</v>
      </c>
      <c r="BG63" s="12"/>
      <c r="BH63" s="12"/>
      <c r="BI63" s="12">
        <f t="shared" si="162"/>
        <v>0</v>
      </c>
      <c r="BJ63" s="12"/>
      <c r="BK63" s="12">
        <f t="shared" si="163"/>
        <v>0</v>
      </c>
      <c r="BL63" s="12"/>
      <c r="BM63" s="12"/>
      <c r="BN63" s="12">
        <f t="shared" si="164"/>
        <v>0</v>
      </c>
      <c r="BO63" s="12"/>
      <c r="BP63" s="12">
        <f t="shared" si="165"/>
        <v>0</v>
      </c>
      <c r="BQ63" s="12"/>
      <c r="BR63" s="12"/>
      <c r="BS63" s="12">
        <f t="shared" si="166"/>
        <v>0</v>
      </c>
      <c r="BT63" s="12"/>
      <c r="BU63" s="12">
        <f t="shared" si="167"/>
        <v>0</v>
      </c>
      <c r="BV63" s="12"/>
      <c r="BW63" s="12"/>
      <c r="BX63" s="12">
        <f t="shared" si="168"/>
        <v>0</v>
      </c>
      <c r="BY63" s="12"/>
      <c r="BZ63" s="12">
        <f t="shared" si="169"/>
        <v>0</v>
      </c>
      <c r="CA63" s="12"/>
      <c r="CB63" s="6"/>
    </row>
    <row r="64" spans="1:80" ht="16" x14ac:dyDescent="0.4">
      <c r="A64" s="6" t="s">
        <v>76</v>
      </c>
      <c r="B64" s="6" t="s">
        <v>167</v>
      </c>
      <c r="C64" s="6" t="s">
        <v>168</v>
      </c>
      <c r="D64" s="6" t="s">
        <v>256</v>
      </c>
      <c r="E64" s="73" t="s">
        <v>257</v>
      </c>
      <c r="F64" s="6" t="s">
        <v>182</v>
      </c>
      <c r="G64" s="6" t="s">
        <v>146</v>
      </c>
      <c r="H64" s="6" t="s">
        <v>82</v>
      </c>
      <c r="I64" s="6" t="s">
        <v>82</v>
      </c>
      <c r="J64" s="6" t="s">
        <v>106</v>
      </c>
      <c r="K64" s="6" t="s">
        <v>81</v>
      </c>
      <c r="L64" s="6" t="s">
        <v>156</v>
      </c>
      <c r="M64" s="6" t="s">
        <v>80</v>
      </c>
      <c r="N64" s="8">
        <v>119.48</v>
      </c>
      <c r="O64" s="36"/>
      <c r="P64" s="11">
        <f t="shared" si="142"/>
        <v>50</v>
      </c>
      <c r="Q64" s="11">
        <f t="shared" si="143"/>
        <v>5974</v>
      </c>
      <c r="R64" s="11">
        <f t="shared" si="144"/>
        <v>0</v>
      </c>
      <c r="S64" s="11">
        <f t="shared" si="145"/>
        <v>0</v>
      </c>
      <c r="T64" s="12"/>
      <c r="U64" s="12">
        <f t="shared" si="146"/>
        <v>0</v>
      </c>
      <c r="V64" s="12"/>
      <c r="W64" s="12">
        <f t="shared" si="147"/>
        <v>0</v>
      </c>
      <c r="X64" s="12"/>
      <c r="Y64" s="12"/>
      <c r="Z64" s="12">
        <f t="shared" si="148"/>
        <v>0</v>
      </c>
      <c r="AA64" s="12"/>
      <c r="AB64" s="12">
        <f t="shared" si="149"/>
        <v>0</v>
      </c>
      <c r="AC64" s="12"/>
      <c r="AD64" s="12"/>
      <c r="AE64" s="12">
        <f t="shared" si="150"/>
        <v>0</v>
      </c>
      <c r="AF64" s="12"/>
      <c r="AG64" s="12">
        <f t="shared" si="151"/>
        <v>0</v>
      </c>
      <c r="AH64" s="12"/>
      <c r="AI64" s="12"/>
      <c r="AJ64" s="12">
        <f t="shared" si="152"/>
        <v>0</v>
      </c>
      <c r="AK64" s="12"/>
      <c r="AL64" s="12">
        <f t="shared" si="153"/>
        <v>0</v>
      </c>
      <c r="AM64" s="12"/>
      <c r="AN64" s="12"/>
      <c r="AO64" s="12">
        <f t="shared" si="154"/>
        <v>0</v>
      </c>
      <c r="AP64" s="12"/>
      <c r="AQ64" s="12">
        <f t="shared" si="155"/>
        <v>0</v>
      </c>
      <c r="AR64" s="12"/>
      <c r="AS64" s="12"/>
      <c r="AT64" s="12">
        <f t="shared" si="156"/>
        <v>0</v>
      </c>
      <c r="AU64" s="12"/>
      <c r="AV64" s="12">
        <f t="shared" si="157"/>
        <v>0</v>
      </c>
      <c r="AW64" s="12"/>
      <c r="AX64" s="13">
        <v>25000</v>
      </c>
      <c r="AY64" s="13">
        <f t="shared" si="158"/>
        <v>2987000</v>
      </c>
      <c r="AZ64" s="12"/>
      <c r="BA64" s="12">
        <f t="shared" si="159"/>
        <v>0</v>
      </c>
      <c r="BB64" s="12"/>
      <c r="BC64" s="12"/>
      <c r="BD64" s="12">
        <f t="shared" si="160"/>
        <v>0</v>
      </c>
      <c r="BE64" s="12"/>
      <c r="BF64" s="12">
        <f t="shared" si="161"/>
        <v>0</v>
      </c>
      <c r="BG64" s="12"/>
      <c r="BH64" s="12"/>
      <c r="BI64" s="12">
        <f t="shared" si="162"/>
        <v>0</v>
      </c>
      <c r="BJ64" s="12"/>
      <c r="BK64" s="12">
        <f t="shared" si="163"/>
        <v>0</v>
      </c>
      <c r="BL64" s="12"/>
      <c r="BM64" s="12">
        <v>25000</v>
      </c>
      <c r="BN64" s="12">
        <f t="shared" si="164"/>
        <v>2987000</v>
      </c>
      <c r="BO64" s="12"/>
      <c r="BP64" s="12">
        <f t="shared" si="165"/>
        <v>0</v>
      </c>
      <c r="BQ64" s="12"/>
      <c r="BR64" s="12"/>
      <c r="BS64" s="12">
        <f t="shared" si="166"/>
        <v>0</v>
      </c>
      <c r="BT64" s="12"/>
      <c r="BU64" s="12">
        <f t="shared" si="167"/>
        <v>0</v>
      </c>
      <c r="BV64" s="12"/>
      <c r="BW64" s="12"/>
      <c r="BX64" s="12">
        <f t="shared" si="168"/>
        <v>0</v>
      </c>
      <c r="BY64" s="12"/>
      <c r="BZ64" s="12">
        <f t="shared" si="169"/>
        <v>0</v>
      </c>
      <c r="CA64" s="12"/>
      <c r="CB64" s="6"/>
    </row>
    <row r="65" spans="1:80" ht="16" x14ac:dyDescent="0.4">
      <c r="A65" s="6" t="s">
        <v>76</v>
      </c>
      <c r="B65" s="6" t="s">
        <v>167</v>
      </c>
      <c r="C65" s="6" t="s">
        <v>168</v>
      </c>
      <c r="D65" s="6" t="s">
        <v>256</v>
      </c>
      <c r="E65" s="73" t="s">
        <v>257</v>
      </c>
      <c r="F65" s="6" t="s">
        <v>182</v>
      </c>
      <c r="G65" s="6" t="s">
        <v>146</v>
      </c>
      <c r="H65" s="6" t="s">
        <v>86</v>
      </c>
      <c r="I65" s="6" t="s">
        <v>86</v>
      </c>
      <c r="J65" s="6" t="s">
        <v>87</v>
      </c>
      <c r="K65" s="6" t="s">
        <v>84</v>
      </c>
      <c r="L65" s="6" t="s">
        <v>258</v>
      </c>
      <c r="M65" s="6" t="s">
        <v>80</v>
      </c>
      <c r="N65" s="8">
        <v>9.0299999999999994</v>
      </c>
      <c r="O65" s="9"/>
      <c r="P65" s="11">
        <f t="shared" si="142"/>
        <v>20</v>
      </c>
      <c r="Q65" s="11">
        <f t="shared" si="143"/>
        <v>180.6</v>
      </c>
      <c r="R65" s="11">
        <f t="shared" si="144"/>
        <v>0</v>
      </c>
      <c r="S65" s="11">
        <f t="shared" si="145"/>
        <v>0</v>
      </c>
      <c r="T65" s="12">
        <v>5000</v>
      </c>
      <c r="U65" s="12">
        <f t="shared" si="146"/>
        <v>45150</v>
      </c>
      <c r="V65" s="12"/>
      <c r="W65" s="12">
        <f t="shared" si="147"/>
        <v>0</v>
      </c>
      <c r="X65" s="12"/>
      <c r="Y65" s="12">
        <v>5000</v>
      </c>
      <c r="Z65" s="12">
        <f t="shared" si="148"/>
        <v>45150</v>
      </c>
      <c r="AA65" s="12"/>
      <c r="AB65" s="12">
        <f t="shared" si="149"/>
        <v>0</v>
      </c>
      <c r="AC65" s="12"/>
      <c r="AD65" s="12"/>
      <c r="AE65" s="12">
        <f t="shared" si="150"/>
        <v>0</v>
      </c>
      <c r="AF65" s="12"/>
      <c r="AG65" s="12">
        <f t="shared" si="151"/>
        <v>0</v>
      </c>
      <c r="AH65" s="12"/>
      <c r="AI65" s="12">
        <v>5000</v>
      </c>
      <c r="AJ65" s="12">
        <f t="shared" si="152"/>
        <v>45150</v>
      </c>
      <c r="AK65" s="12"/>
      <c r="AL65" s="12">
        <f t="shared" si="153"/>
        <v>0</v>
      </c>
      <c r="AM65" s="12"/>
      <c r="AN65" s="12"/>
      <c r="AO65" s="12">
        <f t="shared" si="154"/>
        <v>0</v>
      </c>
      <c r="AP65" s="12"/>
      <c r="AQ65" s="12">
        <f t="shared" si="155"/>
        <v>0</v>
      </c>
      <c r="AR65" s="12"/>
      <c r="AS65" s="12">
        <v>5000</v>
      </c>
      <c r="AT65" s="12">
        <f t="shared" si="156"/>
        <v>45150</v>
      </c>
      <c r="AU65" s="12"/>
      <c r="AV65" s="12">
        <f t="shared" si="157"/>
        <v>0</v>
      </c>
      <c r="AW65" s="12"/>
      <c r="AX65" s="13"/>
      <c r="AY65" s="13">
        <f t="shared" si="158"/>
        <v>0</v>
      </c>
      <c r="AZ65" s="12"/>
      <c r="BA65" s="12">
        <f t="shared" si="159"/>
        <v>0</v>
      </c>
      <c r="BB65" s="12"/>
      <c r="BC65" s="12"/>
      <c r="BD65" s="12">
        <f t="shared" si="160"/>
        <v>0</v>
      </c>
      <c r="BE65" s="12"/>
      <c r="BF65" s="12">
        <f t="shared" si="161"/>
        <v>0</v>
      </c>
      <c r="BG65" s="12"/>
      <c r="BH65" s="12"/>
      <c r="BI65" s="12">
        <f t="shared" si="162"/>
        <v>0</v>
      </c>
      <c r="BJ65" s="12"/>
      <c r="BK65" s="12">
        <f t="shared" si="163"/>
        <v>0</v>
      </c>
      <c r="BL65" s="12"/>
      <c r="BM65" s="12"/>
      <c r="BN65" s="12">
        <f t="shared" si="164"/>
        <v>0</v>
      </c>
      <c r="BO65" s="12"/>
      <c r="BP65" s="12">
        <f t="shared" si="165"/>
        <v>0</v>
      </c>
      <c r="BQ65" s="12"/>
      <c r="BR65" s="12"/>
      <c r="BS65" s="12">
        <f t="shared" si="166"/>
        <v>0</v>
      </c>
      <c r="BT65" s="12"/>
      <c r="BU65" s="12">
        <f t="shared" si="167"/>
        <v>0</v>
      </c>
      <c r="BV65" s="12"/>
      <c r="BW65" s="12"/>
      <c r="BX65" s="12">
        <f t="shared" si="168"/>
        <v>0</v>
      </c>
      <c r="BY65" s="12"/>
      <c r="BZ65" s="12">
        <f t="shared" si="169"/>
        <v>0</v>
      </c>
      <c r="CA65" s="12"/>
      <c r="CB65" s="6"/>
    </row>
    <row r="66" spans="1:80" ht="16" x14ac:dyDescent="0.4">
      <c r="A66" s="6" t="s">
        <v>76</v>
      </c>
      <c r="B66" s="6" t="s">
        <v>167</v>
      </c>
      <c r="C66" s="6" t="s">
        <v>168</v>
      </c>
      <c r="D66" s="6" t="s">
        <v>256</v>
      </c>
      <c r="E66" s="73" t="s">
        <v>257</v>
      </c>
      <c r="F66" s="6" t="s">
        <v>182</v>
      </c>
      <c r="G66" s="6" t="s">
        <v>146</v>
      </c>
      <c r="H66" s="6" t="s">
        <v>86</v>
      </c>
      <c r="I66" s="6" t="s">
        <v>86</v>
      </c>
      <c r="J66" s="6" t="s">
        <v>87</v>
      </c>
      <c r="K66" s="6" t="s">
        <v>84</v>
      </c>
      <c r="L66" s="6" t="s">
        <v>259</v>
      </c>
      <c r="M66" s="6" t="s">
        <v>80</v>
      </c>
      <c r="N66" s="8">
        <v>23.28</v>
      </c>
      <c r="O66" s="9"/>
      <c r="P66" s="11">
        <f t="shared" si="142"/>
        <v>20</v>
      </c>
      <c r="Q66" s="11">
        <f t="shared" si="143"/>
        <v>465.6</v>
      </c>
      <c r="R66" s="11">
        <f t="shared" si="144"/>
        <v>0</v>
      </c>
      <c r="S66" s="11">
        <f t="shared" si="145"/>
        <v>0</v>
      </c>
      <c r="T66" s="12">
        <v>5000</v>
      </c>
      <c r="U66" s="12">
        <f t="shared" si="146"/>
        <v>116400</v>
      </c>
      <c r="V66" s="12"/>
      <c r="W66" s="12">
        <f t="shared" si="147"/>
        <v>0</v>
      </c>
      <c r="X66" s="12"/>
      <c r="Y66" s="12">
        <v>5000</v>
      </c>
      <c r="Z66" s="12">
        <f t="shared" si="148"/>
        <v>116400</v>
      </c>
      <c r="AA66" s="12"/>
      <c r="AB66" s="12">
        <f t="shared" si="149"/>
        <v>0</v>
      </c>
      <c r="AC66" s="12"/>
      <c r="AD66" s="12"/>
      <c r="AE66" s="12">
        <f t="shared" si="150"/>
        <v>0</v>
      </c>
      <c r="AF66" s="12"/>
      <c r="AG66" s="12">
        <f t="shared" si="151"/>
        <v>0</v>
      </c>
      <c r="AH66" s="12"/>
      <c r="AI66" s="12">
        <v>5000</v>
      </c>
      <c r="AJ66" s="12">
        <f t="shared" si="152"/>
        <v>116400</v>
      </c>
      <c r="AK66" s="12"/>
      <c r="AL66" s="12">
        <f t="shared" si="153"/>
        <v>0</v>
      </c>
      <c r="AM66" s="12"/>
      <c r="AN66" s="12"/>
      <c r="AO66" s="12">
        <f t="shared" si="154"/>
        <v>0</v>
      </c>
      <c r="AP66" s="12"/>
      <c r="AQ66" s="12">
        <f t="shared" si="155"/>
        <v>0</v>
      </c>
      <c r="AR66" s="12"/>
      <c r="AS66" s="12">
        <v>5000</v>
      </c>
      <c r="AT66" s="12">
        <f t="shared" si="156"/>
        <v>116400</v>
      </c>
      <c r="AU66" s="12"/>
      <c r="AV66" s="12">
        <f t="shared" si="157"/>
        <v>0</v>
      </c>
      <c r="AW66" s="12"/>
      <c r="AX66" s="13"/>
      <c r="AY66" s="13">
        <f t="shared" si="158"/>
        <v>0</v>
      </c>
      <c r="AZ66" s="12"/>
      <c r="BA66" s="12">
        <f t="shared" si="159"/>
        <v>0</v>
      </c>
      <c r="BB66" s="12"/>
      <c r="BC66" s="12"/>
      <c r="BD66" s="12">
        <f t="shared" si="160"/>
        <v>0</v>
      </c>
      <c r="BE66" s="12"/>
      <c r="BF66" s="12">
        <f t="shared" si="161"/>
        <v>0</v>
      </c>
      <c r="BG66" s="12"/>
      <c r="BH66" s="12"/>
      <c r="BI66" s="12">
        <f t="shared" si="162"/>
        <v>0</v>
      </c>
      <c r="BJ66" s="12"/>
      <c r="BK66" s="12">
        <f t="shared" si="163"/>
        <v>0</v>
      </c>
      <c r="BL66" s="12"/>
      <c r="BM66" s="12"/>
      <c r="BN66" s="12">
        <f t="shared" si="164"/>
        <v>0</v>
      </c>
      <c r="BO66" s="12"/>
      <c r="BP66" s="12">
        <f t="shared" si="165"/>
        <v>0</v>
      </c>
      <c r="BQ66" s="12"/>
      <c r="BR66" s="12"/>
      <c r="BS66" s="12">
        <f t="shared" si="166"/>
        <v>0</v>
      </c>
      <c r="BT66" s="12"/>
      <c r="BU66" s="12">
        <f t="shared" si="167"/>
        <v>0</v>
      </c>
      <c r="BV66" s="12"/>
      <c r="BW66" s="12"/>
      <c r="BX66" s="12">
        <f t="shared" si="168"/>
        <v>0</v>
      </c>
      <c r="BY66" s="12"/>
      <c r="BZ66" s="12">
        <f t="shared" si="169"/>
        <v>0</v>
      </c>
      <c r="CA66" s="12"/>
      <c r="CB66" s="6"/>
    </row>
    <row r="67" spans="1:80" ht="16" x14ac:dyDescent="0.4">
      <c r="A67" s="6" t="s">
        <v>76</v>
      </c>
      <c r="B67" s="6" t="s">
        <v>167</v>
      </c>
      <c r="C67" s="6" t="s">
        <v>168</v>
      </c>
      <c r="D67" s="6" t="s">
        <v>256</v>
      </c>
      <c r="E67" s="73" t="s">
        <v>257</v>
      </c>
      <c r="F67" s="6" t="s">
        <v>182</v>
      </c>
      <c r="G67" s="6" t="s">
        <v>146</v>
      </c>
      <c r="H67" s="6" t="s">
        <v>86</v>
      </c>
      <c r="I67" s="6" t="s">
        <v>86</v>
      </c>
      <c r="J67" s="6" t="s">
        <v>87</v>
      </c>
      <c r="K67" s="6" t="s">
        <v>84</v>
      </c>
      <c r="L67" s="6" t="s">
        <v>166</v>
      </c>
      <c r="M67" s="6" t="s">
        <v>80</v>
      </c>
      <c r="N67" s="8">
        <v>7.6</v>
      </c>
      <c r="O67" s="9"/>
      <c r="P67" s="11">
        <f t="shared" si="142"/>
        <v>20</v>
      </c>
      <c r="Q67" s="11">
        <f t="shared" si="143"/>
        <v>152</v>
      </c>
      <c r="R67" s="11">
        <f t="shared" si="144"/>
        <v>0</v>
      </c>
      <c r="S67" s="11">
        <f t="shared" si="145"/>
        <v>0</v>
      </c>
      <c r="T67" s="12">
        <v>5000</v>
      </c>
      <c r="U67" s="12">
        <f t="shared" si="146"/>
        <v>38000</v>
      </c>
      <c r="V67" s="12"/>
      <c r="W67" s="12">
        <f t="shared" si="147"/>
        <v>0</v>
      </c>
      <c r="X67" s="12"/>
      <c r="Y67" s="12">
        <v>5000</v>
      </c>
      <c r="Z67" s="12">
        <f t="shared" si="148"/>
        <v>38000</v>
      </c>
      <c r="AA67" s="12"/>
      <c r="AB67" s="12">
        <f t="shared" si="149"/>
        <v>0</v>
      </c>
      <c r="AC67" s="12"/>
      <c r="AD67" s="12"/>
      <c r="AE67" s="12">
        <f t="shared" si="150"/>
        <v>0</v>
      </c>
      <c r="AF67" s="12"/>
      <c r="AG67" s="12">
        <f t="shared" si="151"/>
        <v>0</v>
      </c>
      <c r="AH67" s="12"/>
      <c r="AI67" s="12">
        <v>5000</v>
      </c>
      <c r="AJ67" s="12">
        <f t="shared" si="152"/>
        <v>38000</v>
      </c>
      <c r="AK67" s="12"/>
      <c r="AL67" s="12">
        <f t="shared" si="153"/>
        <v>0</v>
      </c>
      <c r="AM67" s="12"/>
      <c r="AN67" s="12"/>
      <c r="AO67" s="12">
        <f t="shared" si="154"/>
        <v>0</v>
      </c>
      <c r="AP67" s="12"/>
      <c r="AQ67" s="12">
        <f t="shared" si="155"/>
        <v>0</v>
      </c>
      <c r="AR67" s="12"/>
      <c r="AS67" s="12">
        <v>5000</v>
      </c>
      <c r="AT67" s="12">
        <f t="shared" si="156"/>
        <v>38000</v>
      </c>
      <c r="AU67" s="12"/>
      <c r="AV67" s="12">
        <f t="shared" si="157"/>
        <v>0</v>
      </c>
      <c r="AW67" s="12"/>
      <c r="AX67" s="13"/>
      <c r="AY67" s="13">
        <f t="shared" si="158"/>
        <v>0</v>
      </c>
      <c r="AZ67" s="12"/>
      <c r="BA67" s="12">
        <f t="shared" si="159"/>
        <v>0</v>
      </c>
      <c r="BB67" s="12"/>
      <c r="BC67" s="12"/>
      <c r="BD67" s="12">
        <f t="shared" si="160"/>
        <v>0</v>
      </c>
      <c r="BE67" s="12"/>
      <c r="BF67" s="12">
        <f t="shared" si="161"/>
        <v>0</v>
      </c>
      <c r="BG67" s="12"/>
      <c r="BH67" s="12"/>
      <c r="BI67" s="12">
        <f t="shared" si="162"/>
        <v>0</v>
      </c>
      <c r="BJ67" s="12"/>
      <c r="BK67" s="12">
        <f t="shared" si="163"/>
        <v>0</v>
      </c>
      <c r="BL67" s="12"/>
      <c r="BM67" s="12"/>
      <c r="BN67" s="12">
        <f t="shared" si="164"/>
        <v>0</v>
      </c>
      <c r="BO67" s="12"/>
      <c r="BP67" s="12">
        <f t="shared" si="165"/>
        <v>0</v>
      </c>
      <c r="BQ67" s="12"/>
      <c r="BR67" s="12"/>
      <c r="BS67" s="12">
        <f t="shared" si="166"/>
        <v>0</v>
      </c>
      <c r="BT67" s="12"/>
      <c r="BU67" s="12">
        <f t="shared" si="167"/>
        <v>0</v>
      </c>
      <c r="BV67" s="12"/>
      <c r="BW67" s="12"/>
      <c r="BX67" s="12">
        <f t="shared" si="168"/>
        <v>0</v>
      </c>
      <c r="BY67" s="12"/>
      <c r="BZ67" s="12">
        <f t="shared" si="169"/>
        <v>0</v>
      </c>
      <c r="CA67" s="12"/>
      <c r="CB67" s="6"/>
    </row>
    <row r="68" spans="1:80" ht="16" x14ac:dyDescent="0.4">
      <c r="A68" s="6" t="s">
        <v>76</v>
      </c>
      <c r="B68" s="6" t="s">
        <v>167</v>
      </c>
      <c r="C68" s="6" t="s">
        <v>168</v>
      </c>
      <c r="D68" s="6" t="s">
        <v>256</v>
      </c>
      <c r="E68" s="73" t="s">
        <v>257</v>
      </c>
      <c r="F68" s="6" t="s">
        <v>182</v>
      </c>
      <c r="G68" s="6" t="s">
        <v>146</v>
      </c>
      <c r="H68" s="6" t="s">
        <v>86</v>
      </c>
      <c r="I68" s="6" t="s">
        <v>86</v>
      </c>
      <c r="J68" s="6" t="s">
        <v>87</v>
      </c>
      <c r="K68" s="6" t="s">
        <v>84</v>
      </c>
      <c r="L68" s="6" t="s">
        <v>162</v>
      </c>
      <c r="M68" s="6"/>
      <c r="N68" s="8">
        <v>9.98</v>
      </c>
      <c r="O68" s="9"/>
      <c r="P68" s="11">
        <f t="shared" si="142"/>
        <v>20</v>
      </c>
      <c r="Q68" s="11">
        <f t="shared" si="143"/>
        <v>199.6</v>
      </c>
      <c r="R68" s="11">
        <f t="shared" si="144"/>
        <v>0</v>
      </c>
      <c r="S68" s="11">
        <f t="shared" si="145"/>
        <v>0</v>
      </c>
      <c r="T68" s="12">
        <v>5000</v>
      </c>
      <c r="U68" s="12">
        <f t="shared" si="146"/>
        <v>49900</v>
      </c>
      <c r="V68" s="12"/>
      <c r="W68" s="12">
        <f t="shared" si="147"/>
        <v>0</v>
      </c>
      <c r="X68" s="12"/>
      <c r="Y68" s="12">
        <v>5000</v>
      </c>
      <c r="Z68" s="12">
        <f t="shared" si="148"/>
        <v>49900</v>
      </c>
      <c r="AA68" s="12"/>
      <c r="AB68" s="12">
        <f t="shared" si="149"/>
        <v>0</v>
      </c>
      <c r="AC68" s="12"/>
      <c r="AD68" s="12"/>
      <c r="AE68" s="12">
        <f t="shared" si="150"/>
        <v>0</v>
      </c>
      <c r="AF68" s="12"/>
      <c r="AG68" s="12">
        <f t="shared" si="151"/>
        <v>0</v>
      </c>
      <c r="AH68" s="12"/>
      <c r="AI68" s="12">
        <v>5000</v>
      </c>
      <c r="AJ68" s="12">
        <f t="shared" si="152"/>
        <v>49900</v>
      </c>
      <c r="AK68" s="12"/>
      <c r="AL68" s="12">
        <f t="shared" si="153"/>
        <v>0</v>
      </c>
      <c r="AM68" s="12"/>
      <c r="AN68" s="12"/>
      <c r="AO68" s="12">
        <f t="shared" si="154"/>
        <v>0</v>
      </c>
      <c r="AP68" s="12"/>
      <c r="AQ68" s="12">
        <f t="shared" si="155"/>
        <v>0</v>
      </c>
      <c r="AR68" s="12"/>
      <c r="AS68" s="12">
        <v>5000</v>
      </c>
      <c r="AT68" s="12">
        <f t="shared" si="156"/>
        <v>49900</v>
      </c>
      <c r="AU68" s="12"/>
      <c r="AV68" s="12">
        <f t="shared" si="157"/>
        <v>0</v>
      </c>
      <c r="AW68" s="12"/>
      <c r="AX68" s="13"/>
      <c r="AY68" s="13">
        <f t="shared" si="158"/>
        <v>0</v>
      </c>
      <c r="AZ68" s="12"/>
      <c r="BA68" s="12">
        <f t="shared" si="159"/>
        <v>0</v>
      </c>
      <c r="BB68" s="12"/>
      <c r="BC68" s="12"/>
      <c r="BD68" s="12">
        <f t="shared" si="160"/>
        <v>0</v>
      </c>
      <c r="BE68" s="12"/>
      <c r="BF68" s="12">
        <f t="shared" si="161"/>
        <v>0</v>
      </c>
      <c r="BG68" s="12"/>
      <c r="BH68" s="12"/>
      <c r="BI68" s="12">
        <f t="shared" si="162"/>
        <v>0</v>
      </c>
      <c r="BJ68" s="12"/>
      <c r="BK68" s="12">
        <f t="shared" si="163"/>
        <v>0</v>
      </c>
      <c r="BL68" s="12"/>
      <c r="BM68" s="12"/>
      <c r="BN68" s="12">
        <f t="shared" si="164"/>
        <v>0</v>
      </c>
      <c r="BO68" s="12"/>
      <c r="BP68" s="12">
        <f t="shared" si="165"/>
        <v>0</v>
      </c>
      <c r="BQ68" s="12"/>
      <c r="BR68" s="12"/>
      <c r="BS68" s="12">
        <f t="shared" si="166"/>
        <v>0</v>
      </c>
      <c r="BT68" s="12"/>
      <c r="BU68" s="12">
        <f t="shared" si="167"/>
        <v>0</v>
      </c>
      <c r="BV68" s="12"/>
      <c r="BW68" s="12"/>
      <c r="BX68" s="12">
        <f t="shared" si="168"/>
        <v>0</v>
      </c>
      <c r="BY68" s="12"/>
      <c r="BZ68" s="12">
        <f t="shared" si="169"/>
        <v>0</v>
      </c>
      <c r="CA68" s="12"/>
      <c r="CB68" s="6"/>
    </row>
    <row r="69" spans="1:80" ht="16" x14ac:dyDescent="0.4">
      <c r="A69" s="6" t="s">
        <v>76</v>
      </c>
      <c r="B69" s="6" t="s">
        <v>167</v>
      </c>
      <c r="C69" s="6" t="s">
        <v>168</v>
      </c>
      <c r="D69" s="6" t="s">
        <v>256</v>
      </c>
      <c r="E69" s="73" t="s">
        <v>257</v>
      </c>
      <c r="F69" s="6" t="s">
        <v>182</v>
      </c>
      <c r="G69" s="6" t="s">
        <v>146</v>
      </c>
      <c r="H69" s="6" t="s">
        <v>86</v>
      </c>
      <c r="I69" s="6" t="s">
        <v>86</v>
      </c>
      <c r="J69" s="6" t="s">
        <v>87</v>
      </c>
      <c r="K69" s="6" t="s">
        <v>84</v>
      </c>
      <c r="L69" s="6" t="s">
        <v>165</v>
      </c>
      <c r="M69" s="6" t="s">
        <v>80</v>
      </c>
      <c r="N69" s="8">
        <v>9.6</v>
      </c>
      <c r="O69" s="9"/>
      <c r="P69" s="11">
        <f t="shared" si="142"/>
        <v>40</v>
      </c>
      <c r="Q69" s="11">
        <f t="shared" si="143"/>
        <v>384</v>
      </c>
      <c r="R69" s="11">
        <f t="shared" si="144"/>
        <v>0</v>
      </c>
      <c r="S69" s="11">
        <f t="shared" si="145"/>
        <v>0</v>
      </c>
      <c r="T69" s="12">
        <v>5000</v>
      </c>
      <c r="U69" s="12">
        <f t="shared" si="146"/>
        <v>48000</v>
      </c>
      <c r="V69" s="12"/>
      <c r="W69" s="12">
        <f t="shared" si="147"/>
        <v>0</v>
      </c>
      <c r="X69" s="12"/>
      <c r="Y69" s="12">
        <v>5000</v>
      </c>
      <c r="Z69" s="12">
        <f t="shared" si="148"/>
        <v>48000</v>
      </c>
      <c r="AA69" s="12"/>
      <c r="AB69" s="12">
        <f t="shared" si="149"/>
        <v>0</v>
      </c>
      <c r="AC69" s="12"/>
      <c r="AD69" s="12"/>
      <c r="AE69" s="12">
        <f t="shared" si="150"/>
        <v>0</v>
      </c>
      <c r="AF69" s="12"/>
      <c r="AG69" s="12">
        <f t="shared" si="151"/>
        <v>0</v>
      </c>
      <c r="AH69" s="12"/>
      <c r="AI69" s="12">
        <v>5000</v>
      </c>
      <c r="AJ69" s="12">
        <f t="shared" si="152"/>
        <v>48000</v>
      </c>
      <c r="AK69" s="12"/>
      <c r="AL69" s="12">
        <f t="shared" si="153"/>
        <v>0</v>
      </c>
      <c r="AM69" s="12"/>
      <c r="AN69" s="12"/>
      <c r="AO69" s="12">
        <f t="shared" si="154"/>
        <v>0</v>
      </c>
      <c r="AP69" s="12"/>
      <c r="AQ69" s="12">
        <f t="shared" si="155"/>
        <v>0</v>
      </c>
      <c r="AR69" s="12"/>
      <c r="AS69" s="12">
        <v>5000</v>
      </c>
      <c r="AT69" s="12">
        <f t="shared" si="156"/>
        <v>48000</v>
      </c>
      <c r="AU69" s="12"/>
      <c r="AV69" s="12">
        <f t="shared" si="157"/>
        <v>0</v>
      </c>
      <c r="AW69" s="12"/>
      <c r="AX69" s="13">
        <v>5000</v>
      </c>
      <c r="AY69" s="13">
        <f t="shared" si="158"/>
        <v>48000</v>
      </c>
      <c r="AZ69" s="12"/>
      <c r="BA69" s="12">
        <f t="shared" si="159"/>
        <v>0</v>
      </c>
      <c r="BB69" s="12"/>
      <c r="BC69" s="12">
        <v>5000</v>
      </c>
      <c r="BD69" s="12">
        <f t="shared" si="160"/>
        <v>48000</v>
      </c>
      <c r="BE69" s="12"/>
      <c r="BF69" s="12">
        <f t="shared" si="161"/>
        <v>0</v>
      </c>
      <c r="BG69" s="12"/>
      <c r="BH69" s="12"/>
      <c r="BI69" s="12">
        <f t="shared" si="162"/>
        <v>0</v>
      </c>
      <c r="BJ69" s="12"/>
      <c r="BK69" s="12">
        <f t="shared" si="163"/>
        <v>0</v>
      </c>
      <c r="BL69" s="12"/>
      <c r="BM69" s="12">
        <v>5000</v>
      </c>
      <c r="BN69" s="12">
        <f t="shared" si="164"/>
        <v>48000</v>
      </c>
      <c r="BO69" s="12"/>
      <c r="BP69" s="12">
        <f t="shared" si="165"/>
        <v>0</v>
      </c>
      <c r="BQ69" s="12"/>
      <c r="BR69" s="12"/>
      <c r="BS69" s="12">
        <f t="shared" si="166"/>
        <v>0</v>
      </c>
      <c r="BT69" s="12"/>
      <c r="BU69" s="12">
        <f t="shared" si="167"/>
        <v>0</v>
      </c>
      <c r="BV69" s="12"/>
      <c r="BW69" s="12">
        <v>5000</v>
      </c>
      <c r="BX69" s="12">
        <f t="shared" si="168"/>
        <v>48000</v>
      </c>
      <c r="BY69" s="12"/>
      <c r="BZ69" s="12">
        <f t="shared" si="169"/>
        <v>0</v>
      </c>
      <c r="CA69" s="12"/>
      <c r="CB69" s="6"/>
    </row>
    <row r="70" spans="1:80" ht="16" x14ac:dyDescent="0.4">
      <c r="A70" s="6" t="s">
        <v>76</v>
      </c>
      <c r="B70" s="6" t="s">
        <v>167</v>
      </c>
      <c r="C70" s="6" t="s">
        <v>168</v>
      </c>
      <c r="D70" s="6" t="s">
        <v>256</v>
      </c>
      <c r="E70" s="73" t="s">
        <v>257</v>
      </c>
      <c r="F70" s="6" t="s">
        <v>182</v>
      </c>
      <c r="G70" s="6" t="s">
        <v>146</v>
      </c>
      <c r="H70" s="6" t="s">
        <v>86</v>
      </c>
      <c r="I70" s="6" t="s">
        <v>86</v>
      </c>
      <c r="J70" s="6" t="s">
        <v>87</v>
      </c>
      <c r="K70" s="6" t="s">
        <v>84</v>
      </c>
      <c r="L70" s="6" t="s">
        <v>177</v>
      </c>
      <c r="M70" s="6" t="s">
        <v>80</v>
      </c>
      <c r="N70" s="8">
        <v>4.04</v>
      </c>
      <c r="O70" s="9"/>
      <c r="P70" s="11">
        <f t="shared" si="142"/>
        <v>1</v>
      </c>
      <c r="Q70" s="11">
        <f t="shared" si="143"/>
        <v>4.04</v>
      </c>
      <c r="R70" s="11">
        <f t="shared" si="144"/>
        <v>0</v>
      </c>
      <c r="S70" s="11">
        <f t="shared" si="145"/>
        <v>0</v>
      </c>
      <c r="T70" s="12"/>
      <c r="U70" s="12">
        <f t="shared" si="146"/>
        <v>0</v>
      </c>
      <c r="V70" s="12"/>
      <c r="W70" s="12">
        <f t="shared" si="147"/>
        <v>0</v>
      </c>
      <c r="X70" s="12"/>
      <c r="Y70" s="12"/>
      <c r="Z70" s="12">
        <f t="shared" si="148"/>
        <v>0</v>
      </c>
      <c r="AA70" s="12"/>
      <c r="AB70" s="12">
        <f t="shared" si="149"/>
        <v>0</v>
      </c>
      <c r="AC70" s="12"/>
      <c r="AD70" s="12">
        <v>1000</v>
      </c>
      <c r="AE70" s="12">
        <f t="shared" si="150"/>
        <v>4040</v>
      </c>
      <c r="AF70" s="12"/>
      <c r="AG70" s="12">
        <f t="shared" si="151"/>
        <v>0</v>
      </c>
      <c r="AH70" s="12"/>
      <c r="AI70" s="12"/>
      <c r="AJ70" s="12">
        <f t="shared" si="152"/>
        <v>0</v>
      </c>
      <c r="AK70" s="12"/>
      <c r="AL70" s="12">
        <f t="shared" si="153"/>
        <v>0</v>
      </c>
      <c r="AM70" s="12"/>
      <c r="AN70" s="12"/>
      <c r="AO70" s="12">
        <f t="shared" si="154"/>
        <v>0</v>
      </c>
      <c r="AP70" s="12"/>
      <c r="AQ70" s="12">
        <f t="shared" si="155"/>
        <v>0</v>
      </c>
      <c r="AR70" s="12"/>
      <c r="AS70" s="12"/>
      <c r="AT70" s="12">
        <f t="shared" si="156"/>
        <v>0</v>
      </c>
      <c r="AU70" s="12"/>
      <c r="AV70" s="12">
        <f t="shared" si="157"/>
        <v>0</v>
      </c>
      <c r="AW70" s="12"/>
      <c r="AX70" s="13"/>
      <c r="AY70" s="13">
        <f t="shared" si="158"/>
        <v>0</v>
      </c>
      <c r="AZ70" s="12"/>
      <c r="BA70" s="12">
        <f t="shared" si="159"/>
        <v>0</v>
      </c>
      <c r="BB70" s="12"/>
      <c r="BC70" s="12"/>
      <c r="BD70" s="12">
        <f t="shared" si="160"/>
        <v>0</v>
      </c>
      <c r="BE70" s="12"/>
      <c r="BF70" s="12">
        <f t="shared" si="161"/>
        <v>0</v>
      </c>
      <c r="BG70" s="12"/>
      <c r="BH70" s="12"/>
      <c r="BI70" s="12">
        <f t="shared" si="162"/>
        <v>0</v>
      </c>
      <c r="BJ70" s="12"/>
      <c r="BK70" s="12">
        <f t="shared" si="163"/>
        <v>0</v>
      </c>
      <c r="BL70" s="12"/>
      <c r="BM70" s="12"/>
      <c r="BN70" s="12">
        <f t="shared" si="164"/>
        <v>0</v>
      </c>
      <c r="BO70" s="12"/>
      <c r="BP70" s="12">
        <f t="shared" si="165"/>
        <v>0</v>
      </c>
      <c r="BQ70" s="12"/>
      <c r="BR70" s="12"/>
      <c r="BS70" s="12">
        <f t="shared" si="166"/>
        <v>0</v>
      </c>
      <c r="BT70" s="12"/>
      <c r="BU70" s="12">
        <f t="shared" si="167"/>
        <v>0</v>
      </c>
      <c r="BV70" s="12"/>
      <c r="BW70" s="12"/>
      <c r="BX70" s="12">
        <f t="shared" si="168"/>
        <v>0</v>
      </c>
      <c r="BY70" s="12"/>
      <c r="BZ70" s="12">
        <f t="shared" si="169"/>
        <v>0</v>
      </c>
      <c r="CA70" s="12"/>
      <c r="CB70" s="6"/>
    </row>
    <row r="71" spans="1:80" ht="16" x14ac:dyDescent="0.4">
      <c r="A71" s="6" t="s">
        <v>76</v>
      </c>
      <c r="B71" s="6" t="s">
        <v>167</v>
      </c>
      <c r="C71" s="6" t="s">
        <v>168</v>
      </c>
      <c r="D71" s="6" t="s">
        <v>260</v>
      </c>
      <c r="E71" s="73" t="s">
        <v>261</v>
      </c>
      <c r="F71" s="6" t="s">
        <v>182</v>
      </c>
      <c r="G71" s="6" t="s">
        <v>174</v>
      </c>
      <c r="H71" s="6" t="s">
        <v>112</v>
      </c>
      <c r="I71" s="6" t="s">
        <v>112</v>
      </c>
      <c r="J71" s="6" t="s">
        <v>89</v>
      </c>
      <c r="K71" s="6" t="s">
        <v>113</v>
      </c>
      <c r="L71" s="6" t="s">
        <v>262</v>
      </c>
      <c r="M71" s="6"/>
      <c r="N71" s="8"/>
      <c r="O71" s="9"/>
      <c r="P71" s="11">
        <f t="shared" ref="P71" si="170">+(T71+Y71+AD71+AI71+AN71+AS71+AX71+BC71+BH71+BM71+BR71+BW71)/1000</f>
        <v>0</v>
      </c>
      <c r="Q71" s="11">
        <f t="shared" ref="Q71" si="171">+(U71+Z71+AE71+AJ71+AO71+AT71+AY71+BD71+BI71+BN71+BS71+BX71)/1000</f>
        <v>0</v>
      </c>
      <c r="R71" s="11">
        <f t="shared" ref="R71" si="172">+(+BA71+BF71+BK71+BP71+BU71+BZ71)</f>
        <v>0</v>
      </c>
      <c r="S71" s="11">
        <f t="shared" ref="S71" si="173">+(+BB71+BG71+BL71+BQ71+BV71+CA71)</f>
        <v>0</v>
      </c>
      <c r="T71" s="12"/>
      <c r="U71" s="12">
        <f t="shared" ref="U71" si="174">T71*N71</f>
        <v>0</v>
      </c>
      <c r="V71" s="12"/>
      <c r="W71" s="12">
        <f t="shared" ref="W71" si="175">V71*N71</f>
        <v>0</v>
      </c>
      <c r="X71" s="12"/>
      <c r="Y71" s="12"/>
      <c r="Z71" s="12">
        <f t="shared" ref="Z71" si="176">Y71*N71</f>
        <v>0</v>
      </c>
      <c r="AA71" s="12"/>
      <c r="AB71" s="12">
        <f t="shared" ref="AB71" si="177">AA71*N71</f>
        <v>0</v>
      </c>
      <c r="AC71" s="12"/>
      <c r="AD71" s="12"/>
      <c r="AE71" s="12">
        <f t="shared" ref="AE71" si="178">AD71*N71</f>
        <v>0</v>
      </c>
      <c r="AF71" s="12"/>
      <c r="AG71" s="12">
        <f t="shared" ref="AG71" si="179">AF71*N71</f>
        <v>0</v>
      </c>
      <c r="AH71" s="12"/>
      <c r="AI71" s="12"/>
      <c r="AJ71" s="12">
        <f t="shared" ref="AJ71" si="180">AI71*N71</f>
        <v>0</v>
      </c>
      <c r="AK71" s="12"/>
      <c r="AL71" s="12">
        <f t="shared" ref="AL71" si="181">AK71*N71</f>
        <v>0</v>
      </c>
      <c r="AM71" s="12"/>
      <c r="AN71" s="12"/>
      <c r="AO71" s="12">
        <f t="shared" ref="AO71" si="182">AN71*N71</f>
        <v>0</v>
      </c>
      <c r="AP71" s="12"/>
      <c r="AQ71" s="12">
        <f t="shared" ref="AQ71" si="183">AP71*N71</f>
        <v>0</v>
      </c>
      <c r="AR71" s="12"/>
      <c r="AS71" s="12"/>
      <c r="AT71" s="12">
        <f t="shared" ref="AT71" si="184">AS71*N71</f>
        <v>0</v>
      </c>
      <c r="AU71" s="12"/>
      <c r="AV71" s="12">
        <f t="shared" ref="AV71" si="185">AU71*N71</f>
        <v>0</v>
      </c>
      <c r="AW71" s="12"/>
      <c r="AX71" s="13"/>
      <c r="AY71" s="13">
        <f t="shared" ref="AY71" si="186">AX71*N71</f>
        <v>0</v>
      </c>
      <c r="AZ71" s="12"/>
      <c r="BA71" s="12">
        <f t="shared" ref="BA71" si="187">AZ71*N71</f>
        <v>0</v>
      </c>
      <c r="BB71" s="12"/>
      <c r="BC71" s="12"/>
      <c r="BD71" s="12">
        <f t="shared" ref="BD71" si="188">BC71*N71</f>
        <v>0</v>
      </c>
      <c r="BE71" s="12"/>
      <c r="BF71" s="12">
        <f t="shared" ref="BF71" si="189">BE71*N71</f>
        <v>0</v>
      </c>
      <c r="BG71" s="12"/>
      <c r="BH71" s="12"/>
      <c r="BI71" s="12">
        <f t="shared" ref="BI71" si="190">BH71*N71</f>
        <v>0</v>
      </c>
      <c r="BJ71" s="12"/>
      <c r="BK71" s="12">
        <f t="shared" ref="BK71" si="191">BJ71*N71</f>
        <v>0</v>
      </c>
      <c r="BL71" s="12"/>
      <c r="BM71" s="12"/>
      <c r="BN71" s="12">
        <f t="shared" ref="BN71" si="192">BM71*N71</f>
        <v>0</v>
      </c>
      <c r="BO71" s="12"/>
      <c r="BP71" s="12">
        <f t="shared" ref="BP71" si="193">BO71*N71</f>
        <v>0</v>
      </c>
      <c r="BQ71" s="12"/>
      <c r="BR71" s="12"/>
      <c r="BS71" s="12">
        <f t="shared" ref="BS71" si="194">BR71*N71</f>
        <v>0</v>
      </c>
      <c r="BT71" s="12"/>
      <c r="BU71" s="12">
        <f t="shared" ref="BU71" si="195">BT71*N71</f>
        <v>0</v>
      </c>
      <c r="BV71" s="12"/>
      <c r="BW71" s="12"/>
      <c r="BX71" s="12">
        <f t="shared" ref="BX71" si="196">BW71*N71</f>
        <v>0</v>
      </c>
      <c r="BY71" s="12"/>
      <c r="BZ71" s="12">
        <f t="shared" ref="BZ71" si="197">BY71*N71</f>
        <v>0</v>
      </c>
      <c r="CA71" s="12"/>
      <c r="CB71" s="6"/>
    </row>
    <row r="72" spans="1:80" ht="16" x14ac:dyDescent="0.4">
      <c r="A72" s="6" t="s">
        <v>76</v>
      </c>
      <c r="B72" s="6" t="s">
        <v>167</v>
      </c>
      <c r="C72" s="6" t="s">
        <v>168</v>
      </c>
      <c r="D72" s="6" t="s">
        <v>263</v>
      </c>
      <c r="E72" s="73" t="s">
        <v>264</v>
      </c>
      <c r="F72" s="6" t="s">
        <v>182</v>
      </c>
      <c r="G72" s="6" t="s">
        <v>174</v>
      </c>
      <c r="H72" s="6" t="s">
        <v>112</v>
      </c>
      <c r="I72" s="6" t="s">
        <v>112</v>
      </c>
      <c r="J72" s="6" t="s">
        <v>89</v>
      </c>
      <c r="K72" s="6" t="s">
        <v>113</v>
      </c>
      <c r="L72" s="6" t="s">
        <v>265</v>
      </c>
      <c r="M72" s="6" t="s">
        <v>80</v>
      </c>
      <c r="N72" s="8">
        <v>100</v>
      </c>
      <c r="O72" s="9"/>
      <c r="P72" s="11">
        <f t="shared" ref="P72:P75" si="198">+(T72+Y72+AD72+AI72+AN72+AS72+AX72+BC72+BH72+BM72+BR72+BW72)/1000</f>
        <v>7</v>
      </c>
      <c r="Q72" s="11">
        <f t="shared" ref="Q72:Q75" si="199">+(U72+Z72+AE72+AJ72+AO72+AT72+AY72+BD72+BI72+BN72+BS72+BX72)/1000</f>
        <v>700</v>
      </c>
      <c r="R72" s="11">
        <f t="shared" ref="R72:R75" si="200">+(+BA72+BF72+BK72+BP72+BU72+BZ72)</f>
        <v>0</v>
      </c>
      <c r="S72" s="11">
        <f t="shared" ref="S72:S75" si="201">+(+BB72+BG72+BL72+BQ72+BV72+CA72)</f>
        <v>0</v>
      </c>
      <c r="T72" s="12">
        <v>0</v>
      </c>
      <c r="U72" s="12">
        <f t="shared" ref="U72:U75" si="202">T72*N72</f>
        <v>0</v>
      </c>
      <c r="V72" s="12"/>
      <c r="W72" s="12">
        <f t="shared" ref="W72:W75" si="203">V72*N72</f>
        <v>0</v>
      </c>
      <c r="X72" s="12"/>
      <c r="Y72" s="12">
        <v>0</v>
      </c>
      <c r="Z72" s="12">
        <f t="shared" ref="Z72:Z75" si="204">Y72*N72</f>
        <v>0</v>
      </c>
      <c r="AA72" s="12"/>
      <c r="AB72" s="12">
        <f t="shared" ref="AB72:AB75" si="205">AA72*N72</f>
        <v>0</v>
      </c>
      <c r="AC72" s="12"/>
      <c r="AD72" s="12">
        <v>0</v>
      </c>
      <c r="AE72" s="12">
        <f t="shared" ref="AE72:AE75" si="206">AD72*N72</f>
        <v>0</v>
      </c>
      <c r="AF72" s="12"/>
      <c r="AG72" s="12">
        <f t="shared" ref="AG72:AG75" si="207">AF72*N72</f>
        <v>0</v>
      </c>
      <c r="AH72" s="12"/>
      <c r="AI72" s="12">
        <v>7000</v>
      </c>
      <c r="AJ72" s="12">
        <f t="shared" ref="AJ72:AJ75" si="208">AI72*N72</f>
        <v>700000</v>
      </c>
      <c r="AK72" s="12"/>
      <c r="AL72" s="12">
        <f t="shared" ref="AL72:AL75" si="209">AK72*N72</f>
        <v>0</v>
      </c>
      <c r="AM72" s="12"/>
      <c r="AN72" s="12">
        <v>0</v>
      </c>
      <c r="AO72" s="12">
        <f t="shared" ref="AO72:AO75" si="210">AN72*N72</f>
        <v>0</v>
      </c>
      <c r="AP72" s="12"/>
      <c r="AQ72" s="12">
        <f t="shared" ref="AQ72:AQ75" si="211">AP72*N72</f>
        <v>0</v>
      </c>
      <c r="AR72" s="12"/>
      <c r="AS72" s="12">
        <v>0</v>
      </c>
      <c r="AT72" s="12">
        <f t="shared" ref="AT72:AT75" si="212">AS72*N72</f>
        <v>0</v>
      </c>
      <c r="AU72" s="12"/>
      <c r="AV72" s="12">
        <f t="shared" ref="AV72:AV75" si="213">AU72*N72</f>
        <v>0</v>
      </c>
      <c r="AW72" s="12"/>
      <c r="AX72" s="13">
        <v>0</v>
      </c>
      <c r="AY72" s="13">
        <f t="shared" ref="AY72:AY75" si="214">AX72*N72</f>
        <v>0</v>
      </c>
      <c r="AZ72" s="12"/>
      <c r="BA72" s="12">
        <f t="shared" ref="BA72:BA75" si="215">AZ72*N72</f>
        <v>0</v>
      </c>
      <c r="BB72" s="12"/>
      <c r="BC72" s="12">
        <v>0</v>
      </c>
      <c r="BD72" s="12">
        <f t="shared" ref="BD72:BD75" si="216">BC72*N72</f>
        <v>0</v>
      </c>
      <c r="BE72" s="12"/>
      <c r="BF72" s="12">
        <f t="shared" ref="BF72:BF75" si="217">BE72*N72</f>
        <v>0</v>
      </c>
      <c r="BG72" s="12"/>
      <c r="BH72" s="12">
        <v>0</v>
      </c>
      <c r="BI72" s="12">
        <f t="shared" ref="BI72:BI75" si="218">BH72*N72</f>
        <v>0</v>
      </c>
      <c r="BJ72" s="12"/>
      <c r="BK72" s="12">
        <f t="shared" ref="BK72:BK75" si="219">BJ72*N72</f>
        <v>0</v>
      </c>
      <c r="BL72" s="12"/>
      <c r="BM72" s="12">
        <v>0</v>
      </c>
      <c r="BN72" s="12">
        <f t="shared" ref="BN72:BN75" si="220">BM72*N72</f>
        <v>0</v>
      </c>
      <c r="BO72" s="12"/>
      <c r="BP72" s="12">
        <f t="shared" ref="BP72:BP75" si="221">BO72*N72</f>
        <v>0</v>
      </c>
      <c r="BQ72" s="12"/>
      <c r="BR72" s="12">
        <v>0</v>
      </c>
      <c r="BS72" s="12">
        <f t="shared" ref="BS72:BS75" si="222">BR72*N72</f>
        <v>0</v>
      </c>
      <c r="BT72" s="12"/>
      <c r="BU72" s="12">
        <f t="shared" ref="BU72:BU75" si="223">BT72*N72</f>
        <v>0</v>
      </c>
      <c r="BV72" s="12"/>
      <c r="BW72" s="12">
        <v>0</v>
      </c>
      <c r="BX72" s="12">
        <f t="shared" ref="BX72:BX75" si="224">BW72*N72</f>
        <v>0</v>
      </c>
      <c r="BY72" s="12"/>
      <c r="BZ72" s="12">
        <f t="shared" ref="BZ72:BZ75" si="225">BY72*N72</f>
        <v>0</v>
      </c>
      <c r="CA72" s="12"/>
      <c r="CB72" s="6"/>
    </row>
    <row r="73" spans="1:80" ht="16" x14ac:dyDescent="0.4">
      <c r="A73" s="6" t="s">
        <v>76</v>
      </c>
      <c r="B73" s="6" t="s">
        <v>167</v>
      </c>
      <c r="C73" s="6" t="s">
        <v>168</v>
      </c>
      <c r="D73" s="6" t="s">
        <v>263</v>
      </c>
      <c r="E73" s="73" t="s">
        <v>264</v>
      </c>
      <c r="F73" s="6" t="s">
        <v>182</v>
      </c>
      <c r="G73" s="6" t="s">
        <v>174</v>
      </c>
      <c r="H73" s="6" t="s">
        <v>128</v>
      </c>
      <c r="I73" s="6" t="s">
        <v>128</v>
      </c>
      <c r="J73" s="6" t="s">
        <v>129</v>
      </c>
      <c r="K73" s="6" t="s">
        <v>79</v>
      </c>
      <c r="L73" s="6" t="s">
        <v>266</v>
      </c>
      <c r="M73" s="6" t="s">
        <v>80</v>
      </c>
      <c r="N73" s="8">
        <v>17.75</v>
      </c>
      <c r="O73" s="9"/>
      <c r="P73" s="11">
        <f t="shared" si="198"/>
        <v>30</v>
      </c>
      <c r="Q73" s="11">
        <f t="shared" si="199"/>
        <v>532.5</v>
      </c>
      <c r="R73" s="11">
        <f t="shared" si="200"/>
        <v>0</v>
      </c>
      <c r="S73" s="11">
        <f t="shared" si="201"/>
        <v>0</v>
      </c>
      <c r="T73" s="12">
        <v>0</v>
      </c>
      <c r="U73" s="12">
        <f t="shared" si="202"/>
        <v>0</v>
      </c>
      <c r="V73" s="12"/>
      <c r="W73" s="12">
        <f t="shared" si="203"/>
        <v>0</v>
      </c>
      <c r="X73" s="12"/>
      <c r="Y73" s="12">
        <v>0</v>
      </c>
      <c r="Z73" s="12">
        <f t="shared" si="204"/>
        <v>0</v>
      </c>
      <c r="AA73" s="12"/>
      <c r="AB73" s="12">
        <f t="shared" si="205"/>
        <v>0</v>
      </c>
      <c r="AC73" s="12"/>
      <c r="AD73" s="12">
        <v>5000</v>
      </c>
      <c r="AE73" s="12">
        <f t="shared" si="206"/>
        <v>88750</v>
      </c>
      <c r="AF73" s="12"/>
      <c r="AG73" s="12">
        <f t="shared" si="207"/>
        <v>0</v>
      </c>
      <c r="AH73" s="12"/>
      <c r="AI73" s="12">
        <v>5000</v>
      </c>
      <c r="AJ73" s="12">
        <f t="shared" si="208"/>
        <v>88750</v>
      </c>
      <c r="AK73" s="12"/>
      <c r="AL73" s="12">
        <f t="shared" si="209"/>
        <v>0</v>
      </c>
      <c r="AM73" s="12"/>
      <c r="AN73" s="12">
        <v>0</v>
      </c>
      <c r="AO73" s="12">
        <f t="shared" si="210"/>
        <v>0</v>
      </c>
      <c r="AP73" s="12"/>
      <c r="AQ73" s="12">
        <f t="shared" si="211"/>
        <v>0</v>
      </c>
      <c r="AR73" s="12"/>
      <c r="AS73" s="12">
        <v>0</v>
      </c>
      <c r="AT73" s="12">
        <f t="shared" si="212"/>
        <v>0</v>
      </c>
      <c r="AU73" s="12"/>
      <c r="AV73" s="12">
        <f t="shared" si="213"/>
        <v>0</v>
      </c>
      <c r="AW73" s="12"/>
      <c r="AX73" s="13">
        <v>5000</v>
      </c>
      <c r="AY73" s="13">
        <f t="shared" si="214"/>
        <v>88750</v>
      </c>
      <c r="AZ73" s="12"/>
      <c r="BA73" s="12">
        <f t="shared" si="215"/>
        <v>0</v>
      </c>
      <c r="BB73" s="12"/>
      <c r="BC73" s="12">
        <v>0</v>
      </c>
      <c r="BD73" s="12">
        <f t="shared" si="216"/>
        <v>0</v>
      </c>
      <c r="BE73" s="12"/>
      <c r="BF73" s="12">
        <f t="shared" si="217"/>
        <v>0</v>
      </c>
      <c r="BG73" s="12"/>
      <c r="BH73" s="12">
        <v>0</v>
      </c>
      <c r="BI73" s="12">
        <f t="shared" si="218"/>
        <v>0</v>
      </c>
      <c r="BJ73" s="12"/>
      <c r="BK73" s="12">
        <f t="shared" si="219"/>
        <v>0</v>
      </c>
      <c r="BL73" s="12"/>
      <c r="BM73" s="12">
        <v>5000</v>
      </c>
      <c r="BN73" s="12">
        <f t="shared" si="220"/>
        <v>88750</v>
      </c>
      <c r="BO73" s="12"/>
      <c r="BP73" s="12">
        <f t="shared" si="221"/>
        <v>0</v>
      </c>
      <c r="BQ73" s="12"/>
      <c r="BR73" s="12">
        <v>5000</v>
      </c>
      <c r="BS73" s="12">
        <f t="shared" si="222"/>
        <v>88750</v>
      </c>
      <c r="BT73" s="12"/>
      <c r="BU73" s="12">
        <f t="shared" si="223"/>
        <v>0</v>
      </c>
      <c r="BV73" s="12"/>
      <c r="BW73" s="12">
        <v>5000</v>
      </c>
      <c r="BX73" s="12">
        <f t="shared" si="224"/>
        <v>88750</v>
      </c>
      <c r="BY73" s="12"/>
      <c r="BZ73" s="12">
        <f t="shared" si="225"/>
        <v>0</v>
      </c>
      <c r="CA73" s="12"/>
      <c r="CB73" s="6"/>
    </row>
    <row r="74" spans="1:80" ht="16" x14ac:dyDescent="0.4">
      <c r="A74" s="6" t="s">
        <v>76</v>
      </c>
      <c r="B74" s="6" t="s">
        <v>167</v>
      </c>
      <c r="C74" s="6" t="s">
        <v>168</v>
      </c>
      <c r="D74" s="6" t="s">
        <v>263</v>
      </c>
      <c r="E74" s="73" t="s">
        <v>264</v>
      </c>
      <c r="F74" s="6" t="s">
        <v>182</v>
      </c>
      <c r="G74" s="6" t="s">
        <v>174</v>
      </c>
      <c r="H74" s="6" t="s">
        <v>77</v>
      </c>
      <c r="I74" s="6" t="s">
        <v>77</v>
      </c>
      <c r="J74" s="6" t="s">
        <v>78</v>
      </c>
      <c r="K74" s="6" t="s">
        <v>79</v>
      </c>
      <c r="L74" s="6" t="s">
        <v>132</v>
      </c>
      <c r="M74" s="6" t="s">
        <v>80</v>
      </c>
      <c r="N74" s="8">
        <v>0.45</v>
      </c>
      <c r="O74" s="9"/>
      <c r="P74" s="11">
        <f t="shared" si="198"/>
        <v>15</v>
      </c>
      <c r="Q74" s="11">
        <f t="shared" si="199"/>
        <v>6.75</v>
      </c>
      <c r="R74" s="11">
        <f t="shared" si="200"/>
        <v>0</v>
      </c>
      <c r="S74" s="11">
        <f t="shared" si="201"/>
        <v>0</v>
      </c>
      <c r="T74" s="12"/>
      <c r="U74" s="12">
        <f t="shared" si="202"/>
        <v>0</v>
      </c>
      <c r="V74" s="12"/>
      <c r="W74" s="12">
        <f t="shared" si="203"/>
        <v>0</v>
      </c>
      <c r="X74" s="12"/>
      <c r="Y74" s="12"/>
      <c r="Z74" s="12">
        <f t="shared" si="204"/>
        <v>0</v>
      </c>
      <c r="AA74" s="12"/>
      <c r="AB74" s="12">
        <f t="shared" si="205"/>
        <v>0</v>
      </c>
      <c r="AC74" s="12"/>
      <c r="AD74" s="12">
        <v>7500</v>
      </c>
      <c r="AE74" s="12">
        <f t="shared" si="206"/>
        <v>3375</v>
      </c>
      <c r="AF74" s="12"/>
      <c r="AG74" s="12">
        <f t="shared" si="207"/>
        <v>0</v>
      </c>
      <c r="AH74" s="12"/>
      <c r="AI74" s="12"/>
      <c r="AJ74" s="12">
        <f t="shared" si="208"/>
        <v>0</v>
      </c>
      <c r="AK74" s="12"/>
      <c r="AL74" s="12">
        <f t="shared" si="209"/>
        <v>0</v>
      </c>
      <c r="AM74" s="12"/>
      <c r="AN74" s="12"/>
      <c r="AO74" s="12">
        <f t="shared" si="210"/>
        <v>0</v>
      </c>
      <c r="AP74" s="12"/>
      <c r="AQ74" s="12">
        <f t="shared" si="211"/>
        <v>0</v>
      </c>
      <c r="AR74" s="12"/>
      <c r="AS74" s="12"/>
      <c r="AT74" s="12">
        <f t="shared" si="212"/>
        <v>0</v>
      </c>
      <c r="AU74" s="12"/>
      <c r="AV74" s="12">
        <f t="shared" si="213"/>
        <v>0</v>
      </c>
      <c r="AW74" s="12"/>
      <c r="AX74" s="13"/>
      <c r="AY74" s="13">
        <f t="shared" si="214"/>
        <v>0</v>
      </c>
      <c r="AZ74" s="12"/>
      <c r="BA74" s="12">
        <f t="shared" si="215"/>
        <v>0</v>
      </c>
      <c r="BB74" s="12"/>
      <c r="BC74" s="12">
        <v>7500</v>
      </c>
      <c r="BD74" s="12">
        <f t="shared" si="216"/>
        <v>3375</v>
      </c>
      <c r="BE74" s="12"/>
      <c r="BF74" s="12">
        <f t="shared" si="217"/>
        <v>0</v>
      </c>
      <c r="BG74" s="12"/>
      <c r="BH74" s="12"/>
      <c r="BI74" s="12">
        <f t="shared" si="218"/>
        <v>0</v>
      </c>
      <c r="BJ74" s="12"/>
      <c r="BK74" s="12">
        <f t="shared" si="219"/>
        <v>0</v>
      </c>
      <c r="BL74" s="12"/>
      <c r="BM74" s="12"/>
      <c r="BN74" s="12">
        <f t="shared" si="220"/>
        <v>0</v>
      </c>
      <c r="BO74" s="12"/>
      <c r="BP74" s="12">
        <f t="shared" si="221"/>
        <v>0</v>
      </c>
      <c r="BQ74" s="12"/>
      <c r="BR74" s="12"/>
      <c r="BS74" s="12">
        <f t="shared" si="222"/>
        <v>0</v>
      </c>
      <c r="BT74" s="12"/>
      <c r="BU74" s="12">
        <f t="shared" si="223"/>
        <v>0</v>
      </c>
      <c r="BV74" s="12"/>
      <c r="BW74" s="12"/>
      <c r="BX74" s="12">
        <f t="shared" si="224"/>
        <v>0</v>
      </c>
      <c r="BY74" s="12"/>
      <c r="BZ74" s="12">
        <f t="shared" si="225"/>
        <v>0</v>
      </c>
      <c r="CA74" s="12"/>
      <c r="CB74" s="6"/>
    </row>
    <row r="75" spans="1:80" ht="16" x14ac:dyDescent="0.4">
      <c r="A75" s="6" t="s">
        <v>76</v>
      </c>
      <c r="B75" s="6" t="s">
        <v>167</v>
      </c>
      <c r="C75" s="6" t="s">
        <v>168</v>
      </c>
      <c r="D75" s="6" t="s">
        <v>263</v>
      </c>
      <c r="E75" s="73" t="s">
        <v>264</v>
      </c>
      <c r="F75" s="6" t="s">
        <v>182</v>
      </c>
      <c r="G75" s="6" t="s">
        <v>174</v>
      </c>
      <c r="H75" s="6" t="s">
        <v>128</v>
      </c>
      <c r="I75" s="6" t="s">
        <v>128</v>
      </c>
      <c r="J75" s="6" t="s">
        <v>129</v>
      </c>
      <c r="K75" s="6" t="s">
        <v>79</v>
      </c>
      <c r="L75" s="6" t="s">
        <v>267</v>
      </c>
      <c r="M75" s="6" t="s">
        <v>80</v>
      </c>
      <c r="N75" s="8">
        <v>39.21</v>
      </c>
      <c r="O75" s="9"/>
      <c r="P75" s="11">
        <f t="shared" si="198"/>
        <v>6</v>
      </c>
      <c r="Q75" s="11">
        <f t="shared" si="199"/>
        <v>235.26</v>
      </c>
      <c r="R75" s="11">
        <f t="shared" si="200"/>
        <v>0</v>
      </c>
      <c r="S75" s="11">
        <f t="shared" si="201"/>
        <v>0</v>
      </c>
      <c r="T75" s="12">
        <v>0</v>
      </c>
      <c r="U75" s="12">
        <f t="shared" si="202"/>
        <v>0</v>
      </c>
      <c r="V75" s="12"/>
      <c r="W75" s="12">
        <f t="shared" si="203"/>
        <v>0</v>
      </c>
      <c r="X75" s="12"/>
      <c r="Y75" s="12">
        <v>1000</v>
      </c>
      <c r="Z75" s="12">
        <f t="shared" si="204"/>
        <v>39210</v>
      </c>
      <c r="AA75" s="12"/>
      <c r="AB75" s="12">
        <f t="shared" si="205"/>
        <v>0</v>
      </c>
      <c r="AC75" s="12"/>
      <c r="AD75" s="12">
        <v>0</v>
      </c>
      <c r="AE75" s="12">
        <f t="shared" si="206"/>
        <v>0</v>
      </c>
      <c r="AF75" s="12"/>
      <c r="AG75" s="12">
        <f t="shared" si="207"/>
        <v>0</v>
      </c>
      <c r="AH75" s="12"/>
      <c r="AI75" s="12">
        <v>1000</v>
      </c>
      <c r="AJ75" s="12">
        <f t="shared" si="208"/>
        <v>39210</v>
      </c>
      <c r="AK75" s="12"/>
      <c r="AL75" s="12">
        <f t="shared" si="209"/>
        <v>0</v>
      </c>
      <c r="AM75" s="12"/>
      <c r="AN75" s="12"/>
      <c r="AO75" s="12">
        <f t="shared" si="210"/>
        <v>0</v>
      </c>
      <c r="AP75" s="12"/>
      <c r="AQ75" s="12">
        <f t="shared" si="211"/>
        <v>0</v>
      </c>
      <c r="AR75" s="12"/>
      <c r="AS75" s="12">
        <v>1000</v>
      </c>
      <c r="AT75" s="12">
        <f t="shared" si="212"/>
        <v>39210</v>
      </c>
      <c r="AU75" s="12"/>
      <c r="AV75" s="12">
        <f t="shared" si="213"/>
        <v>0</v>
      </c>
      <c r="AW75" s="12"/>
      <c r="AX75" s="13">
        <v>0</v>
      </c>
      <c r="AY75" s="13">
        <f t="shared" si="214"/>
        <v>0</v>
      </c>
      <c r="AZ75" s="12"/>
      <c r="BA75" s="12">
        <f t="shared" si="215"/>
        <v>0</v>
      </c>
      <c r="BB75" s="12"/>
      <c r="BC75" s="12">
        <v>1000</v>
      </c>
      <c r="BD75" s="12">
        <f t="shared" si="216"/>
        <v>39210</v>
      </c>
      <c r="BE75" s="12"/>
      <c r="BF75" s="12">
        <f t="shared" si="217"/>
        <v>0</v>
      </c>
      <c r="BG75" s="12"/>
      <c r="BH75" s="12">
        <v>0</v>
      </c>
      <c r="BI75" s="12">
        <f t="shared" si="218"/>
        <v>0</v>
      </c>
      <c r="BJ75" s="12"/>
      <c r="BK75" s="12">
        <f t="shared" si="219"/>
        <v>0</v>
      </c>
      <c r="BL75" s="12"/>
      <c r="BM75" s="12">
        <v>1000</v>
      </c>
      <c r="BN75" s="12">
        <f t="shared" si="220"/>
        <v>39210</v>
      </c>
      <c r="BO75" s="12"/>
      <c r="BP75" s="12">
        <f t="shared" si="221"/>
        <v>0</v>
      </c>
      <c r="BQ75" s="12"/>
      <c r="BR75" s="12">
        <v>0</v>
      </c>
      <c r="BS75" s="12">
        <f t="shared" si="222"/>
        <v>0</v>
      </c>
      <c r="BT75" s="12"/>
      <c r="BU75" s="12">
        <f t="shared" si="223"/>
        <v>0</v>
      </c>
      <c r="BV75" s="12"/>
      <c r="BW75" s="12">
        <v>1000</v>
      </c>
      <c r="BX75" s="12">
        <f t="shared" si="224"/>
        <v>39210</v>
      </c>
      <c r="BY75" s="12"/>
      <c r="BZ75" s="12">
        <f t="shared" si="225"/>
        <v>0</v>
      </c>
      <c r="CA75" s="12"/>
      <c r="CB75" s="6"/>
    </row>
  </sheetData>
  <sheetProtection algorithmName="SHA-512" hashValue="CY3vlrLtOuofwAop4l1/0IXL34qOU2Y9W5EPkbl6jVefDKbxkJi/iP0sRxRg8FCU/enYNcBF1ylnBCXTaaRFVQ==" saltValue="sKLdYLjiatwJHA+e1gxnOA==" spinCount="100000" sheet="1" objects="1" scenarios="1" selectLockedCells="1"/>
  <autoFilter ref="A2:CB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28"/>
  <sheetViews>
    <sheetView topLeftCell="E1" zoomScale="70" zoomScaleNormal="70" workbookViewId="0">
      <pane ySplit="2" topLeftCell="A3" activePane="bottomLeft" state="frozen"/>
      <selection pane="bottomLeft" activeCell="BK5" sqref="BK5"/>
    </sheetView>
  </sheetViews>
  <sheetFormatPr defaultColWidth="18.7265625" defaultRowHeight="16" x14ac:dyDescent="0.4"/>
  <cols>
    <col min="1" max="1" width="13.453125" style="103" hidden="1" customWidth="1"/>
    <col min="2" max="2" width="9.08984375" style="103" hidden="1" customWidth="1"/>
    <col min="3" max="3" width="15.7265625" style="103" hidden="1" customWidth="1"/>
    <col min="4" max="4" width="22.54296875" style="103" hidden="1" customWidth="1"/>
    <col min="5" max="5" width="33.7265625" style="117" customWidth="1"/>
    <col min="6" max="6" width="15.7265625" style="103" hidden="1" customWidth="1"/>
    <col min="7" max="7" width="24" style="103" hidden="1" customWidth="1"/>
    <col min="8" max="8" width="64.08984375" style="103" hidden="1" customWidth="1"/>
    <col min="9" max="9" width="27.36328125" style="103" hidden="1" customWidth="1"/>
    <col min="10" max="10" width="32" style="103" hidden="1" customWidth="1"/>
    <col min="11" max="11" width="27.90625" style="104" bestFit="1" customWidth="1"/>
    <col min="12" max="12" width="18" style="105" hidden="1" customWidth="1"/>
    <col min="13" max="13" width="23.90625" style="105" hidden="1" customWidth="1"/>
    <col min="14" max="14" width="12.453125" style="105" bestFit="1" customWidth="1"/>
    <col min="15" max="15" width="18.7265625" style="105" hidden="1" customWidth="1"/>
    <col min="16" max="16" width="14.6328125" style="106" hidden="1" customWidth="1"/>
    <col min="17" max="17" width="28.36328125" style="103" bestFit="1" customWidth="1"/>
    <col min="18" max="18" width="17.54296875" style="103" hidden="1" customWidth="1"/>
    <col min="19" max="19" width="14.90625" style="107" bestFit="1" customWidth="1"/>
    <col min="20" max="20" width="25.90625" style="108" hidden="1" customWidth="1"/>
    <col min="21" max="21" width="19.453125" style="109" hidden="1" customWidth="1"/>
    <col min="22" max="22" width="25.08984375" style="109" hidden="1" customWidth="1"/>
    <col min="23" max="23" width="24.54296875" style="109" hidden="1" customWidth="1"/>
    <col min="24" max="24" width="21.54296875" style="109" hidden="1" customWidth="1"/>
    <col min="25" max="25" width="18.6328125" style="109" hidden="1" customWidth="1"/>
    <col min="26" max="26" width="17.6328125" style="109" hidden="1" customWidth="1"/>
    <col min="27" max="27" width="15.26953125" style="109" hidden="1" customWidth="1"/>
    <col min="28" max="28" width="17.36328125" style="109" hidden="1" customWidth="1"/>
    <col min="29" max="29" width="18.36328125" style="109" hidden="1" customWidth="1"/>
    <col min="30" max="30" width="19.1796875" style="109" hidden="1" customWidth="1"/>
    <col min="31" max="31" width="18.54296875" style="109" hidden="1" customWidth="1"/>
    <col min="32" max="32" width="16.08984375" style="109" hidden="1" customWidth="1"/>
    <col min="33" max="33" width="18.26953125" style="109" hidden="1" customWidth="1"/>
    <col min="34" max="34" width="21.54296875" style="109" hidden="1" customWidth="1"/>
    <col min="35" max="35" width="19.54296875" style="109" hidden="1" customWidth="1"/>
    <col min="36" max="36" width="17.7265625" style="109" hidden="1" customWidth="1"/>
    <col min="37" max="37" width="15.36328125" style="109" hidden="1" customWidth="1"/>
    <col min="38" max="38" width="17.54296875" style="109" hidden="1" customWidth="1"/>
    <col min="39" max="39" width="20.81640625" style="109" hidden="1" customWidth="1"/>
    <col min="40" max="40" width="18.90625" style="109" hidden="1" customWidth="1"/>
    <col min="41" max="41" width="16.54296875" style="109" hidden="1" customWidth="1"/>
    <col min="42" max="42" width="15.90625" style="109" hidden="1" customWidth="1"/>
    <col min="43" max="43" width="18" style="109" hidden="1" customWidth="1"/>
    <col min="44" max="44" width="21.26953125" style="109" hidden="1" customWidth="1"/>
    <col min="45" max="45" width="18.90625" style="109" hidden="1" customWidth="1"/>
    <col min="46" max="46" width="18.26953125" style="109" hidden="1" customWidth="1"/>
    <col min="47" max="47" width="15.453125" style="109" hidden="1" customWidth="1"/>
    <col min="48" max="48" width="17.6328125" style="109" hidden="1" customWidth="1"/>
    <col min="49" max="49" width="18.6328125" style="110" hidden="1" customWidth="1"/>
    <col min="50" max="50" width="18.6328125" style="109" hidden="1" customWidth="1"/>
    <col min="51" max="51" width="18" style="109" hidden="1" customWidth="1"/>
    <col min="52" max="52" width="15.26953125" style="109" hidden="1" customWidth="1"/>
    <col min="53" max="53" width="17.36328125" style="109" hidden="1" customWidth="1"/>
    <col min="54" max="54" width="18.36328125" style="111" hidden="1" customWidth="1"/>
    <col min="55" max="55" width="18.54296875" style="120" bestFit="1" customWidth="1"/>
    <col min="56" max="56" width="17.90625" style="120" bestFit="1" customWidth="1"/>
    <col min="57" max="57" width="15.08984375" style="109" bestFit="1" customWidth="1"/>
    <col min="58" max="58" width="17.26953125" style="109" bestFit="1" customWidth="1"/>
    <col min="59" max="59" width="18.26953125" style="111" hidden="1" customWidth="1"/>
    <col min="60" max="60" width="18.90625" style="109" hidden="1" customWidth="1"/>
    <col min="61" max="61" width="18.26953125" style="109" hidden="1" customWidth="1"/>
    <col min="62" max="62" width="15.453125" style="109" bestFit="1" customWidth="1"/>
    <col min="63" max="63" width="17.6328125" style="109" bestFit="1" customWidth="1"/>
    <col min="64" max="64" width="18.6328125" style="111" hidden="1" customWidth="1"/>
    <col min="65" max="65" width="18.81640625" style="109" hidden="1" customWidth="1"/>
    <col min="66" max="66" width="18.1796875" style="109" hidden="1" customWidth="1"/>
    <col min="67" max="67" width="15.36328125" style="109" bestFit="1" customWidth="1"/>
    <col min="68" max="68" width="17.54296875" style="109" bestFit="1" customWidth="1"/>
    <col min="69" max="69" width="18.54296875" style="111" hidden="1" customWidth="1"/>
    <col min="70" max="70" width="18.26953125" style="109" hidden="1" customWidth="1"/>
    <col min="71" max="71" width="17.6328125" style="109" hidden="1" customWidth="1"/>
    <col min="72" max="72" width="14.90625" style="109" hidden="1" customWidth="1"/>
    <col min="73" max="73" width="17" style="109" hidden="1" customWidth="1"/>
    <col min="74" max="74" width="21.453125" style="111" hidden="1" customWidth="1"/>
    <col min="75" max="75" width="18.54296875" style="109" hidden="1" customWidth="1"/>
    <col min="76" max="76" width="17.90625" style="109" hidden="1" customWidth="1"/>
    <col min="77" max="77" width="15.08984375" style="109" hidden="1" customWidth="1"/>
    <col min="78" max="78" width="17.26953125" style="109" hidden="1" customWidth="1"/>
    <col min="79" max="79" width="22.08984375" style="111" hidden="1" customWidth="1"/>
    <col min="80" max="80" width="19.6328125" style="109" hidden="1" customWidth="1"/>
    <col min="81" max="81" width="18.26953125" style="109" hidden="1" customWidth="1"/>
    <col min="82" max="82" width="15.453125" style="109" hidden="1" customWidth="1"/>
    <col min="83" max="83" width="17.6328125" style="109" hidden="1" customWidth="1"/>
    <col min="84" max="84" width="22.08984375" style="111" hidden="1" customWidth="1"/>
    <col min="85" max="85" width="90.26953125" style="86" bestFit="1" customWidth="1"/>
    <col min="86" max="16384" width="18.7265625" style="86"/>
  </cols>
  <sheetData>
    <row r="1" spans="1:87" s="87" customFormat="1" x14ac:dyDescent="0.4">
      <c r="A1" s="78"/>
      <c r="B1" s="78"/>
      <c r="C1" s="78"/>
      <c r="D1" s="78"/>
      <c r="E1" s="113"/>
      <c r="F1" s="78"/>
      <c r="G1" s="78"/>
      <c r="H1" s="78"/>
      <c r="I1" s="78"/>
      <c r="J1" s="78"/>
      <c r="K1" s="79"/>
      <c r="L1" s="80"/>
      <c r="M1" s="80"/>
      <c r="N1" s="80"/>
      <c r="O1" s="80"/>
      <c r="P1" s="81"/>
      <c r="Q1" s="82"/>
      <c r="R1" s="78"/>
      <c r="S1" s="83"/>
      <c r="T1" s="84">
        <f>SUBTOTAL(9,T3:T28)</f>
        <v>24400</v>
      </c>
      <c r="U1" s="84">
        <f t="shared" ref="U1:AZ1" si="0">SUBTOTAL(9,U3:U37)</f>
        <v>195</v>
      </c>
      <c r="V1" s="84">
        <f t="shared" si="0"/>
        <v>40.725000000000001</v>
      </c>
      <c r="W1" s="84">
        <f t="shared" si="0"/>
        <v>619.19999999999993</v>
      </c>
      <c r="X1" s="84">
        <f t="shared" si="0"/>
        <v>452600</v>
      </c>
      <c r="Y1" s="84">
        <f t="shared" si="0"/>
        <v>10000</v>
      </c>
      <c r="Z1" s="84">
        <f t="shared" si="0"/>
        <v>3000</v>
      </c>
      <c r="AA1" s="84">
        <f t="shared" si="0"/>
        <v>0</v>
      </c>
      <c r="AB1" s="84">
        <f t="shared" si="0"/>
        <v>0</v>
      </c>
      <c r="AC1" s="84">
        <f t="shared" si="0"/>
        <v>45000</v>
      </c>
      <c r="AD1" s="84">
        <f t="shared" si="0"/>
        <v>10000</v>
      </c>
      <c r="AE1" s="84">
        <f t="shared" si="0"/>
        <v>3000</v>
      </c>
      <c r="AF1" s="84">
        <f t="shared" si="0"/>
        <v>0</v>
      </c>
      <c r="AG1" s="84">
        <f t="shared" si="0"/>
        <v>0</v>
      </c>
      <c r="AH1" s="84">
        <f t="shared" si="0"/>
        <v>0</v>
      </c>
      <c r="AI1" s="84">
        <f t="shared" si="0"/>
        <v>35000</v>
      </c>
      <c r="AJ1" s="84">
        <f t="shared" si="0"/>
        <v>4575</v>
      </c>
      <c r="AK1" s="84">
        <f t="shared" si="0"/>
        <v>0</v>
      </c>
      <c r="AL1" s="84">
        <f t="shared" si="0"/>
        <v>0</v>
      </c>
      <c r="AM1" s="84">
        <f t="shared" si="0"/>
        <v>0</v>
      </c>
      <c r="AN1" s="84">
        <f t="shared" si="0"/>
        <v>10000</v>
      </c>
      <c r="AO1" s="84">
        <f t="shared" si="0"/>
        <v>3000</v>
      </c>
      <c r="AP1" s="84">
        <f t="shared" si="0"/>
        <v>0</v>
      </c>
      <c r="AQ1" s="84">
        <f t="shared" si="0"/>
        <v>0</v>
      </c>
      <c r="AR1" s="84">
        <f t="shared" si="0"/>
        <v>1000</v>
      </c>
      <c r="AS1" s="84">
        <f t="shared" si="0"/>
        <v>10000</v>
      </c>
      <c r="AT1" s="84">
        <f t="shared" si="0"/>
        <v>3000</v>
      </c>
      <c r="AU1" s="84">
        <f t="shared" si="0"/>
        <v>0</v>
      </c>
      <c r="AV1" s="84">
        <f t="shared" si="0"/>
        <v>0</v>
      </c>
      <c r="AW1" s="84">
        <f t="shared" si="0"/>
        <v>74400</v>
      </c>
      <c r="AX1" s="84">
        <f t="shared" si="0"/>
        <v>35000</v>
      </c>
      <c r="AY1" s="84">
        <f t="shared" si="0"/>
        <v>4575</v>
      </c>
      <c r="AZ1" s="84">
        <f t="shared" si="0"/>
        <v>0</v>
      </c>
      <c r="BA1" s="84">
        <f t="shared" ref="BA1:CF1" si="1">SUBTOTAL(9,BA3:BA37)</f>
        <v>0</v>
      </c>
      <c r="BB1" s="84">
        <f t="shared" si="1"/>
        <v>30200</v>
      </c>
      <c r="BC1" s="118">
        <f t="shared" si="1"/>
        <v>10000</v>
      </c>
      <c r="BD1" s="118">
        <f t="shared" si="1"/>
        <v>3000</v>
      </c>
      <c r="BE1" s="84">
        <f t="shared" si="1"/>
        <v>7200</v>
      </c>
      <c r="BF1" s="84">
        <f t="shared" si="1"/>
        <v>619.19999999999993</v>
      </c>
      <c r="BG1" s="84">
        <f t="shared" si="1"/>
        <v>322200</v>
      </c>
      <c r="BH1" s="84">
        <f t="shared" si="1"/>
        <v>10000</v>
      </c>
      <c r="BI1" s="84">
        <f t="shared" si="1"/>
        <v>3000</v>
      </c>
      <c r="BJ1" s="84">
        <f t="shared" si="1"/>
        <v>0</v>
      </c>
      <c r="BK1" s="84">
        <f t="shared" si="1"/>
        <v>0</v>
      </c>
      <c r="BL1" s="84">
        <f t="shared" si="1"/>
        <v>127900</v>
      </c>
      <c r="BM1" s="84">
        <f t="shared" si="1"/>
        <v>35000</v>
      </c>
      <c r="BN1" s="84">
        <f t="shared" si="1"/>
        <v>4575</v>
      </c>
      <c r="BO1" s="84">
        <f t="shared" si="1"/>
        <v>0</v>
      </c>
      <c r="BP1" s="84">
        <f t="shared" si="1"/>
        <v>0</v>
      </c>
      <c r="BQ1" s="84">
        <f t="shared" si="1"/>
        <v>2500</v>
      </c>
      <c r="BR1" s="84">
        <f t="shared" si="1"/>
        <v>10000</v>
      </c>
      <c r="BS1" s="84">
        <f t="shared" si="1"/>
        <v>3000</v>
      </c>
      <c r="BT1" s="84">
        <f t="shared" si="1"/>
        <v>0</v>
      </c>
      <c r="BU1" s="84">
        <f t="shared" si="1"/>
        <v>0</v>
      </c>
      <c r="BV1" s="84">
        <f t="shared" si="1"/>
        <v>0</v>
      </c>
      <c r="BW1" s="84">
        <f t="shared" si="1"/>
        <v>10000</v>
      </c>
      <c r="BX1" s="84">
        <f t="shared" si="1"/>
        <v>3000</v>
      </c>
      <c r="BY1" s="84">
        <f t="shared" si="1"/>
        <v>0</v>
      </c>
      <c r="BZ1" s="84">
        <f t="shared" si="1"/>
        <v>0</v>
      </c>
      <c r="CA1" s="84">
        <f t="shared" si="1"/>
        <v>0</v>
      </c>
      <c r="CB1" s="84">
        <f t="shared" si="1"/>
        <v>10000</v>
      </c>
      <c r="CC1" s="84">
        <f t="shared" si="1"/>
        <v>3000</v>
      </c>
      <c r="CD1" s="84">
        <f t="shared" si="1"/>
        <v>0</v>
      </c>
      <c r="CE1" s="84">
        <f t="shared" si="1"/>
        <v>0</v>
      </c>
      <c r="CF1" s="84">
        <f t="shared" si="1"/>
        <v>0</v>
      </c>
      <c r="CG1" s="85"/>
      <c r="CH1" s="86"/>
      <c r="CI1" s="86"/>
    </row>
    <row r="2" spans="1:87" s="99" customFormat="1" ht="32" x14ac:dyDescent="0.4">
      <c r="A2" s="88" t="s">
        <v>0</v>
      </c>
      <c r="B2" s="88" t="s">
        <v>1</v>
      </c>
      <c r="C2" s="88" t="s">
        <v>2</v>
      </c>
      <c r="D2" s="88" t="s">
        <v>3</v>
      </c>
      <c r="E2" s="114" t="s">
        <v>4</v>
      </c>
      <c r="F2" s="88" t="s">
        <v>97</v>
      </c>
      <c r="G2" s="88" t="s">
        <v>98</v>
      </c>
      <c r="H2" s="88" t="s">
        <v>99</v>
      </c>
      <c r="I2" s="88" t="s">
        <v>100</v>
      </c>
      <c r="J2" s="88" t="s">
        <v>101</v>
      </c>
      <c r="K2" s="88" t="s">
        <v>149</v>
      </c>
      <c r="L2" s="89" t="s">
        <v>6</v>
      </c>
      <c r="M2" s="89" t="s">
        <v>7</v>
      </c>
      <c r="N2" s="89" t="s">
        <v>8</v>
      </c>
      <c r="O2" s="89" t="s">
        <v>9</v>
      </c>
      <c r="P2" s="89" t="s">
        <v>102</v>
      </c>
      <c r="Q2" s="88" t="s">
        <v>11</v>
      </c>
      <c r="R2" s="88" t="s">
        <v>12</v>
      </c>
      <c r="S2" s="90" t="s">
        <v>103</v>
      </c>
      <c r="T2" s="91" t="s">
        <v>270</v>
      </c>
      <c r="U2" s="92" t="s">
        <v>107</v>
      </c>
      <c r="V2" s="92" t="s">
        <v>148</v>
      </c>
      <c r="W2" s="92" t="s">
        <v>268</v>
      </c>
      <c r="X2" s="92" t="s">
        <v>269</v>
      </c>
      <c r="Y2" s="93" t="s">
        <v>15</v>
      </c>
      <c r="Z2" s="93" t="s">
        <v>16</v>
      </c>
      <c r="AA2" s="93" t="s">
        <v>17</v>
      </c>
      <c r="AB2" s="93" t="s">
        <v>18</v>
      </c>
      <c r="AC2" s="94" t="s">
        <v>19</v>
      </c>
      <c r="AD2" s="93" t="s">
        <v>20</v>
      </c>
      <c r="AE2" s="93" t="s">
        <v>21</v>
      </c>
      <c r="AF2" s="93" t="s">
        <v>22</v>
      </c>
      <c r="AG2" s="93" t="s">
        <v>23</v>
      </c>
      <c r="AH2" s="94" t="s">
        <v>24</v>
      </c>
      <c r="AI2" s="93" t="s">
        <v>25</v>
      </c>
      <c r="AJ2" s="93" t="s">
        <v>26</v>
      </c>
      <c r="AK2" s="93" t="s">
        <v>27</v>
      </c>
      <c r="AL2" s="93" t="s">
        <v>28</v>
      </c>
      <c r="AM2" s="94" t="s">
        <v>29</v>
      </c>
      <c r="AN2" s="93" t="s">
        <v>30</v>
      </c>
      <c r="AO2" s="93" t="s">
        <v>31</v>
      </c>
      <c r="AP2" s="93" t="s">
        <v>32</v>
      </c>
      <c r="AQ2" s="93" t="s">
        <v>33</v>
      </c>
      <c r="AR2" s="94" t="s">
        <v>34</v>
      </c>
      <c r="AS2" s="93" t="s">
        <v>35</v>
      </c>
      <c r="AT2" s="93" t="s">
        <v>36</v>
      </c>
      <c r="AU2" s="93" t="s">
        <v>37</v>
      </c>
      <c r="AV2" s="93" t="s">
        <v>38</v>
      </c>
      <c r="AW2" s="95" t="s">
        <v>39</v>
      </c>
      <c r="AX2" s="93" t="s">
        <v>40</v>
      </c>
      <c r="AY2" s="93" t="s">
        <v>41</v>
      </c>
      <c r="AZ2" s="93" t="s">
        <v>42</v>
      </c>
      <c r="BA2" s="93" t="s">
        <v>43</v>
      </c>
      <c r="BB2" s="95" t="s">
        <v>44</v>
      </c>
      <c r="BC2" s="119" t="s">
        <v>45</v>
      </c>
      <c r="BD2" s="119" t="s">
        <v>46</v>
      </c>
      <c r="BE2" s="112" t="s">
        <v>47</v>
      </c>
      <c r="BF2" s="93" t="s">
        <v>48</v>
      </c>
      <c r="BG2" s="95" t="s">
        <v>49</v>
      </c>
      <c r="BH2" s="93" t="s">
        <v>50</v>
      </c>
      <c r="BI2" s="93" t="s">
        <v>51</v>
      </c>
      <c r="BJ2" s="112" t="s">
        <v>52</v>
      </c>
      <c r="BK2" s="93" t="s">
        <v>53</v>
      </c>
      <c r="BL2" s="95" t="s">
        <v>54</v>
      </c>
      <c r="BM2" s="96" t="s">
        <v>55</v>
      </c>
      <c r="BN2" s="93" t="s">
        <v>56</v>
      </c>
      <c r="BO2" s="112" t="s">
        <v>57</v>
      </c>
      <c r="BP2" s="93" t="s">
        <v>58</v>
      </c>
      <c r="BQ2" s="95" t="s">
        <v>59</v>
      </c>
      <c r="BR2" s="93" t="s">
        <v>60</v>
      </c>
      <c r="BS2" s="93" t="s">
        <v>61</v>
      </c>
      <c r="BT2" s="93" t="s">
        <v>62</v>
      </c>
      <c r="BU2" s="93" t="s">
        <v>63</v>
      </c>
      <c r="BV2" s="97" t="s">
        <v>64</v>
      </c>
      <c r="BW2" s="93" t="s">
        <v>65</v>
      </c>
      <c r="BX2" s="93" t="s">
        <v>66</v>
      </c>
      <c r="BY2" s="93" t="s">
        <v>67</v>
      </c>
      <c r="BZ2" s="93" t="s">
        <v>68</v>
      </c>
      <c r="CA2" s="95" t="s">
        <v>69</v>
      </c>
      <c r="CB2" s="93" t="s">
        <v>70</v>
      </c>
      <c r="CC2" s="93" t="s">
        <v>71</v>
      </c>
      <c r="CD2" s="93" t="s">
        <v>72</v>
      </c>
      <c r="CE2" s="93" t="s">
        <v>73</v>
      </c>
      <c r="CF2" s="95" t="s">
        <v>74</v>
      </c>
      <c r="CG2" s="98" t="s">
        <v>75</v>
      </c>
      <c r="CH2" s="86"/>
      <c r="CI2" s="86"/>
    </row>
    <row r="3" spans="1:87" x14ac:dyDescent="0.4">
      <c r="A3" s="1" t="s">
        <v>105</v>
      </c>
      <c r="B3" s="1" t="s">
        <v>167</v>
      </c>
      <c r="C3" s="1" t="s">
        <v>168</v>
      </c>
      <c r="D3" s="1" t="s">
        <v>207</v>
      </c>
      <c r="E3" s="115" t="s">
        <v>208</v>
      </c>
      <c r="F3" s="1"/>
      <c r="G3" s="1"/>
      <c r="H3" s="1"/>
      <c r="I3" s="1"/>
      <c r="J3" s="1"/>
      <c r="K3" s="1" t="s">
        <v>182</v>
      </c>
      <c r="L3" s="30" t="s">
        <v>169</v>
      </c>
      <c r="M3" s="1" t="s">
        <v>122</v>
      </c>
      <c r="N3" s="1" t="s">
        <v>122</v>
      </c>
      <c r="O3" s="1" t="s">
        <v>89</v>
      </c>
      <c r="P3" s="1" t="s">
        <v>113</v>
      </c>
      <c r="Q3" s="1" t="s">
        <v>209</v>
      </c>
      <c r="R3" s="1"/>
      <c r="S3" s="28"/>
      <c r="T3" s="4"/>
      <c r="U3" s="20">
        <f t="shared" ref="U3:U19" si="2">+(Y3+AD3+AI3+AN3+AS3+AX3+BC3+BH3+BM3+BR3+BW3+CB3)/1000</f>
        <v>0</v>
      </c>
      <c r="V3" s="20">
        <f t="shared" ref="V3:V19" si="3">+(Z3+AE3+AJ3+AO3+AT3+AY3+BD3+BI3+BN3+BS3+BX3+CC3)/1000</f>
        <v>0</v>
      </c>
      <c r="W3" s="20">
        <f t="shared" ref="W3:W19" si="4">+(+BF3+BK3+BP3+BU3+BZ3+CE3)</f>
        <v>0</v>
      </c>
      <c r="X3" s="20">
        <f t="shared" ref="X3:X19" si="5">+(+BG3+BL3+BQ3+BV3+CA3+CF3)</f>
        <v>120000</v>
      </c>
      <c r="Y3" s="20"/>
      <c r="Z3" s="20">
        <f t="shared" ref="Z3:Z19" si="6">Y3*S3</f>
        <v>0</v>
      </c>
      <c r="AA3" s="20"/>
      <c r="AB3" s="20">
        <f t="shared" ref="AB3:AB19" si="7">AA3*S3</f>
        <v>0</v>
      </c>
      <c r="AC3" s="20"/>
      <c r="AD3" s="20"/>
      <c r="AE3" s="20">
        <f t="shared" ref="AE3:AE19" si="8">AD3*S3</f>
        <v>0</v>
      </c>
      <c r="AF3" s="20"/>
      <c r="AG3" s="20">
        <f t="shared" ref="AG3:AG19" si="9">AF3*S3</f>
        <v>0</v>
      </c>
      <c r="AH3" s="20"/>
      <c r="AI3" s="20"/>
      <c r="AJ3" s="20">
        <f t="shared" ref="AJ3:AJ19" si="10">AI3*S3</f>
        <v>0</v>
      </c>
      <c r="AK3" s="20"/>
      <c r="AL3" s="20">
        <f t="shared" ref="AL3:AL19" si="11">AK3*S3</f>
        <v>0</v>
      </c>
      <c r="AM3" s="20"/>
      <c r="AN3" s="20"/>
      <c r="AO3" s="20">
        <f t="shared" ref="AO3:AO19" si="12">AN3*S3</f>
        <v>0</v>
      </c>
      <c r="AP3" s="20"/>
      <c r="AQ3" s="20">
        <f t="shared" ref="AQ3:AQ19" si="13">AP3*S3</f>
        <v>0</v>
      </c>
      <c r="AR3" s="20"/>
      <c r="AS3" s="20"/>
      <c r="AT3" s="20">
        <f t="shared" ref="AT3:AT19" si="14">AS3*S3</f>
        <v>0</v>
      </c>
      <c r="AU3" s="20"/>
      <c r="AV3" s="20">
        <f t="shared" ref="AV3:AV19" si="15">AU3*S3</f>
        <v>0</v>
      </c>
      <c r="AW3" s="20"/>
      <c r="AX3" s="20"/>
      <c r="AY3" s="20">
        <f t="shared" ref="AY3:AY19" si="16">AX3*S3</f>
        <v>0</v>
      </c>
      <c r="AZ3" s="20"/>
      <c r="BA3" s="20">
        <v>0</v>
      </c>
      <c r="BB3" s="20"/>
      <c r="BC3" s="29"/>
      <c r="BD3" s="29">
        <f t="shared" ref="BD3:BD19" si="17">BC3*S3</f>
        <v>0</v>
      </c>
      <c r="BE3" s="20"/>
      <c r="BF3" s="20">
        <f t="shared" ref="BF3:BF19" si="18">BE3*S3</f>
        <v>0</v>
      </c>
      <c r="BG3" s="20"/>
      <c r="BH3" s="20"/>
      <c r="BI3" s="20">
        <f t="shared" ref="BI3:BI19" si="19">BH3*S3</f>
        <v>0</v>
      </c>
      <c r="BJ3" s="20"/>
      <c r="BK3" s="20">
        <f t="shared" ref="BK3:BK19" si="20">BJ3*S3</f>
        <v>0</v>
      </c>
      <c r="BL3" s="100">
        <v>120000</v>
      </c>
      <c r="BM3" s="20"/>
      <c r="BN3" s="20">
        <f t="shared" ref="BN3:BN19" si="21">BM3*S3</f>
        <v>0</v>
      </c>
      <c r="BO3" s="20"/>
      <c r="BP3" s="20">
        <f t="shared" ref="BP3:BP19" si="22">BO3*S3</f>
        <v>0</v>
      </c>
      <c r="BQ3" s="20"/>
      <c r="BR3" s="20"/>
      <c r="BS3" s="20">
        <f t="shared" ref="BS3:BS19" si="23">BR3*S3</f>
        <v>0</v>
      </c>
      <c r="BT3" s="20"/>
      <c r="BU3" s="20">
        <f t="shared" ref="BU3:BU19" si="24">BT3*S3</f>
        <v>0</v>
      </c>
      <c r="BV3" s="20"/>
      <c r="BW3" s="20"/>
      <c r="BX3" s="20">
        <f t="shared" ref="BX3:BX19" si="25">BW3*S3</f>
        <v>0</v>
      </c>
      <c r="BY3" s="20"/>
      <c r="BZ3" s="20">
        <f t="shared" ref="BZ3:BZ19" si="26">BY3*S3</f>
        <v>0</v>
      </c>
      <c r="CA3" s="20"/>
      <c r="CB3" s="20"/>
      <c r="CC3" s="20">
        <f t="shared" ref="CC3:CC19" si="27">CB3*S3</f>
        <v>0</v>
      </c>
      <c r="CD3" s="20"/>
      <c r="CE3" s="20">
        <f t="shared" ref="CE3:CE19" si="28">CD3*S3</f>
        <v>0</v>
      </c>
      <c r="CF3" s="20"/>
      <c r="CG3" s="1"/>
    </row>
    <row r="4" spans="1:87" x14ac:dyDescent="0.4">
      <c r="A4" s="1" t="s">
        <v>105</v>
      </c>
      <c r="B4" s="1" t="s">
        <v>167</v>
      </c>
      <c r="C4" s="1" t="s">
        <v>168</v>
      </c>
      <c r="D4" s="1" t="s">
        <v>207</v>
      </c>
      <c r="E4" s="115" t="s">
        <v>208</v>
      </c>
      <c r="F4" s="1"/>
      <c r="G4" s="1"/>
      <c r="H4" s="1"/>
      <c r="I4" s="1"/>
      <c r="J4" s="1"/>
      <c r="K4" s="1" t="s">
        <v>182</v>
      </c>
      <c r="L4" s="30" t="s">
        <v>169</v>
      </c>
      <c r="M4" s="1" t="s">
        <v>122</v>
      </c>
      <c r="N4" s="1" t="s">
        <v>122</v>
      </c>
      <c r="O4" s="1" t="s">
        <v>89</v>
      </c>
      <c r="P4" s="1" t="s">
        <v>113</v>
      </c>
      <c r="Q4" s="1" t="s">
        <v>210</v>
      </c>
      <c r="R4" s="1"/>
      <c r="S4" s="101"/>
      <c r="T4" s="4"/>
      <c r="U4" s="20">
        <f t="shared" si="2"/>
        <v>0</v>
      </c>
      <c r="V4" s="20">
        <f t="shared" si="3"/>
        <v>0</v>
      </c>
      <c r="W4" s="20">
        <f t="shared" si="4"/>
        <v>0</v>
      </c>
      <c r="X4" s="20">
        <f t="shared" si="5"/>
        <v>120000</v>
      </c>
      <c r="Y4" s="20"/>
      <c r="Z4" s="20">
        <f t="shared" si="6"/>
        <v>0</v>
      </c>
      <c r="AA4" s="20"/>
      <c r="AB4" s="20">
        <f t="shared" si="7"/>
        <v>0</v>
      </c>
      <c r="AC4" s="20"/>
      <c r="AD4" s="20"/>
      <c r="AE4" s="20">
        <f t="shared" si="8"/>
        <v>0</v>
      </c>
      <c r="AF4" s="20"/>
      <c r="AG4" s="20">
        <f t="shared" si="9"/>
        <v>0</v>
      </c>
      <c r="AH4" s="20"/>
      <c r="AI4" s="20"/>
      <c r="AJ4" s="20">
        <f t="shared" si="10"/>
        <v>0</v>
      </c>
      <c r="AK4" s="20"/>
      <c r="AL4" s="20">
        <f t="shared" si="11"/>
        <v>0</v>
      </c>
      <c r="AM4" s="20"/>
      <c r="AN4" s="20"/>
      <c r="AO4" s="20">
        <f t="shared" si="12"/>
        <v>0</v>
      </c>
      <c r="AP4" s="20"/>
      <c r="AQ4" s="20">
        <f t="shared" si="13"/>
        <v>0</v>
      </c>
      <c r="AR4" s="20"/>
      <c r="AS4" s="20"/>
      <c r="AT4" s="20">
        <f t="shared" si="14"/>
        <v>0</v>
      </c>
      <c r="AU4" s="20"/>
      <c r="AV4" s="20">
        <f t="shared" si="15"/>
        <v>0</v>
      </c>
      <c r="AW4" s="20"/>
      <c r="AX4" s="20"/>
      <c r="AY4" s="20">
        <f t="shared" si="16"/>
        <v>0</v>
      </c>
      <c r="AZ4" s="20"/>
      <c r="BA4" s="20">
        <v>0</v>
      </c>
      <c r="BB4" s="20"/>
      <c r="BC4" s="29"/>
      <c r="BD4" s="29">
        <f t="shared" si="17"/>
        <v>0</v>
      </c>
      <c r="BE4" s="20"/>
      <c r="BF4" s="20">
        <f t="shared" si="18"/>
        <v>0</v>
      </c>
      <c r="BG4" s="100">
        <v>120000</v>
      </c>
      <c r="BH4" s="20"/>
      <c r="BI4" s="20">
        <f t="shared" si="19"/>
        <v>0</v>
      </c>
      <c r="BJ4" s="20"/>
      <c r="BK4" s="20">
        <f t="shared" si="20"/>
        <v>0</v>
      </c>
      <c r="BL4" s="9"/>
      <c r="BM4" s="20"/>
      <c r="BN4" s="20">
        <f t="shared" si="21"/>
        <v>0</v>
      </c>
      <c r="BO4" s="20"/>
      <c r="BP4" s="20">
        <f t="shared" si="22"/>
        <v>0</v>
      </c>
      <c r="BQ4" s="20"/>
      <c r="BR4" s="20"/>
      <c r="BS4" s="20">
        <f t="shared" si="23"/>
        <v>0</v>
      </c>
      <c r="BT4" s="20"/>
      <c r="BU4" s="20">
        <f t="shared" si="24"/>
        <v>0</v>
      </c>
      <c r="BV4" s="20"/>
      <c r="BW4" s="20"/>
      <c r="BX4" s="20">
        <f t="shared" si="25"/>
        <v>0</v>
      </c>
      <c r="BY4" s="20"/>
      <c r="BZ4" s="20">
        <f t="shared" si="26"/>
        <v>0</v>
      </c>
      <c r="CA4" s="20"/>
      <c r="CB4" s="20"/>
      <c r="CC4" s="20">
        <f t="shared" si="27"/>
        <v>0</v>
      </c>
      <c r="CD4" s="20"/>
      <c r="CE4" s="20">
        <f t="shared" si="28"/>
        <v>0</v>
      </c>
      <c r="CF4" s="20"/>
      <c r="CG4" s="1"/>
    </row>
    <row r="5" spans="1:87" x14ac:dyDescent="0.4">
      <c r="A5" s="1" t="s">
        <v>105</v>
      </c>
      <c r="B5" s="1" t="s">
        <v>167</v>
      </c>
      <c r="C5" s="1" t="s">
        <v>168</v>
      </c>
      <c r="D5" s="1" t="s">
        <v>207</v>
      </c>
      <c r="E5" s="115" t="s">
        <v>208</v>
      </c>
      <c r="F5" s="1"/>
      <c r="G5" s="1"/>
      <c r="H5" s="1"/>
      <c r="I5" s="1"/>
      <c r="J5" s="1"/>
      <c r="K5" s="1" t="s">
        <v>182</v>
      </c>
      <c r="L5" s="30" t="s">
        <v>169</v>
      </c>
      <c r="M5" s="1" t="s">
        <v>122</v>
      </c>
      <c r="N5" s="1" t="s">
        <v>122</v>
      </c>
      <c r="O5" s="1" t="s">
        <v>89</v>
      </c>
      <c r="P5" s="1" t="s">
        <v>113</v>
      </c>
      <c r="Q5" s="1" t="s">
        <v>211</v>
      </c>
      <c r="R5" s="1"/>
      <c r="S5" s="20"/>
      <c r="T5" s="4"/>
      <c r="U5" s="20">
        <f t="shared" si="2"/>
        <v>0</v>
      </c>
      <c r="V5" s="20">
        <f t="shared" si="3"/>
        <v>0</v>
      </c>
      <c r="W5" s="20">
        <f t="shared" si="4"/>
        <v>0</v>
      </c>
      <c r="X5" s="20">
        <f t="shared" si="5"/>
        <v>60000</v>
      </c>
      <c r="Y5" s="20"/>
      <c r="Z5" s="20">
        <f t="shared" si="6"/>
        <v>0</v>
      </c>
      <c r="AA5" s="20"/>
      <c r="AB5" s="20">
        <f t="shared" si="7"/>
        <v>0</v>
      </c>
      <c r="AC5" s="20"/>
      <c r="AD5" s="20"/>
      <c r="AE5" s="20">
        <f t="shared" si="8"/>
        <v>0</v>
      </c>
      <c r="AF5" s="20"/>
      <c r="AG5" s="20">
        <f t="shared" si="9"/>
        <v>0</v>
      </c>
      <c r="AH5" s="20"/>
      <c r="AI5" s="20"/>
      <c r="AJ5" s="20">
        <f t="shared" si="10"/>
        <v>0</v>
      </c>
      <c r="AK5" s="20"/>
      <c r="AL5" s="20">
        <f t="shared" si="11"/>
        <v>0</v>
      </c>
      <c r="AM5" s="20"/>
      <c r="AN5" s="20"/>
      <c r="AO5" s="20">
        <f t="shared" si="12"/>
        <v>0</v>
      </c>
      <c r="AP5" s="20"/>
      <c r="AQ5" s="20">
        <f t="shared" si="13"/>
        <v>0</v>
      </c>
      <c r="AR5" s="20"/>
      <c r="AS5" s="20"/>
      <c r="AT5" s="20">
        <f t="shared" si="14"/>
        <v>0</v>
      </c>
      <c r="AU5" s="20"/>
      <c r="AV5" s="20">
        <f t="shared" si="15"/>
        <v>0</v>
      </c>
      <c r="AW5" s="20"/>
      <c r="AX5" s="20"/>
      <c r="AY5" s="20">
        <f t="shared" si="16"/>
        <v>0</v>
      </c>
      <c r="AZ5" s="20"/>
      <c r="BA5" s="20">
        <v>0</v>
      </c>
      <c r="BB5" s="20"/>
      <c r="BC5" s="29"/>
      <c r="BD5" s="29">
        <f t="shared" si="17"/>
        <v>0</v>
      </c>
      <c r="BE5" s="20"/>
      <c r="BF5" s="20">
        <f t="shared" si="18"/>
        <v>0</v>
      </c>
      <c r="BG5" s="100">
        <v>60000</v>
      </c>
      <c r="BH5" s="20"/>
      <c r="BI5" s="20">
        <f t="shared" si="19"/>
        <v>0</v>
      </c>
      <c r="BJ5" s="20"/>
      <c r="BK5" s="20">
        <f t="shared" si="20"/>
        <v>0</v>
      </c>
      <c r="BL5" s="9"/>
      <c r="BM5" s="20"/>
      <c r="BN5" s="20">
        <f t="shared" si="21"/>
        <v>0</v>
      </c>
      <c r="BO5" s="20"/>
      <c r="BP5" s="20">
        <f t="shared" si="22"/>
        <v>0</v>
      </c>
      <c r="BQ5" s="20"/>
      <c r="BR5" s="20"/>
      <c r="BS5" s="20">
        <f t="shared" si="23"/>
        <v>0</v>
      </c>
      <c r="BT5" s="20"/>
      <c r="BU5" s="20">
        <f t="shared" si="24"/>
        <v>0</v>
      </c>
      <c r="BV5" s="20"/>
      <c r="BW5" s="20"/>
      <c r="BX5" s="20">
        <f t="shared" si="25"/>
        <v>0</v>
      </c>
      <c r="BY5" s="20"/>
      <c r="BZ5" s="20">
        <f t="shared" si="26"/>
        <v>0</v>
      </c>
      <c r="CA5" s="20"/>
      <c r="CB5" s="20"/>
      <c r="CC5" s="20">
        <f t="shared" si="27"/>
        <v>0</v>
      </c>
      <c r="CD5" s="20"/>
      <c r="CE5" s="20">
        <f t="shared" si="28"/>
        <v>0</v>
      </c>
      <c r="CF5" s="20"/>
      <c r="CG5" s="1"/>
    </row>
    <row r="6" spans="1:87" x14ac:dyDescent="0.4">
      <c r="A6" s="1" t="s">
        <v>105</v>
      </c>
      <c r="B6" s="1" t="s">
        <v>167</v>
      </c>
      <c r="C6" s="1" t="s">
        <v>168</v>
      </c>
      <c r="D6" s="1" t="s">
        <v>207</v>
      </c>
      <c r="E6" s="115" t="s">
        <v>208</v>
      </c>
      <c r="F6" s="1"/>
      <c r="G6" s="1"/>
      <c r="H6" s="1"/>
      <c r="I6" s="1"/>
      <c r="J6" s="1"/>
      <c r="K6" s="1" t="s">
        <v>182</v>
      </c>
      <c r="L6" s="30" t="s">
        <v>169</v>
      </c>
      <c r="M6" s="1" t="s">
        <v>122</v>
      </c>
      <c r="N6" s="1" t="s">
        <v>122</v>
      </c>
      <c r="O6" s="1" t="s">
        <v>89</v>
      </c>
      <c r="P6" s="1" t="s">
        <v>113</v>
      </c>
      <c r="Q6" s="1" t="s">
        <v>212</v>
      </c>
      <c r="R6" s="1"/>
      <c r="S6" s="28"/>
      <c r="T6" s="4"/>
      <c r="U6" s="20">
        <f t="shared" si="2"/>
        <v>0</v>
      </c>
      <c r="V6" s="20">
        <f t="shared" si="3"/>
        <v>0</v>
      </c>
      <c r="W6" s="20">
        <f t="shared" si="4"/>
        <v>0</v>
      </c>
      <c r="X6" s="20">
        <f t="shared" si="5"/>
        <v>120000</v>
      </c>
      <c r="Y6" s="20"/>
      <c r="Z6" s="20">
        <f t="shared" si="6"/>
        <v>0</v>
      </c>
      <c r="AA6" s="20"/>
      <c r="AB6" s="20">
        <f t="shared" si="7"/>
        <v>0</v>
      </c>
      <c r="AC6" s="20"/>
      <c r="AD6" s="20"/>
      <c r="AE6" s="20">
        <f t="shared" si="8"/>
        <v>0</v>
      </c>
      <c r="AF6" s="20"/>
      <c r="AG6" s="20">
        <f t="shared" si="9"/>
        <v>0</v>
      </c>
      <c r="AH6" s="20"/>
      <c r="AI6" s="20"/>
      <c r="AJ6" s="20">
        <f t="shared" si="10"/>
        <v>0</v>
      </c>
      <c r="AK6" s="20"/>
      <c r="AL6" s="20">
        <f t="shared" si="11"/>
        <v>0</v>
      </c>
      <c r="AM6" s="20"/>
      <c r="AN6" s="20"/>
      <c r="AO6" s="20">
        <f t="shared" si="12"/>
        <v>0</v>
      </c>
      <c r="AP6" s="20"/>
      <c r="AQ6" s="20">
        <f t="shared" si="13"/>
        <v>0</v>
      </c>
      <c r="AR6" s="20"/>
      <c r="AS6" s="20"/>
      <c r="AT6" s="20">
        <f t="shared" si="14"/>
        <v>0</v>
      </c>
      <c r="AU6" s="20"/>
      <c r="AV6" s="20">
        <f t="shared" si="15"/>
        <v>0</v>
      </c>
      <c r="AW6" s="20"/>
      <c r="AX6" s="20"/>
      <c r="AY6" s="20">
        <f t="shared" si="16"/>
        <v>0</v>
      </c>
      <c r="AZ6" s="20"/>
      <c r="BA6" s="20">
        <v>0</v>
      </c>
      <c r="BB6" s="20"/>
      <c r="BC6" s="29"/>
      <c r="BD6" s="29">
        <f t="shared" si="17"/>
        <v>0</v>
      </c>
      <c r="BE6" s="20"/>
      <c r="BF6" s="20">
        <f t="shared" si="18"/>
        <v>0</v>
      </c>
      <c r="BG6" s="100">
        <v>120000</v>
      </c>
      <c r="BH6" s="20"/>
      <c r="BI6" s="20">
        <f t="shared" si="19"/>
        <v>0</v>
      </c>
      <c r="BJ6" s="20"/>
      <c r="BK6" s="20">
        <f t="shared" si="20"/>
        <v>0</v>
      </c>
      <c r="BL6" s="9"/>
      <c r="BM6" s="20"/>
      <c r="BN6" s="20">
        <f t="shared" si="21"/>
        <v>0</v>
      </c>
      <c r="BO6" s="20"/>
      <c r="BP6" s="20">
        <f t="shared" si="22"/>
        <v>0</v>
      </c>
      <c r="BQ6" s="20"/>
      <c r="BR6" s="20"/>
      <c r="BS6" s="20">
        <f t="shared" si="23"/>
        <v>0</v>
      </c>
      <c r="BT6" s="20"/>
      <c r="BU6" s="20">
        <f t="shared" si="24"/>
        <v>0</v>
      </c>
      <c r="BV6" s="20"/>
      <c r="BW6" s="20"/>
      <c r="BX6" s="20">
        <f t="shared" si="25"/>
        <v>0</v>
      </c>
      <c r="BY6" s="20"/>
      <c r="BZ6" s="20">
        <f t="shared" si="26"/>
        <v>0</v>
      </c>
      <c r="CA6" s="20"/>
      <c r="CB6" s="20"/>
      <c r="CC6" s="20">
        <f t="shared" si="27"/>
        <v>0</v>
      </c>
      <c r="CD6" s="20"/>
      <c r="CE6" s="20">
        <f t="shared" si="28"/>
        <v>0</v>
      </c>
      <c r="CF6" s="20"/>
      <c r="CG6" s="1"/>
    </row>
    <row r="7" spans="1:87" x14ac:dyDescent="0.4">
      <c r="A7" s="1" t="s">
        <v>105</v>
      </c>
      <c r="B7" s="1" t="s">
        <v>167</v>
      </c>
      <c r="C7" s="1" t="s">
        <v>168</v>
      </c>
      <c r="D7" s="1" t="s">
        <v>180</v>
      </c>
      <c r="E7" s="115" t="s">
        <v>181</v>
      </c>
      <c r="F7" s="1"/>
      <c r="G7" s="1"/>
      <c r="H7" s="1"/>
      <c r="I7" s="1"/>
      <c r="J7" s="1"/>
      <c r="K7" s="1" t="s">
        <v>182</v>
      </c>
      <c r="L7" s="1" t="s">
        <v>172</v>
      </c>
      <c r="M7" s="1" t="s">
        <v>110</v>
      </c>
      <c r="N7" s="1" t="s">
        <v>110</v>
      </c>
      <c r="O7" s="1" t="s">
        <v>111</v>
      </c>
      <c r="P7" s="1" t="s">
        <v>277</v>
      </c>
      <c r="Q7" s="1" t="s">
        <v>158</v>
      </c>
      <c r="R7" s="1"/>
      <c r="S7" s="3"/>
      <c r="T7" s="4"/>
      <c r="U7" s="20">
        <f t="shared" si="2"/>
        <v>0</v>
      </c>
      <c r="V7" s="20">
        <f t="shared" si="3"/>
        <v>0</v>
      </c>
      <c r="W7" s="20">
        <f t="shared" si="4"/>
        <v>0</v>
      </c>
      <c r="X7" s="20">
        <f t="shared" si="5"/>
        <v>0</v>
      </c>
      <c r="Y7" s="20"/>
      <c r="Z7" s="20">
        <f t="shared" si="6"/>
        <v>0</v>
      </c>
      <c r="AA7" s="20"/>
      <c r="AB7" s="20">
        <f t="shared" si="7"/>
        <v>0</v>
      </c>
      <c r="AC7" s="20"/>
      <c r="AD7" s="20"/>
      <c r="AE7" s="20">
        <f t="shared" si="8"/>
        <v>0</v>
      </c>
      <c r="AF7" s="20"/>
      <c r="AG7" s="20">
        <f t="shared" si="9"/>
        <v>0</v>
      </c>
      <c r="AH7" s="20"/>
      <c r="AI7" s="20"/>
      <c r="AJ7" s="20">
        <f t="shared" si="10"/>
        <v>0</v>
      </c>
      <c r="AK7" s="20"/>
      <c r="AL7" s="20">
        <f t="shared" si="11"/>
        <v>0</v>
      </c>
      <c r="AM7" s="20"/>
      <c r="AN7" s="20"/>
      <c r="AO7" s="20">
        <f t="shared" si="12"/>
        <v>0</v>
      </c>
      <c r="AP7" s="20"/>
      <c r="AQ7" s="20">
        <f t="shared" si="13"/>
        <v>0</v>
      </c>
      <c r="AR7" s="20"/>
      <c r="AS7" s="20"/>
      <c r="AT7" s="20">
        <f t="shared" si="14"/>
        <v>0</v>
      </c>
      <c r="AU7" s="20"/>
      <c r="AV7" s="20">
        <f t="shared" si="15"/>
        <v>0</v>
      </c>
      <c r="AW7" s="20"/>
      <c r="AX7" s="20"/>
      <c r="AY7" s="20">
        <f t="shared" si="16"/>
        <v>0</v>
      </c>
      <c r="AZ7" s="20"/>
      <c r="BA7" s="20">
        <v>0</v>
      </c>
      <c r="BB7" s="20"/>
      <c r="BC7" s="29"/>
      <c r="BD7" s="29">
        <f t="shared" si="17"/>
        <v>0</v>
      </c>
      <c r="BE7" s="20"/>
      <c r="BF7" s="20">
        <f t="shared" si="18"/>
        <v>0</v>
      </c>
      <c r="BG7" s="20"/>
      <c r="BH7" s="20"/>
      <c r="BI7" s="20">
        <f t="shared" si="19"/>
        <v>0</v>
      </c>
      <c r="BJ7" s="20"/>
      <c r="BK7" s="20">
        <f t="shared" si="20"/>
        <v>0</v>
      </c>
      <c r="BL7" s="20"/>
      <c r="BM7" s="20"/>
      <c r="BN7" s="20">
        <f t="shared" si="21"/>
        <v>0</v>
      </c>
      <c r="BO7" s="20"/>
      <c r="BP7" s="20">
        <f t="shared" si="22"/>
        <v>0</v>
      </c>
      <c r="BQ7" s="20"/>
      <c r="BR7" s="20"/>
      <c r="BS7" s="20">
        <f t="shared" si="23"/>
        <v>0</v>
      </c>
      <c r="BT7" s="20"/>
      <c r="BU7" s="20">
        <f t="shared" si="24"/>
        <v>0</v>
      </c>
      <c r="BV7" s="20"/>
      <c r="BW7" s="20"/>
      <c r="BX7" s="20">
        <f t="shared" si="25"/>
        <v>0</v>
      </c>
      <c r="BY7" s="20"/>
      <c r="BZ7" s="20">
        <f t="shared" si="26"/>
        <v>0</v>
      </c>
      <c r="CA7" s="20"/>
      <c r="CB7" s="20"/>
      <c r="CC7" s="20">
        <f t="shared" si="27"/>
        <v>0</v>
      </c>
      <c r="CD7" s="20"/>
      <c r="CE7" s="20">
        <f t="shared" si="28"/>
        <v>0</v>
      </c>
      <c r="CF7" s="20"/>
      <c r="CG7" s="1"/>
    </row>
    <row r="8" spans="1:87" x14ac:dyDescent="0.4">
      <c r="A8" s="1" t="s">
        <v>105</v>
      </c>
      <c r="B8" s="1" t="s">
        <v>167</v>
      </c>
      <c r="C8" s="1" t="s">
        <v>168</v>
      </c>
      <c r="D8" s="1" t="s">
        <v>180</v>
      </c>
      <c r="E8" s="115" t="s">
        <v>181</v>
      </c>
      <c r="F8" s="1"/>
      <c r="G8" s="1"/>
      <c r="H8" s="1"/>
      <c r="I8" s="1"/>
      <c r="J8" s="1"/>
      <c r="K8" s="1" t="s">
        <v>182</v>
      </c>
      <c r="L8" s="1" t="s">
        <v>172</v>
      </c>
      <c r="M8" s="1" t="s">
        <v>110</v>
      </c>
      <c r="N8" s="1" t="s">
        <v>110</v>
      </c>
      <c r="O8" s="1" t="s">
        <v>111</v>
      </c>
      <c r="P8" s="1" t="s">
        <v>277</v>
      </c>
      <c r="Q8" s="1" t="s">
        <v>157</v>
      </c>
      <c r="R8" s="1"/>
      <c r="S8" s="3"/>
      <c r="T8" s="4"/>
      <c r="U8" s="20">
        <f t="shared" si="2"/>
        <v>0</v>
      </c>
      <c r="V8" s="20">
        <f t="shared" si="3"/>
        <v>0</v>
      </c>
      <c r="W8" s="20">
        <f t="shared" si="4"/>
        <v>0</v>
      </c>
      <c r="X8" s="20">
        <f t="shared" si="5"/>
        <v>0</v>
      </c>
      <c r="Y8" s="20"/>
      <c r="Z8" s="20">
        <f t="shared" si="6"/>
        <v>0</v>
      </c>
      <c r="AA8" s="20"/>
      <c r="AB8" s="20">
        <f t="shared" si="7"/>
        <v>0</v>
      </c>
      <c r="AC8" s="20"/>
      <c r="AD8" s="20"/>
      <c r="AE8" s="20">
        <f t="shared" si="8"/>
        <v>0</v>
      </c>
      <c r="AF8" s="20"/>
      <c r="AG8" s="20">
        <f t="shared" si="9"/>
        <v>0</v>
      </c>
      <c r="AH8" s="20"/>
      <c r="AI8" s="20"/>
      <c r="AJ8" s="20">
        <f t="shared" si="10"/>
        <v>0</v>
      </c>
      <c r="AK8" s="20"/>
      <c r="AL8" s="20">
        <f t="shared" si="11"/>
        <v>0</v>
      </c>
      <c r="AM8" s="20"/>
      <c r="AN8" s="20"/>
      <c r="AO8" s="20">
        <f t="shared" si="12"/>
        <v>0</v>
      </c>
      <c r="AP8" s="20"/>
      <c r="AQ8" s="20">
        <f t="shared" si="13"/>
        <v>0</v>
      </c>
      <c r="AR8" s="20"/>
      <c r="AS8" s="20"/>
      <c r="AT8" s="20">
        <f t="shared" si="14"/>
        <v>0</v>
      </c>
      <c r="AU8" s="20"/>
      <c r="AV8" s="20">
        <f t="shared" si="15"/>
        <v>0</v>
      </c>
      <c r="AW8" s="23">
        <v>12000</v>
      </c>
      <c r="AX8" s="20"/>
      <c r="AY8" s="20">
        <f t="shared" si="16"/>
        <v>0</v>
      </c>
      <c r="AZ8" s="20"/>
      <c r="BA8" s="20">
        <v>0</v>
      </c>
      <c r="BB8" s="20"/>
      <c r="BC8" s="29"/>
      <c r="BD8" s="29">
        <f t="shared" si="17"/>
        <v>0</v>
      </c>
      <c r="BE8" s="20"/>
      <c r="BF8" s="20">
        <f t="shared" si="18"/>
        <v>0</v>
      </c>
      <c r="BG8" s="20"/>
      <c r="BH8" s="20"/>
      <c r="BI8" s="20">
        <f t="shared" si="19"/>
        <v>0</v>
      </c>
      <c r="BJ8" s="20"/>
      <c r="BK8" s="20">
        <f t="shared" si="20"/>
        <v>0</v>
      </c>
      <c r="BL8" s="20"/>
      <c r="BM8" s="20"/>
      <c r="BN8" s="20">
        <f t="shared" si="21"/>
        <v>0</v>
      </c>
      <c r="BO8" s="20"/>
      <c r="BP8" s="20">
        <f t="shared" si="22"/>
        <v>0</v>
      </c>
      <c r="BQ8" s="20"/>
      <c r="BR8" s="20"/>
      <c r="BS8" s="20">
        <f t="shared" si="23"/>
        <v>0</v>
      </c>
      <c r="BT8" s="20"/>
      <c r="BU8" s="20">
        <f t="shared" si="24"/>
        <v>0</v>
      </c>
      <c r="BV8" s="20"/>
      <c r="BW8" s="20"/>
      <c r="BX8" s="20">
        <f t="shared" si="25"/>
        <v>0</v>
      </c>
      <c r="BY8" s="20"/>
      <c r="BZ8" s="20">
        <f t="shared" si="26"/>
        <v>0</v>
      </c>
      <c r="CA8" s="20"/>
      <c r="CB8" s="20"/>
      <c r="CC8" s="20">
        <f t="shared" si="27"/>
        <v>0</v>
      </c>
      <c r="CD8" s="20"/>
      <c r="CE8" s="20">
        <f t="shared" si="28"/>
        <v>0</v>
      </c>
      <c r="CF8" s="20"/>
      <c r="CG8" s="1"/>
    </row>
    <row r="9" spans="1:87" ht="17" x14ac:dyDescent="0.4">
      <c r="A9" s="1" t="s">
        <v>105</v>
      </c>
      <c r="B9" s="1" t="s">
        <v>167</v>
      </c>
      <c r="C9" s="1" t="s">
        <v>168</v>
      </c>
      <c r="D9" s="1" t="s">
        <v>180</v>
      </c>
      <c r="E9" s="115" t="s">
        <v>181</v>
      </c>
      <c r="F9" s="1"/>
      <c r="G9" s="1"/>
      <c r="H9" s="1"/>
      <c r="I9" s="1"/>
      <c r="J9" s="1"/>
      <c r="K9" s="1" t="s">
        <v>182</v>
      </c>
      <c r="L9" s="1" t="s">
        <v>172</v>
      </c>
      <c r="M9" s="1" t="s">
        <v>86</v>
      </c>
      <c r="N9" s="1" t="s">
        <v>86</v>
      </c>
      <c r="O9" s="1" t="s">
        <v>87</v>
      </c>
      <c r="P9" s="1" t="s">
        <v>84</v>
      </c>
      <c r="Q9" s="1" t="s">
        <v>183</v>
      </c>
      <c r="R9" s="1"/>
      <c r="S9" s="3">
        <v>8.5999999999999993E-2</v>
      </c>
      <c r="T9" s="4">
        <v>12600</v>
      </c>
      <c r="U9" s="20">
        <f t="shared" si="2"/>
        <v>0</v>
      </c>
      <c r="V9" s="20">
        <f t="shared" si="3"/>
        <v>0</v>
      </c>
      <c r="W9" s="20">
        <f t="shared" si="4"/>
        <v>619.19999999999993</v>
      </c>
      <c r="X9" s="20">
        <f t="shared" si="5"/>
        <v>0</v>
      </c>
      <c r="Y9" s="20"/>
      <c r="Z9" s="20">
        <f t="shared" si="6"/>
        <v>0</v>
      </c>
      <c r="AA9" s="20"/>
      <c r="AB9" s="20">
        <f t="shared" si="7"/>
        <v>0</v>
      </c>
      <c r="AC9" s="20"/>
      <c r="AD9" s="20"/>
      <c r="AE9" s="20">
        <f t="shared" si="8"/>
        <v>0</v>
      </c>
      <c r="AF9" s="20"/>
      <c r="AG9" s="20">
        <f t="shared" si="9"/>
        <v>0</v>
      </c>
      <c r="AH9" s="20"/>
      <c r="AI9" s="20"/>
      <c r="AJ9" s="20">
        <f t="shared" si="10"/>
        <v>0</v>
      </c>
      <c r="AK9" s="20"/>
      <c r="AL9" s="20">
        <f t="shared" si="11"/>
        <v>0</v>
      </c>
      <c r="AM9" s="20"/>
      <c r="AN9" s="20"/>
      <c r="AO9" s="20">
        <f t="shared" si="12"/>
        <v>0</v>
      </c>
      <c r="AP9" s="20"/>
      <c r="AQ9" s="20">
        <f t="shared" si="13"/>
        <v>0</v>
      </c>
      <c r="AR9" s="20"/>
      <c r="AS9" s="20"/>
      <c r="AT9" s="20">
        <f t="shared" si="14"/>
        <v>0</v>
      </c>
      <c r="AU9" s="20"/>
      <c r="AV9" s="20">
        <f t="shared" si="15"/>
        <v>0</v>
      </c>
      <c r="AW9" s="20"/>
      <c r="AX9" s="20"/>
      <c r="AY9" s="20">
        <f t="shared" si="16"/>
        <v>0</v>
      </c>
      <c r="AZ9" s="20"/>
      <c r="BA9" s="20">
        <v>0</v>
      </c>
      <c r="BB9" s="20"/>
      <c r="BC9" s="29"/>
      <c r="BD9" s="29">
        <f t="shared" si="17"/>
        <v>0</v>
      </c>
      <c r="BE9" s="20">
        <v>7200</v>
      </c>
      <c r="BF9" s="20">
        <f t="shared" si="18"/>
        <v>619.19999999999993</v>
      </c>
      <c r="BG9" s="20"/>
      <c r="BH9" s="20"/>
      <c r="BI9" s="20">
        <f t="shared" si="19"/>
        <v>0</v>
      </c>
      <c r="BJ9" s="20"/>
      <c r="BK9" s="20">
        <f t="shared" si="20"/>
        <v>0</v>
      </c>
      <c r="BL9" s="20"/>
      <c r="BM9" s="20"/>
      <c r="BN9" s="20">
        <f t="shared" si="21"/>
        <v>0</v>
      </c>
      <c r="BO9" s="20"/>
      <c r="BP9" s="20">
        <f t="shared" si="22"/>
        <v>0</v>
      </c>
      <c r="BQ9" s="20"/>
      <c r="BR9" s="20"/>
      <c r="BS9" s="20">
        <f t="shared" si="23"/>
        <v>0</v>
      </c>
      <c r="BT9" s="20"/>
      <c r="BU9" s="20">
        <f t="shared" si="24"/>
        <v>0</v>
      </c>
      <c r="BV9" s="20"/>
      <c r="BW9" s="20"/>
      <c r="BX9" s="20">
        <f t="shared" si="25"/>
        <v>0</v>
      </c>
      <c r="BY9" s="20"/>
      <c r="BZ9" s="20">
        <f t="shared" si="26"/>
        <v>0</v>
      </c>
      <c r="CA9" s="20"/>
      <c r="CB9" s="20"/>
      <c r="CC9" s="20">
        <f t="shared" si="27"/>
        <v>0</v>
      </c>
      <c r="CD9" s="20"/>
      <c r="CE9" s="20">
        <f t="shared" si="28"/>
        <v>0</v>
      </c>
      <c r="CF9" s="20"/>
      <c r="CG9" s="35"/>
    </row>
    <row r="10" spans="1:87" x14ac:dyDescent="0.4">
      <c r="A10" s="1" t="s">
        <v>105</v>
      </c>
      <c r="B10" s="1" t="s">
        <v>167</v>
      </c>
      <c r="C10" s="1" t="s">
        <v>168</v>
      </c>
      <c r="D10" s="1" t="s">
        <v>180</v>
      </c>
      <c r="E10" s="115" t="s">
        <v>181</v>
      </c>
      <c r="F10" s="1"/>
      <c r="G10" s="1"/>
      <c r="H10" s="1"/>
      <c r="I10" s="1"/>
      <c r="J10" s="1"/>
      <c r="K10" s="1" t="s">
        <v>182</v>
      </c>
      <c r="L10" s="1" t="s">
        <v>172</v>
      </c>
      <c r="M10" s="1" t="s">
        <v>86</v>
      </c>
      <c r="N10" s="1" t="s">
        <v>86</v>
      </c>
      <c r="O10" s="1" t="s">
        <v>87</v>
      </c>
      <c r="P10" s="1" t="s">
        <v>84</v>
      </c>
      <c r="Q10" s="1" t="s">
        <v>184</v>
      </c>
      <c r="R10" s="1"/>
      <c r="S10" s="3"/>
      <c r="T10" s="4">
        <v>11800</v>
      </c>
      <c r="U10" s="20">
        <f t="shared" si="2"/>
        <v>0</v>
      </c>
      <c r="V10" s="20">
        <f t="shared" si="3"/>
        <v>0</v>
      </c>
      <c r="W10" s="20">
        <f t="shared" si="4"/>
        <v>0</v>
      </c>
      <c r="X10" s="20">
        <f t="shared" si="5"/>
        <v>200</v>
      </c>
      <c r="Y10" s="20"/>
      <c r="Z10" s="20">
        <f t="shared" si="6"/>
        <v>0</v>
      </c>
      <c r="AA10" s="20"/>
      <c r="AB10" s="20">
        <f t="shared" si="7"/>
        <v>0</v>
      </c>
      <c r="AC10" s="20"/>
      <c r="AD10" s="20"/>
      <c r="AE10" s="20">
        <f t="shared" si="8"/>
        <v>0</v>
      </c>
      <c r="AF10" s="20"/>
      <c r="AG10" s="20">
        <f t="shared" si="9"/>
        <v>0</v>
      </c>
      <c r="AH10" s="20"/>
      <c r="AI10" s="20"/>
      <c r="AJ10" s="20">
        <f t="shared" si="10"/>
        <v>0</v>
      </c>
      <c r="AK10" s="20"/>
      <c r="AL10" s="20">
        <f t="shared" si="11"/>
        <v>0</v>
      </c>
      <c r="AM10" s="20"/>
      <c r="AN10" s="20"/>
      <c r="AO10" s="20">
        <f t="shared" si="12"/>
        <v>0</v>
      </c>
      <c r="AP10" s="20"/>
      <c r="AQ10" s="20">
        <f t="shared" si="13"/>
        <v>0</v>
      </c>
      <c r="AR10" s="20"/>
      <c r="AS10" s="20"/>
      <c r="AT10" s="20">
        <f t="shared" si="14"/>
        <v>0</v>
      </c>
      <c r="AU10" s="20"/>
      <c r="AV10" s="20">
        <f t="shared" si="15"/>
        <v>0</v>
      </c>
      <c r="AW10" s="20"/>
      <c r="AX10" s="20"/>
      <c r="AY10" s="20">
        <f t="shared" si="16"/>
        <v>0</v>
      </c>
      <c r="AZ10" s="20"/>
      <c r="BA10" s="20">
        <v>0</v>
      </c>
      <c r="BB10" s="20"/>
      <c r="BC10" s="29"/>
      <c r="BD10" s="29">
        <f t="shared" si="17"/>
        <v>0</v>
      </c>
      <c r="BE10" s="20"/>
      <c r="BF10" s="20">
        <f t="shared" si="18"/>
        <v>0</v>
      </c>
      <c r="BG10" s="20"/>
      <c r="BH10" s="20"/>
      <c r="BI10" s="20">
        <f t="shared" si="19"/>
        <v>0</v>
      </c>
      <c r="BJ10" s="20"/>
      <c r="BK10" s="20">
        <f t="shared" si="20"/>
        <v>0</v>
      </c>
      <c r="BL10" s="100">
        <v>200</v>
      </c>
      <c r="BM10" s="20"/>
      <c r="BN10" s="20">
        <f t="shared" si="21"/>
        <v>0</v>
      </c>
      <c r="BO10" s="20"/>
      <c r="BP10" s="20">
        <f t="shared" si="22"/>
        <v>0</v>
      </c>
      <c r="BQ10" s="20"/>
      <c r="BR10" s="20"/>
      <c r="BS10" s="20">
        <f t="shared" si="23"/>
        <v>0</v>
      </c>
      <c r="BT10" s="20"/>
      <c r="BU10" s="20">
        <f t="shared" si="24"/>
        <v>0</v>
      </c>
      <c r="BV10" s="20"/>
      <c r="BW10" s="20"/>
      <c r="BX10" s="20">
        <f t="shared" si="25"/>
        <v>0</v>
      </c>
      <c r="BY10" s="20"/>
      <c r="BZ10" s="20">
        <f t="shared" si="26"/>
        <v>0</v>
      </c>
      <c r="CA10" s="20"/>
      <c r="CB10" s="20"/>
      <c r="CC10" s="20">
        <f t="shared" si="27"/>
        <v>0</v>
      </c>
      <c r="CD10" s="20"/>
      <c r="CE10" s="20">
        <f t="shared" si="28"/>
        <v>0</v>
      </c>
      <c r="CF10" s="20"/>
      <c r="CG10" s="1"/>
    </row>
    <row r="11" spans="1:87" x14ac:dyDescent="0.4">
      <c r="A11" s="1" t="s">
        <v>105</v>
      </c>
      <c r="B11" s="1" t="s">
        <v>167</v>
      </c>
      <c r="C11" s="1" t="s">
        <v>168</v>
      </c>
      <c r="D11" s="1" t="s">
        <v>180</v>
      </c>
      <c r="E11" s="115" t="s">
        <v>181</v>
      </c>
      <c r="F11" s="1"/>
      <c r="G11" s="1"/>
      <c r="H11" s="1"/>
      <c r="I11" s="1"/>
      <c r="J11" s="1"/>
      <c r="K11" s="1" t="s">
        <v>182</v>
      </c>
      <c r="L11" s="1" t="s">
        <v>172</v>
      </c>
      <c r="M11" s="1" t="s">
        <v>86</v>
      </c>
      <c r="N11" s="1" t="s">
        <v>86</v>
      </c>
      <c r="O11" s="1" t="s">
        <v>87</v>
      </c>
      <c r="P11" s="1" t="s">
        <v>84</v>
      </c>
      <c r="Q11" s="1" t="s">
        <v>164</v>
      </c>
      <c r="R11" s="1"/>
      <c r="S11" s="3"/>
      <c r="T11" s="4"/>
      <c r="U11" s="20">
        <f t="shared" si="2"/>
        <v>0</v>
      </c>
      <c r="V11" s="20">
        <f t="shared" si="3"/>
        <v>0</v>
      </c>
      <c r="W11" s="20">
        <f t="shared" si="4"/>
        <v>0</v>
      </c>
      <c r="X11" s="20">
        <f t="shared" si="5"/>
        <v>22000</v>
      </c>
      <c r="Y11" s="20"/>
      <c r="Z11" s="20">
        <f t="shared" si="6"/>
        <v>0</v>
      </c>
      <c r="AA11" s="20"/>
      <c r="AB11" s="20">
        <f t="shared" si="7"/>
        <v>0</v>
      </c>
      <c r="AC11" s="20"/>
      <c r="AD11" s="20"/>
      <c r="AE11" s="20">
        <f t="shared" si="8"/>
        <v>0</v>
      </c>
      <c r="AF11" s="20"/>
      <c r="AG11" s="20">
        <f t="shared" si="9"/>
        <v>0</v>
      </c>
      <c r="AH11" s="20"/>
      <c r="AI11" s="20"/>
      <c r="AJ11" s="20">
        <f t="shared" si="10"/>
        <v>0</v>
      </c>
      <c r="AK11" s="20"/>
      <c r="AL11" s="20">
        <f t="shared" si="11"/>
        <v>0</v>
      </c>
      <c r="AM11" s="20"/>
      <c r="AN11" s="20"/>
      <c r="AO11" s="20">
        <f t="shared" si="12"/>
        <v>0</v>
      </c>
      <c r="AP11" s="20"/>
      <c r="AQ11" s="20">
        <f t="shared" si="13"/>
        <v>0</v>
      </c>
      <c r="AR11" s="20"/>
      <c r="AS11" s="20"/>
      <c r="AT11" s="20">
        <f t="shared" si="14"/>
        <v>0</v>
      </c>
      <c r="AU11" s="20"/>
      <c r="AV11" s="20">
        <f t="shared" si="15"/>
        <v>0</v>
      </c>
      <c r="AW11" s="23">
        <v>22000</v>
      </c>
      <c r="AX11" s="20"/>
      <c r="AY11" s="20">
        <f t="shared" si="16"/>
        <v>0</v>
      </c>
      <c r="AZ11" s="20"/>
      <c r="BA11" s="20">
        <v>0</v>
      </c>
      <c r="BB11" s="20"/>
      <c r="BC11" s="29"/>
      <c r="BD11" s="29">
        <f t="shared" si="17"/>
        <v>0</v>
      </c>
      <c r="BE11" s="20"/>
      <c r="BF11" s="20">
        <f t="shared" si="18"/>
        <v>0</v>
      </c>
      <c r="BG11" s="102">
        <v>22000</v>
      </c>
      <c r="BH11" s="20"/>
      <c r="BI11" s="20">
        <f t="shared" si="19"/>
        <v>0</v>
      </c>
      <c r="BJ11" s="20"/>
      <c r="BK11" s="20">
        <f t="shared" si="20"/>
        <v>0</v>
      </c>
      <c r="BL11" s="20"/>
      <c r="BM11" s="20"/>
      <c r="BN11" s="20">
        <f t="shared" si="21"/>
        <v>0</v>
      </c>
      <c r="BO11" s="20"/>
      <c r="BP11" s="20">
        <f t="shared" si="22"/>
        <v>0</v>
      </c>
      <c r="BQ11" s="20"/>
      <c r="BR11" s="20"/>
      <c r="BS11" s="20">
        <f t="shared" si="23"/>
        <v>0</v>
      </c>
      <c r="BT11" s="20"/>
      <c r="BU11" s="20">
        <f t="shared" si="24"/>
        <v>0</v>
      </c>
      <c r="BV11" s="20"/>
      <c r="BW11" s="20"/>
      <c r="BX11" s="20">
        <f t="shared" si="25"/>
        <v>0</v>
      </c>
      <c r="BY11" s="20"/>
      <c r="BZ11" s="20">
        <f t="shared" si="26"/>
        <v>0</v>
      </c>
      <c r="CA11" s="20"/>
      <c r="CB11" s="20"/>
      <c r="CC11" s="20">
        <f t="shared" si="27"/>
        <v>0</v>
      </c>
      <c r="CD11" s="20"/>
      <c r="CE11" s="20">
        <f t="shared" si="28"/>
        <v>0</v>
      </c>
      <c r="CF11" s="20"/>
      <c r="CG11" s="1"/>
    </row>
    <row r="12" spans="1:87" x14ac:dyDescent="0.4">
      <c r="A12" s="1" t="s">
        <v>105</v>
      </c>
      <c r="B12" s="1" t="s">
        <v>167</v>
      </c>
      <c r="C12" s="1" t="s">
        <v>168</v>
      </c>
      <c r="D12" s="1" t="s">
        <v>180</v>
      </c>
      <c r="E12" s="115" t="s">
        <v>181</v>
      </c>
      <c r="F12" s="1"/>
      <c r="G12" s="1"/>
      <c r="H12" s="1"/>
      <c r="I12" s="1"/>
      <c r="J12" s="1"/>
      <c r="K12" s="1" t="s">
        <v>182</v>
      </c>
      <c r="L12" s="1" t="s">
        <v>172</v>
      </c>
      <c r="M12" s="1" t="s">
        <v>86</v>
      </c>
      <c r="N12" s="1" t="s">
        <v>86</v>
      </c>
      <c r="O12" s="1" t="s">
        <v>87</v>
      </c>
      <c r="P12" s="1" t="s">
        <v>84</v>
      </c>
      <c r="Q12" s="1" t="s">
        <v>185</v>
      </c>
      <c r="R12" s="1"/>
      <c r="S12" s="3"/>
      <c r="T12" s="4"/>
      <c r="U12" s="20">
        <f t="shared" si="2"/>
        <v>0</v>
      </c>
      <c r="V12" s="20">
        <f t="shared" si="3"/>
        <v>0</v>
      </c>
      <c r="W12" s="20">
        <f t="shared" si="4"/>
        <v>0</v>
      </c>
      <c r="X12" s="20">
        <f t="shared" si="5"/>
        <v>0</v>
      </c>
      <c r="Y12" s="20"/>
      <c r="Z12" s="20">
        <f t="shared" si="6"/>
        <v>0</v>
      </c>
      <c r="AA12" s="20"/>
      <c r="AB12" s="20">
        <f t="shared" si="7"/>
        <v>0</v>
      </c>
      <c r="AC12" s="20"/>
      <c r="AD12" s="20"/>
      <c r="AE12" s="20">
        <f t="shared" si="8"/>
        <v>0</v>
      </c>
      <c r="AF12" s="20"/>
      <c r="AG12" s="20">
        <f t="shared" si="9"/>
        <v>0</v>
      </c>
      <c r="AH12" s="20"/>
      <c r="AI12" s="20"/>
      <c r="AJ12" s="20">
        <f t="shared" si="10"/>
        <v>0</v>
      </c>
      <c r="AK12" s="20"/>
      <c r="AL12" s="20">
        <f t="shared" si="11"/>
        <v>0</v>
      </c>
      <c r="AM12" s="20"/>
      <c r="AN12" s="20"/>
      <c r="AO12" s="20">
        <f t="shared" si="12"/>
        <v>0</v>
      </c>
      <c r="AP12" s="20"/>
      <c r="AQ12" s="20">
        <f t="shared" si="13"/>
        <v>0</v>
      </c>
      <c r="AR12" s="20"/>
      <c r="AS12" s="20"/>
      <c r="AT12" s="20">
        <f t="shared" si="14"/>
        <v>0</v>
      </c>
      <c r="AU12" s="20"/>
      <c r="AV12" s="20">
        <f t="shared" si="15"/>
        <v>0</v>
      </c>
      <c r="AW12" s="20"/>
      <c r="AX12" s="20"/>
      <c r="AY12" s="20">
        <f t="shared" si="16"/>
        <v>0</v>
      </c>
      <c r="AZ12" s="20"/>
      <c r="BA12" s="20">
        <v>0</v>
      </c>
      <c r="BB12" s="20"/>
      <c r="BC12" s="29"/>
      <c r="BD12" s="29">
        <f t="shared" si="17"/>
        <v>0</v>
      </c>
      <c r="BE12" s="20"/>
      <c r="BF12" s="20">
        <f t="shared" si="18"/>
        <v>0</v>
      </c>
      <c r="BG12" s="15"/>
      <c r="BH12" s="20"/>
      <c r="BI12" s="20">
        <f t="shared" si="19"/>
        <v>0</v>
      </c>
      <c r="BJ12" s="20"/>
      <c r="BK12" s="20">
        <f t="shared" si="20"/>
        <v>0</v>
      </c>
      <c r="BL12" s="20"/>
      <c r="BM12" s="20"/>
      <c r="BN12" s="20">
        <f t="shared" si="21"/>
        <v>0</v>
      </c>
      <c r="BO12" s="20"/>
      <c r="BP12" s="20">
        <f t="shared" si="22"/>
        <v>0</v>
      </c>
      <c r="BQ12" s="20"/>
      <c r="BR12" s="20"/>
      <c r="BS12" s="20">
        <f t="shared" si="23"/>
        <v>0</v>
      </c>
      <c r="BT12" s="20"/>
      <c r="BU12" s="20">
        <f t="shared" si="24"/>
        <v>0</v>
      </c>
      <c r="BV12" s="20"/>
      <c r="BW12" s="20"/>
      <c r="BX12" s="20">
        <f t="shared" si="25"/>
        <v>0</v>
      </c>
      <c r="BY12" s="20"/>
      <c r="BZ12" s="20">
        <f t="shared" si="26"/>
        <v>0</v>
      </c>
      <c r="CA12" s="20"/>
      <c r="CB12" s="20"/>
      <c r="CC12" s="20">
        <f t="shared" si="27"/>
        <v>0</v>
      </c>
      <c r="CD12" s="20"/>
      <c r="CE12" s="20">
        <f t="shared" si="28"/>
        <v>0</v>
      </c>
      <c r="CF12" s="20"/>
      <c r="CG12" s="1"/>
    </row>
    <row r="13" spans="1:87" x14ac:dyDescent="0.4">
      <c r="A13" s="1" t="s">
        <v>105</v>
      </c>
      <c r="B13" s="1" t="s">
        <v>167</v>
      </c>
      <c r="C13" s="1" t="s">
        <v>168</v>
      </c>
      <c r="D13" s="1" t="s">
        <v>180</v>
      </c>
      <c r="E13" s="115" t="s">
        <v>181</v>
      </c>
      <c r="F13" s="1"/>
      <c r="G13" s="1"/>
      <c r="H13" s="1"/>
      <c r="I13" s="1"/>
      <c r="J13" s="1"/>
      <c r="K13" s="1" t="s">
        <v>182</v>
      </c>
      <c r="L13" s="1" t="s">
        <v>172</v>
      </c>
      <c r="M13" s="1" t="s">
        <v>110</v>
      </c>
      <c r="N13" s="1" t="s">
        <v>110</v>
      </c>
      <c r="O13" s="1" t="s">
        <v>111</v>
      </c>
      <c r="P13" s="1" t="s">
        <v>277</v>
      </c>
      <c r="Q13" s="1" t="s">
        <v>186</v>
      </c>
      <c r="R13" s="1"/>
      <c r="S13" s="28"/>
      <c r="T13" s="4"/>
      <c r="U13" s="20">
        <f t="shared" si="2"/>
        <v>0</v>
      </c>
      <c r="V13" s="20">
        <f t="shared" si="3"/>
        <v>0</v>
      </c>
      <c r="W13" s="20">
        <f t="shared" si="4"/>
        <v>0</v>
      </c>
      <c r="X13" s="20">
        <f t="shared" si="5"/>
        <v>0</v>
      </c>
      <c r="Y13" s="20"/>
      <c r="Z13" s="20">
        <f t="shared" si="6"/>
        <v>0</v>
      </c>
      <c r="AA13" s="20"/>
      <c r="AB13" s="20">
        <f t="shared" si="7"/>
        <v>0</v>
      </c>
      <c r="AC13" s="20"/>
      <c r="AD13" s="20"/>
      <c r="AE13" s="20">
        <f t="shared" si="8"/>
        <v>0</v>
      </c>
      <c r="AF13" s="20"/>
      <c r="AG13" s="20">
        <f t="shared" si="9"/>
        <v>0</v>
      </c>
      <c r="AH13" s="20"/>
      <c r="AI13" s="20"/>
      <c r="AJ13" s="20">
        <f t="shared" si="10"/>
        <v>0</v>
      </c>
      <c r="AK13" s="20"/>
      <c r="AL13" s="20">
        <f t="shared" si="11"/>
        <v>0</v>
      </c>
      <c r="AM13" s="20"/>
      <c r="AN13" s="20"/>
      <c r="AO13" s="20">
        <f t="shared" si="12"/>
        <v>0</v>
      </c>
      <c r="AP13" s="20"/>
      <c r="AQ13" s="20">
        <f t="shared" si="13"/>
        <v>0</v>
      </c>
      <c r="AR13" s="20"/>
      <c r="AS13" s="20"/>
      <c r="AT13" s="20">
        <f t="shared" si="14"/>
        <v>0</v>
      </c>
      <c r="AU13" s="20"/>
      <c r="AV13" s="20">
        <f t="shared" si="15"/>
        <v>0</v>
      </c>
      <c r="AW13" s="20"/>
      <c r="AX13" s="20"/>
      <c r="AY13" s="20">
        <f t="shared" si="16"/>
        <v>0</v>
      </c>
      <c r="AZ13" s="20"/>
      <c r="BA13" s="20">
        <v>0</v>
      </c>
      <c r="BB13" s="21">
        <v>30000</v>
      </c>
      <c r="BC13" s="29"/>
      <c r="BD13" s="29">
        <f t="shared" si="17"/>
        <v>0</v>
      </c>
      <c r="BE13" s="20"/>
      <c r="BF13" s="20">
        <f t="shared" si="18"/>
        <v>0</v>
      </c>
      <c r="BG13" s="20"/>
      <c r="BH13" s="20"/>
      <c r="BI13" s="20">
        <f t="shared" si="19"/>
        <v>0</v>
      </c>
      <c r="BJ13" s="20"/>
      <c r="BK13" s="20">
        <f t="shared" si="20"/>
        <v>0</v>
      </c>
      <c r="BL13" s="20"/>
      <c r="BM13" s="20"/>
      <c r="BN13" s="20">
        <f t="shared" si="21"/>
        <v>0</v>
      </c>
      <c r="BO13" s="20"/>
      <c r="BP13" s="20">
        <f t="shared" si="22"/>
        <v>0</v>
      </c>
      <c r="BQ13" s="20"/>
      <c r="BR13" s="20"/>
      <c r="BS13" s="20">
        <f t="shared" si="23"/>
        <v>0</v>
      </c>
      <c r="BT13" s="20"/>
      <c r="BU13" s="20">
        <f t="shared" si="24"/>
        <v>0</v>
      </c>
      <c r="BV13" s="20"/>
      <c r="BW13" s="20"/>
      <c r="BX13" s="20">
        <f t="shared" si="25"/>
        <v>0</v>
      </c>
      <c r="BY13" s="20"/>
      <c r="BZ13" s="20">
        <f t="shared" si="26"/>
        <v>0</v>
      </c>
      <c r="CA13" s="20"/>
      <c r="CB13" s="20"/>
      <c r="CC13" s="20">
        <f t="shared" si="27"/>
        <v>0</v>
      </c>
      <c r="CD13" s="20"/>
      <c r="CE13" s="20">
        <f t="shared" si="28"/>
        <v>0</v>
      </c>
      <c r="CF13" s="20"/>
      <c r="CG13" s="1"/>
    </row>
    <row r="14" spans="1:87" x14ac:dyDescent="0.4">
      <c r="A14" s="1" t="s">
        <v>105</v>
      </c>
      <c r="B14" s="1" t="s">
        <v>167</v>
      </c>
      <c r="C14" s="1" t="s">
        <v>168</v>
      </c>
      <c r="D14" s="1" t="s">
        <v>180</v>
      </c>
      <c r="E14" s="115" t="s">
        <v>181</v>
      </c>
      <c r="F14" s="1"/>
      <c r="G14" s="1"/>
      <c r="H14" s="1"/>
      <c r="I14" s="1"/>
      <c r="J14" s="1"/>
      <c r="K14" s="1" t="s">
        <v>182</v>
      </c>
      <c r="L14" s="1" t="s">
        <v>172</v>
      </c>
      <c r="M14" s="1" t="s">
        <v>110</v>
      </c>
      <c r="N14" s="1" t="s">
        <v>110</v>
      </c>
      <c r="O14" s="1" t="s">
        <v>111</v>
      </c>
      <c r="P14" s="1" t="s">
        <v>277</v>
      </c>
      <c r="Q14" s="1" t="s">
        <v>187</v>
      </c>
      <c r="R14" s="1"/>
      <c r="S14" s="28"/>
      <c r="T14" s="4"/>
      <c r="U14" s="20">
        <f t="shared" si="2"/>
        <v>0</v>
      </c>
      <c r="V14" s="20">
        <f t="shared" si="3"/>
        <v>0</v>
      </c>
      <c r="W14" s="20">
        <f t="shared" si="4"/>
        <v>0</v>
      </c>
      <c r="X14" s="20">
        <f t="shared" si="5"/>
        <v>0</v>
      </c>
      <c r="Y14" s="20"/>
      <c r="Z14" s="20">
        <f t="shared" si="6"/>
        <v>0</v>
      </c>
      <c r="AA14" s="20"/>
      <c r="AB14" s="20">
        <f t="shared" si="7"/>
        <v>0</v>
      </c>
      <c r="AC14" s="20"/>
      <c r="AD14" s="20"/>
      <c r="AE14" s="20">
        <f t="shared" si="8"/>
        <v>0</v>
      </c>
      <c r="AF14" s="20"/>
      <c r="AG14" s="20">
        <f t="shared" si="9"/>
        <v>0</v>
      </c>
      <c r="AH14" s="20"/>
      <c r="AI14" s="20"/>
      <c r="AJ14" s="20">
        <f t="shared" si="10"/>
        <v>0</v>
      </c>
      <c r="AK14" s="20"/>
      <c r="AL14" s="20">
        <f t="shared" si="11"/>
        <v>0</v>
      </c>
      <c r="AM14" s="20"/>
      <c r="AN14" s="20"/>
      <c r="AO14" s="20">
        <f t="shared" si="12"/>
        <v>0</v>
      </c>
      <c r="AP14" s="20"/>
      <c r="AQ14" s="20">
        <f t="shared" si="13"/>
        <v>0</v>
      </c>
      <c r="AR14" s="20"/>
      <c r="AS14" s="20"/>
      <c r="AT14" s="20">
        <f t="shared" si="14"/>
        <v>0</v>
      </c>
      <c r="AU14" s="20"/>
      <c r="AV14" s="20">
        <f t="shared" si="15"/>
        <v>0</v>
      </c>
      <c r="AW14" s="20"/>
      <c r="AX14" s="20"/>
      <c r="AY14" s="20">
        <f t="shared" si="16"/>
        <v>0</v>
      </c>
      <c r="AZ14" s="20"/>
      <c r="BA14" s="20">
        <v>0</v>
      </c>
      <c r="BB14" s="20"/>
      <c r="BC14" s="29"/>
      <c r="BD14" s="29">
        <f t="shared" si="17"/>
        <v>0</v>
      </c>
      <c r="BE14" s="20"/>
      <c r="BF14" s="20">
        <f t="shared" si="18"/>
        <v>0</v>
      </c>
      <c r="BG14" s="20"/>
      <c r="BH14" s="20"/>
      <c r="BI14" s="20">
        <f t="shared" si="19"/>
        <v>0</v>
      </c>
      <c r="BJ14" s="20"/>
      <c r="BK14" s="20">
        <f t="shared" si="20"/>
        <v>0</v>
      </c>
      <c r="BL14" s="20"/>
      <c r="BM14" s="20"/>
      <c r="BN14" s="20">
        <f t="shared" si="21"/>
        <v>0</v>
      </c>
      <c r="BO14" s="20"/>
      <c r="BP14" s="20">
        <f t="shared" si="22"/>
        <v>0</v>
      </c>
      <c r="BQ14" s="20"/>
      <c r="BR14" s="20"/>
      <c r="BS14" s="20">
        <f t="shared" si="23"/>
        <v>0</v>
      </c>
      <c r="BT14" s="20"/>
      <c r="BU14" s="20">
        <f t="shared" si="24"/>
        <v>0</v>
      </c>
      <c r="BV14" s="20"/>
      <c r="BW14" s="20"/>
      <c r="BX14" s="20">
        <f t="shared" si="25"/>
        <v>0</v>
      </c>
      <c r="BY14" s="20"/>
      <c r="BZ14" s="20">
        <f t="shared" si="26"/>
        <v>0</v>
      </c>
      <c r="CA14" s="20"/>
      <c r="CB14" s="20"/>
      <c r="CC14" s="20">
        <f t="shared" si="27"/>
        <v>0</v>
      </c>
      <c r="CD14" s="20"/>
      <c r="CE14" s="20">
        <f t="shared" si="28"/>
        <v>0</v>
      </c>
      <c r="CF14" s="20"/>
      <c r="CG14" s="1"/>
    </row>
    <row r="15" spans="1:87" x14ac:dyDescent="0.4">
      <c r="A15" s="1" t="s">
        <v>105</v>
      </c>
      <c r="B15" s="1" t="s">
        <v>167</v>
      </c>
      <c r="C15" s="1" t="s">
        <v>168</v>
      </c>
      <c r="D15" s="1" t="s">
        <v>180</v>
      </c>
      <c r="E15" s="115" t="s">
        <v>181</v>
      </c>
      <c r="F15" s="1"/>
      <c r="G15" s="1"/>
      <c r="H15" s="1"/>
      <c r="I15" s="1"/>
      <c r="J15" s="1"/>
      <c r="K15" s="1" t="s">
        <v>182</v>
      </c>
      <c r="L15" s="1" t="s">
        <v>172</v>
      </c>
      <c r="M15" s="1" t="s">
        <v>110</v>
      </c>
      <c r="N15" s="1" t="s">
        <v>110</v>
      </c>
      <c r="O15" s="1" t="s">
        <v>111</v>
      </c>
      <c r="P15" s="1" t="s">
        <v>277</v>
      </c>
      <c r="Q15" s="1" t="s">
        <v>188</v>
      </c>
      <c r="R15" s="1"/>
      <c r="S15" s="28"/>
      <c r="T15" s="4"/>
      <c r="U15" s="20">
        <f t="shared" si="2"/>
        <v>0</v>
      </c>
      <c r="V15" s="20">
        <f t="shared" si="3"/>
        <v>0</v>
      </c>
      <c r="W15" s="20">
        <f t="shared" si="4"/>
        <v>0</v>
      </c>
      <c r="X15" s="20">
        <f t="shared" si="5"/>
        <v>0</v>
      </c>
      <c r="Y15" s="20"/>
      <c r="Z15" s="20">
        <f t="shared" si="6"/>
        <v>0</v>
      </c>
      <c r="AA15" s="20"/>
      <c r="AB15" s="20">
        <f t="shared" si="7"/>
        <v>0</v>
      </c>
      <c r="AC15" s="20"/>
      <c r="AD15" s="20"/>
      <c r="AE15" s="20">
        <f t="shared" si="8"/>
        <v>0</v>
      </c>
      <c r="AF15" s="20"/>
      <c r="AG15" s="20">
        <f t="shared" si="9"/>
        <v>0</v>
      </c>
      <c r="AH15" s="20"/>
      <c r="AI15" s="20"/>
      <c r="AJ15" s="20">
        <f t="shared" si="10"/>
        <v>0</v>
      </c>
      <c r="AK15" s="20"/>
      <c r="AL15" s="20">
        <f t="shared" si="11"/>
        <v>0</v>
      </c>
      <c r="AM15" s="20"/>
      <c r="AN15" s="20"/>
      <c r="AO15" s="20">
        <f t="shared" si="12"/>
        <v>0</v>
      </c>
      <c r="AP15" s="20"/>
      <c r="AQ15" s="20">
        <f t="shared" si="13"/>
        <v>0</v>
      </c>
      <c r="AR15" s="20"/>
      <c r="AS15" s="20"/>
      <c r="AT15" s="20">
        <f t="shared" si="14"/>
        <v>0</v>
      </c>
      <c r="AU15" s="20"/>
      <c r="AV15" s="20">
        <f t="shared" si="15"/>
        <v>0</v>
      </c>
      <c r="AW15" s="20"/>
      <c r="AX15" s="20"/>
      <c r="AY15" s="20">
        <f t="shared" si="16"/>
        <v>0</v>
      </c>
      <c r="AZ15" s="20"/>
      <c r="BA15" s="20">
        <v>0</v>
      </c>
      <c r="BB15" s="20"/>
      <c r="BC15" s="29"/>
      <c r="BD15" s="29">
        <f t="shared" si="17"/>
        <v>0</v>
      </c>
      <c r="BE15" s="20"/>
      <c r="BF15" s="20">
        <f t="shared" si="18"/>
        <v>0</v>
      </c>
      <c r="BG15" s="20"/>
      <c r="BH15" s="20"/>
      <c r="BI15" s="20">
        <f t="shared" si="19"/>
        <v>0</v>
      </c>
      <c r="BJ15" s="20"/>
      <c r="BK15" s="20">
        <f t="shared" si="20"/>
        <v>0</v>
      </c>
      <c r="BL15" s="26"/>
      <c r="BM15" s="20"/>
      <c r="BN15" s="20">
        <f t="shared" si="21"/>
        <v>0</v>
      </c>
      <c r="BO15" s="20"/>
      <c r="BP15" s="20">
        <f t="shared" si="22"/>
        <v>0</v>
      </c>
      <c r="BQ15" s="20"/>
      <c r="BR15" s="20"/>
      <c r="BS15" s="20">
        <f t="shared" si="23"/>
        <v>0</v>
      </c>
      <c r="BT15" s="20"/>
      <c r="BU15" s="20">
        <f t="shared" si="24"/>
        <v>0</v>
      </c>
      <c r="BV15" s="20"/>
      <c r="BW15" s="20"/>
      <c r="BX15" s="20">
        <f t="shared" si="25"/>
        <v>0</v>
      </c>
      <c r="BY15" s="20"/>
      <c r="BZ15" s="20">
        <f t="shared" si="26"/>
        <v>0</v>
      </c>
      <c r="CA15" s="20"/>
      <c r="CB15" s="20"/>
      <c r="CC15" s="20">
        <f t="shared" si="27"/>
        <v>0</v>
      </c>
      <c r="CD15" s="20"/>
      <c r="CE15" s="20">
        <f t="shared" si="28"/>
        <v>0</v>
      </c>
      <c r="CF15" s="20"/>
      <c r="CG15" s="1"/>
    </row>
    <row r="16" spans="1:87" ht="17" x14ac:dyDescent="0.4">
      <c r="A16" s="1" t="s">
        <v>105</v>
      </c>
      <c r="B16" s="1" t="s">
        <v>167</v>
      </c>
      <c r="C16" s="1" t="s">
        <v>168</v>
      </c>
      <c r="D16" s="1" t="s">
        <v>180</v>
      </c>
      <c r="E16" s="115" t="s">
        <v>181</v>
      </c>
      <c r="F16" s="1"/>
      <c r="G16" s="1"/>
      <c r="H16" s="1"/>
      <c r="I16" s="1"/>
      <c r="J16" s="1"/>
      <c r="K16" s="1" t="s">
        <v>182</v>
      </c>
      <c r="L16" s="1" t="s">
        <v>172</v>
      </c>
      <c r="M16" s="1" t="s">
        <v>110</v>
      </c>
      <c r="N16" s="1" t="s">
        <v>110</v>
      </c>
      <c r="O16" s="1" t="s">
        <v>111</v>
      </c>
      <c r="P16" s="1" t="s">
        <v>277</v>
      </c>
      <c r="Q16" s="1" t="s">
        <v>189</v>
      </c>
      <c r="R16" s="1"/>
      <c r="S16" s="28"/>
      <c r="T16" s="4"/>
      <c r="U16" s="20">
        <f t="shared" si="2"/>
        <v>0</v>
      </c>
      <c r="V16" s="20">
        <f t="shared" si="3"/>
        <v>0</v>
      </c>
      <c r="W16" s="20">
        <f t="shared" si="4"/>
        <v>0</v>
      </c>
      <c r="X16" s="20">
        <f t="shared" si="5"/>
        <v>0</v>
      </c>
      <c r="Y16" s="20"/>
      <c r="Z16" s="20">
        <f t="shared" si="6"/>
        <v>0</v>
      </c>
      <c r="AA16" s="20"/>
      <c r="AB16" s="20">
        <f t="shared" si="7"/>
        <v>0</v>
      </c>
      <c r="AC16" s="20"/>
      <c r="AD16" s="20"/>
      <c r="AE16" s="20">
        <f t="shared" si="8"/>
        <v>0</v>
      </c>
      <c r="AF16" s="20"/>
      <c r="AG16" s="20">
        <f t="shared" si="9"/>
        <v>0</v>
      </c>
      <c r="AH16" s="20"/>
      <c r="AI16" s="20"/>
      <c r="AJ16" s="20">
        <f t="shared" si="10"/>
        <v>0</v>
      </c>
      <c r="AK16" s="20"/>
      <c r="AL16" s="20">
        <f t="shared" si="11"/>
        <v>0</v>
      </c>
      <c r="AM16" s="20"/>
      <c r="AN16" s="20"/>
      <c r="AO16" s="20">
        <f t="shared" si="12"/>
        <v>0</v>
      </c>
      <c r="AP16" s="20"/>
      <c r="AQ16" s="20">
        <f t="shared" si="13"/>
        <v>0</v>
      </c>
      <c r="AR16" s="20"/>
      <c r="AS16" s="20"/>
      <c r="AT16" s="20">
        <f t="shared" si="14"/>
        <v>0</v>
      </c>
      <c r="AU16" s="20"/>
      <c r="AV16" s="20">
        <f t="shared" si="15"/>
        <v>0</v>
      </c>
      <c r="AW16" s="20"/>
      <c r="AX16" s="20"/>
      <c r="AY16" s="20">
        <f t="shared" si="16"/>
        <v>0</v>
      </c>
      <c r="AZ16" s="20"/>
      <c r="BA16" s="20">
        <v>0</v>
      </c>
      <c r="BB16" s="20"/>
      <c r="BC16" s="29"/>
      <c r="BD16" s="29">
        <f t="shared" si="17"/>
        <v>0</v>
      </c>
      <c r="BE16" s="20"/>
      <c r="BF16" s="20">
        <f t="shared" si="18"/>
        <v>0</v>
      </c>
      <c r="BG16" s="20"/>
      <c r="BH16" s="20"/>
      <c r="BI16" s="20">
        <f t="shared" si="19"/>
        <v>0</v>
      </c>
      <c r="BJ16" s="20"/>
      <c r="BK16" s="20">
        <f t="shared" si="20"/>
        <v>0</v>
      </c>
      <c r="BL16" s="20"/>
      <c r="BM16" s="20"/>
      <c r="BN16" s="20">
        <f t="shared" si="21"/>
        <v>0</v>
      </c>
      <c r="BO16" s="20"/>
      <c r="BP16" s="20">
        <f t="shared" si="22"/>
        <v>0</v>
      </c>
      <c r="BQ16" s="20"/>
      <c r="BR16" s="20"/>
      <c r="BS16" s="20">
        <f t="shared" si="23"/>
        <v>0</v>
      </c>
      <c r="BT16" s="20"/>
      <c r="BU16" s="20">
        <f t="shared" si="24"/>
        <v>0</v>
      </c>
      <c r="BV16" s="20"/>
      <c r="BW16" s="20"/>
      <c r="BX16" s="20">
        <f t="shared" si="25"/>
        <v>0</v>
      </c>
      <c r="BY16" s="20"/>
      <c r="BZ16" s="20">
        <f t="shared" si="26"/>
        <v>0</v>
      </c>
      <c r="CA16" s="20"/>
      <c r="CB16" s="20"/>
      <c r="CC16" s="20">
        <f t="shared" si="27"/>
        <v>0</v>
      </c>
      <c r="CD16" s="20"/>
      <c r="CE16" s="20">
        <f t="shared" si="28"/>
        <v>0</v>
      </c>
      <c r="CF16" s="20"/>
      <c r="CG16" s="35"/>
    </row>
    <row r="17" spans="1:85" ht="17" x14ac:dyDescent="0.4">
      <c r="A17" s="1" t="s">
        <v>105</v>
      </c>
      <c r="B17" s="1" t="s">
        <v>167</v>
      </c>
      <c r="C17" s="1" t="s">
        <v>168</v>
      </c>
      <c r="D17" s="1" t="s">
        <v>180</v>
      </c>
      <c r="E17" s="115" t="s">
        <v>181</v>
      </c>
      <c r="F17" s="1"/>
      <c r="G17" s="1"/>
      <c r="H17" s="1"/>
      <c r="I17" s="1"/>
      <c r="J17" s="1"/>
      <c r="K17" s="1" t="s">
        <v>182</v>
      </c>
      <c r="L17" s="1" t="s">
        <v>172</v>
      </c>
      <c r="M17" s="1" t="s">
        <v>110</v>
      </c>
      <c r="N17" s="1" t="s">
        <v>110</v>
      </c>
      <c r="O17" s="1" t="s">
        <v>111</v>
      </c>
      <c r="P17" s="1" t="s">
        <v>277</v>
      </c>
      <c r="Q17" s="1" t="s">
        <v>163</v>
      </c>
      <c r="R17" s="1"/>
      <c r="S17" s="28"/>
      <c r="T17" s="4"/>
      <c r="U17" s="20">
        <f t="shared" si="2"/>
        <v>0</v>
      </c>
      <c r="V17" s="20">
        <f t="shared" si="3"/>
        <v>0</v>
      </c>
      <c r="W17" s="20">
        <f t="shared" si="4"/>
        <v>0</v>
      </c>
      <c r="X17" s="20">
        <f t="shared" si="5"/>
        <v>0</v>
      </c>
      <c r="Y17" s="20"/>
      <c r="Z17" s="20">
        <f t="shared" si="6"/>
        <v>0</v>
      </c>
      <c r="AA17" s="20"/>
      <c r="AB17" s="20">
        <f t="shared" si="7"/>
        <v>0</v>
      </c>
      <c r="AC17" s="20"/>
      <c r="AD17" s="20"/>
      <c r="AE17" s="20">
        <f t="shared" si="8"/>
        <v>0</v>
      </c>
      <c r="AF17" s="20"/>
      <c r="AG17" s="20">
        <f t="shared" si="9"/>
        <v>0</v>
      </c>
      <c r="AH17" s="20"/>
      <c r="AI17" s="20"/>
      <c r="AJ17" s="20">
        <f t="shared" si="10"/>
        <v>0</v>
      </c>
      <c r="AK17" s="20"/>
      <c r="AL17" s="20">
        <f t="shared" si="11"/>
        <v>0</v>
      </c>
      <c r="AM17" s="20"/>
      <c r="AN17" s="20"/>
      <c r="AO17" s="20">
        <f t="shared" si="12"/>
        <v>0</v>
      </c>
      <c r="AP17" s="20"/>
      <c r="AQ17" s="20">
        <f t="shared" si="13"/>
        <v>0</v>
      </c>
      <c r="AR17" s="20"/>
      <c r="AS17" s="20"/>
      <c r="AT17" s="20">
        <f t="shared" si="14"/>
        <v>0</v>
      </c>
      <c r="AU17" s="20"/>
      <c r="AV17" s="20">
        <f t="shared" si="15"/>
        <v>0</v>
      </c>
      <c r="AW17" s="20"/>
      <c r="AX17" s="20"/>
      <c r="AY17" s="20">
        <f t="shared" si="16"/>
        <v>0</v>
      </c>
      <c r="AZ17" s="20"/>
      <c r="BA17" s="20">
        <v>0</v>
      </c>
      <c r="BB17" s="20"/>
      <c r="BC17" s="29"/>
      <c r="BD17" s="29">
        <f t="shared" si="17"/>
        <v>0</v>
      </c>
      <c r="BE17" s="20"/>
      <c r="BF17" s="20">
        <f t="shared" si="18"/>
        <v>0</v>
      </c>
      <c r="BG17" s="20"/>
      <c r="BH17" s="20"/>
      <c r="BI17" s="20">
        <f t="shared" si="19"/>
        <v>0</v>
      </c>
      <c r="BJ17" s="20"/>
      <c r="BK17" s="20">
        <f t="shared" si="20"/>
        <v>0</v>
      </c>
      <c r="BL17" s="20"/>
      <c r="BM17" s="20"/>
      <c r="BN17" s="20">
        <f t="shared" si="21"/>
        <v>0</v>
      </c>
      <c r="BO17" s="20"/>
      <c r="BP17" s="20">
        <f t="shared" si="22"/>
        <v>0</v>
      </c>
      <c r="BQ17" s="20"/>
      <c r="BR17" s="20"/>
      <c r="BS17" s="20">
        <f t="shared" si="23"/>
        <v>0</v>
      </c>
      <c r="BT17" s="20"/>
      <c r="BU17" s="20">
        <f t="shared" si="24"/>
        <v>0</v>
      </c>
      <c r="BV17" s="20"/>
      <c r="BW17" s="20"/>
      <c r="BX17" s="20">
        <f t="shared" si="25"/>
        <v>0</v>
      </c>
      <c r="BY17" s="20"/>
      <c r="BZ17" s="20">
        <f t="shared" si="26"/>
        <v>0</v>
      </c>
      <c r="CA17" s="20"/>
      <c r="CB17" s="20"/>
      <c r="CC17" s="20">
        <f t="shared" si="27"/>
        <v>0</v>
      </c>
      <c r="CD17" s="20"/>
      <c r="CE17" s="20">
        <f t="shared" si="28"/>
        <v>0</v>
      </c>
      <c r="CF17" s="20"/>
      <c r="CG17" s="35"/>
    </row>
    <row r="18" spans="1:85" x14ac:dyDescent="0.4">
      <c r="A18" s="1" t="s">
        <v>105</v>
      </c>
      <c r="B18" s="1" t="s">
        <v>167</v>
      </c>
      <c r="C18" s="1" t="s">
        <v>168</v>
      </c>
      <c r="D18" s="1" t="s">
        <v>180</v>
      </c>
      <c r="E18" s="115" t="s">
        <v>181</v>
      </c>
      <c r="F18" s="1"/>
      <c r="G18" s="1"/>
      <c r="H18" s="1"/>
      <c r="I18" s="1"/>
      <c r="J18" s="1"/>
      <c r="K18" s="1" t="s">
        <v>182</v>
      </c>
      <c r="L18" s="1" t="s">
        <v>172</v>
      </c>
      <c r="M18" s="1" t="s">
        <v>110</v>
      </c>
      <c r="N18" s="1" t="s">
        <v>110</v>
      </c>
      <c r="O18" s="1" t="s">
        <v>111</v>
      </c>
      <c r="P18" s="1" t="s">
        <v>277</v>
      </c>
      <c r="Q18" s="1" t="s">
        <v>190</v>
      </c>
      <c r="R18" s="1"/>
      <c r="S18" s="28"/>
      <c r="T18" s="4"/>
      <c r="U18" s="20">
        <f t="shared" si="2"/>
        <v>0</v>
      </c>
      <c r="V18" s="20">
        <f t="shared" si="3"/>
        <v>0</v>
      </c>
      <c r="W18" s="20">
        <f t="shared" si="4"/>
        <v>0</v>
      </c>
      <c r="X18" s="20">
        <f t="shared" si="5"/>
        <v>0</v>
      </c>
      <c r="Y18" s="20"/>
      <c r="Z18" s="20">
        <f t="shared" si="6"/>
        <v>0</v>
      </c>
      <c r="AA18" s="20"/>
      <c r="AB18" s="20">
        <f t="shared" si="7"/>
        <v>0</v>
      </c>
      <c r="AC18" s="20"/>
      <c r="AD18" s="20"/>
      <c r="AE18" s="20">
        <f t="shared" si="8"/>
        <v>0</v>
      </c>
      <c r="AF18" s="20"/>
      <c r="AG18" s="20">
        <f t="shared" si="9"/>
        <v>0</v>
      </c>
      <c r="AH18" s="20"/>
      <c r="AI18" s="20"/>
      <c r="AJ18" s="20">
        <f t="shared" si="10"/>
        <v>0</v>
      </c>
      <c r="AK18" s="20"/>
      <c r="AL18" s="20">
        <f t="shared" si="11"/>
        <v>0</v>
      </c>
      <c r="AM18" s="20"/>
      <c r="AN18" s="20"/>
      <c r="AO18" s="20">
        <f t="shared" si="12"/>
        <v>0</v>
      </c>
      <c r="AP18" s="20"/>
      <c r="AQ18" s="20">
        <f t="shared" si="13"/>
        <v>0</v>
      </c>
      <c r="AR18" s="20"/>
      <c r="AS18" s="20"/>
      <c r="AT18" s="20">
        <f t="shared" si="14"/>
        <v>0</v>
      </c>
      <c r="AU18" s="20"/>
      <c r="AV18" s="20">
        <f t="shared" si="15"/>
        <v>0</v>
      </c>
      <c r="AW18" s="23">
        <v>20000</v>
      </c>
      <c r="AX18" s="20"/>
      <c r="AY18" s="20">
        <f t="shared" si="16"/>
        <v>0</v>
      </c>
      <c r="AZ18" s="20"/>
      <c r="BA18" s="20">
        <v>0</v>
      </c>
      <c r="BB18" s="20"/>
      <c r="BC18" s="29"/>
      <c r="BD18" s="29">
        <f t="shared" si="17"/>
        <v>0</v>
      </c>
      <c r="BE18" s="20"/>
      <c r="BF18" s="20">
        <f t="shared" si="18"/>
        <v>0</v>
      </c>
      <c r="BG18" s="20"/>
      <c r="BH18" s="20"/>
      <c r="BI18" s="20">
        <f t="shared" si="19"/>
        <v>0</v>
      </c>
      <c r="BJ18" s="20"/>
      <c r="BK18" s="20">
        <f t="shared" si="20"/>
        <v>0</v>
      </c>
      <c r="BL18" s="20"/>
      <c r="BM18" s="20"/>
      <c r="BN18" s="20">
        <f t="shared" si="21"/>
        <v>0</v>
      </c>
      <c r="BO18" s="20"/>
      <c r="BP18" s="20">
        <f t="shared" si="22"/>
        <v>0</v>
      </c>
      <c r="BQ18" s="20"/>
      <c r="BR18" s="20"/>
      <c r="BS18" s="20">
        <f t="shared" si="23"/>
        <v>0</v>
      </c>
      <c r="BT18" s="20"/>
      <c r="BU18" s="20">
        <f t="shared" si="24"/>
        <v>0</v>
      </c>
      <c r="BV18" s="20"/>
      <c r="BW18" s="20"/>
      <c r="BX18" s="20">
        <f t="shared" si="25"/>
        <v>0</v>
      </c>
      <c r="BY18" s="20"/>
      <c r="BZ18" s="20">
        <f t="shared" si="26"/>
        <v>0</v>
      </c>
      <c r="CA18" s="20"/>
      <c r="CB18" s="20"/>
      <c r="CC18" s="20">
        <f t="shared" si="27"/>
        <v>0</v>
      </c>
      <c r="CD18" s="20"/>
      <c r="CE18" s="20">
        <f t="shared" si="28"/>
        <v>0</v>
      </c>
      <c r="CF18" s="20"/>
      <c r="CG18" s="1"/>
    </row>
    <row r="19" spans="1:85" x14ac:dyDescent="0.4">
      <c r="A19" s="1" t="s">
        <v>105</v>
      </c>
      <c r="B19" s="1" t="s">
        <v>167</v>
      </c>
      <c r="C19" s="1" t="s">
        <v>168</v>
      </c>
      <c r="D19" s="1" t="s">
        <v>180</v>
      </c>
      <c r="E19" s="115" t="s">
        <v>181</v>
      </c>
      <c r="F19" s="1"/>
      <c r="G19" s="1"/>
      <c r="H19" s="1"/>
      <c r="I19" s="1"/>
      <c r="J19" s="1"/>
      <c r="K19" s="1" t="s">
        <v>182</v>
      </c>
      <c r="L19" s="1" t="s">
        <v>172</v>
      </c>
      <c r="M19" s="1" t="s">
        <v>110</v>
      </c>
      <c r="N19" s="1" t="s">
        <v>110</v>
      </c>
      <c r="O19" s="1" t="s">
        <v>111</v>
      </c>
      <c r="P19" s="1" t="s">
        <v>277</v>
      </c>
      <c r="Q19" s="1" t="s">
        <v>191</v>
      </c>
      <c r="R19" s="1"/>
      <c r="S19" s="28"/>
      <c r="T19" s="4"/>
      <c r="U19" s="20">
        <f t="shared" si="2"/>
        <v>0</v>
      </c>
      <c r="V19" s="20">
        <f t="shared" si="3"/>
        <v>0</v>
      </c>
      <c r="W19" s="20">
        <f t="shared" si="4"/>
        <v>0</v>
      </c>
      <c r="X19" s="20">
        <f t="shared" si="5"/>
        <v>0</v>
      </c>
      <c r="Y19" s="20"/>
      <c r="Z19" s="20">
        <f t="shared" si="6"/>
        <v>0</v>
      </c>
      <c r="AA19" s="20"/>
      <c r="AB19" s="20">
        <f t="shared" si="7"/>
        <v>0</v>
      </c>
      <c r="AC19" s="20"/>
      <c r="AD19" s="20"/>
      <c r="AE19" s="20">
        <f t="shared" si="8"/>
        <v>0</v>
      </c>
      <c r="AF19" s="20"/>
      <c r="AG19" s="20">
        <f t="shared" si="9"/>
        <v>0</v>
      </c>
      <c r="AH19" s="20"/>
      <c r="AI19" s="20"/>
      <c r="AJ19" s="20">
        <f t="shared" si="10"/>
        <v>0</v>
      </c>
      <c r="AK19" s="20"/>
      <c r="AL19" s="20">
        <f t="shared" si="11"/>
        <v>0</v>
      </c>
      <c r="AM19" s="20"/>
      <c r="AN19" s="20"/>
      <c r="AO19" s="20">
        <f t="shared" si="12"/>
        <v>0</v>
      </c>
      <c r="AP19" s="20"/>
      <c r="AQ19" s="20">
        <f t="shared" si="13"/>
        <v>0</v>
      </c>
      <c r="AR19" s="20"/>
      <c r="AS19" s="20"/>
      <c r="AT19" s="20">
        <f t="shared" si="14"/>
        <v>0</v>
      </c>
      <c r="AU19" s="20"/>
      <c r="AV19" s="20">
        <f t="shared" si="15"/>
        <v>0</v>
      </c>
      <c r="AW19" s="23">
        <v>20000</v>
      </c>
      <c r="AX19" s="20"/>
      <c r="AY19" s="20">
        <f t="shared" si="16"/>
        <v>0</v>
      </c>
      <c r="AZ19" s="20"/>
      <c r="BA19" s="20">
        <v>0</v>
      </c>
      <c r="BB19" s="20"/>
      <c r="BC19" s="29"/>
      <c r="BD19" s="29">
        <f t="shared" si="17"/>
        <v>0</v>
      </c>
      <c r="BE19" s="20"/>
      <c r="BF19" s="20">
        <f t="shared" si="18"/>
        <v>0</v>
      </c>
      <c r="BG19" s="20"/>
      <c r="BH19" s="20"/>
      <c r="BI19" s="20">
        <f t="shared" si="19"/>
        <v>0</v>
      </c>
      <c r="BJ19" s="20"/>
      <c r="BK19" s="20">
        <f t="shared" si="20"/>
        <v>0</v>
      </c>
      <c r="BL19" s="20"/>
      <c r="BM19" s="20"/>
      <c r="BN19" s="20">
        <f t="shared" si="21"/>
        <v>0</v>
      </c>
      <c r="BO19" s="20"/>
      <c r="BP19" s="20">
        <f t="shared" si="22"/>
        <v>0</v>
      </c>
      <c r="BQ19" s="20"/>
      <c r="BR19" s="20"/>
      <c r="BS19" s="20">
        <f t="shared" si="23"/>
        <v>0</v>
      </c>
      <c r="BT19" s="20"/>
      <c r="BU19" s="20">
        <f t="shared" si="24"/>
        <v>0</v>
      </c>
      <c r="BV19" s="20"/>
      <c r="BW19" s="20"/>
      <c r="BX19" s="20">
        <f t="shared" si="25"/>
        <v>0</v>
      </c>
      <c r="BY19" s="20"/>
      <c r="BZ19" s="20">
        <f t="shared" si="26"/>
        <v>0</v>
      </c>
      <c r="CA19" s="20"/>
      <c r="CB19" s="20"/>
      <c r="CC19" s="20">
        <f t="shared" si="27"/>
        <v>0</v>
      </c>
      <c r="CD19" s="20"/>
      <c r="CE19" s="20">
        <f t="shared" si="28"/>
        <v>0</v>
      </c>
      <c r="CF19" s="20"/>
      <c r="CG19" s="1"/>
    </row>
    <row r="20" spans="1:85" x14ac:dyDescent="0.4">
      <c r="A20" s="1" t="s">
        <v>105</v>
      </c>
      <c r="B20" s="1" t="s">
        <v>167</v>
      </c>
      <c r="C20" s="1" t="s">
        <v>168</v>
      </c>
      <c r="D20" s="1" t="s">
        <v>192</v>
      </c>
      <c r="E20" s="115" t="s">
        <v>193</v>
      </c>
      <c r="F20" s="1" t="s">
        <v>140</v>
      </c>
      <c r="G20" s="1" t="s">
        <v>142</v>
      </c>
      <c r="H20" s="1" t="s">
        <v>193</v>
      </c>
      <c r="I20" s="1" t="s">
        <v>140</v>
      </c>
      <c r="J20" s="1" t="s">
        <v>142</v>
      </c>
      <c r="K20" s="1" t="s">
        <v>182</v>
      </c>
      <c r="L20" s="5" t="s">
        <v>171</v>
      </c>
      <c r="M20" s="1" t="s">
        <v>82</v>
      </c>
      <c r="N20" s="1" t="s">
        <v>82</v>
      </c>
      <c r="O20" s="1" t="s">
        <v>106</v>
      </c>
      <c r="P20" s="1" t="s">
        <v>81</v>
      </c>
      <c r="Q20" s="1" t="s">
        <v>125</v>
      </c>
      <c r="R20" s="1" t="s">
        <v>80</v>
      </c>
      <c r="S20" s="3">
        <v>0.3</v>
      </c>
      <c r="T20" s="4"/>
      <c r="U20" s="20">
        <f t="shared" ref="U20:U22" si="29">+(Y20+AD20+AI20+AN20+AS20+AX20+BC20+BH20+BM20+BR20+BW20+CB20)/1000</f>
        <v>120</v>
      </c>
      <c r="V20" s="20">
        <f t="shared" ref="V20:V22" si="30">+(Z20+AE20+AJ20+AO20+AT20+AY20+BD20+BI20+BN20+BS20+BX20+CC20)/1000</f>
        <v>36</v>
      </c>
      <c r="W20" s="20">
        <f t="shared" ref="W20:W22" si="31">+(+BF20+BK20+BP20+BU20+BZ20+CE20)</f>
        <v>0</v>
      </c>
      <c r="X20" s="20">
        <f t="shared" ref="X20:X22" si="32">+(+BG20+BL20+BQ20+BV20+CA20+CF20)</f>
        <v>0</v>
      </c>
      <c r="Y20" s="20">
        <v>10000</v>
      </c>
      <c r="Z20" s="20">
        <f t="shared" ref="Z20:Z22" si="33">Y20*S20</f>
        <v>3000</v>
      </c>
      <c r="AA20" s="20"/>
      <c r="AB20" s="20">
        <f t="shared" ref="AB20:AB22" si="34">AA20*S20</f>
        <v>0</v>
      </c>
      <c r="AC20" s="20"/>
      <c r="AD20" s="20">
        <v>10000</v>
      </c>
      <c r="AE20" s="20">
        <f t="shared" ref="AE20:AE22" si="35">AD20*S20</f>
        <v>3000</v>
      </c>
      <c r="AF20" s="20"/>
      <c r="AG20" s="20">
        <f t="shared" ref="AG20:AG22" si="36">AF20*S20</f>
        <v>0</v>
      </c>
      <c r="AH20" s="20"/>
      <c r="AI20" s="20">
        <v>10000</v>
      </c>
      <c r="AJ20" s="20">
        <f t="shared" ref="AJ20:AJ22" si="37">AI20*S20</f>
        <v>3000</v>
      </c>
      <c r="AK20" s="20"/>
      <c r="AL20" s="20">
        <f t="shared" ref="AL20:AL22" si="38">AK20*S20</f>
        <v>0</v>
      </c>
      <c r="AM20" s="20"/>
      <c r="AN20" s="20">
        <v>10000</v>
      </c>
      <c r="AO20" s="20">
        <f t="shared" ref="AO20:AO22" si="39">AN20*S20</f>
        <v>3000</v>
      </c>
      <c r="AP20" s="20"/>
      <c r="AQ20" s="20">
        <f t="shared" ref="AQ20:AQ22" si="40">AP20*S20</f>
        <v>0</v>
      </c>
      <c r="AR20" s="20"/>
      <c r="AS20" s="20">
        <v>10000</v>
      </c>
      <c r="AT20" s="20">
        <f t="shared" ref="AT20:AT22" si="41">AS20*S20</f>
        <v>3000</v>
      </c>
      <c r="AU20" s="20"/>
      <c r="AV20" s="20">
        <f t="shared" ref="AV20:AV22" si="42">AU20*S20</f>
        <v>0</v>
      </c>
      <c r="AW20" s="20"/>
      <c r="AX20" s="20">
        <v>10000</v>
      </c>
      <c r="AY20" s="20">
        <f t="shared" ref="AY20:AY22" si="43">AX20*S20</f>
        <v>3000</v>
      </c>
      <c r="AZ20" s="20"/>
      <c r="BA20" s="20">
        <v>0</v>
      </c>
      <c r="BB20" s="20"/>
      <c r="BC20" s="29">
        <v>10000</v>
      </c>
      <c r="BD20" s="29">
        <f t="shared" ref="BD20:BD22" si="44">BC20*S20</f>
        <v>3000</v>
      </c>
      <c r="BE20" s="20"/>
      <c r="BF20" s="20">
        <f t="shared" ref="BF20:BF22" si="45">BE20*S20</f>
        <v>0</v>
      </c>
      <c r="BG20" s="20"/>
      <c r="BH20" s="20">
        <v>10000</v>
      </c>
      <c r="BI20" s="20">
        <f t="shared" ref="BI20:BI22" si="46">BH20*S20</f>
        <v>3000</v>
      </c>
      <c r="BJ20" s="20"/>
      <c r="BK20" s="20">
        <f t="shared" ref="BK20:BK22" si="47">BJ20*S20</f>
        <v>0</v>
      </c>
      <c r="BL20" s="22"/>
      <c r="BM20" s="20">
        <v>10000</v>
      </c>
      <c r="BN20" s="20">
        <f t="shared" ref="BN20:BN22" si="48">BM20*S20</f>
        <v>3000</v>
      </c>
      <c r="BO20" s="20"/>
      <c r="BP20" s="20">
        <f t="shared" ref="BP20:BP22" si="49">BO20*S20</f>
        <v>0</v>
      </c>
      <c r="BQ20" s="20"/>
      <c r="BR20" s="20">
        <v>10000</v>
      </c>
      <c r="BS20" s="20">
        <f t="shared" ref="BS20:BS22" si="50">BR20*S20</f>
        <v>3000</v>
      </c>
      <c r="BT20" s="20"/>
      <c r="BU20" s="20">
        <f t="shared" ref="BU20:BU22" si="51">BT20*S20</f>
        <v>0</v>
      </c>
      <c r="BV20" s="20"/>
      <c r="BW20" s="20">
        <v>10000</v>
      </c>
      <c r="BX20" s="20">
        <f t="shared" ref="BX20:BX22" si="52">BW20*S20</f>
        <v>3000</v>
      </c>
      <c r="BY20" s="20"/>
      <c r="BZ20" s="20">
        <f t="shared" ref="BZ20:BZ22" si="53">BY20*S20</f>
        <v>0</v>
      </c>
      <c r="CA20" s="20"/>
      <c r="CB20" s="20">
        <v>10000</v>
      </c>
      <c r="CC20" s="20">
        <f t="shared" ref="CC20:CC22" si="54">CB20*S20</f>
        <v>3000</v>
      </c>
      <c r="CD20" s="20"/>
      <c r="CE20" s="20">
        <f t="shared" ref="CE20:CE22" si="55">CD20*S20</f>
        <v>0</v>
      </c>
      <c r="CF20" s="20"/>
      <c r="CG20" s="1"/>
    </row>
    <row r="21" spans="1:85" x14ac:dyDescent="0.4">
      <c r="A21" s="1" t="s">
        <v>105</v>
      </c>
      <c r="B21" s="1" t="s">
        <v>167</v>
      </c>
      <c r="C21" s="1" t="s">
        <v>168</v>
      </c>
      <c r="D21" s="1" t="s">
        <v>192</v>
      </c>
      <c r="E21" s="115" t="s">
        <v>193</v>
      </c>
      <c r="F21" s="1"/>
      <c r="G21" s="1"/>
      <c r="H21" s="1"/>
      <c r="I21" s="1"/>
      <c r="J21" s="1"/>
      <c r="K21" s="1" t="s">
        <v>182</v>
      </c>
      <c r="L21" s="5" t="s">
        <v>171</v>
      </c>
      <c r="M21" s="1" t="s">
        <v>82</v>
      </c>
      <c r="N21" s="1" t="s">
        <v>82</v>
      </c>
      <c r="O21" s="1" t="s">
        <v>106</v>
      </c>
      <c r="P21" s="1" t="s">
        <v>81</v>
      </c>
      <c r="Q21" s="1" t="s">
        <v>145</v>
      </c>
      <c r="R21" s="1"/>
      <c r="S21" s="3"/>
      <c r="T21" s="4"/>
      <c r="U21" s="20">
        <f t="shared" si="29"/>
        <v>0</v>
      </c>
      <c r="V21" s="20">
        <f t="shared" si="30"/>
        <v>0</v>
      </c>
      <c r="W21" s="20">
        <f t="shared" si="31"/>
        <v>0</v>
      </c>
      <c r="X21" s="20">
        <f t="shared" si="32"/>
        <v>10000</v>
      </c>
      <c r="Y21" s="20"/>
      <c r="Z21" s="20">
        <f t="shared" si="33"/>
        <v>0</v>
      </c>
      <c r="AA21" s="20"/>
      <c r="AB21" s="20">
        <f t="shared" si="34"/>
        <v>0</v>
      </c>
      <c r="AC21" s="20"/>
      <c r="AD21" s="20"/>
      <c r="AE21" s="20">
        <f t="shared" si="35"/>
        <v>0</v>
      </c>
      <c r="AF21" s="20"/>
      <c r="AG21" s="20">
        <f t="shared" si="36"/>
        <v>0</v>
      </c>
      <c r="AH21" s="20"/>
      <c r="AI21" s="20"/>
      <c r="AJ21" s="20">
        <f t="shared" si="37"/>
        <v>0</v>
      </c>
      <c r="AK21" s="20"/>
      <c r="AL21" s="20">
        <f t="shared" si="38"/>
        <v>0</v>
      </c>
      <c r="AM21" s="20"/>
      <c r="AN21" s="20"/>
      <c r="AO21" s="20">
        <f t="shared" si="39"/>
        <v>0</v>
      </c>
      <c r="AP21" s="20"/>
      <c r="AQ21" s="20">
        <f t="shared" si="40"/>
        <v>0</v>
      </c>
      <c r="AR21" s="20"/>
      <c r="AS21" s="20"/>
      <c r="AT21" s="20">
        <f t="shared" si="41"/>
        <v>0</v>
      </c>
      <c r="AU21" s="20"/>
      <c r="AV21" s="20">
        <f t="shared" si="42"/>
        <v>0</v>
      </c>
      <c r="AW21" s="20"/>
      <c r="AX21" s="20"/>
      <c r="AY21" s="20">
        <f t="shared" si="43"/>
        <v>0</v>
      </c>
      <c r="AZ21" s="20"/>
      <c r="BA21" s="20">
        <v>0</v>
      </c>
      <c r="BB21" s="20"/>
      <c r="BC21" s="29"/>
      <c r="BD21" s="29">
        <f t="shared" si="44"/>
        <v>0</v>
      </c>
      <c r="BE21" s="20"/>
      <c r="BF21" s="20">
        <f t="shared" si="45"/>
        <v>0</v>
      </c>
      <c r="BG21" s="20"/>
      <c r="BH21" s="20"/>
      <c r="BI21" s="20">
        <f t="shared" si="46"/>
        <v>0</v>
      </c>
      <c r="BJ21" s="20"/>
      <c r="BK21" s="20">
        <f t="shared" si="47"/>
        <v>0</v>
      </c>
      <c r="BL21" s="34">
        <v>7500</v>
      </c>
      <c r="BM21" s="20"/>
      <c r="BN21" s="20">
        <f t="shared" si="48"/>
        <v>0</v>
      </c>
      <c r="BO21" s="20"/>
      <c r="BP21" s="20">
        <f t="shared" si="49"/>
        <v>0</v>
      </c>
      <c r="BQ21" s="100">
        <v>2500</v>
      </c>
      <c r="BR21" s="20"/>
      <c r="BS21" s="20">
        <f t="shared" si="50"/>
        <v>0</v>
      </c>
      <c r="BT21" s="20"/>
      <c r="BU21" s="20">
        <f t="shared" si="51"/>
        <v>0</v>
      </c>
      <c r="BV21" s="20"/>
      <c r="BW21" s="20"/>
      <c r="BX21" s="20">
        <f t="shared" si="52"/>
        <v>0</v>
      </c>
      <c r="BY21" s="20"/>
      <c r="BZ21" s="20">
        <f t="shared" si="53"/>
        <v>0</v>
      </c>
      <c r="CA21" s="20"/>
      <c r="CB21" s="20"/>
      <c r="CC21" s="20">
        <f t="shared" si="54"/>
        <v>0</v>
      </c>
      <c r="CD21" s="20"/>
      <c r="CE21" s="20">
        <f t="shared" si="55"/>
        <v>0</v>
      </c>
      <c r="CF21" s="20"/>
      <c r="CG21" s="1"/>
    </row>
    <row r="22" spans="1:85" x14ac:dyDescent="0.4">
      <c r="A22" s="1" t="s">
        <v>105</v>
      </c>
      <c r="B22" s="1" t="s">
        <v>167</v>
      </c>
      <c r="C22" s="1" t="s">
        <v>168</v>
      </c>
      <c r="D22" s="1" t="s">
        <v>192</v>
      </c>
      <c r="E22" s="115" t="s">
        <v>193</v>
      </c>
      <c r="F22" s="1" t="s">
        <v>140</v>
      </c>
      <c r="G22" s="1" t="s">
        <v>142</v>
      </c>
      <c r="H22" s="1"/>
      <c r="I22" s="1" t="s">
        <v>140</v>
      </c>
      <c r="J22" s="1" t="s">
        <v>142</v>
      </c>
      <c r="K22" s="1" t="s">
        <v>182</v>
      </c>
      <c r="L22" s="5" t="s">
        <v>171</v>
      </c>
      <c r="M22" s="1" t="s">
        <v>122</v>
      </c>
      <c r="N22" s="1" t="s">
        <v>122</v>
      </c>
      <c r="O22" s="1" t="s">
        <v>89</v>
      </c>
      <c r="P22" s="1" t="s">
        <v>113</v>
      </c>
      <c r="Q22" s="1" t="s">
        <v>194</v>
      </c>
      <c r="R22" s="1" t="s">
        <v>80</v>
      </c>
      <c r="S22" s="3">
        <v>6.3E-2</v>
      </c>
      <c r="T22" s="4"/>
      <c r="U22" s="20">
        <f t="shared" si="29"/>
        <v>75</v>
      </c>
      <c r="V22" s="20">
        <f t="shared" si="30"/>
        <v>4.7249999999999996</v>
      </c>
      <c r="W22" s="20">
        <f t="shared" si="31"/>
        <v>0</v>
      </c>
      <c r="X22" s="20">
        <f t="shared" si="32"/>
        <v>0</v>
      </c>
      <c r="Y22" s="20"/>
      <c r="Z22" s="20">
        <f t="shared" si="33"/>
        <v>0</v>
      </c>
      <c r="AA22" s="20"/>
      <c r="AB22" s="20">
        <f t="shared" si="34"/>
        <v>0</v>
      </c>
      <c r="AC22" s="20"/>
      <c r="AD22" s="20"/>
      <c r="AE22" s="20">
        <f t="shared" si="35"/>
        <v>0</v>
      </c>
      <c r="AF22" s="20"/>
      <c r="AG22" s="20">
        <f t="shared" si="36"/>
        <v>0</v>
      </c>
      <c r="AH22" s="20"/>
      <c r="AI22" s="20">
        <v>25000</v>
      </c>
      <c r="AJ22" s="20">
        <f t="shared" si="37"/>
        <v>1575</v>
      </c>
      <c r="AK22" s="20"/>
      <c r="AL22" s="20">
        <f t="shared" si="38"/>
        <v>0</v>
      </c>
      <c r="AM22" s="20"/>
      <c r="AN22" s="20"/>
      <c r="AO22" s="20">
        <f t="shared" si="39"/>
        <v>0</v>
      </c>
      <c r="AP22" s="20"/>
      <c r="AQ22" s="20">
        <f t="shared" si="40"/>
        <v>0</v>
      </c>
      <c r="AR22" s="20"/>
      <c r="AS22" s="20"/>
      <c r="AT22" s="20">
        <f t="shared" si="41"/>
        <v>0</v>
      </c>
      <c r="AU22" s="20"/>
      <c r="AV22" s="20">
        <f t="shared" si="42"/>
        <v>0</v>
      </c>
      <c r="AW22" s="20"/>
      <c r="AX22" s="20">
        <v>25000</v>
      </c>
      <c r="AY22" s="20">
        <f t="shared" si="43"/>
        <v>1575</v>
      </c>
      <c r="AZ22" s="20"/>
      <c r="BA22" s="20">
        <v>0</v>
      </c>
      <c r="BB22" s="20"/>
      <c r="BC22" s="29"/>
      <c r="BD22" s="29">
        <f t="shared" si="44"/>
        <v>0</v>
      </c>
      <c r="BE22" s="20"/>
      <c r="BF22" s="20">
        <f t="shared" si="45"/>
        <v>0</v>
      </c>
      <c r="BG22" s="20"/>
      <c r="BH22" s="20"/>
      <c r="BI22" s="20">
        <f t="shared" si="46"/>
        <v>0</v>
      </c>
      <c r="BJ22" s="20"/>
      <c r="BK22" s="20">
        <f t="shared" si="47"/>
        <v>0</v>
      </c>
      <c r="BL22" s="20"/>
      <c r="BM22" s="20">
        <v>25000</v>
      </c>
      <c r="BN22" s="20">
        <f t="shared" si="48"/>
        <v>1575</v>
      </c>
      <c r="BO22" s="20"/>
      <c r="BP22" s="20">
        <f t="shared" si="49"/>
        <v>0</v>
      </c>
      <c r="BQ22" s="20"/>
      <c r="BR22" s="20"/>
      <c r="BS22" s="20">
        <f t="shared" si="50"/>
        <v>0</v>
      </c>
      <c r="BT22" s="20"/>
      <c r="BU22" s="20">
        <f t="shared" si="51"/>
        <v>0</v>
      </c>
      <c r="BV22" s="20"/>
      <c r="BW22" s="20"/>
      <c r="BX22" s="20">
        <f t="shared" si="52"/>
        <v>0</v>
      </c>
      <c r="BY22" s="20"/>
      <c r="BZ22" s="20">
        <f t="shared" si="53"/>
        <v>0</v>
      </c>
      <c r="CA22" s="20"/>
      <c r="CB22" s="20"/>
      <c r="CC22" s="20">
        <f t="shared" si="54"/>
        <v>0</v>
      </c>
      <c r="CD22" s="20"/>
      <c r="CE22" s="20">
        <f t="shared" si="55"/>
        <v>0</v>
      </c>
      <c r="CF22" s="20"/>
      <c r="CG22" s="1"/>
    </row>
    <row r="23" spans="1:85" x14ac:dyDescent="0.4">
      <c r="A23" s="1" t="s">
        <v>105</v>
      </c>
      <c r="B23" s="1" t="s">
        <v>167</v>
      </c>
      <c r="C23" s="1" t="s">
        <v>168</v>
      </c>
      <c r="D23" s="1" t="s">
        <v>195</v>
      </c>
      <c r="E23" s="116" t="s">
        <v>196</v>
      </c>
      <c r="F23" s="1"/>
      <c r="G23" s="1"/>
      <c r="H23" s="1"/>
      <c r="I23" s="1"/>
      <c r="J23" s="1"/>
      <c r="K23" s="1" t="s">
        <v>182</v>
      </c>
      <c r="L23" s="5" t="s">
        <v>146</v>
      </c>
      <c r="M23" s="1" t="s">
        <v>115</v>
      </c>
      <c r="N23" s="1" t="s">
        <v>115</v>
      </c>
      <c r="O23" s="1" t="s">
        <v>116</v>
      </c>
      <c r="P23" s="1" t="s">
        <v>92</v>
      </c>
      <c r="Q23" s="1" t="s">
        <v>197</v>
      </c>
      <c r="R23" s="1"/>
      <c r="S23" s="3"/>
      <c r="T23" s="4"/>
      <c r="U23" s="20">
        <f t="shared" ref="U23:U24" si="56">+(Y23+AD23+AI23+AN23+AS23+AX23+BC23+BH23+BM23+BR23+BW23+CB23)/1000</f>
        <v>0</v>
      </c>
      <c r="V23" s="20">
        <f t="shared" ref="V23:V24" si="57">+(Z23+AE23+AJ23+AO23+AT23+AY23+BD23+BI23+BN23+BS23+BX23+CC23)/1000</f>
        <v>0</v>
      </c>
      <c r="W23" s="20">
        <f t="shared" ref="W23:W24" si="58">+(+BF23+BK23+BP23+BU23+BZ23+CE23)</f>
        <v>0</v>
      </c>
      <c r="X23" s="20">
        <f t="shared" ref="X23:X24" si="59">+(+BG23+BL23+BQ23+BV23+CA23+CF23)</f>
        <v>0</v>
      </c>
      <c r="Y23" s="20"/>
      <c r="Z23" s="20">
        <f t="shared" ref="Z23:Z24" si="60">Y23*S23</f>
        <v>0</v>
      </c>
      <c r="AA23" s="20"/>
      <c r="AB23" s="20">
        <f t="shared" ref="AB23:AB24" si="61">AA23*S23</f>
        <v>0</v>
      </c>
      <c r="AC23" s="20">
        <v>5000</v>
      </c>
      <c r="AD23" s="20"/>
      <c r="AE23" s="20">
        <f t="shared" ref="AE23:AE24" si="62">AD23*S23</f>
        <v>0</v>
      </c>
      <c r="AF23" s="20"/>
      <c r="AG23" s="20">
        <f t="shared" ref="AG23:AG24" si="63">AF23*S23</f>
        <v>0</v>
      </c>
      <c r="AH23" s="20"/>
      <c r="AI23" s="20"/>
      <c r="AJ23" s="20">
        <f t="shared" ref="AJ23:AJ24" si="64">AI23*S23</f>
        <v>0</v>
      </c>
      <c r="AK23" s="20"/>
      <c r="AL23" s="20">
        <f t="shared" ref="AL23:AL24" si="65">AK23*S23</f>
        <v>0</v>
      </c>
      <c r="AM23" s="20"/>
      <c r="AN23" s="20"/>
      <c r="AO23" s="20">
        <f t="shared" ref="AO23:AO24" si="66">AN23*S23</f>
        <v>0</v>
      </c>
      <c r="AP23" s="20"/>
      <c r="AQ23" s="20">
        <f t="shared" ref="AQ23:AQ24" si="67">AP23*S23</f>
        <v>0</v>
      </c>
      <c r="AR23" s="20"/>
      <c r="AS23" s="20"/>
      <c r="AT23" s="20">
        <f t="shared" ref="AT23:AT24" si="68">AS23*S23</f>
        <v>0</v>
      </c>
      <c r="AU23" s="20"/>
      <c r="AV23" s="20">
        <f t="shared" ref="AV23:AV24" si="69">AU23*S23</f>
        <v>0</v>
      </c>
      <c r="AW23" s="20"/>
      <c r="AX23" s="20"/>
      <c r="AY23" s="20">
        <f t="shared" ref="AY23:AY24" si="70">AX23*S23</f>
        <v>0</v>
      </c>
      <c r="AZ23" s="20"/>
      <c r="BA23" s="20">
        <v>0</v>
      </c>
      <c r="BB23" s="20"/>
      <c r="BC23" s="29"/>
      <c r="BD23" s="29">
        <f t="shared" ref="BD23:BD24" si="71">BC23*S23</f>
        <v>0</v>
      </c>
      <c r="BE23" s="20"/>
      <c r="BF23" s="20">
        <f t="shared" ref="BF23:BF24" si="72">BE23*S23</f>
        <v>0</v>
      </c>
      <c r="BG23" s="20"/>
      <c r="BH23" s="20"/>
      <c r="BI23" s="20">
        <f t="shared" ref="BI23:BI24" si="73">BH23*S23</f>
        <v>0</v>
      </c>
      <c r="BJ23" s="20"/>
      <c r="BK23" s="20">
        <f t="shared" ref="BK23:BK24" si="74">BJ23*S23</f>
        <v>0</v>
      </c>
      <c r="BL23" s="20"/>
      <c r="BM23" s="20"/>
      <c r="BN23" s="20">
        <f t="shared" ref="BN23:BN24" si="75">BM23*S23</f>
        <v>0</v>
      </c>
      <c r="BO23" s="20"/>
      <c r="BP23" s="20">
        <f t="shared" ref="BP23:BP24" si="76">BO23*S23</f>
        <v>0</v>
      </c>
      <c r="BQ23" s="20"/>
      <c r="BR23" s="20"/>
      <c r="BS23" s="20">
        <f t="shared" ref="BS23:BS24" si="77">BR23*S23</f>
        <v>0</v>
      </c>
      <c r="BT23" s="20"/>
      <c r="BU23" s="20">
        <f t="shared" ref="BU23:BU24" si="78">BT23*S23</f>
        <v>0</v>
      </c>
      <c r="BV23" s="20"/>
      <c r="BW23" s="20"/>
      <c r="BX23" s="20">
        <f t="shared" ref="BX23:BX24" si="79">BW23*S23</f>
        <v>0</v>
      </c>
      <c r="BY23" s="20"/>
      <c r="BZ23" s="20">
        <f t="shared" ref="BZ23:BZ24" si="80">BY23*S23</f>
        <v>0</v>
      </c>
      <c r="CA23" s="20"/>
      <c r="CB23" s="20"/>
      <c r="CC23" s="20">
        <f t="shared" ref="CC23:CC24" si="81">CB23*S23</f>
        <v>0</v>
      </c>
      <c r="CD23" s="20"/>
      <c r="CE23" s="20">
        <f t="shared" ref="CE23:CE24" si="82">CD23*S23</f>
        <v>0</v>
      </c>
      <c r="CF23" s="20"/>
      <c r="CG23" s="1"/>
    </row>
    <row r="24" spans="1:85" x14ac:dyDescent="0.4">
      <c r="A24" s="1" t="s">
        <v>105</v>
      </c>
      <c r="B24" s="1" t="s">
        <v>167</v>
      </c>
      <c r="C24" s="1" t="s">
        <v>168</v>
      </c>
      <c r="D24" s="1" t="s">
        <v>195</v>
      </c>
      <c r="E24" s="115" t="s">
        <v>196</v>
      </c>
      <c r="F24" s="1"/>
      <c r="G24" s="1"/>
      <c r="H24" s="1"/>
      <c r="I24" s="1"/>
      <c r="J24" s="1"/>
      <c r="K24" s="1" t="s">
        <v>182</v>
      </c>
      <c r="L24" s="5" t="s">
        <v>146</v>
      </c>
      <c r="M24" s="1" t="s">
        <v>115</v>
      </c>
      <c r="N24" s="1" t="s">
        <v>115</v>
      </c>
      <c r="O24" s="1" t="s">
        <v>116</v>
      </c>
      <c r="P24" s="1" t="s">
        <v>92</v>
      </c>
      <c r="Q24" s="1" t="s">
        <v>198</v>
      </c>
      <c r="R24" s="1"/>
      <c r="S24" s="3"/>
      <c r="T24" s="4"/>
      <c r="U24" s="20">
        <f t="shared" si="56"/>
        <v>0</v>
      </c>
      <c r="V24" s="20">
        <f t="shared" si="57"/>
        <v>0</v>
      </c>
      <c r="W24" s="20">
        <f t="shared" si="58"/>
        <v>0</v>
      </c>
      <c r="X24" s="20">
        <f t="shared" si="59"/>
        <v>0</v>
      </c>
      <c r="Y24" s="20"/>
      <c r="Z24" s="20">
        <f t="shared" si="60"/>
        <v>0</v>
      </c>
      <c r="AA24" s="20"/>
      <c r="AB24" s="20">
        <f t="shared" si="61"/>
        <v>0</v>
      </c>
      <c r="AC24" s="20">
        <v>40000</v>
      </c>
      <c r="AD24" s="20"/>
      <c r="AE24" s="20">
        <f t="shared" si="62"/>
        <v>0</v>
      </c>
      <c r="AF24" s="20"/>
      <c r="AG24" s="20">
        <f t="shared" si="63"/>
        <v>0</v>
      </c>
      <c r="AH24" s="20"/>
      <c r="AI24" s="20"/>
      <c r="AJ24" s="20">
        <f t="shared" si="64"/>
        <v>0</v>
      </c>
      <c r="AK24" s="20"/>
      <c r="AL24" s="20">
        <f t="shared" si="65"/>
        <v>0</v>
      </c>
      <c r="AM24" s="20"/>
      <c r="AN24" s="20"/>
      <c r="AO24" s="20">
        <f t="shared" si="66"/>
        <v>0</v>
      </c>
      <c r="AP24" s="20"/>
      <c r="AQ24" s="20">
        <f t="shared" si="67"/>
        <v>0</v>
      </c>
      <c r="AR24" s="20"/>
      <c r="AS24" s="20"/>
      <c r="AT24" s="20">
        <f t="shared" si="68"/>
        <v>0</v>
      </c>
      <c r="AU24" s="20"/>
      <c r="AV24" s="20">
        <f t="shared" si="69"/>
        <v>0</v>
      </c>
      <c r="AW24" s="20"/>
      <c r="AX24" s="20"/>
      <c r="AY24" s="20">
        <f t="shared" si="70"/>
        <v>0</v>
      </c>
      <c r="AZ24" s="20"/>
      <c r="BA24" s="20">
        <v>0</v>
      </c>
      <c r="BB24" s="20"/>
      <c r="BC24" s="29"/>
      <c r="BD24" s="29">
        <f t="shared" si="71"/>
        <v>0</v>
      </c>
      <c r="BE24" s="20"/>
      <c r="BF24" s="20">
        <f t="shared" si="72"/>
        <v>0</v>
      </c>
      <c r="BG24" s="20"/>
      <c r="BH24" s="20"/>
      <c r="BI24" s="20">
        <f t="shared" si="73"/>
        <v>0</v>
      </c>
      <c r="BJ24" s="20"/>
      <c r="BK24" s="20">
        <f t="shared" si="74"/>
        <v>0</v>
      </c>
      <c r="BL24" s="20"/>
      <c r="BM24" s="20"/>
      <c r="BN24" s="20">
        <f t="shared" si="75"/>
        <v>0</v>
      </c>
      <c r="BO24" s="20"/>
      <c r="BP24" s="20">
        <f t="shared" si="76"/>
        <v>0</v>
      </c>
      <c r="BQ24" s="20"/>
      <c r="BR24" s="20"/>
      <c r="BS24" s="20">
        <f t="shared" si="77"/>
        <v>0</v>
      </c>
      <c r="BT24" s="20"/>
      <c r="BU24" s="20">
        <f t="shared" si="78"/>
        <v>0</v>
      </c>
      <c r="BV24" s="20"/>
      <c r="BW24" s="20"/>
      <c r="BX24" s="20">
        <f t="shared" si="79"/>
        <v>0</v>
      </c>
      <c r="BY24" s="20"/>
      <c r="BZ24" s="20">
        <f t="shared" si="80"/>
        <v>0</v>
      </c>
      <c r="CA24" s="20"/>
      <c r="CB24" s="20"/>
      <c r="CC24" s="20">
        <f t="shared" si="81"/>
        <v>0</v>
      </c>
      <c r="CD24" s="20"/>
      <c r="CE24" s="20">
        <f t="shared" si="82"/>
        <v>0</v>
      </c>
      <c r="CF24" s="20"/>
      <c r="CG24" s="1"/>
    </row>
    <row r="25" spans="1:85" x14ac:dyDescent="0.4">
      <c r="A25" s="1" t="s">
        <v>105</v>
      </c>
      <c r="B25" s="1" t="s">
        <v>167</v>
      </c>
      <c r="C25" s="1" t="s">
        <v>168</v>
      </c>
      <c r="D25" s="1" t="s">
        <v>199</v>
      </c>
      <c r="E25" s="115" t="s">
        <v>200</v>
      </c>
      <c r="F25" s="1"/>
      <c r="G25" s="1"/>
      <c r="H25" s="1"/>
      <c r="I25" s="1"/>
      <c r="J25" s="1"/>
      <c r="K25" s="1" t="s">
        <v>182</v>
      </c>
      <c r="L25" s="1" t="s">
        <v>178</v>
      </c>
      <c r="M25" s="1" t="s">
        <v>86</v>
      </c>
      <c r="N25" s="1" t="s">
        <v>86</v>
      </c>
      <c r="O25" s="1" t="s">
        <v>87</v>
      </c>
      <c r="P25" s="1" t="s">
        <v>84</v>
      </c>
      <c r="Q25" s="1" t="s">
        <v>201</v>
      </c>
      <c r="R25" s="1"/>
      <c r="S25" s="3"/>
      <c r="T25" s="4"/>
      <c r="U25" s="20">
        <f t="shared" ref="U25:U27" si="83">+(Y25+AD25+AI25+AN25+AS25+AX25+BC25+BH25+BM25+BR25+BW25+CB25)/1000</f>
        <v>0</v>
      </c>
      <c r="V25" s="20">
        <f t="shared" ref="V25:V27" si="84">+(Z25+AE25+AJ25+AO25+AT25+AY25+BD25+BI25+BN25+BS25+BX25+CC25)/1000</f>
        <v>0</v>
      </c>
      <c r="W25" s="20">
        <f t="shared" ref="W25:W27" si="85">+(+BF25+BK25+BP25+BU25+BZ25+CE25)</f>
        <v>0</v>
      </c>
      <c r="X25" s="20">
        <f t="shared" ref="X25:X27" si="86">+(+BG25+BL25+BQ25+BV25+CA25+CF25)</f>
        <v>200</v>
      </c>
      <c r="Y25" s="20"/>
      <c r="Z25" s="20">
        <f t="shared" ref="Z25:Z27" si="87">Y25*S25</f>
        <v>0</v>
      </c>
      <c r="AA25" s="20"/>
      <c r="AB25" s="20">
        <f t="shared" ref="AB25:AB27" si="88">AA25*S25</f>
        <v>0</v>
      </c>
      <c r="AC25" s="20"/>
      <c r="AD25" s="20"/>
      <c r="AE25" s="20">
        <f t="shared" ref="AE25:AE27" si="89">AD25*S25</f>
        <v>0</v>
      </c>
      <c r="AF25" s="20"/>
      <c r="AG25" s="20">
        <f t="shared" ref="AG25:AG27" si="90">AF25*S25</f>
        <v>0</v>
      </c>
      <c r="AH25" s="20"/>
      <c r="AI25" s="20"/>
      <c r="AJ25" s="20">
        <f t="shared" ref="AJ25:AJ27" si="91">AI25*S25</f>
        <v>0</v>
      </c>
      <c r="AK25" s="20"/>
      <c r="AL25" s="20">
        <f t="shared" ref="AL25:AL27" si="92">AK25*S25</f>
        <v>0</v>
      </c>
      <c r="AM25" s="20"/>
      <c r="AN25" s="20"/>
      <c r="AO25" s="20">
        <f t="shared" ref="AO25:AO27" si="93">AN25*S25</f>
        <v>0</v>
      </c>
      <c r="AP25" s="20"/>
      <c r="AQ25" s="20">
        <f t="shared" ref="AQ25:AQ27" si="94">AP25*S25</f>
        <v>0</v>
      </c>
      <c r="AR25" s="20"/>
      <c r="AS25" s="20"/>
      <c r="AT25" s="20">
        <f t="shared" ref="AT25:AT27" si="95">AS25*S25</f>
        <v>0</v>
      </c>
      <c r="AU25" s="20"/>
      <c r="AV25" s="20">
        <f t="shared" ref="AV25:AV27" si="96">AU25*S25</f>
        <v>0</v>
      </c>
      <c r="AW25" s="20">
        <v>200</v>
      </c>
      <c r="AX25" s="20"/>
      <c r="AY25" s="20">
        <f t="shared" ref="AY25:AY27" si="97">AX25*S25</f>
        <v>0</v>
      </c>
      <c r="AZ25" s="20"/>
      <c r="BA25" s="20">
        <v>0</v>
      </c>
      <c r="BB25" s="25">
        <v>200</v>
      </c>
      <c r="BC25" s="29"/>
      <c r="BD25" s="29">
        <f t="shared" ref="BD25:BD27" si="98">BC25*S25</f>
        <v>0</v>
      </c>
      <c r="BE25" s="20"/>
      <c r="BF25" s="20">
        <f t="shared" ref="BF25:BF27" si="99">BE25*S25</f>
        <v>0</v>
      </c>
      <c r="BG25" s="20"/>
      <c r="BH25" s="20"/>
      <c r="BI25" s="20">
        <f t="shared" ref="BI25:BI27" si="100">BH25*S25</f>
        <v>0</v>
      </c>
      <c r="BJ25" s="20"/>
      <c r="BK25" s="20">
        <f t="shared" ref="BK25:BK27" si="101">BJ25*S25</f>
        <v>0</v>
      </c>
      <c r="BL25" s="100">
        <v>200</v>
      </c>
      <c r="BM25" s="20"/>
      <c r="BN25" s="20">
        <f t="shared" ref="BN25:BN27" si="102">BM25*S25</f>
        <v>0</v>
      </c>
      <c r="BO25" s="20"/>
      <c r="BP25" s="20">
        <f t="shared" ref="BP25:BP27" si="103">BO25*S25</f>
        <v>0</v>
      </c>
      <c r="BQ25" s="20"/>
      <c r="BR25" s="20"/>
      <c r="BS25" s="20">
        <f t="shared" ref="BS25:BS27" si="104">BR25*S25</f>
        <v>0</v>
      </c>
      <c r="BT25" s="20"/>
      <c r="BU25" s="20">
        <f t="shared" ref="BU25:BU27" si="105">BT25*S25</f>
        <v>0</v>
      </c>
      <c r="BV25" s="20"/>
      <c r="BW25" s="20"/>
      <c r="BX25" s="20">
        <f t="shared" ref="BX25:BX27" si="106">BW25*S25</f>
        <v>0</v>
      </c>
      <c r="BY25" s="20"/>
      <c r="BZ25" s="20">
        <f t="shared" ref="BZ25:BZ27" si="107">BY25*S25</f>
        <v>0</v>
      </c>
      <c r="CA25" s="20"/>
      <c r="CB25" s="20"/>
      <c r="CC25" s="20">
        <f t="shared" ref="CC25:CC27" si="108">CB25*S25</f>
        <v>0</v>
      </c>
      <c r="CD25" s="20"/>
      <c r="CE25" s="20">
        <f t="shared" ref="CE25:CE27" si="109">CD25*S25</f>
        <v>0</v>
      </c>
      <c r="CF25" s="20"/>
      <c r="CG25" s="1"/>
    </row>
    <row r="26" spans="1:85" x14ac:dyDescent="0.4">
      <c r="A26" s="1" t="s">
        <v>105</v>
      </c>
      <c r="B26" s="1" t="s">
        <v>167</v>
      </c>
      <c r="C26" s="1" t="s">
        <v>168</v>
      </c>
      <c r="D26" s="1" t="s">
        <v>199</v>
      </c>
      <c r="E26" s="115" t="s">
        <v>200</v>
      </c>
      <c r="F26" s="1"/>
      <c r="G26" s="1"/>
      <c r="H26" s="1"/>
      <c r="I26" s="1"/>
      <c r="J26" s="1"/>
      <c r="K26" s="1" t="s">
        <v>182</v>
      </c>
      <c r="L26" s="1" t="s">
        <v>178</v>
      </c>
      <c r="M26" s="1" t="s">
        <v>86</v>
      </c>
      <c r="N26" s="1" t="s">
        <v>86</v>
      </c>
      <c r="O26" s="1" t="s">
        <v>87</v>
      </c>
      <c r="P26" s="1" t="s">
        <v>84</v>
      </c>
      <c r="Q26" s="1" t="s">
        <v>202</v>
      </c>
      <c r="R26" s="1"/>
      <c r="S26" s="3"/>
      <c r="T26" s="4"/>
      <c r="U26" s="20">
        <f t="shared" si="83"/>
        <v>0</v>
      </c>
      <c r="V26" s="20">
        <f t="shared" si="84"/>
        <v>0</v>
      </c>
      <c r="W26" s="20">
        <f t="shared" si="85"/>
        <v>0</v>
      </c>
      <c r="X26" s="20">
        <f t="shared" si="86"/>
        <v>200</v>
      </c>
      <c r="Y26" s="20"/>
      <c r="Z26" s="20">
        <f t="shared" si="87"/>
        <v>0</v>
      </c>
      <c r="AA26" s="20"/>
      <c r="AB26" s="20">
        <f t="shared" si="88"/>
        <v>0</v>
      </c>
      <c r="AC26" s="20"/>
      <c r="AD26" s="20"/>
      <c r="AE26" s="20">
        <f t="shared" si="89"/>
        <v>0</v>
      </c>
      <c r="AF26" s="20"/>
      <c r="AG26" s="20">
        <f t="shared" si="90"/>
        <v>0</v>
      </c>
      <c r="AH26" s="20"/>
      <c r="AI26" s="20"/>
      <c r="AJ26" s="20">
        <f t="shared" si="91"/>
        <v>0</v>
      </c>
      <c r="AK26" s="20"/>
      <c r="AL26" s="20">
        <f t="shared" si="92"/>
        <v>0</v>
      </c>
      <c r="AM26" s="20"/>
      <c r="AN26" s="20"/>
      <c r="AO26" s="20">
        <f t="shared" si="93"/>
        <v>0</v>
      </c>
      <c r="AP26" s="20"/>
      <c r="AQ26" s="20">
        <f t="shared" si="94"/>
        <v>0</v>
      </c>
      <c r="AR26" s="20"/>
      <c r="AS26" s="20"/>
      <c r="AT26" s="20">
        <f t="shared" si="95"/>
        <v>0</v>
      </c>
      <c r="AU26" s="20"/>
      <c r="AV26" s="20">
        <f t="shared" si="96"/>
        <v>0</v>
      </c>
      <c r="AW26" s="20">
        <v>200</v>
      </c>
      <c r="AX26" s="20"/>
      <c r="AY26" s="20">
        <f t="shared" si="97"/>
        <v>0</v>
      </c>
      <c r="AZ26" s="20"/>
      <c r="BA26" s="20">
        <v>0</v>
      </c>
      <c r="BB26" s="20"/>
      <c r="BC26" s="29"/>
      <c r="BD26" s="29">
        <f t="shared" si="98"/>
        <v>0</v>
      </c>
      <c r="BE26" s="20"/>
      <c r="BF26" s="20">
        <f t="shared" si="99"/>
        <v>0</v>
      </c>
      <c r="BG26" s="102">
        <v>200</v>
      </c>
      <c r="BH26" s="20"/>
      <c r="BI26" s="20">
        <f t="shared" si="100"/>
        <v>0</v>
      </c>
      <c r="BJ26" s="20"/>
      <c r="BK26" s="20">
        <f t="shared" si="101"/>
        <v>0</v>
      </c>
      <c r="BL26" s="20"/>
      <c r="BM26" s="20"/>
      <c r="BN26" s="20">
        <f t="shared" si="102"/>
        <v>0</v>
      </c>
      <c r="BO26" s="20"/>
      <c r="BP26" s="20">
        <f t="shared" si="103"/>
        <v>0</v>
      </c>
      <c r="BQ26" s="24"/>
      <c r="BR26" s="20"/>
      <c r="BS26" s="20">
        <f t="shared" si="104"/>
        <v>0</v>
      </c>
      <c r="BT26" s="20"/>
      <c r="BU26" s="20">
        <f t="shared" si="105"/>
        <v>0</v>
      </c>
      <c r="BV26" s="20"/>
      <c r="BW26" s="20"/>
      <c r="BX26" s="20">
        <f t="shared" si="106"/>
        <v>0</v>
      </c>
      <c r="BY26" s="20"/>
      <c r="BZ26" s="20">
        <f t="shared" si="107"/>
        <v>0</v>
      </c>
      <c r="CA26" s="20"/>
      <c r="CB26" s="20"/>
      <c r="CC26" s="20">
        <f t="shared" si="108"/>
        <v>0</v>
      </c>
      <c r="CD26" s="20"/>
      <c r="CE26" s="20">
        <f t="shared" si="109"/>
        <v>0</v>
      </c>
      <c r="CF26" s="20"/>
      <c r="CG26" s="1"/>
    </row>
    <row r="27" spans="1:85" x14ac:dyDescent="0.4">
      <c r="A27" s="1" t="s">
        <v>105</v>
      </c>
      <c r="B27" s="1" t="s">
        <v>167</v>
      </c>
      <c r="C27" s="1" t="s">
        <v>168</v>
      </c>
      <c r="D27" s="1" t="s">
        <v>199</v>
      </c>
      <c r="E27" s="115" t="s">
        <v>200</v>
      </c>
      <c r="F27" s="1"/>
      <c r="G27" s="1"/>
      <c r="H27" s="1"/>
      <c r="I27" s="1"/>
      <c r="J27" s="1"/>
      <c r="K27" s="1" t="s">
        <v>182</v>
      </c>
      <c r="L27" s="1" t="s">
        <v>178</v>
      </c>
      <c r="M27" s="1" t="s">
        <v>86</v>
      </c>
      <c r="N27" s="1" t="s">
        <v>86</v>
      </c>
      <c r="O27" s="1" t="s">
        <v>87</v>
      </c>
      <c r="P27" s="1" t="s">
        <v>84</v>
      </c>
      <c r="Q27" s="1" t="s">
        <v>135</v>
      </c>
      <c r="R27" s="1"/>
      <c r="S27" s="3"/>
      <c r="T27" s="4"/>
      <c r="U27" s="20">
        <f t="shared" si="83"/>
        <v>0</v>
      </c>
      <c r="V27" s="20">
        <f t="shared" si="84"/>
        <v>0</v>
      </c>
      <c r="W27" s="20">
        <f t="shared" si="85"/>
        <v>0</v>
      </c>
      <c r="X27" s="20">
        <f t="shared" si="86"/>
        <v>0</v>
      </c>
      <c r="Y27" s="20"/>
      <c r="Z27" s="20">
        <f t="shared" si="87"/>
        <v>0</v>
      </c>
      <c r="AA27" s="20"/>
      <c r="AB27" s="20">
        <f t="shared" si="88"/>
        <v>0</v>
      </c>
      <c r="AC27" s="20"/>
      <c r="AD27" s="20"/>
      <c r="AE27" s="20">
        <f t="shared" si="89"/>
        <v>0</v>
      </c>
      <c r="AF27" s="20"/>
      <c r="AG27" s="20">
        <f t="shared" si="90"/>
        <v>0</v>
      </c>
      <c r="AH27" s="20"/>
      <c r="AI27" s="20"/>
      <c r="AJ27" s="20">
        <f t="shared" si="91"/>
        <v>0</v>
      </c>
      <c r="AK27" s="20"/>
      <c r="AL27" s="20">
        <f t="shared" si="92"/>
        <v>0</v>
      </c>
      <c r="AM27" s="20"/>
      <c r="AN27" s="20"/>
      <c r="AO27" s="20">
        <f t="shared" si="93"/>
        <v>0</v>
      </c>
      <c r="AP27" s="20"/>
      <c r="AQ27" s="20">
        <f t="shared" si="94"/>
        <v>0</v>
      </c>
      <c r="AR27" s="20">
        <v>1000</v>
      </c>
      <c r="AS27" s="20"/>
      <c r="AT27" s="20">
        <f t="shared" si="95"/>
        <v>0</v>
      </c>
      <c r="AU27" s="20"/>
      <c r="AV27" s="20">
        <f t="shared" si="96"/>
        <v>0</v>
      </c>
      <c r="AW27" s="20"/>
      <c r="AX27" s="20"/>
      <c r="AY27" s="20">
        <f t="shared" si="97"/>
        <v>0</v>
      </c>
      <c r="AZ27" s="20"/>
      <c r="BA27" s="20">
        <v>0</v>
      </c>
      <c r="BB27" s="20"/>
      <c r="BC27" s="29"/>
      <c r="BD27" s="29">
        <f t="shared" si="98"/>
        <v>0</v>
      </c>
      <c r="BE27" s="20"/>
      <c r="BF27" s="20">
        <f t="shared" si="99"/>
        <v>0</v>
      </c>
      <c r="BG27" s="20"/>
      <c r="BH27" s="20"/>
      <c r="BI27" s="20">
        <f t="shared" si="100"/>
        <v>0</v>
      </c>
      <c r="BJ27" s="20"/>
      <c r="BK27" s="20">
        <f t="shared" si="101"/>
        <v>0</v>
      </c>
      <c r="BL27" s="20"/>
      <c r="BM27" s="20"/>
      <c r="BN27" s="20">
        <f t="shared" si="102"/>
        <v>0</v>
      </c>
      <c r="BO27" s="20"/>
      <c r="BP27" s="20">
        <f t="shared" si="103"/>
        <v>0</v>
      </c>
      <c r="BQ27" s="20"/>
      <c r="BR27" s="20"/>
      <c r="BS27" s="20">
        <f t="shared" si="104"/>
        <v>0</v>
      </c>
      <c r="BT27" s="20"/>
      <c r="BU27" s="20">
        <f t="shared" si="105"/>
        <v>0</v>
      </c>
      <c r="BV27" s="20"/>
      <c r="BW27" s="20"/>
      <c r="BX27" s="20">
        <f t="shared" si="106"/>
        <v>0</v>
      </c>
      <c r="BY27" s="20"/>
      <c r="BZ27" s="20">
        <f t="shared" si="107"/>
        <v>0</v>
      </c>
      <c r="CA27" s="20"/>
      <c r="CB27" s="20"/>
      <c r="CC27" s="20">
        <f t="shared" si="108"/>
        <v>0</v>
      </c>
      <c r="CD27" s="20"/>
      <c r="CE27" s="20">
        <f t="shared" si="109"/>
        <v>0</v>
      </c>
      <c r="CF27" s="20"/>
      <c r="CG27" s="1"/>
    </row>
    <row r="28" spans="1:85" x14ac:dyDescent="0.4">
      <c r="A28" s="1" t="s">
        <v>105</v>
      </c>
      <c r="B28" s="1" t="s">
        <v>167</v>
      </c>
      <c r="C28" s="1" t="s">
        <v>168</v>
      </c>
      <c r="D28" s="1" t="s">
        <v>203</v>
      </c>
      <c r="E28" s="115" t="s">
        <v>204</v>
      </c>
      <c r="F28" s="1"/>
      <c r="G28" s="1"/>
      <c r="H28" s="1"/>
      <c r="I28" s="1"/>
      <c r="J28" s="1"/>
      <c r="K28" s="1" t="s">
        <v>182</v>
      </c>
      <c r="L28" s="5" t="s">
        <v>178</v>
      </c>
      <c r="M28" s="1" t="s">
        <v>82</v>
      </c>
      <c r="N28" s="1" t="s">
        <v>82</v>
      </c>
      <c r="O28" s="1" t="s">
        <v>106</v>
      </c>
      <c r="P28" s="1" t="s">
        <v>81</v>
      </c>
      <c r="Q28" s="1" t="s">
        <v>205</v>
      </c>
      <c r="R28" s="1"/>
      <c r="S28" s="3"/>
      <c r="T28" s="4"/>
      <c r="U28" s="20">
        <f t="shared" ref="U28" si="110">+(Y28+AD28+AI28+AN28+AS28+AX28+BC28+BH28+BM28+BR28+BW28+CB28)/1000</f>
        <v>0</v>
      </c>
      <c r="V28" s="20">
        <f t="shared" ref="V28" si="111">+(Z28+AE28+AJ28+AO28+AT28+AY28+BD28+BI28+BN28+BS28+BX28+CC28)/1000</f>
        <v>0</v>
      </c>
      <c r="W28" s="20">
        <f t="shared" ref="W28" si="112">+(+BF28+BK28+BP28+BU28+BZ28+CE28)</f>
        <v>0</v>
      </c>
      <c r="X28" s="20">
        <f t="shared" ref="X28" si="113">+(+BG28+BL28+BQ28+BV28+CA28+CF28)</f>
        <v>0</v>
      </c>
      <c r="Y28" s="20"/>
      <c r="Z28" s="20">
        <f t="shared" ref="Z28" si="114">Y28*S28</f>
        <v>0</v>
      </c>
      <c r="AA28" s="20"/>
      <c r="AB28" s="20">
        <f t="shared" ref="AB28" si="115">AA28*S28</f>
        <v>0</v>
      </c>
      <c r="AC28" s="20"/>
      <c r="AD28" s="20"/>
      <c r="AE28" s="20">
        <f t="shared" ref="AE28" si="116">AD28*S28</f>
        <v>0</v>
      </c>
      <c r="AF28" s="20"/>
      <c r="AG28" s="20">
        <f t="shared" ref="AG28" si="117">AF28*S28</f>
        <v>0</v>
      </c>
      <c r="AH28" s="20"/>
      <c r="AI28" s="20"/>
      <c r="AJ28" s="20">
        <f t="shared" ref="AJ28" si="118">AI28*S28</f>
        <v>0</v>
      </c>
      <c r="AK28" s="20"/>
      <c r="AL28" s="20">
        <f t="shared" ref="AL28" si="119">AK28*S28</f>
        <v>0</v>
      </c>
      <c r="AM28" s="20"/>
      <c r="AN28" s="20"/>
      <c r="AO28" s="20">
        <f t="shared" ref="AO28" si="120">AN28*S28</f>
        <v>0</v>
      </c>
      <c r="AP28" s="20"/>
      <c r="AQ28" s="20">
        <f t="shared" ref="AQ28" si="121">AP28*S28</f>
        <v>0</v>
      </c>
      <c r="AR28" s="20"/>
      <c r="AS28" s="20"/>
      <c r="AT28" s="20">
        <f t="shared" ref="AT28" si="122">AS28*S28</f>
        <v>0</v>
      </c>
      <c r="AU28" s="20"/>
      <c r="AV28" s="20">
        <f t="shared" ref="AV28" si="123">AU28*S28</f>
        <v>0</v>
      </c>
      <c r="AW28" s="20"/>
      <c r="AX28" s="20"/>
      <c r="AY28" s="20">
        <f t="shared" ref="AY28" si="124">AX28*S28</f>
        <v>0</v>
      </c>
      <c r="AZ28" s="20"/>
      <c r="BA28" s="20">
        <v>0</v>
      </c>
      <c r="BB28" s="20"/>
      <c r="BC28" s="29"/>
      <c r="BD28" s="29">
        <f t="shared" ref="BD28" si="125">BC28*S28</f>
        <v>0</v>
      </c>
      <c r="BE28" s="20"/>
      <c r="BF28" s="20">
        <f t="shared" ref="BF28" si="126">BE28*S28</f>
        <v>0</v>
      </c>
      <c r="BG28" s="20"/>
      <c r="BH28" s="20"/>
      <c r="BI28" s="20">
        <f t="shared" ref="BI28" si="127">BH28*S28</f>
        <v>0</v>
      </c>
      <c r="BJ28" s="20"/>
      <c r="BK28" s="20">
        <f t="shared" ref="BK28" si="128">BJ28*S28</f>
        <v>0</v>
      </c>
      <c r="BL28" s="22"/>
      <c r="BM28" s="20"/>
      <c r="BN28" s="20">
        <f t="shared" ref="BN28" si="129">BM28*S28</f>
        <v>0</v>
      </c>
      <c r="BO28" s="20"/>
      <c r="BP28" s="20">
        <f t="shared" ref="BP28" si="130">BO28*S28</f>
        <v>0</v>
      </c>
      <c r="BQ28" s="20"/>
      <c r="BR28" s="20"/>
      <c r="BS28" s="20">
        <f t="shared" ref="BS28" si="131">BR28*S28</f>
        <v>0</v>
      </c>
      <c r="BT28" s="20"/>
      <c r="BU28" s="20">
        <f t="shared" ref="BU28" si="132">BT28*S28</f>
        <v>0</v>
      </c>
      <c r="BV28" s="20"/>
      <c r="BW28" s="20"/>
      <c r="BX28" s="20">
        <f t="shared" ref="BX28" si="133">BW28*S28</f>
        <v>0</v>
      </c>
      <c r="BY28" s="20"/>
      <c r="BZ28" s="20">
        <f t="shared" ref="BZ28" si="134">BY28*S28</f>
        <v>0</v>
      </c>
      <c r="CA28" s="20"/>
      <c r="CB28" s="20"/>
      <c r="CC28" s="20">
        <f t="shared" ref="CC28" si="135">CB28*S28</f>
        <v>0</v>
      </c>
      <c r="CD28" s="20"/>
      <c r="CE28" s="20">
        <f t="shared" ref="CE28" si="136">CD28*S28</f>
        <v>0</v>
      </c>
      <c r="CF28" s="20"/>
      <c r="CG28" s="1"/>
    </row>
  </sheetData>
  <sheetProtection algorithmName="SHA-512" hashValue="2OvbB9MZQHZI4oxGyRYn5cPc95bSHh7QdrRHtoGYLPNSFf+JyYWwkIfCL85xU2WOsN3iTzdXsJm9cJYG02AkdA==" saltValue="jHUHaW2r15BAZiIl1fXtGQ==" spinCount="100000" sheet="1" objects="1" scenarios="1" selectLockedCell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1BC1CF7478143B5B3C59CD5273383" ma:contentTypeVersion="8" ma:contentTypeDescription="Create a new document." ma:contentTypeScope="" ma:versionID="67c7a9acf4df7b5ee4c7c629ee779ef9">
  <xsd:schema xmlns:xsd="http://www.w3.org/2001/XMLSchema" xmlns:xs="http://www.w3.org/2001/XMLSchema" xmlns:p="http://schemas.microsoft.com/office/2006/metadata/properties" xmlns:ns2="683c045b-5725-4f36-b8a3-d216de519753" xmlns:ns3="037720bd-2f8f-4241-82a4-ef04fe219b04" targetNamespace="http://schemas.microsoft.com/office/2006/metadata/properties" ma:root="true" ma:fieldsID="89afe5bb8a3d9b61c533469929bf2785" ns2:_="" ns3:_="">
    <xsd:import namespace="683c045b-5725-4f36-b8a3-d216de519753"/>
    <xsd:import namespace="037720bd-2f8f-4241-82a4-ef04fe219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045b-5725-4f36-b8a3-d216de519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720bd-2f8f-4241-82a4-ef04fe219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E1DD8A-FA1C-44A8-B5E8-AA3E7A4E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045b-5725-4f36-b8a3-d216de519753"/>
    <ds:schemaRef ds:uri="037720bd-2f8f-4241-82a4-ef04fe219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4A8B25-0440-424A-91A8-BF2F6F021C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37720bd-2f8f-4241-82a4-ef04fe219b04"/>
    <ds:schemaRef ds:uri="http://purl.org/dc/terms/"/>
    <ds:schemaRef ds:uri="http://schemas.openxmlformats.org/package/2006/metadata/core-properties"/>
    <ds:schemaRef ds:uri="683c045b-5725-4f36-b8a3-d216de51975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4629955-BD0A-4587-8049-5B2114298E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INR Sheet </vt:lpstr>
      <vt:lpstr>USD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2026-09-24T05:12:16Z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0x0101008C81BC1CF7478143B5B3C59CD5273383</vt:lpwstr>
  </property>
</Properties>
</file>