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hesh\Desktop\SMET 2025\"/>
    </mc:Choice>
  </mc:AlternateContent>
  <xr:revisionPtr revIDLastSave="0" documentId="13_ncr:1_{9D0CA07C-76CA-49BB-96BF-C4C6B0253F82}" xr6:coauthVersionLast="47" xr6:coauthVersionMax="47" xr10:uidLastSave="{00000000-0000-0000-0000-000000000000}"/>
  <bookViews>
    <workbookView xWindow="-110" yWindow="-110" windowWidth="19420" windowHeight="11620" tabRatio="743" activeTab="1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BD82" i="2"/>
  <c r="BF82" i="2"/>
  <c r="BI82" i="2"/>
  <c r="BK82" i="2"/>
  <c r="BN82" i="2"/>
  <c r="BP82" i="2"/>
  <c r="BS82" i="2"/>
  <c r="BU82" i="2"/>
  <c r="BX82" i="2"/>
  <c r="BZ82" i="2"/>
  <c r="CE82" i="2"/>
  <c r="CC82" i="2"/>
  <c r="BG1" i="2"/>
  <c r="T1" i="2" l="1"/>
  <c r="CF1" i="2" l="1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E1" i="2"/>
  <c r="BC1" i="2"/>
  <c r="BB1" i="2"/>
  <c r="BA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Z82" i="2"/>
  <c r="AB82" i="2"/>
  <c r="AE82" i="2"/>
  <c r="AG82" i="2"/>
  <c r="AJ82" i="2"/>
  <c r="AL82" i="2"/>
  <c r="AO82" i="2"/>
  <c r="AQ82" i="2"/>
  <c r="AT82" i="2"/>
  <c r="AV82" i="2"/>
  <c r="AY82" i="2"/>
  <c r="U82" i="2" l="1"/>
  <c r="V82" i="2"/>
  <c r="W82" i="2"/>
  <c r="X82" i="2"/>
  <c r="U41" i="2"/>
  <c r="X41" i="2"/>
  <c r="U158" i="2"/>
  <c r="X158" i="2"/>
  <c r="U77" i="2"/>
  <c r="X77" i="2"/>
  <c r="U78" i="2"/>
  <c r="X78" i="2"/>
  <c r="U79" i="2"/>
  <c r="X79" i="2"/>
  <c r="U80" i="2"/>
  <c r="X80" i="2"/>
  <c r="U81" i="2"/>
  <c r="X81" i="2"/>
  <c r="U30" i="2"/>
  <c r="X30" i="2"/>
  <c r="BY1" i="1"/>
  <c r="BW1" i="1"/>
  <c r="BV1" i="1"/>
  <c r="BT1" i="1"/>
  <c r="BR1" i="1"/>
  <c r="BQ1" i="1"/>
  <c r="BO1" i="1"/>
  <c r="BM1" i="1"/>
  <c r="BL1" i="1"/>
  <c r="BJ1" i="1"/>
  <c r="BH1" i="1"/>
  <c r="BG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CA1" i="1"/>
  <c r="S56" i="1" l="1"/>
  <c r="S51" i="1"/>
  <c r="S50" i="1"/>
  <c r="S49" i="1"/>
  <c r="S48" i="1"/>
  <c r="S47" i="1"/>
  <c r="S44" i="1"/>
  <c r="S43" i="1"/>
  <c r="X126" i="2"/>
  <c r="X133" i="2"/>
  <c r="S20" i="1"/>
  <c r="S21" i="1"/>
  <c r="S22" i="1"/>
  <c r="S26" i="1"/>
  <c r="S28" i="1"/>
  <c r="S29" i="1"/>
  <c r="S30" i="1"/>
  <c r="S31" i="1"/>
  <c r="S32" i="1"/>
  <c r="S39" i="1"/>
  <c r="S40" i="1"/>
  <c r="S41" i="1"/>
  <c r="S42" i="1"/>
  <c r="S45" i="1"/>
  <c r="S46" i="1"/>
  <c r="S52" i="1"/>
  <c r="S53" i="1"/>
  <c r="S54" i="1"/>
  <c r="S55" i="1"/>
  <c r="S69" i="1"/>
  <c r="S70" i="1"/>
  <c r="S87" i="1"/>
  <c r="S95" i="1"/>
  <c r="S96" i="1"/>
  <c r="S98" i="1"/>
  <c r="S101" i="1"/>
  <c r="S122" i="1"/>
  <c r="S123" i="1"/>
  <c r="S124" i="1"/>
  <c r="S125" i="1"/>
  <c r="S126" i="1"/>
  <c r="S127" i="1"/>
  <c r="S129" i="1"/>
  <c r="S130" i="1"/>
  <c r="S131" i="1"/>
  <c r="S132" i="1"/>
  <c r="S133" i="1"/>
  <c r="S134" i="1"/>
  <c r="S135" i="1"/>
  <c r="S138" i="1"/>
  <c r="S139" i="1"/>
  <c r="S140" i="1"/>
  <c r="S141" i="1"/>
  <c r="S142" i="1"/>
  <c r="S143" i="1"/>
  <c r="S144" i="1"/>
  <c r="S152" i="1"/>
  <c r="S154" i="1"/>
  <c r="S155" i="1"/>
  <c r="S156" i="1"/>
  <c r="S157" i="1"/>
  <c r="S158" i="1"/>
  <c r="S159" i="1"/>
  <c r="Z30" i="2"/>
  <c r="AB30" i="2"/>
  <c r="AE30" i="2"/>
  <c r="AG30" i="2"/>
  <c r="AJ30" i="2"/>
  <c r="AL30" i="2"/>
  <c r="AO30" i="2"/>
  <c r="AQ30" i="2"/>
  <c r="AT30" i="2"/>
  <c r="AV30" i="2"/>
  <c r="AY30" i="2"/>
  <c r="BD30" i="2"/>
  <c r="BF30" i="2"/>
  <c r="BI30" i="2"/>
  <c r="BK30" i="2"/>
  <c r="BN30" i="2"/>
  <c r="BP30" i="2"/>
  <c r="BS30" i="2"/>
  <c r="BU30" i="2"/>
  <c r="BX30" i="2"/>
  <c r="BZ30" i="2"/>
  <c r="CC30" i="2"/>
  <c r="CE30" i="2"/>
  <c r="Z79" i="2"/>
  <c r="AB79" i="2"/>
  <c r="AE79" i="2"/>
  <c r="AG79" i="2"/>
  <c r="AJ79" i="2"/>
  <c r="AL79" i="2"/>
  <c r="AO79" i="2"/>
  <c r="AQ79" i="2"/>
  <c r="AT79" i="2"/>
  <c r="AV79" i="2"/>
  <c r="AY79" i="2"/>
  <c r="BD79" i="2"/>
  <c r="BF79" i="2"/>
  <c r="BI79" i="2"/>
  <c r="BK79" i="2"/>
  <c r="BN79" i="2"/>
  <c r="BP79" i="2"/>
  <c r="BS79" i="2"/>
  <c r="BU79" i="2"/>
  <c r="BX79" i="2"/>
  <c r="BZ79" i="2"/>
  <c r="CC79" i="2"/>
  <c r="CE79" i="2"/>
  <c r="Z80" i="2"/>
  <c r="AB80" i="2"/>
  <c r="AE80" i="2"/>
  <c r="AG80" i="2"/>
  <c r="AJ80" i="2"/>
  <c r="AL80" i="2"/>
  <c r="AO80" i="2"/>
  <c r="AQ80" i="2"/>
  <c r="AT80" i="2"/>
  <c r="AV80" i="2"/>
  <c r="AY80" i="2"/>
  <c r="BD80" i="2"/>
  <c r="BF80" i="2"/>
  <c r="BI80" i="2"/>
  <c r="BK80" i="2"/>
  <c r="BN80" i="2"/>
  <c r="BP80" i="2"/>
  <c r="BS80" i="2"/>
  <c r="BU80" i="2"/>
  <c r="BX80" i="2"/>
  <c r="BZ80" i="2"/>
  <c r="CC80" i="2"/>
  <c r="CE80" i="2"/>
  <c r="Z81" i="2"/>
  <c r="AB81" i="2"/>
  <c r="AE81" i="2"/>
  <c r="AG81" i="2"/>
  <c r="AJ81" i="2"/>
  <c r="AL81" i="2"/>
  <c r="AO81" i="2"/>
  <c r="AQ81" i="2"/>
  <c r="AT81" i="2"/>
  <c r="AV81" i="2"/>
  <c r="AY81" i="2"/>
  <c r="BD81" i="2"/>
  <c r="BF81" i="2"/>
  <c r="BI81" i="2"/>
  <c r="BK81" i="2"/>
  <c r="BN81" i="2"/>
  <c r="BP81" i="2"/>
  <c r="BS81" i="2"/>
  <c r="BU81" i="2"/>
  <c r="BX81" i="2"/>
  <c r="BZ81" i="2"/>
  <c r="CC81" i="2"/>
  <c r="CE81" i="2"/>
  <c r="BN158" i="2"/>
  <c r="BP158" i="2"/>
  <c r="BS158" i="2"/>
  <c r="BU158" i="2"/>
  <c r="BX158" i="2"/>
  <c r="BZ158" i="2"/>
  <c r="CC158" i="2"/>
  <c r="CE158" i="2"/>
  <c r="BN77" i="2"/>
  <c r="BP77" i="2"/>
  <c r="BS77" i="2"/>
  <c r="BU77" i="2"/>
  <c r="BX77" i="2"/>
  <c r="BZ77" i="2"/>
  <c r="CC77" i="2"/>
  <c r="CE77" i="2"/>
  <c r="BN78" i="2"/>
  <c r="BP78" i="2"/>
  <c r="BS78" i="2"/>
  <c r="BU78" i="2"/>
  <c r="BX78" i="2"/>
  <c r="BZ78" i="2"/>
  <c r="CC78" i="2"/>
  <c r="CE78" i="2"/>
  <c r="BD41" i="2"/>
  <c r="BF41" i="2"/>
  <c r="BI41" i="2"/>
  <c r="BK41" i="2"/>
  <c r="BD158" i="2"/>
  <c r="BF158" i="2"/>
  <c r="BI158" i="2"/>
  <c r="BK158" i="2"/>
  <c r="BD77" i="2"/>
  <c r="BF77" i="2"/>
  <c r="BI77" i="2"/>
  <c r="BK77" i="2"/>
  <c r="BD78" i="2"/>
  <c r="BF78" i="2"/>
  <c r="BI78" i="2"/>
  <c r="BK78" i="2"/>
  <c r="Z158" i="2"/>
  <c r="AB158" i="2"/>
  <c r="AE158" i="2"/>
  <c r="AG158" i="2"/>
  <c r="AJ158" i="2"/>
  <c r="AL158" i="2"/>
  <c r="AO158" i="2"/>
  <c r="AQ158" i="2"/>
  <c r="AT158" i="2"/>
  <c r="AV158" i="2"/>
  <c r="AY158" i="2"/>
  <c r="Z77" i="2"/>
  <c r="AB77" i="2"/>
  <c r="AE77" i="2"/>
  <c r="AG77" i="2"/>
  <c r="AJ77" i="2"/>
  <c r="AL77" i="2"/>
  <c r="AO77" i="2"/>
  <c r="AQ77" i="2"/>
  <c r="AT77" i="2"/>
  <c r="AV77" i="2"/>
  <c r="AY77" i="2"/>
  <c r="Z78" i="2"/>
  <c r="AB78" i="2"/>
  <c r="AE78" i="2"/>
  <c r="AG78" i="2"/>
  <c r="AJ78" i="2"/>
  <c r="AL78" i="2"/>
  <c r="AO78" i="2"/>
  <c r="AQ78" i="2"/>
  <c r="AT78" i="2"/>
  <c r="AV78" i="2"/>
  <c r="AY78" i="2"/>
  <c r="CE41" i="2"/>
  <c r="CC41" i="2"/>
  <c r="BZ41" i="2"/>
  <c r="BX41" i="2"/>
  <c r="BU41" i="2"/>
  <c r="BS41" i="2"/>
  <c r="BP41" i="2"/>
  <c r="BN41" i="2"/>
  <c r="AV41" i="2"/>
  <c r="AY41" i="2"/>
  <c r="Z41" i="2"/>
  <c r="AB41" i="2"/>
  <c r="AE41" i="2"/>
  <c r="AG41" i="2"/>
  <c r="AJ41" i="2"/>
  <c r="AL41" i="2"/>
  <c r="AO41" i="2"/>
  <c r="AQ41" i="2"/>
  <c r="AT41" i="2"/>
  <c r="X89" i="2"/>
  <c r="X17" i="2"/>
  <c r="X18" i="2"/>
  <c r="X19" i="2"/>
  <c r="X20" i="2"/>
  <c r="X90" i="2"/>
  <c r="X43" i="2"/>
  <c r="X91" i="2"/>
  <c r="X92" i="2"/>
  <c r="X21" i="2"/>
  <c r="X44" i="2"/>
  <c r="X45" i="2"/>
  <c r="X46" i="2"/>
  <c r="X22" i="2"/>
  <c r="X47" i="2"/>
  <c r="X93" i="2"/>
  <c r="X23" i="2"/>
  <c r="X94" i="2"/>
  <c r="X125" i="2"/>
  <c r="X24" i="2"/>
  <c r="X48" i="2"/>
  <c r="X49" i="2"/>
  <c r="X50" i="2"/>
  <c r="X51" i="2"/>
  <c r="X95" i="2"/>
  <c r="X96" i="2"/>
  <c r="X25" i="2"/>
  <c r="X31" i="2"/>
  <c r="X97" i="2"/>
  <c r="X52" i="2"/>
  <c r="X53" i="2"/>
  <c r="X54" i="2"/>
  <c r="X55" i="2"/>
  <c r="X128" i="2"/>
  <c r="X129" i="2"/>
  <c r="X130" i="2"/>
  <c r="X56" i="2"/>
  <c r="X32" i="2"/>
  <c r="X57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26" i="2"/>
  <c r="X27" i="2"/>
  <c r="X28" i="2"/>
  <c r="X29" i="2"/>
  <c r="X33" i="2"/>
  <c r="X34" i="2"/>
  <c r="X35" i="2"/>
  <c r="X37" i="2"/>
  <c r="X38" i="2"/>
  <c r="X39" i="2"/>
  <c r="X40" i="2"/>
  <c r="X42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98" i="2"/>
  <c r="X99" i="2"/>
  <c r="X83" i="2"/>
  <c r="X84" i="2"/>
  <c r="X85" i="2"/>
  <c r="X86" i="2"/>
  <c r="X87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21" i="2"/>
  <c r="X122" i="2"/>
  <c r="X132" i="2"/>
  <c r="X136" i="2"/>
  <c r="X139" i="2"/>
  <c r="X140" i="2"/>
  <c r="X142" i="2"/>
  <c r="X143" i="2"/>
  <c r="X144" i="2"/>
  <c r="X145" i="2"/>
  <c r="X146" i="2"/>
  <c r="X148" i="2"/>
  <c r="X149" i="2"/>
  <c r="X150" i="2"/>
  <c r="X151" i="2"/>
  <c r="X152" i="2"/>
  <c r="X153" i="2"/>
  <c r="X154" i="2"/>
  <c r="X157" i="2"/>
  <c r="X156" i="2"/>
  <c r="X88" i="2"/>
  <c r="S9" i="3"/>
  <c r="S3" i="3"/>
  <c r="S4" i="3"/>
  <c r="S5" i="3"/>
  <c r="S6" i="3"/>
  <c r="S7" i="3"/>
  <c r="S8" i="3"/>
  <c r="AU1" i="3"/>
  <c r="CA1" i="3"/>
  <c r="BY1" i="3"/>
  <c r="BW1" i="3"/>
  <c r="BV1" i="3"/>
  <c r="BT1" i="3"/>
  <c r="BR1" i="3"/>
  <c r="BQ1" i="3"/>
  <c r="BO1" i="3"/>
  <c r="BM1" i="3"/>
  <c r="BL1" i="3"/>
  <c r="BJ1" i="3"/>
  <c r="BH1" i="3"/>
  <c r="BG1" i="3"/>
  <c r="BE1" i="3"/>
  <c r="BC1" i="3"/>
  <c r="BB1" i="3"/>
  <c r="AZ1" i="3"/>
  <c r="AX1" i="3"/>
  <c r="AW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T1" i="3"/>
  <c r="BZ8" i="3"/>
  <c r="BX8" i="3"/>
  <c r="BU8" i="3"/>
  <c r="BS8" i="3"/>
  <c r="BP8" i="3"/>
  <c r="BN8" i="3"/>
  <c r="BK8" i="3"/>
  <c r="BI8" i="3"/>
  <c r="BF8" i="3"/>
  <c r="BD8" i="3"/>
  <c r="BA8" i="3"/>
  <c r="AY8" i="3"/>
  <c r="AV8" i="3"/>
  <c r="AT8" i="3"/>
  <c r="AQ8" i="3"/>
  <c r="AO8" i="3"/>
  <c r="AL8" i="3"/>
  <c r="AJ8" i="3"/>
  <c r="AG8" i="3"/>
  <c r="AE8" i="3"/>
  <c r="AB8" i="3"/>
  <c r="Z8" i="3"/>
  <c r="W8" i="3"/>
  <c r="U8" i="3"/>
  <c r="P8" i="3"/>
  <c r="BZ7" i="3"/>
  <c r="BX7" i="3"/>
  <c r="BU7" i="3"/>
  <c r="BS7" i="3"/>
  <c r="BP7" i="3"/>
  <c r="BN7" i="3"/>
  <c r="BK7" i="3"/>
  <c r="BI7" i="3"/>
  <c r="BF7" i="3"/>
  <c r="BD7" i="3"/>
  <c r="BA7" i="3"/>
  <c r="AY7" i="3"/>
  <c r="AV7" i="3"/>
  <c r="AT7" i="3"/>
  <c r="AQ7" i="3"/>
  <c r="AO7" i="3"/>
  <c r="AL7" i="3"/>
  <c r="AJ7" i="3"/>
  <c r="AG7" i="3"/>
  <c r="AE7" i="3"/>
  <c r="AB7" i="3"/>
  <c r="Z7" i="3"/>
  <c r="W7" i="3"/>
  <c r="U7" i="3"/>
  <c r="P7" i="3"/>
  <c r="BZ6" i="3"/>
  <c r="BX6" i="3"/>
  <c r="BU6" i="3"/>
  <c r="BS6" i="3"/>
  <c r="BP6" i="3"/>
  <c r="BN6" i="3"/>
  <c r="BK6" i="3"/>
  <c r="BI6" i="3"/>
  <c r="BF6" i="3"/>
  <c r="BD6" i="3"/>
  <c r="BA6" i="3"/>
  <c r="AY6" i="3"/>
  <c r="AV6" i="3"/>
  <c r="AT6" i="3"/>
  <c r="AQ6" i="3"/>
  <c r="AO6" i="3"/>
  <c r="AL6" i="3"/>
  <c r="AJ6" i="3"/>
  <c r="AG6" i="3"/>
  <c r="AE6" i="3"/>
  <c r="AB6" i="3"/>
  <c r="Z6" i="3"/>
  <c r="W6" i="3"/>
  <c r="U6" i="3"/>
  <c r="P6" i="3"/>
  <c r="BZ5" i="3"/>
  <c r="BX5" i="3"/>
  <c r="BU5" i="3"/>
  <c r="BS5" i="3"/>
  <c r="BP5" i="3"/>
  <c r="BN5" i="3"/>
  <c r="BK5" i="3"/>
  <c r="BI5" i="3"/>
  <c r="BF5" i="3"/>
  <c r="BD5" i="3"/>
  <c r="BA5" i="3"/>
  <c r="AY5" i="3"/>
  <c r="AV5" i="3"/>
  <c r="AT5" i="3"/>
  <c r="AQ5" i="3"/>
  <c r="AO5" i="3"/>
  <c r="AL5" i="3"/>
  <c r="AJ5" i="3"/>
  <c r="AG5" i="3"/>
  <c r="AE5" i="3"/>
  <c r="AB5" i="3"/>
  <c r="Z5" i="3"/>
  <c r="W5" i="3"/>
  <c r="U5" i="3"/>
  <c r="P5" i="3"/>
  <c r="BZ4" i="3"/>
  <c r="BX4" i="3"/>
  <c r="BU4" i="3"/>
  <c r="BS4" i="3"/>
  <c r="BP4" i="3"/>
  <c r="BN4" i="3"/>
  <c r="BK4" i="3"/>
  <c r="BI4" i="3"/>
  <c r="BF4" i="3"/>
  <c r="BD4" i="3"/>
  <c r="BA4" i="3"/>
  <c r="AY4" i="3"/>
  <c r="AV4" i="3"/>
  <c r="AT4" i="3"/>
  <c r="AQ4" i="3"/>
  <c r="AO4" i="3"/>
  <c r="AL4" i="3"/>
  <c r="AJ4" i="3"/>
  <c r="AG4" i="3"/>
  <c r="AE4" i="3"/>
  <c r="AB4" i="3"/>
  <c r="Z4" i="3"/>
  <c r="W4" i="3"/>
  <c r="U4" i="3"/>
  <c r="P4" i="3"/>
  <c r="BZ3" i="3"/>
  <c r="BX3" i="3"/>
  <c r="BU3" i="3"/>
  <c r="BS3" i="3"/>
  <c r="BP3" i="3"/>
  <c r="BN3" i="3"/>
  <c r="BK3" i="3"/>
  <c r="BI3" i="3"/>
  <c r="BF3" i="3"/>
  <c r="BD3" i="3"/>
  <c r="BA3" i="3"/>
  <c r="AY3" i="3"/>
  <c r="AV3" i="3"/>
  <c r="AT3" i="3"/>
  <c r="AQ3" i="3"/>
  <c r="AO3" i="3"/>
  <c r="AL3" i="3"/>
  <c r="AJ3" i="3"/>
  <c r="AG3" i="3"/>
  <c r="AE3" i="3"/>
  <c r="AB3" i="3"/>
  <c r="Z3" i="3"/>
  <c r="W3" i="3"/>
  <c r="U3" i="3"/>
  <c r="P3" i="3"/>
  <c r="BZ9" i="3"/>
  <c r="BX9" i="3"/>
  <c r="BU9" i="3"/>
  <c r="BS9" i="3"/>
  <c r="BP9" i="3"/>
  <c r="BN9" i="3"/>
  <c r="BK9" i="3"/>
  <c r="BI9" i="3"/>
  <c r="BF9" i="3"/>
  <c r="BD9" i="3"/>
  <c r="BA9" i="3"/>
  <c r="AY9" i="3"/>
  <c r="AV9" i="3"/>
  <c r="AT9" i="3"/>
  <c r="AQ9" i="3"/>
  <c r="AO9" i="3"/>
  <c r="AL9" i="3"/>
  <c r="AJ9" i="3"/>
  <c r="AG9" i="3"/>
  <c r="AE9" i="3"/>
  <c r="AB9" i="3"/>
  <c r="Z9" i="3"/>
  <c r="W9" i="3"/>
  <c r="U9" i="3"/>
  <c r="P9" i="3"/>
  <c r="CE88" i="2"/>
  <c r="CC88" i="2"/>
  <c r="BZ88" i="2"/>
  <c r="BX88" i="2"/>
  <c r="BU88" i="2"/>
  <c r="BS88" i="2"/>
  <c r="BP88" i="2"/>
  <c r="BN88" i="2"/>
  <c r="BK88" i="2"/>
  <c r="BI88" i="2"/>
  <c r="BF88" i="2"/>
  <c r="BD88" i="2"/>
  <c r="AY88" i="2"/>
  <c r="AV88" i="2"/>
  <c r="AT88" i="2"/>
  <c r="AQ88" i="2"/>
  <c r="AO88" i="2"/>
  <c r="AL88" i="2"/>
  <c r="AJ88" i="2"/>
  <c r="AG88" i="2"/>
  <c r="AE88" i="2"/>
  <c r="AB88" i="2"/>
  <c r="Z88" i="2"/>
  <c r="U88" i="2"/>
  <c r="CE156" i="2"/>
  <c r="CC156" i="2"/>
  <c r="BZ156" i="2"/>
  <c r="BX156" i="2"/>
  <c r="BU156" i="2"/>
  <c r="BS156" i="2"/>
  <c r="BP156" i="2"/>
  <c r="BN156" i="2"/>
  <c r="BK156" i="2"/>
  <c r="BI156" i="2"/>
  <c r="BF156" i="2"/>
  <c r="BD156" i="2"/>
  <c r="AY156" i="2"/>
  <c r="AV156" i="2"/>
  <c r="AT156" i="2"/>
  <c r="AQ156" i="2"/>
  <c r="AO156" i="2"/>
  <c r="AL156" i="2"/>
  <c r="AJ156" i="2"/>
  <c r="AG156" i="2"/>
  <c r="AE156" i="2"/>
  <c r="AB156" i="2"/>
  <c r="Z156" i="2"/>
  <c r="U156" i="2"/>
  <c r="CE157" i="2"/>
  <c r="CC157" i="2"/>
  <c r="BZ157" i="2"/>
  <c r="BX157" i="2"/>
  <c r="BU157" i="2"/>
  <c r="BS157" i="2"/>
  <c r="BP157" i="2"/>
  <c r="BN157" i="2"/>
  <c r="BK157" i="2"/>
  <c r="BI157" i="2"/>
  <c r="BF157" i="2"/>
  <c r="BD157" i="2"/>
  <c r="AY157" i="2"/>
  <c r="AV157" i="2"/>
  <c r="AT157" i="2"/>
  <c r="AQ157" i="2"/>
  <c r="AO157" i="2"/>
  <c r="AL157" i="2"/>
  <c r="AJ157" i="2"/>
  <c r="AG157" i="2"/>
  <c r="AE157" i="2"/>
  <c r="AB157" i="2"/>
  <c r="Z157" i="2"/>
  <c r="U157" i="2"/>
  <c r="CE155" i="2"/>
  <c r="CC155" i="2"/>
  <c r="BZ155" i="2"/>
  <c r="BX155" i="2"/>
  <c r="BU155" i="2"/>
  <c r="BS155" i="2"/>
  <c r="BP155" i="2"/>
  <c r="BN155" i="2"/>
  <c r="BK155" i="2"/>
  <c r="BI155" i="2"/>
  <c r="BF155" i="2"/>
  <c r="BD155" i="2"/>
  <c r="AY155" i="2"/>
  <c r="AV155" i="2"/>
  <c r="AT155" i="2"/>
  <c r="AQ155" i="2"/>
  <c r="AO155" i="2"/>
  <c r="AL155" i="2"/>
  <c r="AJ155" i="2"/>
  <c r="AG155" i="2"/>
  <c r="AE155" i="2"/>
  <c r="AB155" i="2"/>
  <c r="Z155" i="2"/>
  <c r="U155" i="2"/>
  <c r="CE154" i="2"/>
  <c r="CC154" i="2"/>
  <c r="BZ154" i="2"/>
  <c r="BX154" i="2"/>
  <c r="BU154" i="2"/>
  <c r="BS154" i="2"/>
  <c r="BP154" i="2"/>
  <c r="BN154" i="2"/>
  <c r="BK154" i="2"/>
  <c r="BI154" i="2"/>
  <c r="BF154" i="2"/>
  <c r="BD154" i="2"/>
  <c r="AY154" i="2"/>
  <c r="AV154" i="2"/>
  <c r="AT154" i="2"/>
  <c r="AQ154" i="2"/>
  <c r="AO154" i="2"/>
  <c r="AL154" i="2"/>
  <c r="AJ154" i="2"/>
  <c r="AG154" i="2"/>
  <c r="AE154" i="2"/>
  <c r="AB154" i="2"/>
  <c r="Z154" i="2"/>
  <c r="U154" i="2"/>
  <c r="CE153" i="2"/>
  <c r="CC153" i="2"/>
  <c r="BZ153" i="2"/>
  <c r="BX153" i="2"/>
  <c r="BU153" i="2"/>
  <c r="BS153" i="2"/>
  <c r="BP153" i="2"/>
  <c r="BN153" i="2"/>
  <c r="BK153" i="2"/>
  <c r="BI153" i="2"/>
  <c r="BF153" i="2"/>
  <c r="BD153" i="2"/>
  <c r="AY153" i="2"/>
  <c r="AV153" i="2"/>
  <c r="AT153" i="2"/>
  <c r="AQ153" i="2"/>
  <c r="AO153" i="2"/>
  <c r="AL153" i="2"/>
  <c r="AJ153" i="2"/>
  <c r="AG153" i="2"/>
  <c r="AE153" i="2"/>
  <c r="AB153" i="2"/>
  <c r="Z153" i="2"/>
  <c r="U153" i="2"/>
  <c r="CE152" i="2"/>
  <c r="CC152" i="2"/>
  <c r="BZ152" i="2"/>
  <c r="BX152" i="2"/>
  <c r="BU152" i="2"/>
  <c r="BS152" i="2"/>
  <c r="BP152" i="2"/>
  <c r="BN152" i="2"/>
  <c r="BK152" i="2"/>
  <c r="BI152" i="2"/>
  <c r="BF152" i="2"/>
  <c r="BD152" i="2"/>
  <c r="AY152" i="2"/>
  <c r="AV152" i="2"/>
  <c r="AT152" i="2"/>
  <c r="AQ152" i="2"/>
  <c r="AO152" i="2"/>
  <c r="AL152" i="2"/>
  <c r="AJ152" i="2"/>
  <c r="AG152" i="2"/>
  <c r="AE152" i="2"/>
  <c r="AB152" i="2"/>
  <c r="Z152" i="2"/>
  <c r="U152" i="2"/>
  <c r="CE151" i="2"/>
  <c r="CC151" i="2"/>
  <c r="BZ151" i="2"/>
  <c r="BX151" i="2"/>
  <c r="BU151" i="2"/>
  <c r="BS151" i="2"/>
  <c r="BP151" i="2"/>
  <c r="BN151" i="2"/>
  <c r="BK151" i="2"/>
  <c r="BI151" i="2"/>
  <c r="BF151" i="2"/>
  <c r="BD151" i="2"/>
  <c r="AY151" i="2"/>
  <c r="AV151" i="2"/>
  <c r="AT151" i="2"/>
  <c r="AQ151" i="2"/>
  <c r="AO151" i="2"/>
  <c r="AL151" i="2"/>
  <c r="AJ151" i="2"/>
  <c r="AG151" i="2"/>
  <c r="AE151" i="2"/>
  <c r="AB151" i="2"/>
  <c r="Z151" i="2"/>
  <c r="U151" i="2"/>
  <c r="CE150" i="2"/>
  <c r="CC150" i="2"/>
  <c r="BZ150" i="2"/>
  <c r="BX150" i="2"/>
  <c r="BU150" i="2"/>
  <c r="BS150" i="2"/>
  <c r="BP150" i="2"/>
  <c r="BN150" i="2"/>
  <c r="BK150" i="2"/>
  <c r="BI150" i="2"/>
  <c r="BF150" i="2"/>
  <c r="BD150" i="2"/>
  <c r="AY150" i="2"/>
  <c r="AV150" i="2"/>
  <c r="AT150" i="2"/>
  <c r="AQ150" i="2"/>
  <c r="AO150" i="2"/>
  <c r="AL150" i="2"/>
  <c r="AJ150" i="2"/>
  <c r="AG150" i="2"/>
  <c r="AE150" i="2"/>
  <c r="AB150" i="2"/>
  <c r="Z150" i="2"/>
  <c r="U150" i="2"/>
  <c r="CE149" i="2"/>
  <c r="CC149" i="2"/>
  <c r="BZ149" i="2"/>
  <c r="BX149" i="2"/>
  <c r="BU149" i="2"/>
  <c r="BS149" i="2"/>
  <c r="BP149" i="2"/>
  <c r="BN149" i="2"/>
  <c r="BK149" i="2"/>
  <c r="BI149" i="2"/>
  <c r="BF149" i="2"/>
  <c r="BD149" i="2"/>
  <c r="AY149" i="2"/>
  <c r="AV149" i="2"/>
  <c r="AT149" i="2"/>
  <c r="AQ149" i="2"/>
  <c r="AO149" i="2"/>
  <c r="AL149" i="2"/>
  <c r="AJ149" i="2"/>
  <c r="AG149" i="2"/>
  <c r="AE149" i="2"/>
  <c r="AB149" i="2"/>
  <c r="Z149" i="2"/>
  <c r="U149" i="2"/>
  <c r="CE148" i="2"/>
  <c r="CC148" i="2"/>
  <c r="BZ148" i="2"/>
  <c r="BX148" i="2"/>
  <c r="BU148" i="2"/>
  <c r="BS148" i="2"/>
  <c r="BP148" i="2"/>
  <c r="BN148" i="2"/>
  <c r="BK148" i="2"/>
  <c r="BI148" i="2"/>
  <c r="BF148" i="2"/>
  <c r="BD148" i="2"/>
  <c r="AY148" i="2"/>
  <c r="AV148" i="2"/>
  <c r="AT148" i="2"/>
  <c r="AQ148" i="2"/>
  <c r="AO148" i="2"/>
  <c r="AL148" i="2"/>
  <c r="AJ148" i="2"/>
  <c r="AG148" i="2"/>
  <c r="AE148" i="2"/>
  <c r="AB148" i="2"/>
  <c r="Z148" i="2"/>
  <c r="U148" i="2"/>
  <c r="CE147" i="2"/>
  <c r="CC147" i="2"/>
  <c r="BZ147" i="2"/>
  <c r="BX147" i="2"/>
  <c r="BU147" i="2"/>
  <c r="BS147" i="2"/>
  <c r="BP147" i="2"/>
  <c r="BN147" i="2"/>
  <c r="BK147" i="2"/>
  <c r="BI147" i="2"/>
  <c r="BF147" i="2"/>
  <c r="BD147" i="2"/>
  <c r="AY147" i="2"/>
  <c r="AV147" i="2"/>
  <c r="AT147" i="2"/>
  <c r="AQ147" i="2"/>
  <c r="AO147" i="2"/>
  <c r="AL147" i="2"/>
  <c r="AJ147" i="2"/>
  <c r="AG147" i="2"/>
  <c r="AE147" i="2"/>
  <c r="AB147" i="2"/>
  <c r="Z147" i="2"/>
  <c r="U147" i="2"/>
  <c r="CE146" i="2"/>
  <c r="CC146" i="2"/>
  <c r="BZ146" i="2"/>
  <c r="BX146" i="2"/>
  <c r="BU146" i="2"/>
  <c r="BS146" i="2"/>
  <c r="BP146" i="2"/>
  <c r="BN146" i="2"/>
  <c r="BK146" i="2"/>
  <c r="BI146" i="2"/>
  <c r="BF146" i="2"/>
  <c r="BD146" i="2"/>
  <c r="AY146" i="2"/>
  <c r="AV146" i="2"/>
  <c r="AT146" i="2"/>
  <c r="AQ146" i="2"/>
  <c r="AO146" i="2"/>
  <c r="AL146" i="2"/>
  <c r="AJ146" i="2"/>
  <c r="AG146" i="2"/>
  <c r="AE146" i="2"/>
  <c r="AB146" i="2"/>
  <c r="Z146" i="2"/>
  <c r="U146" i="2"/>
  <c r="CE145" i="2"/>
  <c r="CC145" i="2"/>
  <c r="BZ145" i="2"/>
  <c r="BX145" i="2"/>
  <c r="BU145" i="2"/>
  <c r="BS145" i="2"/>
  <c r="BP145" i="2"/>
  <c r="BN145" i="2"/>
  <c r="BK145" i="2"/>
  <c r="BI145" i="2"/>
  <c r="BF145" i="2"/>
  <c r="BD145" i="2"/>
  <c r="AY145" i="2"/>
  <c r="AV145" i="2"/>
  <c r="AT145" i="2"/>
  <c r="AQ145" i="2"/>
  <c r="AO145" i="2"/>
  <c r="AL145" i="2"/>
  <c r="AJ145" i="2"/>
  <c r="AG145" i="2"/>
  <c r="AE145" i="2"/>
  <c r="AB145" i="2"/>
  <c r="Z145" i="2"/>
  <c r="U145" i="2"/>
  <c r="CE144" i="2"/>
  <c r="CC144" i="2"/>
  <c r="BZ144" i="2"/>
  <c r="BX144" i="2"/>
  <c r="BU144" i="2"/>
  <c r="BS144" i="2"/>
  <c r="BP144" i="2"/>
  <c r="BN144" i="2"/>
  <c r="BK144" i="2"/>
  <c r="BI144" i="2"/>
  <c r="BF144" i="2"/>
  <c r="BD144" i="2"/>
  <c r="AY144" i="2"/>
  <c r="AV144" i="2"/>
  <c r="AT144" i="2"/>
  <c r="AQ144" i="2"/>
  <c r="AO144" i="2"/>
  <c r="AL144" i="2"/>
  <c r="AJ144" i="2"/>
  <c r="AG144" i="2"/>
  <c r="AE144" i="2"/>
  <c r="AB144" i="2"/>
  <c r="Z144" i="2"/>
  <c r="U144" i="2"/>
  <c r="CE143" i="2"/>
  <c r="CC143" i="2"/>
  <c r="BZ143" i="2"/>
  <c r="BX143" i="2"/>
  <c r="BU143" i="2"/>
  <c r="BS143" i="2"/>
  <c r="BP143" i="2"/>
  <c r="BN143" i="2"/>
  <c r="BK143" i="2"/>
  <c r="BI143" i="2"/>
  <c r="BF143" i="2"/>
  <c r="BD143" i="2"/>
  <c r="AY143" i="2"/>
  <c r="AV143" i="2"/>
  <c r="AT143" i="2"/>
  <c r="AQ143" i="2"/>
  <c r="AO143" i="2"/>
  <c r="AL143" i="2"/>
  <c r="AJ143" i="2"/>
  <c r="AG143" i="2"/>
  <c r="AE143" i="2"/>
  <c r="AB143" i="2"/>
  <c r="Z143" i="2"/>
  <c r="U143" i="2"/>
  <c r="CE142" i="2"/>
  <c r="CC142" i="2"/>
  <c r="BZ142" i="2"/>
  <c r="BX142" i="2"/>
  <c r="BU142" i="2"/>
  <c r="BS142" i="2"/>
  <c r="BP142" i="2"/>
  <c r="BN142" i="2"/>
  <c r="BK142" i="2"/>
  <c r="BI142" i="2"/>
  <c r="BF142" i="2"/>
  <c r="BD142" i="2"/>
  <c r="AY142" i="2"/>
  <c r="AV142" i="2"/>
  <c r="AT142" i="2"/>
  <c r="AQ142" i="2"/>
  <c r="AO142" i="2"/>
  <c r="AL142" i="2"/>
  <c r="AJ142" i="2"/>
  <c r="AG142" i="2"/>
  <c r="AE142" i="2"/>
  <c r="AB142" i="2"/>
  <c r="Z142" i="2"/>
  <c r="U142" i="2"/>
  <c r="CE141" i="2"/>
  <c r="CC141" i="2"/>
  <c r="BZ141" i="2"/>
  <c r="BX141" i="2"/>
  <c r="BU141" i="2"/>
  <c r="BS141" i="2"/>
  <c r="BP141" i="2"/>
  <c r="BN141" i="2"/>
  <c r="BK141" i="2"/>
  <c r="BI141" i="2"/>
  <c r="BF141" i="2"/>
  <c r="BD141" i="2"/>
  <c r="AY141" i="2"/>
  <c r="AV141" i="2"/>
  <c r="AT141" i="2"/>
  <c r="AQ141" i="2"/>
  <c r="AO141" i="2"/>
  <c r="AL141" i="2"/>
  <c r="AJ141" i="2"/>
  <c r="AG141" i="2"/>
  <c r="AE141" i="2"/>
  <c r="AB141" i="2"/>
  <c r="Z141" i="2"/>
  <c r="U141" i="2"/>
  <c r="CE140" i="2"/>
  <c r="CC140" i="2"/>
  <c r="BZ140" i="2"/>
  <c r="BX140" i="2"/>
  <c r="BU140" i="2"/>
  <c r="BS140" i="2"/>
  <c r="BP140" i="2"/>
  <c r="BN140" i="2"/>
  <c r="BK140" i="2"/>
  <c r="BI140" i="2"/>
  <c r="BF140" i="2"/>
  <c r="BD140" i="2"/>
  <c r="AY140" i="2"/>
  <c r="AV140" i="2"/>
  <c r="AT140" i="2"/>
  <c r="AQ140" i="2"/>
  <c r="AO140" i="2"/>
  <c r="AL140" i="2"/>
  <c r="AJ140" i="2"/>
  <c r="AG140" i="2"/>
  <c r="AE140" i="2"/>
  <c r="AB140" i="2"/>
  <c r="Z140" i="2"/>
  <c r="U140" i="2"/>
  <c r="CE139" i="2"/>
  <c r="CC139" i="2"/>
  <c r="BZ139" i="2"/>
  <c r="BX139" i="2"/>
  <c r="BU139" i="2"/>
  <c r="BS139" i="2"/>
  <c r="BP139" i="2"/>
  <c r="BN139" i="2"/>
  <c r="BK139" i="2"/>
  <c r="BI139" i="2"/>
  <c r="BF139" i="2"/>
  <c r="BD139" i="2"/>
  <c r="AY139" i="2"/>
  <c r="AV139" i="2"/>
  <c r="AT139" i="2"/>
  <c r="AQ139" i="2"/>
  <c r="AO139" i="2"/>
  <c r="AL139" i="2"/>
  <c r="AJ139" i="2"/>
  <c r="AG139" i="2"/>
  <c r="AE139" i="2"/>
  <c r="AB139" i="2"/>
  <c r="Z139" i="2"/>
  <c r="U139" i="2"/>
  <c r="CE138" i="2"/>
  <c r="CC138" i="2"/>
  <c r="BZ138" i="2"/>
  <c r="BX138" i="2"/>
  <c r="BU138" i="2"/>
  <c r="BS138" i="2"/>
  <c r="BP138" i="2"/>
  <c r="BN138" i="2"/>
  <c r="BK138" i="2"/>
  <c r="BI138" i="2"/>
  <c r="BF138" i="2"/>
  <c r="BD138" i="2"/>
  <c r="AY138" i="2"/>
  <c r="AV138" i="2"/>
  <c r="AT138" i="2"/>
  <c r="AQ138" i="2"/>
  <c r="AO138" i="2"/>
  <c r="AL138" i="2"/>
  <c r="AJ138" i="2"/>
  <c r="AG138" i="2"/>
  <c r="AE138" i="2"/>
  <c r="AB138" i="2"/>
  <c r="Z138" i="2"/>
  <c r="U138" i="2"/>
  <c r="CE137" i="2"/>
  <c r="CC137" i="2"/>
  <c r="BZ137" i="2"/>
  <c r="BX137" i="2"/>
  <c r="BU137" i="2"/>
  <c r="BS137" i="2"/>
  <c r="BP137" i="2"/>
  <c r="BN137" i="2"/>
  <c r="BK137" i="2"/>
  <c r="BI137" i="2"/>
  <c r="BF137" i="2"/>
  <c r="BD137" i="2"/>
  <c r="AY137" i="2"/>
  <c r="AV137" i="2"/>
  <c r="AT137" i="2"/>
  <c r="AQ137" i="2"/>
  <c r="AO137" i="2"/>
  <c r="AL137" i="2"/>
  <c r="AJ137" i="2"/>
  <c r="AG137" i="2"/>
  <c r="AE137" i="2"/>
  <c r="AB137" i="2"/>
  <c r="Z137" i="2"/>
  <c r="U137" i="2"/>
  <c r="CE136" i="2"/>
  <c r="CC136" i="2"/>
  <c r="BZ136" i="2"/>
  <c r="BX136" i="2"/>
  <c r="BU136" i="2"/>
  <c r="BS136" i="2"/>
  <c r="BP136" i="2"/>
  <c r="BN136" i="2"/>
  <c r="BK136" i="2"/>
  <c r="BI136" i="2"/>
  <c r="BF136" i="2"/>
  <c r="BD136" i="2"/>
  <c r="AY136" i="2"/>
  <c r="AV136" i="2"/>
  <c r="AT136" i="2"/>
  <c r="AQ136" i="2"/>
  <c r="AO136" i="2"/>
  <c r="AL136" i="2"/>
  <c r="AJ136" i="2"/>
  <c r="AG136" i="2"/>
  <c r="AE136" i="2"/>
  <c r="AB136" i="2"/>
  <c r="Z136" i="2"/>
  <c r="U136" i="2"/>
  <c r="CE135" i="2"/>
  <c r="CC135" i="2"/>
  <c r="BZ135" i="2"/>
  <c r="BX135" i="2"/>
  <c r="BU135" i="2"/>
  <c r="BS135" i="2"/>
  <c r="BP135" i="2"/>
  <c r="BN135" i="2"/>
  <c r="BK135" i="2"/>
  <c r="BI135" i="2"/>
  <c r="BF135" i="2"/>
  <c r="BD135" i="2"/>
  <c r="AY135" i="2"/>
  <c r="AV135" i="2"/>
  <c r="AT135" i="2"/>
  <c r="AQ135" i="2"/>
  <c r="AO135" i="2"/>
  <c r="AL135" i="2"/>
  <c r="AJ135" i="2"/>
  <c r="AG135" i="2"/>
  <c r="AE135" i="2"/>
  <c r="AB135" i="2"/>
  <c r="Z135" i="2"/>
  <c r="U135" i="2"/>
  <c r="CE134" i="2"/>
  <c r="CC134" i="2"/>
  <c r="BZ134" i="2"/>
  <c r="BX134" i="2"/>
  <c r="BU134" i="2"/>
  <c r="BS134" i="2"/>
  <c r="BP134" i="2"/>
  <c r="BN134" i="2"/>
  <c r="BK134" i="2"/>
  <c r="BI134" i="2"/>
  <c r="BF134" i="2"/>
  <c r="BD134" i="2"/>
  <c r="AY134" i="2"/>
  <c r="AV134" i="2"/>
  <c r="AT134" i="2"/>
  <c r="AQ134" i="2"/>
  <c r="AO134" i="2"/>
  <c r="AL134" i="2"/>
  <c r="AJ134" i="2"/>
  <c r="AG134" i="2"/>
  <c r="AE134" i="2"/>
  <c r="AB134" i="2"/>
  <c r="Z134" i="2"/>
  <c r="U134" i="2"/>
  <c r="CE133" i="2"/>
  <c r="CC133" i="2"/>
  <c r="BZ133" i="2"/>
  <c r="BX133" i="2"/>
  <c r="BU133" i="2"/>
  <c r="BS133" i="2"/>
  <c r="BP133" i="2"/>
  <c r="BN133" i="2"/>
  <c r="BK133" i="2"/>
  <c r="BI133" i="2"/>
  <c r="BF133" i="2"/>
  <c r="BD133" i="2"/>
  <c r="AY133" i="2"/>
  <c r="AV133" i="2"/>
  <c r="AT133" i="2"/>
  <c r="AQ133" i="2"/>
  <c r="AO133" i="2"/>
  <c r="AL133" i="2"/>
  <c r="AJ133" i="2"/>
  <c r="AG133" i="2"/>
  <c r="AE133" i="2"/>
  <c r="AB133" i="2"/>
  <c r="Z133" i="2"/>
  <c r="U133" i="2"/>
  <c r="CE132" i="2"/>
  <c r="CC132" i="2"/>
  <c r="BZ132" i="2"/>
  <c r="BX132" i="2"/>
  <c r="BU132" i="2"/>
  <c r="BS132" i="2"/>
  <c r="BP132" i="2"/>
  <c r="BN132" i="2"/>
  <c r="BK132" i="2"/>
  <c r="BI132" i="2"/>
  <c r="BF132" i="2"/>
  <c r="BD132" i="2"/>
  <c r="AY132" i="2"/>
  <c r="AV132" i="2"/>
  <c r="AT132" i="2"/>
  <c r="AQ132" i="2"/>
  <c r="AO132" i="2"/>
  <c r="AL132" i="2"/>
  <c r="AJ132" i="2"/>
  <c r="AG132" i="2"/>
  <c r="AE132" i="2"/>
  <c r="AB132" i="2"/>
  <c r="Z132" i="2"/>
  <c r="U132" i="2"/>
  <c r="CE131" i="2"/>
  <c r="CC131" i="2"/>
  <c r="BZ131" i="2"/>
  <c r="BX131" i="2"/>
  <c r="BU131" i="2"/>
  <c r="BS131" i="2"/>
  <c r="BP131" i="2"/>
  <c r="BN131" i="2"/>
  <c r="BK131" i="2"/>
  <c r="BI131" i="2"/>
  <c r="BF131" i="2"/>
  <c r="BD131" i="2"/>
  <c r="AY131" i="2"/>
  <c r="AV131" i="2"/>
  <c r="AT131" i="2"/>
  <c r="AQ131" i="2"/>
  <c r="AO131" i="2"/>
  <c r="AL131" i="2"/>
  <c r="AJ131" i="2"/>
  <c r="AG131" i="2"/>
  <c r="AE131" i="2"/>
  <c r="AB131" i="2"/>
  <c r="Z131" i="2"/>
  <c r="U131" i="2"/>
  <c r="CE122" i="2"/>
  <c r="CC122" i="2"/>
  <c r="BZ122" i="2"/>
  <c r="BX122" i="2"/>
  <c r="BU122" i="2"/>
  <c r="BS122" i="2"/>
  <c r="BP122" i="2"/>
  <c r="BN122" i="2"/>
  <c r="BK122" i="2"/>
  <c r="BI122" i="2"/>
  <c r="BF122" i="2"/>
  <c r="BD122" i="2"/>
  <c r="AY122" i="2"/>
  <c r="AV122" i="2"/>
  <c r="AT122" i="2"/>
  <c r="AQ122" i="2"/>
  <c r="AO122" i="2"/>
  <c r="AL122" i="2"/>
  <c r="AJ122" i="2"/>
  <c r="AG122" i="2"/>
  <c r="AE122" i="2"/>
  <c r="AB122" i="2"/>
  <c r="Z122" i="2"/>
  <c r="U122" i="2"/>
  <c r="CE121" i="2"/>
  <c r="CC121" i="2"/>
  <c r="BZ121" i="2"/>
  <c r="BX121" i="2"/>
  <c r="BU121" i="2"/>
  <c r="BS121" i="2"/>
  <c r="BP121" i="2"/>
  <c r="BN121" i="2"/>
  <c r="BK121" i="2"/>
  <c r="BI121" i="2"/>
  <c r="BF121" i="2"/>
  <c r="BD121" i="2"/>
  <c r="AY121" i="2"/>
  <c r="AV121" i="2"/>
  <c r="AT121" i="2"/>
  <c r="AQ121" i="2"/>
  <c r="AO121" i="2"/>
  <c r="AL121" i="2"/>
  <c r="AJ121" i="2"/>
  <c r="AG121" i="2"/>
  <c r="AE121" i="2"/>
  <c r="AB121" i="2"/>
  <c r="Z121" i="2"/>
  <c r="U121" i="2"/>
  <c r="CE120" i="2"/>
  <c r="CC120" i="2"/>
  <c r="BZ120" i="2"/>
  <c r="BX120" i="2"/>
  <c r="BU120" i="2"/>
  <c r="BS120" i="2"/>
  <c r="BP120" i="2"/>
  <c r="BN120" i="2"/>
  <c r="BK120" i="2"/>
  <c r="BI120" i="2"/>
  <c r="BF120" i="2"/>
  <c r="BD120" i="2"/>
  <c r="AY120" i="2"/>
  <c r="AV120" i="2"/>
  <c r="AT120" i="2"/>
  <c r="AQ120" i="2"/>
  <c r="AO120" i="2"/>
  <c r="AL120" i="2"/>
  <c r="AJ120" i="2"/>
  <c r="AG120" i="2"/>
  <c r="AE120" i="2"/>
  <c r="AB120" i="2"/>
  <c r="Z120" i="2"/>
  <c r="U120" i="2"/>
  <c r="CE119" i="2"/>
  <c r="CC119" i="2"/>
  <c r="BZ119" i="2"/>
  <c r="BX119" i="2"/>
  <c r="BU119" i="2"/>
  <c r="BS119" i="2"/>
  <c r="BP119" i="2"/>
  <c r="BN119" i="2"/>
  <c r="BK119" i="2"/>
  <c r="BI119" i="2"/>
  <c r="BF119" i="2"/>
  <c r="BD119" i="2"/>
  <c r="AY119" i="2"/>
  <c r="AV119" i="2"/>
  <c r="AT119" i="2"/>
  <c r="AQ119" i="2"/>
  <c r="AO119" i="2"/>
  <c r="AL119" i="2"/>
  <c r="AJ119" i="2"/>
  <c r="AG119" i="2"/>
  <c r="AE119" i="2"/>
  <c r="AB119" i="2"/>
  <c r="Z119" i="2"/>
  <c r="U119" i="2"/>
  <c r="CE118" i="2"/>
  <c r="CC118" i="2"/>
  <c r="BZ118" i="2"/>
  <c r="BX118" i="2"/>
  <c r="BU118" i="2"/>
  <c r="BS118" i="2"/>
  <c r="BP118" i="2"/>
  <c r="BN118" i="2"/>
  <c r="BK118" i="2"/>
  <c r="BI118" i="2"/>
  <c r="BF118" i="2"/>
  <c r="BD118" i="2"/>
  <c r="AY118" i="2"/>
  <c r="AV118" i="2"/>
  <c r="AT118" i="2"/>
  <c r="AQ118" i="2"/>
  <c r="AO118" i="2"/>
  <c r="AL118" i="2"/>
  <c r="AJ118" i="2"/>
  <c r="AG118" i="2"/>
  <c r="AE118" i="2"/>
  <c r="AB118" i="2"/>
  <c r="Z118" i="2"/>
  <c r="U118" i="2"/>
  <c r="CE117" i="2"/>
  <c r="CC117" i="2"/>
  <c r="BZ117" i="2"/>
  <c r="BX117" i="2"/>
  <c r="BU117" i="2"/>
  <c r="BS117" i="2"/>
  <c r="BP117" i="2"/>
  <c r="BN117" i="2"/>
  <c r="BK117" i="2"/>
  <c r="BI117" i="2"/>
  <c r="BF117" i="2"/>
  <c r="BD117" i="2"/>
  <c r="AY117" i="2"/>
  <c r="AV117" i="2"/>
  <c r="AT117" i="2"/>
  <c r="AQ117" i="2"/>
  <c r="AO117" i="2"/>
  <c r="AL117" i="2"/>
  <c r="AJ117" i="2"/>
  <c r="AG117" i="2"/>
  <c r="AE117" i="2"/>
  <c r="AB117" i="2"/>
  <c r="Z117" i="2"/>
  <c r="U117" i="2"/>
  <c r="CE116" i="2"/>
  <c r="CC116" i="2"/>
  <c r="BZ116" i="2"/>
  <c r="BX116" i="2"/>
  <c r="BU116" i="2"/>
  <c r="BS116" i="2"/>
  <c r="BP116" i="2"/>
  <c r="BN116" i="2"/>
  <c r="BK116" i="2"/>
  <c r="BI116" i="2"/>
  <c r="BF116" i="2"/>
  <c r="BD116" i="2"/>
  <c r="AY116" i="2"/>
  <c r="AV116" i="2"/>
  <c r="AT116" i="2"/>
  <c r="AQ116" i="2"/>
  <c r="AO116" i="2"/>
  <c r="AL116" i="2"/>
  <c r="AJ116" i="2"/>
  <c r="AG116" i="2"/>
  <c r="AE116" i="2"/>
  <c r="AB116" i="2"/>
  <c r="Z116" i="2"/>
  <c r="U116" i="2"/>
  <c r="CE115" i="2"/>
  <c r="CC115" i="2"/>
  <c r="BZ115" i="2"/>
  <c r="BX115" i="2"/>
  <c r="BU115" i="2"/>
  <c r="BS115" i="2"/>
  <c r="BP115" i="2"/>
  <c r="BN115" i="2"/>
  <c r="BK115" i="2"/>
  <c r="BI115" i="2"/>
  <c r="BF115" i="2"/>
  <c r="BD115" i="2"/>
  <c r="AY115" i="2"/>
  <c r="AV115" i="2"/>
  <c r="AT115" i="2"/>
  <c r="AQ115" i="2"/>
  <c r="AO115" i="2"/>
  <c r="AL115" i="2"/>
  <c r="AJ115" i="2"/>
  <c r="AG115" i="2"/>
  <c r="AE115" i="2"/>
  <c r="AB115" i="2"/>
  <c r="Z115" i="2"/>
  <c r="U115" i="2"/>
  <c r="CE114" i="2"/>
  <c r="CC114" i="2"/>
  <c r="BZ114" i="2"/>
  <c r="BX114" i="2"/>
  <c r="BU114" i="2"/>
  <c r="BS114" i="2"/>
  <c r="BP114" i="2"/>
  <c r="BN114" i="2"/>
  <c r="BK114" i="2"/>
  <c r="BI114" i="2"/>
  <c r="BF114" i="2"/>
  <c r="BD114" i="2"/>
  <c r="AY114" i="2"/>
  <c r="AV114" i="2"/>
  <c r="AT114" i="2"/>
  <c r="AQ114" i="2"/>
  <c r="AO114" i="2"/>
  <c r="AL114" i="2"/>
  <c r="AJ114" i="2"/>
  <c r="AG114" i="2"/>
  <c r="AE114" i="2"/>
  <c r="AB114" i="2"/>
  <c r="Z114" i="2"/>
  <c r="U114" i="2"/>
  <c r="CE113" i="2"/>
  <c r="CC113" i="2"/>
  <c r="BZ113" i="2"/>
  <c r="BX113" i="2"/>
  <c r="BU113" i="2"/>
  <c r="BS113" i="2"/>
  <c r="BP113" i="2"/>
  <c r="BN113" i="2"/>
  <c r="BK113" i="2"/>
  <c r="BI113" i="2"/>
  <c r="BF113" i="2"/>
  <c r="BD113" i="2"/>
  <c r="AY113" i="2"/>
  <c r="AV113" i="2"/>
  <c r="AT113" i="2"/>
  <c r="AQ113" i="2"/>
  <c r="AO113" i="2"/>
  <c r="AL113" i="2"/>
  <c r="AJ113" i="2"/>
  <c r="AG113" i="2"/>
  <c r="AE113" i="2"/>
  <c r="AB113" i="2"/>
  <c r="Z113" i="2"/>
  <c r="U113" i="2"/>
  <c r="CE112" i="2"/>
  <c r="CC112" i="2"/>
  <c r="BZ112" i="2"/>
  <c r="BX112" i="2"/>
  <c r="BU112" i="2"/>
  <c r="BS112" i="2"/>
  <c r="BP112" i="2"/>
  <c r="BN112" i="2"/>
  <c r="BK112" i="2"/>
  <c r="BI112" i="2"/>
  <c r="BF112" i="2"/>
  <c r="BD112" i="2"/>
  <c r="AY112" i="2"/>
  <c r="AV112" i="2"/>
  <c r="AT112" i="2"/>
  <c r="AQ112" i="2"/>
  <c r="AO112" i="2"/>
  <c r="AL112" i="2"/>
  <c r="AJ112" i="2"/>
  <c r="AG112" i="2"/>
  <c r="AE112" i="2"/>
  <c r="AB112" i="2"/>
  <c r="Z112" i="2"/>
  <c r="U112" i="2"/>
  <c r="CE111" i="2"/>
  <c r="CC111" i="2"/>
  <c r="BZ111" i="2"/>
  <c r="BX111" i="2"/>
  <c r="BU111" i="2"/>
  <c r="BS111" i="2"/>
  <c r="BP111" i="2"/>
  <c r="BN111" i="2"/>
  <c r="BK111" i="2"/>
  <c r="BI111" i="2"/>
  <c r="BF111" i="2"/>
  <c r="BD111" i="2"/>
  <c r="AY111" i="2"/>
  <c r="AV111" i="2"/>
  <c r="AT111" i="2"/>
  <c r="AQ111" i="2"/>
  <c r="AO111" i="2"/>
  <c r="AL111" i="2"/>
  <c r="AJ111" i="2"/>
  <c r="AG111" i="2"/>
  <c r="AE111" i="2"/>
  <c r="AB111" i="2"/>
  <c r="Z111" i="2"/>
  <c r="U111" i="2"/>
  <c r="CE110" i="2"/>
  <c r="CC110" i="2"/>
  <c r="BZ110" i="2"/>
  <c r="BX110" i="2"/>
  <c r="BU110" i="2"/>
  <c r="BS110" i="2"/>
  <c r="BP110" i="2"/>
  <c r="BN110" i="2"/>
  <c r="BK110" i="2"/>
  <c r="BI110" i="2"/>
  <c r="BF110" i="2"/>
  <c r="BD110" i="2"/>
  <c r="AY110" i="2"/>
  <c r="AV110" i="2"/>
  <c r="AT110" i="2"/>
  <c r="AQ110" i="2"/>
  <c r="AO110" i="2"/>
  <c r="AL110" i="2"/>
  <c r="AJ110" i="2"/>
  <c r="AG110" i="2"/>
  <c r="AE110" i="2"/>
  <c r="AB110" i="2"/>
  <c r="Z110" i="2"/>
  <c r="U110" i="2"/>
  <c r="CE109" i="2"/>
  <c r="CC109" i="2"/>
  <c r="BZ109" i="2"/>
  <c r="BX109" i="2"/>
  <c r="BU109" i="2"/>
  <c r="BS109" i="2"/>
  <c r="BP109" i="2"/>
  <c r="BN109" i="2"/>
  <c r="BK109" i="2"/>
  <c r="BI109" i="2"/>
  <c r="BF109" i="2"/>
  <c r="BD109" i="2"/>
  <c r="AY109" i="2"/>
  <c r="AV109" i="2"/>
  <c r="AT109" i="2"/>
  <c r="AQ109" i="2"/>
  <c r="AO109" i="2"/>
  <c r="AL109" i="2"/>
  <c r="AJ109" i="2"/>
  <c r="AG109" i="2"/>
  <c r="AE109" i="2"/>
  <c r="AB109" i="2"/>
  <c r="Z109" i="2"/>
  <c r="U109" i="2"/>
  <c r="CE108" i="2"/>
  <c r="CC108" i="2"/>
  <c r="BZ108" i="2"/>
  <c r="BX108" i="2"/>
  <c r="BU108" i="2"/>
  <c r="BS108" i="2"/>
  <c r="BP108" i="2"/>
  <c r="BN108" i="2"/>
  <c r="BK108" i="2"/>
  <c r="BI108" i="2"/>
  <c r="BF108" i="2"/>
  <c r="BD108" i="2"/>
  <c r="AY108" i="2"/>
  <c r="AV108" i="2"/>
  <c r="AT108" i="2"/>
  <c r="AQ108" i="2"/>
  <c r="AO108" i="2"/>
  <c r="AL108" i="2"/>
  <c r="AJ108" i="2"/>
  <c r="AG108" i="2"/>
  <c r="AE108" i="2"/>
  <c r="AB108" i="2"/>
  <c r="Z108" i="2"/>
  <c r="U108" i="2"/>
  <c r="CE107" i="2"/>
  <c r="CC107" i="2"/>
  <c r="BZ107" i="2"/>
  <c r="BX107" i="2"/>
  <c r="BU107" i="2"/>
  <c r="BS107" i="2"/>
  <c r="BP107" i="2"/>
  <c r="BN107" i="2"/>
  <c r="BK107" i="2"/>
  <c r="BI107" i="2"/>
  <c r="BF107" i="2"/>
  <c r="BD107" i="2"/>
  <c r="AY107" i="2"/>
  <c r="AV107" i="2"/>
  <c r="AT107" i="2"/>
  <c r="AQ107" i="2"/>
  <c r="AO107" i="2"/>
  <c r="AL107" i="2"/>
  <c r="AJ107" i="2"/>
  <c r="AG107" i="2"/>
  <c r="AE107" i="2"/>
  <c r="AB107" i="2"/>
  <c r="Z107" i="2"/>
  <c r="U107" i="2"/>
  <c r="CE106" i="2"/>
  <c r="CC106" i="2"/>
  <c r="BZ106" i="2"/>
  <c r="BX106" i="2"/>
  <c r="BU106" i="2"/>
  <c r="BS106" i="2"/>
  <c r="BP106" i="2"/>
  <c r="BN106" i="2"/>
  <c r="BK106" i="2"/>
  <c r="BI106" i="2"/>
  <c r="BF106" i="2"/>
  <c r="BD106" i="2"/>
  <c r="AY106" i="2"/>
  <c r="AV106" i="2"/>
  <c r="AT106" i="2"/>
  <c r="AQ106" i="2"/>
  <c r="AO106" i="2"/>
  <c r="AL106" i="2"/>
  <c r="AJ106" i="2"/>
  <c r="AG106" i="2"/>
  <c r="AE106" i="2"/>
  <c r="AB106" i="2"/>
  <c r="Z106" i="2"/>
  <c r="U106" i="2"/>
  <c r="CE105" i="2"/>
  <c r="CC105" i="2"/>
  <c r="BZ105" i="2"/>
  <c r="BX105" i="2"/>
  <c r="BU105" i="2"/>
  <c r="BS105" i="2"/>
  <c r="BP105" i="2"/>
  <c r="BN105" i="2"/>
  <c r="BK105" i="2"/>
  <c r="BI105" i="2"/>
  <c r="BF105" i="2"/>
  <c r="BD105" i="2"/>
  <c r="AY105" i="2"/>
  <c r="AV105" i="2"/>
  <c r="AT105" i="2"/>
  <c r="AQ105" i="2"/>
  <c r="AO105" i="2"/>
  <c r="AL105" i="2"/>
  <c r="AJ105" i="2"/>
  <c r="AG105" i="2"/>
  <c r="AE105" i="2"/>
  <c r="AB105" i="2"/>
  <c r="Z105" i="2"/>
  <c r="U105" i="2"/>
  <c r="CE104" i="2"/>
  <c r="CC104" i="2"/>
  <c r="BZ104" i="2"/>
  <c r="BX104" i="2"/>
  <c r="BU104" i="2"/>
  <c r="BS104" i="2"/>
  <c r="BP104" i="2"/>
  <c r="BN104" i="2"/>
  <c r="BK104" i="2"/>
  <c r="BI104" i="2"/>
  <c r="BF104" i="2"/>
  <c r="BD104" i="2"/>
  <c r="AY104" i="2"/>
  <c r="AV104" i="2"/>
  <c r="AT104" i="2"/>
  <c r="AQ104" i="2"/>
  <c r="AO104" i="2"/>
  <c r="AL104" i="2"/>
  <c r="AJ104" i="2"/>
  <c r="AG104" i="2"/>
  <c r="AE104" i="2"/>
  <c r="AB104" i="2"/>
  <c r="Z104" i="2"/>
  <c r="U104" i="2"/>
  <c r="CE103" i="2"/>
  <c r="CC103" i="2"/>
  <c r="BZ103" i="2"/>
  <c r="BX103" i="2"/>
  <c r="BU103" i="2"/>
  <c r="BS103" i="2"/>
  <c r="BP103" i="2"/>
  <c r="BN103" i="2"/>
  <c r="BK103" i="2"/>
  <c r="BI103" i="2"/>
  <c r="BF103" i="2"/>
  <c r="BD103" i="2"/>
  <c r="AY103" i="2"/>
  <c r="AV103" i="2"/>
  <c r="AT103" i="2"/>
  <c r="AQ103" i="2"/>
  <c r="AO103" i="2"/>
  <c r="AL103" i="2"/>
  <c r="AJ103" i="2"/>
  <c r="AG103" i="2"/>
  <c r="AE103" i="2"/>
  <c r="AB103" i="2"/>
  <c r="Z103" i="2"/>
  <c r="U103" i="2"/>
  <c r="CE102" i="2"/>
  <c r="CC102" i="2"/>
  <c r="BZ102" i="2"/>
  <c r="BX102" i="2"/>
  <c r="BU102" i="2"/>
  <c r="BS102" i="2"/>
  <c r="BP102" i="2"/>
  <c r="BN102" i="2"/>
  <c r="BK102" i="2"/>
  <c r="BI102" i="2"/>
  <c r="BF102" i="2"/>
  <c r="BD102" i="2"/>
  <c r="AY102" i="2"/>
  <c r="AV102" i="2"/>
  <c r="AT102" i="2"/>
  <c r="AQ102" i="2"/>
  <c r="AO102" i="2"/>
  <c r="AL102" i="2"/>
  <c r="AJ102" i="2"/>
  <c r="AG102" i="2"/>
  <c r="AE102" i="2"/>
  <c r="AB102" i="2"/>
  <c r="Z102" i="2"/>
  <c r="U102" i="2"/>
  <c r="CE101" i="2"/>
  <c r="CC101" i="2"/>
  <c r="BZ101" i="2"/>
  <c r="BX101" i="2"/>
  <c r="BU101" i="2"/>
  <c r="BS101" i="2"/>
  <c r="BP101" i="2"/>
  <c r="BN101" i="2"/>
  <c r="BK101" i="2"/>
  <c r="BI101" i="2"/>
  <c r="BF101" i="2"/>
  <c r="BD101" i="2"/>
  <c r="AY101" i="2"/>
  <c r="AV101" i="2"/>
  <c r="AT101" i="2"/>
  <c r="AQ101" i="2"/>
  <c r="AO101" i="2"/>
  <c r="AL101" i="2"/>
  <c r="AJ101" i="2"/>
  <c r="AG101" i="2"/>
  <c r="AE101" i="2"/>
  <c r="AB101" i="2"/>
  <c r="Z101" i="2"/>
  <c r="U101" i="2"/>
  <c r="CE100" i="2"/>
  <c r="CC100" i="2"/>
  <c r="BZ100" i="2"/>
  <c r="BX100" i="2"/>
  <c r="BU100" i="2"/>
  <c r="BS100" i="2"/>
  <c r="BP100" i="2"/>
  <c r="BN100" i="2"/>
  <c r="BK100" i="2"/>
  <c r="BI100" i="2"/>
  <c r="BF100" i="2"/>
  <c r="BD100" i="2"/>
  <c r="AY100" i="2"/>
  <c r="AV100" i="2"/>
  <c r="AT100" i="2"/>
  <c r="AQ100" i="2"/>
  <c r="AO100" i="2"/>
  <c r="AL100" i="2"/>
  <c r="AJ100" i="2"/>
  <c r="AG100" i="2"/>
  <c r="AE100" i="2"/>
  <c r="AB100" i="2"/>
  <c r="Z100" i="2"/>
  <c r="U100" i="2"/>
  <c r="CE87" i="2"/>
  <c r="CC87" i="2"/>
  <c r="BZ87" i="2"/>
  <c r="BX87" i="2"/>
  <c r="BU87" i="2"/>
  <c r="BS87" i="2"/>
  <c r="BP87" i="2"/>
  <c r="BN87" i="2"/>
  <c r="BK87" i="2"/>
  <c r="BI87" i="2"/>
  <c r="BF87" i="2"/>
  <c r="BD87" i="2"/>
  <c r="AY87" i="2"/>
  <c r="AV87" i="2"/>
  <c r="AT87" i="2"/>
  <c r="AQ87" i="2"/>
  <c r="AO87" i="2"/>
  <c r="AL87" i="2"/>
  <c r="AJ87" i="2"/>
  <c r="AG87" i="2"/>
  <c r="AE87" i="2"/>
  <c r="AB87" i="2"/>
  <c r="Z87" i="2"/>
  <c r="U87" i="2"/>
  <c r="CE86" i="2"/>
  <c r="CC86" i="2"/>
  <c r="BZ86" i="2"/>
  <c r="BX86" i="2"/>
  <c r="BU86" i="2"/>
  <c r="BS86" i="2"/>
  <c r="BP86" i="2"/>
  <c r="BN86" i="2"/>
  <c r="BK86" i="2"/>
  <c r="BI86" i="2"/>
  <c r="BF86" i="2"/>
  <c r="BD86" i="2"/>
  <c r="AY86" i="2"/>
  <c r="AV86" i="2"/>
  <c r="AT86" i="2"/>
  <c r="AQ86" i="2"/>
  <c r="AO86" i="2"/>
  <c r="AL86" i="2"/>
  <c r="AJ86" i="2"/>
  <c r="AG86" i="2"/>
  <c r="AE86" i="2"/>
  <c r="AB86" i="2"/>
  <c r="Z86" i="2"/>
  <c r="U86" i="2"/>
  <c r="CE85" i="2"/>
  <c r="CC85" i="2"/>
  <c r="BZ85" i="2"/>
  <c r="BX85" i="2"/>
  <c r="BU85" i="2"/>
  <c r="BS85" i="2"/>
  <c r="BP85" i="2"/>
  <c r="BN85" i="2"/>
  <c r="BK85" i="2"/>
  <c r="BI85" i="2"/>
  <c r="BF85" i="2"/>
  <c r="BD85" i="2"/>
  <c r="AY85" i="2"/>
  <c r="AV85" i="2"/>
  <c r="AT85" i="2"/>
  <c r="AQ85" i="2"/>
  <c r="AO85" i="2"/>
  <c r="AL85" i="2"/>
  <c r="AJ85" i="2"/>
  <c r="AG85" i="2"/>
  <c r="AE85" i="2"/>
  <c r="AB85" i="2"/>
  <c r="Z85" i="2"/>
  <c r="U85" i="2"/>
  <c r="CE84" i="2"/>
  <c r="CC84" i="2"/>
  <c r="BZ84" i="2"/>
  <c r="BX84" i="2"/>
  <c r="BU84" i="2"/>
  <c r="BS84" i="2"/>
  <c r="BP84" i="2"/>
  <c r="BN84" i="2"/>
  <c r="BK84" i="2"/>
  <c r="BI84" i="2"/>
  <c r="BF84" i="2"/>
  <c r="BD84" i="2"/>
  <c r="AY84" i="2"/>
  <c r="AV84" i="2"/>
  <c r="AT84" i="2"/>
  <c r="AQ84" i="2"/>
  <c r="AO84" i="2"/>
  <c r="AL84" i="2"/>
  <c r="AJ84" i="2"/>
  <c r="AG84" i="2"/>
  <c r="AE84" i="2"/>
  <c r="AB84" i="2"/>
  <c r="Z84" i="2"/>
  <c r="U84" i="2"/>
  <c r="CE83" i="2"/>
  <c r="CC83" i="2"/>
  <c r="BZ83" i="2"/>
  <c r="BX83" i="2"/>
  <c r="BU83" i="2"/>
  <c r="BS83" i="2"/>
  <c r="BP83" i="2"/>
  <c r="BN83" i="2"/>
  <c r="BK83" i="2"/>
  <c r="BI83" i="2"/>
  <c r="BF83" i="2"/>
  <c r="BD83" i="2"/>
  <c r="AY83" i="2"/>
  <c r="AV83" i="2"/>
  <c r="AT83" i="2"/>
  <c r="AQ83" i="2"/>
  <c r="AO83" i="2"/>
  <c r="AL83" i="2"/>
  <c r="AJ83" i="2"/>
  <c r="AG83" i="2"/>
  <c r="AE83" i="2"/>
  <c r="AB83" i="2"/>
  <c r="Z83" i="2"/>
  <c r="U83" i="2"/>
  <c r="CE99" i="2"/>
  <c r="CC99" i="2"/>
  <c r="BZ99" i="2"/>
  <c r="BX99" i="2"/>
  <c r="BU99" i="2"/>
  <c r="BS99" i="2"/>
  <c r="BP99" i="2"/>
  <c r="BN99" i="2"/>
  <c r="BK99" i="2"/>
  <c r="BI99" i="2"/>
  <c r="BF99" i="2"/>
  <c r="BD99" i="2"/>
  <c r="AY99" i="2"/>
  <c r="AV99" i="2"/>
  <c r="AT99" i="2"/>
  <c r="AQ99" i="2"/>
  <c r="AO99" i="2"/>
  <c r="AL99" i="2"/>
  <c r="AJ99" i="2"/>
  <c r="AG99" i="2"/>
  <c r="AE99" i="2"/>
  <c r="AB99" i="2"/>
  <c r="Z99" i="2"/>
  <c r="U99" i="2"/>
  <c r="CE98" i="2"/>
  <c r="CC98" i="2"/>
  <c r="BZ98" i="2"/>
  <c r="BX98" i="2"/>
  <c r="BU98" i="2"/>
  <c r="BS98" i="2"/>
  <c r="BP98" i="2"/>
  <c r="BN98" i="2"/>
  <c r="BK98" i="2"/>
  <c r="BI98" i="2"/>
  <c r="BF98" i="2"/>
  <c r="BD98" i="2"/>
  <c r="AY98" i="2"/>
  <c r="AV98" i="2"/>
  <c r="AT98" i="2"/>
  <c r="AQ98" i="2"/>
  <c r="AO98" i="2"/>
  <c r="AL98" i="2"/>
  <c r="AJ98" i="2"/>
  <c r="AG98" i="2"/>
  <c r="AE98" i="2"/>
  <c r="AB98" i="2"/>
  <c r="Z98" i="2"/>
  <c r="U98" i="2"/>
  <c r="CE76" i="2"/>
  <c r="CC76" i="2"/>
  <c r="BZ76" i="2"/>
  <c r="BX76" i="2"/>
  <c r="BU76" i="2"/>
  <c r="BS76" i="2"/>
  <c r="BP76" i="2"/>
  <c r="BN76" i="2"/>
  <c r="BK76" i="2"/>
  <c r="BI76" i="2"/>
  <c r="BF76" i="2"/>
  <c r="BD76" i="2"/>
  <c r="AY76" i="2"/>
  <c r="AV76" i="2"/>
  <c r="AT76" i="2"/>
  <c r="AQ76" i="2"/>
  <c r="AO76" i="2"/>
  <c r="AL76" i="2"/>
  <c r="AJ76" i="2"/>
  <c r="AG76" i="2"/>
  <c r="AE76" i="2"/>
  <c r="AB76" i="2"/>
  <c r="Z76" i="2"/>
  <c r="U76" i="2"/>
  <c r="CE75" i="2"/>
  <c r="CC75" i="2"/>
  <c r="BZ75" i="2"/>
  <c r="BX75" i="2"/>
  <c r="BU75" i="2"/>
  <c r="BS75" i="2"/>
  <c r="BP75" i="2"/>
  <c r="BN75" i="2"/>
  <c r="BK75" i="2"/>
  <c r="BI75" i="2"/>
  <c r="BF75" i="2"/>
  <c r="BD75" i="2"/>
  <c r="AY75" i="2"/>
  <c r="AV75" i="2"/>
  <c r="AT75" i="2"/>
  <c r="AQ75" i="2"/>
  <c r="AO75" i="2"/>
  <c r="AL75" i="2"/>
  <c r="AJ75" i="2"/>
  <c r="AG75" i="2"/>
  <c r="AE75" i="2"/>
  <c r="AB75" i="2"/>
  <c r="Z75" i="2"/>
  <c r="U75" i="2"/>
  <c r="CE74" i="2"/>
  <c r="CC74" i="2"/>
  <c r="BZ74" i="2"/>
  <c r="BX74" i="2"/>
  <c r="BU74" i="2"/>
  <c r="BS74" i="2"/>
  <c r="BP74" i="2"/>
  <c r="BN74" i="2"/>
  <c r="BK74" i="2"/>
  <c r="BI74" i="2"/>
  <c r="BF74" i="2"/>
  <c r="BD74" i="2"/>
  <c r="AY74" i="2"/>
  <c r="AV74" i="2"/>
  <c r="AT74" i="2"/>
  <c r="AQ74" i="2"/>
  <c r="AO74" i="2"/>
  <c r="AL74" i="2"/>
  <c r="AJ74" i="2"/>
  <c r="AG74" i="2"/>
  <c r="AE74" i="2"/>
  <c r="AB74" i="2"/>
  <c r="Z74" i="2"/>
  <c r="U74" i="2"/>
  <c r="CE73" i="2"/>
  <c r="CC73" i="2"/>
  <c r="BZ73" i="2"/>
  <c r="BX73" i="2"/>
  <c r="BU73" i="2"/>
  <c r="BS73" i="2"/>
  <c r="BP73" i="2"/>
  <c r="BN73" i="2"/>
  <c r="BK73" i="2"/>
  <c r="BI73" i="2"/>
  <c r="BF73" i="2"/>
  <c r="BD73" i="2"/>
  <c r="AY73" i="2"/>
  <c r="AV73" i="2"/>
  <c r="AT73" i="2"/>
  <c r="AQ73" i="2"/>
  <c r="AO73" i="2"/>
  <c r="AL73" i="2"/>
  <c r="AJ73" i="2"/>
  <c r="AG73" i="2"/>
  <c r="AE73" i="2"/>
  <c r="AB73" i="2"/>
  <c r="Z73" i="2"/>
  <c r="U73" i="2"/>
  <c r="CE72" i="2"/>
  <c r="CC72" i="2"/>
  <c r="BZ72" i="2"/>
  <c r="BX72" i="2"/>
  <c r="BU72" i="2"/>
  <c r="BS72" i="2"/>
  <c r="BP72" i="2"/>
  <c r="BN72" i="2"/>
  <c r="BK72" i="2"/>
  <c r="BI72" i="2"/>
  <c r="BF72" i="2"/>
  <c r="BD72" i="2"/>
  <c r="AY72" i="2"/>
  <c r="AV72" i="2"/>
  <c r="AT72" i="2"/>
  <c r="AQ72" i="2"/>
  <c r="AO72" i="2"/>
  <c r="AL72" i="2"/>
  <c r="AJ72" i="2"/>
  <c r="AG72" i="2"/>
  <c r="AE72" i="2"/>
  <c r="AB72" i="2"/>
  <c r="Z72" i="2"/>
  <c r="U72" i="2"/>
  <c r="CE71" i="2"/>
  <c r="CC71" i="2"/>
  <c r="BZ71" i="2"/>
  <c r="BX71" i="2"/>
  <c r="BU71" i="2"/>
  <c r="BS71" i="2"/>
  <c r="BP71" i="2"/>
  <c r="BN71" i="2"/>
  <c r="BK71" i="2"/>
  <c r="BI71" i="2"/>
  <c r="BF71" i="2"/>
  <c r="BD71" i="2"/>
  <c r="AY71" i="2"/>
  <c r="AV71" i="2"/>
  <c r="AT71" i="2"/>
  <c r="AQ71" i="2"/>
  <c r="AO71" i="2"/>
  <c r="AL71" i="2"/>
  <c r="AJ71" i="2"/>
  <c r="AG71" i="2"/>
  <c r="AE71" i="2"/>
  <c r="AB71" i="2"/>
  <c r="Z71" i="2"/>
  <c r="U71" i="2"/>
  <c r="CE70" i="2"/>
  <c r="CC70" i="2"/>
  <c r="BZ70" i="2"/>
  <c r="BX70" i="2"/>
  <c r="BU70" i="2"/>
  <c r="BS70" i="2"/>
  <c r="BP70" i="2"/>
  <c r="BN70" i="2"/>
  <c r="BK70" i="2"/>
  <c r="BI70" i="2"/>
  <c r="BF70" i="2"/>
  <c r="BD70" i="2"/>
  <c r="AY70" i="2"/>
  <c r="AV70" i="2"/>
  <c r="AT70" i="2"/>
  <c r="AQ70" i="2"/>
  <c r="AO70" i="2"/>
  <c r="AL70" i="2"/>
  <c r="AJ70" i="2"/>
  <c r="AG70" i="2"/>
  <c r="AE70" i="2"/>
  <c r="AB70" i="2"/>
  <c r="Z70" i="2"/>
  <c r="U70" i="2"/>
  <c r="CE69" i="2"/>
  <c r="CC69" i="2"/>
  <c r="BZ69" i="2"/>
  <c r="BX69" i="2"/>
  <c r="BU69" i="2"/>
  <c r="BS69" i="2"/>
  <c r="BP69" i="2"/>
  <c r="BN69" i="2"/>
  <c r="BK69" i="2"/>
  <c r="BI69" i="2"/>
  <c r="BF69" i="2"/>
  <c r="BD69" i="2"/>
  <c r="AY69" i="2"/>
  <c r="AV69" i="2"/>
  <c r="AT69" i="2"/>
  <c r="AQ69" i="2"/>
  <c r="AO69" i="2"/>
  <c r="AL69" i="2"/>
  <c r="AJ69" i="2"/>
  <c r="AG69" i="2"/>
  <c r="AE69" i="2"/>
  <c r="AB69" i="2"/>
  <c r="Z69" i="2"/>
  <c r="U69" i="2"/>
  <c r="CE68" i="2"/>
  <c r="CC68" i="2"/>
  <c r="BZ68" i="2"/>
  <c r="BX68" i="2"/>
  <c r="BU68" i="2"/>
  <c r="BS68" i="2"/>
  <c r="BP68" i="2"/>
  <c r="BN68" i="2"/>
  <c r="BK68" i="2"/>
  <c r="BI68" i="2"/>
  <c r="BF68" i="2"/>
  <c r="BD68" i="2"/>
  <c r="AY68" i="2"/>
  <c r="AV68" i="2"/>
  <c r="AT68" i="2"/>
  <c r="AQ68" i="2"/>
  <c r="AO68" i="2"/>
  <c r="AL68" i="2"/>
  <c r="AJ68" i="2"/>
  <c r="AG68" i="2"/>
  <c r="AE68" i="2"/>
  <c r="AB68" i="2"/>
  <c r="Z68" i="2"/>
  <c r="U68" i="2"/>
  <c r="CE67" i="2"/>
  <c r="CC67" i="2"/>
  <c r="BZ67" i="2"/>
  <c r="BX67" i="2"/>
  <c r="BU67" i="2"/>
  <c r="BS67" i="2"/>
  <c r="BP67" i="2"/>
  <c r="BN67" i="2"/>
  <c r="BK67" i="2"/>
  <c r="BI67" i="2"/>
  <c r="BF67" i="2"/>
  <c r="BD67" i="2"/>
  <c r="AY67" i="2"/>
  <c r="AV67" i="2"/>
  <c r="AT67" i="2"/>
  <c r="AQ67" i="2"/>
  <c r="AO67" i="2"/>
  <c r="AL67" i="2"/>
  <c r="AJ67" i="2"/>
  <c r="AG67" i="2"/>
  <c r="AE67" i="2"/>
  <c r="AB67" i="2"/>
  <c r="Z67" i="2"/>
  <c r="U67" i="2"/>
  <c r="CE66" i="2"/>
  <c r="CC66" i="2"/>
  <c r="BZ66" i="2"/>
  <c r="BX66" i="2"/>
  <c r="BU66" i="2"/>
  <c r="BS66" i="2"/>
  <c r="BP66" i="2"/>
  <c r="BN66" i="2"/>
  <c r="BK66" i="2"/>
  <c r="BI66" i="2"/>
  <c r="BF66" i="2"/>
  <c r="BD66" i="2"/>
  <c r="AY66" i="2"/>
  <c r="AV66" i="2"/>
  <c r="AT66" i="2"/>
  <c r="AQ66" i="2"/>
  <c r="AO66" i="2"/>
  <c r="AL66" i="2"/>
  <c r="AJ66" i="2"/>
  <c r="AG66" i="2"/>
  <c r="AE66" i="2"/>
  <c r="AB66" i="2"/>
  <c r="Z66" i="2"/>
  <c r="U66" i="2"/>
  <c r="CE65" i="2"/>
  <c r="CC65" i="2"/>
  <c r="BZ65" i="2"/>
  <c r="BX65" i="2"/>
  <c r="BU65" i="2"/>
  <c r="BS65" i="2"/>
  <c r="BP65" i="2"/>
  <c r="BN65" i="2"/>
  <c r="BK65" i="2"/>
  <c r="BI65" i="2"/>
  <c r="BF65" i="2"/>
  <c r="BD65" i="2"/>
  <c r="AY65" i="2"/>
  <c r="AV65" i="2"/>
  <c r="AT65" i="2"/>
  <c r="AQ65" i="2"/>
  <c r="AO65" i="2"/>
  <c r="AL65" i="2"/>
  <c r="AJ65" i="2"/>
  <c r="AG65" i="2"/>
  <c r="AE65" i="2"/>
  <c r="AB65" i="2"/>
  <c r="Z65" i="2"/>
  <c r="U65" i="2"/>
  <c r="CE64" i="2"/>
  <c r="CC64" i="2"/>
  <c r="BZ64" i="2"/>
  <c r="BX64" i="2"/>
  <c r="BU64" i="2"/>
  <c r="BS64" i="2"/>
  <c r="BP64" i="2"/>
  <c r="BN64" i="2"/>
  <c r="BK64" i="2"/>
  <c r="BI64" i="2"/>
  <c r="BF64" i="2"/>
  <c r="BD64" i="2"/>
  <c r="AY64" i="2"/>
  <c r="AV64" i="2"/>
  <c r="AT64" i="2"/>
  <c r="AQ64" i="2"/>
  <c r="AO64" i="2"/>
  <c r="AL64" i="2"/>
  <c r="AJ64" i="2"/>
  <c r="AG64" i="2"/>
  <c r="AE64" i="2"/>
  <c r="AB64" i="2"/>
  <c r="Z64" i="2"/>
  <c r="U64" i="2"/>
  <c r="CE63" i="2"/>
  <c r="CC63" i="2"/>
  <c r="BZ63" i="2"/>
  <c r="BX63" i="2"/>
  <c r="BU63" i="2"/>
  <c r="BS63" i="2"/>
  <c r="BP63" i="2"/>
  <c r="BN63" i="2"/>
  <c r="BK63" i="2"/>
  <c r="BI63" i="2"/>
  <c r="BF63" i="2"/>
  <c r="BD63" i="2"/>
  <c r="AY63" i="2"/>
  <c r="AV63" i="2"/>
  <c r="AT63" i="2"/>
  <c r="AQ63" i="2"/>
  <c r="AO63" i="2"/>
  <c r="AL63" i="2"/>
  <c r="AJ63" i="2"/>
  <c r="AG63" i="2"/>
  <c r="AE63" i="2"/>
  <c r="AB63" i="2"/>
  <c r="Z63" i="2"/>
  <c r="U63" i="2"/>
  <c r="CE62" i="2"/>
  <c r="CC62" i="2"/>
  <c r="BZ62" i="2"/>
  <c r="BX62" i="2"/>
  <c r="BU62" i="2"/>
  <c r="BS62" i="2"/>
  <c r="BP62" i="2"/>
  <c r="BN62" i="2"/>
  <c r="BK62" i="2"/>
  <c r="BI62" i="2"/>
  <c r="BF62" i="2"/>
  <c r="BD62" i="2"/>
  <c r="AY62" i="2"/>
  <c r="AV62" i="2"/>
  <c r="AT62" i="2"/>
  <c r="AQ62" i="2"/>
  <c r="AO62" i="2"/>
  <c r="AL62" i="2"/>
  <c r="AJ62" i="2"/>
  <c r="AG62" i="2"/>
  <c r="AE62" i="2"/>
  <c r="AB62" i="2"/>
  <c r="Z62" i="2"/>
  <c r="U62" i="2"/>
  <c r="CE61" i="2"/>
  <c r="CC61" i="2"/>
  <c r="BZ61" i="2"/>
  <c r="BX61" i="2"/>
  <c r="BU61" i="2"/>
  <c r="BS61" i="2"/>
  <c r="BP61" i="2"/>
  <c r="BN61" i="2"/>
  <c r="BK61" i="2"/>
  <c r="BI61" i="2"/>
  <c r="BF61" i="2"/>
  <c r="BD61" i="2"/>
  <c r="AY61" i="2"/>
  <c r="AV61" i="2"/>
  <c r="AT61" i="2"/>
  <c r="AQ61" i="2"/>
  <c r="AO61" i="2"/>
  <c r="AL61" i="2"/>
  <c r="AJ61" i="2"/>
  <c r="AG61" i="2"/>
  <c r="AE61" i="2"/>
  <c r="AB61" i="2"/>
  <c r="Z61" i="2"/>
  <c r="U61" i="2"/>
  <c r="CE60" i="2"/>
  <c r="CC60" i="2"/>
  <c r="BZ60" i="2"/>
  <c r="BX60" i="2"/>
  <c r="BU60" i="2"/>
  <c r="BS60" i="2"/>
  <c r="BP60" i="2"/>
  <c r="BN60" i="2"/>
  <c r="BK60" i="2"/>
  <c r="BI60" i="2"/>
  <c r="BF60" i="2"/>
  <c r="BD60" i="2"/>
  <c r="AY60" i="2"/>
  <c r="AV60" i="2"/>
  <c r="AT60" i="2"/>
  <c r="AQ60" i="2"/>
  <c r="AO60" i="2"/>
  <c r="AL60" i="2"/>
  <c r="AJ60" i="2"/>
  <c r="AG60" i="2"/>
  <c r="AE60" i="2"/>
  <c r="AB60" i="2"/>
  <c r="Z60" i="2"/>
  <c r="U60" i="2"/>
  <c r="CE59" i="2"/>
  <c r="CC59" i="2"/>
  <c r="BZ59" i="2"/>
  <c r="BX59" i="2"/>
  <c r="BU59" i="2"/>
  <c r="BS59" i="2"/>
  <c r="BP59" i="2"/>
  <c r="BN59" i="2"/>
  <c r="BK59" i="2"/>
  <c r="BI59" i="2"/>
  <c r="BF59" i="2"/>
  <c r="BD59" i="2"/>
  <c r="AY59" i="2"/>
  <c r="AV59" i="2"/>
  <c r="AT59" i="2"/>
  <c r="AQ59" i="2"/>
  <c r="AO59" i="2"/>
  <c r="AL59" i="2"/>
  <c r="AJ59" i="2"/>
  <c r="AG59" i="2"/>
  <c r="AE59" i="2"/>
  <c r="AB59" i="2"/>
  <c r="Z59" i="2"/>
  <c r="U59" i="2"/>
  <c r="CE58" i="2"/>
  <c r="CC58" i="2"/>
  <c r="BZ58" i="2"/>
  <c r="BX58" i="2"/>
  <c r="BU58" i="2"/>
  <c r="BS58" i="2"/>
  <c r="BP58" i="2"/>
  <c r="BN58" i="2"/>
  <c r="BK58" i="2"/>
  <c r="BI58" i="2"/>
  <c r="BF58" i="2"/>
  <c r="BD58" i="2"/>
  <c r="AY58" i="2"/>
  <c r="AV58" i="2"/>
  <c r="AT58" i="2"/>
  <c r="AQ58" i="2"/>
  <c r="AO58" i="2"/>
  <c r="AL58" i="2"/>
  <c r="AJ58" i="2"/>
  <c r="AG58" i="2"/>
  <c r="AE58" i="2"/>
  <c r="AB58" i="2"/>
  <c r="Z58" i="2"/>
  <c r="U58" i="2"/>
  <c r="CE42" i="2"/>
  <c r="CC42" i="2"/>
  <c r="BZ42" i="2"/>
  <c r="BX42" i="2"/>
  <c r="BU42" i="2"/>
  <c r="BS42" i="2"/>
  <c r="BP42" i="2"/>
  <c r="BN42" i="2"/>
  <c r="BK42" i="2"/>
  <c r="BI42" i="2"/>
  <c r="BF42" i="2"/>
  <c r="BD42" i="2"/>
  <c r="AY42" i="2"/>
  <c r="AV42" i="2"/>
  <c r="AT42" i="2"/>
  <c r="AQ42" i="2"/>
  <c r="AO42" i="2"/>
  <c r="AL42" i="2"/>
  <c r="AJ42" i="2"/>
  <c r="AG42" i="2"/>
  <c r="AE42" i="2"/>
  <c r="AB42" i="2"/>
  <c r="Z42" i="2"/>
  <c r="U42" i="2"/>
  <c r="CE40" i="2"/>
  <c r="CC40" i="2"/>
  <c r="BZ40" i="2"/>
  <c r="BX40" i="2"/>
  <c r="BU40" i="2"/>
  <c r="BS40" i="2"/>
  <c r="BP40" i="2"/>
  <c r="BN40" i="2"/>
  <c r="BK40" i="2"/>
  <c r="BI40" i="2"/>
  <c r="BF40" i="2"/>
  <c r="BD40" i="2"/>
  <c r="AY40" i="2"/>
  <c r="AV40" i="2"/>
  <c r="AT40" i="2"/>
  <c r="AQ40" i="2"/>
  <c r="AO40" i="2"/>
  <c r="AL40" i="2"/>
  <c r="AJ40" i="2"/>
  <c r="AG40" i="2"/>
  <c r="AE40" i="2"/>
  <c r="AB40" i="2"/>
  <c r="Z40" i="2"/>
  <c r="U40" i="2"/>
  <c r="CE39" i="2"/>
  <c r="CC39" i="2"/>
  <c r="BZ39" i="2"/>
  <c r="BX39" i="2"/>
  <c r="BU39" i="2"/>
  <c r="BS39" i="2"/>
  <c r="BP39" i="2"/>
  <c r="BN39" i="2"/>
  <c r="BK39" i="2"/>
  <c r="BI39" i="2"/>
  <c r="BF39" i="2"/>
  <c r="BD39" i="2"/>
  <c r="AY39" i="2"/>
  <c r="AV39" i="2"/>
  <c r="AT39" i="2"/>
  <c r="AQ39" i="2"/>
  <c r="AO39" i="2"/>
  <c r="AL39" i="2"/>
  <c r="AJ39" i="2"/>
  <c r="AG39" i="2"/>
  <c r="AE39" i="2"/>
  <c r="AB39" i="2"/>
  <c r="Z39" i="2"/>
  <c r="U39" i="2"/>
  <c r="CE38" i="2"/>
  <c r="CC38" i="2"/>
  <c r="BZ38" i="2"/>
  <c r="BX38" i="2"/>
  <c r="BU38" i="2"/>
  <c r="BS38" i="2"/>
  <c r="BP38" i="2"/>
  <c r="BN38" i="2"/>
  <c r="BK38" i="2"/>
  <c r="BI38" i="2"/>
  <c r="BF38" i="2"/>
  <c r="BD38" i="2"/>
  <c r="AY38" i="2"/>
  <c r="AV38" i="2"/>
  <c r="AT38" i="2"/>
  <c r="AQ38" i="2"/>
  <c r="AO38" i="2"/>
  <c r="AL38" i="2"/>
  <c r="AJ38" i="2"/>
  <c r="AG38" i="2"/>
  <c r="AE38" i="2"/>
  <c r="AB38" i="2"/>
  <c r="Z38" i="2"/>
  <c r="U38" i="2"/>
  <c r="CE37" i="2"/>
  <c r="CC37" i="2"/>
  <c r="BZ37" i="2"/>
  <c r="BX37" i="2"/>
  <c r="BU37" i="2"/>
  <c r="BS37" i="2"/>
  <c r="BP37" i="2"/>
  <c r="BN37" i="2"/>
  <c r="BK37" i="2"/>
  <c r="BI37" i="2"/>
  <c r="BF37" i="2"/>
  <c r="BD37" i="2"/>
  <c r="AY37" i="2"/>
  <c r="AV37" i="2"/>
  <c r="AT37" i="2"/>
  <c r="AQ37" i="2"/>
  <c r="AO37" i="2"/>
  <c r="AL37" i="2"/>
  <c r="AJ37" i="2"/>
  <c r="AG37" i="2"/>
  <c r="AE37" i="2"/>
  <c r="AB37" i="2"/>
  <c r="Z37" i="2"/>
  <c r="U37" i="2"/>
  <c r="CE36" i="2"/>
  <c r="CC36" i="2"/>
  <c r="BZ36" i="2"/>
  <c r="BX36" i="2"/>
  <c r="BU36" i="2"/>
  <c r="BS36" i="2"/>
  <c r="BP36" i="2"/>
  <c r="BN36" i="2"/>
  <c r="BK36" i="2"/>
  <c r="BI36" i="2"/>
  <c r="BF36" i="2"/>
  <c r="BD36" i="2"/>
  <c r="AY36" i="2"/>
  <c r="AV36" i="2"/>
  <c r="AT36" i="2"/>
  <c r="AQ36" i="2"/>
  <c r="AO36" i="2"/>
  <c r="AL36" i="2"/>
  <c r="AJ36" i="2"/>
  <c r="AG36" i="2"/>
  <c r="AE36" i="2"/>
  <c r="AB36" i="2"/>
  <c r="Z36" i="2"/>
  <c r="U36" i="2"/>
  <c r="CE35" i="2"/>
  <c r="CC35" i="2"/>
  <c r="BZ35" i="2"/>
  <c r="BX35" i="2"/>
  <c r="BU35" i="2"/>
  <c r="BS35" i="2"/>
  <c r="BP35" i="2"/>
  <c r="BN35" i="2"/>
  <c r="BK35" i="2"/>
  <c r="BI35" i="2"/>
  <c r="BF35" i="2"/>
  <c r="BD35" i="2"/>
  <c r="AY35" i="2"/>
  <c r="AV35" i="2"/>
  <c r="AT35" i="2"/>
  <c r="AQ35" i="2"/>
  <c r="AO35" i="2"/>
  <c r="AL35" i="2"/>
  <c r="AJ35" i="2"/>
  <c r="AG35" i="2"/>
  <c r="AE35" i="2"/>
  <c r="AB35" i="2"/>
  <c r="Z35" i="2"/>
  <c r="U35" i="2"/>
  <c r="CE34" i="2"/>
  <c r="CC34" i="2"/>
  <c r="BZ34" i="2"/>
  <c r="BX34" i="2"/>
  <c r="BU34" i="2"/>
  <c r="BS34" i="2"/>
  <c r="BP34" i="2"/>
  <c r="BN34" i="2"/>
  <c r="BK34" i="2"/>
  <c r="BI34" i="2"/>
  <c r="BF34" i="2"/>
  <c r="BD34" i="2"/>
  <c r="AY34" i="2"/>
  <c r="AV34" i="2"/>
  <c r="AT34" i="2"/>
  <c r="AQ34" i="2"/>
  <c r="AO34" i="2"/>
  <c r="AL34" i="2"/>
  <c r="AJ34" i="2"/>
  <c r="AG34" i="2"/>
  <c r="AE34" i="2"/>
  <c r="AB34" i="2"/>
  <c r="Z34" i="2"/>
  <c r="U34" i="2"/>
  <c r="CE33" i="2"/>
  <c r="CC33" i="2"/>
  <c r="BZ33" i="2"/>
  <c r="BX33" i="2"/>
  <c r="BU33" i="2"/>
  <c r="BS33" i="2"/>
  <c r="BP33" i="2"/>
  <c r="BN33" i="2"/>
  <c r="BK33" i="2"/>
  <c r="BI33" i="2"/>
  <c r="BF33" i="2"/>
  <c r="BD33" i="2"/>
  <c r="AY33" i="2"/>
  <c r="AV33" i="2"/>
  <c r="AT33" i="2"/>
  <c r="AQ33" i="2"/>
  <c r="AO33" i="2"/>
  <c r="AL33" i="2"/>
  <c r="AJ33" i="2"/>
  <c r="AG33" i="2"/>
  <c r="AE33" i="2"/>
  <c r="AB33" i="2"/>
  <c r="Z33" i="2"/>
  <c r="U33" i="2"/>
  <c r="CE29" i="2"/>
  <c r="CC29" i="2"/>
  <c r="BZ29" i="2"/>
  <c r="BX29" i="2"/>
  <c r="BU29" i="2"/>
  <c r="BS29" i="2"/>
  <c r="BP29" i="2"/>
  <c r="BN29" i="2"/>
  <c r="BK29" i="2"/>
  <c r="BI29" i="2"/>
  <c r="BF29" i="2"/>
  <c r="BD29" i="2"/>
  <c r="AY29" i="2"/>
  <c r="AV29" i="2"/>
  <c r="AT29" i="2"/>
  <c r="AQ29" i="2"/>
  <c r="AO29" i="2"/>
  <c r="AL29" i="2"/>
  <c r="AJ29" i="2"/>
  <c r="AG29" i="2"/>
  <c r="AE29" i="2"/>
  <c r="AB29" i="2"/>
  <c r="Z29" i="2"/>
  <c r="U29" i="2"/>
  <c r="CE28" i="2"/>
  <c r="CC28" i="2"/>
  <c r="BZ28" i="2"/>
  <c r="BX28" i="2"/>
  <c r="BU28" i="2"/>
  <c r="BS28" i="2"/>
  <c r="BP28" i="2"/>
  <c r="BN28" i="2"/>
  <c r="BK28" i="2"/>
  <c r="BI28" i="2"/>
  <c r="BF28" i="2"/>
  <c r="BD28" i="2"/>
  <c r="AY28" i="2"/>
  <c r="AV28" i="2"/>
  <c r="AT28" i="2"/>
  <c r="AQ28" i="2"/>
  <c r="AO28" i="2"/>
  <c r="AL28" i="2"/>
  <c r="AJ28" i="2"/>
  <c r="AG28" i="2"/>
  <c r="AE28" i="2"/>
  <c r="AB28" i="2"/>
  <c r="Z28" i="2"/>
  <c r="U28" i="2"/>
  <c r="CE27" i="2"/>
  <c r="CC27" i="2"/>
  <c r="BZ27" i="2"/>
  <c r="BX27" i="2"/>
  <c r="BU27" i="2"/>
  <c r="BS27" i="2"/>
  <c r="BP27" i="2"/>
  <c r="BN27" i="2"/>
  <c r="BK27" i="2"/>
  <c r="BI27" i="2"/>
  <c r="BF27" i="2"/>
  <c r="BD27" i="2"/>
  <c r="AY27" i="2"/>
  <c r="AV27" i="2"/>
  <c r="AT27" i="2"/>
  <c r="AQ27" i="2"/>
  <c r="AO27" i="2"/>
  <c r="AL27" i="2"/>
  <c r="AJ27" i="2"/>
  <c r="AG27" i="2"/>
  <c r="AE27" i="2"/>
  <c r="AB27" i="2"/>
  <c r="Z27" i="2"/>
  <c r="U27" i="2"/>
  <c r="CE26" i="2"/>
  <c r="CC26" i="2"/>
  <c r="BZ26" i="2"/>
  <c r="BX26" i="2"/>
  <c r="BU26" i="2"/>
  <c r="BS26" i="2"/>
  <c r="BP26" i="2"/>
  <c r="BN26" i="2"/>
  <c r="BK26" i="2"/>
  <c r="BI26" i="2"/>
  <c r="BF26" i="2"/>
  <c r="BD26" i="2"/>
  <c r="AY26" i="2"/>
  <c r="AV26" i="2"/>
  <c r="AT26" i="2"/>
  <c r="AQ26" i="2"/>
  <c r="AO26" i="2"/>
  <c r="AL26" i="2"/>
  <c r="AJ26" i="2"/>
  <c r="AG26" i="2"/>
  <c r="AE26" i="2"/>
  <c r="AB26" i="2"/>
  <c r="Z26" i="2"/>
  <c r="U26" i="2"/>
  <c r="CE15" i="2"/>
  <c r="CC15" i="2"/>
  <c r="BZ15" i="2"/>
  <c r="BX15" i="2"/>
  <c r="BU15" i="2"/>
  <c r="BS15" i="2"/>
  <c r="BP15" i="2"/>
  <c r="BN15" i="2"/>
  <c r="BK15" i="2"/>
  <c r="BI15" i="2"/>
  <c r="BF15" i="2"/>
  <c r="BD15" i="2"/>
  <c r="AY15" i="2"/>
  <c r="AV15" i="2"/>
  <c r="AT15" i="2"/>
  <c r="AQ15" i="2"/>
  <c r="AO15" i="2"/>
  <c r="AL15" i="2"/>
  <c r="AJ15" i="2"/>
  <c r="AG15" i="2"/>
  <c r="AE15" i="2"/>
  <c r="AB15" i="2"/>
  <c r="Z15" i="2"/>
  <c r="U15" i="2"/>
  <c r="CE14" i="2"/>
  <c r="CC14" i="2"/>
  <c r="BZ14" i="2"/>
  <c r="BX14" i="2"/>
  <c r="BU14" i="2"/>
  <c r="BS14" i="2"/>
  <c r="BP14" i="2"/>
  <c r="BN14" i="2"/>
  <c r="BK14" i="2"/>
  <c r="BI14" i="2"/>
  <c r="BF14" i="2"/>
  <c r="BD14" i="2"/>
  <c r="AY14" i="2"/>
  <c r="AV14" i="2"/>
  <c r="AT14" i="2"/>
  <c r="AQ14" i="2"/>
  <c r="AO14" i="2"/>
  <c r="AL14" i="2"/>
  <c r="AJ14" i="2"/>
  <c r="AG14" i="2"/>
  <c r="AE14" i="2"/>
  <c r="AB14" i="2"/>
  <c r="Z14" i="2"/>
  <c r="U14" i="2"/>
  <c r="CE13" i="2"/>
  <c r="CC13" i="2"/>
  <c r="BZ13" i="2"/>
  <c r="BX13" i="2"/>
  <c r="BU13" i="2"/>
  <c r="BS13" i="2"/>
  <c r="BP13" i="2"/>
  <c r="BN13" i="2"/>
  <c r="BK13" i="2"/>
  <c r="BI13" i="2"/>
  <c r="BF13" i="2"/>
  <c r="BD13" i="2"/>
  <c r="AY13" i="2"/>
  <c r="AV13" i="2"/>
  <c r="AT13" i="2"/>
  <c r="AQ13" i="2"/>
  <c r="AO13" i="2"/>
  <c r="AL13" i="2"/>
  <c r="AJ13" i="2"/>
  <c r="AG13" i="2"/>
  <c r="AE13" i="2"/>
  <c r="AB13" i="2"/>
  <c r="Z13" i="2"/>
  <c r="U13" i="2"/>
  <c r="CE12" i="2"/>
  <c r="CC12" i="2"/>
  <c r="BZ12" i="2"/>
  <c r="BX12" i="2"/>
  <c r="BU12" i="2"/>
  <c r="BS12" i="2"/>
  <c r="BP12" i="2"/>
  <c r="BN12" i="2"/>
  <c r="BK12" i="2"/>
  <c r="BI12" i="2"/>
  <c r="BF12" i="2"/>
  <c r="BD12" i="2"/>
  <c r="AY12" i="2"/>
  <c r="AV12" i="2"/>
  <c r="AT12" i="2"/>
  <c r="AQ12" i="2"/>
  <c r="AO12" i="2"/>
  <c r="AL12" i="2"/>
  <c r="AJ12" i="2"/>
  <c r="AG12" i="2"/>
  <c r="AE12" i="2"/>
  <c r="AB12" i="2"/>
  <c r="Z12" i="2"/>
  <c r="U12" i="2"/>
  <c r="CE11" i="2"/>
  <c r="CC11" i="2"/>
  <c r="BZ11" i="2"/>
  <c r="BX11" i="2"/>
  <c r="BU11" i="2"/>
  <c r="BS11" i="2"/>
  <c r="BP11" i="2"/>
  <c r="BN11" i="2"/>
  <c r="BK11" i="2"/>
  <c r="BI11" i="2"/>
  <c r="BF11" i="2"/>
  <c r="BD11" i="2"/>
  <c r="AY11" i="2"/>
  <c r="AV11" i="2"/>
  <c r="AT11" i="2"/>
  <c r="AQ11" i="2"/>
  <c r="AO11" i="2"/>
  <c r="AL11" i="2"/>
  <c r="AJ11" i="2"/>
  <c r="AG11" i="2"/>
  <c r="AE11" i="2"/>
  <c r="AB11" i="2"/>
  <c r="Z11" i="2"/>
  <c r="U11" i="2"/>
  <c r="CE10" i="2"/>
  <c r="CC10" i="2"/>
  <c r="BZ10" i="2"/>
  <c r="BX10" i="2"/>
  <c r="BU10" i="2"/>
  <c r="BS10" i="2"/>
  <c r="BP10" i="2"/>
  <c r="BN10" i="2"/>
  <c r="BK10" i="2"/>
  <c r="BI10" i="2"/>
  <c r="BF10" i="2"/>
  <c r="BD10" i="2"/>
  <c r="AY10" i="2"/>
  <c r="AV10" i="2"/>
  <c r="AT10" i="2"/>
  <c r="AQ10" i="2"/>
  <c r="AO10" i="2"/>
  <c r="AL10" i="2"/>
  <c r="AJ10" i="2"/>
  <c r="AG10" i="2"/>
  <c r="AE10" i="2"/>
  <c r="AB10" i="2"/>
  <c r="Z10" i="2"/>
  <c r="U10" i="2"/>
  <c r="CE9" i="2"/>
  <c r="CC9" i="2"/>
  <c r="BZ9" i="2"/>
  <c r="BX9" i="2"/>
  <c r="BU9" i="2"/>
  <c r="BS9" i="2"/>
  <c r="BP9" i="2"/>
  <c r="BN9" i="2"/>
  <c r="BK9" i="2"/>
  <c r="BI9" i="2"/>
  <c r="BF9" i="2"/>
  <c r="BD9" i="2"/>
  <c r="AY9" i="2"/>
  <c r="AV9" i="2"/>
  <c r="AT9" i="2"/>
  <c r="AQ9" i="2"/>
  <c r="AO9" i="2"/>
  <c r="AL9" i="2"/>
  <c r="AJ9" i="2"/>
  <c r="AG9" i="2"/>
  <c r="AE9" i="2"/>
  <c r="AB9" i="2"/>
  <c r="Z9" i="2"/>
  <c r="U9" i="2"/>
  <c r="CE8" i="2"/>
  <c r="CC8" i="2"/>
  <c r="BZ8" i="2"/>
  <c r="BX8" i="2"/>
  <c r="BU8" i="2"/>
  <c r="BS8" i="2"/>
  <c r="BP8" i="2"/>
  <c r="BN8" i="2"/>
  <c r="BK8" i="2"/>
  <c r="BI8" i="2"/>
  <c r="BF8" i="2"/>
  <c r="BD8" i="2"/>
  <c r="AY8" i="2"/>
  <c r="AV8" i="2"/>
  <c r="AT8" i="2"/>
  <c r="AQ8" i="2"/>
  <c r="AO8" i="2"/>
  <c r="AL8" i="2"/>
  <c r="AJ8" i="2"/>
  <c r="AG8" i="2"/>
  <c r="AE8" i="2"/>
  <c r="AB8" i="2"/>
  <c r="Z8" i="2"/>
  <c r="U8" i="2"/>
  <c r="CE7" i="2"/>
  <c r="CC7" i="2"/>
  <c r="BZ7" i="2"/>
  <c r="BX7" i="2"/>
  <c r="BU7" i="2"/>
  <c r="BS7" i="2"/>
  <c r="BP7" i="2"/>
  <c r="BN7" i="2"/>
  <c r="BK7" i="2"/>
  <c r="BI7" i="2"/>
  <c r="BF7" i="2"/>
  <c r="BD7" i="2"/>
  <c r="AY7" i="2"/>
  <c r="AV7" i="2"/>
  <c r="AT7" i="2"/>
  <c r="AQ7" i="2"/>
  <c r="AO7" i="2"/>
  <c r="AL7" i="2"/>
  <c r="AJ7" i="2"/>
  <c r="AG7" i="2"/>
  <c r="AE7" i="2"/>
  <c r="AB7" i="2"/>
  <c r="Z7" i="2"/>
  <c r="U7" i="2"/>
  <c r="CE6" i="2"/>
  <c r="CC6" i="2"/>
  <c r="BZ6" i="2"/>
  <c r="BX6" i="2"/>
  <c r="BU6" i="2"/>
  <c r="BS6" i="2"/>
  <c r="BP6" i="2"/>
  <c r="BN6" i="2"/>
  <c r="BK6" i="2"/>
  <c r="BI6" i="2"/>
  <c r="BF6" i="2"/>
  <c r="BD6" i="2"/>
  <c r="AY6" i="2"/>
  <c r="AV6" i="2"/>
  <c r="AT6" i="2"/>
  <c r="AQ6" i="2"/>
  <c r="AO6" i="2"/>
  <c r="AL6" i="2"/>
  <c r="AJ6" i="2"/>
  <c r="AG6" i="2"/>
  <c r="AE6" i="2"/>
  <c r="AB6" i="2"/>
  <c r="Z6" i="2"/>
  <c r="U6" i="2"/>
  <c r="CE5" i="2"/>
  <c r="CC5" i="2"/>
  <c r="BZ5" i="2"/>
  <c r="BX5" i="2"/>
  <c r="BU5" i="2"/>
  <c r="BS5" i="2"/>
  <c r="BP5" i="2"/>
  <c r="BN5" i="2"/>
  <c r="BK5" i="2"/>
  <c r="BI5" i="2"/>
  <c r="BF5" i="2"/>
  <c r="BD5" i="2"/>
  <c r="AY5" i="2"/>
  <c r="AV5" i="2"/>
  <c r="AT5" i="2"/>
  <c r="AQ5" i="2"/>
  <c r="AO5" i="2"/>
  <c r="AL5" i="2"/>
  <c r="AJ5" i="2"/>
  <c r="AG5" i="2"/>
  <c r="AE5" i="2"/>
  <c r="AB5" i="2"/>
  <c r="Z5" i="2"/>
  <c r="U5" i="2"/>
  <c r="CE4" i="2"/>
  <c r="CC4" i="2"/>
  <c r="BZ4" i="2"/>
  <c r="BX4" i="2"/>
  <c r="BU4" i="2"/>
  <c r="BS4" i="2"/>
  <c r="BP4" i="2"/>
  <c r="BN4" i="2"/>
  <c r="BK4" i="2"/>
  <c r="BI4" i="2"/>
  <c r="BF4" i="2"/>
  <c r="BD4" i="2"/>
  <c r="AY4" i="2"/>
  <c r="AV4" i="2"/>
  <c r="AT4" i="2"/>
  <c r="AQ4" i="2"/>
  <c r="AO4" i="2"/>
  <c r="AL4" i="2"/>
  <c r="AJ4" i="2"/>
  <c r="AG4" i="2"/>
  <c r="AE4" i="2"/>
  <c r="AB4" i="2"/>
  <c r="Z4" i="2"/>
  <c r="U4" i="2"/>
  <c r="CE3" i="2"/>
  <c r="CC3" i="2"/>
  <c r="BZ3" i="2"/>
  <c r="BX3" i="2"/>
  <c r="BU3" i="2"/>
  <c r="BS3" i="2"/>
  <c r="BP3" i="2"/>
  <c r="BN3" i="2"/>
  <c r="BK3" i="2"/>
  <c r="BI3" i="2"/>
  <c r="BF3" i="2"/>
  <c r="BD3" i="2"/>
  <c r="AY3" i="2"/>
  <c r="AV3" i="2"/>
  <c r="AT3" i="2"/>
  <c r="AQ3" i="2"/>
  <c r="AO3" i="2"/>
  <c r="AL3" i="2"/>
  <c r="AJ3" i="2"/>
  <c r="AG3" i="2"/>
  <c r="AE3" i="2"/>
  <c r="AB3" i="2"/>
  <c r="Z3" i="2"/>
  <c r="U3" i="2"/>
  <c r="CE57" i="2"/>
  <c r="CC57" i="2"/>
  <c r="BZ57" i="2"/>
  <c r="BX57" i="2"/>
  <c r="BU57" i="2"/>
  <c r="BS57" i="2"/>
  <c r="BP57" i="2"/>
  <c r="BN57" i="2"/>
  <c r="BK57" i="2"/>
  <c r="BI57" i="2"/>
  <c r="BF57" i="2"/>
  <c r="BD57" i="2"/>
  <c r="AY57" i="2"/>
  <c r="AV57" i="2"/>
  <c r="AT57" i="2"/>
  <c r="AQ57" i="2"/>
  <c r="AO57" i="2"/>
  <c r="AL57" i="2"/>
  <c r="AJ57" i="2"/>
  <c r="AG57" i="2"/>
  <c r="AE57" i="2"/>
  <c r="AB57" i="2"/>
  <c r="Z57" i="2"/>
  <c r="U57" i="2"/>
  <c r="CE32" i="2"/>
  <c r="CC32" i="2"/>
  <c r="BZ32" i="2"/>
  <c r="BX32" i="2"/>
  <c r="BU32" i="2"/>
  <c r="BS32" i="2"/>
  <c r="BP32" i="2"/>
  <c r="BN32" i="2"/>
  <c r="BK32" i="2"/>
  <c r="BI32" i="2"/>
  <c r="BF32" i="2"/>
  <c r="BD32" i="2"/>
  <c r="AY32" i="2"/>
  <c r="AV32" i="2"/>
  <c r="AT32" i="2"/>
  <c r="AQ32" i="2"/>
  <c r="AO32" i="2"/>
  <c r="AL32" i="2"/>
  <c r="AJ32" i="2"/>
  <c r="AG32" i="2"/>
  <c r="AE32" i="2"/>
  <c r="AB32" i="2"/>
  <c r="Z32" i="2"/>
  <c r="U32" i="2"/>
  <c r="CE56" i="2"/>
  <c r="CC56" i="2"/>
  <c r="BZ56" i="2"/>
  <c r="BX56" i="2"/>
  <c r="BU56" i="2"/>
  <c r="BS56" i="2"/>
  <c r="BP56" i="2"/>
  <c r="BN56" i="2"/>
  <c r="BK56" i="2"/>
  <c r="BI56" i="2"/>
  <c r="BF56" i="2"/>
  <c r="BD56" i="2"/>
  <c r="AY56" i="2"/>
  <c r="AV56" i="2"/>
  <c r="AT56" i="2"/>
  <c r="AQ56" i="2"/>
  <c r="AO56" i="2"/>
  <c r="AL56" i="2"/>
  <c r="AJ56" i="2"/>
  <c r="AG56" i="2"/>
  <c r="AE56" i="2"/>
  <c r="AB56" i="2"/>
  <c r="Z56" i="2"/>
  <c r="U56" i="2"/>
  <c r="CE130" i="2"/>
  <c r="CC130" i="2"/>
  <c r="BZ130" i="2"/>
  <c r="BX130" i="2"/>
  <c r="BU130" i="2"/>
  <c r="BS130" i="2"/>
  <c r="BP130" i="2"/>
  <c r="BN130" i="2"/>
  <c r="BK130" i="2"/>
  <c r="BI130" i="2"/>
  <c r="BF130" i="2"/>
  <c r="BD130" i="2"/>
  <c r="AY130" i="2"/>
  <c r="AV130" i="2"/>
  <c r="AT130" i="2"/>
  <c r="AQ130" i="2"/>
  <c r="AO130" i="2"/>
  <c r="AL130" i="2"/>
  <c r="AJ130" i="2"/>
  <c r="AG130" i="2"/>
  <c r="AE130" i="2"/>
  <c r="AB130" i="2"/>
  <c r="Z130" i="2"/>
  <c r="U130" i="2"/>
  <c r="CE129" i="2"/>
  <c r="CC129" i="2"/>
  <c r="BZ129" i="2"/>
  <c r="BX129" i="2"/>
  <c r="BU129" i="2"/>
  <c r="BS129" i="2"/>
  <c r="BP129" i="2"/>
  <c r="BN129" i="2"/>
  <c r="BK129" i="2"/>
  <c r="BI129" i="2"/>
  <c r="BF129" i="2"/>
  <c r="BD129" i="2"/>
  <c r="AY129" i="2"/>
  <c r="AV129" i="2"/>
  <c r="AT129" i="2"/>
  <c r="AQ129" i="2"/>
  <c r="AO129" i="2"/>
  <c r="AL129" i="2"/>
  <c r="AJ129" i="2"/>
  <c r="AG129" i="2"/>
  <c r="AE129" i="2"/>
  <c r="AB129" i="2"/>
  <c r="Z129" i="2"/>
  <c r="U129" i="2"/>
  <c r="CE128" i="2"/>
  <c r="CC128" i="2"/>
  <c r="BZ128" i="2"/>
  <c r="BX128" i="2"/>
  <c r="BU128" i="2"/>
  <c r="BS128" i="2"/>
  <c r="BP128" i="2"/>
  <c r="BN128" i="2"/>
  <c r="BK128" i="2"/>
  <c r="BI128" i="2"/>
  <c r="BF128" i="2"/>
  <c r="BD128" i="2"/>
  <c r="AY128" i="2"/>
  <c r="AV128" i="2"/>
  <c r="AT128" i="2"/>
  <c r="AQ128" i="2"/>
  <c r="AO128" i="2"/>
  <c r="AL128" i="2"/>
  <c r="AJ128" i="2"/>
  <c r="AG128" i="2"/>
  <c r="AE128" i="2"/>
  <c r="AB128" i="2"/>
  <c r="Z128" i="2"/>
  <c r="U128" i="2"/>
  <c r="CE55" i="2"/>
  <c r="CC55" i="2"/>
  <c r="BZ55" i="2"/>
  <c r="BX55" i="2"/>
  <c r="BU55" i="2"/>
  <c r="BS55" i="2"/>
  <c r="BP55" i="2"/>
  <c r="BN55" i="2"/>
  <c r="BK55" i="2"/>
  <c r="BI55" i="2"/>
  <c r="BF55" i="2"/>
  <c r="BD55" i="2"/>
  <c r="AY55" i="2"/>
  <c r="AV55" i="2"/>
  <c r="AT55" i="2"/>
  <c r="AQ55" i="2"/>
  <c r="AO55" i="2"/>
  <c r="AL55" i="2"/>
  <c r="AJ55" i="2"/>
  <c r="AG55" i="2"/>
  <c r="AE55" i="2"/>
  <c r="AB55" i="2"/>
  <c r="Z55" i="2"/>
  <c r="U55" i="2"/>
  <c r="CE54" i="2"/>
  <c r="CC54" i="2"/>
  <c r="BZ54" i="2"/>
  <c r="BX54" i="2"/>
  <c r="BU54" i="2"/>
  <c r="BS54" i="2"/>
  <c r="BP54" i="2"/>
  <c r="BN54" i="2"/>
  <c r="BK54" i="2"/>
  <c r="BI54" i="2"/>
  <c r="BF54" i="2"/>
  <c r="BD54" i="2"/>
  <c r="AY54" i="2"/>
  <c r="AV54" i="2"/>
  <c r="AT54" i="2"/>
  <c r="AQ54" i="2"/>
  <c r="AO54" i="2"/>
  <c r="AL54" i="2"/>
  <c r="AJ54" i="2"/>
  <c r="AG54" i="2"/>
  <c r="AE54" i="2"/>
  <c r="AB54" i="2"/>
  <c r="Z54" i="2"/>
  <c r="U54" i="2"/>
  <c r="CE53" i="2"/>
  <c r="CC53" i="2"/>
  <c r="BZ53" i="2"/>
  <c r="BX53" i="2"/>
  <c r="BU53" i="2"/>
  <c r="BS53" i="2"/>
  <c r="BP53" i="2"/>
  <c r="BN53" i="2"/>
  <c r="BK53" i="2"/>
  <c r="BI53" i="2"/>
  <c r="BF53" i="2"/>
  <c r="BD53" i="2"/>
  <c r="AY53" i="2"/>
  <c r="AV53" i="2"/>
  <c r="AT53" i="2"/>
  <c r="AQ53" i="2"/>
  <c r="AO53" i="2"/>
  <c r="AL53" i="2"/>
  <c r="AJ53" i="2"/>
  <c r="AG53" i="2"/>
  <c r="AE53" i="2"/>
  <c r="AB53" i="2"/>
  <c r="Z53" i="2"/>
  <c r="U53" i="2"/>
  <c r="CE52" i="2"/>
  <c r="CC52" i="2"/>
  <c r="BZ52" i="2"/>
  <c r="BX52" i="2"/>
  <c r="BU52" i="2"/>
  <c r="BS52" i="2"/>
  <c r="BP52" i="2"/>
  <c r="BN52" i="2"/>
  <c r="BK52" i="2"/>
  <c r="BI52" i="2"/>
  <c r="BF52" i="2"/>
  <c r="BD52" i="2"/>
  <c r="AY52" i="2"/>
  <c r="AV52" i="2"/>
  <c r="AT52" i="2"/>
  <c r="AQ52" i="2"/>
  <c r="AO52" i="2"/>
  <c r="AL52" i="2"/>
  <c r="AJ52" i="2"/>
  <c r="AG52" i="2"/>
  <c r="AE52" i="2"/>
  <c r="AB52" i="2"/>
  <c r="Z52" i="2"/>
  <c r="U52" i="2"/>
  <c r="CE97" i="2"/>
  <c r="CC97" i="2"/>
  <c r="BZ97" i="2"/>
  <c r="BX97" i="2"/>
  <c r="BU97" i="2"/>
  <c r="BS97" i="2"/>
  <c r="BP97" i="2"/>
  <c r="BN97" i="2"/>
  <c r="BK97" i="2"/>
  <c r="BI97" i="2"/>
  <c r="BF97" i="2"/>
  <c r="BD97" i="2"/>
  <c r="AY97" i="2"/>
  <c r="AV97" i="2"/>
  <c r="AT97" i="2"/>
  <c r="AQ97" i="2"/>
  <c r="AO97" i="2"/>
  <c r="AL97" i="2"/>
  <c r="AJ97" i="2"/>
  <c r="AG97" i="2"/>
  <c r="AE97" i="2"/>
  <c r="AB97" i="2"/>
  <c r="Z97" i="2"/>
  <c r="U97" i="2"/>
  <c r="CE127" i="2"/>
  <c r="CC127" i="2"/>
  <c r="BZ127" i="2"/>
  <c r="BX127" i="2"/>
  <c r="BU127" i="2"/>
  <c r="BS127" i="2"/>
  <c r="BP127" i="2"/>
  <c r="BN127" i="2"/>
  <c r="BK127" i="2"/>
  <c r="BI127" i="2"/>
  <c r="BF127" i="2"/>
  <c r="BD127" i="2"/>
  <c r="AY127" i="2"/>
  <c r="AV127" i="2"/>
  <c r="AT127" i="2"/>
  <c r="AQ127" i="2"/>
  <c r="AO127" i="2"/>
  <c r="AL127" i="2"/>
  <c r="AJ127" i="2"/>
  <c r="AG127" i="2"/>
  <c r="AE127" i="2"/>
  <c r="AB127" i="2"/>
  <c r="Z127" i="2"/>
  <c r="U127" i="2"/>
  <c r="CE31" i="2"/>
  <c r="CC31" i="2"/>
  <c r="BZ31" i="2"/>
  <c r="BX31" i="2"/>
  <c r="BU31" i="2"/>
  <c r="BS31" i="2"/>
  <c r="BP31" i="2"/>
  <c r="BN31" i="2"/>
  <c r="BK31" i="2"/>
  <c r="BI31" i="2"/>
  <c r="BF31" i="2"/>
  <c r="BD31" i="2"/>
  <c r="AY31" i="2"/>
  <c r="AV31" i="2"/>
  <c r="AT31" i="2"/>
  <c r="AQ31" i="2"/>
  <c r="AO31" i="2"/>
  <c r="AL31" i="2"/>
  <c r="AJ31" i="2"/>
  <c r="AG31" i="2"/>
  <c r="AE31" i="2"/>
  <c r="AB31" i="2"/>
  <c r="Z31" i="2"/>
  <c r="U31" i="2"/>
  <c r="CE25" i="2"/>
  <c r="CC25" i="2"/>
  <c r="BZ25" i="2"/>
  <c r="BX25" i="2"/>
  <c r="BU25" i="2"/>
  <c r="BS25" i="2"/>
  <c r="BP25" i="2"/>
  <c r="BN25" i="2"/>
  <c r="BK25" i="2"/>
  <c r="BI25" i="2"/>
  <c r="BF25" i="2"/>
  <c r="BD25" i="2"/>
  <c r="AY25" i="2"/>
  <c r="AV25" i="2"/>
  <c r="AT25" i="2"/>
  <c r="AQ25" i="2"/>
  <c r="AO25" i="2"/>
  <c r="AL25" i="2"/>
  <c r="AJ25" i="2"/>
  <c r="AG25" i="2"/>
  <c r="AE25" i="2"/>
  <c r="AB25" i="2"/>
  <c r="Z25" i="2"/>
  <c r="U25" i="2"/>
  <c r="CE96" i="2"/>
  <c r="CC96" i="2"/>
  <c r="BZ96" i="2"/>
  <c r="BX96" i="2"/>
  <c r="BU96" i="2"/>
  <c r="BS96" i="2"/>
  <c r="BP96" i="2"/>
  <c r="BN96" i="2"/>
  <c r="BK96" i="2"/>
  <c r="BI96" i="2"/>
  <c r="BF96" i="2"/>
  <c r="BD96" i="2"/>
  <c r="AY96" i="2"/>
  <c r="AV96" i="2"/>
  <c r="AT96" i="2"/>
  <c r="AQ96" i="2"/>
  <c r="AO96" i="2"/>
  <c r="AL96" i="2"/>
  <c r="AJ96" i="2"/>
  <c r="AG96" i="2"/>
  <c r="AE96" i="2"/>
  <c r="AB96" i="2"/>
  <c r="Z96" i="2"/>
  <c r="U96" i="2"/>
  <c r="CE95" i="2"/>
  <c r="CC95" i="2"/>
  <c r="BZ95" i="2"/>
  <c r="BX95" i="2"/>
  <c r="BU95" i="2"/>
  <c r="BS95" i="2"/>
  <c r="BP95" i="2"/>
  <c r="BN95" i="2"/>
  <c r="BK95" i="2"/>
  <c r="BI95" i="2"/>
  <c r="BF95" i="2"/>
  <c r="BD95" i="2"/>
  <c r="AY95" i="2"/>
  <c r="AV95" i="2"/>
  <c r="AT95" i="2"/>
  <c r="AQ95" i="2"/>
  <c r="AO95" i="2"/>
  <c r="AL95" i="2"/>
  <c r="AJ95" i="2"/>
  <c r="AG95" i="2"/>
  <c r="AE95" i="2"/>
  <c r="AB95" i="2"/>
  <c r="Z95" i="2"/>
  <c r="U95" i="2"/>
  <c r="CE51" i="2"/>
  <c r="CC51" i="2"/>
  <c r="BZ51" i="2"/>
  <c r="BX51" i="2"/>
  <c r="BU51" i="2"/>
  <c r="BS51" i="2"/>
  <c r="BP51" i="2"/>
  <c r="BN51" i="2"/>
  <c r="BK51" i="2"/>
  <c r="BI51" i="2"/>
  <c r="BF51" i="2"/>
  <c r="BD51" i="2"/>
  <c r="AY51" i="2"/>
  <c r="AV51" i="2"/>
  <c r="AT51" i="2"/>
  <c r="AQ51" i="2"/>
  <c r="AO51" i="2"/>
  <c r="AL51" i="2"/>
  <c r="AJ51" i="2"/>
  <c r="AG51" i="2"/>
  <c r="AE51" i="2"/>
  <c r="AB51" i="2"/>
  <c r="Z51" i="2"/>
  <c r="U51" i="2"/>
  <c r="CE50" i="2"/>
  <c r="CC50" i="2"/>
  <c r="BZ50" i="2"/>
  <c r="BX50" i="2"/>
  <c r="BU50" i="2"/>
  <c r="BS50" i="2"/>
  <c r="BP50" i="2"/>
  <c r="BN50" i="2"/>
  <c r="BK50" i="2"/>
  <c r="BI50" i="2"/>
  <c r="BF50" i="2"/>
  <c r="BD50" i="2"/>
  <c r="AY50" i="2"/>
  <c r="AV50" i="2"/>
  <c r="AT50" i="2"/>
  <c r="AQ50" i="2"/>
  <c r="AO50" i="2"/>
  <c r="AL50" i="2"/>
  <c r="AJ50" i="2"/>
  <c r="AG50" i="2"/>
  <c r="AE50" i="2"/>
  <c r="AB50" i="2"/>
  <c r="Z50" i="2"/>
  <c r="U50" i="2"/>
  <c r="CE49" i="2"/>
  <c r="CC49" i="2"/>
  <c r="BZ49" i="2"/>
  <c r="BX49" i="2"/>
  <c r="BU49" i="2"/>
  <c r="BS49" i="2"/>
  <c r="BP49" i="2"/>
  <c r="BN49" i="2"/>
  <c r="BK49" i="2"/>
  <c r="BI49" i="2"/>
  <c r="BF49" i="2"/>
  <c r="BD49" i="2"/>
  <c r="AY49" i="2"/>
  <c r="AV49" i="2"/>
  <c r="AT49" i="2"/>
  <c r="AQ49" i="2"/>
  <c r="AO49" i="2"/>
  <c r="AL49" i="2"/>
  <c r="AJ49" i="2"/>
  <c r="AG49" i="2"/>
  <c r="AE49" i="2"/>
  <c r="AB49" i="2"/>
  <c r="Z49" i="2"/>
  <c r="U49" i="2"/>
  <c r="CE126" i="2"/>
  <c r="CC126" i="2"/>
  <c r="BZ126" i="2"/>
  <c r="BX126" i="2"/>
  <c r="BU126" i="2"/>
  <c r="BS126" i="2"/>
  <c r="BP126" i="2"/>
  <c r="BN126" i="2"/>
  <c r="BK126" i="2"/>
  <c r="BI126" i="2"/>
  <c r="BF126" i="2"/>
  <c r="BD126" i="2"/>
  <c r="AY126" i="2"/>
  <c r="AV126" i="2"/>
  <c r="AT126" i="2"/>
  <c r="AQ126" i="2"/>
  <c r="AO126" i="2"/>
  <c r="AL126" i="2"/>
  <c r="AJ126" i="2"/>
  <c r="AG126" i="2"/>
  <c r="AE126" i="2"/>
  <c r="AB126" i="2"/>
  <c r="Z126" i="2"/>
  <c r="U126" i="2"/>
  <c r="CE48" i="2"/>
  <c r="CC48" i="2"/>
  <c r="BZ48" i="2"/>
  <c r="BX48" i="2"/>
  <c r="BU48" i="2"/>
  <c r="BS48" i="2"/>
  <c r="BP48" i="2"/>
  <c r="BN48" i="2"/>
  <c r="BK48" i="2"/>
  <c r="BI48" i="2"/>
  <c r="BF48" i="2"/>
  <c r="BD48" i="2"/>
  <c r="AY48" i="2"/>
  <c r="AV48" i="2"/>
  <c r="AT48" i="2"/>
  <c r="AQ48" i="2"/>
  <c r="AO48" i="2"/>
  <c r="AL48" i="2"/>
  <c r="AJ48" i="2"/>
  <c r="AG48" i="2"/>
  <c r="AE48" i="2"/>
  <c r="AB48" i="2"/>
  <c r="Z48" i="2"/>
  <c r="U48" i="2"/>
  <c r="CE24" i="2"/>
  <c r="CC24" i="2"/>
  <c r="BZ24" i="2"/>
  <c r="BX24" i="2"/>
  <c r="BU24" i="2"/>
  <c r="BS24" i="2"/>
  <c r="BP24" i="2"/>
  <c r="BN24" i="2"/>
  <c r="BK24" i="2"/>
  <c r="BI24" i="2"/>
  <c r="BF24" i="2"/>
  <c r="BD24" i="2"/>
  <c r="AY24" i="2"/>
  <c r="AV24" i="2"/>
  <c r="AT24" i="2"/>
  <c r="AQ24" i="2"/>
  <c r="AO24" i="2"/>
  <c r="AL24" i="2"/>
  <c r="AJ24" i="2"/>
  <c r="AG24" i="2"/>
  <c r="AE24" i="2"/>
  <c r="AB24" i="2"/>
  <c r="Z24" i="2"/>
  <c r="U24" i="2"/>
  <c r="CE125" i="2"/>
  <c r="CC125" i="2"/>
  <c r="BZ125" i="2"/>
  <c r="BX125" i="2"/>
  <c r="BU125" i="2"/>
  <c r="BS125" i="2"/>
  <c r="BP125" i="2"/>
  <c r="BN125" i="2"/>
  <c r="BK125" i="2"/>
  <c r="BI125" i="2"/>
  <c r="BF125" i="2"/>
  <c r="BD125" i="2"/>
  <c r="AY125" i="2"/>
  <c r="AV125" i="2"/>
  <c r="AT125" i="2"/>
  <c r="AQ125" i="2"/>
  <c r="AO125" i="2"/>
  <c r="AL125" i="2"/>
  <c r="AJ125" i="2"/>
  <c r="AG125" i="2"/>
  <c r="AE125" i="2"/>
  <c r="AB125" i="2"/>
  <c r="Z125" i="2"/>
  <c r="U125" i="2"/>
  <c r="CE94" i="2"/>
  <c r="CC94" i="2"/>
  <c r="BZ94" i="2"/>
  <c r="BX94" i="2"/>
  <c r="BU94" i="2"/>
  <c r="BS94" i="2"/>
  <c r="BP94" i="2"/>
  <c r="BN94" i="2"/>
  <c r="BK94" i="2"/>
  <c r="BI94" i="2"/>
  <c r="BF94" i="2"/>
  <c r="BD94" i="2"/>
  <c r="AY94" i="2"/>
  <c r="AV94" i="2"/>
  <c r="AT94" i="2"/>
  <c r="AQ94" i="2"/>
  <c r="AO94" i="2"/>
  <c r="AL94" i="2"/>
  <c r="AJ94" i="2"/>
  <c r="AG94" i="2"/>
  <c r="AE94" i="2"/>
  <c r="AB94" i="2"/>
  <c r="Z94" i="2"/>
  <c r="U94" i="2"/>
  <c r="CE23" i="2"/>
  <c r="CC23" i="2"/>
  <c r="BZ23" i="2"/>
  <c r="BX23" i="2"/>
  <c r="BU23" i="2"/>
  <c r="BS23" i="2"/>
  <c r="BP23" i="2"/>
  <c r="BN23" i="2"/>
  <c r="BK23" i="2"/>
  <c r="BI23" i="2"/>
  <c r="BF23" i="2"/>
  <c r="BD23" i="2"/>
  <c r="AY23" i="2"/>
  <c r="AV23" i="2"/>
  <c r="AT23" i="2"/>
  <c r="AQ23" i="2"/>
  <c r="AO23" i="2"/>
  <c r="AL23" i="2"/>
  <c r="AJ23" i="2"/>
  <c r="AG23" i="2"/>
  <c r="AE23" i="2"/>
  <c r="AB23" i="2"/>
  <c r="Z23" i="2"/>
  <c r="U23" i="2"/>
  <c r="CE93" i="2"/>
  <c r="CC93" i="2"/>
  <c r="BZ93" i="2"/>
  <c r="BX93" i="2"/>
  <c r="BU93" i="2"/>
  <c r="BS93" i="2"/>
  <c r="BP93" i="2"/>
  <c r="BN93" i="2"/>
  <c r="BK93" i="2"/>
  <c r="BI93" i="2"/>
  <c r="BF93" i="2"/>
  <c r="BD93" i="2"/>
  <c r="AY93" i="2"/>
  <c r="AV93" i="2"/>
  <c r="AT93" i="2"/>
  <c r="AQ93" i="2"/>
  <c r="AO93" i="2"/>
  <c r="AL93" i="2"/>
  <c r="AJ93" i="2"/>
  <c r="AG93" i="2"/>
  <c r="AE93" i="2"/>
  <c r="AB93" i="2"/>
  <c r="Z93" i="2"/>
  <c r="U93" i="2"/>
  <c r="CE47" i="2"/>
  <c r="CC47" i="2"/>
  <c r="BZ47" i="2"/>
  <c r="BX47" i="2"/>
  <c r="BU47" i="2"/>
  <c r="BS47" i="2"/>
  <c r="BP47" i="2"/>
  <c r="BN47" i="2"/>
  <c r="BK47" i="2"/>
  <c r="BI47" i="2"/>
  <c r="BF47" i="2"/>
  <c r="BD47" i="2"/>
  <c r="AY47" i="2"/>
  <c r="AV47" i="2"/>
  <c r="AT47" i="2"/>
  <c r="AQ47" i="2"/>
  <c r="AO47" i="2"/>
  <c r="AL47" i="2"/>
  <c r="AJ47" i="2"/>
  <c r="AG47" i="2"/>
  <c r="AE47" i="2"/>
  <c r="AB47" i="2"/>
  <c r="Z47" i="2"/>
  <c r="U47" i="2"/>
  <c r="CE22" i="2"/>
  <c r="CC22" i="2"/>
  <c r="BZ22" i="2"/>
  <c r="BX22" i="2"/>
  <c r="BU22" i="2"/>
  <c r="BS22" i="2"/>
  <c r="BP22" i="2"/>
  <c r="BN22" i="2"/>
  <c r="BK22" i="2"/>
  <c r="BI22" i="2"/>
  <c r="BF22" i="2"/>
  <c r="BD22" i="2"/>
  <c r="AY22" i="2"/>
  <c r="AV22" i="2"/>
  <c r="AT22" i="2"/>
  <c r="AQ22" i="2"/>
  <c r="AO22" i="2"/>
  <c r="AL22" i="2"/>
  <c r="AJ22" i="2"/>
  <c r="AG22" i="2"/>
  <c r="AE22" i="2"/>
  <c r="AB22" i="2"/>
  <c r="Z22" i="2"/>
  <c r="U22" i="2"/>
  <c r="CE46" i="2"/>
  <c r="CC46" i="2"/>
  <c r="BZ46" i="2"/>
  <c r="BX46" i="2"/>
  <c r="BU46" i="2"/>
  <c r="BS46" i="2"/>
  <c r="BP46" i="2"/>
  <c r="BN46" i="2"/>
  <c r="BK46" i="2"/>
  <c r="BI46" i="2"/>
  <c r="BF46" i="2"/>
  <c r="BD46" i="2"/>
  <c r="AY46" i="2"/>
  <c r="AV46" i="2"/>
  <c r="AT46" i="2"/>
  <c r="AQ46" i="2"/>
  <c r="AO46" i="2"/>
  <c r="AL46" i="2"/>
  <c r="AJ46" i="2"/>
  <c r="AG46" i="2"/>
  <c r="AE46" i="2"/>
  <c r="AB46" i="2"/>
  <c r="Z46" i="2"/>
  <c r="U46" i="2"/>
  <c r="CE45" i="2"/>
  <c r="CC45" i="2"/>
  <c r="BZ45" i="2"/>
  <c r="BX45" i="2"/>
  <c r="BU45" i="2"/>
  <c r="BS45" i="2"/>
  <c r="BP45" i="2"/>
  <c r="BN45" i="2"/>
  <c r="BK45" i="2"/>
  <c r="BI45" i="2"/>
  <c r="BF45" i="2"/>
  <c r="BD45" i="2"/>
  <c r="AY45" i="2"/>
  <c r="AV45" i="2"/>
  <c r="AT45" i="2"/>
  <c r="AQ45" i="2"/>
  <c r="AO45" i="2"/>
  <c r="AL45" i="2"/>
  <c r="AJ45" i="2"/>
  <c r="AG45" i="2"/>
  <c r="AE45" i="2"/>
  <c r="AB45" i="2"/>
  <c r="Z45" i="2"/>
  <c r="U45" i="2"/>
  <c r="CE44" i="2"/>
  <c r="CC44" i="2"/>
  <c r="BZ44" i="2"/>
  <c r="BX44" i="2"/>
  <c r="BU44" i="2"/>
  <c r="BS44" i="2"/>
  <c r="BP44" i="2"/>
  <c r="BN44" i="2"/>
  <c r="BK44" i="2"/>
  <c r="BI44" i="2"/>
  <c r="BF44" i="2"/>
  <c r="BD44" i="2"/>
  <c r="AY44" i="2"/>
  <c r="AV44" i="2"/>
  <c r="AT44" i="2"/>
  <c r="AQ44" i="2"/>
  <c r="AO44" i="2"/>
  <c r="AL44" i="2"/>
  <c r="AJ44" i="2"/>
  <c r="AG44" i="2"/>
  <c r="AE44" i="2"/>
  <c r="AB44" i="2"/>
  <c r="Z44" i="2"/>
  <c r="U44" i="2"/>
  <c r="CE21" i="2"/>
  <c r="CC21" i="2"/>
  <c r="BZ21" i="2"/>
  <c r="BX21" i="2"/>
  <c r="BU21" i="2"/>
  <c r="BS21" i="2"/>
  <c r="BP21" i="2"/>
  <c r="BN21" i="2"/>
  <c r="BK21" i="2"/>
  <c r="BI21" i="2"/>
  <c r="BF21" i="2"/>
  <c r="BD21" i="2"/>
  <c r="AY21" i="2"/>
  <c r="AV21" i="2"/>
  <c r="AT21" i="2"/>
  <c r="AQ21" i="2"/>
  <c r="AO21" i="2"/>
  <c r="AL21" i="2"/>
  <c r="AJ21" i="2"/>
  <c r="AG21" i="2"/>
  <c r="AE21" i="2"/>
  <c r="AB21" i="2"/>
  <c r="Z21" i="2"/>
  <c r="U21" i="2"/>
  <c r="CE92" i="2"/>
  <c r="CC92" i="2"/>
  <c r="BZ92" i="2"/>
  <c r="BX92" i="2"/>
  <c r="BU92" i="2"/>
  <c r="BS92" i="2"/>
  <c r="BP92" i="2"/>
  <c r="BN92" i="2"/>
  <c r="BK92" i="2"/>
  <c r="BI92" i="2"/>
  <c r="BF92" i="2"/>
  <c r="BD92" i="2"/>
  <c r="AY92" i="2"/>
  <c r="AV92" i="2"/>
  <c r="AT92" i="2"/>
  <c r="AQ92" i="2"/>
  <c r="AO92" i="2"/>
  <c r="AL92" i="2"/>
  <c r="AJ92" i="2"/>
  <c r="AG92" i="2"/>
  <c r="AE92" i="2"/>
  <c r="AB92" i="2"/>
  <c r="Z92" i="2"/>
  <c r="U92" i="2"/>
  <c r="CE124" i="2"/>
  <c r="CC124" i="2"/>
  <c r="BZ124" i="2"/>
  <c r="BX124" i="2"/>
  <c r="BU124" i="2"/>
  <c r="BS124" i="2"/>
  <c r="BP124" i="2"/>
  <c r="BN124" i="2"/>
  <c r="BK124" i="2"/>
  <c r="BI124" i="2"/>
  <c r="BF124" i="2"/>
  <c r="BD124" i="2"/>
  <c r="AY124" i="2"/>
  <c r="AV124" i="2"/>
  <c r="AT124" i="2"/>
  <c r="AQ124" i="2"/>
  <c r="AO124" i="2"/>
  <c r="AL124" i="2"/>
  <c r="AJ124" i="2"/>
  <c r="AG124" i="2"/>
  <c r="AE124" i="2"/>
  <c r="AB124" i="2"/>
  <c r="Z124" i="2"/>
  <c r="U124" i="2"/>
  <c r="CE91" i="2"/>
  <c r="CC91" i="2"/>
  <c r="BZ91" i="2"/>
  <c r="BX91" i="2"/>
  <c r="BU91" i="2"/>
  <c r="BS91" i="2"/>
  <c r="BP91" i="2"/>
  <c r="BN91" i="2"/>
  <c r="BK91" i="2"/>
  <c r="BI91" i="2"/>
  <c r="BF91" i="2"/>
  <c r="BD91" i="2"/>
  <c r="AY91" i="2"/>
  <c r="AV91" i="2"/>
  <c r="AT91" i="2"/>
  <c r="AQ91" i="2"/>
  <c r="AO91" i="2"/>
  <c r="AL91" i="2"/>
  <c r="AJ91" i="2"/>
  <c r="AG91" i="2"/>
  <c r="AE91" i="2"/>
  <c r="AB91" i="2"/>
  <c r="Z91" i="2"/>
  <c r="U91" i="2"/>
  <c r="CE43" i="2"/>
  <c r="CC43" i="2"/>
  <c r="BZ43" i="2"/>
  <c r="BX43" i="2"/>
  <c r="BU43" i="2"/>
  <c r="BS43" i="2"/>
  <c r="BP43" i="2"/>
  <c r="BN43" i="2"/>
  <c r="BK43" i="2"/>
  <c r="BI43" i="2"/>
  <c r="BF43" i="2"/>
  <c r="BD43" i="2"/>
  <c r="AY43" i="2"/>
  <c r="AV43" i="2"/>
  <c r="AT43" i="2"/>
  <c r="AQ43" i="2"/>
  <c r="AO43" i="2"/>
  <c r="AL43" i="2"/>
  <c r="AJ43" i="2"/>
  <c r="AG43" i="2"/>
  <c r="AE43" i="2"/>
  <c r="AB43" i="2"/>
  <c r="Z43" i="2"/>
  <c r="U43" i="2"/>
  <c r="CE90" i="2"/>
  <c r="CC90" i="2"/>
  <c r="BZ90" i="2"/>
  <c r="BX90" i="2"/>
  <c r="BU90" i="2"/>
  <c r="BS90" i="2"/>
  <c r="BP90" i="2"/>
  <c r="BN90" i="2"/>
  <c r="BK90" i="2"/>
  <c r="BI90" i="2"/>
  <c r="BF90" i="2"/>
  <c r="BD90" i="2"/>
  <c r="AY90" i="2"/>
  <c r="AV90" i="2"/>
  <c r="AT90" i="2"/>
  <c r="AQ90" i="2"/>
  <c r="AO90" i="2"/>
  <c r="AL90" i="2"/>
  <c r="AJ90" i="2"/>
  <c r="AG90" i="2"/>
  <c r="AE90" i="2"/>
  <c r="AB90" i="2"/>
  <c r="Z90" i="2"/>
  <c r="U90" i="2"/>
  <c r="CE20" i="2"/>
  <c r="CC20" i="2"/>
  <c r="BZ20" i="2"/>
  <c r="BX20" i="2"/>
  <c r="BU20" i="2"/>
  <c r="BS20" i="2"/>
  <c r="BP20" i="2"/>
  <c r="BN20" i="2"/>
  <c r="BK20" i="2"/>
  <c r="BI20" i="2"/>
  <c r="BF20" i="2"/>
  <c r="BD20" i="2"/>
  <c r="AY20" i="2"/>
  <c r="AV20" i="2"/>
  <c r="AT20" i="2"/>
  <c r="AQ20" i="2"/>
  <c r="AO20" i="2"/>
  <c r="AL20" i="2"/>
  <c r="AJ20" i="2"/>
  <c r="AG20" i="2"/>
  <c r="AE20" i="2"/>
  <c r="AB20" i="2"/>
  <c r="Z20" i="2"/>
  <c r="U20" i="2"/>
  <c r="CE19" i="2"/>
  <c r="CC19" i="2"/>
  <c r="BZ19" i="2"/>
  <c r="BX19" i="2"/>
  <c r="BU19" i="2"/>
  <c r="BS19" i="2"/>
  <c r="BP19" i="2"/>
  <c r="BN19" i="2"/>
  <c r="BK19" i="2"/>
  <c r="BI19" i="2"/>
  <c r="BF19" i="2"/>
  <c r="BD19" i="2"/>
  <c r="AY19" i="2"/>
  <c r="AV19" i="2"/>
  <c r="AT19" i="2"/>
  <c r="AQ19" i="2"/>
  <c r="AO19" i="2"/>
  <c r="AL19" i="2"/>
  <c r="AJ19" i="2"/>
  <c r="AG19" i="2"/>
  <c r="AE19" i="2"/>
  <c r="AB19" i="2"/>
  <c r="Z19" i="2"/>
  <c r="U19" i="2"/>
  <c r="CE123" i="2"/>
  <c r="CC123" i="2"/>
  <c r="BZ123" i="2"/>
  <c r="BX123" i="2"/>
  <c r="BU123" i="2"/>
  <c r="BS123" i="2"/>
  <c r="BP123" i="2"/>
  <c r="BN123" i="2"/>
  <c r="BK123" i="2"/>
  <c r="BI123" i="2"/>
  <c r="BF123" i="2"/>
  <c r="BD123" i="2"/>
  <c r="AY123" i="2"/>
  <c r="AV123" i="2"/>
  <c r="AT123" i="2"/>
  <c r="AQ123" i="2"/>
  <c r="AO123" i="2"/>
  <c r="AL123" i="2"/>
  <c r="AJ123" i="2"/>
  <c r="AG123" i="2"/>
  <c r="AE123" i="2"/>
  <c r="AB123" i="2"/>
  <c r="Z123" i="2"/>
  <c r="U123" i="2"/>
  <c r="CE18" i="2"/>
  <c r="CC18" i="2"/>
  <c r="BZ18" i="2"/>
  <c r="BX18" i="2"/>
  <c r="BU18" i="2"/>
  <c r="BS18" i="2"/>
  <c r="BP18" i="2"/>
  <c r="BN18" i="2"/>
  <c r="BK18" i="2"/>
  <c r="BI18" i="2"/>
  <c r="BF18" i="2"/>
  <c r="BD18" i="2"/>
  <c r="AY18" i="2"/>
  <c r="AV18" i="2"/>
  <c r="AT18" i="2"/>
  <c r="AQ18" i="2"/>
  <c r="AO18" i="2"/>
  <c r="AL18" i="2"/>
  <c r="AJ18" i="2"/>
  <c r="AG18" i="2"/>
  <c r="AE18" i="2"/>
  <c r="AB18" i="2"/>
  <c r="Z18" i="2"/>
  <c r="U18" i="2"/>
  <c r="CE17" i="2"/>
  <c r="CC17" i="2"/>
  <c r="BZ17" i="2"/>
  <c r="BX17" i="2"/>
  <c r="BU17" i="2"/>
  <c r="BS17" i="2"/>
  <c r="BP17" i="2"/>
  <c r="BN17" i="2"/>
  <c r="BK17" i="2"/>
  <c r="BI17" i="2"/>
  <c r="BF17" i="2"/>
  <c r="BD17" i="2"/>
  <c r="AY17" i="2"/>
  <c r="AV17" i="2"/>
  <c r="AT17" i="2"/>
  <c r="AQ17" i="2"/>
  <c r="AO17" i="2"/>
  <c r="AL17" i="2"/>
  <c r="AJ17" i="2"/>
  <c r="AG17" i="2"/>
  <c r="AE17" i="2"/>
  <c r="AB17" i="2"/>
  <c r="Z17" i="2"/>
  <c r="U17" i="2"/>
  <c r="CE89" i="2"/>
  <c r="CC89" i="2"/>
  <c r="BZ89" i="2"/>
  <c r="BX89" i="2"/>
  <c r="BU89" i="2"/>
  <c r="BS89" i="2"/>
  <c r="BP89" i="2"/>
  <c r="BN89" i="2"/>
  <c r="BK89" i="2"/>
  <c r="BI89" i="2"/>
  <c r="BF89" i="2"/>
  <c r="BD89" i="2"/>
  <c r="AY89" i="2"/>
  <c r="AV89" i="2"/>
  <c r="AT89" i="2"/>
  <c r="AQ89" i="2"/>
  <c r="AO89" i="2"/>
  <c r="AL89" i="2"/>
  <c r="AJ89" i="2"/>
  <c r="AG89" i="2"/>
  <c r="AE89" i="2"/>
  <c r="AB89" i="2"/>
  <c r="Z89" i="2"/>
  <c r="U89" i="2"/>
  <c r="CE16" i="2"/>
  <c r="CC16" i="2"/>
  <c r="BZ16" i="2"/>
  <c r="BX16" i="2"/>
  <c r="BU16" i="2"/>
  <c r="BS16" i="2"/>
  <c r="BP16" i="2"/>
  <c r="BN16" i="2"/>
  <c r="BK16" i="2"/>
  <c r="BI16" i="2"/>
  <c r="BF16" i="2"/>
  <c r="BD16" i="2"/>
  <c r="AY16" i="2"/>
  <c r="AV16" i="2"/>
  <c r="AT16" i="2"/>
  <c r="AQ16" i="2"/>
  <c r="AO16" i="2"/>
  <c r="AL16" i="2"/>
  <c r="AJ16" i="2"/>
  <c r="AG16" i="2"/>
  <c r="AE16" i="2"/>
  <c r="AB16" i="2"/>
  <c r="Z16" i="2"/>
  <c r="U16" i="2"/>
  <c r="BZ159" i="1"/>
  <c r="BX159" i="1"/>
  <c r="BU159" i="1"/>
  <c r="BS159" i="1"/>
  <c r="BP159" i="1"/>
  <c r="BN159" i="1"/>
  <c r="BK159" i="1"/>
  <c r="BI159" i="1"/>
  <c r="BF159" i="1"/>
  <c r="BD159" i="1"/>
  <c r="BA159" i="1"/>
  <c r="AY159" i="1"/>
  <c r="AV159" i="1"/>
  <c r="AT159" i="1"/>
  <c r="AQ159" i="1"/>
  <c r="AO159" i="1"/>
  <c r="AL159" i="1"/>
  <c r="AJ159" i="1"/>
  <c r="AG159" i="1"/>
  <c r="AE159" i="1"/>
  <c r="AB159" i="1"/>
  <c r="Z159" i="1"/>
  <c r="W159" i="1"/>
  <c r="U159" i="1"/>
  <c r="P159" i="1"/>
  <c r="BZ158" i="1"/>
  <c r="BX158" i="1"/>
  <c r="BU158" i="1"/>
  <c r="BS158" i="1"/>
  <c r="BP158" i="1"/>
  <c r="BN158" i="1"/>
  <c r="BK158" i="1"/>
  <c r="BI158" i="1"/>
  <c r="BF158" i="1"/>
  <c r="BD158" i="1"/>
  <c r="BA158" i="1"/>
  <c r="AY158" i="1"/>
  <c r="AV158" i="1"/>
  <c r="AT158" i="1"/>
  <c r="AQ158" i="1"/>
  <c r="AO158" i="1"/>
  <c r="AL158" i="1"/>
  <c r="AJ158" i="1"/>
  <c r="AG158" i="1"/>
  <c r="AE158" i="1"/>
  <c r="AB158" i="1"/>
  <c r="Z158" i="1"/>
  <c r="W158" i="1"/>
  <c r="U158" i="1"/>
  <c r="P158" i="1"/>
  <c r="BZ157" i="1"/>
  <c r="BX157" i="1"/>
  <c r="BU157" i="1"/>
  <c r="BS157" i="1"/>
  <c r="BP157" i="1"/>
  <c r="BN157" i="1"/>
  <c r="BK157" i="1"/>
  <c r="BI157" i="1"/>
  <c r="BF157" i="1"/>
  <c r="BD157" i="1"/>
  <c r="BA157" i="1"/>
  <c r="AY157" i="1"/>
  <c r="AV157" i="1"/>
  <c r="AT157" i="1"/>
  <c r="AQ157" i="1"/>
  <c r="AO157" i="1"/>
  <c r="AL157" i="1"/>
  <c r="AJ157" i="1"/>
  <c r="AG157" i="1"/>
  <c r="AE157" i="1"/>
  <c r="AB157" i="1"/>
  <c r="Z157" i="1"/>
  <c r="W157" i="1"/>
  <c r="U157" i="1"/>
  <c r="P157" i="1"/>
  <c r="BZ156" i="1"/>
  <c r="BX156" i="1"/>
  <c r="BU156" i="1"/>
  <c r="BS156" i="1"/>
  <c r="BP156" i="1"/>
  <c r="BN156" i="1"/>
  <c r="BK156" i="1"/>
  <c r="BI156" i="1"/>
  <c r="BF156" i="1"/>
  <c r="BD156" i="1"/>
  <c r="BA156" i="1"/>
  <c r="AY156" i="1"/>
  <c r="AV156" i="1"/>
  <c r="AT156" i="1"/>
  <c r="AQ156" i="1"/>
  <c r="AO156" i="1"/>
  <c r="AL156" i="1"/>
  <c r="AJ156" i="1"/>
  <c r="AG156" i="1"/>
  <c r="AE156" i="1"/>
  <c r="AB156" i="1"/>
  <c r="Z156" i="1"/>
  <c r="W156" i="1"/>
  <c r="U156" i="1"/>
  <c r="P156" i="1"/>
  <c r="BZ155" i="1"/>
  <c r="BX155" i="1"/>
  <c r="BU155" i="1"/>
  <c r="BS155" i="1"/>
  <c r="BP155" i="1"/>
  <c r="BN155" i="1"/>
  <c r="BK155" i="1"/>
  <c r="BI155" i="1"/>
  <c r="BF155" i="1"/>
  <c r="BD155" i="1"/>
  <c r="BA155" i="1"/>
  <c r="AY155" i="1"/>
  <c r="AV155" i="1"/>
  <c r="AT155" i="1"/>
  <c r="AQ155" i="1"/>
  <c r="AO155" i="1"/>
  <c r="AL155" i="1"/>
  <c r="AJ155" i="1"/>
  <c r="AG155" i="1"/>
  <c r="AE155" i="1"/>
  <c r="AB155" i="1"/>
  <c r="Z155" i="1"/>
  <c r="W155" i="1"/>
  <c r="U155" i="1"/>
  <c r="P155" i="1"/>
  <c r="BZ154" i="1"/>
  <c r="BX154" i="1"/>
  <c r="BU154" i="1"/>
  <c r="BS154" i="1"/>
  <c r="BP154" i="1"/>
  <c r="BN154" i="1"/>
  <c r="BK154" i="1"/>
  <c r="BI154" i="1"/>
  <c r="BF154" i="1"/>
  <c r="BD154" i="1"/>
  <c r="BA154" i="1"/>
  <c r="AY154" i="1"/>
  <c r="AV154" i="1"/>
  <c r="AT154" i="1"/>
  <c r="AQ154" i="1"/>
  <c r="AO154" i="1"/>
  <c r="AL154" i="1"/>
  <c r="AJ154" i="1"/>
  <c r="AG154" i="1"/>
  <c r="AE154" i="1"/>
  <c r="AB154" i="1"/>
  <c r="Z154" i="1"/>
  <c r="W154" i="1"/>
  <c r="U154" i="1"/>
  <c r="P154" i="1"/>
  <c r="BZ153" i="1"/>
  <c r="BX153" i="1"/>
  <c r="BU153" i="1"/>
  <c r="BS153" i="1"/>
  <c r="BP153" i="1"/>
  <c r="BN153" i="1"/>
  <c r="BK153" i="1"/>
  <c r="BI153" i="1"/>
  <c r="BF153" i="1"/>
  <c r="BD153" i="1"/>
  <c r="BA153" i="1"/>
  <c r="AY153" i="1"/>
  <c r="AV153" i="1"/>
  <c r="AT153" i="1"/>
  <c r="AQ153" i="1"/>
  <c r="AO153" i="1"/>
  <c r="AL153" i="1"/>
  <c r="AJ153" i="1"/>
  <c r="AG153" i="1"/>
  <c r="AE153" i="1"/>
  <c r="AB153" i="1"/>
  <c r="Z153" i="1"/>
  <c r="W153" i="1"/>
  <c r="U153" i="1"/>
  <c r="P153" i="1"/>
  <c r="BZ152" i="1"/>
  <c r="BX152" i="1"/>
  <c r="BU152" i="1"/>
  <c r="BS152" i="1"/>
  <c r="BP152" i="1"/>
  <c r="BN152" i="1"/>
  <c r="BK152" i="1"/>
  <c r="BI152" i="1"/>
  <c r="BF152" i="1"/>
  <c r="BD152" i="1"/>
  <c r="BA152" i="1"/>
  <c r="AY152" i="1"/>
  <c r="AV152" i="1"/>
  <c r="AT152" i="1"/>
  <c r="AQ152" i="1"/>
  <c r="AO152" i="1"/>
  <c r="AL152" i="1"/>
  <c r="AJ152" i="1"/>
  <c r="AG152" i="1"/>
  <c r="AE152" i="1"/>
  <c r="AB152" i="1"/>
  <c r="Z152" i="1"/>
  <c r="W152" i="1"/>
  <c r="U152" i="1"/>
  <c r="P152" i="1"/>
  <c r="BZ151" i="1"/>
  <c r="BX151" i="1"/>
  <c r="BU151" i="1"/>
  <c r="BS151" i="1"/>
  <c r="BP151" i="1"/>
  <c r="BN151" i="1"/>
  <c r="BK151" i="1"/>
  <c r="BI151" i="1"/>
  <c r="BF151" i="1"/>
  <c r="BD151" i="1"/>
  <c r="BA151" i="1"/>
  <c r="AY151" i="1"/>
  <c r="AV151" i="1"/>
  <c r="AT151" i="1"/>
  <c r="AQ151" i="1"/>
  <c r="AO151" i="1"/>
  <c r="AL151" i="1"/>
  <c r="AJ151" i="1"/>
  <c r="AG151" i="1"/>
  <c r="AE151" i="1"/>
  <c r="AB151" i="1"/>
  <c r="Z151" i="1"/>
  <c r="W151" i="1"/>
  <c r="U151" i="1"/>
  <c r="P151" i="1"/>
  <c r="BZ150" i="1"/>
  <c r="BX150" i="1"/>
  <c r="BU150" i="1"/>
  <c r="BS150" i="1"/>
  <c r="BP150" i="1"/>
  <c r="BN150" i="1"/>
  <c r="BK150" i="1"/>
  <c r="BI150" i="1"/>
  <c r="BF150" i="1"/>
  <c r="BD150" i="1"/>
  <c r="BA150" i="1"/>
  <c r="AY150" i="1"/>
  <c r="AV150" i="1"/>
  <c r="AT150" i="1"/>
  <c r="AQ150" i="1"/>
  <c r="AO150" i="1"/>
  <c r="AL150" i="1"/>
  <c r="AJ150" i="1"/>
  <c r="AG150" i="1"/>
  <c r="AE150" i="1"/>
  <c r="AB150" i="1"/>
  <c r="Z150" i="1"/>
  <c r="W150" i="1"/>
  <c r="U150" i="1"/>
  <c r="P150" i="1"/>
  <c r="BZ149" i="1"/>
  <c r="BX149" i="1"/>
  <c r="BU149" i="1"/>
  <c r="BS149" i="1"/>
  <c r="BP149" i="1"/>
  <c r="BN149" i="1"/>
  <c r="BK149" i="1"/>
  <c r="BI149" i="1"/>
  <c r="BF149" i="1"/>
  <c r="BD149" i="1"/>
  <c r="BA149" i="1"/>
  <c r="AY149" i="1"/>
  <c r="AV149" i="1"/>
  <c r="AT149" i="1"/>
  <c r="AQ149" i="1"/>
  <c r="AO149" i="1"/>
  <c r="AL149" i="1"/>
  <c r="AJ149" i="1"/>
  <c r="AG149" i="1"/>
  <c r="AE149" i="1"/>
  <c r="AB149" i="1"/>
  <c r="Z149" i="1"/>
  <c r="W149" i="1"/>
  <c r="U149" i="1"/>
  <c r="P149" i="1"/>
  <c r="BZ148" i="1"/>
  <c r="BX148" i="1"/>
  <c r="BU148" i="1"/>
  <c r="BS148" i="1"/>
  <c r="BP148" i="1"/>
  <c r="BN148" i="1"/>
  <c r="BK148" i="1"/>
  <c r="BI148" i="1"/>
  <c r="BF148" i="1"/>
  <c r="BD148" i="1"/>
  <c r="BA148" i="1"/>
  <c r="AY148" i="1"/>
  <c r="AV148" i="1"/>
  <c r="AT148" i="1"/>
  <c r="AQ148" i="1"/>
  <c r="AO148" i="1"/>
  <c r="AL148" i="1"/>
  <c r="AJ148" i="1"/>
  <c r="AG148" i="1"/>
  <c r="AE148" i="1"/>
  <c r="AB148" i="1"/>
  <c r="Z148" i="1"/>
  <c r="W148" i="1"/>
  <c r="U148" i="1"/>
  <c r="P148" i="1"/>
  <c r="BZ147" i="1"/>
  <c r="BX147" i="1"/>
  <c r="BU147" i="1"/>
  <c r="BS147" i="1"/>
  <c r="BP147" i="1"/>
  <c r="BN147" i="1"/>
  <c r="BK147" i="1"/>
  <c r="BI147" i="1"/>
  <c r="BF147" i="1"/>
  <c r="BD147" i="1"/>
  <c r="BA147" i="1"/>
  <c r="AY147" i="1"/>
  <c r="AV147" i="1"/>
  <c r="AT147" i="1"/>
  <c r="AQ147" i="1"/>
  <c r="AO147" i="1"/>
  <c r="AL147" i="1"/>
  <c r="AJ147" i="1"/>
  <c r="AG147" i="1"/>
  <c r="AE147" i="1"/>
  <c r="AB147" i="1"/>
  <c r="Z147" i="1"/>
  <c r="W147" i="1"/>
  <c r="U147" i="1"/>
  <c r="P147" i="1"/>
  <c r="BZ146" i="1"/>
  <c r="BX146" i="1"/>
  <c r="BU146" i="1"/>
  <c r="BS146" i="1"/>
  <c r="BP146" i="1"/>
  <c r="BN146" i="1"/>
  <c r="BK146" i="1"/>
  <c r="BI146" i="1"/>
  <c r="BF146" i="1"/>
  <c r="BD146" i="1"/>
  <c r="BA146" i="1"/>
  <c r="AY146" i="1"/>
  <c r="AV146" i="1"/>
  <c r="AT146" i="1"/>
  <c r="AQ146" i="1"/>
  <c r="AO146" i="1"/>
  <c r="AL146" i="1"/>
  <c r="AJ146" i="1"/>
  <c r="AG146" i="1"/>
  <c r="AE146" i="1"/>
  <c r="AB146" i="1"/>
  <c r="Z146" i="1"/>
  <c r="W146" i="1"/>
  <c r="U146" i="1"/>
  <c r="P146" i="1"/>
  <c r="BZ145" i="1"/>
  <c r="BX145" i="1"/>
  <c r="BU145" i="1"/>
  <c r="BS145" i="1"/>
  <c r="BP145" i="1"/>
  <c r="BN145" i="1"/>
  <c r="BK145" i="1"/>
  <c r="BI145" i="1"/>
  <c r="BF145" i="1"/>
  <c r="BD145" i="1"/>
  <c r="BA145" i="1"/>
  <c r="AY145" i="1"/>
  <c r="AV145" i="1"/>
  <c r="AT145" i="1"/>
  <c r="AQ145" i="1"/>
  <c r="AO145" i="1"/>
  <c r="AL145" i="1"/>
  <c r="AJ145" i="1"/>
  <c r="AG145" i="1"/>
  <c r="AE145" i="1"/>
  <c r="AB145" i="1"/>
  <c r="Z145" i="1"/>
  <c r="W145" i="1"/>
  <c r="U145" i="1"/>
  <c r="P145" i="1"/>
  <c r="BZ144" i="1"/>
  <c r="BX144" i="1"/>
  <c r="BU144" i="1"/>
  <c r="BS144" i="1"/>
  <c r="BP144" i="1"/>
  <c r="BN144" i="1"/>
  <c r="BK144" i="1"/>
  <c r="BI144" i="1"/>
  <c r="BF144" i="1"/>
  <c r="BD144" i="1"/>
  <c r="BA144" i="1"/>
  <c r="AY144" i="1"/>
  <c r="AV144" i="1"/>
  <c r="AT144" i="1"/>
  <c r="AQ144" i="1"/>
  <c r="AO144" i="1"/>
  <c r="AL144" i="1"/>
  <c r="AJ144" i="1"/>
  <c r="AG144" i="1"/>
  <c r="AE144" i="1"/>
  <c r="AB144" i="1"/>
  <c r="Z144" i="1"/>
  <c r="W144" i="1"/>
  <c r="U144" i="1"/>
  <c r="P144" i="1"/>
  <c r="BZ143" i="1"/>
  <c r="BX143" i="1"/>
  <c r="BU143" i="1"/>
  <c r="BS143" i="1"/>
  <c r="BP143" i="1"/>
  <c r="BN143" i="1"/>
  <c r="BK143" i="1"/>
  <c r="BI143" i="1"/>
  <c r="BF143" i="1"/>
  <c r="BD143" i="1"/>
  <c r="BA143" i="1"/>
  <c r="AY143" i="1"/>
  <c r="AV143" i="1"/>
  <c r="AT143" i="1"/>
  <c r="AQ143" i="1"/>
  <c r="AO143" i="1"/>
  <c r="AL143" i="1"/>
  <c r="AJ143" i="1"/>
  <c r="AG143" i="1"/>
  <c r="AE143" i="1"/>
  <c r="AB143" i="1"/>
  <c r="Z143" i="1"/>
  <c r="W143" i="1"/>
  <c r="U143" i="1"/>
  <c r="P143" i="1"/>
  <c r="BZ142" i="1"/>
  <c r="BX142" i="1"/>
  <c r="BU142" i="1"/>
  <c r="BS142" i="1"/>
  <c r="BP142" i="1"/>
  <c r="BN142" i="1"/>
  <c r="BK142" i="1"/>
  <c r="BI142" i="1"/>
  <c r="BF142" i="1"/>
  <c r="BD142" i="1"/>
  <c r="BA142" i="1"/>
  <c r="AY142" i="1"/>
  <c r="AV142" i="1"/>
  <c r="AT142" i="1"/>
  <c r="AQ142" i="1"/>
  <c r="AO142" i="1"/>
  <c r="AL142" i="1"/>
  <c r="AJ142" i="1"/>
  <c r="AG142" i="1"/>
  <c r="AE142" i="1"/>
  <c r="AB142" i="1"/>
  <c r="Z142" i="1"/>
  <c r="W142" i="1"/>
  <c r="U142" i="1"/>
  <c r="P142" i="1"/>
  <c r="BZ141" i="1"/>
  <c r="BX141" i="1"/>
  <c r="BU141" i="1"/>
  <c r="BS141" i="1"/>
  <c r="BP141" i="1"/>
  <c r="BN141" i="1"/>
  <c r="BK141" i="1"/>
  <c r="BI141" i="1"/>
  <c r="BF141" i="1"/>
  <c r="BD141" i="1"/>
  <c r="BA141" i="1"/>
  <c r="AY141" i="1"/>
  <c r="AV141" i="1"/>
  <c r="AT141" i="1"/>
  <c r="AQ141" i="1"/>
  <c r="AO141" i="1"/>
  <c r="AL141" i="1"/>
  <c r="AJ141" i="1"/>
  <c r="AG141" i="1"/>
  <c r="AE141" i="1"/>
  <c r="AB141" i="1"/>
  <c r="Z141" i="1"/>
  <c r="W141" i="1"/>
  <c r="U141" i="1"/>
  <c r="P141" i="1"/>
  <c r="BZ140" i="1"/>
  <c r="BX140" i="1"/>
  <c r="BU140" i="1"/>
  <c r="BS140" i="1"/>
  <c r="BP140" i="1"/>
  <c r="BN140" i="1"/>
  <c r="BK140" i="1"/>
  <c r="BI140" i="1"/>
  <c r="BF140" i="1"/>
  <c r="BD140" i="1"/>
  <c r="BA140" i="1"/>
  <c r="AY140" i="1"/>
  <c r="AV140" i="1"/>
  <c r="AT140" i="1"/>
  <c r="AQ140" i="1"/>
  <c r="AO140" i="1"/>
  <c r="AL140" i="1"/>
  <c r="AJ140" i="1"/>
  <c r="AG140" i="1"/>
  <c r="AE140" i="1"/>
  <c r="AB140" i="1"/>
  <c r="Z140" i="1"/>
  <c r="W140" i="1"/>
  <c r="U140" i="1"/>
  <c r="P140" i="1"/>
  <c r="BZ139" i="1"/>
  <c r="BX139" i="1"/>
  <c r="BU139" i="1"/>
  <c r="BS139" i="1"/>
  <c r="BP139" i="1"/>
  <c r="BN139" i="1"/>
  <c r="BK139" i="1"/>
  <c r="BI139" i="1"/>
  <c r="BF139" i="1"/>
  <c r="BD139" i="1"/>
  <c r="BA139" i="1"/>
  <c r="AY139" i="1"/>
  <c r="AV139" i="1"/>
  <c r="AT139" i="1"/>
  <c r="AQ139" i="1"/>
  <c r="AO139" i="1"/>
  <c r="AL139" i="1"/>
  <c r="AJ139" i="1"/>
  <c r="AG139" i="1"/>
  <c r="AE139" i="1"/>
  <c r="AB139" i="1"/>
  <c r="Z139" i="1"/>
  <c r="W139" i="1"/>
  <c r="U139" i="1"/>
  <c r="P139" i="1"/>
  <c r="BZ138" i="1"/>
  <c r="BX138" i="1"/>
  <c r="BU138" i="1"/>
  <c r="BS138" i="1"/>
  <c r="BP138" i="1"/>
  <c r="BN138" i="1"/>
  <c r="BK138" i="1"/>
  <c r="BI138" i="1"/>
  <c r="BF138" i="1"/>
  <c r="BD138" i="1"/>
  <c r="BA138" i="1"/>
  <c r="AY138" i="1"/>
  <c r="AV138" i="1"/>
  <c r="AT138" i="1"/>
  <c r="AQ138" i="1"/>
  <c r="AO138" i="1"/>
  <c r="AL138" i="1"/>
  <c r="AJ138" i="1"/>
  <c r="AG138" i="1"/>
  <c r="AE138" i="1"/>
  <c r="AB138" i="1"/>
  <c r="Z138" i="1"/>
  <c r="W138" i="1"/>
  <c r="U138" i="1"/>
  <c r="P138" i="1"/>
  <c r="BZ137" i="1"/>
  <c r="BX137" i="1"/>
  <c r="BU137" i="1"/>
  <c r="BS137" i="1"/>
  <c r="BP137" i="1"/>
  <c r="BN137" i="1"/>
  <c r="BK137" i="1"/>
  <c r="BI137" i="1"/>
  <c r="BF137" i="1"/>
  <c r="BD137" i="1"/>
  <c r="BA137" i="1"/>
  <c r="AY137" i="1"/>
  <c r="AV137" i="1"/>
  <c r="AT137" i="1"/>
  <c r="AQ137" i="1"/>
  <c r="AO137" i="1"/>
  <c r="AL137" i="1"/>
  <c r="AJ137" i="1"/>
  <c r="AG137" i="1"/>
  <c r="AE137" i="1"/>
  <c r="AB137" i="1"/>
  <c r="Z137" i="1"/>
  <c r="W137" i="1"/>
  <c r="U137" i="1"/>
  <c r="P137" i="1"/>
  <c r="BZ136" i="1"/>
  <c r="BX136" i="1"/>
  <c r="BU136" i="1"/>
  <c r="BS136" i="1"/>
  <c r="BP136" i="1"/>
  <c r="BN136" i="1"/>
  <c r="BK136" i="1"/>
  <c r="BI136" i="1"/>
  <c r="BF136" i="1"/>
  <c r="BD136" i="1"/>
  <c r="BA136" i="1"/>
  <c r="AY136" i="1"/>
  <c r="AV136" i="1"/>
  <c r="AT136" i="1"/>
  <c r="AQ136" i="1"/>
  <c r="AO136" i="1"/>
  <c r="AL136" i="1"/>
  <c r="AJ136" i="1"/>
  <c r="AG136" i="1"/>
  <c r="AE136" i="1"/>
  <c r="AB136" i="1"/>
  <c r="Z136" i="1"/>
  <c r="W136" i="1"/>
  <c r="U136" i="1"/>
  <c r="P136" i="1"/>
  <c r="BZ135" i="1"/>
  <c r="BX135" i="1"/>
  <c r="BU135" i="1"/>
  <c r="BS135" i="1"/>
  <c r="BP135" i="1"/>
  <c r="BN135" i="1"/>
  <c r="BK135" i="1"/>
  <c r="BI135" i="1"/>
  <c r="BF135" i="1"/>
  <c r="BD135" i="1"/>
  <c r="BA135" i="1"/>
  <c r="AY135" i="1"/>
  <c r="AV135" i="1"/>
  <c r="AT135" i="1"/>
  <c r="AQ135" i="1"/>
  <c r="AO135" i="1"/>
  <c r="AL135" i="1"/>
  <c r="AJ135" i="1"/>
  <c r="AG135" i="1"/>
  <c r="AE135" i="1"/>
  <c r="AB135" i="1"/>
  <c r="Z135" i="1"/>
  <c r="W135" i="1"/>
  <c r="U135" i="1"/>
  <c r="P135" i="1"/>
  <c r="BZ134" i="1"/>
  <c r="BX134" i="1"/>
  <c r="BU134" i="1"/>
  <c r="BS134" i="1"/>
  <c r="BP134" i="1"/>
  <c r="BN134" i="1"/>
  <c r="BK134" i="1"/>
  <c r="BI134" i="1"/>
  <c r="BF134" i="1"/>
  <c r="BD134" i="1"/>
  <c r="BA134" i="1"/>
  <c r="AY134" i="1"/>
  <c r="AV134" i="1"/>
  <c r="AT134" i="1"/>
  <c r="AQ134" i="1"/>
  <c r="AO134" i="1"/>
  <c r="AL134" i="1"/>
  <c r="AJ134" i="1"/>
  <c r="AG134" i="1"/>
  <c r="AE134" i="1"/>
  <c r="AB134" i="1"/>
  <c r="Z134" i="1"/>
  <c r="W134" i="1"/>
  <c r="U134" i="1"/>
  <c r="P134" i="1"/>
  <c r="BZ133" i="1"/>
  <c r="BX133" i="1"/>
  <c r="BU133" i="1"/>
  <c r="BS133" i="1"/>
  <c r="BP133" i="1"/>
  <c r="BN133" i="1"/>
  <c r="BK133" i="1"/>
  <c r="BI133" i="1"/>
  <c r="BF133" i="1"/>
  <c r="BD133" i="1"/>
  <c r="BA133" i="1"/>
  <c r="AY133" i="1"/>
  <c r="AV133" i="1"/>
  <c r="AT133" i="1"/>
  <c r="AQ133" i="1"/>
  <c r="AO133" i="1"/>
  <c r="AL133" i="1"/>
  <c r="AJ133" i="1"/>
  <c r="AG133" i="1"/>
  <c r="AE133" i="1"/>
  <c r="AB133" i="1"/>
  <c r="Z133" i="1"/>
  <c r="W133" i="1"/>
  <c r="U133" i="1"/>
  <c r="P133" i="1"/>
  <c r="BZ132" i="1"/>
  <c r="BX132" i="1"/>
  <c r="BU132" i="1"/>
  <c r="BS132" i="1"/>
  <c r="BP132" i="1"/>
  <c r="BN132" i="1"/>
  <c r="BK132" i="1"/>
  <c r="BI132" i="1"/>
  <c r="BF132" i="1"/>
  <c r="BD132" i="1"/>
  <c r="BA132" i="1"/>
  <c r="AY132" i="1"/>
  <c r="AV132" i="1"/>
  <c r="AT132" i="1"/>
  <c r="AQ132" i="1"/>
  <c r="AO132" i="1"/>
  <c r="AL132" i="1"/>
  <c r="AJ132" i="1"/>
  <c r="AG132" i="1"/>
  <c r="AE132" i="1"/>
  <c r="AB132" i="1"/>
  <c r="Z132" i="1"/>
  <c r="W132" i="1"/>
  <c r="U132" i="1"/>
  <c r="P132" i="1"/>
  <c r="BZ131" i="1"/>
  <c r="BX131" i="1"/>
  <c r="BU131" i="1"/>
  <c r="BS131" i="1"/>
  <c r="BP131" i="1"/>
  <c r="BN131" i="1"/>
  <c r="BK131" i="1"/>
  <c r="BI131" i="1"/>
  <c r="BF131" i="1"/>
  <c r="BD131" i="1"/>
  <c r="BA131" i="1"/>
  <c r="AY131" i="1"/>
  <c r="AV131" i="1"/>
  <c r="AT131" i="1"/>
  <c r="AQ131" i="1"/>
  <c r="AO131" i="1"/>
  <c r="AL131" i="1"/>
  <c r="AJ131" i="1"/>
  <c r="AG131" i="1"/>
  <c r="AE131" i="1"/>
  <c r="AB131" i="1"/>
  <c r="Z131" i="1"/>
  <c r="W131" i="1"/>
  <c r="U131" i="1"/>
  <c r="P131" i="1"/>
  <c r="BZ130" i="1"/>
  <c r="BX130" i="1"/>
  <c r="BU130" i="1"/>
  <c r="BS130" i="1"/>
  <c r="BP130" i="1"/>
  <c r="BN130" i="1"/>
  <c r="BK130" i="1"/>
  <c r="BI130" i="1"/>
  <c r="BF130" i="1"/>
  <c r="BD130" i="1"/>
  <c r="BA130" i="1"/>
  <c r="AY130" i="1"/>
  <c r="AV130" i="1"/>
  <c r="AT130" i="1"/>
  <c r="AQ130" i="1"/>
  <c r="AO130" i="1"/>
  <c r="AL130" i="1"/>
  <c r="AJ130" i="1"/>
  <c r="AG130" i="1"/>
  <c r="AE130" i="1"/>
  <c r="AB130" i="1"/>
  <c r="Z130" i="1"/>
  <c r="W130" i="1"/>
  <c r="U130" i="1"/>
  <c r="P130" i="1"/>
  <c r="BZ129" i="1"/>
  <c r="BX129" i="1"/>
  <c r="BU129" i="1"/>
  <c r="BS129" i="1"/>
  <c r="BP129" i="1"/>
  <c r="BN129" i="1"/>
  <c r="BK129" i="1"/>
  <c r="BI129" i="1"/>
  <c r="BF129" i="1"/>
  <c r="BD129" i="1"/>
  <c r="BA129" i="1"/>
  <c r="AY129" i="1"/>
  <c r="AV129" i="1"/>
  <c r="AT129" i="1"/>
  <c r="AQ129" i="1"/>
  <c r="AO129" i="1"/>
  <c r="AL129" i="1"/>
  <c r="AJ129" i="1"/>
  <c r="AG129" i="1"/>
  <c r="AE129" i="1"/>
  <c r="AB129" i="1"/>
  <c r="Z129" i="1"/>
  <c r="W129" i="1"/>
  <c r="U129" i="1"/>
  <c r="P129" i="1"/>
  <c r="BZ128" i="1"/>
  <c r="BX128" i="1"/>
  <c r="BU128" i="1"/>
  <c r="BS128" i="1"/>
  <c r="BP128" i="1"/>
  <c r="BN128" i="1"/>
  <c r="BK128" i="1"/>
  <c r="BI128" i="1"/>
  <c r="BF128" i="1"/>
  <c r="BD128" i="1"/>
  <c r="BA128" i="1"/>
  <c r="AY128" i="1"/>
  <c r="AV128" i="1"/>
  <c r="AT128" i="1"/>
  <c r="AQ128" i="1"/>
  <c r="AO128" i="1"/>
  <c r="AL128" i="1"/>
  <c r="AJ128" i="1"/>
  <c r="AG128" i="1"/>
  <c r="AE128" i="1"/>
  <c r="AB128" i="1"/>
  <c r="Z128" i="1"/>
  <c r="W128" i="1"/>
  <c r="U128" i="1"/>
  <c r="P128" i="1"/>
  <c r="BZ127" i="1"/>
  <c r="BX127" i="1"/>
  <c r="BU127" i="1"/>
  <c r="BS127" i="1"/>
  <c r="BP127" i="1"/>
  <c r="BN127" i="1"/>
  <c r="BK127" i="1"/>
  <c r="BI127" i="1"/>
  <c r="BF127" i="1"/>
  <c r="BD127" i="1"/>
  <c r="BA127" i="1"/>
  <c r="AY127" i="1"/>
  <c r="AV127" i="1"/>
  <c r="AT127" i="1"/>
  <c r="AQ127" i="1"/>
  <c r="AO127" i="1"/>
  <c r="AL127" i="1"/>
  <c r="AJ127" i="1"/>
  <c r="AG127" i="1"/>
  <c r="AE127" i="1"/>
  <c r="AB127" i="1"/>
  <c r="Z127" i="1"/>
  <c r="W127" i="1"/>
  <c r="U127" i="1"/>
  <c r="P127" i="1"/>
  <c r="BZ126" i="1"/>
  <c r="BX126" i="1"/>
  <c r="BU126" i="1"/>
  <c r="BS126" i="1"/>
  <c r="BP126" i="1"/>
  <c r="BN126" i="1"/>
  <c r="BK126" i="1"/>
  <c r="BI126" i="1"/>
  <c r="BF126" i="1"/>
  <c r="BD126" i="1"/>
  <c r="BA126" i="1"/>
  <c r="AY126" i="1"/>
  <c r="AV126" i="1"/>
  <c r="AT126" i="1"/>
  <c r="AQ126" i="1"/>
  <c r="AO126" i="1"/>
  <c r="AL126" i="1"/>
  <c r="AJ126" i="1"/>
  <c r="AG126" i="1"/>
  <c r="AE126" i="1"/>
  <c r="AB126" i="1"/>
  <c r="Z126" i="1"/>
  <c r="W126" i="1"/>
  <c r="U126" i="1"/>
  <c r="P126" i="1"/>
  <c r="BZ125" i="1"/>
  <c r="BX125" i="1"/>
  <c r="BU125" i="1"/>
  <c r="BS125" i="1"/>
  <c r="BP125" i="1"/>
  <c r="BN125" i="1"/>
  <c r="BK125" i="1"/>
  <c r="BI125" i="1"/>
  <c r="BF125" i="1"/>
  <c r="BD125" i="1"/>
  <c r="BA125" i="1"/>
  <c r="AY125" i="1"/>
  <c r="AV125" i="1"/>
  <c r="AT125" i="1"/>
  <c r="AQ125" i="1"/>
  <c r="AO125" i="1"/>
  <c r="AL125" i="1"/>
  <c r="AJ125" i="1"/>
  <c r="AG125" i="1"/>
  <c r="AE125" i="1"/>
  <c r="AB125" i="1"/>
  <c r="Z125" i="1"/>
  <c r="W125" i="1"/>
  <c r="U125" i="1"/>
  <c r="P125" i="1"/>
  <c r="BZ124" i="1"/>
  <c r="BX124" i="1"/>
  <c r="BU124" i="1"/>
  <c r="BS124" i="1"/>
  <c r="BP124" i="1"/>
  <c r="BN124" i="1"/>
  <c r="BK124" i="1"/>
  <c r="BI124" i="1"/>
  <c r="BF124" i="1"/>
  <c r="BD124" i="1"/>
  <c r="BA124" i="1"/>
  <c r="AY124" i="1"/>
  <c r="AV124" i="1"/>
  <c r="AT124" i="1"/>
  <c r="AQ124" i="1"/>
  <c r="AO124" i="1"/>
  <c r="AL124" i="1"/>
  <c r="AJ124" i="1"/>
  <c r="AG124" i="1"/>
  <c r="AE124" i="1"/>
  <c r="AB124" i="1"/>
  <c r="Z124" i="1"/>
  <c r="W124" i="1"/>
  <c r="U124" i="1"/>
  <c r="P124" i="1"/>
  <c r="BZ123" i="1"/>
  <c r="BX123" i="1"/>
  <c r="BU123" i="1"/>
  <c r="BS123" i="1"/>
  <c r="BP123" i="1"/>
  <c r="BN123" i="1"/>
  <c r="BK123" i="1"/>
  <c r="BI123" i="1"/>
  <c r="BF123" i="1"/>
  <c r="BD123" i="1"/>
  <c r="BA123" i="1"/>
  <c r="AY123" i="1"/>
  <c r="AV123" i="1"/>
  <c r="AT123" i="1"/>
  <c r="AQ123" i="1"/>
  <c r="AO123" i="1"/>
  <c r="AL123" i="1"/>
  <c r="AJ123" i="1"/>
  <c r="AG123" i="1"/>
  <c r="AE123" i="1"/>
  <c r="AB123" i="1"/>
  <c r="Z123" i="1"/>
  <c r="W123" i="1"/>
  <c r="U123" i="1"/>
  <c r="P123" i="1"/>
  <c r="BZ122" i="1"/>
  <c r="BX122" i="1"/>
  <c r="BU122" i="1"/>
  <c r="BS122" i="1"/>
  <c r="BP122" i="1"/>
  <c r="BN122" i="1"/>
  <c r="BK122" i="1"/>
  <c r="BI122" i="1"/>
  <c r="BF122" i="1"/>
  <c r="BD122" i="1"/>
  <c r="BA122" i="1"/>
  <c r="AY122" i="1"/>
  <c r="AV122" i="1"/>
  <c r="AT122" i="1"/>
  <c r="AQ122" i="1"/>
  <c r="AO122" i="1"/>
  <c r="AL122" i="1"/>
  <c r="AJ122" i="1"/>
  <c r="AG122" i="1"/>
  <c r="AE122" i="1"/>
  <c r="AB122" i="1"/>
  <c r="Z122" i="1"/>
  <c r="W122" i="1"/>
  <c r="U122" i="1"/>
  <c r="P122" i="1"/>
  <c r="BZ121" i="1"/>
  <c r="BX121" i="1"/>
  <c r="BU121" i="1"/>
  <c r="BS121" i="1"/>
  <c r="BP121" i="1"/>
  <c r="BN121" i="1"/>
  <c r="BK121" i="1"/>
  <c r="BI121" i="1"/>
  <c r="BF121" i="1"/>
  <c r="BD121" i="1"/>
  <c r="BA121" i="1"/>
  <c r="AY121" i="1"/>
  <c r="AV121" i="1"/>
  <c r="AT121" i="1"/>
  <c r="AQ121" i="1"/>
  <c r="AO121" i="1"/>
  <c r="AL121" i="1"/>
  <c r="AJ121" i="1"/>
  <c r="AG121" i="1"/>
  <c r="AE121" i="1"/>
  <c r="AB121" i="1"/>
  <c r="Z121" i="1"/>
  <c r="W121" i="1"/>
  <c r="U121" i="1"/>
  <c r="P121" i="1"/>
  <c r="BZ120" i="1"/>
  <c r="BX120" i="1"/>
  <c r="BU120" i="1"/>
  <c r="BS120" i="1"/>
  <c r="BP120" i="1"/>
  <c r="BN120" i="1"/>
  <c r="BK120" i="1"/>
  <c r="BI120" i="1"/>
  <c r="BF120" i="1"/>
  <c r="BD120" i="1"/>
  <c r="BA120" i="1"/>
  <c r="AY120" i="1"/>
  <c r="AV120" i="1"/>
  <c r="AT120" i="1"/>
  <c r="AQ120" i="1"/>
  <c r="AO120" i="1"/>
  <c r="AL120" i="1"/>
  <c r="AJ120" i="1"/>
  <c r="AG120" i="1"/>
  <c r="AE120" i="1"/>
  <c r="AB120" i="1"/>
  <c r="Z120" i="1"/>
  <c r="W120" i="1"/>
  <c r="U120" i="1"/>
  <c r="P120" i="1"/>
  <c r="BZ119" i="1"/>
  <c r="BX119" i="1"/>
  <c r="BU119" i="1"/>
  <c r="BS119" i="1"/>
  <c r="BP119" i="1"/>
  <c r="BN119" i="1"/>
  <c r="BK119" i="1"/>
  <c r="BI119" i="1"/>
  <c r="BF119" i="1"/>
  <c r="BD119" i="1"/>
  <c r="BA119" i="1"/>
  <c r="AY119" i="1"/>
  <c r="AV119" i="1"/>
  <c r="AT119" i="1"/>
  <c r="AQ119" i="1"/>
  <c r="AO119" i="1"/>
  <c r="AL119" i="1"/>
  <c r="AJ119" i="1"/>
  <c r="AG119" i="1"/>
  <c r="AE119" i="1"/>
  <c r="AB119" i="1"/>
  <c r="Z119" i="1"/>
  <c r="W119" i="1"/>
  <c r="U119" i="1"/>
  <c r="P119" i="1"/>
  <c r="BZ118" i="1"/>
  <c r="BX118" i="1"/>
  <c r="BU118" i="1"/>
  <c r="BS118" i="1"/>
  <c r="BP118" i="1"/>
  <c r="BN118" i="1"/>
  <c r="BK118" i="1"/>
  <c r="BI118" i="1"/>
  <c r="BF118" i="1"/>
  <c r="BD118" i="1"/>
  <c r="BA118" i="1"/>
  <c r="AY118" i="1"/>
  <c r="AV118" i="1"/>
  <c r="AT118" i="1"/>
  <c r="AQ118" i="1"/>
  <c r="AO118" i="1"/>
  <c r="AL118" i="1"/>
  <c r="AJ118" i="1"/>
  <c r="AG118" i="1"/>
  <c r="AE118" i="1"/>
  <c r="AB118" i="1"/>
  <c r="Z118" i="1"/>
  <c r="W118" i="1"/>
  <c r="U118" i="1"/>
  <c r="P118" i="1"/>
  <c r="BZ117" i="1"/>
  <c r="BX117" i="1"/>
  <c r="BU117" i="1"/>
  <c r="BS117" i="1"/>
  <c r="BP117" i="1"/>
  <c r="BN117" i="1"/>
  <c r="BK117" i="1"/>
  <c r="BI117" i="1"/>
  <c r="BF117" i="1"/>
  <c r="BD117" i="1"/>
  <c r="BA117" i="1"/>
  <c r="AY117" i="1"/>
  <c r="AV117" i="1"/>
  <c r="AT117" i="1"/>
  <c r="AQ117" i="1"/>
  <c r="AO117" i="1"/>
  <c r="AL117" i="1"/>
  <c r="AJ117" i="1"/>
  <c r="AG117" i="1"/>
  <c r="AE117" i="1"/>
  <c r="AB117" i="1"/>
  <c r="Z117" i="1"/>
  <c r="W117" i="1"/>
  <c r="U117" i="1"/>
  <c r="P117" i="1"/>
  <c r="BZ116" i="1"/>
  <c r="BX116" i="1"/>
  <c r="BU116" i="1"/>
  <c r="BS116" i="1"/>
  <c r="BP116" i="1"/>
  <c r="BN116" i="1"/>
  <c r="BK116" i="1"/>
  <c r="BI116" i="1"/>
  <c r="BF116" i="1"/>
  <c r="BD116" i="1"/>
  <c r="BA116" i="1"/>
  <c r="AY116" i="1"/>
  <c r="AV116" i="1"/>
  <c r="AT116" i="1"/>
  <c r="AQ116" i="1"/>
  <c r="AO116" i="1"/>
  <c r="AL116" i="1"/>
  <c r="AJ116" i="1"/>
  <c r="AG116" i="1"/>
  <c r="AE116" i="1"/>
  <c r="AB116" i="1"/>
  <c r="Z116" i="1"/>
  <c r="W116" i="1"/>
  <c r="U116" i="1"/>
  <c r="P116" i="1"/>
  <c r="BZ115" i="1"/>
  <c r="BX115" i="1"/>
  <c r="BU115" i="1"/>
  <c r="BS115" i="1"/>
  <c r="BP115" i="1"/>
  <c r="BN115" i="1"/>
  <c r="BK115" i="1"/>
  <c r="BI115" i="1"/>
  <c r="BF115" i="1"/>
  <c r="BD115" i="1"/>
  <c r="BA115" i="1"/>
  <c r="AY115" i="1"/>
  <c r="AV115" i="1"/>
  <c r="AT115" i="1"/>
  <c r="AQ115" i="1"/>
  <c r="AO115" i="1"/>
  <c r="AL115" i="1"/>
  <c r="AJ115" i="1"/>
  <c r="AG115" i="1"/>
  <c r="AE115" i="1"/>
  <c r="AB115" i="1"/>
  <c r="Z115" i="1"/>
  <c r="W115" i="1"/>
  <c r="U115" i="1"/>
  <c r="P115" i="1"/>
  <c r="BZ114" i="1"/>
  <c r="BX114" i="1"/>
  <c r="BU114" i="1"/>
  <c r="BS114" i="1"/>
  <c r="BP114" i="1"/>
  <c r="BN114" i="1"/>
  <c r="BK114" i="1"/>
  <c r="BI114" i="1"/>
  <c r="BF114" i="1"/>
  <c r="BD114" i="1"/>
  <c r="BA114" i="1"/>
  <c r="AY114" i="1"/>
  <c r="AV114" i="1"/>
  <c r="AT114" i="1"/>
  <c r="AQ114" i="1"/>
  <c r="AO114" i="1"/>
  <c r="AL114" i="1"/>
  <c r="AJ114" i="1"/>
  <c r="AG114" i="1"/>
  <c r="AE114" i="1"/>
  <c r="AB114" i="1"/>
  <c r="Z114" i="1"/>
  <c r="W114" i="1"/>
  <c r="U114" i="1"/>
  <c r="P114" i="1"/>
  <c r="BZ113" i="1"/>
  <c r="BX113" i="1"/>
  <c r="BU113" i="1"/>
  <c r="BS113" i="1"/>
  <c r="BP113" i="1"/>
  <c r="BN113" i="1"/>
  <c r="BK113" i="1"/>
  <c r="BI113" i="1"/>
  <c r="BF113" i="1"/>
  <c r="BD113" i="1"/>
  <c r="BA113" i="1"/>
  <c r="AY113" i="1"/>
  <c r="AV113" i="1"/>
  <c r="AT113" i="1"/>
  <c r="AQ113" i="1"/>
  <c r="AO113" i="1"/>
  <c r="AL113" i="1"/>
  <c r="AJ113" i="1"/>
  <c r="AG113" i="1"/>
  <c r="AE113" i="1"/>
  <c r="AB113" i="1"/>
  <c r="Z113" i="1"/>
  <c r="W113" i="1"/>
  <c r="U113" i="1"/>
  <c r="P113" i="1"/>
  <c r="BZ112" i="1"/>
  <c r="BX112" i="1"/>
  <c r="BU112" i="1"/>
  <c r="BS112" i="1"/>
  <c r="BP112" i="1"/>
  <c r="BN112" i="1"/>
  <c r="BK112" i="1"/>
  <c r="BI112" i="1"/>
  <c r="BF112" i="1"/>
  <c r="BD112" i="1"/>
  <c r="BA112" i="1"/>
  <c r="AY112" i="1"/>
  <c r="AV112" i="1"/>
  <c r="AT112" i="1"/>
  <c r="AQ112" i="1"/>
  <c r="AO112" i="1"/>
  <c r="AL112" i="1"/>
  <c r="AJ112" i="1"/>
  <c r="AG112" i="1"/>
  <c r="AE112" i="1"/>
  <c r="AB112" i="1"/>
  <c r="Z112" i="1"/>
  <c r="W112" i="1"/>
  <c r="U112" i="1"/>
  <c r="P112" i="1"/>
  <c r="BZ111" i="1"/>
  <c r="BX111" i="1"/>
  <c r="BU111" i="1"/>
  <c r="BS111" i="1"/>
  <c r="BP111" i="1"/>
  <c r="BN111" i="1"/>
  <c r="BK111" i="1"/>
  <c r="BI111" i="1"/>
  <c r="BF111" i="1"/>
  <c r="BD111" i="1"/>
  <c r="BA111" i="1"/>
  <c r="AY111" i="1"/>
  <c r="AV111" i="1"/>
  <c r="AT111" i="1"/>
  <c r="AQ111" i="1"/>
  <c r="AO111" i="1"/>
  <c r="AL111" i="1"/>
  <c r="AJ111" i="1"/>
  <c r="AG111" i="1"/>
  <c r="AE111" i="1"/>
  <c r="AB111" i="1"/>
  <c r="Z111" i="1"/>
  <c r="W111" i="1"/>
  <c r="U111" i="1"/>
  <c r="P111" i="1"/>
  <c r="BZ110" i="1"/>
  <c r="BX110" i="1"/>
  <c r="BU110" i="1"/>
  <c r="BS110" i="1"/>
  <c r="BP110" i="1"/>
  <c r="BN110" i="1"/>
  <c r="BK110" i="1"/>
  <c r="BI110" i="1"/>
  <c r="BF110" i="1"/>
  <c r="BD110" i="1"/>
  <c r="BA110" i="1"/>
  <c r="AY110" i="1"/>
  <c r="AV110" i="1"/>
  <c r="AT110" i="1"/>
  <c r="AQ110" i="1"/>
  <c r="AO110" i="1"/>
  <c r="AL110" i="1"/>
  <c r="AJ110" i="1"/>
  <c r="AG110" i="1"/>
  <c r="AE110" i="1"/>
  <c r="AB110" i="1"/>
  <c r="Z110" i="1"/>
  <c r="W110" i="1"/>
  <c r="U110" i="1"/>
  <c r="P110" i="1"/>
  <c r="BZ109" i="1"/>
  <c r="BX109" i="1"/>
  <c r="BU109" i="1"/>
  <c r="BS109" i="1"/>
  <c r="BP109" i="1"/>
  <c r="BN109" i="1"/>
  <c r="BK109" i="1"/>
  <c r="BI109" i="1"/>
  <c r="BF109" i="1"/>
  <c r="BD109" i="1"/>
  <c r="BA109" i="1"/>
  <c r="AY109" i="1"/>
  <c r="AV109" i="1"/>
  <c r="AT109" i="1"/>
  <c r="AQ109" i="1"/>
  <c r="AO109" i="1"/>
  <c r="AL109" i="1"/>
  <c r="AJ109" i="1"/>
  <c r="AG109" i="1"/>
  <c r="AE109" i="1"/>
  <c r="AB109" i="1"/>
  <c r="Z109" i="1"/>
  <c r="W109" i="1"/>
  <c r="U109" i="1"/>
  <c r="P109" i="1"/>
  <c r="BZ108" i="1"/>
  <c r="BX108" i="1"/>
  <c r="BU108" i="1"/>
  <c r="BS108" i="1"/>
  <c r="BP108" i="1"/>
  <c r="BN108" i="1"/>
  <c r="BK108" i="1"/>
  <c r="BI108" i="1"/>
  <c r="BF108" i="1"/>
  <c r="BD108" i="1"/>
  <c r="BA108" i="1"/>
  <c r="AY108" i="1"/>
  <c r="AV108" i="1"/>
  <c r="AT108" i="1"/>
  <c r="AQ108" i="1"/>
  <c r="AO108" i="1"/>
  <c r="AL108" i="1"/>
  <c r="AJ108" i="1"/>
  <c r="AG108" i="1"/>
  <c r="AE108" i="1"/>
  <c r="AB108" i="1"/>
  <c r="Z108" i="1"/>
  <c r="W108" i="1"/>
  <c r="U108" i="1"/>
  <c r="P108" i="1"/>
  <c r="BZ107" i="1"/>
  <c r="BX107" i="1"/>
  <c r="BU107" i="1"/>
  <c r="BS107" i="1"/>
  <c r="BP107" i="1"/>
  <c r="BN107" i="1"/>
  <c r="BK107" i="1"/>
  <c r="BI107" i="1"/>
  <c r="BF107" i="1"/>
  <c r="BD107" i="1"/>
  <c r="BA107" i="1"/>
  <c r="AY107" i="1"/>
  <c r="AV107" i="1"/>
  <c r="AT107" i="1"/>
  <c r="AQ107" i="1"/>
  <c r="AO107" i="1"/>
  <c r="AL107" i="1"/>
  <c r="AJ107" i="1"/>
  <c r="AG107" i="1"/>
  <c r="AE107" i="1"/>
  <c r="AB107" i="1"/>
  <c r="Z107" i="1"/>
  <c r="W107" i="1"/>
  <c r="U107" i="1"/>
  <c r="P107" i="1"/>
  <c r="BZ106" i="1"/>
  <c r="BX106" i="1"/>
  <c r="BU106" i="1"/>
  <c r="BS106" i="1"/>
  <c r="BP106" i="1"/>
  <c r="BN106" i="1"/>
  <c r="BK106" i="1"/>
  <c r="BI106" i="1"/>
  <c r="BF106" i="1"/>
  <c r="BD106" i="1"/>
  <c r="BA106" i="1"/>
  <c r="AY106" i="1"/>
  <c r="AV106" i="1"/>
  <c r="AT106" i="1"/>
  <c r="AQ106" i="1"/>
  <c r="AO106" i="1"/>
  <c r="AL106" i="1"/>
  <c r="AJ106" i="1"/>
  <c r="AG106" i="1"/>
  <c r="AE106" i="1"/>
  <c r="AB106" i="1"/>
  <c r="Z106" i="1"/>
  <c r="W106" i="1"/>
  <c r="U106" i="1"/>
  <c r="P106" i="1"/>
  <c r="BZ105" i="1"/>
  <c r="BX105" i="1"/>
  <c r="BU105" i="1"/>
  <c r="BS105" i="1"/>
  <c r="BP105" i="1"/>
  <c r="BN105" i="1"/>
  <c r="BK105" i="1"/>
  <c r="BI105" i="1"/>
  <c r="BF105" i="1"/>
  <c r="BD105" i="1"/>
  <c r="BA105" i="1"/>
  <c r="AY105" i="1"/>
  <c r="AV105" i="1"/>
  <c r="AT105" i="1"/>
  <c r="AQ105" i="1"/>
  <c r="AO105" i="1"/>
  <c r="AL105" i="1"/>
  <c r="AJ105" i="1"/>
  <c r="AG105" i="1"/>
  <c r="AE105" i="1"/>
  <c r="AB105" i="1"/>
  <c r="Z105" i="1"/>
  <c r="W105" i="1"/>
  <c r="U105" i="1"/>
  <c r="P105" i="1"/>
  <c r="BZ104" i="1"/>
  <c r="BX104" i="1"/>
  <c r="BU104" i="1"/>
  <c r="BS104" i="1"/>
  <c r="BP104" i="1"/>
  <c r="BN104" i="1"/>
  <c r="BK104" i="1"/>
  <c r="BI104" i="1"/>
  <c r="BF104" i="1"/>
  <c r="BD104" i="1"/>
  <c r="BA104" i="1"/>
  <c r="AY104" i="1"/>
  <c r="AV104" i="1"/>
  <c r="AT104" i="1"/>
  <c r="AQ104" i="1"/>
  <c r="AO104" i="1"/>
  <c r="AL104" i="1"/>
  <c r="AJ104" i="1"/>
  <c r="AG104" i="1"/>
  <c r="AE104" i="1"/>
  <c r="AB104" i="1"/>
  <c r="Z104" i="1"/>
  <c r="W104" i="1"/>
  <c r="U104" i="1"/>
  <c r="P104" i="1"/>
  <c r="BZ103" i="1"/>
  <c r="BX103" i="1"/>
  <c r="BU103" i="1"/>
  <c r="BS103" i="1"/>
  <c r="BP103" i="1"/>
  <c r="BN103" i="1"/>
  <c r="BK103" i="1"/>
  <c r="BI103" i="1"/>
  <c r="BF103" i="1"/>
  <c r="BD103" i="1"/>
  <c r="BA103" i="1"/>
  <c r="AY103" i="1"/>
  <c r="AV103" i="1"/>
  <c r="AT103" i="1"/>
  <c r="AQ103" i="1"/>
  <c r="AO103" i="1"/>
  <c r="AL103" i="1"/>
  <c r="AJ103" i="1"/>
  <c r="AG103" i="1"/>
  <c r="AE103" i="1"/>
  <c r="AB103" i="1"/>
  <c r="Z103" i="1"/>
  <c r="W103" i="1"/>
  <c r="U103" i="1"/>
  <c r="P103" i="1"/>
  <c r="BZ102" i="1"/>
  <c r="BX102" i="1"/>
  <c r="BU102" i="1"/>
  <c r="BS102" i="1"/>
  <c r="BP102" i="1"/>
  <c r="BN102" i="1"/>
  <c r="BK102" i="1"/>
  <c r="BI102" i="1"/>
  <c r="BF102" i="1"/>
  <c r="BD102" i="1"/>
  <c r="BA102" i="1"/>
  <c r="AY102" i="1"/>
  <c r="AV102" i="1"/>
  <c r="AT102" i="1"/>
  <c r="AQ102" i="1"/>
  <c r="AO102" i="1"/>
  <c r="AL102" i="1"/>
  <c r="AJ102" i="1"/>
  <c r="AG102" i="1"/>
  <c r="AE102" i="1"/>
  <c r="AB102" i="1"/>
  <c r="Z102" i="1"/>
  <c r="W102" i="1"/>
  <c r="U102" i="1"/>
  <c r="P102" i="1"/>
  <c r="BZ101" i="1"/>
  <c r="BX101" i="1"/>
  <c r="BU101" i="1"/>
  <c r="BS101" i="1"/>
  <c r="BP101" i="1"/>
  <c r="BN101" i="1"/>
  <c r="BK101" i="1"/>
  <c r="BI101" i="1"/>
  <c r="BF101" i="1"/>
  <c r="BD101" i="1"/>
  <c r="BA101" i="1"/>
  <c r="AY101" i="1"/>
  <c r="AV101" i="1"/>
  <c r="AT101" i="1"/>
  <c r="AQ101" i="1"/>
  <c r="AO101" i="1"/>
  <c r="AL101" i="1"/>
  <c r="AJ101" i="1"/>
  <c r="AG101" i="1"/>
  <c r="AE101" i="1"/>
  <c r="AB101" i="1"/>
  <c r="Z101" i="1"/>
  <c r="W101" i="1"/>
  <c r="U101" i="1"/>
  <c r="P101" i="1"/>
  <c r="BZ100" i="1"/>
  <c r="BX100" i="1"/>
  <c r="BU100" i="1"/>
  <c r="BS100" i="1"/>
  <c r="BP100" i="1"/>
  <c r="BN100" i="1"/>
  <c r="BK100" i="1"/>
  <c r="BI100" i="1"/>
  <c r="BF100" i="1"/>
  <c r="BD100" i="1"/>
  <c r="BA100" i="1"/>
  <c r="AY100" i="1"/>
  <c r="AV100" i="1"/>
  <c r="AT100" i="1"/>
  <c r="AQ100" i="1"/>
  <c r="AO100" i="1"/>
  <c r="AL100" i="1"/>
  <c r="AJ100" i="1"/>
  <c r="AG100" i="1"/>
  <c r="AE100" i="1"/>
  <c r="AB100" i="1"/>
  <c r="Z100" i="1"/>
  <c r="W100" i="1"/>
  <c r="U100" i="1"/>
  <c r="P100" i="1"/>
  <c r="BZ99" i="1"/>
  <c r="BX99" i="1"/>
  <c r="BU99" i="1"/>
  <c r="BS99" i="1"/>
  <c r="BP99" i="1"/>
  <c r="BN99" i="1"/>
  <c r="BK99" i="1"/>
  <c r="BI99" i="1"/>
  <c r="BF99" i="1"/>
  <c r="BD99" i="1"/>
  <c r="BA99" i="1"/>
  <c r="AY99" i="1"/>
  <c r="AV99" i="1"/>
  <c r="AT99" i="1"/>
  <c r="AQ99" i="1"/>
  <c r="AO99" i="1"/>
  <c r="AL99" i="1"/>
  <c r="AJ99" i="1"/>
  <c r="AG99" i="1"/>
  <c r="AE99" i="1"/>
  <c r="AB99" i="1"/>
  <c r="Z99" i="1"/>
  <c r="W99" i="1"/>
  <c r="U99" i="1"/>
  <c r="P99" i="1"/>
  <c r="BZ98" i="1"/>
  <c r="BX98" i="1"/>
  <c r="BU98" i="1"/>
  <c r="BS98" i="1"/>
  <c r="BP98" i="1"/>
  <c r="BN98" i="1"/>
  <c r="BK98" i="1"/>
  <c r="BI98" i="1"/>
  <c r="BF98" i="1"/>
  <c r="BD98" i="1"/>
  <c r="BA98" i="1"/>
  <c r="AY98" i="1"/>
  <c r="AV98" i="1"/>
  <c r="AT98" i="1"/>
  <c r="AQ98" i="1"/>
  <c r="AO98" i="1"/>
  <c r="AL98" i="1"/>
  <c r="AJ98" i="1"/>
  <c r="AG98" i="1"/>
  <c r="AE98" i="1"/>
  <c r="AB98" i="1"/>
  <c r="Z98" i="1"/>
  <c r="W98" i="1"/>
  <c r="U98" i="1"/>
  <c r="P98" i="1"/>
  <c r="BZ97" i="1"/>
  <c r="BX97" i="1"/>
  <c r="BU97" i="1"/>
  <c r="BS97" i="1"/>
  <c r="BP97" i="1"/>
  <c r="BN97" i="1"/>
  <c r="BK97" i="1"/>
  <c r="BI97" i="1"/>
  <c r="BF97" i="1"/>
  <c r="BD97" i="1"/>
  <c r="BA97" i="1"/>
  <c r="AY97" i="1"/>
  <c r="AV97" i="1"/>
  <c r="AT97" i="1"/>
  <c r="AQ97" i="1"/>
  <c r="AO97" i="1"/>
  <c r="AL97" i="1"/>
  <c r="AJ97" i="1"/>
  <c r="AG97" i="1"/>
  <c r="AE97" i="1"/>
  <c r="AB97" i="1"/>
  <c r="Z97" i="1"/>
  <c r="W97" i="1"/>
  <c r="U97" i="1"/>
  <c r="P97" i="1"/>
  <c r="BZ96" i="1"/>
  <c r="BX96" i="1"/>
  <c r="BU96" i="1"/>
  <c r="BS96" i="1"/>
  <c r="BP96" i="1"/>
  <c r="BN96" i="1"/>
  <c r="BK96" i="1"/>
  <c r="BI96" i="1"/>
  <c r="BF96" i="1"/>
  <c r="BD96" i="1"/>
  <c r="BA96" i="1"/>
  <c r="AY96" i="1"/>
  <c r="AV96" i="1"/>
  <c r="AT96" i="1"/>
  <c r="AQ96" i="1"/>
  <c r="AO96" i="1"/>
  <c r="AL96" i="1"/>
  <c r="AJ96" i="1"/>
  <c r="AG96" i="1"/>
  <c r="AE96" i="1"/>
  <c r="AB96" i="1"/>
  <c r="Z96" i="1"/>
  <c r="W96" i="1"/>
  <c r="U96" i="1"/>
  <c r="P96" i="1"/>
  <c r="BZ95" i="1"/>
  <c r="BX95" i="1"/>
  <c r="BU95" i="1"/>
  <c r="BS95" i="1"/>
  <c r="BP95" i="1"/>
  <c r="BN95" i="1"/>
  <c r="BK95" i="1"/>
  <c r="BI95" i="1"/>
  <c r="BF95" i="1"/>
  <c r="BD95" i="1"/>
  <c r="BA95" i="1"/>
  <c r="AY95" i="1"/>
  <c r="AV95" i="1"/>
  <c r="AT95" i="1"/>
  <c r="AQ95" i="1"/>
  <c r="AO95" i="1"/>
  <c r="AL95" i="1"/>
  <c r="AJ95" i="1"/>
  <c r="AG95" i="1"/>
  <c r="AE95" i="1"/>
  <c r="AB95" i="1"/>
  <c r="Z95" i="1"/>
  <c r="W95" i="1"/>
  <c r="U95" i="1"/>
  <c r="P95" i="1"/>
  <c r="BZ94" i="1"/>
  <c r="BX94" i="1"/>
  <c r="BU94" i="1"/>
  <c r="BS94" i="1"/>
  <c r="BP94" i="1"/>
  <c r="BN94" i="1"/>
  <c r="BK94" i="1"/>
  <c r="BI94" i="1"/>
  <c r="BF94" i="1"/>
  <c r="BD94" i="1"/>
  <c r="BA94" i="1"/>
  <c r="AY94" i="1"/>
  <c r="AV94" i="1"/>
  <c r="AT94" i="1"/>
  <c r="AQ94" i="1"/>
  <c r="AO94" i="1"/>
  <c r="AL94" i="1"/>
  <c r="AJ94" i="1"/>
  <c r="AG94" i="1"/>
  <c r="AE94" i="1"/>
  <c r="AB94" i="1"/>
  <c r="Z94" i="1"/>
  <c r="W94" i="1"/>
  <c r="U94" i="1"/>
  <c r="P94" i="1"/>
  <c r="BZ93" i="1"/>
  <c r="BX93" i="1"/>
  <c r="BU93" i="1"/>
  <c r="BS93" i="1"/>
  <c r="BP93" i="1"/>
  <c r="BN93" i="1"/>
  <c r="BK93" i="1"/>
  <c r="BI93" i="1"/>
  <c r="BF93" i="1"/>
  <c r="BD93" i="1"/>
  <c r="BA93" i="1"/>
  <c r="AY93" i="1"/>
  <c r="AV93" i="1"/>
  <c r="AT93" i="1"/>
  <c r="AQ93" i="1"/>
  <c r="AO93" i="1"/>
  <c r="AL93" i="1"/>
  <c r="AJ93" i="1"/>
  <c r="AG93" i="1"/>
  <c r="AE93" i="1"/>
  <c r="AB93" i="1"/>
  <c r="Z93" i="1"/>
  <c r="W93" i="1"/>
  <c r="U93" i="1"/>
  <c r="P93" i="1"/>
  <c r="BZ92" i="1"/>
  <c r="BX92" i="1"/>
  <c r="BU92" i="1"/>
  <c r="BS92" i="1"/>
  <c r="BP92" i="1"/>
  <c r="BN92" i="1"/>
  <c r="BK92" i="1"/>
  <c r="BI92" i="1"/>
  <c r="BF92" i="1"/>
  <c r="BD92" i="1"/>
  <c r="BA92" i="1"/>
  <c r="AY92" i="1"/>
  <c r="AV92" i="1"/>
  <c r="AT92" i="1"/>
  <c r="AQ92" i="1"/>
  <c r="AO92" i="1"/>
  <c r="AL92" i="1"/>
  <c r="AJ92" i="1"/>
  <c r="AG92" i="1"/>
  <c r="AE92" i="1"/>
  <c r="AB92" i="1"/>
  <c r="Z92" i="1"/>
  <c r="W92" i="1"/>
  <c r="U92" i="1"/>
  <c r="P92" i="1"/>
  <c r="BZ91" i="1"/>
  <c r="BX91" i="1"/>
  <c r="BU91" i="1"/>
  <c r="BS91" i="1"/>
  <c r="BP91" i="1"/>
  <c r="BN91" i="1"/>
  <c r="BK91" i="1"/>
  <c r="BI91" i="1"/>
  <c r="BF91" i="1"/>
  <c r="BD91" i="1"/>
  <c r="BA91" i="1"/>
  <c r="AY91" i="1"/>
  <c r="AV91" i="1"/>
  <c r="AT91" i="1"/>
  <c r="AQ91" i="1"/>
  <c r="AO91" i="1"/>
  <c r="AL91" i="1"/>
  <c r="AJ91" i="1"/>
  <c r="AG91" i="1"/>
  <c r="AE91" i="1"/>
  <c r="AB91" i="1"/>
  <c r="Z91" i="1"/>
  <c r="W91" i="1"/>
  <c r="U91" i="1"/>
  <c r="P91" i="1"/>
  <c r="BZ90" i="1"/>
  <c r="BX90" i="1"/>
  <c r="BU90" i="1"/>
  <c r="BS90" i="1"/>
  <c r="BP90" i="1"/>
  <c r="BN90" i="1"/>
  <c r="BK90" i="1"/>
  <c r="BI90" i="1"/>
  <c r="BF90" i="1"/>
  <c r="BD90" i="1"/>
  <c r="BA90" i="1"/>
  <c r="AY90" i="1"/>
  <c r="AV90" i="1"/>
  <c r="AT90" i="1"/>
  <c r="AQ90" i="1"/>
  <c r="AO90" i="1"/>
  <c r="AL90" i="1"/>
  <c r="AJ90" i="1"/>
  <c r="AG90" i="1"/>
  <c r="AE90" i="1"/>
  <c r="AB90" i="1"/>
  <c r="Z90" i="1"/>
  <c r="W90" i="1"/>
  <c r="U90" i="1"/>
  <c r="P90" i="1"/>
  <c r="BZ89" i="1"/>
  <c r="BX89" i="1"/>
  <c r="BU89" i="1"/>
  <c r="BS89" i="1"/>
  <c r="BP89" i="1"/>
  <c r="BN89" i="1"/>
  <c r="BK89" i="1"/>
  <c r="BI89" i="1"/>
  <c r="BF89" i="1"/>
  <c r="BD89" i="1"/>
  <c r="BA89" i="1"/>
  <c r="AY89" i="1"/>
  <c r="AV89" i="1"/>
  <c r="AT89" i="1"/>
  <c r="AQ89" i="1"/>
  <c r="AO89" i="1"/>
  <c r="AL89" i="1"/>
  <c r="AJ89" i="1"/>
  <c r="AG89" i="1"/>
  <c r="AE89" i="1"/>
  <c r="AB89" i="1"/>
  <c r="Z89" i="1"/>
  <c r="W89" i="1"/>
  <c r="U89" i="1"/>
  <c r="P89" i="1"/>
  <c r="BZ88" i="1"/>
  <c r="BX88" i="1"/>
  <c r="BU88" i="1"/>
  <c r="BS88" i="1"/>
  <c r="BP88" i="1"/>
  <c r="BN88" i="1"/>
  <c r="BK88" i="1"/>
  <c r="BI88" i="1"/>
  <c r="BF88" i="1"/>
  <c r="BD88" i="1"/>
  <c r="BA88" i="1"/>
  <c r="AY88" i="1"/>
  <c r="AV88" i="1"/>
  <c r="AT88" i="1"/>
  <c r="AQ88" i="1"/>
  <c r="AO88" i="1"/>
  <c r="AL88" i="1"/>
  <c r="AJ88" i="1"/>
  <c r="AG88" i="1"/>
  <c r="AE88" i="1"/>
  <c r="AB88" i="1"/>
  <c r="Z88" i="1"/>
  <c r="W88" i="1"/>
  <c r="U88" i="1"/>
  <c r="P88" i="1"/>
  <c r="BZ87" i="1"/>
  <c r="BX87" i="1"/>
  <c r="BU87" i="1"/>
  <c r="BS87" i="1"/>
  <c r="BP87" i="1"/>
  <c r="BN87" i="1"/>
  <c r="BK87" i="1"/>
  <c r="BI87" i="1"/>
  <c r="BF87" i="1"/>
  <c r="BD87" i="1"/>
  <c r="BA87" i="1"/>
  <c r="AY87" i="1"/>
  <c r="AV87" i="1"/>
  <c r="AT87" i="1"/>
  <c r="AQ87" i="1"/>
  <c r="AO87" i="1"/>
  <c r="AL87" i="1"/>
  <c r="AJ87" i="1"/>
  <c r="AG87" i="1"/>
  <c r="AE87" i="1"/>
  <c r="AB87" i="1"/>
  <c r="Z87" i="1"/>
  <c r="W87" i="1"/>
  <c r="U87" i="1"/>
  <c r="P87" i="1"/>
  <c r="BZ86" i="1"/>
  <c r="BX86" i="1"/>
  <c r="BU86" i="1"/>
  <c r="BS86" i="1"/>
  <c r="BP86" i="1"/>
  <c r="BN86" i="1"/>
  <c r="BK86" i="1"/>
  <c r="BI86" i="1"/>
  <c r="BF86" i="1"/>
  <c r="BD86" i="1"/>
  <c r="BA86" i="1"/>
  <c r="AY86" i="1"/>
  <c r="AV86" i="1"/>
  <c r="AT86" i="1"/>
  <c r="AQ86" i="1"/>
  <c r="AO86" i="1"/>
  <c r="AL86" i="1"/>
  <c r="AJ86" i="1"/>
  <c r="AG86" i="1"/>
  <c r="AE86" i="1"/>
  <c r="AB86" i="1"/>
  <c r="Z86" i="1"/>
  <c r="W86" i="1"/>
  <c r="U86" i="1"/>
  <c r="P86" i="1"/>
  <c r="BZ85" i="1"/>
  <c r="BX85" i="1"/>
  <c r="BU85" i="1"/>
  <c r="BS85" i="1"/>
  <c r="BP85" i="1"/>
  <c r="BN85" i="1"/>
  <c r="BK85" i="1"/>
  <c r="BI85" i="1"/>
  <c r="BF85" i="1"/>
  <c r="BD85" i="1"/>
  <c r="BA85" i="1"/>
  <c r="AY85" i="1"/>
  <c r="AV85" i="1"/>
  <c r="AT85" i="1"/>
  <c r="AQ85" i="1"/>
  <c r="AO85" i="1"/>
  <c r="AL85" i="1"/>
  <c r="AJ85" i="1"/>
  <c r="AG85" i="1"/>
  <c r="AE85" i="1"/>
  <c r="AB85" i="1"/>
  <c r="Z85" i="1"/>
  <c r="W85" i="1"/>
  <c r="U85" i="1"/>
  <c r="P85" i="1"/>
  <c r="BZ84" i="1"/>
  <c r="BX84" i="1"/>
  <c r="BU84" i="1"/>
  <c r="BS84" i="1"/>
  <c r="BP84" i="1"/>
  <c r="BN84" i="1"/>
  <c r="BK84" i="1"/>
  <c r="BI84" i="1"/>
  <c r="BF84" i="1"/>
  <c r="BD84" i="1"/>
  <c r="BA84" i="1"/>
  <c r="AY84" i="1"/>
  <c r="AV84" i="1"/>
  <c r="AT84" i="1"/>
  <c r="AQ84" i="1"/>
  <c r="AO84" i="1"/>
  <c r="AL84" i="1"/>
  <c r="AJ84" i="1"/>
  <c r="AG84" i="1"/>
  <c r="AE84" i="1"/>
  <c r="AB84" i="1"/>
  <c r="Z84" i="1"/>
  <c r="W84" i="1"/>
  <c r="U84" i="1"/>
  <c r="P84" i="1"/>
  <c r="BZ83" i="1"/>
  <c r="BX83" i="1"/>
  <c r="BU83" i="1"/>
  <c r="BS83" i="1"/>
  <c r="BP83" i="1"/>
  <c r="BN83" i="1"/>
  <c r="BK83" i="1"/>
  <c r="BI83" i="1"/>
  <c r="BF83" i="1"/>
  <c r="BD83" i="1"/>
  <c r="BA83" i="1"/>
  <c r="AY83" i="1"/>
  <c r="AV83" i="1"/>
  <c r="AT83" i="1"/>
  <c r="AQ83" i="1"/>
  <c r="AO83" i="1"/>
  <c r="AL83" i="1"/>
  <c r="AJ83" i="1"/>
  <c r="AG83" i="1"/>
  <c r="AE83" i="1"/>
  <c r="AB83" i="1"/>
  <c r="Z83" i="1"/>
  <c r="W83" i="1"/>
  <c r="U83" i="1"/>
  <c r="P83" i="1"/>
  <c r="BZ82" i="1"/>
  <c r="BX82" i="1"/>
  <c r="BU82" i="1"/>
  <c r="BS82" i="1"/>
  <c r="BP82" i="1"/>
  <c r="BN82" i="1"/>
  <c r="BK82" i="1"/>
  <c r="BI82" i="1"/>
  <c r="BF82" i="1"/>
  <c r="BD82" i="1"/>
  <c r="BA82" i="1"/>
  <c r="AY82" i="1"/>
  <c r="AV82" i="1"/>
  <c r="AT82" i="1"/>
  <c r="AQ82" i="1"/>
  <c r="AO82" i="1"/>
  <c r="AL82" i="1"/>
  <c r="AJ82" i="1"/>
  <c r="AG82" i="1"/>
  <c r="AE82" i="1"/>
  <c r="AB82" i="1"/>
  <c r="Z82" i="1"/>
  <c r="W82" i="1"/>
  <c r="U82" i="1"/>
  <c r="P82" i="1"/>
  <c r="BZ81" i="1"/>
  <c r="BX81" i="1"/>
  <c r="BU81" i="1"/>
  <c r="BS81" i="1"/>
  <c r="BP81" i="1"/>
  <c r="BN81" i="1"/>
  <c r="BK81" i="1"/>
  <c r="BI81" i="1"/>
  <c r="BF81" i="1"/>
  <c r="BD81" i="1"/>
  <c r="BA81" i="1"/>
  <c r="AY81" i="1"/>
  <c r="AV81" i="1"/>
  <c r="AT81" i="1"/>
  <c r="AQ81" i="1"/>
  <c r="AO81" i="1"/>
  <c r="AL81" i="1"/>
  <c r="AJ81" i="1"/>
  <c r="AG81" i="1"/>
  <c r="AE81" i="1"/>
  <c r="AB81" i="1"/>
  <c r="Z81" i="1"/>
  <c r="W81" i="1"/>
  <c r="U81" i="1"/>
  <c r="P81" i="1"/>
  <c r="BZ80" i="1"/>
  <c r="BX80" i="1"/>
  <c r="BU80" i="1"/>
  <c r="BS80" i="1"/>
  <c r="BP80" i="1"/>
  <c r="BN80" i="1"/>
  <c r="BK80" i="1"/>
  <c r="BI80" i="1"/>
  <c r="BF80" i="1"/>
  <c r="BD80" i="1"/>
  <c r="BA80" i="1"/>
  <c r="AY80" i="1"/>
  <c r="AV80" i="1"/>
  <c r="AT80" i="1"/>
  <c r="AQ80" i="1"/>
  <c r="AO80" i="1"/>
  <c r="AL80" i="1"/>
  <c r="AJ80" i="1"/>
  <c r="AG80" i="1"/>
  <c r="AE80" i="1"/>
  <c r="AB80" i="1"/>
  <c r="Z80" i="1"/>
  <c r="W80" i="1"/>
  <c r="U80" i="1"/>
  <c r="P80" i="1"/>
  <c r="BZ77" i="1"/>
  <c r="BX77" i="1"/>
  <c r="BU77" i="1"/>
  <c r="BS77" i="1"/>
  <c r="BP77" i="1"/>
  <c r="BN77" i="1"/>
  <c r="BK77" i="1"/>
  <c r="BI77" i="1"/>
  <c r="BF77" i="1"/>
  <c r="BD77" i="1"/>
  <c r="BA77" i="1"/>
  <c r="AY77" i="1"/>
  <c r="AV77" i="1"/>
  <c r="AT77" i="1"/>
  <c r="AQ77" i="1"/>
  <c r="AO77" i="1"/>
  <c r="AL77" i="1"/>
  <c r="AJ77" i="1"/>
  <c r="AG77" i="1"/>
  <c r="AE77" i="1"/>
  <c r="AB77" i="1"/>
  <c r="Z77" i="1"/>
  <c r="W77" i="1"/>
  <c r="U77" i="1"/>
  <c r="P77" i="1"/>
  <c r="BZ79" i="1"/>
  <c r="BX79" i="1"/>
  <c r="BU79" i="1"/>
  <c r="BS79" i="1"/>
  <c r="BP79" i="1"/>
  <c r="BN79" i="1"/>
  <c r="BK79" i="1"/>
  <c r="BI79" i="1"/>
  <c r="BF79" i="1"/>
  <c r="BD79" i="1"/>
  <c r="BA79" i="1"/>
  <c r="AY79" i="1"/>
  <c r="AV79" i="1"/>
  <c r="AT79" i="1"/>
  <c r="AQ79" i="1"/>
  <c r="AO79" i="1"/>
  <c r="AL79" i="1"/>
  <c r="AJ79" i="1"/>
  <c r="AG79" i="1"/>
  <c r="AE79" i="1"/>
  <c r="AB79" i="1"/>
  <c r="Z79" i="1"/>
  <c r="W79" i="1"/>
  <c r="U79" i="1"/>
  <c r="P79" i="1"/>
  <c r="BZ78" i="1"/>
  <c r="BX78" i="1"/>
  <c r="BU78" i="1"/>
  <c r="BS78" i="1"/>
  <c r="BP78" i="1"/>
  <c r="BN78" i="1"/>
  <c r="BK78" i="1"/>
  <c r="BI78" i="1"/>
  <c r="BF78" i="1"/>
  <c r="BD78" i="1"/>
  <c r="BA78" i="1"/>
  <c r="AY78" i="1"/>
  <c r="AV78" i="1"/>
  <c r="AT78" i="1"/>
  <c r="AQ78" i="1"/>
  <c r="AO78" i="1"/>
  <c r="AL78" i="1"/>
  <c r="AJ78" i="1"/>
  <c r="AG78" i="1"/>
  <c r="AE78" i="1"/>
  <c r="AB78" i="1"/>
  <c r="Z78" i="1"/>
  <c r="W78" i="1"/>
  <c r="U78" i="1"/>
  <c r="P78" i="1"/>
  <c r="BZ76" i="1"/>
  <c r="BX76" i="1"/>
  <c r="BU76" i="1"/>
  <c r="BS76" i="1"/>
  <c r="BP76" i="1"/>
  <c r="BN76" i="1"/>
  <c r="BK76" i="1"/>
  <c r="BI76" i="1"/>
  <c r="BF76" i="1"/>
  <c r="BD76" i="1"/>
  <c r="BA76" i="1"/>
  <c r="AY76" i="1"/>
  <c r="AV76" i="1"/>
  <c r="AT76" i="1"/>
  <c r="AQ76" i="1"/>
  <c r="AO76" i="1"/>
  <c r="AL76" i="1"/>
  <c r="AJ76" i="1"/>
  <c r="AG76" i="1"/>
  <c r="AE76" i="1"/>
  <c r="AB76" i="1"/>
  <c r="Z76" i="1"/>
  <c r="W76" i="1"/>
  <c r="U76" i="1"/>
  <c r="P76" i="1"/>
  <c r="BZ75" i="1"/>
  <c r="BX75" i="1"/>
  <c r="BU75" i="1"/>
  <c r="BS75" i="1"/>
  <c r="BP75" i="1"/>
  <c r="BN75" i="1"/>
  <c r="BK75" i="1"/>
  <c r="BI75" i="1"/>
  <c r="BF75" i="1"/>
  <c r="BD75" i="1"/>
  <c r="BA75" i="1"/>
  <c r="AY75" i="1"/>
  <c r="AV75" i="1"/>
  <c r="AT75" i="1"/>
  <c r="AQ75" i="1"/>
  <c r="AO75" i="1"/>
  <c r="AL75" i="1"/>
  <c r="AJ75" i="1"/>
  <c r="AG75" i="1"/>
  <c r="AE75" i="1"/>
  <c r="AB75" i="1"/>
  <c r="Z75" i="1"/>
  <c r="W75" i="1"/>
  <c r="U75" i="1"/>
  <c r="P75" i="1"/>
  <c r="BZ74" i="1"/>
  <c r="BX74" i="1"/>
  <c r="BU74" i="1"/>
  <c r="BS74" i="1"/>
  <c r="BP74" i="1"/>
  <c r="BN74" i="1"/>
  <c r="BK74" i="1"/>
  <c r="BI74" i="1"/>
  <c r="BF74" i="1"/>
  <c r="BD74" i="1"/>
  <c r="BA74" i="1"/>
  <c r="AY74" i="1"/>
  <c r="AV74" i="1"/>
  <c r="AT74" i="1"/>
  <c r="AQ74" i="1"/>
  <c r="AO74" i="1"/>
  <c r="AL74" i="1"/>
  <c r="AJ74" i="1"/>
  <c r="AG74" i="1"/>
  <c r="AE74" i="1"/>
  <c r="AB74" i="1"/>
  <c r="Z74" i="1"/>
  <c r="W74" i="1"/>
  <c r="U74" i="1"/>
  <c r="P74" i="1"/>
  <c r="BZ73" i="1"/>
  <c r="BX73" i="1"/>
  <c r="BU73" i="1"/>
  <c r="BS73" i="1"/>
  <c r="BP73" i="1"/>
  <c r="BN73" i="1"/>
  <c r="BK73" i="1"/>
  <c r="BI73" i="1"/>
  <c r="BF73" i="1"/>
  <c r="BD73" i="1"/>
  <c r="BA73" i="1"/>
  <c r="AY73" i="1"/>
  <c r="AV73" i="1"/>
  <c r="AT73" i="1"/>
  <c r="AQ73" i="1"/>
  <c r="AO73" i="1"/>
  <c r="AL73" i="1"/>
  <c r="AJ73" i="1"/>
  <c r="AG73" i="1"/>
  <c r="AE73" i="1"/>
  <c r="AB73" i="1"/>
  <c r="Z73" i="1"/>
  <c r="W73" i="1"/>
  <c r="U73" i="1"/>
  <c r="P73" i="1"/>
  <c r="BZ72" i="1"/>
  <c r="BX72" i="1"/>
  <c r="BU72" i="1"/>
  <c r="BS72" i="1"/>
  <c r="BP72" i="1"/>
  <c r="BN72" i="1"/>
  <c r="BK72" i="1"/>
  <c r="BI72" i="1"/>
  <c r="BF72" i="1"/>
  <c r="BD72" i="1"/>
  <c r="BA72" i="1"/>
  <c r="AY72" i="1"/>
  <c r="AV72" i="1"/>
  <c r="AT72" i="1"/>
  <c r="AQ72" i="1"/>
  <c r="AO72" i="1"/>
  <c r="AL72" i="1"/>
  <c r="AJ72" i="1"/>
  <c r="AG72" i="1"/>
  <c r="AE72" i="1"/>
  <c r="AB72" i="1"/>
  <c r="Z72" i="1"/>
  <c r="W72" i="1"/>
  <c r="U72" i="1"/>
  <c r="P72" i="1"/>
  <c r="BZ71" i="1"/>
  <c r="BX71" i="1"/>
  <c r="BU71" i="1"/>
  <c r="BS71" i="1"/>
  <c r="BP71" i="1"/>
  <c r="BN71" i="1"/>
  <c r="BK71" i="1"/>
  <c r="BI71" i="1"/>
  <c r="BF71" i="1"/>
  <c r="BD71" i="1"/>
  <c r="BA71" i="1"/>
  <c r="AY71" i="1"/>
  <c r="AV71" i="1"/>
  <c r="AT71" i="1"/>
  <c r="AQ71" i="1"/>
  <c r="AO71" i="1"/>
  <c r="AL71" i="1"/>
  <c r="AJ71" i="1"/>
  <c r="AG71" i="1"/>
  <c r="AE71" i="1"/>
  <c r="AB71" i="1"/>
  <c r="Z71" i="1"/>
  <c r="W71" i="1"/>
  <c r="U71" i="1"/>
  <c r="P71" i="1"/>
  <c r="BZ70" i="1"/>
  <c r="BX70" i="1"/>
  <c r="BU70" i="1"/>
  <c r="BS70" i="1"/>
  <c r="BP70" i="1"/>
  <c r="BN70" i="1"/>
  <c r="BK70" i="1"/>
  <c r="BI70" i="1"/>
  <c r="BF70" i="1"/>
  <c r="BD70" i="1"/>
  <c r="BA70" i="1"/>
  <c r="AY70" i="1"/>
  <c r="AV70" i="1"/>
  <c r="AT70" i="1"/>
  <c r="AQ70" i="1"/>
  <c r="AO70" i="1"/>
  <c r="AL70" i="1"/>
  <c r="AJ70" i="1"/>
  <c r="AG70" i="1"/>
  <c r="AE70" i="1"/>
  <c r="AB70" i="1"/>
  <c r="Z70" i="1"/>
  <c r="W70" i="1"/>
  <c r="U70" i="1"/>
  <c r="P70" i="1"/>
  <c r="BZ69" i="1"/>
  <c r="BX69" i="1"/>
  <c r="BU69" i="1"/>
  <c r="BS69" i="1"/>
  <c r="BP69" i="1"/>
  <c r="BN69" i="1"/>
  <c r="BK69" i="1"/>
  <c r="BI69" i="1"/>
  <c r="BF69" i="1"/>
  <c r="BD69" i="1"/>
  <c r="BA69" i="1"/>
  <c r="AY69" i="1"/>
  <c r="AV69" i="1"/>
  <c r="AT69" i="1"/>
  <c r="AQ69" i="1"/>
  <c r="AO69" i="1"/>
  <c r="AL69" i="1"/>
  <c r="AJ69" i="1"/>
  <c r="AG69" i="1"/>
  <c r="AE69" i="1"/>
  <c r="AB69" i="1"/>
  <c r="Z69" i="1"/>
  <c r="W69" i="1"/>
  <c r="U69" i="1"/>
  <c r="P69" i="1"/>
  <c r="BZ68" i="1"/>
  <c r="BX68" i="1"/>
  <c r="BU68" i="1"/>
  <c r="BS68" i="1"/>
  <c r="BP68" i="1"/>
  <c r="BN68" i="1"/>
  <c r="BK68" i="1"/>
  <c r="BI68" i="1"/>
  <c r="BF68" i="1"/>
  <c r="BD68" i="1"/>
  <c r="BA68" i="1"/>
  <c r="AY68" i="1"/>
  <c r="AV68" i="1"/>
  <c r="AT68" i="1"/>
  <c r="AQ68" i="1"/>
  <c r="AO68" i="1"/>
  <c r="AL68" i="1"/>
  <c r="AJ68" i="1"/>
  <c r="AG68" i="1"/>
  <c r="AE68" i="1"/>
  <c r="AB68" i="1"/>
  <c r="Z68" i="1"/>
  <c r="W68" i="1"/>
  <c r="U68" i="1"/>
  <c r="P68" i="1"/>
  <c r="BZ67" i="1"/>
  <c r="BX67" i="1"/>
  <c r="BU67" i="1"/>
  <c r="BS67" i="1"/>
  <c r="BP67" i="1"/>
  <c r="BN67" i="1"/>
  <c r="BK67" i="1"/>
  <c r="BI67" i="1"/>
  <c r="BF67" i="1"/>
  <c r="BD67" i="1"/>
  <c r="BA67" i="1"/>
  <c r="AY67" i="1"/>
  <c r="AV67" i="1"/>
  <c r="AT67" i="1"/>
  <c r="AQ67" i="1"/>
  <c r="AO67" i="1"/>
  <c r="AL67" i="1"/>
  <c r="AJ67" i="1"/>
  <c r="AG67" i="1"/>
  <c r="AE67" i="1"/>
  <c r="AB67" i="1"/>
  <c r="Z67" i="1"/>
  <c r="W67" i="1"/>
  <c r="U67" i="1"/>
  <c r="P67" i="1"/>
  <c r="BZ66" i="1"/>
  <c r="BX66" i="1"/>
  <c r="BU66" i="1"/>
  <c r="BS66" i="1"/>
  <c r="BP66" i="1"/>
  <c r="BN66" i="1"/>
  <c r="BK66" i="1"/>
  <c r="BI66" i="1"/>
  <c r="BF66" i="1"/>
  <c r="BD66" i="1"/>
  <c r="BA66" i="1"/>
  <c r="AY66" i="1"/>
  <c r="AV66" i="1"/>
  <c r="AT66" i="1"/>
  <c r="AQ66" i="1"/>
  <c r="AO66" i="1"/>
  <c r="AL66" i="1"/>
  <c r="AJ66" i="1"/>
  <c r="AG66" i="1"/>
  <c r="AE66" i="1"/>
  <c r="AB66" i="1"/>
  <c r="Z66" i="1"/>
  <c r="W66" i="1"/>
  <c r="U66" i="1"/>
  <c r="P66" i="1"/>
  <c r="BZ65" i="1"/>
  <c r="BX65" i="1"/>
  <c r="BU65" i="1"/>
  <c r="BS65" i="1"/>
  <c r="BP65" i="1"/>
  <c r="BN65" i="1"/>
  <c r="BK65" i="1"/>
  <c r="BI65" i="1"/>
  <c r="BF65" i="1"/>
  <c r="BD65" i="1"/>
  <c r="BA65" i="1"/>
  <c r="AY65" i="1"/>
  <c r="AV65" i="1"/>
  <c r="AT65" i="1"/>
  <c r="AQ65" i="1"/>
  <c r="AO65" i="1"/>
  <c r="AL65" i="1"/>
  <c r="AJ65" i="1"/>
  <c r="AG65" i="1"/>
  <c r="AE65" i="1"/>
  <c r="AB65" i="1"/>
  <c r="Z65" i="1"/>
  <c r="W65" i="1"/>
  <c r="U65" i="1"/>
  <c r="P65" i="1"/>
  <c r="BZ64" i="1"/>
  <c r="BX64" i="1"/>
  <c r="BU64" i="1"/>
  <c r="BS64" i="1"/>
  <c r="BP64" i="1"/>
  <c r="BN64" i="1"/>
  <c r="BK64" i="1"/>
  <c r="BI64" i="1"/>
  <c r="BF64" i="1"/>
  <c r="BD64" i="1"/>
  <c r="BA64" i="1"/>
  <c r="AY64" i="1"/>
  <c r="AV64" i="1"/>
  <c r="AT64" i="1"/>
  <c r="AQ64" i="1"/>
  <c r="AO64" i="1"/>
  <c r="AL64" i="1"/>
  <c r="AJ64" i="1"/>
  <c r="AG64" i="1"/>
  <c r="AE64" i="1"/>
  <c r="AB64" i="1"/>
  <c r="Z64" i="1"/>
  <c r="W64" i="1"/>
  <c r="U64" i="1"/>
  <c r="P64" i="1"/>
  <c r="BZ63" i="1"/>
  <c r="BX63" i="1"/>
  <c r="BU63" i="1"/>
  <c r="BS63" i="1"/>
  <c r="BP63" i="1"/>
  <c r="BN63" i="1"/>
  <c r="BK63" i="1"/>
  <c r="BI63" i="1"/>
  <c r="BF63" i="1"/>
  <c r="BD63" i="1"/>
  <c r="BA63" i="1"/>
  <c r="AY63" i="1"/>
  <c r="AV63" i="1"/>
  <c r="AT63" i="1"/>
  <c r="AQ63" i="1"/>
  <c r="AO63" i="1"/>
  <c r="AL63" i="1"/>
  <c r="AJ63" i="1"/>
  <c r="AG63" i="1"/>
  <c r="AE63" i="1"/>
  <c r="AB63" i="1"/>
  <c r="Z63" i="1"/>
  <c r="W63" i="1"/>
  <c r="U63" i="1"/>
  <c r="P63" i="1"/>
  <c r="BZ62" i="1"/>
  <c r="BX62" i="1"/>
  <c r="BU62" i="1"/>
  <c r="BS62" i="1"/>
  <c r="BP62" i="1"/>
  <c r="BN62" i="1"/>
  <c r="BK62" i="1"/>
  <c r="BI62" i="1"/>
  <c r="BF62" i="1"/>
  <c r="BD62" i="1"/>
  <c r="BA62" i="1"/>
  <c r="AY62" i="1"/>
  <c r="AV62" i="1"/>
  <c r="AT62" i="1"/>
  <c r="AQ62" i="1"/>
  <c r="AO62" i="1"/>
  <c r="AL62" i="1"/>
  <c r="AJ62" i="1"/>
  <c r="AG62" i="1"/>
  <c r="AE62" i="1"/>
  <c r="AB62" i="1"/>
  <c r="Z62" i="1"/>
  <c r="W62" i="1"/>
  <c r="U62" i="1"/>
  <c r="P62" i="1"/>
  <c r="BZ61" i="1"/>
  <c r="BX61" i="1"/>
  <c r="BU61" i="1"/>
  <c r="BS61" i="1"/>
  <c r="BP61" i="1"/>
  <c r="BN61" i="1"/>
  <c r="BK61" i="1"/>
  <c r="BI61" i="1"/>
  <c r="BF61" i="1"/>
  <c r="BD61" i="1"/>
  <c r="BA61" i="1"/>
  <c r="AY61" i="1"/>
  <c r="AV61" i="1"/>
  <c r="AT61" i="1"/>
  <c r="AQ61" i="1"/>
  <c r="AO61" i="1"/>
  <c r="AL61" i="1"/>
  <c r="AJ61" i="1"/>
  <c r="AG61" i="1"/>
  <c r="AE61" i="1"/>
  <c r="AB61" i="1"/>
  <c r="Z61" i="1"/>
  <c r="W61" i="1"/>
  <c r="U61" i="1"/>
  <c r="P61" i="1"/>
  <c r="BZ60" i="1"/>
  <c r="BX60" i="1"/>
  <c r="BU60" i="1"/>
  <c r="BS60" i="1"/>
  <c r="BP60" i="1"/>
  <c r="BN60" i="1"/>
  <c r="BK60" i="1"/>
  <c r="BI60" i="1"/>
  <c r="BF60" i="1"/>
  <c r="BD60" i="1"/>
  <c r="BA60" i="1"/>
  <c r="AY60" i="1"/>
  <c r="AV60" i="1"/>
  <c r="AT60" i="1"/>
  <c r="AQ60" i="1"/>
  <c r="AO60" i="1"/>
  <c r="AL60" i="1"/>
  <c r="AJ60" i="1"/>
  <c r="AG60" i="1"/>
  <c r="AE60" i="1"/>
  <c r="AB60" i="1"/>
  <c r="Z60" i="1"/>
  <c r="W60" i="1"/>
  <c r="U60" i="1"/>
  <c r="P60" i="1"/>
  <c r="BZ59" i="1"/>
  <c r="BX59" i="1"/>
  <c r="BU59" i="1"/>
  <c r="BS59" i="1"/>
  <c r="BP59" i="1"/>
  <c r="BN59" i="1"/>
  <c r="BK59" i="1"/>
  <c r="BI59" i="1"/>
  <c r="BF59" i="1"/>
  <c r="BD59" i="1"/>
  <c r="BA59" i="1"/>
  <c r="AY59" i="1"/>
  <c r="AV59" i="1"/>
  <c r="AT59" i="1"/>
  <c r="AQ59" i="1"/>
  <c r="AO59" i="1"/>
  <c r="AL59" i="1"/>
  <c r="AJ59" i="1"/>
  <c r="AG59" i="1"/>
  <c r="AE59" i="1"/>
  <c r="AB59" i="1"/>
  <c r="Z59" i="1"/>
  <c r="W59" i="1"/>
  <c r="U59" i="1"/>
  <c r="P59" i="1"/>
  <c r="BZ58" i="1"/>
  <c r="BX58" i="1"/>
  <c r="BU58" i="1"/>
  <c r="BS58" i="1"/>
  <c r="BP58" i="1"/>
  <c r="BN58" i="1"/>
  <c r="BK58" i="1"/>
  <c r="BI58" i="1"/>
  <c r="BF58" i="1"/>
  <c r="BD58" i="1"/>
  <c r="BA58" i="1"/>
  <c r="AY58" i="1"/>
  <c r="AV58" i="1"/>
  <c r="AT58" i="1"/>
  <c r="AQ58" i="1"/>
  <c r="AO58" i="1"/>
  <c r="AL58" i="1"/>
  <c r="AJ58" i="1"/>
  <c r="AG58" i="1"/>
  <c r="AE58" i="1"/>
  <c r="AB58" i="1"/>
  <c r="Z58" i="1"/>
  <c r="W58" i="1"/>
  <c r="U58" i="1"/>
  <c r="P58" i="1"/>
  <c r="BZ57" i="1"/>
  <c r="BX57" i="1"/>
  <c r="BU57" i="1"/>
  <c r="BS57" i="1"/>
  <c r="BP57" i="1"/>
  <c r="BN57" i="1"/>
  <c r="BK57" i="1"/>
  <c r="BI57" i="1"/>
  <c r="BF57" i="1"/>
  <c r="BD57" i="1"/>
  <c r="BA57" i="1"/>
  <c r="AY57" i="1"/>
  <c r="AV57" i="1"/>
  <c r="AT57" i="1"/>
  <c r="AQ57" i="1"/>
  <c r="AO57" i="1"/>
  <c r="AL57" i="1"/>
  <c r="AJ57" i="1"/>
  <c r="AG57" i="1"/>
  <c r="AE57" i="1"/>
  <c r="AB57" i="1"/>
  <c r="Z57" i="1"/>
  <c r="W57" i="1"/>
  <c r="U57" i="1"/>
  <c r="P57" i="1"/>
  <c r="BZ56" i="1"/>
  <c r="BX56" i="1"/>
  <c r="BU56" i="1"/>
  <c r="BS56" i="1"/>
  <c r="BP56" i="1"/>
  <c r="BN56" i="1"/>
  <c r="BK56" i="1"/>
  <c r="BI56" i="1"/>
  <c r="BF56" i="1"/>
  <c r="BD56" i="1"/>
  <c r="BA56" i="1"/>
  <c r="AY56" i="1"/>
  <c r="AV56" i="1"/>
  <c r="AT56" i="1"/>
  <c r="AQ56" i="1"/>
  <c r="AO56" i="1"/>
  <c r="AL56" i="1"/>
  <c r="AJ56" i="1"/>
  <c r="AG56" i="1"/>
  <c r="AE56" i="1"/>
  <c r="AB56" i="1"/>
  <c r="Z56" i="1"/>
  <c r="W56" i="1"/>
  <c r="U56" i="1"/>
  <c r="P56" i="1"/>
  <c r="BZ55" i="1"/>
  <c r="BX55" i="1"/>
  <c r="BU55" i="1"/>
  <c r="BS55" i="1"/>
  <c r="BP55" i="1"/>
  <c r="BN55" i="1"/>
  <c r="BK55" i="1"/>
  <c r="BI55" i="1"/>
  <c r="BF55" i="1"/>
  <c r="BD55" i="1"/>
  <c r="BA55" i="1"/>
  <c r="AY55" i="1"/>
  <c r="AV55" i="1"/>
  <c r="AT55" i="1"/>
  <c r="AQ55" i="1"/>
  <c r="AO55" i="1"/>
  <c r="AL55" i="1"/>
  <c r="AJ55" i="1"/>
  <c r="AG55" i="1"/>
  <c r="AE55" i="1"/>
  <c r="AB55" i="1"/>
  <c r="Z55" i="1"/>
  <c r="W55" i="1"/>
  <c r="U55" i="1"/>
  <c r="P55" i="1"/>
  <c r="BZ54" i="1"/>
  <c r="BX54" i="1"/>
  <c r="BU54" i="1"/>
  <c r="BS54" i="1"/>
  <c r="BP54" i="1"/>
  <c r="BN54" i="1"/>
  <c r="BK54" i="1"/>
  <c r="BI54" i="1"/>
  <c r="BF54" i="1"/>
  <c r="BD54" i="1"/>
  <c r="BA54" i="1"/>
  <c r="AY54" i="1"/>
  <c r="AV54" i="1"/>
  <c r="AT54" i="1"/>
  <c r="AQ54" i="1"/>
  <c r="AO54" i="1"/>
  <c r="AL54" i="1"/>
  <c r="AJ54" i="1"/>
  <c r="AG54" i="1"/>
  <c r="AE54" i="1"/>
  <c r="AB54" i="1"/>
  <c r="Z54" i="1"/>
  <c r="W54" i="1"/>
  <c r="U54" i="1"/>
  <c r="P54" i="1"/>
  <c r="BZ53" i="1"/>
  <c r="BX53" i="1"/>
  <c r="BU53" i="1"/>
  <c r="BS53" i="1"/>
  <c r="BP53" i="1"/>
  <c r="BN53" i="1"/>
  <c r="BK53" i="1"/>
  <c r="BI53" i="1"/>
  <c r="BF53" i="1"/>
  <c r="BD53" i="1"/>
  <c r="BA53" i="1"/>
  <c r="AY53" i="1"/>
  <c r="AV53" i="1"/>
  <c r="AT53" i="1"/>
  <c r="AQ53" i="1"/>
  <c r="AO53" i="1"/>
  <c r="AL53" i="1"/>
  <c r="AJ53" i="1"/>
  <c r="AG53" i="1"/>
  <c r="AE53" i="1"/>
  <c r="AB53" i="1"/>
  <c r="Z53" i="1"/>
  <c r="W53" i="1"/>
  <c r="U53" i="1"/>
  <c r="P53" i="1"/>
  <c r="BZ52" i="1"/>
  <c r="BX52" i="1"/>
  <c r="BU52" i="1"/>
  <c r="BS52" i="1"/>
  <c r="BP52" i="1"/>
  <c r="BN52" i="1"/>
  <c r="BK52" i="1"/>
  <c r="BI52" i="1"/>
  <c r="BF52" i="1"/>
  <c r="BD52" i="1"/>
  <c r="BA52" i="1"/>
  <c r="AY52" i="1"/>
  <c r="AV52" i="1"/>
  <c r="AT52" i="1"/>
  <c r="AQ52" i="1"/>
  <c r="AO52" i="1"/>
  <c r="AL52" i="1"/>
  <c r="AJ52" i="1"/>
  <c r="AG52" i="1"/>
  <c r="AE52" i="1"/>
  <c r="AB52" i="1"/>
  <c r="Z52" i="1"/>
  <c r="W52" i="1"/>
  <c r="U52" i="1"/>
  <c r="P52" i="1"/>
  <c r="BZ51" i="1"/>
  <c r="BX51" i="1"/>
  <c r="BU51" i="1"/>
  <c r="BS51" i="1"/>
  <c r="BP51" i="1"/>
  <c r="BN51" i="1"/>
  <c r="BK51" i="1"/>
  <c r="BI51" i="1"/>
  <c r="BF51" i="1"/>
  <c r="BD51" i="1"/>
  <c r="BA51" i="1"/>
  <c r="AY51" i="1"/>
  <c r="AV51" i="1"/>
  <c r="AT51" i="1"/>
  <c r="AQ51" i="1"/>
  <c r="AO51" i="1"/>
  <c r="AL51" i="1"/>
  <c r="AJ51" i="1"/>
  <c r="AG51" i="1"/>
  <c r="AE51" i="1"/>
  <c r="AB51" i="1"/>
  <c r="Z51" i="1"/>
  <c r="W51" i="1"/>
  <c r="U51" i="1"/>
  <c r="P51" i="1"/>
  <c r="BZ50" i="1"/>
  <c r="BX50" i="1"/>
  <c r="BU50" i="1"/>
  <c r="BS50" i="1"/>
  <c r="BP50" i="1"/>
  <c r="BN50" i="1"/>
  <c r="BK50" i="1"/>
  <c r="BI50" i="1"/>
  <c r="BF50" i="1"/>
  <c r="BD50" i="1"/>
  <c r="BA50" i="1"/>
  <c r="AY50" i="1"/>
  <c r="AV50" i="1"/>
  <c r="AT50" i="1"/>
  <c r="AQ50" i="1"/>
  <c r="AO50" i="1"/>
  <c r="AL50" i="1"/>
  <c r="AJ50" i="1"/>
  <c r="AG50" i="1"/>
  <c r="AE50" i="1"/>
  <c r="AB50" i="1"/>
  <c r="Z50" i="1"/>
  <c r="W50" i="1"/>
  <c r="U50" i="1"/>
  <c r="P50" i="1"/>
  <c r="BZ49" i="1"/>
  <c r="BX49" i="1"/>
  <c r="BU49" i="1"/>
  <c r="BS49" i="1"/>
  <c r="BP49" i="1"/>
  <c r="BN49" i="1"/>
  <c r="BK49" i="1"/>
  <c r="BI49" i="1"/>
  <c r="BF49" i="1"/>
  <c r="BD49" i="1"/>
  <c r="BA49" i="1"/>
  <c r="AY49" i="1"/>
  <c r="AV49" i="1"/>
  <c r="AT49" i="1"/>
  <c r="AQ49" i="1"/>
  <c r="AO49" i="1"/>
  <c r="AL49" i="1"/>
  <c r="AJ49" i="1"/>
  <c r="AG49" i="1"/>
  <c r="AE49" i="1"/>
  <c r="AB49" i="1"/>
  <c r="Z49" i="1"/>
  <c r="W49" i="1"/>
  <c r="U49" i="1"/>
  <c r="P49" i="1"/>
  <c r="BZ48" i="1"/>
  <c r="BX48" i="1"/>
  <c r="BU48" i="1"/>
  <c r="BS48" i="1"/>
  <c r="BP48" i="1"/>
  <c r="BN48" i="1"/>
  <c r="BK48" i="1"/>
  <c r="BI48" i="1"/>
  <c r="BF48" i="1"/>
  <c r="BD48" i="1"/>
  <c r="BA48" i="1"/>
  <c r="AY48" i="1"/>
  <c r="AV48" i="1"/>
  <c r="AT48" i="1"/>
  <c r="AQ48" i="1"/>
  <c r="AO48" i="1"/>
  <c r="AL48" i="1"/>
  <c r="AJ48" i="1"/>
  <c r="AG48" i="1"/>
  <c r="AE48" i="1"/>
  <c r="AB48" i="1"/>
  <c r="Z48" i="1"/>
  <c r="W48" i="1"/>
  <c r="U48" i="1"/>
  <c r="P48" i="1"/>
  <c r="BZ47" i="1"/>
  <c r="BX47" i="1"/>
  <c r="BU47" i="1"/>
  <c r="BS47" i="1"/>
  <c r="BP47" i="1"/>
  <c r="BN47" i="1"/>
  <c r="BK47" i="1"/>
  <c r="BI47" i="1"/>
  <c r="BF47" i="1"/>
  <c r="BD47" i="1"/>
  <c r="BA47" i="1"/>
  <c r="AY47" i="1"/>
  <c r="AV47" i="1"/>
  <c r="AT47" i="1"/>
  <c r="AQ47" i="1"/>
  <c r="AO47" i="1"/>
  <c r="AL47" i="1"/>
  <c r="AJ47" i="1"/>
  <c r="AG47" i="1"/>
  <c r="AE47" i="1"/>
  <c r="AB47" i="1"/>
  <c r="Z47" i="1"/>
  <c r="W47" i="1"/>
  <c r="U47" i="1"/>
  <c r="P47" i="1"/>
  <c r="BZ46" i="1"/>
  <c r="BX46" i="1"/>
  <c r="BU46" i="1"/>
  <c r="BS46" i="1"/>
  <c r="BP46" i="1"/>
  <c r="BN46" i="1"/>
  <c r="BK46" i="1"/>
  <c r="BI46" i="1"/>
  <c r="BF46" i="1"/>
  <c r="BD46" i="1"/>
  <c r="BA46" i="1"/>
  <c r="AY46" i="1"/>
  <c r="AV46" i="1"/>
  <c r="AT46" i="1"/>
  <c r="AQ46" i="1"/>
  <c r="AO46" i="1"/>
  <c r="AL46" i="1"/>
  <c r="AJ46" i="1"/>
  <c r="AG46" i="1"/>
  <c r="AE46" i="1"/>
  <c r="AB46" i="1"/>
  <c r="Z46" i="1"/>
  <c r="W46" i="1"/>
  <c r="U46" i="1"/>
  <c r="P46" i="1"/>
  <c r="BZ45" i="1"/>
  <c r="BX45" i="1"/>
  <c r="BU45" i="1"/>
  <c r="BS45" i="1"/>
  <c r="BP45" i="1"/>
  <c r="BN45" i="1"/>
  <c r="BK45" i="1"/>
  <c r="BI45" i="1"/>
  <c r="BF45" i="1"/>
  <c r="BD45" i="1"/>
  <c r="BA45" i="1"/>
  <c r="AY45" i="1"/>
  <c r="AV45" i="1"/>
  <c r="AT45" i="1"/>
  <c r="AQ45" i="1"/>
  <c r="AO45" i="1"/>
  <c r="AL45" i="1"/>
  <c r="AJ45" i="1"/>
  <c r="AG45" i="1"/>
  <c r="AE45" i="1"/>
  <c r="AB45" i="1"/>
  <c r="Z45" i="1"/>
  <c r="W45" i="1"/>
  <c r="U45" i="1"/>
  <c r="P45" i="1"/>
  <c r="BZ44" i="1"/>
  <c r="BX44" i="1"/>
  <c r="BU44" i="1"/>
  <c r="BS44" i="1"/>
  <c r="BP44" i="1"/>
  <c r="BN44" i="1"/>
  <c r="BK44" i="1"/>
  <c r="BI44" i="1"/>
  <c r="BF44" i="1"/>
  <c r="BD44" i="1"/>
  <c r="BA44" i="1"/>
  <c r="AY44" i="1"/>
  <c r="AV44" i="1"/>
  <c r="AT44" i="1"/>
  <c r="AQ44" i="1"/>
  <c r="AO44" i="1"/>
  <c r="AL44" i="1"/>
  <c r="AJ44" i="1"/>
  <c r="AG44" i="1"/>
  <c r="AE44" i="1"/>
  <c r="AB44" i="1"/>
  <c r="Z44" i="1"/>
  <c r="W44" i="1"/>
  <c r="U44" i="1"/>
  <c r="P44" i="1"/>
  <c r="BZ43" i="1"/>
  <c r="BX43" i="1"/>
  <c r="BU43" i="1"/>
  <c r="BS43" i="1"/>
  <c r="BP43" i="1"/>
  <c r="BN43" i="1"/>
  <c r="BK43" i="1"/>
  <c r="BI43" i="1"/>
  <c r="BF43" i="1"/>
  <c r="BD43" i="1"/>
  <c r="BA43" i="1"/>
  <c r="AY43" i="1"/>
  <c r="AV43" i="1"/>
  <c r="AT43" i="1"/>
  <c r="AQ43" i="1"/>
  <c r="AO43" i="1"/>
  <c r="AL43" i="1"/>
  <c r="AJ43" i="1"/>
  <c r="AG43" i="1"/>
  <c r="AE43" i="1"/>
  <c r="AB43" i="1"/>
  <c r="Z43" i="1"/>
  <c r="W43" i="1"/>
  <c r="U43" i="1"/>
  <c r="P43" i="1"/>
  <c r="BZ42" i="1"/>
  <c r="BX42" i="1"/>
  <c r="BU42" i="1"/>
  <c r="BS42" i="1"/>
  <c r="BP42" i="1"/>
  <c r="BN42" i="1"/>
  <c r="BK42" i="1"/>
  <c r="BI42" i="1"/>
  <c r="BF42" i="1"/>
  <c r="BD42" i="1"/>
  <c r="BA42" i="1"/>
  <c r="AY42" i="1"/>
  <c r="AV42" i="1"/>
  <c r="AT42" i="1"/>
  <c r="AQ42" i="1"/>
  <c r="AO42" i="1"/>
  <c r="AL42" i="1"/>
  <c r="AJ42" i="1"/>
  <c r="AG42" i="1"/>
  <c r="AE42" i="1"/>
  <c r="AB42" i="1"/>
  <c r="Z42" i="1"/>
  <c r="W42" i="1"/>
  <c r="U42" i="1"/>
  <c r="P42" i="1"/>
  <c r="BZ41" i="1"/>
  <c r="BX41" i="1"/>
  <c r="BU41" i="1"/>
  <c r="BS41" i="1"/>
  <c r="BP41" i="1"/>
  <c r="BN41" i="1"/>
  <c r="BK41" i="1"/>
  <c r="BI41" i="1"/>
  <c r="BF41" i="1"/>
  <c r="BD41" i="1"/>
  <c r="BA41" i="1"/>
  <c r="AY41" i="1"/>
  <c r="AV41" i="1"/>
  <c r="AT41" i="1"/>
  <c r="AQ41" i="1"/>
  <c r="AO41" i="1"/>
  <c r="AL41" i="1"/>
  <c r="AJ41" i="1"/>
  <c r="AG41" i="1"/>
  <c r="AE41" i="1"/>
  <c r="AB41" i="1"/>
  <c r="Z41" i="1"/>
  <c r="W41" i="1"/>
  <c r="U41" i="1"/>
  <c r="P41" i="1"/>
  <c r="BZ40" i="1"/>
  <c r="BX40" i="1"/>
  <c r="BU40" i="1"/>
  <c r="BS40" i="1"/>
  <c r="BP40" i="1"/>
  <c r="BN40" i="1"/>
  <c r="BK40" i="1"/>
  <c r="BI40" i="1"/>
  <c r="BF40" i="1"/>
  <c r="BD40" i="1"/>
  <c r="BA40" i="1"/>
  <c r="AY40" i="1"/>
  <c r="AV40" i="1"/>
  <c r="AT40" i="1"/>
  <c r="AQ40" i="1"/>
  <c r="AO40" i="1"/>
  <c r="AL40" i="1"/>
  <c r="AJ40" i="1"/>
  <c r="AG40" i="1"/>
  <c r="AE40" i="1"/>
  <c r="AB40" i="1"/>
  <c r="Z40" i="1"/>
  <c r="W40" i="1"/>
  <c r="U40" i="1"/>
  <c r="P40" i="1"/>
  <c r="BZ39" i="1"/>
  <c r="BX39" i="1"/>
  <c r="BU39" i="1"/>
  <c r="BS39" i="1"/>
  <c r="BP39" i="1"/>
  <c r="BN39" i="1"/>
  <c r="BK39" i="1"/>
  <c r="BI39" i="1"/>
  <c r="BF39" i="1"/>
  <c r="BD39" i="1"/>
  <c r="BA39" i="1"/>
  <c r="AY39" i="1"/>
  <c r="AV39" i="1"/>
  <c r="AT39" i="1"/>
  <c r="AQ39" i="1"/>
  <c r="AO39" i="1"/>
  <c r="AL39" i="1"/>
  <c r="AJ39" i="1"/>
  <c r="AG39" i="1"/>
  <c r="AE39" i="1"/>
  <c r="AB39" i="1"/>
  <c r="Z39" i="1"/>
  <c r="W39" i="1"/>
  <c r="U39" i="1"/>
  <c r="P39" i="1"/>
  <c r="BZ38" i="1"/>
  <c r="BX38" i="1"/>
  <c r="BU38" i="1"/>
  <c r="BS38" i="1"/>
  <c r="BP38" i="1"/>
  <c r="BN38" i="1"/>
  <c r="BK38" i="1"/>
  <c r="BI38" i="1"/>
  <c r="BF38" i="1"/>
  <c r="BD38" i="1"/>
  <c r="BA38" i="1"/>
  <c r="AY38" i="1"/>
  <c r="AV38" i="1"/>
  <c r="AT38" i="1"/>
  <c r="AQ38" i="1"/>
  <c r="AO38" i="1"/>
  <c r="AL38" i="1"/>
  <c r="AJ38" i="1"/>
  <c r="AG38" i="1"/>
  <c r="AE38" i="1"/>
  <c r="AB38" i="1"/>
  <c r="Z38" i="1"/>
  <c r="W38" i="1"/>
  <c r="U38" i="1"/>
  <c r="P38" i="1"/>
  <c r="BZ37" i="1"/>
  <c r="BX37" i="1"/>
  <c r="BU37" i="1"/>
  <c r="BS37" i="1"/>
  <c r="BP37" i="1"/>
  <c r="BN37" i="1"/>
  <c r="BK37" i="1"/>
  <c r="BI37" i="1"/>
  <c r="BF37" i="1"/>
  <c r="BD37" i="1"/>
  <c r="BA37" i="1"/>
  <c r="AY37" i="1"/>
  <c r="AV37" i="1"/>
  <c r="AT37" i="1"/>
  <c r="AQ37" i="1"/>
  <c r="AO37" i="1"/>
  <c r="AL37" i="1"/>
  <c r="AJ37" i="1"/>
  <c r="AG37" i="1"/>
  <c r="AE37" i="1"/>
  <c r="AB37" i="1"/>
  <c r="Z37" i="1"/>
  <c r="W37" i="1"/>
  <c r="U37" i="1"/>
  <c r="P37" i="1"/>
  <c r="BZ36" i="1"/>
  <c r="BX36" i="1"/>
  <c r="BU36" i="1"/>
  <c r="BS36" i="1"/>
  <c r="BP36" i="1"/>
  <c r="BN36" i="1"/>
  <c r="BK36" i="1"/>
  <c r="BI36" i="1"/>
  <c r="BF36" i="1"/>
  <c r="BD36" i="1"/>
  <c r="BA36" i="1"/>
  <c r="AY36" i="1"/>
  <c r="AV36" i="1"/>
  <c r="AT36" i="1"/>
  <c r="AQ36" i="1"/>
  <c r="AO36" i="1"/>
  <c r="AL36" i="1"/>
  <c r="AJ36" i="1"/>
  <c r="AG36" i="1"/>
  <c r="AE36" i="1"/>
  <c r="AB36" i="1"/>
  <c r="Z36" i="1"/>
  <c r="W36" i="1"/>
  <c r="U36" i="1"/>
  <c r="P36" i="1"/>
  <c r="BZ35" i="1"/>
  <c r="BX35" i="1"/>
  <c r="BU35" i="1"/>
  <c r="BS35" i="1"/>
  <c r="BP35" i="1"/>
  <c r="BN35" i="1"/>
  <c r="BK35" i="1"/>
  <c r="BI35" i="1"/>
  <c r="BF35" i="1"/>
  <c r="BD35" i="1"/>
  <c r="BA35" i="1"/>
  <c r="AY35" i="1"/>
  <c r="AV35" i="1"/>
  <c r="AT35" i="1"/>
  <c r="AQ35" i="1"/>
  <c r="AO35" i="1"/>
  <c r="AL35" i="1"/>
  <c r="AJ35" i="1"/>
  <c r="AG35" i="1"/>
  <c r="AE35" i="1"/>
  <c r="AB35" i="1"/>
  <c r="Z35" i="1"/>
  <c r="W35" i="1"/>
  <c r="U35" i="1"/>
  <c r="P35" i="1"/>
  <c r="BZ34" i="1"/>
  <c r="BX34" i="1"/>
  <c r="BU34" i="1"/>
  <c r="BS34" i="1"/>
  <c r="BP34" i="1"/>
  <c r="BN34" i="1"/>
  <c r="BK34" i="1"/>
  <c r="BI34" i="1"/>
  <c r="BF34" i="1"/>
  <c r="BD34" i="1"/>
  <c r="BA34" i="1"/>
  <c r="AY34" i="1"/>
  <c r="AV34" i="1"/>
  <c r="AT34" i="1"/>
  <c r="AQ34" i="1"/>
  <c r="AO34" i="1"/>
  <c r="AL34" i="1"/>
  <c r="AJ34" i="1"/>
  <c r="AG34" i="1"/>
  <c r="AE34" i="1"/>
  <c r="AB34" i="1"/>
  <c r="Z34" i="1"/>
  <c r="W34" i="1"/>
  <c r="U34" i="1"/>
  <c r="P34" i="1"/>
  <c r="BZ33" i="1"/>
  <c r="BX33" i="1"/>
  <c r="BU33" i="1"/>
  <c r="BS33" i="1"/>
  <c r="BP33" i="1"/>
  <c r="BN33" i="1"/>
  <c r="BK33" i="1"/>
  <c r="BI33" i="1"/>
  <c r="BF33" i="1"/>
  <c r="BD33" i="1"/>
  <c r="BA33" i="1"/>
  <c r="AY33" i="1"/>
  <c r="AV33" i="1"/>
  <c r="AT33" i="1"/>
  <c r="AQ33" i="1"/>
  <c r="AO33" i="1"/>
  <c r="AL33" i="1"/>
  <c r="AJ33" i="1"/>
  <c r="AG33" i="1"/>
  <c r="AE33" i="1"/>
  <c r="AB33" i="1"/>
  <c r="Z33" i="1"/>
  <c r="W33" i="1"/>
  <c r="U33" i="1"/>
  <c r="P33" i="1"/>
  <c r="BZ32" i="1"/>
  <c r="BX32" i="1"/>
  <c r="BU32" i="1"/>
  <c r="BS32" i="1"/>
  <c r="BP32" i="1"/>
  <c r="BN32" i="1"/>
  <c r="BK32" i="1"/>
  <c r="BI32" i="1"/>
  <c r="BF32" i="1"/>
  <c r="BD32" i="1"/>
  <c r="BA32" i="1"/>
  <c r="AY32" i="1"/>
  <c r="AV32" i="1"/>
  <c r="AT32" i="1"/>
  <c r="AQ32" i="1"/>
  <c r="AO32" i="1"/>
  <c r="AL32" i="1"/>
  <c r="AJ32" i="1"/>
  <c r="AG32" i="1"/>
  <c r="AE32" i="1"/>
  <c r="AB32" i="1"/>
  <c r="Z32" i="1"/>
  <c r="W32" i="1"/>
  <c r="U32" i="1"/>
  <c r="P32" i="1"/>
  <c r="BZ31" i="1"/>
  <c r="BX31" i="1"/>
  <c r="BU31" i="1"/>
  <c r="BS31" i="1"/>
  <c r="BP31" i="1"/>
  <c r="BN31" i="1"/>
  <c r="BK31" i="1"/>
  <c r="BI31" i="1"/>
  <c r="BF31" i="1"/>
  <c r="BD31" i="1"/>
  <c r="BA31" i="1"/>
  <c r="AY31" i="1"/>
  <c r="AV31" i="1"/>
  <c r="AT31" i="1"/>
  <c r="AQ31" i="1"/>
  <c r="AO31" i="1"/>
  <c r="AL31" i="1"/>
  <c r="AJ31" i="1"/>
  <c r="AG31" i="1"/>
  <c r="AE31" i="1"/>
  <c r="AB31" i="1"/>
  <c r="Z31" i="1"/>
  <c r="W31" i="1"/>
  <c r="U31" i="1"/>
  <c r="P31" i="1"/>
  <c r="BZ30" i="1"/>
  <c r="BX30" i="1"/>
  <c r="BU30" i="1"/>
  <c r="BS30" i="1"/>
  <c r="BP30" i="1"/>
  <c r="BN30" i="1"/>
  <c r="BK30" i="1"/>
  <c r="BI30" i="1"/>
  <c r="BF30" i="1"/>
  <c r="BD30" i="1"/>
  <c r="BA30" i="1"/>
  <c r="AY30" i="1"/>
  <c r="AV30" i="1"/>
  <c r="AT30" i="1"/>
  <c r="AQ30" i="1"/>
  <c r="AO30" i="1"/>
  <c r="AL30" i="1"/>
  <c r="AJ30" i="1"/>
  <c r="AG30" i="1"/>
  <c r="AE30" i="1"/>
  <c r="AB30" i="1"/>
  <c r="Z30" i="1"/>
  <c r="W30" i="1"/>
  <c r="U30" i="1"/>
  <c r="P30" i="1"/>
  <c r="BZ29" i="1"/>
  <c r="BX29" i="1"/>
  <c r="BU29" i="1"/>
  <c r="BS29" i="1"/>
  <c r="BP29" i="1"/>
  <c r="BN29" i="1"/>
  <c r="BK29" i="1"/>
  <c r="BI29" i="1"/>
  <c r="BF29" i="1"/>
  <c r="BD29" i="1"/>
  <c r="BA29" i="1"/>
  <c r="AY29" i="1"/>
  <c r="AV29" i="1"/>
  <c r="AT29" i="1"/>
  <c r="AQ29" i="1"/>
  <c r="AO29" i="1"/>
  <c r="AL29" i="1"/>
  <c r="AJ29" i="1"/>
  <c r="AG29" i="1"/>
  <c r="AE29" i="1"/>
  <c r="AB29" i="1"/>
  <c r="Z29" i="1"/>
  <c r="W29" i="1"/>
  <c r="U29" i="1"/>
  <c r="P29" i="1"/>
  <c r="BZ28" i="1"/>
  <c r="BX28" i="1"/>
  <c r="BU28" i="1"/>
  <c r="BS28" i="1"/>
  <c r="BP28" i="1"/>
  <c r="BN28" i="1"/>
  <c r="BK28" i="1"/>
  <c r="BI28" i="1"/>
  <c r="BF28" i="1"/>
  <c r="BD28" i="1"/>
  <c r="BA28" i="1"/>
  <c r="AY28" i="1"/>
  <c r="AV28" i="1"/>
  <c r="AT28" i="1"/>
  <c r="AQ28" i="1"/>
  <c r="AO28" i="1"/>
  <c r="AL28" i="1"/>
  <c r="AJ28" i="1"/>
  <c r="AG28" i="1"/>
  <c r="AE28" i="1"/>
  <c r="AB28" i="1"/>
  <c r="Z28" i="1"/>
  <c r="W28" i="1"/>
  <c r="U28" i="1"/>
  <c r="P28" i="1"/>
  <c r="BZ27" i="1"/>
  <c r="BX27" i="1"/>
  <c r="BU27" i="1"/>
  <c r="BS27" i="1"/>
  <c r="BP27" i="1"/>
  <c r="BN27" i="1"/>
  <c r="BK27" i="1"/>
  <c r="BI27" i="1"/>
  <c r="BF27" i="1"/>
  <c r="BD27" i="1"/>
  <c r="BA27" i="1"/>
  <c r="AY27" i="1"/>
  <c r="AV27" i="1"/>
  <c r="AT27" i="1"/>
  <c r="AQ27" i="1"/>
  <c r="AO27" i="1"/>
  <c r="AL27" i="1"/>
  <c r="AJ27" i="1"/>
  <c r="AG27" i="1"/>
  <c r="AE27" i="1"/>
  <c r="AB27" i="1"/>
  <c r="Z27" i="1"/>
  <c r="W27" i="1"/>
  <c r="U27" i="1"/>
  <c r="P27" i="1"/>
  <c r="BZ26" i="1"/>
  <c r="BX26" i="1"/>
  <c r="BU26" i="1"/>
  <c r="BS26" i="1"/>
  <c r="BP26" i="1"/>
  <c r="BN26" i="1"/>
  <c r="BK26" i="1"/>
  <c r="BI26" i="1"/>
  <c r="BF26" i="1"/>
  <c r="BD26" i="1"/>
  <c r="BA26" i="1"/>
  <c r="AY26" i="1"/>
  <c r="AV26" i="1"/>
  <c r="AT26" i="1"/>
  <c r="AQ26" i="1"/>
  <c r="AO26" i="1"/>
  <c r="AL26" i="1"/>
  <c r="AJ26" i="1"/>
  <c r="AG26" i="1"/>
  <c r="AE26" i="1"/>
  <c r="AB26" i="1"/>
  <c r="Z26" i="1"/>
  <c r="W26" i="1"/>
  <c r="U26" i="1"/>
  <c r="P26" i="1"/>
  <c r="BZ25" i="1"/>
  <c r="BX25" i="1"/>
  <c r="BU25" i="1"/>
  <c r="BS25" i="1"/>
  <c r="BP25" i="1"/>
  <c r="BN25" i="1"/>
  <c r="BK25" i="1"/>
  <c r="BI25" i="1"/>
  <c r="BF25" i="1"/>
  <c r="BD25" i="1"/>
  <c r="BA25" i="1"/>
  <c r="AY25" i="1"/>
  <c r="AV25" i="1"/>
  <c r="AT25" i="1"/>
  <c r="AQ25" i="1"/>
  <c r="AO25" i="1"/>
  <c r="AL25" i="1"/>
  <c r="AJ25" i="1"/>
  <c r="AG25" i="1"/>
  <c r="AE25" i="1"/>
  <c r="AB25" i="1"/>
  <c r="Z25" i="1"/>
  <c r="W25" i="1"/>
  <c r="U25" i="1"/>
  <c r="P25" i="1"/>
  <c r="BZ24" i="1"/>
  <c r="BX24" i="1"/>
  <c r="BU24" i="1"/>
  <c r="BS24" i="1"/>
  <c r="BP24" i="1"/>
  <c r="BN24" i="1"/>
  <c r="BK24" i="1"/>
  <c r="BI24" i="1"/>
  <c r="BF24" i="1"/>
  <c r="BD24" i="1"/>
  <c r="BA24" i="1"/>
  <c r="AY24" i="1"/>
  <c r="AV24" i="1"/>
  <c r="AT24" i="1"/>
  <c r="AQ24" i="1"/>
  <c r="AO24" i="1"/>
  <c r="AL24" i="1"/>
  <c r="AJ24" i="1"/>
  <c r="AG24" i="1"/>
  <c r="AE24" i="1"/>
  <c r="AB24" i="1"/>
  <c r="Z24" i="1"/>
  <c r="W24" i="1"/>
  <c r="U24" i="1"/>
  <c r="P24" i="1"/>
  <c r="BZ23" i="1"/>
  <c r="BX23" i="1"/>
  <c r="BU23" i="1"/>
  <c r="BS23" i="1"/>
  <c r="BP23" i="1"/>
  <c r="BN23" i="1"/>
  <c r="BK23" i="1"/>
  <c r="BI23" i="1"/>
  <c r="BF23" i="1"/>
  <c r="BD23" i="1"/>
  <c r="BA23" i="1"/>
  <c r="AY23" i="1"/>
  <c r="AV23" i="1"/>
  <c r="AT23" i="1"/>
  <c r="AQ23" i="1"/>
  <c r="AO23" i="1"/>
  <c r="AL23" i="1"/>
  <c r="AJ23" i="1"/>
  <c r="AG23" i="1"/>
  <c r="AE23" i="1"/>
  <c r="AB23" i="1"/>
  <c r="Z23" i="1"/>
  <c r="W23" i="1"/>
  <c r="U23" i="1"/>
  <c r="P23" i="1"/>
  <c r="BZ22" i="1"/>
  <c r="BX22" i="1"/>
  <c r="BU22" i="1"/>
  <c r="BS22" i="1"/>
  <c r="BP22" i="1"/>
  <c r="BN22" i="1"/>
  <c r="BK22" i="1"/>
  <c r="BI22" i="1"/>
  <c r="BF22" i="1"/>
  <c r="BD22" i="1"/>
  <c r="BA22" i="1"/>
  <c r="AY22" i="1"/>
  <c r="AV22" i="1"/>
  <c r="AT22" i="1"/>
  <c r="AQ22" i="1"/>
  <c r="AO22" i="1"/>
  <c r="AL22" i="1"/>
  <c r="AJ22" i="1"/>
  <c r="AG22" i="1"/>
  <c r="AE22" i="1"/>
  <c r="AB22" i="1"/>
  <c r="Z22" i="1"/>
  <c r="W22" i="1"/>
  <c r="U22" i="1"/>
  <c r="P22" i="1"/>
  <c r="BZ21" i="1"/>
  <c r="BX21" i="1"/>
  <c r="BU21" i="1"/>
  <c r="BS21" i="1"/>
  <c r="BP21" i="1"/>
  <c r="BN21" i="1"/>
  <c r="BK21" i="1"/>
  <c r="BI21" i="1"/>
  <c r="BF21" i="1"/>
  <c r="BD21" i="1"/>
  <c r="BA21" i="1"/>
  <c r="AY21" i="1"/>
  <c r="AV21" i="1"/>
  <c r="AT21" i="1"/>
  <c r="AQ21" i="1"/>
  <c r="AO21" i="1"/>
  <c r="AL21" i="1"/>
  <c r="AJ21" i="1"/>
  <c r="AG21" i="1"/>
  <c r="AE21" i="1"/>
  <c r="AB21" i="1"/>
  <c r="Z21" i="1"/>
  <c r="W21" i="1"/>
  <c r="U21" i="1"/>
  <c r="P21" i="1"/>
  <c r="BZ20" i="1"/>
  <c r="BX20" i="1"/>
  <c r="BU20" i="1"/>
  <c r="BS20" i="1"/>
  <c r="BP20" i="1"/>
  <c r="BN20" i="1"/>
  <c r="BK20" i="1"/>
  <c r="BI20" i="1"/>
  <c r="BF20" i="1"/>
  <c r="BD20" i="1"/>
  <c r="BA20" i="1"/>
  <c r="AY20" i="1"/>
  <c r="AV20" i="1"/>
  <c r="AT20" i="1"/>
  <c r="AQ20" i="1"/>
  <c r="AO20" i="1"/>
  <c r="AL20" i="1"/>
  <c r="AJ20" i="1"/>
  <c r="AG20" i="1"/>
  <c r="AE20" i="1"/>
  <c r="AB20" i="1"/>
  <c r="Z20" i="1"/>
  <c r="W20" i="1"/>
  <c r="U20" i="1"/>
  <c r="P20" i="1"/>
  <c r="BZ19" i="1"/>
  <c r="BX19" i="1"/>
  <c r="BU19" i="1"/>
  <c r="BS19" i="1"/>
  <c r="BP19" i="1"/>
  <c r="BN19" i="1"/>
  <c r="BK19" i="1"/>
  <c r="BI19" i="1"/>
  <c r="BF19" i="1"/>
  <c r="BD19" i="1"/>
  <c r="BA19" i="1"/>
  <c r="AY19" i="1"/>
  <c r="AV19" i="1"/>
  <c r="AT19" i="1"/>
  <c r="AQ19" i="1"/>
  <c r="AO19" i="1"/>
  <c r="AL19" i="1"/>
  <c r="AJ19" i="1"/>
  <c r="AG19" i="1"/>
  <c r="AE19" i="1"/>
  <c r="AB19" i="1"/>
  <c r="Z19" i="1"/>
  <c r="W19" i="1"/>
  <c r="U19" i="1"/>
  <c r="P19" i="1"/>
  <c r="BZ18" i="1"/>
  <c r="BX18" i="1"/>
  <c r="BU18" i="1"/>
  <c r="BS18" i="1"/>
  <c r="BP18" i="1"/>
  <c r="BN18" i="1"/>
  <c r="BK18" i="1"/>
  <c r="BI18" i="1"/>
  <c r="BF18" i="1"/>
  <c r="BD18" i="1"/>
  <c r="BA18" i="1"/>
  <c r="AY18" i="1"/>
  <c r="AV18" i="1"/>
  <c r="AT18" i="1"/>
  <c r="AQ18" i="1"/>
  <c r="AO18" i="1"/>
  <c r="AL18" i="1"/>
  <c r="AJ18" i="1"/>
  <c r="AG18" i="1"/>
  <c r="AE18" i="1"/>
  <c r="AB18" i="1"/>
  <c r="Z18" i="1"/>
  <c r="W18" i="1"/>
  <c r="U18" i="1"/>
  <c r="P18" i="1"/>
  <c r="BZ17" i="1"/>
  <c r="BX17" i="1"/>
  <c r="BU17" i="1"/>
  <c r="BS17" i="1"/>
  <c r="BP17" i="1"/>
  <c r="BN17" i="1"/>
  <c r="BK17" i="1"/>
  <c r="BI17" i="1"/>
  <c r="BF17" i="1"/>
  <c r="BD17" i="1"/>
  <c r="BA17" i="1"/>
  <c r="AY17" i="1"/>
  <c r="AV17" i="1"/>
  <c r="AT17" i="1"/>
  <c r="AQ17" i="1"/>
  <c r="AO17" i="1"/>
  <c r="AL17" i="1"/>
  <c r="AJ17" i="1"/>
  <c r="AG17" i="1"/>
  <c r="AE17" i="1"/>
  <c r="AB17" i="1"/>
  <c r="Z17" i="1"/>
  <c r="W17" i="1"/>
  <c r="U17" i="1"/>
  <c r="P17" i="1"/>
  <c r="BZ16" i="1"/>
  <c r="BX16" i="1"/>
  <c r="BU16" i="1"/>
  <c r="BS16" i="1"/>
  <c r="BP16" i="1"/>
  <c r="BN16" i="1"/>
  <c r="BK16" i="1"/>
  <c r="BI16" i="1"/>
  <c r="BF16" i="1"/>
  <c r="BD16" i="1"/>
  <c r="BA16" i="1"/>
  <c r="AY16" i="1"/>
  <c r="AV16" i="1"/>
  <c r="AT16" i="1"/>
  <c r="AQ16" i="1"/>
  <c r="AO16" i="1"/>
  <c r="AL16" i="1"/>
  <c r="AJ16" i="1"/>
  <c r="AG16" i="1"/>
  <c r="AE16" i="1"/>
  <c r="AB16" i="1"/>
  <c r="Z16" i="1"/>
  <c r="W16" i="1"/>
  <c r="U16" i="1"/>
  <c r="P16" i="1"/>
  <c r="BZ15" i="1"/>
  <c r="BX15" i="1"/>
  <c r="BU15" i="1"/>
  <c r="BS15" i="1"/>
  <c r="BP15" i="1"/>
  <c r="BN15" i="1"/>
  <c r="BK15" i="1"/>
  <c r="BI15" i="1"/>
  <c r="BF15" i="1"/>
  <c r="BD15" i="1"/>
  <c r="BA15" i="1"/>
  <c r="AY15" i="1"/>
  <c r="AV15" i="1"/>
  <c r="AT15" i="1"/>
  <c r="AQ15" i="1"/>
  <c r="AO15" i="1"/>
  <c r="AL15" i="1"/>
  <c r="AJ15" i="1"/>
  <c r="AG15" i="1"/>
  <c r="AE15" i="1"/>
  <c r="AB15" i="1"/>
  <c r="Z15" i="1"/>
  <c r="W15" i="1"/>
  <c r="U15" i="1"/>
  <c r="P15" i="1"/>
  <c r="BZ14" i="1"/>
  <c r="BX14" i="1"/>
  <c r="BU14" i="1"/>
  <c r="BS14" i="1"/>
  <c r="BP14" i="1"/>
  <c r="BN14" i="1"/>
  <c r="BK14" i="1"/>
  <c r="BI14" i="1"/>
  <c r="BF14" i="1"/>
  <c r="BD14" i="1"/>
  <c r="BA14" i="1"/>
  <c r="AY14" i="1"/>
  <c r="AV14" i="1"/>
  <c r="AT14" i="1"/>
  <c r="AQ14" i="1"/>
  <c r="AO14" i="1"/>
  <c r="AL14" i="1"/>
  <c r="AJ14" i="1"/>
  <c r="AG14" i="1"/>
  <c r="AE14" i="1"/>
  <c r="AB14" i="1"/>
  <c r="Z14" i="1"/>
  <c r="W14" i="1"/>
  <c r="U14" i="1"/>
  <c r="P14" i="1"/>
  <c r="BZ13" i="1"/>
  <c r="BX13" i="1"/>
  <c r="BU13" i="1"/>
  <c r="BS13" i="1"/>
  <c r="BP13" i="1"/>
  <c r="BN13" i="1"/>
  <c r="BK13" i="1"/>
  <c r="BI13" i="1"/>
  <c r="BF13" i="1"/>
  <c r="BD13" i="1"/>
  <c r="BA13" i="1"/>
  <c r="AY13" i="1"/>
  <c r="AV13" i="1"/>
  <c r="AT13" i="1"/>
  <c r="AQ13" i="1"/>
  <c r="AO13" i="1"/>
  <c r="AL13" i="1"/>
  <c r="AJ13" i="1"/>
  <c r="AG13" i="1"/>
  <c r="AE13" i="1"/>
  <c r="AB13" i="1"/>
  <c r="Z13" i="1"/>
  <c r="W13" i="1"/>
  <c r="U13" i="1"/>
  <c r="P13" i="1"/>
  <c r="BZ12" i="1"/>
  <c r="BX12" i="1"/>
  <c r="BU12" i="1"/>
  <c r="BS12" i="1"/>
  <c r="BP12" i="1"/>
  <c r="BN12" i="1"/>
  <c r="BK12" i="1"/>
  <c r="BI12" i="1"/>
  <c r="BF12" i="1"/>
  <c r="BD12" i="1"/>
  <c r="BA12" i="1"/>
  <c r="AY12" i="1"/>
  <c r="AV12" i="1"/>
  <c r="AT12" i="1"/>
  <c r="AQ12" i="1"/>
  <c r="AO12" i="1"/>
  <c r="AL12" i="1"/>
  <c r="AJ12" i="1"/>
  <c r="AG12" i="1"/>
  <c r="AE12" i="1"/>
  <c r="AB12" i="1"/>
  <c r="Z12" i="1"/>
  <c r="W12" i="1"/>
  <c r="U12" i="1"/>
  <c r="P12" i="1"/>
  <c r="BZ11" i="1"/>
  <c r="BX11" i="1"/>
  <c r="BU11" i="1"/>
  <c r="BS11" i="1"/>
  <c r="BP11" i="1"/>
  <c r="BN11" i="1"/>
  <c r="BK11" i="1"/>
  <c r="BI11" i="1"/>
  <c r="BF11" i="1"/>
  <c r="BD11" i="1"/>
  <c r="BA11" i="1"/>
  <c r="AY11" i="1"/>
  <c r="AV11" i="1"/>
  <c r="AT11" i="1"/>
  <c r="AQ11" i="1"/>
  <c r="AO11" i="1"/>
  <c r="AL11" i="1"/>
  <c r="AJ11" i="1"/>
  <c r="AG11" i="1"/>
  <c r="AE11" i="1"/>
  <c r="AB11" i="1"/>
  <c r="Z11" i="1"/>
  <c r="W11" i="1"/>
  <c r="U11" i="1"/>
  <c r="P11" i="1"/>
  <c r="BZ10" i="1"/>
  <c r="BX10" i="1"/>
  <c r="BU10" i="1"/>
  <c r="BS10" i="1"/>
  <c r="BP10" i="1"/>
  <c r="BN10" i="1"/>
  <c r="BK10" i="1"/>
  <c r="BI10" i="1"/>
  <c r="BF10" i="1"/>
  <c r="BD10" i="1"/>
  <c r="BA10" i="1"/>
  <c r="AY10" i="1"/>
  <c r="AV10" i="1"/>
  <c r="AT10" i="1"/>
  <c r="AQ10" i="1"/>
  <c r="AO10" i="1"/>
  <c r="AL10" i="1"/>
  <c r="AJ10" i="1"/>
  <c r="AG10" i="1"/>
  <c r="AE10" i="1"/>
  <c r="AB10" i="1"/>
  <c r="Z10" i="1"/>
  <c r="W10" i="1"/>
  <c r="U10" i="1"/>
  <c r="P10" i="1"/>
  <c r="BZ9" i="1"/>
  <c r="BX9" i="1"/>
  <c r="BU9" i="1"/>
  <c r="BS9" i="1"/>
  <c r="BP9" i="1"/>
  <c r="BN9" i="1"/>
  <c r="BK9" i="1"/>
  <c r="BI9" i="1"/>
  <c r="BF9" i="1"/>
  <c r="BD9" i="1"/>
  <c r="BA9" i="1"/>
  <c r="AY9" i="1"/>
  <c r="AV9" i="1"/>
  <c r="AT9" i="1"/>
  <c r="AQ9" i="1"/>
  <c r="AO9" i="1"/>
  <c r="AL9" i="1"/>
  <c r="AJ9" i="1"/>
  <c r="AG9" i="1"/>
  <c r="AE9" i="1"/>
  <c r="AB9" i="1"/>
  <c r="Z9" i="1"/>
  <c r="W9" i="1"/>
  <c r="U9" i="1"/>
  <c r="P9" i="1"/>
  <c r="BZ8" i="1"/>
  <c r="BX8" i="1"/>
  <c r="BU8" i="1"/>
  <c r="BS8" i="1"/>
  <c r="BP8" i="1"/>
  <c r="BN8" i="1"/>
  <c r="BK8" i="1"/>
  <c r="BI8" i="1"/>
  <c r="BF8" i="1"/>
  <c r="BD8" i="1"/>
  <c r="BA8" i="1"/>
  <c r="AY8" i="1"/>
  <c r="AV8" i="1"/>
  <c r="AT8" i="1"/>
  <c r="AQ8" i="1"/>
  <c r="AO8" i="1"/>
  <c r="AL8" i="1"/>
  <c r="AJ8" i="1"/>
  <c r="AG8" i="1"/>
  <c r="AE8" i="1"/>
  <c r="AB8" i="1"/>
  <c r="Z8" i="1"/>
  <c r="W8" i="1"/>
  <c r="U8" i="1"/>
  <c r="P8" i="1"/>
  <c r="BZ7" i="1"/>
  <c r="BX7" i="1"/>
  <c r="BU7" i="1"/>
  <c r="BS7" i="1"/>
  <c r="BP7" i="1"/>
  <c r="BN7" i="1"/>
  <c r="BK7" i="1"/>
  <c r="BI7" i="1"/>
  <c r="BF7" i="1"/>
  <c r="BD7" i="1"/>
  <c r="BA7" i="1"/>
  <c r="AY7" i="1"/>
  <c r="AV7" i="1"/>
  <c r="AT7" i="1"/>
  <c r="AQ7" i="1"/>
  <c r="AO7" i="1"/>
  <c r="AL7" i="1"/>
  <c r="AJ7" i="1"/>
  <c r="AG7" i="1"/>
  <c r="AE7" i="1"/>
  <c r="AB7" i="1"/>
  <c r="Z7" i="1"/>
  <c r="W7" i="1"/>
  <c r="U7" i="1"/>
  <c r="P7" i="1"/>
  <c r="BZ6" i="1"/>
  <c r="BX6" i="1"/>
  <c r="BU6" i="1"/>
  <c r="BS6" i="1"/>
  <c r="BP6" i="1"/>
  <c r="BN6" i="1"/>
  <c r="BK6" i="1"/>
  <c r="BI6" i="1"/>
  <c r="BF6" i="1"/>
  <c r="BD6" i="1"/>
  <c r="BA6" i="1"/>
  <c r="AY6" i="1"/>
  <c r="AV6" i="1"/>
  <c r="AT6" i="1"/>
  <c r="AQ6" i="1"/>
  <c r="AO6" i="1"/>
  <c r="AL6" i="1"/>
  <c r="AJ6" i="1"/>
  <c r="AG6" i="1"/>
  <c r="AE6" i="1"/>
  <c r="AB6" i="1"/>
  <c r="Z6" i="1"/>
  <c r="W6" i="1"/>
  <c r="U6" i="1"/>
  <c r="P6" i="1"/>
  <c r="BZ5" i="1"/>
  <c r="BX5" i="1"/>
  <c r="BU5" i="1"/>
  <c r="BS5" i="1"/>
  <c r="BP5" i="1"/>
  <c r="BN5" i="1"/>
  <c r="BK5" i="1"/>
  <c r="BI5" i="1"/>
  <c r="BF5" i="1"/>
  <c r="BD5" i="1"/>
  <c r="BA5" i="1"/>
  <c r="AY5" i="1"/>
  <c r="AV5" i="1"/>
  <c r="AT5" i="1"/>
  <c r="AQ5" i="1"/>
  <c r="AO5" i="1"/>
  <c r="AL5" i="1"/>
  <c r="AJ5" i="1"/>
  <c r="AG5" i="1"/>
  <c r="AE5" i="1"/>
  <c r="AB5" i="1"/>
  <c r="Z5" i="1"/>
  <c r="W5" i="1"/>
  <c r="U5" i="1"/>
  <c r="P5" i="1"/>
  <c r="BZ4" i="1"/>
  <c r="BX4" i="1"/>
  <c r="BU4" i="1"/>
  <c r="BS4" i="1"/>
  <c r="BP4" i="1"/>
  <c r="BN4" i="1"/>
  <c r="BK4" i="1"/>
  <c r="BI4" i="1"/>
  <c r="BF4" i="1"/>
  <c r="BD4" i="1"/>
  <c r="BA4" i="1"/>
  <c r="AY4" i="1"/>
  <c r="AV4" i="1"/>
  <c r="AT4" i="1"/>
  <c r="AQ4" i="1"/>
  <c r="AO4" i="1"/>
  <c r="AL4" i="1"/>
  <c r="AJ4" i="1"/>
  <c r="AG4" i="1"/>
  <c r="AE4" i="1"/>
  <c r="AB4" i="1"/>
  <c r="Z4" i="1"/>
  <c r="W4" i="1"/>
  <c r="U4" i="1"/>
  <c r="P4" i="1"/>
  <c r="BZ3" i="1"/>
  <c r="BX3" i="1"/>
  <c r="BU3" i="1"/>
  <c r="BS3" i="1"/>
  <c r="BP3" i="1"/>
  <c r="BN3" i="1"/>
  <c r="BK3" i="1"/>
  <c r="BI3" i="1"/>
  <c r="BF3" i="1"/>
  <c r="BD3" i="1"/>
  <c r="BA3" i="1"/>
  <c r="AY3" i="1"/>
  <c r="AV3" i="1"/>
  <c r="AT3" i="1"/>
  <c r="AQ3" i="1"/>
  <c r="AO3" i="1"/>
  <c r="AL3" i="1"/>
  <c r="AJ3" i="1"/>
  <c r="AG3" i="1"/>
  <c r="AE3" i="1"/>
  <c r="AB3" i="1"/>
  <c r="Z3" i="1"/>
  <c r="W3" i="1"/>
  <c r="U3" i="1"/>
  <c r="P3" i="1"/>
  <c r="P1" i="3" l="1"/>
  <c r="BP1" i="2"/>
  <c r="AJ1" i="2"/>
  <c r="AL1" i="2"/>
  <c r="BS1" i="2"/>
  <c r="AO1" i="2"/>
  <c r="BU1" i="2"/>
  <c r="AQ1" i="2"/>
  <c r="BX1" i="2"/>
  <c r="AY1" i="2"/>
  <c r="CE1" i="2"/>
  <c r="U1" i="2"/>
  <c r="AB1" i="2"/>
  <c r="BI1" i="2"/>
  <c r="CC1" i="2"/>
  <c r="BF1" i="2"/>
  <c r="AE1" i="2"/>
  <c r="BK1" i="2"/>
  <c r="AV1" i="2"/>
  <c r="BD1" i="2"/>
  <c r="Z1" i="2"/>
  <c r="AG1" i="2"/>
  <c r="BN1" i="2"/>
  <c r="BZ1" i="2"/>
  <c r="AT1" i="2"/>
  <c r="V78" i="2"/>
  <c r="W30" i="2"/>
  <c r="V30" i="2"/>
  <c r="S1" i="3"/>
  <c r="W79" i="2"/>
  <c r="W78" i="2"/>
  <c r="V79" i="2"/>
  <c r="V41" i="2"/>
  <c r="W77" i="2"/>
  <c r="V158" i="2"/>
  <c r="W158" i="2"/>
  <c r="W41" i="2"/>
  <c r="W80" i="2"/>
  <c r="V80" i="2"/>
  <c r="W81" i="2"/>
  <c r="V81" i="2"/>
  <c r="V77" i="2"/>
  <c r="AQ1" i="1"/>
  <c r="BU1" i="1"/>
  <c r="AT1" i="1"/>
  <c r="BX1" i="1"/>
  <c r="BE1" i="1"/>
  <c r="AO1" i="1"/>
  <c r="BS1" i="1"/>
  <c r="P1" i="1"/>
  <c r="AV1" i="1"/>
  <c r="BZ1" i="1"/>
  <c r="BD1" i="1"/>
  <c r="AL1" i="1"/>
  <c r="BP1" i="1"/>
  <c r="U1" i="1"/>
  <c r="W1" i="1"/>
  <c r="BA1" i="1"/>
  <c r="BI1" i="1"/>
  <c r="BK1" i="1"/>
  <c r="AY1" i="1"/>
  <c r="Z1" i="1"/>
  <c r="AB1" i="1"/>
  <c r="AE1" i="1"/>
  <c r="AG1" i="1"/>
  <c r="AJ1" i="1"/>
  <c r="BN1" i="1"/>
  <c r="S6" i="1"/>
  <c r="S7" i="1"/>
  <c r="S19" i="1"/>
  <c r="S121" i="1"/>
  <c r="S16" i="1"/>
  <c r="S117" i="1"/>
  <c r="S5" i="1"/>
  <c r="S17" i="1"/>
  <c r="S119" i="1"/>
  <c r="S4" i="1"/>
  <c r="S153" i="1"/>
  <c r="S18" i="1"/>
  <c r="S120" i="1"/>
  <c r="S8" i="1"/>
  <c r="S33" i="1"/>
  <c r="S128" i="1"/>
  <c r="S9" i="1"/>
  <c r="S102" i="1"/>
  <c r="S10" i="1"/>
  <c r="S103" i="1"/>
  <c r="S11" i="1"/>
  <c r="S105" i="1"/>
  <c r="S12" i="1"/>
  <c r="S106" i="1"/>
  <c r="S148" i="1"/>
  <c r="S13" i="1"/>
  <c r="S149" i="1"/>
  <c r="S14" i="1"/>
  <c r="S111" i="1"/>
  <c r="S150" i="1"/>
  <c r="S3" i="1"/>
  <c r="S15" i="1"/>
  <c r="S112" i="1"/>
  <c r="S151" i="1"/>
  <c r="X16" i="2"/>
  <c r="X119" i="2"/>
  <c r="X135" i="2"/>
  <c r="X137" i="2"/>
  <c r="X138" i="2"/>
  <c r="X147" i="2"/>
  <c r="X155" i="2"/>
  <c r="X36" i="2"/>
  <c r="S61" i="1"/>
  <c r="S75" i="1"/>
  <c r="S80" i="1"/>
  <c r="S82" i="1"/>
  <c r="S107" i="1"/>
  <c r="S24" i="1"/>
  <c r="S113" i="1"/>
  <c r="S93" i="1"/>
  <c r="S25" i="1"/>
  <c r="S109" i="1"/>
  <c r="S79" i="1"/>
  <c r="S36" i="1"/>
  <c r="S66" i="1"/>
  <c r="S83" i="1"/>
  <c r="S73" i="1"/>
  <c r="S23" i="1"/>
  <c r="S60" i="1"/>
  <c r="S74" i="1"/>
  <c r="S35" i="1"/>
  <c r="S65" i="1"/>
  <c r="S77" i="1"/>
  <c r="S116" i="1"/>
  <c r="S91" i="1"/>
  <c r="S59" i="1"/>
  <c r="S76" i="1"/>
  <c r="S62" i="1"/>
  <c r="S68" i="1"/>
  <c r="S97" i="1"/>
  <c r="S57" i="1"/>
  <c r="S71" i="1"/>
  <c r="S99" i="1"/>
  <c r="S137" i="1"/>
  <c r="S38" i="1"/>
  <c r="S136" i="1"/>
  <c r="S58" i="1"/>
  <c r="S72" i="1"/>
  <c r="S100" i="1"/>
  <c r="S27" i="1"/>
  <c r="S63" i="1"/>
  <c r="S78" i="1"/>
  <c r="S64" i="1"/>
  <c r="S37" i="1"/>
  <c r="S67" i="1"/>
  <c r="S81" i="1"/>
  <c r="S88" i="1"/>
  <c r="S86" i="1"/>
  <c r="S114" i="1"/>
  <c r="S94" i="1"/>
  <c r="R50" i="1"/>
  <c r="R132" i="1"/>
  <c r="R146" i="1"/>
  <c r="R36" i="1"/>
  <c r="R98" i="1"/>
  <c r="R51" i="1"/>
  <c r="R99" i="1"/>
  <c r="R64" i="1"/>
  <c r="R76" i="1"/>
  <c r="R112" i="1"/>
  <c r="R52" i="1"/>
  <c r="R88" i="1"/>
  <c r="R100" i="1"/>
  <c r="R124" i="1"/>
  <c r="R136" i="1"/>
  <c r="R148" i="1"/>
  <c r="R83" i="1"/>
  <c r="R84" i="1"/>
  <c r="R3" i="1"/>
  <c r="R5" i="1"/>
  <c r="R17" i="1"/>
  <c r="R19" i="1"/>
  <c r="R29" i="1"/>
  <c r="R35" i="1"/>
  <c r="R41" i="1"/>
  <c r="R53" i="1"/>
  <c r="R65" i="1"/>
  <c r="R67" i="1"/>
  <c r="R78" i="1"/>
  <c r="R89" i="1"/>
  <c r="R101" i="1"/>
  <c r="R113" i="1"/>
  <c r="R115" i="1"/>
  <c r="R125" i="1"/>
  <c r="R131" i="1"/>
  <c r="R137" i="1"/>
  <c r="R147" i="1"/>
  <c r="R149" i="1"/>
  <c r="R21" i="1"/>
  <c r="R69" i="1"/>
  <c r="R117" i="1"/>
  <c r="R10" i="1"/>
  <c r="R22" i="1"/>
  <c r="R34" i="1"/>
  <c r="R13" i="1"/>
  <c r="R25" i="1"/>
  <c r="R37" i="1"/>
  <c r="R61" i="1"/>
  <c r="R73" i="1"/>
  <c r="R85" i="1"/>
  <c r="R109" i="1"/>
  <c r="R119" i="1"/>
  <c r="R121" i="1"/>
  <c r="R133" i="1"/>
  <c r="R141" i="1"/>
  <c r="R153" i="1"/>
  <c r="R157" i="1"/>
  <c r="R14" i="1"/>
  <c r="R26" i="1"/>
  <c r="R38" i="1"/>
  <c r="R48" i="1"/>
  <c r="R62" i="1"/>
  <c r="R74" i="1"/>
  <c r="R86" i="1"/>
  <c r="R96" i="1"/>
  <c r="R110" i="1"/>
  <c r="R122" i="1"/>
  <c r="R134" i="1"/>
  <c r="R144" i="1"/>
  <c r="R158" i="1"/>
  <c r="R33" i="1"/>
  <c r="R47" i="1"/>
  <c r="R49" i="1"/>
  <c r="R81" i="1"/>
  <c r="R95" i="1"/>
  <c r="R97" i="1"/>
  <c r="R129" i="1"/>
  <c r="R143" i="1"/>
  <c r="R145" i="1"/>
  <c r="R4" i="1"/>
  <c r="R16" i="1"/>
  <c r="R28" i="1"/>
  <c r="R40" i="1"/>
  <c r="R9" i="1"/>
  <c r="R11" i="1"/>
  <c r="R23" i="1"/>
  <c r="R45" i="1"/>
  <c r="R57" i="1"/>
  <c r="R59" i="1"/>
  <c r="R71" i="1"/>
  <c r="R93" i="1"/>
  <c r="R105" i="1"/>
  <c r="R107" i="1"/>
  <c r="R155" i="1"/>
  <c r="R12" i="1"/>
  <c r="R24" i="1"/>
  <c r="R60" i="1"/>
  <c r="R72" i="1"/>
  <c r="R108" i="1"/>
  <c r="R120" i="1"/>
  <c r="R156" i="1"/>
  <c r="R15" i="1"/>
  <c r="R27" i="1"/>
  <c r="R39" i="1"/>
  <c r="R63" i="1"/>
  <c r="R75" i="1"/>
  <c r="R87" i="1"/>
  <c r="R111" i="1"/>
  <c r="R123" i="1"/>
  <c r="R135" i="1"/>
  <c r="R159" i="1"/>
  <c r="R6" i="1"/>
  <c r="R18" i="1"/>
  <c r="R30" i="1"/>
  <c r="R42" i="1"/>
  <c r="R54" i="1"/>
  <c r="R66" i="1"/>
  <c r="R79" i="1"/>
  <c r="R90" i="1"/>
  <c r="R102" i="1"/>
  <c r="R114" i="1"/>
  <c r="R126" i="1"/>
  <c r="R138" i="1"/>
  <c r="R150" i="1"/>
  <c r="R7" i="1"/>
  <c r="R31" i="1"/>
  <c r="R43" i="1"/>
  <c r="R55" i="1"/>
  <c r="R77" i="1"/>
  <c r="R91" i="1"/>
  <c r="R103" i="1"/>
  <c r="R127" i="1"/>
  <c r="R139" i="1"/>
  <c r="R151" i="1"/>
  <c r="R8" i="1"/>
  <c r="R20" i="1"/>
  <c r="R32" i="1"/>
  <c r="R44" i="1"/>
  <c r="R56" i="1"/>
  <c r="R68" i="1"/>
  <c r="R80" i="1"/>
  <c r="R92" i="1"/>
  <c r="R104" i="1"/>
  <c r="R116" i="1"/>
  <c r="R128" i="1"/>
  <c r="R140" i="1"/>
  <c r="R152" i="1"/>
  <c r="R46" i="1"/>
  <c r="R58" i="1"/>
  <c r="R70" i="1"/>
  <c r="R82" i="1"/>
  <c r="R94" i="1"/>
  <c r="R106" i="1"/>
  <c r="R118" i="1"/>
  <c r="R130" i="1"/>
  <c r="R142" i="1"/>
  <c r="R154" i="1"/>
  <c r="W16" i="2"/>
  <c r="W89" i="2"/>
  <c r="W17" i="2"/>
  <c r="W18" i="2"/>
  <c r="W123" i="2"/>
  <c r="W19" i="2"/>
  <c r="W20" i="2"/>
  <c r="W90" i="2"/>
  <c r="W43" i="2"/>
  <c r="W91" i="2"/>
  <c r="W124" i="2"/>
  <c r="W92" i="2"/>
  <c r="W21" i="2"/>
  <c r="W44" i="2"/>
  <c r="W45" i="2"/>
  <c r="W46" i="2"/>
  <c r="W22" i="2"/>
  <c r="W47" i="2"/>
  <c r="W93" i="2"/>
  <c r="W23" i="2"/>
  <c r="W94" i="2"/>
  <c r="W125" i="2"/>
  <c r="W24" i="2"/>
  <c r="W48" i="2"/>
  <c r="W126" i="2"/>
  <c r="W49" i="2"/>
  <c r="W50" i="2"/>
  <c r="W51" i="2"/>
  <c r="W95" i="2"/>
  <c r="W96" i="2"/>
  <c r="W25" i="2"/>
  <c r="W31" i="2"/>
  <c r="W127" i="2"/>
  <c r="W97" i="2"/>
  <c r="W52" i="2"/>
  <c r="W53" i="2"/>
  <c r="W54" i="2"/>
  <c r="W55" i="2"/>
  <c r="W128" i="2"/>
  <c r="W129" i="2"/>
  <c r="W130" i="2"/>
  <c r="W56" i="2"/>
  <c r="W32" i="2"/>
  <c r="W57" i="2"/>
  <c r="W83" i="2"/>
  <c r="W84" i="2"/>
  <c r="W111" i="2"/>
  <c r="W119" i="2"/>
  <c r="W139" i="2"/>
  <c r="W140" i="2"/>
  <c r="W155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26" i="2"/>
  <c r="W27" i="2"/>
  <c r="W28" i="2"/>
  <c r="W29" i="2"/>
  <c r="W33" i="2"/>
  <c r="W34" i="2"/>
  <c r="W35" i="2"/>
  <c r="W36" i="2"/>
  <c r="W37" i="2"/>
  <c r="W38" i="2"/>
  <c r="W39" i="2"/>
  <c r="W40" i="2"/>
  <c r="W42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98" i="2"/>
  <c r="W85" i="2"/>
  <c r="W104" i="2"/>
  <c r="W107" i="2"/>
  <c r="W109" i="2"/>
  <c r="W113" i="2"/>
  <c r="W116" i="2"/>
  <c r="W132" i="2"/>
  <c r="W133" i="2"/>
  <c r="W143" i="2"/>
  <c r="W144" i="2"/>
  <c r="W145" i="2"/>
  <c r="W153" i="2"/>
  <c r="W156" i="2"/>
  <c r="W88" i="2"/>
  <c r="W99" i="2"/>
  <c r="W86" i="2"/>
  <c r="W87" i="2"/>
  <c r="W100" i="2"/>
  <c r="W101" i="2"/>
  <c r="W102" i="2"/>
  <c r="W103" i="2"/>
  <c r="W105" i="2"/>
  <c r="W106" i="2"/>
  <c r="W108" i="2"/>
  <c r="W110" i="2"/>
  <c r="W112" i="2"/>
  <c r="W114" i="2"/>
  <c r="W115" i="2"/>
  <c r="W117" i="2"/>
  <c r="W118" i="2"/>
  <c r="W120" i="2"/>
  <c r="W121" i="2"/>
  <c r="W122" i="2"/>
  <c r="W131" i="2"/>
  <c r="W134" i="2"/>
  <c r="W135" i="2"/>
  <c r="W136" i="2"/>
  <c r="W137" i="2"/>
  <c r="W138" i="2"/>
  <c r="W141" i="2"/>
  <c r="W142" i="2"/>
  <c r="W146" i="2"/>
  <c r="W147" i="2"/>
  <c r="W148" i="2"/>
  <c r="W149" i="2"/>
  <c r="W150" i="2"/>
  <c r="W151" i="2"/>
  <c r="W152" i="2"/>
  <c r="W154" i="2"/>
  <c r="W157" i="2"/>
  <c r="R8" i="3"/>
  <c r="R9" i="3"/>
  <c r="R3" i="3"/>
  <c r="R7" i="3"/>
  <c r="R4" i="3"/>
  <c r="R5" i="3"/>
  <c r="R6" i="3"/>
  <c r="Q125" i="1"/>
  <c r="Q131" i="1"/>
  <c r="Q26" i="1"/>
  <c r="Q59" i="1"/>
  <c r="V46" i="2"/>
  <c r="V99" i="2"/>
  <c r="V103" i="2"/>
  <c r="V133" i="2"/>
  <c r="V18" i="2"/>
  <c r="V66" i="2"/>
  <c r="V70" i="2"/>
  <c r="V7" i="2"/>
  <c r="V150" i="2"/>
  <c r="V19" i="2"/>
  <c r="V115" i="2"/>
  <c r="V116" i="2"/>
  <c r="V14" i="2"/>
  <c r="V27" i="2"/>
  <c r="V29" i="2"/>
  <c r="V56" i="2"/>
  <c r="V118" i="2"/>
  <c r="V113" i="2"/>
  <c r="V8" i="2"/>
  <c r="V11" i="2"/>
  <c r="V130" i="2"/>
  <c r="V107" i="2"/>
  <c r="Q4" i="3"/>
  <c r="Q8" i="3"/>
  <c r="Q3" i="3"/>
  <c r="Q9" i="3"/>
  <c r="Q6" i="3"/>
  <c r="Q5" i="3"/>
  <c r="Q7" i="3"/>
  <c r="Q16" i="1"/>
  <c r="Q156" i="1"/>
  <c r="Q115" i="1"/>
  <c r="Q118" i="1"/>
  <c r="Q95" i="1"/>
  <c r="Q129" i="1"/>
  <c r="Q134" i="1"/>
  <c r="Q20" i="1"/>
  <c r="Q75" i="1"/>
  <c r="Q96" i="1"/>
  <c r="Q97" i="1"/>
  <c r="Q99" i="1"/>
  <c r="Q33" i="1"/>
  <c r="Q127" i="1"/>
  <c r="Q128" i="1"/>
  <c r="Q12" i="1"/>
  <c r="Q122" i="1"/>
  <c r="Q55" i="1"/>
  <c r="Q120" i="1"/>
  <c r="Q157" i="1"/>
  <c r="Q89" i="1"/>
  <c r="Q144" i="1"/>
  <c r="Q35" i="1"/>
  <c r="Q37" i="1"/>
  <c r="Q31" i="1"/>
  <c r="Q32" i="1"/>
  <c r="Q83" i="1"/>
  <c r="Q85" i="1"/>
  <c r="Q112" i="1"/>
  <c r="Q133" i="1"/>
  <c r="Q63" i="1"/>
  <c r="Q72" i="1"/>
  <c r="Q86" i="1"/>
  <c r="Q138" i="1"/>
  <c r="Q105" i="1"/>
  <c r="Q90" i="1"/>
  <c r="Q143" i="1"/>
  <c r="Q38" i="1"/>
  <c r="Q22" i="1"/>
  <c r="V45" i="2"/>
  <c r="V32" i="2"/>
  <c r="V48" i="2"/>
  <c r="V16" i="2"/>
  <c r="V93" i="2"/>
  <c r="V96" i="2"/>
  <c r="V43" i="2"/>
  <c r="V127" i="2"/>
  <c r="V74" i="2"/>
  <c r="V102" i="2"/>
  <c r="V145" i="2"/>
  <c r="V55" i="2"/>
  <c r="V109" i="2"/>
  <c r="V110" i="2"/>
  <c r="V97" i="2"/>
  <c r="V23" i="2"/>
  <c r="V49" i="2"/>
  <c r="V69" i="2"/>
  <c r="V44" i="2"/>
  <c r="V22" i="2"/>
  <c r="V24" i="2"/>
  <c r="V50" i="2"/>
  <c r="V89" i="2"/>
  <c r="V63" i="2"/>
  <c r="V20" i="2"/>
  <c r="V91" i="2"/>
  <c r="V126" i="2"/>
  <c r="V125" i="2"/>
  <c r="V129" i="2"/>
  <c r="V38" i="2"/>
  <c r="V112" i="2"/>
  <c r="V138" i="2"/>
  <c r="V10" i="2"/>
  <c r="V39" i="2"/>
  <c r="V76" i="2"/>
  <c r="V98" i="2"/>
  <c r="V85" i="2"/>
  <c r="V119" i="2"/>
  <c r="V151" i="2"/>
  <c r="V156" i="2"/>
  <c r="V136" i="2"/>
  <c r="V5" i="2"/>
  <c r="V34" i="2"/>
  <c r="V106" i="2"/>
  <c r="V67" i="2"/>
  <c r="V73" i="2"/>
  <c r="V137" i="2"/>
  <c r="V58" i="2"/>
  <c r="V59" i="2"/>
  <c r="V100" i="2"/>
  <c r="V153" i="2"/>
  <c r="V35" i="2"/>
  <c r="V128" i="2"/>
  <c r="V121" i="2"/>
  <c r="V52" i="2"/>
  <c r="V9" i="2"/>
  <c r="V13" i="2"/>
  <c r="V28" i="2"/>
  <c r="V86" i="2"/>
  <c r="V31" i="2"/>
  <c r="V132" i="2"/>
  <c r="V54" i="2"/>
  <c r="V141" i="2"/>
  <c r="V17" i="2"/>
  <c r="V51" i="2"/>
  <c r="V144" i="2"/>
  <c r="V90" i="2"/>
  <c r="V21" i="2"/>
  <c r="V95" i="2"/>
  <c r="V122" i="2"/>
  <c r="V75" i="2"/>
  <c r="V152" i="2"/>
  <c r="V157" i="2"/>
  <c r="V42" i="2"/>
  <c r="V148" i="2"/>
  <c r="V57" i="2"/>
  <c r="V83" i="2"/>
  <c r="V53" i="2"/>
  <c r="V92" i="2"/>
  <c r="V94" i="2"/>
  <c r="V124" i="2"/>
  <c r="V25" i="2"/>
  <c r="V3" i="2"/>
  <c r="V62" i="2"/>
  <c r="V114" i="2"/>
  <c r="V139" i="2"/>
  <c r="V140" i="2"/>
  <c r="V147" i="2"/>
  <c r="V47" i="2"/>
  <c r="V123" i="2"/>
  <c r="V26" i="2"/>
  <c r="V61" i="2"/>
  <c r="V149" i="2"/>
  <c r="V15" i="2"/>
  <c r="V87" i="2"/>
  <c r="V111" i="2"/>
  <c r="V134" i="2"/>
  <c r="V4" i="2"/>
  <c r="V40" i="2"/>
  <c r="V60" i="2"/>
  <c r="V72" i="2"/>
  <c r="V64" i="2"/>
  <c r="V84" i="2"/>
  <c r="V154" i="2"/>
  <c r="V155" i="2"/>
  <c r="V12" i="2"/>
  <c r="V33" i="2"/>
  <c r="V37" i="2"/>
  <c r="V104" i="2"/>
  <c r="V108" i="2"/>
  <c r="V143" i="2"/>
  <c r="V88" i="2"/>
  <c r="V36" i="2"/>
  <c r="V101" i="2"/>
  <c r="V105" i="2"/>
  <c r="V135" i="2"/>
  <c r="V142" i="2"/>
  <c r="V146" i="2"/>
  <c r="V6" i="2"/>
  <c r="V71" i="2"/>
  <c r="V131" i="2"/>
  <c r="V68" i="2"/>
  <c r="V120" i="2"/>
  <c r="V65" i="2"/>
  <c r="V117" i="2"/>
  <c r="Q42" i="1"/>
  <c r="Q151" i="1"/>
  <c r="Q155" i="1"/>
  <c r="Q121" i="1"/>
  <c r="Q61" i="1"/>
  <c r="Q136" i="1"/>
  <c r="Q142" i="1"/>
  <c r="Q148" i="1"/>
  <c r="Q56" i="1"/>
  <c r="Q58" i="1"/>
  <c r="Q48" i="1"/>
  <c r="Q7" i="1"/>
  <c r="Q19" i="1"/>
  <c r="Q28" i="1"/>
  <c r="Q36" i="1"/>
  <c r="Q46" i="1"/>
  <c r="Q8" i="1"/>
  <c r="Q27" i="1"/>
  <c r="Q98" i="1"/>
  <c r="Q30" i="1"/>
  <c r="Q100" i="1"/>
  <c r="Q52" i="1"/>
  <c r="Q57" i="1"/>
  <c r="Q111" i="1"/>
  <c r="Q119" i="1"/>
  <c r="Q124" i="1"/>
  <c r="Q15" i="1"/>
  <c r="Q25" i="1"/>
  <c r="Q67" i="1"/>
  <c r="Q68" i="1"/>
  <c r="Q137" i="1"/>
  <c r="Q159" i="1"/>
  <c r="Q62" i="1"/>
  <c r="Q73" i="1"/>
  <c r="Q79" i="1"/>
  <c r="Q6" i="1"/>
  <c r="Q10" i="1"/>
  <c r="Q14" i="1"/>
  <c r="Q44" i="1"/>
  <c r="Q123" i="1"/>
  <c r="Q132" i="1"/>
  <c r="Q141" i="1"/>
  <c r="Q154" i="1"/>
  <c r="Q40" i="1"/>
  <c r="Q50" i="1"/>
  <c r="Q66" i="1"/>
  <c r="Q70" i="1"/>
  <c r="Q102" i="1"/>
  <c r="Q146" i="1"/>
  <c r="Q147" i="1"/>
  <c r="Q9" i="1"/>
  <c r="Q13" i="1"/>
  <c r="Q43" i="1"/>
  <c r="Q80" i="1"/>
  <c r="Q87" i="1"/>
  <c r="Q153" i="1"/>
  <c r="Q49" i="1"/>
  <c r="Q65" i="1"/>
  <c r="Q101" i="1"/>
  <c r="Q130" i="1"/>
  <c r="Q145" i="1"/>
  <c r="Q3" i="1"/>
  <c r="Q93" i="1"/>
  <c r="Q158" i="1"/>
  <c r="Q17" i="1"/>
  <c r="Q45" i="1"/>
  <c r="Q82" i="1"/>
  <c r="Q107" i="1"/>
  <c r="Q51" i="1"/>
  <c r="Q108" i="1"/>
  <c r="Q11" i="1"/>
  <c r="Q21" i="1"/>
  <c r="Q23" i="1"/>
  <c r="Q69" i="1"/>
  <c r="Q71" i="1"/>
  <c r="Q78" i="1"/>
  <c r="Q109" i="1"/>
  <c r="Q149" i="1"/>
  <c r="Q150" i="1"/>
  <c r="Q39" i="1"/>
  <c r="Q92" i="1"/>
  <c r="Q4" i="1"/>
  <c r="Q18" i="1"/>
  <c r="Q29" i="1"/>
  <c r="Q106" i="1"/>
  <c r="Q139" i="1"/>
  <c r="Q47" i="1"/>
  <c r="Q34" i="1"/>
  <c r="Q60" i="1"/>
  <c r="Q74" i="1"/>
  <c r="Q91" i="1"/>
  <c r="Q41" i="1"/>
  <c r="Q77" i="1"/>
  <c r="Q113" i="1"/>
  <c r="Q126" i="1"/>
  <c r="Q54" i="1"/>
  <c r="Q64" i="1"/>
  <c r="Q88" i="1"/>
  <c r="Q114" i="1"/>
  <c r="Q135" i="1"/>
  <c r="Q24" i="1"/>
  <c r="Q84" i="1"/>
  <c r="Q140" i="1"/>
  <c r="Q152" i="1"/>
  <c r="Q5" i="1"/>
  <c r="Q53" i="1"/>
  <c r="Q76" i="1"/>
  <c r="Q81" i="1"/>
  <c r="Q110" i="1"/>
  <c r="Q104" i="1"/>
  <c r="Q103" i="1"/>
  <c r="Q94" i="1"/>
  <c r="Q116" i="1"/>
  <c r="Q117" i="1"/>
  <c r="V1" i="2" l="1"/>
  <c r="BF1" i="1"/>
  <c r="W1" i="2"/>
  <c r="Q1" i="1"/>
  <c r="R1" i="1"/>
  <c r="AL1" i="3"/>
  <c r="BZ1" i="3"/>
  <c r="BX1" i="3"/>
  <c r="W1" i="3"/>
  <c r="BA1" i="3"/>
  <c r="BN1" i="3"/>
  <c r="AF1" i="3"/>
  <c r="Z1" i="3"/>
  <c r="BD1" i="3"/>
  <c r="AO1" i="3"/>
  <c r="BS1" i="3"/>
  <c r="AQ1" i="3"/>
  <c r="BU1" i="3"/>
  <c r="AY1" i="3"/>
  <c r="AB1" i="3"/>
  <c r="BF1" i="3"/>
  <c r="AJ1" i="3"/>
  <c r="BP1" i="3"/>
  <c r="AV1" i="3"/>
  <c r="AE1" i="3"/>
  <c r="BI1" i="3"/>
  <c r="AT1" i="3"/>
  <c r="U1" i="3"/>
  <c r="BK1" i="3"/>
  <c r="AG1" i="3"/>
  <c r="Q1" i="3" l="1"/>
  <c r="R1" i="3"/>
  <c r="S89" i="1" l="1"/>
  <c r="S90" i="1"/>
  <c r="S85" i="1"/>
  <c r="S92" i="1"/>
  <c r="S84" i="1"/>
  <c r="S34" i="1"/>
  <c r="S118" i="1"/>
  <c r="S108" i="1"/>
  <c r="S115" i="1"/>
  <c r="S104" i="1"/>
  <c r="X141" i="2" l="1"/>
  <c r="X124" i="2"/>
  <c r="X123" i="2"/>
  <c r="X131" i="2"/>
  <c r="X134" i="2"/>
  <c r="X127" i="2"/>
  <c r="X120" i="2" l="1"/>
  <c r="X1" i="2"/>
  <c r="S145" i="1" l="1"/>
  <c r="S110" i="1"/>
  <c r="S146" i="1"/>
  <c r="S147" i="1"/>
  <c r="S1" i="1" l="1"/>
</calcChain>
</file>

<file path=xl/sharedStrings.xml><?xml version="1.0" encoding="utf-8"?>
<sst xmlns="http://schemas.openxmlformats.org/spreadsheetml/2006/main" count="4544" uniqueCount="619">
  <si>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</si>
  <si>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</si>
  <si>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</si>
  <si>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</si>
  <si>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</si>
  <si>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</si>
  <si>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</si>
  <si>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</si>
  <si>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</si>
  <si>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</si>
  <si>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</si>
  <si>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</si>
  <si>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</si>
  <si>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</si>
  <si>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</si>
  <si>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</si>
  <si>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</si>
  <si>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</si>
  <si>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</si>
  <si>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</si>
  <si>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</si>
  <si>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</si>
  <si>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</si>
  <si>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</si>
  <si>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</si>
  <si>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</si>
  <si>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</si>
  <si>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</si>
  <si>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</si>
  <si>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</si>
  <si>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</si>
  <si>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</si>
  <si>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</si>
  <si>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</si>
  <si>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</si>
  <si>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</si>
  <si>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</si>
  <si>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</si>
  <si>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</si>
  <si>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</si>
  <si>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</si>
  <si>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</si>
  <si>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</si>
  <si>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</si>
  <si>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</si>
  <si>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</si>
  <si>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</si>
  <si>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</si>
  <si>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</si>
  <si>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</si>
  <si>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</si>
  <si>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</si>
  <si>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</si>
  <si>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</si>
  <si>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</si>
  <si>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</si>
  <si>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</si>
  <si>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</si>
  <si>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</si>
  <si>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</si>
  <si>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</si>
  <si>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</si>
  <si>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</si>
  <si>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</si>
  <si>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</si>
  <si>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</si>
  <si>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</si>
  <si>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</si>
  <si>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</si>
  <si>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</si>
  <si>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</si>
  <si>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</si>
  <si>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</si>
  <si>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</si>
  <si>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</si>
  <si>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</si>
  <si>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</si>
  <si>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</si>
  <si>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</si>
  <si>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</si>
  <si>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</si>
  <si>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</si>
  <si>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</si>
  <si>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</si>
  <si>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R5F104BCAFP#10</t>
  </si>
  <si>
    <t>Shraddha</t>
  </si>
  <si>
    <t>Mahesha</t>
  </si>
  <si>
    <t>NICHICON</t>
  </si>
  <si>
    <t>Abhinandan</t>
  </si>
  <si>
    <t>Vikram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</si>
  <si>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</si>
  <si>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</si>
  <si>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</si>
  <si>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</si>
  <si>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</si>
  <si>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</si>
  <si>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</si>
  <si>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</si>
  <si>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MMTL431AR</t>
  </si>
  <si>
    <t>EVE</t>
  </si>
  <si>
    <t>Manju N</t>
  </si>
  <si>
    <t>HIROSE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</si>
  <si>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</si>
  <si>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</si>
  <si>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</si>
  <si>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</si>
  <si>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</si>
  <si>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</si>
  <si>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</si>
  <si>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</si>
  <si>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</si>
  <si>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 xml:space="preserve">N priya </t>
  </si>
  <si>
    <t>Uma</t>
  </si>
  <si>
    <t>All Month Budget Qty In K</t>
  </si>
  <si>
    <t>PANASONIC</t>
  </si>
  <si>
    <t>Anbarasu</t>
  </si>
  <si>
    <t>Varsha</t>
  </si>
  <si>
    <t>MURATA</t>
  </si>
  <si>
    <t>Anita</t>
  </si>
  <si>
    <t>Dialog -RENESAS</t>
  </si>
  <si>
    <t>US1M</t>
  </si>
  <si>
    <t>BAV99</t>
  </si>
  <si>
    <t>ATTEND</t>
  </si>
  <si>
    <t>ERJ3EKF1003V</t>
  </si>
  <si>
    <t>EPCOS</t>
  </si>
  <si>
    <t>Suchitra</t>
  </si>
  <si>
    <t>EVPASDC1A</t>
  </si>
  <si>
    <t>GUJARAT</t>
  </si>
  <si>
    <t>ROHM</t>
  </si>
  <si>
    <t>Vivek</t>
  </si>
  <si>
    <t>Navya</t>
  </si>
  <si>
    <t>BD9G401EFJ-ME2</t>
  </si>
  <si>
    <t>INTERSIL-RENESAS</t>
  </si>
  <si>
    <t>BCX56-16</t>
  </si>
  <si>
    <t>R5F102A8ASP#10</t>
  </si>
  <si>
    <t>R5F1026AASP#55</t>
  </si>
  <si>
    <t>Tanuja</t>
  </si>
  <si>
    <t>MMFTN2362-Q</t>
  </si>
  <si>
    <t>TDK</t>
  </si>
  <si>
    <t>S1M-Q</t>
  </si>
  <si>
    <t>SL1M-Q</t>
  </si>
  <si>
    <t>ERZHF2M220F</t>
  </si>
  <si>
    <t>EEEFT1H470AP</t>
  </si>
  <si>
    <t>1N4148W</t>
  </si>
  <si>
    <t>R5F100ACASP#50</t>
  </si>
  <si>
    <t>DEKI</t>
  </si>
  <si>
    <t>Manju/Pavan</t>
  </si>
  <si>
    <t>R5F100GEAFB#10</t>
  </si>
  <si>
    <t>N Priya</t>
  </si>
  <si>
    <t>TAIWAN SEMI</t>
  </si>
  <si>
    <t xml:space="preserve">Gaurav Mann </t>
  </si>
  <si>
    <t>R5F12068ASP#50</t>
  </si>
  <si>
    <t>ECS</t>
  </si>
  <si>
    <t>Others</t>
  </si>
  <si>
    <t>ERZHF2M220D</t>
  </si>
  <si>
    <t>ABLIC</t>
  </si>
  <si>
    <t>Priyanka N</t>
  </si>
  <si>
    <t>M7, T/R</t>
  </si>
  <si>
    <t>S5M</t>
  </si>
  <si>
    <t>MMBTA42</t>
  </si>
  <si>
    <t>Sinouvassane</t>
  </si>
  <si>
    <t>S1M</t>
  </si>
  <si>
    <t>BC847C</t>
  </si>
  <si>
    <t>BETTERFUSE</t>
  </si>
  <si>
    <t>Veeru</t>
  </si>
  <si>
    <t>2SD1815SR-Q</t>
  </si>
  <si>
    <t>FCL</t>
  </si>
  <si>
    <t>SL1M-AQ</t>
  </si>
  <si>
    <t>SEIKO INSTRUMENTS</t>
  </si>
  <si>
    <t>VT200F-12.5PF20PPM</t>
  </si>
  <si>
    <t>AOD66920</t>
  </si>
  <si>
    <t>10000 Nos CSD is TBA</t>
  </si>
  <si>
    <t>20000 Nos CSD is TBA</t>
  </si>
  <si>
    <t>40000 Nos CSD is TBA</t>
  </si>
  <si>
    <t>Automotive</t>
  </si>
  <si>
    <t>Industrial</t>
  </si>
  <si>
    <t>YC0003AA</t>
  </si>
  <si>
    <t>AATC</t>
  </si>
  <si>
    <t>Others-Industrial</t>
  </si>
  <si>
    <t>LGG2W681MELHZS</t>
  </si>
  <si>
    <t>SUMIDA</t>
  </si>
  <si>
    <t>Meter &amp; Measurement</t>
  </si>
  <si>
    <t>R5F11TLGDFB#15</t>
  </si>
  <si>
    <t>R5F121BCAFP#50</t>
  </si>
  <si>
    <t>R5F100LEAFA#10</t>
  </si>
  <si>
    <t>Automotive Lighting</t>
  </si>
  <si>
    <t>KORCHIP</t>
  </si>
  <si>
    <t>Others-Automotive</t>
  </si>
  <si>
    <t>CGA5L1X7R1H106K160AC</t>
  </si>
  <si>
    <t>ACT45C-510-2P-TL000</t>
  </si>
  <si>
    <t>MERCURY</t>
  </si>
  <si>
    <t>Telecom</t>
  </si>
  <si>
    <t>Others Telecom</t>
  </si>
  <si>
    <t>LUYOUFA</t>
  </si>
  <si>
    <t>R5F12048ASP#50</t>
  </si>
  <si>
    <t>R5F102A8ASP#50</t>
  </si>
  <si>
    <t>Poonam Kashyap</t>
  </si>
  <si>
    <t>ACT1210-101-2P-TL00</t>
  </si>
  <si>
    <t>Cluster</t>
  </si>
  <si>
    <t>LINK-PP</t>
  </si>
  <si>
    <t>MS621FE-FL11E</t>
  </si>
  <si>
    <t>GRT21BR61H475KE13L</t>
  </si>
  <si>
    <t xml:space="preserve">All Month Budget (B) Values In K </t>
  </si>
  <si>
    <t xml:space="preserve">All Month Budget (B) Value in K </t>
  </si>
  <si>
    <t>12000 Nos CSD is TBA</t>
  </si>
  <si>
    <t>60000 Nos CSD is TBA</t>
  </si>
  <si>
    <t>2500 Nos CSD is TBA</t>
  </si>
  <si>
    <t xml:space="preserve">Sale person Name </t>
  </si>
  <si>
    <t>ATHER ENERGY LIMITED</t>
  </si>
  <si>
    <t>S2M</t>
  </si>
  <si>
    <t>CR2032/CKP</t>
  </si>
  <si>
    <t>GOFORD</t>
  </si>
  <si>
    <t>CR2032 - PLAIN</t>
  </si>
  <si>
    <t>NEW</t>
  </si>
  <si>
    <t xml:space="preserve">VISHAY </t>
  </si>
  <si>
    <t>YAGEO</t>
  </si>
  <si>
    <t>CR2032AKW</t>
  </si>
  <si>
    <t>EC200UCNAD-N05-SNNSI</t>
  </si>
  <si>
    <t>TM12864H6CCGWA-1</t>
  </si>
  <si>
    <t>1N4148WS</t>
  </si>
  <si>
    <t>115U-A103</t>
  </si>
  <si>
    <t>TM12864H6CCGWA-1#01</t>
  </si>
  <si>
    <t>S3M-Q</t>
  </si>
  <si>
    <t>M7</t>
  </si>
  <si>
    <t>EG800AKCN11LC-4I-SNNSI</t>
  </si>
  <si>
    <t>NUP2105L</t>
  </si>
  <si>
    <t>1000 Nos CSD is TBA</t>
  </si>
  <si>
    <t>R7FS5D97E3A01CFC#AA0</t>
  </si>
  <si>
    <t>AM1081-1</t>
  </si>
  <si>
    <t>UCS2W220MHD</t>
  </si>
  <si>
    <t>R5F104BAAFP#10</t>
  </si>
  <si>
    <t>UCM1H101MCL1GS</t>
  </si>
  <si>
    <t>COMCHIP</t>
  </si>
  <si>
    <t>FH28K-10S-0.5SH</t>
  </si>
  <si>
    <t>UHW1C102MPD</t>
  </si>
  <si>
    <t>UHW1E102MPD</t>
  </si>
  <si>
    <t>GCM188R72A103KA37D</t>
  </si>
  <si>
    <t>CGA3E1X7R1C105K080AC</t>
  </si>
  <si>
    <t xml:space="preserve">Currency </t>
  </si>
  <si>
    <t>ZONE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</si>
  <si>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</si>
  <si>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</si>
  <si>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</si>
  <si>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</si>
  <si>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</si>
  <si>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</si>
  <si>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</si>
  <si>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</si>
  <si>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</si>
  <si>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</si>
  <si>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</si>
  <si>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</si>
  <si>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</si>
  <si>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</si>
  <si>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</si>
  <si>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</si>
  <si>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</si>
  <si>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</si>
  <si>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</si>
  <si>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</si>
  <si>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</si>
  <si>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KODENSHI AUK</t>
  </si>
  <si>
    <t>NORTH</t>
  </si>
  <si>
    <t>NEW DELHI</t>
  </si>
  <si>
    <t>Vinny</t>
  </si>
  <si>
    <t>DEL00052</t>
  </si>
  <si>
    <t>INDICATION INSTRUMENTS LTD</t>
  </si>
  <si>
    <t>MAHESH KUMAR MITTAL</t>
  </si>
  <si>
    <t>Prakash</t>
  </si>
  <si>
    <t>TM01118AVHSUGNA#01</t>
  </si>
  <si>
    <t>TJMS5833</t>
  </si>
  <si>
    <t>Neha</t>
  </si>
  <si>
    <t>DEL00016</t>
  </si>
  <si>
    <t>AVON METERS PRIVATE LIMITED</t>
  </si>
  <si>
    <t>Palak</t>
  </si>
  <si>
    <t>TJMS5925#01</t>
  </si>
  <si>
    <t>TJMS5926#01</t>
  </si>
  <si>
    <t>TJMS5760#02</t>
  </si>
  <si>
    <t>TJMS5890#01</t>
  </si>
  <si>
    <t>DEL00489</t>
  </si>
  <si>
    <t>HIMACHAL ENERGY PVT LTD</t>
  </si>
  <si>
    <t>4000 Nos are Hold As per Backlog file PN #: TM01118AVHSUGNA-1#01</t>
  </si>
  <si>
    <t xml:space="preserve">Masila </t>
  </si>
  <si>
    <t>Abha</t>
  </si>
  <si>
    <t>UCD1A470MCL1GS</t>
  </si>
  <si>
    <t>TSCR420CX6H RFG</t>
  </si>
  <si>
    <t>TAIYO YUDEN</t>
  </si>
  <si>
    <t>ACT32P-102-2P-TL01</t>
  </si>
  <si>
    <t>UCD1E100MCL1GS</t>
  </si>
  <si>
    <t>UCD1C221MCL1GS</t>
  </si>
  <si>
    <t>BR24G256FJ-3GTE2</t>
  </si>
  <si>
    <t>Neha Chauhan</t>
  </si>
  <si>
    <t>Masila</t>
  </si>
  <si>
    <t>SS16H</t>
  </si>
  <si>
    <t>JODING</t>
  </si>
  <si>
    <t>MKM TECHNOLOGIES PVT LTD</t>
  </si>
  <si>
    <t>R7F0C001G2DFB-C#BA0</t>
  </si>
  <si>
    <t>SST2222AMGT116</t>
  </si>
  <si>
    <t>R5F10WLDAFB#10</t>
  </si>
  <si>
    <t>PLC</t>
  </si>
  <si>
    <t>DEL01452</t>
  </si>
  <si>
    <t>AGGRESSIVE ELECTRONICS MANUFACTURING SERVICES PVT LTD</t>
  </si>
  <si>
    <t>BLM18KG601SH1D</t>
  </si>
  <si>
    <t>GCJ188R72A104KA01D</t>
  </si>
  <si>
    <t>GCM1885C2A5R0CA16D</t>
  </si>
  <si>
    <t>GCM188R71H103KA37D</t>
  </si>
  <si>
    <t>GCM21BR71A106KE22K</t>
  </si>
  <si>
    <t>GCM21BR71C475KA73K</t>
  </si>
  <si>
    <t>GCM21BR71E225KA73K</t>
  </si>
  <si>
    <t>PLT5BPH3013R7SNL</t>
  </si>
  <si>
    <t>CNA6P1X7R2A475K250AE</t>
  </si>
  <si>
    <t>UHW1E471MPDEZX</t>
  </si>
  <si>
    <t>AOZ8105CI</t>
  </si>
  <si>
    <t>CPDV4V5-HF</t>
  </si>
  <si>
    <t>ER14250/3FP</t>
  </si>
  <si>
    <t>DEL01834</t>
  </si>
  <si>
    <t>BHARAT ELECTRONICS LTD-DEL</t>
  </si>
  <si>
    <t>Anita joshi</t>
  </si>
  <si>
    <t>S-817A12ANB-CUBT2U</t>
  </si>
  <si>
    <t>DEL00030</t>
  </si>
  <si>
    <t>CONTINENTAL DEVICE INDIA PVT. LTD. (DD)</t>
  </si>
  <si>
    <t>AO3402</t>
  </si>
  <si>
    <t>EPCOS/TDK</t>
  </si>
  <si>
    <t>B32653A8222J000</t>
  </si>
  <si>
    <t xml:space="preserve">B32653A8222K000 </t>
  </si>
  <si>
    <t>AO3401A</t>
  </si>
  <si>
    <t>CHANDIGARH</t>
  </si>
  <si>
    <t>CHG00001</t>
  </si>
  <si>
    <t>CYBER LABS PVT LTD</t>
  </si>
  <si>
    <t>DEL01824</t>
  </si>
  <si>
    <t>EXICOM TELE-SYSTEMS LIMITED</t>
  </si>
  <si>
    <t>GT015N10TL</t>
  </si>
  <si>
    <t>LGG2W271MELAZS</t>
  </si>
  <si>
    <t>UHE1C331MPD</t>
  </si>
  <si>
    <t>Automotive-EV</t>
  </si>
  <si>
    <t>TM035KDGP03-00</t>
  </si>
  <si>
    <t>TJM5427-011</t>
  </si>
  <si>
    <t xml:space="preserve">BC817-16RFG </t>
  </si>
  <si>
    <t>TJM5411A-012</t>
  </si>
  <si>
    <t>UCD1K470MNL1GS</t>
  </si>
  <si>
    <t>UCD1J680MNL1GS</t>
  </si>
  <si>
    <t>TJM4999</t>
  </si>
  <si>
    <t>UMK316AC7475KLHTE</t>
  </si>
  <si>
    <t>GRT31CR61H106ME01L</t>
  </si>
  <si>
    <t>ZM4733A L0G</t>
  </si>
  <si>
    <t>CGA3E3C0G2E101JT0Y0N</t>
  </si>
  <si>
    <t>ZM4742A L0G</t>
  </si>
  <si>
    <t>CNA6P1X7R2A106K</t>
  </si>
  <si>
    <t>CGA5L1X7R2A475K160AC</t>
  </si>
  <si>
    <t xml:space="preserve">N Priya </t>
  </si>
  <si>
    <t>PAZ-UP30T27</t>
  </si>
  <si>
    <t>TJM5506#04</t>
  </si>
  <si>
    <t>UCD1H221MNL1GS</t>
  </si>
  <si>
    <t>BR24G04F-3GTE2</t>
  </si>
  <si>
    <t>FH28-60S-0.5SH/60PIN        </t>
  </si>
  <si>
    <t xml:space="preserve">TJMV463#01 </t>
  </si>
  <si>
    <t>UUX1H220MCL1GS</t>
  </si>
  <si>
    <t>GRT188R61E475KE13D</t>
  </si>
  <si>
    <t>TJM5463</t>
  </si>
  <si>
    <t>BC817-16 RFG</t>
  </si>
  <si>
    <t>UCM1E221MCL1GS</t>
  </si>
  <si>
    <t>TJM5573</t>
  </si>
  <si>
    <t>TLD8S20AH</t>
  </si>
  <si>
    <t>Hirose</t>
  </si>
  <si>
    <t>FH69-50S-0.5SH</t>
  </si>
  <si>
    <t>DEL00061</t>
  </si>
  <si>
    <t>LUMAX INDUSTRIES LIMITED</t>
  </si>
  <si>
    <t>CGA5L1X7R1H106KT0Y0N</t>
  </si>
  <si>
    <t>2SCR574D3FRATL</t>
  </si>
  <si>
    <t>CGA4J3X7R1H225KT000N</t>
  </si>
  <si>
    <t>CGA6M3X7R1H225K200AB</t>
  </si>
  <si>
    <t>CGA4F3X7S2A224K085AE</t>
  </si>
  <si>
    <t>RBR15BM60AFHTL</t>
  </si>
  <si>
    <t>PTZTFTE2512B</t>
  </si>
  <si>
    <t>Lumax Alps Alpine India Pvt. Ltd.</t>
  </si>
  <si>
    <t>BC817-25H</t>
  </si>
  <si>
    <t>RS1GLWH</t>
  </si>
  <si>
    <t>S1MLWH</t>
  </si>
  <si>
    <t>SMBJ24CAH</t>
  </si>
  <si>
    <t>TQM2N7002KCU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</si>
  <si>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</si>
  <si>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</si>
  <si>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</si>
  <si>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</si>
  <si>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</si>
  <si>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</si>
  <si>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</si>
  <si>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</si>
  <si>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</si>
  <si>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</si>
  <si>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</si>
  <si>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</si>
  <si>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</si>
  <si>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</si>
  <si>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</si>
  <si>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</si>
  <si>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CGA3E2X7R2A472K080AA</t>
  </si>
  <si>
    <t>ACT45B-510-2P-TL003</t>
  </si>
  <si>
    <t>DEL00691</t>
  </si>
  <si>
    <t>MICROMATION MOHALI E22</t>
  </si>
  <si>
    <t>R7FS3A37A3A01CFP#AA0</t>
  </si>
  <si>
    <t>R7FS3A77C3A01CFP#AA1</t>
  </si>
  <si>
    <t>DEL00069</t>
  </si>
  <si>
    <t>MINDA CORPORATION LTD</t>
  </si>
  <si>
    <t>Keyfob-EV</t>
  </si>
  <si>
    <t>CAS13D31B-472</t>
  </si>
  <si>
    <t>DEL00070</t>
  </si>
  <si>
    <t>RAA2231814GSP#HA0</t>
  </si>
  <si>
    <t>iW248-00</t>
  </si>
  <si>
    <t>R2102TC-5AD</t>
  </si>
  <si>
    <t>R903S9-4P</t>
  </si>
  <si>
    <t>R5F1026AASM#5F</t>
  </si>
  <si>
    <t>ABS10-K</t>
  </si>
  <si>
    <t>R7F0C002G2DFB</t>
  </si>
  <si>
    <t>R903V1-5P</t>
  </si>
  <si>
    <t>TJM5692</t>
  </si>
  <si>
    <t>R7F0C002G2DFB-C#BA0</t>
  </si>
  <si>
    <t>MPZ1608S600ATAH0</t>
  </si>
  <si>
    <t>DEL00758</t>
  </si>
  <si>
    <t>NEOLITE ZKW LIGHTINGS LIMITED</t>
  </si>
  <si>
    <t>CDRH127BNP-220PC</t>
  </si>
  <si>
    <t>DEL01749</t>
  </si>
  <si>
    <t>NIKHAN CONTROLS OPC PVT LTD</t>
  </si>
  <si>
    <t>NFM41CC222R2A3L</t>
  </si>
  <si>
    <t>DEL02262</t>
  </si>
  <si>
    <t>SHINE ELECTRO COMPONENTS</t>
  </si>
  <si>
    <t>R7FS7G27H3A01CFC#BA0</t>
  </si>
  <si>
    <t>GUJ00374</t>
  </si>
  <si>
    <t>STATIC CONTROL CONSULTING ENGINEERS</t>
  </si>
  <si>
    <t>EV CHARGER</t>
  </si>
  <si>
    <t>shatiq</t>
  </si>
  <si>
    <t>LPJ4012GD-ZY</t>
  </si>
  <si>
    <t>LQH5BPH470MT0L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</si>
  <si>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</si>
  <si>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</si>
  <si>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</si>
  <si>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</si>
  <si>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</si>
  <si>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</si>
  <si>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</si>
  <si>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</si>
  <si>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DEL01426</t>
  </si>
  <si>
    <t>VEETHREE ELECTRONICS AND MARINE LLC</t>
  </si>
  <si>
    <t>DEL01133</t>
  </si>
  <si>
    <t>VALIANT COMMUNICATIONS LIMITED</t>
  </si>
  <si>
    <t>JS-5F-K</t>
  </si>
  <si>
    <t>DEL02402</t>
  </si>
  <si>
    <t>CGA2B2X7R1E103K050BA</t>
  </si>
  <si>
    <t>51200 Nos CSD is APR-27 &amp; 25600 Nos CSD is MAY-27</t>
  </si>
  <si>
    <t>26000 Nos CSD is Apr-26</t>
  </si>
  <si>
    <t>Priya</t>
  </si>
  <si>
    <t>ETQ-P5M4R7YFM</t>
  </si>
  <si>
    <t>ETQP5M4R7YFM</t>
  </si>
  <si>
    <t>BZV55B2V4 L0G</t>
  </si>
  <si>
    <t>SK16-Q</t>
  </si>
  <si>
    <t>1N4148W-Q</t>
  </si>
  <si>
    <t>S2M-Q</t>
  </si>
  <si>
    <t>EM513</t>
  </si>
  <si>
    <t>BCP56-16-Q</t>
  </si>
  <si>
    <t>ZMM4.7</t>
  </si>
  <si>
    <t>EC200NCNAD-N05-SNNSI</t>
  </si>
  <si>
    <t>FUJIYAMA POWER SYSTEMS PVT. LTD-09AADCF2634F1ZU</t>
  </si>
  <si>
    <t>MMBT7002K-Q</t>
  </si>
  <si>
    <t>GBU4M</t>
  </si>
  <si>
    <t>BC857C</t>
  </si>
  <si>
    <t>ERJ3GEY0R00V</t>
  </si>
  <si>
    <t>ERJ3GEYJ103V</t>
  </si>
  <si>
    <t>ERJ3GEYJ122V</t>
  </si>
  <si>
    <t>ERJ3EKF1000V</t>
  </si>
  <si>
    <t>ERJ3EKF1002V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</si>
  <si>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</si>
  <si>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</si>
  <si>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</si>
  <si>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</si>
  <si>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</si>
  <si>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</si>
  <si>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</si>
  <si>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ERA3AEB202V</t>
  </si>
  <si>
    <t>ERA3AEB3163V</t>
  </si>
  <si>
    <t>ERA3AEB333V</t>
  </si>
  <si>
    <t>EEEFN1H680XP</t>
  </si>
  <si>
    <t>DEL00103</t>
  </si>
  <si>
    <t>Allengers Global Healthcare  Derabassi</t>
  </si>
  <si>
    <t>BA159</t>
  </si>
  <si>
    <t>LCD+29PIN</t>
  </si>
  <si>
    <t>ZPD7.5</t>
  </si>
  <si>
    <t>DEL02049</t>
  </si>
  <si>
    <t>BOPARAI ELECTRICALS &amp; ELECTRONICS-1Z5</t>
  </si>
  <si>
    <t>R5F12018ASP#50</t>
  </si>
  <si>
    <t>DEL00024</t>
  </si>
  <si>
    <t>CLARITY MEDICAL PVT LTD</t>
  </si>
  <si>
    <t>ERZV05D201</t>
  </si>
  <si>
    <t>DEL00137</t>
  </si>
  <si>
    <t>DEVA AUTOTRONICS PRIVATE LIMITED</t>
  </si>
  <si>
    <t>CDRH127L125NP-101MC</t>
  </si>
  <si>
    <t>UCD1J221MNJ1MS</t>
  </si>
  <si>
    <t>UWT1H2R2MCL1GB</t>
  </si>
  <si>
    <t>UWT1H2R2MCR1GB</t>
  </si>
  <si>
    <t>UCD1J4R7MCL1GS</t>
  </si>
  <si>
    <t>UUX2A220MNL1GS</t>
  </si>
  <si>
    <t>UPJ1J221MHD</t>
  </si>
  <si>
    <t>UCD1J470MNL1GS</t>
  </si>
  <si>
    <t>UPM1J221MHD</t>
  </si>
  <si>
    <t>UPM1H821MHH6</t>
  </si>
  <si>
    <t>UPM1J561MHD6</t>
  </si>
  <si>
    <t>UPM1H821MHD6</t>
  </si>
  <si>
    <t>UPM1J561MHH6</t>
  </si>
  <si>
    <t>DEL00373</t>
  </si>
  <si>
    <t>ELECTROWAVES ELECTRONICS PVT. LTD</t>
  </si>
  <si>
    <t>SMF20CA</t>
  </si>
  <si>
    <t>BCW66F</t>
  </si>
  <si>
    <t>SM4000</t>
  </si>
  <si>
    <t>P4SMAJ12CA</t>
  </si>
  <si>
    <t>P4SMAJ13CA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</si>
  <si>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</si>
  <si>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</si>
  <si>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</si>
  <si>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</si>
  <si>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</si>
  <si>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</si>
  <si>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</si>
  <si>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</si>
  <si>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hydrabad</t>
  </si>
  <si>
    <t>DEL02002</t>
  </si>
  <si>
    <t>P4SMAJ10CA</t>
  </si>
  <si>
    <t>Mangalagowri</t>
  </si>
  <si>
    <t>Z1SMA39-Q</t>
  </si>
  <si>
    <t>AL1M</t>
  </si>
  <si>
    <t>ZMM5B1</t>
  </si>
  <si>
    <t>RC0805FR-07180RL</t>
  </si>
  <si>
    <t>ECS-.327-12.5-34QCN-TR</t>
  </si>
  <si>
    <t xml:space="preserve">BCP53-16Q </t>
  </si>
  <si>
    <t>MMFTN210A</t>
  </si>
  <si>
    <t>MMFTN210A-Q</t>
  </si>
  <si>
    <t>DEL01907</t>
  </si>
  <si>
    <t>INVERTED ENERGY PRIVATE LIMITED</t>
  </si>
  <si>
    <t>AEY3150900</t>
  </si>
  <si>
    <t>EEE-FT1H470AP</t>
  </si>
  <si>
    <t>ETQP4M330KVC</t>
  </si>
  <si>
    <t>ETQP5M101YGM</t>
  </si>
  <si>
    <t>ES1D-Q</t>
  </si>
  <si>
    <t>BZT52C18-AQ</t>
  </si>
  <si>
    <t>EEEHB1C100R</t>
  </si>
  <si>
    <t>EXB38V102JV</t>
  </si>
  <si>
    <t>EEEFN2A470UL</t>
  </si>
  <si>
    <t>DEL00689</t>
  </si>
  <si>
    <t>MICRO INSTRUMENTS CO.</t>
  </si>
  <si>
    <t>AGD8252B1</t>
  </si>
  <si>
    <t>R7FS5D97C3A01CFP#AA0</t>
  </si>
  <si>
    <t>1.0K-GL-30PB</t>
  </si>
  <si>
    <t>KALA</t>
  </si>
  <si>
    <t>JDF320939AFSP</t>
  </si>
  <si>
    <t>JBD307329BW4T</t>
  </si>
  <si>
    <t>JBY207152AW3C</t>
  </si>
  <si>
    <t>B72520T 200K 62</t>
  </si>
  <si>
    <t>TCLT1600</t>
  </si>
  <si>
    <t>Pluto Mobility</t>
  </si>
  <si>
    <t xml:space="preserve">R7FA4M3AF3CFB </t>
  </si>
  <si>
    <t xml:space="preserve">R7FA4M3AF3CFP </t>
  </si>
  <si>
    <t>TM01258AVFSGWA</t>
  </si>
  <si>
    <t>ECU200U-CN</t>
  </si>
  <si>
    <t>DEL00076</t>
  </si>
  <si>
    <t>PRANAV VIKAS INDIA (PVT) LTD</t>
  </si>
  <si>
    <t>SSW7169</t>
  </si>
  <si>
    <t>SSW6285SC</t>
  </si>
  <si>
    <t>SSW6229S</t>
  </si>
  <si>
    <t>SSW6235S</t>
  </si>
  <si>
    <t>SSW6247S</t>
  </si>
  <si>
    <t>SSW71106C</t>
  </si>
  <si>
    <t>SSW6281SC</t>
  </si>
  <si>
    <t>CHG00011</t>
  </si>
  <si>
    <t>Semi-Conductor Laboratory</t>
  </si>
  <si>
    <t>ER18505</t>
  </si>
  <si>
    <t>DEL02199</t>
  </si>
  <si>
    <t>UNO MINDARIKA PVT. LTD.</t>
  </si>
  <si>
    <t>BLR01054</t>
  </si>
  <si>
    <t>ZENWIN MOTORPARTS PVT LTD</t>
  </si>
  <si>
    <t>RF1216AASP#50</t>
  </si>
  <si>
    <t>UHE1V102MHD6</t>
  </si>
  <si>
    <t>B72210S0250K101</t>
  </si>
  <si>
    <t>R5F1216AGSP#50</t>
  </si>
  <si>
    <t>148000 Nos CSD is TBA</t>
  </si>
  <si>
    <t>350400  Nos CSD is TBA</t>
  </si>
  <si>
    <t>302400 Nos CSD is TBA</t>
  </si>
  <si>
    <t>40000 Nos CSD is TAB</t>
  </si>
  <si>
    <t>Giga Device</t>
  </si>
  <si>
    <t>GD32H737ZMT6</t>
  </si>
  <si>
    <t xml:space="preserve">Oct-26 Month Inventory </t>
  </si>
  <si>
    <t>Oct-26 to Mar-27 (F) Value</t>
  </si>
  <si>
    <t xml:space="preserve">Oct-26 to Mar-27 Incoming Qty </t>
  </si>
  <si>
    <t xml:space="preserve">Oct-26 Month Inventory Qty </t>
  </si>
  <si>
    <t xml:space="preserve">Oct -26 to Mar-27 (F) Value </t>
  </si>
  <si>
    <t>Oct-26 to Mar-27 Incoming Qty</t>
  </si>
  <si>
    <t xml:space="preserve">Oct Month Total Inventory Qty </t>
  </si>
  <si>
    <t xml:space="preserve">100000 Nos CSD is Apr-27 </t>
  </si>
  <si>
    <t>300000 Nos CSD is Apr-27 &amp; 97500 Nos CSD is TBA</t>
  </si>
  <si>
    <t>EXICOM TELE-SYSTEMS LIMITED-HYD</t>
  </si>
  <si>
    <t>60000 Nos CSD is June-27</t>
  </si>
  <si>
    <t>18000 Nos CSD is Apr-27</t>
  </si>
  <si>
    <t>90000 Nos CSD is TBA</t>
  </si>
  <si>
    <t>R5F1216CGSP#50</t>
  </si>
  <si>
    <t>Maju PJ</t>
  </si>
  <si>
    <t>96000 Nos CSD is Apr-27</t>
  </si>
  <si>
    <t>Deepa</t>
  </si>
  <si>
    <t>15000 Nos  CSD is TBA</t>
  </si>
  <si>
    <t>12600 Nos CSD is TBA</t>
  </si>
  <si>
    <t>8640  Nos CSD is TBA</t>
  </si>
  <si>
    <t>UCD1J680MNS1GS</t>
  </si>
  <si>
    <t>UCD1K470MNS1GS</t>
  </si>
  <si>
    <t>UCM1J221MNS1GS</t>
  </si>
  <si>
    <t>UCD1C221MCS1GS</t>
  </si>
  <si>
    <t>900 Nos CSD is May-27</t>
  </si>
  <si>
    <t>945000 Nos CSD is Apr-27</t>
  </si>
  <si>
    <t>111000 Nos CSD is July</t>
  </si>
  <si>
    <t>30000 Nos CSD is Apr-27</t>
  </si>
  <si>
    <t>1236000 Nos CSD is Aug-27 &amp; 1200000 Nos CSD is Oct-27</t>
  </si>
  <si>
    <t>AM3150</t>
  </si>
  <si>
    <t>Mercury</t>
  </si>
  <si>
    <t>GCM32EC72A106KEC2L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</si>
</sst>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  <numFmt numFmtId="166" formatCode="_ * #,##0.000_ ;_ * \-#,##0.000_ ;_ * &quot;-&quot;??_ ;_ @_ "/>
    <numFmt numFmtId="167" formatCode="_ * #,##0.0_ ;_ * \-#,##0.0_ ;_ * &quot;-&quot;??_ ;_ @_ 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1"/>
      <color theme="1"/>
      <name val="Aptos Slab"/>
      <family val="2"/>
    </font>
    <font>
      <sz val="12"/>
      <color rgb="FF00B0F0"/>
      <name val="Aptos Slab"/>
      <family val="2"/>
    </font>
    <font>
      <sz val="12"/>
      <color rgb="FF7030A0"/>
      <name val="Aptos Slab"/>
      <family val="2"/>
    </font>
    <font>
      <sz val="12"/>
      <color rgb="FF002060"/>
      <name val="Aptos Slab"/>
      <family val="2"/>
    </font>
    <font>
      <b/>
      <sz val="12"/>
      <color theme="1" tint="0.249977111117893"/>
      <name val="Aptos Slab"/>
      <family val="2"/>
    </font>
    <font>
      <sz val="10"/>
      <color theme="1"/>
      <name val="Aptos Slab"/>
      <family val="2"/>
    </font>
    <font>
      <b/>
      <sz val="11"/>
      <color theme="1"/>
      <name val="Aptos Slab"/>
      <family val="2"/>
    </font>
    <font>
      <b/>
      <sz val="10"/>
      <color theme="1"/>
      <name val="Aptos Slab"/>
      <family val="2"/>
    </font>
    <font>
      <sz val="11"/>
      <color theme="1"/>
      <name val="Aptos"/>
      <family val="2"/>
    </font>
    <font>
      <sz val="12"/>
      <color rgb="FF002060"/>
      <name val="Aptos"/>
      <family val="2"/>
    </font>
    <font>
      <sz val="12"/>
      <color rgb="FF000000"/>
      <name val="Aptos"/>
      <family val="2"/>
    </font>
    <font>
      <b/>
      <sz val="12"/>
      <color theme="1"/>
      <name val="Amasis MT Pro Light"/>
      <family val="1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b/>
      <sz val="12"/>
      <color rgb="FF002060"/>
      <name val="Amasis MT Pro Light"/>
      <family val="1"/>
    </font>
    <font>
      <sz val="14"/>
      <color theme="1"/>
      <name val="Aptos"/>
      <family val="2"/>
    </font>
    <font>
      <sz val="11"/>
      <color theme="1"/>
      <name val="Amasis MT Pro Medium"/>
      <family val="1"/>
    </font>
    <font>
      <sz val="12"/>
      <color theme="1"/>
      <name val="Amasis MT Pro Medium"/>
      <family val="1"/>
    </font>
    <font>
      <sz val="12"/>
      <color rgb="FF002060"/>
      <name val="Amasis MT Pro Medium"/>
      <family val="1"/>
    </font>
    <font>
      <b/>
      <sz val="12"/>
      <color theme="1"/>
      <name val="Aptos SemiBold"/>
      <family val="2"/>
    </font>
    <font>
      <sz val="12"/>
      <color theme="1"/>
      <name val="Aptos SemiBold"/>
      <family val="2"/>
    </font>
    <font>
      <sz val="12"/>
      <color rgb="FF002060"/>
      <name val="Aptos SemiBold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2">
    <xf numFmtId="0" fontId="0" fillId="0" borderId="0" xfId="0"/>
    <xf numFmtId="0" fontId="5" fillId="6" borderId="1" xfId="1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0" fontId="14" fillId="6" borderId="1" xfId="0" applyFont="1" applyFill="1" applyBorder="1" applyProtection="1">
      <protection locked="0"/>
    </xf>
    <xf numFmtId="164" fontId="13" fillId="12" borderId="6" xfId="1" applyNumberFormat="1" applyFont="1" applyFill="1" applyBorder="1" applyAlignment="1" applyProtection="1">
      <alignment horizontal="left" vertical="center"/>
      <protection locked="0"/>
    </xf>
    <xf numFmtId="0" fontId="13" fillId="12" borderId="6" xfId="1" applyNumberFormat="1" applyFont="1" applyFill="1" applyBorder="1" applyAlignment="1" applyProtection="1">
      <alignment horizontal="left" vertical="center"/>
      <protection locked="0"/>
    </xf>
    <xf numFmtId="43" fontId="13" fillId="11" borderId="6" xfId="1" applyFont="1" applyFill="1" applyBorder="1" applyAlignment="1" applyProtection="1">
      <alignment horizontal="center" vertical="center"/>
      <protection locked="0"/>
    </xf>
    <xf numFmtId="164" fontId="13" fillId="14" borderId="6" xfId="1" applyNumberFormat="1" applyFont="1" applyFill="1" applyBorder="1" applyAlignment="1" applyProtection="1">
      <alignment horizontal="center" vertical="center"/>
      <protection locked="0"/>
    </xf>
    <xf numFmtId="164" fontId="13" fillId="2" borderId="6" xfId="1" applyNumberFormat="1" applyFont="1" applyFill="1" applyBorder="1" applyAlignment="1" applyProtection="1">
      <alignment horizontal="center" vertical="center"/>
      <protection locked="0"/>
    </xf>
    <xf numFmtId="164" fontId="13" fillId="5" borderId="6" xfId="1" applyNumberFormat="1" applyFont="1" applyFill="1" applyBorder="1" applyAlignment="1" applyProtection="1">
      <alignment horizontal="center" vertical="center"/>
      <protection locked="0"/>
    </xf>
    <xf numFmtId="166" fontId="13" fillId="13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alignment wrapText="1"/>
      <protection locked="0"/>
    </xf>
    <xf numFmtId="0" fontId="5" fillId="6" borderId="1" xfId="0" applyFont="1" applyFill="1" applyBorder="1" applyAlignment="1" applyProtection="1">
      <alignment horizontal="left"/>
      <protection locked="0"/>
    </xf>
    <xf numFmtId="0" fontId="4" fillId="6" borderId="1" xfId="0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2" fillId="6" borderId="1" xfId="0" applyFont="1" applyFill="1" applyBorder="1" applyAlignment="1" applyProtection="1">
      <alignment horizontal="left"/>
      <protection locked="0"/>
    </xf>
    <xf numFmtId="43" fontId="2" fillId="6" borderId="1" xfId="1" applyFont="1" applyFill="1" applyBorder="1" applyProtection="1">
      <protection locked="0"/>
    </xf>
    <xf numFmtId="164" fontId="15" fillId="6" borderId="1" xfId="1" applyNumberFormat="1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0" fontId="2" fillId="6" borderId="2" xfId="0" applyFont="1" applyFill="1" applyBorder="1" applyProtection="1">
      <protection locked="0"/>
    </xf>
    <xf numFmtId="0" fontId="16" fillId="6" borderId="1" xfId="0" applyFont="1" applyFill="1" applyBorder="1" applyAlignment="1" applyProtection="1">
      <alignment vertical="center"/>
      <protection locked="0"/>
    </xf>
    <xf numFmtId="164" fontId="2" fillId="6" borderId="1" xfId="1" applyNumberFormat="1" applyFont="1" applyFill="1" applyBorder="1" applyAlignment="1" applyProtection="1">
      <alignment wrapText="1"/>
      <protection locked="0"/>
    </xf>
    <xf numFmtId="164" fontId="2" fillId="6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Protection="1"/>
    <xf numFmtId="0" fontId="2" fillId="0" borderId="1" xfId="0" applyFont="1" applyBorder="1" applyProtection="1">
      <protection locked="0"/>
    </xf>
    <xf numFmtId="164" fontId="4" fillId="6" borderId="1" xfId="1" applyNumberFormat="1" applyFont="1" applyFill="1" applyBorder="1" applyProtection="1">
      <protection locked="0"/>
    </xf>
    <xf numFmtId="164" fontId="9" fillId="6" borderId="1" xfId="1" applyNumberFormat="1" applyFont="1" applyFill="1" applyBorder="1" applyProtection="1">
      <protection locked="0"/>
    </xf>
    <xf numFmtId="164" fontId="2" fillId="0" borderId="1" xfId="1" applyNumberFormat="1" applyFont="1" applyBorder="1" applyProtection="1">
      <protection locked="0"/>
    </xf>
    <xf numFmtId="165" fontId="9" fillId="6" borderId="1" xfId="1" applyNumberFormat="1" applyFont="1" applyFill="1" applyBorder="1" applyProtection="1">
      <protection locked="0"/>
    </xf>
    <xf numFmtId="164" fontId="5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 applyProtection="1">
      <protection locked="0"/>
    </xf>
    <xf numFmtId="165" fontId="15" fillId="6" borderId="1" xfId="1" applyNumberFormat="1" applyFont="1" applyFill="1" applyBorder="1" applyProtection="1">
      <protection locked="0"/>
    </xf>
    <xf numFmtId="164" fontId="17" fillId="6" borderId="1" xfId="1" applyNumberFormat="1" applyFont="1" applyFill="1" applyBorder="1" applyProtection="1">
      <protection locked="0"/>
    </xf>
    <xf numFmtId="164" fontId="15" fillId="6" borderId="1" xfId="1" applyNumberFormat="1" applyFont="1" applyFill="1" applyBorder="1" applyAlignment="1" applyProtection="1">
      <protection locked="0"/>
    </xf>
    <xf numFmtId="164" fontId="9" fillId="6" borderId="1" xfId="1" applyNumberFormat="1" applyFont="1" applyFill="1" applyBorder="1" applyAlignment="1" applyProtection="1">
      <protection locked="0"/>
    </xf>
    <xf numFmtId="164" fontId="18" fillId="6" borderId="1" xfId="1" applyNumberFormat="1" applyFont="1" applyFill="1" applyBorder="1" applyAlignment="1" applyProtection="1">
      <protection locked="0"/>
    </xf>
    <xf numFmtId="164" fontId="17" fillId="6" borderId="1" xfId="1" applyNumberFormat="1" applyFont="1" applyFill="1" applyBorder="1" applyAlignment="1" applyProtection="1">
      <protection locked="0"/>
    </xf>
    <xf numFmtId="0" fontId="15" fillId="6" borderId="1" xfId="0" applyFont="1" applyFill="1" applyBorder="1" applyProtection="1">
      <protection locked="0"/>
    </xf>
    <xf numFmtId="0" fontId="5" fillId="7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left"/>
      <protection locked="0"/>
    </xf>
    <xf numFmtId="166" fontId="2" fillId="0" borderId="1" xfId="1" applyNumberFormat="1" applyFont="1" applyBorder="1" applyProtection="1">
      <protection locked="0"/>
    </xf>
    <xf numFmtId="164" fontId="2" fillId="13" borderId="1" xfId="1" applyNumberFormat="1" applyFont="1" applyFill="1" applyBorder="1" applyProtection="1">
      <protection locked="0"/>
    </xf>
    <xf numFmtId="164" fontId="2" fillId="6" borderId="1" xfId="1" applyNumberFormat="1" applyFont="1" applyFill="1" applyBorder="1" applyAlignment="1" applyProtection="1">
      <protection locked="0"/>
    </xf>
    <xf numFmtId="43" fontId="5" fillId="6" borderId="1" xfId="1" applyFont="1" applyFill="1" applyBorder="1" applyAlignment="1" applyProtection="1">
      <protection locked="0"/>
    </xf>
    <xf numFmtId="164" fontId="5" fillId="6" borderId="1" xfId="1" applyNumberFormat="1" applyFont="1" applyFill="1" applyBorder="1" applyAlignment="1" applyProtection="1"/>
    <xf numFmtId="2" fontId="5" fillId="6" borderId="1" xfId="0" applyNumberFormat="1" applyFont="1" applyFill="1" applyBorder="1" applyAlignment="1" applyProtection="1">
      <alignment horizontal="left"/>
      <protection locked="0"/>
    </xf>
    <xf numFmtId="2" fontId="5" fillId="6" borderId="1" xfId="0" applyNumberFormat="1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164" fontId="4" fillId="7" borderId="1" xfId="1" applyNumberFormat="1" applyFont="1" applyFill="1" applyBorder="1" applyAlignment="1" applyProtection="1">
      <alignment wrapText="1"/>
      <protection locked="0"/>
    </xf>
    <xf numFmtId="164" fontId="4" fillId="7" borderId="1" xfId="1" applyNumberFormat="1" applyFont="1" applyFill="1" applyBorder="1" applyAlignment="1" applyProtection="1">
      <protection locked="0"/>
    </xf>
    <xf numFmtId="164" fontId="4" fillId="7" borderId="1" xfId="1" applyNumberFormat="1" applyFont="1" applyFill="1" applyBorder="1" applyAlignment="1" applyProtection="1"/>
    <xf numFmtId="0" fontId="19" fillId="8" borderId="1" xfId="0" applyFont="1" applyFill="1" applyBorder="1" applyProtection="1">
      <protection locked="0"/>
    </xf>
    <xf numFmtId="164" fontId="2" fillId="0" borderId="1" xfId="1" applyNumberFormat="1" applyFont="1" applyBorder="1" applyAlignment="1" applyProtection="1">
      <protection locked="0"/>
    </xf>
    <xf numFmtId="166" fontId="2" fillId="0" borderId="1" xfId="1" applyNumberFormat="1" applyFont="1" applyBorder="1" applyAlignment="1" applyProtection="1">
      <protection locked="0"/>
    </xf>
    <xf numFmtId="164" fontId="2" fillId="13" borderId="1" xfId="1" applyNumberFormat="1" applyFont="1" applyFill="1" applyBorder="1" applyAlignment="1" applyProtection="1">
      <protection locked="0"/>
    </xf>
    <xf numFmtId="164" fontId="9" fillId="8" borderId="1" xfId="1" applyNumberFormat="1" applyFont="1" applyFill="1" applyBorder="1" applyProtection="1">
      <protection locked="0"/>
    </xf>
    <xf numFmtId="0" fontId="9" fillId="8" borderId="1" xfId="0" applyFont="1" applyFill="1" applyBorder="1" applyProtection="1">
      <protection locked="0"/>
    </xf>
    <xf numFmtId="0" fontId="19" fillId="8" borderId="1" xfId="1" applyNumberFormat="1" applyFont="1" applyFill="1" applyBorder="1" applyProtection="1">
      <protection locked="0"/>
    </xf>
    <xf numFmtId="164" fontId="23" fillId="6" borderId="1" xfId="1" applyNumberFormat="1" applyFont="1" applyFill="1" applyBorder="1" applyAlignment="1" applyProtection="1">
      <protection locked="0"/>
    </xf>
    <xf numFmtId="165" fontId="24" fillId="6" borderId="1" xfId="1" applyNumberFormat="1" applyFont="1" applyFill="1" applyBorder="1" applyProtection="1">
      <protection locked="0"/>
    </xf>
    <xf numFmtId="0" fontId="19" fillId="6" borderId="1" xfId="1" applyNumberFormat="1" applyFont="1" applyFill="1" applyBorder="1" applyProtection="1">
      <protection locked="0"/>
    </xf>
    <xf numFmtId="0" fontId="19" fillId="6" borderId="1" xfId="0" applyFont="1" applyFill="1" applyBorder="1" applyProtection="1">
      <protection locked="0"/>
    </xf>
    <xf numFmtId="164" fontId="23" fillId="8" borderId="1" xfId="1" applyNumberFormat="1" applyFont="1" applyFill="1" applyBorder="1" applyAlignment="1" applyProtection="1">
      <alignment wrapText="1"/>
      <protection locked="0"/>
    </xf>
    <xf numFmtId="164" fontId="25" fillId="14" borderId="6" xfId="1" applyNumberFormat="1" applyFont="1" applyFill="1" applyBorder="1" applyAlignment="1" applyProtection="1">
      <alignment horizontal="center" vertical="center"/>
      <protection locked="0"/>
    </xf>
    <xf numFmtId="164" fontId="25" fillId="5" borderId="6" xfId="1" applyNumberFormat="1" applyFont="1" applyFill="1" applyBorder="1" applyAlignment="1" applyProtection="1">
      <alignment horizontal="center" vertical="center"/>
      <protection locked="0"/>
    </xf>
    <xf numFmtId="164" fontId="26" fillId="6" borderId="1" xfId="1" applyNumberFormat="1" applyFont="1" applyFill="1" applyBorder="1" applyAlignment="1" applyProtection="1">
      <protection locked="0"/>
    </xf>
    <xf numFmtId="164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7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166" fontId="4" fillId="2" borderId="6" xfId="1" applyNumberFormat="1" applyFont="1" applyFill="1" applyBorder="1" applyAlignment="1" applyProtection="1">
      <alignment horizontal="center" vertical="center" wrapText="1"/>
      <protection locked="0"/>
    </xf>
    <xf numFmtId="43" fontId="5" fillId="6" borderId="1" xfId="1" applyFont="1" applyFill="1" applyBorder="1" applyAlignment="1" applyProtection="1">
      <alignment wrapText="1"/>
      <protection locked="0"/>
    </xf>
    <xf numFmtId="164" fontId="5" fillId="7" borderId="1" xfId="1" applyNumberFormat="1" applyFont="1" applyFill="1" applyBorder="1" applyAlignment="1" applyProtection="1">
      <alignment wrapText="1"/>
      <protection locked="0"/>
    </xf>
    <xf numFmtId="164" fontId="26" fillId="6" borderId="1" xfId="1" applyNumberFormat="1" applyFont="1" applyFill="1" applyBorder="1" applyProtection="1">
      <protection locked="0"/>
    </xf>
    <xf numFmtId="164" fontId="14" fillId="6" borderId="1" xfId="1" applyNumberFormat="1" applyFont="1" applyFill="1" applyBorder="1" applyProtection="1">
      <protection locked="0"/>
    </xf>
    <xf numFmtId="0" fontId="9" fillId="6" borderId="1" xfId="0" applyFont="1" applyFill="1" applyBorder="1" applyProtection="1">
      <protection locked="0"/>
    </xf>
    <xf numFmtId="0" fontId="9" fillId="6" borderId="1" xfId="1" applyNumberFormat="1" applyFont="1" applyFill="1" applyBorder="1" applyProtection="1">
      <protection locked="0"/>
    </xf>
    <xf numFmtId="164" fontId="5" fillId="6" borderId="0" xfId="1" applyNumberFormat="1" applyFont="1" applyFill="1" applyBorder="1" applyAlignment="1" applyProtection="1">
      <alignment wrapText="1"/>
      <protection locked="0"/>
    </xf>
    <xf numFmtId="164" fontId="5" fillId="6" borderId="7" xfId="1" applyNumberFormat="1" applyFont="1" applyFill="1" applyBorder="1" applyAlignment="1" applyProtection="1">
      <protection locked="0"/>
    </xf>
    <xf numFmtId="0" fontId="2" fillId="6" borderId="0" xfId="0" applyFont="1" applyFill="1" applyProtection="1">
      <protection locked="0"/>
    </xf>
    <xf numFmtId="0" fontId="2" fillId="6" borderId="6" xfId="0" applyFont="1" applyFill="1" applyBorder="1" applyProtection="1">
      <protection locked="0"/>
    </xf>
    <xf numFmtId="0" fontId="2" fillId="6" borderId="4" xfId="0" applyFont="1" applyFill="1" applyBorder="1" applyProtection="1">
      <protection locked="0"/>
    </xf>
    <xf numFmtId="43" fontId="2" fillId="6" borderId="6" xfId="1" applyFont="1" applyFill="1" applyBorder="1" applyProtection="1">
      <protection locked="0"/>
    </xf>
    <xf numFmtId="164" fontId="2" fillId="6" borderId="6" xfId="1" applyNumberFormat="1" applyFont="1" applyFill="1" applyBorder="1" applyProtection="1">
      <protection locked="0"/>
    </xf>
    <xf numFmtId="164" fontId="6" fillId="6" borderId="0" xfId="1" applyNumberFormat="1" applyFont="1" applyFill="1" applyProtection="1">
      <protection locked="0"/>
    </xf>
    <xf numFmtId="164" fontId="6" fillId="6" borderId="0" xfId="1" applyNumberFormat="1" applyFont="1" applyFill="1" applyAlignment="1" applyProtection="1">
      <alignment horizontal="left"/>
      <protection locked="0"/>
    </xf>
    <xf numFmtId="43" fontId="6" fillId="6" borderId="0" xfId="1" applyFont="1" applyFill="1" applyProtection="1">
      <protection locked="0"/>
    </xf>
    <xf numFmtId="164" fontId="12" fillId="6" borderId="0" xfId="1" applyNumberFormat="1" applyFont="1" applyFill="1" applyAlignment="1" applyProtection="1">
      <alignment wrapText="1"/>
      <protection locked="0"/>
    </xf>
    <xf numFmtId="164" fontId="12" fillId="6" borderId="0" xfId="1" applyNumberFormat="1" applyFont="1" applyFill="1" applyProtection="1">
      <protection locked="0"/>
    </xf>
    <xf numFmtId="164" fontId="6" fillId="0" borderId="0" xfId="1" applyNumberFormat="1" applyFont="1" applyProtection="1">
      <protection locked="0"/>
    </xf>
    <xf numFmtId="0" fontId="12" fillId="15" borderId="1" xfId="0" applyFont="1" applyFill="1" applyBorder="1" applyAlignment="1" applyProtection="1">
      <alignment vertical="center"/>
      <protection locked="0"/>
    </xf>
    <xf numFmtId="0" fontId="12" fillId="15" borderId="1" xfId="0" applyFont="1" applyFill="1" applyBorder="1" applyAlignment="1" applyProtection="1">
      <alignment horizontal="left" vertical="center"/>
      <protection locked="0"/>
    </xf>
    <xf numFmtId="43" fontId="12" fillId="15" borderId="1" xfId="1" applyFont="1" applyFill="1" applyBorder="1" applyAlignment="1" applyProtection="1">
      <alignment vertical="center"/>
      <protection locked="0"/>
    </xf>
    <xf numFmtId="0" fontId="12" fillId="16" borderId="1" xfId="1" applyNumberFormat="1" applyFont="1" applyFill="1" applyBorder="1" applyAlignment="1" applyProtection="1">
      <alignment vertical="center" wrapText="1"/>
      <protection locked="0"/>
    </xf>
    <xf numFmtId="164" fontId="12" fillId="16" borderId="1" xfId="1" applyNumberFormat="1" applyFont="1" applyFill="1" applyBorder="1" applyAlignment="1" applyProtection="1">
      <alignment vertical="center" wrapText="1"/>
      <protection locked="0"/>
    </xf>
    <xf numFmtId="164" fontId="12" fillId="15" borderId="1" xfId="1" applyNumberFormat="1" applyFont="1" applyFill="1" applyBorder="1" applyAlignment="1" applyProtection="1">
      <alignment vertical="center"/>
      <protection locked="0"/>
    </xf>
    <xf numFmtId="164" fontId="12" fillId="3" borderId="1" xfId="1" applyNumberFormat="1" applyFont="1" applyFill="1" applyBorder="1" applyAlignment="1" applyProtection="1">
      <alignment vertical="center"/>
      <protection locked="0"/>
    </xf>
    <xf numFmtId="164" fontId="12" fillId="2" borderId="1" xfId="1" applyNumberFormat="1" applyFont="1" applyFill="1" applyBorder="1" applyAlignment="1" applyProtection="1">
      <alignment vertical="center"/>
      <protection locked="0"/>
    </xf>
    <xf numFmtId="0" fontId="12" fillId="3" borderId="1" xfId="1" applyNumberFormat="1" applyFont="1" applyFill="1" applyBorder="1" applyAlignment="1" applyProtection="1">
      <alignment vertical="center"/>
      <protection locked="0"/>
    </xf>
    <xf numFmtId="0" fontId="12" fillId="15" borderId="1" xfId="1" applyNumberFormat="1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165" fontId="2" fillId="6" borderId="1" xfId="1" applyNumberFormat="1" applyFont="1" applyFill="1" applyBorder="1" applyProtection="1">
      <protection locked="0"/>
    </xf>
    <xf numFmtId="165" fontId="2" fillId="17" borderId="1" xfId="1" applyNumberFormat="1" applyFont="1" applyFill="1" applyBorder="1" applyProtection="1">
      <protection locked="0"/>
    </xf>
    <xf numFmtId="164" fontId="14" fillId="8" borderId="1" xfId="1" applyNumberFormat="1" applyFont="1" applyFill="1" applyBorder="1" applyProtection="1">
      <protection locked="0"/>
    </xf>
    <xf numFmtId="165" fontId="14" fillId="6" borderId="1" xfId="1" applyNumberFormat="1" applyFont="1" applyFill="1" applyBorder="1" applyProtection="1">
      <protection locked="0"/>
    </xf>
    <xf numFmtId="164" fontId="26" fillId="0" borderId="1" xfId="1" applyNumberFormat="1" applyFont="1" applyBorder="1" applyProtection="1">
      <protection locked="0"/>
    </xf>
    <xf numFmtId="164" fontId="2" fillId="8" borderId="1" xfId="1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left"/>
      <protection locked="0"/>
    </xf>
    <xf numFmtId="164" fontId="6" fillId="6" borderId="0" xfId="1" applyNumberFormat="1" applyFont="1" applyFill="1" applyAlignment="1" applyProtection="1">
      <alignment wrapText="1"/>
      <protection locked="0"/>
    </xf>
    <xf numFmtId="164" fontId="6" fillId="6" borderId="0" xfId="1" applyNumberFormat="1" applyFont="1" applyFill="1" applyProtection="1"/>
    <xf numFmtId="0" fontId="12" fillId="15" borderId="1" xfId="0" applyFont="1" applyFill="1" applyBorder="1" applyAlignment="1">
      <alignment vertical="center"/>
    </xf>
    <xf numFmtId="0" fontId="2" fillId="6" borderId="1" xfId="0" applyFont="1" applyFill="1" applyBorder="1"/>
    <xf numFmtId="0" fontId="14" fillId="0" borderId="1" xfId="0" applyFont="1" applyBorder="1"/>
    <xf numFmtId="0" fontId="6" fillId="6" borderId="0" xfId="0" applyFont="1" applyFill="1"/>
    <xf numFmtId="164" fontId="12" fillId="6" borderId="0" xfId="1" applyNumberFormat="1" applyFont="1" applyFill="1" applyAlignment="1" applyProtection="1">
      <alignment wrapText="1"/>
    </xf>
    <xf numFmtId="164" fontId="12" fillId="15" borderId="1" xfId="1" applyNumberFormat="1" applyFont="1" applyFill="1" applyBorder="1" applyAlignment="1" applyProtection="1">
      <alignment vertical="center"/>
    </xf>
    <xf numFmtId="164" fontId="2" fillId="6" borderId="0" xfId="1" applyNumberFormat="1" applyFont="1" applyFill="1" applyBorder="1" applyProtection="1"/>
    <xf numFmtId="0" fontId="4" fillId="6" borderId="1" xfId="0" applyFont="1" applyFill="1" applyBorder="1" applyAlignment="1" applyProtection="1">
      <alignment vertical="center"/>
      <protection locked="0"/>
    </xf>
    <xf numFmtId="0" fontId="4" fillId="6" borderId="1" xfId="0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horizontal="left" vertical="center"/>
      <protection locked="0"/>
    </xf>
    <xf numFmtId="2" fontId="4" fillId="6" borderId="1" xfId="0" applyNumberFormat="1" applyFont="1" applyFill="1" applyBorder="1" applyAlignment="1" applyProtection="1">
      <alignment vertical="center"/>
      <protection locked="0"/>
    </xf>
    <xf numFmtId="0" fontId="4" fillId="6" borderId="1" xfId="1" applyNumberFormat="1" applyFont="1" applyFill="1" applyBorder="1" applyAlignment="1" applyProtection="1">
      <alignment vertical="center"/>
      <protection locked="0"/>
    </xf>
    <xf numFmtId="166" fontId="4" fillId="6" borderId="1" xfId="1" applyNumberFormat="1" applyFont="1" applyFill="1" applyBorder="1" applyAlignment="1" applyProtection="1">
      <alignment vertical="center"/>
      <protection locked="0"/>
    </xf>
    <xf numFmtId="164" fontId="4" fillId="6" borderId="1" xfId="1" applyNumberFormat="1" applyFont="1" applyFill="1" applyBorder="1" applyAlignment="1" applyProtection="1">
      <alignment vertical="center"/>
      <protection locked="0"/>
    </xf>
    <xf numFmtId="164" fontId="4" fillId="0" borderId="1" xfId="1" applyNumberFormat="1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9" borderId="4" xfId="0" applyFont="1" applyFill="1" applyBorder="1" applyAlignment="1" applyProtection="1">
      <alignment horizontal="left" vertical="center"/>
      <protection locked="0"/>
    </xf>
    <xf numFmtId="2" fontId="4" fillId="9" borderId="4" xfId="0" applyNumberFormat="1" applyFont="1" applyFill="1" applyBorder="1" applyAlignment="1" applyProtection="1">
      <alignment horizontal="left" vertical="center"/>
      <protection locked="0"/>
    </xf>
    <xf numFmtId="166" fontId="4" fillId="9" borderId="4" xfId="1" applyNumberFormat="1" applyFont="1" applyFill="1" applyBorder="1" applyAlignment="1" applyProtection="1">
      <alignment horizontal="left" vertical="center"/>
      <protection locked="0"/>
    </xf>
    <xf numFmtId="164" fontId="4" fillId="10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4" fillId="3" borderId="4" xfId="1" applyNumberFormat="1" applyFont="1" applyFill="1" applyBorder="1" applyAlignment="1" applyProtection="1">
      <alignment horizontal="left" vertical="center"/>
      <protection locked="0"/>
    </xf>
    <xf numFmtId="164" fontId="4" fillId="4" borderId="4" xfId="1" applyNumberFormat="1" applyFont="1" applyFill="1" applyBorder="1" applyAlignment="1" applyProtection="1">
      <alignment horizontal="left" vertical="center"/>
      <protection locked="0"/>
    </xf>
    <xf numFmtId="164" fontId="10" fillId="4" borderId="4" xfId="1" applyNumberFormat="1" applyFont="1" applyFill="1" applyBorder="1" applyAlignment="1" applyProtection="1">
      <alignment horizontal="left" vertical="center"/>
      <protection locked="0"/>
    </xf>
    <xf numFmtId="164" fontId="4" fillId="2" borderId="4" xfId="1" applyNumberFormat="1" applyFont="1" applyFill="1" applyBorder="1" applyAlignment="1" applyProtection="1">
      <alignment horizontal="left" vertical="center"/>
      <protection locked="0"/>
    </xf>
    <xf numFmtId="164" fontId="4" fillId="3" borderId="3" xfId="1" applyNumberFormat="1" applyFont="1" applyFill="1" applyBorder="1" applyAlignment="1" applyProtection="1">
      <alignment horizontal="left" vertical="center"/>
      <protection locked="0"/>
    </xf>
    <xf numFmtId="164" fontId="10" fillId="4" borderId="5" xfId="1" applyNumberFormat="1" applyFont="1" applyFill="1" applyBorder="1" applyAlignment="1" applyProtection="1">
      <alignment horizontal="left" vertical="center"/>
      <protection locked="0"/>
    </xf>
    <xf numFmtId="0" fontId="4" fillId="3" borderId="4" xfId="0" applyFont="1" applyFill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165" fontId="23" fillId="6" borderId="1" xfId="1" applyNumberFormat="1" applyFont="1" applyFill="1" applyBorder="1" applyProtection="1">
      <protection locked="0"/>
    </xf>
    <xf numFmtId="164" fontId="22" fillId="6" borderId="1" xfId="1" applyNumberFormat="1" applyFont="1" applyFill="1" applyBorder="1" applyProtection="1">
      <protection locked="0"/>
    </xf>
    <xf numFmtId="166" fontId="4" fillId="7" borderId="1" xfId="1" applyNumberFormat="1" applyFont="1" applyFill="1" applyBorder="1" applyAlignment="1" applyProtection="1">
      <protection locked="0"/>
    </xf>
    <xf numFmtId="0" fontId="23" fillId="7" borderId="1" xfId="0" applyFont="1" applyFill="1" applyBorder="1" applyProtection="1">
      <protection locked="0"/>
    </xf>
    <xf numFmtId="164" fontId="23" fillId="8" borderId="1" xfId="1" applyNumberFormat="1" applyFont="1" applyFill="1" applyBorder="1" applyProtection="1">
      <protection locked="0"/>
    </xf>
    <xf numFmtId="164" fontId="23" fillId="6" borderId="1" xfId="1" applyNumberFormat="1" applyFont="1" applyFill="1" applyBorder="1" applyProtection="1">
      <protection locked="0"/>
    </xf>
    <xf numFmtId="164" fontId="5" fillId="8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164" fontId="22" fillId="7" borderId="1" xfId="1" applyNumberFormat="1" applyFont="1" applyFill="1" applyBorder="1" applyProtection="1">
      <protection locked="0"/>
    </xf>
    <xf numFmtId="164" fontId="23" fillId="7" borderId="1" xfId="1" applyNumberFormat="1" applyFont="1" applyFill="1" applyBorder="1" applyProtection="1">
      <protection locked="0"/>
    </xf>
    <xf numFmtId="164" fontId="21" fillId="8" borderId="1" xfId="1" applyNumberFormat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164" fontId="5" fillId="0" borderId="1" xfId="1" applyNumberFormat="1" applyFont="1" applyBorder="1" applyProtection="1">
      <protection locked="0"/>
    </xf>
    <xf numFmtId="0" fontId="5" fillId="6" borderId="0" xfId="0" applyFont="1" applyFill="1" applyProtection="1">
      <protection locked="0"/>
    </xf>
    <xf numFmtId="0" fontId="5" fillId="6" borderId="0" xfId="0" applyFont="1" applyFill="1" applyAlignment="1" applyProtection="1">
      <alignment horizontal="left"/>
      <protection locked="0"/>
    </xf>
    <xf numFmtId="2" fontId="5" fillId="6" borderId="0" xfId="0" applyNumberFormat="1" applyFont="1" applyFill="1" applyAlignment="1" applyProtection="1">
      <alignment horizontal="left"/>
      <protection locked="0"/>
    </xf>
    <xf numFmtId="2" fontId="5" fillId="6" borderId="0" xfId="0" applyNumberFormat="1" applyFont="1" applyFill="1" applyProtection="1">
      <protection locked="0"/>
    </xf>
    <xf numFmtId="166" fontId="5" fillId="6" borderId="0" xfId="1" applyNumberFormat="1" applyFont="1" applyFill="1" applyAlignment="1" applyProtection="1">
      <protection locked="0"/>
    </xf>
    <xf numFmtId="164" fontId="5" fillId="6" borderId="0" xfId="1" applyNumberFormat="1" applyFont="1" applyFill="1" applyAlignment="1" applyProtection="1">
      <protection locked="0"/>
    </xf>
    <xf numFmtId="164" fontId="5" fillId="0" borderId="0" xfId="1" applyNumberFormat="1" applyFont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8" fillId="0" borderId="0" xfId="1" applyNumberFormat="1" applyFont="1" applyAlignment="1" applyProtection="1">
      <protection locked="0"/>
    </xf>
    <xf numFmtId="0" fontId="4" fillId="6" borderId="1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left" vertical="center"/>
    </xf>
    <xf numFmtId="0" fontId="5" fillId="6" borderId="1" xfId="0" applyFont="1" applyFill="1" applyBorder="1"/>
    <xf numFmtId="0" fontId="5" fillId="7" borderId="1" xfId="0" applyFont="1" applyFill="1" applyBorder="1"/>
    <xf numFmtId="0" fontId="5" fillId="6" borderId="6" xfId="0" applyFont="1" applyFill="1" applyBorder="1"/>
    <xf numFmtId="0" fontId="5" fillId="7" borderId="6" xfId="0" applyFont="1" applyFill="1" applyBorder="1"/>
    <xf numFmtId="0" fontId="5" fillId="6" borderId="0" xfId="0" applyFont="1" applyFill="1"/>
    <xf numFmtId="164" fontId="4" fillId="6" borderId="1" xfId="1" applyNumberFormat="1" applyFont="1" applyFill="1" applyBorder="1" applyAlignment="1" applyProtection="1">
      <alignment vertical="center"/>
    </xf>
    <xf numFmtId="164" fontId="4" fillId="3" borderId="4" xfId="1" applyNumberFormat="1" applyFont="1" applyFill="1" applyBorder="1" applyAlignment="1" applyProtection="1">
      <alignment horizontal="left" vertical="center"/>
    </xf>
    <xf numFmtId="0" fontId="14" fillId="7" borderId="1" xfId="0" applyFont="1" applyFill="1" applyBorder="1"/>
    <xf numFmtId="164" fontId="5" fillId="0" borderId="0" xfId="1" applyNumberFormat="1" applyFont="1" applyAlignment="1" applyProtection="1"/>
    <xf numFmtId="164" fontId="25" fillId="2" borderId="6" xfId="1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164" fontId="4" fillId="0" borderId="0" xfId="1" applyNumberFormat="1" applyFont="1" applyProtection="1">
      <protection locked="0"/>
    </xf>
    <xf numFmtId="164" fontId="13" fillId="0" borderId="0" xfId="1" applyNumberFormat="1" applyFont="1" applyProtection="1">
      <protection locked="0"/>
    </xf>
    <xf numFmtId="164" fontId="25" fillId="0" borderId="0" xfId="1" applyNumberFormat="1" applyFont="1" applyProtection="1">
      <protection locked="0"/>
    </xf>
    <xf numFmtId="164" fontId="27" fillId="6" borderId="1" xfId="1" applyNumberFormat="1" applyFont="1" applyFill="1" applyBorder="1" applyProtection="1">
      <protection locked="0"/>
    </xf>
    <xf numFmtId="164" fontId="27" fillId="6" borderId="1" xfId="1" applyNumberFormat="1" applyFont="1" applyFill="1" applyBorder="1" applyAlignment="1" applyProtection="1">
      <protection locked="0"/>
    </xf>
    <xf numFmtId="0" fontId="20" fillId="8" borderId="1" xfId="1" applyNumberFormat="1" applyFont="1" applyFill="1" applyBorder="1" applyAlignment="1" applyProtection="1">
      <alignment wrapText="1"/>
      <protection locked="0"/>
    </xf>
    <xf numFmtId="167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164" fontId="26" fillId="0" borderId="0" xfId="1" applyNumberFormat="1" applyFont="1" applyProtection="1">
      <protection locked="0"/>
    </xf>
    <xf numFmtId="0" fontId="11" fillId="0" borderId="0" xfId="0" applyFont="1"/>
    <xf numFmtId="0" fontId="13" fillId="12" borderId="6" xfId="1" applyNumberFormat="1" applyFont="1" applyFill="1" applyBorder="1" applyAlignment="1" applyProtection="1">
      <alignment horizontal="left" vertical="center"/>
    </xf>
    <xf numFmtId="164" fontId="25" fillId="0" borderId="0" xfId="1" applyNumberFormat="1" applyFont="1" applyProtection="1"/>
    <xf numFmtId="164" fontId="25" fillId="14" borderId="6" xfId="1" applyNumberFormat="1" applyFont="1" applyFill="1" applyBorder="1" applyAlignment="1" applyProtection="1">
      <alignment horizontal="center" vertical="center"/>
    </xf>
    <xf numFmtId="0" fontId="26" fillId="0" borderId="1" xfId="0" applyFont="1" applyBorder="1"/>
    <xf numFmtId="0" fontId="26" fillId="0" borderId="0" xfId="0" applyFont="1"/>
    <xf numFmtId="164" fontId="26" fillId="6" borderId="1" xfId="1" applyNumberFormat="1" applyFont="1" applyFill="1" applyBorder="1" applyAlignme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CC"/>
      <color rgb="FFFFCCFF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BC58-14E0-43AB-B587-9ACB602975D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894DD1-2777-4222-B764-87B9673F91D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37E5-4368-49B9-A515-8E10E2ECC67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F51E9D-E4D8-4243-B74F-A1A12237200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FF80D6-970E-4F82-A59E-64E4FCF1260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EBE7F5-EF0D-4347-AF1F-232C21B72AA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8F4B8EC-A4E1-45DF-ACE3-19516B85D7E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4DBE5B-4F38-43AE-BDCF-3180B2274F1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A154DF-237B-4653-A673-4BE6E6CD84C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8A898C-38E2-48CA-8DE8-BF5E79F29F4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763A65-DFE4-4350-9313-E07905244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3BFF0CA-541C-40A4-8E00-140773B5556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DEE52-24AE-4E31-8FE6-44B87E81397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BCDC81-0538-4045-ADD2-BEF7899048D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F6DC55-C371-438C-B7F5-C1F1E192B71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7697BE-AD54-43B5-8B57-DB5963D3CAC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0E18C6-1177-48AF-94FC-F863EBAE9D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35A557-1EFF-4565-8586-C50C7D3BFD4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D1B763F-922C-4CB3-8548-FDAAFCE755A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B756CE5-ED33-425A-8062-496388D784D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5680784-7CA3-4B04-97D2-6B7867FCEAE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3B18DAF-2273-481A-B741-8FF95292CA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D53F844-86C9-494F-8491-EBF5A9C675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1F89BDA-1BF3-4B8D-830C-4E5700A8B5E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FBF8F08-2A96-4B19-B236-E5ABB788CE8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106FB42-722A-49A1-A08E-75308B3C74F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CA305C-16C9-43DD-94BB-F93EA1248D9C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A10154-5E44-4BBE-8398-47FEEF7AE77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5BBD51F-718D-4DEA-84D2-563046D6710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21971F2-6618-477A-BBB8-DBBE52E9AD3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E4BE865-EA05-4F3D-80FD-BEC0F9BCCDF9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DCEEB3A-0537-49FF-A71A-60C9BE5A179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7FBDC0A-B334-499F-AF24-3A0D657A19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CFDEF49-23F3-4196-9B28-1CD03A5053E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EC6100F-7BBC-467D-9FE2-CD518E3F3D65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1989ED1-AC1A-4FB5-BB48-ADE24D23A76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E985FB7-E85F-4338-B8A8-2746E2B03F5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0651030-D770-4743-A8A6-6A519F63DD6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FD4F9C5-F850-480B-853B-861BF7916FC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A4EE5935-D6AA-4800-A1BB-D3A08EE02D1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2803798-E817-411F-A7C5-EF50B219EE5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89A8F08-1E96-46A4-A635-541BA8F776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C9F89C7-993C-4685-9018-77243B7AA573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8676507B-F341-4998-9810-49C11A9B1E22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32FBF5-92CD-45CF-8B49-8CC0D5FBDFF0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6F196D6-56F9-494B-B496-224FCEB3271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180A758-5E8A-4EB4-8705-E14DD6F25D1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227A069-723B-4351-A74B-AA83F73B78D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B62687E4-3570-4C50-A3A1-1B62AF0D8D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0091539-C443-491C-94CF-4EA4323B58CD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67730F-DE9F-427E-A2CE-952EB24FAD3B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70827F7-5232-49A3-9F67-6FE05B60DDC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45123260-3143-40F2-AAD1-1C16F510540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86BD48-62B9-413B-A3DD-92E7224DC6E7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A048AED-D62F-4742-9512-C13CA19B2B68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41E7F9B-185B-40D1-8E76-4DDAD703FCE6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1E8088-F876-4AEA-A6E4-04CF430438A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FEFCEDB0-080E-4E2D-BE35-29773EE8549F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D14D88C-2F22-43BC-BB58-5437E8927A8A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284184C-B95C-4C8C-8ADF-886B2654F624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38D5D60-84B3-41B9-A209-4E6CF5675CF1}"/>
            </a:ext>
          </a:extLst>
        </xdr:cNvPr>
        <xdr:cNvSpPr txBox="1"/>
      </xdr:nvSpPr>
      <xdr:spPr>
        <a:xfrm>
          <a:off x="31750000" y="79502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0441A88-523C-4E0B-92BD-D7069438A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ED130B7-DA6A-496A-89FC-97CCBEC46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694109A-BDC1-49BE-BC30-878908E1DC8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528C0611-6586-4DA6-9EA7-C33B820AD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2BD40C4-D29E-4EDE-9FFD-C7BEA44D1A0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6BF4684-83D8-4E99-8366-263A585DF3D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124DEB9-A1BB-4615-8B92-060801801FC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0F36B98-D6D7-4A76-874C-FBE374751F3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BDBDBAF-56F9-4E1A-A979-86C13B1DA12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41C8C63C-F963-428A-B845-592B6A274DEF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1D92D6A-08CB-4C1B-9693-A22713A0F31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5E21EA0B-2BA0-4957-A10D-8CC54AFE84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830072B6-EA2C-4F51-8BD8-55191F8B1B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A186A41-F660-456D-B929-E8CACBF438B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6154FF-0610-40DC-B8FF-C2D3FCD969E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55E0F9FE-51CA-4FC8-AD96-0960E10019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3CECCB06-DB6C-4EDD-8B4C-3098B58F7C6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4171BBA-32CB-4DA8-B1CF-6168041E130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8364D807-ADF0-45B9-BEE6-F9ADCBB5BFB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5E2CE20B-22B6-4524-AE80-4B84C1821B9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D59343BB-CB3D-4544-AC00-ED8169DF0F3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2B70597B-3429-4223-AD29-01A55BED9B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C2A399C-FD76-4AE3-8A7B-2B5D1B6C525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13E39B4-D45C-4CE2-8866-7E04EB8EECB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C7BA3FB-966B-49B7-BC59-5707EAAC226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C73B08C-2014-4207-9565-A4C430D2E65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92E6E1B-5E4B-475F-BF1B-2E1B1620539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10DDC26-5226-45E6-BC01-768D4BEEA38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CC71ACE0-DF5D-4788-80FB-9F48C8945FA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7025A1CC-94B0-4684-BE8B-0CB97A8D5B26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D5F8FEA-9ACA-4C68-83A8-FBDC8C1264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E2A13A0-EB3C-4B27-8402-03421F94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16D472FF-B712-4CD8-AAE2-7157BC033A4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7467535-C91C-49EB-99C3-9FA3240FE66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3175009-A025-415F-B380-EC7CD80FF2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8D6971A7-5A0E-4886-BCD9-52D5B17A6B8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B361AD1C-1207-4EEC-8EEA-BE0E5852E3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C975E866-98B8-449E-A188-92553B2B7E3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D07B0BBB-39E5-40E9-9C2C-8A1C180B7047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AA40B8C-BEA2-4D4E-980C-966EC9D1E66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BE2F9197-CD55-41FA-90CF-CC5AC809E98D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B1E835B-000E-4F05-83F7-BCC3C5D06C2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5D7F06D-429A-4572-AF75-F05D55C4FE2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9E787FE0-342F-42F4-AFC2-467632C73301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E50F36CF-5188-42A7-88BF-B79495288DB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F37E381A-307A-4119-A2EC-D3454B2127B2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EFA98CB3-AE04-445B-8331-E5A2D0069DD5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BA63E21-21B6-49A9-98DD-EE68605C6F9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F0EE31CD-1A68-46AC-92EB-4676F409926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AD015C02-76B3-4A3E-B39E-53BBA5B0C1AC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AE4B6FDF-04E6-4B84-93AD-DF4B3B3BE29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A46BA7A3-5403-4B53-99C3-1133521CC1F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AE4859C6-0ADC-4F0F-9C09-8DB94E04AC18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87C445F6-F45B-45D6-8A5C-3675E3A677E0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97FD0422-91FC-47B5-983C-D023789552F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3507155-0783-4F9F-AF36-DEC83A509E7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B5D1A337-23D1-4BD0-8659-2ADE66596DC4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B2DE8EC-A16C-4C7C-B07C-58D0E3270B5B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F2F5F55-0E43-4374-9D18-9C427811C91A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3FDB8D64-933B-44B7-8983-25A1F6FB3A23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E4A8A031-2600-4FB7-BBE6-0C0245F441E9}"/>
            </a:ext>
          </a:extLst>
        </xdr:cNvPr>
        <xdr:cNvSpPr txBox="1"/>
      </xdr:nvSpPr>
      <xdr:spPr>
        <a:xfrm>
          <a:off x="33839150" y="69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59"/>
  <sheetViews>
    <sheetView topLeftCell="E1" zoomScale="77" zoomScaleNormal="77" workbookViewId="0">
      <pane ySplit="2" topLeftCell="A136" activePane="bottomLeft" state="frozen"/>
      <selection pane="bottomLeft" activeCell="BE1" sqref="BE1"/>
    </sheetView>
  </sheetViews>
  <sheetFormatPr defaultColWidth="23.08984375" defaultRowHeight="14.5" x14ac:dyDescent="0.35"/>
  <cols>
    <col min="1" max="1" width="12.453125" style="107" hidden="1" customWidth="1"/>
    <col min="2" max="2" width="8.36328125" style="107" hidden="1" customWidth="1"/>
    <col min="3" max="3" width="15" style="107" hidden="1" customWidth="1"/>
    <col min="4" max="4" width="17.7265625" style="108" hidden="1" customWidth="1"/>
    <col min="5" max="5" width="23.54296875" style="114" bestFit="1" customWidth="1"/>
    <col min="6" max="6" width="26.7265625" style="107" bestFit="1" customWidth="1"/>
    <col min="7" max="7" width="17.90625" style="107" hidden="1" customWidth="1"/>
    <col min="8" max="8" width="28.7265625" style="107" hidden="1" customWidth="1"/>
    <col min="9" max="9" width="16.54296875" style="107" customWidth="1"/>
    <col min="10" max="10" width="15" style="107" hidden="1" customWidth="1"/>
    <col min="11" max="11" width="14.26953125" style="107" hidden="1" customWidth="1"/>
    <col min="12" max="12" width="26.81640625" style="108" bestFit="1" customWidth="1"/>
    <col min="13" max="13" width="19.1796875" style="107" hidden="1" customWidth="1"/>
    <col min="14" max="14" width="8.81640625" style="85" customWidth="1"/>
    <col min="15" max="15" width="18.26953125" style="109" hidden="1" customWidth="1"/>
    <col min="16" max="16" width="23.7265625" style="109" hidden="1" customWidth="1"/>
    <col min="17" max="17" width="20.08984375" style="109" hidden="1" customWidth="1"/>
    <col min="18" max="18" width="22.453125" style="109" hidden="1" customWidth="1"/>
    <col min="19" max="19" width="20.54296875" style="109" hidden="1" customWidth="1"/>
    <col min="20" max="20" width="17.08984375" style="83" hidden="1" customWidth="1"/>
    <col min="21" max="21" width="16.453125" style="83" hidden="1" customWidth="1"/>
    <col min="22" max="22" width="14.08984375" style="83" hidden="1" customWidth="1"/>
    <col min="23" max="23" width="16.1796875" style="83" hidden="1" customWidth="1"/>
    <col min="24" max="24" width="17.26953125" style="83" hidden="1" customWidth="1"/>
    <col min="25" max="25" width="17.453125" style="83" hidden="1" customWidth="1"/>
    <col min="26" max="26" width="17.26953125" style="83" hidden="1" customWidth="1"/>
    <col min="27" max="27" width="14.90625" style="83" hidden="1" customWidth="1"/>
    <col min="28" max="28" width="17" style="83" hidden="1" customWidth="1"/>
    <col min="29" max="29" width="20" style="83" hidden="1" customWidth="1"/>
    <col min="30" max="30" width="17.90625" style="83" hidden="1" customWidth="1"/>
    <col min="31" max="31" width="16.54296875" style="83" hidden="1" customWidth="1"/>
    <col min="32" max="32" width="14.26953125" style="83" hidden="1" customWidth="1"/>
    <col min="33" max="33" width="16.36328125" style="83" hidden="1" customWidth="1"/>
    <col min="34" max="34" width="19.26953125" style="83" hidden="1" customWidth="1"/>
    <col min="35" max="35" width="17.26953125" style="83" hidden="1" customWidth="1"/>
    <col min="36" max="36" width="15.453125" style="83" hidden="1" customWidth="1"/>
    <col min="37" max="37" width="14.6328125" style="83" hidden="1" customWidth="1"/>
    <col min="38" max="38" width="16.7265625" style="83" hidden="1" customWidth="1"/>
    <col min="39" max="39" width="19.7265625" style="83" hidden="1" customWidth="1"/>
    <col min="40" max="40" width="17.36328125" style="83" hidden="1" customWidth="1"/>
    <col min="41" max="41" width="17.08984375" style="83" hidden="1" customWidth="1"/>
    <col min="42" max="42" width="14.36328125" style="83" hidden="1" customWidth="1"/>
    <col min="43" max="43" width="16.453125" style="83" hidden="1" customWidth="1"/>
    <col min="44" max="44" width="17.453125" style="83" hidden="1" customWidth="1"/>
    <col min="45" max="45" width="17.08984375" style="83" hidden="1" customWidth="1"/>
    <col min="46" max="46" width="16.81640625" style="83" hidden="1" customWidth="1"/>
    <col min="47" max="47" width="14.08984375" style="83" hidden="1" customWidth="1"/>
    <col min="48" max="48" width="16.1796875" style="83" hidden="1" customWidth="1"/>
    <col min="49" max="49" width="17.26953125" style="83" hidden="1" customWidth="1"/>
    <col min="50" max="50" width="16.81640625" style="110" customWidth="1"/>
    <col min="51" max="51" width="16.54296875" style="110" customWidth="1"/>
    <col min="52" max="52" width="13.81640625" style="83" customWidth="1"/>
    <col min="53" max="53" width="15.90625" style="83" customWidth="1"/>
    <col min="54" max="54" width="17" style="83" hidden="1" customWidth="1"/>
    <col min="55" max="55" width="17.36328125" style="83" hidden="1" customWidth="1"/>
    <col min="56" max="56" width="17.08984375" style="83" hidden="1" customWidth="1"/>
    <col min="57" max="57" width="14.36328125" style="83" customWidth="1"/>
    <col min="58" max="58" width="16.453125" style="83" customWidth="1"/>
    <col min="59" max="59" width="17.453125" style="83" hidden="1" customWidth="1"/>
    <col min="60" max="60" width="17.26953125" style="83" hidden="1" customWidth="1"/>
    <col min="61" max="61" width="17" style="83" hidden="1" customWidth="1"/>
    <col min="62" max="62" width="14.26953125" style="83" customWidth="1"/>
    <col min="63" max="63" width="16.36328125" style="83" customWidth="1"/>
    <col min="64" max="64" width="17.36328125" style="83" hidden="1" customWidth="1"/>
    <col min="65" max="65" width="16.7265625" style="83" hidden="1" customWidth="1"/>
    <col min="66" max="66" width="16.453125" style="83" hidden="1" customWidth="1"/>
    <col min="67" max="67" width="13.7265625" style="83" hidden="1" customWidth="1"/>
    <col min="68" max="68" width="15.81640625" style="83" hidden="1" customWidth="1"/>
    <col min="69" max="69" width="19.7265625" style="83" hidden="1" customWidth="1"/>
    <col min="70" max="70" width="17" style="83" hidden="1" customWidth="1"/>
    <col min="71" max="71" width="16.7265625" style="83" hidden="1" customWidth="1"/>
    <col min="72" max="72" width="14" style="83" hidden="1" customWidth="1"/>
    <col min="73" max="73" width="16.08984375" style="83" hidden="1" customWidth="1"/>
    <col min="74" max="74" width="19.54296875" style="83" hidden="1" customWidth="1"/>
    <col min="75" max="75" width="18" style="83" hidden="1" customWidth="1"/>
    <col min="76" max="76" width="17" style="83" hidden="1" customWidth="1"/>
    <col min="77" max="77" width="14.26953125" style="83" hidden="1" customWidth="1"/>
    <col min="78" max="78" width="16.36328125" style="83" hidden="1" customWidth="1"/>
    <col min="79" max="79" width="19.453125" style="83" hidden="1" customWidth="1"/>
    <col min="80" max="80" width="62.36328125" style="107" bestFit="1" customWidth="1"/>
    <col min="81" max="16384" width="23.08984375" style="100"/>
  </cols>
  <sheetData>
    <row r="1" spans="1:80" s="88" customFormat="1" ht="19.5" customHeight="1" x14ac:dyDescent="0.35">
      <c r="A1" s="83"/>
      <c r="B1" s="83"/>
      <c r="C1" s="83"/>
      <c r="D1" s="84"/>
      <c r="E1" s="110"/>
      <c r="F1" s="83"/>
      <c r="G1" s="83"/>
      <c r="H1" s="83"/>
      <c r="I1" s="83"/>
      <c r="J1" s="83"/>
      <c r="K1" s="83"/>
      <c r="L1" s="84"/>
      <c r="M1" s="83"/>
      <c r="N1" s="85"/>
      <c r="O1" s="86">
        <f t="shared" ref="O1:AT1" si="0">SUBTOTAL(9,O3:O162)</f>
        <v>3754290</v>
      </c>
      <c r="P1" s="86">
        <f t="shared" si="0"/>
        <v>45180.212</v>
      </c>
      <c r="Q1" s="86">
        <f t="shared" si="0"/>
        <v>518146.49340571422</v>
      </c>
      <c r="R1" s="86">
        <f t="shared" si="0"/>
        <v>79673653.342857137</v>
      </c>
      <c r="S1" s="86">
        <f t="shared" si="0"/>
        <v>13667884</v>
      </c>
      <c r="T1" s="86">
        <f t="shared" si="0"/>
        <v>4004240</v>
      </c>
      <c r="U1" s="86">
        <f t="shared" si="0"/>
        <v>42330520.914285719</v>
      </c>
      <c r="V1" s="86">
        <f t="shared" si="0"/>
        <v>3762992</v>
      </c>
      <c r="W1" s="86">
        <f t="shared" si="0"/>
        <v>39182933.434285715</v>
      </c>
      <c r="X1" s="86">
        <f t="shared" si="0"/>
        <v>2438160</v>
      </c>
      <c r="Y1" s="86">
        <f t="shared" si="0"/>
        <v>3681382</v>
      </c>
      <c r="Z1" s="86">
        <f t="shared" si="0"/>
        <v>40896469.134285711</v>
      </c>
      <c r="AA1" s="86">
        <f t="shared" si="0"/>
        <v>3938800</v>
      </c>
      <c r="AB1" s="86">
        <f t="shared" si="0"/>
        <v>27504817.714285713</v>
      </c>
      <c r="AC1" s="86">
        <f t="shared" si="0"/>
        <v>3618090</v>
      </c>
      <c r="AD1" s="86">
        <f t="shared" si="0"/>
        <v>3744330</v>
      </c>
      <c r="AE1" s="86">
        <f t="shared" si="0"/>
        <v>40142786.114285715</v>
      </c>
      <c r="AF1" s="86">
        <f t="shared" si="0"/>
        <v>3761072</v>
      </c>
      <c r="AG1" s="86">
        <f t="shared" si="0"/>
        <v>33873975.834285714</v>
      </c>
      <c r="AH1" s="86">
        <f t="shared" si="0"/>
        <v>3484380</v>
      </c>
      <c r="AI1" s="86">
        <f t="shared" si="0"/>
        <v>3836942</v>
      </c>
      <c r="AJ1" s="86">
        <f t="shared" si="0"/>
        <v>42628572.719999999</v>
      </c>
      <c r="AK1" s="86">
        <f t="shared" si="0"/>
        <v>3822020</v>
      </c>
      <c r="AL1" s="86">
        <f t="shared" si="0"/>
        <v>48190218.314285718</v>
      </c>
      <c r="AM1" s="86">
        <f t="shared" si="0"/>
        <v>2717900</v>
      </c>
      <c r="AN1" s="86">
        <f t="shared" si="0"/>
        <v>3674270</v>
      </c>
      <c r="AO1" s="86">
        <f t="shared" si="0"/>
        <v>40380188.600000001</v>
      </c>
      <c r="AP1" s="86">
        <f t="shared" si="0"/>
        <v>4034120</v>
      </c>
      <c r="AQ1" s="86">
        <f t="shared" si="0"/>
        <v>28505512.314285718</v>
      </c>
      <c r="AR1" s="86">
        <f t="shared" si="0"/>
        <v>3602500</v>
      </c>
      <c r="AS1" s="86">
        <f t="shared" si="0"/>
        <v>3908902</v>
      </c>
      <c r="AT1" s="86">
        <f t="shared" si="0"/>
        <v>41990594.519999996</v>
      </c>
      <c r="AU1" s="86">
        <f t="shared" ref="AU1:CA1" si="1">SUBTOTAL(9,AU3:AU162)</f>
        <v>3795800</v>
      </c>
      <c r="AV1" s="86">
        <f t="shared" si="1"/>
        <v>37231922.714285716</v>
      </c>
      <c r="AW1" s="86">
        <f t="shared" si="1"/>
        <v>2533800</v>
      </c>
      <c r="AX1" s="115">
        <f t="shared" si="1"/>
        <v>3705650</v>
      </c>
      <c r="AY1" s="115">
        <f t="shared" si="1"/>
        <v>39935437</v>
      </c>
      <c r="AZ1" s="86">
        <f t="shared" si="1"/>
        <v>3878120</v>
      </c>
      <c r="BA1" s="86">
        <f t="shared" si="1"/>
        <v>36122164.314285718</v>
      </c>
      <c r="BB1" s="86">
        <f t="shared" si="1"/>
        <v>4106344</v>
      </c>
      <c r="BC1" s="86">
        <f t="shared" si="1"/>
        <v>3667502</v>
      </c>
      <c r="BD1" s="86">
        <f t="shared" si="1"/>
        <v>49544799.519999996</v>
      </c>
      <c r="BE1" s="86">
        <f t="shared" si="1"/>
        <v>3702920</v>
      </c>
      <c r="BF1" s="86">
        <f t="shared" si="1"/>
        <v>29909174.314285718</v>
      </c>
      <c r="BG1" s="86">
        <f t="shared" si="1"/>
        <v>2634560</v>
      </c>
      <c r="BH1" s="86">
        <f t="shared" si="1"/>
        <v>3687140</v>
      </c>
      <c r="BI1" s="86">
        <f t="shared" si="1"/>
        <v>45089195.200000003</v>
      </c>
      <c r="BJ1" s="86">
        <f t="shared" si="1"/>
        <v>3783000</v>
      </c>
      <c r="BK1" s="86">
        <f t="shared" si="1"/>
        <v>13642314.714285715</v>
      </c>
      <c r="BL1" s="86">
        <f t="shared" si="1"/>
        <v>3250080</v>
      </c>
      <c r="BM1" s="86">
        <f t="shared" si="1"/>
        <v>3758882</v>
      </c>
      <c r="BN1" s="86">
        <f t="shared" si="1"/>
        <v>46485869.134285711</v>
      </c>
      <c r="BO1" s="86">
        <f t="shared" si="1"/>
        <v>0</v>
      </c>
      <c r="BP1" s="86">
        <f t="shared" si="1"/>
        <v>0</v>
      </c>
      <c r="BQ1" s="86">
        <f t="shared" si="1"/>
        <v>2211000</v>
      </c>
      <c r="BR1" s="86">
        <f t="shared" si="1"/>
        <v>3747180</v>
      </c>
      <c r="BS1" s="86">
        <f t="shared" si="1"/>
        <v>42164401.114285715</v>
      </c>
      <c r="BT1" s="86">
        <f t="shared" si="1"/>
        <v>0</v>
      </c>
      <c r="BU1" s="86">
        <f t="shared" si="1"/>
        <v>0</v>
      </c>
      <c r="BV1" s="86">
        <f t="shared" si="1"/>
        <v>252000</v>
      </c>
      <c r="BW1" s="86">
        <f t="shared" si="1"/>
        <v>3763792</v>
      </c>
      <c r="BX1" s="86">
        <f t="shared" si="1"/>
        <v>46557659.434285715</v>
      </c>
      <c r="BY1" s="86">
        <f t="shared" si="1"/>
        <v>0</v>
      </c>
      <c r="BZ1" s="86">
        <f t="shared" si="1"/>
        <v>0</v>
      </c>
      <c r="CA1" s="86">
        <f t="shared" si="1"/>
        <v>1213900</v>
      </c>
      <c r="CB1" s="87"/>
    </row>
    <row r="2" spans="1:80" s="99" customFormat="1" ht="28.5" customHeight="1" x14ac:dyDescent="0.35">
      <c r="A2" s="89" t="s">
        <v>0</v>
      </c>
      <c r="B2" s="89" t="s">
        <v>1</v>
      </c>
      <c r="C2" s="89" t="s">
        <v>2</v>
      </c>
      <c r="D2" s="90" t="s">
        <v>3</v>
      </c>
      <c r="E2" s="111" t="s">
        <v>4</v>
      </c>
      <c r="F2" s="89" t="s">
        <v>5</v>
      </c>
      <c r="G2" s="89" t="s">
        <v>6</v>
      </c>
      <c r="H2" s="89" t="s">
        <v>7</v>
      </c>
      <c r="I2" s="89" t="s">
        <v>8</v>
      </c>
      <c r="J2" s="89" t="s">
        <v>9</v>
      </c>
      <c r="K2" s="89" t="s">
        <v>10</v>
      </c>
      <c r="L2" s="90" t="s">
        <v>11</v>
      </c>
      <c r="M2" s="89" t="s">
        <v>12</v>
      </c>
      <c r="N2" s="91" t="s">
        <v>13</v>
      </c>
      <c r="O2" s="92" t="s">
        <v>593</v>
      </c>
      <c r="P2" s="93" t="s">
        <v>14</v>
      </c>
      <c r="Q2" s="93" t="s">
        <v>202</v>
      </c>
      <c r="R2" s="93" t="s">
        <v>591</v>
      </c>
      <c r="S2" s="93" t="s">
        <v>592</v>
      </c>
      <c r="T2" s="94" t="s">
        <v>15</v>
      </c>
      <c r="U2" s="94" t="s">
        <v>16</v>
      </c>
      <c r="V2" s="94" t="s">
        <v>17</v>
      </c>
      <c r="W2" s="94" t="s">
        <v>18</v>
      </c>
      <c r="X2" s="95" t="s">
        <v>19</v>
      </c>
      <c r="Y2" s="94" t="s">
        <v>20</v>
      </c>
      <c r="Z2" s="94" t="s">
        <v>21</v>
      </c>
      <c r="AA2" s="94" t="s">
        <v>22</v>
      </c>
      <c r="AB2" s="94" t="s">
        <v>23</v>
      </c>
      <c r="AC2" s="95" t="s">
        <v>24</v>
      </c>
      <c r="AD2" s="94" t="s">
        <v>25</v>
      </c>
      <c r="AE2" s="94" t="s">
        <v>26</v>
      </c>
      <c r="AF2" s="94" t="s">
        <v>27</v>
      </c>
      <c r="AG2" s="94" t="s">
        <v>28</v>
      </c>
      <c r="AH2" s="95" t="s">
        <v>29</v>
      </c>
      <c r="AI2" s="94" t="s">
        <v>30</v>
      </c>
      <c r="AJ2" s="94" t="s">
        <v>31</v>
      </c>
      <c r="AK2" s="94" t="s">
        <v>32</v>
      </c>
      <c r="AL2" s="94" t="s">
        <v>33</v>
      </c>
      <c r="AM2" s="95" t="s">
        <v>34</v>
      </c>
      <c r="AN2" s="94" t="s">
        <v>35</v>
      </c>
      <c r="AO2" s="94" t="s">
        <v>36</v>
      </c>
      <c r="AP2" s="94" t="s">
        <v>37</v>
      </c>
      <c r="AQ2" s="94" t="s">
        <v>38</v>
      </c>
      <c r="AR2" s="95" t="s">
        <v>39</v>
      </c>
      <c r="AS2" s="94" t="s">
        <v>40</v>
      </c>
      <c r="AT2" s="94" t="s">
        <v>41</v>
      </c>
      <c r="AU2" s="94" t="s">
        <v>42</v>
      </c>
      <c r="AV2" s="94" t="s">
        <v>43</v>
      </c>
      <c r="AW2" s="95" t="s">
        <v>44</v>
      </c>
      <c r="AX2" s="116" t="s">
        <v>45</v>
      </c>
      <c r="AY2" s="116" t="s">
        <v>46</v>
      </c>
      <c r="AZ2" s="96" t="s">
        <v>47</v>
      </c>
      <c r="BA2" s="94" t="s">
        <v>48</v>
      </c>
      <c r="BB2" s="95" t="s">
        <v>49</v>
      </c>
      <c r="BC2" s="94" t="s">
        <v>50</v>
      </c>
      <c r="BD2" s="94" t="s">
        <v>51</v>
      </c>
      <c r="BE2" s="96" t="s">
        <v>52</v>
      </c>
      <c r="BF2" s="94" t="s">
        <v>53</v>
      </c>
      <c r="BG2" s="95" t="s">
        <v>54</v>
      </c>
      <c r="BH2" s="94" t="s">
        <v>55</v>
      </c>
      <c r="BI2" s="94" t="s">
        <v>56</v>
      </c>
      <c r="BJ2" s="96" t="s">
        <v>57</v>
      </c>
      <c r="BK2" s="94" t="s">
        <v>58</v>
      </c>
      <c r="BL2" s="95" t="s">
        <v>59</v>
      </c>
      <c r="BM2" s="94" t="s">
        <v>60</v>
      </c>
      <c r="BN2" s="94" t="s">
        <v>61</v>
      </c>
      <c r="BO2" s="94" t="s">
        <v>62</v>
      </c>
      <c r="BP2" s="94" t="s">
        <v>63</v>
      </c>
      <c r="BQ2" s="95" t="s">
        <v>64</v>
      </c>
      <c r="BR2" s="94" t="s">
        <v>65</v>
      </c>
      <c r="BS2" s="94" t="s">
        <v>66</v>
      </c>
      <c r="BT2" s="94" t="s">
        <v>67</v>
      </c>
      <c r="BU2" s="94" t="s">
        <v>68</v>
      </c>
      <c r="BV2" s="97" t="s">
        <v>69</v>
      </c>
      <c r="BW2" s="94" t="s">
        <v>70</v>
      </c>
      <c r="BX2" s="94" t="s">
        <v>71</v>
      </c>
      <c r="BY2" s="94" t="s">
        <v>72</v>
      </c>
      <c r="BZ2" s="94" t="s">
        <v>73</v>
      </c>
      <c r="CA2" s="97" t="s">
        <v>74</v>
      </c>
      <c r="CB2" s="98" t="s">
        <v>75</v>
      </c>
    </row>
    <row r="3" spans="1:80" ht="16" x14ac:dyDescent="0.4">
      <c r="A3" s="15" t="s">
        <v>76</v>
      </c>
      <c r="B3" s="15" t="s">
        <v>262</v>
      </c>
      <c r="C3" s="15" t="s">
        <v>263</v>
      </c>
      <c r="D3" s="15" t="s">
        <v>300</v>
      </c>
      <c r="E3" s="112" t="s">
        <v>301</v>
      </c>
      <c r="F3" s="15" t="s">
        <v>267</v>
      </c>
      <c r="G3" s="15" t="s">
        <v>283</v>
      </c>
      <c r="H3" s="15" t="s">
        <v>114</v>
      </c>
      <c r="I3" s="15" t="s">
        <v>114</v>
      </c>
      <c r="J3" s="15" t="s">
        <v>89</v>
      </c>
      <c r="K3" s="15" t="s">
        <v>115</v>
      </c>
      <c r="L3" s="15" t="s">
        <v>465</v>
      </c>
      <c r="M3" s="15" t="s">
        <v>83</v>
      </c>
      <c r="N3" s="17">
        <v>0.22</v>
      </c>
      <c r="O3" s="18"/>
      <c r="P3" s="22">
        <f t="shared" ref="P3:P17" si="2">+(T3+Y3+AD3+AI3+AN3+AS3+AX3+BC3+BH3+BM3+BR3+BW3)/1000</f>
        <v>25</v>
      </c>
      <c r="Q3" s="22">
        <f t="shared" ref="Q3:Q17" si="3">+(U3+Z3+AE3+AJ3+AO3+AT3+AY3+BD3+BI3+BN3+BS3+BX3)/1000</f>
        <v>5.5</v>
      </c>
      <c r="R3" s="22">
        <f t="shared" ref="R3:R17" si="4">+(+BA3+BF3+BK3+BP3+BU3+BZ3)</f>
        <v>0</v>
      </c>
      <c r="S3" s="22">
        <f t="shared" ref="S3:S17" si="5">+(+BB3+BG3+BL3+BQ3+BV3+CA3)</f>
        <v>0</v>
      </c>
      <c r="T3" s="23"/>
      <c r="U3" s="23">
        <f t="shared" ref="U3:U17" si="6">T3*N3</f>
        <v>0</v>
      </c>
      <c r="V3" s="23"/>
      <c r="W3" s="23">
        <f t="shared" ref="W3:W17" si="7">V3*N3</f>
        <v>0</v>
      </c>
      <c r="X3" s="23"/>
      <c r="Y3" s="23"/>
      <c r="Z3" s="23">
        <f t="shared" ref="Z3:Z17" si="8">Y3*N3</f>
        <v>0</v>
      </c>
      <c r="AA3" s="23"/>
      <c r="AB3" s="23">
        <f t="shared" ref="AB3:AB17" si="9">AA3*N3</f>
        <v>0</v>
      </c>
      <c r="AC3" s="23"/>
      <c r="AD3" s="23"/>
      <c r="AE3" s="23">
        <f t="shared" ref="AE3:AE17" si="10">AD3*N3</f>
        <v>0</v>
      </c>
      <c r="AF3" s="23"/>
      <c r="AG3" s="23">
        <f t="shared" ref="AG3:AG17" si="11">AF3*N3</f>
        <v>0</v>
      </c>
      <c r="AH3" s="23"/>
      <c r="AI3" s="23">
        <v>25000</v>
      </c>
      <c r="AJ3" s="23">
        <f t="shared" ref="AJ3:AJ17" si="12">AI3*N3</f>
        <v>5500</v>
      </c>
      <c r="AK3" s="23"/>
      <c r="AL3" s="23">
        <f t="shared" ref="AL3:AL17" si="13">AK3*N3</f>
        <v>0</v>
      </c>
      <c r="AM3" s="23">
        <v>25000</v>
      </c>
      <c r="AN3" s="23"/>
      <c r="AO3" s="23">
        <f t="shared" ref="AO3:AO17" si="14">AN3*N3</f>
        <v>0</v>
      </c>
      <c r="AP3" s="23">
        <v>5000</v>
      </c>
      <c r="AQ3" s="23">
        <f t="shared" ref="AQ3:AQ17" si="15">AP3*N3</f>
        <v>1100</v>
      </c>
      <c r="AR3" s="23"/>
      <c r="AS3" s="23"/>
      <c r="AT3" s="23">
        <f t="shared" ref="AT3:AT17" si="16">AS3*N3</f>
        <v>0</v>
      </c>
      <c r="AU3" s="23"/>
      <c r="AV3" s="23">
        <f t="shared" ref="AV3:AV17" si="17">AU3*N3</f>
        <v>0</v>
      </c>
      <c r="AW3" s="23"/>
      <c r="AX3" s="24"/>
      <c r="AY3" s="24">
        <f t="shared" ref="AY3:AY17" si="18">AX3*N3</f>
        <v>0</v>
      </c>
      <c r="AZ3" s="23"/>
      <c r="BA3" s="23">
        <f t="shared" ref="BA3:BA17" si="19">AZ3*N3</f>
        <v>0</v>
      </c>
      <c r="BB3" s="23"/>
      <c r="BC3" s="23"/>
      <c r="BD3" s="23">
        <f t="shared" ref="BD3:BD17" si="20">BC3*N3</f>
        <v>0</v>
      </c>
      <c r="BE3" s="23"/>
      <c r="BF3" s="23">
        <f t="shared" ref="BF3:BF17" si="21">BE3*N3</f>
        <v>0</v>
      </c>
      <c r="BG3" s="23"/>
      <c r="BH3" s="23"/>
      <c r="BI3" s="23">
        <f t="shared" ref="BI3:BI17" si="22">BH3*N3</f>
        <v>0</v>
      </c>
      <c r="BJ3" s="23"/>
      <c r="BK3" s="23">
        <f t="shared" ref="BK3:BK17" si="23">BJ3*N3</f>
        <v>0</v>
      </c>
      <c r="BL3" s="23"/>
      <c r="BM3" s="23"/>
      <c r="BN3" s="23">
        <f t="shared" ref="BN3:BN17" si="24">BM3*N3</f>
        <v>0</v>
      </c>
      <c r="BO3" s="23"/>
      <c r="BP3" s="23">
        <f t="shared" ref="BP3:BP17" si="25">BO3*N3</f>
        <v>0</v>
      </c>
      <c r="BQ3" s="23"/>
      <c r="BR3" s="23"/>
      <c r="BS3" s="23">
        <f t="shared" ref="BS3:BS17" si="26">BR3*N3</f>
        <v>0</v>
      </c>
      <c r="BT3" s="23"/>
      <c r="BU3" s="23">
        <f t="shared" ref="BU3:BU17" si="27">BT3*N3</f>
        <v>0</v>
      </c>
      <c r="BV3" s="23"/>
      <c r="BW3" s="23"/>
      <c r="BX3" s="23">
        <f t="shared" ref="BX3:BX17" si="28">BW3*N3</f>
        <v>0</v>
      </c>
      <c r="BY3" s="23"/>
      <c r="BZ3" s="23">
        <f t="shared" ref="BZ3:BZ17" si="29">BY3*N3</f>
        <v>0</v>
      </c>
      <c r="CA3" s="23"/>
      <c r="CB3" s="15"/>
    </row>
    <row r="4" spans="1:80" ht="16" x14ac:dyDescent="0.4">
      <c r="A4" s="15" t="s">
        <v>76</v>
      </c>
      <c r="B4" s="15" t="s">
        <v>262</v>
      </c>
      <c r="C4" s="15" t="s">
        <v>263</v>
      </c>
      <c r="D4" s="15" t="s">
        <v>300</v>
      </c>
      <c r="E4" s="112" t="s">
        <v>301</v>
      </c>
      <c r="F4" s="15" t="s">
        <v>267</v>
      </c>
      <c r="G4" s="15" t="s">
        <v>283</v>
      </c>
      <c r="H4" s="15" t="s">
        <v>114</v>
      </c>
      <c r="I4" s="15" t="s">
        <v>114</v>
      </c>
      <c r="J4" s="15" t="s">
        <v>89</v>
      </c>
      <c r="K4" s="15" t="s">
        <v>115</v>
      </c>
      <c r="L4" s="15" t="s">
        <v>466</v>
      </c>
      <c r="M4" s="15" t="s">
        <v>83</v>
      </c>
      <c r="N4" s="17">
        <v>0.22</v>
      </c>
      <c r="O4" s="18"/>
      <c r="P4" s="22">
        <f t="shared" si="2"/>
        <v>10</v>
      </c>
      <c r="Q4" s="22">
        <f t="shared" si="3"/>
        <v>2.2000000000000002</v>
      </c>
      <c r="R4" s="22">
        <f t="shared" si="4"/>
        <v>0</v>
      </c>
      <c r="S4" s="22">
        <f t="shared" si="5"/>
        <v>0</v>
      </c>
      <c r="T4" s="23"/>
      <c r="U4" s="23">
        <f t="shared" si="6"/>
        <v>0</v>
      </c>
      <c r="V4" s="23"/>
      <c r="W4" s="23">
        <f t="shared" si="7"/>
        <v>0</v>
      </c>
      <c r="X4" s="23"/>
      <c r="Y4" s="23"/>
      <c r="Z4" s="23">
        <f t="shared" si="8"/>
        <v>0</v>
      </c>
      <c r="AA4" s="23"/>
      <c r="AB4" s="23">
        <f t="shared" si="9"/>
        <v>0</v>
      </c>
      <c r="AC4" s="23"/>
      <c r="AD4" s="23"/>
      <c r="AE4" s="23">
        <f t="shared" si="10"/>
        <v>0</v>
      </c>
      <c r="AF4" s="23"/>
      <c r="AG4" s="23">
        <f t="shared" si="11"/>
        <v>0</v>
      </c>
      <c r="AH4" s="23"/>
      <c r="AI4" s="23">
        <v>10000</v>
      </c>
      <c r="AJ4" s="23">
        <f t="shared" si="12"/>
        <v>2200</v>
      </c>
      <c r="AK4" s="23"/>
      <c r="AL4" s="23">
        <f t="shared" si="13"/>
        <v>0</v>
      </c>
      <c r="AM4" s="23">
        <v>10000</v>
      </c>
      <c r="AN4" s="23"/>
      <c r="AO4" s="23">
        <f t="shared" si="14"/>
        <v>0</v>
      </c>
      <c r="AP4" s="23">
        <v>5000</v>
      </c>
      <c r="AQ4" s="23">
        <f t="shared" si="15"/>
        <v>1100</v>
      </c>
      <c r="AR4" s="23"/>
      <c r="AS4" s="23"/>
      <c r="AT4" s="23">
        <f t="shared" si="16"/>
        <v>0</v>
      </c>
      <c r="AU4" s="23"/>
      <c r="AV4" s="23">
        <f t="shared" si="17"/>
        <v>0</v>
      </c>
      <c r="AW4" s="23"/>
      <c r="AX4" s="24"/>
      <c r="AY4" s="24">
        <f t="shared" si="18"/>
        <v>0</v>
      </c>
      <c r="AZ4" s="23"/>
      <c r="BA4" s="23">
        <f t="shared" si="19"/>
        <v>0</v>
      </c>
      <c r="BB4" s="23"/>
      <c r="BC4" s="23"/>
      <c r="BD4" s="23">
        <f t="shared" si="20"/>
        <v>0</v>
      </c>
      <c r="BE4" s="23"/>
      <c r="BF4" s="23">
        <f t="shared" si="21"/>
        <v>0</v>
      </c>
      <c r="BG4" s="23"/>
      <c r="BH4" s="23"/>
      <c r="BI4" s="23">
        <f t="shared" si="22"/>
        <v>0</v>
      </c>
      <c r="BJ4" s="23"/>
      <c r="BK4" s="23">
        <f t="shared" si="23"/>
        <v>0</v>
      </c>
      <c r="BL4" s="23"/>
      <c r="BM4" s="23"/>
      <c r="BN4" s="23">
        <f t="shared" si="24"/>
        <v>0</v>
      </c>
      <c r="BO4" s="23"/>
      <c r="BP4" s="23">
        <f t="shared" si="25"/>
        <v>0</v>
      </c>
      <c r="BQ4" s="23"/>
      <c r="BR4" s="23"/>
      <c r="BS4" s="23">
        <f t="shared" si="26"/>
        <v>0</v>
      </c>
      <c r="BT4" s="23"/>
      <c r="BU4" s="23">
        <f t="shared" si="27"/>
        <v>0</v>
      </c>
      <c r="BV4" s="23"/>
      <c r="BW4" s="23"/>
      <c r="BX4" s="23">
        <f t="shared" si="28"/>
        <v>0</v>
      </c>
      <c r="BY4" s="23"/>
      <c r="BZ4" s="23">
        <f t="shared" si="29"/>
        <v>0</v>
      </c>
      <c r="CA4" s="23"/>
      <c r="CB4" s="20"/>
    </row>
    <row r="5" spans="1:80" ht="16" x14ac:dyDescent="0.4">
      <c r="A5" s="15" t="s">
        <v>76</v>
      </c>
      <c r="B5" s="15" t="s">
        <v>262</v>
      </c>
      <c r="C5" s="15" t="s">
        <v>263</v>
      </c>
      <c r="D5" s="15" t="s">
        <v>300</v>
      </c>
      <c r="E5" s="112" t="s">
        <v>301</v>
      </c>
      <c r="F5" s="15" t="s">
        <v>267</v>
      </c>
      <c r="G5" s="15" t="s">
        <v>283</v>
      </c>
      <c r="H5" s="15" t="s">
        <v>114</v>
      </c>
      <c r="I5" s="15" t="s">
        <v>114</v>
      </c>
      <c r="J5" s="15" t="s">
        <v>89</v>
      </c>
      <c r="K5" s="15" t="s">
        <v>115</v>
      </c>
      <c r="L5" s="15" t="s">
        <v>467</v>
      </c>
      <c r="M5" s="15" t="s">
        <v>83</v>
      </c>
      <c r="N5" s="17">
        <v>0.222</v>
      </c>
      <c r="O5" s="18"/>
      <c r="P5" s="22">
        <f t="shared" si="2"/>
        <v>10</v>
      </c>
      <c r="Q5" s="22">
        <f t="shared" si="3"/>
        <v>2.2200000000000002</v>
      </c>
      <c r="R5" s="22">
        <f t="shared" si="4"/>
        <v>0</v>
      </c>
      <c r="S5" s="22">
        <f t="shared" si="5"/>
        <v>0</v>
      </c>
      <c r="T5" s="23"/>
      <c r="U5" s="23">
        <f t="shared" si="6"/>
        <v>0</v>
      </c>
      <c r="V5" s="23"/>
      <c r="W5" s="23">
        <f t="shared" si="7"/>
        <v>0</v>
      </c>
      <c r="X5" s="23"/>
      <c r="Y5" s="23"/>
      <c r="Z5" s="23">
        <f t="shared" si="8"/>
        <v>0</v>
      </c>
      <c r="AA5" s="23"/>
      <c r="AB5" s="23">
        <f t="shared" si="9"/>
        <v>0</v>
      </c>
      <c r="AC5" s="23"/>
      <c r="AD5" s="23"/>
      <c r="AE5" s="23">
        <f t="shared" si="10"/>
        <v>0</v>
      </c>
      <c r="AF5" s="23"/>
      <c r="AG5" s="23">
        <f t="shared" si="11"/>
        <v>0</v>
      </c>
      <c r="AH5" s="23"/>
      <c r="AI5" s="23">
        <v>10000</v>
      </c>
      <c r="AJ5" s="23">
        <f t="shared" si="12"/>
        <v>2220</v>
      </c>
      <c r="AK5" s="23"/>
      <c r="AL5" s="23">
        <f t="shared" si="13"/>
        <v>0</v>
      </c>
      <c r="AM5" s="23">
        <v>10000</v>
      </c>
      <c r="AN5" s="23"/>
      <c r="AO5" s="23">
        <f t="shared" si="14"/>
        <v>0</v>
      </c>
      <c r="AP5" s="23">
        <v>5000</v>
      </c>
      <c r="AQ5" s="23">
        <f t="shared" si="15"/>
        <v>1110</v>
      </c>
      <c r="AR5" s="23"/>
      <c r="AS5" s="23"/>
      <c r="AT5" s="23">
        <f t="shared" si="16"/>
        <v>0</v>
      </c>
      <c r="AU5" s="23"/>
      <c r="AV5" s="23">
        <f t="shared" si="17"/>
        <v>0</v>
      </c>
      <c r="AW5" s="23"/>
      <c r="AX5" s="24"/>
      <c r="AY5" s="24">
        <f t="shared" si="18"/>
        <v>0</v>
      </c>
      <c r="AZ5" s="23"/>
      <c r="BA5" s="23">
        <f t="shared" si="19"/>
        <v>0</v>
      </c>
      <c r="BB5" s="23"/>
      <c r="BC5" s="23"/>
      <c r="BD5" s="23">
        <f t="shared" si="20"/>
        <v>0</v>
      </c>
      <c r="BE5" s="23"/>
      <c r="BF5" s="23">
        <f t="shared" si="21"/>
        <v>0</v>
      </c>
      <c r="BG5" s="23"/>
      <c r="BH5" s="23"/>
      <c r="BI5" s="23">
        <f t="shared" si="22"/>
        <v>0</v>
      </c>
      <c r="BJ5" s="23"/>
      <c r="BK5" s="23">
        <f t="shared" si="23"/>
        <v>0</v>
      </c>
      <c r="BL5" s="23"/>
      <c r="BM5" s="23"/>
      <c r="BN5" s="23">
        <f t="shared" si="24"/>
        <v>0</v>
      </c>
      <c r="BO5" s="23"/>
      <c r="BP5" s="23">
        <f t="shared" si="25"/>
        <v>0</v>
      </c>
      <c r="BQ5" s="23"/>
      <c r="BR5" s="23"/>
      <c r="BS5" s="23">
        <f t="shared" si="26"/>
        <v>0</v>
      </c>
      <c r="BT5" s="23"/>
      <c r="BU5" s="23">
        <f t="shared" si="27"/>
        <v>0</v>
      </c>
      <c r="BV5" s="23"/>
      <c r="BW5" s="23"/>
      <c r="BX5" s="23">
        <f t="shared" si="28"/>
        <v>0</v>
      </c>
      <c r="BY5" s="23"/>
      <c r="BZ5" s="23">
        <f t="shared" si="29"/>
        <v>0</v>
      </c>
      <c r="CA5" s="23"/>
      <c r="CB5" s="78"/>
    </row>
    <row r="6" spans="1:80" ht="16" x14ac:dyDescent="0.4">
      <c r="A6" s="15" t="s">
        <v>76</v>
      </c>
      <c r="B6" s="15" t="s">
        <v>262</v>
      </c>
      <c r="C6" s="15" t="s">
        <v>263</v>
      </c>
      <c r="D6" s="15" t="s">
        <v>300</v>
      </c>
      <c r="E6" s="112" t="s">
        <v>301</v>
      </c>
      <c r="F6" s="15" t="s">
        <v>267</v>
      </c>
      <c r="G6" s="15" t="s">
        <v>283</v>
      </c>
      <c r="H6" s="15" t="s">
        <v>114</v>
      </c>
      <c r="I6" s="15" t="s">
        <v>114</v>
      </c>
      <c r="J6" s="15" t="s">
        <v>89</v>
      </c>
      <c r="K6" s="15" t="s">
        <v>115</v>
      </c>
      <c r="L6" s="15" t="s">
        <v>468</v>
      </c>
      <c r="M6" s="15" t="s">
        <v>83</v>
      </c>
      <c r="N6" s="17">
        <v>0.307</v>
      </c>
      <c r="O6" s="18"/>
      <c r="P6" s="22">
        <f t="shared" si="2"/>
        <v>10</v>
      </c>
      <c r="Q6" s="22">
        <f t="shared" si="3"/>
        <v>3.07</v>
      </c>
      <c r="R6" s="22">
        <f t="shared" si="4"/>
        <v>0</v>
      </c>
      <c r="S6" s="22">
        <f t="shared" si="5"/>
        <v>0</v>
      </c>
      <c r="T6" s="23"/>
      <c r="U6" s="23">
        <f t="shared" si="6"/>
        <v>0</v>
      </c>
      <c r="V6" s="23"/>
      <c r="W6" s="23">
        <f t="shared" si="7"/>
        <v>0</v>
      </c>
      <c r="X6" s="23"/>
      <c r="Y6" s="23"/>
      <c r="Z6" s="23">
        <f t="shared" si="8"/>
        <v>0</v>
      </c>
      <c r="AA6" s="23"/>
      <c r="AB6" s="23">
        <f t="shared" si="9"/>
        <v>0</v>
      </c>
      <c r="AC6" s="23"/>
      <c r="AD6" s="23"/>
      <c r="AE6" s="23">
        <f t="shared" si="10"/>
        <v>0</v>
      </c>
      <c r="AF6" s="23"/>
      <c r="AG6" s="23">
        <f t="shared" si="11"/>
        <v>0</v>
      </c>
      <c r="AH6" s="23"/>
      <c r="AI6" s="23">
        <v>10000</v>
      </c>
      <c r="AJ6" s="23">
        <f t="shared" si="12"/>
        <v>3070</v>
      </c>
      <c r="AK6" s="23"/>
      <c r="AL6" s="23">
        <f t="shared" si="13"/>
        <v>0</v>
      </c>
      <c r="AM6" s="23">
        <v>10000</v>
      </c>
      <c r="AN6" s="23"/>
      <c r="AO6" s="23">
        <f t="shared" si="14"/>
        <v>0</v>
      </c>
      <c r="AP6" s="23">
        <v>5000</v>
      </c>
      <c r="AQ6" s="23">
        <f t="shared" si="15"/>
        <v>1535</v>
      </c>
      <c r="AR6" s="23"/>
      <c r="AS6" s="23"/>
      <c r="AT6" s="23">
        <f t="shared" si="16"/>
        <v>0</v>
      </c>
      <c r="AU6" s="23"/>
      <c r="AV6" s="23">
        <f t="shared" si="17"/>
        <v>0</v>
      </c>
      <c r="AW6" s="23"/>
      <c r="AX6" s="24"/>
      <c r="AY6" s="24">
        <f t="shared" si="18"/>
        <v>0</v>
      </c>
      <c r="AZ6" s="23"/>
      <c r="BA6" s="23">
        <f t="shared" si="19"/>
        <v>0</v>
      </c>
      <c r="BB6" s="23"/>
      <c r="BC6" s="23"/>
      <c r="BD6" s="23">
        <f t="shared" si="20"/>
        <v>0</v>
      </c>
      <c r="BE6" s="23"/>
      <c r="BF6" s="23">
        <f t="shared" si="21"/>
        <v>0</v>
      </c>
      <c r="BG6" s="23"/>
      <c r="BH6" s="23"/>
      <c r="BI6" s="23">
        <f t="shared" si="22"/>
        <v>0</v>
      </c>
      <c r="BJ6" s="23"/>
      <c r="BK6" s="23">
        <f t="shared" si="23"/>
        <v>0</v>
      </c>
      <c r="BL6" s="23"/>
      <c r="BM6" s="23"/>
      <c r="BN6" s="23">
        <f t="shared" si="24"/>
        <v>0</v>
      </c>
      <c r="BO6" s="23"/>
      <c r="BP6" s="23">
        <f t="shared" si="25"/>
        <v>0</v>
      </c>
      <c r="BQ6" s="23"/>
      <c r="BR6" s="23"/>
      <c r="BS6" s="23">
        <f t="shared" si="26"/>
        <v>0</v>
      </c>
      <c r="BT6" s="23"/>
      <c r="BU6" s="23">
        <f t="shared" si="27"/>
        <v>0</v>
      </c>
      <c r="BV6" s="23"/>
      <c r="BW6" s="23"/>
      <c r="BX6" s="23">
        <f t="shared" si="28"/>
        <v>0</v>
      </c>
      <c r="BY6" s="23"/>
      <c r="BZ6" s="23">
        <f t="shared" si="29"/>
        <v>0</v>
      </c>
      <c r="CA6" s="23"/>
      <c r="CB6" s="15"/>
    </row>
    <row r="7" spans="1:80" ht="16" x14ac:dyDescent="0.4">
      <c r="A7" s="15" t="s">
        <v>76</v>
      </c>
      <c r="B7" s="15" t="s">
        <v>262</v>
      </c>
      <c r="C7" s="15" t="s">
        <v>263</v>
      </c>
      <c r="D7" s="15" t="s">
        <v>300</v>
      </c>
      <c r="E7" s="112" t="s">
        <v>301</v>
      </c>
      <c r="F7" s="15" t="s">
        <v>267</v>
      </c>
      <c r="G7" s="15" t="s">
        <v>283</v>
      </c>
      <c r="H7" s="15" t="s">
        <v>114</v>
      </c>
      <c r="I7" s="15" t="s">
        <v>114</v>
      </c>
      <c r="J7" s="15" t="s">
        <v>89</v>
      </c>
      <c r="K7" s="15" t="s">
        <v>115</v>
      </c>
      <c r="L7" s="15" t="s">
        <v>469</v>
      </c>
      <c r="M7" s="15" t="s">
        <v>83</v>
      </c>
      <c r="N7" s="17">
        <v>0.307</v>
      </c>
      <c r="O7" s="18"/>
      <c r="P7" s="22">
        <f t="shared" si="2"/>
        <v>30</v>
      </c>
      <c r="Q7" s="22">
        <f t="shared" si="3"/>
        <v>9.2100000000000009</v>
      </c>
      <c r="R7" s="22">
        <f t="shared" si="4"/>
        <v>0</v>
      </c>
      <c r="S7" s="22">
        <f t="shared" si="5"/>
        <v>0</v>
      </c>
      <c r="T7" s="23"/>
      <c r="U7" s="23">
        <f t="shared" si="6"/>
        <v>0</v>
      </c>
      <c r="V7" s="23"/>
      <c r="W7" s="23">
        <f t="shared" si="7"/>
        <v>0</v>
      </c>
      <c r="X7" s="23"/>
      <c r="Y7" s="23"/>
      <c r="Z7" s="23">
        <f t="shared" si="8"/>
        <v>0</v>
      </c>
      <c r="AA7" s="23"/>
      <c r="AB7" s="23">
        <f t="shared" si="9"/>
        <v>0</v>
      </c>
      <c r="AC7" s="23"/>
      <c r="AD7" s="23"/>
      <c r="AE7" s="23">
        <f t="shared" si="10"/>
        <v>0</v>
      </c>
      <c r="AF7" s="23"/>
      <c r="AG7" s="23">
        <f t="shared" si="11"/>
        <v>0</v>
      </c>
      <c r="AH7" s="23"/>
      <c r="AI7" s="23">
        <v>30000</v>
      </c>
      <c r="AJ7" s="23">
        <f t="shared" si="12"/>
        <v>9210</v>
      </c>
      <c r="AK7" s="23"/>
      <c r="AL7" s="23">
        <f t="shared" si="13"/>
        <v>0</v>
      </c>
      <c r="AM7" s="23"/>
      <c r="AN7" s="23"/>
      <c r="AO7" s="23">
        <f t="shared" si="14"/>
        <v>0</v>
      </c>
      <c r="AP7" s="23">
        <v>5000</v>
      </c>
      <c r="AQ7" s="23">
        <f t="shared" si="15"/>
        <v>1535</v>
      </c>
      <c r="AR7" s="23"/>
      <c r="AS7" s="23"/>
      <c r="AT7" s="23">
        <f t="shared" si="16"/>
        <v>0</v>
      </c>
      <c r="AU7" s="23"/>
      <c r="AV7" s="23">
        <f t="shared" si="17"/>
        <v>0</v>
      </c>
      <c r="AW7" s="23"/>
      <c r="AX7" s="24"/>
      <c r="AY7" s="24">
        <f t="shared" si="18"/>
        <v>0</v>
      </c>
      <c r="AZ7" s="23"/>
      <c r="BA7" s="23">
        <f t="shared" si="19"/>
        <v>0</v>
      </c>
      <c r="BB7" s="23"/>
      <c r="BC7" s="23"/>
      <c r="BD7" s="23">
        <f t="shared" si="20"/>
        <v>0</v>
      </c>
      <c r="BE7" s="23"/>
      <c r="BF7" s="23">
        <f t="shared" si="21"/>
        <v>0</v>
      </c>
      <c r="BG7" s="23"/>
      <c r="BH7" s="23"/>
      <c r="BI7" s="23">
        <f t="shared" si="22"/>
        <v>0</v>
      </c>
      <c r="BJ7" s="23"/>
      <c r="BK7" s="23">
        <f t="shared" si="23"/>
        <v>0</v>
      </c>
      <c r="BL7" s="23"/>
      <c r="BM7" s="23"/>
      <c r="BN7" s="23">
        <f t="shared" si="24"/>
        <v>0</v>
      </c>
      <c r="BO7" s="23"/>
      <c r="BP7" s="23">
        <f t="shared" si="25"/>
        <v>0</v>
      </c>
      <c r="BQ7" s="23"/>
      <c r="BR7" s="23"/>
      <c r="BS7" s="23">
        <f t="shared" si="26"/>
        <v>0</v>
      </c>
      <c r="BT7" s="23"/>
      <c r="BU7" s="23">
        <f t="shared" si="27"/>
        <v>0</v>
      </c>
      <c r="BV7" s="23"/>
      <c r="BW7" s="23"/>
      <c r="BX7" s="23">
        <f t="shared" si="28"/>
        <v>0</v>
      </c>
      <c r="BY7" s="23"/>
      <c r="BZ7" s="23">
        <f t="shared" si="29"/>
        <v>0</v>
      </c>
      <c r="CA7" s="23"/>
      <c r="CB7" s="15"/>
    </row>
    <row r="8" spans="1:80" ht="16" x14ac:dyDescent="0.4">
      <c r="A8" s="15" t="s">
        <v>76</v>
      </c>
      <c r="B8" s="15" t="s">
        <v>262</v>
      </c>
      <c r="C8" s="15" t="s">
        <v>263</v>
      </c>
      <c r="D8" s="15" t="s">
        <v>300</v>
      </c>
      <c r="E8" s="112" t="s">
        <v>301</v>
      </c>
      <c r="F8" s="15" t="s">
        <v>267</v>
      </c>
      <c r="G8" s="15" t="s">
        <v>283</v>
      </c>
      <c r="H8" s="15" t="s">
        <v>114</v>
      </c>
      <c r="I8" s="15" t="s">
        <v>114</v>
      </c>
      <c r="J8" s="15" t="s">
        <v>89</v>
      </c>
      <c r="K8" s="15" t="s">
        <v>115</v>
      </c>
      <c r="L8" s="15" t="s">
        <v>123</v>
      </c>
      <c r="M8" s="15" t="s">
        <v>83</v>
      </c>
      <c r="N8" s="17">
        <v>0.307</v>
      </c>
      <c r="O8" s="18"/>
      <c r="P8" s="22">
        <f t="shared" si="2"/>
        <v>15</v>
      </c>
      <c r="Q8" s="22">
        <f t="shared" si="3"/>
        <v>4.6050000000000004</v>
      </c>
      <c r="R8" s="22">
        <f t="shared" si="4"/>
        <v>0</v>
      </c>
      <c r="S8" s="22">
        <f t="shared" si="5"/>
        <v>0</v>
      </c>
      <c r="T8" s="23"/>
      <c r="U8" s="23">
        <f t="shared" si="6"/>
        <v>0</v>
      </c>
      <c r="V8" s="23"/>
      <c r="W8" s="23">
        <f t="shared" si="7"/>
        <v>0</v>
      </c>
      <c r="X8" s="23"/>
      <c r="Y8" s="23"/>
      <c r="Z8" s="23">
        <f t="shared" si="8"/>
        <v>0</v>
      </c>
      <c r="AA8" s="23"/>
      <c r="AB8" s="23">
        <f t="shared" si="9"/>
        <v>0</v>
      </c>
      <c r="AC8" s="23"/>
      <c r="AD8" s="23"/>
      <c r="AE8" s="23">
        <f t="shared" si="10"/>
        <v>0</v>
      </c>
      <c r="AF8" s="23"/>
      <c r="AG8" s="23">
        <f t="shared" si="11"/>
        <v>0</v>
      </c>
      <c r="AH8" s="23"/>
      <c r="AI8" s="23">
        <v>15000</v>
      </c>
      <c r="AJ8" s="23">
        <f t="shared" si="12"/>
        <v>4605</v>
      </c>
      <c r="AK8" s="23"/>
      <c r="AL8" s="23">
        <f t="shared" si="13"/>
        <v>0</v>
      </c>
      <c r="AM8" s="23">
        <v>15000</v>
      </c>
      <c r="AN8" s="23"/>
      <c r="AO8" s="23">
        <f t="shared" si="14"/>
        <v>0</v>
      </c>
      <c r="AP8" s="23">
        <v>5000</v>
      </c>
      <c r="AQ8" s="23">
        <f t="shared" si="15"/>
        <v>1535</v>
      </c>
      <c r="AR8" s="23"/>
      <c r="AS8" s="23"/>
      <c r="AT8" s="23">
        <f t="shared" si="16"/>
        <v>0</v>
      </c>
      <c r="AU8" s="23"/>
      <c r="AV8" s="23">
        <f t="shared" si="17"/>
        <v>0</v>
      </c>
      <c r="AW8" s="23"/>
      <c r="AX8" s="24"/>
      <c r="AY8" s="24">
        <f t="shared" si="18"/>
        <v>0</v>
      </c>
      <c r="AZ8" s="23"/>
      <c r="BA8" s="23">
        <f t="shared" si="19"/>
        <v>0</v>
      </c>
      <c r="BB8" s="23"/>
      <c r="BC8" s="23"/>
      <c r="BD8" s="23">
        <f t="shared" si="20"/>
        <v>0</v>
      </c>
      <c r="BE8" s="23"/>
      <c r="BF8" s="23">
        <f t="shared" si="21"/>
        <v>0</v>
      </c>
      <c r="BG8" s="23"/>
      <c r="BH8" s="23"/>
      <c r="BI8" s="23">
        <f t="shared" si="22"/>
        <v>0</v>
      </c>
      <c r="BJ8" s="23"/>
      <c r="BK8" s="23">
        <f t="shared" si="23"/>
        <v>0</v>
      </c>
      <c r="BL8" s="23"/>
      <c r="BM8" s="23"/>
      <c r="BN8" s="23">
        <f t="shared" si="24"/>
        <v>0</v>
      </c>
      <c r="BO8" s="23"/>
      <c r="BP8" s="23">
        <f t="shared" si="25"/>
        <v>0</v>
      </c>
      <c r="BQ8" s="23"/>
      <c r="BR8" s="23"/>
      <c r="BS8" s="23">
        <f t="shared" si="26"/>
        <v>0</v>
      </c>
      <c r="BT8" s="23"/>
      <c r="BU8" s="23">
        <f t="shared" si="27"/>
        <v>0</v>
      </c>
      <c r="BV8" s="23"/>
      <c r="BW8" s="23"/>
      <c r="BX8" s="23">
        <f t="shared" si="28"/>
        <v>0</v>
      </c>
      <c r="BY8" s="23"/>
      <c r="BZ8" s="23">
        <f t="shared" si="29"/>
        <v>0</v>
      </c>
      <c r="CA8" s="23"/>
      <c r="CB8" s="15"/>
    </row>
    <row r="9" spans="1:80" ht="16" x14ac:dyDescent="0.4">
      <c r="A9" s="15" t="s">
        <v>76</v>
      </c>
      <c r="B9" s="15" t="s">
        <v>262</v>
      </c>
      <c r="C9" s="15" t="s">
        <v>263</v>
      </c>
      <c r="D9" s="15" t="s">
        <v>300</v>
      </c>
      <c r="E9" s="112" t="s">
        <v>301</v>
      </c>
      <c r="F9" s="15" t="s">
        <v>267</v>
      </c>
      <c r="G9" s="15" t="s">
        <v>283</v>
      </c>
      <c r="H9" s="15" t="s">
        <v>114</v>
      </c>
      <c r="I9" s="15" t="s">
        <v>114</v>
      </c>
      <c r="J9" s="15" t="s">
        <v>89</v>
      </c>
      <c r="K9" s="15" t="s">
        <v>115</v>
      </c>
      <c r="L9" s="15" t="s">
        <v>470</v>
      </c>
      <c r="M9" s="15" t="s">
        <v>83</v>
      </c>
      <c r="N9" s="17">
        <v>0.307</v>
      </c>
      <c r="O9" s="18"/>
      <c r="P9" s="22">
        <f t="shared" si="2"/>
        <v>5</v>
      </c>
      <c r="Q9" s="22">
        <f t="shared" si="3"/>
        <v>1.5349999999999999</v>
      </c>
      <c r="R9" s="22">
        <f t="shared" si="4"/>
        <v>0</v>
      </c>
      <c r="S9" s="22">
        <f t="shared" si="5"/>
        <v>0</v>
      </c>
      <c r="T9" s="23"/>
      <c r="U9" s="23">
        <f t="shared" si="6"/>
        <v>0</v>
      </c>
      <c r="V9" s="23"/>
      <c r="W9" s="23">
        <f t="shared" si="7"/>
        <v>0</v>
      </c>
      <c r="X9" s="23"/>
      <c r="Y9" s="23"/>
      <c r="Z9" s="23">
        <f t="shared" si="8"/>
        <v>0</v>
      </c>
      <c r="AA9" s="23"/>
      <c r="AB9" s="23">
        <f t="shared" si="9"/>
        <v>0</v>
      </c>
      <c r="AC9" s="23"/>
      <c r="AD9" s="23"/>
      <c r="AE9" s="23">
        <f t="shared" si="10"/>
        <v>0</v>
      </c>
      <c r="AF9" s="23"/>
      <c r="AG9" s="23">
        <f t="shared" si="11"/>
        <v>0</v>
      </c>
      <c r="AH9" s="23"/>
      <c r="AI9" s="23">
        <v>5000</v>
      </c>
      <c r="AJ9" s="23">
        <f t="shared" si="12"/>
        <v>1535</v>
      </c>
      <c r="AK9" s="23"/>
      <c r="AL9" s="23">
        <f t="shared" si="13"/>
        <v>0</v>
      </c>
      <c r="AM9" s="23">
        <v>5000</v>
      </c>
      <c r="AN9" s="23"/>
      <c r="AO9" s="23">
        <f t="shared" si="14"/>
        <v>0</v>
      </c>
      <c r="AP9" s="23">
        <v>5000</v>
      </c>
      <c r="AQ9" s="23">
        <f t="shared" si="15"/>
        <v>1535</v>
      </c>
      <c r="AR9" s="23"/>
      <c r="AS9" s="23"/>
      <c r="AT9" s="23">
        <f t="shared" si="16"/>
        <v>0</v>
      </c>
      <c r="AU9" s="23"/>
      <c r="AV9" s="23">
        <f t="shared" si="17"/>
        <v>0</v>
      </c>
      <c r="AW9" s="23"/>
      <c r="AX9" s="24"/>
      <c r="AY9" s="24">
        <f t="shared" si="18"/>
        <v>0</v>
      </c>
      <c r="AZ9" s="23"/>
      <c r="BA9" s="23">
        <f t="shared" si="19"/>
        <v>0</v>
      </c>
      <c r="BB9" s="23"/>
      <c r="BC9" s="23"/>
      <c r="BD9" s="23">
        <f t="shared" si="20"/>
        <v>0</v>
      </c>
      <c r="BE9" s="23"/>
      <c r="BF9" s="23">
        <f t="shared" si="21"/>
        <v>0</v>
      </c>
      <c r="BG9" s="23"/>
      <c r="BH9" s="23"/>
      <c r="BI9" s="23">
        <f t="shared" si="22"/>
        <v>0</v>
      </c>
      <c r="BJ9" s="23"/>
      <c r="BK9" s="23">
        <f t="shared" si="23"/>
        <v>0</v>
      </c>
      <c r="BL9" s="23"/>
      <c r="BM9" s="23"/>
      <c r="BN9" s="23">
        <f t="shared" si="24"/>
        <v>0</v>
      </c>
      <c r="BO9" s="23"/>
      <c r="BP9" s="23">
        <f t="shared" si="25"/>
        <v>0</v>
      </c>
      <c r="BQ9" s="23"/>
      <c r="BR9" s="23"/>
      <c r="BS9" s="23">
        <f t="shared" si="26"/>
        <v>0</v>
      </c>
      <c r="BT9" s="23"/>
      <c r="BU9" s="23">
        <f t="shared" si="27"/>
        <v>0</v>
      </c>
      <c r="BV9" s="23"/>
      <c r="BW9" s="23"/>
      <c r="BX9" s="23">
        <f t="shared" si="28"/>
        <v>0</v>
      </c>
      <c r="BY9" s="23"/>
      <c r="BZ9" s="23">
        <f t="shared" si="29"/>
        <v>0</v>
      </c>
      <c r="CA9" s="23"/>
      <c r="CB9" s="15"/>
    </row>
    <row r="10" spans="1:80" ht="16" x14ac:dyDescent="0.4">
      <c r="A10" s="15" t="s">
        <v>76</v>
      </c>
      <c r="B10" s="15" t="s">
        <v>262</v>
      </c>
      <c r="C10" s="15" t="s">
        <v>263</v>
      </c>
      <c r="D10" s="15" t="s">
        <v>300</v>
      </c>
      <c r="E10" s="112" t="s">
        <v>301</v>
      </c>
      <c r="F10" s="15" t="s">
        <v>267</v>
      </c>
      <c r="G10" s="15" t="s">
        <v>283</v>
      </c>
      <c r="H10" s="15" t="s">
        <v>114</v>
      </c>
      <c r="I10" s="15" t="s">
        <v>114</v>
      </c>
      <c r="J10" s="15" t="s">
        <v>89</v>
      </c>
      <c r="K10" s="15" t="s">
        <v>115</v>
      </c>
      <c r="L10" s="15" t="s">
        <v>471</v>
      </c>
      <c r="M10" s="15" t="s">
        <v>83</v>
      </c>
      <c r="N10" s="17">
        <v>0.307</v>
      </c>
      <c r="O10" s="18"/>
      <c r="P10" s="22">
        <f t="shared" si="2"/>
        <v>5</v>
      </c>
      <c r="Q10" s="22">
        <f t="shared" si="3"/>
        <v>1.5349999999999999</v>
      </c>
      <c r="R10" s="22">
        <f t="shared" si="4"/>
        <v>0</v>
      </c>
      <c r="S10" s="22">
        <f t="shared" si="5"/>
        <v>0</v>
      </c>
      <c r="T10" s="23"/>
      <c r="U10" s="23">
        <f t="shared" si="6"/>
        <v>0</v>
      </c>
      <c r="V10" s="23"/>
      <c r="W10" s="23">
        <f t="shared" si="7"/>
        <v>0</v>
      </c>
      <c r="X10" s="23"/>
      <c r="Y10" s="23"/>
      <c r="Z10" s="23">
        <f t="shared" si="8"/>
        <v>0</v>
      </c>
      <c r="AA10" s="23"/>
      <c r="AB10" s="23">
        <f t="shared" si="9"/>
        <v>0</v>
      </c>
      <c r="AC10" s="23"/>
      <c r="AD10" s="23"/>
      <c r="AE10" s="23">
        <f t="shared" si="10"/>
        <v>0</v>
      </c>
      <c r="AF10" s="23"/>
      <c r="AG10" s="23">
        <f t="shared" si="11"/>
        <v>0</v>
      </c>
      <c r="AH10" s="23"/>
      <c r="AI10" s="23">
        <v>5000</v>
      </c>
      <c r="AJ10" s="23">
        <f t="shared" si="12"/>
        <v>1535</v>
      </c>
      <c r="AK10" s="23"/>
      <c r="AL10" s="23">
        <f t="shared" si="13"/>
        <v>0</v>
      </c>
      <c r="AM10" s="23">
        <v>5000</v>
      </c>
      <c r="AN10" s="23"/>
      <c r="AO10" s="23">
        <f t="shared" si="14"/>
        <v>0</v>
      </c>
      <c r="AP10" s="23">
        <v>5000</v>
      </c>
      <c r="AQ10" s="23">
        <f t="shared" si="15"/>
        <v>1535</v>
      </c>
      <c r="AR10" s="23"/>
      <c r="AS10" s="23"/>
      <c r="AT10" s="23">
        <f t="shared" si="16"/>
        <v>0</v>
      </c>
      <c r="AU10" s="23"/>
      <c r="AV10" s="23">
        <f t="shared" si="17"/>
        <v>0</v>
      </c>
      <c r="AW10" s="23"/>
      <c r="AX10" s="24"/>
      <c r="AY10" s="24">
        <f t="shared" si="18"/>
        <v>0</v>
      </c>
      <c r="AZ10" s="23"/>
      <c r="BA10" s="23">
        <f t="shared" si="19"/>
        <v>0</v>
      </c>
      <c r="BB10" s="23"/>
      <c r="BC10" s="23"/>
      <c r="BD10" s="23">
        <f t="shared" si="20"/>
        <v>0</v>
      </c>
      <c r="BE10" s="23"/>
      <c r="BF10" s="23">
        <f t="shared" si="21"/>
        <v>0</v>
      </c>
      <c r="BG10" s="23"/>
      <c r="BH10" s="23"/>
      <c r="BI10" s="23">
        <f t="shared" si="22"/>
        <v>0</v>
      </c>
      <c r="BJ10" s="23"/>
      <c r="BK10" s="23">
        <f t="shared" si="23"/>
        <v>0</v>
      </c>
      <c r="BL10" s="23"/>
      <c r="BM10" s="23"/>
      <c r="BN10" s="23">
        <f t="shared" si="24"/>
        <v>0</v>
      </c>
      <c r="BO10" s="23"/>
      <c r="BP10" s="23">
        <f t="shared" si="25"/>
        <v>0</v>
      </c>
      <c r="BQ10" s="23"/>
      <c r="BR10" s="23"/>
      <c r="BS10" s="23">
        <f t="shared" si="26"/>
        <v>0</v>
      </c>
      <c r="BT10" s="23"/>
      <c r="BU10" s="23">
        <f t="shared" si="27"/>
        <v>0</v>
      </c>
      <c r="BV10" s="23"/>
      <c r="BW10" s="23"/>
      <c r="BX10" s="23">
        <f t="shared" si="28"/>
        <v>0</v>
      </c>
      <c r="BY10" s="23"/>
      <c r="BZ10" s="23">
        <f t="shared" si="29"/>
        <v>0</v>
      </c>
      <c r="CA10" s="23"/>
      <c r="CB10" s="20"/>
    </row>
    <row r="11" spans="1:80" ht="16" x14ac:dyDescent="0.4">
      <c r="A11" s="15" t="s">
        <v>76</v>
      </c>
      <c r="B11" s="15" t="s">
        <v>262</v>
      </c>
      <c r="C11" s="15" t="s">
        <v>263</v>
      </c>
      <c r="D11" s="15" t="s">
        <v>300</v>
      </c>
      <c r="E11" s="112" t="s">
        <v>301</v>
      </c>
      <c r="F11" s="15" t="s">
        <v>267</v>
      </c>
      <c r="G11" s="15" t="s">
        <v>283</v>
      </c>
      <c r="H11" s="15" t="s">
        <v>114</v>
      </c>
      <c r="I11" s="15" t="s">
        <v>114</v>
      </c>
      <c r="J11" s="15" t="s">
        <v>89</v>
      </c>
      <c r="K11" s="15" t="s">
        <v>115</v>
      </c>
      <c r="L11" s="15" t="s">
        <v>472</v>
      </c>
      <c r="M11" s="15" t="s">
        <v>83</v>
      </c>
      <c r="N11" s="17">
        <v>0.307</v>
      </c>
      <c r="O11" s="18"/>
      <c r="P11" s="22">
        <f t="shared" si="2"/>
        <v>5</v>
      </c>
      <c r="Q11" s="22">
        <f t="shared" si="3"/>
        <v>1.5349999999999999</v>
      </c>
      <c r="R11" s="22">
        <f t="shared" si="4"/>
        <v>0</v>
      </c>
      <c r="S11" s="22">
        <f t="shared" si="5"/>
        <v>0</v>
      </c>
      <c r="T11" s="23"/>
      <c r="U11" s="23">
        <f t="shared" si="6"/>
        <v>0</v>
      </c>
      <c r="V11" s="23"/>
      <c r="W11" s="23">
        <f t="shared" si="7"/>
        <v>0</v>
      </c>
      <c r="X11" s="23"/>
      <c r="Y11" s="23"/>
      <c r="Z11" s="23">
        <f t="shared" si="8"/>
        <v>0</v>
      </c>
      <c r="AA11" s="23"/>
      <c r="AB11" s="23">
        <f t="shared" si="9"/>
        <v>0</v>
      </c>
      <c r="AC11" s="23"/>
      <c r="AD11" s="23"/>
      <c r="AE11" s="23">
        <f t="shared" si="10"/>
        <v>0</v>
      </c>
      <c r="AF11" s="23"/>
      <c r="AG11" s="23">
        <f t="shared" si="11"/>
        <v>0</v>
      </c>
      <c r="AH11" s="23"/>
      <c r="AI11" s="23">
        <v>5000</v>
      </c>
      <c r="AJ11" s="23">
        <f t="shared" si="12"/>
        <v>1535</v>
      </c>
      <c r="AK11" s="23"/>
      <c r="AL11" s="23">
        <f t="shared" si="13"/>
        <v>0</v>
      </c>
      <c r="AM11" s="23">
        <v>5000</v>
      </c>
      <c r="AN11" s="23"/>
      <c r="AO11" s="23">
        <f t="shared" si="14"/>
        <v>0</v>
      </c>
      <c r="AP11" s="23">
        <v>5000</v>
      </c>
      <c r="AQ11" s="23">
        <f t="shared" si="15"/>
        <v>1535</v>
      </c>
      <c r="AR11" s="23"/>
      <c r="AS11" s="23"/>
      <c r="AT11" s="23">
        <f t="shared" si="16"/>
        <v>0</v>
      </c>
      <c r="AU11" s="23"/>
      <c r="AV11" s="23">
        <f t="shared" si="17"/>
        <v>0</v>
      </c>
      <c r="AW11" s="23"/>
      <c r="AX11" s="24"/>
      <c r="AY11" s="24">
        <f t="shared" si="18"/>
        <v>0</v>
      </c>
      <c r="AZ11" s="23"/>
      <c r="BA11" s="23">
        <f t="shared" si="19"/>
        <v>0</v>
      </c>
      <c r="BB11" s="23"/>
      <c r="BC11" s="23"/>
      <c r="BD11" s="23">
        <f t="shared" si="20"/>
        <v>0</v>
      </c>
      <c r="BE11" s="23"/>
      <c r="BF11" s="23">
        <f t="shared" si="21"/>
        <v>0</v>
      </c>
      <c r="BG11" s="23"/>
      <c r="BH11" s="23"/>
      <c r="BI11" s="23">
        <f t="shared" si="22"/>
        <v>0</v>
      </c>
      <c r="BJ11" s="23"/>
      <c r="BK11" s="23">
        <f t="shared" si="23"/>
        <v>0</v>
      </c>
      <c r="BL11" s="23"/>
      <c r="BM11" s="23"/>
      <c r="BN11" s="23">
        <f t="shared" si="24"/>
        <v>0</v>
      </c>
      <c r="BO11" s="23"/>
      <c r="BP11" s="23">
        <f t="shared" si="25"/>
        <v>0</v>
      </c>
      <c r="BQ11" s="23"/>
      <c r="BR11" s="23"/>
      <c r="BS11" s="23">
        <f t="shared" si="26"/>
        <v>0</v>
      </c>
      <c r="BT11" s="23"/>
      <c r="BU11" s="23">
        <f t="shared" si="27"/>
        <v>0</v>
      </c>
      <c r="BV11" s="23"/>
      <c r="BW11" s="23"/>
      <c r="BX11" s="23">
        <f t="shared" si="28"/>
        <v>0</v>
      </c>
      <c r="BY11" s="23"/>
      <c r="BZ11" s="23">
        <f t="shared" si="29"/>
        <v>0</v>
      </c>
      <c r="CA11" s="23"/>
      <c r="CB11" s="15"/>
    </row>
    <row r="12" spans="1:80" ht="16" x14ac:dyDescent="0.4">
      <c r="A12" s="15" t="s">
        <v>76</v>
      </c>
      <c r="B12" s="15" t="s">
        <v>262</v>
      </c>
      <c r="C12" s="15" t="s">
        <v>263</v>
      </c>
      <c r="D12" s="15" t="s">
        <v>300</v>
      </c>
      <c r="E12" s="112" t="s">
        <v>301</v>
      </c>
      <c r="F12" s="15" t="s">
        <v>267</v>
      </c>
      <c r="G12" s="15" t="s">
        <v>283</v>
      </c>
      <c r="H12" s="15" t="s">
        <v>114</v>
      </c>
      <c r="I12" s="15" t="s">
        <v>114</v>
      </c>
      <c r="J12" s="15" t="s">
        <v>89</v>
      </c>
      <c r="K12" s="15" t="s">
        <v>115</v>
      </c>
      <c r="L12" s="15" t="s">
        <v>473</v>
      </c>
      <c r="M12" s="15" t="s">
        <v>83</v>
      </c>
      <c r="N12" s="17">
        <v>0.307</v>
      </c>
      <c r="O12" s="18"/>
      <c r="P12" s="22">
        <f t="shared" si="2"/>
        <v>10</v>
      </c>
      <c r="Q12" s="22">
        <f t="shared" si="3"/>
        <v>3.07</v>
      </c>
      <c r="R12" s="22">
        <f t="shared" si="4"/>
        <v>0</v>
      </c>
      <c r="S12" s="22">
        <f t="shared" si="5"/>
        <v>0</v>
      </c>
      <c r="T12" s="23"/>
      <c r="U12" s="23">
        <f t="shared" si="6"/>
        <v>0</v>
      </c>
      <c r="V12" s="23"/>
      <c r="W12" s="23">
        <f t="shared" si="7"/>
        <v>0</v>
      </c>
      <c r="X12" s="23"/>
      <c r="Y12" s="23"/>
      <c r="Z12" s="23">
        <f t="shared" si="8"/>
        <v>0</v>
      </c>
      <c r="AA12" s="23"/>
      <c r="AB12" s="23">
        <f t="shared" si="9"/>
        <v>0</v>
      </c>
      <c r="AC12" s="23"/>
      <c r="AD12" s="23"/>
      <c r="AE12" s="23">
        <f t="shared" si="10"/>
        <v>0</v>
      </c>
      <c r="AF12" s="23"/>
      <c r="AG12" s="23">
        <f t="shared" si="11"/>
        <v>0</v>
      </c>
      <c r="AH12" s="23"/>
      <c r="AI12" s="23">
        <v>10000</v>
      </c>
      <c r="AJ12" s="23">
        <f t="shared" si="12"/>
        <v>3070</v>
      </c>
      <c r="AK12" s="23"/>
      <c r="AL12" s="23">
        <f t="shared" si="13"/>
        <v>0</v>
      </c>
      <c r="AM12" s="23">
        <v>10000</v>
      </c>
      <c r="AN12" s="23"/>
      <c r="AO12" s="23">
        <f t="shared" si="14"/>
        <v>0</v>
      </c>
      <c r="AP12" s="23">
        <v>5000</v>
      </c>
      <c r="AQ12" s="23">
        <f t="shared" si="15"/>
        <v>1535</v>
      </c>
      <c r="AR12" s="23"/>
      <c r="AS12" s="23"/>
      <c r="AT12" s="23">
        <f t="shared" si="16"/>
        <v>0</v>
      </c>
      <c r="AU12" s="23"/>
      <c r="AV12" s="23">
        <f t="shared" si="17"/>
        <v>0</v>
      </c>
      <c r="AW12" s="23"/>
      <c r="AX12" s="24"/>
      <c r="AY12" s="24">
        <f t="shared" si="18"/>
        <v>0</v>
      </c>
      <c r="AZ12" s="23"/>
      <c r="BA12" s="23">
        <f t="shared" si="19"/>
        <v>0</v>
      </c>
      <c r="BB12" s="23"/>
      <c r="BC12" s="23"/>
      <c r="BD12" s="23">
        <f t="shared" si="20"/>
        <v>0</v>
      </c>
      <c r="BE12" s="23"/>
      <c r="BF12" s="23">
        <f t="shared" si="21"/>
        <v>0</v>
      </c>
      <c r="BG12" s="23"/>
      <c r="BH12" s="23"/>
      <c r="BI12" s="23">
        <f t="shared" si="22"/>
        <v>0</v>
      </c>
      <c r="BJ12" s="23"/>
      <c r="BK12" s="23">
        <f t="shared" si="23"/>
        <v>0</v>
      </c>
      <c r="BL12" s="23"/>
      <c r="BM12" s="23"/>
      <c r="BN12" s="23">
        <f t="shared" si="24"/>
        <v>0</v>
      </c>
      <c r="BO12" s="23"/>
      <c r="BP12" s="23">
        <f t="shared" si="25"/>
        <v>0</v>
      </c>
      <c r="BQ12" s="23"/>
      <c r="BR12" s="23"/>
      <c r="BS12" s="23">
        <f t="shared" si="26"/>
        <v>0</v>
      </c>
      <c r="BT12" s="23"/>
      <c r="BU12" s="23">
        <f t="shared" si="27"/>
        <v>0</v>
      </c>
      <c r="BV12" s="23"/>
      <c r="BW12" s="23"/>
      <c r="BX12" s="23">
        <f t="shared" si="28"/>
        <v>0</v>
      </c>
      <c r="BY12" s="23"/>
      <c r="BZ12" s="23">
        <f t="shared" si="29"/>
        <v>0</v>
      </c>
      <c r="CA12" s="23"/>
      <c r="CB12" s="20"/>
    </row>
    <row r="13" spans="1:80" ht="16" x14ac:dyDescent="0.4">
      <c r="A13" s="15" t="s">
        <v>76</v>
      </c>
      <c r="B13" s="15" t="s">
        <v>262</v>
      </c>
      <c r="C13" s="15" t="s">
        <v>263</v>
      </c>
      <c r="D13" s="15" t="s">
        <v>300</v>
      </c>
      <c r="E13" s="112" t="s">
        <v>301</v>
      </c>
      <c r="F13" s="15" t="s">
        <v>267</v>
      </c>
      <c r="G13" s="15" t="s">
        <v>283</v>
      </c>
      <c r="H13" s="15" t="s">
        <v>114</v>
      </c>
      <c r="I13" s="15" t="s">
        <v>114</v>
      </c>
      <c r="J13" s="15" t="s">
        <v>89</v>
      </c>
      <c r="K13" s="15" t="s">
        <v>115</v>
      </c>
      <c r="L13" s="15" t="s">
        <v>474</v>
      </c>
      <c r="M13" s="15" t="s">
        <v>83</v>
      </c>
      <c r="N13" s="17">
        <v>0.307</v>
      </c>
      <c r="O13" s="18"/>
      <c r="P13" s="22">
        <f t="shared" si="2"/>
        <v>5</v>
      </c>
      <c r="Q13" s="22">
        <f t="shared" si="3"/>
        <v>1.5349999999999999</v>
      </c>
      <c r="R13" s="22">
        <f t="shared" si="4"/>
        <v>0</v>
      </c>
      <c r="S13" s="22">
        <f t="shared" si="5"/>
        <v>0</v>
      </c>
      <c r="T13" s="23"/>
      <c r="U13" s="23">
        <f t="shared" si="6"/>
        <v>0</v>
      </c>
      <c r="V13" s="23"/>
      <c r="W13" s="23">
        <f t="shared" si="7"/>
        <v>0</v>
      </c>
      <c r="X13" s="23"/>
      <c r="Y13" s="23"/>
      <c r="Z13" s="23">
        <f t="shared" si="8"/>
        <v>0</v>
      </c>
      <c r="AA13" s="23"/>
      <c r="AB13" s="23">
        <f t="shared" si="9"/>
        <v>0</v>
      </c>
      <c r="AC13" s="23"/>
      <c r="AD13" s="23"/>
      <c r="AE13" s="23">
        <f t="shared" si="10"/>
        <v>0</v>
      </c>
      <c r="AF13" s="23"/>
      <c r="AG13" s="23">
        <f t="shared" si="11"/>
        <v>0</v>
      </c>
      <c r="AH13" s="23"/>
      <c r="AI13" s="23">
        <v>5000</v>
      </c>
      <c r="AJ13" s="23">
        <f t="shared" si="12"/>
        <v>1535</v>
      </c>
      <c r="AK13" s="23"/>
      <c r="AL13" s="23">
        <f t="shared" si="13"/>
        <v>0</v>
      </c>
      <c r="AM13" s="23">
        <v>5000</v>
      </c>
      <c r="AN13" s="23"/>
      <c r="AO13" s="23">
        <f t="shared" si="14"/>
        <v>0</v>
      </c>
      <c r="AP13" s="23">
        <v>5000</v>
      </c>
      <c r="AQ13" s="23">
        <f t="shared" si="15"/>
        <v>1535</v>
      </c>
      <c r="AR13" s="23"/>
      <c r="AS13" s="23"/>
      <c r="AT13" s="23">
        <f t="shared" si="16"/>
        <v>0</v>
      </c>
      <c r="AU13" s="23"/>
      <c r="AV13" s="23">
        <f t="shared" si="17"/>
        <v>0</v>
      </c>
      <c r="AW13" s="23"/>
      <c r="AX13" s="24"/>
      <c r="AY13" s="24">
        <f t="shared" si="18"/>
        <v>0</v>
      </c>
      <c r="AZ13" s="23"/>
      <c r="BA13" s="23">
        <f t="shared" si="19"/>
        <v>0</v>
      </c>
      <c r="BB13" s="23"/>
      <c r="BC13" s="23"/>
      <c r="BD13" s="23">
        <f t="shared" si="20"/>
        <v>0</v>
      </c>
      <c r="BE13" s="23"/>
      <c r="BF13" s="23">
        <f t="shared" si="21"/>
        <v>0</v>
      </c>
      <c r="BG13" s="23"/>
      <c r="BH13" s="23"/>
      <c r="BI13" s="23">
        <f t="shared" si="22"/>
        <v>0</v>
      </c>
      <c r="BJ13" s="23"/>
      <c r="BK13" s="23">
        <f t="shared" si="23"/>
        <v>0</v>
      </c>
      <c r="BL13" s="23"/>
      <c r="BM13" s="23"/>
      <c r="BN13" s="23">
        <f t="shared" si="24"/>
        <v>0</v>
      </c>
      <c r="BO13" s="23"/>
      <c r="BP13" s="23">
        <f t="shared" si="25"/>
        <v>0</v>
      </c>
      <c r="BQ13" s="23"/>
      <c r="BR13" s="23"/>
      <c r="BS13" s="23">
        <f t="shared" si="26"/>
        <v>0</v>
      </c>
      <c r="BT13" s="23"/>
      <c r="BU13" s="23">
        <f t="shared" si="27"/>
        <v>0</v>
      </c>
      <c r="BV13" s="23"/>
      <c r="BW13" s="23"/>
      <c r="BX13" s="23">
        <f t="shared" si="28"/>
        <v>0</v>
      </c>
      <c r="BY13" s="23"/>
      <c r="BZ13" s="23">
        <f t="shared" si="29"/>
        <v>0</v>
      </c>
      <c r="CA13" s="23"/>
      <c r="CB13" s="15"/>
    </row>
    <row r="14" spans="1:80" ht="16" x14ac:dyDescent="0.4">
      <c r="A14" s="15" t="s">
        <v>76</v>
      </c>
      <c r="B14" s="15" t="s">
        <v>262</v>
      </c>
      <c r="C14" s="15" t="s">
        <v>263</v>
      </c>
      <c r="D14" s="15" t="s">
        <v>300</v>
      </c>
      <c r="E14" s="112" t="s">
        <v>301</v>
      </c>
      <c r="F14" s="15" t="s">
        <v>267</v>
      </c>
      <c r="G14" s="15" t="s">
        <v>283</v>
      </c>
      <c r="H14" s="15" t="s">
        <v>114</v>
      </c>
      <c r="I14" s="15" t="s">
        <v>114</v>
      </c>
      <c r="J14" s="15" t="s">
        <v>89</v>
      </c>
      <c r="K14" s="15" t="s">
        <v>115</v>
      </c>
      <c r="L14" s="15" t="s">
        <v>475</v>
      </c>
      <c r="M14" s="15" t="s">
        <v>83</v>
      </c>
      <c r="N14" s="17">
        <v>0.307</v>
      </c>
      <c r="O14" s="18"/>
      <c r="P14" s="22">
        <f t="shared" si="2"/>
        <v>5</v>
      </c>
      <c r="Q14" s="22">
        <f t="shared" si="3"/>
        <v>1.5349999999999999</v>
      </c>
      <c r="R14" s="22">
        <f t="shared" si="4"/>
        <v>0</v>
      </c>
      <c r="S14" s="22">
        <f t="shared" si="5"/>
        <v>0</v>
      </c>
      <c r="T14" s="23"/>
      <c r="U14" s="23">
        <f t="shared" si="6"/>
        <v>0</v>
      </c>
      <c r="V14" s="23"/>
      <c r="W14" s="23">
        <f t="shared" si="7"/>
        <v>0</v>
      </c>
      <c r="X14" s="23"/>
      <c r="Y14" s="23"/>
      <c r="Z14" s="23">
        <f t="shared" si="8"/>
        <v>0</v>
      </c>
      <c r="AA14" s="23"/>
      <c r="AB14" s="23">
        <f t="shared" si="9"/>
        <v>0</v>
      </c>
      <c r="AC14" s="23"/>
      <c r="AD14" s="23"/>
      <c r="AE14" s="23">
        <f t="shared" si="10"/>
        <v>0</v>
      </c>
      <c r="AF14" s="23"/>
      <c r="AG14" s="23">
        <f t="shared" si="11"/>
        <v>0</v>
      </c>
      <c r="AH14" s="23"/>
      <c r="AI14" s="23">
        <v>5000</v>
      </c>
      <c r="AJ14" s="23">
        <f t="shared" si="12"/>
        <v>1535</v>
      </c>
      <c r="AK14" s="23"/>
      <c r="AL14" s="23">
        <f t="shared" si="13"/>
        <v>0</v>
      </c>
      <c r="AM14" s="23">
        <v>5000</v>
      </c>
      <c r="AN14" s="23"/>
      <c r="AO14" s="23">
        <f t="shared" si="14"/>
        <v>0</v>
      </c>
      <c r="AP14" s="23">
        <v>5000</v>
      </c>
      <c r="AQ14" s="23">
        <f t="shared" si="15"/>
        <v>1535</v>
      </c>
      <c r="AR14" s="23"/>
      <c r="AS14" s="23"/>
      <c r="AT14" s="23">
        <f t="shared" si="16"/>
        <v>0</v>
      </c>
      <c r="AU14" s="23"/>
      <c r="AV14" s="23">
        <f t="shared" si="17"/>
        <v>0</v>
      </c>
      <c r="AW14" s="23"/>
      <c r="AX14" s="24"/>
      <c r="AY14" s="24">
        <f t="shared" si="18"/>
        <v>0</v>
      </c>
      <c r="AZ14" s="23"/>
      <c r="BA14" s="23">
        <f t="shared" si="19"/>
        <v>0</v>
      </c>
      <c r="BB14" s="23"/>
      <c r="BC14" s="23"/>
      <c r="BD14" s="23">
        <f t="shared" si="20"/>
        <v>0</v>
      </c>
      <c r="BE14" s="23"/>
      <c r="BF14" s="23">
        <f t="shared" si="21"/>
        <v>0</v>
      </c>
      <c r="BG14" s="23"/>
      <c r="BH14" s="23"/>
      <c r="BI14" s="23">
        <f t="shared" si="22"/>
        <v>0</v>
      </c>
      <c r="BJ14" s="23"/>
      <c r="BK14" s="23">
        <f t="shared" si="23"/>
        <v>0</v>
      </c>
      <c r="BL14" s="23"/>
      <c r="BM14" s="23"/>
      <c r="BN14" s="23">
        <f t="shared" si="24"/>
        <v>0</v>
      </c>
      <c r="BO14" s="23"/>
      <c r="BP14" s="23">
        <f t="shared" si="25"/>
        <v>0</v>
      </c>
      <c r="BQ14" s="23"/>
      <c r="BR14" s="23"/>
      <c r="BS14" s="23">
        <f t="shared" si="26"/>
        <v>0</v>
      </c>
      <c r="BT14" s="23"/>
      <c r="BU14" s="23">
        <f t="shared" si="27"/>
        <v>0</v>
      </c>
      <c r="BV14" s="23"/>
      <c r="BW14" s="23"/>
      <c r="BX14" s="23">
        <f t="shared" si="28"/>
        <v>0</v>
      </c>
      <c r="BY14" s="23"/>
      <c r="BZ14" s="23">
        <f t="shared" si="29"/>
        <v>0</v>
      </c>
      <c r="CA14" s="23"/>
      <c r="CB14" s="15"/>
    </row>
    <row r="15" spans="1:80" ht="16" x14ac:dyDescent="0.4">
      <c r="A15" s="15" t="s">
        <v>76</v>
      </c>
      <c r="B15" s="15" t="s">
        <v>262</v>
      </c>
      <c r="C15" s="15" t="s">
        <v>263</v>
      </c>
      <c r="D15" s="15" t="s">
        <v>300</v>
      </c>
      <c r="E15" s="112" t="s">
        <v>301</v>
      </c>
      <c r="F15" s="15" t="s">
        <v>267</v>
      </c>
      <c r="G15" s="15" t="s">
        <v>283</v>
      </c>
      <c r="H15" s="15" t="s">
        <v>114</v>
      </c>
      <c r="I15" s="15" t="s">
        <v>114</v>
      </c>
      <c r="J15" s="15" t="s">
        <v>89</v>
      </c>
      <c r="K15" s="15" t="s">
        <v>115</v>
      </c>
      <c r="L15" s="15" t="s">
        <v>476</v>
      </c>
      <c r="M15" s="15" t="s">
        <v>83</v>
      </c>
      <c r="N15" s="17">
        <v>0.307</v>
      </c>
      <c r="O15" s="18"/>
      <c r="P15" s="22">
        <f t="shared" si="2"/>
        <v>20</v>
      </c>
      <c r="Q15" s="22">
        <f t="shared" si="3"/>
        <v>6.14</v>
      </c>
      <c r="R15" s="22">
        <f t="shared" si="4"/>
        <v>0</v>
      </c>
      <c r="S15" s="22">
        <f t="shared" si="5"/>
        <v>0</v>
      </c>
      <c r="T15" s="23"/>
      <c r="U15" s="23">
        <f t="shared" si="6"/>
        <v>0</v>
      </c>
      <c r="V15" s="23"/>
      <c r="W15" s="23">
        <f t="shared" si="7"/>
        <v>0</v>
      </c>
      <c r="X15" s="23"/>
      <c r="Y15" s="23"/>
      <c r="Z15" s="23">
        <f t="shared" si="8"/>
        <v>0</v>
      </c>
      <c r="AA15" s="23"/>
      <c r="AB15" s="23">
        <f t="shared" si="9"/>
        <v>0</v>
      </c>
      <c r="AC15" s="23"/>
      <c r="AD15" s="23"/>
      <c r="AE15" s="23">
        <f t="shared" si="10"/>
        <v>0</v>
      </c>
      <c r="AF15" s="23"/>
      <c r="AG15" s="23">
        <f t="shared" si="11"/>
        <v>0</v>
      </c>
      <c r="AH15" s="23"/>
      <c r="AI15" s="23">
        <v>20000</v>
      </c>
      <c r="AJ15" s="23">
        <f t="shared" si="12"/>
        <v>6140</v>
      </c>
      <c r="AK15" s="23"/>
      <c r="AL15" s="23">
        <f t="shared" si="13"/>
        <v>0</v>
      </c>
      <c r="AM15" s="23">
        <v>20000</v>
      </c>
      <c r="AN15" s="23"/>
      <c r="AO15" s="23">
        <f t="shared" si="14"/>
        <v>0</v>
      </c>
      <c r="AP15" s="23">
        <v>5000</v>
      </c>
      <c r="AQ15" s="23">
        <f t="shared" si="15"/>
        <v>1535</v>
      </c>
      <c r="AR15" s="23"/>
      <c r="AS15" s="23"/>
      <c r="AT15" s="23">
        <f t="shared" si="16"/>
        <v>0</v>
      </c>
      <c r="AU15" s="23"/>
      <c r="AV15" s="23">
        <f t="shared" si="17"/>
        <v>0</v>
      </c>
      <c r="AW15" s="23"/>
      <c r="AX15" s="24"/>
      <c r="AY15" s="24">
        <f t="shared" si="18"/>
        <v>0</v>
      </c>
      <c r="AZ15" s="23"/>
      <c r="BA15" s="23">
        <f t="shared" si="19"/>
        <v>0</v>
      </c>
      <c r="BB15" s="23"/>
      <c r="BC15" s="23"/>
      <c r="BD15" s="23">
        <f t="shared" si="20"/>
        <v>0</v>
      </c>
      <c r="BE15" s="23"/>
      <c r="BF15" s="23">
        <f t="shared" si="21"/>
        <v>0</v>
      </c>
      <c r="BG15" s="23"/>
      <c r="BH15" s="23"/>
      <c r="BI15" s="23">
        <f t="shared" si="22"/>
        <v>0</v>
      </c>
      <c r="BJ15" s="23"/>
      <c r="BK15" s="23">
        <f t="shared" si="23"/>
        <v>0</v>
      </c>
      <c r="BL15" s="23"/>
      <c r="BM15" s="23"/>
      <c r="BN15" s="23">
        <f t="shared" si="24"/>
        <v>0</v>
      </c>
      <c r="BO15" s="23"/>
      <c r="BP15" s="23">
        <f t="shared" si="25"/>
        <v>0</v>
      </c>
      <c r="BQ15" s="23"/>
      <c r="BR15" s="23"/>
      <c r="BS15" s="23">
        <f t="shared" si="26"/>
        <v>0</v>
      </c>
      <c r="BT15" s="23"/>
      <c r="BU15" s="23">
        <f t="shared" si="27"/>
        <v>0</v>
      </c>
      <c r="BV15" s="23"/>
      <c r="BW15" s="23"/>
      <c r="BX15" s="23">
        <f t="shared" si="28"/>
        <v>0</v>
      </c>
      <c r="BY15" s="23"/>
      <c r="BZ15" s="23">
        <f t="shared" si="29"/>
        <v>0</v>
      </c>
      <c r="CA15" s="23"/>
      <c r="CB15" s="15"/>
    </row>
    <row r="16" spans="1:80" ht="16" x14ac:dyDescent="0.4">
      <c r="A16" s="15" t="s">
        <v>76</v>
      </c>
      <c r="B16" s="15" t="s">
        <v>262</v>
      </c>
      <c r="C16" s="15" t="s">
        <v>263</v>
      </c>
      <c r="D16" s="15" t="s">
        <v>300</v>
      </c>
      <c r="E16" s="112" t="s">
        <v>301</v>
      </c>
      <c r="F16" s="15" t="s">
        <v>267</v>
      </c>
      <c r="G16" s="15" t="s">
        <v>283</v>
      </c>
      <c r="H16" s="15" t="s">
        <v>114</v>
      </c>
      <c r="I16" s="15" t="s">
        <v>114</v>
      </c>
      <c r="J16" s="15" t="s">
        <v>89</v>
      </c>
      <c r="K16" s="15" t="s">
        <v>115</v>
      </c>
      <c r="L16" s="15" t="s">
        <v>477</v>
      </c>
      <c r="M16" s="15" t="s">
        <v>83</v>
      </c>
      <c r="N16" s="17">
        <v>2.5499999999999998</v>
      </c>
      <c r="O16" s="18"/>
      <c r="P16" s="22">
        <f t="shared" si="2"/>
        <v>5</v>
      </c>
      <c r="Q16" s="22">
        <f t="shared" si="3"/>
        <v>12.75</v>
      </c>
      <c r="R16" s="22">
        <f t="shared" si="4"/>
        <v>0</v>
      </c>
      <c r="S16" s="22">
        <f t="shared" si="5"/>
        <v>0</v>
      </c>
      <c r="T16" s="23"/>
      <c r="U16" s="23">
        <f t="shared" si="6"/>
        <v>0</v>
      </c>
      <c r="V16" s="23"/>
      <c r="W16" s="23">
        <f t="shared" si="7"/>
        <v>0</v>
      </c>
      <c r="X16" s="23"/>
      <c r="Y16" s="23"/>
      <c r="Z16" s="23">
        <f t="shared" si="8"/>
        <v>0</v>
      </c>
      <c r="AA16" s="23"/>
      <c r="AB16" s="23">
        <f t="shared" si="9"/>
        <v>0</v>
      </c>
      <c r="AC16" s="23"/>
      <c r="AD16" s="23"/>
      <c r="AE16" s="23">
        <f t="shared" si="10"/>
        <v>0</v>
      </c>
      <c r="AF16" s="23"/>
      <c r="AG16" s="23">
        <f t="shared" si="11"/>
        <v>0</v>
      </c>
      <c r="AH16" s="23"/>
      <c r="AI16" s="23">
        <v>5000</v>
      </c>
      <c r="AJ16" s="23">
        <f t="shared" si="12"/>
        <v>12750</v>
      </c>
      <c r="AK16" s="23"/>
      <c r="AL16" s="23">
        <f t="shared" si="13"/>
        <v>0</v>
      </c>
      <c r="AM16" s="23">
        <v>5000</v>
      </c>
      <c r="AN16" s="23"/>
      <c r="AO16" s="23">
        <f t="shared" si="14"/>
        <v>0</v>
      </c>
      <c r="AP16" s="23">
        <v>5000</v>
      </c>
      <c r="AQ16" s="23">
        <f t="shared" si="15"/>
        <v>12750</v>
      </c>
      <c r="AR16" s="23"/>
      <c r="AS16" s="23"/>
      <c r="AT16" s="23">
        <f t="shared" si="16"/>
        <v>0</v>
      </c>
      <c r="AU16" s="23"/>
      <c r="AV16" s="23">
        <f t="shared" si="17"/>
        <v>0</v>
      </c>
      <c r="AW16" s="23"/>
      <c r="AX16" s="24"/>
      <c r="AY16" s="24">
        <f t="shared" si="18"/>
        <v>0</v>
      </c>
      <c r="AZ16" s="23"/>
      <c r="BA16" s="23">
        <f t="shared" si="19"/>
        <v>0</v>
      </c>
      <c r="BB16" s="23"/>
      <c r="BC16" s="23"/>
      <c r="BD16" s="23">
        <f t="shared" si="20"/>
        <v>0</v>
      </c>
      <c r="BE16" s="23"/>
      <c r="BF16" s="23">
        <f t="shared" si="21"/>
        <v>0</v>
      </c>
      <c r="BG16" s="23"/>
      <c r="BH16" s="23"/>
      <c r="BI16" s="23">
        <f t="shared" si="22"/>
        <v>0</v>
      </c>
      <c r="BJ16" s="23"/>
      <c r="BK16" s="23">
        <f t="shared" si="23"/>
        <v>0</v>
      </c>
      <c r="BL16" s="23"/>
      <c r="BM16" s="23"/>
      <c r="BN16" s="23">
        <f t="shared" si="24"/>
        <v>0</v>
      </c>
      <c r="BO16" s="23"/>
      <c r="BP16" s="23">
        <f t="shared" si="25"/>
        <v>0</v>
      </c>
      <c r="BQ16" s="23"/>
      <c r="BR16" s="23"/>
      <c r="BS16" s="23">
        <f t="shared" si="26"/>
        <v>0</v>
      </c>
      <c r="BT16" s="23"/>
      <c r="BU16" s="23">
        <f t="shared" si="27"/>
        <v>0</v>
      </c>
      <c r="BV16" s="23"/>
      <c r="BW16" s="23"/>
      <c r="BX16" s="23">
        <f t="shared" si="28"/>
        <v>0</v>
      </c>
      <c r="BY16" s="23"/>
      <c r="BZ16" s="23">
        <f t="shared" si="29"/>
        <v>0</v>
      </c>
      <c r="CA16" s="23"/>
      <c r="CB16" s="15"/>
    </row>
    <row r="17" spans="1:80" ht="16" x14ac:dyDescent="0.4">
      <c r="A17" s="15" t="s">
        <v>76</v>
      </c>
      <c r="B17" s="15" t="s">
        <v>262</v>
      </c>
      <c r="C17" s="15" t="s">
        <v>263</v>
      </c>
      <c r="D17" s="15" t="s">
        <v>300</v>
      </c>
      <c r="E17" s="112" t="s">
        <v>301</v>
      </c>
      <c r="F17" s="15" t="s">
        <v>267</v>
      </c>
      <c r="G17" s="15" t="s">
        <v>283</v>
      </c>
      <c r="H17" s="15" t="s">
        <v>114</v>
      </c>
      <c r="I17" s="15" t="s">
        <v>114</v>
      </c>
      <c r="J17" s="15" t="s">
        <v>89</v>
      </c>
      <c r="K17" s="15" t="s">
        <v>115</v>
      </c>
      <c r="L17" s="15" t="s">
        <v>478</v>
      </c>
      <c r="M17" s="15" t="s">
        <v>83</v>
      </c>
      <c r="N17" s="17">
        <v>2.5499999999999998</v>
      </c>
      <c r="O17" s="18"/>
      <c r="P17" s="22">
        <f t="shared" si="2"/>
        <v>5</v>
      </c>
      <c r="Q17" s="22">
        <f t="shared" si="3"/>
        <v>12.75</v>
      </c>
      <c r="R17" s="22">
        <f t="shared" si="4"/>
        <v>0</v>
      </c>
      <c r="S17" s="22">
        <f t="shared" si="5"/>
        <v>0</v>
      </c>
      <c r="T17" s="23"/>
      <c r="U17" s="23">
        <f t="shared" si="6"/>
        <v>0</v>
      </c>
      <c r="V17" s="23"/>
      <c r="W17" s="23">
        <f t="shared" si="7"/>
        <v>0</v>
      </c>
      <c r="X17" s="23"/>
      <c r="Y17" s="23"/>
      <c r="Z17" s="23">
        <f t="shared" si="8"/>
        <v>0</v>
      </c>
      <c r="AA17" s="23"/>
      <c r="AB17" s="23">
        <f t="shared" si="9"/>
        <v>0</v>
      </c>
      <c r="AC17" s="23"/>
      <c r="AD17" s="23"/>
      <c r="AE17" s="23">
        <f t="shared" si="10"/>
        <v>0</v>
      </c>
      <c r="AF17" s="23"/>
      <c r="AG17" s="23">
        <f t="shared" si="11"/>
        <v>0</v>
      </c>
      <c r="AH17" s="23"/>
      <c r="AI17" s="23">
        <v>5000</v>
      </c>
      <c r="AJ17" s="23">
        <f t="shared" si="12"/>
        <v>12750</v>
      </c>
      <c r="AK17" s="23"/>
      <c r="AL17" s="23">
        <f t="shared" si="13"/>
        <v>0</v>
      </c>
      <c r="AM17" s="23">
        <v>5000</v>
      </c>
      <c r="AN17" s="23"/>
      <c r="AO17" s="23">
        <f t="shared" si="14"/>
        <v>0</v>
      </c>
      <c r="AP17" s="23">
        <v>5000</v>
      </c>
      <c r="AQ17" s="23">
        <f t="shared" si="15"/>
        <v>12750</v>
      </c>
      <c r="AR17" s="23"/>
      <c r="AS17" s="23"/>
      <c r="AT17" s="23">
        <f t="shared" si="16"/>
        <v>0</v>
      </c>
      <c r="AU17" s="23"/>
      <c r="AV17" s="23">
        <f t="shared" si="17"/>
        <v>0</v>
      </c>
      <c r="AW17" s="23"/>
      <c r="AX17" s="24"/>
      <c r="AY17" s="24">
        <f t="shared" si="18"/>
        <v>0</v>
      </c>
      <c r="AZ17" s="23"/>
      <c r="BA17" s="23">
        <f t="shared" si="19"/>
        <v>0</v>
      </c>
      <c r="BB17" s="23"/>
      <c r="BC17" s="23"/>
      <c r="BD17" s="23">
        <f t="shared" si="20"/>
        <v>0</v>
      </c>
      <c r="BE17" s="23"/>
      <c r="BF17" s="23">
        <f t="shared" si="21"/>
        <v>0</v>
      </c>
      <c r="BG17" s="23"/>
      <c r="BH17" s="23"/>
      <c r="BI17" s="23">
        <f t="shared" si="22"/>
        <v>0</v>
      </c>
      <c r="BJ17" s="23"/>
      <c r="BK17" s="23">
        <f t="shared" si="23"/>
        <v>0</v>
      </c>
      <c r="BL17" s="23"/>
      <c r="BM17" s="23"/>
      <c r="BN17" s="23">
        <f t="shared" si="24"/>
        <v>0</v>
      </c>
      <c r="BO17" s="23"/>
      <c r="BP17" s="23">
        <f t="shared" si="25"/>
        <v>0</v>
      </c>
      <c r="BQ17" s="23"/>
      <c r="BR17" s="23"/>
      <c r="BS17" s="23">
        <f t="shared" si="26"/>
        <v>0</v>
      </c>
      <c r="BT17" s="23"/>
      <c r="BU17" s="23">
        <f t="shared" si="27"/>
        <v>0</v>
      </c>
      <c r="BV17" s="23"/>
      <c r="BW17" s="23"/>
      <c r="BX17" s="23">
        <f t="shared" si="28"/>
        <v>0</v>
      </c>
      <c r="BY17" s="23"/>
      <c r="BZ17" s="23">
        <f t="shared" si="29"/>
        <v>0</v>
      </c>
      <c r="CA17" s="23"/>
      <c r="CB17" s="15"/>
    </row>
    <row r="18" spans="1:80" ht="16" x14ac:dyDescent="0.4">
      <c r="A18" s="15" t="s">
        <v>76</v>
      </c>
      <c r="B18" s="15" t="s">
        <v>262</v>
      </c>
      <c r="C18" s="15" t="s">
        <v>263</v>
      </c>
      <c r="D18" s="15" t="s">
        <v>300</v>
      </c>
      <c r="E18" s="112" t="s">
        <v>301</v>
      </c>
      <c r="F18" s="15" t="s">
        <v>267</v>
      </c>
      <c r="G18" s="15" t="s">
        <v>283</v>
      </c>
      <c r="H18" s="15" t="s">
        <v>114</v>
      </c>
      <c r="I18" s="15" t="s">
        <v>114</v>
      </c>
      <c r="J18" s="15" t="s">
        <v>89</v>
      </c>
      <c r="K18" s="15" t="s">
        <v>115</v>
      </c>
      <c r="L18" s="15" t="s">
        <v>479</v>
      </c>
      <c r="M18" s="15" t="s">
        <v>83</v>
      </c>
      <c r="N18" s="17">
        <v>2.5499999999999998</v>
      </c>
      <c r="O18" s="18"/>
      <c r="P18" s="22">
        <f t="shared" ref="P18:P20" si="30">+(T18+Y18+AD18+AI18+AN18+AS18+AX18+BC18+BH18+BM18+BR18+BW18)/1000</f>
        <v>5</v>
      </c>
      <c r="Q18" s="22">
        <f t="shared" ref="Q18:Q20" si="31">+(U18+Z18+AE18+AJ18+AO18+AT18+AY18+BD18+BI18+BN18+BS18+BX18)/1000</f>
        <v>12.75</v>
      </c>
      <c r="R18" s="22">
        <f t="shared" ref="R18:R20" si="32">+(+BA18+BF18+BK18+BP18+BU18+BZ18)</f>
        <v>0</v>
      </c>
      <c r="S18" s="22">
        <f t="shared" ref="S18:S20" si="33">+(+BB18+BG18+BL18+BQ18+BV18+CA18)</f>
        <v>0</v>
      </c>
      <c r="T18" s="23"/>
      <c r="U18" s="23">
        <f t="shared" ref="U18:U20" si="34">T18*N18</f>
        <v>0</v>
      </c>
      <c r="V18" s="23"/>
      <c r="W18" s="23">
        <f t="shared" ref="W18:W20" si="35">V18*N18</f>
        <v>0</v>
      </c>
      <c r="X18" s="23"/>
      <c r="Y18" s="23"/>
      <c r="Z18" s="23">
        <f t="shared" ref="Z18:Z20" si="36">Y18*N18</f>
        <v>0</v>
      </c>
      <c r="AA18" s="23"/>
      <c r="AB18" s="23">
        <f t="shared" ref="AB18:AB20" si="37">AA18*N18</f>
        <v>0</v>
      </c>
      <c r="AC18" s="23"/>
      <c r="AD18" s="23"/>
      <c r="AE18" s="23">
        <f t="shared" ref="AE18:AE20" si="38">AD18*N18</f>
        <v>0</v>
      </c>
      <c r="AF18" s="23"/>
      <c r="AG18" s="23">
        <f t="shared" ref="AG18:AG20" si="39">AF18*N18</f>
        <v>0</v>
      </c>
      <c r="AH18" s="23"/>
      <c r="AI18" s="23">
        <v>5000</v>
      </c>
      <c r="AJ18" s="23">
        <f t="shared" ref="AJ18:AJ20" si="40">AI18*N18</f>
        <v>12750</v>
      </c>
      <c r="AK18" s="23"/>
      <c r="AL18" s="23">
        <f t="shared" ref="AL18:AL20" si="41">AK18*N18</f>
        <v>0</v>
      </c>
      <c r="AM18" s="23">
        <v>5000</v>
      </c>
      <c r="AN18" s="23"/>
      <c r="AO18" s="23">
        <f t="shared" ref="AO18:AO20" si="42">AN18*N18</f>
        <v>0</v>
      </c>
      <c r="AP18" s="23">
        <v>5000</v>
      </c>
      <c r="AQ18" s="23">
        <f t="shared" ref="AQ18:AQ20" si="43">AP18*N18</f>
        <v>12750</v>
      </c>
      <c r="AR18" s="23"/>
      <c r="AS18" s="23"/>
      <c r="AT18" s="23">
        <f t="shared" ref="AT18:AT20" si="44">AS18*N18</f>
        <v>0</v>
      </c>
      <c r="AU18" s="23"/>
      <c r="AV18" s="23">
        <f t="shared" ref="AV18:AV20" si="45">AU18*N18</f>
        <v>0</v>
      </c>
      <c r="AW18" s="23"/>
      <c r="AX18" s="24"/>
      <c r="AY18" s="24">
        <f t="shared" ref="AY18:AY20" si="46">AX18*N18</f>
        <v>0</v>
      </c>
      <c r="AZ18" s="23"/>
      <c r="BA18" s="23">
        <f t="shared" ref="BA18:BA20" si="47">AZ18*N18</f>
        <v>0</v>
      </c>
      <c r="BB18" s="23"/>
      <c r="BC18" s="23"/>
      <c r="BD18" s="23">
        <f t="shared" ref="BD18:BD20" si="48">BC18*N18</f>
        <v>0</v>
      </c>
      <c r="BE18" s="23"/>
      <c r="BF18" s="23">
        <f t="shared" ref="BF18:BF20" si="49">BE18*N18</f>
        <v>0</v>
      </c>
      <c r="BG18" s="23"/>
      <c r="BH18" s="23"/>
      <c r="BI18" s="23">
        <f t="shared" ref="BI18:BI20" si="50">BH18*N18</f>
        <v>0</v>
      </c>
      <c r="BJ18" s="23"/>
      <c r="BK18" s="23">
        <f t="shared" ref="BK18:BK20" si="51">BJ18*N18</f>
        <v>0</v>
      </c>
      <c r="BL18" s="23"/>
      <c r="BM18" s="23"/>
      <c r="BN18" s="23">
        <f t="shared" ref="BN18:BN20" si="52">BM18*N18</f>
        <v>0</v>
      </c>
      <c r="BO18" s="23"/>
      <c r="BP18" s="23">
        <f t="shared" ref="BP18:BP20" si="53">BO18*N18</f>
        <v>0</v>
      </c>
      <c r="BQ18" s="23"/>
      <c r="BR18" s="23"/>
      <c r="BS18" s="23">
        <f t="shared" ref="BS18:BS20" si="54">BR18*N18</f>
        <v>0</v>
      </c>
      <c r="BT18" s="23"/>
      <c r="BU18" s="23">
        <f t="shared" ref="BU18:BU20" si="55">BT18*N18</f>
        <v>0</v>
      </c>
      <c r="BV18" s="23"/>
      <c r="BW18" s="23"/>
      <c r="BX18" s="23">
        <f t="shared" ref="BX18:BX20" si="56">BW18*N18</f>
        <v>0</v>
      </c>
      <c r="BY18" s="23"/>
      <c r="BZ18" s="23">
        <f t="shared" ref="BZ18:BZ20" si="57">BY18*N18</f>
        <v>0</v>
      </c>
      <c r="CA18" s="23"/>
      <c r="CB18" s="15"/>
    </row>
    <row r="19" spans="1:80" ht="16" x14ac:dyDescent="0.4">
      <c r="A19" s="15" t="s">
        <v>76</v>
      </c>
      <c r="B19" s="15" t="s">
        <v>262</v>
      </c>
      <c r="C19" s="15" t="s">
        <v>263</v>
      </c>
      <c r="D19" s="15" t="s">
        <v>300</v>
      </c>
      <c r="E19" s="112" t="s">
        <v>301</v>
      </c>
      <c r="F19" s="15" t="s">
        <v>267</v>
      </c>
      <c r="G19" s="15" t="s">
        <v>283</v>
      </c>
      <c r="H19" s="15" t="s">
        <v>114</v>
      </c>
      <c r="I19" s="15" t="s">
        <v>114</v>
      </c>
      <c r="J19" s="15" t="s">
        <v>89</v>
      </c>
      <c r="K19" s="15" t="s">
        <v>115</v>
      </c>
      <c r="L19" s="15" t="s">
        <v>480</v>
      </c>
      <c r="M19" s="15" t="s">
        <v>83</v>
      </c>
      <c r="N19" s="17">
        <v>5.33</v>
      </c>
      <c r="O19" s="18"/>
      <c r="P19" s="22">
        <f t="shared" si="30"/>
        <v>4.5</v>
      </c>
      <c r="Q19" s="22">
        <f t="shared" si="31"/>
        <v>23.984999999999999</v>
      </c>
      <c r="R19" s="22">
        <f t="shared" si="32"/>
        <v>0</v>
      </c>
      <c r="S19" s="22">
        <f t="shared" si="33"/>
        <v>0</v>
      </c>
      <c r="T19" s="23"/>
      <c r="U19" s="23">
        <f t="shared" si="34"/>
        <v>0</v>
      </c>
      <c r="V19" s="23"/>
      <c r="W19" s="23">
        <f t="shared" si="35"/>
        <v>0</v>
      </c>
      <c r="X19" s="23"/>
      <c r="Y19" s="23"/>
      <c r="Z19" s="23">
        <f t="shared" si="36"/>
        <v>0</v>
      </c>
      <c r="AA19" s="23"/>
      <c r="AB19" s="23">
        <f t="shared" si="37"/>
        <v>0</v>
      </c>
      <c r="AC19" s="23"/>
      <c r="AD19" s="23"/>
      <c r="AE19" s="23">
        <f t="shared" si="38"/>
        <v>0</v>
      </c>
      <c r="AF19" s="23"/>
      <c r="AG19" s="23">
        <f t="shared" si="39"/>
        <v>0</v>
      </c>
      <c r="AH19" s="23"/>
      <c r="AI19" s="23">
        <v>4500</v>
      </c>
      <c r="AJ19" s="23">
        <f t="shared" si="40"/>
        <v>23985</v>
      </c>
      <c r="AK19" s="23"/>
      <c r="AL19" s="23">
        <f t="shared" si="41"/>
        <v>0</v>
      </c>
      <c r="AM19" s="23">
        <v>4500</v>
      </c>
      <c r="AN19" s="23"/>
      <c r="AO19" s="23">
        <f t="shared" si="42"/>
        <v>0</v>
      </c>
      <c r="AP19" s="23">
        <v>5000</v>
      </c>
      <c r="AQ19" s="23">
        <f t="shared" si="43"/>
        <v>26650</v>
      </c>
      <c r="AR19" s="23"/>
      <c r="AS19" s="23"/>
      <c r="AT19" s="23">
        <f t="shared" si="44"/>
        <v>0</v>
      </c>
      <c r="AU19" s="23"/>
      <c r="AV19" s="23">
        <f t="shared" si="45"/>
        <v>0</v>
      </c>
      <c r="AW19" s="23"/>
      <c r="AX19" s="24"/>
      <c r="AY19" s="24">
        <f t="shared" si="46"/>
        <v>0</v>
      </c>
      <c r="AZ19" s="23"/>
      <c r="BA19" s="23">
        <f t="shared" si="47"/>
        <v>0</v>
      </c>
      <c r="BB19" s="23"/>
      <c r="BC19" s="23"/>
      <c r="BD19" s="23">
        <f t="shared" si="48"/>
        <v>0</v>
      </c>
      <c r="BE19" s="23"/>
      <c r="BF19" s="23">
        <f t="shared" si="49"/>
        <v>0</v>
      </c>
      <c r="BG19" s="23"/>
      <c r="BH19" s="23"/>
      <c r="BI19" s="23">
        <f t="shared" si="50"/>
        <v>0</v>
      </c>
      <c r="BJ19" s="23"/>
      <c r="BK19" s="23">
        <f t="shared" si="51"/>
        <v>0</v>
      </c>
      <c r="BL19" s="23"/>
      <c r="BM19" s="23"/>
      <c r="BN19" s="23">
        <f t="shared" si="52"/>
        <v>0</v>
      </c>
      <c r="BO19" s="23"/>
      <c r="BP19" s="23">
        <f t="shared" si="53"/>
        <v>0</v>
      </c>
      <c r="BQ19" s="23"/>
      <c r="BR19" s="23"/>
      <c r="BS19" s="23">
        <f t="shared" si="54"/>
        <v>0</v>
      </c>
      <c r="BT19" s="23"/>
      <c r="BU19" s="23">
        <f t="shared" si="55"/>
        <v>0</v>
      </c>
      <c r="BV19" s="23"/>
      <c r="BW19" s="23"/>
      <c r="BX19" s="23">
        <f t="shared" si="56"/>
        <v>0</v>
      </c>
      <c r="BY19" s="23"/>
      <c r="BZ19" s="23">
        <f t="shared" si="57"/>
        <v>0</v>
      </c>
      <c r="CA19" s="23"/>
      <c r="CB19" s="15"/>
    </row>
    <row r="20" spans="1:80" ht="16" x14ac:dyDescent="0.4">
      <c r="A20" s="15" t="s">
        <v>76</v>
      </c>
      <c r="B20" s="15" t="s">
        <v>262</v>
      </c>
      <c r="C20" s="15" t="s">
        <v>263</v>
      </c>
      <c r="D20" s="15" t="s">
        <v>481</v>
      </c>
      <c r="E20" s="112" t="s">
        <v>482</v>
      </c>
      <c r="F20" s="15" t="s">
        <v>267</v>
      </c>
      <c r="G20" s="15" t="s">
        <v>283</v>
      </c>
      <c r="H20" s="15" t="s">
        <v>168</v>
      </c>
      <c r="I20" s="15" t="s">
        <v>168</v>
      </c>
      <c r="J20" s="15" t="s">
        <v>118</v>
      </c>
      <c r="K20" s="15" t="s">
        <v>111</v>
      </c>
      <c r="L20" s="15" t="s">
        <v>200</v>
      </c>
      <c r="M20" s="15" t="s">
        <v>83</v>
      </c>
      <c r="N20" s="17">
        <v>180</v>
      </c>
      <c r="O20" s="18"/>
      <c r="P20" s="22">
        <f t="shared" si="30"/>
        <v>1</v>
      </c>
      <c r="Q20" s="22">
        <f t="shared" si="31"/>
        <v>180</v>
      </c>
      <c r="R20" s="22">
        <f t="shared" si="32"/>
        <v>0</v>
      </c>
      <c r="S20" s="22">
        <f t="shared" si="33"/>
        <v>0</v>
      </c>
      <c r="T20" s="23"/>
      <c r="U20" s="23">
        <f t="shared" si="34"/>
        <v>0</v>
      </c>
      <c r="V20" s="23"/>
      <c r="W20" s="23">
        <f t="shared" si="35"/>
        <v>0</v>
      </c>
      <c r="X20" s="23"/>
      <c r="Y20" s="23"/>
      <c r="Z20" s="23">
        <f t="shared" si="36"/>
        <v>0</v>
      </c>
      <c r="AA20" s="23"/>
      <c r="AB20" s="23">
        <f t="shared" si="37"/>
        <v>0</v>
      </c>
      <c r="AC20" s="23"/>
      <c r="AD20" s="23"/>
      <c r="AE20" s="23">
        <f t="shared" si="38"/>
        <v>0</v>
      </c>
      <c r="AF20" s="23"/>
      <c r="AG20" s="23">
        <f t="shared" si="39"/>
        <v>0</v>
      </c>
      <c r="AH20" s="23"/>
      <c r="AI20" s="23"/>
      <c r="AJ20" s="23">
        <f t="shared" si="40"/>
        <v>0</v>
      </c>
      <c r="AK20" s="23"/>
      <c r="AL20" s="23">
        <f t="shared" si="41"/>
        <v>0</v>
      </c>
      <c r="AM20" s="23"/>
      <c r="AN20" s="23"/>
      <c r="AO20" s="23">
        <f t="shared" si="42"/>
        <v>0</v>
      </c>
      <c r="AP20" s="23">
        <v>0</v>
      </c>
      <c r="AQ20" s="23">
        <f t="shared" si="43"/>
        <v>0</v>
      </c>
      <c r="AR20" s="23"/>
      <c r="AS20" s="23"/>
      <c r="AT20" s="23">
        <f t="shared" si="44"/>
        <v>0</v>
      </c>
      <c r="AU20" s="23"/>
      <c r="AV20" s="23">
        <f t="shared" si="45"/>
        <v>0</v>
      </c>
      <c r="AW20" s="23"/>
      <c r="AX20" s="24"/>
      <c r="AY20" s="24">
        <f t="shared" si="46"/>
        <v>0</v>
      </c>
      <c r="AZ20" s="23"/>
      <c r="BA20" s="23">
        <f t="shared" si="47"/>
        <v>0</v>
      </c>
      <c r="BB20" s="23"/>
      <c r="BC20" s="23">
        <v>1000</v>
      </c>
      <c r="BD20" s="23">
        <f t="shared" si="48"/>
        <v>180000</v>
      </c>
      <c r="BE20" s="23"/>
      <c r="BF20" s="23">
        <f t="shared" si="49"/>
        <v>0</v>
      </c>
      <c r="BG20" s="23"/>
      <c r="BH20" s="23"/>
      <c r="BI20" s="23">
        <f t="shared" si="50"/>
        <v>0</v>
      </c>
      <c r="BJ20" s="23"/>
      <c r="BK20" s="23">
        <f t="shared" si="51"/>
        <v>0</v>
      </c>
      <c r="BL20" s="23"/>
      <c r="BM20" s="23"/>
      <c r="BN20" s="23">
        <f t="shared" si="52"/>
        <v>0</v>
      </c>
      <c r="BO20" s="23"/>
      <c r="BP20" s="23">
        <f t="shared" si="53"/>
        <v>0</v>
      </c>
      <c r="BQ20" s="23"/>
      <c r="BR20" s="23"/>
      <c r="BS20" s="23">
        <f t="shared" si="54"/>
        <v>0</v>
      </c>
      <c r="BT20" s="23"/>
      <c r="BU20" s="23">
        <f t="shared" si="55"/>
        <v>0</v>
      </c>
      <c r="BV20" s="23"/>
      <c r="BW20" s="23"/>
      <c r="BX20" s="23">
        <f t="shared" si="56"/>
        <v>0</v>
      </c>
      <c r="BY20" s="23"/>
      <c r="BZ20" s="23">
        <f t="shared" si="57"/>
        <v>0</v>
      </c>
      <c r="CA20" s="23"/>
      <c r="CB20" s="15"/>
    </row>
    <row r="21" spans="1:80" ht="16" x14ac:dyDescent="0.4">
      <c r="A21" s="15" t="s">
        <v>76</v>
      </c>
      <c r="B21" s="15" t="s">
        <v>262</v>
      </c>
      <c r="C21" s="15" t="s">
        <v>263</v>
      </c>
      <c r="D21" s="15" t="s">
        <v>272</v>
      </c>
      <c r="E21" s="112" t="s">
        <v>273</v>
      </c>
      <c r="F21" s="15" t="s">
        <v>267</v>
      </c>
      <c r="G21" s="15" t="s">
        <v>274</v>
      </c>
      <c r="H21" s="15" t="s">
        <v>91</v>
      </c>
      <c r="I21" s="15" t="s">
        <v>91</v>
      </c>
      <c r="J21" s="15" t="s">
        <v>92</v>
      </c>
      <c r="K21" s="15" t="s">
        <v>93</v>
      </c>
      <c r="L21" s="15" t="s">
        <v>460</v>
      </c>
      <c r="M21" s="15" t="s">
        <v>80</v>
      </c>
      <c r="N21" s="17">
        <v>352</v>
      </c>
      <c r="O21" s="18"/>
      <c r="P21" s="22">
        <f t="shared" ref="P21:P31" si="58">+(T21+Y21+AD21+AI21+AN21+AS21+AX21+BC21+BH21+BM21+BR21+BW21)/1000</f>
        <v>180</v>
      </c>
      <c r="Q21" s="22">
        <f t="shared" ref="Q21:Q31" si="59">+(U21+Z21+AE21+AJ21+AO21+AT21+AY21+BD21+BI21+BN21+BS21+BX21)/1000</f>
        <v>63360</v>
      </c>
      <c r="R21" s="22">
        <f t="shared" ref="R21:R31" si="60">+(+BA21+BF21+BK21+BP21+BU21+BZ21)</f>
        <v>0</v>
      </c>
      <c r="S21" s="22">
        <f t="shared" ref="S21:S31" si="61">+(+BB21+BG21+BL21+BQ21+BV21+CA21)</f>
        <v>0</v>
      </c>
      <c r="T21" s="23">
        <v>20000</v>
      </c>
      <c r="U21" s="23">
        <f t="shared" ref="U21:U31" si="62">T21*N21</f>
        <v>7040000</v>
      </c>
      <c r="V21" s="23">
        <v>20000</v>
      </c>
      <c r="W21" s="23">
        <f t="shared" ref="W21:W31" si="63">V21*N21</f>
        <v>7040000</v>
      </c>
      <c r="X21" s="23"/>
      <c r="Y21" s="23">
        <v>20000</v>
      </c>
      <c r="Z21" s="23">
        <f t="shared" ref="Z21:Z31" si="64">Y21*N21</f>
        <v>7040000</v>
      </c>
      <c r="AA21" s="23">
        <v>20000</v>
      </c>
      <c r="AB21" s="23">
        <f t="shared" ref="AB21:AB31" si="65">AA21*N21</f>
        <v>7040000</v>
      </c>
      <c r="AC21" s="23"/>
      <c r="AD21" s="23">
        <v>20000</v>
      </c>
      <c r="AE21" s="23">
        <f t="shared" ref="AE21:AE31" si="66">AD21*N21</f>
        <v>7040000</v>
      </c>
      <c r="AF21" s="23">
        <v>30000</v>
      </c>
      <c r="AG21" s="23">
        <f t="shared" ref="AG21:AG31" si="67">AF21*N21</f>
        <v>10560000</v>
      </c>
      <c r="AH21" s="23"/>
      <c r="AI21" s="23">
        <v>20000</v>
      </c>
      <c r="AJ21" s="23">
        <f t="shared" ref="AJ21:AJ31" si="68">AI21*N21</f>
        <v>7040000</v>
      </c>
      <c r="AK21" s="23">
        <v>30000</v>
      </c>
      <c r="AL21" s="23">
        <f t="shared" ref="AL21:AL31" si="69">AK21*N21</f>
        <v>10560000</v>
      </c>
      <c r="AM21" s="23"/>
      <c r="AN21" s="23">
        <v>20000</v>
      </c>
      <c r="AO21" s="23">
        <f t="shared" ref="AO21:AO31" si="70">AN21*N21</f>
        <v>7040000</v>
      </c>
      <c r="AP21" s="23">
        <v>10000</v>
      </c>
      <c r="AQ21" s="23">
        <f t="shared" ref="AQ21:AQ31" si="71">AP21*N21</f>
        <v>3520000</v>
      </c>
      <c r="AR21" s="23"/>
      <c r="AS21" s="23">
        <v>20000</v>
      </c>
      <c r="AT21" s="23">
        <f t="shared" ref="AT21:AT31" si="72">AS21*N21</f>
        <v>7040000</v>
      </c>
      <c r="AU21" s="23">
        <v>20000</v>
      </c>
      <c r="AV21" s="23">
        <f t="shared" ref="AV21:AV31" si="73">AU21*N21</f>
        <v>7040000</v>
      </c>
      <c r="AW21" s="23"/>
      <c r="AX21" s="24">
        <v>20000</v>
      </c>
      <c r="AY21" s="24">
        <f t="shared" ref="AY21:AY31" si="74">AX21*N21</f>
        <v>7040000</v>
      </c>
      <c r="AZ21" s="23"/>
      <c r="BA21" s="23">
        <f t="shared" ref="BA21:BA31" si="75">AZ21*N21</f>
        <v>0</v>
      </c>
      <c r="BB21" s="23"/>
      <c r="BC21" s="23">
        <v>20000</v>
      </c>
      <c r="BD21" s="23">
        <f t="shared" ref="BD21:BD31" si="76">BC21*N21</f>
        <v>7040000</v>
      </c>
      <c r="BE21" s="23"/>
      <c r="BF21" s="23">
        <f t="shared" ref="BF21:BF31" si="77">BE21*N21</f>
        <v>0</v>
      </c>
      <c r="BG21" s="23"/>
      <c r="BH21" s="23">
        <v>5000</v>
      </c>
      <c r="BI21" s="23">
        <f t="shared" ref="BI21:BI31" si="78">BH21*N21</f>
        <v>1760000</v>
      </c>
      <c r="BJ21" s="23"/>
      <c r="BK21" s="23">
        <f t="shared" ref="BK21:BK31" si="79">BJ21*N21</f>
        <v>0</v>
      </c>
      <c r="BL21" s="23"/>
      <c r="BM21" s="23">
        <v>5000</v>
      </c>
      <c r="BN21" s="23">
        <f t="shared" ref="BN21:BN31" si="80">BM21*N21</f>
        <v>1760000</v>
      </c>
      <c r="BO21" s="23"/>
      <c r="BP21" s="23">
        <f t="shared" ref="BP21:BP31" si="81">BO21*N21</f>
        <v>0</v>
      </c>
      <c r="BQ21" s="23"/>
      <c r="BR21" s="23">
        <v>5000</v>
      </c>
      <c r="BS21" s="23">
        <f t="shared" ref="BS21:BS31" si="82">BR21*N21</f>
        <v>1760000</v>
      </c>
      <c r="BT21" s="23"/>
      <c r="BU21" s="23">
        <f t="shared" ref="BU21:BU31" si="83">BT21*N21</f>
        <v>0</v>
      </c>
      <c r="BV21" s="23"/>
      <c r="BW21" s="23">
        <v>5000</v>
      </c>
      <c r="BX21" s="23">
        <f t="shared" ref="BX21:BX31" si="84">BW21*N21</f>
        <v>1760000</v>
      </c>
      <c r="BY21" s="23"/>
      <c r="BZ21" s="23">
        <f t="shared" ref="BZ21:BZ31" si="85">BY21*N21</f>
        <v>0</v>
      </c>
      <c r="CA21" s="23"/>
      <c r="CB21" s="57" t="s">
        <v>581</v>
      </c>
    </row>
    <row r="22" spans="1:80" ht="16" x14ac:dyDescent="0.4">
      <c r="A22" s="15" t="s">
        <v>76</v>
      </c>
      <c r="B22" s="15" t="s">
        <v>262</v>
      </c>
      <c r="C22" s="15" t="s">
        <v>263</v>
      </c>
      <c r="D22" s="15" t="s">
        <v>272</v>
      </c>
      <c r="E22" s="112" t="s">
        <v>273</v>
      </c>
      <c r="F22" s="15" t="s">
        <v>267</v>
      </c>
      <c r="G22" s="15" t="s">
        <v>274</v>
      </c>
      <c r="H22" s="15" t="s">
        <v>91</v>
      </c>
      <c r="I22" s="15" t="s">
        <v>91</v>
      </c>
      <c r="J22" s="15" t="s">
        <v>92</v>
      </c>
      <c r="K22" s="15" t="s">
        <v>93</v>
      </c>
      <c r="L22" s="15" t="s">
        <v>224</v>
      </c>
      <c r="M22" s="15" t="s">
        <v>83</v>
      </c>
      <c r="N22" s="17">
        <v>194</v>
      </c>
      <c r="O22" s="18"/>
      <c r="P22" s="22">
        <f t="shared" si="58"/>
        <v>240</v>
      </c>
      <c r="Q22" s="22">
        <f t="shared" si="59"/>
        <v>46560</v>
      </c>
      <c r="R22" s="22">
        <f t="shared" si="60"/>
        <v>2910000</v>
      </c>
      <c r="S22" s="22">
        <f t="shared" si="61"/>
        <v>2500</v>
      </c>
      <c r="T22" s="23">
        <v>20000</v>
      </c>
      <c r="U22" s="23">
        <f t="shared" si="62"/>
        <v>3880000</v>
      </c>
      <c r="V22" s="23">
        <v>0</v>
      </c>
      <c r="W22" s="23">
        <f t="shared" si="63"/>
        <v>0</v>
      </c>
      <c r="X22" s="23"/>
      <c r="Y22" s="23">
        <v>20000</v>
      </c>
      <c r="Z22" s="23">
        <f t="shared" si="64"/>
        <v>3880000</v>
      </c>
      <c r="AA22" s="23">
        <v>6000</v>
      </c>
      <c r="AB22" s="23">
        <f t="shared" si="65"/>
        <v>1164000</v>
      </c>
      <c r="AC22" s="23"/>
      <c r="AD22" s="23">
        <v>20000</v>
      </c>
      <c r="AE22" s="23">
        <f t="shared" si="66"/>
        <v>3880000</v>
      </c>
      <c r="AF22" s="23"/>
      <c r="AG22" s="23">
        <f t="shared" si="67"/>
        <v>0</v>
      </c>
      <c r="AH22" s="23"/>
      <c r="AI22" s="23">
        <v>20000</v>
      </c>
      <c r="AJ22" s="23">
        <f t="shared" si="68"/>
        <v>3880000</v>
      </c>
      <c r="AK22" s="23"/>
      <c r="AL22" s="23">
        <f t="shared" si="69"/>
        <v>0</v>
      </c>
      <c r="AM22" s="23"/>
      <c r="AN22" s="23">
        <v>20000</v>
      </c>
      <c r="AO22" s="23">
        <f t="shared" si="70"/>
        <v>3880000</v>
      </c>
      <c r="AP22" s="23"/>
      <c r="AQ22" s="23">
        <f t="shared" si="71"/>
        <v>0</v>
      </c>
      <c r="AR22" s="23"/>
      <c r="AS22" s="23">
        <v>20000</v>
      </c>
      <c r="AT22" s="23">
        <f t="shared" si="72"/>
        <v>3880000</v>
      </c>
      <c r="AU22" s="23">
        <v>5000</v>
      </c>
      <c r="AV22" s="23">
        <f t="shared" si="73"/>
        <v>970000</v>
      </c>
      <c r="AW22" s="23"/>
      <c r="AX22" s="24">
        <v>20000</v>
      </c>
      <c r="AY22" s="24">
        <f t="shared" si="74"/>
        <v>3880000</v>
      </c>
      <c r="AZ22" s="23">
        <v>5000</v>
      </c>
      <c r="BA22" s="23">
        <f t="shared" si="75"/>
        <v>970000</v>
      </c>
      <c r="BB22" s="23"/>
      <c r="BC22" s="23">
        <v>20000</v>
      </c>
      <c r="BD22" s="23">
        <f t="shared" si="76"/>
        <v>3880000</v>
      </c>
      <c r="BE22" s="23">
        <v>5000</v>
      </c>
      <c r="BF22" s="23">
        <f t="shared" si="77"/>
        <v>970000</v>
      </c>
      <c r="BG22" s="23"/>
      <c r="BH22" s="23">
        <v>20000</v>
      </c>
      <c r="BI22" s="23">
        <f t="shared" si="78"/>
        <v>3880000</v>
      </c>
      <c r="BJ22" s="23">
        <v>5000</v>
      </c>
      <c r="BK22" s="23">
        <f t="shared" si="79"/>
        <v>970000</v>
      </c>
      <c r="BL22" s="73">
        <v>2500</v>
      </c>
      <c r="BM22" s="23">
        <v>20000</v>
      </c>
      <c r="BN22" s="23">
        <f t="shared" si="80"/>
        <v>3880000</v>
      </c>
      <c r="BO22" s="23"/>
      <c r="BP22" s="23">
        <f t="shared" si="81"/>
        <v>0</v>
      </c>
      <c r="BQ22" s="23"/>
      <c r="BR22" s="23">
        <v>20000</v>
      </c>
      <c r="BS22" s="23">
        <f t="shared" si="82"/>
        <v>3880000</v>
      </c>
      <c r="BT22" s="23"/>
      <c r="BU22" s="23">
        <f t="shared" si="83"/>
        <v>0</v>
      </c>
      <c r="BV22" s="23"/>
      <c r="BW22" s="23">
        <v>20000</v>
      </c>
      <c r="BX22" s="23">
        <f t="shared" si="84"/>
        <v>3880000</v>
      </c>
      <c r="BY22" s="23"/>
      <c r="BZ22" s="23">
        <f t="shared" si="85"/>
        <v>0</v>
      </c>
      <c r="CA22" s="23"/>
      <c r="CB22" s="74"/>
    </row>
    <row r="23" spans="1:80" ht="16" x14ac:dyDescent="0.4">
      <c r="A23" s="15" t="s">
        <v>76</v>
      </c>
      <c r="B23" s="15" t="s">
        <v>262</v>
      </c>
      <c r="C23" s="15" t="s">
        <v>263</v>
      </c>
      <c r="D23" s="15" t="s">
        <v>272</v>
      </c>
      <c r="E23" s="112" t="s">
        <v>273</v>
      </c>
      <c r="F23" s="15" t="s">
        <v>267</v>
      </c>
      <c r="G23" s="15" t="s">
        <v>274</v>
      </c>
      <c r="H23" s="15" t="s">
        <v>77</v>
      </c>
      <c r="I23" s="15" t="s">
        <v>77</v>
      </c>
      <c r="J23" s="15" t="s">
        <v>78</v>
      </c>
      <c r="K23" s="15" t="s">
        <v>79</v>
      </c>
      <c r="L23" s="15" t="s">
        <v>457</v>
      </c>
      <c r="M23" s="15" t="s">
        <v>80</v>
      </c>
      <c r="N23" s="17">
        <v>1.17</v>
      </c>
      <c r="O23" s="72">
        <v>850000</v>
      </c>
      <c r="P23" s="22">
        <f t="shared" si="58"/>
        <v>600</v>
      </c>
      <c r="Q23" s="22">
        <f t="shared" si="59"/>
        <v>702</v>
      </c>
      <c r="R23" s="22">
        <f t="shared" si="60"/>
        <v>292500</v>
      </c>
      <c r="S23" s="22">
        <f t="shared" si="61"/>
        <v>200000</v>
      </c>
      <c r="T23" s="23">
        <v>50000</v>
      </c>
      <c r="U23" s="23">
        <f t="shared" si="62"/>
        <v>58500</v>
      </c>
      <c r="V23" s="23">
        <v>100000</v>
      </c>
      <c r="W23" s="23">
        <f t="shared" si="63"/>
        <v>117000</v>
      </c>
      <c r="X23" s="23">
        <v>150000</v>
      </c>
      <c r="Y23" s="23">
        <v>50000</v>
      </c>
      <c r="Z23" s="23">
        <f t="shared" si="64"/>
        <v>58500</v>
      </c>
      <c r="AA23" s="23">
        <v>200000</v>
      </c>
      <c r="AB23" s="23">
        <f t="shared" si="65"/>
        <v>234000</v>
      </c>
      <c r="AC23" s="23">
        <v>150000</v>
      </c>
      <c r="AD23" s="23">
        <v>50000</v>
      </c>
      <c r="AE23" s="23">
        <f t="shared" si="66"/>
        <v>58500</v>
      </c>
      <c r="AF23" s="23">
        <v>50000</v>
      </c>
      <c r="AG23" s="23">
        <f t="shared" si="67"/>
        <v>58500</v>
      </c>
      <c r="AH23" s="23">
        <v>550000</v>
      </c>
      <c r="AI23" s="23">
        <v>50000</v>
      </c>
      <c r="AJ23" s="23">
        <f t="shared" si="68"/>
        <v>58500</v>
      </c>
      <c r="AK23" s="23">
        <v>50000</v>
      </c>
      <c r="AL23" s="23">
        <f t="shared" si="69"/>
        <v>58500</v>
      </c>
      <c r="AM23" s="23">
        <v>200000</v>
      </c>
      <c r="AN23" s="23">
        <v>50000</v>
      </c>
      <c r="AO23" s="23">
        <f t="shared" si="70"/>
        <v>58500</v>
      </c>
      <c r="AP23" s="23">
        <v>50000</v>
      </c>
      <c r="AQ23" s="23">
        <f t="shared" si="71"/>
        <v>58500</v>
      </c>
      <c r="AR23" s="23">
        <v>200000</v>
      </c>
      <c r="AS23" s="23">
        <v>50000</v>
      </c>
      <c r="AT23" s="23">
        <f t="shared" si="72"/>
        <v>58500</v>
      </c>
      <c r="AU23" s="23">
        <v>50000</v>
      </c>
      <c r="AV23" s="23">
        <f t="shared" si="73"/>
        <v>58500</v>
      </c>
      <c r="AW23" s="23"/>
      <c r="AX23" s="24">
        <v>50000</v>
      </c>
      <c r="AY23" s="24">
        <f t="shared" si="74"/>
        <v>58500</v>
      </c>
      <c r="AZ23" s="23">
        <v>100000</v>
      </c>
      <c r="BA23" s="23">
        <f t="shared" si="75"/>
        <v>117000</v>
      </c>
      <c r="BB23" s="23"/>
      <c r="BC23" s="23">
        <v>50000</v>
      </c>
      <c r="BD23" s="23">
        <f t="shared" si="76"/>
        <v>58500</v>
      </c>
      <c r="BE23" s="23">
        <v>50000</v>
      </c>
      <c r="BF23" s="23">
        <f t="shared" si="77"/>
        <v>58500</v>
      </c>
      <c r="BG23" s="23">
        <v>200000</v>
      </c>
      <c r="BH23" s="23">
        <v>50000</v>
      </c>
      <c r="BI23" s="23">
        <f t="shared" si="78"/>
        <v>58500</v>
      </c>
      <c r="BJ23" s="23">
        <v>100000</v>
      </c>
      <c r="BK23" s="23">
        <f t="shared" si="79"/>
        <v>117000</v>
      </c>
      <c r="BL23" s="23"/>
      <c r="BM23" s="23">
        <v>50000</v>
      </c>
      <c r="BN23" s="23">
        <f t="shared" si="80"/>
        <v>58500</v>
      </c>
      <c r="BO23" s="23"/>
      <c r="BP23" s="23">
        <f t="shared" si="81"/>
        <v>0</v>
      </c>
      <c r="BQ23" s="23"/>
      <c r="BR23" s="23">
        <v>50000</v>
      </c>
      <c r="BS23" s="23">
        <f t="shared" si="82"/>
        <v>58500</v>
      </c>
      <c r="BT23" s="23"/>
      <c r="BU23" s="23">
        <f t="shared" si="83"/>
        <v>0</v>
      </c>
      <c r="BV23" s="23"/>
      <c r="BW23" s="23">
        <v>50000</v>
      </c>
      <c r="BX23" s="23">
        <f t="shared" si="84"/>
        <v>58500</v>
      </c>
      <c r="BY23" s="23"/>
      <c r="BZ23" s="23">
        <f t="shared" si="85"/>
        <v>0</v>
      </c>
      <c r="CA23" s="23"/>
      <c r="CB23" s="15"/>
    </row>
    <row r="24" spans="1:80" ht="16" x14ac:dyDescent="0.4">
      <c r="A24" s="15" t="s">
        <v>76</v>
      </c>
      <c r="B24" s="15" t="s">
        <v>262</v>
      </c>
      <c r="C24" s="15" t="s">
        <v>263</v>
      </c>
      <c r="D24" s="15" t="s">
        <v>272</v>
      </c>
      <c r="E24" s="112" t="s">
        <v>273</v>
      </c>
      <c r="F24" s="15" t="s">
        <v>267</v>
      </c>
      <c r="G24" s="15" t="s">
        <v>274</v>
      </c>
      <c r="H24" s="15" t="s">
        <v>77</v>
      </c>
      <c r="I24" s="15" t="s">
        <v>77</v>
      </c>
      <c r="J24" s="15" t="s">
        <v>78</v>
      </c>
      <c r="K24" s="15" t="s">
        <v>79</v>
      </c>
      <c r="L24" s="15" t="s">
        <v>483</v>
      </c>
      <c r="M24" s="15"/>
      <c r="N24" s="17">
        <v>1.08</v>
      </c>
      <c r="O24" s="72">
        <v>205000</v>
      </c>
      <c r="P24" s="22">
        <f t="shared" si="58"/>
        <v>0</v>
      </c>
      <c r="Q24" s="22">
        <f t="shared" si="59"/>
        <v>0</v>
      </c>
      <c r="R24" s="22">
        <f t="shared" si="60"/>
        <v>270000</v>
      </c>
      <c r="S24" s="22">
        <f t="shared" si="61"/>
        <v>500000</v>
      </c>
      <c r="T24" s="23"/>
      <c r="U24" s="23">
        <f t="shared" si="62"/>
        <v>0</v>
      </c>
      <c r="V24" s="23"/>
      <c r="W24" s="23">
        <f t="shared" si="63"/>
        <v>0</v>
      </c>
      <c r="X24" s="23"/>
      <c r="Y24" s="23"/>
      <c r="Z24" s="23">
        <f t="shared" si="64"/>
        <v>0</v>
      </c>
      <c r="AA24" s="23"/>
      <c r="AB24" s="23">
        <f t="shared" si="65"/>
        <v>0</v>
      </c>
      <c r="AC24" s="23">
        <v>50000</v>
      </c>
      <c r="AD24" s="23"/>
      <c r="AE24" s="23">
        <f t="shared" si="66"/>
        <v>0</v>
      </c>
      <c r="AF24" s="23"/>
      <c r="AG24" s="23">
        <f t="shared" si="67"/>
        <v>0</v>
      </c>
      <c r="AH24" s="23">
        <v>100000</v>
      </c>
      <c r="AI24" s="23"/>
      <c r="AJ24" s="23">
        <f t="shared" si="68"/>
        <v>0</v>
      </c>
      <c r="AK24" s="23">
        <v>50000</v>
      </c>
      <c r="AL24" s="23">
        <f t="shared" si="69"/>
        <v>54000</v>
      </c>
      <c r="AM24" s="23"/>
      <c r="AN24" s="23"/>
      <c r="AO24" s="23">
        <f t="shared" si="70"/>
        <v>0</v>
      </c>
      <c r="AP24" s="23">
        <v>50000</v>
      </c>
      <c r="AQ24" s="23">
        <f t="shared" si="71"/>
        <v>54000</v>
      </c>
      <c r="AR24" s="23">
        <v>100000</v>
      </c>
      <c r="AS24" s="23"/>
      <c r="AT24" s="23">
        <f t="shared" si="72"/>
        <v>0</v>
      </c>
      <c r="AU24" s="23">
        <v>50000</v>
      </c>
      <c r="AV24" s="23">
        <f t="shared" si="73"/>
        <v>54000</v>
      </c>
      <c r="AW24" s="23"/>
      <c r="AX24" s="24"/>
      <c r="AY24" s="24">
        <f t="shared" si="74"/>
        <v>0</v>
      </c>
      <c r="AZ24" s="23">
        <v>100000</v>
      </c>
      <c r="BA24" s="23">
        <f t="shared" si="75"/>
        <v>108000</v>
      </c>
      <c r="BB24" s="23"/>
      <c r="BC24" s="23"/>
      <c r="BD24" s="23">
        <f t="shared" si="76"/>
        <v>0</v>
      </c>
      <c r="BE24" s="23">
        <v>50000</v>
      </c>
      <c r="BF24" s="23">
        <f t="shared" si="77"/>
        <v>54000</v>
      </c>
      <c r="BG24" s="23">
        <v>200000</v>
      </c>
      <c r="BH24" s="23"/>
      <c r="BI24" s="23">
        <f t="shared" si="78"/>
        <v>0</v>
      </c>
      <c r="BJ24" s="23">
        <v>100000</v>
      </c>
      <c r="BK24" s="23">
        <f t="shared" si="79"/>
        <v>108000</v>
      </c>
      <c r="BL24" s="23">
        <v>300000</v>
      </c>
      <c r="BM24" s="23"/>
      <c r="BN24" s="23">
        <f t="shared" si="80"/>
        <v>0</v>
      </c>
      <c r="BO24" s="23"/>
      <c r="BP24" s="23">
        <f t="shared" si="81"/>
        <v>0</v>
      </c>
      <c r="BQ24" s="23"/>
      <c r="BR24" s="23"/>
      <c r="BS24" s="23">
        <f t="shared" si="82"/>
        <v>0</v>
      </c>
      <c r="BT24" s="23"/>
      <c r="BU24" s="23">
        <f t="shared" si="83"/>
        <v>0</v>
      </c>
      <c r="BV24" s="23"/>
      <c r="BW24" s="23"/>
      <c r="BX24" s="23">
        <f t="shared" si="84"/>
        <v>0</v>
      </c>
      <c r="BY24" s="23"/>
      <c r="BZ24" s="23">
        <f t="shared" si="85"/>
        <v>0</v>
      </c>
      <c r="CA24" s="23"/>
      <c r="CB24" s="15"/>
    </row>
    <row r="25" spans="1:80" ht="16" x14ac:dyDescent="0.4">
      <c r="A25" s="15" t="s">
        <v>76</v>
      </c>
      <c r="B25" s="15" t="s">
        <v>262</v>
      </c>
      <c r="C25" s="15" t="s">
        <v>263</v>
      </c>
      <c r="D25" s="15" t="s">
        <v>272</v>
      </c>
      <c r="E25" s="112" t="s">
        <v>273</v>
      </c>
      <c r="F25" s="15" t="s">
        <v>267</v>
      </c>
      <c r="G25" s="15" t="s">
        <v>274</v>
      </c>
      <c r="H25" s="15" t="s">
        <v>77</v>
      </c>
      <c r="I25" s="15" t="s">
        <v>77</v>
      </c>
      <c r="J25" s="15" t="s">
        <v>78</v>
      </c>
      <c r="K25" s="15" t="s">
        <v>79</v>
      </c>
      <c r="L25" s="15" t="s">
        <v>143</v>
      </c>
      <c r="M25" s="15" t="s">
        <v>80</v>
      </c>
      <c r="N25" s="17">
        <v>0.6</v>
      </c>
      <c r="O25" s="72">
        <v>18000</v>
      </c>
      <c r="P25" s="22">
        <f t="shared" si="58"/>
        <v>460</v>
      </c>
      <c r="Q25" s="22">
        <f t="shared" si="59"/>
        <v>276</v>
      </c>
      <c r="R25" s="22">
        <f t="shared" si="60"/>
        <v>150000</v>
      </c>
      <c r="S25" s="22">
        <f t="shared" si="61"/>
        <v>501000</v>
      </c>
      <c r="T25" s="23">
        <v>60000</v>
      </c>
      <c r="U25" s="23">
        <f t="shared" si="62"/>
        <v>36000</v>
      </c>
      <c r="V25" s="23">
        <v>0</v>
      </c>
      <c r="W25" s="23">
        <f t="shared" si="63"/>
        <v>0</v>
      </c>
      <c r="X25" s="23">
        <v>123000</v>
      </c>
      <c r="Y25" s="23"/>
      <c r="Z25" s="23">
        <f t="shared" si="64"/>
        <v>0</v>
      </c>
      <c r="AA25" s="23">
        <v>50000</v>
      </c>
      <c r="AB25" s="23">
        <f t="shared" si="65"/>
        <v>30000</v>
      </c>
      <c r="AC25" s="23">
        <v>69000</v>
      </c>
      <c r="AD25" s="23">
        <v>60000</v>
      </c>
      <c r="AE25" s="23">
        <f t="shared" si="66"/>
        <v>36000</v>
      </c>
      <c r="AF25" s="23">
        <v>50000</v>
      </c>
      <c r="AG25" s="23">
        <f t="shared" si="67"/>
        <v>30000</v>
      </c>
      <c r="AH25" s="23">
        <v>75000</v>
      </c>
      <c r="AI25" s="23"/>
      <c r="AJ25" s="23">
        <f t="shared" si="68"/>
        <v>0</v>
      </c>
      <c r="AK25" s="23">
        <v>50000</v>
      </c>
      <c r="AL25" s="23">
        <f t="shared" si="69"/>
        <v>30000</v>
      </c>
      <c r="AM25" s="23"/>
      <c r="AN25" s="23">
        <v>60000</v>
      </c>
      <c r="AO25" s="23">
        <f t="shared" si="70"/>
        <v>36000</v>
      </c>
      <c r="AP25" s="23">
        <v>50000</v>
      </c>
      <c r="AQ25" s="23">
        <f t="shared" si="71"/>
        <v>30000</v>
      </c>
      <c r="AR25" s="23"/>
      <c r="AS25" s="23"/>
      <c r="AT25" s="23">
        <f t="shared" si="72"/>
        <v>0</v>
      </c>
      <c r="AU25" s="23">
        <v>50000</v>
      </c>
      <c r="AV25" s="23">
        <f t="shared" si="73"/>
        <v>30000</v>
      </c>
      <c r="AW25" s="23"/>
      <c r="AX25" s="24">
        <v>60000</v>
      </c>
      <c r="AY25" s="24">
        <f t="shared" si="74"/>
        <v>36000</v>
      </c>
      <c r="AZ25" s="23">
        <v>100000</v>
      </c>
      <c r="BA25" s="23">
        <f t="shared" si="75"/>
        <v>60000</v>
      </c>
      <c r="BB25" s="23"/>
      <c r="BC25" s="23"/>
      <c r="BD25" s="23">
        <f t="shared" si="76"/>
        <v>0</v>
      </c>
      <c r="BE25" s="23">
        <v>50000</v>
      </c>
      <c r="BF25" s="23">
        <f t="shared" si="77"/>
        <v>30000</v>
      </c>
      <c r="BG25" s="23">
        <v>201000</v>
      </c>
      <c r="BH25" s="23">
        <v>60000</v>
      </c>
      <c r="BI25" s="23">
        <f t="shared" si="78"/>
        <v>36000</v>
      </c>
      <c r="BJ25" s="23">
        <v>100000</v>
      </c>
      <c r="BK25" s="23">
        <f t="shared" si="79"/>
        <v>60000</v>
      </c>
      <c r="BL25" s="23">
        <v>300000</v>
      </c>
      <c r="BM25" s="23">
        <v>100000</v>
      </c>
      <c r="BN25" s="23">
        <f t="shared" si="80"/>
        <v>60000</v>
      </c>
      <c r="BO25" s="23"/>
      <c r="BP25" s="23">
        <f t="shared" si="81"/>
        <v>0</v>
      </c>
      <c r="BQ25" s="23"/>
      <c r="BR25" s="23"/>
      <c r="BS25" s="23">
        <f t="shared" si="82"/>
        <v>0</v>
      </c>
      <c r="BT25" s="23"/>
      <c r="BU25" s="23">
        <f t="shared" si="83"/>
        <v>0</v>
      </c>
      <c r="BV25" s="23"/>
      <c r="BW25" s="23">
        <v>60000</v>
      </c>
      <c r="BX25" s="23">
        <f t="shared" si="84"/>
        <v>36000</v>
      </c>
      <c r="BY25" s="23"/>
      <c r="BZ25" s="23">
        <f t="shared" si="85"/>
        <v>0</v>
      </c>
      <c r="CA25" s="23"/>
      <c r="CB25" s="15"/>
    </row>
    <row r="26" spans="1:80" ht="16" x14ac:dyDescent="0.4">
      <c r="A26" s="15" t="s">
        <v>76</v>
      </c>
      <c r="B26" s="15" t="s">
        <v>262</v>
      </c>
      <c r="C26" s="15" t="s">
        <v>263</v>
      </c>
      <c r="D26" s="15" t="s">
        <v>272</v>
      </c>
      <c r="E26" s="112" t="s">
        <v>273</v>
      </c>
      <c r="F26" s="15" t="s">
        <v>267</v>
      </c>
      <c r="G26" s="15" t="s">
        <v>274</v>
      </c>
      <c r="H26" s="15" t="s">
        <v>96</v>
      </c>
      <c r="I26" s="15" t="s">
        <v>96</v>
      </c>
      <c r="J26" s="16" t="s">
        <v>146</v>
      </c>
      <c r="K26" s="3" t="s">
        <v>97</v>
      </c>
      <c r="L26" s="15" t="s">
        <v>484</v>
      </c>
      <c r="M26" s="15"/>
      <c r="N26" s="17"/>
      <c r="O26" s="18"/>
      <c r="P26" s="22">
        <f t="shared" si="58"/>
        <v>0</v>
      </c>
      <c r="Q26" s="22">
        <f t="shared" si="59"/>
        <v>0</v>
      </c>
      <c r="R26" s="22">
        <f t="shared" si="60"/>
        <v>0</v>
      </c>
      <c r="S26" s="22">
        <f t="shared" si="61"/>
        <v>0</v>
      </c>
      <c r="T26" s="23"/>
      <c r="U26" s="23">
        <f t="shared" si="62"/>
        <v>0</v>
      </c>
      <c r="V26" s="23"/>
      <c r="W26" s="23">
        <f t="shared" si="63"/>
        <v>0</v>
      </c>
      <c r="X26" s="23"/>
      <c r="Y26" s="23"/>
      <c r="Z26" s="23">
        <f t="shared" si="64"/>
        <v>0</v>
      </c>
      <c r="AA26" s="23"/>
      <c r="AB26" s="23">
        <f t="shared" si="65"/>
        <v>0</v>
      </c>
      <c r="AC26" s="23">
        <v>50</v>
      </c>
      <c r="AD26" s="23"/>
      <c r="AE26" s="23">
        <f t="shared" si="66"/>
        <v>0</v>
      </c>
      <c r="AF26" s="23"/>
      <c r="AG26" s="23">
        <f t="shared" si="67"/>
        <v>0</v>
      </c>
      <c r="AH26" s="23"/>
      <c r="AI26" s="23"/>
      <c r="AJ26" s="23">
        <f t="shared" si="68"/>
        <v>0</v>
      </c>
      <c r="AK26" s="23"/>
      <c r="AL26" s="23">
        <f t="shared" si="69"/>
        <v>0</v>
      </c>
      <c r="AM26" s="23"/>
      <c r="AN26" s="23"/>
      <c r="AO26" s="23">
        <f t="shared" si="70"/>
        <v>0</v>
      </c>
      <c r="AP26" s="23"/>
      <c r="AQ26" s="23">
        <f t="shared" si="71"/>
        <v>0</v>
      </c>
      <c r="AR26" s="23"/>
      <c r="AS26" s="23"/>
      <c r="AT26" s="23">
        <f t="shared" si="72"/>
        <v>0</v>
      </c>
      <c r="AU26" s="23"/>
      <c r="AV26" s="23">
        <f t="shared" si="73"/>
        <v>0</v>
      </c>
      <c r="AW26" s="23"/>
      <c r="AX26" s="24"/>
      <c r="AY26" s="24">
        <f t="shared" si="74"/>
        <v>0</v>
      </c>
      <c r="AZ26" s="23"/>
      <c r="BA26" s="23">
        <f t="shared" si="75"/>
        <v>0</v>
      </c>
      <c r="BB26" s="23"/>
      <c r="BC26" s="23"/>
      <c r="BD26" s="23">
        <f t="shared" si="76"/>
        <v>0</v>
      </c>
      <c r="BE26" s="23"/>
      <c r="BF26" s="23">
        <f t="shared" si="77"/>
        <v>0</v>
      </c>
      <c r="BG26" s="23"/>
      <c r="BH26" s="23"/>
      <c r="BI26" s="23">
        <f t="shared" si="78"/>
        <v>0</v>
      </c>
      <c r="BJ26" s="23"/>
      <c r="BK26" s="23">
        <f t="shared" si="79"/>
        <v>0</v>
      </c>
      <c r="BL26" s="23"/>
      <c r="BM26" s="23"/>
      <c r="BN26" s="23">
        <f t="shared" si="80"/>
        <v>0</v>
      </c>
      <c r="BO26" s="23"/>
      <c r="BP26" s="23">
        <f t="shared" si="81"/>
        <v>0</v>
      </c>
      <c r="BQ26" s="23"/>
      <c r="BR26" s="23"/>
      <c r="BS26" s="23">
        <f t="shared" si="82"/>
        <v>0</v>
      </c>
      <c r="BT26" s="23"/>
      <c r="BU26" s="23">
        <f t="shared" si="83"/>
        <v>0</v>
      </c>
      <c r="BV26" s="23"/>
      <c r="BW26" s="23"/>
      <c r="BX26" s="23">
        <f t="shared" si="84"/>
        <v>0</v>
      </c>
      <c r="BY26" s="23"/>
      <c r="BZ26" s="23">
        <f t="shared" si="85"/>
        <v>0</v>
      </c>
      <c r="CA26" s="23"/>
      <c r="CB26" s="15"/>
    </row>
    <row r="27" spans="1:80" ht="16" x14ac:dyDescent="0.4">
      <c r="A27" s="15" t="s">
        <v>76</v>
      </c>
      <c r="B27" s="15" t="s">
        <v>262</v>
      </c>
      <c r="C27" s="15" t="s">
        <v>263</v>
      </c>
      <c r="D27" s="15" t="s">
        <v>272</v>
      </c>
      <c r="E27" s="112" t="s">
        <v>273</v>
      </c>
      <c r="F27" s="15" t="s">
        <v>267</v>
      </c>
      <c r="G27" s="15" t="s">
        <v>274</v>
      </c>
      <c r="H27" s="15" t="s">
        <v>77</v>
      </c>
      <c r="I27" s="15" t="s">
        <v>77</v>
      </c>
      <c r="J27" s="15" t="s">
        <v>78</v>
      </c>
      <c r="K27" s="15" t="s">
        <v>79</v>
      </c>
      <c r="L27" s="15" t="s">
        <v>485</v>
      </c>
      <c r="M27" s="15"/>
      <c r="N27" s="17">
        <v>0.68</v>
      </c>
      <c r="O27" s="18"/>
      <c r="P27" s="22">
        <f t="shared" si="58"/>
        <v>0</v>
      </c>
      <c r="Q27" s="22">
        <f t="shared" si="59"/>
        <v>0</v>
      </c>
      <c r="R27" s="22">
        <f t="shared" si="60"/>
        <v>0</v>
      </c>
      <c r="S27" s="22">
        <f t="shared" si="61"/>
        <v>0</v>
      </c>
      <c r="T27" s="23"/>
      <c r="U27" s="23">
        <f t="shared" si="62"/>
        <v>0</v>
      </c>
      <c r="V27" s="23"/>
      <c r="W27" s="23">
        <f t="shared" si="63"/>
        <v>0</v>
      </c>
      <c r="X27" s="23"/>
      <c r="Y27" s="23"/>
      <c r="Z27" s="23">
        <f t="shared" si="64"/>
        <v>0</v>
      </c>
      <c r="AA27" s="23"/>
      <c r="AB27" s="23">
        <f t="shared" si="65"/>
        <v>0</v>
      </c>
      <c r="AC27" s="23"/>
      <c r="AD27" s="23"/>
      <c r="AE27" s="23">
        <f t="shared" si="66"/>
        <v>0</v>
      </c>
      <c r="AF27" s="23"/>
      <c r="AG27" s="23">
        <f t="shared" si="67"/>
        <v>0</v>
      </c>
      <c r="AH27" s="23">
        <v>200000</v>
      </c>
      <c r="AI27" s="23"/>
      <c r="AJ27" s="23">
        <f t="shared" si="68"/>
        <v>0</v>
      </c>
      <c r="AK27" s="23"/>
      <c r="AL27" s="23">
        <f t="shared" si="69"/>
        <v>0</v>
      </c>
      <c r="AM27" s="23"/>
      <c r="AN27" s="23"/>
      <c r="AO27" s="23">
        <f t="shared" si="70"/>
        <v>0</v>
      </c>
      <c r="AP27" s="23"/>
      <c r="AQ27" s="23">
        <f t="shared" si="71"/>
        <v>0</v>
      </c>
      <c r="AR27" s="23"/>
      <c r="AS27" s="23"/>
      <c r="AT27" s="23">
        <f t="shared" si="72"/>
        <v>0</v>
      </c>
      <c r="AU27" s="23"/>
      <c r="AV27" s="23">
        <f t="shared" si="73"/>
        <v>0</v>
      </c>
      <c r="AW27" s="23"/>
      <c r="AX27" s="24"/>
      <c r="AY27" s="24">
        <f t="shared" si="74"/>
        <v>0</v>
      </c>
      <c r="AZ27" s="23"/>
      <c r="BA27" s="23">
        <f t="shared" si="75"/>
        <v>0</v>
      </c>
      <c r="BB27" s="23"/>
      <c r="BC27" s="23"/>
      <c r="BD27" s="23">
        <f t="shared" si="76"/>
        <v>0</v>
      </c>
      <c r="BE27" s="23"/>
      <c r="BF27" s="23">
        <f t="shared" si="77"/>
        <v>0</v>
      </c>
      <c r="BG27" s="23"/>
      <c r="BH27" s="23"/>
      <c r="BI27" s="23">
        <f t="shared" si="78"/>
        <v>0</v>
      </c>
      <c r="BJ27" s="23"/>
      <c r="BK27" s="23">
        <f t="shared" si="79"/>
        <v>0</v>
      </c>
      <c r="BL27" s="23"/>
      <c r="BM27" s="23"/>
      <c r="BN27" s="23">
        <f t="shared" si="80"/>
        <v>0</v>
      </c>
      <c r="BO27" s="23"/>
      <c r="BP27" s="23">
        <f t="shared" si="81"/>
        <v>0</v>
      </c>
      <c r="BQ27" s="23"/>
      <c r="BR27" s="23"/>
      <c r="BS27" s="23">
        <f t="shared" si="82"/>
        <v>0</v>
      </c>
      <c r="BT27" s="23"/>
      <c r="BU27" s="23">
        <f t="shared" si="83"/>
        <v>0</v>
      </c>
      <c r="BV27" s="23"/>
      <c r="BW27" s="23"/>
      <c r="BX27" s="23">
        <f t="shared" si="84"/>
        <v>0</v>
      </c>
      <c r="BY27" s="23"/>
      <c r="BZ27" s="23">
        <f t="shared" si="85"/>
        <v>0</v>
      </c>
      <c r="CA27" s="23"/>
      <c r="CB27" s="15"/>
    </row>
    <row r="28" spans="1:80" ht="16" x14ac:dyDescent="0.4">
      <c r="A28" s="15" t="s">
        <v>76</v>
      </c>
      <c r="B28" s="15" t="s">
        <v>262</v>
      </c>
      <c r="C28" s="15" t="s">
        <v>263</v>
      </c>
      <c r="D28" s="15" t="s">
        <v>272</v>
      </c>
      <c r="E28" s="112" t="s">
        <v>273</v>
      </c>
      <c r="F28" s="15" t="s">
        <v>267</v>
      </c>
      <c r="G28" s="15" t="s">
        <v>274</v>
      </c>
      <c r="H28" s="15" t="s">
        <v>91</v>
      </c>
      <c r="I28" s="15" t="s">
        <v>91</v>
      </c>
      <c r="J28" s="15" t="s">
        <v>92</v>
      </c>
      <c r="K28" s="15" t="s">
        <v>93</v>
      </c>
      <c r="L28" s="15" t="s">
        <v>217</v>
      </c>
      <c r="M28" s="15"/>
      <c r="N28" s="17">
        <v>359</v>
      </c>
      <c r="O28" s="18"/>
      <c r="P28" s="22">
        <f t="shared" si="58"/>
        <v>0</v>
      </c>
      <c r="Q28" s="22">
        <f t="shared" si="59"/>
        <v>0</v>
      </c>
      <c r="R28" s="22">
        <f t="shared" si="60"/>
        <v>0</v>
      </c>
      <c r="S28" s="22">
        <f t="shared" si="61"/>
        <v>0</v>
      </c>
      <c r="T28" s="23"/>
      <c r="U28" s="23">
        <f t="shared" si="62"/>
        <v>0</v>
      </c>
      <c r="V28" s="23"/>
      <c r="W28" s="23">
        <f t="shared" si="63"/>
        <v>0</v>
      </c>
      <c r="X28" s="23"/>
      <c r="Y28" s="23"/>
      <c r="Z28" s="23">
        <f t="shared" si="64"/>
        <v>0</v>
      </c>
      <c r="AA28" s="23"/>
      <c r="AB28" s="23">
        <f t="shared" si="65"/>
        <v>0</v>
      </c>
      <c r="AC28" s="23"/>
      <c r="AD28" s="23"/>
      <c r="AE28" s="23">
        <f t="shared" si="66"/>
        <v>0</v>
      </c>
      <c r="AF28" s="23"/>
      <c r="AG28" s="23">
        <f t="shared" si="67"/>
        <v>0</v>
      </c>
      <c r="AH28" s="23"/>
      <c r="AI28" s="23"/>
      <c r="AJ28" s="23">
        <f t="shared" si="68"/>
        <v>0</v>
      </c>
      <c r="AK28" s="23"/>
      <c r="AL28" s="23">
        <f t="shared" si="69"/>
        <v>0</v>
      </c>
      <c r="AM28" s="23"/>
      <c r="AN28" s="23"/>
      <c r="AO28" s="23">
        <f t="shared" si="70"/>
        <v>0</v>
      </c>
      <c r="AP28" s="23"/>
      <c r="AQ28" s="23">
        <f t="shared" si="71"/>
        <v>0</v>
      </c>
      <c r="AR28" s="23"/>
      <c r="AS28" s="23"/>
      <c r="AT28" s="23">
        <f t="shared" si="72"/>
        <v>0</v>
      </c>
      <c r="AU28" s="23"/>
      <c r="AV28" s="23">
        <f t="shared" si="73"/>
        <v>0</v>
      </c>
      <c r="AW28" s="23"/>
      <c r="AX28" s="24"/>
      <c r="AY28" s="24">
        <f t="shared" si="74"/>
        <v>0</v>
      </c>
      <c r="AZ28" s="23"/>
      <c r="BA28" s="23">
        <f t="shared" si="75"/>
        <v>0</v>
      </c>
      <c r="BB28" s="23"/>
      <c r="BC28" s="23"/>
      <c r="BD28" s="23">
        <f t="shared" si="76"/>
        <v>0</v>
      </c>
      <c r="BE28" s="23"/>
      <c r="BF28" s="23">
        <f t="shared" si="77"/>
        <v>0</v>
      </c>
      <c r="BG28" s="23"/>
      <c r="BH28" s="23"/>
      <c r="BI28" s="23">
        <f t="shared" si="78"/>
        <v>0</v>
      </c>
      <c r="BJ28" s="23"/>
      <c r="BK28" s="23">
        <f t="shared" si="79"/>
        <v>0</v>
      </c>
      <c r="BL28" s="23"/>
      <c r="BM28" s="23"/>
      <c r="BN28" s="23">
        <f t="shared" si="80"/>
        <v>0</v>
      </c>
      <c r="BO28" s="23"/>
      <c r="BP28" s="23">
        <f t="shared" si="81"/>
        <v>0</v>
      </c>
      <c r="BQ28" s="23"/>
      <c r="BR28" s="23"/>
      <c r="BS28" s="23">
        <f t="shared" si="82"/>
        <v>0</v>
      </c>
      <c r="BT28" s="23"/>
      <c r="BU28" s="23">
        <f t="shared" si="83"/>
        <v>0</v>
      </c>
      <c r="BV28" s="23"/>
      <c r="BW28" s="23"/>
      <c r="BX28" s="23">
        <f t="shared" si="84"/>
        <v>0</v>
      </c>
      <c r="BY28" s="23"/>
      <c r="BZ28" s="23">
        <f t="shared" si="85"/>
        <v>0</v>
      </c>
      <c r="CA28" s="23"/>
      <c r="CB28" s="20"/>
    </row>
    <row r="29" spans="1:80" ht="16" x14ac:dyDescent="0.4">
      <c r="A29" s="15" t="s">
        <v>76</v>
      </c>
      <c r="B29" s="15" t="s">
        <v>262</v>
      </c>
      <c r="C29" s="15" t="s">
        <v>263</v>
      </c>
      <c r="D29" s="15" t="s">
        <v>486</v>
      </c>
      <c r="E29" s="112" t="s">
        <v>487</v>
      </c>
      <c r="F29" s="15" t="s">
        <v>267</v>
      </c>
      <c r="G29" s="15" t="s">
        <v>283</v>
      </c>
      <c r="H29" s="15" t="s">
        <v>82</v>
      </c>
      <c r="I29" s="15" t="s">
        <v>82</v>
      </c>
      <c r="J29" s="15" t="s">
        <v>112</v>
      </c>
      <c r="K29" s="15" t="s">
        <v>81</v>
      </c>
      <c r="L29" s="15" t="s">
        <v>194</v>
      </c>
      <c r="M29" s="15" t="s">
        <v>80</v>
      </c>
      <c r="N29" s="17">
        <v>23.5</v>
      </c>
      <c r="O29" s="72">
        <v>19750</v>
      </c>
      <c r="P29" s="22">
        <f t="shared" si="58"/>
        <v>480</v>
      </c>
      <c r="Q29" s="22">
        <f t="shared" si="59"/>
        <v>11280</v>
      </c>
      <c r="R29" s="22">
        <f t="shared" si="60"/>
        <v>352500</v>
      </c>
      <c r="S29" s="22">
        <f t="shared" si="61"/>
        <v>72500</v>
      </c>
      <c r="T29" s="23">
        <v>40000</v>
      </c>
      <c r="U29" s="23">
        <f t="shared" si="62"/>
        <v>940000</v>
      </c>
      <c r="V29" s="23">
        <v>3000</v>
      </c>
      <c r="W29" s="23">
        <f t="shared" si="63"/>
        <v>70500</v>
      </c>
      <c r="X29" s="23"/>
      <c r="Y29" s="23">
        <v>40000</v>
      </c>
      <c r="Z29" s="23">
        <f t="shared" si="64"/>
        <v>940000</v>
      </c>
      <c r="AA29" s="23">
        <v>3000</v>
      </c>
      <c r="AB29" s="23">
        <f t="shared" si="65"/>
        <v>70500</v>
      </c>
      <c r="AC29" s="23">
        <v>2500</v>
      </c>
      <c r="AD29" s="23">
        <v>40000</v>
      </c>
      <c r="AE29" s="23">
        <f t="shared" si="66"/>
        <v>940000</v>
      </c>
      <c r="AF29" s="23">
        <v>3000</v>
      </c>
      <c r="AG29" s="23">
        <f t="shared" si="67"/>
        <v>70500</v>
      </c>
      <c r="AH29" s="23">
        <v>2500</v>
      </c>
      <c r="AI29" s="23">
        <v>40000</v>
      </c>
      <c r="AJ29" s="23">
        <f t="shared" si="68"/>
        <v>940000</v>
      </c>
      <c r="AK29" s="23">
        <v>5000</v>
      </c>
      <c r="AL29" s="23">
        <f t="shared" si="69"/>
        <v>117500</v>
      </c>
      <c r="AM29" s="23">
        <v>17500</v>
      </c>
      <c r="AN29" s="23">
        <v>40000</v>
      </c>
      <c r="AO29" s="23">
        <f t="shared" si="70"/>
        <v>940000</v>
      </c>
      <c r="AP29" s="23">
        <v>17500</v>
      </c>
      <c r="AQ29" s="23">
        <f t="shared" si="71"/>
        <v>411250</v>
      </c>
      <c r="AR29" s="23">
        <v>7500</v>
      </c>
      <c r="AS29" s="23">
        <v>40000</v>
      </c>
      <c r="AT29" s="23">
        <f t="shared" si="72"/>
        <v>940000</v>
      </c>
      <c r="AU29" s="23">
        <v>5000</v>
      </c>
      <c r="AV29" s="23">
        <f t="shared" si="73"/>
        <v>117500</v>
      </c>
      <c r="AW29" s="27">
        <v>7500</v>
      </c>
      <c r="AX29" s="24">
        <v>40000</v>
      </c>
      <c r="AY29" s="24">
        <f t="shared" si="74"/>
        <v>940000</v>
      </c>
      <c r="AZ29" s="23">
        <v>5000</v>
      </c>
      <c r="BA29" s="23">
        <f t="shared" si="75"/>
        <v>117500</v>
      </c>
      <c r="BB29" s="23"/>
      <c r="BC29" s="23">
        <v>40000</v>
      </c>
      <c r="BD29" s="23">
        <f t="shared" si="76"/>
        <v>940000</v>
      </c>
      <c r="BE29" s="23">
        <v>5000</v>
      </c>
      <c r="BF29" s="23">
        <f t="shared" si="77"/>
        <v>117500</v>
      </c>
      <c r="BG29" s="101">
        <v>2500</v>
      </c>
      <c r="BH29" s="23">
        <v>40000</v>
      </c>
      <c r="BI29" s="23">
        <f t="shared" si="78"/>
        <v>940000</v>
      </c>
      <c r="BJ29" s="23">
        <v>5000</v>
      </c>
      <c r="BK29" s="23">
        <f t="shared" si="79"/>
        <v>117500</v>
      </c>
      <c r="BL29" s="101">
        <v>62500</v>
      </c>
      <c r="BM29" s="23">
        <v>40000</v>
      </c>
      <c r="BN29" s="23">
        <f t="shared" si="80"/>
        <v>940000</v>
      </c>
      <c r="BO29" s="23"/>
      <c r="BP29" s="23">
        <f t="shared" si="81"/>
        <v>0</v>
      </c>
      <c r="BQ29" s="29"/>
      <c r="BR29" s="23">
        <v>40000</v>
      </c>
      <c r="BS29" s="23">
        <f t="shared" si="82"/>
        <v>940000</v>
      </c>
      <c r="BT29" s="23"/>
      <c r="BU29" s="23">
        <f t="shared" si="83"/>
        <v>0</v>
      </c>
      <c r="BV29" s="23"/>
      <c r="BW29" s="23">
        <v>40000</v>
      </c>
      <c r="BX29" s="23">
        <f t="shared" si="84"/>
        <v>940000</v>
      </c>
      <c r="BY29" s="23"/>
      <c r="BZ29" s="23">
        <f t="shared" si="85"/>
        <v>0</v>
      </c>
      <c r="CA29" s="101">
        <v>7500</v>
      </c>
      <c r="CB29" s="15"/>
    </row>
    <row r="30" spans="1:80" ht="16" x14ac:dyDescent="0.4">
      <c r="A30" s="15" t="s">
        <v>76</v>
      </c>
      <c r="B30" s="15" t="s">
        <v>262</v>
      </c>
      <c r="C30" s="15" t="s">
        <v>263</v>
      </c>
      <c r="D30" s="15" t="s">
        <v>486</v>
      </c>
      <c r="E30" s="112" t="s">
        <v>487</v>
      </c>
      <c r="F30" s="15" t="s">
        <v>267</v>
      </c>
      <c r="G30" s="15" t="s">
        <v>283</v>
      </c>
      <c r="H30" s="15" t="s">
        <v>82</v>
      </c>
      <c r="I30" s="15" t="s">
        <v>82</v>
      </c>
      <c r="J30" s="15" t="s">
        <v>112</v>
      </c>
      <c r="K30" s="15" t="s">
        <v>81</v>
      </c>
      <c r="L30" s="15" t="s">
        <v>488</v>
      </c>
      <c r="M30" s="15" t="s">
        <v>80</v>
      </c>
      <c r="N30" s="17">
        <v>21.5</v>
      </c>
      <c r="O30" s="18"/>
      <c r="P30" s="22">
        <f t="shared" si="58"/>
        <v>60</v>
      </c>
      <c r="Q30" s="22">
        <f t="shared" si="59"/>
        <v>1290</v>
      </c>
      <c r="R30" s="22">
        <f t="shared" si="60"/>
        <v>1290000</v>
      </c>
      <c r="S30" s="22">
        <f t="shared" si="61"/>
        <v>62500</v>
      </c>
      <c r="T30" s="23">
        <v>5000</v>
      </c>
      <c r="U30" s="23">
        <f t="shared" si="62"/>
        <v>107500</v>
      </c>
      <c r="V30" s="23">
        <v>20000</v>
      </c>
      <c r="W30" s="23">
        <f t="shared" si="63"/>
        <v>430000</v>
      </c>
      <c r="X30" s="23"/>
      <c r="Y30" s="23">
        <v>5000</v>
      </c>
      <c r="Z30" s="23">
        <f t="shared" si="64"/>
        <v>107500</v>
      </c>
      <c r="AA30" s="23">
        <v>20000</v>
      </c>
      <c r="AB30" s="23">
        <f t="shared" si="65"/>
        <v>430000</v>
      </c>
      <c r="AC30" s="23">
        <v>15000</v>
      </c>
      <c r="AD30" s="23">
        <v>5000</v>
      </c>
      <c r="AE30" s="23">
        <f t="shared" si="66"/>
        <v>107500</v>
      </c>
      <c r="AF30" s="23">
        <v>20000</v>
      </c>
      <c r="AG30" s="23">
        <f t="shared" si="67"/>
        <v>430000</v>
      </c>
      <c r="AH30" s="23">
        <v>25000</v>
      </c>
      <c r="AI30" s="23">
        <v>5000</v>
      </c>
      <c r="AJ30" s="23">
        <f t="shared" si="68"/>
        <v>107500</v>
      </c>
      <c r="AK30" s="23">
        <v>20000</v>
      </c>
      <c r="AL30" s="23">
        <f t="shared" si="69"/>
        <v>430000</v>
      </c>
      <c r="AM30" s="23">
        <v>5000</v>
      </c>
      <c r="AN30" s="23">
        <v>5000</v>
      </c>
      <c r="AO30" s="23">
        <f t="shared" si="70"/>
        <v>107500</v>
      </c>
      <c r="AP30" s="23">
        <v>20000</v>
      </c>
      <c r="AQ30" s="23">
        <f t="shared" si="71"/>
        <v>430000</v>
      </c>
      <c r="AR30" s="23">
        <v>20000</v>
      </c>
      <c r="AS30" s="23">
        <v>5000</v>
      </c>
      <c r="AT30" s="23">
        <f t="shared" si="72"/>
        <v>107500</v>
      </c>
      <c r="AU30" s="23">
        <v>20000</v>
      </c>
      <c r="AV30" s="23">
        <f t="shared" si="73"/>
        <v>430000</v>
      </c>
      <c r="AW30" s="27">
        <v>20000</v>
      </c>
      <c r="AX30" s="24">
        <v>5000</v>
      </c>
      <c r="AY30" s="24">
        <f t="shared" si="74"/>
        <v>107500</v>
      </c>
      <c r="AZ30" s="23">
        <v>20000</v>
      </c>
      <c r="BA30" s="23">
        <f t="shared" si="75"/>
        <v>430000</v>
      </c>
      <c r="BB30" s="29"/>
      <c r="BC30" s="23">
        <v>5000</v>
      </c>
      <c r="BD30" s="23">
        <f t="shared" si="76"/>
        <v>107500</v>
      </c>
      <c r="BE30" s="23">
        <v>20000</v>
      </c>
      <c r="BF30" s="23">
        <f t="shared" si="77"/>
        <v>430000</v>
      </c>
      <c r="BG30" s="101">
        <v>2500</v>
      </c>
      <c r="BH30" s="23">
        <v>5000</v>
      </c>
      <c r="BI30" s="23">
        <f t="shared" si="78"/>
        <v>107500</v>
      </c>
      <c r="BJ30" s="23">
        <v>20000</v>
      </c>
      <c r="BK30" s="23">
        <f t="shared" si="79"/>
        <v>430000</v>
      </c>
      <c r="BL30" s="101">
        <v>40000</v>
      </c>
      <c r="BM30" s="23">
        <v>5000</v>
      </c>
      <c r="BN30" s="23">
        <f t="shared" si="80"/>
        <v>107500</v>
      </c>
      <c r="BO30" s="23"/>
      <c r="BP30" s="23">
        <f t="shared" si="81"/>
        <v>0</v>
      </c>
      <c r="BQ30" s="23"/>
      <c r="BR30" s="23">
        <v>5000</v>
      </c>
      <c r="BS30" s="23">
        <f t="shared" si="82"/>
        <v>107500</v>
      </c>
      <c r="BT30" s="23"/>
      <c r="BU30" s="23">
        <f t="shared" si="83"/>
        <v>0</v>
      </c>
      <c r="BV30" s="101">
        <v>20000</v>
      </c>
      <c r="BW30" s="23">
        <v>5000</v>
      </c>
      <c r="BX30" s="23">
        <f t="shared" si="84"/>
        <v>107500</v>
      </c>
      <c r="BY30" s="23"/>
      <c r="BZ30" s="23">
        <f t="shared" si="85"/>
        <v>0</v>
      </c>
      <c r="CA30" s="29"/>
      <c r="CB30" s="102" t="s">
        <v>172</v>
      </c>
    </row>
    <row r="31" spans="1:80" ht="16" x14ac:dyDescent="0.4">
      <c r="A31" s="15" t="s">
        <v>76</v>
      </c>
      <c r="B31" s="15" t="s">
        <v>262</v>
      </c>
      <c r="C31" s="15" t="s">
        <v>263</v>
      </c>
      <c r="D31" s="15" t="s">
        <v>486</v>
      </c>
      <c r="E31" s="112" t="s">
        <v>487</v>
      </c>
      <c r="F31" s="15" t="s">
        <v>267</v>
      </c>
      <c r="G31" s="15" t="s">
        <v>283</v>
      </c>
      <c r="H31" s="15" t="s">
        <v>82</v>
      </c>
      <c r="I31" s="15" t="s">
        <v>82</v>
      </c>
      <c r="J31" s="15" t="s">
        <v>112</v>
      </c>
      <c r="K31" s="15" t="s">
        <v>81</v>
      </c>
      <c r="L31" s="15" t="s">
        <v>195</v>
      </c>
      <c r="M31" s="15" t="s">
        <v>80</v>
      </c>
      <c r="N31" s="17">
        <v>38.75</v>
      </c>
      <c r="O31" s="72">
        <v>2500</v>
      </c>
      <c r="P31" s="22">
        <f t="shared" si="58"/>
        <v>24</v>
      </c>
      <c r="Q31" s="22">
        <f t="shared" si="59"/>
        <v>930</v>
      </c>
      <c r="R31" s="22">
        <f t="shared" si="60"/>
        <v>465000</v>
      </c>
      <c r="S31" s="22">
        <f t="shared" si="61"/>
        <v>0</v>
      </c>
      <c r="T31" s="23">
        <v>2000</v>
      </c>
      <c r="U31" s="23">
        <f t="shared" si="62"/>
        <v>77500</v>
      </c>
      <c r="V31" s="23"/>
      <c r="W31" s="23">
        <f t="shared" si="63"/>
        <v>0</v>
      </c>
      <c r="X31" s="23"/>
      <c r="Y31" s="23">
        <v>2000</v>
      </c>
      <c r="Z31" s="23">
        <f t="shared" si="64"/>
        <v>77500</v>
      </c>
      <c r="AA31" s="23"/>
      <c r="AB31" s="23">
        <f t="shared" si="65"/>
        <v>0</v>
      </c>
      <c r="AC31" s="23"/>
      <c r="AD31" s="23">
        <v>2000</v>
      </c>
      <c r="AE31" s="23">
        <f t="shared" si="66"/>
        <v>77500</v>
      </c>
      <c r="AF31" s="23">
        <v>4000</v>
      </c>
      <c r="AG31" s="23">
        <f t="shared" si="67"/>
        <v>155000</v>
      </c>
      <c r="AH31" s="23"/>
      <c r="AI31" s="23">
        <v>2000</v>
      </c>
      <c r="AJ31" s="23">
        <f t="shared" si="68"/>
        <v>77500</v>
      </c>
      <c r="AK31" s="23">
        <v>4000</v>
      </c>
      <c r="AL31" s="23">
        <f t="shared" si="69"/>
        <v>155000</v>
      </c>
      <c r="AM31" s="23"/>
      <c r="AN31" s="23">
        <v>2000</v>
      </c>
      <c r="AO31" s="23">
        <f t="shared" si="70"/>
        <v>77500</v>
      </c>
      <c r="AP31" s="23">
        <v>12000</v>
      </c>
      <c r="AQ31" s="23">
        <f t="shared" si="71"/>
        <v>465000</v>
      </c>
      <c r="AR31" s="23"/>
      <c r="AS31" s="23">
        <v>2000</v>
      </c>
      <c r="AT31" s="23">
        <f t="shared" si="72"/>
        <v>77500</v>
      </c>
      <c r="AU31" s="23">
        <v>4000</v>
      </c>
      <c r="AV31" s="23">
        <f t="shared" si="73"/>
        <v>155000</v>
      </c>
      <c r="AW31" s="23"/>
      <c r="AX31" s="24">
        <v>2000</v>
      </c>
      <c r="AY31" s="24">
        <f t="shared" si="74"/>
        <v>77500</v>
      </c>
      <c r="AZ31" s="23">
        <v>4000</v>
      </c>
      <c r="BA31" s="23">
        <f t="shared" si="75"/>
        <v>155000</v>
      </c>
      <c r="BB31" s="23"/>
      <c r="BC31" s="23">
        <v>2000</v>
      </c>
      <c r="BD31" s="23">
        <f t="shared" si="76"/>
        <v>77500</v>
      </c>
      <c r="BE31" s="23">
        <v>4000</v>
      </c>
      <c r="BF31" s="23">
        <f t="shared" si="77"/>
        <v>155000</v>
      </c>
      <c r="BG31" s="23"/>
      <c r="BH31" s="23">
        <v>2000</v>
      </c>
      <c r="BI31" s="23">
        <f t="shared" si="78"/>
        <v>77500</v>
      </c>
      <c r="BJ31" s="23">
        <v>4000</v>
      </c>
      <c r="BK31" s="23">
        <f t="shared" si="79"/>
        <v>155000</v>
      </c>
      <c r="BL31" s="23"/>
      <c r="BM31" s="23">
        <v>2000</v>
      </c>
      <c r="BN31" s="23">
        <f t="shared" si="80"/>
        <v>77500</v>
      </c>
      <c r="BO31" s="23"/>
      <c r="BP31" s="23">
        <f t="shared" si="81"/>
        <v>0</v>
      </c>
      <c r="BQ31" s="23"/>
      <c r="BR31" s="23">
        <v>2000</v>
      </c>
      <c r="BS31" s="23">
        <f t="shared" si="82"/>
        <v>77500</v>
      </c>
      <c r="BT31" s="23"/>
      <c r="BU31" s="23">
        <f t="shared" si="83"/>
        <v>0</v>
      </c>
      <c r="BV31" s="23"/>
      <c r="BW31" s="23">
        <v>2000</v>
      </c>
      <c r="BX31" s="23">
        <f t="shared" si="84"/>
        <v>77500</v>
      </c>
      <c r="BY31" s="23"/>
      <c r="BZ31" s="23">
        <f t="shared" si="85"/>
        <v>0</v>
      </c>
      <c r="CA31" s="23"/>
      <c r="CB31" s="15"/>
    </row>
    <row r="32" spans="1:80" ht="16" x14ac:dyDescent="0.4">
      <c r="A32" s="15" t="s">
        <v>76</v>
      </c>
      <c r="B32" s="15" t="s">
        <v>262</v>
      </c>
      <c r="C32" s="15" t="s">
        <v>263</v>
      </c>
      <c r="D32" s="15" t="s">
        <v>489</v>
      </c>
      <c r="E32" s="112" t="s">
        <v>490</v>
      </c>
      <c r="F32" s="15" t="s">
        <v>267</v>
      </c>
      <c r="G32" s="15" t="s">
        <v>283</v>
      </c>
      <c r="H32" s="15" t="s">
        <v>99</v>
      </c>
      <c r="I32" s="15" t="s">
        <v>99</v>
      </c>
      <c r="J32" s="16" t="s">
        <v>100</v>
      </c>
      <c r="K32" s="3" t="s">
        <v>97</v>
      </c>
      <c r="L32" s="15" t="s">
        <v>216</v>
      </c>
      <c r="M32" s="15" t="s">
        <v>80</v>
      </c>
      <c r="N32" s="17">
        <v>12.5</v>
      </c>
      <c r="O32" s="18"/>
      <c r="P32" s="22">
        <f t="shared" ref="P32:P57" si="86">+(T32+Y32+AD32+AI32+AN32+AS32+AX32+BC32+BH32+BM32+BR32+BW32)/1000</f>
        <v>2</v>
      </c>
      <c r="Q32" s="22">
        <f t="shared" ref="Q32:Q57" si="87">+(U32+Z32+AE32+AJ32+AO32+AT32+AY32+BD32+BI32+BN32+BS32+BX32)/1000</f>
        <v>25</v>
      </c>
      <c r="R32" s="22">
        <f t="shared" ref="R32:R57" si="88">+(+BA32+BF32+BK32+BP32+BU32+BZ32)</f>
        <v>16250</v>
      </c>
      <c r="S32" s="22">
        <f t="shared" ref="S32:S57" si="89">+(+BB32+BG32+BL32+BQ32+BV32+CA32)</f>
        <v>0</v>
      </c>
      <c r="T32" s="23">
        <v>500</v>
      </c>
      <c r="U32" s="23">
        <f t="shared" ref="U32:U57" si="90">T32*N32</f>
        <v>6250</v>
      </c>
      <c r="V32" s="23"/>
      <c r="W32" s="23">
        <f t="shared" ref="W32:W57" si="91">V32*N32</f>
        <v>0</v>
      </c>
      <c r="X32" s="23"/>
      <c r="Y32" s="23"/>
      <c r="Z32" s="23">
        <f t="shared" ref="Z32:Z57" si="92">Y32*N32</f>
        <v>0</v>
      </c>
      <c r="AA32" s="23"/>
      <c r="AB32" s="23">
        <f t="shared" ref="AB32:AB57" si="93">AA32*N32</f>
        <v>0</v>
      </c>
      <c r="AC32" s="23"/>
      <c r="AD32" s="23"/>
      <c r="AE32" s="23">
        <f t="shared" ref="AE32:AE57" si="94">AD32*N32</f>
        <v>0</v>
      </c>
      <c r="AF32" s="23"/>
      <c r="AG32" s="23">
        <f t="shared" ref="AG32:AG57" si="95">AF32*N32</f>
        <v>0</v>
      </c>
      <c r="AH32" s="23"/>
      <c r="AI32" s="23">
        <v>500</v>
      </c>
      <c r="AJ32" s="23">
        <f t="shared" ref="AJ32:AJ57" si="96">AI32*N32</f>
        <v>6250</v>
      </c>
      <c r="AK32" s="23"/>
      <c r="AL32" s="23">
        <f t="shared" ref="AL32:AL57" si="97">AK32*N32</f>
        <v>0</v>
      </c>
      <c r="AM32" s="23"/>
      <c r="AN32" s="23"/>
      <c r="AO32" s="23">
        <f t="shared" ref="AO32:AO57" si="98">AN32*N32</f>
        <v>0</v>
      </c>
      <c r="AP32" s="23">
        <v>10000</v>
      </c>
      <c r="AQ32" s="23">
        <f t="shared" ref="AQ32:AQ57" si="99">AP32*N32</f>
        <v>125000</v>
      </c>
      <c r="AR32" s="23"/>
      <c r="AS32" s="23">
        <v>500</v>
      </c>
      <c r="AT32" s="23">
        <f t="shared" ref="AT32:AT57" si="100">AS32*N32</f>
        <v>6250</v>
      </c>
      <c r="AU32" s="23">
        <v>500</v>
      </c>
      <c r="AV32" s="23">
        <f t="shared" ref="AV32:AV57" si="101">AU32*N32</f>
        <v>6250</v>
      </c>
      <c r="AW32" s="23"/>
      <c r="AX32" s="24"/>
      <c r="AY32" s="24">
        <f t="shared" ref="AY32:AY57" si="102">AX32*N32</f>
        <v>0</v>
      </c>
      <c r="AZ32" s="23">
        <v>500</v>
      </c>
      <c r="BA32" s="23">
        <f t="shared" ref="BA32:BA57" si="103">AZ32*N32</f>
        <v>6250</v>
      </c>
      <c r="BB32" s="23"/>
      <c r="BC32" s="23"/>
      <c r="BD32" s="23">
        <f t="shared" ref="BD32:BD57" si="104">BC32*N32</f>
        <v>0</v>
      </c>
      <c r="BE32" s="23">
        <v>300</v>
      </c>
      <c r="BF32" s="23">
        <f t="shared" ref="BF32:BF57" si="105">BE32*N32</f>
        <v>3750</v>
      </c>
      <c r="BG32" s="23"/>
      <c r="BH32" s="23">
        <v>500</v>
      </c>
      <c r="BI32" s="23">
        <f t="shared" ref="BI32:BI57" si="106">BH32*N32</f>
        <v>6250</v>
      </c>
      <c r="BJ32" s="23">
        <v>500</v>
      </c>
      <c r="BK32" s="23">
        <f t="shared" ref="BK32:BK57" si="107">BJ32*N32</f>
        <v>6250</v>
      </c>
      <c r="BL32" s="23"/>
      <c r="BM32" s="23"/>
      <c r="BN32" s="23">
        <f t="shared" ref="BN32:BN57" si="108">BM32*N32</f>
        <v>0</v>
      </c>
      <c r="BO32" s="23"/>
      <c r="BP32" s="23">
        <f t="shared" ref="BP32:BP57" si="109">BO32*N32</f>
        <v>0</v>
      </c>
      <c r="BQ32" s="23"/>
      <c r="BR32" s="23"/>
      <c r="BS32" s="23">
        <f t="shared" ref="BS32:BS57" si="110">BR32*N32</f>
        <v>0</v>
      </c>
      <c r="BT32" s="23"/>
      <c r="BU32" s="23">
        <f t="shared" ref="BU32:BU57" si="111">BT32*N32</f>
        <v>0</v>
      </c>
      <c r="BV32" s="23"/>
      <c r="BW32" s="23"/>
      <c r="BX32" s="23">
        <f t="shared" ref="BX32:BX57" si="112">BW32*N32</f>
        <v>0</v>
      </c>
      <c r="BY32" s="23"/>
      <c r="BZ32" s="23">
        <f t="shared" ref="BZ32:BZ57" si="113">BY32*N32</f>
        <v>0</v>
      </c>
      <c r="CA32" s="23"/>
      <c r="CB32" s="20"/>
    </row>
    <row r="33" spans="1:80" ht="16" x14ac:dyDescent="0.4">
      <c r="A33" s="15" t="s">
        <v>76</v>
      </c>
      <c r="B33" s="15" t="s">
        <v>262</v>
      </c>
      <c r="C33" s="15" t="s">
        <v>263</v>
      </c>
      <c r="D33" s="15" t="s">
        <v>319</v>
      </c>
      <c r="E33" s="112" t="s">
        <v>320</v>
      </c>
      <c r="F33" s="15" t="s">
        <v>267</v>
      </c>
      <c r="G33" s="15" t="s">
        <v>283</v>
      </c>
      <c r="H33" s="15" t="s">
        <v>114</v>
      </c>
      <c r="I33" s="15" t="s">
        <v>114</v>
      </c>
      <c r="J33" s="15" t="s">
        <v>89</v>
      </c>
      <c r="K33" s="15" t="s">
        <v>115</v>
      </c>
      <c r="L33" s="15" t="s">
        <v>491</v>
      </c>
      <c r="M33" s="15" t="s">
        <v>83</v>
      </c>
      <c r="N33" s="17">
        <v>6.4</v>
      </c>
      <c r="O33" s="18"/>
      <c r="P33" s="22">
        <f t="shared" si="86"/>
        <v>40</v>
      </c>
      <c r="Q33" s="22">
        <f t="shared" si="87"/>
        <v>256</v>
      </c>
      <c r="R33" s="22">
        <f t="shared" si="88"/>
        <v>32000</v>
      </c>
      <c r="S33" s="22">
        <f t="shared" si="89"/>
        <v>20000</v>
      </c>
      <c r="T33" s="23"/>
      <c r="U33" s="23">
        <f t="shared" si="90"/>
        <v>0</v>
      </c>
      <c r="V33" s="23">
        <v>10000</v>
      </c>
      <c r="W33" s="23">
        <f t="shared" si="91"/>
        <v>64000</v>
      </c>
      <c r="X33" s="23"/>
      <c r="Y33" s="23"/>
      <c r="Z33" s="23">
        <f t="shared" si="92"/>
        <v>0</v>
      </c>
      <c r="AA33" s="23">
        <v>10000</v>
      </c>
      <c r="AB33" s="23">
        <f t="shared" si="93"/>
        <v>64000</v>
      </c>
      <c r="AC33" s="23"/>
      <c r="AD33" s="23">
        <v>10000</v>
      </c>
      <c r="AE33" s="23">
        <f t="shared" si="94"/>
        <v>64000</v>
      </c>
      <c r="AF33" s="23"/>
      <c r="AG33" s="23">
        <f t="shared" si="95"/>
        <v>0</v>
      </c>
      <c r="AH33" s="23"/>
      <c r="AI33" s="23"/>
      <c r="AJ33" s="23">
        <f t="shared" si="96"/>
        <v>0</v>
      </c>
      <c r="AK33" s="23">
        <v>10000</v>
      </c>
      <c r="AL33" s="23">
        <f t="shared" si="97"/>
        <v>64000</v>
      </c>
      <c r="AM33" s="23"/>
      <c r="AN33" s="23"/>
      <c r="AO33" s="23">
        <f t="shared" si="98"/>
        <v>0</v>
      </c>
      <c r="AP33" s="23"/>
      <c r="AQ33" s="23">
        <f t="shared" si="99"/>
        <v>0</v>
      </c>
      <c r="AR33" s="23"/>
      <c r="AS33" s="23">
        <v>10000</v>
      </c>
      <c r="AT33" s="23">
        <f t="shared" si="100"/>
        <v>64000</v>
      </c>
      <c r="AU33" s="23">
        <v>10000</v>
      </c>
      <c r="AV33" s="23">
        <f t="shared" si="101"/>
        <v>64000</v>
      </c>
      <c r="AW33" s="23"/>
      <c r="AX33" s="24"/>
      <c r="AY33" s="24">
        <f t="shared" si="102"/>
        <v>0</v>
      </c>
      <c r="AZ33" s="23"/>
      <c r="BA33" s="23">
        <f t="shared" si="103"/>
        <v>0</v>
      </c>
      <c r="BB33" s="23"/>
      <c r="BC33" s="23"/>
      <c r="BD33" s="23">
        <f t="shared" si="104"/>
        <v>0</v>
      </c>
      <c r="BE33" s="23">
        <v>5000</v>
      </c>
      <c r="BF33" s="23">
        <f t="shared" si="105"/>
        <v>32000</v>
      </c>
      <c r="BG33" s="23"/>
      <c r="BH33" s="23">
        <v>10000</v>
      </c>
      <c r="BI33" s="23">
        <f t="shared" si="106"/>
        <v>64000</v>
      </c>
      <c r="BJ33" s="23"/>
      <c r="BK33" s="23">
        <f t="shared" si="107"/>
        <v>0</v>
      </c>
      <c r="BL33" s="23">
        <v>20000</v>
      </c>
      <c r="BM33" s="23"/>
      <c r="BN33" s="23">
        <f t="shared" si="108"/>
        <v>0</v>
      </c>
      <c r="BO33" s="23"/>
      <c r="BP33" s="23">
        <f t="shared" si="109"/>
        <v>0</v>
      </c>
      <c r="BQ33" s="23"/>
      <c r="BR33" s="23"/>
      <c r="BS33" s="23">
        <f t="shared" si="110"/>
        <v>0</v>
      </c>
      <c r="BT33" s="23"/>
      <c r="BU33" s="23">
        <f t="shared" si="111"/>
        <v>0</v>
      </c>
      <c r="BV33" s="23"/>
      <c r="BW33" s="23">
        <v>10000</v>
      </c>
      <c r="BX33" s="23">
        <f t="shared" si="112"/>
        <v>64000</v>
      </c>
      <c r="BY33" s="23"/>
      <c r="BZ33" s="23">
        <f t="shared" si="113"/>
        <v>0</v>
      </c>
      <c r="CA33" s="23"/>
      <c r="CB33" s="15"/>
    </row>
    <row r="34" spans="1:80" ht="16" x14ac:dyDescent="0.4">
      <c r="A34" s="15" t="s">
        <v>76</v>
      </c>
      <c r="B34" s="15" t="s">
        <v>262</v>
      </c>
      <c r="C34" s="15" t="s">
        <v>263</v>
      </c>
      <c r="D34" s="15" t="s">
        <v>319</v>
      </c>
      <c r="E34" s="112" t="s">
        <v>320</v>
      </c>
      <c r="F34" s="15" t="s">
        <v>267</v>
      </c>
      <c r="G34" s="15" t="s">
        <v>283</v>
      </c>
      <c r="H34" s="15" t="s">
        <v>77</v>
      </c>
      <c r="I34" s="15" t="s">
        <v>77</v>
      </c>
      <c r="J34" s="15" t="s">
        <v>78</v>
      </c>
      <c r="K34" s="15" t="s">
        <v>79</v>
      </c>
      <c r="L34" s="15" t="s">
        <v>464</v>
      </c>
      <c r="M34" s="15"/>
      <c r="N34" s="17">
        <v>0.65</v>
      </c>
      <c r="O34" s="18"/>
      <c r="P34" s="22">
        <f t="shared" si="86"/>
        <v>0</v>
      </c>
      <c r="Q34" s="22">
        <f t="shared" si="87"/>
        <v>0</v>
      </c>
      <c r="R34" s="22">
        <f t="shared" si="88"/>
        <v>13000</v>
      </c>
      <c r="S34" s="22">
        <f t="shared" si="89"/>
        <v>9000</v>
      </c>
      <c r="T34" s="23"/>
      <c r="U34" s="23">
        <f t="shared" si="90"/>
        <v>0</v>
      </c>
      <c r="V34" s="23"/>
      <c r="W34" s="23">
        <f t="shared" si="91"/>
        <v>0</v>
      </c>
      <c r="X34" s="23"/>
      <c r="Y34" s="23"/>
      <c r="Z34" s="23">
        <f t="shared" si="92"/>
        <v>0</v>
      </c>
      <c r="AA34" s="23"/>
      <c r="AB34" s="23">
        <f t="shared" si="93"/>
        <v>0</v>
      </c>
      <c r="AC34" s="23"/>
      <c r="AD34" s="23"/>
      <c r="AE34" s="23">
        <f t="shared" si="94"/>
        <v>0</v>
      </c>
      <c r="AF34" s="23"/>
      <c r="AG34" s="23">
        <f t="shared" si="95"/>
        <v>0</v>
      </c>
      <c r="AH34" s="23"/>
      <c r="AI34" s="23"/>
      <c r="AJ34" s="23">
        <f t="shared" si="96"/>
        <v>0</v>
      </c>
      <c r="AK34" s="23"/>
      <c r="AL34" s="23">
        <f t="shared" si="97"/>
        <v>0</v>
      </c>
      <c r="AM34" s="23"/>
      <c r="AN34" s="23"/>
      <c r="AO34" s="23">
        <f t="shared" si="98"/>
        <v>0</v>
      </c>
      <c r="AP34" s="23">
        <v>10000</v>
      </c>
      <c r="AQ34" s="23">
        <f t="shared" si="99"/>
        <v>6500</v>
      </c>
      <c r="AR34" s="23">
        <v>12000</v>
      </c>
      <c r="AS34" s="23"/>
      <c r="AT34" s="23">
        <f t="shared" si="100"/>
        <v>0</v>
      </c>
      <c r="AU34" s="23">
        <v>10000</v>
      </c>
      <c r="AV34" s="23">
        <f t="shared" si="101"/>
        <v>6500</v>
      </c>
      <c r="AW34" s="23"/>
      <c r="AX34" s="24"/>
      <c r="AY34" s="24">
        <f t="shared" si="102"/>
        <v>0</v>
      </c>
      <c r="AZ34" s="23">
        <v>10000</v>
      </c>
      <c r="BA34" s="23">
        <f t="shared" si="103"/>
        <v>6500</v>
      </c>
      <c r="BB34" s="23"/>
      <c r="BC34" s="23"/>
      <c r="BD34" s="23">
        <f t="shared" si="104"/>
        <v>0</v>
      </c>
      <c r="BE34" s="23">
        <v>10000</v>
      </c>
      <c r="BF34" s="23">
        <f t="shared" si="105"/>
        <v>6500</v>
      </c>
      <c r="BG34" s="23"/>
      <c r="BH34" s="23"/>
      <c r="BI34" s="23">
        <f t="shared" si="106"/>
        <v>0</v>
      </c>
      <c r="BJ34" s="23"/>
      <c r="BK34" s="23">
        <f t="shared" si="107"/>
        <v>0</v>
      </c>
      <c r="BL34" s="23"/>
      <c r="BM34" s="23"/>
      <c r="BN34" s="23">
        <f t="shared" si="108"/>
        <v>0</v>
      </c>
      <c r="BO34" s="23"/>
      <c r="BP34" s="23">
        <f t="shared" si="109"/>
        <v>0</v>
      </c>
      <c r="BQ34" s="23">
        <v>9000</v>
      </c>
      <c r="BR34" s="23"/>
      <c r="BS34" s="23">
        <f t="shared" si="110"/>
        <v>0</v>
      </c>
      <c r="BT34" s="23"/>
      <c r="BU34" s="23">
        <f t="shared" si="111"/>
        <v>0</v>
      </c>
      <c r="BV34" s="23"/>
      <c r="BW34" s="23"/>
      <c r="BX34" s="23">
        <f t="shared" si="112"/>
        <v>0</v>
      </c>
      <c r="BY34" s="23"/>
      <c r="BZ34" s="23">
        <f t="shared" si="113"/>
        <v>0</v>
      </c>
      <c r="CA34" s="23"/>
      <c r="CB34" s="74"/>
    </row>
    <row r="35" spans="1:80" ht="16" x14ac:dyDescent="0.4">
      <c r="A35" s="15" t="s">
        <v>76</v>
      </c>
      <c r="B35" s="15" t="s">
        <v>262</v>
      </c>
      <c r="C35" s="15" t="s">
        <v>263</v>
      </c>
      <c r="D35" s="15" t="s">
        <v>319</v>
      </c>
      <c r="E35" s="112" t="s">
        <v>320</v>
      </c>
      <c r="F35" s="15" t="s">
        <v>267</v>
      </c>
      <c r="G35" s="15" t="s">
        <v>283</v>
      </c>
      <c r="H35" s="15" t="s">
        <v>77</v>
      </c>
      <c r="I35" s="15" t="s">
        <v>77</v>
      </c>
      <c r="J35" s="15" t="s">
        <v>78</v>
      </c>
      <c r="K35" s="15" t="s">
        <v>79</v>
      </c>
      <c r="L35" s="15" t="s">
        <v>162</v>
      </c>
      <c r="M35" s="15"/>
      <c r="N35" s="17">
        <v>0.56000000000000005</v>
      </c>
      <c r="O35" s="72">
        <v>6000</v>
      </c>
      <c r="P35" s="22">
        <f t="shared" si="86"/>
        <v>0</v>
      </c>
      <c r="Q35" s="22">
        <f t="shared" si="87"/>
        <v>0</v>
      </c>
      <c r="R35" s="22">
        <f t="shared" si="88"/>
        <v>5600.0000000000009</v>
      </c>
      <c r="S35" s="22">
        <f t="shared" si="89"/>
        <v>33000</v>
      </c>
      <c r="T35" s="23"/>
      <c r="U35" s="23">
        <f t="shared" si="90"/>
        <v>0</v>
      </c>
      <c r="V35" s="23"/>
      <c r="W35" s="23">
        <f t="shared" si="91"/>
        <v>0</v>
      </c>
      <c r="X35" s="23"/>
      <c r="Y35" s="23"/>
      <c r="Z35" s="23">
        <f t="shared" si="92"/>
        <v>0</v>
      </c>
      <c r="AA35" s="23"/>
      <c r="AB35" s="23">
        <f t="shared" si="93"/>
        <v>0</v>
      </c>
      <c r="AC35" s="23">
        <v>3000</v>
      </c>
      <c r="AD35" s="23"/>
      <c r="AE35" s="23">
        <f t="shared" si="94"/>
        <v>0</v>
      </c>
      <c r="AF35" s="23"/>
      <c r="AG35" s="23">
        <f t="shared" si="95"/>
        <v>0</v>
      </c>
      <c r="AH35" s="23">
        <v>3000</v>
      </c>
      <c r="AI35" s="23"/>
      <c r="AJ35" s="23">
        <f t="shared" si="96"/>
        <v>0</v>
      </c>
      <c r="AK35" s="23"/>
      <c r="AL35" s="23">
        <f t="shared" si="97"/>
        <v>0</v>
      </c>
      <c r="AM35" s="23">
        <v>3000</v>
      </c>
      <c r="AN35" s="23"/>
      <c r="AO35" s="23">
        <f t="shared" si="98"/>
        <v>0</v>
      </c>
      <c r="AP35" s="23">
        <v>5000</v>
      </c>
      <c r="AQ35" s="23">
        <f t="shared" si="99"/>
        <v>2800.0000000000005</v>
      </c>
      <c r="AR35" s="23">
        <v>45000</v>
      </c>
      <c r="AS35" s="23"/>
      <c r="AT35" s="23">
        <f t="shared" si="100"/>
        <v>0</v>
      </c>
      <c r="AU35" s="23">
        <v>5000</v>
      </c>
      <c r="AV35" s="23">
        <f t="shared" si="101"/>
        <v>2800.0000000000005</v>
      </c>
      <c r="AW35" s="23"/>
      <c r="AX35" s="24"/>
      <c r="AY35" s="24">
        <f t="shared" si="102"/>
        <v>0</v>
      </c>
      <c r="AZ35" s="23">
        <v>5000</v>
      </c>
      <c r="BA35" s="23">
        <f t="shared" si="103"/>
        <v>2800.0000000000005</v>
      </c>
      <c r="BB35" s="23"/>
      <c r="BC35" s="23"/>
      <c r="BD35" s="23">
        <f t="shared" si="104"/>
        <v>0</v>
      </c>
      <c r="BE35" s="23">
        <v>5000</v>
      </c>
      <c r="BF35" s="23">
        <f t="shared" si="105"/>
        <v>2800.0000000000005</v>
      </c>
      <c r="BG35" s="23"/>
      <c r="BH35" s="23"/>
      <c r="BI35" s="23">
        <f t="shared" si="106"/>
        <v>0</v>
      </c>
      <c r="BJ35" s="23"/>
      <c r="BK35" s="23">
        <f t="shared" si="107"/>
        <v>0</v>
      </c>
      <c r="BL35" s="23"/>
      <c r="BM35" s="23"/>
      <c r="BN35" s="23">
        <f t="shared" si="108"/>
        <v>0</v>
      </c>
      <c r="BO35" s="23"/>
      <c r="BP35" s="23">
        <f t="shared" si="109"/>
        <v>0</v>
      </c>
      <c r="BQ35" s="23"/>
      <c r="BR35" s="23"/>
      <c r="BS35" s="23">
        <f t="shared" si="110"/>
        <v>0</v>
      </c>
      <c r="BT35" s="23"/>
      <c r="BU35" s="23">
        <f t="shared" si="111"/>
        <v>0</v>
      </c>
      <c r="BV35" s="23"/>
      <c r="BW35" s="23"/>
      <c r="BX35" s="23">
        <f t="shared" si="112"/>
        <v>0</v>
      </c>
      <c r="BY35" s="23"/>
      <c r="BZ35" s="23">
        <f t="shared" si="113"/>
        <v>0</v>
      </c>
      <c r="CA35" s="73">
        <v>33000</v>
      </c>
      <c r="CB35" s="75"/>
    </row>
    <row r="36" spans="1:80" ht="16" x14ac:dyDescent="0.4">
      <c r="A36" s="15" t="s">
        <v>76</v>
      </c>
      <c r="B36" s="15" t="s">
        <v>262</v>
      </c>
      <c r="C36" s="15" t="s">
        <v>263</v>
      </c>
      <c r="D36" s="15" t="s">
        <v>319</v>
      </c>
      <c r="E36" s="112" t="s">
        <v>320</v>
      </c>
      <c r="F36" s="15" t="s">
        <v>267</v>
      </c>
      <c r="G36" s="15" t="s">
        <v>283</v>
      </c>
      <c r="H36" s="15" t="s">
        <v>77</v>
      </c>
      <c r="I36" s="15" t="s">
        <v>77</v>
      </c>
      <c r="J36" s="15" t="s">
        <v>78</v>
      </c>
      <c r="K36" s="15" t="s">
        <v>79</v>
      </c>
      <c r="L36" s="15" t="s">
        <v>121</v>
      </c>
      <c r="M36" s="15"/>
      <c r="N36" s="17">
        <v>0.68</v>
      </c>
      <c r="O36" s="18"/>
      <c r="P36" s="22">
        <f t="shared" si="86"/>
        <v>0</v>
      </c>
      <c r="Q36" s="22">
        <f t="shared" si="87"/>
        <v>0</v>
      </c>
      <c r="R36" s="22">
        <f t="shared" si="88"/>
        <v>6800.0000000000009</v>
      </c>
      <c r="S36" s="22">
        <f t="shared" si="89"/>
        <v>0</v>
      </c>
      <c r="T36" s="23"/>
      <c r="U36" s="23">
        <f t="shared" si="90"/>
        <v>0</v>
      </c>
      <c r="V36" s="23"/>
      <c r="W36" s="23">
        <f t="shared" si="91"/>
        <v>0</v>
      </c>
      <c r="X36" s="23"/>
      <c r="Y36" s="23"/>
      <c r="Z36" s="23">
        <f t="shared" si="92"/>
        <v>0</v>
      </c>
      <c r="AA36" s="23"/>
      <c r="AB36" s="23">
        <f t="shared" si="93"/>
        <v>0</v>
      </c>
      <c r="AC36" s="23"/>
      <c r="AD36" s="23"/>
      <c r="AE36" s="23">
        <f t="shared" si="94"/>
        <v>0</v>
      </c>
      <c r="AF36" s="23"/>
      <c r="AG36" s="23">
        <f t="shared" si="95"/>
        <v>0</v>
      </c>
      <c r="AH36" s="23">
        <v>3000</v>
      </c>
      <c r="AI36" s="23"/>
      <c r="AJ36" s="23">
        <f t="shared" si="96"/>
        <v>0</v>
      </c>
      <c r="AK36" s="23"/>
      <c r="AL36" s="23">
        <f t="shared" si="97"/>
        <v>0</v>
      </c>
      <c r="AM36" s="23">
        <v>3000</v>
      </c>
      <c r="AN36" s="23"/>
      <c r="AO36" s="23">
        <f t="shared" si="98"/>
        <v>0</v>
      </c>
      <c r="AP36" s="23">
        <v>5000</v>
      </c>
      <c r="AQ36" s="23">
        <f t="shared" si="99"/>
        <v>3400.0000000000005</v>
      </c>
      <c r="AR36" s="23"/>
      <c r="AS36" s="23"/>
      <c r="AT36" s="23">
        <f t="shared" si="100"/>
        <v>0</v>
      </c>
      <c r="AU36" s="23">
        <v>5000</v>
      </c>
      <c r="AV36" s="23">
        <f t="shared" si="101"/>
        <v>3400.0000000000005</v>
      </c>
      <c r="AW36" s="56">
        <v>3000</v>
      </c>
      <c r="AX36" s="24"/>
      <c r="AY36" s="24">
        <f t="shared" si="102"/>
        <v>0</v>
      </c>
      <c r="AZ36" s="23">
        <v>5000</v>
      </c>
      <c r="BA36" s="23">
        <f t="shared" si="103"/>
        <v>3400.0000000000005</v>
      </c>
      <c r="BB36" s="23"/>
      <c r="BC36" s="23"/>
      <c r="BD36" s="23">
        <f t="shared" si="104"/>
        <v>0</v>
      </c>
      <c r="BE36" s="23">
        <v>5000</v>
      </c>
      <c r="BF36" s="23">
        <f t="shared" si="105"/>
        <v>3400.0000000000005</v>
      </c>
      <c r="BG36" s="23"/>
      <c r="BH36" s="23"/>
      <c r="BI36" s="23">
        <f t="shared" si="106"/>
        <v>0</v>
      </c>
      <c r="BJ36" s="23"/>
      <c r="BK36" s="23">
        <f t="shared" si="107"/>
        <v>0</v>
      </c>
      <c r="BL36" s="23"/>
      <c r="BM36" s="23"/>
      <c r="BN36" s="23">
        <f t="shared" si="108"/>
        <v>0</v>
      </c>
      <c r="BO36" s="23"/>
      <c r="BP36" s="23">
        <f t="shared" si="109"/>
        <v>0</v>
      </c>
      <c r="BQ36" s="23"/>
      <c r="BR36" s="23"/>
      <c r="BS36" s="23">
        <f t="shared" si="110"/>
        <v>0</v>
      </c>
      <c r="BT36" s="23"/>
      <c r="BU36" s="23">
        <f t="shared" si="111"/>
        <v>0</v>
      </c>
      <c r="BV36" s="23"/>
      <c r="BW36" s="23"/>
      <c r="BX36" s="23">
        <f t="shared" si="112"/>
        <v>0</v>
      </c>
      <c r="BY36" s="23"/>
      <c r="BZ36" s="23">
        <f t="shared" si="113"/>
        <v>0</v>
      </c>
      <c r="CA36" s="23"/>
      <c r="CB36" s="74"/>
    </row>
    <row r="37" spans="1:80" ht="16" x14ac:dyDescent="0.4">
      <c r="A37" s="15" t="s">
        <v>76</v>
      </c>
      <c r="B37" s="15" t="s">
        <v>262</v>
      </c>
      <c r="C37" s="15" t="s">
        <v>263</v>
      </c>
      <c r="D37" s="15" t="s">
        <v>319</v>
      </c>
      <c r="E37" s="112" t="s">
        <v>320</v>
      </c>
      <c r="F37" s="15" t="s">
        <v>267</v>
      </c>
      <c r="G37" s="15" t="s">
        <v>283</v>
      </c>
      <c r="H37" s="15" t="s">
        <v>77</v>
      </c>
      <c r="I37" s="15" t="s">
        <v>77</v>
      </c>
      <c r="J37" s="15" t="s">
        <v>78</v>
      </c>
      <c r="K37" s="15" t="s">
        <v>79</v>
      </c>
      <c r="L37" s="15" t="s">
        <v>223</v>
      </c>
      <c r="M37" s="15"/>
      <c r="N37" s="17">
        <v>0.44</v>
      </c>
      <c r="O37" s="18"/>
      <c r="P37" s="22">
        <f t="shared" si="86"/>
        <v>0</v>
      </c>
      <c r="Q37" s="22">
        <f t="shared" si="87"/>
        <v>0</v>
      </c>
      <c r="R37" s="22">
        <f t="shared" si="88"/>
        <v>8800</v>
      </c>
      <c r="S37" s="22">
        <f t="shared" si="89"/>
        <v>0</v>
      </c>
      <c r="T37" s="23"/>
      <c r="U37" s="23">
        <f t="shared" si="90"/>
        <v>0</v>
      </c>
      <c r="V37" s="23"/>
      <c r="W37" s="23">
        <f t="shared" si="91"/>
        <v>0</v>
      </c>
      <c r="X37" s="23"/>
      <c r="Y37" s="23"/>
      <c r="Z37" s="23">
        <f t="shared" si="92"/>
        <v>0</v>
      </c>
      <c r="AA37" s="23"/>
      <c r="AB37" s="23">
        <f t="shared" si="93"/>
        <v>0</v>
      </c>
      <c r="AC37" s="23"/>
      <c r="AD37" s="23"/>
      <c r="AE37" s="23">
        <f t="shared" si="94"/>
        <v>0</v>
      </c>
      <c r="AF37" s="23"/>
      <c r="AG37" s="23">
        <f t="shared" si="95"/>
        <v>0</v>
      </c>
      <c r="AH37" s="23"/>
      <c r="AI37" s="23"/>
      <c r="AJ37" s="23">
        <f t="shared" si="96"/>
        <v>0</v>
      </c>
      <c r="AK37" s="23"/>
      <c r="AL37" s="23">
        <f t="shared" si="97"/>
        <v>0</v>
      </c>
      <c r="AM37" s="23"/>
      <c r="AN37" s="23"/>
      <c r="AO37" s="23">
        <f t="shared" si="98"/>
        <v>0</v>
      </c>
      <c r="AP37" s="23">
        <v>10000</v>
      </c>
      <c r="AQ37" s="23">
        <f t="shared" si="99"/>
        <v>4400</v>
      </c>
      <c r="AR37" s="23"/>
      <c r="AS37" s="23"/>
      <c r="AT37" s="23">
        <f t="shared" si="100"/>
        <v>0</v>
      </c>
      <c r="AU37" s="23">
        <v>10000</v>
      </c>
      <c r="AV37" s="23">
        <f t="shared" si="101"/>
        <v>4400</v>
      </c>
      <c r="AW37" s="56">
        <v>60000</v>
      </c>
      <c r="AX37" s="24"/>
      <c r="AY37" s="24">
        <f t="shared" si="102"/>
        <v>0</v>
      </c>
      <c r="AZ37" s="23">
        <v>10000</v>
      </c>
      <c r="BA37" s="23">
        <f t="shared" si="103"/>
        <v>4400</v>
      </c>
      <c r="BB37" s="23"/>
      <c r="BC37" s="23"/>
      <c r="BD37" s="23">
        <f t="shared" si="104"/>
        <v>0</v>
      </c>
      <c r="BE37" s="23">
        <v>10000</v>
      </c>
      <c r="BF37" s="23">
        <f t="shared" si="105"/>
        <v>4400</v>
      </c>
      <c r="BG37" s="23"/>
      <c r="BH37" s="23"/>
      <c r="BI37" s="23">
        <f t="shared" si="106"/>
        <v>0</v>
      </c>
      <c r="BJ37" s="23"/>
      <c r="BK37" s="23">
        <f t="shared" si="107"/>
        <v>0</v>
      </c>
      <c r="BL37" s="23"/>
      <c r="BM37" s="23"/>
      <c r="BN37" s="23">
        <f t="shared" si="108"/>
        <v>0</v>
      </c>
      <c r="BO37" s="23"/>
      <c r="BP37" s="23">
        <f t="shared" si="109"/>
        <v>0</v>
      </c>
      <c r="BQ37" s="23"/>
      <c r="BR37" s="23"/>
      <c r="BS37" s="23">
        <f t="shared" si="110"/>
        <v>0</v>
      </c>
      <c r="BT37" s="23"/>
      <c r="BU37" s="23">
        <f t="shared" si="111"/>
        <v>0</v>
      </c>
      <c r="BV37" s="23"/>
      <c r="BW37" s="23"/>
      <c r="BX37" s="23">
        <f t="shared" si="112"/>
        <v>0</v>
      </c>
      <c r="BY37" s="23"/>
      <c r="BZ37" s="23">
        <f t="shared" si="113"/>
        <v>0</v>
      </c>
      <c r="CA37" s="23"/>
      <c r="CB37" s="103" t="s">
        <v>205</v>
      </c>
    </row>
    <row r="38" spans="1:80" ht="16" x14ac:dyDescent="0.4">
      <c r="A38" s="15" t="s">
        <v>76</v>
      </c>
      <c r="B38" s="15" t="s">
        <v>262</v>
      </c>
      <c r="C38" s="15" t="s">
        <v>263</v>
      </c>
      <c r="D38" s="15" t="s">
        <v>319</v>
      </c>
      <c r="E38" s="112" t="s">
        <v>320</v>
      </c>
      <c r="F38" s="15" t="s">
        <v>267</v>
      </c>
      <c r="G38" s="15" t="s">
        <v>283</v>
      </c>
      <c r="H38" s="15" t="s">
        <v>77</v>
      </c>
      <c r="I38" s="15" t="s">
        <v>77</v>
      </c>
      <c r="J38" s="15" t="s">
        <v>78</v>
      </c>
      <c r="K38" s="15" t="s">
        <v>79</v>
      </c>
      <c r="L38" s="15" t="s">
        <v>209</v>
      </c>
      <c r="M38" s="15"/>
      <c r="N38" s="17">
        <v>1.47</v>
      </c>
      <c r="O38" s="18"/>
      <c r="P38" s="22">
        <f t="shared" si="86"/>
        <v>0</v>
      </c>
      <c r="Q38" s="22">
        <f t="shared" si="87"/>
        <v>0</v>
      </c>
      <c r="R38" s="22">
        <f t="shared" si="88"/>
        <v>14700</v>
      </c>
      <c r="S38" s="22">
        <f t="shared" si="89"/>
        <v>0</v>
      </c>
      <c r="T38" s="23"/>
      <c r="U38" s="23">
        <f t="shared" si="90"/>
        <v>0</v>
      </c>
      <c r="V38" s="23"/>
      <c r="W38" s="23">
        <f t="shared" si="91"/>
        <v>0</v>
      </c>
      <c r="X38" s="23"/>
      <c r="Y38" s="23"/>
      <c r="Z38" s="23">
        <f t="shared" si="92"/>
        <v>0</v>
      </c>
      <c r="AA38" s="23"/>
      <c r="AB38" s="23">
        <f t="shared" si="93"/>
        <v>0</v>
      </c>
      <c r="AC38" s="23">
        <v>3000</v>
      </c>
      <c r="AD38" s="23"/>
      <c r="AE38" s="23">
        <f t="shared" si="94"/>
        <v>0</v>
      </c>
      <c r="AF38" s="23"/>
      <c r="AG38" s="23">
        <f t="shared" si="95"/>
        <v>0</v>
      </c>
      <c r="AH38" s="23"/>
      <c r="AI38" s="23"/>
      <c r="AJ38" s="23">
        <f t="shared" si="96"/>
        <v>0</v>
      </c>
      <c r="AK38" s="23"/>
      <c r="AL38" s="23">
        <f t="shared" si="97"/>
        <v>0</v>
      </c>
      <c r="AM38" s="23"/>
      <c r="AN38" s="23"/>
      <c r="AO38" s="23">
        <f t="shared" si="98"/>
        <v>0</v>
      </c>
      <c r="AP38" s="23">
        <v>5000</v>
      </c>
      <c r="AQ38" s="23">
        <f t="shared" si="99"/>
        <v>7350</v>
      </c>
      <c r="AR38" s="26">
        <v>12000</v>
      </c>
      <c r="AS38" s="23"/>
      <c r="AT38" s="23">
        <f t="shared" si="100"/>
        <v>0</v>
      </c>
      <c r="AU38" s="23">
        <v>5000</v>
      </c>
      <c r="AV38" s="23">
        <f t="shared" si="101"/>
        <v>7350</v>
      </c>
      <c r="AW38" s="56">
        <v>3000</v>
      </c>
      <c r="AX38" s="24"/>
      <c r="AY38" s="24">
        <f t="shared" si="102"/>
        <v>0</v>
      </c>
      <c r="AZ38" s="23">
        <v>5000</v>
      </c>
      <c r="BA38" s="23">
        <f t="shared" si="103"/>
        <v>7350</v>
      </c>
      <c r="BB38" s="23"/>
      <c r="BC38" s="23"/>
      <c r="BD38" s="23">
        <f t="shared" si="104"/>
        <v>0</v>
      </c>
      <c r="BE38" s="23">
        <v>5000</v>
      </c>
      <c r="BF38" s="23">
        <f t="shared" si="105"/>
        <v>7350</v>
      </c>
      <c r="BG38" s="23"/>
      <c r="BH38" s="23"/>
      <c r="BI38" s="23">
        <f t="shared" si="106"/>
        <v>0</v>
      </c>
      <c r="BJ38" s="23"/>
      <c r="BK38" s="23">
        <f t="shared" si="107"/>
        <v>0</v>
      </c>
      <c r="BL38" s="23"/>
      <c r="BM38" s="23"/>
      <c r="BN38" s="23">
        <f t="shared" si="108"/>
        <v>0</v>
      </c>
      <c r="BO38" s="23"/>
      <c r="BP38" s="23">
        <f t="shared" si="109"/>
        <v>0</v>
      </c>
      <c r="BQ38" s="23"/>
      <c r="BR38" s="23"/>
      <c r="BS38" s="23">
        <f t="shared" si="110"/>
        <v>0</v>
      </c>
      <c r="BT38" s="23"/>
      <c r="BU38" s="23">
        <f t="shared" si="111"/>
        <v>0</v>
      </c>
      <c r="BV38" s="23"/>
      <c r="BW38" s="23"/>
      <c r="BX38" s="23">
        <f t="shared" si="112"/>
        <v>0</v>
      </c>
      <c r="BY38" s="23"/>
      <c r="BZ38" s="23">
        <f t="shared" si="113"/>
        <v>0</v>
      </c>
      <c r="CA38" s="23"/>
      <c r="CB38" s="15"/>
    </row>
    <row r="39" spans="1:80" ht="16" x14ac:dyDescent="0.4">
      <c r="A39" s="15" t="s">
        <v>76</v>
      </c>
      <c r="B39" s="15" t="s">
        <v>262</v>
      </c>
      <c r="C39" s="15" t="s">
        <v>326</v>
      </c>
      <c r="D39" s="15" t="s">
        <v>327</v>
      </c>
      <c r="E39" s="112" t="s">
        <v>328</v>
      </c>
      <c r="F39" s="15" t="s">
        <v>267</v>
      </c>
      <c r="G39" s="15" t="s">
        <v>283</v>
      </c>
      <c r="H39" s="15" t="s">
        <v>82</v>
      </c>
      <c r="I39" s="15" t="s">
        <v>82</v>
      </c>
      <c r="J39" s="15" t="s">
        <v>112</v>
      </c>
      <c r="K39" s="15" t="s">
        <v>81</v>
      </c>
      <c r="L39" s="15" t="s">
        <v>109</v>
      </c>
      <c r="M39" s="15" t="s">
        <v>80</v>
      </c>
      <c r="N39" s="17">
        <v>35</v>
      </c>
      <c r="O39" s="18"/>
      <c r="P39" s="22">
        <f t="shared" si="86"/>
        <v>4</v>
      </c>
      <c r="Q39" s="22">
        <f t="shared" si="87"/>
        <v>140</v>
      </c>
      <c r="R39" s="22">
        <f t="shared" si="88"/>
        <v>0</v>
      </c>
      <c r="S39" s="22">
        <f t="shared" si="89"/>
        <v>0</v>
      </c>
      <c r="T39" s="23"/>
      <c r="U39" s="23">
        <f t="shared" si="90"/>
        <v>0</v>
      </c>
      <c r="V39" s="23"/>
      <c r="W39" s="23">
        <f t="shared" si="91"/>
        <v>0</v>
      </c>
      <c r="X39" s="23"/>
      <c r="Y39" s="23">
        <v>1000</v>
      </c>
      <c r="Z39" s="23">
        <f t="shared" si="92"/>
        <v>35000</v>
      </c>
      <c r="AA39" s="23"/>
      <c r="AB39" s="23">
        <f t="shared" si="93"/>
        <v>0</v>
      </c>
      <c r="AC39" s="23"/>
      <c r="AD39" s="23"/>
      <c r="AE39" s="23">
        <f t="shared" si="94"/>
        <v>0</v>
      </c>
      <c r="AF39" s="23"/>
      <c r="AG39" s="23">
        <f t="shared" si="95"/>
        <v>0</v>
      </c>
      <c r="AH39" s="23"/>
      <c r="AI39" s="23"/>
      <c r="AJ39" s="23">
        <f t="shared" si="96"/>
        <v>0</v>
      </c>
      <c r="AK39" s="23"/>
      <c r="AL39" s="23">
        <f t="shared" si="97"/>
        <v>0</v>
      </c>
      <c r="AM39" s="23"/>
      <c r="AN39" s="23">
        <v>1000</v>
      </c>
      <c r="AO39" s="23">
        <f t="shared" si="98"/>
        <v>35000</v>
      </c>
      <c r="AP39" s="23"/>
      <c r="AQ39" s="23">
        <f t="shared" si="99"/>
        <v>0</v>
      </c>
      <c r="AR39" s="23"/>
      <c r="AS39" s="23"/>
      <c r="AT39" s="23">
        <f t="shared" si="100"/>
        <v>0</v>
      </c>
      <c r="AU39" s="23"/>
      <c r="AV39" s="23">
        <f t="shared" si="101"/>
        <v>0</v>
      </c>
      <c r="AW39" s="23"/>
      <c r="AX39" s="24"/>
      <c r="AY39" s="24">
        <f t="shared" si="102"/>
        <v>0</v>
      </c>
      <c r="AZ39" s="23"/>
      <c r="BA39" s="23">
        <f t="shared" si="103"/>
        <v>0</v>
      </c>
      <c r="BB39" s="23"/>
      <c r="BC39" s="23"/>
      <c r="BD39" s="23">
        <f t="shared" si="104"/>
        <v>0</v>
      </c>
      <c r="BE39" s="23"/>
      <c r="BF39" s="23">
        <f t="shared" si="105"/>
        <v>0</v>
      </c>
      <c r="BG39" s="23"/>
      <c r="BH39" s="23">
        <v>1000</v>
      </c>
      <c r="BI39" s="23">
        <f t="shared" si="106"/>
        <v>35000</v>
      </c>
      <c r="BJ39" s="23"/>
      <c r="BK39" s="23">
        <f t="shared" si="107"/>
        <v>0</v>
      </c>
      <c r="BL39" s="23"/>
      <c r="BM39" s="23"/>
      <c r="BN39" s="23">
        <f t="shared" si="108"/>
        <v>0</v>
      </c>
      <c r="BO39" s="23"/>
      <c r="BP39" s="23">
        <f t="shared" si="109"/>
        <v>0</v>
      </c>
      <c r="BQ39" s="23"/>
      <c r="BR39" s="23"/>
      <c r="BS39" s="23">
        <f t="shared" si="110"/>
        <v>0</v>
      </c>
      <c r="BT39" s="23"/>
      <c r="BU39" s="23">
        <f t="shared" si="111"/>
        <v>0</v>
      </c>
      <c r="BV39" s="23"/>
      <c r="BW39" s="23">
        <v>1000</v>
      </c>
      <c r="BX39" s="23">
        <f t="shared" si="112"/>
        <v>35000</v>
      </c>
      <c r="BY39" s="23"/>
      <c r="BZ39" s="23">
        <f t="shared" si="113"/>
        <v>0</v>
      </c>
      <c r="CA39" s="23"/>
      <c r="CB39" s="15"/>
    </row>
    <row r="40" spans="1:80" ht="16" x14ac:dyDescent="0.4">
      <c r="A40" s="15" t="s">
        <v>76</v>
      </c>
      <c r="B40" s="15" t="s">
        <v>262</v>
      </c>
      <c r="C40" s="15" t="s">
        <v>326</v>
      </c>
      <c r="D40" s="15" t="s">
        <v>327</v>
      </c>
      <c r="E40" s="112" t="s">
        <v>328</v>
      </c>
      <c r="F40" s="15" t="s">
        <v>267</v>
      </c>
      <c r="G40" s="15" t="s">
        <v>283</v>
      </c>
      <c r="H40" s="15" t="s">
        <v>82</v>
      </c>
      <c r="I40" s="15" t="s">
        <v>82</v>
      </c>
      <c r="J40" s="15" t="s">
        <v>112</v>
      </c>
      <c r="K40" s="15" t="s">
        <v>81</v>
      </c>
      <c r="L40" s="15" t="s">
        <v>147</v>
      </c>
      <c r="M40" s="15" t="s">
        <v>80</v>
      </c>
      <c r="N40" s="17">
        <v>72.760000000000005</v>
      </c>
      <c r="O40" s="18"/>
      <c r="P40" s="22">
        <f t="shared" si="86"/>
        <v>5.7119999999999997</v>
      </c>
      <c r="Q40" s="22">
        <f t="shared" si="87"/>
        <v>415.60512000000006</v>
      </c>
      <c r="R40" s="22">
        <f t="shared" si="88"/>
        <v>0</v>
      </c>
      <c r="S40" s="22">
        <f t="shared" si="89"/>
        <v>0</v>
      </c>
      <c r="T40" s="23"/>
      <c r="U40" s="23">
        <f t="shared" si="90"/>
        <v>0</v>
      </c>
      <c r="V40" s="23">
        <v>952</v>
      </c>
      <c r="W40" s="23">
        <f t="shared" si="91"/>
        <v>69267.520000000004</v>
      </c>
      <c r="X40" s="23"/>
      <c r="Y40" s="23">
        <v>952</v>
      </c>
      <c r="Z40" s="23">
        <f t="shared" si="92"/>
        <v>69267.520000000004</v>
      </c>
      <c r="AA40" s="23">
        <v>0</v>
      </c>
      <c r="AB40" s="23">
        <f t="shared" si="93"/>
        <v>0</v>
      </c>
      <c r="AC40" s="23"/>
      <c r="AD40" s="23"/>
      <c r="AE40" s="23">
        <f t="shared" si="94"/>
        <v>0</v>
      </c>
      <c r="AF40" s="23">
        <v>952</v>
      </c>
      <c r="AG40" s="23">
        <f t="shared" si="95"/>
        <v>69267.520000000004</v>
      </c>
      <c r="AH40" s="23"/>
      <c r="AI40" s="23">
        <v>952</v>
      </c>
      <c r="AJ40" s="23">
        <f t="shared" si="96"/>
        <v>69267.520000000004</v>
      </c>
      <c r="AK40" s="23"/>
      <c r="AL40" s="23">
        <f t="shared" si="97"/>
        <v>0</v>
      </c>
      <c r="AM40" s="23"/>
      <c r="AN40" s="23"/>
      <c r="AO40" s="23">
        <f t="shared" si="98"/>
        <v>0</v>
      </c>
      <c r="AP40" s="23"/>
      <c r="AQ40" s="23">
        <f t="shared" si="99"/>
        <v>0</v>
      </c>
      <c r="AR40" s="23"/>
      <c r="AS40" s="23">
        <v>952</v>
      </c>
      <c r="AT40" s="23">
        <f t="shared" si="100"/>
        <v>69267.520000000004</v>
      </c>
      <c r="AU40" s="23"/>
      <c r="AV40" s="23">
        <f t="shared" si="101"/>
        <v>0</v>
      </c>
      <c r="AW40" s="23"/>
      <c r="AX40" s="24"/>
      <c r="AY40" s="24">
        <f t="shared" si="102"/>
        <v>0</v>
      </c>
      <c r="AZ40" s="23"/>
      <c r="BA40" s="23">
        <f t="shared" si="103"/>
        <v>0</v>
      </c>
      <c r="BB40" s="23"/>
      <c r="BC40" s="23">
        <v>952</v>
      </c>
      <c r="BD40" s="23">
        <f t="shared" si="104"/>
        <v>69267.520000000004</v>
      </c>
      <c r="BE40" s="23"/>
      <c r="BF40" s="23">
        <f t="shared" si="105"/>
        <v>0</v>
      </c>
      <c r="BG40" s="23"/>
      <c r="BH40" s="23"/>
      <c r="BI40" s="23">
        <f t="shared" si="106"/>
        <v>0</v>
      </c>
      <c r="BJ40" s="23"/>
      <c r="BK40" s="23">
        <f t="shared" si="107"/>
        <v>0</v>
      </c>
      <c r="BL40" s="23"/>
      <c r="BM40" s="23">
        <v>952</v>
      </c>
      <c r="BN40" s="23">
        <f t="shared" si="108"/>
        <v>69267.520000000004</v>
      </c>
      <c r="BO40" s="23"/>
      <c r="BP40" s="23">
        <f t="shared" si="109"/>
        <v>0</v>
      </c>
      <c r="BQ40" s="23"/>
      <c r="BR40" s="23"/>
      <c r="BS40" s="23">
        <f t="shared" si="110"/>
        <v>0</v>
      </c>
      <c r="BT40" s="23"/>
      <c r="BU40" s="23">
        <f t="shared" si="111"/>
        <v>0</v>
      </c>
      <c r="BV40" s="23"/>
      <c r="BW40" s="23">
        <v>952</v>
      </c>
      <c r="BX40" s="23">
        <f t="shared" si="112"/>
        <v>69267.520000000004</v>
      </c>
      <c r="BY40" s="23"/>
      <c r="BZ40" s="23">
        <f t="shared" si="113"/>
        <v>0</v>
      </c>
      <c r="CA40" s="23"/>
      <c r="CB40" s="15"/>
    </row>
    <row r="41" spans="1:80" ht="16" x14ac:dyDescent="0.4">
      <c r="A41" s="15" t="s">
        <v>76</v>
      </c>
      <c r="B41" s="15" t="s">
        <v>262</v>
      </c>
      <c r="C41" s="15" t="s">
        <v>326</v>
      </c>
      <c r="D41" s="15" t="s">
        <v>327</v>
      </c>
      <c r="E41" s="112" t="s">
        <v>328</v>
      </c>
      <c r="F41" s="15" t="s">
        <v>267</v>
      </c>
      <c r="G41" s="15" t="s">
        <v>283</v>
      </c>
      <c r="H41" s="15" t="s">
        <v>82</v>
      </c>
      <c r="I41" s="15" t="s">
        <v>82</v>
      </c>
      <c r="J41" s="15" t="s">
        <v>112</v>
      </c>
      <c r="K41" s="15" t="s">
        <v>81</v>
      </c>
      <c r="L41" s="15" t="s">
        <v>184</v>
      </c>
      <c r="M41" s="15" t="s">
        <v>80</v>
      </c>
      <c r="N41" s="17">
        <v>105.75</v>
      </c>
      <c r="O41" s="18"/>
      <c r="P41" s="22">
        <f t="shared" si="86"/>
        <v>12</v>
      </c>
      <c r="Q41" s="22">
        <f t="shared" si="87"/>
        <v>1269</v>
      </c>
      <c r="R41" s="22">
        <f t="shared" si="88"/>
        <v>317250</v>
      </c>
      <c r="S41" s="22">
        <f t="shared" si="89"/>
        <v>1904</v>
      </c>
      <c r="T41" s="23">
        <v>1000</v>
      </c>
      <c r="U41" s="23">
        <f t="shared" si="90"/>
        <v>105750</v>
      </c>
      <c r="V41" s="23"/>
      <c r="W41" s="23">
        <f t="shared" si="91"/>
        <v>0</v>
      </c>
      <c r="X41" s="23"/>
      <c r="Y41" s="23">
        <v>1000</v>
      </c>
      <c r="Z41" s="23">
        <f t="shared" si="92"/>
        <v>105750</v>
      </c>
      <c r="AA41" s="23"/>
      <c r="AB41" s="23">
        <f t="shared" si="93"/>
        <v>0</v>
      </c>
      <c r="AC41" s="23"/>
      <c r="AD41" s="23">
        <v>1000</v>
      </c>
      <c r="AE41" s="23">
        <f t="shared" si="94"/>
        <v>105750</v>
      </c>
      <c r="AF41" s="23"/>
      <c r="AG41" s="23">
        <f t="shared" si="95"/>
        <v>0</v>
      </c>
      <c r="AH41" s="23"/>
      <c r="AI41" s="23">
        <v>1000</v>
      </c>
      <c r="AJ41" s="23">
        <f t="shared" si="96"/>
        <v>105750</v>
      </c>
      <c r="AK41" s="23"/>
      <c r="AL41" s="23">
        <f t="shared" si="97"/>
        <v>0</v>
      </c>
      <c r="AM41" s="23"/>
      <c r="AN41" s="23">
        <v>1000</v>
      </c>
      <c r="AO41" s="23">
        <f t="shared" si="98"/>
        <v>105750</v>
      </c>
      <c r="AP41" s="23">
        <v>10000</v>
      </c>
      <c r="AQ41" s="23">
        <f t="shared" si="99"/>
        <v>1057500</v>
      </c>
      <c r="AR41" s="23"/>
      <c r="AS41" s="23">
        <v>1000</v>
      </c>
      <c r="AT41" s="23">
        <f t="shared" si="100"/>
        <v>105750</v>
      </c>
      <c r="AU41" s="23"/>
      <c r="AV41" s="23">
        <f t="shared" si="101"/>
        <v>0</v>
      </c>
      <c r="AW41" s="23"/>
      <c r="AX41" s="24">
        <v>1000</v>
      </c>
      <c r="AY41" s="24">
        <f t="shared" si="102"/>
        <v>105750</v>
      </c>
      <c r="AZ41" s="23">
        <v>1000</v>
      </c>
      <c r="BA41" s="23">
        <f t="shared" si="103"/>
        <v>105750</v>
      </c>
      <c r="BB41" s="104">
        <v>1904</v>
      </c>
      <c r="BC41" s="23">
        <v>1000</v>
      </c>
      <c r="BD41" s="23">
        <f t="shared" si="104"/>
        <v>105750</v>
      </c>
      <c r="BE41" s="23">
        <v>1000</v>
      </c>
      <c r="BF41" s="23">
        <f t="shared" si="105"/>
        <v>105750</v>
      </c>
      <c r="BG41" s="23"/>
      <c r="BH41" s="23">
        <v>1000</v>
      </c>
      <c r="BI41" s="23">
        <f t="shared" si="106"/>
        <v>105750</v>
      </c>
      <c r="BJ41" s="23">
        <v>1000</v>
      </c>
      <c r="BK41" s="23">
        <f t="shared" si="107"/>
        <v>105750</v>
      </c>
      <c r="BL41" s="23"/>
      <c r="BM41" s="23">
        <v>1000</v>
      </c>
      <c r="BN41" s="23">
        <f t="shared" si="108"/>
        <v>105750</v>
      </c>
      <c r="BO41" s="23"/>
      <c r="BP41" s="23">
        <f t="shared" si="109"/>
        <v>0</v>
      </c>
      <c r="BQ41" s="23"/>
      <c r="BR41" s="23">
        <v>1000</v>
      </c>
      <c r="BS41" s="23">
        <f t="shared" si="110"/>
        <v>105750</v>
      </c>
      <c r="BT41" s="23"/>
      <c r="BU41" s="23">
        <f t="shared" si="111"/>
        <v>0</v>
      </c>
      <c r="BV41" s="23"/>
      <c r="BW41" s="23">
        <v>1000</v>
      </c>
      <c r="BX41" s="23">
        <f t="shared" si="112"/>
        <v>105750</v>
      </c>
      <c r="BY41" s="23"/>
      <c r="BZ41" s="23">
        <f t="shared" si="113"/>
        <v>0</v>
      </c>
      <c r="CA41" s="23"/>
      <c r="CB41" s="75"/>
    </row>
    <row r="42" spans="1:80" ht="16" x14ac:dyDescent="0.4">
      <c r="A42" s="15" t="s">
        <v>76</v>
      </c>
      <c r="B42" s="15" t="s">
        <v>262</v>
      </c>
      <c r="C42" s="15" t="s">
        <v>263</v>
      </c>
      <c r="D42" s="15" t="s">
        <v>492</v>
      </c>
      <c r="E42" s="112" t="s">
        <v>493</v>
      </c>
      <c r="F42" s="15" t="s">
        <v>267</v>
      </c>
      <c r="G42" s="15" t="s">
        <v>264</v>
      </c>
      <c r="H42" s="15" t="s">
        <v>180</v>
      </c>
      <c r="I42" s="15" t="s">
        <v>180</v>
      </c>
      <c r="J42" s="16" t="s">
        <v>90</v>
      </c>
      <c r="K42" s="3" t="s">
        <v>79</v>
      </c>
      <c r="L42" s="15" t="s">
        <v>494</v>
      </c>
      <c r="M42" s="15" t="s">
        <v>83</v>
      </c>
      <c r="N42" s="17">
        <v>62.37</v>
      </c>
      <c r="O42" s="18"/>
      <c r="P42" s="22">
        <f t="shared" si="86"/>
        <v>12</v>
      </c>
      <c r="Q42" s="22">
        <f t="shared" si="87"/>
        <v>748.44</v>
      </c>
      <c r="R42" s="22">
        <f t="shared" si="88"/>
        <v>0</v>
      </c>
      <c r="S42" s="22">
        <f t="shared" si="89"/>
        <v>0</v>
      </c>
      <c r="T42" s="23">
        <v>1000</v>
      </c>
      <c r="U42" s="23">
        <f t="shared" si="90"/>
        <v>62370</v>
      </c>
      <c r="V42" s="23"/>
      <c r="W42" s="23">
        <f t="shared" si="91"/>
        <v>0</v>
      </c>
      <c r="X42" s="23"/>
      <c r="Y42" s="23">
        <v>1000</v>
      </c>
      <c r="Z42" s="23">
        <f t="shared" si="92"/>
        <v>62370</v>
      </c>
      <c r="AA42" s="23">
        <v>3000</v>
      </c>
      <c r="AB42" s="23">
        <f t="shared" si="93"/>
        <v>187110</v>
      </c>
      <c r="AC42" s="23"/>
      <c r="AD42" s="23">
        <v>1000</v>
      </c>
      <c r="AE42" s="23">
        <f t="shared" si="94"/>
        <v>62370</v>
      </c>
      <c r="AF42" s="23">
        <v>0</v>
      </c>
      <c r="AG42" s="23">
        <f t="shared" si="95"/>
        <v>0</v>
      </c>
      <c r="AH42" s="23"/>
      <c r="AI42" s="23">
        <v>1000</v>
      </c>
      <c r="AJ42" s="23">
        <f t="shared" si="96"/>
        <v>62370</v>
      </c>
      <c r="AK42" s="23"/>
      <c r="AL42" s="23">
        <f t="shared" si="97"/>
        <v>0</v>
      </c>
      <c r="AM42" s="23"/>
      <c r="AN42" s="23">
        <v>1000</v>
      </c>
      <c r="AO42" s="23">
        <f t="shared" si="98"/>
        <v>62370</v>
      </c>
      <c r="AP42" s="23"/>
      <c r="AQ42" s="23">
        <f t="shared" si="99"/>
        <v>0</v>
      </c>
      <c r="AR42" s="23"/>
      <c r="AS42" s="23">
        <v>1000</v>
      </c>
      <c r="AT42" s="23">
        <f t="shared" si="100"/>
        <v>62370</v>
      </c>
      <c r="AU42" s="23"/>
      <c r="AV42" s="23">
        <f t="shared" si="101"/>
        <v>0</v>
      </c>
      <c r="AW42" s="23"/>
      <c r="AX42" s="24">
        <v>1000</v>
      </c>
      <c r="AY42" s="24">
        <f t="shared" si="102"/>
        <v>62370</v>
      </c>
      <c r="AZ42" s="23"/>
      <c r="BA42" s="23">
        <f t="shared" si="103"/>
        <v>0</v>
      </c>
      <c r="BB42" s="23"/>
      <c r="BC42" s="23">
        <v>1000</v>
      </c>
      <c r="BD42" s="23">
        <f t="shared" si="104"/>
        <v>62370</v>
      </c>
      <c r="BE42" s="23"/>
      <c r="BF42" s="23">
        <f t="shared" si="105"/>
        <v>0</v>
      </c>
      <c r="BG42" s="23"/>
      <c r="BH42" s="23">
        <v>1000</v>
      </c>
      <c r="BI42" s="23">
        <f t="shared" si="106"/>
        <v>62370</v>
      </c>
      <c r="BJ42" s="23"/>
      <c r="BK42" s="23">
        <f t="shared" si="107"/>
        <v>0</v>
      </c>
      <c r="BL42" s="23"/>
      <c r="BM42" s="23">
        <v>1000</v>
      </c>
      <c r="BN42" s="23">
        <f t="shared" si="108"/>
        <v>62370</v>
      </c>
      <c r="BO42" s="23"/>
      <c r="BP42" s="23">
        <f t="shared" si="109"/>
        <v>0</v>
      </c>
      <c r="BQ42" s="23"/>
      <c r="BR42" s="23">
        <v>1000</v>
      </c>
      <c r="BS42" s="23">
        <f t="shared" si="110"/>
        <v>62370</v>
      </c>
      <c r="BT42" s="23"/>
      <c r="BU42" s="23">
        <f t="shared" si="111"/>
        <v>0</v>
      </c>
      <c r="BV42" s="23"/>
      <c r="BW42" s="23">
        <v>1000</v>
      </c>
      <c r="BX42" s="23">
        <f t="shared" si="112"/>
        <v>62370</v>
      </c>
      <c r="BY42" s="23"/>
      <c r="BZ42" s="23">
        <f t="shared" si="113"/>
        <v>0</v>
      </c>
      <c r="CA42" s="23"/>
      <c r="CB42" s="15"/>
    </row>
    <row r="43" spans="1:80" ht="16" x14ac:dyDescent="0.4">
      <c r="A43" s="15" t="s">
        <v>76</v>
      </c>
      <c r="B43" s="15" t="s">
        <v>262</v>
      </c>
      <c r="C43" s="15" t="s">
        <v>263</v>
      </c>
      <c r="D43" s="15" t="s">
        <v>492</v>
      </c>
      <c r="E43" s="112" t="s">
        <v>493</v>
      </c>
      <c r="F43" s="15" t="s">
        <v>267</v>
      </c>
      <c r="G43" s="15" t="s">
        <v>264</v>
      </c>
      <c r="H43" s="15" t="s">
        <v>87</v>
      </c>
      <c r="I43" s="15" t="s">
        <v>87</v>
      </c>
      <c r="J43" s="15" t="s">
        <v>88</v>
      </c>
      <c r="K43" s="15" t="s">
        <v>85</v>
      </c>
      <c r="L43" s="15" t="s">
        <v>495</v>
      </c>
      <c r="M43" s="15"/>
      <c r="N43" s="17">
        <v>29.9</v>
      </c>
      <c r="O43" s="18"/>
      <c r="P43" s="22">
        <f t="shared" si="86"/>
        <v>0</v>
      </c>
      <c r="Q43" s="22">
        <f t="shared" si="87"/>
        <v>0</v>
      </c>
      <c r="R43" s="22">
        <f t="shared" si="88"/>
        <v>0</v>
      </c>
      <c r="S43" s="22">
        <f t="shared" si="89"/>
        <v>6000</v>
      </c>
      <c r="T43" s="23"/>
      <c r="U43" s="23">
        <f t="shared" si="90"/>
        <v>0</v>
      </c>
      <c r="V43" s="23"/>
      <c r="W43" s="23">
        <f t="shared" si="91"/>
        <v>0</v>
      </c>
      <c r="X43" s="23">
        <v>5800</v>
      </c>
      <c r="Y43" s="23"/>
      <c r="Z43" s="23">
        <f t="shared" si="92"/>
        <v>0</v>
      </c>
      <c r="AA43" s="23">
        <v>3000</v>
      </c>
      <c r="AB43" s="23">
        <f t="shared" si="93"/>
        <v>89700</v>
      </c>
      <c r="AC43" s="23">
        <v>6000</v>
      </c>
      <c r="AD43" s="23"/>
      <c r="AE43" s="23">
        <f t="shared" si="94"/>
        <v>0</v>
      </c>
      <c r="AF43" s="23">
        <v>3000</v>
      </c>
      <c r="AG43" s="23">
        <f t="shared" si="95"/>
        <v>89700</v>
      </c>
      <c r="AH43" s="23">
        <v>1400</v>
      </c>
      <c r="AI43" s="23"/>
      <c r="AJ43" s="23">
        <f t="shared" si="96"/>
        <v>0</v>
      </c>
      <c r="AK43" s="23"/>
      <c r="AL43" s="23">
        <f t="shared" si="97"/>
        <v>0</v>
      </c>
      <c r="AM43" s="23"/>
      <c r="AN43" s="23"/>
      <c r="AO43" s="23">
        <f t="shared" si="98"/>
        <v>0</v>
      </c>
      <c r="AP43" s="23"/>
      <c r="AQ43" s="23">
        <f t="shared" si="99"/>
        <v>0</v>
      </c>
      <c r="AR43" s="23"/>
      <c r="AS43" s="23"/>
      <c r="AT43" s="23">
        <f t="shared" si="100"/>
        <v>0</v>
      </c>
      <c r="AU43" s="23"/>
      <c r="AV43" s="23">
        <f t="shared" si="101"/>
        <v>0</v>
      </c>
      <c r="AW43" s="23"/>
      <c r="AX43" s="24"/>
      <c r="AY43" s="24">
        <f t="shared" si="102"/>
        <v>0</v>
      </c>
      <c r="AZ43" s="23"/>
      <c r="BA43" s="23">
        <f t="shared" si="103"/>
        <v>0</v>
      </c>
      <c r="BB43" s="73">
        <v>6000</v>
      </c>
      <c r="BC43" s="23"/>
      <c r="BD43" s="23">
        <f t="shared" si="104"/>
        <v>0</v>
      </c>
      <c r="BE43" s="23"/>
      <c r="BF43" s="23">
        <f t="shared" si="105"/>
        <v>0</v>
      </c>
      <c r="BG43" s="23"/>
      <c r="BH43" s="23"/>
      <c r="BI43" s="23">
        <f t="shared" si="106"/>
        <v>0</v>
      </c>
      <c r="BJ43" s="23"/>
      <c r="BK43" s="23">
        <f t="shared" si="107"/>
        <v>0</v>
      </c>
      <c r="BL43" s="23"/>
      <c r="BM43" s="23"/>
      <c r="BN43" s="23">
        <f t="shared" si="108"/>
        <v>0</v>
      </c>
      <c r="BO43" s="23"/>
      <c r="BP43" s="23">
        <f t="shared" si="109"/>
        <v>0</v>
      </c>
      <c r="BQ43" s="23"/>
      <c r="BR43" s="23"/>
      <c r="BS43" s="23">
        <f t="shared" si="110"/>
        <v>0</v>
      </c>
      <c r="BT43" s="23"/>
      <c r="BU43" s="23">
        <f t="shared" si="111"/>
        <v>0</v>
      </c>
      <c r="BV43" s="23"/>
      <c r="BW43" s="23"/>
      <c r="BX43" s="23">
        <f t="shared" si="112"/>
        <v>0</v>
      </c>
      <c r="BY43" s="23"/>
      <c r="BZ43" s="23">
        <f t="shared" si="113"/>
        <v>0</v>
      </c>
      <c r="CA43" s="23"/>
      <c r="CB43" s="15"/>
    </row>
    <row r="44" spans="1:80" ht="16" x14ac:dyDescent="0.4">
      <c r="A44" s="15" t="s">
        <v>76</v>
      </c>
      <c r="B44" s="15" t="s">
        <v>262</v>
      </c>
      <c r="C44" s="15" t="s">
        <v>263</v>
      </c>
      <c r="D44" s="15" t="s">
        <v>492</v>
      </c>
      <c r="E44" s="112" t="s">
        <v>493</v>
      </c>
      <c r="F44" s="15" t="s">
        <v>267</v>
      </c>
      <c r="G44" s="15" t="s">
        <v>264</v>
      </c>
      <c r="H44" s="15" t="s">
        <v>87</v>
      </c>
      <c r="I44" s="15" t="s">
        <v>87</v>
      </c>
      <c r="J44" s="15" t="s">
        <v>88</v>
      </c>
      <c r="K44" s="15" t="s">
        <v>85</v>
      </c>
      <c r="L44" s="15" t="s">
        <v>496</v>
      </c>
      <c r="M44" s="15" t="s">
        <v>83</v>
      </c>
      <c r="N44" s="17">
        <v>3.45</v>
      </c>
      <c r="O44" s="72">
        <v>2000</v>
      </c>
      <c r="P44" s="22">
        <f t="shared" si="86"/>
        <v>5</v>
      </c>
      <c r="Q44" s="22">
        <f t="shared" si="87"/>
        <v>17.25</v>
      </c>
      <c r="R44" s="22">
        <f t="shared" si="88"/>
        <v>0</v>
      </c>
      <c r="S44" s="22">
        <f t="shared" si="89"/>
        <v>0</v>
      </c>
      <c r="T44" s="23"/>
      <c r="U44" s="23">
        <f t="shared" si="90"/>
        <v>0</v>
      </c>
      <c r="V44" s="23"/>
      <c r="W44" s="23">
        <f t="shared" si="91"/>
        <v>0</v>
      </c>
      <c r="X44" s="23">
        <v>2000</v>
      </c>
      <c r="Y44" s="23">
        <v>1000</v>
      </c>
      <c r="Z44" s="23">
        <f t="shared" si="92"/>
        <v>3450</v>
      </c>
      <c r="AA44" s="23">
        <v>3000</v>
      </c>
      <c r="AB44" s="23">
        <f t="shared" si="93"/>
        <v>10350</v>
      </c>
      <c r="AC44" s="23"/>
      <c r="AD44" s="23"/>
      <c r="AE44" s="23">
        <f t="shared" si="94"/>
        <v>0</v>
      </c>
      <c r="AF44" s="23">
        <v>3000</v>
      </c>
      <c r="AG44" s="23">
        <f t="shared" si="95"/>
        <v>10350</v>
      </c>
      <c r="AH44" s="23">
        <v>2000</v>
      </c>
      <c r="AI44" s="23"/>
      <c r="AJ44" s="23">
        <f t="shared" si="96"/>
        <v>0</v>
      </c>
      <c r="AK44" s="23">
        <v>3000</v>
      </c>
      <c r="AL44" s="23">
        <f t="shared" si="97"/>
        <v>10350</v>
      </c>
      <c r="AM44" s="23">
        <v>2000</v>
      </c>
      <c r="AN44" s="23">
        <v>1000</v>
      </c>
      <c r="AO44" s="23">
        <f t="shared" si="98"/>
        <v>3450</v>
      </c>
      <c r="AP44" s="23">
        <v>3000</v>
      </c>
      <c r="AQ44" s="23">
        <f t="shared" si="99"/>
        <v>10350</v>
      </c>
      <c r="AR44" s="23"/>
      <c r="AS44" s="23"/>
      <c r="AT44" s="23">
        <f t="shared" si="100"/>
        <v>0</v>
      </c>
      <c r="AU44" s="23">
        <v>3000</v>
      </c>
      <c r="AV44" s="23">
        <f t="shared" si="101"/>
        <v>10350</v>
      </c>
      <c r="AW44" s="23"/>
      <c r="AX44" s="24"/>
      <c r="AY44" s="24">
        <f t="shared" si="102"/>
        <v>0</v>
      </c>
      <c r="AZ44" s="23"/>
      <c r="BA44" s="23">
        <f t="shared" si="103"/>
        <v>0</v>
      </c>
      <c r="BB44" s="23"/>
      <c r="BC44" s="23">
        <v>1000</v>
      </c>
      <c r="BD44" s="23">
        <f t="shared" si="104"/>
        <v>3450</v>
      </c>
      <c r="BE44" s="23"/>
      <c r="BF44" s="23">
        <f t="shared" si="105"/>
        <v>0</v>
      </c>
      <c r="BG44" s="23"/>
      <c r="BH44" s="23"/>
      <c r="BI44" s="23">
        <f t="shared" si="106"/>
        <v>0</v>
      </c>
      <c r="BJ44" s="23"/>
      <c r="BK44" s="23">
        <f t="shared" si="107"/>
        <v>0</v>
      </c>
      <c r="BL44" s="23"/>
      <c r="BM44" s="23">
        <v>1000</v>
      </c>
      <c r="BN44" s="23">
        <f t="shared" si="108"/>
        <v>3450</v>
      </c>
      <c r="BO44" s="23"/>
      <c r="BP44" s="23">
        <f t="shared" si="109"/>
        <v>0</v>
      </c>
      <c r="BQ44" s="23"/>
      <c r="BR44" s="23">
        <v>1000</v>
      </c>
      <c r="BS44" s="23">
        <f t="shared" si="110"/>
        <v>3450</v>
      </c>
      <c r="BT44" s="23"/>
      <c r="BU44" s="23">
        <f t="shared" si="111"/>
        <v>0</v>
      </c>
      <c r="BV44" s="23"/>
      <c r="BW44" s="23"/>
      <c r="BX44" s="23">
        <f t="shared" si="112"/>
        <v>0</v>
      </c>
      <c r="BY44" s="23"/>
      <c r="BZ44" s="23">
        <f t="shared" si="113"/>
        <v>0</v>
      </c>
      <c r="CA44" s="23"/>
      <c r="CB44" s="20"/>
    </row>
    <row r="45" spans="1:80" ht="16" x14ac:dyDescent="0.4">
      <c r="A45" s="15" t="s">
        <v>76</v>
      </c>
      <c r="B45" s="15" t="s">
        <v>262</v>
      </c>
      <c r="C45" s="15" t="s">
        <v>263</v>
      </c>
      <c r="D45" s="15" t="s">
        <v>492</v>
      </c>
      <c r="E45" s="112" t="s">
        <v>493</v>
      </c>
      <c r="F45" s="15" t="s">
        <v>267</v>
      </c>
      <c r="G45" s="15" t="s">
        <v>264</v>
      </c>
      <c r="H45" s="15" t="s">
        <v>87</v>
      </c>
      <c r="I45" s="15" t="s">
        <v>87</v>
      </c>
      <c r="J45" s="15" t="s">
        <v>88</v>
      </c>
      <c r="K45" s="15" t="s">
        <v>85</v>
      </c>
      <c r="L45" s="15" t="s">
        <v>497</v>
      </c>
      <c r="M45" s="15" t="s">
        <v>83</v>
      </c>
      <c r="N45" s="17">
        <v>3.45</v>
      </c>
      <c r="O45" s="18"/>
      <c r="P45" s="22">
        <f t="shared" si="86"/>
        <v>10</v>
      </c>
      <c r="Q45" s="22">
        <f t="shared" si="87"/>
        <v>34.5</v>
      </c>
      <c r="R45" s="22">
        <f t="shared" si="88"/>
        <v>31050</v>
      </c>
      <c r="S45" s="22">
        <f t="shared" si="89"/>
        <v>0</v>
      </c>
      <c r="T45" s="23">
        <v>1000</v>
      </c>
      <c r="U45" s="23">
        <f t="shared" si="90"/>
        <v>3450</v>
      </c>
      <c r="V45" s="23"/>
      <c r="W45" s="23">
        <f t="shared" si="91"/>
        <v>0</v>
      </c>
      <c r="X45" s="23"/>
      <c r="Y45" s="23">
        <v>1000</v>
      </c>
      <c r="Z45" s="23">
        <f t="shared" si="92"/>
        <v>3450</v>
      </c>
      <c r="AA45" s="23">
        <v>3000</v>
      </c>
      <c r="AB45" s="23">
        <f t="shared" si="93"/>
        <v>10350</v>
      </c>
      <c r="AC45" s="23"/>
      <c r="AD45" s="23">
        <v>1000</v>
      </c>
      <c r="AE45" s="23">
        <f t="shared" si="94"/>
        <v>3450</v>
      </c>
      <c r="AF45" s="23">
        <v>3000</v>
      </c>
      <c r="AG45" s="23">
        <f t="shared" si="95"/>
        <v>10350</v>
      </c>
      <c r="AH45" s="23"/>
      <c r="AI45" s="23">
        <v>1000</v>
      </c>
      <c r="AJ45" s="23">
        <f t="shared" si="96"/>
        <v>3450</v>
      </c>
      <c r="AK45" s="23">
        <v>3000</v>
      </c>
      <c r="AL45" s="23">
        <f t="shared" si="97"/>
        <v>10350</v>
      </c>
      <c r="AM45" s="23"/>
      <c r="AN45" s="23">
        <v>1000</v>
      </c>
      <c r="AO45" s="23">
        <f t="shared" si="98"/>
        <v>3450</v>
      </c>
      <c r="AP45" s="23">
        <v>3000</v>
      </c>
      <c r="AQ45" s="23">
        <f t="shared" si="99"/>
        <v>10350</v>
      </c>
      <c r="AR45" s="23"/>
      <c r="AS45" s="23"/>
      <c r="AT45" s="23">
        <f t="shared" si="100"/>
        <v>0</v>
      </c>
      <c r="AU45" s="23">
        <v>3000</v>
      </c>
      <c r="AV45" s="23">
        <f t="shared" si="101"/>
        <v>10350</v>
      </c>
      <c r="AW45" s="23"/>
      <c r="AX45" s="24">
        <v>1000</v>
      </c>
      <c r="AY45" s="24">
        <f t="shared" si="102"/>
        <v>3450</v>
      </c>
      <c r="AZ45" s="23">
        <v>3000</v>
      </c>
      <c r="BA45" s="23">
        <f t="shared" si="103"/>
        <v>10350</v>
      </c>
      <c r="BB45" s="23"/>
      <c r="BC45" s="23">
        <v>1000</v>
      </c>
      <c r="BD45" s="23">
        <f t="shared" si="104"/>
        <v>3450</v>
      </c>
      <c r="BE45" s="23">
        <v>3000</v>
      </c>
      <c r="BF45" s="23">
        <f t="shared" si="105"/>
        <v>10350</v>
      </c>
      <c r="BG45" s="23"/>
      <c r="BH45" s="23">
        <v>1000</v>
      </c>
      <c r="BI45" s="23">
        <f t="shared" si="106"/>
        <v>3450</v>
      </c>
      <c r="BJ45" s="23">
        <v>3000</v>
      </c>
      <c r="BK45" s="23">
        <f t="shared" si="107"/>
        <v>10350</v>
      </c>
      <c r="BL45" s="23"/>
      <c r="BM45" s="23"/>
      <c r="BN45" s="23">
        <f t="shared" si="108"/>
        <v>0</v>
      </c>
      <c r="BO45" s="23"/>
      <c r="BP45" s="23">
        <f t="shared" si="109"/>
        <v>0</v>
      </c>
      <c r="BQ45" s="23"/>
      <c r="BR45" s="23">
        <v>1000</v>
      </c>
      <c r="BS45" s="23">
        <f t="shared" si="110"/>
        <v>3450</v>
      </c>
      <c r="BT45" s="23"/>
      <c r="BU45" s="23">
        <f t="shared" si="111"/>
        <v>0</v>
      </c>
      <c r="BV45" s="23"/>
      <c r="BW45" s="23">
        <v>1000</v>
      </c>
      <c r="BX45" s="23">
        <f t="shared" si="112"/>
        <v>3450</v>
      </c>
      <c r="BY45" s="23"/>
      <c r="BZ45" s="23">
        <f t="shared" si="113"/>
        <v>0</v>
      </c>
      <c r="CA45" s="23"/>
      <c r="CB45" s="15"/>
    </row>
    <row r="46" spans="1:80" ht="16" x14ac:dyDescent="0.4">
      <c r="A46" s="15" t="s">
        <v>76</v>
      </c>
      <c r="B46" s="15" t="s">
        <v>262</v>
      </c>
      <c r="C46" s="15" t="s">
        <v>263</v>
      </c>
      <c r="D46" s="15" t="s">
        <v>492</v>
      </c>
      <c r="E46" s="112" t="s">
        <v>493</v>
      </c>
      <c r="F46" s="15" t="s">
        <v>267</v>
      </c>
      <c r="G46" s="15" t="s">
        <v>264</v>
      </c>
      <c r="H46" s="15" t="s">
        <v>87</v>
      </c>
      <c r="I46" s="15" t="s">
        <v>87</v>
      </c>
      <c r="J46" s="15" t="s">
        <v>88</v>
      </c>
      <c r="K46" s="15" t="s">
        <v>85</v>
      </c>
      <c r="L46" s="15" t="s">
        <v>498</v>
      </c>
      <c r="M46" s="15"/>
      <c r="N46" s="17">
        <v>5.0599999999999996</v>
      </c>
      <c r="O46" s="72">
        <v>8000</v>
      </c>
      <c r="P46" s="22">
        <f t="shared" si="86"/>
        <v>0</v>
      </c>
      <c r="Q46" s="22">
        <f t="shared" si="87"/>
        <v>0</v>
      </c>
      <c r="R46" s="22">
        <f t="shared" si="88"/>
        <v>15179.999999999998</v>
      </c>
      <c r="S46" s="22">
        <f t="shared" si="89"/>
        <v>0</v>
      </c>
      <c r="T46" s="23"/>
      <c r="U46" s="23">
        <f t="shared" si="90"/>
        <v>0</v>
      </c>
      <c r="V46" s="23">
        <v>3000</v>
      </c>
      <c r="W46" s="23">
        <f t="shared" si="91"/>
        <v>15179.999999999998</v>
      </c>
      <c r="X46" s="23"/>
      <c r="Y46" s="23"/>
      <c r="Z46" s="23">
        <f t="shared" si="92"/>
        <v>0</v>
      </c>
      <c r="AA46" s="23">
        <v>3000</v>
      </c>
      <c r="AB46" s="23">
        <f t="shared" si="93"/>
        <v>15179.999999999998</v>
      </c>
      <c r="AC46" s="23"/>
      <c r="AD46" s="23"/>
      <c r="AE46" s="23">
        <f t="shared" si="94"/>
        <v>0</v>
      </c>
      <c r="AF46" s="23">
        <v>3000</v>
      </c>
      <c r="AG46" s="23">
        <f t="shared" si="95"/>
        <v>15179.999999999998</v>
      </c>
      <c r="AH46" s="23"/>
      <c r="AI46" s="23"/>
      <c r="AJ46" s="23">
        <f t="shared" si="96"/>
        <v>0</v>
      </c>
      <c r="AK46" s="23">
        <v>3000</v>
      </c>
      <c r="AL46" s="23">
        <f t="shared" si="97"/>
        <v>15179.999999999998</v>
      </c>
      <c r="AM46" s="23">
        <v>8000</v>
      </c>
      <c r="AN46" s="23"/>
      <c r="AO46" s="23">
        <f t="shared" si="98"/>
        <v>0</v>
      </c>
      <c r="AP46" s="23">
        <v>3000</v>
      </c>
      <c r="AQ46" s="23">
        <f t="shared" si="99"/>
        <v>15179.999999999998</v>
      </c>
      <c r="AR46" s="23"/>
      <c r="AS46" s="23"/>
      <c r="AT46" s="23">
        <f t="shared" si="100"/>
        <v>0</v>
      </c>
      <c r="AU46" s="23">
        <v>3000</v>
      </c>
      <c r="AV46" s="23">
        <f t="shared" si="101"/>
        <v>15179.999999999998</v>
      </c>
      <c r="AW46" s="23"/>
      <c r="AX46" s="24"/>
      <c r="AY46" s="24">
        <f t="shared" si="102"/>
        <v>0</v>
      </c>
      <c r="AZ46" s="23">
        <v>3000</v>
      </c>
      <c r="BA46" s="23">
        <f t="shared" si="103"/>
        <v>15179.999999999998</v>
      </c>
      <c r="BB46" s="23"/>
      <c r="BC46" s="23"/>
      <c r="BD46" s="23">
        <f t="shared" si="104"/>
        <v>0</v>
      </c>
      <c r="BE46" s="23"/>
      <c r="BF46" s="23">
        <f t="shared" si="105"/>
        <v>0</v>
      </c>
      <c r="BG46" s="23"/>
      <c r="BH46" s="23"/>
      <c r="BI46" s="23">
        <f t="shared" si="106"/>
        <v>0</v>
      </c>
      <c r="BJ46" s="23"/>
      <c r="BK46" s="23">
        <f t="shared" si="107"/>
        <v>0</v>
      </c>
      <c r="BL46" s="23"/>
      <c r="BM46" s="23"/>
      <c r="BN46" s="23">
        <f t="shared" si="108"/>
        <v>0</v>
      </c>
      <c r="BO46" s="23"/>
      <c r="BP46" s="23">
        <f t="shared" si="109"/>
        <v>0</v>
      </c>
      <c r="BQ46" s="23"/>
      <c r="BR46" s="23"/>
      <c r="BS46" s="23">
        <f t="shared" si="110"/>
        <v>0</v>
      </c>
      <c r="BT46" s="23"/>
      <c r="BU46" s="23">
        <f t="shared" si="111"/>
        <v>0</v>
      </c>
      <c r="BV46" s="23"/>
      <c r="BW46" s="23"/>
      <c r="BX46" s="23">
        <f t="shared" si="112"/>
        <v>0</v>
      </c>
      <c r="BY46" s="23"/>
      <c r="BZ46" s="23">
        <f t="shared" si="113"/>
        <v>0</v>
      </c>
      <c r="CA46" s="23"/>
      <c r="CB46" s="15"/>
    </row>
    <row r="47" spans="1:80" ht="16" x14ac:dyDescent="0.4">
      <c r="A47" s="15" t="s">
        <v>76</v>
      </c>
      <c r="B47" s="15" t="s">
        <v>262</v>
      </c>
      <c r="C47" s="15" t="s">
        <v>263</v>
      </c>
      <c r="D47" s="15" t="s">
        <v>492</v>
      </c>
      <c r="E47" s="112" t="s">
        <v>493</v>
      </c>
      <c r="F47" s="15" t="s">
        <v>267</v>
      </c>
      <c r="G47" s="15" t="s">
        <v>264</v>
      </c>
      <c r="H47" s="15" t="s">
        <v>87</v>
      </c>
      <c r="I47" s="15" t="s">
        <v>87</v>
      </c>
      <c r="J47" s="15" t="s">
        <v>88</v>
      </c>
      <c r="K47" s="15" t="s">
        <v>85</v>
      </c>
      <c r="L47" s="15" t="s">
        <v>289</v>
      </c>
      <c r="M47" s="15" t="s">
        <v>83</v>
      </c>
      <c r="N47" s="17">
        <v>6.4</v>
      </c>
      <c r="O47" s="18"/>
      <c r="P47" s="22">
        <f t="shared" si="86"/>
        <v>10</v>
      </c>
      <c r="Q47" s="22">
        <f t="shared" si="87"/>
        <v>64</v>
      </c>
      <c r="R47" s="22">
        <f t="shared" si="88"/>
        <v>57600</v>
      </c>
      <c r="S47" s="22">
        <f t="shared" si="89"/>
        <v>0</v>
      </c>
      <c r="T47" s="23"/>
      <c r="U47" s="23">
        <f t="shared" si="90"/>
        <v>0</v>
      </c>
      <c r="V47" s="23"/>
      <c r="W47" s="23">
        <f t="shared" si="91"/>
        <v>0</v>
      </c>
      <c r="X47" s="23"/>
      <c r="Y47" s="23"/>
      <c r="Z47" s="23">
        <f t="shared" si="92"/>
        <v>0</v>
      </c>
      <c r="AA47" s="23">
        <v>3000</v>
      </c>
      <c r="AB47" s="23">
        <f t="shared" si="93"/>
        <v>19200</v>
      </c>
      <c r="AC47" s="23"/>
      <c r="AD47" s="23"/>
      <c r="AE47" s="23">
        <f t="shared" si="94"/>
        <v>0</v>
      </c>
      <c r="AF47" s="23">
        <v>3000</v>
      </c>
      <c r="AG47" s="23">
        <f t="shared" si="95"/>
        <v>19200</v>
      </c>
      <c r="AH47" s="23"/>
      <c r="AI47" s="23"/>
      <c r="AJ47" s="23">
        <f t="shared" si="96"/>
        <v>0</v>
      </c>
      <c r="AK47" s="23">
        <v>3000</v>
      </c>
      <c r="AL47" s="23">
        <f t="shared" si="97"/>
        <v>19200</v>
      </c>
      <c r="AM47" s="23"/>
      <c r="AN47" s="23"/>
      <c r="AO47" s="23">
        <f t="shared" si="98"/>
        <v>0</v>
      </c>
      <c r="AP47" s="23">
        <v>3000</v>
      </c>
      <c r="AQ47" s="23">
        <f t="shared" si="99"/>
        <v>19200</v>
      </c>
      <c r="AR47" s="23"/>
      <c r="AS47" s="23"/>
      <c r="AT47" s="23">
        <f t="shared" si="100"/>
        <v>0</v>
      </c>
      <c r="AU47" s="23">
        <v>3000</v>
      </c>
      <c r="AV47" s="23">
        <f t="shared" si="101"/>
        <v>19200</v>
      </c>
      <c r="AW47" s="23"/>
      <c r="AX47" s="24">
        <v>5000</v>
      </c>
      <c r="AY47" s="24">
        <f t="shared" si="102"/>
        <v>32000</v>
      </c>
      <c r="AZ47" s="23">
        <v>3000</v>
      </c>
      <c r="BA47" s="23">
        <f t="shared" si="103"/>
        <v>19200</v>
      </c>
      <c r="BB47" s="23"/>
      <c r="BC47" s="23"/>
      <c r="BD47" s="23">
        <f t="shared" si="104"/>
        <v>0</v>
      </c>
      <c r="BE47" s="23">
        <v>3000</v>
      </c>
      <c r="BF47" s="23">
        <f t="shared" si="105"/>
        <v>19200</v>
      </c>
      <c r="BG47" s="23"/>
      <c r="BH47" s="23"/>
      <c r="BI47" s="23">
        <f t="shared" si="106"/>
        <v>0</v>
      </c>
      <c r="BJ47" s="23">
        <v>3000</v>
      </c>
      <c r="BK47" s="23">
        <f t="shared" si="107"/>
        <v>19200</v>
      </c>
      <c r="BL47" s="23"/>
      <c r="BM47" s="23"/>
      <c r="BN47" s="23">
        <f t="shared" si="108"/>
        <v>0</v>
      </c>
      <c r="BO47" s="23"/>
      <c r="BP47" s="23">
        <f t="shared" si="109"/>
        <v>0</v>
      </c>
      <c r="BQ47" s="23"/>
      <c r="BR47" s="23">
        <v>5000</v>
      </c>
      <c r="BS47" s="23">
        <f t="shared" si="110"/>
        <v>32000</v>
      </c>
      <c r="BT47" s="23"/>
      <c r="BU47" s="23">
        <f t="shared" si="111"/>
        <v>0</v>
      </c>
      <c r="BV47" s="23"/>
      <c r="BW47" s="23"/>
      <c r="BX47" s="23">
        <f t="shared" si="112"/>
        <v>0</v>
      </c>
      <c r="BY47" s="23"/>
      <c r="BZ47" s="23">
        <f t="shared" si="113"/>
        <v>0</v>
      </c>
      <c r="CA47" s="23"/>
      <c r="CB47" s="15"/>
    </row>
    <row r="48" spans="1:80" ht="16" x14ac:dyDescent="0.4">
      <c r="A48" s="15" t="s">
        <v>76</v>
      </c>
      <c r="B48" s="15" t="s">
        <v>262</v>
      </c>
      <c r="C48" s="15" t="s">
        <v>263</v>
      </c>
      <c r="D48" s="15" t="s">
        <v>492</v>
      </c>
      <c r="E48" s="112" t="s">
        <v>493</v>
      </c>
      <c r="F48" s="15" t="s">
        <v>267</v>
      </c>
      <c r="G48" s="15" t="s">
        <v>264</v>
      </c>
      <c r="H48" s="15" t="s">
        <v>87</v>
      </c>
      <c r="I48" s="15" t="s">
        <v>87</v>
      </c>
      <c r="J48" s="15" t="s">
        <v>88</v>
      </c>
      <c r="K48" s="15" t="s">
        <v>85</v>
      </c>
      <c r="L48" s="15" t="s">
        <v>499</v>
      </c>
      <c r="M48" s="15" t="s">
        <v>83</v>
      </c>
      <c r="N48" s="17">
        <v>6.67</v>
      </c>
      <c r="O48" s="18"/>
      <c r="P48" s="22">
        <f t="shared" si="86"/>
        <v>10</v>
      </c>
      <c r="Q48" s="22">
        <f t="shared" si="87"/>
        <v>66.7</v>
      </c>
      <c r="R48" s="22">
        <f t="shared" si="88"/>
        <v>60030</v>
      </c>
      <c r="S48" s="22">
        <f t="shared" si="89"/>
        <v>0</v>
      </c>
      <c r="T48" s="23"/>
      <c r="U48" s="23">
        <f t="shared" si="90"/>
        <v>0</v>
      </c>
      <c r="V48" s="23"/>
      <c r="W48" s="23">
        <f t="shared" si="91"/>
        <v>0</v>
      </c>
      <c r="X48" s="23"/>
      <c r="Y48" s="23"/>
      <c r="Z48" s="23">
        <f t="shared" si="92"/>
        <v>0</v>
      </c>
      <c r="AA48" s="23">
        <v>3000</v>
      </c>
      <c r="AB48" s="23">
        <f t="shared" si="93"/>
        <v>20010</v>
      </c>
      <c r="AC48" s="23"/>
      <c r="AD48" s="23"/>
      <c r="AE48" s="23">
        <f t="shared" si="94"/>
        <v>0</v>
      </c>
      <c r="AF48" s="23">
        <v>3000</v>
      </c>
      <c r="AG48" s="23">
        <f t="shared" si="95"/>
        <v>20010</v>
      </c>
      <c r="AH48" s="23"/>
      <c r="AI48" s="23"/>
      <c r="AJ48" s="23">
        <f t="shared" si="96"/>
        <v>0</v>
      </c>
      <c r="AK48" s="23">
        <v>3000</v>
      </c>
      <c r="AL48" s="23">
        <f t="shared" si="97"/>
        <v>20010</v>
      </c>
      <c r="AM48" s="23"/>
      <c r="AN48" s="23"/>
      <c r="AO48" s="23">
        <f t="shared" si="98"/>
        <v>0</v>
      </c>
      <c r="AP48" s="23">
        <v>3000</v>
      </c>
      <c r="AQ48" s="23">
        <f t="shared" si="99"/>
        <v>20010</v>
      </c>
      <c r="AR48" s="23"/>
      <c r="AS48" s="23"/>
      <c r="AT48" s="23">
        <f t="shared" si="100"/>
        <v>0</v>
      </c>
      <c r="AU48" s="23">
        <v>3000</v>
      </c>
      <c r="AV48" s="23">
        <f t="shared" si="101"/>
        <v>20010</v>
      </c>
      <c r="AW48" s="23"/>
      <c r="AX48" s="24">
        <v>5000</v>
      </c>
      <c r="AY48" s="24">
        <f t="shared" si="102"/>
        <v>33350</v>
      </c>
      <c r="AZ48" s="23">
        <v>3000</v>
      </c>
      <c r="BA48" s="23">
        <f t="shared" si="103"/>
        <v>20010</v>
      </c>
      <c r="BB48" s="23"/>
      <c r="BC48" s="23"/>
      <c r="BD48" s="23">
        <f t="shared" si="104"/>
        <v>0</v>
      </c>
      <c r="BE48" s="23">
        <v>3000</v>
      </c>
      <c r="BF48" s="23">
        <f t="shared" si="105"/>
        <v>20010</v>
      </c>
      <c r="BG48" s="23"/>
      <c r="BH48" s="23"/>
      <c r="BI48" s="23">
        <f t="shared" si="106"/>
        <v>0</v>
      </c>
      <c r="BJ48" s="23">
        <v>3000</v>
      </c>
      <c r="BK48" s="23">
        <f t="shared" si="107"/>
        <v>20010</v>
      </c>
      <c r="BL48" s="23"/>
      <c r="BM48" s="23"/>
      <c r="BN48" s="23">
        <f t="shared" si="108"/>
        <v>0</v>
      </c>
      <c r="BO48" s="23"/>
      <c r="BP48" s="23">
        <f t="shared" si="109"/>
        <v>0</v>
      </c>
      <c r="BQ48" s="23"/>
      <c r="BR48" s="23">
        <v>5000</v>
      </c>
      <c r="BS48" s="23">
        <f t="shared" si="110"/>
        <v>33350</v>
      </c>
      <c r="BT48" s="23"/>
      <c r="BU48" s="23">
        <f t="shared" si="111"/>
        <v>0</v>
      </c>
      <c r="BV48" s="23"/>
      <c r="BW48" s="23"/>
      <c r="BX48" s="23">
        <f t="shared" si="112"/>
        <v>0</v>
      </c>
      <c r="BY48" s="23"/>
      <c r="BZ48" s="23">
        <f t="shared" si="113"/>
        <v>0</v>
      </c>
      <c r="CA48" s="23"/>
      <c r="CB48" s="15"/>
    </row>
    <row r="49" spans="1:80" ht="16" x14ac:dyDescent="0.4">
      <c r="A49" s="15" t="s">
        <v>76</v>
      </c>
      <c r="B49" s="15" t="s">
        <v>262</v>
      </c>
      <c r="C49" s="15" t="s">
        <v>263</v>
      </c>
      <c r="D49" s="15" t="s">
        <v>492</v>
      </c>
      <c r="E49" s="112" t="s">
        <v>493</v>
      </c>
      <c r="F49" s="15" t="s">
        <v>267</v>
      </c>
      <c r="G49" s="15" t="s">
        <v>264</v>
      </c>
      <c r="H49" s="15" t="s">
        <v>87</v>
      </c>
      <c r="I49" s="15" t="s">
        <v>87</v>
      </c>
      <c r="J49" s="15" t="s">
        <v>88</v>
      </c>
      <c r="K49" s="15" t="s">
        <v>85</v>
      </c>
      <c r="L49" s="15" t="s">
        <v>500</v>
      </c>
      <c r="M49" s="15" t="s">
        <v>83</v>
      </c>
      <c r="N49" s="17">
        <v>12.65</v>
      </c>
      <c r="O49" s="18"/>
      <c r="P49" s="22">
        <f t="shared" si="86"/>
        <v>9</v>
      </c>
      <c r="Q49" s="22">
        <f t="shared" si="87"/>
        <v>113.85</v>
      </c>
      <c r="R49" s="22">
        <f t="shared" si="88"/>
        <v>37950</v>
      </c>
      <c r="S49" s="22">
        <f t="shared" si="89"/>
        <v>0</v>
      </c>
      <c r="T49" s="23">
        <v>1000</v>
      </c>
      <c r="U49" s="23">
        <f t="shared" si="90"/>
        <v>12650</v>
      </c>
      <c r="V49" s="23"/>
      <c r="W49" s="23">
        <f t="shared" si="91"/>
        <v>0</v>
      </c>
      <c r="X49" s="23"/>
      <c r="Y49" s="23">
        <v>1000</v>
      </c>
      <c r="Z49" s="23">
        <f t="shared" si="92"/>
        <v>12650</v>
      </c>
      <c r="AA49" s="23">
        <v>3000</v>
      </c>
      <c r="AB49" s="23">
        <f t="shared" si="93"/>
        <v>37950</v>
      </c>
      <c r="AC49" s="23"/>
      <c r="AD49" s="23"/>
      <c r="AE49" s="23">
        <f t="shared" si="94"/>
        <v>0</v>
      </c>
      <c r="AF49" s="23">
        <v>3000</v>
      </c>
      <c r="AG49" s="23">
        <f t="shared" si="95"/>
        <v>37950</v>
      </c>
      <c r="AH49" s="23"/>
      <c r="AI49" s="23">
        <v>1000</v>
      </c>
      <c r="AJ49" s="23">
        <f t="shared" si="96"/>
        <v>12650</v>
      </c>
      <c r="AK49" s="23">
        <v>3000</v>
      </c>
      <c r="AL49" s="23">
        <f t="shared" si="97"/>
        <v>37950</v>
      </c>
      <c r="AM49" s="23"/>
      <c r="AN49" s="23">
        <v>1000</v>
      </c>
      <c r="AO49" s="23">
        <f t="shared" si="98"/>
        <v>12650</v>
      </c>
      <c r="AP49" s="23">
        <v>3000</v>
      </c>
      <c r="AQ49" s="23">
        <f t="shared" si="99"/>
        <v>37950</v>
      </c>
      <c r="AR49" s="23"/>
      <c r="AS49" s="23">
        <v>1000</v>
      </c>
      <c r="AT49" s="23">
        <f t="shared" si="100"/>
        <v>12650</v>
      </c>
      <c r="AU49" s="23">
        <v>3000</v>
      </c>
      <c r="AV49" s="23">
        <f t="shared" si="101"/>
        <v>37950</v>
      </c>
      <c r="AW49" s="23"/>
      <c r="AX49" s="24"/>
      <c r="AY49" s="24">
        <f t="shared" si="102"/>
        <v>0</v>
      </c>
      <c r="AZ49" s="23">
        <v>3000</v>
      </c>
      <c r="BA49" s="23">
        <f t="shared" si="103"/>
        <v>37950</v>
      </c>
      <c r="BB49" s="23"/>
      <c r="BC49" s="23">
        <v>1000</v>
      </c>
      <c r="BD49" s="23">
        <f t="shared" si="104"/>
        <v>12650</v>
      </c>
      <c r="BE49" s="23"/>
      <c r="BF49" s="23">
        <f t="shared" si="105"/>
        <v>0</v>
      </c>
      <c r="BG49" s="23"/>
      <c r="BH49" s="23">
        <v>1000</v>
      </c>
      <c r="BI49" s="23">
        <f t="shared" si="106"/>
        <v>12650</v>
      </c>
      <c r="BJ49" s="23"/>
      <c r="BK49" s="23">
        <f t="shared" si="107"/>
        <v>0</v>
      </c>
      <c r="BL49" s="23"/>
      <c r="BM49" s="23">
        <v>1000</v>
      </c>
      <c r="BN49" s="23">
        <f t="shared" si="108"/>
        <v>12650</v>
      </c>
      <c r="BO49" s="23"/>
      <c r="BP49" s="23">
        <f t="shared" si="109"/>
        <v>0</v>
      </c>
      <c r="BQ49" s="23"/>
      <c r="BR49" s="23"/>
      <c r="BS49" s="23">
        <f t="shared" si="110"/>
        <v>0</v>
      </c>
      <c r="BT49" s="23"/>
      <c r="BU49" s="23">
        <f t="shared" si="111"/>
        <v>0</v>
      </c>
      <c r="BV49" s="23"/>
      <c r="BW49" s="23">
        <v>1000</v>
      </c>
      <c r="BX49" s="23">
        <f t="shared" si="112"/>
        <v>12650</v>
      </c>
      <c r="BY49" s="23"/>
      <c r="BZ49" s="23">
        <f t="shared" si="113"/>
        <v>0</v>
      </c>
      <c r="CA49" s="23"/>
      <c r="CB49" s="20"/>
    </row>
    <row r="50" spans="1:80" ht="16" x14ac:dyDescent="0.4">
      <c r="A50" s="15" t="s">
        <v>76</v>
      </c>
      <c r="B50" s="15" t="s">
        <v>262</v>
      </c>
      <c r="C50" s="15" t="s">
        <v>263</v>
      </c>
      <c r="D50" s="15" t="s">
        <v>492</v>
      </c>
      <c r="E50" s="112" t="s">
        <v>493</v>
      </c>
      <c r="F50" s="15" t="s">
        <v>267</v>
      </c>
      <c r="G50" s="15" t="s">
        <v>264</v>
      </c>
      <c r="H50" s="15" t="s">
        <v>87</v>
      </c>
      <c r="I50" s="15" t="s">
        <v>87</v>
      </c>
      <c r="J50" s="15" t="s">
        <v>88</v>
      </c>
      <c r="K50" s="15" t="s">
        <v>85</v>
      </c>
      <c r="L50" s="15" t="s">
        <v>501</v>
      </c>
      <c r="M50" s="15"/>
      <c r="N50" s="17">
        <v>9.32</v>
      </c>
      <c r="O50" s="18"/>
      <c r="P50" s="22">
        <f t="shared" si="86"/>
        <v>0</v>
      </c>
      <c r="Q50" s="22">
        <f t="shared" si="87"/>
        <v>0</v>
      </c>
      <c r="R50" s="22">
        <f t="shared" si="88"/>
        <v>27960</v>
      </c>
      <c r="S50" s="22">
        <f t="shared" si="89"/>
        <v>0</v>
      </c>
      <c r="T50" s="23"/>
      <c r="U50" s="23">
        <f t="shared" si="90"/>
        <v>0</v>
      </c>
      <c r="V50" s="23"/>
      <c r="W50" s="23">
        <f t="shared" si="91"/>
        <v>0</v>
      </c>
      <c r="X50" s="23">
        <v>2500</v>
      </c>
      <c r="Y50" s="23"/>
      <c r="Z50" s="23">
        <f t="shared" si="92"/>
        <v>0</v>
      </c>
      <c r="AA50" s="23">
        <v>3000</v>
      </c>
      <c r="AB50" s="23">
        <f t="shared" si="93"/>
        <v>27960</v>
      </c>
      <c r="AC50" s="23"/>
      <c r="AD50" s="23"/>
      <c r="AE50" s="23">
        <f t="shared" si="94"/>
        <v>0</v>
      </c>
      <c r="AF50" s="23">
        <v>3000</v>
      </c>
      <c r="AG50" s="23">
        <f t="shared" si="95"/>
        <v>27960</v>
      </c>
      <c r="AH50" s="23"/>
      <c r="AI50" s="23"/>
      <c r="AJ50" s="23">
        <f t="shared" si="96"/>
        <v>0</v>
      </c>
      <c r="AK50" s="23">
        <v>3000</v>
      </c>
      <c r="AL50" s="23">
        <f t="shared" si="97"/>
        <v>27960</v>
      </c>
      <c r="AM50" s="23"/>
      <c r="AN50" s="23"/>
      <c r="AO50" s="23">
        <f t="shared" si="98"/>
        <v>0</v>
      </c>
      <c r="AP50" s="23">
        <v>3000</v>
      </c>
      <c r="AQ50" s="23">
        <f t="shared" si="99"/>
        <v>27960</v>
      </c>
      <c r="AR50" s="23"/>
      <c r="AS50" s="23"/>
      <c r="AT50" s="23">
        <f t="shared" si="100"/>
        <v>0</v>
      </c>
      <c r="AU50" s="23">
        <v>3000</v>
      </c>
      <c r="AV50" s="23">
        <f t="shared" si="101"/>
        <v>27960</v>
      </c>
      <c r="AW50" s="23"/>
      <c r="AX50" s="24"/>
      <c r="AY50" s="24">
        <f t="shared" si="102"/>
        <v>0</v>
      </c>
      <c r="AZ50" s="23">
        <v>3000</v>
      </c>
      <c r="BA50" s="23">
        <f t="shared" si="103"/>
        <v>27960</v>
      </c>
      <c r="BB50" s="23"/>
      <c r="BC50" s="23"/>
      <c r="BD50" s="23">
        <f t="shared" si="104"/>
        <v>0</v>
      </c>
      <c r="BE50" s="23"/>
      <c r="BF50" s="23">
        <f t="shared" si="105"/>
        <v>0</v>
      </c>
      <c r="BG50" s="23"/>
      <c r="BH50" s="23"/>
      <c r="BI50" s="23">
        <f t="shared" si="106"/>
        <v>0</v>
      </c>
      <c r="BJ50" s="23"/>
      <c r="BK50" s="23">
        <f t="shared" si="107"/>
        <v>0</v>
      </c>
      <c r="BL50" s="23"/>
      <c r="BM50" s="23"/>
      <c r="BN50" s="23">
        <f t="shared" si="108"/>
        <v>0</v>
      </c>
      <c r="BO50" s="23"/>
      <c r="BP50" s="23">
        <f t="shared" si="109"/>
        <v>0</v>
      </c>
      <c r="BQ50" s="23"/>
      <c r="BR50" s="23"/>
      <c r="BS50" s="23">
        <f t="shared" si="110"/>
        <v>0</v>
      </c>
      <c r="BT50" s="23"/>
      <c r="BU50" s="23">
        <f t="shared" si="111"/>
        <v>0</v>
      </c>
      <c r="BV50" s="23"/>
      <c r="BW50" s="23"/>
      <c r="BX50" s="23">
        <f t="shared" si="112"/>
        <v>0</v>
      </c>
      <c r="BY50" s="23"/>
      <c r="BZ50" s="23">
        <f t="shared" si="113"/>
        <v>0</v>
      </c>
      <c r="CA50" s="23"/>
      <c r="CB50" s="15"/>
    </row>
    <row r="51" spans="1:80" ht="16" x14ac:dyDescent="0.4">
      <c r="A51" s="15" t="s">
        <v>76</v>
      </c>
      <c r="B51" s="15" t="s">
        <v>262</v>
      </c>
      <c r="C51" s="15" t="s">
        <v>263</v>
      </c>
      <c r="D51" s="15" t="s">
        <v>492</v>
      </c>
      <c r="E51" s="112" t="s">
        <v>493</v>
      </c>
      <c r="F51" s="15" t="s">
        <v>267</v>
      </c>
      <c r="G51" s="15" t="s">
        <v>264</v>
      </c>
      <c r="H51" s="15" t="s">
        <v>87</v>
      </c>
      <c r="I51" s="15" t="s">
        <v>87</v>
      </c>
      <c r="J51" s="15" t="s">
        <v>88</v>
      </c>
      <c r="K51" s="15" t="s">
        <v>85</v>
      </c>
      <c r="L51" s="15" t="s">
        <v>502</v>
      </c>
      <c r="M51" s="15" t="s">
        <v>83</v>
      </c>
      <c r="N51" s="17">
        <v>16.100000000000001</v>
      </c>
      <c r="O51" s="18"/>
      <c r="P51" s="22">
        <f t="shared" si="86"/>
        <v>10</v>
      </c>
      <c r="Q51" s="22">
        <f t="shared" si="87"/>
        <v>161.00000000000003</v>
      </c>
      <c r="R51" s="22">
        <f t="shared" si="88"/>
        <v>48300.000000000007</v>
      </c>
      <c r="S51" s="22">
        <f t="shared" si="89"/>
        <v>0</v>
      </c>
      <c r="T51" s="23">
        <v>1000</v>
      </c>
      <c r="U51" s="23">
        <f t="shared" si="90"/>
        <v>16100.000000000002</v>
      </c>
      <c r="V51" s="23"/>
      <c r="W51" s="23">
        <f t="shared" si="91"/>
        <v>0</v>
      </c>
      <c r="X51" s="23"/>
      <c r="Y51" s="23"/>
      <c r="Z51" s="23">
        <f t="shared" si="92"/>
        <v>0</v>
      </c>
      <c r="AA51" s="23">
        <v>3000</v>
      </c>
      <c r="AB51" s="23">
        <f t="shared" si="93"/>
        <v>48300.000000000007</v>
      </c>
      <c r="AC51" s="23">
        <v>2000</v>
      </c>
      <c r="AD51" s="23">
        <v>1000</v>
      </c>
      <c r="AE51" s="23">
        <f t="shared" si="94"/>
        <v>16100.000000000002</v>
      </c>
      <c r="AF51" s="23">
        <v>3000</v>
      </c>
      <c r="AG51" s="23">
        <f t="shared" si="95"/>
        <v>48300.000000000007</v>
      </c>
      <c r="AH51" s="23"/>
      <c r="AI51" s="23">
        <v>1000</v>
      </c>
      <c r="AJ51" s="23">
        <f t="shared" si="96"/>
        <v>16100.000000000002</v>
      </c>
      <c r="AK51" s="23">
        <v>3000</v>
      </c>
      <c r="AL51" s="23">
        <f t="shared" si="97"/>
        <v>48300.000000000007</v>
      </c>
      <c r="AM51" s="23"/>
      <c r="AN51" s="23">
        <v>1000</v>
      </c>
      <c r="AO51" s="23">
        <f t="shared" si="98"/>
        <v>16100.000000000002</v>
      </c>
      <c r="AP51" s="23">
        <v>3000</v>
      </c>
      <c r="AQ51" s="23">
        <f t="shared" si="99"/>
        <v>48300.000000000007</v>
      </c>
      <c r="AR51" s="23"/>
      <c r="AS51" s="23">
        <v>1000</v>
      </c>
      <c r="AT51" s="23">
        <f t="shared" si="100"/>
        <v>16100.000000000002</v>
      </c>
      <c r="AU51" s="23">
        <v>3000</v>
      </c>
      <c r="AV51" s="23">
        <f t="shared" si="101"/>
        <v>48300.000000000007</v>
      </c>
      <c r="AW51" s="23"/>
      <c r="AX51" s="24">
        <v>1000</v>
      </c>
      <c r="AY51" s="24">
        <f t="shared" si="102"/>
        <v>16100.000000000002</v>
      </c>
      <c r="AZ51" s="23">
        <v>3000</v>
      </c>
      <c r="BA51" s="23">
        <f t="shared" si="103"/>
        <v>48300.000000000007</v>
      </c>
      <c r="BB51" s="23"/>
      <c r="BC51" s="23">
        <v>1000</v>
      </c>
      <c r="BD51" s="23">
        <f t="shared" si="104"/>
        <v>16100.000000000002</v>
      </c>
      <c r="BE51" s="23"/>
      <c r="BF51" s="23">
        <f t="shared" si="105"/>
        <v>0</v>
      </c>
      <c r="BG51" s="23"/>
      <c r="BH51" s="23">
        <v>1000</v>
      </c>
      <c r="BI51" s="23">
        <f t="shared" si="106"/>
        <v>16100.000000000002</v>
      </c>
      <c r="BJ51" s="23"/>
      <c r="BK51" s="23">
        <f t="shared" si="107"/>
        <v>0</v>
      </c>
      <c r="BL51" s="23"/>
      <c r="BM51" s="23"/>
      <c r="BN51" s="23">
        <f t="shared" si="108"/>
        <v>0</v>
      </c>
      <c r="BO51" s="23"/>
      <c r="BP51" s="23">
        <f t="shared" si="109"/>
        <v>0</v>
      </c>
      <c r="BQ51" s="23"/>
      <c r="BR51" s="23">
        <v>1000</v>
      </c>
      <c r="BS51" s="23">
        <f t="shared" si="110"/>
        <v>16100.000000000002</v>
      </c>
      <c r="BT51" s="23"/>
      <c r="BU51" s="23">
        <f t="shared" si="111"/>
        <v>0</v>
      </c>
      <c r="BV51" s="23"/>
      <c r="BW51" s="23">
        <v>1000</v>
      </c>
      <c r="BX51" s="23">
        <f t="shared" si="112"/>
        <v>16100.000000000002</v>
      </c>
      <c r="BY51" s="23"/>
      <c r="BZ51" s="23">
        <f t="shared" si="113"/>
        <v>0</v>
      </c>
      <c r="CA51" s="23"/>
      <c r="CB51" s="15"/>
    </row>
    <row r="52" spans="1:80" ht="16" x14ac:dyDescent="0.4">
      <c r="A52" s="15" t="s">
        <v>76</v>
      </c>
      <c r="B52" s="15" t="s">
        <v>262</v>
      </c>
      <c r="C52" s="15" t="s">
        <v>263</v>
      </c>
      <c r="D52" s="15" t="s">
        <v>492</v>
      </c>
      <c r="E52" s="112" t="s">
        <v>493</v>
      </c>
      <c r="F52" s="15" t="s">
        <v>267</v>
      </c>
      <c r="G52" s="15" t="s">
        <v>264</v>
      </c>
      <c r="H52" s="15" t="s">
        <v>87</v>
      </c>
      <c r="I52" s="15" t="s">
        <v>87</v>
      </c>
      <c r="J52" s="15" t="s">
        <v>88</v>
      </c>
      <c r="K52" s="15" t="s">
        <v>85</v>
      </c>
      <c r="L52" s="15" t="s">
        <v>503</v>
      </c>
      <c r="M52" s="15" t="s">
        <v>83</v>
      </c>
      <c r="N52" s="17">
        <v>36.799999999999997</v>
      </c>
      <c r="O52" s="18"/>
      <c r="P52" s="22">
        <f t="shared" si="86"/>
        <v>10</v>
      </c>
      <c r="Q52" s="22">
        <f t="shared" si="87"/>
        <v>368</v>
      </c>
      <c r="R52" s="22">
        <f t="shared" si="88"/>
        <v>0</v>
      </c>
      <c r="S52" s="22">
        <f t="shared" si="89"/>
        <v>0</v>
      </c>
      <c r="T52" s="23">
        <v>1000</v>
      </c>
      <c r="U52" s="23">
        <f t="shared" si="90"/>
        <v>36800</v>
      </c>
      <c r="V52" s="23"/>
      <c r="W52" s="23">
        <f t="shared" si="91"/>
        <v>0</v>
      </c>
      <c r="X52" s="23"/>
      <c r="Y52" s="23"/>
      <c r="Z52" s="23">
        <f t="shared" si="92"/>
        <v>0</v>
      </c>
      <c r="AA52" s="23">
        <v>3000</v>
      </c>
      <c r="AB52" s="23">
        <f t="shared" si="93"/>
        <v>110399.99999999999</v>
      </c>
      <c r="AC52" s="23"/>
      <c r="AD52" s="23">
        <v>1000</v>
      </c>
      <c r="AE52" s="23">
        <f t="shared" si="94"/>
        <v>36800</v>
      </c>
      <c r="AF52" s="23">
        <v>3000</v>
      </c>
      <c r="AG52" s="23">
        <f t="shared" si="95"/>
        <v>110399.99999999999</v>
      </c>
      <c r="AH52" s="23"/>
      <c r="AI52" s="23">
        <v>1000</v>
      </c>
      <c r="AJ52" s="23">
        <f t="shared" si="96"/>
        <v>36800</v>
      </c>
      <c r="AK52" s="23">
        <v>3000</v>
      </c>
      <c r="AL52" s="23">
        <f t="shared" si="97"/>
        <v>110399.99999999999</v>
      </c>
      <c r="AM52" s="23"/>
      <c r="AN52" s="23">
        <v>1000</v>
      </c>
      <c r="AO52" s="23">
        <f t="shared" si="98"/>
        <v>36800</v>
      </c>
      <c r="AP52" s="23">
        <v>3000</v>
      </c>
      <c r="AQ52" s="23">
        <f t="shared" si="99"/>
        <v>110399.99999999999</v>
      </c>
      <c r="AR52" s="23"/>
      <c r="AS52" s="23">
        <v>1000</v>
      </c>
      <c r="AT52" s="23">
        <f t="shared" si="100"/>
        <v>36800</v>
      </c>
      <c r="AU52" s="23">
        <v>3000</v>
      </c>
      <c r="AV52" s="23">
        <f t="shared" si="101"/>
        <v>110399.99999999999</v>
      </c>
      <c r="AW52" s="23"/>
      <c r="AX52" s="24">
        <v>1000</v>
      </c>
      <c r="AY52" s="24">
        <f t="shared" si="102"/>
        <v>36800</v>
      </c>
      <c r="AZ52" s="23"/>
      <c r="BA52" s="23">
        <f t="shared" si="103"/>
        <v>0</v>
      </c>
      <c r="BB52" s="23"/>
      <c r="BC52" s="23"/>
      <c r="BD52" s="23">
        <f t="shared" si="104"/>
        <v>0</v>
      </c>
      <c r="BE52" s="23"/>
      <c r="BF52" s="23">
        <f t="shared" si="105"/>
        <v>0</v>
      </c>
      <c r="BG52" s="23"/>
      <c r="BH52" s="23">
        <v>1000</v>
      </c>
      <c r="BI52" s="23">
        <f t="shared" si="106"/>
        <v>36800</v>
      </c>
      <c r="BJ52" s="23"/>
      <c r="BK52" s="23">
        <f t="shared" si="107"/>
        <v>0</v>
      </c>
      <c r="BL52" s="23"/>
      <c r="BM52" s="23">
        <v>1000</v>
      </c>
      <c r="BN52" s="23">
        <f t="shared" si="108"/>
        <v>36800</v>
      </c>
      <c r="BO52" s="23"/>
      <c r="BP52" s="23">
        <f t="shared" si="109"/>
        <v>0</v>
      </c>
      <c r="BQ52" s="23"/>
      <c r="BR52" s="23">
        <v>1000</v>
      </c>
      <c r="BS52" s="23">
        <f t="shared" si="110"/>
        <v>36800</v>
      </c>
      <c r="BT52" s="23"/>
      <c r="BU52" s="23">
        <f t="shared" si="111"/>
        <v>0</v>
      </c>
      <c r="BV52" s="23"/>
      <c r="BW52" s="23">
        <v>1000</v>
      </c>
      <c r="BX52" s="23">
        <f t="shared" si="112"/>
        <v>36800</v>
      </c>
      <c r="BY52" s="23"/>
      <c r="BZ52" s="23">
        <f t="shared" si="113"/>
        <v>0</v>
      </c>
      <c r="CA52" s="23"/>
      <c r="CB52" s="15"/>
    </row>
    <row r="53" spans="1:80" ht="16" x14ac:dyDescent="0.4">
      <c r="A53" s="15" t="s">
        <v>76</v>
      </c>
      <c r="B53" s="15" t="s">
        <v>262</v>
      </c>
      <c r="C53" s="15" t="s">
        <v>263</v>
      </c>
      <c r="D53" s="15" t="s">
        <v>492</v>
      </c>
      <c r="E53" s="112" t="s">
        <v>493</v>
      </c>
      <c r="F53" s="15" t="s">
        <v>267</v>
      </c>
      <c r="G53" s="15" t="s">
        <v>264</v>
      </c>
      <c r="H53" s="15" t="s">
        <v>87</v>
      </c>
      <c r="I53" s="15" t="s">
        <v>87</v>
      </c>
      <c r="J53" s="15" t="s">
        <v>88</v>
      </c>
      <c r="K53" s="15" t="s">
        <v>85</v>
      </c>
      <c r="L53" s="15" t="s">
        <v>504</v>
      </c>
      <c r="M53" s="15" t="s">
        <v>83</v>
      </c>
      <c r="N53" s="17">
        <v>36.799999999999997</v>
      </c>
      <c r="O53" s="72">
        <v>1800</v>
      </c>
      <c r="P53" s="22">
        <f t="shared" si="86"/>
        <v>11</v>
      </c>
      <c r="Q53" s="22">
        <f t="shared" si="87"/>
        <v>404.8</v>
      </c>
      <c r="R53" s="22">
        <f t="shared" si="88"/>
        <v>220799.99999999997</v>
      </c>
      <c r="S53" s="22">
        <f t="shared" si="89"/>
        <v>0</v>
      </c>
      <c r="T53" s="23">
        <v>1000</v>
      </c>
      <c r="U53" s="23">
        <f t="shared" si="90"/>
        <v>36800</v>
      </c>
      <c r="V53" s="23"/>
      <c r="W53" s="23">
        <f t="shared" si="91"/>
        <v>0</v>
      </c>
      <c r="X53" s="23">
        <v>4800</v>
      </c>
      <c r="Y53" s="23">
        <v>1000</v>
      </c>
      <c r="Z53" s="23">
        <f t="shared" si="92"/>
        <v>36800</v>
      </c>
      <c r="AA53" s="23">
        <v>3000</v>
      </c>
      <c r="AB53" s="23">
        <f t="shared" si="93"/>
        <v>110399.99999999999</v>
      </c>
      <c r="AC53" s="23">
        <v>4800</v>
      </c>
      <c r="AD53" s="23">
        <v>1000</v>
      </c>
      <c r="AE53" s="23">
        <f t="shared" si="94"/>
        <v>36800</v>
      </c>
      <c r="AF53" s="23">
        <v>3000</v>
      </c>
      <c r="AG53" s="23">
        <f t="shared" si="95"/>
        <v>110399.99999999999</v>
      </c>
      <c r="AH53" s="23"/>
      <c r="AI53" s="23">
        <v>1000</v>
      </c>
      <c r="AJ53" s="23">
        <f t="shared" si="96"/>
        <v>36800</v>
      </c>
      <c r="AK53" s="23">
        <v>3000</v>
      </c>
      <c r="AL53" s="23">
        <f t="shared" si="97"/>
        <v>110399.99999999999</v>
      </c>
      <c r="AM53" s="23">
        <v>2400</v>
      </c>
      <c r="AN53" s="23">
        <v>1000</v>
      </c>
      <c r="AO53" s="23">
        <f t="shared" si="98"/>
        <v>36800</v>
      </c>
      <c r="AP53" s="23">
        <v>3000</v>
      </c>
      <c r="AQ53" s="23">
        <f t="shared" si="99"/>
        <v>110399.99999999999</v>
      </c>
      <c r="AR53" s="26">
        <v>600</v>
      </c>
      <c r="AS53" s="23"/>
      <c r="AT53" s="23">
        <f t="shared" si="100"/>
        <v>0</v>
      </c>
      <c r="AU53" s="23">
        <v>3000</v>
      </c>
      <c r="AV53" s="23">
        <f t="shared" si="101"/>
        <v>110399.99999999999</v>
      </c>
      <c r="AW53" s="23"/>
      <c r="AX53" s="24">
        <v>1000</v>
      </c>
      <c r="AY53" s="24">
        <f t="shared" si="102"/>
        <v>36800</v>
      </c>
      <c r="AZ53" s="23">
        <v>3000</v>
      </c>
      <c r="BA53" s="23">
        <f t="shared" si="103"/>
        <v>110399.99999999999</v>
      </c>
      <c r="BB53" s="23"/>
      <c r="BC53" s="23">
        <v>1000</v>
      </c>
      <c r="BD53" s="23">
        <f t="shared" si="104"/>
        <v>36800</v>
      </c>
      <c r="BE53" s="23">
        <v>3000</v>
      </c>
      <c r="BF53" s="23">
        <f t="shared" si="105"/>
        <v>110399.99999999999</v>
      </c>
      <c r="BG53" s="23"/>
      <c r="BH53" s="23">
        <v>1000</v>
      </c>
      <c r="BI53" s="23">
        <f t="shared" si="106"/>
        <v>36800</v>
      </c>
      <c r="BJ53" s="23"/>
      <c r="BK53" s="23">
        <f t="shared" si="107"/>
        <v>0</v>
      </c>
      <c r="BL53" s="23"/>
      <c r="BM53" s="23">
        <v>1000</v>
      </c>
      <c r="BN53" s="23">
        <f t="shared" si="108"/>
        <v>36800</v>
      </c>
      <c r="BO53" s="23"/>
      <c r="BP53" s="23">
        <f t="shared" si="109"/>
        <v>0</v>
      </c>
      <c r="BQ53" s="23"/>
      <c r="BR53" s="23">
        <v>1000</v>
      </c>
      <c r="BS53" s="23">
        <f t="shared" si="110"/>
        <v>36800</v>
      </c>
      <c r="BT53" s="23"/>
      <c r="BU53" s="23">
        <f t="shared" si="111"/>
        <v>0</v>
      </c>
      <c r="BV53" s="23"/>
      <c r="BW53" s="23">
        <v>1000</v>
      </c>
      <c r="BX53" s="23">
        <f t="shared" si="112"/>
        <v>36800</v>
      </c>
      <c r="BY53" s="23"/>
      <c r="BZ53" s="23">
        <f t="shared" si="113"/>
        <v>0</v>
      </c>
      <c r="CA53" s="23"/>
      <c r="CB53" s="15"/>
    </row>
    <row r="54" spans="1:80" ht="16" x14ac:dyDescent="0.4">
      <c r="A54" s="15" t="s">
        <v>76</v>
      </c>
      <c r="B54" s="15" t="s">
        <v>262</v>
      </c>
      <c r="C54" s="15" t="s">
        <v>263</v>
      </c>
      <c r="D54" s="15" t="s">
        <v>492</v>
      </c>
      <c r="E54" s="112" t="s">
        <v>493</v>
      </c>
      <c r="F54" s="15" t="s">
        <v>267</v>
      </c>
      <c r="G54" s="15" t="s">
        <v>264</v>
      </c>
      <c r="H54" s="15" t="s">
        <v>87</v>
      </c>
      <c r="I54" s="15" t="s">
        <v>87</v>
      </c>
      <c r="J54" s="15" t="s">
        <v>88</v>
      </c>
      <c r="K54" s="15" t="s">
        <v>85</v>
      </c>
      <c r="L54" s="15" t="s">
        <v>505</v>
      </c>
      <c r="M54" s="15" t="s">
        <v>83</v>
      </c>
      <c r="N54" s="17">
        <v>36.799999999999997</v>
      </c>
      <c r="O54" s="18"/>
      <c r="P54" s="22">
        <f t="shared" si="86"/>
        <v>7</v>
      </c>
      <c r="Q54" s="22">
        <f t="shared" si="87"/>
        <v>257.60000000000002</v>
      </c>
      <c r="R54" s="22">
        <f t="shared" si="88"/>
        <v>0</v>
      </c>
      <c r="S54" s="22">
        <f t="shared" si="89"/>
        <v>0</v>
      </c>
      <c r="T54" s="23">
        <v>1000</v>
      </c>
      <c r="U54" s="23">
        <f t="shared" si="90"/>
        <v>36800</v>
      </c>
      <c r="V54" s="23"/>
      <c r="W54" s="23">
        <f t="shared" si="91"/>
        <v>0</v>
      </c>
      <c r="X54" s="23"/>
      <c r="Y54" s="23"/>
      <c r="Z54" s="23">
        <f t="shared" si="92"/>
        <v>0</v>
      </c>
      <c r="AA54" s="23">
        <v>3000</v>
      </c>
      <c r="AB54" s="23">
        <f t="shared" si="93"/>
        <v>110399.99999999999</v>
      </c>
      <c r="AC54" s="23"/>
      <c r="AD54" s="23">
        <v>1000</v>
      </c>
      <c r="AE54" s="23">
        <f t="shared" si="94"/>
        <v>36800</v>
      </c>
      <c r="AF54" s="23">
        <v>3000</v>
      </c>
      <c r="AG54" s="23">
        <f t="shared" si="95"/>
        <v>110399.99999999999</v>
      </c>
      <c r="AH54" s="23"/>
      <c r="AI54" s="23">
        <v>1000</v>
      </c>
      <c r="AJ54" s="23">
        <f t="shared" si="96"/>
        <v>36800</v>
      </c>
      <c r="AK54" s="23">
        <v>3000</v>
      </c>
      <c r="AL54" s="23">
        <f t="shared" si="97"/>
        <v>110399.99999999999</v>
      </c>
      <c r="AM54" s="23"/>
      <c r="AN54" s="23"/>
      <c r="AO54" s="23">
        <f t="shared" si="98"/>
        <v>0</v>
      </c>
      <c r="AP54" s="23">
        <v>3000</v>
      </c>
      <c r="AQ54" s="23">
        <f t="shared" si="99"/>
        <v>110399.99999999999</v>
      </c>
      <c r="AR54" s="23"/>
      <c r="AS54" s="23">
        <v>1000</v>
      </c>
      <c r="AT54" s="23">
        <f t="shared" si="100"/>
        <v>36800</v>
      </c>
      <c r="AU54" s="23">
        <v>3000</v>
      </c>
      <c r="AV54" s="23">
        <f t="shared" si="101"/>
        <v>110399.99999999999</v>
      </c>
      <c r="AW54" s="23"/>
      <c r="AX54" s="24"/>
      <c r="AY54" s="24">
        <f t="shared" si="102"/>
        <v>0</v>
      </c>
      <c r="AZ54" s="23"/>
      <c r="BA54" s="23">
        <f t="shared" si="103"/>
        <v>0</v>
      </c>
      <c r="BB54" s="23"/>
      <c r="BC54" s="23">
        <v>1000</v>
      </c>
      <c r="BD54" s="23">
        <f t="shared" si="104"/>
        <v>36800</v>
      </c>
      <c r="BE54" s="23"/>
      <c r="BF54" s="23">
        <f t="shared" si="105"/>
        <v>0</v>
      </c>
      <c r="BG54" s="23"/>
      <c r="BH54" s="23"/>
      <c r="BI54" s="23">
        <f t="shared" si="106"/>
        <v>0</v>
      </c>
      <c r="BJ54" s="23"/>
      <c r="BK54" s="23">
        <f t="shared" si="107"/>
        <v>0</v>
      </c>
      <c r="BL54" s="23"/>
      <c r="BM54" s="23">
        <v>1000</v>
      </c>
      <c r="BN54" s="23">
        <f t="shared" si="108"/>
        <v>36800</v>
      </c>
      <c r="BO54" s="23"/>
      <c r="BP54" s="23">
        <f t="shared" si="109"/>
        <v>0</v>
      </c>
      <c r="BQ54" s="23"/>
      <c r="BR54" s="23"/>
      <c r="BS54" s="23">
        <f t="shared" si="110"/>
        <v>0</v>
      </c>
      <c r="BT54" s="23"/>
      <c r="BU54" s="23">
        <f t="shared" si="111"/>
        <v>0</v>
      </c>
      <c r="BV54" s="23"/>
      <c r="BW54" s="23">
        <v>1000</v>
      </c>
      <c r="BX54" s="23">
        <f t="shared" si="112"/>
        <v>36800</v>
      </c>
      <c r="BY54" s="23"/>
      <c r="BZ54" s="23">
        <f t="shared" si="113"/>
        <v>0</v>
      </c>
      <c r="CA54" s="23"/>
      <c r="CB54" s="15"/>
    </row>
    <row r="55" spans="1:80" ht="16" x14ac:dyDescent="0.4">
      <c r="A55" s="15" t="s">
        <v>76</v>
      </c>
      <c r="B55" s="15" t="s">
        <v>262</v>
      </c>
      <c r="C55" s="15" t="s">
        <v>263</v>
      </c>
      <c r="D55" s="15" t="s">
        <v>492</v>
      </c>
      <c r="E55" s="112" t="s">
        <v>493</v>
      </c>
      <c r="F55" s="15" t="s">
        <v>267</v>
      </c>
      <c r="G55" s="15" t="s">
        <v>264</v>
      </c>
      <c r="H55" s="15" t="s">
        <v>87</v>
      </c>
      <c r="I55" s="15" t="s">
        <v>87</v>
      </c>
      <c r="J55" s="15" t="s">
        <v>88</v>
      </c>
      <c r="K55" s="15" t="s">
        <v>85</v>
      </c>
      <c r="L55" s="15" t="s">
        <v>506</v>
      </c>
      <c r="M55" s="15" t="s">
        <v>83</v>
      </c>
      <c r="N55" s="17">
        <v>36.799999999999997</v>
      </c>
      <c r="O55" s="18"/>
      <c r="P55" s="22">
        <f t="shared" si="86"/>
        <v>7</v>
      </c>
      <c r="Q55" s="22">
        <f t="shared" si="87"/>
        <v>257.60000000000002</v>
      </c>
      <c r="R55" s="22">
        <f t="shared" si="88"/>
        <v>220799.99999999997</v>
      </c>
      <c r="S55" s="22">
        <f t="shared" si="89"/>
        <v>0</v>
      </c>
      <c r="T55" s="23"/>
      <c r="U55" s="23">
        <f t="shared" si="90"/>
        <v>0</v>
      </c>
      <c r="V55" s="23"/>
      <c r="W55" s="23">
        <f t="shared" si="91"/>
        <v>0</v>
      </c>
      <c r="X55" s="23"/>
      <c r="Y55" s="23">
        <v>1000</v>
      </c>
      <c r="Z55" s="23">
        <f t="shared" si="92"/>
        <v>36800</v>
      </c>
      <c r="AA55" s="23">
        <v>3000</v>
      </c>
      <c r="AB55" s="23">
        <f t="shared" si="93"/>
        <v>110399.99999999999</v>
      </c>
      <c r="AC55" s="23"/>
      <c r="AD55" s="23">
        <v>1000</v>
      </c>
      <c r="AE55" s="23">
        <f t="shared" si="94"/>
        <v>36800</v>
      </c>
      <c r="AF55" s="23">
        <v>3000</v>
      </c>
      <c r="AG55" s="23">
        <f t="shared" si="95"/>
        <v>110399.99999999999</v>
      </c>
      <c r="AH55" s="23"/>
      <c r="AI55" s="23">
        <v>1000</v>
      </c>
      <c r="AJ55" s="23">
        <f t="shared" si="96"/>
        <v>36800</v>
      </c>
      <c r="AK55" s="23">
        <v>3000</v>
      </c>
      <c r="AL55" s="23">
        <f t="shared" si="97"/>
        <v>110399.99999999999</v>
      </c>
      <c r="AM55" s="23"/>
      <c r="AN55" s="23"/>
      <c r="AO55" s="23">
        <f t="shared" si="98"/>
        <v>0</v>
      </c>
      <c r="AP55" s="23">
        <v>3000</v>
      </c>
      <c r="AQ55" s="23">
        <f t="shared" si="99"/>
        <v>110399.99999999999</v>
      </c>
      <c r="AR55" s="23"/>
      <c r="AS55" s="23">
        <v>1000</v>
      </c>
      <c r="AT55" s="23">
        <f t="shared" si="100"/>
        <v>36800</v>
      </c>
      <c r="AU55" s="23">
        <v>3000</v>
      </c>
      <c r="AV55" s="23">
        <f t="shared" si="101"/>
        <v>110399.99999999999</v>
      </c>
      <c r="AW55" s="23"/>
      <c r="AX55" s="24">
        <v>1000</v>
      </c>
      <c r="AY55" s="24">
        <f t="shared" si="102"/>
        <v>36800</v>
      </c>
      <c r="AZ55" s="23">
        <v>3000</v>
      </c>
      <c r="BA55" s="23">
        <f t="shared" si="103"/>
        <v>110399.99999999999</v>
      </c>
      <c r="BB55" s="23"/>
      <c r="BC55" s="23"/>
      <c r="BD55" s="23">
        <f t="shared" si="104"/>
        <v>0</v>
      </c>
      <c r="BE55" s="23"/>
      <c r="BF55" s="23">
        <f t="shared" si="105"/>
        <v>0</v>
      </c>
      <c r="BG55" s="23"/>
      <c r="BH55" s="23"/>
      <c r="BI55" s="23">
        <f t="shared" si="106"/>
        <v>0</v>
      </c>
      <c r="BJ55" s="23">
        <v>3000</v>
      </c>
      <c r="BK55" s="23">
        <f t="shared" si="107"/>
        <v>110399.99999999999</v>
      </c>
      <c r="BL55" s="23"/>
      <c r="BM55" s="23">
        <v>1000</v>
      </c>
      <c r="BN55" s="23">
        <f t="shared" si="108"/>
        <v>36800</v>
      </c>
      <c r="BO55" s="23"/>
      <c r="BP55" s="23">
        <f t="shared" si="109"/>
        <v>0</v>
      </c>
      <c r="BQ55" s="23"/>
      <c r="BR55" s="23"/>
      <c r="BS55" s="23">
        <f t="shared" si="110"/>
        <v>0</v>
      </c>
      <c r="BT55" s="23"/>
      <c r="BU55" s="23">
        <f t="shared" si="111"/>
        <v>0</v>
      </c>
      <c r="BV55" s="23"/>
      <c r="BW55" s="23">
        <v>1000</v>
      </c>
      <c r="BX55" s="23">
        <f t="shared" si="112"/>
        <v>36800</v>
      </c>
      <c r="BY55" s="23"/>
      <c r="BZ55" s="23">
        <f t="shared" si="113"/>
        <v>0</v>
      </c>
      <c r="CA55" s="23"/>
      <c r="CB55" s="15"/>
    </row>
    <row r="56" spans="1:80" ht="16" x14ac:dyDescent="0.4">
      <c r="A56" s="15" t="s">
        <v>76</v>
      </c>
      <c r="B56" s="15" t="s">
        <v>262</v>
      </c>
      <c r="C56" s="15" t="s">
        <v>263</v>
      </c>
      <c r="D56" s="15" t="s">
        <v>507</v>
      </c>
      <c r="E56" s="112" t="s">
        <v>508</v>
      </c>
      <c r="F56" s="15" t="s">
        <v>267</v>
      </c>
      <c r="G56" s="15" t="s">
        <v>283</v>
      </c>
      <c r="H56" s="15" t="s">
        <v>87</v>
      </c>
      <c r="I56" s="15" t="s">
        <v>87</v>
      </c>
      <c r="J56" s="15" t="s">
        <v>88</v>
      </c>
      <c r="K56" s="15" t="s">
        <v>85</v>
      </c>
      <c r="L56" s="15" t="s">
        <v>179</v>
      </c>
      <c r="M56" s="15" t="s">
        <v>80</v>
      </c>
      <c r="N56" s="17">
        <v>262.64999999999998</v>
      </c>
      <c r="O56" s="18"/>
      <c r="P56" s="22">
        <f t="shared" si="86"/>
        <v>1.2</v>
      </c>
      <c r="Q56" s="22">
        <f t="shared" si="87"/>
        <v>315.17999999999995</v>
      </c>
      <c r="R56" s="22">
        <f t="shared" si="88"/>
        <v>0</v>
      </c>
      <c r="S56" s="22">
        <f t="shared" si="89"/>
        <v>0</v>
      </c>
      <c r="T56" s="23"/>
      <c r="U56" s="23">
        <f t="shared" si="90"/>
        <v>0</v>
      </c>
      <c r="V56" s="23"/>
      <c r="W56" s="23">
        <f t="shared" si="91"/>
        <v>0</v>
      </c>
      <c r="X56" s="23"/>
      <c r="Y56" s="23">
        <v>400</v>
      </c>
      <c r="Z56" s="23">
        <f t="shared" si="92"/>
        <v>105059.99999999999</v>
      </c>
      <c r="AA56" s="23"/>
      <c r="AB56" s="23">
        <f t="shared" si="93"/>
        <v>0</v>
      </c>
      <c r="AC56" s="23"/>
      <c r="AD56" s="23"/>
      <c r="AE56" s="23">
        <f t="shared" si="94"/>
        <v>0</v>
      </c>
      <c r="AF56" s="23"/>
      <c r="AG56" s="23">
        <f t="shared" si="95"/>
        <v>0</v>
      </c>
      <c r="AH56" s="23"/>
      <c r="AI56" s="23"/>
      <c r="AJ56" s="23">
        <f t="shared" si="96"/>
        <v>0</v>
      </c>
      <c r="AK56" s="23"/>
      <c r="AL56" s="23">
        <f t="shared" si="97"/>
        <v>0</v>
      </c>
      <c r="AM56" s="23"/>
      <c r="AN56" s="23"/>
      <c r="AO56" s="23">
        <f t="shared" si="98"/>
        <v>0</v>
      </c>
      <c r="AP56" s="23"/>
      <c r="AQ56" s="23">
        <f t="shared" si="99"/>
        <v>0</v>
      </c>
      <c r="AR56" s="23"/>
      <c r="AS56" s="23">
        <v>400</v>
      </c>
      <c r="AT56" s="23">
        <f t="shared" si="100"/>
        <v>105059.99999999999</v>
      </c>
      <c r="AU56" s="23"/>
      <c r="AV56" s="23">
        <f t="shared" si="101"/>
        <v>0</v>
      </c>
      <c r="AW56" s="23"/>
      <c r="AX56" s="24"/>
      <c r="AY56" s="24">
        <f t="shared" si="102"/>
        <v>0</v>
      </c>
      <c r="AZ56" s="23"/>
      <c r="BA56" s="23">
        <f t="shared" si="103"/>
        <v>0</v>
      </c>
      <c r="BB56" s="23"/>
      <c r="BC56" s="23"/>
      <c r="BD56" s="23">
        <f t="shared" si="104"/>
        <v>0</v>
      </c>
      <c r="BE56" s="23"/>
      <c r="BF56" s="23">
        <f t="shared" si="105"/>
        <v>0</v>
      </c>
      <c r="BG56" s="23"/>
      <c r="BH56" s="23">
        <v>400</v>
      </c>
      <c r="BI56" s="23">
        <f t="shared" si="106"/>
        <v>105059.99999999999</v>
      </c>
      <c r="BJ56" s="23"/>
      <c r="BK56" s="23">
        <f t="shared" si="107"/>
        <v>0</v>
      </c>
      <c r="BL56" s="23"/>
      <c r="BM56" s="23"/>
      <c r="BN56" s="23">
        <f t="shared" si="108"/>
        <v>0</v>
      </c>
      <c r="BO56" s="23"/>
      <c r="BP56" s="23">
        <f t="shared" si="109"/>
        <v>0</v>
      </c>
      <c r="BQ56" s="23"/>
      <c r="BR56" s="23"/>
      <c r="BS56" s="23">
        <f t="shared" si="110"/>
        <v>0</v>
      </c>
      <c r="BT56" s="23"/>
      <c r="BU56" s="23">
        <f t="shared" si="111"/>
        <v>0</v>
      </c>
      <c r="BV56" s="23"/>
      <c r="BW56" s="23"/>
      <c r="BX56" s="23">
        <f t="shared" si="112"/>
        <v>0</v>
      </c>
      <c r="BY56" s="23"/>
      <c r="BZ56" s="23">
        <f t="shared" si="113"/>
        <v>0</v>
      </c>
      <c r="CA56" s="23"/>
      <c r="CB56" s="15"/>
    </row>
    <row r="57" spans="1:80" ht="16" x14ac:dyDescent="0.4">
      <c r="A57" s="15" t="s">
        <v>76</v>
      </c>
      <c r="B57" s="15" t="s">
        <v>262</v>
      </c>
      <c r="C57" s="15" t="s">
        <v>263</v>
      </c>
      <c r="D57" s="15" t="s">
        <v>507</v>
      </c>
      <c r="E57" s="112" t="s">
        <v>508</v>
      </c>
      <c r="F57" s="15" t="s">
        <v>267</v>
      </c>
      <c r="G57" s="15" t="s">
        <v>283</v>
      </c>
      <c r="H57" s="15" t="s">
        <v>77</v>
      </c>
      <c r="I57" s="15" t="s">
        <v>77</v>
      </c>
      <c r="J57" s="15" t="s">
        <v>78</v>
      </c>
      <c r="K57" s="15" t="s">
        <v>79</v>
      </c>
      <c r="L57" s="15" t="s">
        <v>463</v>
      </c>
      <c r="M57" s="15" t="s">
        <v>80</v>
      </c>
      <c r="N57" s="17">
        <v>9.8000000000000007</v>
      </c>
      <c r="O57" s="18"/>
      <c r="P57" s="22">
        <f t="shared" si="86"/>
        <v>10</v>
      </c>
      <c r="Q57" s="22">
        <f t="shared" si="87"/>
        <v>98</v>
      </c>
      <c r="R57" s="22">
        <f t="shared" si="88"/>
        <v>58800</v>
      </c>
      <c r="S57" s="22">
        <f t="shared" si="89"/>
        <v>2000</v>
      </c>
      <c r="T57" s="23">
        <v>2000</v>
      </c>
      <c r="U57" s="23">
        <f t="shared" si="90"/>
        <v>19600</v>
      </c>
      <c r="V57" s="23">
        <v>2000</v>
      </c>
      <c r="W57" s="23">
        <f t="shared" si="91"/>
        <v>19600</v>
      </c>
      <c r="X57" s="23"/>
      <c r="Y57" s="23"/>
      <c r="Z57" s="23">
        <f t="shared" si="92"/>
        <v>0</v>
      </c>
      <c r="AA57" s="23"/>
      <c r="AB57" s="23">
        <f t="shared" si="93"/>
        <v>0</v>
      </c>
      <c r="AC57" s="23"/>
      <c r="AD57" s="23">
        <v>2000</v>
      </c>
      <c r="AE57" s="23">
        <f t="shared" si="94"/>
        <v>19600</v>
      </c>
      <c r="AF57" s="23">
        <v>2000</v>
      </c>
      <c r="AG57" s="23">
        <f t="shared" si="95"/>
        <v>19600</v>
      </c>
      <c r="AH57" s="23"/>
      <c r="AI57" s="23"/>
      <c r="AJ57" s="23">
        <f t="shared" si="96"/>
        <v>0</v>
      </c>
      <c r="AK57" s="23">
        <v>0</v>
      </c>
      <c r="AL57" s="23">
        <f t="shared" si="97"/>
        <v>0</v>
      </c>
      <c r="AM57" s="23"/>
      <c r="AN57" s="23"/>
      <c r="AO57" s="23">
        <f t="shared" si="98"/>
        <v>0</v>
      </c>
      <c r="AP57" s="23">
        <v>2000</v>
      </c>
      <c r="AQ57" s="23">
        <f t="shared" si="99"/>
        <v>19600</v>
      </c>
      <c r="AR57" s="26">
        <v>2000</v>
      </c>
      <c r="AS57" s="23">
        <v>2000</v>
      </c>
      <c r="AT57" s="23">
        <f t="shared" si="100"/>
        <v>19600</v>
      </c>
      <c r="AU57" s="23">
        <v>2000</v>
      </c>
      <c r="AV57" s="23">
        <f t="shared" si="101"/>
        <v>19600</v>
      </c>
      <c r="AW57" s="23"/>
      <c r="AX57" s="24">
        <v>2000</v>
      </c>
      <c r="AY57" s="24">
        <f t="shared" si="102"/>
        <v>19600</v>
      </c>
      <c r="AZ57" s="23">
        <v>2000</v>
      </c>
      <c r="BA57" s="23">
        <f t="shared" si="103"/>
        <v>19600</v>
      </c>
      <c r="BB57" s="23"/>
      <c r="BC57" s="23"/>
      <c r="BD57" s="23">
        <f t="shared" si="104"/>
        <v>0</v>
      </c>
      <c r="BE57" s="23">
        <v>2000</v>
      </c>
      <c r="BF57" s="23">
        <f t="shared" si="105"/>
        <v>19600</v>
      </c>
      <c r="BG57" s="23">
        <v>2000</v>
      </c>
      <c r="BH57" s="23"/>
      <c r="BI57" s="23">
        <f t="shared" si="106"/>
        <v>0</v>
      </c>
      <c r="BJ57" s="23">
        <v>2000</v>
      </c>
      <c r="BK57" s="23">
        <f t="shared" si="107"/>
        <v>19600</v>
      </c>
      <c r="BL57" s="23"/>
      <c r="BM57" s="23">
        <v>2000</v>
      </c>
      <c r="BN57" s="23">
        <f t="shared" si="108"/>
        <v>19600</v>
      </c>
      <c r="BO57" s="23"/>
      <c r="BP57" s="23">
        <f t="shared" si="109"/>
        <v>0</v>
      </c>
      <c r="BQ57" s="23"/>
      <c r="BR57" s="23"/>
      <c r="BS57" s="23">
        <f t="shared" si="110"/>
        <v>0</v>
      </c>
      <c r="BT57" s="23"/>
      <c r="BU57" s="23">
        <f t="shared" si="111"/>
        <v>0</v>
      </c>
      <c r="BV57" s="23"/>
      <c r="BW57" s="23"/>
      <c r="BX57" s="23">
        <f t="shared" si="112"/>
        <v>0</v>
      </c>
      <c r="BY57" s="23"/>
      <c r="BZ57" s="23">
        <f t="shared" si="113"/>
        <v>0</v>
      </c>
      <c r="CA57" s="23"/>
      <c r="CB57" s="15"/>
    </row>
    <row r="58" spans="1:80" ht="16" x14ac:dyDescent="0.4">
      <c r="A58" s="15" t="s">
        <v>76</v>
      </c>
      <c r="B58" s="15" t="s">
        <v>262</v>
      </c>
      <c r="C58" s="15" t="s">
        <v>263</v>
      </c>
      <c r="D58" s="15" t="s">
        <v>329</v>
      </c>
      <c r="E58" s="112" t="s">
        <v>330</v>
      </c>
      <c r="F58" s="15" t="s">
        <v>267</v>
      </c>
      <c r="G58" s="15" t="s">
        <v>264</v>
      </c>
      <c r="H58" s="15" t="s">
        <v>77</v>
      </c>
      <c r="I58" s="15" t="s">
        <v>77</v>
      </c>
      <c r="J58" s="15" t="s">
        <v>78</v>
      </c>
      <c r="K58" s="15" t="s">
        <v>79</v>
      </c>
      <c r="L58" s="15" t="s">
        <v>137</v>
      </c>
      <c r="M58" s="15" t="s">
        <v>80</v>
      </c>
      <c r="N58" s="17">
        <v>2.42</v>
      </c>
      <c r="O58" s="105">
        <v>33000</v>
      </c>
      <c r="P58" s="22">
        <f t="shared" ref="P58:P78" si="114">+(T58+Y58+AD58+AI58+AN58+AS58+AX58+BC58+BH58+BM58+BR58+BW58)/1000</f>
        <v>36</v>
      </c>
      <c r="Q58" s="22">
        <f t="shared" ref="Q58:Q78" si="115">+(U58+Z58+AE58+AJ58+AO58+AT58+AY58+BD58+BI58+BN58+BS58+BX58)/1000</f>
        <v>87.12</v>
      </c>
      <c r="R58" s="22">
        <f t="shared" ref="R58:R78" si="116">+(+BA58+BF58+BK58+BP58+BU58+BZ58)</f>
        <v>0</v>
      </c>
      <c r="S58" s="22">
        <f t="shared" ref="S58:S78" si="117">+(+BB58+BG58+BL58+BQ58+BV58+CA58)</f>
        <v>15000</v>
      </c>
      <c r="T58" s="23"/>
      <c r="U58" s="23">
        <f t="shared" ref="U58:U78" si="118">T58*N58</f>
        <v>0</v>
      </c>
      <c r="V58" s="23"/>
      <c r="W58" s="23">
        <f t="shared" ref="W58:W78" si="119">V58*N58</f>
        <v>0</v>
      </c>
      <c r="X58" s="23"/>
      <c r="Y58" s="23"/>
      <c r="Z58" s="23">
        <f t="shared" ref="Z58:Z78" si="120">Y58*N58</f>
        <v>0</v>
      </c>
      <c r="AA58" s="23"/>
      <c r="AB58" s="23">
        <f t="shared" ref="AB58:AB78" si="121">AA58*N58</f>
        <v>0</v>
      </c>
      <c r="AC58" s="23"/>
      <c r="AD58" s="23">
        <v>9000</v>
      </c>
      <c r="AE58" s="23">
        <f t="shared" ref="AE58:AE78" si="122">AD58*N58</f>
        <v>21780</v>
      </c>
      <c r="AF58" s="23"/>
      <c r="AG58" s="23">
        <f t="shared" ref="AG58:AG78" si="123">AF58*N58</f>
        <v>0</v>
      </c>
      <c r="AH58" s="23"/>
      <c r="AI58" s="23"/>
      <c r="AJ58" s="23">
        <f t="shared" ref="AJ58:AJ78" si="124">AI58*N58</f>
        <v>0</v>
      </c>
      <c r="AK58" s="23">
        <v>9000</v>
      </c>
      <c r="AL58" s="23">
        <f t="shared" ref="AL58:AL78" si="125">AK58*N58</f>
        <v>21780</v>
      </c>
      <c r="AM58" s="23"/>
      <c r="AN58" s="23">
        <v>9000</v>
      </c>
      <c r="AO58" s="23">
        <f t="shared" ref="AO58:AO78" si="126">AN58*N58</f>
        <v>21780</v>
      </c>
      <c r="AP58" s="23"/>
      <c r="AQ58" s="23">
        <f t="shared" ref="AQ58:AQ78" si="127">AP58*N58</f>
        <v>0</v>
      </c>
      <c r="AR58" s="23"/>
      <c r="AS58" s="23"/>
      <c r="AT58" s="23">
        <f t="shared" ref="AT58:AT78" si="128">AS58*N58</f>
        <v>0</v>
      </c>
      <c r="AU58" s="23"/>
      <c r="AV58" s="23">
        <f t="shared" ref="AV58:AV78" si="129">AU58*N58</f>
        <v>0</v>
      </c>
      <c r="AW58" s="23"/>
      <c r="AX58" s="24"/>
      <c r="AY58" s="24">
        <f t="shared" ref="AY58:AY78" si="130">AX58*N58</f>
        <v>0</v>
      </c>
      <c r="AZ58" s="23"/>
      <c r="BA58" s="23">
        <f t="shared" ref="BA58:BA78" si="131">AZ58*N58</f>
        <v>0</v>
      </c>
      <c r="BB58" s="23"/>
      <c r="BC58" s="23">
        <v>9000</v>
      </c>
      <c r="BD58" s="23">
        <f t="shared" ref="BD58:BD78" si="132">BC58*N58</f>
        <v>21780</v>
      </c>
      <c r="BE58" s="23"/>
      <c r="BF58" s="23">
        <f t="shared" ref="BF58:BF78" si="133">BE58*N58</f>
        <v>0</v>
      </c>
      <c r="BG58" s="23">
        <v>15000</v>
      </c>
      <c r="BH58" s="23"/>
      <c r="BI58" s="23">
        <f t="shared" ref="BI58:BI78" si="134">BH58*N58</f>
        <v>0</v>
      </c>
      <c r="BJ58" s="23"/>
      <c r="BK58" s="23">
        <f t="shared" ref="BK58:BK78" si="135">BJ58*N58</f>
        <v>0</v>
      </c>
      <c r="BL58" s="23"/>
      <c r="BM58" s="23"/>
      <c r="BN58" s="23">
        <f t="shared" ref="BN58:BN78" si="136">BM58*N58</f>
        <v>0</v>
      </c>
      <c r="BO58" s="23"/>
      <c r="BP58" s="23">
        <f t="shared" ref="BP58:BP78" si="137">BO58*N58</f>
        <v>0</v>
      </c>
      <c r="BQ58" s="23"/>
      <c r="BR58" s="23">
        <v>9000</v>
      </c>
      <c r="BS58" s="23">
        <f t="shared" ref="BS58:BS78" si="138">BR58*N58</f>
        <v>21780</v>
      </c>
      <c r="BT58" s="23"/>
      <c r="BU58" s="23">
        <f t="shared" ref="BU58:BU78" si="139">BT58*N58</f>
        <v>0</v>
      </c>
      <c r="BV58" s="23"/>
      <c r="BW58" s="23"/>
      <c r="BX58" s="23">
        <f t="shared" ref="BX58:BX78" si="140">BW58*N58</f>
        <v>0</v>
      </c>
      <c r="BY58" s="23"/>
      <c r="BZ58" s="23">
        <f t="shared" ref="BZ58:BZ78" si="141">BY58*N58</f>
        <v>0</v>
      </c>
      <c r="CA58" s="23"/>
      <c r="CB58" s="15"/>
    </row>
    <row r="59" spans="1:80" ht="16" x14ac:dyDescent="0.4">
      <c r="A59" s="15" t="s">
        <v>76</v>
      </c>
      <c r="B59" s="15" t="s">
        <v>262</v>
      </c>
      <c r="C59" s="15" t="s">
        <v>263</v>
      </c>
      <c r="D59" s="15" t="s">
        <v>329</v>
      </c>
      <c r="E59" s="112" t="s">
        <v>330</v>
      </c>
      <c r="F59" s="15" t="s">
        <v>267</v>
      </c>
      <c r="G59" s="15" t="s">
        <v>264</v>
      </c>
      <c r="H59" s="15" t="s">
        <v>77</v>
      </c>
      <c r="I59" s="15" t="s">
        <v>77</v>
      </c>
      <c r="J59" s="15" t="s">
        <v>78</v>
      </c>
      <c r="K59" s="15" t="s">
        <v>79</v>
      </c>
      <c r="L59" s="15" t="s">
        <v>509</v>
      </c>
      <c r="M59" s="15" t="s">
        <v>80</v>
      </c>
      <c r="N59" s="17">
        <v>2.72</v>
      </c>
      <c r="O59" s="105">
        <v>48000</v>
      </c>
      <c r="P59" s="22">
        <f t="shared" si="114"/>
        <v>48</v>
      </c>
      <c r="Q59" s="22">
        <f t="shared" si="115"/>
        <v>130.56</v>
      </c>
      <c r="R59" s="22">
        <f t="shared" si="116"/>
        <v>0</v>
      </c>
      <c r="S59" s="22">
        <f t="shared" si="117"/>
        <v>0</v>
      </c>
      <c r="T59" s="23">
        <v>6000</v>
      </c>
      <c r="U59" s="23">
        <f t="shared" si="118"/>
        <v>16320.000000000002</v>
      </c>
      <c r="V59" s="23">
        <v>3000</v>
      </c>
      <c r="W59" s="23">
        <f t="shared" si="119"/>
        <v>8160.0000000000009</v>
      </c>
      <c r="X59" s="23">
        <v>12000</v>
      </c>
      <c r="Y59" s="23">
        <v>6000</v>
      </c>
      <c r="Z59" s="23">
        <f t="shared" si="120"/>
        <v>16320.000000000002</v>
      </c>
      <c r="AA59" s="23">
        <v>3000</v>
      </c>
      <c r="AB59" s="23">
        <f t="shared" si="121"/>
        <v>8160.0000000000009</v>
      </c>
      <c r="AC59" s="23">
        <v>3000</v>
      </c>
      <c r="AD59" s="23"/>
      <c r="AE59" s="23">
        <f t="shared" si="122"/>
        <v>0</v>
      </c>
      <c r="AF59" s="23">
        <v>3000</v>
      </c>
      <c r="AG59" s="23">
        <f t="shared" si="123"/>
        <v>8160.0000000000009</v>
      </c>
      <c r="AH59" s="23"/>
      <c r="AI59" s="23">
        <v>6000</v>
      </c>
      <c r="AJ59" s="23">
        <f t="shared" si="124"/>
        <v>16320.000000000002</v>
      </c>
      <c r="AK59" s="23">
        <v>3000</v>
      </c>
      <c r="AL59" s="23">
        <f t="shared" si="125"/>
        <v>8160.0000000000009</v>
      </c>
      <c r="AM59" s="23"/>
      <c r="AN59" s="23">
        <v>6000</v>
      </c>
      <c r="AO59" s="23">
        <f t="shared" si="126"/>
        <v>16320.000000000002</v>
      </c>
      <c r="AP59" s="23"/>
      <c r="AQ59" s="23">
        <f t="shared" si="127"/>
        <v>0</v>
      </c>
      <c r="AR59" s="23"/>
      <c r="AS59" s="23">
        <v>6000</v>
      </c>
      <c r="AT59" s="23">
        <f t="shared" si="128"/>
        <v>16320.000000000002</v>
      </c>
      <c r="AU59" s="23"/>
      <c r="AV59" s="23">
        <f t="shared" si="129"/>
        <v>0</v>
      </c>
      <c r="AW59" s="56">
        <v>48000</v>
      </c>
      <c r="AX59" s="24"/>
      <c r="AY59" s="24">
        <f t="shared" si="130"/>
        <v>0</v>
      </c>
      <c r="AZ59" s="23"/>
      <c r="BA59" s="23">
        <f t="shared" si="131"/>
        <v>0</v>
      </c>
      <c r="BB59" s="23"/>
      <c r="BC59" s="23">
        <v>6000</v>
      </c>
      <c r="BD59" s="23">
        <f t="shared" si="132"/>
        <v>16320.000000000002</v>
      </c>
      <c r="BE59" s="23"/>
      <c r="BF59" s="23">
        <f t="shared" si="133"/>
        <v>0</v>
      </c>
      <c r="BG59" s="23"/>
      <c r="BH59" s="23"/>
      <c r="BI59" s="23">
        <f t="shared" si="134"/>
        <v>0</v>
      </c>
      <c r="BJ59" s="23"/>
      <c r="BK59" s="23">
        <f t="shared" si="135"/>
        <v>0</v>
      </c>
      <c r="BL59" s="23"/>
      <c r="BM59" s="23">
        <v>6000</v>
      </c>
      <c r="BN59" s="23">
        <f t="shared" si="136"/>
        <v>16320.000000000002</v>
      </c>
      <c r="BO59" s="23"/>
      <c r="BP59" s="23">
        <f t="shared" si="137"/>
        <v>0</v>
      </c>
      <c r="BQ59" s="23"/>
      <c r="BR59" s="23">
        <v>6000</v>
      </c>
      <c r="BS59" s="23">
        <f t="shared" si="138"/>
        <v>16320.000000000002</v>
      </c>
      <c r="BT59" s="23"/>
      <c r="BU59" s="23">
        <f t="shared" si="139"/>
        <v>0</v>
      </c>
      <c r="BV59" s="23"/>
      <c r="BW59" s="23"/>
      <c r="BX59" s="23">
        <f t="shared" si="140"/>
        <v>0</v>
      </c>
      <c r="BY59" s="23"/>
      <c r="BZ59" s="23">
        <f t="shared" si="141"/>
        <v>0</v>
      </c>
      <c r="CA59" s="23"/>
      <c r="CB59" s="15"/>
    </row>
    <row r="60" spans="1:80" ht="16" x14ac:dyDescent="0.4">
      <c r="A60" s="15" t="s">
        <v>76</v>
      </c>
      <c r="B60" s="15" t="s">
        <v>262</v>
      </c>
      <c r="C60" s="15" t="s">
        <v>263</v>
      </c>
      <c r="D60" s="15" t="s">
        <v>329</v>
      </c>
      <c r="E60" s="112" t="s">
        <v>330</v>
      </c>
      <c r="F60" s="15" t="s">
        <v>267</v>
      </c>
      <c r="G60" s="15" t="s">
        <v>264</v>
      </c>
      <c r="H60" s="15" t="s">
        <v>77</v>
      </c>
      <c r="I60" s="15" t="s">
        <v>77</v>
      </c>
      <c r="J60" s="15" t="s">
        <v>78</v>
      </c>
      <c r="K60" s="15" t="s">
        <v>79</v>
      </c>
      <c r="L60" s="15" t="s">
        <v>510</v>
      </c>
      <c r="M60" s="15" t="s">
        <v>80</v>
      </c>
      <c r="N60" s="17">
        <v>0.94</v>
      </c>
      <c r="O60" s="105">
        <v>6000</v>
      </c>
      <c r="P60" s="22">
        <f t="shared" si="114"/>
        <v>66</v>
      </c>
      <c r="Q60" s="22">
        <f t="shared" si="115"/>
        <v>62.04</v>
      </c>
      <c r="R60" s="22">
        <f t="shared" si="116"/>
        <v>0</v>
      </c>
      <c r="S60" s="22">
        <f t="shared" si="117"/>
        <v>0</v>
      </c>
      <c r="T60" s="23">
        <v>6000</v>
      </c>
      <c r="U60" s="23">
        <f t="shared" si="118"/>
        <v>5640</v>
      </c>
      <c r="V60" s="23">
        <v>3000</v>
      </c>
      <c r="W60" s="23">
        <f t="shared" si="119"/>
        <v>2820</v>
      </c>
      <c r="X60" s="23"/>
      <c r="Y60" s="23">
        <v>6000</v>
      </c>
      <c r="Z60" s="23">
        <f t="shared" si="120"/>
        <v>5640</v>
      </c>
      <c r="AA60" s="23">
        <v>3000</v>
      </c>
      <c r="AB60" s="23">
        <f t="shared" si="121"/>
        <v>2820</v>
      </c>
      <c r="AC60" s="23"/>
      <c r="AD60" s="23">
        <v>6000</v>
      </c>
      <c r="AE60" s="23">
        <f t="shared" si="122"/>
        <v>5640</v>
      </c>
      <c r="AF60" s="23">
        <v>3000</v>
      </c>
      <c r="AG60" s="23">
        <f t="shared" si="123"/>
        <v>2820</v>
      </c>
      <c r="AH60" s="23"/>
      <c r="AI60" s="23"/>
      <c r="AJ60" s="23">
        <f t="shared" si="124"/>
        <v>0</v>
      </c>
      <c r="AK60" s="23"/>
      <c r="AL60" s="23">
        <f t="shared" si="125"/>
        <v>0</v>
      </c>
      <c r="AM60" s="23"/>
      <c r="AN60" s="23">
        <v>6000</v>
      </c>
      <c r="AO60" s="23">
        <f t="shared" si="126"/>
        <v>5640</v>
      </c>
      <c r="AP60" s="23"/>
      <c r="AQ60" s="23">
        <f t="shared" si="127"/>
        <v>0</v>
      </c>
      <c r="AR60" s="23"/>
      <c r="AS60" s="23">
        <v>6000</v>
      </c>
      <c r="AT60" s="23">
        <f t="shared" si="128"/>
        <v>5640</v>
      </c>
      <c r="AU60" s="23"/>
      <c r="AV60" s="23">
        <f t="shared" si="129"/>
        <v>0</v>
      </c>
      <c r="AW60" s="23"/>
      <c r="AX60" s="24">
        <v>6000</v>
      </c>
      <c r="AY60" s="24">
        <f t="shared" si="130"/>
        <v>5640</v>
      </c>
      <c r="AZ60" s="23"/>
      <c r="BA60" s="23">
        <f t="shared" si="131"/>
        <v>0</v>
      </c>
      <c r="BB60" s="23"/>
      <c r="BC60" s="23">
        <v>6000</v>
      </c>
      <c r="BD60" s="23">
        <f t="shared" si="132"/>
        <v>5640</v>
      </c>
      <c r="BE60" s="23"/>
      <c r="BF60" s="23">
        <f t="shared" si="133"/>
        <v>0</v>
      </c>
      <c r="BG60" s="23"/>
      <c r="BH60" s="23">
        <v>6000</v>
      </c>
      <c r="BI60" s="23">
        <f t="shared" si="134"/>
        <v>5640</v>
      </c>
      <c r="BJ60" s="23"/>
      <c r="BK60" s="23">
        <f t="shared" si="135"/>
        <v>0</v>
      </c>
      <c r="BL60" s="23"/>
      <c r="BM60" s="23">
        <v>6000</v>
      </c>
      <c r="BN60" s="23">
        <f t="shared" si="136"/>
        <v>5640</v>
      </c>
      <c r="BO60" s="23"/>
      <c r="BP60" s="23">
        <f t="shared" si="137"/>
        <v>0</v>
      </c>
      <c r="BQ60" s="23"/>
      <c r="BR60" s="23">
        <v>6000</v>
      </c>
      <c r="BS60" s="23">
        <f t="shared" si="138"/>
        <v>5640</v>
      </c>
      <c r="BT60" s="23"/>
      <c r="BU60" s="23">
        <f t="shared" si="139"/>
        <v>0</v>
      </c>
      <c r="BV60" s="23"/>
      <c r="BW60" s="23">
        <v>6000</v>
      </c>
      <c r="BX60" s="23">
        <f t="shared" si="140"/>
        <v>5640</v>
      </c>
      <c r="BY60" s="23"/>
      <c r="BZ60" s="23">
        <f t="shared" si="141"/>
        <v>0</v>
      </c>
      <c r="CA60" s="23"/>
      <c r="CB60" s="15"/>
    </row>
    <row r="61" spans="1:80" ht="16" x14ac:dyDescent="0.4">
      <c r="A61" s="15" t="s">
        <v>76</v>
      </c>
      <c r="B61" s="15" t="s">
        <v>262</v>
      </c>
      <c r="C61" s="15" t="s">
        <v>263</v>
      </c>
      <c r="D61" s="15" t="s">
        <v>329</v>
      </c>
      <c r="E61" s="112" t="s">
        <v>330</v>
      </c>
      <c r="F61" s="15" t="s">
        <v>267</v>
      </c>
      <c r="G61" s="15" t="s">
        <v>264</v>
      </c>
      <c r="H61" s="15" t="s">
        <v>77</v>
      </c>
      <c r="I61" s="15" t="s">
        <v>77</v>
      </c>
      <c r="J61" s="15" t="s">
        <v>78</v>
      </c>
      <c r="K61" s="15" t="s">
        <v>79</v>
      </c>
      <c r="L61" s="15" t="s">
        <v>511</v>
      </c>
      <c r="M61" s="15" t="s">
        <v>80</v>
      </c>
      <c r="N61" s="17">
        <v>6.1</v>
      </c>
      <c r="O61" s="72">
        <v>10000</v>
      </c>
      <c r="P61" s="22">
        <f t="shared" si="114"/>
        <v>100</v>
      </c>
      <c r="Q61" s="22">
        <f t="shared" si="115"/>
        <v>610</v>
      </c>
      <c r="R61" s="22">
        <f t="shared" si="116"/>
        <v>183000</v>
      </c>
      <c r="S61" s="22">
        <f t="shared" si="117"/>
        <v>0</v>
      </c>
      <c r="T61" s="23">
        <v>10000</v>
      </c>
      <c r="U61" s="23">
        <f t="shared" si="118"/>
        <v>61000</v>
      </c>
      <c r="V61" s="23">
        <v>4000</v>
      </c>
      <c r="W61" s="23">
        <f t="shared" si="119"/>
        <v>24400</v>
      </c>
      <c r="X61" s="23"/>
      <c r="Y61" s="23"/>
      <c r="Z61" s="23">
        <f t="shared" si="120"/>
        <v>0</v>
      </c>
      <c r="AA61" s="23">
        <v>4000</v>
      </c>
      <c r="AB61" s="23">
        <f t="shared" si="121"/>
        <v>24400</v>
      </c>
      <c r="AC61" s="23"/>
      <c r="AD61" s="23">
        <v>10000</v>
      </c>
      <c r="AE61" s="23">
        <f t="shared" si="122"/>
        <v>61000</v>
      </c>
      <c r="AF61" s="23">
        <v>4000</v>
      </c>
      <c r="AG61" s="23">
        <f t="shared" si="123"/>
        <v>24400</v>
      </c>
      <c r="AH61" s="23">
        <v>10000</v>
      </c>
      <c r="AI61" s="23">
        <v>10000</v>
      </c>
      <c r="AJ61" s="23">
        <f t="shared" si="124"/>
        <v>61000</v>
      </c>
      <c r="AK61" s="23">
        <v>10000</v>
      </c>
      <c r="AL61" s="23">
        <f t="shared" si="125"/>
        <v>61000</v>
      </c>
      <c r="AM61" s="23"/>
      <c r="AN61" s="23">
        <v>10000</v>
      </c>
      <c r="AO61" s="23">
        <f t="shared" si="126"/>
        <v>61000</v>
      </c>
      <c r="AP61" s="23">
        <v>10000</v>
      </c>
      <c r="AQ61" s="23">
        <f t="shared" si="127"/>
        <v>61000</v>
      </c>
      <c r="AR61" s="23"/>
      <c r="AS61" s="23">
        <v>10000</v>
      </c>
      <c r="AT61" s="23">
        <f t="shared" si="128"/>
        <v>61000</v>
      </c>
      <c r="AU61" s="23">
        <v>10000</v>
      </c>
      <c r="AV61" s="23">
        <f t="shared" si="129"/>
        <v>61000</v>
      </c>
      <c r="AW61" s="23"/>
      <c r="AX61" s="24">
        <v>10000</v>
      </c>
      <c r="AY61" s="24">
        <f t="shared" si="130"/>
        <v>61000</v>
      </c>
      <c r="AZ61" s="23">
        <v>10000</v>
      </c>
      <c r="BA61" s="23">
        <f t="shared" si="131"/>
        <v>61000</v>
      </c>
      <c r="BB61" s="23"/>
      <c r="BC61" s="23">
        <v>10000</v>
      </c>
      <c r="BD61" s="23">
        <f t="shared" si="132"/>
        <v>61000</v>
      </c>
      <c r="BE61" s="23">
        <v>10000</v>
      </c>
      <c r="BF61" s="23">
        <f t="shared" si="133"/>
        <v>61000</v>
      </c>
      <c r="BG61" s="23"/>
      <c r="BH61" s="23">
        <v>10000</v>
      </c>
      <c r="BI61" s="23">
        <f t="shared" si="134"/>
        <v>61000</v>
      </c>
      <c r="BJ61" s="23">
        <v>10000</v>
      </c>
      <c r="BK61" s="23">
        <f t="shared" si="135"/>
        <v>61000</v>
      </c>
      <c r="BL61" s="23"/>
      <c r="BM61" s="23">
        <v>10000</v>
      </c>
      <c r="BN61" s="23">
        <f t="shared" si="136"/>
        <v>61000</v>
      </c>
      <c r="BO61" s="23"/>
      <c r="BP61" s="23">
        <f t="shared" si="137"/>
        <v>0</v>
      </c>
      <c r="BQ61" s="23"/>
      <c r="BR61" s="23"/>
      <c r="BS61" s="23">
        <f t="shared" si="138"/>
        <v>0</v>
      </c>
      <c r="BT61" s="23"/>
      <c r="BU61" s="23">
        <f t="shared" si="139"/>
        <v>0</v>
      </c>
      <c r="BV61" s="23"/>
      <c r="BW61" s="23">
        <v>10000</v>
      </c>
      <c r="BX61" s="23">
        <f t="shared" si="140"/>
        <v>61000</v>
      </c>
      <c r="BY61" s="23"/>
      <c r="BZ61" s="23">
        <f t="shared" si="141"/>
        <v>0</v>
      </c>
      <c r="CA61" s="23"/>
      <c r="CB61" s="15"/>
    </row>
    <row r="62" spans="1:80" ht="16" x14ac:dyDescent="0.4">
      <c r="A62" s="15" t="s">
        <v>76</v>
      </c>
      <c r="B62" s="15" t="s">
        <v>262</v>
      </c>
      <c r="C62" s="15" t="s">
        <v>263</v>
      </c>
      <c r="D62" s="15" t="s">
        <v>329</v>
      </c>
      <c r="E62" s="112" t="s">
        <v>330</v>
      </c>
      <c r="F62" s="15" t="s">
        <v>267</v>
      </c>
      <c r="G62" s="15" t="s">
        <v>264</v>
      </c>
      <c r="H62" s="15" t="s">
        <v>77</v>
      </c>
      <c r="I62" s="15" t="s">
        <v>77</v>
      </c>
      <c r="J62" s="15" t="s">
        <v>78</v>
      </c>
      <c r="K62" s="15" t="s">
        <v>79</v>
      </c>
      <c r="L62" s="15" t="s">
        <v>120</v>
      </c>
      <c r="M62" s="15" t="s">
        <v>80</v>
      </c>
      <c r="N62" s="17">
        <v>1.32</v>
      </c>
      <c r="O62" s="105">
        <v>120000</v>
      </c>
      <c r="P62" s="22">
        <f t="shared" si="114"/>
        <v>405</v>
      </c>
      <c r="Q62" s="22">
        <f t="shared" si="115"/>
        <v>534.6</v>
      </c>
      <c r="R62" s="22">
        <f t="shared" si="116"/>
        <v>178200</v>
      </c>
      <c r="S62" s="22">
        <f t="shared" si="117"/>
        <v>0</v>
      </c>
      <c r="T62" s="23">
        <v>45000</v>
      </c>
      <c r="U62" s="23">
        <f t="shared" si="118"/>
        <v>59400</v>
      </c>
      <c r="V62" s="23">
        <v>45000</v>
      </c>
      <c r="W62" s="23">
        <f t="shared" si="119"/>
        <v>59400</v>
      </c>
      <c r="X62" s="23"/>
      <c r="Y62" s="23">
        <v>45000</v>
      </c>
      <c r="Z62" s="23">
        <f t="shared" si="120"/>
        <v>59400</v>
      </c>
      <c r="AA62" s="23">
        <v>45000</v>
      </c>
      <c r="AB62" s="23">
        <f t="shared" si="121"/>
        <v>59400</v>
      </c>
      <c r="AC62" s="23"/>
      <c r="AD62" s="23"/>
      <c r="AE62" s="23">
        <f t="shared" si="122"/>
        <v>0</v>
      </c>
      <c r="AF62" s="23">
        <v>45000</v>
      </c>
      <c r="AG62" s="23">
        <f t="shared" si="123"/>
        <v>59400</v>
      </c>
      <c r="AH62" s="23"/>
      <c r="AI62" s="23">
        <v>45000</v>
      </c>
      <c r="AJ62" s="23">
        <f t="shared" si="124"/>
        <v>59400</v>
      </c>
      <c r="AK62" s="23"/>
      <c r="AL62" s="23">
        <f t="shared" si="125"/>
        <v>0</v>
      </c>
      <c r="AM62" s="23"/>
      <c r="AN62" s="23">
        <v>45000</v>
      </c>
      <c r="AO62" s="23">
        <f t="shared" si="126"/>
        <v>59400</v>
      </c>
      <c r="AP62" s="23">
        <v>45000</v>
      </c>
      <c r="AQ62" s="23">
        <f t="shared" si="127"/>
        <v>59400</v>
      </c>
      <c r="AR62" s="23"/>
      <c r="AS62" s="23">
        <v>45000</v>
      </c>
      <c r="AT62" s="23">
        <f t="shared" si="128"/>
        <v>59400</v>
      </c>
      <c r="AU62" s="23">
        <v>45000</v>
      </c>
      <c r="AV62" s="23">
        <f t="shared" si="129"/>
        <v>59400</v>
      </c>
      <c r="AW62" s="23"/>
      <c r="AX62" s="24"/>
      <c r="AY62" s="24">
        <f t="shared" si="130"/>
        <v>0</v>
      </c>
      <c r="AZ62" s="23">
        <v>45000</v>
      </c>
      <c r="BA62" s="23">
        <f t="shared" si="131"/>
        <v>59400</v>
      </c>
      <c r="BB62" s="23"/>
      <c r="BC62" s="23">
        <v>45000</v>
      </c>
      <c r="BD62" s="23">
        <f t="shared" si="132"/>
        <v>59400</v>
      </c>
      <c r="BE62" s="23">
        <v>45000</v>
      </c>
      <c r="BF62" s="23">
        <f t="shared" si="133"/>
        <v>59400</v>
      </c>
      <c r="BG62" s="23"/>
      <c r="BH62" s="23"/>
      <c r="BI62" s="23">
        <f t="shared" si="134"/>
        <v>0</v>
      </c>
      <c r="BJ62" s="23">
        <v>45000</v>
      </c>
      <c r="BK62" s="23">
        <f t="shared" si="135"/>
        <v>59400</v>
      </c>
      <c r="BL62" s="23"/>
      <c r="BM62" s="23">
        <v>45000</v>
      </c>
      <c r="BN62" s="23">
        <f t="shared" si="136"/>
        <v>59400</v>
      </c>
      <c r="BO62" s="23"/>
      <c r="BP62" s="23">
        <f t="shared" si="137"/>
        <v>0</v>
      </c>
      <c r="BQ62" s="23"/>
      <c r="BR62" s="23">
        <v>45000</v>
      </c>
      <c r="BS62" s="23">
        <f t="shared" si="138"/>
        <v>59400</v>
      </c>
      <c r="BT62" s="23"/>
      <c r="BU62" s="23">
        <f t="shared" si="139"/>
        <v>0</v>
      </c>
      <c r="BV62" s="23"/>
      <c r="BW62" s="23">
        <v>45000</v>
      </c>
      <c r="BX62" s="23">
        <f t="shared" si="140"/>
        <v>59400</v>
      </c>
      <c r="BY62" s="23"/>
      <c r="BZ62" s="23">
        <f t="shared" si="141"/>
        <v>0</v>
      </c>
      <c r="CA62" s="23"/>
      <c r="CB62" s="75"/>
    </row>
    <row r="63" spans="1:80" ht="16" x14ac:dyDescent="0.4">
      <c r="A63" s="15" t="s">
        <v>76</v>
      </c>
      <c r="B63" s="15" t="s">
        <v>262</v>
      </c>
      <c r="C63" s="15" t="s">
        <v>263</v>
      </c>
      <c r="D63" s="15" t="s">
        <v>329</v>
      </c>
      <c r="E63" s="112" t="s">
        <v>330</v>
      </c>
      <c r="F63" s="15" t="s">
        <v>267</v>
      </c>
      <c r="G63" s="15" t="s">
        <v>264</v>
      </c>
      <c r="H63" s="15" t="s">
        <v>77</v>
      </c>
      <c r="I63" s="15" t="s">
        <v>77</v>
      </c>
      <c r="J63" s="15" t="s">
        <v>78</v>
      </c>
      <c r="K63" s="15" t="s">
        <v>79</v>
      </c>
      <c r="L63" s="15" t="s">
        <v>512</v>
      </c>
      <c r="M63" s="15" t="s">
        <v>80</v>
      </c>
      <c r="N63" s="17">
        <v>2.7</v>
      </c>
      <c r="O63" s="105">
        <v>7500</v>
      </c>
      <c r="P63" s="22">
        <f t="shared" si="114"/>
        <v>82.5</v>
      </c>
      <c r="Q63" s="22">
        <f t="shared" si="115"/>
        <v>222.75</v>
      </c>
      <c r="R63" s="22">
        <f t="shared" si="116"/>
        <v>60750</v>
      </c>
      <c r="S63" s="22">
        <f t="shared" si="117"/>
        <v>0</v>
      </c>
      <c r="T63" s="23">
        <v>7500</v>
      </c>
      <c r="U63" s="23">
        <f t="shared" si="118"/>
        <v>20250</v>
      </c>
      <c r="V63" s="23">
        <v>7500</v>
      </c>
      <c r="W63" s="23">
        <f t="shared" si="119"/>
        <v>20250</v>
      </c>
      <c r="X63" s="23"/>
      <c r="Y63" s="23"/>
      <c r="Z63" s="23">
        <f t="shared" si="120"/>
        <v>0</v>
      </c>
      <c r="AA63" s="23">
        <v>7500</v>
      </c>
      <c r="AB63" s="23">
        <f t="shared" si="121"/>
        <v>20250</v>
      </c>
      <c r="AC63" s="23"/>
      <c r="AD63" s="23">
        <v>7500</v>
      </c>
      <c r="AE63" s="23">
        <f t="shared" si="122"/>
        <v>20250</v>
      </c>
      <c r="AF63" s="23">
        <v>7500</v>
      </c>
      <c r="AG63" s="23">
        <f t="shared" si="123"/>
        <v>20250</v>
      </c>
      <c r="AH63" s="23"/>
      <c r="AI63" s="23">
        <v>7500</v>
      </c>
      <c r="AJ63" s="23">
        <f t="shared" si="124"/>
        <v>20250</v>
      </c>
      <c r="AK63" s="23">
        <v>7500</v>
      </c>
      <c r="AL63" s="23">
        <f t="shared" si="125"/>
        <v>20250</v>
      </c>
      <c r="AM63" s="23"/>
      <c r="AN63" s="23">
        <v>7500</v>
      </c>
      <c r="AO63" s="23">
        <f t="shared" si="126"/>
        <v>20250</v>
      </c>
      <c r="AP63" s="23">
        <v>7500</v>
      </c>
      <c r="AQ63" s="23">
        <f t="shared" si="127"/>
        <v>20250</v>
      </c>
      <c r="AR63" s="23"/>
      <c r="AS63" s="23">
        <v>7500</v>
      </c>
      <c r="AT63" s="23">
        <f t="shared" si="128"/>
        <v>20250</v>
      </c>
      <c r="AU63" s="23">
        <v>7500</v>
      </c>
      <c r="AV63" s="23">
        <f t="shared" si="129"/>
        <v>20250</v>
      </c>
      <c r="AW63" s="23"/>
      <c r="AX63" s="24">
        <v>7500</v>
      </c>
      <c r="AY63" s="24">
        <f t="shared" si="130"/>
        <v>20250</v>
      </c>
      <c r="AZ63" s="23">
        <v>7500</v>
      </c>
      <c r="BA63" s="23">
        <f t="shared" si="131"/>
        <v>20250</v>
      </c>
      <c r="BB63" s="23"/>
      <c r="BC63" s="23">
        <v>7500</v>
      </c>
      <c r="BD63" s="23">
        <f t="shared" si="132"/>
        <v>20250</v>
      </c>
      <c r="BE63" s="23">
        <v>7500</v>
      </c>
      <c r="BF63" s="23">
        <f t="shared" si="133"/>
        <v>20250</v>
      </c>
      <c r="BG63" s="23"/>
      <c r="BH63" s="23">
        <v>7500</v>
      </c>
      <c r="BI63" s="23">
        <f t="shared" si="134"/>
        <v>20250</v>
      </c>
      <c r="BJ63" s="23">
        <v>7500</v>
      </c>
      <c r="BK63" s="23">
        <f t="shared" si="135"/>
        <v>20250</v>
      </c>
      <c r="BL63" s="23"/>
      <c r="BM63" s="23">
        <v>7500</v>
      </c>
      <c r="BN63" s="23">
        <f t="shared" si="136"/>
        <v>20250</v>
      </c>
      <c r="BO63" s="23"/>
      <c r="BP63" s="23">
        <f t="shared" si="137"/>
        <v>0</v>
      </c>
      <c r="BQ63" s="23"/>
      <c r="BR63" s="23">
        <v>7500</v>
      </c>
      <c r="BS63" s="23">
        <f t="shared" si="138"/>
        <v>20250</v>
      </c>
      <c r="BT63" s="23"/>
      <c r="BU63" s="23">
        <f t="shared" si="139"/>
        <v>0</v>
      </c>
      <c r="BV63" s="23"/>
      <c r="BW63" s="23">
        <v>7500</v>
      </c>
      <c r="BX63" s="23">
        <f t="shared" si="140"/>
        <v>20250</v>
      </c>
      <c r="BY63" s="23"/>
      <c r="BZ63" s="23">
        <f t="shared" si="141"/>
        <v>0</v>
      </c>
      <c r="CA63" s="23"/>
      <c r="CB63" s="20"/>
    </row>
    <row r="64" spans="1:80" ht="16" x14ac:dyDescent="0.4">
      <c r="A64" s="15" t="s">
        <v>76</v>
      </c>
      <c r="B64" s="15" t="s">
        <v>262</v>
      </c>
      <c r="C64" s="15" t="s">
        <v>263</v>
      </c>
      <c r="D64" s="15" t="s">
        <v>329</v>
      </c>
      <c r="E64" s="112" t="s">
        <v>330</v>
      </c>
      <c r="F64" s="15" t="s">
        <v>267</v>
      </c>
      <c r="G64" s="15" t="s">
        <v>264</v>
      </c>
      <c r="H64" s="15" t="s">
        <v>77</v>
      </c>
      <c r="I64" s="15" t="s">
        <v>77</v>
      </c>
      <c r="J64" s="15" t="s">
        <v>78</v>
      </c>
      <c r="K64" s="15" t="s">
        <v>79</v>
      </c>
      <c r="L64" s="15" t="s">
        <v>513</v>
      </c>
      <c r="M64" s="15" t="s">
        <v>80</v>
      </c>
      <c r="N64" s="17">
        <v>2.4500000000000002</v>
      </c>
      <c r="O64" s="18"/>
      <c r="P64" s="22">
        <f t="shared" si="114"/>
        <v>60</v>
      </c>
      <c r="Q64" s="22">
        <f t="shared" si="115"/>
        <v>147</v>
      </c>
      <c r="R64" s="22">
        <f t="shared" si="116"/>
        <v>55125</v>
      </c>
      <c r="S64" s="22">
        <f t="shared" si="117"/>
        <v>0</v>
      </c>
      <c r="T64" s="23">
        <v>7500</v>
      </c>
      <c r="U64" s="23">
        <f t="shared" si="118"/>
        <v>18375</v>
      </c>
      <c r="V64" s="23">
        <v>7500</v>
      </c>
      <c r="W64" s="23">
        <f t="shared" si="119"/>
        <v>18375</v>
      </c>
      <c r="X64" s="23"/>
      <c r="Y64" s="23">
        <v>7500</v>
      </c>
      <c r="Z64" s="23">
        <f t="shared" si="120"/>
        <v>18375</v>
      </c>
      <c r="AA64" s="23">
        <v>7500</v>
      </c>
      <c r="AB64" s="23">
        <f t="shared" si="121"/>
        <v>18375</v>
      </c>
      <c r="AC64" s="23">
        <v>37500</v>
      </c>
      <c r="AD64" s="23"/>
      <c r="AE64" s="23">
        <f t="shared" si="122"/>
        <v>0</v>
      </c>
      <c r="AF64" s="23">
        <v>7500</v>
      </c>
      <c r="AG64" s="23">
        <f t="shared" si="123"/>
        <v>18375</v>
      </c>
      <c r="AH64" s="23">
        <v>7500</v>
      </c>
      <c r="AI64" s="23"/>
      <c r="AJ64" s="23">
        <f t="shared" si="124"/>
        <v>0</v>
      </c>
      <c r="AK64" s="23">
        <v>7500</v>
      </c>
      <c r="AL64" s="23">
        <f t="shared" si="125"/>
        <v>18375</v>
      </c>
      <c r="AM64" s="23"/>
      <c r="AN64" s="23">
        <v>7500</v>
      </c>
      <c r="AO64" s="23">
        <f t="shared" si="126"/>
        <v>18375</v>
      </c>
      <c r="AP64" s="23">
        <v>7500</v>
      </c>
      <c r="AQ64" s="23">
        <f t="shared" si="127"/>
        <v>18375</v>
      </c>
      <c r="AR64" s="23"/>
      <c r="AS64" s="23"/>
      <c r="AT64" s="23">
        <f t="shared" si="128"/>
        <v>0</v>
      </c>
      <c r="AU64" s="23">
        <v>7500</v>
      </c>
      <c r="AV64" s="23">
        <f t="shared" si="129"/>
        <v>18375</v>
      </c>
      <c r="AW64" s="23"/>
      <c r="AX64" s="24">
        <v>7500</v>
      </c>
      <c r="AY64" s="24">
        <f t="shared" si="130"/>
        <v>18375</v>
      </c>
      <c r="AZ64" s="23">
        <v>7500</v>
      </c>
      <c r="BA64" s="23">
        <f t="shared" si="131"/>
        <v>18375</v>
      </c>
      <c r="BB64" s="23"/>
      <c r="BC64" s="23">
        <v>7500</v>
      </c>
      <c r="BD64" s="23">
        <f t="shared" si="132"/>
        <v>18375</v>
      </c>
      <c r="BE64" s="23">
        <v>7500</v>
      </c>
      <c r="BF64" s="23">
        <f t="shared" si="133"/>
        <v>18375</v>
      </c>
      <c r="BG64" s="23"/>
      <c r="BH64" s="23">
        <v>7500</v>
      </c>
      <c r="BI64" s="23">
        <f t="shared" si="134"/>
        <v>18375</v>
      </c>
      <c r="BJ64" s="23">
        <v>7500</v>
      </c>
      <c r="BK64" s="23">
        <f t="shared" si="135"/>
        <v>18375</v>
      </c>
      <c r="BL64" s="23"/>
      <c r="BM64" s="23">
        <v>7500</v>
      </c>
      <c r="BN64" s="23">
        <f t="shared" si="136"/>
        <v>18375</v>
      </c>
      <c r="BO64" s="23"/>
      <c r="BP64" s="23">
        <f t="shared" si="137"/>
        <v>0</v>
      </c>
      <c r="BQ64" s="23"/>
      <c r="BR64" s="23"/>
      <c r="BS64" s="23">
        <f t="shared" si="138"/>
        <v>0</v>
      </c>
      <c r="BT64" s="23"/>
      <c r="BU64" s="23">
        <f t="shared" si="139"/>
        <v>0</v>
      </c>
      <c r="BV64" s="23"/>
      <c r="BW64" s="23">
        <v>7500</v>
      </c>
      <c r="BX64" s="23">
        <f t="shared" si="140"/>
        <v>18375</v>
      </c>
      <c r="BY64" s="23"/>
      <c r="BZ64" s="23">
        <f t="shared" si="141"/>
        <v>0</v>
      </c>
      <c r="CA64" s="23"/>
      <c r="CB64" s="15"/>
    </row>
    <row r="65" spans="1:80" ht="16" x14ac:dyDescent="0.4">
      <c r="A65" s="15" t="s">
        <v>76</v>
      </c>
      <c r="B65" s="15" t="s">
        <v>262</v>
      </c>
      <c r="C65" s="15" t="s">
        <v>263</v>
      </c>
      <c r="D65" s="15" t="s">
        <v>329</v>
      </c>
      <c r="E65" s="112" t="s">
        <v>330</v>
      </c>
      <c r="F65" s="15" t="s">
        <v>267</v>
      </c>
      <c r="G65" s="15" t="s">
        <v>264</v>
      </c>
      <c r="H65" s="15" t="s">
        <v>77</v>
      </c>
      <c r="I65" s="15" t="s">
        <v>77</v>
      </c>
      <c r="J65" s="15" t="s">
        <v>78</v>
      </c>
      <c r="K65" s="15" t="s">
        <v>79</v>
      </c>
      <c r="L65" s="15" t="s">
        <v>209</v>
      </c>
      <c r="M65" s="15" t="s">
        <v>80</v>
      </c>
      <c r="N65" s="17">
        <v>1.5</v>
      </c>
      <c r="O65" s="72">
        <v>72000</v>
      </c>
      <c r="P65" s="22">
        <f t="shared" si="114"/>
        <v>30</v>
      </c>
      <c r="Q65" s="22">
        <f t="shared" si="115"/>
        <v>45</v>
      </c>
      <c r="R65" s="22">
        <f t="shared" si="116"/>
        <v>13500</v>
      </c>
      <c r="S65" s="22">
        <f t="shared" si="117"/>
        <v>0</v>
      </c>
      <c r="T65" s="23">
        <v>3000</v>
      </c>
      <c r="U65" s="23">
        <f t="shared" si="118"/>
        <v>4500</v>
      </c>
      <c r="V65" s="23">
        <v>3000</v>
      </c>
      <c r="W65" s="23">
        <f t="shared" si="119"/>
        <v>4500</v>
      </c>
      <c r="X65" s="23">
        <v>45000</v>
      </c>
      <c r="Y65" s="23">
        <v>3000</v>
      </c>
      <c r="Z65" s="23">
        <f t="shared" si="120"/>
        <v>4500</v>
      </c>
      <c r="AA65" s="23">
        <v>3000</v>
      </c>
      <c r="AB65" s="23">
        <f t="shared" si="121"/>
        <v>4500</v>
      </c>
      <c r="AC65" s="23">
        <v>105000</v>
      </c>
      <c r="AD65" s="23">
        <v>3000</v>
      </c>
      <c r="AE65" s="23">
        <f t="shared" si="122"/>
        <v>4500</v>
      </c>
      <c r="AF65" s="23">
        <v>3000</v>
      </c>
      <c r="AG65" s="23">
        <f t="shared" si="123"/>
        <v>4500</v>
      </c>
      <c r="AH65" s="23">
        <v>165000</v>
      </c>
      <c r="AI65" s="23">
        <v>3000</v>
      </c>
      <c r="AJ65" s="23">
        <f t="shared" si="124"/>
        <v>4500</v>
      </c>
      <c r="AK65" s="23">
        <v>3000</v>
      </c>
      <c r="AL65" s="23">
        <f t="shared" si="125"/>
        <v>4500</v>
      </c>
      <c r="AM65" s="23"/>
      <c r="AN65" s="23">
        <v>3000</v>
      </c>
      <c r="AO65" s="23">
        <f t="shared" si="126"/>
        <v>4500</v>
      </c>
      <c r="AP65" s="23">
        <v>3000</v>
      </c>
      <c r="AQ65" s="23">
        <f t="shared" si="127"/>
        <v>4500</v>
      </c>
      <c r="AR65" s="23"/>
      <c r="AS65" s="23">
        <v>3000</v>
      </c>
      <c r="AT65" s="23">
        <f t="shared" si="128"/>
        <v>4500</v>
      </c>
      <c r="AU65" s="23">
        <v>3000</v>
      </c>
      <c r="AV65" s="23">
        <f t="shared" si="129"/>
        <v>4500</v>
      </c>
      <c r="AW65" s="23"/>
      <c r="AX65" s="24">
        <v>3000</v>
      </c>
      <c r="AY65" s="24">
        <f t="shared" si="130"/>
        <v>4500</v>
      </c>
      <c r="AZ65" s="23">
        <v>3000</v>
      </c>
      <c r="BA65" s="23">
        <f t="shared" si="131"/>
        <v>4500</v>
      </c>
      <c r="BB65" s="23"/>
      <c r="BC65" s="23">
        <v>3000</v>
      </c>
      <c r="BD65" s="23">
        <f t="shared" si="132"/>
        <v>4500</v>
      </c>
      <c r="BE65" s="23">
        <v>3000</v>
      </c>
      <c r="BF65" s="23">
        <f t="shared" si="133"/>
        <v>4500</v>
      </c>
      <c r="BG65" s="23"/>
      <c r="BH65" s="23">
        <v>3000</v>
      </c>
      <c r="BI65" s="23">
        <f t="shared" si="134"/>
        <v>4500</v>
      </c>
      <c r="BJ65" s="23">
        <v>3000</v>
      </c>
      <c r="BK65" s="23">
        <f t="shared" si="135"/>
        <v>4500</v>
      </c>
      <c r="BL65" s="23"/>
      <c r="BM65" s="23">
        <v>3000</v>
      </c>
      <c r="BN65" s="23">
        <f t="shared" si="136"/>
        <v>4500</v>
      </c>
      <c r="BO65" s="23"/>
      <c r="BP65" s="23">
        <f t="shared" si="137"/>
        <v>0</v>
      </c>
      <c r="BQ65" s="23"/>
      <c r="BR65" s="23"/>
      <c r="BS65" s="23">
        <f t="shared" si="138"/>
        <v>0</v>
      </c>
      <c r="BT65" s="23"/>
      <c r="BU65" s="23">
        <f t="shared" si="139"/>
        <v>0</v>
      </c>
      <c r="BV65" s="23"/>
      <c r="BW65" s="23"/>
      <c r="BX65" s="23">
        <f t="shared" si="140"/>
        <v>0</v>
      </c>
      <c r="BY65" s="23"/>
      <c r="BZ65" s="23">
        <f t="shared" si="141"/>
        <v>0</v>
      </c>
      <c r="CA65" s="23"/>
      <c r="CB65" s="15"/>
    </row>
    <row r="66" spans="1:80" ht="16" x14ac:dyDescent="0.4">
      <c r="A66" s="15" t="s">
        <v>76</v>
      </c>
      <c r="B66" s="15" t="s">
        <v>262</v>
      </c>
      <c r="C66" s="15" t="s">
        <v>263</v>
      </c>
      <c r="D66" s="15" t="s">
        <v>329</v>
      </c>
      <c r="E66" s="112" t="s">
        <v>330</v>
      </c>
      <c r="F66" s="15" t="s">
        <v>267</v>
      </c>
      <c r="G66" s="15" t="s">
        <v>264</v>
      </c>
      <c r="H66" s="15" t="s">
        <v>77</v>
      </c>
      <c r="I66" s="15" t="s">
        <v>77</v>
      </c>
      <c r="J66" s="15" t="s">
        <v>78</v>
      </c>
      <c r="K66" s="15" t="s">
        <v>79</v>
      </c>
      <c r="L66" s="15" t="s">
        <v>514</v>
      </c>
      <c r="M66" s="15"/>
      <c r="N66" s="17">
        <v>13.65</v>
      </c>
      <c r="O66" s="72"/>
      <c r="P66" s="22">
        <f t="shared" si="114"/>
        <v>0</v>
      </c>
      <c r="Q66" s="22">
        <f t="shared" si="115"/>
        <v>0</v>
      </c>
      <c r="R66" s="22">
        <f t="shared" si="116"/>
        <v>0</v>
      </c>
      <c r="S66" s="22">
        <f t="shared" si="117"/>
        <v>0</v>
      </c>
      <c r="T66" s="23"/>
      <c r="U66" s="23">
        <f t="shared" si="118"/>
        <v>0</v>
      </c>
      <c r="V66" s="23">
        <v>3000</v>
      </c>
      <c r="W66" s="23">
        <f t="shared" si="119"/>
        <v>40950</v>
      </c>
      <c r="X66" s="23">
        <v>3000</v>
      </c>
      <c r="Y66" s="23"/>
      <c r="Z66" s="23">
        <f t="shared" si="120"/>
        <v>0</v>
      </c>
      <c r="AA66" s="23">
        <v>3000</v>
      </c>
      <c r="AB66" s="23">
        <f t="shared" si="121"/>
        <v>40950</v>
      </c>
      <c r="AC66" s="23"/>
      <c r="AD66" s="23"/>
      <c r="AE66" s="23">
        <f t="shared" si="122"/>
        <v>0</v>
      </c>
      <c r="AF66" s="23">
        <v>3000</v>
      </c>
      <c r="AG66" s="23">
        <f t="shared" si="123"/>
        <v>40950</v>
      </c>
      <c r="AH66" s="23"/>
      <c r="AI66" s="23"/>
      <c r="AJ66" s="23">
        <f t="shared" si="124"/>
        <v>0</v>
      </c>
      <c r="AK66" s="23"/>
      <c r="AL66" s="23">
        <f t="shared" si="125"/>
        <v>0</v>
      </c>
      <c r="AM66" s="23"/>
      <c r="AN66" s="23"/>
      <c r="AO66" s="23">
        <f t="shared" si="126"/>
        <v>0</v>
      </c>
      <c r="AP66" s="23"/>
      <c r="AQ66" s="23">
        <f t="shared" si="127"/>
        <v>0</v>
      </c>
      <c r="AR66" s="23"/>
      <c r="AS66" s="23"/>
      <c r="AT66" s="23">
        <f t="shared" si="128"/>
        <v>0</v>
      </c>
      <c r="AU66" s="23"/>
      <c r="AV66" s="23">
        <f t="shared" si="129"/>
        <v>0</v>
      </c>
      <c r="AW66" s="23"/>
      <c r="AX66" s="24"/>
      <c r="AY66" s="24">
        <f t="shared" si="130"/>
        <v>0</v>
      </c>
      <c r="AZ66" s="23"/>
      <c r="BA66" s="23">
        <f t="shared" si="131"/>
        <v>0</v>
      </c>
      <c r="BB66" s="23"/>
      <c r="BC66" s="23"/>
      <c r="BD66" s="23">
        <f t="shared" si="132"/>
        <v>0</v>
      </c>
      <c r="BE66" s="23"/>
      <c r="BF66" s="23">
        <f t="shared" si="133"/>
        <v>0</v>
      </c>
      <c r="BG66" s="23"/>
      <c r="BH66" s="23"/>
      <c r="BI66" s="23">
        <f t="shared" si="134"/>
        <v>0</v>
      </c>
      <c r="BJ66" s="23"/>
      <c r="BK66" s="23">
        <f t="shared" si="135"/>
        <v>0</v>
      </c>
      <c r="BL66" s="23"/>
      <c r="BM66" s="23"/>
      <c r="BN66" s="23">
        <f t="shared" si="136"/>
        <v>0</v>
      </c>
      <c r="BO66" s="23"/>
      <c r="BP66" s="23">
        <f t="shared" si="137"/>
        <v>0</v>
      </c>
      <c r="BQ66" s="23"/>
      <c r="BR66" s="23"/>
      <c r="BS66" s="23">
        <f t="shared" si="138"/>
        <v>0</v>
      </c>
      <c r="BT66" s="23"/>
      <c r="BU66" s="23">
        <f t="shared" si="139"/>
        <v>0</v>
      </c>
      <c r="BV66" s="23"/>
      <c r="BW66" s="23"/>
      <c r="BX66" s="23">
        <f t="shared" si="140"/>
        <v>0</v>
      </c>
      <c r="BY66" s="23"/>
      <c r="BZ66" s="23">
        <f t="shared" si="141"/>
        <v>0</v>
      </c>
      <c r="CA66" s="23"/>
      <c r="CB66" s="15"/>
    </row>
    <row r="67" spans="1:80" ht="16" x14ac:dyDescent="0.4">
      <c r="A67" s="15" t="s">
        <v>76</v>
      </c>
      <c r="B67" s="15" t="s">
        <v>262</v>
      </c>
      <c r="C67" s="15" t="s">
        <v>263</v>
      </c>
      <c r="D67" s="15" t="s">
        <v>329</v>
      </c>
      <c r="E67" s="112" t="s">
        <v>330</v>
      </c>
      <c r="F67" s="15" t="s">
        <v>267</v>
      </c>
      <c r="G67" s="15" t="s">
        <v>264</v>
      </c>
      <c r="H67" s="15" t="s">
        <v>77</v>
      </c>
      <c r="I67" s="15" t="s">
        <v>77</v>
      </c>
      <c r="J67" s="15" t="s">
        <v>78</v>
      </c>
      <c r="K67" s="15" t="s">
        <v>79</v>
      </c>
      <c r="L67" s="15" t="s">
        <v>515</v>
      </c>
      <c r="M67" s="15"/>
      <c r="N67" s="17">
        <v>6.34</v>
      </c>
      <c r="O67" s="72"/>
      <c r="P67" s="22">
        <f t="shared" si="114"/>
        <v>0</v>
      </c>
      <c r="Q67" s="22">
        <f t="shared" si="115"/>
        <v>0</v>
      </c>
      <c r="R67" s="22">
        <f t="shared" si="116"/>
        <v>0</v>
      </c>
      <c r="S67" s="22">
        <f t="shared" si="117"/>
        <v>0</v>
      </c>
      <c r="T67" s="23"/>
      <c r="U67" s="23">
        <f t="shared" si="118"/>
        <v>0</v>
      </c>
      <c r="V67" s="23">
        <v>3000</v>
      </c>
      <c r="W67" s="23">
        <f t="shared" si="119"/>
        <v>19020</v>
      </c>
      <c r="X67" s="23">
        <v>9000</v>
      </c>
      <c r="Y67" s="23"/>
      <c r="Z67" s="23">
        <f t="shared" si="120"/>
        <v>0</v>
      </c>
      <c r="AA67" s="23">
        <v>3000</v>
      </c>
      <c r="AB67" s="23">
        <f t="shared" si="121"/>
        <v>19020</v>
      </c>
      <c r="AC67" s="23"/>
      <c r="AD67" s="23"/>
      <c r="AE67" s="23">
        <f t="shared" si="122"/>
        <v>0</v>
      </c>
      <c r="AF67" s="23">
        <v>3000</v>
      </c>
      <c r="AG67" s="23">
        <f t="shared" si="123"/>
        <v>19020</v>
      </c>
      <c r="AH67" s="23"/>
      <c r="AI67" s="23"/>
      <c r="AJ67" s="23">
        <f t="shared" si="124"/>
        <v>0</v>
      </c>
      <c r="AK67" s="23"/>
      <c r="AL67" s="23">
        <f t="shared" si="125"/>
        <v>0</v>
      </c>
      <c r="AM67" s="23"/>
      <c r="AN67" s="23"/>
      <c r="AO67" s="23">
        <f t="shared" si="126"/>
        <v>0</v>
      </c>
      <c r="AP67" s="23"/>
      <c r="AQ67" s="23">
        <f t="shared" si="127"/>
        <v>0</v>
      </c>
      <c r="AR67" s="23"/>
      <c r="AS67" s="23"/>
      <c r="AT67" s="23">
        <f t="shared" si="128"/>
        <v>0</v>
      </c>
      <c r="AU67" s="23"/>
      <c r="AV67" s="23">
        <f t="shared" si="129"/>
        <v>0</v>
      </c>
      <c r="AW67" s="23"/>
      <c r="AX67" s="24"/>
      <c r="AY67" s="24">
        <f t="shared" si="130"/>
        <v>0</v>
      </c>
      <c r="AZ67" s="23"/>
      <c r="BA67" s="23">
        <f t="shared" si="131"/>
        <v>0</v>
      </c>
      <c r="BB67" s="23"/>
      <c r="BC67" s="23"/>
      <c r="BD67" s="23">
        <f t="shared" si="132"/>
        <v>0</v>
      </c>
      <c r="BE67" s="23"/>
      <c r="BF67" s="23">
        <f t="shared" si="133"/>
        <v>0</v>
      </c>
      <c r="BG67" s="23"/>
      <c r="BH67" s="23"/>
      <c r="BI67" s="23">
        <f t="shared" si="134"/>
        <v>0</v>
      </c>
      <c r="BJ67" s="23"/>
      <c r="BK67" s="23">
        <f t="shared" si="135"/>
        <v>0</v>
      </c>
      <c r="BL67" s="23"/>
      <c r="BM67" s="23"/>
      <c r="BN67" s="23">
        <f t="shared" si="136"/>
        <v>0</v>
      </c>
      <c r="BO67" s="23"/>
      <c r="BP67" s="23">
        <f t="shared" si="137"/>
        <v>0</v>
      </c>
      <c r="BQ67" s="23"/>
      <c r="BR67" s="23"/>
      <c r="BS67" s="23">
        <f t="shared" si="138"/>
        <v>0</v>
      </c>
      <c r="BT67" s="23"/>
      <c r="BU67" s="23">
        <f t="shared" si="139"/>
        <v>0</v>
      </c>
      <c r="BV67" s="23"/>
      <c r="BW67" s="23"/>
      <c r="BX67" s="23">
        <f t="shared" si="140"/>
        <v>0</v>
      </c>
      <c r="BY67" s="23"/>
      <c r="BZ67" s="23">
        <f t="shared" si="141"/>
        <v>0</v>
      </c>
      <c r="CA67" s="23"/>
      <c r="CB67" s="20"/>
    </row>
    <row r="68" spans="1:80" ht="16" x14ac:dyDescent="0.4">
      <c r="A68" s="15" t="s">
        <v>76</v>
      </c>
      <c r="B68" s="15" t="s">
        <v>262</v>
      </c>
      <c r="C68" s="15" t="s">
        <v>263</v>
      </c>
      <c r="D68" s="15" t="s">
        <v>329</v>
      </c>
      <c r="E68" s="112" t="s">
        <v>330</v>
      </c>
      <c r="F68" s="15" t="s">
        <v>267</v>
      </c>
      <c r="G68" s="15" t="s">
        <v>264</v>
      </c>
      <c r="H68" s="15" t="s">
        <v>77</v>
      </c>
      <c r="I68" s="15" t="s">
        <v>77</v>
      </c>
      <c r="J68" s="15" t="s">
        <v>78</v>
      </c>
      <c r="K68" s="15" t="s">
        <v>79</v>
      </c>
      <c r="L68" s="15" t="s">
        <v>516</v>
      </c>
      <c r="M68" s="15"/>
      <c r="N68" s="17">
        <v>2.5099999999999998</v>
      </c>
      <c r="O68" s="18"/>
      <c r="P68" s="22">
        <f t="shared" si="114"/>
        <v>0</v>
      </c>
      <c r="Q68" s="22">
        <f t="shared" si="115"/>
        <v>0</v>
      </c>
      <c r="R68" s="22">
        <f t="shared" si="116"/>
        <v>0</v>
      </c>
      <c r="S68" s="22">
        <f t="shared" si="117"/>
        <v>0</v>
      </c>
      <c r="T68" s="23"/>
      <c r="U68" s="23">
        <f t="shared" si="118"/>
        <v>0</v>
      </c>
      <c r="V68" s="23">
        <v>3000</v>
      </c>
      <c r="W68" s="23">
        <f t="shared" si="119"/>
        <v>7529.9999999999991</v>
      </c>
      <c r="X68" s="23">
        <v>36000</v>
      </c>
      <c r="Y68" s="23"/>
      <c r="Z68" s="23">
        <f t="shared" si="120"/>
        <v>0</v>
      </c>
      <c r="AA68" s="23">
        <v>3000</v>
      </c>
      <c r="AB68" s="23">
        <f t="shared" si="121"/>
        <v>7529.9999999999991</v>
      </c>
      <c r="AC68" s="23"/>
      <c r="AD68" s="23"/>
      <c r="AE68" s="23">
        <f t="shared" si="122"/>
        <v>0</v>
      </c>
      <c r="AF68" s="23">
        <v>3000</v>
      </c>
      <c r="AG68" s="23">
        <f t="shared" si="123"/>
        <v>7529.9999999999991</v>
      </c>
      <c r="AH68" s="23">
        <v>6000</v>
      </c>
      <c r="AI68" s="23"/>
      <c r="AJ68" s="23">
        <f t="shared" si="124"/>
        <v>0</v>
      </c>
      <c r="AK68" s="23"/>
      <c r="AL68" s="23">
        <f t="shared" si="125"/>
        <v>0</v>
      </c>
      <c r="AM68" s="23"/>
      <c r="AN68" s="23"/>
      <c r="AO68" s="23">
        <f t="shared" si="126"/>
        <v>0</v>
      </c>
      <c r="AP68" s="23"/>
      <c r="AQ68" s="23">
        <f t="shared" si="127"/>
        <v>0</v>
      </c>
      <c r="AR68" s="23"/>
      <c r="AS68" s="23"/>
      <c r="AT68" s="23">
        <f t="shared" si="128"/>
        <v>0</v>
      </c>
      <c r="AU68" s="23"/>
      <c r="AV68" s="23">
        <f t="shared" si="129"/>
        <v>0</v>
      </c>
      <c r="AW68" s="23"/>
      <c r="AX68" s="24"/>
      <c r="AY68" s="24">
        <f t="shared" si="130"/>
        <v>0</v>
      </c>
      <c r="AZ68" s="23"/>
      <c r="BA68" s="23">
        <f t="shared" si="131"/>
        <v>0</v>
      </c>
      <c r="BB68" s="23"/>
      <c r="BC68" s="23"/>
      <c r="BD68" s="23">
        <f t="shared" si="132"/>
        <v>0</v>
      </c>
      <c r="BE68" s="23"/>
      <c r="BF68" s="23">
        <f t="shared" si="133"/>
        <v>0</v>
      </c>
      <c r="BG68" s="23"/>
      <c r="BH68" s="23"/>
      <c r="BI68" s="23">
        <f t="shared" si="134"/>
        <v>0</v>
      </c>
      <c r="BJ68" s="23"/>
      <c r="BK68" s="23">
        <f t="shared" si="135"/>
        <v>0</v>
      </c>
      <c r="BL68" s="23"/>
      <c r="BM68" s="23"/>
      <c r="BN68" s="23">
        <f t="shared" si="136"/>
        <v>0</v>
      </c>
      <c r="BO68" s="23"/>
      <c r="BP68" s="23">
        <f t="shared" si="137"/>
        <v>0</v>
      </c>
      <c r="BQ68" s="23"/>
      <c r="BR68" s="23"/>
      <c r="BS68" s="23">
        <f t="shared" si="138"/>
        <v>0</v>
      </c>
      <c r="BT68" s="23"/>
      <c r="BU68" s="23">
        <f t="shared" si="139"/>
        <v>0</v>
      </c>
      <c r="BV68" s="23"/>
      <c r="BW68" s="23"/>
      <c r="BX68" s="23">
        <f t="shared" si="140"/>
        <v>0</v>
      </c>
      <c r="BY68" s="23"/>
      <c r="BZ68" s="23">
        <f t="shared" si="141"/>
        <v>0</v>
      </c>
      <c r="CA68" s="23"/>
      <c r="CB68" s="15"/>
    </row>
    <row r="69" spans="1:80" ht="16" x14ac:dyDescent="0.4">
      <c r="A69" s="15" t="s">
        <v>76</v>
      </c>
      <c r="B69" s="15" t="s">
        <v>262</v>
      </c>
      <c r="C69" s="15" t="s">
        <v>263</v>
      </c>
      <c r="D69" s="15" t="s">
        <v>329</v>
      </c>
      <c r="E69" s="112" t="s">
        <v>330</v>
      </c>
      <c r="F69" s="15" t="s">
        <v>267</v>
      </c>
      <c r="G69" s="15" t="s">
        <v>264</v>
      </c>
      <c r="H69" s="15" t="s">
        <v>145</v>
      </c>
      <c r="I69" s="15" t="s">
        <v>145</v>
      </c>
      <c r="J69" s="21" t="s">
        <v>89</v>
      </c>
      <c r="K69" s="15" t="s">
        <v>79</v>
      </c>
      <c r="L69" s="15" t="s">
        <v>517</v>
      </c>
      <c r="M69" s="15"/>
      <c r="N69" s="17">
        <v>6.94</v>
      </c>
      <c r="O69" s="18"/>
      <c r="P69" s="22">
        <f t="shared" si="114"/>
        <v>0</v>
      </c>
      <c r="Q69" s="22">
        <f t="shared" si="115"/>
        <v>0</v>
      </c>
      <c r="R69" s="22">
        <f t="shared" si="116"/>
        <v>0</v>
      </c>
      <c r="S69" s="22">
        <f t="shared" si="117"/>
        <v>0</v>
      </c>
      <c r="T69" s="23"/>
      <c r="U69" s="23">
        <f t="shared" si="118"/>
        <v>0</v>
      </c>
      <c r="V69" s="23">
        <v>1000</v>
      </c>
      <c r="W69" s="23">
        <f t="shared" si="119"/>
        <v>6940</v>
      </c>
      <c r="X69" s="23"/>
      <c r="Y69" s="23"/>
      <c r="Z69" s="23">
        <f t="shared" si="120"/>
        <v>0</v>
      </c>
      <c r="AA69" s="23">
        <v>1000</v>
      </c>
      <c r="AB69" s="23">
        <f t="shared" si="121"/>
        <v>6940</v>
      </c>
      <c r="AC69" s="23"/>
      <c r="AD69" s="23"/>
      <c r="AE69" s="23">
        <f t="shared" si="122"/>
        <v>0</v>
      </c>
      <c r="AF69" s="23">
        <v>1000</v>
      </c>
      <c r="AG69" s="23">
        <f t="shared" si="123"/>
        <v>6940</v>
      </c>
      <c r="AH69" s="23"/>
      <c r="AI69" s="23"/>
      <c r="AJ69" s="23">
        <f t="shared" si="124"/>
        <v>0</v>
      </c>
      <c r="AK69" s="23"/>
      <c r="AL69" s="23">
        <f t="shared" si="125"/>
        <v>0</v>
      </c>
      <c r="AM69" s="23"/>
      <c r="AN69" s="23"/>
      <c r="AO69" s="23">
        <f t="shared" si="126"/>
        <v>0</v>
      </c>
      <c r="AP69" s="23"/>
      <c r="AQ69" s="23">
        <f t="shared" si="127"/>
        <v>0</v>
      </c>
      <c r="AR69" s="23"/>
      <c r="AS69" s="23"/>
      <c r="AT69" s="23">
        <f t="shared" si="128"/>
        <v>0</v>
      </c>
      <c r="AU69" s="23"/>
      <c r="AV69" s="23">
        <f t="shared" si="129"/>
        <v>0</v>
      </c>
      <c r="AW69" s="23"/>
      <c r="AX69" s="24"/>
      <c r="AY69" s="24">
        <f t="shared" si="130"/>
        <v>0</v>
      </c>
      <c r="AZ69" s="23"/>
      <c r="BA69" s="23">
        <f t="shared" si="131"/>
        <v>0</v>
      </c>
      <c r="BB69" s="23"/>
      <c r="BC69" s="23"/>
      <c r="BD69" s="23">
        <f t="shared" si="132"/>
        <v>0</v>
      </c>
      <c r="BE69" s="23"/>
      <c r="BF69" s="23">
        <f t="shared" si="133"/>
        <v>0</v>
      </c>
      <c r="BG69" s="23"/>
      <c r="BH69" s="23"/>
      <c r="BI69" s="23">
        <f t="shared" si="134"/>
        <v>0</v>
      </c>
      <c r="BJ69" s="23"/>
      <c r="BK69" s="23">
        <f t="shared" si="135"/>
        <v>0</v>
      </c>
      <c r="BL69" s="23"/>
      <c r="BM69" s="23"/>
      <c r="BN69" s="23">
        <f t="shared" si="136"/>
        <v>0</v>
      </c>
      <c r="BO69" s="23"/>
      <c r="BP69" s="23">
        <f t="shared" si="137"/>
        <v>0</v>
      </c>
      <c r="BQ69" s="23"/>
      <c r="BR69" s="23"/>
      <c r="BS69" s="23">
        <f t="shared" si="138"/>
        <v>0</v>
      </c>
      <c r="BT69" s="23"/>
      <c r="BU69" s="23">
        <f t="shared" si="139"/>
        <v>0</v>
      </c>
      <c r="BV69" s="23"/>
      <c r="BW69" s="23"/>
      <c r="BX69" s="23">
        <f t="shared" si="140"/>
        <v>0</v>
      </c>
      <c r="BY69" s="23"/>
      <c r="BZ69" s="23">
        <f t="shared" si="141"/>
        <v>0</v>
      </c>
      <c r="CA69" s="23"/>
      <c r="CB69" s="15"/>
    </row>
    <row r="70" spans="1:80" ht="16" x14ac:dyDescent="0.4">
      <c r="A70" s="15" t="s">
        <v>76</v>
      </c>
      <c r="B70" s="15" t="s">
        <v>262</v>
      </c>
      <c r="C70" s="15" t="s">
        <v>263</v>
      </c>
      <c r="D70" s="15" t="s">
        <v>329</v>
      </c>
      <c r="E70" s="112" t="s">
        <v>330</v>
      </c>
      <c r="F70" s="15" t="s">
        <v>267</v>
      </c>
      <c r="G70" s="15" t="s">
        <v>264</v>
      </c>
      <c r="H70" s="15" t="s">
        <v>186</v>
      </c>
      <c r="I70" s="15" t="s">
        <v>186</v>
      </c>
      <c r="J70" s="15" t="s">
        <v>89</v>
      </c>
      <c r="K70" s="3" t="s">
        <v>292</v>
      </c>
      <c r="L70" s="15" t="s">
        <v>518</v>
      </c>
      <c r="M70" s="15" t="s">
        <v>80</v>
      </c>
      <c r="N70" s="17">
        <v>16.8</v>
      </c>
      <c r="O70" s="18"/>
      <c r="P70" s="22">
        <f t="shared" si="114"/>
        <v>20</v>
      </c>
      <c r="Q70" s="22">
        <f t="shared" si="115"/>
        <v>336</v>
      </c>
      <c r="R70" s="22">
        <f t="shared" si="116"/>
        <v>0</v>
      </c>
      <c r="S70" s="22">
        <f t="shared" si="117"/>
        <v>0</v>
      </c>
      <c r="T70" s="23"/>
      <c r="U70" s="23">
        <f t="shared" si="118"/>
        <v>0</v>
      </c>
      <c r="V70" s="23"/>
      <c r="W70" s="23">
        <f t="shared" si="119"/>
        <v>0</v>
      </c>
      <c r="X70" s="23"/>
      <c r="Y70" s="23"/>
      <c r="Z70" s="23">
        <f t="shared" si="120"/>
        <v>0</v>
      </c>
      <c r="AA70" s="23"/>
      <c r="AB70" s="23">
        <f t="shared" si="121"/>
        <v>0</v>
      </c>
      <c r="AC70" s="23"/>
      <c r="AD70" s="23"/>
      <c r="AE70" s="23">
        <f t="shared" si="122"/>
        <v>0</v>
      </c>
      <c r="AF70" s="23"/>
      <c r="AG70" s="23">
        <f t="shared" si="123"/>
        <v>0</v>
      </c>
      <c r="AH70" s="23"/>
      <c r="AI70" s="23"/>
      <c r="AJ70" s="23">
        <f t="shared" si="124"/>
        <v>0</v>
      </c>
      <c r="AK70" s="23"/>
      <c r="AL70" s="23">
        <f t="shared" si="125"/>
        <v>0</v>
      </c>
      <c r="AM70" s="23"/>
      <c r="AN70" s="23"/>
      <c r="AO70" s="23">
        <f t="shared" si="126"/>
        <v>0</v>
      </c>
      <c r="AP70" s="23"/>
      <c r="AQ70" s="23">
        <f t="shared" si="127"/>
        <v>0</v>
      </c>
      <c r="AR70" s="23"/>
      <c r="AS70" s="23"/>
      <c r="AT70" s="23">
        <f t="shared" si="128"/>
        <v>0</v>
      </c>
      <c r="AU70" s="23"/>
      <c r="AV70" s="23">
        <f t="shared" si="129"/>
        <v>0</v>
      </c>
      <c r="AW70" s="23"/>
      <c r="AX70" s="24"/>
      <c r="AY70" s="24">
        <f t="shared" si="130"/>
        <v>0</v>
      </c>
      <c r="AZ70" s="23"/>
      <c r="BA70" s="23">
        <f t="shared" si="131"/>
        <v>0</v>
      </c>
      <c r="BB70" s="23"/>
      <c r="BC70" s="23">
        <v>10000</v>
      </c>
      <c r="BD70" s="23">
        <f t="shared" si="132"/>
        <v>168000</v>
      </c>
      <c r="BE70" s="23"/>
      <c r="BF70" s="23">
        <f t="shared" si="133"/>
        <v>0</v>
      </c>
      <c r="BG70" s="23"/>
      <c r="BH70" s="23"/>
      <c r="BI70" s="23">
        <f t="shared" si="134"/>
        <v>0</v>
      </c>
      <c r="BJ70" s="23"/>
      <c r="BK70" s="23">
        <f t="shared" si="135"/>
        <v>0</v>
      </c>
      <c r="BL70" s="23"/>
      <c r="BM70" s="23"/>
      <c r="BN70" s="23">
        <f t="shared" si="136"/>
        <v>0</v>
      </c>
      <c r="BO70" s="23"/>
      <c r="BP70" s="23">
        <f t="shared" si="137"/>
        <v>0</v>
      </c>
      <c r="BQ70" s="23"/>
      <c r="BR70" s="23"/>
      <c r="BS70" s="23">
        <f t="shared" si="138"/>
        <v>0</v>
      </c>
      <c r="BT70" s="23"/>
      <c r="BU70" s="23">
        <f t="shared" si="139"/>
        <v>0</v>
      </c>
      <c r="BV70" s="23"/>
      <c r="BW70" s="23">
        <v>10000</v>
      </c>
      <c r="BX70" s="23">
        <f t="shared" si="140"/>
        <v>168000</v>
      </c>
      <c r="BY70" s="23"/>
      <c r="BZ70" s="23">
        <f t="shared" si="141"/>
        <v>0</v>
      </c>
      <c r="CA70" s="23"/>
      <c r="CB70" s="15"/>
    </row>
    <row r="71" spans="1:80" ht="16" x14ac:dyDescent="0.4">
      <c r="A71" s="15" t="s">
        <v>76</v>
      </c>
      <c r="B71" s="15" t="s">
        <v>262</v>
      </c>
      <c r="C71" s="15" t="s">
        <v>519</v>
      </c>
      <c r="D71" s="15" t="s">
        <v>520</v>
      </c>
      <c r="E71" s="112" t="s">
        <v>330</v>
      </c>
      <c r="F71" s="15" t="s">
        <v>267</v>
      </c>
      <c r="G71" s="15" t="s">
        <v>264</v>
      </c>
      <c r="H71" s="15" t="s">
        <v>77</v>
      </c>
      <c r="I71" s="15" t="s">
        <v>77</v>
      </c>
      <c r="J71" s="15" t="s">
        <v>78</v>
      </c>
      <c r="K71" s="15" t="s">
        <v>79</v>
      </c>
      <c r="L71" s="15" t="s">
        <v>209</v>
      </c>
      <c r="M71" s="15"/>
      <c r="N71" s="17">
        <v>1.5</v>
      </c>
      <c r="O71" s="72"/>
      <c r="P71" s="22">
        <f t="shared" si="114"/>
        <v>0</v>
      </c>
      <c r="Q71" s="22">
        <f t="shared" si="115"/>
        <v>0</v>
      </c>
      <c r="R71" s="22">
        <f t="shared" si="116"/>
        <v>0</v>
      </c>
      <c r="S71" s="22">
        <f t="shared" si="117"/>
        <v>0</v>
      </c>
      <c r="T71" s="23"/>
      <c r="U71" s="23">
        <f t="shared" si="118"/>
        <v>0</v>
      </c>
      <c r="V71" s="23">
        <v>3000</v>
      </c>
      <c r="W71" s="23">
        <f t="shared" si="119"/>
        <v>4500</v>
      </c>
      <c r="X71" s="23"/>
      <c r="Y71" s="23"/>
      <c r="Z71" s="23">
        <f t="shared" si="120"/>
        <v>0</v>
      </c>
      <c r="AA71" s="23">
        <v>3000</v>
      </c>
      <c r="AB71" s="23">
        <f t="shared" si="121"/>
        <v>4500</v>
      </c>
      <c r="AC71" s="23"/>
      <c r="AD71" s="23"/>
      <c r="AE71" s="23">
        <f t="shared" si="122"/>
        <v>0</v>
      </c>
      <c r="AF71" s="23">
        <v>3000</v>
      </c>
      <c r="AG71" s="23">
        <f t="shared" si="123"/>
        <v>4500</v>
      </c>
      <c r="AH71" s="23">
        <v>99000</v>
      </c>
      <c r="AI71" s="23"/>
      <c r="AJ71" s="23">
        <f t="shared" si="124"/>
        <v>0</v>
      </c>
      <c r="AK71" s="23"/>
      <c r="AL71" s="23">
        <f t="shared" si="125"/>
        <v>0</v>
      </c>
      <c r="AM71" s="23"/>
      <c r="AN71" s="23"/>
      <c r="AO71" s="23">
        <f t="shared" si="126"/>
        <v>0</v>
      </c>
      <c r="AP71" s="23"/>
      <c r="AQ71" s="23">
        <f t="shared" si="127"/>
        <v>0</v>
      </c>
      <c r="AR71" s="23"/>
      <c r="AS71" s="23"/>
      <c r="AT71" s="23">
        <f t="shared" si="128"/>
        <v>0</v>
      </c>
      <c r="AU71" s="23"/>
      <c r="AV71" s="23">
        <f t="shared" si="129"/>
        <v>0</v>
      </c>
      <c r="AW71" s="23"/>
      <c r="AX71" s="24"/>
      <c r="AY71" s="24">
        <f t="shared" si="130"/>
        <v>0</v>
      </c>
      <c r="AZ71" s="23"/>
      <c r="BA71" s="23">
        <f t="shared" si="131"/>
        <v>0</v>
      </c>
      <c r="BB71" s="23"/>
      <c r="BC71" s="23"/>
      <c r="BD71" s="23">
        <f t="shared" si="132"/>
        <v>0</v>
      </c>
      <c r="BE71" s="23"/>
      <c r="BF71" s="23">
        <f t="shared" si="133"/>
        <v>0</v>
      </c>
      <c r="BG71" s="23"/>
      <c r="BH71" s="23"/>
      <c r="BI71" s="23">
        <f t="shared" si="134"/>
        <v>0</v>
      </c>
      <c r="BJ71" s="23"/>
      <c r="BK71" s="23">
        <f t="shared" si="135"/>
        <v>0</v>
      </c>
      <c r="BL71" s="23"/>
      <c r="BM71" s="23"/>
      <c r="BN71" s="23">
        <f t="shared" si="136"/>
        <v>0</v>
      </c>
      <c r="BO71" s="23"/>
      <c r="BP71" s="23">
        <f t="shared" si="137"/>
        <v>0</v>
      </c>
      <c r="BQ71" s="23"/>
      <c r="BR71" s="23"/>
      <c r="BS71" s="23">
        <f t="shared" si="138"/>
        <v>0</v>
      </c>
      <c r="BT71" s="23"/>
      <c r="BU71" s="23">
        <f t="shared" si="139"/>
        <v>0</v>
      </c>
      <c r="BV71" s="23"/>
      <c r="BW71" s="23"/>
      <c r="BX71" s="23">
        <f t="shared" si="140"/>
        <v>0</v>
      </c>
      <c r="BY71" s="23"/>
      <c r="BZ71" s="23">
        <f t="shared" si="141"/>
        <v>0</v>
      </c>
      <c r="CA71" s="23"/>
      <c r="CB71" s="15"/>
    </row>
    <row r="72" spans="1:80" ht="16" x14ac:dyDescent="0.4">
      <c r="A72" s="15" t="s">
        <v>76</v>
      </c>
      <c r="B72" s="15" t="s">
        <v>262</v>
      </c>
      <c r="C72" s="15" t="s">
        <v>263</v>
      </c>
      <c r="D72" s="15" t="s">
        <v>329</v>
      </c>
      <c r="E72" s="112" t="s">
        <v>330</v>
      </c>
      <c r="F72" s="15" t="s">
        <v>267</v>
      </c>
      <c r="G72" s="15" t="s">
        <v>264</v>
      </c>
      <c r="H72" s="15" t="s">
        <v>77</v>
      </c>
      <c r="I72" s="15" t="s">
        <v>77</v>
      </c>
      <c r="J72" s="15" t="s">
        <v>78</v>
      </c>
      <c r="K72" s="15" t="s">
        <v>79</v>
      </c>
      <c r="L72" s="15" t="s">
        <v>219</v>
      </c>
      <c r="M72" s="15" t="s">
        <v>80</v>
      </c>
      <c r="N72" s="17">
        <v>0.6</v>
      </c>
      <c r="O72" s="18"/>
      <c r="P72" s="22">
        <f t="shared" si="114"/>
        <v>81</v>
      </c>
      <c r="Q72" s="22">
        <f t="shared" si="115"/>
        <v>48.6</v>
      </c>
      <c r="R72" s="22">
        <f t="shared" si="116"/>
        <v>5400</v>
      </c>
      <c r="S72" s="22">
        <f t="shared" si="117"/>
        <v>0</v>
      </c>
      <c r="T72" s="23">
        <v>9000</v>
      </c>
      <c r="U72" s="23">
        <f t="shared" si="118"/>
        <v>5400</v>
      </c>
      <c r="V72" s="23">
        <v>9000</v>
      </c>
      <c r="W72" s="23">
        <f t="shared" si="119"/>
        <v>5400</v>
      </c>
      <c r="X72" s="23"/>
      <c r="Y72" s="23"/>
      <c r="Z72" s="23">
        <f t="shared" si="120"/>
        <v>0</v>
      </c>
      <c r="AA72" s="23">
        <v>9000</v>
      </c>
      <c r="AB72" s="23">
        <f t="shared" si="121"/>
        <v>5400</v>
      </c>
      <c r="AC72" s="23"/>
      <c r="AD72" s="23">
        <v>9000</v>
      </c>
      <c r="AE72" s="23">
        <f t="shared" si="122"/>
        <v>5400</v>
      </c>
      <c r="AF72" s="23">
        <v>9000</v>
      </c>
      <c r="AG72" s="23">
        <f t="shared" si="123"/>
        <v>5400</v>
      </c>
      <c r="AH72" s="23"/>
      <c r="AI72" s="23">
        <v>9000</v>
      </c>
      <c r="AJ72" s="23">
        <f t="shared" si="124"/>
        <v>5400</v>
      </c>
      <c r="AK72" s="23">
        <v>9000</v>
      </c>
      <c r="AL72" s="23">
        <f t="shared" si="125"/>
        <v>5400</v>
      </c>
      <c r="AM72" s="23"/>
      <c r="AN72" s="23"/>
      <c r="AO72" s="23">
        <f t="shared" si="126"/>
        <v>0</v>
      </c>
      <c r="AP72" s="23">
        <v>9000</v>
      </c>
      <c r="AQ72" s="23">
        <f t="shared" si="127"/>
        <v>5400</v>
      </c>
      <c r="AR72" s="23"/>
      <c r="AS72" s="23">
        <v>9000</v>
      </c>
      <c r="AT72" s="23">
        <f t="shared" si="128"/>
        <v>5400</v>
      </c>
      <c r="AU72" s="23">
        <v>9000</v>
      </c>
      <c r="AV72" s="23">
        <f t="shared" si="129"/>
        <v>5400</v>
      </c>
      <c r="AW72" s="23"/>
      <c r="AX72" s="24">
        <v>9000</v>
      </c>
      <c r="AY72" s="24">
        <f t="shared" si="130"/>
        <v>5400</v>
      </c>
      <c r="AZ72" s="23">
        <v>9000</v>
      </c>
      <c r="BA72" s="23">
        <f t="shared" si="131"/>
        <v>5400</v>
      </c>
      <c r="BB72" s="23"/>
      <c r="BC72" s="23">
        <v>9000</v>
      </c>
      <c r="BD72" s="23">
        <f t="shared" si="132"/>
        <v>5400</v>
      </c>
      <c r="BE72" s="23"/>
      <c r="BF72" s="23">
        <f t="shared" si="133"/>
        <v>0</v>
      </c>
      <c r="BG72" s="23"/>
      <c r="BH72" s="23">
        <v>9000</v>
      </c>
      <c r="BI72" s="23">
        <f t="shared" si="134"/>
        <v>5400</v>
      </c>
      <c r="BJ72" s="23"/>
      <c r="BK72" s="23">
        <f t="shared" si="135"/>
        <v>0</v>
      </c>
      <c r="BL72" s="23"/>
      <c r="BM72" s="23"/>
      <c r="BN72" s="23">
        <f t="shared" si="136"/>
        <v>0</v>
      </c>
      <c r="BO72" s="23"/>
      <c r="BP72" s="23">
        <f t="shared" si="137"/>
        <v>0</v>
      </c>
      <c r="BQ72" s="23"/>
      <c r="BR72" s="23">
        <v>9000</v>
      </c>
      <c r="BS72" s="23">
        <f t="shared" si="138"/>
        <v>5400</v>
      </c>
      <c r="BT72" s="23"/>
      <c r="BU72" s="23">
        <f t="shared" si="139"/>
        <v>0</v>
      </c>
      <c r="BV72" s="23"/>
      <c r="BW72" s="23">
        <v>9000</v>
      </c>
      <c r="BX72" s="23">
        <f t="shared" si="140"/>
        <v>5400</v>
      </c>
      <c r="BY72" s="23"/>
      <c r="BZ72" s="23">
        <f t="shared" si="141"/>
        <v>0</v>
      </c>
      <c r="CA72" s="23"/>
      <c r="CB72" s="15"/>
    </row>
    <row r="73" spans="1:80" ht="16" x14ac:dyDescent="0.4">
      <c r="A73" s="15" t="s">
        <v>76</v>
      </c>
      <c r="B73" s="15" t="s">
        <v>262</v>
      </c>
      <c r="C73" s="15" t="s">
        <v>263</v>
      </c>
      <c r="D73" s="15" t="s">
        <v>329</v>
      </c>
      <c r="E73" s="112" t="s">
        <v>330</v>
      </c>
      <c r="F73" s="15" t="s">
        <v>267</v>
      </c>
      <c r="G73" s="15" t="s">
        <v>264</v>
      </c>
      <c r="H73" s="15" t="s">
        <v>77</v>
      </c>
      <c r="I73" s="15" t="s">
        <v>77</v>
      </c>
      <c r="J73" s="15" t="s">
        <v>78</v>
      </c>
      <c r="K73" s="15" t="s">
        <v>79</v>
      </c>
      <c r="L73" s="15" t="s">
        <v>161</v>
      </c>
      <c r="M73" s="15" t="s">
        <v>80</v>
      </c>
      <c r="N73" s="17">
        <v>0.76</v>
      </c>
      <c r="O73" s="105">
        <v>90000</v>
      </c>
      <c r="P73" s="22">
        <f t="shared" si="114"/>
        <v>225</v>
      </c>
      <c r="Q73" s="22">
        <f t="shared" si="115"/>
        <v>171</v>
      </c>
      <c r="R73" s="22">
        <f t="shared" si="116"/>
        <v>114000</v>
      </c>
      <c r="S73" s="22">
        <f t="shared" si="117"/>
        <v>0</v>
      </c>
      <c r="T73" s="23">
        <v>22500</v>
      </c>
      <c r="U73" s="23">
        <f t="shared" si="118"/>
        <v>17100</v>
      </c>
      <c r="V73" s="23">
        <v>22500</v>
      </c>
      <c r="W73" s="23">
        <f t="shared" si="119"/>
        <v>17100</v>
      </c>
      <c r="X73" s="23"/>
      <c r="Y73" s="23">
        <v>22500</v>
      </c>
      <c r="Z73" s="23">
        <f t="shared" si="120"/>
        <v>17100</v>
      </c>
      <c r="AA73" s="23">
        <v>22500</v>
      </c>
      <c r="AB73" s="23">
        <f t="shared" si="121"/>
        <v>17100</v>
      </c>
      <c r="AC73" s="23"/>
      <c r="AD73" s="23">
        <v>22500</v>
      </c>
      <c r="AE73" s="23">
        <f t="shared" si="122"/>
        <v>17100</v>
      </c>
      <c r="AF73" s="23">
        <v>22500</v>
      </c>
      <c r="AG73" s="23">
        <f t="shared" si="123"/>
        <v>17100</v>
      </c>
      <c r="AH73" s="23"/>
      <c r="AI73" s="23">
        <v>22500</v>
      </c>
      <c r="AJ73" s="23">
        <f t="shared" si="124"/>
        <v>17100</v>
      </c>
      <c r="AK73" s="23">
        <v>22500</v>
      </c>
      <c r="AL73" s="23">
        <f t="shared" si="125"/>
        <v>17100</v>
      </c>
      <c r="AM73" s="23"/>
      <c r="AN73" s="23">
        <v>22500</v>
      </c>
      <c r="AO73" s="23">
        <f t="shared" si="126"/>
        <v>17100</v>
      </c>
      <c r="AP73" s="23">
        <v>50000</v>
      </c>
      <c r="AQ73" s="23">
        <f t="shared" si="127"/>
        <v>38000</v>
      </c>
      <c r="AR73" s="26">
        <v>30000</v>
      </c>
      <c r="AS73" s="23"/>
      <c r="AT73" s="23">
        <f t="shared" si="128"/>
        <v>0</v>
      </c>
      <c r="AU73" s="23">
        <v>50000</v>
      </c>
      <c r="AV73" s="23">
        <f t="shared" si="129"/>
        <v>38000</v>
      </c>
      <c r="AW73" s="106">
        <v>75000</v>
      </c>
      <c r="AX73" s="24">
        <v>22500</v>
      </c>
      <c r="AY73" s="24">
        <f t="shared" si="130"/>
        <v>17100</v>
      </c>
      <c r="AZ73" s="23">
        <v>50000</v>
      </c>
      <c r="BA73" s="23">
        <f t="shared" si="131"/>
        <v>38000</v>
      </c>
      <c r="BB73" s="23"/>
      <c r="BC73" s="23">
        <v>22500</v>
      </c>
      <c r="BD73" s="23">
        <f t="shared" si="132"/>
        <v>17100</v>
      </c>
      <c r="BE73" s="23">
        <v>50000</v>
      </c>
      <c r="BF73" s="23">
        <f t="shared" si="133"/>
        <v>38000</v>
      </c>
      <c r="BG73" s="23"/>
      <c r="BH73" s="23">
        <v>22500</v>
      </c>
      <c r="BI73" s="23">
        <f t="shared" si="134"/>
        <v>17100</v>
      </c>
      <c r="BJ73" s="23">
        <v>50000</v>
      </c>
      <c r="BK73" s="23">
        <f t="shared" si="135"/>
        <v>38000</v>
      </c>
      <c r="BL73" s="23"/>
      <c r="BM73" s="23">
        <v>22500</v>
      </c>
      <c r="BN73" s="23">
        <f t="shared" si="136"/>
        <v>17100</v>
      </c>
      <c r="BO73" s="23"/>
      <c r="BP73" s="23">
        <f t="shared" si="137"/>
        <v>0</v>
      </c>
      <c r="BQ73" s="23"/>
      <c r="BR73" s="23">
        <v>22500</v>
      </c>
      <c r="BS73" s="23">
        <f t="shared" si="138"/>
        <v>17100</v>
      </c>
      <c r="BT73" s="23"/>
      <c r="BU73" s="23">
        <f t="shared" si="139"/>
        <v>0</v>
      </c>
      <c r="BV73" s="23"/>
      <c r="BW73" s="23"/>
      <c r="BX73" s="23">
        <f t="shared" si="140"/>
        <v>0</v>
      </c>
      <c r="BY73" s="23"/>
      <c r="BZ73" s="23">
        <f t="shared" si="141"/>
        <v>0</v>
      </c>
      <c r="CA73" s="23"/>
      <c r="CB73" s="15"/>
    </row>
    <row r="74" spans="1:80" ht="16" x14ac:dyDescent="0.4">
      <c r="A74" s="15" t="s">
        <v>76</v>
      </c>
      <c r="B74" s="15" t="s">
        <v>262</v>
      </c>
      <c r="C74" s="15" t="s">
        <v>263</v>
      </c>
      <c r="D74" s="15" t="s">
        <v>329</v>
      </c>
      <c r="E74" s="112" t="s">
        <v>330</v>
      </c>
      <c r="F74" s="15" t="s">
        <v>267</v>
      </c>
      <c r="G74" s="15" t="s">
        <v>264</v>
      </c>
      <c r="H74" s="15" t="s">
        <v>77</v>
      </c>
      <c r="I74" s="15" t="s">
        <v>77</v>
      </c>
      <c r="J74" s="15" t="s">
        <v>78</v>
      </c>
      <c r="K74" s="15" t="s">
        <v>79</v>
      </c>
      <c r="L74" s="15" t="s">
        <v>515</v>
      </c>
      <c r="M74" s="15" t="s">
        <v>80</v>
      </c>
      <c r="N74" s="17">
        <v>5.51</v>
      </c>
      <c r="O74" s="72">
        <v>9000</v>
      </c>
      <c r="P74" s="22">
        <f t="shared" si="114"/>
        <v>30</v>
      </c>
      <c r="Q74" s="22">
        <f t="shared" si="115"/>
        <v>165.3</v>
      </c>
      <c r="R74" s="22">
        <f t="shared" si="116"/>
        <v>165300</v>
      </c>
      <c r="S74" s="22">
        <f t="shared" si="117"/>
        <v>0</v>
      </c>
      <c r="T74" s="23"/>
      <c r="U74" s="23">
        <f t="shared" si="118"/>
        <v>0</v>
      </c>
      <c r="V74" s="23"/>
      <c r="W74" s="23">
        <f t="shared" si="119"/>
        <v>0</v>
      </c>
      <c r="X74" s="23"/>
      <c r="Y74" s="23"/>
      <c r="Z74" s="23">
        <f t="shared" si="120"/>
        <v>0</v>
      </c>
      <c r="AA74" s="23"/>
      <c r="AB74" s="23">
        <f t="shared" si="121"/>
        <v>0</v>
      </c>
      <c r="AC74" s="23"/>
      <c r="AD74" s="23">
        <v>10000</v>
      </c>
      <c r="AE74" s="23">
        <f t="shared" si="122"/>
        <v>55100</v>
      </c>
      <c r="AF74" s="23"/>
      <c r="AG74" s="23">
        <f t="shared" si="123"/>
        <v>0</v>
      </c>
      <c r="AH74" s="23"/>
      <c r="AI74" s="23"/>
      <c r="AJ74" s="23">
        <f t="shared" si="124"/>
        <v>0</v>
      </c>
      <c r="AK74" s="23">
        <v>10000</v>
      </c>
      <c r="AL74" s="23">
        <f t="shared" si="125"/>
        <v>55100</v>
      </c>
      <c r="AM74" s="23"/>
      <c r="AN74" s="23"/>
      <c r="AO74" s="23">
        <f t="shared" si="126"/>
        <v>0</v>
      </c>
      <c r="AP74" s="23">
        <v>10000</v>
      </c>
      <c r="AQ74" s="23">
        <f t="shared" si="127"/>
        <v>55100</v>
      </c>
      <c r="AR74" s="23"/>
      <c r="AS74" s="23"/>
      <c r="AT74" s="23">
        <f t="shared" si="128"/>
        <v>0</v>
      </c>
      <c r="AU74" s="23">
        <v>10000</v>
      </c>
      <c r="AV74" s="23">
        <f t="shared" si="129"/>
        <v>55100</v>
      </c>
      <c r="AW74" s="23"/>
      <c r="AX74" s="24"/>
      <c r="AY74" s="24">
        <f t="shared" si="130"/>
        <v>0</v>
      </c>
      <c r="AZ74" s="23">
        <v>10000</v>
      </c>
      <c r="BA74" s="23">
        <f t="shared" si="131"/>
        <v>55100</v>
      </c>
      <c r="BB74" s="23"/>
      <c r="BC74" s="23"/>
      <c r="BD74" s="23">
        <f t="shared" si="132"/>
        <v>0</v>
      </c>
      <c r="BE74" s="23">
        <v>10000</v>
      </c>
      <c r="BF74" s="23">
        <f t="shared" si="133"/>
        <v>55100</v>
      </c>
      <c r="BG74" s="23"/>
      <c r="BH74" s="23">
        <v>10000</v>
      </c>
      <c r="BI74" s="23">
        <f t="shared" si="134"/>
        <v>55100</v>
      </c>
      <c r="BJ74" s="23">
        <v>10000</v>
      </c>
      <c r="BK74" s="23">
        <f t="shared" si="135"/>
        <v>55100</v>
      </c>
      <c r="BL74" s="23"/>
      <c r="BM74" s="23"/>
      <c r="BN74" s="23">
        <f t="shared" si="136"/>
        <v>0</v>
      </c>
      <c r="BO74" s="23"/>
      <c r="BP74" s="23">
        <f t="shared" si="137"/>
        <v>0</v>
      </c>
      <c r="BQ74" s="23"/>
      <c r="BR74" s="23"/>
      <c r="BS74" s="23">
        <f t="shared" si="138"/>
        <v>0</v>
      </c>
      <c r="BT74" s="23"/>
      <c r="BU74" s="23">
        <f t="shared" si="139"/>
        <v>0</v>
      </c>
      <c r="BV74" s="23"/>
      <c r="BW74" s="23">
        <v>10000</v>
      </c>
      <c r="BX74" s="23">
        <f t="shared" si="140"/>
        <v>55100</v>
      </c>
      <c r="BY74" s="23"/>
      <c r="BZ74" s="23">
        <f t="shared" si="141"/>
        <v>0</v>
      </c>
      <c r="CA74" s="23"/>
      <c r="CB74" s="15"/>
    </row>
    <row r="75" spans="1:80" ht="16" x14ac:dyDescent="0.4">
      <c r="A75" s="15" t="s">
        <v>76</v>
      </c>
      <c r="B75" s="15" t="s">
        <v>262</v>
      </c>
      <c r="C75" s="15" t="s">
        <v>263</v>
      </c>
      <c r="D75" s="15" t="s">
        <v>329</v>
      </c>
      <c r="E75" s="112" t="s">
        <v>330</v>
      </c>
      <c r="F75" s="15" t="s">
        <v>267</v>
      </c>
      <c r="G75" s="15" t="s">
        <v>264</v>
      </c>
      <c r="H75" s="15" t="s">
        <v>77</v>
      </c>
      <c r="I75" s="15" t="s">
        <v>77</v>
      </c>
      <c r="J75" s="15" t="s">
        <v>78</v>
      </c>
      <c r="K75" s="15" t="s">
        <v>79</v>
      </c>
      <c r="L75" s="15" t="s">
        <v>521</v>
      </c>
      <c r="M75" s="15" t="s">
        <v>80</v>
      </c>
      <c r="N75" s="17">
        <v>3.17</v>
      </c>
      <c r="O75" s="18"/>
      <c r="P75" s="22">
        <f t="shared" si="114"/>
        <v>240</v>
      </c>
      <c r="Q75" s="22">
        <f t="shared" si="115"/>
        <v>760.8</v>
      </c>
      <c r="R75" s="22">
        <f t="shared" si="116"/>
        <v>228240</v>
      </c>
      <c r="S75" s="22">
        <f t="shared" si="117"/>
        <v>0</v>
      </c>
      <c r="T75" s="23">
        <v>24000</v>
      </c>
      <c r="U75" s="23">
        <f t="shared" si="118"/>
        <v>76080</v>
      </c>
      <c r="V75" s="23">
        <v>24000</v>
      </c>
      <c r="W75" s="23">
        <f t="shared" si="119"/>
        <v>76080</v>
      </c>
      <c r="X75" s="23">
        <v>3000</v>
      </c>
      <c r="Y75" s="23">
        <v>24000</v>
      </c>
      <c r="Z75" s="23">
        <f t="shared" si="120"/>
        <v>76080</v>
      </c>
      <c r="AA75" s="23">
        <v>24000</v>
      </c>
      <c r="AB75" s="23">
        <f t="shared" si="121"/>
        <v>76080</v>
      </c>
      <c r="AC75" s="23">
        <v>6000</v>
      </c>
      <c r="AD75" s="23">
        <v>24000</v>
      </c>
      <c r="AE75" s="23">
        <f t="shared" si="122"/>
        <v>76080</v>
      </c>
      <c r="AF75" s="23">
        <v>24000</v>
      </c>
      <c r="AG75" s="23">
        <f t="shared" si="123"/>
        <v>76080</v>
      </c>
      <c r="AH75" s="23">
        <v>9000</v>
      </c>
      <c r="AI75" s="23">
        <v>24000</v>
      </c>
      <c r="AJ75" s="23">
        <f t="shared" si="124"/>
        <v>76080</v>
      </c>
      <c r="AK75" s="23">
        <v>24000</v>
      </c>
      <c r="AL75" s="23">
        <f t="shared" si="125"/>
        <v>76080</v>
      </c>
      <c r="AM75" s="23"/>
      <c r="AN75" s="23"/>
      <c r="AO75" s="23">
        <f t="shared" si="126"/>
        <v>0</v>
      </c>
      <c r="AP75" s="23">
        <v>24000</v>
      </c>
      <c r="AQ75" s="23">
        <f t="shared" si="127"/>
        <v>76080</v>
      </c>
      <c r="AR75" s="23"/>
      <c r="AS75" s="23">
        <v>24000</v>
      </c>
      <c r="AT75" s="23">
        <f t="shared" si="128"/>
        <v>76080</v>
      </c>
      <c r="AU75" s="23">
        <v>24000</v>
      </c>
      <c r="AV75" s="23">
        <f t="shared" si="129"/>
        <v>76080</v>
      </c>
      <c r="AW75" s="23"/>
      <c r="AX75" s="24">
        <v>24000</v>
      </c>
      <c r="AY75" s="24">
        <f t="shared" si="130"/>
        <v>76080</v>
      </c>
      <c r="AZ75" s="23">
        <v>24000</v>
      </c>
      <c r="BA75" s="23">
        <f t="shared" si="131"/>
        <v>76080</v>
      </c>
      <c r="BB75" s="23"/>
      <c r="BC75" s="23">
        <v>24000</v>
      </c>
      <c r="BD75" s="23">
        <f t="shared" si="132"/>
        <v>76080</v>
      </c>
      <c r="BE75" s="23">
        <v>24000</v>
      </c>
      <c r="BF75" s="23">
        <f t="shared" si="133"/>
        <v>76080</v>
      </c>
      <c r="BG75" s="23"/>
      <c r="BH75" s="23">
        <v>24000</v>
      </c>
      <c r="BI75" s="23">
        <f t="shared" si="134"/>
        <v>76080</v>
      </c>
      <c r="BJ75" s="23">
        <v>24000</v>
      </c>
      <c r="BK75" s="23">
        <f t="shared" si="135"/>
        <v>76080</v>
      </c>
      <c r="BL75" s="23"/>
      <c r="BM75" s="23"/>
      <c r="BN75" s="23">
        <f t="shared" si="136"/>
        <v>0</v>
      </c>
      <c r="BO75" s="23"/>
      <c r="BP75" s="23">
        <f t="shared" si="137"/>
        <v>0</v>
      </c>
      <c r="BQ75" s="23"/>
      <c r="BR75" s="23">
        <v>24000</v>
      </c>
      <c r="BS75" s="23">
        <f t="shared" si="138"/>
        <v>76080</v>
      </c>
      <c r="BT75" s="23"/>
      <c r="BU75" s="23">
        <f t="shared" si="139"/>
        <v>0</v>
      </c>
      <c r="BV75" s="23"/>
      <c r="BW75" s="23">
        <v>24000</v>
      </c>
      <c r="BX75" s="23">
        <f t="shared" si="140"/>
        <v>76080</v>
      </c>
      <c r="BY75" s="23"/>
      <c r="BZ75" s="23">
        <f t="shared" si="141"/>
        <v>0</v>
      </c>
      <c r="CA75" s="23"/>
      <c r="CB75" s="15"/>
    </row>
    <row r="76" spans="1:80" ht="16" x14ac:dyDescent="0.4">
      <c r="A76" s="15" t="s">
        <v>76</v>
      </c>
      <c r="B76" s="15" t="s">
        <v>262</v>
      </c>
      <c r="C76" s="15" t="s">
        <v>263</v>
      </c>
      <c r="D76" s="15" t="s">
        <v>329</v>
      </c>
      <c r="E76" s="112" t="s">
        <v>330</v>
      </c>
      <c r="F76" s="15" t="s">
        <v>267</v>
      </c>
      <c r="G76" s="15" t="s">
        <v>264</v>
      </c>
      <c r="H76" s="15" t="s">
        <v>77</v>
      </c>
      <c r="I76" s="15" t="s">
        <v>77</v>
      </c>
      <c r="J76" s="15" t="s">
        <v>78</v>
      </c>
      <c r="K76" s="15" t="s">
        <v>79</v>
      </c>
      <c r="L76" s="15" t="s">
        <v>514</v>
      </c>
      <c r="M76" s="15" t="s">
        <v>80</v>
      </c>
      <c r="N76" s="17">
        <v>12.13</v>
      </c>
      <c r="O76" s="72">
        <v>3000</v>
      </c>
      <c r="P76" s="22">
        <f t="shared" si="114"/>
        <v>30</v>
      </c>
      <c r="Q76" s="22">
        <f t="shared" si="115"/>
        <v>363.90000000000003</v>
      </c>
      <c r="R76" s="22">
        <f t="shared" si="116"/>
        <v>363900.00000000006</v>
      </c>
      <c r="S76" s="22">
        <f t="shared" si="117"/>
        <v>0</v>
      </c>
      <c r="T76" s="23"/>
      <c r="U76" s="23">
        <f t="shared" si="118"/>
        <v>0</v>
      </c>
      <c r="V76" s="23"/>
      <c r="W76" s="23">
        <f t="shared" si="119"/>
        <v>0</v>
      </c>
      <c r="X76" s="23"/>
      <c r="Y76" s="23"/>
      <c r="Z76" s="23">
        <f t="shared" si="120"/>
        <v>0</v>
      </c>
      <c r="AA76" s="23"/>
      <c r="AB76" s="23">
        <f t="shared" si="121"/>
        <v>0</v>
      </c>
      <c r="AC76" s="23"/>
      <c r="AD76" s="23">
        <v>10000</v>
      </c>
      <c r="AE76" s="23">
        <f t="shared" si="122"/>
        <v>121300.00000000001</v>
      </c>
      <c r="AF76" s="23"/>
      <c r="AG76" s="23">
        <f t="shared" si="123"/>
        <v>0</v>
      </c>
      <c r="AH76" s="23"/>
      <c r="AI76" s="23"/>
      <c r="AJ76" s="23">
        <f t="shared" si="124"/>
        <v>0</v>
      </c>
      <c r="AK76" s="23">
        <v>10000</v>
      </c>
      <c r="AL76" s="23">
        <f t="shared" si="125"/>
        <v>121300.00000000001</v>
      </c>
      <c r="AM76" s="23"/>
      <c r="AN76" s="23"/>
      <c r="AO76" s="23">
        <f t="shared" si="126"/>
        <v>0</v>
      </c>
      <c r="AP76" s="23">
        <v>10000</v>
      </c>
      <c r="AQ76" s="23">
        <f t="shared" si="127"/>
        <v>121300.00000000001</v>
      </c>
      <c r="AR76" s="23"/>
      <c r="AS76" s="23"/>
      <c r="AT76" s="23">
        <f t="shared" si="128"/>
        <v>0</v>
      </c>
      <c r="AU76" s="23">
        <v>10000</v>
      </c>
      <c r="AV76" s="23">
        <f t="shared" si="129"/>
        <v>121300.00000000001</v>
      </c>
      <c r="AW76" s="23"/>
      <c r="AX76" s="24"/>
      <c r="AY76" s="24">
        <f t="shared" si="130"/>
        <v>0</v>
      </c>
      <c r="AZ76" s="23">
        <v>10000</v>
      </c>
      <c r="BA76" s="23">
        <f t="shared" si="131"/>
        <v>121300.00000000001</v>
      </c>
      <c r="BB76" s="23"/>
      <c r="BC76" s="23"/>
      <c r="BD76" s="23">
        <f t="shared" si="132"/>
        <v>0</v>
      </c>
      <c r="BE76" s="23">
        <v>10000</v>
      </c>
      <c r="BF76" s="23">
        <f t="shared" si="133"/>
        <v>121300.00000000001</v>
      </c>
      <c r="BG76" s="23"/>
      <c r="BH76" s="23">
        <v>10000</v>
      </c>
      <c r="BI76" s="23">
        <f t="shared" si="134"/>
        <v>121300.00000000001</v>
      </c>
      <c r="BJ76" s="23">
        <v>10000</v>
      </c>
      <c r="BK76" s="23">
        <f t="shared" si="135"/>
        <v>121300.00000000001</v>
      </c>
      <c r="BL76" s="23"/>
      <c r="BM76" s="23"/>
      <c r="BN76" s="23">
        <f t="shared" si="136"/>
        <v>0</v>
      </c>
      <c r="BO76" s="23"/>
      <c r="BP76" s="23">
        <f t="shared" si="137"/>
        <v>0</v>
      </c>
      <c r="BQ76" s="23"/>
      <c r="BR76" s="23"/>
      <c r="BS76" s="23">
        <f t="shared" si="138"/>
        <v>0</v>
      </c>
      <c r="BT76" s="23"/>
      <c r="BU76" s="23">
        <f t="shared" si="139"/>
        <v>0</v>
      </c>
      <c r="BV76" s="23"/>
      <c r="BW76" s="23">
        <v>10000</v>
      </c>
      <c r="BX76" s="23">
        <f t="shared" si="140"/>
        <v>121300.00000000001</v>
      </c>
      <c r="BY76" s="23"/>
      <c r="BZ76" s="23">
        <f t="shared" si="141"/>
        <v>0</v>
      </c>
      <c r="CA76" s="23"/>
      <c r="CB76" s="15"/>
    </row>
    <row r="77" spans="1:80" ht="16" x14ac:dyDescent="0.4">
      <c r="A77" s="15" t="s">
        <v>76</v>
      </c>
      <c r="B77" s="15" t="s">
        <v>262</v>
      </c>
      <c r="C77" s="15" t="s">
        <v>522</v>
      </c>
      <c r="D77" s="15" t="s">
        <v>520</v>
      </c>
      <c r="E77" s="112" t="s">
        <v>330</v>
      </c>
      <c r="F77" s="15" t="s">
        <v>267</v>
      </c>
      <c r="G77" s="15" t="s">
        <v>264</v>
      </c>
      <c r="H77" s="15" t="s">
        <v>77</v>
      </c>
      <c r="I77" s="15" t="s">
        <v>77</v>
      </c>
      <c r="J77" s="15" t="s">
        <v>78</v>
      </c>
      <c r="K77" s="15" t="s">
        <v>79</v>
      </c>
      <c r="L77" s="15" t="s">
        <v>225</v>
      </c>
      <c r="M77" s="15"/>
      <c r="N77" s="17"/>
      <c r="O77" s="18"/>
      <c r="P77" s="22">
        <f t="shared" si="114"/>
        <v>0</v>
      </c>
      <c r="Q77" s="22">
        <f t="shared" si="115"/>
        <v>0</v>
      </c>
      <c r="R77" s="22">
        <f t="shared" si="116"/>
        <v>0</v>
      </c>
      <c r="S77" s="22">
        <f t="shared" si="117"/>
        <v>0</v>
      </c>
      <c r="T77" s="23"/>
      <c r="U77" s="23">
        <f t="shared" si="118"/>
        <v>0</v>
      </c>
      <c r="V77" s="23"/>
      <c r="W77" s="23">
        <f t="shared" si="119"/>
        <v>0</v>
      </c>
      <c r="X77" s="23"/>
      <c r="Y77" s="23"/>
      <c r="Z77" s="23">
        <f t="shared" si="120"/>
        <v>0</v>
      </c>
      <c r="AA77" s="23"/>
      <c r="AB77" s="23">
        <f t="shared" si="121"/>
        <v>0</v>
      </c>
      <c r="AC77" s="23"/>
      <c r="AD77" s="23"/>
      <c r="AE77" s="23">
        <f t="shared" si="122"/>
        <v>0</v>
      </c>
      <c r="AF77" s="23"/>
      <c r="AG77" s="23">
        <f t="shared" si="123"/>
        <v>0</v>
      </c>
      <c r="AH77" s="23"/>
      <c r="AI77" s="23"/>
      <c r="AJ77" s="23">
        <f t="shared" si="124"/>
        <v>0</v>
      </c>
      <c r="AK77" s="23"/>
      <c r="AL77" s="23">
        <f t="shared" si="125"/>
        <v>0</v>
      </c>
      <c r="AM77" s="23"/>
      <c r="AN77" s="23"/>
      <c r="AO77" s="23">
        <f t="shared" si="126"/>
        <v>0</v>
      </c>
      <c r="AP77" s="23"/>
      <c r="AQ77" s="23">
        <f t="shared" si="127"/>
        <v>0</v>
      </c>
      <c r="AR77" s="23"/>
      <c r="AS77" s="23"/>
      <c r="AT77" s="23">
        <f t="shared" si="128"/>
        <v>0</v>
      </c>
      <c r="AU77" s="23"/>
      <c r="AV77" s="23">
        <f t="shared" si="129"/>
        <v>0</v>
      </c>
      <c r="AW77" s="23"/>
      <c r="AX77" s="24"/>
      <c r="AY77" s="24">
        <f t="shared" si="130"/>
        <v>0</v>
      </c>
      <c r="AZ77" s="23"/>
      <c r="BA77" s="23">
        <f t="shared" si="131"/>
        <v>0</v>
      </c>
      <c r="BB77" s="23"/>
      <c r="BC77" s="23"/>
      <c r="BD77" s="23">
        <f t="shared" si="132"/>
        <v>0</v>
      </c>
      <c r="BE77" s="23"/>
      <c r="BF77" s="23">
        <f t="shared" si="133"/>
        <v>0</v>
      </c>
      <c r="BG77" s="23"/>
      <c r="BH77" s="23"/>
      <c r="BI77" s="23">
        <f t="shared" si="134"/>
        <v>0</v>
      </c>
      <c r="BJ77" s="23"/>
      <c r="BK77" s="23">
        <f t="shared" si="135"/>
        <v>0</v>
      </c>
      <c r="BL77" s="23"/>
      <c r="BM77" s="23"/>
      <c r="BN77" s="23">
        <f t="shared" si="136"/>
        <v>0</v>
      </c>
      <c r="BO77" s="23"/>
      <c r="BP77" s="23">
        <f t="shared" si="137"/>
        <v>0</v>
      </c>
      <c r="BQ77" s="23"/>
      <c r="BR77" s="23"/>
      <c r="BS77" s="23">
        <f t="shared" si="138"/>
        <v>0</v>
      </c>
      <c r="BT77" s="23"/>
      <c r="BU77" s="23">
        <f t="shared" si="139"/>
        <v>0</v>
      </c>
      <c r="BV77" s="23"/>
      <c r="BW77" s="23"/>
      <c r="BX77" s="23">
        <f t="shared" si="140"/>
        <v>0</v>
      </c>
      <c r="BY77" s="23"/>
      <c r="BZ77" s="23">
        <f t="shared" si="141"/>
        <v>0</v>
      </c>
      <c r="CA77" s="23"/>
      <c r="CB77" s="75"/>
    </row>
    <row r="78" spans="1:80" ht="16" x14ac:dyDescent="0.4">
      <c r="A78" s="15" t="s">
        <v>76</v>
      </c>
      <c r="B78" s="15" t="s">
        <v>262</v>
      </c>
      <c r="C78" s="15" t="s">
        <v>519</v>
      </c>
      <c r="D78" s="15" t="s">
        <v>520</v>
      </c>
      <c r="E78" s="113" t="s">
        <v>596</v>
      </c>
      <c r="F78" s="15" t="s">
        <v>267</v>
      </c>
      <c r="G78" s="15" t="s">
        <v>264</v>
      </c>
      <c r="H78" s="15" t="s">
        <v>77</v>
      </c>
      <c r="I78" s="15" t="s">
        <v>77</v>
      </c>
      <c r="J78" s="15" t="s">
        <v>78</v>
      </c>
      <c r="K78" s="15" t="s">
        <v>79</v>
      </c>
      <c r="L78" s="15" t="s">
        <v>513</v>
      </c>
      <c r="M78" s="15"/>
      <c r="N78" s="17">
        <v>2.4500000000000002</v>
      </c>
      <c r="O78" s="18"/>
      <c r="P78" s="22">
        <f t="shared" si="114"/>
        <v>0</v>
      </c>
      <c r="Q78" s="22">
        <f t="shared" si="115"/>
        <v>0</v>
      </c>
      <c r="R78" s="22">
        <f t="shared" si="116"/>
        <v>0</v>
      </c>
      <c r="S78" s="22">
        <f t="shared" si="117"/>
        <v>60000</v>
      </c>
      <c r="T78" s="23"/>
      <c r="U78" s="23">
        <f t="shared" si="118"/>
        <v>0</v>
      </c>
      <c r="V78" s="23"/>
      <c r="W78" s="23">
        <f t="shared" si="119"/>
        <v>0</v>
      </c>
      <c r="X78" s="23"/>
      <c r="Y78" s="23"/>
      <c r="Z78" s="23">
        <f t="shared" si="120"/>
        <v>0</v>
      </c>
      <c r="AA78" s="23"/>
      <c r="AB78" s="23">
        <f t="shared" si="121"/>
        <v>0</v>
      </c>
      <c r="AC78" s="23"/>
      <c r="AD78" s="23"/>
      <c r="AE78" s="23">
        <f t="shared" si="122"/>
        <v>0</v>
      </c>
      <c r="AF78" s="23"/>
      <c r="AG78" s="23">
        <f t="shared" si="123"/>
        <v>0</v>
      </c>
      <c r="AH78" s="23"/>
      <c r="AI78" s="23"/>
      <c r="AJ78" s="23">
        <f t="shared" si="124"/>
        <v>0</v>
      </c>
      <c r="AK78" s="23"/>
      <c r="AL78" s="23">
        <f t="shared" si="125"/>
        <v>0</v>
      </c>
      <c r="AM78" s="23"/>
      <c r="AN78" s="23"/>
      <c r="AO78" s="23">
        <f t="shared" si="126"/>
        <v>0</v>
      </c>
      <c r="AP78" s="23"/>
      <c r="AQ78" s="23">
        <f t="shared" si="127"/>
        <v>0</v>
      </c>
      <c r="AR78" s="23"/>
      <c r="AS78" s="23"/>
      <c r="AT78" s="23">
        <f t="shared" si="128"/>
        <v>0</v>
      </c>
      <c r="AU78" s="23"/>
      <c r="AV78" s="23">
        <f t="shared" si="129"/>
        <v>0</v>
      </c>
      <c r="AW78" s="23"/>
      <c r="AX78" s="24"/>
      <c r="AY78" s="24">
        <f t="shared" si="130"/>
        <v>0</v>
      </c>
      <c r="AZ78" s="23"/>
      <c r="BA78" s="23">
        <f t="shared" si="131"/>
        <v>0</v>
      </c>
      <c r="BB78" s="73">
        <v>60000</v>
      </c>
      <c r="BC78" s="23"/>
      <c r="BD78" s="23">
        <f t="shared" si="132"/>
        <v>0</v>
      </c>
      <c r="BE78" s="23"/>
      <c r="BF78" s="23">
        <f t="shared" si="133"/>
        <v>0</v>
      </c>
      <c r="BG78" s="23"/>
      <c r="BH78" s="23"/>
      <c r="BI78" s="23">
        <f t="shared" si="134"/>
        <v>0</v>
      </c>
      <c r="BJ78" s="23"/>
      <c r="BK78" s="23">
        <f t="shared" si="135"/>
        <v>0</v>
      </c>
      <c r="BL78" s="23"/>
      <c r="BM78" s="23"/>
      <c r="BN78" s="23">
        <f t="shared" si="136"/>
        <v>0</v>
      </c>
      <c r="BO78" s="23"/>
      <c r="BP78" s="23">
        <f t="shared" si="137"/>
        <v>0</v>
      </c>
      <c r="BQ78" s="23"/>
      <c r="BR78" s="23"/>
      <c r="BS78" s="23">
        <f t="shared" si="138"/>
        <v>0</v>
      </c>
      <c r="BT78" s="23"/>
      <c r="BU78" s="23">
        <f t="shared" si="139"/>
        <v>0</v>
      </c>
      <c r="BV78" s="23"/>
      <c r="BW78" s="23"/>
      <c r="BX78" s="23">
        <f t="shared" si="140"/>
        <v>0</v>
      </c>
      <c r="BY78" s="23"/>
      <c r="BZ78" s="23">
        <f t="shared" si="141"/>
        <v>0</v>
      </c>
      <c r="CA78" s="23"/>
      <c r="CB78" s="15"/>
    </row>
    <row r="79" spans="1:80" ht="16" x14ac:dyDescent="0.4">
      <c r="A79" s="15" t="s">
        <v>76</v>
      </c>
      <c r="B79" s="15" t="s">
        <v>262</v>
      </c>
      <c r="C79" s="15" t="s">
        <v>519</v>
      </c>
      <c r="D79" s="15" t="s">
        <v>520</v>
      </c>
      <c r="E79" s="113" t="s">
        <v>596</v>
      </c>
      <c r="F79" s="15" t="s">
        <v>267</v>
      </c>
      <c r="G79" s="15" t="s">
        <v>264</v>
      </c>
      <c r="H79" s="15" t="s">
        <v>77</v>
      </c>
      <c r="I79" s="15" t="s">
        <v>77</v>
      </c>
      <c r="J79" s="15" t="s">
        <v>78</v>
      </c>
      <c r="K79" s="15" t="s">
        <v>79</v>
      </c>
      <c r="L79" s="15" t="s">
        <v>521</v>
      </c>
      <c r="M79" s="15"/>
      <c r="N79" s="17">
        <v>3.17</v>
      </c>
      <c r="O79" s="18"/>
      <c r="P79" s="22">
        <f t="shared" ref="P79:P81" si="142">+(T79+Y79+AD79+AI79+AN79+AS79+AX79+BC79+BH79+BM79+BR79+BW79)/1000</f>
        <v>0</v>
      </c>
      <c r="Q79" s="22">
        <f t="shared" ref="Q79:Q81" si="143">+(U79+Z79+AE79+AJ79+AO79+AT79+AY79+BD79+BI79+BN79+BS79+BX79)/1000</f>
        <v>0</v>
      </c>
      <c r="R79" s="22">
        <f t="shared" ref="R79:R81" si="144">+(+BA79+BF79+BK79+BP79+BU79+BZ79)</f>
        <v>0</v>
      </c>
      <c r="S79" s="22">
        <f t="shared" ref="S79:S81" si="145">+(+BB79+BG79+BL79+BQ79+BV79+CA79)</f>
        <v>90000</v>
      </c>
      <c r="T79" s="23"/>
      <c r="U79" s="23">
        <f t="shared" ref="U79:U81" si="146">T79*N79</f>
        <v>0</v>
      </c>
      <c r="V79" s="23"/>
      <c r="W79" s="23">
        <f t="shared" ref="W79:W81" si="147">V79*N79</f>
        <v>0</v>
      </c>
      <c r="X79" s="23"/>
      <c r="Y79" s="23"/>
      <c r="Z79" s="23">
        <f t="shared" ref="Z79:Z81" si="148">Y79*N79</f>
        <v>0</v>
      </c>
      <c r="AA79" s="23"/>
      <c r="AB79" s="23">
        <f t="shared" ref="AB79:AB81" si="149">AA79*N79</f>
        <v>0</v>
      </c>
      <c r="AC79" s="23"/>
      <c r="AD79" s="23"/>
      <c r="AE79" s="23">
        <f t="shared" ref="AE79:AE81" si="150">AD79*N79</f>
        <v>0</v>
      </c>
      <c r="AF79" s="23"/>
      <c r="AG79" s="23">
        <f t="shared" ref="AG79:AG81" si="151">AF79*N79</f>
        <v>0</v>
      </c>
      <c r="AH79" s="23"/>
      <c r="AI79" s="23"/>
      <c r="AJ79" s="23">
        <f t="shared" ref="AJ79:AJ81" si="152">AI79*N79</f>
        <v>0</v>
      </c>
      <c r="AK79" s="23"/>
      <c r="AL79" s="23">
        <f t="shared" ref="AL79:AL81" si="153">AK79*N79</f>
        <v>0</v>
      </c>
      <c r="AM79" s="23"/>
      <c r="AN79" s="23"/>
      <c r="AO79" s="23">
        <f t="shared" ref="AO79:AO81" si="154">AN79*N79</f>
        <v>0</v>
      </c>
      <c r="AP79" s="23"/>
      <c r="AQ79" s="23">
        <f t="shared" ref="AQ79:AQ81" si="155">AP79*N79</f>
        <v>0</v>
      </c>
      <c r="AR79" s="23">
        <v>21000</v>
      </c>
      <c r="AS79" s="23"/>
      <c r="AT79" s="23">
        <f t="shared" ref="AT79:AT81" si="156">AS79*N79</f>
        <v>0</v>
      </c>
      <c r="AU79" s="23"/>
      <c r="AV79" s="23">
        <f t="shared" ref="AV79:AV81" si="157">AU79*N79</f>
        <v>0</v>
      </c>
      <c r="AW79" s="23"/>
      <c r="AX79" s="24"/>
      <c r="AY79" s="24">
        <f t="shared" ref="AY79:AY81" si="158">AX79*N79</f>
        <v>0</v>
      </c>
      <c r="AZ79" s="23"/>
      <c r="BA79" s="23">
        <f t="shared" ref="BA79:BA81" si="159">AZ79*N79</f>
        <v>0</v>
      </c>
      <c r="BB79" s="73">
        <v>18000</v>
      </c>
      <c r="BC79" s="23"/>
      <c r="BD79" s="23">
        <f t="shared" ref="BD79:BD81" si="160">BC79*N79</f>
        <v>0</v>
      </c>
      <c r="BE79" s="23"/>
      <c r="BF79" s="23">
        <f t="shared" ref="BF79:BF81" si="161">BE79*N79</f>
        <v>0</v>
      </c>
      <c r="BG79" s="23">
        <v>72000</v>
      </c>
      <c r="BH79" s="23"/>
      <c r="BI79" s="23">
        <f t="shared" ref="BI79:BI81" si="162">BH79*N79</f>
        <v>0</v>
      </c>
      <c r="BJ79" s="23"/>
      <c r="BK79" s="23">
        <f t="shared" ref="BK79:BK81" si="163">BJ79*N79</f>
        <v>0</v>
      </c>
      <c r="BL79" s="23"/>
      <c r="BM79" s="23"/>
      <c r="BN79" s="23">
        <f t="shared" ref="BN79:BN81" si="164">BM79*N79</f>
        <v>0</v>
      </c>
      <c r="BO79" s="23"/>
      <c r="BP79" s="23">
        <f t="shared" ref="BP79:BP81" si="165">BO79*N79</f>
        <v>0</v>
      </c>
      <c r="BQ79" s="23"/>
      <c r="BR79" s="23"/>
      <c r="BS79" s="23">
        <f t="shared" ref="BS79:BS81" si="166">BR79*N79</f>
        <v>0</v>
      </c>
      <c r="BT79" s="23"/>
      <c r="BU79" s="23">
        <f t="shared" ref="BU79:BU81" si="167">BT79*N79</f>
        <v>0</v>
      </c>
      <c r="BV79" s="23"/>
      <c r="BW79" s="23"/>
      <c r="BX79" s="23">
        <f t="shared" ref="BX79:BX81" si="168">BW79*N79</f>
        <v>0</v>
      </c>
      <c r="BY79" s="23"/>
      <c r="BZ79" s="23">
        <f t="shared" ref="BZ79:BZ81" si="169">BY79*N79</f>
        <v>0</v>
      </c>
      <c r="CA79" s="23"/>
      <c r="CB79" s="15"/>
    </row>
    <row r="80" spans="1:80" ht="16" x14ac:dyDescent="0.4">
      <c r="A80" s="15" t="s">
        <v>76</v>
      </c>
      <c r="B80" s="15" t="s">
        <v>262</v>
      </c>
      <c r="C80" s="15" t="s">
        <v>263</v>
      </c>
      <c r="D80" s="15" t="s">
        <v>523</v>
      </c>
      <c r="E80" s="112" t="s">
        <v>461</v>
      </c>
      <c r="F80" s="19" t="s">
        <v>267</v>
      </c>
      <c r="G80" s="19" t="s">
        <v>283</v>
      </c>
      <c r="H80" s="15" t="s">
        <v>77</v>
      </c>
      <c r="I80" s="15" t="s">
        <v>77</v>
      </c>
      <c r="J80" s="15" t="s">
        <v>78</v>
      </c>
      <c r="K80" s="15" t="s">
        <v>79</v>
      </c>
      <c r="L80" s="15" t="s">
        <v>133</v>
      </c>
      <c r="M80" s="15"/>
      <c r="N80" s="17">
        <v>2.04</v>
      </c>
      <c r="O80" s="18"/>
      <c r="P80" s="22">
        <f t="shared" si="142"/>
        <v>0</v>
      </c>
      <c r="Q80" s="22">
        <f t="shared" si="143"/>
        <v>0</v>
      </c>
      <c r="R80" s="22">
        <f t="shared" si="144"/>
        <v>0</v>
      </c>
      <c r="S80" s="22">
        <f t="shared" si="145"/>
        <v>0</v>
      </c>
      <c r="T80" s="23"/>
      <c r="U80" s="23">
        <f t="shared" si="146"/>
        <v>0</v>
      </c>
      <c r="V80" s="23"/>
      <c r="W80" s="23">
        <f t="shared" si="147"/>
        <v>0</v>
      </c>
      <c r="X80" s="23"/>
      <c r="Y80" s="23"/>
      <c r="Z80" s="23">
        <f t="shared" si="148"/>
        <v>0</v>
      </c>
      <c r="AA80" s="23"/>
      <c r="AB80" s="23">
        <f t="shared" si="149"/>
        <v>0</v>
      </c>
      <c r="AC80" s="23"/>
      <c r="AD80" s="23"/>
      <c r="AE80" s="23">
        <f t="shared" si="150"/>
        <v>0</v>
      </c>
      <c r="AF80" s="23"/>
      <c r="AG80" s="23">
        <f t="shared" si="151"/>
        <v>0</v>
      </c>
      <c r="AH80" s="23">
        <v>6000</v>
      </c>
      <c r="AI80" s="23"/>
      <c r="AJ80" s="23">
        <f t="shared" si="152"/>
        <v>0</v>
      </c>
      <c r="AK80" s="23">
        <v>6000</v>
      </c>
      <c r="AL80" s="23">
        <f t="shared" si="153"/>
        <v>12240</v>
      </c>
      <c r="AM80" s="23"/>
      <c r="AN80" s="23"/>
      <c r="AO80" s="23">
        <f t="shared" si="154"/>
        <v>0</v>
      </c>
      <c r="AP80" s="23"/>
      <c r="AQ80" s="23">
        <f t="shared" si="155"/>
        <v>0</v>
      </c>
      <c r="AR80" s="23"/>
      <c r="AS80" s="23"/>
      <c r="AT80" s="23">
        <f t="shared" si="156"/>
        <v>0</v>
      </c>
      <c r="AU80" s="23"/>
      <c r="AV80" s="23">
        <f t="shared" si="157"/>
        <v>0</v>
      </c>
      <c r="AW80" s="23"/>
      <c r="AX80" s="24"/>
      <c r="AY80" s="24">
        <f t="shared" si="158"/>
        <v>0</v>
      </c>
      <c r="AZ80" s="23"/>
      <c r="BA80" s="23">
        <f t="shared" si="159"/>
        <v>0</v>
      </c>
      <c r="BB80" s="23"/>
      <c r="BC80" s="23"/>
      <c r="BD80" s="23">
        <f t="shared" si="160"/>
        <v>0</v>
      </c>
      <c r="BE80" s="23"/>
      <c r="BF80" s="23">
        <f t="shared" si="161"/>
        <v>0</v>
      </c>
      <c r="BG80" s="23"/>
      <c r="BH80" s="23"/>
      <c r="BI80" s="23">
        <f t="shared" si="162"/>
        <v>0</v>
      </c>
      <c r="BJ80" s="23"/>
      <c r="BK80" s="23">
        <f t="shared" si="163"/>
        <v>0</v>
      </c>
      <c r="BL80" s="23"/>
      <c r="BM80" s="23"/>
      <c r="BN80" s="23">
        <f t="shared" si="164"/>
        <v>0</v>
      </c>
      <c r="BO80" s="23"/>
      <c r="BP80" s="23">
        <f t="shared" si="165"/>
        <v>0</v>
      </c>
      <c r="BQ80" s="23"/>
      <c r="BR80" s="23"/>
      <c r="BS80" s="23">
        <f t="shared" si="166"/>
        <v>0</v>
      </c>
      <c r="BT80" s="23"/>
      <c r="BU80" s="23">
        <f t="shared" si="167"/>
        <v>0</v>
      </c>
      <c r="BV80" s="23"/>
      <c r="BW80" s="23"/>
      <c r="BX80" s="23">
        <f t="shared" si="168"/>
        <v>0</v>
      </c>
      <c r="BY80" s="23"/>
      <c r="BZ80" s="23">
        <f t="shared" si="169"/>
        <v>0</v>
      </c>
      <c r="CA80" s="23"/>
      <c r="CB80" s="15"/>
    </row>
    <row r="81" spans="1:80" ht="16" x14ac:dyDescent="0.4">
      <c r="A81" s="15" t="s">
        <v>76</v>
      </c>
      <c r="B81" s="15" t="s">
        <v>262</v>
      </c>
      <c r="C81" s="15" t="s">
        <v>263</v>
      </c>
      <c r="D81" s="15" t="s">
        <v>523</v>
      </c>
      <c r="E81" s="112" t="s">
        <v>461</v>
      </c>
      <c r="F81" s="19" t="s">
        <v>267</v>
      </c>
      <c r="G81" s="19" t="s">
        <v>283</v>
      </c>
      <c r="H81" s="15" t="s">
        <v>77</v>
      </c>
      <c r="I81" s="15" t="s">
        <v>77</v>
      </c>
      <c r="J81" s="15" t="s">
        <v>78</v>
      </c>
      <c r="K81" s="15" t="s">
        <v>79</v>
      </c>
      <c r="L81" s="15" t="s">
        <v>524</v>
      </c>
      <c r="M81" s="15"/>
      <c r="N81" s="17">
        <v>3.11</v>
      </c>
      <c r="O81" s="18"/>
      <c r="P81" s="22">
        <f t="shared" si="142"/>
        <v>0</v>
      </c>
      <c r="Q81" s="22">
        <f t="shared" si="143"/>
        <v>0</v>
      </c>
      <c r="R81" s="22">
        <f t="shared" si="144"/>
        <v>0</v>
      </c>
      <c r="S81" s="22">
        <f t="shared" si="145"/>
        <v>0</v>
      </c>
      <c r="T81" s="23"/>
      <c r="U81" s="23">
        <f t="shared" si="146"/>
        <v>0</v>
      </c>
      <c r="V81" s="23"/>
      <c r="W81" s="23">
        <f t="shared" si="147"/>
        <v>0</v>
      </c>
      <c r="X81" s="23"/>
      <c r="Y81" s="23"/>
      <c r="Z81" s="23">
        <f t="shared" si="148"/>
        <v>0</v>
      </c>
      <c r="AA81" s="23"/>
      <c r="AB81" s="23">
        <f t="shared" si="149"/>
        <v>0</v>
      </c>
      <c r="AC81" s="23"/>
      <c r="AD81" s="23"/>
      <c r="AE81" s="23">
        <f t="shared" si="150"/>
        <v>0</v>
      </c>
      <c r="AF81" s="23"/>
      <c r="AG81" s="23">
        <f t="shared" si="151"/>
        <v>0</v>
      </c>
      <c r="AH81" s="23"/>
      <c r="AI81" s="23"/>
      <c r="AJ81" s="23">
        <f t="shared" si="152"/>
        <v>0</v>
      </c>
      <c r="AK81" s="23"/>
      <c r="AL81" s="23">
        <f t="shared" si="153"/>
        <v>0</v>
      </c>
      <c r="AM81" s="23"/>
      <c r="AN81" s="23"/>
      <c r="AO81" s="23">
        <f t="shared" si="154"/>
        <v>0</v>
      </c>
      <c r="AP81" s="23"/>
      <c r="AQ81" s="23">
        <f t="shared" si="155"/>
        <v>0</v>
      </c>
      <c r="AR81" s="23"/>
      <c r="AS81" s="23"/>
      <c r="AT81" s="23">
        <f t="shared" si="156"/>
        <v>0</v>
      </c>
      <c r="AU81" s="23"/>
      <c r="AV81" s="23">
        <f t="shared" si="157"/>
        <v>0</v>
      </c>
      <c r="AW81" s="23"/>
      <c r="AX81" s="24"/>
      <c r="AY81" s="24">
        <f t="shared" si="158"/>
        <v>0</v>
      </c>
      <c r="AZ81" s="23"/>
      <c r="BA81" s="23">
        <f t="shared" si="159"/>
        <v>0</v>
      </c>
      <c r="BB81" s="23"/>
      <c r="BC81" s="23"/>
      <c r="BD81" s="23">
        <f t="shared" si="160"/>
        <v>0</v>
      </c>
      <c r="BE81" s="23"/>
      <c r="BF81" s="23">
        <f t="shared" si="161"/>
        <v>0</v>
      </c>
      <c r="BG81" s="23"/>
      <c r="BH81" s="23"/>
      <c r="BI81" s="23">
        <f t="shared" si="162"/>
        <v>0</v>
      </c>
      <c r="BJ81" s="23"/>
      <c r="BK81" s="23">
        <f t="shared" si="163"/>
        <v>0</v>
      </c>
      <c r="BL81" s="23"/>
      <c r="BM81" s="23"/>
      <c r="BN81" s="23">
        <f t="shared" si="164"/>
        <v>0</v>
      </c>
      <c r="BO81" s="23"/>
      <c r="BP81" s="23">
        <f t="shared" si="165"/>
        <v>0</v>
      </c>
      <c r="BQ81" s="23"/>
      <c r="BR81" s="23"/>
      <c r="BS81" s="23">
        <f t="shared" si="166"/>
        <v>0</v>
      </c>
      <c r="BT81" s="23"/>
      <c r="BU81" s="23">
        <f t="shared" si="167"/>
        <v>0</v>
      </c>
      <c r="BV81" s="23"/>
      <c r="BW81" s="23"/>
      <c r="BX81" s="23">
        <f t="shared" si="168"/>
        <v>0</v>
      </c>
      <c r="BY81" s="23"/>
      <c r="BZ81" s="23">
        <f t="shared" si="169"/>
        <v>0</v>
      </c>
      <c r="CA81" s="23"/>
      <c r="CB81" s="15"/>
    </row>
    <row r="82" spans="1:80" ht="16" x14ac:dyDescent="0.4">
      <c r="A82" s="15" t="s">
        <v>76</v>
      </c>
      <c r="B82" s="15" t="s">
        <v>262</v>
      </c>
      <c r="C82" s="15" t="s">
        <v>263</v>
      </c>
      <c r="D82" s="15" t="s">
        <v>265</v>
      </c>
      <c r="E82" s="112" t="s">
        <v>266</v>
      </c>
      <c r="F82" s="15" t="s">
        <v>267</v>
      </c>
      <c r="G82" s="15" t="s">
        <v>268</v>
      </c>
      <c r="H82" s="15" t="s">
        <v>77</v>
      </c>
      <c r="I82" s="15" t="s">
        <v>77</v>
      </c>
      <c r="J82" s="15" t="s">
        <v>78</v>
      </c>
      <c r="K82" s="15" t="s">
        <v>79</v>
      </c>
      <c r="L82" s="15" t="s">
        <v>165</v>
      </c>
      <c r="M82" s="15" t="s">
        <v>80</v>
      </c>
      <c r="N82" s="17">
        <v>7.01</v>
      </c>
      <c r="O82" s="72">
        <v>50000</v>
      </c>
      <c r="P82" s="22">
        <f t="shared" ref="P82:P101" si="170">+(T82+Y82+AD82+AI82+AN82+AS82+AX82+BC82+BH82+BM82+BR82+BW82)/1000</f>
        <v>720</v>
      </c>
      <c r="Q82" s="22">
        <f t="shared" ref="Q82:Q101" si="171">+(U82+Z82+AE82+AJ82+AO82+AT82+AY82+BD82+BI82+BN82+BS82+BX82)/1000</f>
        <v>5047.2</v>
      </c>
      <c r="R82" s="22">
        <f t="shared" ref="R82:R101" si="172">+(+BA82+BF82+BK82+BP82+BU82+BZ82)</f>
        <v>1261800</v>
      </c>
      <c r="S82" s="22">
        <f t="shared" ref="S82:S101" si="173">+(+BB82+BG82+BL82+BQ82+BV82+CA82)</f>
        <v>200000</v>
      </c>
      <c r="T82" s="23">
        <v>60000</v>
      </c>
      <c r="U82" s="23">
        <f t="shared" ref="U82:U101" si="174">T82*N82</f>
        <v>420600</v>
      </c>
      <c r="V82" s="23">
        <v>60000</v>
      </c>
      <c r="W82" s="23">
        <f t="shared" ref="W82:W101" si="175">V82*N82</f>
        <v>420600</v>
      </c>
      <c r="X82" s="23">
        <v>12500</v>
      </c>
      <c r="Y82" s="23">
        <v>60000</v>
      </c>
      <c r="Z82" s="23">
        <f t="shared" ref="Z82:Z101" si="176">Y82*N82</f>
        <v>420600</v>
      </c>
      <c r="AA82" s="23">
        <v>60000</v>
      </c>
      <c r="AB82" s="23">
        <f t="shared" ref="AB82:AB101" si="177">AA82*N82</f>
        <v>420600</v>
      </c>
      <c r="AC82" s="23">
        <v>62500</v>
      </c>
      <c r="AD82" s="23">
        <v>60000</v>
      </c>
      <c r="AE82" s="23">
        <f t="shared" ref="AE82:AE101" si="178">AD82*N82</f>
        <v>420600</v>
      </c>
      <c r="AF82" s="23">
        <v>60000</v>
      </c>
      <c r="AG82" s="23">
        <f t="shared" ref="AG82:AG101" si="179">AF82*N82</f>
        <v>420600</v>
      </c>
      <c r="AH82" s="23"/>
      <c r="AI82" s="23">
        <v>60000</v>
      </c>
      <c r="AJ82" s="23">
        <f t="shared" ref="AJ82:AJ101" si="180">AI82*N82</f>
        <v>420600</v>
      </c>
      <c r="AK82" s="23">
        <v>60000</v>
      </c>
      <c r="AL82" s="23">
        <f t="shared" ref="AL82:AL101" si="181">AK82*N82</f>
        <v>420600</v>
      </c>
      <c r="AM82" s="23"/>
      <c r="AN82" s="23">
        <v>60000</v>
      </c>
      <c r="AO82" s="23">
        <f t="shared" ref="AO82:AO101" si="182">AN82*N82</f>
        <v>420600</v>
      </c>
      <c r="AP82" s="23">
        <v>60000</v>
      </c>
      <c r="AQ82" s="23">
        <f t="shared" ref="AQ82:AQ101" si="183">AP82*N82</f>
        <v>420600</v>
      </c>
      <c r="AR82" s="23">
        <v>100000</v>
      </c>
      <c r="AS82" s="23">
        <v>60000</v>
      </c>
      <c r="AT82" s="23">
        <f t="shared" ref="AT82:AT101" si="184">AS82*N82</f>
        <v>420600</v>
      </c>
      <c r="AU82" s="23">
        <v>60000</v>
      </c>
      <c r="AV82" s="23">
        <f t="shared" ref="AV82:AV101" si="185">AU82*N82</f>
        <v>420600</v>
      </c>
      <c r="AW82" s="56">
        <v>30000</v>
      </c>
      <c r="AX82" s="24">
        <v>60000</v>
      </c>
      <c r="AY82" s="24">
        <f t="shared" ref="AY82:AY101" si="186">AX82*N82</f>
        <v>420600</v>
      </c>
      <c r="AZ82" s="23">
        <v>60000</v>
      </c>
      <c r="BA82" s="23">
        <f t="shared" ref="BA82:BA101" si="187">AZ82*N82</f>
        <v>420600</v>
      </c>
      <c r="BB82" s="73">
        <v>60000</v>
      </c>
      <c r="BC82" s="23">
        <v>60000</v>
      </c>
      <c r="BD82" s="23">
        <f t="shared" ref="BD82:BD101" si="188">BC82*N82</f>
        <v>420600</v>
      </c>
      <c r="BE82" s="23">
        <v>60000</v>
      </c>
      <c r="BF82" s="23">
        <f t="shared" ref="BF82:BF101" si="189">BE82*N82</f>
        <v>420600</v>
      </c>
      <c r="BG82" s="23">
        <v>60000</v>
      </c>
      <c r="BH82" s="23">
        <v>60000</v>
      </c>
      <c r="BI82" s="23">
        <f t="shared" ref="BI82:BI101" si="190">BH82*N82</f>
        <v>420600</v>
      </c>
      <c r="BJ82" s="23">
        <v>60000</v>
      </c>
      <c r="BK82" s="23">
        <f t="shared" ref="BK82:BK101" si="191">BJ82*N82</f>
        <v>420600</v>
      </c>
      <c r="BL82" s="23">
        <v>40000</v>
      </c>
      <c r="BM82" s="23">
        <v>60000</v>
      </c>
      <c r="BN82" s="23">
        <f t="shared" ref="BN82:BN101" si="192">BM82*N82</f>
        <v>420600</v>
      </c>
      <c r="BO82" s="23"/>
      <c r="BP82" s="23">
        <f t="shared" ref="BP82:BP101" si="193">BO82*N82</f>
        <v>0</v>
      </c>
      <c r="BQ82" s="23"/>
      <c r="BR82" s="23">
        <v>60000</v>
      </c>
      <c r="BS82" s="23">
        <f t="shared" ref="BS82:BS101" si="194">BR82*N82</f>
        <v>420600</v>
      </c>
      <c r="BT82" s="23"/>
      <c r="BU82" s="23">
        <f t="shared" ref="BU82:BU101" si="195">BT82*N82</f>
        <v>0</v>
      </c>
      <c r="BV82" s="23"/>
      <c r="BW82" s="23">
        <v>60000</v>
      </c>
      <c r="BX82" s="23">
        <f t="shared" ref="BX82:BX101" si="196">BW82*N82</f>
        <v>420600</v>
      </c>
      <c r="BY82" s="23"/>
      <c r="BZ82" s="23">
        <f t="shared" ref="BZ82:BZ101" si="197">BY82*N82</f>
        <v>0</v>
      </c>
      <c r="CA82" s="73">
        <v>40000</v>
      </c>
      <c r="CB82" s="74"/>
    </row>
    <row r="83" spans="1:80" ht="16" x14ac:dyDescent="0.4">
      <c r="A83" s="15" t="s">
        <v>76</v>
      </c>
      <c r="B83" s="15" t="s">
        <v>262</v>
      </c>
      <c r="C83" s="15" t="s">
        <v>263</v>
      </c>
      <c r="D83" s="15" t="s">
        <v>265</v>
      </c>
      <c r="E83" s="112" t="s">
        <v>266</v>
      </c>
      <c r="F83" s="15" t="s">
        <v>267</v>
      </c>
      <c r="G83" s="15" t="s">
        <v>268</v>
      </c>
      <c r="H83" s="15" t="s">
        <v>77</v>
      </c>
      <c r="I83" s="15" t="s">
        <v>77</v>
      </c>
      <c r="J83" s="15" t="s">
        <v>78</v>
      </c>
      <c r="K83" s="15" t="s">
        <v>79</v>
      </c>
      <c r="L83" s="15" t="s">
        <v>157</v>
      </c>
      <c r="M83" s="15" t="s">
        <v>80</v>
      </c>
      <c r="N83" s="17">
        <v>0.46</v>
      </c>
      <c r="O83" s="18"/>
      <c r="P83" s="22">
        <f t="shared" si="170"/>
        <v>10200</v>
      </c>
      <c r="Q83" s="22">
        <f t="shared" si="171"/>
        <v>4692</v>
      </c>
      <c r="R83" s="22">
        <f t="shared" si="172"/>
        <v>1173000</v>
      </c>
      <c r="S83" s="22">
        <f t="shared" si="173"/>
        <v>2910000</v>
      </c>
      <c r="T83" s="23">
        <v>850000</v>
      </c>
      <c r="U83" s="23">
        <f t="shared" si="174"/>
        <v>391000</v>
      </c>
      <c r="V83" s="23">
        <v>850000</v>
      </c>
      <c r="W83" s="23">
        <f t="shared" si="175"/>
        <v>391000</v>
      </c>
      <c r="X83" s="23">
        <v>810000</v>
      </c>
      <c r="Y83" s="23">
        <v>850000</v>
      </c>
      <c r="Z83" s="23">
        <f t="shared" si="176"/>
        <v>391000</v>
      </c>
      <c r="AA83" s="23">
        <v>850000</v>
      </c>
      <c r="AB83" s="23">
        <f t="shared" si="177"/>
        <v>391000</v>
      </c>
      <c r="AC83" s="23">
        <v>600000</v>
      </c>
      <c r="AD83" s="23">
        <v>850000</v>
      </c>
      <c r="AE83" s="23">
        <f t="shared" si="178"/>
        <v>391000</v>
      </c>
      <c r="AF83" s="23">
        <v>850000</v>
      </c>
      <c r="AG83" s="23">
        <f t="shared" si="179"/>
        <v>391000</v>
      </c>
      <c r="AH83" s="23">
        <v>600000</v>
      </c>
      <c r="AI83" s="23">
        <v>850000</v>
      </c>
      <c r="AJ83" s="23">
        <f t="shared" si="180"/>
        <v>391000</v>
      </c>
      <c r="AK83" s="23">
        <v>850000</v>
      </c>
      <c r="AL83" s="23">
        <f t="shared" si="181"/>
        <v>391000</v>
      </c>
      <c r="AM83" s="23">
        <v>502500</v>
      </c>
      <c r="AN83" s="23">
        <v>850000</v>
      </c>
      <c r="AO83" s="23">
        <f t="shared" si="182"/>
        <v>391000</v>
      </c>
      <c r="AP83" s="23">
        <v>850000</v>
      </c>
      <c r="AQ83" s="23">
        <f t="shared" si="183"/>
        <v>391000</v>
      </c>
      <c r="AR83" s="23">
        <v>1005000</v>
      </c>
      <c r="AS83" s="23">
        <v>850000</v>
      </c>
      <c r="AT83" s="23">
        <f t="shared" si="184"/>
        <v>391000</v>
      </c>
      <c r="AU83" s="23">
        <v>850000</v>
      </c>
      <c r="AV83" s="23">
        <f t="shared" si="185"/>
        <v>391000</v>
      </c>
      <c r="AW83" s="106">
        <v>892500</v>
      </c>
      <c r="AX83" s="24">
        <v>850000</v>
      </c>
      <c r="AY83" s="24">
        <f t="shared" si="186"/>
        <v>391000</v>
      </c>
      <c r="AZ83" s="23">
        <v>850000</v>
      </c>
      <c r="BA83" s="23">
        <f t="shared" si="187"/>
        <v>391000</v>
      </c>
      <c r="BB83" s="73">
        <v>1005000</v>
      </c>
      <c r="BC83" s="23">
        <v>850000</v>
      </c>
      <c r="BD83" s="23">
        <f t="shared" si="188"/>
        <v>391000</v>
      </c>
      <c r="BE83" s="23">
        <v>850000</v>
      </c>
      <c r="BF83" s="23">
        <f t="shared" si="189"/>
        <v>391000</v>
      </c>
      <c r="BG83" s="23">
        <v>1005000</v>
      </c>
      <c r="BH83" s="23">
        <v>850000</v>
      </c>
      <c r="BI83" s="23">
        <f t="shared" si="190"/>
        <v>391000</v>
      </c>
      <c r="BJ83" s="23">
        <v>850000</v>
      </c>
      <c r="BK83" s="23">
        <f t="shared" si="191"/>
        <v>391000</v>
      </c>
      <c r="BL83" s="23"/>
      <c r="BM83" s="23">
        <v>850000</v>
      </c>
      <c r="BN83" s="23">
        <f t="shared" si="192"/>
        <v>391000</v>
      </c>
      <c r="BO83" s="23"/>
      <c r="BP83" s="23">
        <f t="shared" si="193"/>
        <v>0</v>
      </c>
      <c r="BQ83" s="23"/>
      <c r="BR83" s="23">
        <v>850000</v>
      </c>
      <c r="BS83" s="23">
        <f t="shared" si="194"/>
        <v>391000</v>
      </c>
      <c r="BT83" s="23"/>
      <c r="BU83" s="23">
        <f t="shared" si="195"/>
        <v>0</v>
      </c>
      <c r="BV83" s="23"/>
      <c r="BW83" s="23">
        <v>850000</v>
      </c>
      <c r="BX83" s="23">
        <f t="shared" si="196"/>
        <v>391000</v>
      </c>
      <c r="BY83" s="23"/>
      <c r="BZ83" s="23">
        <f t="shared" si="197"/>
        <v>0</v>
      </c>
      <c r="CA83" s="73">
        <v>900000</v>
      </c>
      <c r="CB83" s="106" t="s">
        <v>595</v>
      </c>
    </row>
    <row r="84" spans="1:80" ht="16" x14ac:dyDescent="0.4">
      <c r="A84" s="15" t="s">
        <v>76</v>
      </c>
      <c r="B84" s="15" t="s">
        <v>262</v>
      </c>
      <c r="C84" s="15" t="s">
        <v>263</v>
      </c>
      <c r="D84" s="15" t="s">
        <v>265</v>
      </c>
      <c r="E84" s="112" t="s">
        <v>266</v>
      </c>
      <c r="F84" s="15" t="s">
        <v>267</v>
      </c>
      <c r="G84" s="15" t="s">
        <v>268</v>
      </c>
      <c r="H84" s="15" t="s">
        <v>77</v>
      </c>
      <c r="I84" s="15" t="s">
        <v>77</v>
      </c>
      <c r="J84" s="15" t="s">
        <v>78</v>
      </c>
      <c r="K84" s="15" t="s">
        <v>79</v>
      </c>
      <c r="L84" s="15" t="s">
        <v>158</v>
      </c>
      <c r="M84" s="15" t="s">
        <v>80</v>
      </c>
      <c r="N84" s="17">
        <v>4.84</v>
      </c>
      <c r="O84" s="72">
        <v>27000</v>
      </c>
      <c r="P84" s="22">
        <f t="shared" si="170"/>
        <v>420</v>
      </c>
      <c r="Q84" s="22">
        <f t="shared" si="171"/>
        <v>2032.8</v>
      </c>
      <c r="R84" s="22">
        <f t="shared" si="172"/>
        <v>508200</v>
      </c>
      <c r="S84" s="22">
        <f t="shared" si="173"/>
        <v>168000</v>
      </c>
      <c r="T84" s="23">
        <v>35000</v>
      </c>
      <c r="U84" s="23">
        <f t="shared" si="174"/>
        <v>169400</v>
      </c>
      <c r="V84" s="23">
        <v>35000</v>
      </c>
      <c r="W84" s="23">
        <f t="shared" si="175"/>
        <v>169400</v>
      </c>
      <c r="X84" s="23">
        <v>30000</v>
      </c>
      <c r="Y84" s="23">
        <v>35000</v>
      </c>
      <c r="Z84" s="23">
        <f t="shared" si="176"/>
        <v>169400</v>
      </c>
      <c r="AA84" s="23">
        <v>35000</v>
      </c>
      <c r="AB84" s="23">
        <f t="shared" si="177"/>
        <v>169400</v>
      </c>
      <c r="AC84" s="23"/>
      <c r="AD84" s="23">
        <v>35000</v>
      </c>
      <c r="AE84" s="23">
        <f t="shared" si="178"/>
        <v>169400</v>
      </c>
      <c r="AF84" s="23">
        <v>35000</v>
      </c>
      <c r="AG84" s="23">
        <f t="shared" si="179"/>
        <v>169400</v>
      </c>
      <c r="AH84" s="23"/>
      <c r="AI84" s="23">
        <v>35000</v>
      </c>
      <c r="AJ84" s="23">
        <f t="shared" si="180"/>
        <v>169400</v>
      </c>
      <c r="AK84" s="23">
        <v>35000</v>
      </c>
      <c r="AL84" s="23">
        <f t="shared" si="181"/>
        <v>169400</v>
      </c>
      <c r="AM84" s="23"/>
      <c r="AN84" s="23">
        <v>35000</v>
      </c>
      <c r="AO84" s="23">
        <f t="shared" si="182"/>
        <v>169400</v>
      </c>
      <c r="AP84" s="23">
        <v>35000</v>
      </c>
      <c r="AQ84" s="23">
        <f t="shared" si="183"/>
        <v>169400</v>
      </c>
      <c r="AR84" s="26">
        <v>42000</v>
      </c>
      <c r="AS84" s="23">
        <v>35000</v>
      </c>
      <c r="AT84" s="23">
        <f t="shared" si="184"/>
        <v>169400</v>
      </c>
      <c r="AU84" s="23">
        <v>35000</v>
      </c>
      <c r="AV84" s="23">
        <f t="shared" si="185"/>
        <v>169400</v>
      </c>
      <c r="AW84" s="106">
        <v>48000</v>
      </c>
      <c r="AX84" s="24">
        <v>35000</v>
      </c>
      <c r="AY84" s="24">
        <f t="shared" si="186"/>
        <v>169400</v>
      </c>
      <c r="AZ84" s="23">
        <v>35000</v>
      </c>
      <c r="BA84" s="23">
        <f t="shared" si="187"/>
        <v>169400</v>
      </c>
      <c r="BB84" s="73">
        <v>45000</v>
      </c>
      <c r="BC84" s="23">
        <v>35000</v>
      </c>
      <c r="BD84" s="23">
        <f t="shared" si="188"/>
        <v>169400</v>
      </c>
      <c r="BE84" s="23">
        <v>35000</v>
      </c>
      <c r="BF84" s="23">
        <f t="shared" si="189"/>
        <v>169400</v>
      </c>
      <c r="BG84" s="23">
        <v>24000</v>
      </c>
      <c r="BH84" s="23">
        <v>35000</v>
      </c>
      <c r="BI84" s="23">
        <f t="shared" si="190"/>
        <v>169400</v>
      </c>
      <c r="BJ84" s="23">
        <v>35000</v>
      </c>
      <c r="BK84" s="23">
        <f t="shared" si="191"/>
        <v>169400</v>
      </c>
      <c r="BL84" s="23">
        <v>39000</v>
      </c>
      <c r="BM84" s="23">
        <v>35000</v>
      </c>
      <c r="BN84" s="23">
        <f t="shared" si="192"/>
        <v>169400</v>
      </c>
      <c r="BO84" s="23"/>
      <c r="BP84" s="23">
        <f t="shared" si="193"/>
        <v>0</v>
      </c>
      <c r="BQ84" s="23"/>
      <c r="BR84" s="23">
        <v>35000</v>
      </c>
      <c r="BS84" s="23">
        <f t="shared" si="194"/>
        <v>169400</v>
      </c>
      <c r="BT84" s="23"/>
      <c r="BU84" s="23">
        <f t="shared" si="195"/>
        <v>0</v>
      </c>
      <c r="BV84" s="23">
        <v>60000</v>
      </c>
      <c r="BW84" s="23">
        <v>35000</v>
      </c>
      <c r="BX84" s="23">
        <f t="shared" si="196"/>
        <v>169400</v>
      </c>
      <c r="BY84" s="23"/>
      <c r="BZ84" s="23">
        <f t="shared" si="197"/>
        <v>0</v>
      </c>
      <c r="CA84" s="23"/>
      <c r="CB84" s="74"/>
    </row>
    <row r="85" spans="1:80" ht="16" x14ac:dyDescent="0.4">
      <c r="A85" s="15" t="s">
        <v>76</v>
      </c>
      <c r="B85" s="15" t="s">
        <v>262</v>
      </c>
      <c r="C85" s="15" t="s">
        <v>263</v>
      </c>
      <c r="D85" s="15" t="s">
        <v>265</v>
      </c>
      <c r="E85" s="112" t="s">
        <v>266</v>
      </c>
      <c r="F85" s="15" t="s">
        <v>267</v>
      </c>
      <c r="G85" s="15" t="s">
        <v>268</v>
      </c>
      <c r="H85" s="15" t="s">
        <v>77</v>
      </c>
      <c r="I85" s="15" t="s">
        <v>77</v>
      </c>
      <c r="J85" s="15" t="s">
        <v>78</v>
      </c>
      <c r="K85" s="15" t="s">
        <v>79</v>
      </c>
      <c r="L85" s="15" t="s">
        <v>462</v>
      </c>
      <c r="M85" s="15" t="s">
        <v>80</v>
      </c>
      <c r="N85" s="17">
        <v>1.03</v>
      </c>
      <c r="O85" s="72">
        <v>15000</v>
      </c>
      <c r="P85" s="22">
        <f t="shared" si="170"/>
        <v>1800</v>
      </c>
      <c r="Q85" s="22">
        <f t="shared" si="171"/>
        <v>1854</v>
      </c>
      <c r="R85" s="22">
        <f t="shared" si="172"/>
        <v>463500</v>
      </c>
      <c r="S85" s="22">
        <f t="shared" si="173"/>
        <v>636000</v>
      </c>
      <c r="T85" s="23">
        <v>150000</v>
      </c>
      <c r="U85" s="23">
        <f t="shared" si="174"/>
        <v>154500</v>
      </c>
      <c r="V85" s="23">
        <v>150000</v>
      </c>
      <c r="W85" s="23">
        <f t="shared" si="175"/>
        <v>154500</v>
      </c>
      <c r="X85" s="23">
        <v>309000</v>
      </c>
      <c r="Y85" s="23">
        <v>150000</v>
      </c>
      <c r="Z85" s="23">
        <f t="shared" si="176"/>
        <v>154500</v>
      </c>
      <c r="AA85" s="23">
        <v>150000</v>
      </c>
      <c r="AB85" s="23">
        <f t="shared" si="177"/>
        <v>154500</v>
      </c>
      <c r="AC85" s="23">
        <v>483000</v>
      </c>
      <c r="AD85" s="23">
        <v>150000</v>
      </c>
      <c r="AE85" s="23">
        <f t="shared" si="178"/>
        <v>154500</v>
      </c>
      <c r="AF85" s="23">
        <v>150000</v>
      </c>
      <c r="AG85" s="23">
        <f t="shared" si="179"/>
        <v>154500</v>
      </c>
      <c r="AH85" s="23"/>
      <c r="AI85" s="23">
        <v>150000</v>
      </c>
      <c r="AJ85" s="23">
        <f t="shared" si="180"/>
        <v>154500</v>
      </c>
      <c r="AK85" s="23">
        <v>150000</v>
      </c>
      <c r="AL85" s="23">
        <f t="shared" si="181"/>
        <v>154500</v>
      </c>
      <c r="AM85" s="23"/>
      <c r="AN85" s="23">
        <v>150000</v>
      </c>
      <c r="AO85" s="23">
        <f t="shared" si="182"/>
        <v>154500</v>
      </c>
      <c r="AP85" s="23">
        <v>150000</v>
      </c>
      <c r="AQ85" s="23">
        <f t="shared" si="183"/>
        <v>154500</v>
      </c>
      <c r="AR85" s="23"/>
      <c r="AS85" s="23">
        <v>150000</v>
      </c>
      <c r="AT85" s="23">
        <f t="shared" si="184"/>
        <v>154500</v>
      </c>
      <c r="AU85" s="23">
        <v>150000</v>
      </c>
      <c r="AV85" s="23">
        <f t="shared" si="185"/>
        <v>154500</v>
      </c>
      <c r="AW85" s="106">
        <v>252000</v>
      </c>
      <c r="AX85" s="24">
        <v>150000</v>
      </c>
      <c r="AY85" s="24">
        <f t="shared" si="186"/>
        <v>154500</v>
      </c>
      <c r="AZ85" s="23">
        <v>150000</v>
      </c>
      <c r="BA85" s="23">
        <f t="shared" si="187"/>
        <v>154500</v>
      </c>
      <c r="BB85" s="73">
        <v>102000</v>
      </c>
      <c r="BC85" s="23">
        <v>150000</v>
      </c>
      <c r="BD85" s="23">
        <f t="shared" si="188"/>
        <v>154500</v>
      </c>
      <c r="BE85" s="23">
        <v>150000</v>
      </c>
      <c r="BF85" s="23">
        <f t="shared" si="189"/>
        <v>154500</v>
      </c>
      <c r="BG85" s="23">
        <v>189000</v>
      </c>
      <c r="BH85" s="23">
        <v>150000</v>
      </c>
      <c r="BI85" s="23">
        <f t="shared" si="190"/>
        <v>154500</v>
      </c>
      <c r="BJ85" s="23">
        <v>150000</v>
      </c>
      <c r="BK85" s="23">
        <f t="shared" si="191"/>
        <v>154500</v>
      </c>
      <c r="BL85" s="23">
        <v>141000</v>
      </c>
      <c r="BM85" s="23">
        <v>150000</v>
      </c>
      <c r="BN85" s="23">
        <f t="shared" si="192"/>
        <v>154500</v>
      </c>
      <c r="BO85" s="23"/>
      <c r="BP85" s="23">
        <f t="shared" si="193"/>
        <v>0</v>
      </c>
      <c r="BQ85" s="23"/>
      <c r="BR85" s="23">
        <v>150000</v>
      </c>
      <c r="BS85" s="23">
        <f t="shared" si="194"/>
        <v>154500</v>
      </c>
      <c r="BT85" s="23"/>
      <c r="BU85" s="23">
        <f t="shared" si="195"/>
        <v>0</v>
      </c>
      <c r="BV85" s="23">
        <v>102000</v>
      </c>
      <c r="BW85" s="23">
        <v>150000</v>
      </c>
      <c r="BX85" s="23">
        <f t="shared" si="196"/>
        <v>154500</v>
      </c>
      <c r="BY85" s="23"/>
      <c r="BZ85" s="23">
        <f t="shared" si="197"/>
        <v>0</v>
      </c>
      <c r="CA85" s="73">
        <v>102000</v>
      </c>
      <c r="CB85" s="74"/>
    </row>
    <row r="86" spans="1:80" ht="16" x14ac:dyDescent="0.4">
      <c r="A86" s="15" t="s">
        <v>76</v>
      </c>
      <c r="B86" s="15" t="s">
        <v>262</v>
      </c>
      <c r="C86" s="15" t="s">
        <v>263</v>
      </c>
      <c r="D86" s="15" t="s">
        <v>265</v>
      </c>
      <c r="E86" s="112" t="s">
        <v>266</v>
      </c>
      <c r="F86" s="15" t="s">
        <v>267</v>
      </c>
      <c r="G86" s="15" t="s">
        <v>268</v>
      </c>
      <c r="H86" s="15" t="s">
        <v>77</v>
      </c>
      <c r="I86" s="15" t="s">
        <v>77</v>
      </c>
      <c r="J86" s="15" t="s">
        <v>78</v>
      </c>
      <c r="K86" s="15" t="s">
        <v>79</v>
      </c>
      <c r="L86" s="15" t="s">
        <v>458</v>
      </c>
      <c r="M86" s="15" t="s">
        <v>80</v>
      </c>
      <c r="N86" s="17">
        <v>3.29</v>
      </c>
      <c r="O86" s="72">
        <v>96000</v>
      </c>
      <c r="P86" s="22">
        <f t="shared" si="170"/>
        <v>360</v>
      </c>
      <c r="Q86" s="22">
        <f t="shared" si="171"/>
        <v>1184.4000000000001</v>
      </c>
      <c r="R86" s="22">
        <f t="shared" si="172"/>
        <v>296100</v>
      </c>
      <c r="S86" s="22">
        <f t="shared" si="173"/>
        <v>8000</v>
      </c>
      <c r="T86" s="23">
        <v>30000</v>
      </c>
      <c r="U86" s="23">
        <f t="shared" si="174"/>
        <v>98700</v>
      </c>
      <c r="V86" s="23">
        <v>30000</v>
      </c>
      <c r="W86" s="23">
        <f t="shared" si="175"/>
        <v>98700</v>
      </c>
      <c r="X86" s="23"/>
      <c r="Y86" s="23">
        <v>30000</v>
      </c>
      <c r="Z86" s="23">
        <f t="shared" si="176"/>
        <v>98700</v>
      </c>
      <c r="AA86" s="23">
        <v>30000</v>
      </c>
      <c r="AB86" s="23">
        <f t="shared" si="177"/>
        <v>98700</v>
      </c>
      <c r="AC86" s="23"/>
      <c r="AD86" s="23">
        <v>30000</v>
      </c>
      <c r="AE86" s="23">
        <f t="shared" si="178"/>
        <v>98700</v>
      </c>
      <c r="AF86" s="23">
        <v>30000</v>
      </c>
      <c r="AG86" s="23">
        <f t="shared" si="179"/>
        <v>98700</v>
      </c>
      <c r="AH86" s="23"/>
      <c r="AI86" s="23">
        <v>30000</v>
      </c>
      <c r="AJ86" s="23">
        <f t="shared" si="180"/>
        <v>98700</v>
      </c>
      <c r="AK86" s="23">
        <v>30000</v>
      </c>
      <c r="AL86" s="23">
        <f t="shared" si="181"/>
        <v>98700</v>
      </c>
      <c r="AM86" s="23">
        <v>28000</v>
      </c>
      <c r="AN86" s="23">
        <v>30000</v>
      </c>
      <c r="AO86" s="23">
        <f t="shared" si="182"/>
        <v>98700</v>
      </c>
      <c r="AP86" s="23">
        <v>30000</v>
      </c>
      <c r="AQ86" s="23">
        <f t="shared" si="183"/>
        <v>98700</v>
      </c>
      <c r="AR86" s="23">
        <v>36000</v>
      </c>
      <c r="AS86" s="23">
        <v>30000</v>
      </c>
      <c r="AT86" s="23">
        <f t="shared" si="184"/>
        <v>98700</v>
      </c>
      <c r="AU86" s="23">
        <v>30000</v>
      </c>
      <c r="AV86" s="23">
        <f t="shared" si="185"/>
        <v>98700</v>
      </c>
      <c r="AW86" s="23"/>
      <c r="AX86" s="24">
        <v>30000</v>
      </c>
      <c r="AY86" s="24">
        <f t="shared" si="186"/>
        <v>98700</v>
      </c>
      <c r="AZ86" s="23">
        <v>30000</v>
      </c>
      <c r="BA86" s="23">
        <f t="shared" si="187"/>
        <v>98700</v>
      </c>
      <c r="BB86" s="73">
        <v>8000</v>
      </c>
      <c r="BC86" s="23">
        <v>30000</v>
      </c>
      <c r="BD86" s="23">
        <f t="shared" si="188"/>
        <v>98700</v>
      </c>
      <c r="BE86" s="23">
        <v>30000</v>
      </c>
      <c r="BF86" s="23">
        <f t="shared" si="189"/>
        <v>98700</v>
      </c>
      <c r="BG86" s="23"/>
      <c r="BH86" s="23">
        <v>30000</v>
      </c>
      <c r="BI86" s="23">
        <f t="shared" si="190"/>
        <v>98700</v>
      </c>
      <c r="BJ86" s="23">
        <v>30000</v>
      </c>
      <c r="BK86" s="23">
        <f t="shared" si="191"/>
        <v>98700</v>
      </c>
      <c r="BL86" s="23"/>
      <c r="BM86" s="23">
        <v>30000</v>
      </c>
      <c r="BN86" s="23">
        <f t="shared" si="192"/>
        <v>98700</v>
      </c>
      <c r="BO86" s="23"/>
      <c r="BP86" s="23">
        <f t="shared" si="193"/>
        <v>0</v>
      </c>
      <c r="BQ86" s="23"/>
      <c r="BR86" s="23">
        <v>30000</v>
      </c>
      <c r="BS86" s="23">
        <f t="shared" si="194"/>
        <v>98700</v>
      </c>
      <c r="BT86" s="23"/>
      <c r="BU86" s="23">
        <f t="shared" si="195"/>
        <v>0</v>
      </c>
      <c r="BV86" s="23"/>
      <c r="BW86" s="23">
        <v>30000</v>
      </c>
      <c r="BX86" s="23">
        <f t="shared" si="196"/>
        <v>98700</v>
      </c>
      <c r="BY86" s="23"/>
      <c r="BZ86" s="23">
        <f t="shared" si="197"/>
        <v>0</v>
      </c>
      <c r="CA86" s="23"/>
      <c r="CB86" s="75"/>
    </row>
    <row r="87" spans="1:80" ht="16" x14ac:dyDescent="0.4">
      <c r="A87" s="15" t="s">
        <v>76</v>
      </c>
      <c r="B87" s="15" t="s">
        <v>262</v>
      </c>
      <c r="C87" s="15" t="s">
        <v>263</v>
      </c>
      <c r="D87" s="15" t="s">
        <v>265</v>
      </c>
      <c r="E87" s="112" t="s">
        <v>266</v>
      </c>
      <c r="F87" s="15" t="s">
        <v>267</v>
      </c>
      <c r="G87" s="15" t="s">
        <v>268</v>
      </c>
      <c r="H87" s="15" t="s">
        <v>128</v>
      </c>
      <c r="I87" s="15" t="s">
        <v>128</v>
      </c>
      <c r="J87" s="15" t="s">
        <v>129</v>
      </c>
      <c r="K87" s="15" t="s">
        <v>525</v>
      </c>
      <c r="L87" s="15" t="s">
        <v>353</v>
      </c>
      <c r="M87" s="15" t="s">
        <v>80</v>
      </c>
      <c r="N87" s="17">
        <v>5.26</v>
      </c>
      <c r="O87" s="18"/>
      <c r="P87" s="22">
        <f t="shared" si="170"/>
        <v>40</v>
      </c>
      <c r="Q87" s="22">
        <f t="shared" si="171"/>
        <v>210.4</v>
      </c>
      <c r="R87" s="22">
        <f t="shared" si="172"/>
        <v>157800</v>
      </c>
      <c r="S87" s="22">
        <f t="shared" si="173"/>
        <v>50000</v>
      </c>
      <c r="T87" s="23">
        <v>10000</v>
      </c>
      <c r="U87" s="23">
        <f t="shared" si="174"/>
        <v>52600</v>
      </c>
      <c r="V87" s="23">
        <v>10000</v>
      </c>
      <c r="W87" s="23">
        <f t="shared" si="175"/>
        <v>52600</v>
      </c>
      <c r="X87" s="23"/>
      <c r="Y87" s="23">
        <v>10000</v>
      </c>
      <c r="Z87" s="23">
        <f t="shared" si="176"/>
        <v>52600</v>
      </c>
      <c r="AA87" s="23">
        <v>10000</v>
      </c>
      <c r="AB87" s="23">
        <f t="shared" si="177"/>
        <v>52600</v>
      </c>
      <c r="AC87" s="23"/>
      <c r="AD87" s="23">
        <v>10000</v>
      </c>
      <c r="AE87" s="23">
        <f t="shared" si="178"/>
        <v>52600</v>
      </c>
      <c r="AF87" s="23">
        <v>10000</v>
      </c>
      <c r="AG87" s="23">
        <f t="shared" si="179"/>
        <v>52600</v>
      </c>
      <c r="AH87" s="23"/>
      <c r="AI87" s="23">
        <v>10000</v>
      </c>
      <c r="AJ87" s="23">
        <f t="shared" si="180"/>
        <v>52600</v>
      </c>
      <c r="AK87" s="23">
        <v>10000</v>
      </c>
      <c r="AL87" s="23">
        <f t="shared" si="181"/>
        <v>52600</v>
      </c>
      <c r="AM87" s="23"/>
      <c r="AN87" s="23"/>
      <c r="AO87" s="23">
        <f t="shared" si="182"/>
        <v>0</v>
      </c>
      <c r="AP87" s="23">
        <v>10000</v>
      </c>
      <c r="AQ87" s="23">
        <f t="shared" si="183"/>
        <v>52600</v>
      </c>
      <c r="AR87" s="23"/>
      <c r="AS87" s="23"/>
      <c r="AT87" s="23">
        <f t="shared" si="184"/>
        <v>0</v>
      </c>
      <c r="AU87" s="23">
        <v>10000</v>
      </c>
      <c r="AV87" s="23">
        <f t="shared" si="185"/>
        <v>52600</v>
      </c>
      <c r="AW87" s="23"/>
      <c r="AX87" s="24"/>
      <c r="AY87" s="24">
        <f t="shared" si="186"/>
        <v>0</v>
      </c>
      <c r="AZ87" s="23">
        <v>10000</v>
      </c>
      <c r="BA87" s="23">
        <f t="shared" si="187"/>
        <v>52600</v>
      </c>
      <c r="BB87" s="73">
        <v>10000</v>
      </c>
      <c r="BC87" s="23"/>
      <c r="BD87" s="23">
        <f t="shared" si="188"/>
        <v>0</v>
      </c>
      <c r="BE87" s="23">
        <v>10000</v>
      </c>
      <c r="BF87" s="23">
        <f t="shared" si="189"/>
        <v>52600</v>
      </c>
      <c r="BG87" s="73">
        <v>10000</v>
      </c>
      <c r="BH87" s="23"/>
      <c r="BI87" s="23">
        <f t="shared" si="190"/>
        <v>0</v>
      </c>
      <c r="BJ87" s="23">
        <v>10000</v>
      </c>
      <c r="BK87" s="23">
        <f t="shared" si="191"/>
        <v>52600</v>
      </c>
      <c r="BL87" s="23"/>
      <c r="BM87" s="23"/>
      <c r="BN87" s="23">
        <f t="shared" si="192"/>
        <v>0</v>
      </c>
      <c r="BO87" s="23"/>
      <c r="BP87" s="23">
        <f t="shared" si="193"/>
        <v>0</v>
      </c>
      <c r="BQ87" s="73">
        <v>10000</v>
      </c>
      <c r="BR87" s="23"/>
      <c r="BS87" s="23">
        <f t="shared" si="194"/>
        <v>0</v>
      </c>
      <c r="BT87" s="23"/>
      <c r="BU87" s="23">
        <f t="shared" si="195"/>
        <v>0</v>
      </c>
      <c r="BV87" s="73">
        <v>10000</v>
      </c>
      <c r="BW87" s="23"/>
      <c r="BX87" s="23">
        <f t="shared" si="196"/>
        <v>0</v>
      </c>
      <c r="BY87" s="23"/>
      <c r="BZ87" s="23">
        <f t="shared" si="197"/>
        <v>0</v>
      </c>
      <c r="CA87" s="73">
        <v>10000</v>
      </c>
      <c r="CB87" s="15"/>
    </row>
    <row r="88" spans="1:80" ht="16" x14ac:dyDescent="0.4">
      <c r="A88" s="15" t="s">
        <v>76</v>
      </c>
      <c r="B88" s="15" t="s">
        <v>262</v>
      </c>
      <c r="C88" s="15" t="s">
        <v>263</v>
      </c>
      <c r="D88" s="15" t="s">
        <v>265</v>
      </c>
      <c r="E88" s="112" t="s">
        <v>266</v>
      </c>
      <c r="F88" s="15" t="s">
        <v>267</v>
      </c>
      <c r="G88" s="15" t="s">
        <v>268</v>
      </c>
      <c r="H88" s="15" t="s">
        <v>77</v>
      </c>
      <c r="I88" s="15" t="s">
        <v>77</v>
      </c>
      <c r="J88" s="15" t="s">
        <v>78</v>
      </c>
      <c r="K88" s="15" t="s">
        <v>79</v>
      </c>
      <c r="L88" s="15" t="s">
        <v>454</v>
      </c>
      <c r="M88" s="15" t="s">
        <v>80</v>
      </c>
      <c r="N88" s="17">
        <v>1.33</v>
      </c>
      <c r="O88" s="72">
        <v>90000</v>
      </c>
      <c r="P88" s="22">
        <f t="shared" si="170"/>
        <v>420</v>
      </c>
      <c r="Q88" s="22">
        <f t="shared" si="171"/>
        <v>558.6</v>
      </c>
      <c r="R88" s="22">
        <f t="shared" si="172"/>
        <v>139650</v>
      </c>
      <c r="S88" s="22">
        <f t="shared" si="173"/>
        <v>67500</v>
      </c>
      <c r="T88" s="23">
        <v>35000</v>
      </c>
      <c r="U88" s="23">
        <f t="shared" si="174"/>
        <v>46550</v>
      </c>
      <c r="V88" s="23">
        <v>35000</v>
      </c>
      <c r="W88" s="23">
        <f t="shared" si="175"/>
        <v>46550</v>
      </c>
      <c r="X88" s="23"/>
      <c r="Y88" s="23">
        <v>35000</v>
      </c>
      <c r="Z88" s="23">
        <f t="shared" si="176"/>
        <v>46550</v>
      </c>
      <c r="AA88" s="23">
        <v>35000</v>
      </c>
      <c r="AB88" s="23">
        <f t="shared" si="177"/>
        <v>46550</v>
      </c>
      <c r="AC88" s="23"/>
      <c r="AD88" s="23">
        <v>35000</v>
      </c>
      <c r="AE88" s="23">
        <f t="shared" si="178"/>
        <v>46550</v>
      </c>
      <c r="AF88" s="23">
        <v>35000</v>
      </c>
      <c r="AG88" s="23">
        <f t="shared" si="179"/>
        <v>46550</v>
      </c>
      <c r="AH88" s="23"/>
      <c r="AI88" s="23">
        <v>35000</v>
      </c>
      <c r="AJ88" s="23">
        <f t="shared" si="180"/>
        <v>46550</v>
      </c>
      <c r="AK88" s="23">
        <v>35000</v>
      </c>
      <c r="AL88" s="23">
        <f t="shared" si="181"/>
        <v>46550</v>
      </c>
      <c r="AM88" s="23">
        <v>22500</v>
      </c>
      <c r="AN88" s="23">
        <v>35000</v>
      </c>
      <c r="AO88" s="23">
        <f t="shared" si="182"/>
        <v>46550</v>
      </c>
      <c r="AP88" s="23">
        <v>35000</v>
      </c>
      <c r="AQ88" s="23">
        <f t="shared" si="183"/>
        <v>46550</v>
      </c>
      <c r="AR88" s="23"/>
      <c r="AS88" s="23">
        <v>35000</v>
      </c>
      <c r="AT88" s="23">
        <f t="shared" si="184"/>
        <v>46550</v>
      </c>
      <c r="AU88" s="23">
        <v>35000</v>
      </c>
      <c r="AV88" s="23">
        <f t="shared" si="185"/>
        <v>46550</v>
      </c>
      <c r="AW88" s="56">
        <v>22500</v>
      </c>
      <c r="AX88" s="24">
        <v>35000</v>
      </c>
      <c r="AY88" s="24">
        <f t="shared" si="186"/>
        <v>46550</v>
      </c>
      <c r="AZ88" s="23">
        <v>35000</v>
      </c>
      <c r="BA88" s="23">
        <f t="shared" si="187"/>
        <v>46550</v>
      </c>
      <c r="BB88" s="73">
        <v>67500</v>
      </c>
      <c r="BC88" s="23">
        <v>35000</v>
      </c>
      <c r="BD88" s="23">
        <f t="shared" si="188"/>
        <v>46550</v>
      </c>
      <c r="BE88" s="23">
        <v>35000</v>
      </c>
      <c r="BF88" s="23">
        <f t="shared" si="189"/>
        <v>46550</v>
      </c>
      <c r="BG88" s="23"/>
      <c r="BH88" s="23">
        <v>35000</v>
      </c>
      <c r="BI88" s="23">
        <f t="shared" si="190"/>
        <v>46550</v>
      </c>
      <c r="BJ88" s="23">
        <v>35000</v>
      </c>
      <c r="BK88" s="23">
        <f t="shared" si="191"/>
        <v>46550</v>
      </c>
      <c r="BL88" s="23"/>
      <c r="BM88" s="23">
        <v>35000</v>
      </c>
      <c r="BN88" s="23">
        <f t="shared" si="192"/>
        <v>46550</v>
      </c>
      <c r="BO88" s="23"/>
      <c r="BP88" s="23">
        <f t="shared" si="193"/>
        <v>0</v>
      </c>
      <c r="BQ88" s="23"/>
      <c r="BR88" s="23">
        <v>35000</v>
      </c>
      <c r="BS88" s="23">
        <f t="shared" si="194"/>
        <v>46550</v>
      </c>
      <c r="BT88" s="23"/>
      <c r="BU88" s="23">
        <f t="shared" si="195"/>
        <v>0</v>
      </c>
      <c r="BV88" s="23"/>
      <c r="BW88" s="23">
        <v>35000</v>
      </c>
      <c r="BX88" s="23">
        <f t="shared" si="196"/>
        <v>46550</v>
      </c>
      <c r="BY88" s="23"/>
      <c r="BZ88" s="23">
        <f t="shared" si="197"/>
        <v>0</v>
      </c>
      <c r="CA88" s="23"/>
      <c r="CB88" s="15"/>
    </row>
    <row r="89" spans="1:80" ht="16" x14ac:dyDescent="0.4">
      <c r="A89" s="15" t="s">
        <v>76</v>
      </c>
      <c r="B89" s="15" t="s">
        <v>262</v>
      </c>
      <c r="C89" s="15" t="s">
        <v>263</v>
      </c>
      <c r="D89" s="15" t="s">
        <v>265</v>
      </c>
      <c r="E89" s="112" t="s">
        <v>266</v>
      </c>
      <c r="F89" s="15" t="s">
        <v>267</v>
      </c>
      <c r="G89" s="15" t="s">
        <v>268</v>
      </c>
      <c r="H89" s="15" t="s">
        <v>77</v>
      </c>
      <c r="I89" s="15" t="s">
        <v>77</v>
      </c>
      <c r="J89" s="15" t="s">
        <v>78</v>
      </c>
      <c r="K89" s="15" t="s">
        <v>79</v>
      </c>
      <c r="L89" s="15" t="s">
        <v>526</v>
      </c>
      <c r="M89" s="15" t="s">
        <v>80</v>
      </c>
      <c r="N89" s="17">
        <v>3.06</v>
      </c>
      <c r="O89" s="72">
        <v>30000</v>
      </c>
      <c r="P89" s="22">
        <f t="shared" si="170"/>
        <v>165</v>
      </c>
      <c r="Q89" s="22">
        <f t="shared" si="171"/>
        <v>504.9</v>
      </c>
      <c r="R89" s="22">
        <f t="shared" si="172"/>
        <v>137700</v>
      </c>
      <c r="S89" s="22">
        <f t="shared" si="173"/>
        <v>60000</v>
      </c>
      <c r="T89" s="23">
        <v>15000</v>
      </c>
      <c r="U89" s="23">
        <f t="shared" si="174"/>
        <v>45900</v>
      </c>
      <c r="V89" s="23">
        <v>15000</v>
      </c>
      <c r="W89" s="23">
        <f t="shared" si="175"/>
        <v>45900</v>
      </c>
      <c r="X89" s="23">
        <v>30000</v>
      </c>
      <c r="Y89" s="23">
        <v>15000</v>
      </c>
      <c r="Z89" s="23">
        <f t="shared" si="176"/>
        <v>45900</v>
      </c>
      <c r="AA89" s="23">
        <v>15000</v>
      </c>
      <c r="AB89" s="23">
        <f t="shared" si="177"/>
        <v>45900</v>
      </c>
      <c r="AC89" s="23">
        <v>67500</v>
      </c>
      <c r="AD89" s="23">
        <v>15000</v>
      </c>
      <c r="AE89" s="23">
        <f t="shared" si="178"/>
        <v>45900</v>
      </c>
      <c r="AF89" s="23">
        <v>15000</v>
      </c>
      <c r="AG89" s="23">
        <f t="shared" si="179"/>
        <v>45900</v>
      </c>
      <c r="AH89" s="23"/>
      <c r="AI89" s="23">
        <v>15000</v>
      </c>
      <c r="AJ89" s="23">
        <f t="shared" si="180"/>
        <v>45900</v>
      </c>
      <c r="AK89" s="23">
        <v>15000</v>
      </c>
      <c r="AL89" s="23">
        <f t="shared" si="181"/>
        <v>45900</v>
      </c>
      <c r="AM89" s="23">
        <v>45000</v>
      </c>
      <c r="AN89" s="23">
        <v>15000</v>
      </c>
      <c r="AO89" s="23">
        <f t="shared" si="182"/>
        <v>45900</v>
      </c>
      <c r="AP89" s="23">
        <v>15000</v>
      </c>
      <c r="AQ89" s="23">
        <f t="shared" si="183"/>
        <v>45900</v>
      </c>
      <c r="AR89" s="26">
        <v>22500</v>
      </c>
      <c r="AS89" s="23">
        <v>15000</v>
      </c>
      <c r="AT89" s="23">
        <f t="shared" si="184"/>
        <v>45900</v>
      </c>
      <c r="AU89" s="23">
        <v>15000</v>
      </c>
      <c r="AV89" s="23">
        <f t="shared" si="185"/>
        <v>45900</v>
      </c>
      <c r="AW89" s="106">
        <v>75000</v>
      </c>
      <c r="AX89" s="24">
        <v>15000</v>
      </c>
      <c r="AY89" s="24">
        <f t="shared" si="186"/>
        <v>45900</v>
      </c>
      <c r="AZ89" s="23">
        <v>15000</v>
      </c>
      <c r="BA89" s="23">
        <f t="shared" si="187"/>
        <v>45900</v>
      </c>
      <c r="BB89" s="23"/>
      <c r="BC89" s="23">
        <v>15000</v>
      </c>
      <c r="BD89" s="23">
        <f t="shared" si="188"/>
        <v>45900</v>
      </c>
      <c r="BE89" s="23">
        <v>15000</v>
      </c>
      <c r="BF89" s="23">
        <f t="shared" si="189"/>
        <v>45900</v>
      </c>
      <c r="BG89" s="23">
        <v>15000</v>
      </c>
      <c r="BH89" s="23"/>
      <c r="BI89" s="23">
        <f t="shared" si="190"/>
        <v>0</v>
      </c>
      <c r="BJ89" s="23">
        <v>15000</v>
      </c>
      <c r="BK89" s="23">
        <f t="shared" si="191"/>
        <v>45900</v>
      </c>
      <c r="BL89" s="23"/>
      <c r="BM89" s="23">
        <v>15000</v>
      </c>
      <c r="BN89" s="23">
        <f t="shared" si="192"/>
        <v>45900</v>
      </c>
      <c r="BO89" s="23"/>
      <c r="BP89" s="23">
        <f t="shared" si="193"/>
        <v>0</v>
      </c>
      <c r="BQ89" s="23"/>
      <c r="BR89" s="23">
        <v>15000</v>
      </c>
      <c r="BS89" s="23">
        <f t="shared" si="194"/>
        <v>45900</v>
      </c>
      <c r="BT89" s="23"/>
      <c r="BU89" s="23">
        <f t="shared" si="195"/>
        <v>0</v>
      </c>
      <c r="BV89" s="23">
        <v>15000</v>
      </c>
      <c r="BW89" s="23">
        <v>15000</v>
      </c>
      <c r="BX89" s="23">
        <f t="shared" si="196"/>
        <v>45900</v>
      </c>
      <c r="BY89" s="23"/>
      <c r="BZ89" s="23">
        <f t="shared" si="197"/>
        <v>0</v>
      </c>
      <c r="CA89" s="73">
        <v>30000</v>
      </c>
      <c r="CB89" s="15"/>
    </row>
    <row r="90" spans="1:80" ht="16" x14ac:dyDescent="0.4">
      <c r="A90" s="15" t="s">
        <v>76</v>
      </c>
      <c r="B90" s="15" t="s">
        <v>262</v>
      </c>
      <c r="C90" s="15" t="s">
        <v>263</v>
      </c>
      <c r="D90" s="15" t="s">
        <v>265</v>
      </c>
      <c r="E90" s="112" t="s">
        <v>266</v>
      </c>
      <c r="F90" s="15" t="s">
        <v>267</v>
      </c>
      <c r="G90" s="15" t="s">
        <v>268</v>
      </c>
      <c r="H90" s="15" t="s">
        <v>77</v>
      </c>
      <c r="I90" s="15" t="s">
        <v>77</v>
      </c>
      <c r="J90" s="15" t="s">
        <v>78</v>
      </c>
      <c r="K90" s="15" t="s">
        <v>79</v>
      </c>
      <c r="L90" s="15" t="s">
        <v>455</v>
      </c>
      <c r="M90" s="15" t="s">
        <v>80</v>
      </c>
      <c r="N90" s="17">
        <v>0.72</v>
      </c>
      <c r="O90" s="72">
        <v>84000</v>
      </c>
      <c r="P90" s="22">
        <f t="shared" si="170"/>
        <v>480</v>
      </c>
      <c r="Q90" s="22">
        <f t="shared" si="171"/>
        <v>345.6</v>
      </c>
      <c r="R90" s="22">
        <f t="shared" si="172"/>
        <v>86400</v>
      </c>
      <c r="S90" s="22">
        <f t="shared" si="173"/>
        <v>192000</v>
      </c>
      <c r="T90" s="23">
        <v>40000</v>
      </c>
      <c r="U90" s="23">
        <f t="shared" si="174"/>
        <v>28800</v>
      </c>
      <c r="V90" s="23">
        <v>40000</v>
      </c>
      <c r="W90" s="23">
        <f t="shared" si="175"/>
        <v>28800</v>
      </c>
      <c r="X90" s="23"/>
      <c r="Y90" s="23">
        <v>40000</v>
      </c>
      <c r="Z90" s="23">
        <f t="shared" si="176"/>
        <v>28800</v>
      </c>
      <c r="AA90" s="23">
        <v>40000</v>
      </c>
      <c r="AB90" s="23">
        <f t="shared" si="177"/>
        <v>28800</v>
      </c>
      <c r="AC90" s="23"/>
      <c r="AD90" s="23">
        <v>40000</v>
      </c>
      <c r="AE90" s="23">
        <f t="shared" si="178"/>
        <v>28800</v>
      </c>
      <c r="AF90" s="23">
        <v>40000</v>
      </c>
      <c r="AG90" s="23">
        <f t="shared" si="179"/>
        <v>28800</v>
      </c>
      <c r="AH90" s="23"/>
      <c r="AI90" s="23">
        <v>40000</v>
      </c>
      <c r="AJ90" s="23">
        <f t="shared" si="180"/>
        <v>28800</v>
      </c>
      <c r="AK90" s="23">
        <v>40000</v>
      </c>
      <c r="AL90" s="23">
        <f t="shared" si="181"/>
        <v>28800</v>
      </c>
      <c r="AM90" s="23">
        <v>21000</v>
      </c>
      <c r="AN90" s="23">
        <v>40000</v>
      </c>
      <c r="AO90" s="23">
        <f t="shared" si="182"/>
        <v>28800</v>
      </c>
      <c r="AP90" s="23">
        <v>40000</v>
      </c>
      <c r="AQ90" s="23">
        <f t="shared" si="183"/>
        <v>28800</v>
      </c>
      <c r="AR90" s="23">
        <v>84000</v>
      </c>
      <c r="AS90" s="23">
        <v>40000</v>
      </c>
      <c r="AT90" s="23">
        <f t="shared" si="184"/>
        <v>28800</v>
      </c>
      <c r="AU90" s="23">
        <v>40000</v>
      </c>
      <c r="AV90" s="23">
        <f t="shared" si="185"/>
        <v>28800</v>
      </c>
      <c r="AW90" s="23"/>
      <c r="AX90" s="24">
        <v>40000</v>
      </c>
      <c r="AY90" s="24">
        <f t="shared" si="186"/>
        <v>28800</v>
      </c>
      <c r="AZ90" s="23">
        <v>40000</v>
      </c>
      <c r="BA90" s="23">
        <f t="shared" si="187"/>
        <v>28800</v>
      </c>
      <c r="BB90" s="23"/>
      <c r="BC90" s="23">
        <v>40000</v>
      </c>
      <c r="BD90" s="23">
        <f t="shared" si="188"/>
        <v>28800</v>
      </c>
      <c r="BE90" s="23">
        <v>40000</v>
      </c>
      <c r="BF90" s="23">
        <f t="shared" si="189"/>
        <v>28800</v>
      </c>
      <c r="BG90" s="23"/>
      <c r="BH90" s="23">
        <v>40000</v>
      </c>
      <c r="BI90" s="23">
        <f t="shared" si="190"/>
        <v>28800</v>
      </c>
      <c r="BJ90" s="23">
        <v>40000</v>
      </c>
      <c r="BK90" s="23">
        <f t="shared" si="191"/>
        <v>28800</v>
      </c>
      <c r="BL90" s="23">
        <v>117000</v>
      </c>
      <c r="BM90" s="23">
        <v>40000</v>
      </c>
      <c r="BN90" s="23">
        <f t="shared" si="192"/>
        <v>28800</v>
      </c>
      <c r="BO90" s="23"/>
      <c r="BP90" s="23">
        <f t="shared" si="193"/>
        <v>0</v>
      </c>
      <c r="BQ90" s="23"/>
      <c r="BR90" s="23">
        <v>40000</v>
      </c>
      <c r="BS90" s="23">
        <f t="shared" si="194"/>
        <v>28800</v>
      </c>
      <c r="BT90" s="23"/>
      <c r="BU90" s="23">
        <f t="shared" si="195"/>
        <v>0</v>
      </c>
      <c r="BV90" s="23">
        <v>24000</v>
      </c>
      <c r="BW90" s="23">
        <v>40000</v>
      </c>
      <c r="BX90" s="23">
        <f t="shared" si="196"/>
        <v>28800</v>
      </c>
      <c r="BY90" s="23"/>
      <c r="BZ90" s="23">
        <f t="shared" si="197"/>
        <v>0</v>
      </c>
      <c r="CA90" s="73">
        <v>51000</v>
      </c>
      <c r="CB90" s="74"/>
    </row>
    <row r="91" spans="1:80" ht="16" x14ac:dyDescent="0.4">
      <c r="A91" s="15" t="s">
        <v>76</v>
      </c>
      <c r="B91" s="15" t="s">
        <v>262</v>
      </c>
      <c r="C91" s="15" t="s">
        <v>263</v>
      </c>
      <c r="D91" s="15" t="s">
        <v>265</v>
      </c>
      <c r="E91" s="112" t="s">
        <v>266</v>
      </c>
      <c r="F91" s="15" t="s">
        <v>267</v>
      </c>
      <c r="G91" s="15" t="s">
        <v>268</v>
      </c>
      <c r="H91" s="15" t="s">
        <v>77</v>
      </c>
      <c r="I91" s="15" t="s">
        <v>77</v>
      </c>
      <c r="J91" s="15" t="s">
        <v>78</v>
      </c>
      <c r="K91" s="15" t="s">
        <v>79</v>
      </c>
      <c r="L91" s="15" t="s">
        <v>527</v>
      </c>
      <c r="M91" s="15" t="s">
        <v>80</v>
      </c>
      <c r="N91" s="17">
        <v>1.91</v>
      </c>
      <c r="O91" s="18"/>
      <c r="P91" s="22">
        <f t="shared" si="170"/>
        <v>180</v>
      </c>
      <c r="Q91" s="22">
        <f t="shared" si="171"/>
        <v>343.8</v>
      </c>
      <c r="R91" s="22">
        <f t="shared" si="172"/>
        <v>85950</v>
      </c>
      <c r="S91" s="22">
        <f t="shared" si="173"/>
        <v>0</v>
      </c>
      <c r="T91" s="23">
        <v>15000</v>
      </c>
      <c r="U91" s="23">
        <f t="shared" si="174"/>
        <v>28650</v>
      </c>
      <c r="V91" s="23">
        <v>15000</v>
      </c>
      <c r="W91" s="23">
        <f t="shared" si="175"/>
        <v>28650</v>
      </c>
      <c r="X91" s="23">
        <v>15000</v>
      </c>
      <c r="Y91" s="23">
        <v>15000</v>
      </c>
      <c r="Z91" s="23">
        <f t="shared" si="176"/>
        <v>28650</v>
      </c>
      <c r="AA91" s="23">
        <v>15000</v>
      </c>
      <c r="AB91" s="23">
        <f t="shared" si="177"/>
        <v>28650</v>
      </c>
      <c r="AC91" s="23">
        <v>15000</v>
      </c>
      <c r="AD91" s="23">
        <v>15000</v>
      </c>
      <c r="AE91" s="23">
        <f t="shared" si="178"/>
        <v>28650</v>
      </c>
      <c r="AF91" s="23">
        <v>15000</v>
      </c>
      <c r="AG91" s="23">
        <f t="shared" si="179"/>
        <v>28650</v>
      </c>
      <c r="AH91" s="23"/>
      <c r="AI91" s="23">
        <v>15000</v>
      </c>
      <c r="AJ91" s="23">
        <f t="shared" si="180"/>
        <v>28650</v>
      </c>
      <c r="AK91" s="23">
        <v>15000</v>
      </c>
      <c r="AL91" s="23">
        <f t="shared" si="181"/>
        <v>28650</v>
      </c>
      <c r="AM91" s="23"/>
      <c r="AN91" s="23">
        <v>15000</v>
      </c>
      <c r="AO91" s="23">
        <f t="shared" si="182"/>
        <v>28650</v>
      </c>
      <c r="AP91" s="23">
        <v>15000</v>
      </c>
      <c r="AQ91" s="23">
        <f t="shared" si="183"/>
        <v>28650</v>
      </c>
      <c r="AR91" s="23"/>
      <c r="AS91" s="23">
        <v>15000</v>
      </c>
      <c r="AT91" s="23">
        <f t="shared" si="184"/>
        <v>28650</v>
      </c>
      <c r="AU91" s="23">
        <v>15000</v>
      </c>
      <c r="AV91" s="23">
        <f t="shared" si="185"/>
        <v>28650</v>
      </c>
      <c r="AW91" s="23"/>
      <c r="AX91" s="24">
        <v>15000</v>
      </c>
      <c r="AY91" s="24">
        <f t="shared" si="186"/>
        <v>28650</v>
      </c>
      <c r="AZ91" s="23">
        <v>15000</v>
      </c>
      <c r="BA91" s="23">
        <f t="shared" si="187"/>
        <v>28650</v>
      </c>
      <c r="BB91" s="23"/>
      <c r="BC91" s="23">
        <v>15000</v>
      </c>
      <c r="BD91" s="23">
        <f t="shared" si="188"/>
        <v>28650</v>
      </c>
      <c r="BE91" s="23">
        <v>15000</v>
      </c>
      <c r="BF91" s="23">
        <f t="shared" si="189"/>
        <v>28650</v>
      </c>
      <c r="BG91" s="23"/>
      <c r="BH91" s="23">
        <v>15000</v>
      </c>
      <c r="BI91" s="23">
        <f t="shared" si="190"/>
        <v>28650</v>
      </c>
      <c r="BJ91" s="23">
        <v>15000</v>
      </c>
      <c r="BK91" s="23">
        <f t="shared" si="191"/>
        <v>28650</v>
      </c>
      <c r="BL91" s="23"/>
      <c r="BM91" s="23">
        <v>15000</v>
      </c>
      <c r="BN91" s="23">
        <f t="shared" si="192"/>
        <v>28650</v>
      </c>
      <c r="BO91" s="23"/>
      <c r="BP91" s="23">
        <f t="shared" si="193"/>
        <v>0</v>
      </c>
      <c r="BQ91" s="23"/>
      <c r="BR91" s="23">
        <v>15000</v>
      </c>
      <c r="BS91" s="23">
        <f t="shared" si="194"/>
        <v>28650</v>
      </c>
      <c r="BT91" s="23"/>
      <c r="BU91" s="23">
        <f t="shared" si="195"/>
        <v>0</v>
      </c>
      <c r="BV91" s="23"/>
      <c r="BW91" s="23">
        <v>15000</v>
      </c>
      <c r="BX91" s="23">
        <f t="shared" si="196"/>
        <v>28650</v>
      </c>
      <c r="BY91" s="23"/>
      <c r="BZ91" s="23">
        <f t="shared" si="197"/>
        <v>0</v>
      </c>
      <c r="CA91" s="23"/>
      <c r="CB91" s="103" t="s">
        <v>597</v>
      </c>
    </row>
    <row r="92" spans="1:80" ht="16" x14ac:dyDescent="0.4">
      <c r="A92" s="15" t="s">
        <v>76</v>
      </c>
      <c r="B92" s="15" t="s">
        <v>262</v>
      </c>
      <c r="C92" s="15" t="s">
        <v>263</v>
      </c>
      <c r="D92" s="15" t="s">
        <v>265</v>
      </c>
      <c r="E92" s="112" t="s">
        <v>266</v>
      </c>
      <c r="F92" s="15" t="s">
        <v>267</v>
      </c>
      <c r="G92" s="15" t="s">
        <v>268</v>
      </c>
      <c r="H92" s="15" t="s">
        <v>77</v>
      </c>
      <c r="I92" s="15" t="s">
        <v>77</v>
      </c>
      <c r="J92" s="15" t="s">
        <v>78</v>
      </c>
      <c r="K92" s="15" t="s">
        <v>79</v>
      </c>
      <c r="L92" s="15" t="s">
        <v>159</v>
      </c>
      <c r="M92" s="15" t="s">
        <v>80</v>
      </c>
      <c r="N92" s="17">
        <v>1.42</v>
      </c>
      <c r="O92" s="72">
        <v>36000</v>
      </c>
      <c r="P92" s="22">
        <f t="shared" si="170"/>
        <v>220</v>
      </c>
      <c r="Q92" s="22">
        <f t="shared" si="171"/>
        <v>312.39999999999998</v>
      </c>
      <c r="R92" s="22">
        <f t="shared" si="172"/>
        <v>85200</v>
      </c>
      <c r="S92" s="22">
        <f t="shared" si="173"/>
        <v>69000</v>
      </c>
      <c r="T92" s="23">
        <v>20000</v>
      </c>
      <c r="U92" s="23">
        <f t="shared" si="174"/>
        <v>28400</v>
      </c>
      <c r="V92" s="23">
        <v>20000</v>
      </c>
      <c r="W92" s="23">
        <f t="shared" si="175"/>
        <v>28400</v>
      </c>
      <c r="X92" s="23"/>
      <c r="Y92" s="23">
        <v>20000</v>
      </c>
      <c r="Z92" s="23">
        <f t="shared" si="176"/>
        <v>28400</v>
      </c>
      <c r="AA92" s="23">
        <v>20000</v>
      </c>
      <c r="AB92" s="23">
        <f t="shared" si="177"/>
        <v>28400</v>
      </c>
      <c r="AC92" s="23"/>
      <c r="AD92" s="23">
        <v>20000</v>
      </c>
      <c r="AE92" s="23">
        <f t="shared" si="178"/>
        <v>28400</v>
      </c>
      <c r="AF92" s="23">
        <v>20000</v>
      </c>
      <c r="AG92" s="23">
        <f t="shared" si="179"/>
        <v>28400</v>
      </c>
      <c r="AH92" s="23"/>
      <c r="AI92" s="23">
        <v>20000</v>
      </c>
      <c r="AJ92" s="23">
        <f t="shared" si="180"/>
        <v>28400</v>
      </c>
      <c r="AK92" s="23">
        <v>20000</v>
      </c>
      <c r="AL92" s="23">
        <f t="shared" si="181"/>
        <v>28400</v>
      </c>
      <c r="AM92" s="23"/>
      <c r="AN92" s="23">
        <v>20000</v>
      </c>
      <c r="AO92" s="23">
        <f t="shared" si="182"/>
        <v>28400</v>
      </c>
      <c r="AP92" s="23">
        <v>20000</v>
      </c>
      <c r="AQ92" s="23">
        <f t="shared" si="183"/>
        <v>28400</v>
      </c>
      <c r="AR92" s="26">
        <v>36000</v>
      </c>
      <c r="AS92" s="23">
        <v>20000</v>
      </c>
      <c r="AT92" s="23">
        <f t="shared" si="184"/>
        <v>28400</v>
      </c>
      <c r="AU92" s="23">
        <v>20000</v>
      </c>
      <c r="AV92" s="23">
        <f t="shared" si="185"/>
        <v>28400</v>
      </c>
      <c r="AW92" s="106">
        <v>48000</v>
      </c>
      <c r="AX92" s="24">
        <v>20000</v>
      </c>
      <c r="AY92" s="24">
        <f t="shared" si="186"/>
        <v>28400</v>
      </c>
      <c r="AZ92" s="23">
        <v>20000</v>
      </c>
      <c r="BA92" s="23">
        <f t="shared" si="187"/>
        <v>28400</v>
      </c>
      <c r="BB92" s="73">
        <v>24000</v>
      </c>
      <c r="BC92" s="23">
        <v>20000</v>
      </c>
      <c r="BD92" s="23">
        <f t="shared" si="188"/>
        <v>28400</v>
      </c>
      <c r="BE92" s="23">
        <v>20000</v>
      </c>
      <c r="BF92" s="23">
        <f t="shared" si="189"/>
        <v>28400</v>
      </c>
      <c r="BG92" s="23"/>
      <c r="BH92" s="23"/>
      <c r="BI92" s="23">
        <f t="shared" si="190"/>
        <v>0</v>
      </c>
      <c r="BJ92" s="23">
        <v>20000</v>
      </c>
      <c r="BK92" s="23">
        <f t="shared" si="191"/>
        <v>28400</v>
      </c>
      <c r="BL92" s="23">
        <v>24000</v>
      </c>
      <c r="BM92" s="23">
        <v>20000</v>
      </c>
      <c r="BN92" s="23">
        <f t="shared" si="192"/>
        <v>28400</v>
      </c>
      <c r="BO92" s="23"/>
      <c r="BP92" s="23">
        <f t="shared" si="193"/>
        <v>0</v>
      </c>
      <c r="BQ92" s="23"/>
      <c r="BR92" s="23">
        <v>20000</v>
      </c>
      <c r="BS92" s="23">
        <f t="shared" si="194"/>
        <v>28400</v>
      </c>
      <c r="BT92" s="23"/>
      <c r="BU92" s="23">
        <f t="shared" si="195"/>
        <v>0</v>
      </c>
      <c r="BV92" s="23">
        <v>21000</v>
      </c>
      <c r="BW92" s="23">
        <v>20000</v>
      </c>
      <c r="BX92" s="23">
        <f t="shared" si="196"/>
        <v>28400</v>
      </c>
      <c r="BY92" s="23"/>
      <c r="BZ92" s="23">
        <f t="shared" si="197"/>
        <v>0</v>
      </c>
      <c r="CA92" s="23"/>
      <c r="CB92" s="15"/>
    </row>
    <row r="93" spans="1:80" ht="16" x14ac:dyDescent="0.4">
      <c r="A93" s="15" t="s">
        <v>76</v>
      </c>
      <c r="B93" s="15" t="s">
        <v>262</v>
      </c>
      <c r="C93" s="15" t="s">
        <v>263</v>
      </c>
      <c r="D93" s="15" t="s">
        <v>265</v>
      </c>
      <c r="E93" s="112" t="s">
        <v>266</v>
      </c>
      <c r="F93" s="15" t="s">
        <v>267</v>
      </c>
      <c r="G93" s="15" t="s">
        <v>268</v>
      </c>
      <c r="H93" s="15" t="s">
        <v>77</v>
      </c>
      <c r="I93" s="15" t="s">
        <v>77</v>
      </c>
      <c r="J93" s="15" t="s">
        <v>78</v>
      </c>
      <c r="K93" s="15" t="s">
        <v>79</v>
      </c>
      <c r="L93" s="15" t="s">
        <v>528</v>
      </c>
      <c r="M93" s="15" t="s">
        <v>80</v>
      </c>
      <c r="N93" s="17">
        <v>0.99</v>
      </c>
      <c r="O93" s="72">
        <v>40000</v>
      </c>
      <c r="P93" s="22">
        <f t="shared" si="170"/>
        <v>180</v>
      </c>
      <c r="Q93" s="22">
        <f t="shared" si="171"/>
        <v>178.2</v>
      </c>
      <c r="R93" s="22">
        <f t="shared" si="172"/>
        <v>44550</v>
      </c>
      <c r="S93" s="22">
        <f t="shared" si="173"/>
        <v>30000</v>
      </c>
      <c r="T93" s="23">
        <v>15000</v>
      </c>
      <c r="U93" s="23">
        <f t="shared" si="174"/>
        <v>14850</v>
      </c>
      <c r="V93" s="23">
        <v>15000</v>
      </c>
      <c r="W93" s="23">
        <f t="shared" si="175"/>
        <v>14850</v>
      </c>
      <c r="X93" s="23"/>
      <c r="Y93" s="23">
        <v>15000</v>
      </c>
      <c r="Z93" s="23">
        <f t="shared" si="176"/>
        <v>14850</v>
      </c>
      <c r="AA93" s="23">
        <v>15000</v>
      </c>
      <c r="AB93" s="23">
        <f t="shared" si="177"/>
        <v>14850</v>
      </c>
      <c r="AC93" s="23"/>
      <c r="AD93" s="23">
        <v>15000</v>
      </c>
      <c r="AE93" s="23">
        <f t="shared" si="178"/>
        <v>14850</v>
      </c>
      <c r="AF93" s="23">
        <v>15000</v>
      </c>
      <c r="AG93" s="23">
        <f t="shared" si="179"/>
        <v>14850</v>
      </c>
      <c r="AH93" s="23"/>
      <c r="AI93" s="23">
        <v>15000</v>
      </c>
      <c r="AJ93" s="23">
        <f t="shared" si="180"/>
        <v>14850</v>
      </c>
      <c r="AK93" s="23">
        <v>15000</v>
      </c>
      <c r="AL93" s="23">
        <f t="shared" si="181"/>
        <v>14850</v>
      </c>
      <c r="AM93" s="23"/>
      <c r="AN93" s="23">
        <v>15000</v>
      </c>
      <c r="AO93" s="23">
        <f t="shared" si="182"/>
        <v>14850</v>
      </c>
      <c r="AP93" s="23">
        <v>15000</v>
      </c>
      <c r="AQ93" s="23">
        <f t="shared" si="183"/>
        <v>14850</v>
      </c>
      <c r="AR93" s="23">
        <v>15000</v>
      </c>
      <c r="AS93" s="23">
        <v>15000</v>
      </c>
      <c r="AT93" s="23">
        <f t="shared" si="184"/>
        <v>14850</v>
      </c>
      <c r="AU93" s="23">
        <v>15000</v>
      </c>
      <c r="AV93" s="23">
        <f t="shared" si="185"/>
        <v>14850</v>
      </c>
      <c r="AW93" s="56">
        <v>7500</v>
      </c>
      <c r="AX93" s="24">
        <v>15000</v>
      </c>
      <c r="AY93" s="24">
        <f t="shared" si="186"/>
        <v>14850</v>
      </c>
      <c r="AZ93" s="23">
        <v>15000</v>
      </c>
      <c r="BA93" s="23">
        <f t="shared" si="187"/>
        <v>14850</v>
      </c>
      <c r="BB93" s="73">
        <v>10000</v>
      </c>
      <c r="BC93" s="23">
        <v>15000</v>
      </c>
      <c r="BD93" s="23">
        <f t="shared" si="188"/>
        <v>14850</v>
      </c>
      <c r="BE93" s="23">
        <v>15000</v>
      </c>
      <c r="BF93" s="23">
        <f t="shared" si="189"/>
        <v>14850</v>
      </c>
      <c r="BG93" s="23">
        <v>10000</v>
      </c>
      <c r="BH93" s="23">
        <v>15000</v>
      </c>
      <c r="BI93" s="23">
        <f t="shared" si="190"/>
        <v>14850</v>
      </c>
      <c r="BJ93" s="23">
        <v>15000</v>
      </c>
      <c r="BK93" s="23">
        <f t="shared" si="191"/>
        <v>14850</v>
      </c>
      <c r="BL93" s="23">
        <v>10000</v>
      </c>
      <c r="BM93" s="23">
        <v>15000</v>
      </c>
      <c r="BN93" s="23">
        <f t="shared" si="192"/>
        <v>14850</v>
      </c>
      <c r="BO93" s="23"/>
      <c r="BP93" s="23">
        <f t="shared" si="193"/>
        <v>0</v>
      </c>
      <c r="BQ93" s="23"/>
      <c r="BR93" s="23">
        <v>15000</v>
      </c>
      <c r="BS93" s="23">
        <f t="shared" si="194"/>
        <v>14850</v>
      </c>
      <c r="BT93" s="23"/>
      <c r="BU93" s="23">
        <f t="shared" si="195"/>
        <v>0</v>
      </c>
      <c r="BV93" s="23"/>
      <c r="BW93" s="23">
        <v>15000</v>
      </c>
      <c r="BX93" s="23">
        <f t="shared" si="196"/>
        <v>14850</v>
      </c>
      <c r="BY93" s="23"/>
      <c r="BZ93" s="23">
        <f t="shared" si="197"/>
        <v>0</v>
      </c>
      <c r="CA93" s="23"/>
      <c r="CB93" s="15"/>
    </row>
    <row r="94" spans="1:80" ht="16" x14ac:dyDescent="0.4">
      <c r="A94" s="15" t="s">
        <v>76</v>
      </c>
      <c r="B94" s="15" t="s">
        <v>262</v>
      </c>
      <c r="C94" s="15" t="s">
        <v>263</v>
      </c>
      <c r="D94" s="15" t="s">
        <v>265</v>
      </c>
      <c r="E94" s="112" t="s">
        <v>266</v>
      </c>
      <c r="F94" s="15" t="s">
        <v>267</v>
      </c>
      <c r="G94" s="15" t="s">
        <v>268</v>
      </c>
      <c r="H94" s="15" t="s">
        <v>77</v>
      </c>
      <c r="I94" s="15" t="s">
        <v>77</v>
      </c>
      <c r="J94" s="15" t="s">
        <v>78</v>
      </c>
      <c r="K94" s="15" t="s">
        <v>79</v>
      </c>
      <c r="L94" s="15" t="s">
        <v>459</v>
      </c>
      <c r="M94" s="15" t="s">
        <v>80</v>
      </c>
      <c r="N94" s="17">
        <v>0.71</v>
      </c>
      <c r="O94" s="72">
        <v>30000</v>
      </c>
      <c r="P94" s="22">
        <f t="shared" si="170"/>
        <v>180</v>
      </c>
      <c r="Q94" s="22">
        <f t="shared" si="171"/>
        <v>127.8</v>
      </c>
      <c r="R94" s="22">
        <f t="shared" si="172"/>
        <v>31950</v>
      </c>
      <c r="S94" s="22">
        <f t="shared" si="173"/>
        <v>30000</v>
      </c>
      <c r="T94" s="23">
        <v>15000</v>
      </c>
      <c r="U94" s="23">
        <f t="shared" si="174"/>
        <v>10650</v>
      </c>
      <c r="V94" s="23">
        <v>15000</v>
      </c>
      <c r="W94" s="23">
        <f t="shared" si="175"/>
        <v>10650</v>
      </c>
      <c r="X94" s="23"/>
      <c r="Y94" s="23">
        <v>15000</v>
      </c>
      <c r="Z94" s="23">
        <f t="shared" si="176"/>
        <v>10650</v>
      </c>
      <c r="AA94" s="23">
        <v>15000</v>
      </c>
      <c r="AB94" s="23">
        <f t="shared" si="177"/>
        <v>10650</v>
      </c>
      <c r="AC94" s="23"/>
      <c r="AD94" s="23">
        <v>15000</v>
      </c>
      <c r="AE94" s="23">
        <f t="shared" si="178"/>
        <v>10650</v>
      </c>
      <c r="AF94" s="23">
        <v>15000</v>
      </c>
      <c r="AG94" s="23">
        <f t="shared" si="179"/>
        <v>10650</v>
      </c>
      <c r="AH94" s="23"/>
      <c r="AI94" s="23">
        <v>15000</v>
      </c>
      <c r="AJ94" s="23">
        <f t="shared" si="180"/>
        <v>10650</v>
      </c>
      <c r="AK94" s="23">
        <v>15000</v>
      </c>
      <c r="AL94" s="23">
        <f t="shared" si="181"/>
        <v>10650</v>
      </c>
      <c r="AM94" s="23">
        <v>20000</v>
      </c>
      <c r="AN94" s="23">
        <v>15000</v>
      </c>
      <c r="AO94" s="23">
        <f t="shared" si="182"/>
        <v>10650</v>
      </c>
      <c r="AP94" s="23">
        <v>15000</v>
      </c>
      <c r="AQ94" s="23">
        <f t="shared" si="183"/>
        <v>10650</v>
      </c>
      <c r="AR94" s="26">
        <v>15000</v>
      </c>
      <c r="AS94" s="23">
        <v>15000</v>
      </c>
      <c r="AT94" s="23">
        <f t="shared" si="184"/>
        <v>10650</v>
      </c>
      <c r="AU94" s="23">
        <v>15000</v>
      </c>
      <c r="AV94" s="23">
        <f t="shared" si="185"/>
        <v>10650</v>
      </c>
      <c r="AW94" s="56">
        <v>15000</v>
      </c>
      <c r="AX94" s="24">
        <v>15000</v>
      </c>
      <c r="AY94" s="24">
        <f t="shared" si="186"/>
        <v>10650</v>
      </c>
      <c r="AZ94" s="23">
        <v>15000</v>
      </c>
      <c r="BA94" s="23">
        <f t="shared" si="187"/>
        <v>10650</v>
      </c>
      <c r="BB94" s="73">
        <v>15000</v>
      </c>
      <c r="BC94" s="23">
        <v>15000</v>
      </c>
      <c r="BD94" s="23">
        <f t="shared" si="188"/>
        <v>10650</v>
      </c>
      <c r="BE94" s="23">
        <v>15000</v>
      </c>
      <c r="BF94" s="23">
        <f t="shared" si="189"/>
        <v>10650</v>
      </c>
      <c r="BG94" s="23"/>
      <c r="BH94" s="23">
        <v>15000</v>
      </c>
      <c r="BI94" s="23">
        <f t="shared" si="190"/>
        <v>10650</v>
      </c>
      <c r="BJ94" s="23">
        <v>15000</v>
      </c>
      <c r="BK94" s="23">
        <f t="shared" si="191"/>
        <v>10650</v>
      </c>
      <c r="BL94" s="23">
        <v>15000</v>
      </c>
      <c r="BM94" s="23">
        <v>15000</v>
      </c>
      <c r="BN94" s="23">
        <f t="shared" si="192"/>
        <v>10650</v>
      </c>
      <c r="BO94" s="23"/>
      <c r="BP94" s="23">
        <f t="shared" si="193"/>
        <v>0</v>
      </c>
      <c r="BQ94" s="23"/>
      <c r="BR94" s="23">
        <v>15000</v>
      </c>
      <c r="BS94" s="23">
        <f t="shared" si="194"/>
        <v>10650</v>
      </c>
      <c r="BT94" s="23"/>
      <c r="BU94" s="23">
        <f t="shared" si="195"/>
        <v>0</v>
      </c>
      <c r="BV94" s="23"/>
      <c r="BW94" s="23">
        <v>15000</v>
      </c>
      <c r="BX94" s="23">
        <f t="shared" si="196"/>
        <v>10650</v>
      </c>
      <c r="BY94" s="23"/>
      <c r="BZ94" s="23">
        <f t="shared" si="197"/>
        <v>0</v>
      </c>
      <c r="CA94" s="23"/>
      <c r="CB94" s="74"/>
    </row>
    <row r="95" spans="1:80" ht="16" x14ac:dyDescent="0.4">
      <c r="A95" s="15" t="s">
        <v>76</v>
      </c>
      <c r="B95" s="15" t="s">
        <v>262</v>
      </c>
      <c r="C95" s="15" t="s">
        <v>263</v>
      </c>
      <c r="D95" s="15" t="s">
        <v>265</v>
      </c>
      <c r="E95" s="112" t="s">
        <v>266</v>
      </c>
      <c r="F95" s="15" t="s">
        <v>267</v>
      </c>
      <c r="G95" s="15" t="s">
        <v>268</v>
      </c>
      <c r="H95" s="15" t="s">
        <v>215</v>
      </c>
      <c r="I95" s="15" t="s">
        <v>215</v>
      </c>
      <c r="J95" s="15" t="s">
        <v>88</v>
      </c>
      <c r="K95" s="15" t="s">
        <v>130</v>
      </c>
      <c r="L95" s="15" t="s">
        <v>529</v>
      </c>
      <c r="M95" s="15" t="s">
        <v>80</v>
      </c>
      <c r="N95" s="17">
        <v>0.17</v>
      </c>
      <c r="O95" s="18"/>
      <c r="P95" s="22">
        <f t="shared" si="170"/>
        <v>80</v>
      </c>
      <c r="Q95" s="22">
        <f t="shared" si="171"/>
        <v>13.600000000000001</v>
      </c>
      <c r="R95" s="22">
        <f t="shared" si="172"/>
        <v>5100.0000000000009</v>
      </c>
      <c r="S95" s="22">
        <f t="shared" si="173"/>
        <v>0</v>
      </c>
      <c r="T95" s="23">
        <v>10000</v>
      </c>
      <c r="U95" s="23">
        <f t="shared" si="174"/>
        <v>1700.0000000000002</v>
      </c>
      <c r="V95" s="23">
        <v>10000</v>
      </c>
      <c r="W95" s="23">
        <f t="shared" si="175"/>
        <v>1700.0000000000002</v>
      </c>
      <c r="X95" s="23"/>
      <c r="Y95" s="23">
        <v>10000</v>
      </c>
      <c r="Z95" s="23">
        <f t="shared" si="176"/>
        <v>1700.0000000000002</v>
      </c>
      <c r="AA95" s="23">
        <v>10000</v>
      </c>
      <c r="AB95" s="23">
        <f t="shared" si="177"/>
        <v>1700.0000000000002</v>
      </c>
      <c r="AC95" s="23"/>
      <c r="AD95" s="23">
        <v>10000</v>
      </c>
      <c r="AE95" s="23">
        <f t="shared" si="178"/>
        <v>1700.0000000000002</v>
      </c>
      <c r="AF95" s="23">
        <v>10000</v>
      </c>
      <c r="AG95" s="23">
        <f t="shared" si="179"/>
        <v>1700.0000000000002</v>
      </c>
      <c r="AH95" s="23"/>
      <c r="AI95" s="23">
        <v>10000</v>
      </c>
      <c r="AJ95" s="23">
        <f t="shared" si="180"/>
        <v>1700.0000000000002</v>
      </c>
      <c r="AK95" s="23">
        <v>10000</v>
      </c>
      <c r="AL95" s="23">
        <f t="shared" si="181"/>
        <v>1700.0000000000002</v>
      </c>
      <c r="AM95" s="23"/>
      <c r="AN95" s="23">
        <v>10000</v>
      </c>
      <c r="AO95" s="23">
        <f t="shared" si="182"/>
        <v>1700.0000000000002</v>
      </c>
      <c r="AP95" s="23">
        <v>10000</v>
      </c>
      <c r="AQ95" s="23">
        <f t="shared" si="183"/>
        <v>1700.0000000000002</v>
      </c>
      <c r="AR95" s="23"/>
      <c r="AS95" s="23">
        <v>10000</v>
      </c>
      <c r="AT95" s="23">
        <f t="shared" si="184"/>
        <v>1700.0000000000002</v>
      </c>
      <c r="AU95" s="23">
        <v>10000</v>
      </c>
      <c r="AV95" s="23">
        <f t="shared" si="185"/>
        <v>1700.0000000000002</v>
      </c>
      <c r="AW95" s="23"/>
      <c r="AX95" s="24">
        <v>10000</v>
      </c>
      <c r="AY95" s="24">
        <f t="shared" si="186"/>
        <v>1700.0000000000002</v>
      </c>
      <c r="AZ95" s="23">
        <v>10000</v>
      </c>
      <c r="BA95" s="23">
        <f t="shared" si="187"/>
        <v>1700.0000000000002</v>
      </c>
      <c r="BB95" s="23"/>
      <c r="BC95" s="23">
        <v>10000</v>
      </c>
      <c r="BD95" s="23">
        <f t="shared" si="188"/>
        <v>1700.0000000000002</v>
      </c>
      <c r="BE95" s="23">
        <v>10000</v>
      </c>
      <c r="BF95" s="23">
        <f t="shared" si="189"/>
        <v>1700.0000000000002</v>
      </c>
      <c r="BG95" s="23"/>
      <c r="BH95" s="23"/>
      <c r="BI95" s="23">
        <f t="shared" si="190"/>
        <v>0</v>
      </c>
      <c r="BJ95" s="23">
        <v>10000</v>
      </c>
      <c r="BK95" s="23">
        <f t="shared" si="191"/>
        <v>1700.0000000000002</v>
      </c>
      <c r="BL95" s="23"/>
      <c r="BM95" s="23"/>
      <c r="BN95" s="23">
        <f t="shared" si="192"/>
        <v>0</v>
      </c>
      <c r="BO95" s="23"/>
      <c r="BP95" s="23">
        <f t="shared" si="193"/>
        <v>0</v>
      </c>
      <c r="BQ95" s="23"/>
      <c r="BR95" s="23"/>
      <c r="BS95" s="23">
        <f t="shared" si="194"/>
        <v>0</v>
      </c>
      <c r="BT95" s="23"/>
      <c r="BU95" s="23">
        <f t="shared" si="195"/>
        <v>0</v>
      </c>
      <c r="BV95" s="23"/>
      <c r="BW95" s="23"/>
      <c r="BX95" s="23">
        <f t="shared" si="196"/>
        <v>0</v>
      </c>
      <c r="BY95" s="23"/>
      <c r="BZ95" s="23">
        <f t="shared" si="197"/>
        <v>0</v>
      </c>
      <c r="CA95" s="23"/>
      <c r="CB95" s="15"/>
    </row>
    <row r="96" spans="1:80" ht="16" x14ac:dyDescent="0.4">
      <c r="A96" s="15" t="s">
        <v>76</v>
      </c>
      <c r="B96" s="15" t="s">
        <v>262</v>
      </c>
      <c r="C96" s="15" t="s">
        <v>263</v>
      </c>
      <c r="D96" s="15" t="s">
        <v>265</v>
      </c>
      <c r="E96" s="112" t="s">
        <v>266</v>
      </c>
      <c r="F96" s="15" t="s">
        <v>267</v>
      </c>
      <c r="G96" s="15" t="s">
        <v>268</v>
      </c>
      <c r="H96" s="15" t="s">
        <v>152</v>
      </c>
      <c r="I96" s="15" t="s">
        <v>152</v>
      </c>
      <c r="J96" s="15" t="s">
        <v>118</v>
      </c>
      <c r="K96" s="15" t="s">
        <v>292</v>
      </c>
      <c r="L96" s="15" t="s">
        <v>530</v>
      </c>
      <c r="M96" s="15" t="s">
        <v>80</v>
      </c>
      <c r="N96" s="17">
        <v>18</v>
      </c>
      <c r="O96" s="18"/>
      <c r="P96" s="22">
        <f t="shared" si="170"/>
        <v>80</v>
      </c>
      <c r="Q96" s="22">
        <f t="shared" si="171"/>
        <v>1440</v>
      </c>
      <c r="R96" s="22">
        <f t="shared" si="172"/>
        <v>0</v>
      </c>
      <c r="S96" s="22">
        <f t="shared" si="173"/>
        <v>0</v>
      </c>
      <c r="T96" s="23"/>
      <c r="U96" s="23">
        <f t="shared" si="174"/>
        <v>0</v>
      </c>
      <c r="V96" s="23"/>
      <c r="W96" s="23">
        <f t="shared" si="175"/>
        <v>0</v>
      </c>
      <c r="X96" s="23"/>
      <c r="Y96" s="23"/>
      <c r="Z96" s="23">
        <f t="shared" si="176"/>
        <v>0</v>
      </c>
      <c r="AA96" s="23"/>
      <c r="AB96" s="23">
        <f t="shared" si="177"/>
        <v>0</v>
      </c>
      <c r="AC96" s="23"/>
      <c r="AD96" s="23"/>
      <c r="AE96" s="23">
        <f t="shared" si="178"/>
        <v>0</v>
      </c>
      <c r="AF96" s="23"/>
      <c r="AG96" s="23">
        <f t="shared" si="179"/>
        <v>0</v>
      </c>
      <c r="AH96" s="23"/>
      <c r="AI96" s="23"/>
      <c r="AJ96" s="23">
        <f t="shared" si="180"/>
        <v>0</v>
      </c>
      <c r="AK96" s="23"/>
      <c r="AL96" s="23">
        <f t="shared" si="181"/>
        <v>0</v>
      </c>
      <c r="AM96" s="23"/>
      <c r="AN96" s="23">
        <v>10000</v>
      </c>
      <c r="AO96" s="23">
        <f t="shared" si="182"/>
        <v>180000</v>
      </c>
      <c r="AP96" s="23"/>
      <c r="AQ96" s="23">
        <f t="shared" si="183"/>
        <v>0</v>
      </c>
      <c r="AR96" s="23"/>
      <c r="AS96" s="23">
        <v>10000</v>
      </c>
      <c r="AT96" s="23">
        <f t="shared" si="184"/>
        <v>180000</v>
      </c>
      <c r="AU96" s="23"/>
      <c r="AV96" s="23">
        <f t="shared" si="185"/>
        <v>0</v>
      </c>
      <c r="AW96" s="23"/>
      <c r="AX96" s="24">
        <v>10000</v>
      </c>
      <c r="AY96" s="24">
        <f t="shared" si="186"/>
        <v>180000</v>
      </c>
      <c r="AZ96" s="23"/>
      <c r="BA96" s="23">
        <f t="shared" si="187"/>
        <v>0</v>
      </c>
      <c r="BB96" s="23"/>
      <c r="BC96" s="23">
        <v>10000</v>
      </c>
      <c r="BD96" s="23">
        <f t="shared" si="188"/>
        <v>180000</v>
      </c>
      <c r="BE96" s="23"/>
      <c r="BF96" s="23">
        <f t="shared" si="189"/>
        <v>0</v>
      </c>
      <c r="BG96" s="23"/>
      <c r="BH96" s="23">
        <v>10000</v>
      </c>
      <c r="BI96" s="23">
        <f t="shared" si="190"/>
        <v>180000</v>
      </c>
      <c r="BJ96" s="23"/>
      <c r="BK96" s="23">
        <f t="shared" si="191"/>
        <v>0</v>
      </c>
      <c r="BL96" s="23"/>
      <c r="BM96" s="23">
        <v>10000</v>
      </c>
      <c r="BN96" s="23">
        <f t="shared" si="192"/>
        <v>180000</v>
      </c>
      <c r="BO96" s="23"/>
      <c r="BP96" s="23">
        <f t="shared" si="193"/>
        <v>0</v>
      </c>
      <c r="BQ96" s="23"/>
      <c r="BR96" s="23">
        <v>10000</v>
      </c>
      <c r="BS96" s="23">
        <f t="shared" si="194"/>
        <v>180000</v>
      </c>
      <c r="BT96" s="23"/>
      <c r="BU96" s="23">
        <f t="shared" si="195"/>
        <v>0</v>
      </c>
      <c r="BV96" s="23"/>
      <c r="BW96" s="23">
        <v>10000</v>
      </c>
      <c r="BX96" s="23">
        <f t="shared" si="196"/>
        <v>180000</v>
      </c>
      <c r="BY96" s="23"/>
      <c r="BZ96" s="23">
        <f t="shared" si="197"/>
        <v>0</v>
      </c>
      <c r="CA96" s="23"/>
      <c r="CB96" s="15"/>
    </row>
    <row r="97" spans="1:80" ht="16" x14ac:dyDescent="0.4">
      <c r="A97" s="15" t="s">
        <v>76</v>
      </c>
      <c r="B97" s="15" t="s">
        <v>262</v>
      </c>
      <c r="C97" s="15" t="s">
        <v>263</v>
      </c>
      <c r="D97" s="15" t="s">
        <v>265</v>
      </c>
      <c r="E97" s="112" t="s">
        <v>266</v>
      </c>
      <c r="F97" s="15" t="s">
        <v>267</v>
      </c>
      <c r="G97" s="15" t="s">
        <v>268</v>
      </c>
      <c r="H97" s="15" t="s">
        <v>77</v>
      </c>
      <c r="I97" s="15" t="s">
        <v>77</v>
      </c>
      <c r="J97" s="15" t="s">
        <v>78</v>
      </c>
      <c r="K97" s="15" t="s">
        <v>79</v>
      </c>
      <c r="L97" s="15" t="s">
        <v>531</v>
      </c>
      <c r="M97" s="15" t="s">
        <v>80</v>
      </c>
      <c r="N97" s="17">
        <v>3.62</v>
      </c>
      <c r="O97" s="18"/>
      <c r="P97" s="22">
        <f t="shared" si="170"/>
        <v>20</v>
      </c>
      <c r="Q97" s="22">
        <f t="shared" si="171"/>
        <v>72.400000000000006</v>
      </c>
      <c r="R97" s="22">
        <f t="shared" si="172"/>
        <v>0</v>
      </c>
      <c r="S97" s="22">
        <f t="shared" si="173"/>
        <v>0</v>
      </c>
      <c r="T97" s="23"/>
      <c r="U97" s="23">
        <f t="shared" si="174"/>
        <v>0</v>
      </c>
      <c r="V97" s="23"/>
      <c r="W97" s="23">
        <f t="shared" si="175"/>
        <v>0</v>
      </c>
      <c r="X97" s="23"/>
      <c r="Y97" s="23"/>
      <c r="Z97" s="23">
        <f t="shared" si="176"/>
        <v>0</v>
      </c>
      <c r="AA97" s="23"/>
      <c r="AB97" s="23">
        <f t="shared" si="177"/>
        <v>0</v>
      </c>
      <c r="AC97" s="23"/>
      <c r="AD97" s="23"/>
      <c r="AE97" s="23">
        <f t="shared" si="178"/>
        <v>0</v>
      </c>
      <c r="AF97" s="23"/>
      <c r="AG97" s="23">
        <f t="shared" si="179"/>
        <v>0</v>
      </c>
      <c r="AH97" s="23"/>
      <c r="AI97" s="23"/>
      <c r="AJ97" s="23">
        <f t="shared" si="180"/>
        <v>0</v>
      </c>
      <c r="AK97" s="23"/>
      <c r="AL97" s="23">
        <f t="shared" si="181"/>
        <v>0</v>
      </c>
      <c r="AM97" s="23"/>
      <c r="AN97" s="23"/>
      <c r="AO97" s="23">
        <f t="shared" si="182"/>
        <v>0</v>
      </c>
      <c r="AP97" s="23"/>
      <c r="AQ97" s="23">
        <f t="shared" si="183"/>
        <v>0</v>
      </c>
      <c r="AR97" s="23"/>
      <c r="AS97" s="23"/>
      <c r="AT97" s="23">
        <f t="shared" si="184"/>
        <v>0</v>
      </c>
      <c r="AU97" s="23"/>
      <c r="AV97" s="23">
        <f t="shared" si="185"/>
        <v>0</v>
      </c>
      <c r="AW97" s="23"/>
      <c r="AX97" s="24">
        <v>10000</v>
      </c>
      <c r="AY97" s="24">
        <f t="shared" si="186"/>
        <v>36200</v>
      </c>
      <c r="AZ97" s="23"/>
      <c r="BA97" s="23">
        <f t="shared" si="187"/>
        <v>0</v>
      </c>
      <c r="BB97" s="23"/>
      <c r="BC97" s="23"/>
      <c r="BD97" s="23">
        <f t="shared" si="188"/>
        <v>0</v>
      </c>
      <c r="BE97" s="23"/>
      <c r="BF97" s="23">
        <f t="shared" si="189"/>
        <v>0</v>
      </c>
      <c r="BG97" s="23"/>
      <c r="BH97" s="23"/>
      <c r="BI97" s="23">
        <f t="shared" si="190"/>
        <v>0</v>
      </c>
      <c r="BJ97" s="23"/>
      <c r="BK97" s="23">
        <f t="shared" si="191"/>
        <v>0</v>
      </c>
      <c r="BL97" s="23"/>
      <c r="BM97" s="23"/>
      <c r="BN97" s="23">
        <f t="shared" si="192"/>
        <v>0</v>
      </c>
      <c r="BO97" s="23"/>
      <c r="BP97" s="23">
        <f t="shared" si="193"/>
        <v>0</v>
      </c>
      <c r="BQ97" s="23"/>
      <c r="BR97" s="23">
        <v>10000</v>
      </c>
      <c r="BS97" s="23">
        <f t="shared" si="194"/>
        <v>36200</v>
      </c>
      <c r="BT97" s="23"/>
      <c r="BU97" s="23">
        <f t="shared" si="195"/>
        <v>0</v>
      </c>
      <c r="BV97" s="23"/>
      <c r="BW97" s="23"/>
      <c r="BX97" s="23">
        <f t="shared" si="196"/>
        <v>0</v>
      </c>
      <c r="BY97" s="23"/>
      <c r="BZ97" s="23">
        <f t="shared" si="197"/>
        <v>0</v>
      </c>
      <c r="CA97" s="23"/>
      <c r="CB97" s="15"/>
    </row>
    <row r="98" spans="1:80" ht="16" x14ac:dyDescent="0.4">
      <c r="A98" s="15" t="s">
        <v>76</v>
      </c>
      <c r="B98" s="15" t="s">
        <v>262</v>
      </c>
      <c r="C98" s="15" t="s">
        <v>263</v>
      </c>
      <c r="D98" s="15" t="s">
        <v>265</v>
      </c>
      <c r="E98" s="112" t="s">
        <v>266</v>
      </c>
      <c r="F98" s="15" t="s">
        <v>267</v>
      </c>
      <c r="G98" s="15" t="s">
        <v>268</v>
      </c>
      <c r="H98" s="15" t="s">
        <v>149</v>
      </c>
      <c r="I98" s="15" t="s">
        <v>149</v>
      </c>
      <c r="J98" s="15" t="s">
        <v>150</v>
      </c>
      <c r="K98" s="15" t="s">
        <v>79</v>
      </c>
      <c r="L98" s="15" t="s">
        <v>453</v>
      </c>
      <c r="M98" s="15"/>
      <c r="N98" s="17"/>
      <c r="O98" s="72">
        <v>90000</v>
      </c>
      <c r="P98" s="22">
        <f t="shared" si="170"/>
        <v>0</v>
      </c>
      <c r="Q98" s="22">
        <f t="shared" si="171"/>
        <v>0</v>
      </c>
      <c r="R98" s="22">
        <f t="shared" si="172"/>
        <v>0</v>
      </c>
      <c r="S98" s="22">
        <f t="shared" si="173"/>
        <v>0</v>
      </c>
      <c r="T98" s="23"/>
      <c r="U98" s="23">
        <f t="shared" si="174"/>
        <v>0</v>
      </c>
      <c r="V98" s="23"/>
      <c r="W98" s="23">
        <f t="shared" si="175"/>
        <v>0</v>
      </c>
      <c r="X98" s="23">
        <v>100000</v>
      </c>
      <c r="Y98" s="23"/>
      <c r="Z98" s="23">
        <f t="shared" si="176"/>
        <v>0</v>
      </c>
      <c r="AA98" s="23"/>
      <c r="AB98" s="23">
        <f t="shared" si="177"/>
        <v>0</v>
      </c>
      <c r="AC98" s="23"/>
      <c r="AD98" s="23"/>
      <c r="AE98" s="23">
        <f t="shared" si="178"/>
        <v>0</v>
      </c>
      <c r="AF98" s="23"/>
      <c r="AG98" s="23">
        <f t="shared" si="179"/>
        <v>0</v>
      </c>
      <c r="AH98" s="23"/>
      <c r="AI98" s="23"/>
      <c r="AJ98" s="23">
        <f t="shared" si="180"/>
        <v>0</v>
      </c>
      <c r="AK98" s="23"/>
      <c r="AL98" s="23">
        <f t="shared" si="181"/>
        <v>0</v>
      </c>
      <c r="AM98" s="23"/>
      <c r="AN98" s="23"/>
      <c r="AO98" s="23">
        <f t="shared" si="182"/>
        <v>0</v>
      </c>
      <c r="AP98" s="23"/>
      <c r="AQ98" s="23">
        <f t="shared" si="183"/>
        <v>0</v>
      </c>
      <c r="AR98" s="23"/>
      <c r="AS98" s="23"/>
      <c r="AT98" s="23">
        <f t="shared" si="184"/>
        <v>0</v>
      </c>
      <c r="AU98" s="23"/>
      <c r="AV98" s="23">
        <f t="shared" si="185"/>
        <v>0</v>
      </c>
      <c r="AW98" s="23"/>
      <c r="AX98" s="24"/>
      <c r="AY98" s="24">
        <f t="shared" si="186"/>
        <v>0</v>
      </c>
      <c r="AZ98" s="23"/>
      <c r="BA98" s="23">
        <f t="shared" si="187"/>
        <v>0</v>
      </c>
      <c r="BB98" s="23"/>
      <c r="BC98" s="23"/>
      <c r="BD98" s="23">
        <f t="shared" si="188"/>
        <v>0</v>
      </c>
      <c r="BE98" s="23"/>
      <c r="BF98" s="23">
        <f t="shared" si="189"/>
        <v>0</v>
      </c>
      <c r="BG98" s="23"/>
      <c r="BH98" s="23"/>
      <c r="BI98" s="23">
        <f t="shared" si="190"/>
        <v>0</v>
      </c>
      <c r="BJ98" s="23"/>
      <c r="BK98" s="23">
        <f t="shared" si="191"/>
        <v>0</v>
      </c>
      <c r="BL98" s="23"/>
      <c r="BM98" s="23"/>
      <c r="BN98" s="23">
        <f t="shared" si="192"/>
        <v>0</v>
      </c>
      <c r="BO98" s="23"/>
      <c r="BP98" s="23">
        <f t="shared" si="193"/>
        <v>0</v>
      </c>
      <c r="BQ98" s="23"/>
      <c r="BR98" s="23"/>
      <c r="BS98" s="23">
        <f t="shared" si="194"/>
        <v>0</v>
      </c>
      <c r="BT98" s="23"/>
      <c r="BU98" s="23">
        <f t="shared" si="195"/>
        <v>0</v>
      </c>
      <c r="BV98" s="23"/>
      <c r="BW98" s="23"/>
      <c r="BX98" s="23">
        <f t="shared" si="196"/>
        <v>0</v>
      </c>
      <c r="BY98" s="23"/>
      <c r="BZ98" s="23">
        <f t="shared" si="197"/>
        <v>0</v>
      </c>
      <c r="CA98" s="23"/>
      <c r="CB98" s="15"/>
    </row>
    <row r="99" spans="1:80" ht="16" x14ac:dyDescent="0.4">
      <c r="A99" s="15" t="s">
        <v>76</v>
      </c>
      <c r="B99" s="15" t="s">
        <v>262</v>
      </c>
      <c r="C99" s="15" t="s">
        <v>263</v>
      </c>
      <c r="D99" s="15" t="s">
        <v>265</v>
      </c>
      <c r="E99" s="112" t="s">
        <v>266</v>
      </c>
      <c r="F99" s="15" t="s">
        <v>267</v>
      </c>
      <c r="G99" s="15" t="s">
        <v>268</v>
      </c>
      <c r="H99" s="15" t="s">
        <v>77</v>
      </c>
      <c r="I99" s="15" t="s">
        <v>77</v>
      </c>
      <c r="J99" s="15" t="s">
        <v>78</v>
      </c>
      <c r="K99" s="15" t="s">
        <v>79</v>
      </c>
      <c r="L99" s="15" t="s">
        <v>532</v>
      </c>
      <c r="M99" s="15" t="s">
        <v>80</v>
      </c>
      <c r="N99" s="17">
        <v>2.54</v>
      </c>
      <c r="O99" s="18"/>
      <c r="P99" s="22">
        <f t="shared" si="170"/>
        <v>20</v>
      </c>
      <c r="Q99" s="22">
        <f t="shared" si="171"/>
        <v>50.8</v>
      </c>
      <c r="R99" s="22">
        <f t="shared" si="172"/>
        <v>0</v>
      </c>
      <c r="S99" s="22">
        <f t="shared" si="173"/>
        <v>0</v>
      </c>
      <c r="T99" s="23"/>
      <c r="U99" s="23">
        <f t="shared" si="174"/>
        <v>0</v>
      </c>
      <c r="V99" s="23"/>
      <c r="W99" s="23">
        <f t="shared" si="175"/>
        <v>0</v>
      </c>
      <c r="X99" s="23"/>
      <c r="Y99" s="23"/>
      <c r="Z99" s="23">
        <f t="shared" si="176"/>
        <v>0</v>
      </c>
      <c r="AA99" s="23"/>
      <c r="AB99" s="23">
        <f t="shared" si="177"/>
        <v>0</v>
      </c>
      <c r="AC99" s="23"/>
      <c r="AD99" s="23"/>
      <c r="AE99" s="23">
        <f t="shared" si="178"/>
        <v>0</v>
      </c>
      <c r="AF99" s="23"/>
      <c r="AG99" s="23">
        <f t="shared" si="179"/>
        <v>0</v>
      </c>
      <c r="AH99" s="23"/>
      <c r="AI99" s="23"/>
      <c r="AJ99" s="23">
        <f t="shared" si="180"/>
        <v>0</v>
      </c>
      <c r="AK99" s="23"/>
      <c r="AL99" s="23">
        <f t="shared" si="181"/>
        <v>0</v>
      </c>
      <c r="AM99" s="23"/>
      <c r="AN99" s="23"/>
      <c r="AO99" s="23">
        <f t="shared" si="182"/>
        <v>0</v>
      </c>
      <c r="AP99" s="23"/>
      <c r="AQ99" s="23">
        <f t="shared" si="183"/>
        <v>0</v>
      </c>
      <c r="AR99" s="23"/>
      <c r="AS99" s="23"/>
      <c r="AT99" s="23">
        <f t="shared" si="184"/>
        <v>0</v>
      </c>
      <c r="AU99" s="23"/>
      <c r="AV99" s="23">
        <f t="shared" si="185"/>
        <v>0</v>
      </c>
      <c r="AW99" s="23"/>
      <c r="AX99" s="24">
        <v>10000</v>
      </c>
      <c r="AY99" s="24">
        <f t="shared" si="186"/>
        <v>25400</v>
      </c>
      <c r="AZ99" s="23"/>
      <c r="BA99" s="23">
        <f t="shared" si="187"/>
        <v>0</v>
      </c>
      <c r="BB99" s="23"/>
      <c r="BC99" s="23"/>
      <c r="BD99" s="23">
        <f t="shared" si="188"/>
        <v>0</v>
      </c>
      <c r="BE99" s="23"/>
      <c r="BF99" s="23">
        <f t="shared" si="189"/>
        <v>0</v>
      </c>
      <c r="BG99" s="23"/>
      <c r="BH99" s="23"/>
      <c r="BI99" s="23">
        <f t="shared" si="190"/>
        <v>0</v>
      </c>
      <c r="BJ99" s="23"/>
      <c r="BK99" s="23">
        <f t="shared" si="191"/>
        <v>0</v>
      </c>
      <c r="BL99" s="23"/>
      <c r="BM99" s="23"/>
      <c r="BN99" s="23">
        <f t="shared" si="192"/>
        <v>0</v>
      </c>
      <c r="BO99" s="23"/>
      <c r="BP99" s="23">
        <f t="shared" si="193"/>
        <v>0</v>
      </c>
      <c r="BQ99" s="23"/>
      <c r="BR99" s="23">
        <v>10000</v>
      </c>
      <c r="BS99" s="23">
        <f t="shared" si="194"/>
        <v>25400</v>
      </c>
      <c r="BT99" s="23"/>
      <c r="BU99" s="23">
        <f t="shared" si="195"/>
        <v>0</v>
      </c>
      <c r="BV99" s="23"/>
      <c r="BW99" s="23"/>
      <c r="BX99" s="23">
        <f t="shared" si="196"/>
        <v>0</v>
      </c>
      <c r="BY99" s="23"/>
      <c r="BZ99" s="23">
        <f t="shared" si="197"/>
        <v>0</v>
      </c>
      <c r="CA99" s="23"/>
      <c r="CB99" s="15"/>
    </row>
    <row r="100" spans="1:80" ht="16" x14ac:dyDescent="0.4">
      <c r="A100" s="15" t="s">
        <v>76</v>
      </c>
      <c r="B100" s="15" t="s">
        <v>262</v>
      </c>
      <c r="C100" s="15" t="s">
        <v>263</v>
      </c>
      <c r="D100" s="15" t="s">
        <v>265</v>
      </c>
      <c r="E100" s="112" t="s">
        <v>266</v>
      </c>
      <c r="F100" s="15" t="s">
        <v>267</v>
      </c>
      <c r="G100" s="15" t="s">
        <v>268</v>
      </c>
      <c r="H100" s="15" t="s">
        <v>77</v>
      </c>
      <c r="I100" s="15" t="s">
        <v>77</v>
      </c>
      <c r="J100" s="15" t="s">
        <v>78</v>
      </c>
      <c r="K100" s="15" t="s">
        <v>79</v>
      </c>
      <c r="L100" s="15" t="s">
        <v>533</v>
      </c>
      <c r="M100" s="15"/>
      <c r="N100" s="17"/>
      <c r="O100" s="18"/>
      <c r="P100" s="22">
        <f t="shared" si="170"/>
        <v>0</v>
      </c>
      <c r="Q100" s="22">
        <f t="shared" si="171"/>
        <v>0</v>
      </c>
      <c r="R100" s="22">
        <f t="shared" si="172"/>
        <v>0</v>
      </c>
      <c r="S100" s="22">
        <f t="shared" si="173"/>
        <v>0</v>
      </c>
      <c r="T100" s="23"/>
      <c r="U100" s="23">
        <f t="shared" si="174"/>
        <v>0</v>
      </c>
      <c r="V100" s="23"/>
      <c r="W100" s="23">
        <f t="shared" si="175"/>
        <v>0</v>
      </c>
      <c r="X100" s="23">
        <v>3000</v>
      </c>
      <c r="Y100" s="23"/>
      <c r="Z100" s="23">
        <f t="shared" si="176"/>
        <v>0</v>
      </c>
      <c r="AA100" s="23"/>
      <c r="AB100" s="23">
        <f t="shared" si="177"/>
        <v>0</v>
      </c>
      <c r="AC100" s="23">
        <v>3000</v>
      </c>
      <c r="AD100" s="23"/>
      <c r="AE100" s="23">
        <f t="shared" si="178"/>
        <v>0</v>
      </c>
      <c r="AF100" s="23"/>
      <c r="AG100" s="23">
        <f t="shared" si="179"/>
        <v>0</v>
      </c>
      <c r="AH100" s="23">
        <v>3000</v>
      </c>
      <c r="AI100" s="23"/>
      <c r="AJ100" s="23">
        <f t="shared" si="180"/>
        <v>0</v>
      </c>
      <c r="AK100" s="23"/>
      <c r="AL100" s="23">
        <f t="shared" si="181"/>
        <v>0</v>
      </c>
      <c r="AM100" s="23"/>
      <c r="AN100" s="23"/>
      <c r="AO100" s="23">
        <f t="shared" si="182"/>
        <v>0</v>
      </c>
      <c r="AP100" s="23"/>
      <c r="AQ100" s="23">
        <f t="shared" si="183"/>
        <v>0</v>
      </c>
      <c r="AR100" s="23"/>
      <c r="AS100" s="23"/>
      <c r="AT100" s="23">
        <f t="shared" si="184"/>
        <v>0</v>
      </c>
      <c r="AU100" s="23"/>
      <c r="AV100" s="23">
        <f t="shared" si="185"/>
        <v>0</v>
      </c>
      <c r="AW100" s="23"/>
      <c r="AX100" s="24"/>
      <c r="AY100" s="24">
        <f t="shared" si="186"/>
        <v>0</v>
      </c>
      <c r="AZ100" s="23"/>
      <c r="BA100" s="23">
        <f t="shared" si="187"/>
        <v>0</v>
      </c>
      <c r="BB100" s="23"/>
      <c r="BC100" s="23"/>
      <c r="BD100" s="23">
        <f t="shared" si="188"/>
        <v>0</v>
      </c>
      <c r="BE100" s="23"/>
      <c r="BF100" s="23">
        <f t="shared" si="189"/>
        <v>0</v>
      </c>
      <c r="BG100" s="23"/>
      <c r="BH100" s="23"/>
      <c r="BI100" s="23">
        <f t="shared" si="190"/>
        <v>0</v>
      </c>
      <c r="BJ100" s="23"/>
      <c r="BK100" s="23">
        <f t="shared" si="191"/>
        <v>0</v>
      </c>
      <c r="BL100" s="23"/>
      <c r="BM100" s="23"/>
      <c r="BN100" s="23">
        <f t="shared" si="192"/>
        <v>0</v>
      </c>
      <c r="BO100" s="23"/>
      <c r="BP100" s="23">
        <f t="shared" si="193"/>
        <v>0</v>
      </c>
      <c r="BQ100" s="23"/>
      <c r="BR100" s="23"/>
      <c r="BS100" s="23">
        <f t="shared" si="194"/>
        <v>0</v>
      </c>
      <c r="BT100" s="23"/>
      <c r="BU100" s="23">
        <f t="shared" si="195"/>
        <v>0</v>
      </c>
      <c r="BV100" s="23"/>
      <c r="BW100" s="23"/>
      <c r="BX100" s="23">
        <f t="shared" si="196"/>
        <v>0</v>
      </c>
      <c r="BY100" s="23"/>
      <c r="BZ100" s="23">
        <f t="shared" si="197"/>
        <v>0</v>
      </c>
      <c r="CA100" s="23"/>
      <c r="CB100" s="15"/>
    </row>
    <row r="101" spans="1:80" ht="16" x14ac:dyDescent="0.4">
      <c r="A101" s="15" t="s">
        <v>76</v>
      </c>
      <c r="B101" s="15" t="s">
        <v>262</v>
      </c>
      <c r="C101" s="15" t="s">
        <v>127</v>
      </c>
      <c r="D101" s="15" t="s">
        <v>534</v>
      </c>
      <c r="E101" s="112" t="s">
        <v>535</v>
      </c>
      <c r="F101" s="15" t="s">
        <v>267</v>
      </c>
      <c r="G101" s="15" t="s">
        <v>196</v>
      </c>
      <c r="H101" s="15" t="s">
        <v>163</v>
      </c>
      <c r="I101" s="15" t="s">
        <v>163</v>
      </c>
      <c r="J101" s="16" t="s">
        <v>164</v>
      </c>
      <c r="K101" s="3" t="s">
        <v>450</v>
      </c>
      <c r="L101" s="15" t="s">
        <v>536</v>
      </c>
      <c r="M101" s="15" t="s">
        <v>83</v>
      </c>
      <c r="N101" s="17">
        <v>145</v>
      </c>
      <c r="O101" s="18"/>
      <c r="P101" s="22">
        <f t="shared" si="170"/>
        <v>8</v>
      </c>
      <c r="Q101" s="22">
        <f t="shared" si="171"/>
        <v>1160</v>
      </c>
      <c r="R101" s="22">
        <f t="shared" si="172"/>
        <v>0</v>
      </c>
      <c r="S101" s="22">
        <f t="shared" si="173"/>
        <v>0</v>
      </c>
      <c r="T101" s="23"/>
      <c r="U101" s="23">
        <f t="shared" si="174"/>
        <v>0</v>
      </c>
      <c r="V101" s="23">
        <v>2000</v>
      </c>
      <c r="W101" s="23">
        <f t="shared" si="175"/>
        <v>290000</v>
      </c>
      <c r="X101" s="23">
        <v>2100</v>
      </c>
      <c r="Y101" s="23"/>
      <c r="Z101" s="23">
        <f t="shared" si="176"/>
        <v>0</v>
      </c>
      <c r="AA101" s="23">
        <v>2000</v>
      </c>
      <c r="AB101" s="23">
        <f t="shared" si="177"/>
        <v>290000</v>
      </c>
      <c r="AC101" s="23"/>
      <c r="AD101" s="23">
        <v>2000</v>
      </c>
      <c r="AE101" s="23">
        <f t="shared" si="178"/>
        <v>290000</v>
      </c>
      <c r="AF101" s="23"/>
      <c r="AG101" s="23">
        <f t="shared" si="179"/>
        <v>0</v>
      </c>
      <c r="AH101" s="23"/>
      <c r="AI101" s="23"/>
      <c r="AJ101" s="23">
        <f t="shared" si="180"/>
        <v>0</v>
      </c>
      <c r="AK101" s="23"/>
      <c r="AL101" s="23">
        <f t="shared" si="181"/>
        <v>0</v>
      </c>
      <c r="AM101" s="23">
        <v>2100</v>
      </c>
      <c r="AN101" s="23"/>
      <c r="AO101" s="23">
        <f t="shared" si="182"/>
        <v>0</v>
      </c>
      <c r="AP101" s="23">
        <v>2000</v>
      </c>
      <c r="AQ101" s="23">
        <f t="shared" si="183"/>
        <v>290000</v>
      </c>
      <c r="AR101" s="23"/>
      <c r="AS101" s="23">
        <v>2000</v>
      </c>
      <c r="AT101" s="23">
        <f t="shared" si="184"/>
        <v>290000</v>
      </c>
      <c r="AU101" s="23"/>
      <c r="AV101" s="23">
        <f t="shared" si="185"/>
        <v>0</v>
      </c>
      <c r="AW101" s="23"/>
      <c r="AX101" s="24"/>
      <c r="AY101" s="24">
        <f t="shared" si="186"/>
        <v>0</v>
      </c>
      <c r="AZ101" s="23"/>
      <c r="BA101" s="23">
        <f t="shared" si="187"/>
        <v>0</v>
      </c>
      <c r="BB101" s="23"/>
      <c r="BC101" s="23"/>
      <c r="BD101" s="23">
        <f t="shared" si="188"/>
        <v>0</v>
      </c>
      <c r="BE101" s="23"/>
      <c r="BF101" s="23">
        <f t="shared" si="189"/>
        <v>0</v>
      </c>
      <c r="BG101" s="23"/>
      <c r="BH101" s="23">
        <v>2000</v>
      </c>
      <c r="BI101" s="23">
        <f t="shared" si="190"/>
        <v>290000</v>
      </c>
      <c r="BJ101" s="23"/>
      <c r="BK101" s="23">
        <f t="shared" si="191"/>
        <v>0</v>
      </c>
      <c r="BL101" s="23"/>
      <c r="BM101" s="23"/>
      <c r="BN101" s="23">
        <f t="shared" si="192"/>
        <v>0</v>
      </c>
      <c r="BO101" s="23"/>
      <c r="BP101" s="23">
        <f t="shared" si="193"/>
        <v>0</v>
      </c>
      <c r="BQ101" s="23"/>
      <c r="BR101" s="23"/>
      <c r="BS101" s="23">
        <f t="shared" si="194"/>
        <v>0</v>
      </c>
      <c r="BT101" s="23"/>
      <c r="BU101" s="23">
        <f t="shared" si="195"/>
        <v>0</v>
      </c>
      <c r="BV101" s="23"/>
      <c r="BW101" s="23">
        <v>2000</v>
      </c>
      <c r="BX101" s="23">
        <f t="shared" si="196"/>
        <v>290000</v>
      </c>
      <c r="BY101" s="23"/>
      <c r="BZ101" s="23">
        <f t="shared" si="197"/>
        <v>0</v>
      </c>
      <c r="CA101" s="23"/>
      <c r="CB101" s="15"/>
    </row>
    <row r="102" spans="1:80" ht="16" x14ac:dyDescent="0.4">
      <c r="A102" s="15" t="s">
        <v>76</v>
      </c>
      <c r="B102" s="15" t="s">
        <v>262</v>
      </c>
      <c r="C102" s="15" t="s">
        <v>263</v>
      </c>
      <c r="D102" s="15" t="s">
        <v>365</v>
      </c>
      <c r="E102" s="112" t="s">
        <v>366</v>
      </c>
      <c r="F102" s="15" t="s">
        <v>267</v>
      </c>
      <c r="G102" s="15" t="s">
        <v>268</v>
      </c>
      <c r="H102" s="15" t="s">
        <v>114</v>
      </c>
      <c r="I102" s="15" t="s">
        <v>114</v>
      </c>
      <c r="J102" s="15" t="s">
        <v>89</v>
      </c>
      <c r="K102" s="15" t="s">
        <v>115</v>
      </c>
      <c r="L102" s="15" t="s">
        <v>154</v>
      </c>
      <c r="M102" s="15" t="s">
        <v>80</v>
      </c>
      <c r="N102" s="17">
        <v>29.46</v>
      </c>
      <c r="O102" s="72">
        <v>49600</v>
      </c>
      <c r="P102" s="22">
        <f t="shared" ref="P102:P121" si="198">+(T102+Y102+AD102+AI102+AN102+AS102+AX102+BC102+BH102+BM102+BR102+BW102)/1000</f>
        <v>1200</v>
      </c>
      <c r="Q102" s="22">
        <f t="shared" ref="Q102:Q121" si="199">+(U102+Z102+AE102+AJ102+AO102+AT102+AY102+BD102+BI102+BN102+BS102+BX102)/1000</f>
        <v>35352</v>
      </c>
      <c r="R102" s="22">
        <f t="shared" ref="R102:R121" si="200">+(+BA102+BF102+BK102+BP102+BU102+BZ102)</f>
        <v>8838000</v>
      </c>
      <c r="S102" s="22">
        <f t="shared" ref="S102:S121" si="201">+(+BB102+BG102+BL102+BQ102+BV102+CA102)</f>
        <v>0</v>
      </c>
      <c r="T102" s="23">
        <v>100000</v>
      </c>
      <c r="U102" s="23">
        <f t="shared" ref="U102:U121" si="202">T102*N102</f>
        <v>2946000</v>
      </c>
      <c r="V102" s="23">
        <v>100000</v>
      </c>
      <c r="W102" s="23">
        <f t="shared" ref="W102:W121" si="203">V102*N102</f>
        <v>2946000</v>
      </c>
      <c r="X102" s="23"/>
      <c r="Y102" s="23">
        <v>100000</v>
      </c>
      <c r="Z102" s="23">
        <f t="shared" ref="Z102:Z121" si="204">Y102*N102</f>
        <v>2946000</v>
      </c>
      <c r="AA102" s="23">
        <v>100000</v>
      </c>
      <c r="AB102" s="23">
        <f t="shared" ref="AB102:AB121" si="205">AA102*N102</f>
        <v>2946000</v>
      </c>
      <c r="AC102" s="23">
        <v>100000</v>
      </c>
      <c r="AD102" s="23">
        <v>100000</v>
      </c>
      <c r="AE102" s="23">
        <f t="shared" ref="AE102:AE121" si="206">AD102*N102</f>
        <v>2946000</v>
      </c>
      <c r="AF102" s="23">
        <v>100000</v>
      </c>
      <c r="AG102" s="23">
        <f t="shared" ref="AG102:AG121" si="207">AF102*N102</f>
        <v>2946000</v>
      </c>
      <c r="AH102" s="23"/>
      <c r="AI102" s="23">
        <v>100000</v>
      </c>
      <c r="AJ102" s="23">
        <f t="shared" ref="AJ102:AJ121" si="208">AI102*N102</f>
        <v>2946000</v>
      </c>
      <c r="AK102" s="23">
        <v>100000</v>
      </c>
      <c r="AL102" s="23">
        <f t="shared" ref="AL102:AL121" si="209">AK102*N102</f>
        <v>2946000</v>
      </c>
      <c r="AM102" s="23"/>
      <c r="AN102" s="23">
        <v>100000</v>
      </c>
      <c r="AO102" s="23">
        <f t="shared" ref="AO102:AO121" si="210">AN102*N102</f>
        <v>2946000</v>
      </c>
      <c r="AP102" s="23">
        <v>100000</v>
      </c>
      <c r="AQ102" s="23">
        <f t="shared" ref="AQ102:AQ121" si="211">AP102*N102</f>
        <v>2946000</v>
      </c>
      <c r="AR102" s="23"/>
      <c r="AS102" s="23">
        <v>100000</v>
      </c>
      <c r="AT102" s="23">
        <f t="shared" ref="AT102:AT121" si="212">AS102*N102</f>
        <v>2946000</v>
      </c>
      <c r="AU102" s="23">
        <v>100000</v>
      </c>
      <c r="AV102" s="23">
        <f t="shared" ref="AV102:AV121" si="213">AU102*N102</f>
        <v>2946000</v>
      </c>
      <c r="AW102" s="23"/>
      <c r="AX102" s="24">
        <v>100000</v>
      </c>
      <c r="AY102" s="24">
        <f t="shared" ref="AY102:AY121" si="214">AX102*N102</f>
        <v>2946000</v>
      </c>
      <c r="AZ102" s="23">
        <v>100000</v>
      </c>
      <c r="BA102" s="23">
        <f t="shared" ref="BA102:BA121" si="215">AZ102*N102</f>
        <v>2946000</v>
      </c>
      <c r="BB102" s="23"/>
      <c r="BC102" s="23">
        <v>100000</v>
      </c>
      <c r="BD102" s="23">
        <f t="shared" ref="BD102:BD121" si="216">BC102*N102</f>
        <v>2946000</v>
      </c>
      <c r="BE102" s="23">
        <v>100000</v>
      </c>
      <c r="BF102" s="23">
        <f t="shared" ref="BF102:BF121" si="217">BE102*N102</f>
        <v>2946000</v>
      </c>
      <c r="BG102" s="23"/>
      <c r="BH102" s="23">
        <v>100000</v>
      </c>
      <c r="BI102" s="23">
        <f t="shared" ref="BI102:BI121" si="218">BH102*N102</f>
        <v>2946000</v>
      </c>
      <c r="BJ102" s="23">
        <v>100000</v>
      </c>
      <c r="BK102" s="23">
        <f t="shared" ref="BK102:BK121" si="219">BJ102*N102</f>
        <v>2946000</v>
      </c>
      <c r="BL102" s="23"/>
      <c r="BM102" s="23">
        <v>100000</v>
      </c>
      <c r="BN102" s="23">
        <f t="shared" ref="BN102:BN121" si="220">BM102*N102</f>
        <v>2946000</v>
      </c>
      <c r="BO102" s="23"/>
      <c r="BP102" s="23">
        <f t="shared" ref="BP102:BP121" si="221">BO102*N102</f>
        <v>0</v>
      </c>
      <c r="BQ102" s="23"/>
      <c r="BR102" s="23">
        <v>100000</v>
      </c>
      <c r="BS102" s="23">
        <f t="shared" ref="BS102:BS121" si="222">BR102*N102</f>
        <v>2946000</v>
      </c>
      <c r="BT102" s="23"/>
      <c r="BU102" s="23">
        <f t="shared" ref="BU102:BU121" si="223">BT102*N102</f>
        <v>0</v>
      </c>
      <c r="BV102" s="23"/>
      <c r="BW102" s="23">
        <v>100000</v>
      </c>
      <c r="BX102" s="23">
        <f t="shared" ref="BX102:BX121" si="224">BW102*N102</f>
        <v>2946000</v>
      </c>
      <c r="BY102" s="23"/>
      <c r="BZ102" s="23">
        <f t="shared" ref="BZ102:BZ121" si="225">BY102*N102</f>
        <v>0</v>
      </c>
      <c r="CA102" s="23"/>
      <c r="CB102" s="57" t="s">
        <v>582</v>
      </c>
    </row>
    <row r="103" spans="1:80" ht="16" x14ac:dyDescent="0.4">
      <c r="A103" s="15" t="s">
        <v>76</v>
      </c>
      <c r="B103" s="15" t="s">
        <v>262</v>
      </c>
      <c r="C103" s="15" t="s">
        <v>263</v>
      </c>
      <c r="D103" s="15" t="s">
        <v>365</v>
      </c>
      <c r="E103" s="112" t="s">
        <v>366</v>
      </c>
      <c r="F103" s="15" t="s">
        <v>267</v>
      </c>
      <c r="G103" s="15" t="s">
        <v>268</v>
      </c>
      <c r="H103" s="15" t="s">
        <v>114</v>
      </c>
      <c r="I103" s="15" t="s">
        <v>114</v>
      </c>
      <c r="J103" s="15" t="s">
        <v>89</v>
      </c>
      <c r="K103" s="15" t="s">
        <v>115</v>
      </c>
      <c r="L103" s="15" t="s">
        <v>141</v>
      </c>
      <c r="M103" s="15" t="s">
        <v>80</v>
      </c>
      <c r="N103" s="17">
        <v>27.15</v>
      </c>
      <c r="O103" s="18"/>
      <c r="P103" s="22">
        <f t="shared" si="198"/>
        <v>600</v>
      </c>
      <c r="Q103" s="22">
        <f t="shared" si="199"/>
        <v>16290</v>
      </c>
      <c r="R103" s="22">
        <f t="shared" si="200"/>
        <v>4072500</v>
      </c>
      <c r="S103" s="22">
        <f t="shared" si="201"/>
        <v>0</v>
      </c>
      <c r="T103" s="23">
        <v>50000</v>
      </c>
      <c r="U103" s="23">
        <f t="shared" si="202"/>
        <v>1357500</v>
      </c>
      <c r="V103" s="23">
        <v>50000</v>
      </c>
      <c r="W103" s="23">
        <f t="shared" si="203"/>
        <v>1357500</v>
      </c>
      <c r="X103" s="23"/>
      <c r="Y103" s="23">
        <v>50000</v>
      </c>
      <c r="Z103" s="23">
        <f t="shared" si="204"/>
        <v>1357500</v>
      </c>
      <c r="AA103" s="23">
        <v>50000</v>
      </c>
      <c r="AB103" s="23">
        <f t="shared" si="205"/>
        <v>1357500</v>
      </c>
      <c r="AC103" s="23"/>
      <c r="AD103" s="23">
        <v>50000</v>
      </c>
      <c r="AE103" s="23">
        <f t="shared" si="206"/>
        <v>1357500</v>
      </c>
      <c r="AF103" s="23">
        <v>50000</v>
      </c>
      <c r="AG103" s="23">
        <f t="shared" si="207"/>
        <v>1357500</v>
      </c>
      <c r="AH103" s="23"/>
      <c r="AI103" s="23">
        <v>50000</v>
      </c>
      <c r="AJ103" s="23">
        <f t="shared" si="208"/>
        <v>1357500</v>
      </c>
      <c r="AK103" s="23">
        <v>50000</v>
      </c>
      <c r="AL103" s="23">
        <f t="shared" si="209"/>
        <v>1357500</v>
      </c>
      <c r="AM103" s="23"/>
      <c r="AN103" s="23">
        <v>50000</v>
      </c>
      <c r="AO103" s="23">
        <f t="shared" si="210"/>
        <v>1357500</v>
      </c>
      <c r="AP103" s="23">
        <v>50000</v>
      </c>
      <c r="AQ103" s="23">
        <f t="shared" si="211"/>
        <v>1357500</v>
      </c>
      <c r="AR103" s="23"/>
      <c r="AS103" s="23">
        <v>50000</v>
      </c>
      <c r="AT103" s="23">
        <f t="shared" si="212"/>
        <v>1357500</v>
      </c>
      <c r="AU103" s="23">
        <v>50000</v>
      </c>
      <c r="AV103" s="23">
        <f t="shared" si="213"/>
        <v>1357500</v>
      </c>
      <c r="AW103" s="23"/>
      <c r="AX103" s="24">
        <v>50000</v>
      </c>
      <c r="AY103" s="24">
        <f t="shared" si="214"/>
        <v>1357500</v>
      </c>
      <c r="AZ103" s="23">
        <v>50000</v>
      </c>
      <c r="BA103" s="23">
        <f t="shared" si="215"/>
        <v>1357500</v>
      </c>
      <c r="BB103" s="23"/>
      <c r="BC103" s="23">
        <v>50000</v>
      </c>
      <c r="BD103" s="23">
        <f t="shared" si="216"/>
        <v>1357500</v>
      </c>
      <c r="BE103" s="23">
        <v>50000</v>
      </c>
      <c r="BF103" s="23">
        <f t="shared" si="217"/>
        <v>1357500</v>
      </c>
      <c r="BG103" s="23"/>
      <c r="BH103" s="23">
        <v>50000</v>
      </c>
      <c r="BI103" s="23">
        <f t="shared" si="218"/>
        <v>1357500</v>
      </c>
      <c r="BJ103" s="23">
        <v>50000</v>
      </c>
      <c r="BK103" s="23">
        <f t="shared" si="219"/>
        <v>1357500</v>
      </c>
      <c r="BL103" s="23"/>
      <c r="BM103" s="23">
        <v>50000</v>
      </c>
      <c r="BN103" s="23">
        <f t="shared" si="220"/>
        <v>1357500</v>
      </c>
      <c r="BO103" s="23"/>
      <c r="BP103" s="23">
        <f t="shared" si="221"/>
        <v>0</v>
      </c>
      <c r="BQ103" s="23"/>
      <c r="BR103" s="23">
        <v>50000</v>
      </c>
      <c r="BS103" s="23">
        <f t="shared" si="222"/>
        <v>1357500</v>
      </c>
      <c r="BT103" s="23"/>
      <c r="BU103" s="23">
        <f t="shared" si="223"/>
        <v>0</v>
      </c>
      <c r="BV103" s="23"/>
      <c r="BW103" s="23">
        <v>50000</v>
      </c>
      <c r="BX103" s="23">
        <f t="shared" si="224"/>
        <v>1357500</v>
      </c>
      <c r="BY103" s="23"/>
      <c r="BZ103" s="23">
        <f t="shared" si="225"/>
        <v>0</v>
      </c>
      <c r="CA103" s="23"/>
      <c r="CB103" s="57" t="s">
        <v>583</v>
      </c>
    </row>
    <row r="104" spans="1:80" ht="16" x14ac:dyDescent="0.4">
      <c r="A104" s="15" t="s">
        <v>76</v>
      </c>
      <c r="B104" s="15" t="s">
        <v>262</v>
      </c>
      <c r="C104" s="15" t="s">
        <v>263</v>
      </c>
      <c r="D104" s="15" t="s">
        <v>365</v>
      </c>
      <c r="E104" s="112" t="s">
        <v>366</v>
      </c>
      <c r="F104" s="15" t="s">
        <v>267</v>
      </c>
      <c r="G104" s="15" t="s">
        <v>268</v>
      </c>
      <c r="H104" s="15" t="s">
        <v>77</v>
      </c>
      <c r="I104" s="15" t="s">
        <v>77</v>
      </c>
      <c r="J104" s="15" t="s">
        <v>78</v>
      </c>
      <c r="K104" s="15" t="s">
        <v>79</v>
      </c>
      <c r="L104" s="15" t="s">
        <v>139</v>
      </c>
      <c r="M104" s="15" t="s">
        <v>80</v>
      </c>
      <c r="N104" s="17">
        <v>0.73</v>
      </c>
      <c r="O104" s="18"/>
      <c r="P104" s="22">
        <f t="shared" si="198"/>
        <v>12000</v>
      </c>
      <c r="Q104" s="22">
        <f t="shared" si="199"/>
        <v>8760</v>
      </c>
      <c r="R104" s="22">
        <f t="shared" si="200"/>
        <v>2190000</v>
      </c>
      <c r="S104" s="22">
        <f t="shared" si="201"/>
        <v>4020000</v>
      </c>
      <c r="T104" s="23">
        <v>1000000</v>
      </c>
      <c r="U104" s="23">
        <f t="shared" si="202"/>
        <v>730000</v>
      </c>
      <c r="V104" s="23">
        <v>1000000</v>
      </c>
      <c r="W104" s="23">
        <f t="shared" si="203"/>
        <v>730000</v>
      </c>
      <c r="X104" s="23"/>
      <c r="Y104" s="23">
        <v>1000000</v>
      </c>
      <c r="Z104" s="23">
        <f t="shared" si="204"/>
        <v>730000</v>
      </c>
      <c r="AA104" s="23">
        <v>1000000</v>
      </c>
      <c r="AB104" s="23">
        <f t="shared" si="205"/>
        <v>730000</v>
      </c>
      <c r="AC104" s="23">
        <v>1005000</v>
      </c>
      <c r="AD104" s="23">
        <v>1000000</v>
      </c>
      <c r="AE104" s="23">
        <f t="shared" si="206"/>
        <v>730000</v>
      </c>
      <c r="AF104" s="23">
        <v>1000000</v>
      </c>
      <c r="AG104" s="23">
        <f t="shared" si="207"/>
        <v>730000</v>
      </c>
      <c r="AH104" s="23">
        <v>1005000</v>
      </c>
      <c r="AI104" s="23">
        <v>1000000</v>
      </c>
      <c r="AJ104" s="23">
        <f t="shared" si="208"/>
        <v>730000</v>
      </c>
      <c r="AK104" s="23">
        <v>1000000</v>
      </c>
      <c r="AL104" s="23">
        <f t="shared" si="209"/>
        <v>730000</v>
      </c>
      <c r="AM104" s="23">
        <v>1005000</v>
      </c>
      <c r="AN104" s="23">
        <v>1000000</v>
      </c>
      <c r="AO104" s="23">
        <f t="shared" si="210"/>
        <v>730000</v>
      </c>
      <c r="AP104" s="23">
        <v>1000000</v>
      </c>
      <c r="AQ104" s="23">
        <f t="shared" si="211"/>
        <v>730000</v>
      </c>
      <c r="AR104" s="23">
        <v>1005000</v>
      </c>
      <c r="AS104" s="23">
        <v>1000000</v>
      </c>
      <c r="AT104" s="23">
        <f t="shared" si="212"/>
        <v>730000</v>
      </c>
      <c r="AU104" s="23">
        <v>1000000</v>
      </c>
      <c r="AV104" s="23">
        <f t="shared" si="213"/>
        <v>730000</v>
      </c>
      <c r="AW104" s="23"/>
      <c r="AX104" s="24">
        <v>1000000</v>
      </c>
      <c r="AY104" s="24">
        <f t="shared" si="214"/>
        <v>730000</v>
      </c>
      <c r="AZ104" s="23">
        <v>1000000</v>
      </c>
      <c r="BA104" s="23">
        <f t="shared" si="215"/>
        <v>730000</v>
      </c>
      <c r="BB104" s="73">
        <v>2010000</v>
      </c>
      <c r="BC104" s="23">
        <v>1000000</v>
      </c>
      <c r="BD104" s="23">
        <f t="shared" si="216"/>
        <v>730000</v>
      </c>
      <c r="BE104" s="23">
        <v>1000000</v>
      </c>
      <c r="BF104" s="23">
        <f t="shared" si="217"/>
        <v>730000</v>
      </c>
      <c r="BG104" s="23"/>
      <c r="BH104" s="23">
        <v>1000000</v>
      </c>
      <c r="BI104" s="23">
        <f t="shared" si="218"/>
        <v>730000</v>
      </c>
      <c r="BJ104" s="23">
        <v>1000000</v>
      </c>
      <c r="BK104" s="23">
        <f t="shared" si="219"/>
        <v>730000</v>
      </c>
      <c r="BL104" s="23">
        <v>1005000</v>
      </c>
      <c r="BM104" s="23">
        <v>1000000</v>
      </c>
      <c r="BN104" s="23">
        <f t="shared" si="220"/>
        <v>730000</v>
      </c>
      <c r="BO104" s="23"/>
      <c r="BP104" s="23">
        <f t="shared" si="221"/>
        <v>0</v>
      </c>
      <c r="BQ104" s="23">
        <v>1005000</v>
      </c>
      <c r="BR104" s="23">
        <v>1000000</v>
      </c>
      <c r="BS104" s="23">
        <f t="shared" si="222"/>
        <v>730000</v>
      </c>
      <c r="BT104" s="23"/>
      <c r="BU104" s="23">
        <f t="shared" si="223"/>
        <v>0</v>
      </c>
      <c r="BV104" s="23"/>
      <c r="BW104" s="23">
        <v>1000000</v>
      </c>
      <c r="BX104" s="23">
        <f t="shared" si="224"/>
        <v>730000</v>
      </c>
      <c r="BY104" s="23"/>
      <c r="BZ104" s="23">
        <f t="shared" si="225"/>
        <v>0</v>
      </c>
      <c r="CA104" s="23"/>
      <c r="CB104" s="74"/>
    </row>
    <row r="105" spans="1:80" ht="16" x14ac:dyDescent="0.4">
      <c r="A105" s="15" t="s">
        <v>76</v>
      </c>
      <c r="B105" s="15" t="s">
        <v>262</v>
      </c>
      <c r="C105" s="15" t="s">
        <v>263</v>
      </c>
      <c r="D105" s="15" t="s">
        <v>365</v>
      </c>
      <c r="E105" s="112" t="s">
        <v>366</v>
      </c>
      <c r="F105" s="15" t="s">
        <v>267</v>
      </c>
      <c r="G105" s="15" t="s">
        <v>268</v>
      </c>
      <c r="H105" s="15" t="s">
        <v>114</v>
      </c>
      <c r="I105" s="15" t="s">
        <v>114</v>
      </c>
      <c r="J105" s="15" t="s">
        <v>89</v>
      </c>
      <c r="K105" s="15" t="s">
        <v>115</v>
      </c>
      <c r="L105" s="15" t="s">
        <v>142</v>
      </c>
      <c r="M105" s="15" t="s">
        <v>80</v>
      </c>
      <c r="N105" s="17">
        <v>6.66</v>
      </c>
      <c r="O105" s="72">
        <v>100000</v>
      </c>
      <c r="P105" s="22">
        <f t="shared" si="198"/>
        <v>840</v>
      </c>
      <c r="Q105" s="22">
        <f t="shared" si="199"/>
        <v>5594.4</v>
      </c>
      <c r="R105" s="22">
        <f t="shared" si="200"/>
        <v>0</v>
      </c>
      <c r="S105" s="22">
        <f t="shared" si="201"/>
        <v>0</v>
      </c>
      <c r="T105" s="23">
        <v>70000</v>
      </c>
      <c r="U105" s="23">
        <f t="shared" si="202"/>
        <v>466200</v>
      </c>
      <c r="V105" s="23">
        <v>70000</v>
      </c>
      <c r="W105" s="23">
        <f t="shared" si="203"/>
        <v>466200</v>
      </c>
      <c r="X105" s="23">
        <v>200000</v>
      </c>
      <c r="Y105" s="23">
        <v>70000</v>
      </c>
      <c r="Z105" s="23">
        <f t="shared" si="204"/>
        <v>466200</v>
      </c>
      <c r="AA105" s="23">
        <v>70000</v>
      </c>
      <c r="AB105" s="23">
        <f t="shared" si="205"/>
        <v>466200</v>
      </c>
      <c r="AC105" s="23"/>
      <c r="AD105" s="23">
        <v>70000</v>
      </c>
      <c r="AE105" s="23">
        <f t="shared" si="206"/>
        <v>466200</v>
      </c>
      <c r="AF105" s="23">
        <v>70000</v>
      </c>
      <c r="AG105" s="23">
        <f t="shared" si="207"/>
        <v>466200</v>
      </c>
      <c r="AH105" s="23"/>
      <c r="AI105" s="23">
        <v>70000</v>
      </c>
      <c r="AJ105" s="23">
        <f t="shared" si="208"/>
        <v>466200</v>
      </c>
      <c r="AK105" s="23">
        <v>70000</v>
      </c>
      <c r="AL105" s="23">
        <f t="shared" si="209"/>
        <v>466200</v>
      </c>
      <c r="AM105" s="23"/>
      <c r="AN105" s="23">
        <v>70000</v>
      </c>
      <c r="AO105" s="23">
        <f t="shared" si="210"/>
        <v>466200</v>
      </c>
      <c r="AP105" s="23">
        <v>70000</v>
      </c>
      <c r="AQ105" s="23">
        <f t="shared" si="211"/>
        <v>466200</v>
      </c>
      <c r="AR105" s="23"/>
      <c r="AS105" s="23">
        <v>70000</v>
      </c>
      <c r="AT105" s="23">
        <f t="shared" si="212"/>
        <v>466200</v>
      </c>
      <c r="AU105" s="23">
        <v>30000</v>
      </c>
      <c r="AV105" s="23">
        <f t="shared" si="213"/>
        <v>199800</v>
      </c>
      <c r="AW105" s="23"/>
      <c r="AX105" s="24">
        <v>70000</v>
      </c>
      <c r="AY105" s="24">
        <f t="shared" si="214"/>
        <v>466200</v>
      </c>
      <c r="AZ105" s="23">
        <v>0</v>
      </c>
      <c r="BA105" s="23">
        <f t="shared" si="215"/>
        <v>0</v>
      </c>
      <c r="BB105" s="23"/>
      <c r="BC105" s="23">
        <v>70000</v>
      </c>
      <c r="BD105" s="23">
        <f t="shared" si="216"/>
        <v>466200</v>
      </c>
      <c r="BE105" s="23">
        <v>0</v>
      </c>
      <c r="BF105" s="23">
        <f t="shared" si="217"/>
        <v>0</v>
      </c>
      <c r="BG105" s="23"/>
      <c r="BH105" s="23">
        <v>70000</v>
      </c>
      <c r="BI105" s="23">
        <f t="shared" si="218"/>
        <v>466200</v>
      </c>
      <c r="BJ105" s="23">
        <v>0</v>
      </c>
      <c r="BK105" s="23">
        <f t="shared" si="219"/>
        <v>0</v>
      </c>
      <c r="BL105" s="23"/>
      <c r="BM105" s="23">
        <v>70000</v>
      </c>
      <c r="BN105" s="23">
        <f t="shared" si="220"/>
        <v>466200</v>
      </c>
      <c r="BO105" s="23"/>
      <c r="BP105" s="23">
        <f t="shared" si="221"/>
        <v>0</v>
      </c>
      <c r="BQ105" s="23"/>
      <c r="BR105" s="23">
        <v>70000</v>
      </c>
      <c r="BS105" s="23">
        <f t="shared" si="222"/>
        <v>466200</v>
      </c>
      <c r="BT105" s="23"/>
      <c r="BU105" s="23">
        <f t="shared" si="223"/>
        <v>0</v>
      </c>
      <c r="BV105" s="23"/>
      <c r="BW105" s="23">
        <v>70000</v>
      </c>
      <c r="BX105" s="23">
        <f t="shared" si="224"/>
        <v>466200</v>
      </c>
      <c r="BY105" s="23"/>
      <c r="BZ105" s="23">
        <f t="shared" si="225"/>
        <v>0</v>
      </c>
      <c r="CA105" s="23"/>
      <c r="CB105" s="15"/>
    </row>
    <row r="106" spans="1:80" ht="16" x14ac:dyDescent="0.4">
      <c r="A106" s="15" t="s">
        <v>76</v>
      </c>
      <c r="B106" s="15" t="s">
        <v>262</v>
      </c>
      <c r="C106" s="15" t="s">
        <v>263</v>
      </c>
      <c r="D106" s="15" t="s">
        <v>365</v>
      </c>
      <c r="E106" s="112" t="s">
        <v>366</v>
      </c>
      <c r="F106" s="15" t="s">
        <v>267</v>
      </c>
      <c r="G106" s="15" t="s">
        <v>268</v>
      </c>
      <c r="H106" s="15" t="s">
        <v>114</v>
      </c>
      <c r="I106" s="15" t="s">
        <v>114</v>
      </c>
      <c r="J106" s="15" t="s">
        <v>89</v>
      </c>
      <c r="K106" s="15" t="s">
        <v>115</v>
      </c>
      <c r="L106" s="15" t="s">
        <v>537</v>
      </c>
      <c r="M106" s="15" t="s">
        <v>80</v>
      </c>
      <c r="N106" s="17">
        <v>6.21</v>
      </c>
      <c r="O106" s="18"/>
      <c r="P106" s="22">
        <f t="shared" si="198"/>
        <v>720</v>
      </c>
      <c r="Q106" s="22">
        <f t="shared" si="199"/>
        <v>4471.2</v>
      </c>
      <c r="R106" s="22">
        <f t="shared" si="200"/>
        <v>0</v>
      </c>
      <c r="S106" s="22">
        <f t="shared" si="201"/>
        <v>0</v>
      </c>
      <c r="T106" s="23">
        <v>60000</v>
      </c>
      <c r="U106" s="23">
        <f t="shared" si="202"/>
        <v>372600</v>
      </c>
      <c r="V106" s="23">
        <v>60000</v>
      </c>
      <c r="W106" s="23">
        <f t="shared" si="203"/>
        <v>372600</v>
      </c>
      <c r="X106" s="23"/>
      <c r="Y106" s="23">
        <v>60000</v>
      </c>
      <c r="Z106" s="23">
        <f t="shared" si="204"/>
        <v>372600</v>
      </c>
      <c r="AA106" s="23">
        <v>60000</v>
      </c>
      <c r="AB106" s="23">
        <f t="shared" si="205"/>
        <v>372600</v>
      </c>
      <c r="AC106" s="23"/>
      <c r="AD106" s="23">
        <v>60000</v>
      </c>
      <c r="AE106" s="23">
        <f t="shared" si="206"/>
        <v>372600</v>
      </c>
      <c r="AF106" s="23">
        <v>60000</v>
      </c>
      <c r="AG106" s="23">
        <f t="shared" si="207"/>
        <v>372600</v>
      </c>
      <c r="AH106" s="23"/>
      <c r="AI106" s="23">
        <v>60000</v>
      </c>
      <c r="AJ106" s="23">
        <f t="shared" si="208"/>
        <v>372600</v>
      </c>
      <c r="AK106" s="23">
        <v>60000</v>
      </c>
      <c r="AL106" s="23">
        <f t="shared" si="209"/>
        <v>372600</v>
      </c>
      <c r="AM106" s="23"/>
      <c r="AN106" s="23">
        <v>60000</v>
      </c>
      <c r="AO106" s="23">
        <f t="shared" si="210"/>
        <v>372600</v>
      </c>
      <c r="AP106" s="23">
        <v>60000</v>
      </c>
      <c r="AQ106" s="23">
        <f t="shared" si="211"/>
        <v>372600</v>
      </c>
      <c r="AR106" s="23"/>
      <c r="AS106" s="23">
        <v>60000</v>
      </c>
      <c r="AT106" s="23">
        <f t="shared" si="212"/>
        <v>372600</v>
      </c>
      <c r="AU106" s="23">
        <v>0</v>
      </c>
      <c r="AV106" s="23">
        <f t="shared" si="213"/>
        <v>0</v>
      </c>
      <c r="AW106" s="23"/>
      <c r="AX106" s="24">
        <v>60000</v>
      </c>
      <c r="AY106" s="24">
        <f t="shared" si="214"/>
        <v>372600</v>
      </c>
      <c r="AZ106" s="23">
        <v>0</v>
      </c>
      <c r="BA106" s="23">
        <f t="shared" si="215"/>
        <v>0</v>
      </c>
      <c r="BB106" s="23"/>
      <c r="BC106" s="23">
        <v>60000</v>
      </c>
      <c r="BD106" s="23">
        <f t="shared" si="216"/>
        <v>372600</v>
      </c>
      <c r="BE106" s="23">
        <v>0</v>
      </c>
      <c r="BF106" s="23">
        <f t="shared" si="217"/>
        <v>0</v>
      </c>
      <c r="BG106" s="23"/>
      <c r="BH106" s="23">
        <v>60000</v>
      </c>
      <c r="BI106" s="23">
        <f t="shared" si="218"/>
        <v>372600</v>
      </c>
      <c r="BJ106" s="23">
        <v>0</v>
      </c>
      <c r="BK106" s="23">
        <f t="shared" si="219"/>
        <v>0</v>
      </c>
      <c r="BL106" s="23"/>
      <c r="BM106" s="23">
        <v>60000</v>
      </c>
      <c r="BN106" s="23">
        <f t="shared" si="220"/>
        <v>372600</v>
      </c>
      <c r="BO106" s="23"/>
      <c r="BP106" s="23">
        <f t="shared" si="221"/>
        <v>0</v>
      </c>
      <c r="BQ106" s="23"/>
      <c r="BR106" s="23">
        <v>60000</v>
      </c>
      <c r="BS106" s="23">
        <f t="shared" si="222"/>
        <v>372600</v>
      </c>
      <c r="BT106" s="23"/>
      <c r="BU106" s="23">
        <f t="shared" si="223"/>
        <v>0</v>
      </c>
      <c r="BV106" s="23"/>
      <c r="BW106" s="23">
        <v>60000</v>
      </c>
      <c r="BX106" s="23">
        <f t="shared" si="224"/>
        <v>372600</v>
      </c>
      <c r="BY106" s="23"/>
      <c r="BZ106" s="23">
        <f t="shared" si="225"/>
        <v>0</v>
      </c>
      <c r="CA106" s="23"/>
      <c r="CB106" s="15"/>
    </row>
    <row r="107" spans="1:80" ht="16" x14ac:dyDescent="0.4">
      <c r="A107" s="15" t="s">
        <v>76</v>
      </c>
      <c r="B107" s="15" t="s">
        <v>262</v>
      </c>
      <c r="C107" s="15" t="s">
        <v>263</v>
      </c>
      <c r="D107" s="15" t="s">
        <v>365</v>
      </c>
      <c r="E107" s="112" t="s">
        <v>366</v>
      </c>
      <c r="F107" s="15" t="s">
        <v>267</v>
      </c>
      <c r="G107" s="15" t="s">
        <v>268</v>
      </c>
      <c r="H107" s="15" t="s">
        <v>77</v>
      </c>
      <c r="I107" s="15" t="s">
        <v>77</v>
      </c>
      <c r="J107" s="15" t="s">
        <v>78</v>
      </c>
      <c r="K107" s="15" t="s">
        <v>79</v>
      </c>
      <c r="L107" s="15" t="s">
        <v>456</v>
      </c>
      <c r="M107" s="15" t="s">
        <v>80</v>
      </c>
      <c r="N107" s="17">
        <v>1.56</v>
      </c>
      <c r="O107" s="72">
        <v>501000</v>
      </c>
      <c r="P107" s="22">
        <f t="shared" si="198"/>
        <v>2400</v>
      </c>
      <c r="Q107" s="22">
        <f t="shared" si="199"/>
        <v>3744</v>
      </c>
      <c r="R107" s="22">
        <f t="shared" si="200"/>
        <v>936000</v>
      </c>
      <c r="S107" s="22">
        <f t="shared" si="201"/>
        <v>552000</v>
      </c>
      <c r="T107" s="23">
        <v>200000</v>
      </c>
      <c r="U107" s="23">
        <f t="shared" si="202"/>
        <v>312000</v>
      </c>
      <c r="V107" s="23">
        <v>200000</v>
      </c>
      <c r="W107" s="23">
        <f t="shared" si="203"/>
        <v>312000</v>
      </c>
      <c r="X107" s="23"/>
      <c r="Y107" s="23">
        <v>200000</v>
      </c>
      <c r="Z107" s="23">
        <f t="shared" si="204"/>
        <v>312000</v>
      </c>
      <c r="AA107" s="23">
        <v>200000</v>
      </c>
      <c r="AB107" s="23">
        <f t="shared" si="205"/>
        <v>312000</v>
      </c>
      <c r="AC107" s="23"/>
      <c r="AD107" s="23">
        <v>200000</v>
      </c>
      <c r="AE107" s="23">
        <f t="shared" si="206"/>
        <v>312000</v>
      </c>
      <c r="AF107" s="23">
        <v>200000</v>
      </c>
      <c r="AG107" s="23">
        <f t="shared" si="207"/>
        <v>312000</v>
      </c>
      <c r="AH107" s="23"/>
      <c r="AI107" s="23">
        <v>200000</v>
      </c>
      <c r="AJ107" s="23">
        <f t="shared" si="208"/>
        <v>312000</v>
      </c>
      <c r="AK107" s="23">
        <v>200000</v>
      </c>
      <c r="AL107" s="23">
        <f t="shared" si="209"/>
        <v>312000</v>
      </c>
      <c r="AM107" s="23"/>
      <c r="AN107" s="23">
        <v>200000</v>
      </c>
      <c r="AO107" s="23">
        <f t="shared" si="210"/>
        <v>312000</v>
      </c>
      <c r="AP107" s="23">
        <v>200000</v>
      </c>
      <c r="AQ107" s="23">
        <f t="shared" si="211"/>
        <v>312000</v>
      </c>
      <c r="AR107" s="26">
        <v>201000</v>
      </c>
      <c r="AS107" s="23">
        <v>200000</v>
      </c>
      <c r="AT107" s="23">
        <f t="shared" si="212"/>
        <v>312000</v>
      </c>
      <c r="AU107" s="23">
        <v>200000</v>
      </c>
      <c r="AV107" s="23">
        <f t="shared" si="213"/>
        <v>312000</v>
      </c>
      <c r="AW107" s="106">
        <v>201000</v>
      </c>
      <c r="AX107" s="24">
        <v>200000</v>
      </c>
      <c r="AY107" s="24">
        <f t="shared" si="214"/>
        <v>312000</v>
      </c>
      <c r="AZ107" s="23">
        <v>200000</v>
      </c>
      <c r="BA107" s="23">
        <f t="shared" si="215"/>
        <v>312000</v>
      </c>
      <c r="BB107" s="23"/>
      <c r="BC107" s="23">
        <v>200000</v>
      </c>
      <c r="BD107" s="23">
        <f t="shared" si="216"/>
        <v>312000</v>
      </c>
      <c r="BE107" s="23">
        <v>200000</v>
      </c>
      <c r="BF107" s="23">
        <f t="shared" si="217"/>
        <v>312000</v>
      </c>
      <c r="BG107" s="23"/>
      <c r="BH107" s="23">
        <v>200000</v>
      </c>
      <c r="BI107" s="23">
        <f t="shared" si="218"/>
        <v>312000</v>
      </c>
      <c r="BJ107" s="23">
        <v>200000</v>
      </c>
      <c r="BK107" s="23">
        <f t="shared" si="219"/>
        <v>312000</v>
      </c>
      <c r="BL107" s="23">
        <v>201000</v>
      </c>
      <c r="BM107" s="23">
        <v>200000</v>
      </c>
      <c r="BN107" s="23">
        <f t="shared" si="220"/>
        <v>312000</v>
      </c>
      <c r="BO107" s="23"/>
      <c r="BP107" s="23">
        <f t="shared" si="221"/>
        <v>0</v>
      </c>
      <c r="BQ107" s="23">
        <v>351000</v>
      </c>
      <c r="BR107" s="23">
        <v>200000</v>
      </c>
      <c r="BS107" s="23">
        <f t="shared" si="222"/>
        <v>312000</v>
      </c>
      <c r="BT107" s="23"/>
      <c r="BU107" s="23">
        <f t="shared" si="223"/>
        <v>0</v>
      </c>
      <c r="BV107" s="23"/>
      <c r="BW107" s="23">
        <v>200000</v>
      </c>
      <c r="BX107" s="23">
        <f t="shared" si="224"/>
        <v>312000</v>
      </c>
      <c r="BY107" s="23"/>
      <c r="BZ107" s="23">
        <f t="shared" si="225"/>
        <v>0</v>
      </c>
      <c r="CA107" s="23"/>
      <c r="CB107" s="74"/>
    </row>
    <row r="108" spans="1:80" ht="16" x14ac:dyDescent="0.4">
      <c r="A108" s="15" t="s">
        <v>76</v>
      </c>
      <c r="B108" s="15" t="s">
        <v>262</v>
      </c>
      <c r="C108" s="15" t="s">
        <v>263</v>
      </c>
      <c r="D108" s="15" t="s">
        <v>365</v>
      </c>
      <c r="E108" s="112" t="s">
        <v>366</v>
      </c>
      <c r="F108" s="15" t="s">
        <v>267</v>
      </c>
      <c r="G108" s="15" t="s">
        <v>268</v>
      </c>
      <c r="H108" s="15" t="s">
        <v>77</v>
      </c>
      <c r="I108" s="15" t="s">
        <v>77</v>
      </c>
      <c r="J108" s="15" t="s">
        <v>78</v>
      </c>
      <c r="K108" s="15" t="s">
        <v>79</v>
      </c>
      <c r="L108" s="15" t="s">
        <v>222</v>
      </c>
      <c r="M108" s="15" t="s">
        <v>80</v>
      </c>
      <c r="N108" s="17">
        <v>4.62</v>
      </c>
      <c r="O108" s="72">
        <v>132000</v>
      </c>
      <c r="P108" s="22">
        <f t="shared" si="198"/>
        <v>720</v>
      </c>
      <c r="Q108" s="22">
        <f t="shared" si="199"/>
        <v>3326.4</v>
      </c>
      <c r="R108" s="22">
        <f t="shared" si="200"/>
        <v>831600</v>
      </c>
      <c r="S108" s="22">
        <f t="shared" si="201"/>
        <v>306000</v>
      </c>
      <c r="T108" s="23">
        <v>60000</v>
      </c>
      <c r="U108" s="23">
        <f t="shared" si="202"/>
        <v>277200</v>
      </c>
      <c r="V108" s="23">
        <v>60000</v>
      </c>
      <c r="W108" s="23">
        <f t="shared" si="203"/>
        <v>277200</v>
      </c>
      <c r="X108" s="23">
        <v>102000</v>
      </c>
      <c r="Y108" s="23">
        <v>60000</v>
      </c>
      <c r="Z108" s="23">
        <f t="shared" si="204"/>
        <v>277200</v>
      </c>
      <c r="AA108" s="23">
        <v>60000</v>
      </c>
      <c r="AB108" s="23">
        <f t="shared" si="205"/>
        <v>277200</v>
      </c>
      <c r="AC108" s="23">
        <v>111000</v>
      </c>
      <c r="AD108" s="23">
        <v>60000</v>
      </c>
      <c r="AE108" s="23">
        <f t="shared" si="206"/>
        <v>277200</v>
      </c>
      <c r="AF108" s="23">
        <v>60000</v>
      </c>
      <c r="AG108" s="23">
        <f t="shared" si="207"/>
        <v>277200</v>
      </c>
      <c r="AH108" s="23">
        <v>51000</v>
      </c>
      <c r="AI108" s="23">
        <v>60000</v>
      </c>
      <c r="AJ108" s="23">
        <f t="shared" si="208"/>
        <v>277200</v>
      </c>
      <c r="AK108" s="23">
        <v>60000</v>
      </c>
      <c r="AL108" s="23">
        <f t="shared" si="209"/>
        <v>277200</v>
      </c>
      <c r="AM108" s="23"/>
      <c r="AN108" s="23">
        <v>60000</v>
      </c>
      <c r="AO108" s="23">
        <f t="shared" si="210"/>
        <v>277200</v>
      </c>
      <c r="AP108" s="23">
        <v>60000</v>
      </c>
      <c r="AQ108" s="23">
        <f t="shared" si="211"/>
        <v>277200</v>
      </c>
      <c r="AR108" s="26">
        <v>33000</v>
      </c>
      <c r="AS108" s="23">
        <v>60000</v>
      </c>
      <c r="AT108" s="23">
        <f t="shared" si="212"/>
        <v>277200</v>
      </c>
      <c r="AU108" s="23">
        <v>60000</v>
      </c>
      <c r="AV108" s="23">
        <f t="shared" si="213"/>
        <v>277200</v>
      </c>
      <c r="AW108" s="106">
        <v>51000</v>
      </c>
      <c r="AX108" s="24">
        <v>60000</v>
      </c>
      <c r="AY108" s="24">
        <f t="shared" si="214"/>
        <v>277200</v>
      </c>
      <c r="AZ108" s="23">
        <v>60000</v>
      </c>
      <c r="BA108" s="23">
        <f t="shared" si="215"/>
        <v>277200</v>
      </c>
      <c r="BB108" s="73">
        <v>36000</v>
      </c>
      <c r="BC108" s="23">
        <v>60000</v>
      </c>
      <c r="BD108" s="23">
        <f t="shared" si="216"/>
        <v>277200</v>
      </c>
      <c r="BE108" s="23">
        <v>60000</v>
      </c>
      <c r="BF108" s="23">
        <f t="shared" si="217"/>
        <v>277200</v>
      </c>
      <c r="BG108" s="23"/>
      <c r="BH108" s="23">
        <v>60000</v>
      </c>
      <c r="BI108" s="23">
        <f t="shared" si="218"/>
        <v>277200</v>
      </c>
      <c r="BJ108" s="23">
        <v>60000</v>
      </c>
      <c r="BK108" s="23">
        <f t="shared" si="219"/>
        <v>277200</v>
      </c>
      <c r="BL108" s="23">
        <v>168000</v>
      </c>
      <c r="BM108" s="23">
        <v>60000</v>
      </c>
      <c r="BN108" s="23">
        <f t="shared" si="220"/>
        <v>277200</v>
      </c>
      <c r="BO108" s="23"/>
      <c r="BP108" s="23">
        <f t="shared" si="221"/>
        <v>0</v>
      </c>
      <c r="BQ108" s="23">
        <v>102000</v>
      </c>
      <c r="BR108" s="23">
        <v>60000</v>
      </c>
      <c r="BS108" s="23">
        <f t="shared" si="222"/>
        <v>277200</v>
      </c>
      <c r="BT108" s="23"/>
      <c r="BU108" s="23">
        <f t="shared" si="223"/>
        <v>0</v>
      </c>
      <c r="BV108" s="23"/>
      <c r="BW108" s="23">
        <v>60000</v>
      </c>
      <c r="BX108" s="23">
        <f t="shared" si="224"/>
        <v>277200</v>
      </c>
      <c r="BY108" s="23"/>
      <c r="BZ108" s="23">
        <f t="shared" si="225"/>
        <v>0</v>
      </c>
      <c r="CA108" s="23"/>
      <c r="CB108" s="74"/>
    </row>
    <row r="109" spans="1:80" ht="16" x14ac:dyDescent="0.4">
      <c r="A109" s="15" t="s">
        <v>76</v>
      </c>
      <c r="B109" s="15" t="s">
        <v>262</v>
      </c>
      <c r="C109" s="15" t="s">
        <v>263</v>
      </c>
      <c r="D109" s="15" t="s">
        <v>365</v>
      </c>
      <c r="E109" s="112" t="s">
        <v>366</v>
      </c>
      <c r="F109" s="15" t="s">
        <v>267</v>
      </c>
      <c r="G109" s="15" t="s">
        <v>268</v>
      </c>
      <c r="H109" s="15" t="s">
        <v>77</v>
      </c>
      <c r="I109" s="15" t="s">
        <v>77</v>
      </c>
      <c r="J109" s="15" t="s">
        <v>78</v>
      </c>
      <c r="K109" s="15" t="s">
        <v>79</v>
      </c>
      <c r="L109" s="15" t="s">
        <v>454</v>
      </c>
      <c r="M109" s="15" t="s">
        <v>80</v>
      </c>
      <c r="N109" s="17">
        <v>1.36</v>
      </c>
      <c r="O109" s="72">
        <v>405000</v>
      </c>
      <c r="P109" s="22">
        <f t="shared" si="198"/>
        <v>2400</v>
      </c>
      <c r="Q109" s="22">
        <f t="shared" si="199"/>
        <v>3264</v>
      </c>
      <c r="R109" s="22">
        <f t="shared" si="200"/>
        <v>816000</v>
      </c>
      <c r="S109" s="22">
        <f t="shared" si="201"/>
        <v>450000</v>
      </c>
      <c r="T109" s="23">
        <v>200000</v>
      </c>
      <c r="U109" s="23">
        <f t="shared" si="202"/>
        <v>272000</v>
      </c>
      <c r="V109" s="23">
        <v>200000</v>
      </c>
      <c r="W109" s="23">
        <f t="shared" si="203"/>
        <v>272000</v>
      </c>
      <c r="X109" s="23"/>
      <c r="Y109" s="23">
        <v>200000</v>
      </c>
      <c r="Z109" s="23">
        <f t="shared" si="204"/>
        <v>272000</v>
      </c>
      <c r="AA109" s="23">
        <v>200000</v>
      </c>
      <c r="AB109" s="23">
        <f t="shared" si="205"/>
        <v>272000</v>
      </c>
      <c r="AC109" s="23">
        <v>195000</v>
      </c>
      <c r="AD109" s="23">
        <v>200000</v>
      </c>
      <c r="AE109" s="23">
        <f t="shared" si="206"/>
        <v>272000</v>
      </c>
      <c r="AF109" s="23">
        <v>200000</v>
      </c>
      <c r="AG109" s="23">
        <f t="shared" si="207"/>
        <v>272000</v>
      </c>
      <c r="AH109" s="23">
        <v>202500</v>
      </c>
      <c r="AI109" s="23">
        <v>200000</v>
      </c>
      <c r="AJ109" s="23">
        <f t="shared" si="208"/>
        <v>272000</v>
      </c>
      <c r="AK109" s="23">
        <v>200000</v>
      </c>
      <c r="AL109" s="23">
        <f t="shared" si="209"/>
        <v>272000</v>
      </c>
      <c r="AM109" s="23">
        <v>105000</v>
      </c>
      <c r="AN109" s="23">
        <v>200000</v>
      </c>
      <c r="AO109" s="23">
        <f t="shared" si="210"/>
        <v>272000</v>
      </c>
      <c r="AP109" s="23">
        <v>200000</v>
      </c>
      <c r="AQ109" s="23">
        <f t="shared" si="211"/>
        <v>272000</v>
      </c>
      <c r="AR109" s="23"/>
      <c r="AS109" s="23">
        <v>200000</v>
      </c>
      <c r="AT109" s="23">
        <f t="shared" si="212"/>
        <v>272000</v>
      </c>
      <c r="AU109" s="23">
        <v>200000</v>
      </c>
      <c r="AV109" s="23">
        <f t="shared" si="213"/>
        <v>272000</v>
      </c>
      <c r="AW109" s="106">
        <v>202500</v>
      </c>
      <c r="AX109" s="24">
        <v>200000</v>
      </c>
      <c r="AY109" s="24">
        <f t="shared" si="214"/>
        <v>272000</v>
      </c>
      <c r="AZ109" s="23">
        <v>200000</v>
      </c>
      <c r="BA109" s="23">
        <f t="shared" si="215"/>
        <v>272000</v>
      </c>
      <c r="BB109" s="23"/>
      <c r="BC109" s="23">
        <v>200000</v>
      </c>
      <c r="BD109" s="23">
        <f t="shared" si="216"/>
        <v>272000</v>
      </c>
      <c r="BE109" s="23">
        <v>200000</v>
      </c>
      <c r="BF109" s="23">
        <f t="shared" si="217"/>
        <v>272000</v>
      </c>
      <c r="BG109" s="23">
        <v>300000</v>
      </c>
      <c r="BH109" s="23">
        <v>200000</v>
      </c>
      <c r="BI109" s="23">
        <f t="shared" si="218"/>
        <v>272000</v>
      </c>
      <c r="BJ109" s="23">
        <v>200000</v>
      </c>
      <c r="BK109" s="23">
        <f t="shared" si="219"/>
        <v>272000</v>
      </c>
      <c r="BL109" s="23">
        <v>150000</v>
      </c>
      <c r="BM109" s="23">
        <v>200000</v>
      </c>
      <c r="BN109" s="23">
        <f t="shared" si="220"/>
        <v>272000</v>
      </c>
      <c r="BO109" s="23"/>
      <c r="BP109" s="23">
        <f t="shared" si="221"/>
        <v>0</v>
      </c>
      <c r="BQ109" s="23"/>
      <c r="BR109" s="23">
        <v>200000</v>
      </c>
      <c r="BS109" s="23">
        <f t="shared" si="222"/>
        <v>272000</v>
      </c>
      <c r="BT109" s="23"/>
      <c r="BU109" s="23">
        <f t="shared" si="223"/>
        <v>0</v>
      </c>
      <c r="BV109" s="23"/>
      <c r="BW109" s="23">
        <v>200000</v>
      </c>
      <c r="BX109" s="23">
        <f t="shared" si="224"/>
        <v>272000</v>
      </c>
      <c r="BY109" s="23"/>
      <c r="BZ109" s="23">
        <f t="shared" si="225"/>
        <v>0</v>
      </c>
      <c r="CA109" s="23"/>
      <c r="CB109" s="15"/>
    </row>
    <row r="110" spans="1:80" ht="16" x14ac:dyDescent="0.4">
      <c r="A110" s="15" t="s">
        <v>76</v>
      </c>
      <c r="B110" s="15" t="s">
        <v>262</v>
      </c>
      <c r="C110" s="15" t="s">
        <v>263</v>
      </c>
      <c r="D110" s="15" t="s">
        <v>365</v>
      </c>
      <c r="E110" s="112" t="s">
        <v>366</v>
      </c>
      <c r="F110" s="15" t="s">
        <v>267</v>
      </c>
      <c r="G110" s="15" t="s">
        <v>268</v>
      </c>
      <c r="H110" s="15" t="s">
        <v>114</v>
      </c>
      <c r="I110" s="15" t="s">
        <v>114</v>
      </c>
      <c r="J110" s="15" t="s">
        <v>89</v>
      </c>
      <c r="K110" s="15" t="s">
        <v>115</v>
      </c>
      <c r="L110" s="15" t="s">
        <v>538</v>
      </c>
      <c r="M110" s="15" t="s">
        <v>80</v>
      </c>
      <c r="N110" s="17">
        <v>25.945</v>
      </c>
      <c r="O110" s="72">
        <v>10000</v>
      </c>
      <c r="P110" s="22">
        <f t="shared" si="198"/>
        <v>70</v>
      </c>
      <c r="Q110" s="22">
        <f t="shared" si="199"/>
        <v>1816.15</v>
      </c>
      <c r="R110" s="22">
        <f t="shared" si="200"/>
        <v>778350</v>
      </c>
      <c r="S110" s="22">
        <f t="shared" si="201"/>
        <v>8000</v>
      </c>
      <c r="T110" s="23">
        <v>10000</v>
      </c>
      <c r="U110" s="23">
        <f t="shared" si="202"/>
        <v>259450</v>
      </c>
      <c r="V110" s="23">
        <v>10000</v>
      </c>
      <c r="W110" s="23">
        <f t="shared" si="203"/>
        <v>259450</v>
      </c>
      <c r="X110" s="23"/>
      <c r="Y110" s="23">
        <v>10000</v>
      </c>
      <c r="Z110" s="23">
        <f t="shared" si="204"/>
        <v>259450</v>
      </c>
      <c r="AA110" s="23">
        <v>10000</v>
      </c>
      <c r="AB110" s="23">
        <f t="shared" si="205"/>
        <v>259450</v>
      </c>
      <c r="AC110" s="23">
        <v>15000</v>
      </c>
      <c r="AD110" s="23">
        <v>10000</v>
      </c>
      <c r="AE110" s="23">
        <f t="shared" si="206"/>
        <v>259450</v>
      </c>
      <c r="AF110" s="23">
        <v>10000</v>
      </c>
      <c r="AG110" s="23">
        <f t="shared" si="207"/>
        <v>259450</v>
      </c>
      <c r="AH110" s="23"/>
      <c r="AI110" s="23"/>
      <c r="AJ110" s="23">
        <f t="shared" si="208"/>
        <v>0</v>
      </c>
      <c r="AK110" s="23">
        <v>10000</v>
      </c>
      <c r="AL110" s="23">
        <f t="shared" si="209"/>
        <v>259450</v>
      </c>
      <c r="AM110" s="23">
        <v>20000</v>
      </c>
      <c r="AN110" s="23"/>
      <c r="AO110" s="23">
        <f t="shared" si="210"/>
        <v>0</v>
      </c>
      <c r="AP110" s="23">
        <v>10000</v>
      </c>
      <c r="AQ110" s="23">
        <f t="shared" si="211"/>
        <v>259450</v>
      </c>
      <c r="AR110" s="23"/>
      <c r="AS110" s="23"/>
      <c r="AT110" s="23">
        <f t="shared" si="212"/>
        <v>0</v>
      </c>
      <c r="AU110" s="23">
        <v>10000</v>
      </c>
      <c r="AV110" s="23">
        <f t="shared" si="213"/>
        <v>259450</v>
      </c>
      <c r="AW110" s="27">
        <v>10000</v>
      </c>
      <c r="AX110" s="24"/>
      <c r="AY110" s="24">
        <f t="shared" si="214"/>
        <v>0</v>
      </c>
      <c r="AZ110" s="23">
        <v>10000</v>
      </c>
      <c r="BA110" s="23">
        <f t="shared" si="215"/>
        <v>259450</v>
      </c>
      <c r="BB110" s="23"/>
      <c r="BC110" s="23"/>
      <c r="BD110" s="23">
        <f t="shared" si="216"/>
        <v>0</v>
      </c>
      <c r="BE110" s="23">
        <v>10000</v>
      </c>
      <c r="BF110" s="23">
        <f t="shared" si="217"/>
        <v>259450</v>
      </c>
      <c r="BG110" s="23">
        <v>8000</v>
      </c>
      <c r="BH110" s="23">
        <v>10000</v>
      </c>
      <c r="BI110" s="23">
        <f t="shared" si="218"/>
        <v>259450</v>
      </c>
      <c r="BJ110" s="23">
        <v>10000</v>
      </c>
      <c r="BK110" s="23">
        <f t="shared" si="219"/>
        <v>259450</v>
      </c>
      <c r="BL110" s="23"/>
      <c r="BM110" s="23">
        <v>10000</v>
      </c>
      <c r="BN110" s="23">
        <f t="shared" si="220"/>
        <v>259450</v>
      </c>
      <c r="BO110" s="23"/>
      <c r="BP110" s="23">
        <f t="shared" si="221"/>
        <v>0</v>
      </c>
      <c r="BQ110" s="23"/>
      <c r="BR110" s="23">
        <v>10000</v>
      </c>
      <c r="BS110" s="23">
        <f t="shared" si="222"/>
        <v>259450</v>
      </c>
      <c r="BT110" s="23"/>
      <c r="BU110" s="23">
        <f t="shared" si="223"/>
        <v>0</v>
      </c>
      <c r="BV110" s="23"/>
      <c r="BW110" s="23">
        <v>10000</v>
      </c>
      <c r="BX110" s="23">
        <f t="shared" si="224"/>
        <v>259450</v>
      </c>
      <c r="BY110" s="23"/>
      <c r="BZ110" s="23">
        <f t="shared" si="225"/>
        <v>0</v>
      </c>
      <c r="CA110" s="23"/>
      <c r="CB110" s="57" t="s">
        <v>604</v>
      </c>
    </row>
    <row r="111" spans="1:80" ht="16" x14ac:dyDescent="0.4">
      <c r="A111" s="15" t="s">
        <v>76</v>
      </c>
      <c r="B111" s="15" t="s">
        <v>262</v>
      </c>
      <c r="C111" s="15" t="s">
        <v>263</v>
      </c>
      <c r="D111" s="15" t="s">
        <v>365</v>
      </c>
      <c r="E111" s="112" t="s">
        <v>366</v>
      </c>
      <c r="F111" s="15" t="s">
        <v>267</v>
      </c>
      <c r="G111" s="15" t="s">
        <v>268</v>
      </c>
      <c r="H111" s="15" t="s">
        <v>114</v>
      </c>
      <c r="I111" s="15" t="s">
        <v>114</v>
      </c>
      <c r="J111" s="15" t="s">
        <v>89</v>
      </c>
      <c r="K111" s="15" t="s">
        <v>115</v>
      </c>
      <c r="L111" s="15" t="s">
        <v>539</v>
      </c>
      <c r="M111" s="15" t="s">
        <v>80</v>
      </c>
      <c r="N111" s="17">
        <v>32.380000000000003</v>
      </c>
      <c r="O111" s="72">
        <v>32000</v>
      </c>
      <c r="P111" s="22">
        <f t="shared" si="198"/>
        <v>35</v>
      </c>
      <c r="Q111" s="22">
        <f t="shared" si="199"/>
        <v>1133.3</v>
      </c>
      <c r="R111" s="22">
        <f t="shared" si="200"/>
        <v>485700</v>
      </c>
      <c r="S111" s="22">
        <f t="shared" si="201"/>
        <v>0</v>
      </c>
      <c r="T111" s="23">
        <v>5000</v>
      </c>
      <c r="U111" s="23">
        <f t="shared" si="202"/>
        <v>161900</v>
      </c>
      <c r="V111" s="23">
        <v>5000</v>
      </c>
      <c r="W111" s="23">
        <f t="shared" si="203"/>
        <v>161900</v>
      </c>
      <c r="X111" s="23"/>
      <c r="Y111" s="23">
        <v>5000</v>
      </c>
      <c r="Z111" s="23">
        <f t="shared" si="204"/>
        <v>161900</v>
      </c>
      <c r="AA111" s="23">
        <v>5000</v>
      </c>
      <c r="AB111" s="23">
        <f t="shared" si="205"/>
        <v>161900</v>
      </c>
      <c r="AC111" s="23"/>
      <c r="AD111" s="23">
        <v>5000</v>
      </c>
      <c r="AE111" s="23">
        <f t="shared" si="206"/>
        <v>161900</v>
      </c>
      <c r="AF111" s="23">
        <v>5000</v>
      </c>
      <c r="AG111" s="23">
        <f t="shared" si="207"/>
        <v>161900</v>
      </c>
      <c r="AH111" s="23"/>
      <c r="AI111" s="23"/>
      <c r="AJ111" s="23">
        <f t="shared" si="208"/>
        <v>0</v>
      </c>
      <c r="AK111" s="23">
        <v>5000</v>
      </c>
      <c r="AL111" s="23">
        <f t="shared" si="209"/>
        <v>161900</v>
      </c>
      <c r="AM111" s="23">
        <v>9000</v>
      </c>
      <c r="AN111" s="23"/>
      <c r="AO111" s="23">
        <f t="shared" si="210"/>
        <v>0</v>
      </c>
      <c r="AP111" s="23">
        <v>5000</v>
      </c>
      <c r="AQ111" s="23">
        <f t="shared" si="211"/>
        <v>161900</v>
      </c>
      <c r="AR111" s="23">
        <v>28000</v>
      </c>
      <c r="AS111" s="23"/>
      <c r="AT111" s="23">
        <f t="shared" si="212"/>
        <v>0</v>
      </c>
      <c r="AU111" s="23">
        <v>5000</v>
      </c>
      <c r="AV111" s="23">
        <f t="shared" si="213"/>
        <v>161900</v>
      </c>
      <c r="AW111" s="23"/>
      <c r="AX111" s="24"/>
      <c r="AY111" s="24">
        <f t="shared" si="214"/>
        <v>0</v>
      </c>
      <c r="AZ111" s="23">
        <v>5000</v>
      </c>
      <c r="BA111" s="23">
        <f t="shared" si="215"/>
        <v>161900</v>
      </c>
      <c r="BB111" s="23"/>
      <c r="BC111" s="23"/>
      <c r="BD111" s="23">
        <f t="shared" si="216"/>
        <v>0</v>
      </c>
      <c r="BE111" s="23">
        <v>5000</v>
      </c>
      <c r="BF111" s="23">
        <f t="shared" si="217"/>
        <v>161900</v>
      </c>
      <c r="BG111" s="23"/>
      <c r="BH111" s="23">
        <v>5000</v>
      </c>
      <c r="BI111" s="23">
        <f t="shared" si="218"/>
        <v>161900</v>
      </c>
      <c r="BJ111" s="23">
        <v>5000</v>
      </c>
      <c r="BK111" s="23">
        <f t="shared" si="219"/>
        <v>161900</v>
      </c>
      <c r="BL111" s="23"/>
      <c r="BM111" s="23">
        <v>5000</v>
      </c>
      <c r="BN111" s="23">
        <f t="shared" si="220"/>
        <v>161900</v>
      </c>
      <c r="BO111" s="23"/>
      <c r="BP111" s="23">
        <f t="shared" si="221"/>
        <v>0</v>
      </c>
      <c r="BQ111" s="23"/>
      <c r="BR111" s="23">
        <v>5000</v>
      </c>
      <c r="BS111" s="23">
        <f t="shared" si="222"/>
        <v>161900</v>
      </c>
      <c r="BT111" s="23"/>
      <c r="BU111" s="23">
        <f t="shared" si="223"/>
        <v>0</v>
      </c>
      <c r="BV111" s="23"/>
      <c r="BW111" s="23">
        <v>5000</v>
      </c>
      <c r="BX111" s="23">
        <f t="shared" si="224"/>
        <v>161900</v>
      </c>
      <c r="BY111" s="23"/>
      <c r="BZ111" s="23">
        <f t="shared" si="225"/>
        <v>0</v>
      </c>
      <c r="CA111" s="23"/>
      <c r="CB111" s="15"/>
    </row>
    <row r="112" spans="1:80" ht="16" x14ac:dyDescent="0.4">
      <c r="A112" s="15" t="s">
        <v>76</v>
      </c>
      <c r="B112" s="15" t="s">
        <v>262</v>
      </c>
      <c r="C112" s="15" t="s">
        <v>263</v>
      </c>
      <c r="D112" s="15" t="s">
        <v>365</v>
      </c>
      <c r="E112" s="112" t="s">
        <v>366</v>
      </c>
      <c r="F112" s="15" t="s">
        <v>267</v>
      </c>
      <c r="G112" s="15" t="s">
        <v>268</v>
      </c>
      <c r="H112" s="15" t="s">
        <v>114</v>
      </c>
      <c r="I112" s="15" t="s">
        <v>114</v>
      </c>
      <c r="J112" s="15" t="s">
        <v>89</v>
      </c>
      <c r="K112" s="15" t="s">
        <v>115</v>
      </c>
      <c r="L112" s="15" t="s">
        <v>451</v>
      </c>
      <c r="M112" s="15" t="s">
        <v>80</v>
      </c>
      <c r="N112" s="17">
        <v>29.257142857142856</v>
      </c>
      <c r="O112" s="18"/>
      <c r="P112" s="22">
        <f t="shared" si="198"/>
        <v>30</v>
      </c>
      <c r="Q112" s="22">
        <f t="shared" si="199"/>
        <v>877.71428571428578</v>
      </c>
      <c r="R112" s="22">
        <f t="shared" si="200"/>
        <v>438857.14285714284</v>
      </c>
      <c r="S112" s="22">
        <f t="shared" si="201"/>
        <v>0</v>
      </c>
      <c r="T112" s="23">
        <v>5000</v>
      </c>
      <c r="U112" s="23">
        <f t="shared" si="202"/>
        <v>146285.71428571429</v>
      </c>
      <c r="V112" s="23">
        <v>5000</v>
      </c>
      <c r="W112" s="23">
        <f t="shared" si="203"/>
        <v>146285.71428571429</v>
      </c>
      <c r="X112" s="23"/>
      <c r="Y112" s="23">
        <v>5000</v>
      </c>
      <c r="Z112" s="23">
        <f t="shared" si="204"/>
        <v>146285.71428571429</v>
      </c>
      <c r="AA112" s="23">
        <v>5000</v>
      </c>
      <c r="AB112" s="23">
        <f t="shared" si="205"/>
        <v>146285.71428571429</v>
      </c>
      <c r="AC112" s="23"/>
      <c r="AD112" s="23">
        <v>5000</v>
      </c>
      <c r="AE112" s="23">
        <f t="shared" si="206"/>
        <v>146285.71428571429</v>
      </c>
      <c r="AF112" s="23">
        <v>5000</v>
      </c>
      <c r="AG112" s="23">
        <f t="shared" si="207"/>
        <v>146285.71428571429</v>
      </c>
      <c r="AH112" s="23"/>
      <c r="AI112" s="23"/>
      <c r="AJ112" s="23">
        <f t="shared" si="208"/>
        <v>0</v>
      </c>
      <c r="AK112" s="23">
        <v>5000</v>
      </c>
      <c r="AL112" s="23">
        <f t="shared" si="209"/>
        <v>146285.71428571429</v>
      </c>
      <c r="AM112" s="23"/>
      <c r="AN112" s="23"/>
      <c r="AO112" s="23">
        <f t="shared" si="210"/>
        <v>0</v>
      </c>
      <c r="AP112" s="23">
        <v>5000</v>
      </c>
      <c r="AQ112" s="23">
        <f t="shared" si="211"/>
        <v>146285.71428571429</v>
      </c>
      <c r="AR112" s="23"/>
      <c r="AS112" s="23"/>
      <c r="AT112" s="23">
        <f t="shared" si="212"/>
        <v>0</v>
      </c>
      <c r="AU112" s="23">
        <v>5000</v>
      </c>
      <c r="AV112" s="23">
        <f t="shared" si="213"/>
        <v>146285.71428571429</v>
      </c>
      <c r="AW112" s="23"/>
      <c r="AX112" s="24"/>
      <c r="AY112" s="24">
        <f t="shared" si="214"/>
        <v>0</v>
      </c>
      <c r="AZ112" s="23">
        <v>5000</v>
      </c>
      <c r="BA112" s="23">
        <f t="shared" si="215"/>
        <v>146285.71428571429</v>
      </c>
      <c r="BB112" s="23"/>
      <c r="BC112" s="23"/>
      <c r="BD112" s="23">
        <f t="shared" si="216"/>
        <v>0</v>
      </c>
      <c r="BE112" s="23">
        <v>5000</v>
      </c>
      <c r="BF112" s="23">
        <f t="shared" si="217"/>
        <v>146285.71428571429</v>
      </c>
      <c r="BG112" s="23"/>
      <c r="BH112" s="23"/>
      <c r="BI112" s="23">
        <f t="shared" si="218"/>
        <v>0</v>
      </c>
      <c r="BJ112" s="23">
        <v>5000</v>
      </c>
      <c r="BK112" s="23">
        <f t="shared" si="219"/>
        <v>146285.71428571429</v>
      </c>
      <c r="BL112" s="23"/>
      <c r="BM112" s="23">
        <v>5000</v>
      </c>
      <c r="BN112" s="23">
        <f t="shared" si="220"/>
        <v>146285.71428571429</v>
      </c>
      <c r="BO112" s="23"/>
      <c r="BP112" s="23">
        <f t="shared" si="221"/>
        <v>0</v>
      </c>
      <c r="BQ112" s="23"/>
      <c r="BR112" s="23">
        <v>5000</v>
      </c>
      <c r="BS112" s="23">
        <f t="shared" si="222"/>
        <v>146285.71428571429</v>
      </c>
      <c r="BT112" s="23"/>
      <c r="BU112" s="23">
        <f t="shared" si="223"/>
        <v>0</v>
      </c>
      <c r="BV112" s="23"/>
      <c r="BW112" s="23">
        <v>5000</v>
      </c>
      <c r="BX112" s="23">
        <f t="shared" si="224"/>
        <v>146285.71428571429</v>
      </c>
      <c r="BY112" s="23"/>
      <c r="BZ112" s="23">
        <f t="shared" si="225"/>
        <v>0</v>
      </c>
      <c r="CA112" s="23"/>
      <c r="CB112" s="15"/>
    </row>
    <row r="113" spans="1:80" ht="16" x14ac:dyDescent="0.4">
      <c r="A113" s="15" t="s">
        <v>76</v>
      </c>
      <c r="B113" s="15" t="s">
        <v>262</v>
      </c>
      <c r="C113" s="15" t="s">
        <v>263</v>
      </c>
      <c r="D113" s="15" t="s">
        <v>365</v>
      </c>
      <c r="E113" s="112" t="s">
        <v>366</v>
      </c>
      <c r="F113" s="15" t="s">
        <v>267</v>
      </c>
      <c r="G113" s="15" t="s">
        <v>268</v>
      </c>
      <c r="H113" s="15" t="s">
        <v>77</v>
      </c>
      <c r="I113" s="15" t="s">
        <v>77</v>
      </c>
      <c r="J113" s="15" t="s">
        <v>78</v>
      </c>
      <c r="K113" s="15" t="s">
        <v>79</v>
      </c>
      <c r="L113" s="15" t="s">
        <v>540</v>
      </c>
      <c r="M113" s="15" t="s">
        <v>80</v>
      </c>
      <c r="N113" s="17">
        <v>4.18</v>
      </c>
      <c r="O113" s="72">
        <v>52500</v>
      </c>
      <c r="P113" s="22">
        <f t="shared" si="198"/>
        <v>300</v>
      </c>
      <c r="Q113" s="22">
        <f t="shared" si="199"/>
        <v>1253.9999999999998</v>
      </c>
      <c r="R113" s="22">
        <f t="shared" si="200"/>
        <v>376199.99999999994</v>
      </c>
      <c r="S113" s="22">
        <f t="shared" si="201"/>
        <v>232500</v>
      </c>
      <c r="T113" s="23">
        <v>30000</v>
      </c>
      <c r="U113" s="23">
        <f t="shared" si="202"/>
        <v>125399.99999999999</v>
      </c>
      <c r="V113" s="23">
        <v>30000</v>
      </c>
      <c r="W113" s="23">
        <f t="shared" si="203"/>
        <v>125399.99999999999</v>
      </c>
      <c r="X113" s="23">
        <v>52500</v>
      </c>
      <c r="Y113" s="23">
        <v>30000</v>
      </c>
      <c r="Z113" s="23">
        <f t="shared" si="204"/>
        <v>125399.99999999999</v>
      </c>
      <c r="AA113" s="23">
        <v>30000</v>
      </c>
      <c r="AB113" s="23">
        <f t="shared" si="205"/>
        <v>125399.99999999999</v>
      </c>
      <c r="AC113" s="23">
        <v>60000</v>
      </c>
      <c r="AD113" s="23">
        <v>30000</v>
      </c>
      <c r="AE113" s="23">
        <f t="shared" si="206"/>
        <v>125399.99999999999</v>
      </c>
      <c r="AF113" s="23">
        <v>30000</v>
      </c>
      <c r="AG113" s="23">
        <f t="shared" si="207"/>
        <v>125399.99999999999</v>
      </c>
      <c r="AH113" s="23"/>
      <c r="AI113" s="23">
        <v>30000</v>
      </c>
      <c r="AJ113" s="23">
        <f t="shared" si="208"/>
        <v>125399.99999999999</v>
      </c>
      <c r="AK113" s="23">
        <v>30000</v>
      </c>
      <c r="AL113" s="23">
        <f t="shared" si="209"/>
        <v>125399.99999999999</v>
      </c>
      <c r="AM113" s="23"/>
      <c r="AN113" s="23"/>
      <c r="AO113" s="23">
        <f t="shared" si="210"/>
        <v>0</v>
      </c>
      <c r="AP113" s="23">
        <v>30000</v>
      </c>
      <c r="AQ113" s="23">
        <f t="shared" si="211"/>
        <v>125399.99999999999</v>
      </c>
      <c r="AR113" s="23">
        <v>52500</v>
      </c>
      <c r="AS113" s="23">
        <v>30000</v>
      </c>
      <c r="AT113" s="23">
        <f t="shared" si="212"/>
        <v>125399.99999999999</v>
      </c>
      <c r="AU113" s="23">
        <v>30000</v>
      </c>
      <c r="AV113" s="23">
        <f t="shared" si="213"/>
        <v>125399.99999999999</v>
      </c>
      <c r="AW113" s="56">
        <v>52500</v>
      </c>
      <c r="AX113" s="24">
        <v>30000</v>
      </c>
      <c r="AY113" s="24">
        <f t="shared" si="214"/>
        <v>125399.99999999999</v>
      </c>
      <c r="AZ113" s="23">
        <v>30000</v>
      </c>
      <c r="BA113" s="23">
        <f t="shared" si="215"/>
        <v>125399.99999999999</v>
      </c>
      <c r="BB113" s="73">
        <v>52500</v>
      </c>
      <c r="BC113" s="23"/>
      <c r="BD113" s="23">
        <f t="shared" si="216"/>
        <v>0</v>
      </c>
      <c r="BE113" s="23">
        <v>30000</v>
      </c>
      <c r="BF113" s="23">
        <f t="shared" si="217"/>
        <v>125399.99999999999</v>
      </c>
      <c r="BG113" s="23">
        <v>90000</v>
      </c>
      <c r="BH113" s="23">
        <v>30000</v>
      </c>
      <c r="BI113" s="23">
        <f t="shared" si="218"/>
        <v>125399.99999999999</v>
      </c>
      <c r="BJ113" s="23">
        <v>30000</v>
      </c>
      <c r="BK113" s="23">
        <f t="shared" si="219"/>
        <v>125399.99999999999</v>
      </c>
      <c r="BL113" s="23">
        <v>90000</v>
      </c>
      <c r="BM113" s="23">
        <v>30000</v>
      </c>
      <c r="BN113" s="23">
        <f t="shared" si="220"/>
        <v>125399.99999999999</v>
      </c>
      <c r="BO113" s="23"/>
      <c r="BP113" s="23">
        <f t="shared" si="221"/>
        <v>0</v>
      </c>
      <c r="BQ113" s="23"/>
      <c r="BR113" s="23">
        <v>30000</v>
      </c>
      <c r="BS113" s="23">
        <f t="shared" si="222"/>
        <v>125399.99999999999</v>
      </c>
      <c r="BT113" s="23"/>
      <c r="BU113" s="23">
        <f t="shared" si="223"/>
        <v>0</v>
      </c>
      <c r="BV113" s="23"/>
      <c r="BW113" s="23">
        <v>30000</v>
      </c>
      <c r="BX113" s="23">
        <f t="shared" si="224"/>
        <v>125399.99999999999</v>
      </c>
      <c r="BY113" s="23"/>
      <c r="BZ113" s="23">
        <f t="shared" si="225"/>
        <v>0</v>
      </c>
      <c r="CA113" s="23"/>
      <c r="CB113" s="15"/>
    </row>
    <row r="114" spans="1:80" ht="16" x14ac:dyDescent="0.4">
      <c r="A114" s="15" t="s">
        <v>76</v>
      </c>
      <c r="B114" s="15" t="s">
        <v>262</v>
      </c>
      <c r="C114" s="15" t="s">
        <v>263</v>
      </c>
      <c r="D114" s="15" t="s">
        <v>365</v>
      </c>
      <c r="E114" s="112" t="s">
        <v>366</v>
      </c>
      <c r="F114" s="15" t="s">
        <v>267</v>
      </c>
      <c r="G114" s="15" t="s">
        <v>268</v>
      </c>
      <c r="H114" s="15" t="s">
        <v>77</v>
      </c>
      <c r="I114" s="15" t="s">
        <v>77</v>
      </c>
      <c r="J114" s="15" t="s">
        <v>78</v>
      </c>
      <c r="K114" s="15" t="s">
        <v>79</v>
      </c>
      <c r="L114" s="15" t="s">
        <v>455</v>
      </c>
      <c r="M114" s="15" t="s">
        <v>80</v>
      </c>
      <c r="N114" s="17">
        <v>0.69</v>
      </c>
      <c r="O114" s="72">
        <v>237000</v>
      </c>
      <c r="P114" s="22">
        <f t="shared" si="198"/>
        <v>1200</v>
      </c>
      <c r="Q114" s="22">
        <f t="shared" si="199"/>
        <v>828</v>
      </c>
      <c r="R114" s="22">
        <f t="shared" si="200"/>
        <v>207000</v>
      </c>
      <c r="S114" s="22">
        <f t="shared" si="201"/>
        <v>690000</v>
      </c>
      <c r="T114" s="23">
        <v>100000</v>
      </c>
      <c r="U114" s="23">
        <f t="shared" si="202"/>
        <v>69000</v>
      </c>
      <c r="V114" s="23">
        <v>100000</v>
      </c>
      <c r="W114" s="23">
        <f t="shared" si="203"/>
        <v>69000</v>
      </c>
      <c r="X114" s="23">
        <v>201000</v>
      </c>
      <c r="Y114" s="23">
        <v>100000</v>
      </c>
      <c r="Z114" s="23">
        <f t="shared" si="204"/>
        <v>69000</v>
      </c>
      <c r="AA114" s="23">
        <v>100000</v>
      </c>
      <c r="AB114" s="23">
        <f t="shared" si="205"/>
        <v>69000</v>
      </c>
      <c r="AC114" s="23">
        <v>204000</v>
      </c>
      <c r="AD114" s="23">
        <v>100000</v>
      </c>
      <c r="AE114" s="23">
        <f t="shared" si="206"/>
        <v>69000</v>
      </c>
      <c r="AF114" s="23">
        <v>100000</v>
      </c>
      <c r="AG114" s="23">
        <f t="shared" si="207"/>
        <v>69000</v>
      </c>
      <c r="AH114" s="23"/>
      <c r="AI114" s="23">
        <v>100000</v>
      </c>
      <c r="AJ114" s="23">
        <f t="shared" si="208"/>
        <v>69000</v>
      </c>
      <c r="AK114" s="23">
        <v>100000</v>
      </c>
      <c r="AL114" s="23">
        <f t="shared" si="209"/>
        <v>69000</v>
      </c>
      <c r="AM114" s="23">
        <v>204000</v>
      </c>
      <c r="AN114" s="23">
        <v>100000</v>
      </c>
      <c r="AO114" s="23">
        <f t="shared" si="210"/>
        <v>69000</v>
      </c>
      <c r="AP114" s="23">
        <v>100000</v>
      </c>
      <c r="AQ114" s="23">
        <f t="shared" si="211"/>
        <v>69000</v>
      </c>
      <c r="AR114" s="23">
        <v>201000</v>
      </c>
      <c r="AS114" s="23">
        <v>100000</v>
      </c>
      <c r="AT114" s="23">
        <f t="shared" si="212"/>
        <v>69000</v>
      </c>
      <c r="AU114" s="23">
        <v>100000</v>
      </c>
      <c r="AV114" s="23">
        <f t="shared" si="213"/>
        <v>69000</v>
      </c>
      <c r="AW114" s="106">
        <v>129000</v>
      </c>
      <c r="AX114" s="24">
        <v>100000</v>
      </c>
      <c r="AY114" s="24">
        <f t="shared" si="214"/>
        <v>69000</v>
      </c>
      <c r="AZ114" s="23">
        <v>100000</v>
      </c>
      <c r="BA114" s="23">
        <f t="shared" si="215"/>
        <v>69000</v>
      </c>
      <c r="BB114" s="73">
        <v>186000</v>
      </c>
      <c r="BC114" s="23">
        <v>100000</v>
      </c>
      <c r="BD114" s="23">
        <f t="shared" si="216"/>
        <v>69000</v>
      </c>
      <c r="BE114" s="23">
        <v>100000</v>
      </c>
      <c r="BF114" s="23">
        <f t="shared" si="217"/>
        <v>69000</v>
      </c>
      <c r="BG114" s="23"/>
      <c r="BH114" s="23">
        <v>100000</v>
      </c>
      <c r="BI114" s="23">
        <f t="shared" si="218"/>
        <v>69000</v>
      </c>
      <c r="BJ114" s="23">
        <v>100000</v>
      </c>
      <c r="BK114" s="23">
        <f t="shared" si="219"/>
        <v>69000</v>
      </c>
      <c r="BL114" s="23">
        <v>153000</v>
      </c>
      <c r="BM114" s="23">
        <v>100000</v>
      </c>
      <c r="BN114" s="23">
        <f t="shared" si="220"/>
        <v>69000</v>
      </c>
      <c r="BO114" s="23"/>
      <c r="BP114" s="23">
        <f t="shared" si="221"/>
        <v>0</v>
      </c>
      <c r="BQ114" s="23">
        <v>351000</v>
      </c>
      <c r="BR114" s="23">
        <v>100000</v>
      </c>
      <c r="BS114" s="23">
        <f t="shared" si="222"/>
        <v>69000</v>
      </c>
      <c r="BT114" s="23"/>
      <c r="BU114" s="23">
        <f t="shared" si="223"/>
        <v>0</v>
      </c>
      <c r="BV114" s="23"/>
      <c r="BW114" s="23">
        <v>100000</v>
      </c>
      <c r="BX114" s="23">
        <f t="shared" si="224"/>
        <v>69000</v>
      </c>
      <c r="BY114" s="23"/>
      <c r="BZ114" s="23">
        <f t="shared" si="225"/>
        <v>0</v>
      </c>
      <c r="CA114" s="23"/>
      <c r="CB114" s="74"/>
    </row>
    <row r="115" spans="1:80" ht="16" x14ac:dyDescent="0.4">
      <c r="A115" s="15" t="s">
        <v>76</v>
      </c>
      <c r="B115" s="15" t="s">
        <v>262</v>
      </c>
      <c r="C115" s="15" t="s">
        <v>263</v>
      </c>
      <c r="D115" s="15" t="s">
        <v>365</v>
      </c>
      <c r="E115" s="112" t="s">
        <v>366</v>
      </c>
      <c r="F115" s="15" t="s">
        <v>267</v>
      </c>
      <c r="G115" s="15" t="s">
        <v>268</v>
      </c>
      <c r="H115" s="15" t="s">
        <v>77</v>
      </c>
      <c r="I115" s="15" t="s">
        <v>77</v>
      </c>
      <c r="J115" s="15" t="s">
        <v>78</v>
      </c>
      <c r="K115" s="15" t="s">
        <v>79</v>
      </c>
      <c r="L115" s="15" t="s">
        <v>541</v>
      </c>
      <c r="M115" s="15" t="s">
        <v>80</v>
      </c>
      <c r="N115" s="17">
        <v>1.1399999999999999</v>
      </c>
      <c r="O115" s="18"/>
      <c r="P115" s="22">
        <f t="shared" si="198"/>
        <v>600</v>
      </c>
      <c r="Q115" s="22">
        <f t="shared" si="199"/>
        <v>683.99999999999989</v>
      </c>
      <c r="R115" s="22">
        <f t="shared" si="200"/>
        <v>170999.99999999997</v>
      </c>
      <c r="S115" s="22">
        <f t="shared" si="201"/>
        <v>501000</v>
      </c>
      <c r="T115" s="23">
        <v>50000</v>
      </c>
      <c r="U115" s="23">
        <f t="shared" si="202"/>
        <v>56999.999999999993</v>
      </c>
      <c r="V115" s="23">
        <v>50000</v>
      </c>
      <c r="W115" s="23">
        <f t="shared" si="203"/>
        <v>56999.999999999993</v>
      </c>
      <c r="X115" s="23"/>
      <c r="Y115" s="23">
        <v>50000</v>
      </c>
      <c r="Z115" s="23">
        <f t="shared" si="204"/>
        <v>56999.999999999993</v>
      </c>
      <c r="AA115" s="23">
        <v>50000</v>
      </c>
      <c r="AB115" s="23">
        <f t="shared" si="205"/>
        <v>56999.999999999993</v>
      </c>
      <c r="AC115" s="23">
        <v>81000</v>
      </c>
      <c r="AD115" s="23">
        <v>50000</v>
      </c>
      <c r="AE115" s="23">
        <f t="shared" si="206"/>
        <v>56999.999999999993</v>
      </c>
      <c r="AF115" s="23">
        <v>50000</v>
      </c>
      <c r="AG115" s="23">
        <f t="shared" si="207"/>
        <v>56999.999999999993</v>
      </c>
      <c r="AH115" s="23">
        <v>165000</v>
      </c>
      <c r="AI115" s="23">
        <v>50000</v>
      </c>
      <c r="AJ115" s="23">
        <f t="shared" si="208"/>
        <v>56999.999999999993</v>
      </c>
      <c r="AK115" s="23">
        <v>50000</v>
      </c>
      <c r="AL115" s="23">
        <f t="shared" si="209"/>
        <v>56999.999999999993</v>
      </c>
      <c r="AM115" s="23">
        <v>102000</v>
      </c>
      <c r="AN115" s="23">
        <v>50000</v>
      </c>
      <c r="AO115" s="23">
        <f t="shared" si="210"/>
        <v>56999.999999999993</v>
      </c>
      <c r="AP115" s="23">
        <v>50000</v>
      </c>
      <c r="AQ115" s="23">
        <f t="shared" si="211"/>
        <v>56999.999999999993</v>
      </c>
      <c r="AR115" s="26">
        <v>63000</v>
      </c>
      <c r="AS115" s="23">
        <v>50000</v>
      </c>
      <c r="AT115" s="23">
        <f t="shared" si="212"/>
        <v>56999.999999999993</v>
      </c>
      <c r="AU115" s="23">
        <v>50000</v>
      </c>
      <c r="AV115" s="23">
        <f t="shared" si="213"/>
        <v>56999.999999999993</v>
      </c>
      <c r="AW115" s="106">
        <v>33000</v>
      </c>
      <c r="AX115" s="24">
        <v>50000</v>
      </c>
      <c r="AY115" s="24">
        <f t="shared" si="214"/>
        <v>56999.999999999993</v>
      </c>
      <c r="AZ115" s="23">
        <v>50000</v>
      </c>
      <c r="BA115" s="23">
        <f t="shared" si="215"/>
        <v>56999.999999999993</v>
      </c>
      <c r="BB115" s="73">
        <v>147000</v>
      </c>
      <c r="BC115" s="23">
        <v>50000</v>
      </c>
      <c r="BD115" s="23">
        <f t="shared" si="216"/>
        <v>56999.999999999993</v>
      </c>
      <c r="BE115" s="23">
        <v>50000</v>
      </c>
      <c r="BF115" s="23">
        <f t="shared" si="217"/>
        <v>56999.999999999993</v>
      </c>
      <c r="BG115" s="23"/>
      <c r="BH115" s="23">
        <v>50000</v>
      </c>
      <c r="BI115" s="23">
        <f t="shared" si="218"/>
        <v>56999.999999999993</v>
      </c>
      <c r="BJ115" s="23">
        <v>50000</v>
      </c>
      <c r="BK115" s="23">
        <f t="shared" si="219"/>
        <v>56999.999999999993</v>
      </c>
      <c r="BL115" s="23">
        <v>102000</v>
      </c>
      <c r="BM115" s="23">
        <v>50000</v>
      </c>
      <c r="BN115" s="23">
        <f t="shared" si="220"/>
        <v>56999.999999999993</v>
      </c>
      <c r="BO115" s="23"/>
      <c r="BP115" s="23">
        <f t="shared" si="221"/>
        <v>0</v>
      </c>
      <c r="BQ115" s="23">
        <v>252000</v>
      </c>
      <c r="BR115" s="23">
        <v>50000</v>
      </c>
      <c r="BS115" s="23">
        <f t="shared" si="222"/>
        <v>56999.999999999993</v>
      </c>
      <c r="BT115" s="23"/>
      <c r="BU115" s="23">
        <f t="shared" si="223"/>
        <v>0</v>
      </c>
      <c r="BV115" s="23"/>
      <c r="BW115" s="23">
        <v>50000</v>
      </c>
      <c r="BX115" s="23">
        <f t="shared" si="224"/>
        <v>56999.999999999993</v>
      </c>
      <c r="BY115" s="23"/>
      <c r="BZ115" s="23">
        <f t="shared" si="225"/>
        <v>0</v>
      </c>
      <c r="CA115" s="23"/>
      <c r="CB115" s="74"/>
    </row>
    <row r="116" spans="1:80" ht="16" x14ac:dyDescent="0.4">
      <c r="A116" s="15" t="s">
        <v>76</v>
      </c>
      <c r="B116" s="15" t="s">
        <v>262</v>
      </c>
      <c r="C116" s="15" t="s">
        <v>263</v>
      </c>
      <c r="D116" s="15" t="s">
        <v>365</v>
      </c>
      <c r="E116" s="112" t="s">
        <v>366</v>
      </c>
      <c r="F116" s="15" t="s">
        <v>267</v>
      </c>
      <c r="G116" s="15" t="s">
        <v>268</v>
      </c>
      <c r="H116" s="15" t="s">
        <v>77</v>
      </c>
      <c r="I116" s="15" t="s">
        <v>77</v>
      </c>
      <c r="J116" s="15" t="s">
        <v>78</v>
      </c>
      <c r="K116" s="15" t="s">
        <v>79</v>
      </c>
      <c r="L116" s="15" t="s">
        <v>98</v>
      </c>
      <c r="M116" s="15" t="s">
        <v>80</v>
      </c>
      <c r="N116" s="17">
        <v>1.65</v>
      </c>
      <c r="O116" s="18"/>
      <c r="P116" s="22">
        <f t="shared" si="198"/>
        <v>360</v>
      </c>
      <c r="Q116" s="22">
        <f t="shared" si="199"/>
        <v>594</v>
      </c>
      <c r="R116" s="22">
        <f t="shared" si="200"/>
        <v>148500</v>
      </c>
      <c r="S116" s="22">
        <f t="shared" si="201"/>
        <v>51000</v>
      </c>
      <c r="T116" s="23">
        <v>30000</v>
      </c>
      <c r="U116" s="23">
        <f t="shared" si="202"/>
        <v>49500</v>
      </c>
      <c r="V116" s="23">
        <v>30000</v>
      </c>
      <c r="W116" s="23">
        <f t="shared" si="203"/>
        <v>49500</v>
      </c>
      <c r="X116" s="23"/>
      <c r="Y116" s="23">
        <v>30000</v>
      </c>
      <c r="Z116" s="23">
        <f t="shared" si="204"/>
        <v>49500</v>
      </c>
      <c r="AA116" s="23">
        <v>30000</v>
      </c>
      <c r="AB116" s="23">
        <f t="shared" si="205"/>
        <v>49500</v>
      </c>
      <c r="AC116" s="23">
        <v>51000</v>
      </c>
      <c r="AD116" s="23">
        <v>30000</v>
      </c>
      <c r="AE116" s="23">
        <f t="shared" si="206"/>
        <v>49500</v>
      </c>
      <c r="AF116" s="23">
        <v>30000</v>
      </c>
      <c r="AG116" s="23">
        <f t="shared" si="207"/>
        <v>49500</v>
      </c>
      <c r="AH116" s="23"/>
      <c r="AI116" s="23">
        <v>30000</v>
      </c>
      <c r="AJ116" s="23">
        <f t="shared" si="208"/>
        <v>49500</v>
      </c>
      <c r="AK116" s="23">
        <v>30000</v>
      </c>
      <c r="AL116" s="23">
        <f t="shared" si="209"/>
        <v>49500</v>
      </c>
      <c r="AM116" s="23">
        <v>102000</v>
      </c>
      <c r="AN116" s="23">
        <v>30000</v>
      </c>
      <c r="AO116" s="23">
        <f t="shared" si="210"/>
        <v>49500</v>
      </c>
      <c r="AP116" s="23">
        <v>30000</v>
      </c>
      <c r="AQ116" s="23">
        <f t="shared" si="211"/>
        <v>49500</v>
      </c>
      <c r="AR116" s="23">
        <v>51000</v>
      </c>
      <c r="AS116" s="23">
        <v>30000</v>
      </c>
      <c r="AT116" s="23">
        <f t="shared" si="212"/>
        <v>49500</v>
      </c>
      <c r="AU116" s="23">
        <v>30000</v>
      </c>
      <c r="AV116" s="23">
        <f t="shared" si="213"/>
        <v>49500</v>
      </c>
      <c r="AW116" s="23"/>
      <c r="AX116" s="24">
        <v>30000</v>
      </c>
      <c r="AY116" s="24">
        <f t="shared" si="214"/>
        <v>49500</v>
      </c>
      <c r="AZ116" s="23">
        <v>30000</v>
      </c>
      <c r="BA116" s="23">
        <f t="shared" si="215"/>
        <v>49500</v>
      </c>
      <c r="BB116" s="23"/>
      <c r="BC116" s="23">
        <v>30000</v>
      </c>
      <c r="BD116" s="23">
        <f t="shared" si="216"/>
        <v>49500</v>
      </c>
      <c r="BE116" s="23">
        <v>30000</v>
      </c>
      <c r="BF116" s="23">
        <f t="shared" si="217"/>
        <v>49500</v>
      </c>
      <c r="BG116" s="23"/>
      <c r="BH116" s="23">
        <v>30000</v>
      </c>
      <c r="BI116" s="23">
        <f t="shared" si="218"/>
        <v>49500</v>
      </c>
      <c r="BJ116" s="23">
        <v>30000</v>
      </c>
      <c r="BK116" s="23">
        <f t="shared" si="219"/>
        <v>49500</v>
      </c>
      <c r="BL116" s="23">
        <v>51000</v>
      </c>
      <c r="BM116" s="23">
        <v>30000</v>
      </c>
      <c r="BN116" s="23">
        <f t="shared" si="220"/>
        <v>49500</v>
      </c>
      <c r="BO116" s="23"/>
      <c r="BP116" s="23">
        <f t="shared" si="221"/>
        <v>0</v>
      </c>
      <c r="BQ116" s="23"/>
      <c r="BR116" s="23">
        <v>30000</v>
      </c>
      <c r="BS116" s="23">
        <f t="shared" si="222"/>
        <v>49500</v>
      </c>
      <c r="BT116" s="23"/>
      <c r="BU116" s="23">
        <f t="shared" si="223"/>
        <v>0</v>
      </c>
      <c r="BV116" s="23"/>
      <c r="BW116" s="23">
        <v>30000</v>
      </c>
      <c r="BX116" s="23">
        <f t="shared" si="224"/>
        <v>49500</v>
      </c>
      <c r="BY116" s="23"/>
      <c r="BZ116" s="23">
        <f t="shared" si="225"/>
        <v>0</v>
      </c>
      <c r="CA116" s="23"/>
      <c r="CB116" s="74"/>
    </row>
    <row r="117" spans="1:80" ht="16" x14ac:dyDescent="0.4">
      <c r="A117" s="15" t="s">
        <v>76</v>
      </c>
      <c r="B117" s="15" t="s">
        <v>262</v>
      </c>
      <c r="C117" s="15" t="s">
        <v>263</v>
      </c>
      <c r="D117" s="15" t="s">
        <v>365</v>
      </c>
      <c r="E117" s="112" t="s">
        <v>366</v>
      </c>
      <c r="F117" s="15" t="s">
        <v>267</v>
      </c>
      <c r="G117" s="15" t="s">
        <v>268</v>
      </c>
      <c r="H117" s="15" t="s">
        <v>114</v>
      </c>
      <c r="I117" s="15" t="s">
        <v>114</v>
      </c>
      <c r="J117" s="15" t="s">
        <v>89</v>
      </c>
      <c r="K117" s="15" t="s">
        <v>115</v>
      </c>
      <c r="L117" s="15" t="s">
        <v>542</v>
      </c>
      <c r="M117" s="15" t="s">
        <v>80</v>
      </c>
      <c r="N117" s="17">
        <v>2.992</v>
      </c>
      <c r="O117" s="18"/>
      <c r="P117" s="22">
        <f t="shared" si="198"/>
        <v>105</v>
      </c>
      <c r="Q117" s="22">
        <f t="shared" si="199"/>
        <v>314.16000000000003</v>
      </c>
      <c r="R117" s="22">
        <f t="shared" si="200"/>
        <v>134640</v>
      </c>
      <c r="S117" s="22">
        <f t="shared" si="201"/>
        <v>100000</v>
      </c>
      <c r="T117" s="23">
        <v>15000</v>
      </c>
      <c r="U117" s="23">
        <f t="shared" si="202"/>
        <v>44880</v>
      </c>
      <c r="V117" s="23">
        <v>15000</v>
      </c>
      <c r="W117" s="23">
        <f t="shared" si="203"/>
        <v>44880</v>
      </c>
      <c r="X117" s="23"/>
      <c r="Y117" s="23">
        <v>15000</v>
      </c>
      <c r="Z117" s="23">
        <f t="shared" si="204"/>
        <v>44880</v>
      </c>
      <c r="AA117" s="23">
        <v>15000</v>
      </c>
      <c r="AB117" s="23">
        <f t="shared" si="205"/>
        <v>44880</v>
      </c>
      <c r="AC117" s="23"/>
      <c r="AD117" s="23">
        <v>15000</v>
      </c>
      <c r="AE117" s="23">
        <f t="shared" si="206"/>
        <v>44880</v>
      </c>
      <c r="AF117" s="23">
        <v>15000</v>
      </c>
      <c r="AG117" s="23">
        <f t="shared" si="207"/>
        <v>44880</v>
      </c>
      <c r="AH117" s="23">
        <v>80000</v>
      </c>
      <c r="AI117" s="23"/>
      <c r="AJ117" s="23">
        <f t="shared" si="208"/>
        <v>0</v>
      </c>
      <c r="AK117" s="23">
        <v>15000</v>
      </c>
      <c r="AL117" s="23">
        <f t="shared" si="209"/>
        <v>44880</v>
      </c>
      <c r="AM117" s="23"/>
      <c r="AN117" s="23"/>
      <c r="AO117" s="23">
        <f t="shared" si="210"/>
        <v>0</v>
      </c>
      <c r="AP117" s="23">
        <v>15000</v>
      </c>
      <c r="AQ117" s="23">
        <f t="shared" si="211"/>
        <v>44880</v>
      </c>
      <c r="AR117" s="23"/>
      <c r="AS117" s="23"/>
      <c r="AT117" s="23">
        <f t="shared" si="212"/>
        <v>0</v>
      </c>
      <c r="AU117" s="23">
        <v>15000</v>
      </c>
      <c r="AV117" s="23">
        <f t="shared" si="213"/>
        <v>44880</v>
      </c>
      <c r="AW117" s="23"/>
      <c r="AX117" s="24"/>
      <c r="AY117" s="24">
        <f t="shared" si="214"/>
        <v>0</v>
      </c>
      <c r="AZ117" s="23">
        <v>15000</v>
      </c>
      <c r="BA117" s="23">
        <f t="shared" si="215"/>
        <v>44880</v>
      </c>
      <c r="BB117" s="73">
        <v>100000</v>
      </c>
      <c r="BC117" s="23"/>
      <c r="BD117" s="23">
        <f t="shared" si="216"/>
        <v>0</v>
      </c>
      <c r="BE117" s="23">
        <v>15000</v>
      </c>
      <c r="BF117" s="23">
        <f t="shared" si="217"/>
        <v>44880</v>
      </c>
      <c r="BG117" s="23"/>
      <c r="BH117" s="23">
        <v>15000</v>
      </c>
      <c r="BI117" s="23">
        <f t="shared" si="218"/>
        <v>44880</v>
      </c>
      <c r="BJ117" s="23">
        <v>15000</v>
      </c>
      <c r="BK117" s="23">
        <f t="shared" si="219"/>
        <v>44880</v>
      </c>
      <c r="BL117" s="23"/>
      <c r="BM117" s="23">
        <v>15000</v>
      </c>
      <c r="BN117" s="23">
        <f t="shared" si="220"/>
        <v>44880</v>
      </c>
      <c r="BO117" s="23"/>
      <c r="BP117" s="23">
        <f t="shared" si="221"/>
        <v>0</v>
      </c>
      <c r="BQ117" s="23"/>
      <c r="BR117" s="23">
        <v>15000</v>
      </c>
      <c r="BS117" s="23">
        <f t="shared" si="222"/>
        <v>44880</v>
      </c>
      <c r="BT117" s="23"/>
      <c r="BU117" s="23">
        <f t="shared" si="223"/>
        <v>0</v>
      </c>
      <c r="BV117" s="23"/>
      <c r="BW117" s="23">
        <v>15000</v>
      </c>
      <c r="BX117" s="23">
        <f t="shared" si="224"/>
        <v>44880</v>
      </c>
      <c r="BY117" s="23"/>
      <c r="BZ117" s="23">
        <f t="shared" si="225"/>
        <v>0</v>
      </c>
      <c r="CA117" s="23"/>
      <c r="CB117" s="15"/>
    </row>
    <row r="118" spans="1:80" ht="16" x14ac:dyDescent="0.4">
      <c r="A118" s="15" t="s">
        <v>76</v>
      </c>
      <c r="B118" s="15" t="s">
        <v>262</v>
      </c>
      <c r="C118" s="15" t="s">
        <v>263</v>
      </c>
      <c r="D118" s="15" t="s">
        <v>365</v>
      </c>
      <c r="E118" s="112" t="s">
        <v>366</v>
      </c>
      <c r="F118" s="15" t="s">
        <v>267</v>
      </c>
      <c r="G118" s="15" t="s">
        <v>268</v>
      </c>
      <c r="H118" s="15" t="s">
        <v>77</v>
      </c>
      <c r="I118" s="15" t="s">
        <v>77</v>
      </c>
      <c r="J118" s="15" t="s">
        <v>78</v>
      </c>
      <c r="K118" s="15" t="s">
        <v>79</v>
      </c>
      <c r="L118" s="15" t="s">
        <v>167</v>
      </c>
      <c r="M118" s="15" t="s">
        <v>80</v>
      </c>
      <c r="N118" s="17">
        <v>1.19</v>
      </c>
      <c r="O118" s="72">
        <v>27000</v>
      </c>
      <c r="P118" s="22">
        <f t="shared" si="198"/>
        <v>120</v>
      </c>
      <c r="Q118" s="22">
        <f t="shared" si="199"/>
        <v>142.80000000000001</v>
      </c>
      <c r="R118" s="22">
        <f t="shared" si="200"/>
        <v>35700</v>
      </c>
      <c r="S118" s="22">
        <f t="shared" si="201"/>
        <v>276000</v>
      </c>
      <c r="T118" s="23">
        <v>10000</v>
      </c>
      <c r="U118" s="23">
        <f t="shared" si="202"/>
        <v>11900</v>
      </c>
      <c r="V118" s="23">
        <v>10000</v>
      </c>
      <c r="W118" s="23">
        <f t="shared" si="203"/>
        <v>11900</v>
      </c>
      <c r="X118" s="23"/>
      <c r="Y118" s="23">
        <v>10000</v>
      </c>
      <c r="Z118" s="23">
        <f t="shared" si="204"/>
        <v>11900</v>
      </c>
      <c r="AA118" s="23">
        <v>10000</v>
      </c>
      <c r="AB118" s="23">
        <f t="shared" si="205"/>
        <v>11900</v>
      </c>
      <c r="AC118" s="23">
        <v>51000</v>
      </c>
      <c r="AD118" s="23">
        <v>10000</v>
      </c>
      <c r="AE118" s="23">
        <f t="shared" si="206"/>
        <v>11900</v>
      </c>
      <c r="AF118" s="23">
        <v>10000</v>
      </c>
      <c r="AG118" s="23">
        <f t="shared" si="207"/>
        <v>11900</v>
      </c>
      <c r="AH118" s="23"/>
      <c r="AI118" s="23">
        <v>10000</v>
      </c>
      <c r="AJ118" s="23">
        <f t="shared" si="208"/>
        <v>11900</v>
      </c>
      <c r="AK118" s="23">
        <v>10000</v>
      </c>
      <c r="AL118" s="23">
        <f t="shared" si="209"/>
        <v>11900</v>
      </c>
      <c r="AM118" s="23"/>
      <c r="AN118" s="23">
        <v>10000</v>
      </c>
      <c r="AO118" s="23">
        <f t="shared" si="210"/>
        <v>11900</v>
      </c>
      <c r="AP118" s="23">
        <v>10000</v>
      </c>
      <c r="AQ118" s="23">
        <f t="shared" si="211"/>
        <v>11900</v>
      </c>
      <c r="AR118" s="26">
        <v>51000</v>
      </c>
      <c r="AS118" s="23">
        <v>10000</v>
      </c>
      <c r="AT118" s="23">
        <f t="shared" si="212"/>
        <v>11900</v>
      </c>
      <c r="AU118" s="23">
        <v>10000</v>
      </c>
      <c r="AV118" s="23">
        <f t="shared" si="213"/>
        <v>11900</v>
      </c>
      <c r="AW118" s="106">
        <v>102000</v>
      </c>
      <c r="AX118" s="24">
        <v>10000</v>
      </c>
      <c r="AY118" s="24">
        <f t="shared" si="214"/>
        <v>11900</v>
      </c>
      <c r="AZ118" s="23">
        <v>10000</v>
      </c>
      <c r="BA118" s="23">
        <f t="shared" si="215"/>
        <v>11900</v>
      </c>
      <c r="BB118" s="73">
        <v>99000</v>
      </c>
      <c r="BC118" s="23">
        <v>10000</v>
      </c>
      <c r="BD118" s="23">
        <f t="shared" si="216"/>
        <v>11900</v>
      </c>
      <c r="BE118" s="23">
        <v>10000</v>
      </c>
      <c r="BF118" s="23">
        <f t="shared" si="217"/>
        <v>11900</v>
      </c>
      <c r="BG118" s="23"/>
      <c r="BH118" s="23">
        <v>10000</v>
      </c>
      <c r="BI118" s="23">
        <f t="shared" si="218"/>
        <v>11900</v>
      </c>
      <c r="BJ118" s="23">
        <v>10000</v>
      </c>
      <c r="BK118" s="23">
        <f t="shared" si="219"/>
        <v>11900</v>
      </c>
      <c r="BL118" s="23">
        <v>126000</v>
      </c>
      <c r="BM118" s="23">
        <v>10000</v>
      </c>
      <c r="BN118" s="23">
        <f t="shared" si="220"/>
        <v>11900</v>
      </c>
      <c r="BO118" s="23"/>
      <c r="BP118" s="23">
        <f t="shared" si="221"/>
        <v>0</v>
      </c>
      <c r="BQ118" s="23">
        <v>51000</v>
      </c>
      <c r="BR118" s="23">
        <v>10000</v>
      </c>
      <c r="BS118" s="23">
        <f t="shared" si="222"/>
        <v>11900</v>
      </c>
      <c r="BT118" s="23"/>
      <c r="BU118" s="23">
        <f t="shared" si="223"/>
        <v>0</v>
      </c>
      <c r="BV118" s="23"/>
      <c r="BW118" s="23">
        <v>10000</v>
      </c>
      <c r="BX118" s="23">
        <f t="shared" si="224"/>
        <v>11900</v>
      </c>
      <c r="BY118" s="23"/>
      <c r="BZ118" s="23">
        <f t="shared" si="225"/>
        <v>0</v>
      </c>
      <c r="CA118" s="23"/>
      <c r="CB118" s="15"/>
    </row>
    <row r="119" spans="1:80" ht="16" x14ac:dyDescent="0.4">
      <c r="A119" s="15" t="s">
        <v>76</v>
      </c>
      <c r="B119" s="15" t="s">
        <v>262</v>
      </c>
      <c r="C119" s="15" t="s">
        <v>263</v>
      </c>
      <c r="D119" s="15" t="s">
        <v>365</v>
      </c>
      <c r="E119" s="112" t="s">
        <v>366</v>
      </c>
      <c r="F119" s="15" t="s">
        <v>267</v>
      </c>
      <c r="G119" s="15" t="s">
        <v>268</v>
      </c>
      <c r="H119" s="15" t="s">
        <v>114</v>
      </c>
      <c r="I119" s="15" t="s">
        <v>114</v>
      </c>
      <c r="J119" s="15" t="s">
        <v>89</v>
      </c>
      <c r="K119" s="15" t="s">
        <v>115</v>
      </c>
      <c r="L119" s="15" t="s">
        <v>543</v>
      </c>
      <c r="M119" s="15" t="s">
        <v>80</v>
      </c>
      <c r="N119" s="17">
        <v>1.21</v>
      </c>
      <c r="O119" s="18"/>
      <c r="P119" s="22">
        <f t="shared" si="198"/>
        <v>36</v>
      </c>
      <c r="Q119" s="22">
        <f t="shared" si="199"/>
        <v>43.56</v>
      </c>
      <c r="R119" s="22">
        <f t="shared" si="200"/>
        <v>10890</v>
      </c>
      <c r="S119" s="22">
        <f t="shared" si="201"/>
        <v>0</v>
      </c>
      <c r="T119" s="23">
        <v>3000</v>
      </c>
      <c r="U119" s="23">
        <f t="shared" si="202"/>
        <v>3630</v>
      </c>
      <c r="V119" s="23">
        <v>3000</v>
      </c>
      <c r="W119" s="23">
        <f t="shared" si="203"/>
        <v>3630</v>
      </c>
      <c r="X119" s="23"/>
      <c r="Y119" s="23">
        <v>3000</v>
      </c>
      <c r="Z119" s="23">
        <f t="shared" si="204"/>
        <v>3630</v>
      </c>
      <c r="AA119" s="23">
        <v>3000</v>
      </c>
      <c r="AB119" s="23">
        <f t="shared" si="205"/>
        <v>3630</v>
      </c>
      <c r="AC119" s="23"/>
      <c r="AD119" s="23">
        <v>3000</v>
      </c>
      <c r="AE119" s="23">
        <f t="shared" si="206"/>
        <v>3630</v>
      </c>
      <c r="AF119" s="23">
        <v>3000</v>
      </c>
      <c r="AG119" s="23">
        <f t="shared" si="207"/>
        <v>3630</v>
      </c>
      <c r="AH119" s="23"/>
      <c r="AI119" s="23">
        <v>3000</v>
      </c>
      <c r="AJ119" s="23">
        <f t="shared" si="208"/>
        <v>3630</v>
      </c>
      <c r="AK119" s="23">
        <v>3000</v>
      </c>
      <c r="AL119" s="23">
        <f t="shared" si="209"/>
        <v>3630</v>
      </c>
      <c r="AM119" s="23"/>
      <c r="AN119" s="23">
        <v>3000</v>
      </c>
      <c r="AO119" s="23">
        <f t="shared" si="210"/>
        <v>3630</v>
      </c>
      <c r="AP119" s="23">
        <v>3000</v>
      </c>
      <c r="AQ119" s="23">
        <f t="shared" si="211"/>
        <v>3630</v>
      </c>
      <c r="AR119" s="23"/>
      <c r="AS119" s="23">
        <v>3000</v>
      </c>
      <c r="AT119" s="23">
        <f t="shared" si="212"/>
        <v>3630</v>
      </c>
      <c r="AU119" s="23">
        <v>3000</v>
      </c>
      <c r="AV119" s="23">
        <f t="shared" si="213"/>
        <v>3630</v>
      </c>
      <c r="AW119" s="23"/>
      <c r="AX119" s="24">
        <v>3000</v>
      </c>
      <c r="AY119" s="24">
        <f t="shared" si="214"/>
        <v>3630</v>
      </c>
      <c r="AZ119" s="23">
        <v>3000</v>
      </c>
      <c r="BA119" s="23">
        <f t="shared" si="215"/>
        <v>3630</v>
      </c>
      <c r="BB119" s="23"/>
      <c r="BC119" s="23">
        <v>3000</v>
      </c>
      <c r="BD119" s="23">
        <f t="shared" si="216"/>
        <v>3630</v>
      </c>
      <c r="BE119" s="23">
        <v>3000</v>
      </c>
      <c r="BF119" s="23">
        <f t="shared" si="217"/>
        <v>3630</v>
      </c>
      <c r="BG119" s="23"/>
      <c r="BH119" s="23">
        <v>3000</v>
      </c>
      <c r="BI119" s="23">
        <f t="shared" si="218"/>
        <v>3630</v>
      </c>
      <c r="BJ119" s="23">
        <v>3000</v>
      </c>
      <c r="BK119" s="23">
        <f t="shared" si="219"/>
        <v>3630</v>
      </c>
      <c r="BL119" s="23"/>
      <c r="BM119" s="23">
        <v>3000</v>
      </c>
      <c r="BN119" s="23">
        <f t="shared" si="220"/>
        <v>3630</v>
      </c>
      <c r="BO119" s="23"/>
      <c r="BP119" s="23">
        <f t="shared" si="221"/>
        <v>0</v>
      </c>
      <c r="BQ119" s="23"/>
      <c r="BR119" s="23">
        <v>3000</v>
      </c>
      <c r="BS119" s="23">
        <f t="shared" si="222"/>
        <v>3630</v>
      </c>
      <c r="BT119" s="23"/>
      <c r="BU119" s="23">
        <f t="shared" si="223"/>
        <v>0</v>
      </c>
      <c r="BV119" s="23"/>
      <c r="BW119" s="23">
        <v>3000</v>
      </c>
      <c r="BX119" s="23">
        <f t="shared" si="224"/>
        <v>3630</v>
      </c>
      <c r="BY119" s="23"/>
      <c r="BZ119" s="23">
        <f t="shared" si="225"/>
        <v>0</v>
      </c>
      <c r="CA119" s="23"/>
      <c r="CB119" s="15"/>
    </row>
    <row r="120" spans="1:80" ht="16" x14ac:dyDescent="0.4">
      <c r="A120" s="15" t="s">
        <v>76</v>
      </c>
      <c r="B120" s="15" t="s">
        <v>262</v>
      </c>
      <c r="C120" s="15" t="s">
        <v>263</v>
      </c>
      <c r="D120" s="15" t="s">
        <v>365</v>
      </c>
      <c r="E120" s="112" t="s">
        <v>366</v>
      </c>
      <c r="F120" s="15" t="s">
        <v>267</v>
      </c>
      <c r="G120" s="15" t="s">
        <v>268</v>
      </c>
      <c r="H120" s="15" t="s">
        <v>114</v>
      </c>
      <c r="I120" s="15" t="s">
        <v>114</v>
      </c>
      <c r="J120" s="15" t="s">
        <v>89</v>
      </c>
      <c r="K120" s="15" t="s">
        <v>115</v>
      </c>
      <c r="L120" s="15" t="s">
        <v>452</v>
      </c>
      <c r="M120" s="15"/>
      <c r="N120" s="17"/>
      <c r="O120" s="72">
        <v>16000</v>
      </c>
      <c r="P120" s="22">
        <f t="shared" si="198"/>
        <v>0</v>
      </c>
      <c r="Q120" s="22">
        <f t="shared" si="199"/>
        <v>0</v>
      </c>
      <c r="R120" s="22">
        <f t="shared" si="200"/>
        <v>0</v>
      </c>
      <c r="S120" s="22">
        <f t="shared" si="201"/>
        <v>0</v>
      </c>
      <c r="T120" s="23"/>
      <c r="U120" s="23">
        <f t="shared" si="202"/>
        <v>0</v>
      </c>
      <c r="V120" s="23"/>
      <c r="W120" s="23">
        <f t="shared" si="203"/>
        <v>0</v>
      </c>
      <c r="X120" s="23"/>
      <c r="Y120" s="23"/>
      <c r="Z120" s="23">
        <f t="shared" si="204"/>
        <v>0</v>
      </c>
      <c r="AA120" s="23"/>
      <c r="AB120" s="23">
        <f t="shared" si="205"/>
        <v>0</v>
      </c>
      <c r="AC120" s="23">
        <v>3000</v>
      </c>
      <c r="AD120" s="23"/>
      <c r="AE120" s="23">
        <f t="shared" si="206"/>
        <v>0</v>
      </c>
      <c r="AF120" s="23"/>
      <c r="AG120" s="23">
        <f t="shared" si="207"/>
        <v>0</v>
      </c>
      <c r="AH120" s="23">
        <v>3000</v>
      </c>
      <c r="AI120" s="23"/>
      <c r="AJ120" s="23">
        <f t="shared" si="208"/>
        <v>0</v>
      </c>
      <c r="AK120" s="23"/>
      <c r="AL120" s="23">
        <f t="shared" si="209"/>
        <v>0</v>
      </c>
      <c r="AM120" s="23">
        <v>13000</v>
      </c>
      <c r="AN120" s="23"/>
      <c r="AO120" s="23">
        <f t="shared" si="210"/>
        <v>0</v>
      </c>
      <c r="AP120" s="23"/>
      <c r="AQ120" s="23">
        <f t="shared" si="211"/>
        <v>0</v>
      </c>
      <c r="AR120" s="23">
        <v>3000</v>
      </c>
      <c r="AS120" s="23"/>
      <c r="AT120" s="23">
        <f t="shared" si="212"/>
        <v>0</v>
      </c>
      <c r="AU120" s="23"/>
      <c r="AV120" s="23">
        <f t="shared" si="213"/>
        <v>0</v>
      </c>
      <c r="AW120" s="27">
        <v>10000</v>
      </c>
      <c r="AX120" s="24"/>
      <c r="AY120" s="24">
        <f t="shared" si="214"/>
        <v>0</v>
      </c>
      <c r="AZ120" s="23"/>
      <c r="BA120" s="23">
        <f t="shared" si="215"/>
        <v>0</v>
      </c>
      <c r="BB120" s="23"/>
      <c r="BC120" s="23"/>
      <c r="BD120" s="23">
        <f t="shared" si="216"/>
        <v>0</v>
      </c>
      <c r="BE120" s="23"/>
      <c r="BF120" s="23">
        <f t="shared" si="217"/>
        <v>0</v>
      </c>
      <c r="BG120" s="23"/>
      <c r="BH120" s="23"/>
      <c r="BI120" s="23">
        <f t="shared" si="218"/>
        <v>0</v>
      </c>
      <c r="BJ120" s="23"/>
      <c r="BK120" s="23">
        <f t="shared" si="219"/>
        <v>0</v>
      </c>
      <c r="BL120" s="23"/>
      <c r="BM120" s="23"/>
      <c r="BN120" s="23">
        <f t="shared" si="220"/>
        <v>0</v>
      </c>
      <c r="BO120" s="23"/>
      <c r="BP120" s="23">
        <f t="shared" si="221"/>
        <v>0</v>
      </c>
      <c r="BQ120" s="23"/>
      <c r="BR120" s="23"/>
      <c r="BS120" s="23">
        <f t="shared" si="222"/>
        <v>0</v>
      </c>
      <c r="BT120" s="23"/>
      <c r="BU120" s="23">
        <f t="shared" si="223"/>
        <v>0</v>
      </c>
      <c r="BV120" s="23"/>
      <c r="BW120" s="23"/>
      <c r="BX120" s="23">
        <f t="shared" si="224"/>
        <v>0</v>
      </c>
      <c r="BY120" s="23"/>
      <c r="BZ120" s="23">
        <f t="shared" si="225"/>
        <v>0</v>
      </c>
      <c r="CA120" s="23"/>
      <c r="CB120" s="57" t="s">
        <v>171</v>
      </c>
    </row>
    <row r="121" spans="1:80" ht="16" x14ac:dyDescent="0.4">
      <c r="A121" s="15" t="s">
        <v>76</v>
      </c>
      <c r="B121" s="15" t="s">
        <v>262</v>
      </c>
      <c r="C121" s="15" t="s">
        <v>263</v>
      </c>
      <c r="D121" s="15" t="s">
        <v>365</v>
      </c>
      <c r="E121" s="112" t="s">
        <v>366</v>
      </c>
      <c r="F121" s="15" t="s">
        <v>267</v>
      </c>
      <c r="G121" s="15" t="s">
        <v>268</v>
      </c>
      <c r="H121" s="15" t="s">
        <v>114</v>
      </c>
      <c r="I121" s="15" t="s">
        <v>114</v>
      </c>
      <c r="J121" s="15" t="s">
        <v>89</v>
      </c>
      <c r="K121" s="15" t="s">
        <v>115</v>
      </c>
      <c r="L121" s="15" t="s">
        <v>544</v>
      </c>
      <c r="M121" s="15"/>
      <c r="N121" s="17"/>
      <c r="O121" s="72">
        <v>4000</v>
      </c>
      <c r="P121" s="22">
        <f t="shared" si="198"/>
        <v>0</v>
      </c>
      <c r="Q121" s="22">
        <f t="shared" si="199"/>
        <v>0</v>
      </c>
      <c r="R121" s="22">
        <f t="shared" si="200"/>
        <v>0</v>
      </c>
      <c r="S121" s="22">
        <f t="shared" si="201"/>
        <v>0</v>
      </c>
      <c r="T121" s="23"/>
      <c r="U121" s="23">
        <f t="shared" si="202"/>
        <v>0</v>
      </c>
      <c r="V121" s="23"/>
      <c r="W121" s="23">
        <f t="shared" si="203"/>
        <v>0</v>
      </c>
      <c r="X121" s="23"/>
      <c r="Y121" s="23"/>
      <c r="Z121" s="23">
        <f t="shared" si="204"/>
        <v>0</v>
      </c>
      <c r="AA121" s="23"/>
      <c r="AB121" s="23">
        <f t="shared" si="205"/>
        <v>0</v>
      </c>
      <c r="AC121" s="23"/>
      <c r="AD121" s="23"/>
      <c r="AE121" s="23">
        <f t="shared" si="206"/>
        <v>0</v>
      </c>
      <c r="AF121" s="23"/>
      <c r="AG121" s="23">
        <f t="shared" si="207"/>
        <v>0</v>
      </c>
      <c r="AH121" s="23"/>
      <c r="AI121" s="23"/>
      <c r="AJ121" s="23">
        <f t="shared" si="208"/>
        <v>0</v>
      </c>
      <c r="AK121" s="23"/>
      <c r="AL121" s="23">
        <f t="shared" si="209"/>
        <v>0</v>
      </c>
      <c r="AM121" s="23">
        <v>4000</v>
      </c>
      <c r="AN121" s="23"/>
      <c r="AO121" s="23">
        <f t="shared" si="210"/>
        <v>0</v>
      </c>
      <c r="AP121" s="23"/>
      <c r="AQ121" s="23">
        <f t="shared" si="211"/>
        <v>0</v>
      </c>
      <c r="AR121" s="23"/>
      <c r="AS121" s="23"/>
      <c r="AT121" s="23">
        <f t="shared" si="212"/>
        <v>0</v>
      </c>
      <c r="AU121" s="23"/>
      <c r="AV121" s="23">
        <f t="shared" si="213"/>
        <v>0</v>
      </c>
      <c r="AW121" s="23"/>
      <c r="AX121" s="24"/>
      <c r="AY121" s="24">
        <f t="shared" si="214"/>
        <v>0</v>
      </c>
      <c r="AZ121" s="23"/>
      <c r="BA121" s="23">
        <f t="shared" si="215"/>
        <v>0</v>
      </c>
      <c r="BB121" s="23"/>
      <c r="BC121" s="23"/>
      <c r="BD121" s="23">
        <f t="shared" si="216"/>
        <v>0</v>
      </c>
      <c r="BE121" s="23"/>
      <c r="BF121" s="23">
        <f t="shared" si="217"/>
        <v>0</v>
      </c>
      <c r="BG121" s="23"/>
      <c r="BH121" s="23"/>
      <c r="BI121" s="23">
        <f t="shared" si="218"/>
        <v>0</v>
      </c>
      <c r="BJ121" s="23"/>
      <c r="BK121" s="23">
        <f t="shared" si="219"/>
        <v>0</v>
      </c>
      <c r="BL121" s="23"/>
      <c r="BM121" s="23"/>
      <c r="BN121" s="23">
        <f t="shared" si="220"/>
        <v>0</v>
      </c>
      <c r="BO121" s="23"/>
      <c r="BP121" s="23">
        <f t="shared" si="221"/>
        <v>0</v>
      </c>
      <c r="BQ121" s="23"/>
      <c r="BR121" s="23"/>
      <c r="BS121" s="23">
        <f t="shared" si="222"/>
        <v>0</v>
      </c>
      <c r="BT121" s="23"/>
      <c r="BU121" s="23">
        <f t="shared" si="223"/>
        <v>0</v>
      </c>
      <c r="BV121" s="23"/>
      <c r="BW121" s="23"/>
      <c r="BX121" s="23">
        <f t="shared" si="224"/>
        <v>0</v>
      </c>
      <c r="BY121" s="23"/>
      <c r="BZ121" s="23">
        <f t="shared" si="225"/>
        <v>0</v>
      </c>
      <c r="CA121" s="23"/>
      <c r="CB121" s="15"/>
    </row>
    <row r="122" spans="1:80" ht="16" x14ac:dyDescent="0.4">
      <c r="A122" s="15" t="s">
        <v>76</v>
      </c>
      <c r="B122" s="15" t="s">
        <v>262</v>
      </c>
      <c r="C122" s="15" t="s">
        <v>263</v>
      </c>
      <c r="D122" s="15" t="s">
        <v>545</v>
      </c>
      <c r="E122" s="112" t="s">
        <v>546</v>
      </c>
      <c r="F122" s="15" t="s">
        <v>267</v>
      </c>
      <c r="G122" s="15" t="s">
        <v>291</v>
      </c>
      <c r="H122" s="15" t="s">
        <v>94</v>
      </c>
      <c r="I122" s="15" t="s">
        <v>94</v>
      </c>
      <c r="J122" s="15" t="s">
        <v>78</v>
      </c>
      <c r="K122" s="15" t="s">
        <v>85</v>
      </c>
      <c r="L122" s="15" t="s">
        <v>547</v>
      </c>
      <c r="M122" s="15" t="s">
        <v>80</v>
      </c>
      <c r="N122" s="17">
        <v>37.479999999999997</v>
      </c>
      <c r="O122" s="18"/>
      <c r="P122" s="22">
        <f t="shared" ref="P122:P134" si="226">+(T122+Y122+AD122+AI122+AN122+AS122+AX122+BC122+BH122+BM122+BR122+BW122)/1000</f>
        <v>3</v>
      </c>
      <c r="Q122" s="22">
        <f t="shared" ref="Q122:Q134" si="227">+(U122+Z122+AE122+AJ122+AO122+AT122+AY122+BD122+BI122+BN122+BS122+BX122)/1000</f>
        <v>112.43999999999998</v>
      </c>
      <c r="R122" s="22">
        <f t="shared" ref="R122:R134" si="228">+(+BA122+BF122+BK122+BP122+BU122+BZ122)</f>
        <v>0</v>
      </c>
      <c r="S122" s="22">
        <f t="shared" ref="S122:S134" si="229">+(+BB122+BG122+BL122+BQ122+BV122+CA122)</f>
        <v>0</v>
      </c>
      <c r="T122" s="23"/>
      <c r="U122" s="23">
        <f t="shared" ref="U122:U134" si="230">T122*N122</f>
        <v>0</v>
      </c>
      <c r="V122" s="23"/>
      <c r="W122" s="23">
        <f t="shared" ref="W122:W134" si="231">V122*N122</f>
        <v>0</v>
      </c>
      <c r="X122" s="23"/>
      <c r="Y122" s="23"/>
      <c r="Z122" s="23">
        <f t="shared" ref="Z122:Z134" si="232">Y122*N122</f>
        <v>0</v>
      </c>
      <c r="AA122" s="23"/>
      <c r="AB122" s="23">
        <f t="shared" ref="AB122:AB134" si="233">AA122*N122</f>
        <v>0</v>
      </c>
      <c r="AC122" s="23"/>
      <c r="AD122" s="23"/>
      <c r="AE122" s="23">
        <f t="shared" ref="AE122:AE134" si="234">AD122*N122</f>
        <v>0</v>
      </c>
      <c r="AF122" s="23"/>
      <c r="AG122" s="23">
        <f t="shared" ref="AG122:AG134" si="235">AF122*N122</f>
        <v>0</v>
      </c>
      <c r="AH122" s="23"/>
      <c r="AI122" s="23"/>
      <c r="AJ122" s="23">
        <f t="shared" ref="AJ122:AJ134" si="236">AI122*N122</f>
        <v>0</v>
      </c>
      <c r="AK122" s="23"/>
      <c r="AL122" s="23">
        <f t="shared" ref="AL122:AL134" si="237">AK122*N122</f>
        <v>0</v>
      </c>
      <c r="AM122" s="23"/>
      <c r="AN122" s="23"/>
      <c r="AO122" s="23">
        <f t="shared" ref="AO122:AO134" si="238">AN122*N122</f>
        <v>0</v>
      </c>
      <c r="AP122" s="23"/>
      <c r="AQ122" s="23">
        <f t="shared" ref="AQ122:AQ134" si="239">AP122*N122</f>
        <v>0</v>
      </c>
      <c r="AR122" s="23"/>
      <c r="AS122" s="23"/>
      <c r="AT122" s="23">
        <f t="shared" ref="AT122:AT134" si="240">AS122*N122</f>
        <v>0</v>
      </c>
      <c r="AU122" s="23"/>
      <c r="AV122" s="23">
        <f t="shared" ref="AV122:AV134" si="241">AU122*N122</f>
        <v>0</v>
      </c>
      <c r="AW122" s="23"/>
      <c r="AX122" s="24"/>
      <c r="AY122" s="24">
        <f t="shared" ref="AY122:AY134" si="242">AX122*N122</f>
        <v>0</v>
      </c>
      <c r="AZ122" s="23"/>
      <c r="BA122" s="23">
        <f t="shared" ref="BA122:BA134" si="243">AZ122*N122</f>
        <v>0</v>
      </c>
      <c r="BB122" s="23"/>
      <c r="BC122" s="23"/>
      <c r="BD122" s="23">
        <f t="shared" ref="BD122:BD134" si="244">BC122*N122</f>
        <v>0</v>
      </c>
      <c r="BE122" s="23"/>
      <c r="BF122" s="23">
        <f t="shared" ref="BF122:BF134" si="245">BE122*N122</f>
        <v>0</v>
      </c>
      <c r="BG122" s="23"/>
      <c r="BH122" s="23"/>
      <c r="BI122" s="23">
        <f t="shared" ref="BI122:BI134" si="246">BH122*N122</f>
        <v>0</v>
      </c>
      <c r="BJ122" s="23"/>
      <c r="BK122" s="23">
        <f t="shared" ref="BK122:BK134" si="247">BJ122*N122</f>
        <v>0</v>
      </c>
      <c r="BL122" s="23"/>
      <c r="BM122" s="23"/>
      <c r="BN122" s="23">
        <f t="shared" ref="BN122:BN134" si="248">BM122*N122</f>
        <v>0</v>
      </c>
      <c r="BO122" s="23"/>
      <c r="BP122" s="23">
        <f t="shared" ref="BP122:BP134" si="249">BO122*N122</f>
        <v>0</v>
      </c>
      <c r="BQ122" s="23"/>
      <c r="BR122" s="23"/>
      <c r="BS122" s="23">
        <f t="shared" ref="BS122:BS134" si="250">BR122*N122</f>
        <v>0</v>
      </c>
      <c r="BT122" s="23"/>
      <c r="BU122" s="23">
        <f t="shared" ref="BU122:BU134" si="251">BT122*N122</f>
        <v>0</v>
      </c>
      <c r="BV122" s="23"/>
      <c r="BW122" s="23">
        <v>3000</v>
      </c>
      <c r="BX122" s="23">
        <f t="shared" ref="BX122:BX134" si="252">BW122*N122</f>
        <v>112439.99999999999</v>
      </c>
      <c r="BY122" s="23"/>
      <c r="BZ122" s="23">
        <f t="shared" ref="BZ122:BZ134" si="253">BY122*N122</f>
        <v>0</v>
      </c>
      <c r="CA122" s="23"/>
      <c r="CB122" s="15"/>
    </row>
    <row r="123" spans="1:80" ht="16" x14ac:dyDescent="0.4">
      <c r="A123" s="15" t="s">
        <v>76</v>
      </c>
      <c r="B123" s="15" t="s">
        <v>262</v>
      </c>
      <c r="C123" s="15" t="s">
        <v>263</v>
      </c>
      <c r="D123" s="15" t="s">
        <v>398</v>
      </c>
      <c r="E123" s="112" t="s">
        <v>399</v>
      </c>
      <c r="F123" s="15" t="s">
        <v>267</v>
      </c>
      <c r="G123" s="15" t="s">
        <v>283</v>
      </c>
      <c r="H123" s="15" t="s">
        <v>82</v>
      </c>
      <c r="I123" s="15" t="s">
        <v>82</v>
      </c>
      <c r="J123" s="15" t="s">
        <v>112</v>
      </c>
      <c r="K123" s="15" t="s">
        <v>81</v>
      </c>
      <c r="L123" s="15" t="s">
        <v>548</v>
      </c>
      <c r="M123" s="15" t="s">
        <v>80</v>
      </c>
      <c r="N123" s="17">
        <v>525.76</v>
      </c>
      <c r="O123" s="72">
        <v>260</v>
      </c>
      <c r="P123" s="22">
        <f t="shared" si="226"/>
        <v>4.4000000000000004</v>
      </c>
      <c r="Q123" s="22">
        <f t="shared" si="227"/>
        <v>2313.3440000000001</v>
      </c>
      <c r="R123" s="22">
        <f t="shared" si="228"/>
        <v>315456</v>
      </c>
      <c r="S123" s="22">
        <f t="shared" si="229"/>
        <v>0</v>
      </c>
      <c r="T123" s="23">
        <v>400</v>
      </c>
      <c r="U123" s="23">
        <f t="shared" si="230"/>
        <v>210304</v>
      </c>
      <c r="V123" s="23">
        <v>200</v>
      </c>
      <c r="W123" s="23">
        <f t="shared" si="231"/>
        <v>105152</v>
      </c>
      <c r="X123" s="23"/>
      <c r="Y123" s="23">
        <v>400</v>
      </c>
      <c r="Z123" s="23">
        <f t="shared" si="232"/>
        <v>210304</v>
      </c>
      <c r="AA123" s="23">
        <v>200</v>
      </c>
      <c r="AB123" s="23">
        <f t="shared" si="233"/>
        <v>105152</v>
      </c>
      <c r="AC123" s="23"/>
      <c r="AD123" s="23">
        <v>400</v>
      </c>
      <c r="AE123" s="23">
        <f t="shared" si="234"/>
        <v>210304</v>
      </c>
      <c r="AF123" s="23">
        <v>200</v>
      </c>
      <c r="AG123" s="23">
        <f t="shared" si="235"/>
        <v>105152</v>
      </c>
      <c r="AH123" s="23"/>
      <c r="AI123" s="23">
        <v>400</v>
      </c>
      <c r="AJ123" s="23">
        <f t="shared" si="236"/>
        <v>210304</v>
      </c>
      <c r="AK123" s="23">
        <v>200</v>
      </c>
      <c r="AL123" s="23">
        <f t="shared" si="237"/>
        <v>105152</v>
      </c>
      <c r="AM123" s="23"/>
      <c r="AN123" s="23">
        <v>400</v>
      </c>
      <c r="AO123" s="23">
        <f t="shared" si="238"/>
        <v>210304</v>
      </c>
      <c r="AP123" s="23">
        <v>200</v>
      </c>
      <c r="AQ123" s="23">
        <f t="shared" si="239"/>
        <v>105152</v>
      </c>
      <c r="AR123" s="23"/>
      <c r="AS123" s="23">
        <v>400</v>
      </c>
      <c r="AT123" s="23">
        <f t="shared" si="240"/>
        <v>210304</v>
      </c>
      <c r="AU123" s="23">
        <v>200</v>
      </c>
      <c r="AV123" s="23">
        <f t="shared" si="241"/>
        <v>105152</v>
      </c>
      <c r="AW123" s="23"/>
      <c r="AX123" s="24">
        <v>400</v>
      </c>
      <c r="AY123" s="24">
        <f t="shared" si="242"/>
        <v>210304</v>
      </c>
      <c r="AZ123" s="23">
        <v>200</v>
      </c>
      <c r="BA123" s="23">
        <f t="shared" si="243"/>
        <v>105152</v>
      </c>
      <c r="BB123" s="23"/>
      <c r="BC123" s="23">
        <v>400</v>
      </c>
      <c r="BD123" s="23">
        <f t="shared" si="244"/>
        <v>210304</v>
      </c>
      <c r="BE123" s="23">
        <v>200</v>
      </c>
      <c r="BF123" s="23">
        <f t="shared" si="245"/>
        <v>105152</v>
      </c>
      <c r="BG123" s="23"/>
      <c r="BH123" s="23">
        <v>400</v>
      </c>
      <c r="BI123" s="23">
        <f t="shared" si="246"/>
        <v>210304</v>
      </c>
      <c r="BJ123" s="23">
        <v>200</v>
      </c>
      <c r="BK123" s="23">
        <f t="shared" si="247"/>
        <v>105152</v>
      </c>
      <c r="BL123" s="23"/>
      <c r="BM123" s="23">
        <v>400</v>
      </c>
      <c r="BN123" s="23">
        <f t="shared" si="248"/>
        <v>210304</v>
      </c>
      <c r="BO123" s="23"/>
      <c r="BP123" s="23">
        <f t="shared" si="249"/>
        <v>0</v>
      </c>
      <c r="BQ123" s="23"/>
      <c r="BR123" s="23">
        <v>400</v>
      </c>
      <c r="BS123" s="23">
        <f t="shared" si="250"/>
        <v>210304</v>
      </c>
      <c r="BT123" s="23"/>
      <c r="BU123" s="23">
        <f t="shared" si="251"/>
        <v>0</v>
      </c>
      <c r="BV123" s="23"/>
      <c r="BW123" s="23"/>
      <c r="BX123" s="23">
        <f t="shared" si="252"/>
        <v>0</v>
      </c>
      <c r="BY123" s="23"/>
      <c r="BZ123" s="23">
        <f t="shared" si="253"/>
        <v>0</v>
      </c>
      <c r="CA123" s="23"/>
      <c r="CB123" s="15"/>
    </row>
    <row r="124" spans="1:80" ht="16" x14ac:dyDescent="0.4">
      <c r="A124" s="15" t="s">
        <v>76</v>
      </c>
      <c r="B124" s="15" t="s">
        <v>262</v>
      </c>
      <c r="C124" s="15" t="s">
        <v>263</v>
      </c>
      <c r="D124" s="15" t="s">
        <v>398</v>
      </c>
      <c r="E124" s="112" t="s">
        <v>399</v>
      </c>
      <c r="F124" s="15" t="s">
        <v>267</v>
      </c>
      <c r="G124" s="15" t="s">
        <v>283</v>
      </c>
      <c r="H124" s="15" t="s">
        <v>82</v>
      </c>
      <c r="I124" s="15" t="s">
        <v>82</v>
      </c>
      <c r="J124" s="15" t="s">
        <v>112</v>
      </c>
      <c r="K124" s="15" t="s">
        <v>81</v>
      </c>
      <c r="L124" s="15" t="s">
        <v>227</v>
      </c>
      <c r="M124" s="15" t="s">
        <v>80</v>
      </c>
      <c r="N124" s="17">
        <v>621.86</v>
      </c>
      <c r="O124" s="72">
        <v>680</v>
      </c>
      <c r="P124" s="22">
        <f t="shared" si="226"/>
        <v>1.5</v>
      </c>
      <c r="Q124" s="22">
        <f t="shared" si="227"/>
        <v>932.79</v>
      </c>
      <c r="R124" s="22">
        <f t="shared" si="228"/>
        <v>373116</v>
      </c>
      <c r="S124" s="22">
        <f t="shared" si="229"/>
        <v>1720</v>
      </c>
      <c r="T124" s="23"/>
      <c r="U124" s="23">
        <f t="shared" si="230"/>
        <v>0</v>
      </c>
      <c r="V124" s="23">
        <v>200</v>
      </c>
      <c r="W124" s="23">
        <f t="shared" si="231"/>
        <v>124372</v>
      </c>
      <c r="X124" s="23">
        <v>400</v>
      </c>
      <c r="Y124" s="23"/>
      <c r="Z124" s="23">
        <f t="shared" si="232"/>
        <v>0</v>
      </c>
      <c r="AA124" s="23">
        <v>200</v>
      </c>
      <c r="AB124" s="23">
        <f t="shared" si="233"/>
        <v>124372</v>
      </c>
      <c r="AC124" s="23"/>
      <c r="AD124" s="23">
        <v>250</v>
      </c>
      <c r="AE124" s="23">
        <f t="shared" si="234"/>
        <v>155465</v>
      </c>
      <c r="AF124" s="23">
        <v>200</v>
      </c>
      <c r="AG124" s="23">
        <f t="shared" si="235"/>
        <v>124372</v>
      </c>
      <c r="AH124" s="23"/>
      <c r="AI124" s="23">
        <v>250</v>
      </c>
      <c r="AJ124" s="23">
        <f t="shared" si="236"/>
        <v>155465</v>
      </c>
      <c r="AK124" s="23">
        <v>200</v>
      </c>
      <c r="AL124" s="23">
        <f t="shared" si="237"/>
        <v>124372</v>
      </c>
      <c r="AM124" s="23"/>
      <c r="AN124" s="23">
        <v>250</v>
      </c>
      <c r="AO124" s="23">
        <f t="shared" si="238"/>
        <v>155465</v>
      </c>
      <c r="AP124" s="23">
        <v>200</v>
      </c>
      <c r="AQ124" s="23">
        <f t="shared" si="239"/>
        <v>124372</v>
      </c>
      <c r="AR124" s="26">
        <v>400</v>
      </c>
      <c r="AS124" s="23">
        <v>250</v>
      </c>
      <c r="AT124" s="23">
        <f t="shared" si="240"/>
        <v>155465</v>
      </c>
      <c r="AU124" s="23">
        <v>200</v>
      </c>
      <c r="AV124" s="23">
        <f t="shared" si="241"/>
        <v>124372</v>
      </c>
      <c r="AW124" s="23"/>
      <c r="AX124" s="24">
        <v>250</v>
      </c>
      <c r="AY124" s="24">
        <f t="shared" si="242"/>
        <v>155465</v>
      </c>
      <c r="AZ124" s="23">
        <v>200</v>
      </c>
      <c r="BA124" s="23">
        <f t="shared" si="243"/>
        <v>124372</v>
      </c>
      <c r="BB124" s="23"/>
      <c r="BC124" s="23">
        <v>250</v>
      </c>
      <c r="BD124" s="23">
        <f t="shared" si="244"/>
        <v>155465</v>
      </c>
      <c r="BE124" s="23">
        <v>200</v>
      </c>
      <c r="BF124" s="23">
        <f t="shared" si="245"/>
        <v>124372</v>
      </c>
      <c r="BG124" s="101">
        <v>40</v>
      </c>
      <c r="BH124" s="23"/>
      <c r="BI124" s="23">
        <f t="shared" si="246"/>
        <v>0</v>
      </c>
      <c r="BJ124" s="23">
        <v>200</v>
      </c>
      <c r="BK124" s="23">
        <f t="shared" si="247"/>
        <v>124372</v>
      </c>
      <c r="BL124" s="101">
        <v>1280</v>
      </c>
      <c r="BM124" s="23"/>
      <c r="BN124" s="23">
        <f t="shared" si="248"/>
        <v>0</v>
      </c>
      <c r="BO124" s="23"/>
      <c r="BP124" s="23">
        <f t="shared" si="249"/>
        <v>0</v>
      </c>
      <c r="BQ124" s="23"/>
      <c r="BR124" s="23"/>
      <c r="BS124" s="23">
        <f t="shared" si="250"/>
        <v>0</v>
      </c>
      <c r="BT124" s="23"/>
      <c r="BU124" s="23">
        <f t="shared" si="251"/>
        <v>0</v>
      </c>
      <c r="BV124" s="27"/>
      <c r="BW124" s="23"/>
      <c r="BX124" s="23">
        <f t="shared" si="252"/>
        <v>0</v>
      </c>
      <c r="BY124" s="23"/>
      <c r="BZ124" s="23">
        <f t="shared" si="253"/>
        <v>0</v>
      </c>
      <c r="CA124" s="101">
        <v>400</v>
      </c>
      <c r="CB124" s="15"/>
    </row>
    <row r="125" spans="1:80" ht="16" x14ac:dyDescent="0.4">
      <c r="A125" s="15" t="s">
        <v>76</v>
      </c>
      <c r="B125" s="15" t="s">
        <v>262</v>
      </c>
      <c r="C125" s="15" t="s">
        <v>263</v>
      </c>
      <c r="D125" s="15" t="s">
        <v>398</v>
      </c>
      <c r="E125" s="112" t="s">
        <v>399</v>
      </c>
      <c r="F125" s="15" t="s">
        <v>267</v>
      </c>
      <c r="G125" s="15" t="s">
        <v>283</v>
      </c>
      <c r="H125" s="15" t="s">
        <v>193</v>
      </c>
      <c r="I125" s="15" t="s">
        <v>193</v>
      </c>
      <c r="J125" s="15" t="s">
        <v>118</v>
      </c>
      <c r="K125" s="15" t="s">
        <v>156</v>
      </c>
      <c r="L125" s="15" t="s">
        <v>549</v>
      </c>
      <c r="M125" s="15" t="s">
        <v>80</v>
      </c>
      <c r="N125" s="17">
        <v>29.68</v>
      </c>
      <c r="O125" s="18"/>
      <c r="P125" s="22">
        <f t="shared" si="226"/>
        <v>2</v>
      </c>
      <c r="Q125" s="22">
        <f t="shared" si="227"/>
        <v>59.36</v>
      </c>
      <c r="R125" s="22">
        <f t="shared" si="228"/>
        <v>0</v>
      </c>
      <c r="S125" s="22">
        <f t="shared" si="229"/>
        <v>0</v>
      </c>
      <c r="T125" s="23">
        <v>0</v>
      </c>
      <c r="U125" s="23">
        <f t="shared" si="230"/>
        <v>0</v>
      </c>
      <c r="V125" s="23">
        <v>1000</v>
      </c>
      <c r="W125" s="23">
        <f t="shared" si="231"/>
        <v>29680</v>
      </c>
      <c r="X125" s="23"/>
      <c r="Y125" s="23">
        <v>1000</v>
      </c>
      <c r="Z125" s="23">
        <f t="shared" si="232"/>
        <v>29680</v>
      </c>
      <c r="AA125" s="23"/>
      <c r="AB125" s="23">
        <f t="shared" si="233"/>
        <v>0</v>
      </c>
      <c r="AC125" s="23"/>
      <c r="AD125" s="23">
        <v>0</v>
      </c>
      <c r="AE125" s="23">
        <f t="shared" si="234"/>
        <v>0</v>
      </c>
      <c r="AF125" s="23">
        <v>1000</v>
      </c>
      <c r="AG125" s="23">
        <f t="shared" si="235"/>
        <v>29680</v>
      </c>
      <c r="AH125" s="23"/>
      <c r="AI125" s="23">
        <v>0</v>
      </c>
      <c r="AJ125" s="23">
        <f t="shared" si="236"/>
        <v>0</v>
      </c>
      <c r="AK125" s="23"/>
      <c r="AL125" s="23">
        <f t="shared" si="237"/>
        <v>0</v>
      </c>
      <c r="AM125" s="23"/>
      <c r="AN125" s="23">
        <v>1000</v>
      </c>
      <c r="AO125" s="23">
        <f t="shared" si="238"/>
        <v>29680</v>
      </c>
      <c r="AP125" s="23"/>
      <c r="AQ125" s="23">
        <f t="shared" si="239"/>
        <v>0</v>
      </c>
      <c r="AR125" s="23"/>
      <c r="AS125" s="23">
        <v>0</v>
      </c>
      <c r="AT125" s="23">
        <f t="shared" si="240"/>
        <v>0</v>
      </c>
      <c r="AU125" s="23"/>
      <c r="AV125" s="23">
        <f t="shared" si="241"/>
        <v>0</v>
      </c>
      <c r="AW125" s="23"/>
      <c r="AX125" s="24">
        <v>0</v>
      </c>
      <c r="AY125" s="24">
        <f t="shared" si="242"/>
        <v>0</v>
      </c>
      <c r="AZ125" s="23"/>
      <c r="BA125" s="23">
        <f t="shared" si="243"/>
        <v>0</v>
      </c>
      <c r="BB125" s="23"/>
      <c r="BC125" s="23">
        <v>0</v>
      </c>
      <c r="BD125" s="23">
        <f t="shared" si="244"/>
        <v>0</v>
      </c>
      <c r="BE125" s="23"/>
      <c r="BF125" s="23">
        <f t="shared" si="245"/>
        <v>0</v>
      </c>
      <c r="BG125" s="23"/>
      <c r="BH125" s="23">
        <v>0</v>
      </c>
      <c r="BI125" s="23">
        <f t="shared" si="246"/>
        <v>0</v>
      </c>
      <c r="BJ125" s="23"/>
      <c r="BK125" s="23">
        <f t="shared" si="247"/>
        <v>0</v>
      </c>
      <c r="BL125" s="23"/>
      <c r="BM125" s="23">
        <v>0</v>
      </c>
      <c r="BN125" s="23">
        <f t="shared" si="248"/>
        <v>0</v>
      </c>
      <c r="BO125" s="23"/>
      <c r="BP125" s="23">
        <f t="shared" si="249"/>
        <v>0</v>
      </c>
      <c r="BQ125" s="23"/>
      <c r="BR125" s="23">
        <v>0</v>
      </c>
      <c r="BS125" s="23">
        <f t="shared" si="250"/>
        <v>0</v>
      </c>
      <c r="BT125" s="23"/>
      <c r="BU125" s="23">
        <f t="shared" si="251"/>
        <v>0</v>
      </c>
      <c r="BV125" s="23"/>
      <c r="BW125" s="23">
        <v>0</v>
      </c>
      <c r="BX125" s="23">
        <f t="shared" si="252"/>
        <v>0</v>
      </c>
      <c r="BY125" s="23"/>
      <c r="BZ125" s="23">
        <f t="shared" si="253"/>
        <v>0</v>
      </c>
      <c r="CA125" s="23"/>
      <c r="CB125" s="15"/>
    </row>
    <row r="126" spans="1:80" ht="16" x14ac:dyDescent="0.4">
      <c r="A126" s="15" t="s">
        <v>76</v>
      </c>
      <c r="B126" s="15" t="s">
        <v>262</v>
      </c>
      <c r="C126" s="15" t="s">
        <v>263</v>
      </c>
      <c r="D126" s="15" t="s">
        <v>398</v>
      </c>
      <c r="E126" s="112" t="s">
        <v>399</v>
      </c>
      <c r="F126" s="15" t="s">
        <v>267</v>
      </c>
      <c r="G126" s="15" t="s">
        <v>283</v>
      </c>
      <c r="H126" s="15" t="s">
        <v>96</v>
      </c>
      <c r="I126" s="15" t="s">
        <v>96</v>
      </c>
      <c r="J126" s="16" t="s">
        <v>146</v>
      </c>
      <c r="K126" s="3" t="s">
        <v>97</v>
      </c>
      <c r="L126" s="15" t="s">
        <v>221</v>
      </c>
      <c r="M126" s="15"/>
      <c r="N126" s="17"/>
      <c r="O126" s="18"/>
      <c r="P126" s="22">
        <f t="shared" si="226"/>
        <v>0</v>
      </c>
      <c r="Q126" s="22">
        <f t="shared" si="227"/>
        <v>0</v>
      </c>
      <c r="R126" s="22">
        <f t="shared" si="228"/>
        <v>0</v>
      </c>
      <c r="S126" s="22">
        <f t="shared" si="229"/>
        <v>0</v>
      </c>
      <c r="T126" s="23"/>
      <c r="U126" s="23">
        <f t="shared" si="230"/>
        <v>0</v>
      </c>
      <c r="V126" s="23"/>
      <c r="W126" s="23">
        <f t="shared" si="231"/>
        <v>0</v>
      </c>
      <c r="X126" s="23"/>
      <c r="Y126" s="23"/>
      <c r="Z126" s="23">
        <f t="shared" si="232"/>
        <v>0</v>
      </c>
      <c r="AA126" s="23"/>
      <c r="AB126" s="23">
        <f t="shared" si="233"/>
        <v>0</v>
      </c>
      <c r="AC126" s="23">
        <v>1000</v>
      </c>
      <c r="AD126" s="23"/>
      <c r="AE126" s="23">
        <f t="shared" si="234"/>
        <v>0</v>
      </c>
      <c r="AF126" s="23"/>
      <c r="AG126" s="23">
        <f t="shared" si="235"/>
        <v>0</v>
      </c>
      <c r="AH126" s="23"/>
      <c r="AI126" s="23"/>
      <c r="AJ126" s="23">
        <f t="shared" si="236"/>
        <v>0</v>
      </c>
      <c r="AK126" s="23"/>
      <c r="AL126" s="23">
        <f t="shared" si="237"/>
        <v>0</v>
      </c>
      <c r="AM126" s="23"/>
      <c r="AN126" s="23"/>
      <c r="AO126" s="23">
        <f t="shared" si="238"/>
        <v>0</v>
      </c>
      <c r="AP126" s="23"/>
      <c r="AQ126" s="23">
        <f t="shared" si="239"/>
        <v>0</v>
      </c>
      <c r="AR126" s="23"/>
      <c r="AS126" s="23"/>
      <c r="AT126" s="23">
        <f t="shared" si="240"/>
        <v>0</v>
      </c>
      <c r="AU126" s="23"/>
      <c r="AV126" s="23">
        <f t="shared" si="241"/>
        <v>0</v>
      </c>
      <c r="AW126" s="23"/>
      <c r="AX126" s="24"/>
      <c r="AY126" s="24">
        <f t="shared" si="242"/>
        <v>0</v>
      </c>
      <c r="AZ126" s="23"/>
      <c r="BA126" s="23">
        <f t="shared" si="243"/>
        <v>0</v>
      </c>
      <c r="BB126" s="23"/>
      <c r="BC126" s="23"/>
      <c r="BD126" s="23">
        <f t="shared" si="244"/>
        <v>0</v>
      </c>
      <c r="BE126" s="23"/>
      <c r="BF126" s="23">
        <f t="shared" si="245"/>
        <v>0</v>
      </c>
      <c r="BG126" s="23"/>
      <c r="BH126" s="23"/>
      <c r="BI126" s="23">
        <f t="shared" si="246"/>
        <v>0</v>
      </c>
      <c r="BJ126" s="23"/>
      <c r="BK126" s="23">
        <f t="shared" si="247"/>
        <v>0</v>
      </c>
      <c r="BL126" s="23"/>
      <c r="BM126" s="23"/>
      <c r="BN126" s="23">
        <f t="shared" si="248"/>
        <v>0</v>
      </c>
      <c r="BO126" s="23"/>
      <c r="BP126" s="23">
        <f t="shared" si="249"/>
        <v>0</v>
      </c>
      <c r="BQ126" s="23"/>
      <c r="BR126" s="23"/>
      <c r="BS126" s="23">
        <f t="shared" si="250"/>
        <v>0</v>
      </c>
      <c r="BT126" s="23"/>
      <c r="BU126" s="23">
        <f t="shared" si="251"/>
        <v>0</v>
      </c>
      <c r="BV126" s="23"/>
      <c r="BW126" s="23"/>
      <c r="BX126" s="23">
        <f t="shared" si="252"/>
        <v>0</v>
      </c>
      <c r="BY126" s="23"/>
      <c r="BZ126" s="23">
        <f t="shared" si="253"/>
        <v>0</v>
      </c>
      <c r="CA126" s="23"/>
      <c r="CB126" s="15"/>
    </row>
    <row r="127" spans="1:80" ht="16" x14ac:dyDescent="0.4">
      <c r="A127" s="15" t="s">
        <v>76</v>
      </c>
      <c r="B127" s="15" t="s">
        <v>262</v>
      </c>
      <c r="C127" s="15" t="s">
        <v>263</v>
      </c>
      <c r="D127" s="15" t="s">
        <v>398</v>
      </c>
      <c r="E127" s="112" t="s">
        <v>399</v>
      </c>
      <c r="F127" s="15" t="s">
        <v>267</v>
      </c>
      <c r="G127" s="15" t="s">
        <v>283</v>
      </c>
      <c r="H127" s="15" t="s">
        <v>96</v>
      </c>
      <c r="I127" s="15" t="s">
        <v>96</v>
      </c>
      <c r="J127" s="16" t="s">
        <v>146</v>
      </c>
      <c r="K127" s="3" t="s">
        <v>97</v>
      </c>
      <c r="L127" s="15" t="s">
        <v>218</v>
      </c>
      <c r="M127" s="15" t="s">
        <v>80</v>
      </c>
      <c r="N127" s="17">
        <v>323.60000000000002</v>
      </c>
      <c r="O127" s="72">
        <v>700</v>
      </c>
      <c r="P127" s="22">
        <f t="shared" si="226"/>
        <v>0.3</v>
      </c>
      <c r="Q127" s="22">
        <f t="shared" si="227"/>
        <v>97.080000000000013</v>
      </c>
      <c r="R127" s="22">
        <f t="shared" si="228"/>
        <v>97080.000000000015</v>
      </c>
      <c r="S127" s="22">
        <f t="shared" si="229"/>
        <v>0</v>
      </c>
      <c r="T127" s="23"/>
      <c r="U127" s="23">
        <f t="shared" si="230"/>
        <v>0</v>
      </c>
      <c r="V127" s="23">
        <v>300</v>
      </c>
      <c r="W127" s="23">
        <f t="shared" si="231"/>
        <v>97080</v>
      </c>
      <c r="X127" s="23"/>
      <c r="Y127" s="23">
        <v>100</v>
      </c>
      <c r="Z127" s="23">
        <f t="shared" si="232"/>
        <v>32360.000000000004</v>
      </c>
      <c r="AA127" s="23">
        <v>300</v>
      </c>
      <c r="AB127" s="23">
        <f t="shared" si="233"/>
        <v>97080</v>
      </c>
      <c r="AC127" s="23"/>
      <c r="AD127" s="23"/>
      <c r="AE127" s="23">
        <f t="shared" si="234"/>
        <v>0</v>
      </c>
      <c r="AF127" s="23">
        <v>300</v>
      </c>
      <c r="AG127" s="23">
        <f t="shared" si="235"/>
        <v>97080</v>
      </c>
      <c r="AH127" s="23"/>
      <c r="AI127" s="23"/>
      <c r="AJ127" s="23">
        <f t="shared" si="236"/>
        <v>0</v>
      </c>
      <c r="AK127" s="23">
        <v>300</v>
      </c>
      <c r="AL127" s="23">
        <f t="shared" si="237"/>
        <v>97080</v>
      </c>
      <c r="AM127" s="23"/>
      <c r="AN127" s="23"/>
      <c r="AO127" s="23">
        <f t="shared" si="238"/>
        <v>0</v>
      </c>
      <c r="AP127" s="23">
        <v>300</v>
      </c>
      <c r="AQ127" s="23">
        <f t="shared" si="239"/>
        <v>97080</v>
      </c>
      <c r="AR127" s="23"/>
      <c r="AS127" s="23"/>
      <c r="AT127" s="23">
        <f t="shared" si="240"/>
        <v>0</v>
      </c>
      <c r="AU127" s="23">
        <v>100</v>
      </c>
      <c r="AV127" s="23">
        <f t="shared" si="241"/>
        <v>32360.000000000004</v>
      </c>
      <c r="AW127" s="23"/>
      <c r="AX127" s="24">
        <v>100</v>
      </c>
      <c r="AY127" s="24">
        <f t="shared" si="242"/>
        <v>32360.000000000004</v>
      </c>
      <c r="AZ127" s="23">
        <v>100</v>
      </c>
      <c r="BA127" s="23">
        <f t="shared" si="243"/>
        <v>32360.000000000004</v>
      </c>
      <c r="BB127" s="23"/>
      <c r="BC127" s="23"/>
      <c r="BD127" s="23">
        <f t="shared" si="244"/>
        <v>0</v>
      </c>
      <c r="BE127" s="23">
        <v>100</v>
      </c>
      <c r="BF127" s="23">
        <f t="shared" si="245"/>
        <v>32360.000000000004</v>
      </c>
      <c r="BG127" s="23"/>
      <c r="BH127" s="23"/>
      <c r="BI127" s="23">
        <f t="shared" si="246"/>
        <v>0</v>
      </c>
      <c r="BJ127" s="23">
        <v>100</v>
      </c>
      <c r="BK127" s="23">
        <f t="shared" si="247"/>
        <v>32360.000000000004</v>
      </c>
      <c r="BL127" s="23"/>
      <c r="BM127" s="23"/>
      <c r="BN127" s="23">
        <f t="shared" si="248"/>
        <v>0</v>
      </c>
      <c r="BO127" s="23"/>
      <c r="BP127" s="23">
        <f t="shared" si="249"/>
        <v>0</v>
      </c>
      <c r="BQ127" s="23"/>
      <c r="BR127" s="23">
        <v>100</v>
      </c>
      <c r="BS127" s="23">
        <f t="shared" si="250"/>
        <v>32360.000000000004</v>
      </c>
      <c r="BT127" s="23"/>
      <c r="BU127" s="23">
        <f t="shared" si="251"/>
        <v>0</v>
      </c>
      <c r="BV127" s="23"/>
      <c r="BW127" s="23"/>
      <c r="BX127" s="23">
        <f t="shared" si="252"/>
        <v>0</v>
      </c>
      <c r="BY127" s="23"/>
      <c r="BZ127" s="23">
        <f t="shared" si="253"/>
        <v>0</v>
      </c>
      <c r="CA127" s="23"/>
      <c r="CB127" s="15"/>
    </row>
    <row r="128" spans="1:80" ht="16" x14ac:dyDescent="0.4">
      <c r="A128" s="15" t="s">
        <v>76</v>
      </c>
      <c r="B128" s="15" t="s">
        <v>262</v>
      </c>
      <c r="C128" s="15" t="s">
        <v>263</v>
      </c>
      <c r="D128" s="15" t="s">
        <v>402</v>
      </c>
      <c r="E128" s="112" t="s">
        <v>403</v>
      </c>
      <c r="F128" s="15" t="s">
        <v>267</v>
      </c>
      <c r="G128" s="15" t="s">
        <v>283</v>
      </c>
      <c r="H128" s="15" t="s">
        <v>114</v>
      </c>
      <c r="I128" s="15" t="s">
        <v>114</v>
      </c>
      <c r="J128" s="15" t="s">
        <v>89</v>
      </c>
      <c r="K128" s="15" t="s">
        <v>115</v>
      </c>
      <c r="L128" s="15" t="s">
        <v>154</v>
      </c>
      <c r="M128" s="15" t="s">
        <v>80</v>
      </c>
      <c r="N128" s="17">
        <v>32.595999999999997</v>
      </c>
      <c r="O128" s="18"/>
      <c r="P128" s="22">
        <f t="shared" si="226"/>
        <v>240</v>
      </c>
      <c r="Q128" s="22">
        <f t="shared" si="227"/>
        <v>7823.0399999999991</v>
      </c>
      <c r="R128" s="22">
        <f t="shared" si="228"/>
        <v>1955759.9999999995</v>
      </c>
      <c r="S128" s="22">
        <f t="shared" si="229"/>
        <v>0</v>
      </c>
      <c r="T128" s="23">
        <v>20000</v>
      </c>
      <c r="U128" s="23">
        <f t="shared" si="230"/>
        <v>651919.99999999988</v>
      </c>
      <c r="V128" s="23">
        <v>20000</v>
      </c>
      <c r="W128" s="23">
        <f t="shared" si="231"/>
        <v>651919.99999999988</v>
      </c>
      <c r="X128" s="23"/>
      <c r="Y128" s="23">
        <v>20000</v>
      </c>
      <c r="Z128" s="23">
        <f t="shared" si="232"/>
        <v>651919.99999999988</v>
      </c>
      <c r="AA128" s="23">
        <v>20000</v>
      </c>
      <c r="AB128" s="23">
        <f t="shared" si="233"/>
        <v>651919.99999999988</v>
      </c>
      <c r="AC128" s="23"/>
      <c r="AD128" s="23">
        <v>20000</v>
      </c>
      <c r="AE128" s="23">
        <f t="shared" si="234"/>
        <v>651919.99999999988</v>
      </c>
      <c r="AF128" s="23"/>
      <c r="AG128" s="23">
        <f t="shared" si="235"/>
        <v>0</v>
      </c>
      <c r="AH128" s="23"/>
      <c r="AI128" s="23">
        <v>20000</v>
      </c>
      <c r="AJ128" s="23">
        <f t="shared" si="236"/>
        <v>651919.99999999988</v>
      </c>
      <c r="AK128" s="23">
        <v>20000</v>
      </c>
      <c r="AL128" s="23">
        <f t="shared" si="237"/>
        <v>651919.99999999988</v>
      </c>
      <c r="AM128" s="23"/>
      <c r="AN128" s="23">
        <v>20000</v>
      </c>
      <c r="AO128" s="23">
        <f t="shared" si="238"/>
        <v>651919.99999999988</v>
      </c>
      <c r="AP128" s="23">
        <v>20000</v>
      </c>
      <c r="AQ128" s="23">
        <f t="shared" si="239"/>
        <v>651919.99999999988</v>
      </c>
      <c r="AR128" s="23"/>
      <c r="AS128" s="23">
        <v>20000</v>
      </c>
      <c r="AT128" s="23">
        <f t="shared" si="240"/>
        <v>651919.99999999988</v>
      </c>
      <c r="AU128" s="23">
        <v>20000</v>
      </c>
      <c r="AV128" s="23">
        <f t="shared" si="241"/>
        <v>651919.99999999988</v>
      </c>
      <c r="AW128" s="23"/>
      <c r="AX128" s="24">
        <v>20000</v>
      </c>
      <c r="AY128" s="24">
        <f t="shared" si="242"/>
        <v>651919.99999999988</v>
      </c>
      <c r="AZ128" s="23">
        <v>20000</v>
      </c>
      <c r="BA128" s="23">
        <f t="shared" si="243"/>
        <v>651919.99999999988</v>
      </c>
      <c r="BB128" s="23"/>
      <c r="BC128" s="23">
        <v>20000</v>
      </c>
      <c r="BD128" s="23">
        <f t="shared" si="244"/>
        <v>651919.99999999988</v>
      </c>
      <c r="BE128" s="23">
        <v>20000</v>
      </c>
      <c r="BF128" s="23">
        <f t="shared" si="245"/>
        <v>651919.99999999988</v>
      </c>
      <c r="BG128" s="23"/>
      <c r="BH128" s="23">
        <v>20000</v>
      </c>
      <c r="BI128" s="23">
        <f t="shared" si="246"/>
        <v>651919.99999999988</v>
      </c>
      <c r="BJ128" s="23">
        <v>20000</v>
      </c>
      <c r="BK128" s="23">
        <f t="shared" si="247"/>
        <v>651919.99999999988</v>
      </c>
      <c r="BL128" s="23"/>
      <c r="BM128" s="23">
        <v>20000</v>
      </c>
      <c r="BN128" s="23">
        <f t="shared" si="248"/>
        <v>651919.99999999988</v>
      </c>
      <c r="BO128" s="23"/>
      <c r="BP128" s="23">
        <f t="shared" si="249"/>
        <v>0</v>
      </c>
      <c r="BQ128" s="23"/>
      <c r="BR128" s="23">
        <v>20000</v>
      </c>
      <c r="BS128" s="23">
        <f t="shared" si="250"/>
        <v>651919.99999999988</v>
      </c>
      <c r="BT128" s="23"/>
      <c r="BU128" s="23">
        <f t="shared" si="251"/>
        <v>0</v>
      </c>
      <c r="BV128" s="23"/>
      <c r="BW128" s="23">
        <v>20000</v>
      </c>
      <c r="BX128" s="23">
        <f t="shared" si="252"/>
        <v>651919.99999999988</v>
      </c>
      <c r="BY128" s="23"/>
      <c r="BZ128" s="23">
        <f t="shared" si="253"/>
        <v>0</v>
      </c>
      <c r="CA128" s="23"/>
      <c r="CB128" s="15"/>
    </row>
    <row r="129" spans="1:80" ht="16" x14ac:dyDescent="0.4">
      <c r="A129" s="15" t="s">
        <v>76</v>
      </c>
      <c r="B129" s="15" t="s">
        <v>262</v>
      </c>
      <c r="C129" s="15" t="s">
        <v>263</v>
      </c>
      <c r="D129" s="15" t="s">
        <v>406</v>
      </c>
      <c r="E129" s="112" t="s">
        <v>295</v>
      </c>
      <c r="F129" s="15" t="s">
        <v>267</v>
      </c>
      <c r="G129" s="15" t="s">
        <v>271</v>
      </c>
      <c r="H129" s="15" t="s">
        <v>294</v>
      </c>
      <c r="I129" s="15" t="s">
        <v>294</v>
      </c>
      <c r="J129" s="15" t="s">
        <v>153</v>
      </c>
      <c r="K129" s="15" t="s">
        <v>550</v>
      </c>
      <c r="L129" s="15" t="s">
        <v>551</v>
      </c>
      <c r="M129" s="15" t="s">
        <v>83</v>
      </c>
      <c r="N129" s="17">
        <v>78</v>
      </c>
      <c r="O129" s="18"/>
      <c r="P129" s="22">
        <f t="shared" si="226"/>
        <v>24</v>
      </c>
      <c r="Q129" s="22">
        <f t="shared" si="227"/>
        <v>1872</v>
      </c>
      <c r="R129" s="22">
        <f t="shared" si="228"/>
        <v>156000</v>
      </c>
      <c r="S129" s="22">
        <f t="shared" si="229"/>
        <v>0</v>
      </c>
      <c r="T129" s="23">
        <v>2000</v>
      </c>
      <c r="U129" s="23">
        <f t="shared" si="230"/>
        <v>156000</v>
      </c>
      <c r="V129" s="23">
        <v>2000</v>
      </c>
      <c r="W129" s="23">
        <f t="shared" si="231"/>
        <v>156000</v>
      </c>
      <c r="X129" s="23"/>
      <c r="Y129" s="23">
        <v>2000</v>
      </c>
      <c r="Z129" s="23">
        <f t="shared" si="232"/>
        <v>156000</v>
      </c>
      <c r="AA129" s="23">
        <v>2000</v>
      </c>
      <c r="AB129" s="23">
        <f t="shared" si="233"/>
        <v>156000</v>
      </c>
      <c r="AC129" s="23"/>
      <c r="AD129" s="23">
        <v>2000</v>
      </c>
      <c r="AE129" s="23">
        <f t="shared" si="234"/>
        <v>156000</v>
      </c>
      <c r="AF129" s="23">
        <v>2000</v>
      </c>
      <c r="AG129" s="23">
        <f t="shared" si="235"/>
        <v>156000</v>
      </c>
      <c r="AH129" s="23"/>
      <c r="AI129" s="23">
        <v>2000</v>
      </c>
      <c r="AJ129" s="23">
        <f t="shared" si="236"/>
        <v>156000</v>
      </c>
      <c r="AK129" s="23"/>
      <c r="AL129" s="23">
        <f t="shared" si="237"/>
        <v>0</v>
      </c>
      <c r="AM129" s="23"/>
      <c r="AN129" s="23">
        <v>2000</v>
      </c>
      <c r="AO129" s="23">
        <f t="shared" si="238"/>
        <v>156000</v>
      </c>
      <c r="AP129" s="23"/>
      <c r="AQ129" s="23">
        <f t="shared" si="239"/>
        <v>0</v>
      </c>
      <c r="AR129" s="23"/>
      <c r="AS129" s="23">
        <v>2000</v>
      </c>
      <c r="AT129" s="23">
        <f t="shared" si="240"/>
        <v>156000</v>
      </c>
      <c r="AU129" s="23"/>
      <c r="AV129" s="23">
        <f t="shared" si="241"/>
        <v>0</v>
      </c>
      <c r="AW129" s="23"/>
      <c r="AX129" s="24">
        <v>2000</v>
      </c>
      <c r="AY129" s="24">
        <f t="shared" si="242"/>
        <v>156000</v>
      </c>
      <c r="AZ129" s="23"/>
      <c r="BA129" s="23">
        <f t="shared" si="243"/>
        <v>0</v>
      </c>
      <c r="BB129" s="23"/>
      <c r="BC129" s="23">
        <v>2000</v>
      </c>
      <c r="BD129" s="23">
        <f t="shared" si="244"/>
        <v>156000</v>
      </c>
      <c r="BE129" s="23"/>
      <c r="BF129" s="23">
        <f t="shared" si="245"/>
        <v>0</v>
      </c>
      <c r="BG129" s="23"/>
      <c r="BH129" s="23">
        <v>2000</v>
      </c>
      <c r="BI129" s="23">
        <f t="shared" si="246"/>
        <v>156000</v>
      </c>
      <c r="BJ129" s="23">
        <v>2000</v>
      </c>
      <c r="BK129" s="23">
        <f t="shared" si="247"/>
        <v>156000</v>
      </c>
      <c r="BL129" s="23"/>
      <c r="BM129" s="23">
        <v>2000</v>
      </c>
      <c r="BN129" s="23">
        <f t="shared" si="248"/>
        <v>156000</v>
      </c>
      <c r="BO129" s="23"/>
      <c r="BP129" s="23">
        <f t="shared" si="249"/>
        <v>0</v>
      </c>
      <c r="BQ129" s="23"/>
      <c r="BR129" s="23">
        <v>2000</v>
      </c>
      <c r="BS129" s="23">
        <f t="shared" si="250"/>
        <v>156000</v>
      </c>
      <c r="BT129" s="23"/>
      <c r="BU129" s="23">
        <f t="shared" si="251"/>
        <v>0</v>
      </c>
      <c r="BV129" s="23"/>
      <c r="BW129" s="23">
        <v>2000</v>
      </c>
      <c r="BX129" s="23">
        <f t="shared" si="252"/>
        <v>156000</v>
      </c>
      <c r="BY129" s="23"/>
      <c r="BZ129" s="23">
        <f t="shared" si="253"/>
        <v>0</v>
      </c>
      <c r="CA129" s="23"/>
      <c r="CB129" s="15"/>
    </row>
    <row r="130" spans="1:80" ht="16" x14ac:dyDescent="0.4">
      <c r="A130" s="15" t="s">
        <v>76</v>
      </c>
      <c r="B130" s="15" t="s">
        <v>262</v>
      </c>
      <c r="C130" s="15" t="s">
        <v>263</v>
      </c>
      <c r="D130" s="15" t="s">
        <v>406</v>
      </c>
      <c r="E130" s="112" t="s">
        <v>295</v>
      </c>
      <c r="F130" s="15" t="s">
        <v>267</v>
      </c>
      <c r="G130" s="15" t="s">
        <v>271</v>
      </c>
      <c r="H130" s="15" t="s">
        <v>294</v>
      </c>
      <c r="I130" s="15" t="s">
        <v>294</v>
      </c>
      <c r="J130" s="15" t="s">
        <v>153</v>
      </c>
      <c r="K130" s="15" t="s">
        <v>550</v>
      </c>
      <c r="L130" s="15" t="s">
        <v>552</v>
      </c>
      <c r="M130" s="15" t="s">
        <v>83</v>
      </c>
      <c r="N130" s="17">
        <v>40</v>
      </c>
      <c r="O130" s="18"/>
      <c r="P130" s="22">
        <f t="shared" si="226"/>
        <v>24</v>
      </c>
      <c r="Q130" s="22">
        <f t="shared" si="227"/>
        <v>960</v>
      </c>
      <c r="R130" s="22">
        <f t="shared" si="228"/>
        <v>80000</v>
      </c>
      <c r="S130" s="22">
        <f t="shared" si="229"/>
        <v>0</v>
      </c>
      <c r="T130" s="23">
        <v>2000</v>
      </c>
      <c r="U130" s="23">
        <f t="shared" si="230"/>
        <v>80000</v>
      </c>
      <c r="V130" s="23">
        <v>2000</v>
      </c>
      <c r="W130" s="23">
        <f t="shared" si="231"/>
        <v>80000</v>
      </c>
      <c r="X130" s="23"/>
      <c r="Y130" s="23">
        <v>2000</v>
      </c>
      <c r="Z130" s="23">
        <f t="shared" si="232"/>
        <v>80000</v>
      </c>
      <c r="AA130" s="23">
        <v>2000</v>
      </c>
      <c r="AB130" s="23">
        <f t="shared" si="233"/>
        <v>80000</v>
      </c>
      <c r="AC130" s="23"/>
      <c r="AD130" s="23">
        <v>2000</v>
      </c>
      <c r="AE130" s="23">
        <f t="shared" si="234"/>
        <v>80000</v>
      </c>
      <c r="AF130" s="23">
        <v>2000</v>
      </c>
      <c r="AG130" s="23">
        <f t="shared" si="235"/>
        <v>80000</v>
      </c>
      <c r="AH130" s="23"/>
      <c r="AI130" s="23">
        <v>2000</v>
      </c>
      <c r="AJ130" s="23">
        <f t="shared" si="236"/>
        <v>80000</v>
      </c>
      <c r="AK130" s="23"/>
      <c r="AL130" s="23">
        <f t="shared" si="237"/>
        <v>0</v>
      </c>
      <c r="AM130" s="23"/>
      <c r="AN130" s="23">
        <v>2000</v>
      </c>
      <c r="AO130" s="23">
        <f t="shared" si="238"/>
        <v>80000</v>
      </c>
      <c r="AP130" s="23"/>
      <c r="AQ130" s="23">
        <f t="shared" si="239"/>
        <v>0</v>
      </c>
      <c r="AR130" s="23"/>
      <c r="AS130" s="23">
        <v>2000</v>
      </c>
      <c r="AT130" s="23">
        <f t="shared" si="240"/>
        <v>80000</v>
      </c>
      <c r="AU130" s="23"/>
      <c r="AV130" s="23">
        <f t="shared" si="241"/>
        <v>0</v>
      </c>
      <c r="AW130" s="23"/>
      <c r="AX130" s="24">
        <v>2000</v>
      </c>
      <c r="AY130" s="24">
        <f t="shared" si="242"/>
        <v>80000</v>
      </c>
      <c r="AZ130" s="23"/>
      <c r="BA130" s="23">
        <f t="shared" si="243"/>
        <v>0</v>
      </c>
      <c r="BB130" s="23"/>
      <c r="BC130" s="23">
        <v>2000</v>
      </c>
      <c r="BD130" s="23">
        <f t="shared" si="244"/>
        <v>80000</v>
      </c>
      <c r="BE130" s="23"/>
      <c r="BF130" s="23">
        <f t="shared" si="245"/>
        <v>0</v>
      </c>
      <c r="BG130" s="23"/>
      <c r="BH130" s="23">
        <v>2000</v>
      </c>
      <c r="BI130" s="23">
        <f t="shared" si="246"/>
        <v>80000</v>
      </c>
      <c r="BJ130" s="23">
        <v>2000</v>
      </c>
      <c r="BK130" s="23">
        <f t="shared" si="247"/>
        <v>80000</v>
      </c>
      <c r="BL130" s="23"/>
      <c r="BM130" s="23">
        <v>2000</v>
      </c>
      <c r="BN130" s="23">
        <f t="shared" si="248"/>
        <v>80000</v>
      </c>
      <c r="BO130" s="23"/>
      <c r="BP130" s="23">
        <f t="shared" si="249"/>
        <v>0</v>
      </c>
      <c r="BQ130" s="23"/>
      <c r="BR130" s="23">
        <v>2000</v>
      </c>
      <c r="BS130" s="23">
        <f t="shared" si="250"/>
        <v>80000</v>
      </c>
      <c r="BT130" s="23"/>
      <c r="BU130" s="23">
        <f t="shared" si="251"/>
        <v>0</v>
      </c>
      <c r="BV130" s="23"/>
      <c r="BW130" s="23">
        <v>2000</v>
      </c>
      <c r="BX130" s="23">
        <f t="shared" si="252"/>
        <v>80000</v>
      </c>
      <c r="BY130" s="23"/>
      <c r="BZ130" s="23">
        <f t="shared" si="253"/>
        <v>0</v>
      </c>
      <c r="CA130" s="23"/>
      <c r="CB130" s="15"/>
    </row>
    <row r="131" spans="1:80" ht="16" x14ac:dyDescent="0.4">
      <c r="A131" s="15" t="s">
        <v>76</v>
      </c>
      <c r="B131" s="15" t="s">
        <v>262</v>
      </c>
      <c r="C131" s="15" t="s">
        <v>263</v>
      </c>
      <c r="D131" s="15" t="s">
        <v>406</v>
      </c>
      <c r="E131" s="112" t="s">
        <v>295</v>
      </c>
      <c r="F131" s="15" t="s">
        <v>267</v>
      </c>
      <c r="G131" s="15" t="s">
        <v>271</v>
      </c>
      <c r="H131" s="15" t="s">
        <v>168</v>
      </c>
      <c r="I131" s="15" t="s">
        <v>168</v>
      </c>
      <c r="J131" s="15" t="s">
        <v>118</v>
      </c>
      <c r="K131" s="15" t="s">
        <v>111</v>
      </c>
      <c r="L131" s="15" t="s">
        <v>169</v>
      </c>
      <c r="M131" s="15" t="s">
        <v>80</v>
      </c>
      <c r="N131" s="17">
        <v>6.1</v>
      </c>
      <c r="O131" s="18"/>
      <c r="P131" s="22">
        <f t="shared" si="226"/>
        <v>36</v>
      </c>
      <c r="Q131" s="22">
        <f t="shared" si="227"/>
        <v>219.6</v>
      </c>
      <c r="R131" s="22">
        <f t="shared" si="228"/>
        <v>91500</v>
      </c>
      <c r="S131" s="22">
        <f t="shared" si="229"/>
        <v>0</v>
      </c>
      <c r="T131" s="23">
        <v>3000</v>
      </c>
      <c r="U131" s="23">
        <f t="shared" si="230"/>
        <v>18300</v>
      </c>
      <c r="V131" s="23">
        <v>3000</v>
      </c>
      <c r="W131" s="23">
        <f t="shared" si="231"/>
        <v>18300</v>
      </c>
      <c r="X131" s="23"/>
      <c r="Y131" s="23">
        <v>3000</v>
      </c>
      <c r="Z131" s="23">
        <f t="shared" si="232"/>
        <v>18300</v>
      </c>
      <c r="AA131" s="23">
        <v>3000</v>
      </c>
      <c r="AB131" s="23">
        <f t="shared" si="233"/>
        <v>18300</v>
      </c>
      <c r="AC131" s="23"/>
      <c r="AD131" s="23">
        <v>3000</v>
      </c>
      <c r="AE131" s="23">
        <f t="shared" si="234"/>
        <v>18300</v>
      </c>
      <c r="AF131" s="23">
        <v>3000</v>
      </c>
      <c r="AG131" s="23">
        <f t="shared" si="235"/>
        <v>18300</v>
      </c>
      <c r="AH131" s="23"/>
      <c r="AI131" s="23">
        <v>3000</v>
      </c>
      <c r="AJ131" s="23">
        <f t="shared" si="236"/>
        <v>18300</v>
      </c>
      <c r="AK131" s="23"/>
      <c r="AL131" s="23">
        <f t="shared" si="237"/>
        <v>0</v>
      </c>
      <c r="AM131" s="23"/>
      <c r="AN131" s="23">
        <v>3000</v>
      </c>
      <c r="AO131" s="23">
        <f t="shared" si="238"/>
        <v>18300</v>
      </c>
      <c r="AP131" s="23"/>
      <c r="AQ131" s="23">
        <f t="shared" si="239"/>
        <v>0</v>
      </c>
      <c r="AR131" s="26">
        <v>10000</v>
      </c>
      <c r="AS131" s="23">
        <v>3000</v>
      </c>
      <c r="AT131" s="23">
        <f t="shared" si="240"/>
        <v>18300</v>
      </c>
      <c r="AU131" s="23">
        <v>5000</v>
      </c>
      <c r="AV131" s="23">
        <f t="shared" si="241"/>
        <v>30500</v>
      </c>
      <c r="AW131" s="103">
        <v>30000</v>
      </c>
      <c r="AX131" s="24">
        <v>3000</v>
      </c>
      <c r="AY131" s="24">
        <f t="shared" si="242"/>
        <v>18300</v>
      </c>
      <c r="AZ131" s="23">
        <v>5000</v>
      </c>
      <c r="BA131" s="23">
        <f t="shared" si="243"/>
        <v>30500</v>
      </c>
      <c r="BB131" s="23"/>
      <c r="BC131" s="23">
        <v>3000</v>
      </c>
      <c r="BD131" s="23">
        <f t="shared" si="244"/>
        <v>18300</v>
      </c>
      <c r="BE131" s="23">
        <v>5000</v>
      </c>
      <c r="BF131" s="23">
        <f t="shared" si="245"/>
        <v>30500</v>
      </c>
      <c r="BG131" s="23"/>
      <c r="BH131" s="23">
        <v>3000</v>
      </c>
      <c r="BI131" s="23">
        <f t="shared" si="246"/>
        <v>18300</v>
      </c>
      <c r="BJ131" s="23">
        <v>5000</v>
      </c>
      <c r="BK131" s="23">
        <f t="shared" si="247"/>
        <v>30500</v>
      </c>
      <c r="BL131" s="23"/>
      <c r="BM131" s="23">
        <v>3000</v>
      </c>
      <c r="BN131" s="23">
        <f t="shared" si="248"/>
        <v>18300</v>
      </c>
      <c r="BO131" s="23"/>
      <c r="BP131" s="23">
        <f t="shared" si="249"/>
        <v>0</v>
      </c>
      <c r="BQ131" s="23"/>
      <c r="BR131" s="23">
        <v>3000</v>
      </c>
      <c r="BS131" s="23">
        <f t="shared" si="250"/>
        <v>18300</v>
      </c>
      <c r="BT131" s="23"/>
      <c r="BU131" s="23">
        <f t="shared" si="251"/>
        <v>0</v>
      </c>
      <c r="BV131" s="23"/>
      <c r="BW131" s="23">
        <v>3000</v>
      </c>
      <c r="BX131" s="23">
        <f t="shared" si="252"/>
        <v>18300</v>
      </c>
      <c r="BY131" s="23"/>
      <c r="BZ131" s="23">
        <f t="shared" si="253"/>
        <v>0</v>
      </c>
      <c r="CA131" s="23"/>
      <c r="CB131" s="57" t="s">
        <v>584</v>
      </c>
    </row>
    <row r="132" spans="1:80" ht="16" x14ac:dyDescent="0.4">
      <c r="A132" s="15" t="s">
        <v>76</v>
      </c>
      <c r="B132" s="15" t="s">
        <v>262</v>
      </c>
      <c r="C132" s="15" t="s">
        <v>263</v>
      </c>
      <c r="D132" s="15" t="s">
        <v>406</v>
      </c>
      <c r="E132" s="112" t="s">
        <v>295</v>
      </c>
      <c r="F132" s="15" t="s">
        <v>267</v>
      </c>
      <c r="G132" s="15" t="s">
        <v>271</v>
      </c>
      <c r="H132" s="15" t="s">
        <v>99</v>
      </c>
      <c r="I132" s="15" t="s">
        <v>99</v>
      </c>
      <c r="J132" s="16" t="s">
        <v>100</v>
      </c>
      <c r="K132" s="3" t="s">
        <v>97</v>
      </c>
      <c r="L132" s="15" t="s">
        <v>212</v>
      </c>
      <c r="M132" s="15" t="s">
        <v>80</v>
      </c>
      <c r="N132" s="17">
        <v>8.99</v>
      </c>
      <c r="O132" s="18"/>
      <c r="P132" s="22">
        <f t="shared" si="226"/>
        <v>24</v>
      </c>
      <c r="Q132" s="22">
        <f t="shared" si="227"/>
        <v>215.76</v>
      </c>
      <c r="R132" s="22">
        <f t="shared" si="228"/>
        <v>179800</v>
      </c>
      <c r="S132" s="22">
        <f t="shared" si="229"/>
        <v>0</v>
      </c>
      <c r="T132" s="23">
        <v>2000</v>
      </c>
      <c r="U132" s="23">
        <f t="shared" si="230"/>
        <v>17980</v>
      </c>
      <c r="V132" s="23">
        <v>2000</v>
      </c>
      <c r="W132" s="23">
        <f t="shared" si="231"/>
        <v>17980</v>
      </c>
      <c r="X132" s="23"/>
      <c r="Y132" s="23">
        <v>2000</v>
      </c>
      <c r="Z132" s="23">
        <f t="shared" si="232"/>
        <v>17980</v>
      </c>
      <c r="AA132" s="23">
        <v>2000</v>
      </c>
      <c r="AB132" s="23">
        <f t="shared" si="233"/>
        <v>17980</v>
      </c>
      <c r="AC132" s="23"/>
      <c r="AD132" s="23">
        <v>2000</v>
      </c>
      <c r="AE132" s="23">
        <f t="shared" si="234"/>
        <v>17980</v>
      </c>
      <c r="AF132" s="23">
        <v>2000</v>
      </c>
      <c r="AG132" s="23">
        <f t="shared" si="235"/>
        <v>17980</v>
      </c>
      <c r="AH132" s="23"/>
      <c r="AI132" s="23">
        <v>2000</v>
      </c>
      <c r="AJ132" s="23">
        <f t="shared" si="236"/>
        <v>17980</v>
      </c>
      <c r="AK132" s="23"/>
      <c r="AL132" s="23">
        <f t="shared" si="237"/>
        <v>0</v>
      </c>
      <c r="AM132" s="23">
        <v>30000</v>
      </c>
      <c r="AN132" s="23">
        <v>2000</v>
      </c>
      <c r="AO132" s="23">
        <f t="shared" si="238"/>
        <v>17980</v>
      </c>
      <c r="AP132" s="23"/>
      <c r="AQ132" s="23">
        <f t="shared" si="239"/>
        <v>0</v>
      </c>
      <c r="AR132" s="26">
        <v>10000</v>
      </c>
      <c r="AS132" s="23">
        <v>2000</v>
      </c>
      <c r="AT132" s="23">
        <f t="shared" si="240"/>
        <v>17980</v>
      </c>
      <c r="AU132" s="23">
        <v>10000</v>
      </c>
      <c r="AV132" s="23">
        <f t="shared" si="241"/>
        <v>89900</v>
      </c>
      <c r="AW132" s="106">
        <v>10000</v>
      </c>
      <c r="AX132" s="24">
        <v>2000</v>
      </c>
      <c r="AY132" s="24">
        <f t="shared" si="242"/>
        <v>17980</v>
      </c>
      <c r="AZ132" s="23">
        <v>10000</v>
      </c>
      <c r="BA132" s="23">
        <f t="shared" si="243"/>
        <v>89900</v>
      </c>
      <c r="BB132" s="23"/>
      <c r="BC132" s="23">
        <v>2000</v>
      </c>
      <c r="BD132" s="23">
        <f t="shared" si="244"/>
        <v>17980</v>
      </c>
      <c r="BE132" s="23">
        <v>10000</v>
      </c>
      <c r="BF132" s="23">
        <f t="shared" si="245"/>
        <v>89900</v>
      </c>
      <c r="BG132" s="23"/>
      <c r="BH132" s="23">
        <v>2000</v>
      </c>
      <c r="BI132" s="23">
        <f t="shared" si="246"/>
        <v>17980</v>
      </c>
      <c r="BJ132" s="23"/>
      <c r="BK132" s="23">
        <f t="shared" si="247"/>
        <v>0</v>
      </c>
      <c r="BL132" s="23"/>
      <c r="BM132" s="23">
        <v>2000</v>
      </c>
      <c r="BN132" s="23">
        <f t="shared" si="248"/>
        <v>17980</v>
      </c>
      <c r="BO132" s="23"/>
      <c r="BP132" s="23">
        <f t="shared" si="249"/>
        <v>0</v>
      </c>
      <c r="BQ132" s="23"/>
      <c r="BR132" s="23">
        <v>2000</v>
      </c>
      <c r="BS132" s="23">
        <f t="shared" si="250"/>
        <v>17980</v>
      </c>
      <c r="BT132" s="23"/>
      <c r="BU132" s="23">
        <f t="shared" si="251"/>
        <v>0</v>
      </c>
      <c r="BV132" s="23"/>
      <c r="BW132" s="23">
        <v>2000</v>
      </c>
      <c r="BX132" s="23">
        <f t="shared" si="252"/>
        <v>17980</v>
      </c>
      <c r="BY132" s="23"/>
      <c r="BZ132" s="23">
        <f t="shared" si="253"/>
        <v>0</v>
      </c>
      <c r="CA132" s="23"/>
      <c r="CB132" s="15"/>
    </row>
    <row r="133" spans="1:80" ht="16" x14ac:dyDescent="0.4">
      <c r="A133" s="15" t="s">
        <v>76</v>
      </c>
      <c r="B133" s="15" t="s">
        <v>262</v>
      </c>
      <c r="C133" s="15" t="s">
        <v>263</v>
      </c>
      <c r="D133" s="15" t="s">
        <v>406</v>
      </c>
      <c r="E133" s="112" t="s">
        <v>295</v>
      </c>
      <c r="F133" s="15" t="s">
        <v>267</v>
      </c>
      <c r="G133" s="15" t="s">
        <v>271</v>
      </c>
      <c r="H133" s="15" t="s">
        <v>294</v>
      </c>
      <c r="I133" s="15" t="s">
        <v>294</v>
      </c>
      <c r="J133" s="15" t="s">
        <v>153</v>
      </c>
      <c r="K133" s="15" t="s">
        <v>550</v>
      </c>
      <c r="L133" s="15" t="s">
        <v>553</v>
      </c>
      <c r="M133" s="15"/>
      <c r="N133" s="17"/>
      <c r="O133" s="18"/>
      <c r="P133" s="22">
        <f t="shared" si="226"/>
        <v>0</v>
      </c>
      <c r="Q133" s="22">
        <f t="shared" si="227"/>
        <v>0</v>
      </c>
      <c r="R133" s="22">
        <f t="shared" si="228"/>
        <v>0</v>
      </c>
      <c r="S133" s="22">
        <f t="shared" si="229"/>
        <v>0</v>
      </c>
      <c r="T133" s="23"/>
      <c r="U133" s="23">
        <f t="shared" si="230"/>
        <v>0</v>
      </c>
      <c r="V133" s="23"/>
      <c r="W133" s="23">
        <f t="shared" si="231"/>
        <v>0</v>
      </c>
      <c r="X133" s="23">
        <v>10000</v>
      </c>
      <c r="Y133" s="23"/>
      <c r="Z133" s="23">
        <f t="shared" si="232"/>
        <v>0</v>
      </c>
      <c r="AA133" s="23"/>
      <c r="AB133" s="23">
        <f t="shared" si="233"/>
        <v>0</v>
      </c>
      <c r="AC133" s="23">
        <v>20000</v>
      </c>
      <c r="AD133" s="23"/>
      <c r="AE133" s="23">
        <f t="shared" si="234"/>
        <v>0</v>
      </c>
      <c r="AF133" s="23"/>
      <c r="AG133" s="23">
        <f t="shared" si="235"/>
        <v>0</v>
      </c>
      <c r="AH133" s="23">
        <v>20000</v>
      </c>
      <c r="AI133" s="23"/>
      <c r="AJ133" s="23">
        <f t="shared" si="236"/>
        <v>0</v>
      </c>
      <c r="AK133" s="23"/>
      <c r="AL133" s="23">
        <f t="shared" si="237"/>
        <v>0</v>
      </c>
      <c r="AM133" s="23">
        <v>15000</v>
      </c>
      <c r="AN133" s="23"/>
      <c r="AO133" s="23">
        <f t="shared" si="238"/>
        <v>0</v>
      </c>
      <c r="AP133" s="23"/>
      <c r="AQ133" s="23">
        <f t="shared" si="239"/>
        <v>0</v>
      </c>
      <c r="AR133" s="26">
        <v>40000</v>
      </c>
      <c r="AS133" s="23"/>
      <c r="AT133" s="23">
        <f t="shared" si="240"/>
        <v>0</v>
      </c>
      <c r="AU133" s="23"/>
      <c r="AV133" s="23">
        <f t="shared" si="241"/>
        <v>0</v>
      </c>
      <c r="AW133" s="106">
        <v>40000</v>
      </c>
      <c r="AX133" s="24"/>
      <c r="AY133" s="24">
        <f t="shared" si="242"/>
        <v>0</v>
      </c>
      <c r="AZ133" s="23"/>
      <c r="BA133" s="23">
        <f t="shared" si="243"/>
        <v>0</v>
      </c>
      <c r="BB133" s="23"/>
      <c r="BC133" s="23"/>
      <c r="BD133" s="23">
        <f t="shared" si="244"/>
        <v>0</v>
      </c>
      <c r="BE133" s="23"/>
      <c r="BF133" s="23">
        <f t="shared" si="245"/>
        <v>0</v>
      </c>
      <c r="BG133" s="23"/>
      <c r="BH133" s="23"/>
      <c r="BI133" s="23">
        <f t="shared" si="246"/>
        <v>0</v>
      </c>
      <c r="BJ133" s="23"/>
      <c r="BK133" s="23">
        <f t="shared" si="247"/>
        <v>0</v>
      </c>
      <c r="BL133" s="23"/>
      <c r="BM133" s="23"/>
      <c r="BN133" s="23">
        <f t="shared" si="248"/>
        <v>0</v>
      </c>
      <c r="BO133" s="23"/>
      <c r="BP133" s="23">
        <f t="shared" si="249"/>
        <v>0</v>
      </c>
      <c r="BQ133" s="23"/>
      <c r="BR133" s="23"/>
      <c r="BS133" s="23">
        <f t="shared" si="250"/>
        <v>0</v>
      </c>
      <c r="BT133" s="23"/>
      <c r="BU133" s="23">
        <f t="shared" si="251"/>
        <v>0</v>
      </c>
      <c r="BV133" s="23"/>
      <c r="BW133" s="23"/>
      <c r="BX133" s="23">
        <f t="shared" si="252"/>
        <v>0</v>
      </c>
      <c r="BY133" s="23"/>
      <c r="BZ133" s="23">
        <f t="shared" si="253"/>
        <v>0</v>
      </c>
      <c r="CA133" s="23"/>
      <c r="CB133" s="15"/>
    </row>
    <row r="134" spans="1:80" ht="16" x14ac:dyDescent="0.4">
      <c r="A134" s="15" t="s">
        <v>76</v>
      </c>
      <c r="B134" s="15" t="s">
        <v>262</v>
      </c>
      <c r="C134" s="15" t="s">
        <v>263</v>
      </c>
      <c r="D134" s="15" t="s">
        <v>406</v>
      </c>
      <c r="E134" s="112" t="s">
        <v>295</v>
      </c>
      <c r="F134" s="15" t="s">
        <v>267</v>
      </c>
      <c r="G134" s="15" t="s">
        <v>271</v>
      </c>
      <c r="H134" s="15" t="s">
        <v>99</v>
      </c>
      <c r="I134" s="15" t="s">
        <v>99</v>
      </c>
      <c r="J134" s="15" t="s">
        <v>100</v>
      </c>
      <c r="K134" s="15" t="s">
        <v>97</v>
      </c>
      <c r="L134" s="15" t="s">
        <v>216</v>
      </c>
      <c r="M134" s="15"/>
      <c r="N134" s="17"/>
      <c r="O134" s="18"/>
      <c r="P134" s="22">
        <f t="shared" si="226"/>
        <v>0</v>
      </c>
      <c r="Q134" s="22">
        <f t="shared" si="227"/>
        <v>0</v>
      </c>
      <c r="R134" s="22">
        <f t="shared" si="228"/>
        <v>0</v>
      </c>
      <c r="S134" s="22">
        <f t="shared" si="229"/>
        <v>0</v>
      </c>
      <c r="T134" s="23"/>
      <c r="U134" s="23">
        <f t="shared" si="230"/>
        <v>0</v>
      </c>
      <c r="V134" s="23"/>
      <c r="W134" s="23">
        <f t="shared" si="231"/>
        <v>0</v>
      </c>
      <c r="X134" s="23"/>
      <c r="Y134" s="23"/>
      <c r="Z134" s="23">
        <f t="shared" si="232"/>
        <v>0</v>
      </c>
      <c r="AA134" s="23"/>
      <c r="AB134" s="23">
        <f t="shared" si="233"/>
        <v>0</v>
      </c>
      <c r="AC134" s="23"/>
      <c r="AD134" s="23"/>
      <c r="AE134" s="23">
        <f t="shared" si="234"/>
        <v>0</v>
      </c>
      <c r="AF134" s="23"/>
      <c r="AG134" s="23">
        <f t="shared" si="235"/>
        <v>0</v>
      </c>
      <c r="AH134" s="23"/>
      <c r="AI134" s="23"/>
      <c r="AJ134" s="23">
        <f t="shared" si="236"/>
        <v>0</v>
      </c>
      <c r="AK134" s="23"/>
      <c r="AL134" s="23">
        <f t="shared" si="237"/>
        <v>0</v>
      </c>
      <c r="AM134" s="23"/>
      <c r="AN134" s="23"/>
      <c r="AO134" s="23">
        <f t="shared" si="238"/>
        <v>0</v>
      </c>
      <c r="AP134" s="23"/>
      <c r="AQ134" s="23">
        <f t="shared" si="239"/>
        <v>0</v>
      </c>
      <c r="AR134" s="26">
        <v>7000</v>
      </c>
      <c r="AS134" s="23"/>
      <c r="AT134" s="23">
        <f t="shared" si="240"/>
        <v>0</v>
      </c>
      <c r="AU134" s="23"/>
      <c r="AV134" s="23">
        <f t="shared" si="241"/>
        <v>0</v>
      </c>
      <c r="AW134" s="106">
        <v>7000</v>
      </c>
      <c r="AX134" s="24"/>
      <c r="AY134" s="24">
        <f t="shared" si="242"/>
        <v>0</v>
      </c>
      <c r="AZ134" s="23"/>
      <c r="BA134" s="23">
        <f t="shared" si="243"/>
        <v>0</v>
      </c>
      <c r="BB134" s="23"/>
      <c r="BC134" s="23"/>
      <c r="BD134" s="23">
        <f t="shared" si="244"/>
        <v>0</v>
      </c>
      <c r="BE134" s="23"/>
      <c r="BF134" s="23">
        <f t="shared" si="245"/>
        <v>0</v>
      </c>
      <c r="BG134" s="23"/>
      <c r="BH134" s="23"/>
      <c r="BI134" s="23">
        <f t="shared" si="246"/>
        <v>0</v>
      </c>
      <c r="BJ134" s="23"/>
      <c r="BK134" s="23">
        <f t="shared" si="247"/>
        <v>0</v>
      </c>
      <c r="BL134" s="23"/>
      <c r="BM134" s="23"/>
      <c r="BN134" s="23">
        <f t="shared" si="248"/>
        <v>0</v>
      </c>
      <c r="BO134" s="23"/>
      <c r="BP134" s="23">
        <f t="shared" si="249"/>
        <v>0</v>
      </c>
      <c r="BQ134" s="23"/>
      <c r="BR134" s="23"/>
      <c r="BS134" s="23">
        <f t="shared" si="250"/>
        <v>0</v>
      </c>
      <c r="BT134" s="23"/>
      <c r="BU134" s="23">
        <f t="shared" si="251"/>
        <v>0</v>
      </c>
      <c r="BV134" s="23"/>
      <c r="BW134" s="23"/>
      <c r="BX134" s="23">
        <f t="shared" si="252"/>
        <v>0</v>
      </c>
      <c r="BY134" s="23"/>
      <c r="BZ134" s="23">
        <f t="shared" si="253"/>
        <v>0</v>
      </c>
      <c r="CA134" s="23"/>
      <c r="CB134" s="15"/>
    </row>
    <row r="135" spans="1:80" ht="16" x14ac:dyDescent="0.4">
      <c r="A135" s="15" t="s">
        <v>76</v>
      </c>
      <c r="B135" s="15" t="s">
        <v>262</v>
      </c>
      <c r="C135" s="15" t="s">
        <v>263</v>
      </c>
      <c r="D135" s="15" t="s">
        <v>418</v>
      </c>
      <c r="E135" s="112" t="s">
        <v>419</v>
      </c>
      <c r="F135" s="15" t="s">
        <v>267</v>
      </c>
      <c r="G135" s="15" t="s">
        <v>196</v>
      </c>
      <c r="H135" s="15" t="s">
        <v>124</v>
      </c>
      <c r="I135" s="15" t="s">
        <v>124</v>
      </c>
      <c r="J135" s="15" t="s">
        <v>90</v>
      </c>
      <c r="K135" s="15" t="s">
        <v>125</v>
      </c>
      <c r="L135" s="15" t="s">
        <v>554</v>
      </c>
      <c r="M135" s="15" t="s">
        <v>80</v>
      </c>
      <c r="N135" s="17">
        <v>5.6</v>
      </c>
      <c r="O135" s="72">
        <v>18000</v>
      </c>
      <c r="P135" s="22">
        <f t="shared" ref="P135:P144" si="254">+(T135+Y135+AD135+AI135+AN135+AS135+AX135+BC135+BH135+BM135+BR135+BW135)/1000</f>
        <v>36</v>
      </c>
      <c r="Q135" s="22">
        <f t="shared" ref="Q135:Q144" si="255">+(U135+Z135+AE135+AJ135+AO135+AT135+AY135+BD135+BI135+BN135+BS135+BX135)/1000</f>
        <v>201.6</v>
      </c>
      <c r="R135" s="22">
        <f t="shared" ref="R135:R145" si="256">+(+BA135+BF135+BK135+BP135+BU135+BZ135)</f>
        <v>67200</v>
      </c>
      <c r="S135" s="22">
        <f t="shared" ref="S135:S145" si="257">+(+BB135+BG135+BL135+BQ135+BV135+CA135)</f>
        <v>0</v>
      </c>
      <c r="T135" s="23">
        <v>3000</v>
      </c>
      <c r="U135" s="23">
        <f t="shared" ref="U135:U145" si="258">T135*N135</f>
        <v>16800</v>
      </c>
      <c r="V135" s="23">
        <v>3000</v>
      </c>
      <c r="W135" s="23">
        <f t="shared" ref="W135:W145" si="259">V135*N135</f>
        <v>16800</v>
      </c>
      <c r="X135" s="23"/>
      <c r="Y135" s="23">
        <v>3000</v>
      </c>
      <c r="Z135" s="23">
        <f t="shared" ref="Z135:Z145" si="260">Y135*N135</f>
        <v>16800</v>
      </c>
      <c r="AA135" s="23"/>
      <c r="AB135" s="23">
        <f t="shared" ref="AB135:AB145" si="261">AA135*N135</f>
        <v>0</v>
      </c>
      <c r="AC135" s="23"/>
      <c r="AD135" s="23">
        <v>3000</v>
      </c>
      <c r="AE135" s="23">
        <f t="shared" ref="AE135:AE144" si="262">AD135*N135</f>
        <v>16800</v>
      </c>
      <c r="AF135" s="23"/>
      <c r="AG135" s="23">
        <f t="shared" ref="AG135:AG145" si="263">AF135*N135</f>
        <v>0</v>
      </c>
      <c r="AH135" s="23"/>
      <c r="AI135" s="23">
        <v>3000</v>
      </c>
      <c r="AJ135" s="23">
        <f t="shared" ref="AJ135:AJ145" si="264">AI135*N135</f>
        <v>16800</v>
      </c>
      <c r="AK135" s="23">
        <v>6000</v>
      </c>
      <c r="AL135" s="23">
        <f t="shared" ref="AL135:AL145" si="265">AK135*N135</f>
        <v>33600</v>
      </c>
      <c r="AM135" s="23"/>
      <c r="AN135" s="23">
        <v>3000</v>
      </c>
      <c r="AO135" s="23">
        <f t="shared" ref="AO135:AO145" si="266">AN135*N135</f>
        <v>16800</v>
      </c>
      <c r="AP135" s="23"/>
      <c r="AQ135" s="23">
        <f t="shared" ref="AQ135:AQ145" si="267">AP135*N135</f>
        <v>0</v>
      </c>
      <c r="AR135" s="23"/>
      <c r="AS135" s="23">
        <v>3000</v>
      </c>
      <c r="AT135" s="23">
        <f t="shared" ref="AT135:AT145" si="268">AS135*N135</f>
        <v>16800</v>
      </c>
      <c r="AU135" s="23">
        <v>6000</v>
      </c>
      <c r="AV135" s="23">
        <f t="shared" ref="AV135:AV145" si="269">AU135*N135</f>
        <v>33600</v>
      </c>
      <c r="AW135" s="23"/>
      <c r="AX135" s="24">
        <v>3000</v>
      </c>
      <c r="AY135" s="24">
        <f t="shared" ref="AY135:AY145" si="270">AX135*N135</f>
        <v>16800</v>
      </c>
      <c r="AZ135" s="23">
        <v>6000</v>
      </c>
      <c r="BA135" s="23">
        <f t="shared" ref="BA135:BA145" si="271">AZ135*N135</f>
        <v>33600</v>
      </c>
      <c r="BB135" s="23"/>
      <c r="BC135" s="23">
        <v>3000</v>
      </c>
      <c r="BD135" s="23">
        <f t="shared" ref="BD135:BD145" si="272">BC135*N135</f>
        <v>16800</v>
      </c>
      <c r="BE135" s="23">
        <v>3000</v>
      </c>
      <c r="BF135" s="23">
        <f t="shared" ref="BF135:BF145" si="273">BE135*N135</f>
        <v>16800</v>
      </c>
      <c r="BG135" s="23"/>
      <c r="BH135" s="23">
        <v>3000</v>
      </c>
      <c r="BI135" s="23">
        <f t="shared" ref="BI135:BI144" si="274">BH135*N135</f>
        <v>16800</v>
      </c>
      <c r="BJ135" s="23">
        <v>3000</v>
      </c>
      <c r="BK135" s="23">
        <f t="shared" ref="BK135:BK145" si="275">BJ135*N135</f>
        <v>16800</v>
      </c>
      <c r="BL135" s="23"/>
      <c r="BM135" s="23">
        <v>3000</v>
      </c>
      <c r="BN135" s="23">
        <f t="shared" ref="BN135:BN145" si="276">BM135*N135</f>
        <v>16800</v>
      </c>
      <c r="BO135" s="23"/>
      <c r="BP135" s="23">
        <f t="shared" ref="BP135:BP145" si="277">BO135*N135</f>
        <v>0</v>
      </c>
      <c r="BQ135" s="23"/>
      <c r="BR135" s="23">
        <v>3000</v>
      </c>
      <c r="BS135" s="23">
        <f t="shared" ref="BS135:BS145" si="278">BR135*N135</f>
        <v>16800</v>
      </c>
      <c r="BT135" s="23"/>
      <c r="BU135" s="23">
        <f t="shared" ref="BU135:BU145" si="279">BT135*N135</f>
        <v>0</v>
      </c>
      <c r="BV135" s="23"/>
      <c r="BW135" s="23">
        <v>3000</v>
      </c>
      <c r="BX135" s="23">
        <f t="shared" ref="BX135:BX145" si="280">BW135*N135</f>
        <v>16800</v>
      </c>
      <c r="BY135" s="23"/>
      <c r="BZ135" s="23">
        <f t="shared" ref="BZ135:BZ145" si="281">BY135*N135</f>
        <v>0</v>
      </c>
      <c r="CA135" s="23"/>
      <c r="CB135" s="15"/>
    </row>
    <row r="136" spans="1:80" ht="16" x14ac:dyDescent="0.4">
      <c r="A136" s="15" t="s">
        <v>76</v>
      </c>
      <c r="B136" s="15" t="s">
        <v>262</v>
      </c>
      <c r="C136" s="15" t="s">
        <v>263</v>
      </c>
      <c r="D136" s="15" t="s">
        <v>418</v>
      </c>
      <c r="E136" s="112" t="s">
        <v>419</v>
      </c>
      <c r="F136" s="15" t="s">
        <v>267</v>
      </c>
      <c r="G136" s="15" t="s">
        <v>196</v>
      </c>
      <c r="H136" s="15" t="s">
        <v>77</v>
      </c>
      <c r="I136" s="15" t="s">
        <v>77</v>
      </c>
      <c r="J136" s="15" t="s">
        <v>78</v>
      </c>
      <c r="K136" s="15" t="s">
        <v>79</v>
      </c>
      <c r="L136" s="15" t="s">
        <v>140</v>
      </c>
      <c r="M136" s="15" t="s">
        <v>83</v>
      </c>
      <c r="N136" s="17">
        <v>1.1749999999999998</v>
      </c>
      <c r="O136" s="18"/>
      <c r="P136" s="22">
        <f t="shared" si="254"/>
        <v>18</v>
      </c>
      <c r="Q136" s="22">
        <f t="shared" si="255"/>
        <v>21.149999999999995</v>
      </c>
      <c r="R136" s="22">
        <f t="shared" si="256"/>
        <v>0</v>
      </c>
      <c r="S136" s="22">
        <f t="shared" si="257"/>
        <v>0</v>
      </c>
      <c r="T136" s="23">
        <v>3000</v>
      </c>
      <c r="U136" s="23">
        <f t="shared" si="258"/>
        <v>3524.9999999999995</v>
      </c>
      <c r="V136" s="23"/>
      <c r="W136" s="23">
        <f t="shared" si="259"/>
        <v>0</v>
      </c>
      <c r="X136" s="23"/>
      <c r="Y136" s="23"/>
      <c r="Z136" s="23">
        <f t="shared" si="260"/>
        <v>0</v>
      </c>
      <c r="AA136" s="23">
        <v>3000</v>
      </c>
      <c r="AB136" s="23">
        <f t="shared" si="261"/>
        <v>3524.9999999999995</v>
      </c>
      <c r="AC136" s="23"/>
      <c r="AD136" s="23">
        <v>3000</v>
      </c>
      <c r="AE136" s="23">
        <f t="shared" si="262"/>
        <v>3524.9999999999995</v>
      </c>
      <c r="AF136" s="23"/>
      <c r="AG136" s="23">
        <f t="shared" si="263"/>
        <v>0</v>
      </c>
      <c r="AH136" s="23"/>
      <c r="AI136" s="23"/>
      <c r="AJ136" s="23">
        <f t="shared" si="264"/>
        <v>0</v>
      </c>
      <c r="AK136" s="23"/>
      <c r="AL136" s="23">
        <f t="shared" si="265"/>
        <v>0</v>
      </c>
      <c r="AM136" s="23"/>
      <c r="AN136" s="23">
        <v>3000</v>
      </c>
      <c r="AO136" s="23">
        <f t="shared" si="266"/>
        <v>3524.9999999999995</v>
      </c>
      <c r="AP136" s="23"/>
      <c r="AQ136" s="23">
        <f t="shared" si="267"/>
        <v>0</v>
      </c>
      <c r="AR136" s="23"/>
      <c r="AS136" s="23"/>
      <c r="AT136" s="23">
        <f t="shared" si="268"/>
        <v>0</v>
      </c>
      <c r="AU136" s="23"/>
      <c r="AV136" s="23">
        <f t="shared" si="269"/>
        <v>0</v>
      </c>
      <c r="AW136" s="23"/>
      <c r="AX136" s="24">
        <v>3000</v>
      </c>
      <c r="AY136" s="24">
        <f t="shared" si="270"/>
        <v>3524.9999999999995</v>
      </c>
      <c r="AZ136" s="23"/>
      <c r="BA136" s="23">
        <f t="shared" si="271"/>
        <v>0</v>
      </c>
      <c r="BB136" s="23"/>
      <c r="BC136" s="23"/>
      <c r="BD136" s="23">
        <f t="shared" si="272"/>
        <v>0</v>
      </c>
      <c r="BE136" s="23"/>
      <c r="BF136" s="23">
        <f t="shared" si="273"/>
        <v>0</v>
      </c>
      <c r="BG136" s="23"/>
      <c r="BH136" s="23">
        <v>3000</v>
      </c>
      <c r="BI136" s="23">
        <f t="shared" si="274"/>
        <v>3524.9999999999995</v>
      </c>
      <c r="BJ136" s="23"/>
      <c r="BK136" s="23">
        <f t="shared" si="275"/>
        <v>0</v>
      </c>
      <c r="BL136" s="23"/>
      <c r="BM136" s="23"/>
      <c r="BN136" s="23">
        <f t="shared" si="276"/>
        <v>0</v>
      </c>
      <c r="BO136" s="23"/>
      <c r="BP136" s="23">
        <f t="shared" si="277"/>
        <v>0</v>
      </c>
      <c r="BQ136" s="23"/>
      <c r="BR136" s="23">
        <v>3000</v>
      </c>
      <c r="BS136" s="23">
        <f t="shared" si="278"/>
        <v>3524.9999999999995</v>
      </c>
      <c r="BT136" s="23"/>
      <c r="BU136" s="23">
        <f t="shared" si="279"/>
        <v>0</v>
      </c>
      <c r="BV136" s="23"/>
      <c r="BW136" s="23"/>
      <c r="BX136" s="23">
        <f t="shared" si="280"/>
        <v>0</v>
      </c>
      <c r="BY136" s="23"/>
      <c r="BZ136" s="23">
        <f t="shared" si="281"/>
        <v>0</v>
      </c>
      <c r="CA136" s="23"/>
      <c r="CB136" s="15"/>
    </row>
    <row r="137" spans="1:80" ht="16" x14ac:dyDescent="0.4">
      <c r="A137" s="15" t="s">
        <v>76</v>
      </c>
      <c r="B137" s="15" t="s">
        <v>262</v>
      </c>
      <c r="C137" s="15" t="s">
        <v>263</v>
      </c>
      <c r="D137" s="15" t="s">
        <v>418</v>
      </c>
      <c r="E137" s="112" t="s">
        <v>419</v>
      </c>
      <c r="F137" s="15" t="s">
        <v>267</v>
      </c>
      <c r="G137" s="15" t="s">
        <v>196</v>
      </c>
      <c r="H137" s="15" t="s">
        <v>77</v>
      </c>
      <c r="I137" s="15" t="s">
        <v>77</v>
      </c>
      <c r="J137" s="15" t="s">
        <v>78</v>
      </c>
      <c r="K137" s="15" t="s">
        <v>79</v>
      </c>
      <c r="L137" s="15" t="s">
        <v>139</v>
      </c>
      <c r="M137" s="15" t="s">
        <v>83</v>
      </c>
      <c r="N137" s="17">
        <v>0.85</v>
      </c>
      <c r="O137" s="18"/>
      <c r="P137" s="22">
        <f t="shared" si="254"/>
        <v>50</v>
      </c>
      <c r="Q137" s="22">
        <f t="shared" si="255"/>
        <v>42.5</v>
      </c>
      <c r="R137" s="22">
        <f t="shared" si="256"/>
        <v>0</v>
      </c>
      <c r="S137" s="22">
        <f t="shared" si="257"/>
        <v>0</v>
      </c>
      <c r="T137" s="23"/>
      <c r="U137" s="23">
        <f t="shared" si="258"/>
        <v>0</v>
      </c>
      <c r="V137" s="23"/>
      <c r="W137" s="23">
        <f t="shared" si="259"/>
        <v>0</v>
      </c>
      <c r="X137" s="23"/>
      <c r="Y137" s="23"/>
      <c r="Z137" s="23">
        <f t="shared" si="260"/>
        <v>0</v>
      </c>
      <c r="AA137" s="23"/>
      <c r="AB137" s="23">
        <f t="shared" si="261"/>
        <v>0</v>
      </c>
      <c r="AC137" s="23"/>
      <c r="AD137" s="23"/>
      <c r="AE137" s="23">
        <f t="shared" si="262"/>
        <v>0</v>
      </c>
      <c r="AF137" s="23"/>
      <c r="AG137" s="23">
        <f t="shared" si="263"/>
        <v>0</v>
      </c>
      <c r="AH137" s="23"/>
      <c r="AI137" s="23"/>
      <c r="AJ137" s="23">
        <f t="shared" si="264"/>
        <v>0</v>
      </c>
      <c r="AK137" s="23"/>
      <c r="AL137" s="23">
        <f t="shared" si="265"/>
        <v>0</v>
      </c>
      <c r="AM137" s="23"/>
      <c r="AN137" s="23"/>
      <c r="AO137" s="23">
        <f t="shared" si="266"/>
        <v>0</v>
      </c>
      <c r="AP137" s="23"/>
      <c r="AQ137" s="23">
        <f t="shared" si="267"/>
        <v>0</v>
      </c>
      <c r="AR137" s="23"/>
      <c r="AS137" s="23"/>
      <c r="AT137" s="23">
        <f t="shared" si="268"/>
        <v>0</v>
      </c>
      <c r="AU137" s="23"/>
      <c r="AV137" s="23">
        <f t="shared" si="269"/>
        <v>0</v>
      </c>
      <c r="AW137" s="23"/>
      <c r="AX137" s="24"/>
      <c r="AY137" s="24">
        <f t="shared" si="270"/>
        <v>0</v>
      </c>
      <c r="AZ137" s="23"/>
      <c r="BA137" s="23">
        <f t="shared" si="271"/>
        <v>0</v>
      </c>
      <c r="BB137" s="23"/>
      <c r="BC137" s="23"/>
      <c r="BD137" s="23">
        <f t="shared" si="272"/>
        <v>0</v>
      </c>
      <c r="BE137" s="23"/>
      <c r="BF137" s="23">
        <f t="shared" si="273"/>
        <v>0</v>
      </c>
      <c r="BG137" s="23"/>
      <c r="BH137" s="23"/>
      <c r="BI137" s="23">
        <f t="shared" si="274"/>
        <v>0</v>
      </c>
      <c r="BJ137" s="23"/>
      <c r="BK137" s="23">
        <f t="shared" si="275"/>
        <v>0</v>
      </c>
      <c r="BL137" s="23"/>
      <c r="BM137" s="23"/>
      <c r="BN137" s="23">
        <f t="shared" si="276"/>
        <v>0</v>
      </c>
      <c r="BO137" s="23"/>
      <c r="BP137" s="23">
        <f t="shared" si="277"/>
        <v>0</v>
      </c>
      <c r="BQ137" s="23"/>
      <c r="BR137" s="23">
        <v>50000</v>
      </c>
      <c r="BS137" s="23">
        <f t="shared" si="278"/>
        <v>42500</v>
      </c>
      <c r="BT137" s="23"/>
      <c r="BU137" s="23">
        <f t="shared" si="279"/>
        <v>0</v>
      </c>
      <c r="BV137" s="23"/>
      <c r="BW137" s="23"/>
      <c r="BX137" s="23">
        <f t="shared" si="280"/>
        <v>0</v>
      </c>
      <c r="BY137" s="23"/>
      <c r="BZ137" s="23">
        <f t="shared" si="281"/>
        <v>0</v>
      </c>
      <c r="CA137" s="23"/>
      <c r="CB137" s="15"/>
    </row>
    <row r="138" spans="1:80" ht="16" x14ac:dyDescent="0.4">
      <c r="A138" s="15" t="s">
        <v>76</v>
      </c>
      <c r="B138" s="15" t="s">
        <v>262</v>
      </c>
      <c r="C138" s="15" t="s">
        <v>263</v>
      </c>
      <c r="D138" s="15" t="s">
        <v>418</v>
      </c>
      <c r="E138" s="112" t="s">
        <v>419</v>
      </c>
      <c r="F138" s="15" t="s">
        <v>267</v>
      </c>
      <c r="G138" s="15" t="s">
        <v>196</v>
      </c>
      <c r="H138" s="15" t="s">
        <v>149</v>
      </c>
      <c r="I138" s="15" t="s">
        <v>149</v>
      </c>
      <c r="J138" s="15" t="s">
        <v>150</v>
      </c>
      <c r="K138" s="15" t="s">
        <v>79</v>
      </c>
      <c r="L138" s="15" t="s">
        <v>293</v>
      </c>
      <c r="M138" s="15" t="s">
        <v>80</v>
      </c>
      <c r="N138" s="17">
        <v>3.1</v>
      </c>
      <c r="O138" s="72">
        <v>15000</v>
      </c>
      <c r="P138" s="22">
        <f t="shared" si="254"/>
        <v>45</v>
      </c>
      <c r="Q138" s="22">
        <f t="shared" si="255"/>
        <v>139.5</v>
      </c>
      <c r="R138" s="22">
        <f t="shared" si="256"/>
        <v>55800</v>
      </c>
      <c r="S138" s="22">
        <f t="shared" si="257"/>
        <v>0</v>
      </c>
      <c r="T138" s="23">
        <v>0</v>
      </c>
      <c r="U138" s="23">
        <f t="shared" si="258"/>
        <v>0</v>
      </c>
      <c r="V138" s="23"/>
      <c r="W138" s="23">
        <f t="shared" si="259"/>
        <v>0</v>
      </c>
      <c r="X138" s="23"/>
      <c r="Y138" s="23">
        <v>7500</v>
      </c>
      <c r="Z138" s="23">
        <f t="shared" si="260"/>
        <v>23250</v>
      </c>
      <c r="AA138" s="23"/>
      <c r="AB138" s="23">
        <f t="shared" si="261"/>
        <v>0</v>
      </c>
      <c r="AC138" s="23"/>
      <c r="AD138" s="23">
        <v>0</v>
      </c>
      <c r="AE138" s="23">
        <f t="shared" si="262"/>
        <v>0</v>
      </c>
      <c r="AF138" s="23">
        <v>6000</v>
      </c>
      <c r="AG138" s="23">
        <f t="shared" si="263"/>
        <v>18600</v>
      </c>
      <c r="AH138" s="23">
        <v>15000</v>
      </c>
      <c r="AI138" s="23">
        <v>7500</v>
      </c>
      <c r="AJ138" s="23">
        <f t="shared" si="264"/>
        <v>23250</v>
      </c>
      <c r="AK138" s="23">
        <v>6000</v>
      </c>
      <c r="AL138" s="23">
        <f t="shared" si="265"/>
        <v>18600</v>
      </c>
      <c r="AM138" s="23"/>
      <c r="AN138" s="23">
        <v>0</v>
      </c>
      <c r="AO138" s="23">
        <f t="shared" si="266"/>
        <v>0</v>
      </c>
      <c r="AP138" s="23">
        <v>6000</v>
      </c>
      <c r="AQ138" s="23">
        <f t="shared" si="267"/>
        <v>18600</v>
      </c>
      <c r="AR138" s="26">
        <v>15000</v>
      </c>
      <c r="AS138" s="23">
        <v>7500</v>
      </c>
      <c r="AT138" s="23">
        <f t="shared" si="268"/>
        <v>23250</v>
      </c>
      <c r="AU138" s="23">
        <v>6000</v>
      </c>
      <c r="AV138" s="23">
        <f t="shared" si="269"/>
        <v>18600</v>
      </c>
      <c r="AW138" s="23"/>
      <c r="AX138" s="24">
        <v>0</v>
      </c>
      <c r="AY138" s="24">
        <f t="shared" si="270"/>
        <v>0</v>
      </c>
      <c r="AZ138" s="23">
        <v>6000</v>
      </c>
      <c r="BA138" s="23">
        <f t="shared" si="271"/>
        <v>18600</v>
      </c>
      <c r="BB138" s="23"/>
      <c r="BC138" s="23">
        <v>7500</v>
      </c>
      <c r="BD138" s="23">
        <f t="shared" si="272"/>
        <v>23250</v>
      </c>
      <c r="BE138" s="23">
        <v>6000</v>
      </c>
      <c r="BF138" s="23">
        <f t="shared" si="273"/>
        <v>18600</v>
      </c>
      <c r="BG138" s="23"/>
      <c r="BH138" s="23">
        <v>0</v>
      </c>
      <c r="BI138" s="23">
        <f t="shared" si="274"/>
        <v>0</v>
      </c>
      <c r="BJ138" s="23">
        <v>6000</v>
      </c>
      <c r="BK138" s="23">
        <f t="shared" si="275"/>
        <v>18600</v>
      </c>
      <c r="BL138" s="23"/>
      <c r="BM138" s="23">
        <v>7500</v>
      </c>
      <c r="BN138" s="23">
        <f t="shared" si="276"/>
        <v>23250</v>
      </c>
      <c r="BO138" s="23"/>
      <c r="BP138" s="23">
        <f t="shared" si="277"/>
        <v>0</v>
      </c>
      <c r="BQ138" s="23"/>
      <c r="BR138" s="23">
        <v>0</v>
      </c>
      <c r="BS138" s="23">
        <f t="shared" si="278"/>
        <v>0</v>
      </c>
      <c r="BT138" s="23"/>
      <c r="BU138" s="23">
        <f t="shared" si="279"/>
        <v>0</v>
      </c>
      <c r="BV138" s="23"/>
      <c r="BW138" s="23">
        <v>7500</v>
      </c>
      <c r="BX138" s="23">
        <f t="shared" si="280"/>
        <v>23250</v>
      </c>
      <c r="BY138" s="23"/>
      <c r="BZ138" s="23">
        <f t="shared" si="281"/>
        <v>0</v>
      </c>
      <c r="CA138" s="23"/>
      <c r="CB138" s="15"/>
    </row>
    <row r="139" spans="1:80" ht="16" x14ac:dyDescent="0.4">
      <c r="A139" s="15" t="s">
        <v>76</v>
      </c>
      <c r="B139" s="15" t="s">
        <v>262</v>
      </c>
      <c r="C139" s="15" t="s">
        <v>263</v>
      </c>
      <c r="D139" s="15" t="s">
        <v>418</v>
      </c>
      <c r="E139" s="112" t="s">
        <v>419</v>
      </c>
      <c r="F139" s="15" t="s">
        <v>267</v>
      </c>
      <c r="G139" s="15" t="s">
        <v>196</v>
      </c>
      <c r="H139" s="15" t="s">
        <v>180</v>
      </c>
      <c r="I139" s="15" t="s">
        <v>180</v>
      </c>
      <c r="J139" s="15" t="s">
        <v>90</v>
      </c>
      <c r="K139" s="15" t="s">
        <v>79</v>
      </c>
      <c r="L139" s="15" t="s">
        <v>420</v>
      </c>
      <c r="M139" s="15" t="s">
        <v>80</v>
      </c>
      <c r="N139" s="17">
        <v>19.78</v>
      </c>
      <c r="O139" s="72">
        <v>24000</v>
      </c>
      <c r="P139" s="22">
        <f t="shared" si="254"/>
        <v>6</v>
      </c>
      <c r="Q139" s="22">
        <f t="shared" si="255"/>
        <v>118.68</v>
      </c>
      <c r="R139" s="22">
        <f t="shared" si="256"/>
        <v>474720</v>
      </c>
      <c r="S139" s="22">
        <f t="shared" si="257"/>
        <v>0</v>
      </c>
      <c r="T139" s="23"/>
      <c r="U139" s="23">
        <f t="shared" si="258"/>
        <v>0</v>
      </c>
      <c r="V139" s="23"/>
      <c r="W139" s="23">
        <f t="shared" si="259"/>
        <v>0</v>
      </c>
      <c r="X139" s="23"/>
      <c r="Y139" s="23"/>
      <c r="Z139" s="23">
        <f t="shared" si="260"/>
        <v>0</v>
      </c>
      <c r="AA139" s="23">
        <v>20000</v>
      </c>
      <c r="AB139" s="23">
        <f t="shared" si="261"/>
        <v>395600</v>
      </c>
      <c r="AC139" s="23"/>
      <c r="AD139" s="23"/>
      <c r="AE139" s="23">
        <f t="shared" si="262"/>
        <v>0</v>
      </c>
      <c r="AF139" s="23">
        <v>20000</v>
      </c>
      <c r="AG139" s="23">
        <f t="shared" si="263"/>
        <v>395600</v>
      </c>
      <c r="AH139" s="23"/>
      <c r="AI139" s="23"/>
      <c r="AJ139" s="23">
        <f t="shared" si="264"/>
        <v>0</v>
      </c>
      <c r="AK139" s="23">
        <v>20000</v>
      </c>
      <c r="AL139" s="23">
        <f t="shared" si="265"/>
        <v>395600</v>
      </c>
      <c r="AM139" s="23"/>
      <c r="AN139" s="23"/>
      <c r="AO139" s="23">
        <f t="shared" si="266"/>
        <v>0</v>
      </c>
      <c r="AP139" s="23">
        <v>20000</v>
      </c>
      <c r="AQ139" s="23">
        <f t="shared" si="267"/>
        <v>395600</v>
      </c>
      <c r="AR139" s="23"/>
      <c r="AS139" s="23">
        <v>3000</v>
      </c>
      <c r="AT139" s="23">
        <f t="shared" si="268"/>
        <v>59340</v>
      </c>
      <c r="AU139" s="23">
        <v>12000</v>
      </c>
      <c r="AV139" s="23">
        <f t="shared" si="269"/>
        <v>237360</v>
      </c>
      <c r="AW139" s="23"/>
      <c r="AX139" s="24"/>
      <c r="AY139" s="24">
        <f t="shared" si="270"/>
        <v>0</v>
      </c>
      <c r="AZ139" s="23">
        <v>12000</v>
      </c>
      <c r="BA139" s="23">
        <f t="shared" si="271"/>
        <v>237360</v>
      </c>
      <c r="BB139" s="23"/>
      <c r="BC139" s="23"/>
      <c r="BD139" s="23">
        <f t="shared" si="272"/>
        <v>0</v>
      </c>
      <c r="BE139" s="23">
        <v>12000</v>
      </c>
      <c r="BF139" s="23">
        <f t="shared" si="273"/>
        <v>237360</v>
      </c>
      <c r="BG139" s="23"/>
      <c r="BH139" s="23">
        <v>3000</v>
      </c>
      <c r="BI139" s="23">
        <f t="shared" si="274"/>
        <v>59340</v>
      </c>
      <c r="BJ139" s="23"/>
      <c r="BK139" s="23">
        <f t="shared" si="275"/>
        <v>0</v>
      </c>
      <c r="BL139" s="23"/>
      <c r="BM139" s="23"/>
      <c r="BN139" s="23">
        <f t="shared" si="276"/>
        <v>0</v>
      </c>
      <c r="BO139" s="23"/>
      <c r="BP139" s="23">
        <f t="shared" si="277"/>
        <v>0</v>
      </c>
      <c r="BQ139" s="23"/>
      <c r="BR139" s="23"/>
      <c r="BS139" s="23">
        <f t="shared" si="278"/>
        <v>0</v>
      </c>
      <c r="BT139" s="23"/>
      <c r="BU139" s="23">
        <f t="shared" si="279"/>
        <v>0</v>
      </c>
      <c r="BV139" s="23"/>
      <c r="BW139" s="23"/>
      <c r="BX139" s="23">
        <f t="shared" si="280"/>
        <v>0</v>
      </c>
      <c r="BY139" s="23"/>
      <c r="BZ139" s="23">
        <f t="shared" si="281"/>
        <v>0</v>
      </c>
      <c r="CA139" s="23"/>
      <c r="CB139" s="15"/>
    </row>
    <row r="140" spans="1:80" ht="16" x14ac:dyDescent="0.4">
      <c r="A140" s="15" t="s">
        <v>76</v>
      </c>
      <c r="B140" s="15" t="s">
        <v>262</v>
      </c>
      <c r="C140" s="15" t="s">
        <v>263</v>
      </c>
      <c r="D140" s="15" t="s">
        <v>421</v>
      </c>
      <c r="E140" s="112" t="s">
        <v>422</v>
      </c>
      <c r="F140" s="15" t="s">
        <v>267</v>
      </c>
      <c r="G140" s="15" t="s">
        <v>283</v>
      </c>
      <c r="H140" s="15" t="s">
        <v>214</v>
      </c>
      <c r="I140" s="15" t="s">
        <v>214</v>
      </c>
      <c r="J140" s="15" t="s">
        <v>86</v>
      </c>
      <c r="K140" s="15" t="s">
        <v>136</v>
      </c>
      <c r="L140" s="15" t="s">
        <v>555</v>
      </c>
      <c r="M140" s="15"/>
      <c r="N140" s="17"/>
      <c r="O140" s="18"/>
      <c r="P140" s="22">
        <f t="shared" si="254"/>
        <v>0</v>
      </c>
      <c r="Q140" s="22">
        <f t="shared" si="255"/>
        <v>0</v>
      </c>
      <c r="R140" s="22">
        <f t="shared" si="256"/>
        <v>0</v>
      </c>
      <c r="S140" s="22">
        <f t="shared" si="257"/>
        <v>0</v>
      </c>
      <c r="T140" s="23"/>
      <c r="U140" s="23">
        <f t="shared" si="258"/>
        <v>0</v>
      </c>
      <c r="V140" s="23"/>
      <c r="W140" s="23">
        <f t="shared" si="259"/>
        <v>0</v>
      </c>
      <c r="X140" s="23"/>
      <c r="Y140" s="23"/>
      <c r="Z140" s="23">
        <f t="shared" si="260"/>
        <v>0</v>
      </c>
      <c r="AA140" s="23"/>
      <c r="AB140" s="23">
        <f t="shared" si="261"/>
        <v>0</v>
      </c>
      <c r="AC140" s="23"/>
      <c r="AD140" s="23"/>
      <c r="AE140" s="23">
        <f t="shared" si="262"/>
        <v>0</v>
      </c>
      <c r="AF140" s="23"/>
      <c r="AG140" s="23">
        <f t="shared" si="263"/>
        <v>0</v>
      </c>
      <c r="AH140" s="23"/>
      <c r="AI140" s="23"/>
      <c r="AJ140" s="23">
        <f t="shared" si="264"/>
        <v>0</v>
      </c>
      <c r="AK140" s="23"/>
      <c r="AL140" s="23">
        <f t="shared" si="265"/>
        <v>0</v>
      </c>
      <c r="AM140" s="23"/>
      <c r="AN140" s="23"/>
      <c r="AO140" s="23">
        <f t="shared" si="266"/>
        <v>0</v>
      </c>
      <c r="AP140" s="23"/>
      <c r="AQ140" s="23">
        <f t="shared" si="267"/>
        <v>0</v>
      </c>
      <c r="AR140" s="23"/>
      <c r="AS140" s="23"/>
      <c r="AT140" s="23">
        <f t="shared" si="268"/>
        <v>0</v>
      </c>
      <c r="AU140" s="23"/>
      <c r="AV140" s="23">
        <f t="shared" si="269"/>
        <v>0</v>
      </c>
      <c r="AW140" s="27">
        <v>3000</v>
      </c>
      <c r="AX140" s="24"/>
      <c r="AY140" s="24">
        <f t="shared" si="270"/>
        <v>0</v>
      </c>
      <c r="AZ140" s="23"/>
      <c r="BA140" s="23">
        <f t="shared" si="271"/>
        <v>0</v>
      </c>
      <c r="BB140" s="23"/>
      <c r="BC140" s="23"/>
      <c r="BD140" s="23">
        <f t="shared" si="272"/>
        <v>0</v>
      </c>
      <c r="BE140" s="23"/>
      <c r="BF140" s="23">
        <f t="shared" si="273"/>
        <v>0</v>
      </c>
      <c r="BG140" s="23"/>
      <c r="BH140" s="23"/>
      <c r="BI140" s="23">
        <f t="shared" si="274"/>
        <v>0</v>
      </c>
      <c r="BJ140" s="23"/>
      <c r="BK140" s="23">
        <f t="shared" si="275"/>
        <v>0</v>
      </c>
      <c r="BL140" s="23"/>
      <c r="BM140" s="23"/>
      <c r="BN140" s="23">
        <f t="shared" si="276"/>
        <v>0</v>
      </c>
      <c r="BO140" s="23"/>
      <c r="BP140" s="23">
        <f t="shared" si="277"/>
        <v>0</v>
      </c>
      <c r="BQ140" s="23"/>
      <c r="BR140" s="23"/>
      <c r="BS140" s="23">
        <f t="shared" si="278"/>
        <v>0</v>
      </c>
      <c r="BT140" s="23"/>
      <c r="BU140" s="23">
        <f t="shared" si="279"/>
        <v>0</v>
      </c>
      <c r="BV140" s="23"/>
      <c r="BW140" s="23"/>
      <c r="BX140" s="23">
        <f t="shared" si="280"/>
        <v>0</v>
      </c>
      <c r="BY140" s="23"/>
      <c r="BZ140" s="23">
        <f t="shared" si="281"/>
        <v>0</v>
      </c>
      <c r="CA140" s="23"/>
      <c r="CB140" s="103" t="s">
        <v>598</v>
      </c>
    </row>
    <row r="141" spans="1:80" ht="16" x14ac:dyDescent="0.4">
      <c r="A141" s="15" t="s">
        <v>76</v>
      </c>
      <c r="B141" s="15" t="s">
        <v>262</v>
      </c>
      <c r="C141" s="15" t="s">
        <v>263</v>
      </c>
      <c r="D141" s="15"/>
      <c r="E141" s="112" t="s">
        <v>556</v>
      </c>
      <c r="F141" s="15" t="s">
        <v>267</v>
      </c>
      <c r="G141" s="15"/>
      <c r="H141" s="15" t="s">
        <v>82</v>
      </c>
      <c r="I141" s="15" t="s">
        <v>82</v>
      </c>
      <c r="J141" s="15" t="s">
        <v>112</v>
      </c>
      <c r="K141" s="15" t="s">
        <v>81</v>
      </c>
      <c r="L141" s="15" t="s">
        <v>557</v>
      </c>
      <c r="M141" s="15" t="s">
        <v>213</v>
      </c>
      <c r="N141" s="17">
        <v>295</v>
      </c>
      <c r="O141" s="18"/>
      <c r="P141" s="22">
        <f t="shared" si="254"/>
        <v>1</v>
      </c>
      <c r="Q141" s="22">
        <f t="shared" si="255"/>
        <v>295</v>
      </c>
      <c r="R141" s="22">
        <f t="shared" si="256"/>
        <v>0</v>
      </c>
      <c r="S141" s="22">
        <f t="shared" si="257"/>
        <v>0</v>
      </c>
      <c r="T141" s="23"/>
      <c r="U141" s="23">
        <f t="shared" si="258"/>
        <v>0</v>
      </c>
      <c r="V141" s="23"/>
      <c r="W141" s="23">
        <f t="shared" si="259"/>
        <v>0</v>
      </c>
      <c r="X141" s="23"/>
      <c r="Y141" s="23"/>
      <c r="Z141" s="23">
        <f t="shared" si="260"/>
        <v>0</v>
      </c>
      <c r="AA141" s="23"/>
      <c r="AB141" s="23">
        <f t="shared" si="261"/>
        <v>0</v>
      </c>
      <c r="AC141" s="23"/>
      <c r="AD141" s="23"/>
      <c r="AE141" s="23">
        <f t="shared" si="262"/>
        <v>0</v>
      </c>
      <c r="AF141" s="23"/>
      <c r="AG141" s="23">
        <f t="shared" si="263"/>
        <v>0</v>
      </c>
      <c r="AH141" s="23"/>
      <c r="AI141" s="23">
        <v>500</v>
      </c>
      <c r="AJ141" s="23">
        <f t="shared" si="264"/>
        <v>147500</v>
      </c>
      <c r="AK141" s="23"/>
      <c r="AL141" s="23">
        <f t="shared" si="265"/>
        <v>0</v>
      </c>
      <c r="AM141" s="23"/>
      <c r="AN141" s="23"/>
      <c r="AO141" s="23">
        <f t="shared" si="266"/>
        <v>0</v>
      </c>
      <c r="AP141" s="23"/>
      <c r="AQ141" s="23">
        <f t="shared" si="267"/>
        <v>0</v>
      </c>
      <c r="AR141" s="23"/>
      <c r="AS141" s="23"/>
      <c r="AT141" s="23">
        <f t="shared" si="268"/>
        <v>0</v>
      </c>
      <c r="AU141" s="23"/>
      <c r="AV141" s="23">
        <f t="shared" si="269"/>
        <v>0</v>
      </c>
      <c r="AW141" s="23"/>
      <c r="AX141" s="24"/>
      <c r="AY141" s="24">
        <f t="shared" si="270"/>
        <v>0</v>
      </c>
      <c r="AZ141" s="23"/>
      <c r="BA141" s="23">
        <f t="shared" si="271"/>
        <v>0</v>
      </c>
      <c r="BB141" s="23"/>
      <c r="BC141" s="23"/>
      <c r="BD141" s="23">
        <f t="shared" si="272"/>
        <v>0</v>
      </c>
      <c r="BE141" s="23"/>
      <c r="BF141" s="23">
        <f t="shared" si="273"/>
        <v>0</v>
      </c>
      <c r="BG141" s="23"/>
      <c r="BH141" s="23"/>
      <c r="BI141" s="23">
        <f t="shared" si="274"/>
        <v>0</v>
      </c>
      <c r="BJ141" s="23"/>
      <c r="BK141" s="23">
        <f t="shared" si="275"/>
        <v>0</v>
      </c>
      <c r="BL141" s="23"/>
      <c r="BM141" s="23">
        <v>500</v>
      </c>
      <c r="BN141" s="23">
        <f t="shared" si="276"/>
        <v>147500</v>
      </c>
      <c r="BO141" s="23"/>
      <c r="BP141" s="23">
        <f t="shared" si="277"/>
        <v>0</v>
      </c>
      <c r="BQ141" s="23"/>
      <c r="BR141" s="23"/>
      <c r="BS141" s="23">
        <f t="shared" si="278"/>
        <v>0</v>
      </c>
      <c r="BT141" s="23"/>
      <c r="BU141" s="23">
        <f t="shared" si="279"/>
        <v>0</v>
      </c>
      <c r="BV141" s="23"/>
      <c r="BW141" s="23"/>
      <c r="BX141" s="23">
        <f t="shared" si="280"/>
        <v>0</v>
      </c>
      <c r="BY141" s="23"/>
      <c r="BZ141" s="23">
        <f t="shared" si="281"/>
        <v>0</v>
      </c>
      <c r="CA141" s="23"/>
      <c r="CB141" s="15"/>
    </row>
    <row r="142" spans="1:80" ht="16" x14ac:dyDescent="0.4">
      <c r="A142" s="15" t="s">
        <v>76</v>
      </c>
      <c r="B142" s="15" t="s">
        <v>262</v>
      </c>
      <c r="C142" s="15" t="s">
        <v>263</v>
      </c>
      <c r="D142" s="15"/>
      <c r="E142" s="112" t="s">
        <v>556</v>
      </c>
      <c r="F142" s="15" t="s">
        <v>267</v>
      </c>
      <c r="G142" s="15"/>
      <c r="H142" s="15" t="s">
        <v>82</v>
      </c>
      <c r="I142" s="15" t="s">
        <v>82</v>
      </c>
      <c r="J142" s="15" t="s">
        <v>112</v>
      </c>
      <c r="K142" s="15" t="s">
        <v>81</v>
      </c>
      <c r="L142" s="15" t="s">
        <v>558</v>
      </c>
      <c r="M142" s="15" t="s">
        <v>213</v>
      </c>
      <c r="N142" s="17">
        <v>275</v>
      </c>
      <c r="O142" s="18"/>
      <c r="P142" s="22">
        <f t="shared" si="254"/>
        <v>1</v>
      </c>
      <c r="Q142" s="22">
        <f t="shared" si="255"/>
        <v>275</v>
      </c>
      <c r="R142" s="22">
        <f t="shared" si="256"/>
        <v>0</v>
      </c>
      <c r="S142" s="22">
        <f t="shared" si="257"/>
        <v>0</v>
      </c>
      <c r="T142" s="23"/>
      <c r="U142" s="23">
        <f t="shared" si="258"/>
        <v>0</v>
      </c>
      <c r="V142" s="23"/>
      <c r="W142" s="23">
        <f t="shared" si="259"/>
        <v>0</v>
      </c>
      <c r="X142" s="23"/>
      <c r="Y142" s="23"/>
      <c r="Z142" s="23">
        <f t="shared" si="260"/>
        <v>0</v>
      </c>
      <c r="AA142" s="23"/>
      <c r="AB142" s="23">
        <f t="shared" si="261"/>
        <v>0</v>
      </c>
      <c r="AC142" s="23"/>
      <c r="AD142" s="23"/>
      <c r="AE142" s="23">
        <f t="shared" si="262"/>
        <v>0</v>
      </c>
      <c r="AF142" s="23"/>
      <c r="AG142" s="23">
        <f t="shared" si="263"/>
        <v>0</v>
      </c>
      <c r="AH142" s="23"/>
      <c r="AI142" s="23">
        <v>500</v>
      </c>
      <c r="AJ142" s="23">
        <f t="shared" si="264"/>
        <v>137500</v>
      </c>
      <c r="AK142" s="23"/>
      <c r="AL142" s="23">
        <f t="shared" si="265"/>
        <v>0</v>
      </c>
      <c r="AM142" s="23"/>
      <c r="AN142" s="23"/>
      <c r="AO142" s="23">
        <f t="shared" si="266"/>
        <v>0</v>
      </c>
      <c r="AP142" s="23"/>
      <c r="AQ142" s="23">
        <f t="shared" si="267"/>
        <v>0</v>
      </c>
      <c r="AR142" s="23"/>
      <c r="AS142" s="23"/>
      <c r="AT142" s="23">
        <f t="shared" si="268"/>
        <v>0</v>
      </c>
      <c r="AU142" s="23"/>
      <c r="AV142" s="23">
        <f t="shared" si="269"/>
        <v>0</v>
      </c>
      <c r="AW142" s="23"/>
      <c r="AX142" s="24"/>
      <c r="AY142" s="24">
        <f t="shared" si="270"/>
        <v>0</v>
      </c>
      <c r="AZ142" s="23"/>
      <c r="BA142" s="23">
        <f t="shared" si="271"/>
        <v>0</v>
      </c>
      <c r="BB142" s="23"/>
      <c r="BC142" s="23"/>
      <c r="BD142" s="23">
        <f t="shared" si="272"/>
        <v>0</v>
      </c>
      <c r="BE142" s="23"/>
      <c r="BF142" s="23">
        <f t="shared" si="273"/>
        <v>0</v>
      </c>
      <c r="BG142" s="23"/>
      <c r="BH142" s="23"/>
      <c r="BI142" s="23">
        <f t="shared" si="274"/>
        <v>0</v>
      </c>
      <c r="BJ142" s="23"/>
      <c r="BK142" s="23">
        <f t="shared" si="275"/>
        <v>0</v>
      </c>
      <c r="BL142" s="23"/>
      <c r="BM142" s="23">
        <v>500</v>
      </c>
      <c r="BN142" s="23">
        <f t="shared" si="276"/>
        <v>137500</v>
      </c>
      <c r="BO142" s="23"/>
      <c r="BP142" s="23">
        <f t="shared" si="277"/>
        <v>0</v>
      </c>
      <c r="BQ142" s="23"/>
      <c r="BR142" s="23"/>
      <c r="BS142" s="23">
        <f t="shared" si="278"/>
        <v>0</v>
      </c>
      <c r="BT142" s="23"/>
      <c r="BU142" s="23">
        <f t="shared" si="279"/>
        <v>0</v>
      </c>
      <c r="BV142" s="23"/>
      <c r="BW142" s="23"/>
      <c r="BX142" s="23">
        <f t="shared" si="280"/>
        <v>0</v>
      </c>
      <c r="BY142" s="23"/>
      <c r="BZ142" s="23">
        <f t="shared" si="281"/>
        <v>0</v>
      </c>
      <c r="CA142" s="23"/>
      <c r="CB142" s="15"/>
    </row>
    <row r="143" spans="1:80" ht="16" x14ac:dyDescent="0.4">
      <c r="A143" s="15" t="s">
        <v>76</v>
      </c>
      <c r="B143" s="15" t="s">
        <v>262</v>
      </c>
      <c r="C143" s="15" t="s">
        <v>263</v>
      </c>
      <c r="D143" s="15"/>
      <c r="E143" s="112" t="s">
        <v>556</v>
      </c>
      <c r="F143" s="15" t="s">
        <v>267</v>
      </c>
      <c r="G143" s="15"/>
      <c r="H143" s="15" t="s">
        <v>96</v>
      </c>
      <c r="I143" s="15" t="s">
        <v>96</v>
      </c>
      <c r="J143" s="16" t="s">
        <v>146</v>
      </c>
      <c r="K143" s="3" t="s">
        <v>97</v>
      </c>
      <c r="L143" s="15" t="s">
        <v>559</v>
      </c>
      <c r="M143" s="15" t="s">
        <v>213</v>
      </c>
      <c r="N143" s="17">
        <v>1350</v>
      </c>
      <c r="O143" s="18"/>
      <c r="P143" s="22">
        <f t="shared" si="254"/>
        <v>1</v>
      </c>
      <c r="Q143" s="22">
        <f t="shared" si="255"/>
        <v>1350</v>
      </c>
      <c r="R143" s="22">
        <f t="shared" si="256"/>
        <v>0</v>
      </c>
      <c r="S143" s="22">
        <f t="shared" si="257"/>
        <v>0</v>
      </c>
      <c r="T143" s="23"/>
      <c r="U143" s="23">
        <f t="shared" si="258"/>
        <v>0</v>
      </c>
      <c r="V143" s="23"/>
      <c r="W143" s="23">
        <f t="shared" si="259"/>
        <v>0</v>
      </c>
      <c r="X143" s="23"/>
      <c r="Y143" s="23"/>
      <c r="Z143" s="23">
        <f t="shared" si="260"/>
        <v>0</v>
      </c>
      <c r="AA143" s="23"/>
      <c r="AB143" s="23">
        <f t="shared" si="261"/>
        <v>0</v>
      </c>
      <c r="AC143" s="23"/>
      <c r="AD143" s="23"/>
      <c r="AE143" s="23">
        <f t="shared" si="262"/>
        <v>0</v>
      </c>
      <c r="AF143" s="23"/>
      <c r="AG143" s="23">
        <f t="shared" si="263"/>
        <v>0</v>
      </c>
      <c r="AH143" s="23"/>
      <c r="AI143" s="23">
        <v>500</v>
      </c>
      <c r="AJ143" s="23">
        <f t="shared" si="264"/>
        <v>675000</v>
      </c>
      <c r="AK143" s="23"/>
      <c r="AL143" s="23">
        <f t="shared" si="265"/>
        <v>0</v>
      </c>
      <c r="AM143" s="23"/>
      <c r="AN143" s="23"/>
      <c r="AO143" s="23">
        <f t="shared" si="266"/>
        <v>0</v>
      </c>
      <c r="AP143" s="23"/>
      <c r="AQ143" s="23">
        <f t="shared" si="267"/>
        <v>0</v>
      </c>
      <c r="AR143" s="23"/>
      <c r="AS143" s="23"/>
      <c r="AT143" s="23">
        <f t="shared" si="268"/>
        <v>0</v>
      </c>
      <c r="AU143" s="23"/>
      <c r="AV143" s="23">
        <f t="shared" si="269"/>
        <v>0</v>
      </c>
      <c r="AW143" s="23"/>
      <c r="AX143" s="24"/>
      <c r="AY143" s="24">
        <f t="shared" si="270"/>
        <v>0</v>
      </c>
      <c r="AZ143" s="23"/>
      <c r="BA143" s="23">
        <f t="shared" si="271"/>
        <v>0</v>
      </c>
      <c r="BB143" s="23"/>
      <c r="BC143" s="23"/>
      <c r="BD143" s="23">
        <f t="shared" si="272"/>
        <v>0</v>
      </c>
      <c r="BE143" s="23"/>
      <c r="BF143" s="23">
        <f t="shared" si="273"/>
        <v>0</v>
      </c>
      <c r="BG143" s="23"/>
      <c r="BH143" s="23"/>
      <c r="BI143" s="23">
        <f t="shared" si="274"/>
        <v>0</v>
      </c>
      <c r="BJ143" s="23"/>
      <c r="BK143" s="23">
        <f t="shared" si="275"/>
        <v>0</v>
      </c>
      <c r="BL143" s="23"/>
      <c r="BM143" s="23">
        <v>500</v>
      </c>
      <c r="BN143" s="23">
        <f t="shared" si="276"/>
        <v>675000</v>
      </c>
      <c r="BO143" s="23"/>
      <c r="BP143" s="23">
        <f t="shared" si="277"/>
        <v>0</v>
      </c>
      <c r="BQ143" s="23"/>
      <c r="BR143" s="23"/>
      <c r="BS143" s="23">
        <f t="shared" si="278"/>
        <v>0</v>
      </c>
      <c r="BT143" s="23"/>
      <c r="BU143" s="23">
        <f t="shared" si="279"/>
        <v>0</v>
      </c>
      <c r="BV143" s="23"/>
      <c r="BW143" s="23"/>
      <c r="BX143" s="23">
        <f t="shared" si="280"/>
        <v>0</v>
      </c>
      <c r="BY143" s="23"/>
      <c r="BZ143" s="23">
        <f t="shared" si="281"/>
        <v>0</v>
      </c>
      <c r="CA143" s="23"/>
      <c r="CB143" s="15"/>
    </row>
    <row r="144" spans="1:80" ht="16" x14ac:dyDescent="0.4">
      <c r="A144" s="15" t="s">
        <v>76</v>
      </c>
      <c r="B144" s="15" t="s">
        <v>262</v>
      </c>
      <c r="C144" s="15" t="s">
        <v>263</v>
      </c>
      <c r="D144" s="15"/>
      <c r="E144" s="112" t="s">
        <v>556</v>
      </c>
      <c r="F144" s="15" t="s">
        <v>267</v>
      </c>
      <c r="G144" s="15"/>
      <c r="H144" s="15" t="s">
        <v>91</v>
      </c>
      <c r="I144" s="15" t="s">
        <v>91</v>
      </c>
      <c r="J144" s="15" t="s">
        <v>92</v>
      </c>
      <c r="K144" s="15" t="s">
        <v>93</v>
      </c>
      <c r="L144" s="15" t="s">
        <v>560</v>
      </c>
      <c r="M144" s="15" t="s">
        <v>213</v>
      </c>
      <c r="N144" s="17">
        <v>790</v>
      </c>
      <c r="O144" s="18"/>
      <c r="P144" s="22">
        <f t="shared" si="254"/>
        <v>1</v>
      </c>
      <c r="Q144" s="22">
        <f t="shared" si="255"/>
        <v>790</v>
      </c>
      <c r="R144" s="22">
        <f t="shared" si="256"/>
        <v>0</v>
      </c>
      <c r="S144" s="22">
        <f t="shared" si="257"/>
        <v>0</v>
      </c>
      <c r="T144" s="23"/>
      <c r="U144" s="23">
        <f t="shared" si="258"/>
        <v>0</v>
      </c>
      <c r="V144" s="23"/>
      <c r="W144" s="23">
        <f t="shared" si="259"/>
        <v>0</v>
      </c>
      <c r="X144" s="23"/>
      <c r="Y144" s="23"/>
      <c r="Z144" s="23">
        <f t="shared" si="260"/>
        <v>0</v>
      </c>
      <c r="AA144" s="23"/>
      <c r="AB144" s="23">
        <f t="shared" si="261"/>
        <v>0</v>
      </c>
      <c r="AC144" s="23"/>
      <c r="AD144" s="23"/>
      <c r="AE144" s="23">
        <f t="shared" si="262"/>
        <v>0</v>
      </c>
      <c r="AF144" s="23"/>
      <c r="AG144" s="23">
        <f t="shared" si="263"/>
        <v>0</v>
      </c>
      <c r="AH144" s="23"/>
      <c r="AI144" s="23">
        <v>500</v>
      </c>
      <c r="AJ144" s="23">
        <f t="shared" si="264"/>
        <v>395000</v>
      </c>
      <c r="AK144" s="23"/>
      <c r="AL144" s="23">
        <f t="shared" si="265"/>
        <v>0</v>
      </c>
      <c r="AM144" s="23"/>
      <c r="AN144" s="23"/>
      <c r="AO144" s="23">
        <f t="shared" si="266"/>
        <v>0</v>
      </c>
      <c r="AP144" s="23"/>
      <c r="AQ144" s="23">
        <f t="shared" si="267"/>
        <v>0</v>
      </c>
      <c r="AR144" s="23"/>
      <c r="AS144" s="23"/>
      <c r="AT144" s="23">
        <f t="shared" si="268"/>
        <v>0</v>
      </c>
      <c r="AU144" s="23"/>
      <c r="AV144" s="23">
        <f t="shared" si="269"/>
        <v>0</v>
      </c>
      <c r="AW144" s="23"/>
      <c r="AX144" s="24"/>
      <c r="AY144" s="24">
        <f t="shared" si="270"/>
        <v>0</v>
      </c>
      <c r="AZ144" s="23"/>
      <c r="BA144" s="23">
        <f t="shared" si="271"/>
        <v>0</v>
      </c>
      <c r="BB144" s="23"/>
      <c r="BC144" s="23"/>
      <c r="BD144" s="23">
        <f t="shared" si="272"/>
        <v>0</v>
      </c>
      <c r="BE144" s="23"/>
      <c r="BF144" s="23">
        <f t="shared" si="273"/>
        <v>0</v>
      </c>
      <c r="BG144" s="23"/>
      <c r="BH144" s="23"/>
      <c r="BI144" s="23">
        <f t="shared" si="274"/>
        <v>0</v>
      </c>
      <c r="BJ144" s="23"/>
      <c r="BK144" s="23">
        <f t="shared" si="275"/>
        <v>0</v>
      </c>
      <c r="BL144" s="23"/>
      <c r="BM144" s="23">
        <v>500</v>
      </c>
      <c r="BN144" s="23">
        <f t="shared" si="276"/>
        <v>395000</v>
      </c>
      <c r="BO144" s="23"/>
      <c r="BP144" s="23">
        <f t="shared" si="277"/>
        <v>0</v>
      </c>
      <c r="BQ144" s="23"/>
      <c r="BR144" s="23"/>
      <c r="BS144" s="23">
        <f t="shared" si="278"/>
        <v>0</v>
      </c>
      <c r="BT144" s="23"/>
      <c r="BU144" s="23">
        <f t="shared" si="279"/>
        <v>0</v>
      </c>
      <c r="BV144" s="23"/>
      <c r="BW144" s="23"/>
      <c r="BX144" s="23">
        <f t="shared" si="280"/>
        <v>0</v>
      </c>
      <c r="BY144" s="23"/>
      <c r="BZ144" s="23">
        <f t="shared" si="281"/>
        <v>0</v>
      </c>
      <c r="CA144" s="23"/>
      <c r="CB144" s="15"/>
    </row>
    <row r="145" spans="1:80" ht="16" x14ac:dyDescent="0.4">
      <c r="A145" s="15" t="s">
        <v>76</v>
      </c>
      <c r="B145" s="15" t="s">
        <v>262</v>
      </c>
      <c r="C145" s="15" t="s">
        <v>263</v>
      </c>
      <c r="D145" s="15" t="s">
        <v>561</v>
      </c>
      <c r="E145" s="112" t="s">
        <v>562</v>
      </c>
      <c r="F145" s="15" t="s">
        <v>267</v>
      </c>
      <c r="G145" s="15" t="s">
        <v>268</v>
      </c>
      <c r="H145" s="15" t="s">
        <v>114</v>
      </c>
      <c r="I145" s="15" t="s">
        <v>114</v>
      </c>
      <c r="J145" s="15" t="s">
        <v>89</v>
      </c>
      <c r="K145" s="15" t="s">
        <v>115</v>
      </c>
      <c r="L145" s="15" t="s">
        <v>563</v>
      </c>
      <c r="M145" s="15" t="s">
        <v>80</v>
      </c>
      <c r="N145" s="17">
        <v>1555.1</v>
      </c>
      <c r="O145" s="18"/>
      <c r="P145" s="22">
        <f t="shared" ref="P145:P151" si="282">+(T145+Y145+AD145+AI145+AN145+AS145+AX145+BC145+BH145+BM145+BR145+BW145)/1000</f>
        <v>118.6</v>
      </c>
      <c r="Q145" s="22">
        <f t="shared" ref="Q145:Q151" si="283">+(U145+Z145+AE145+AJ145+AO145+AT145+AY145+BD145+BI145+BN145+BS145+BX145)/1000</f>
        <v>184434.86</v>
      </c>
      <c r="R145" s="22">
        <f t="shared" si="256"/>
        <v>24259560</v>
      </c>
      <c r="S145" s="22">
        <f t="shared" si="257"/>
        <v>26400</v>
      </c>
      <c r="T145" s="23">
        <v>7800</v>
      </c>
      <c r="U145" s="23">
        <f t="shared" si="258"/>
        <v>12129780</v>
      </c>
      <c r="V145" s="23">
        <v>7800</v>
      </c>
      <c r="W145" s="23">
        <f t="shared" si="259"/>
        <v>12129780</v>
      </c>
      <c r="X145" s="23">
        <v>10200</v>
      </c>
      <c r="Y145" s="23">
        <v>7800</v>
      </c>
      <c r="Z145" s="23">
        <f t="shared" si="260"/>
        <v>12129780</v>
      </c>
      <c r="AA145" s="23">
        <v>0</v>
      </c>
      <c r="AB145" s="23">
        <f t="shared" si="261"/>
        <v>0</v>
      </c>
      <c r="AC145" s="23">
        <v>6000</v>
      </c>
      <c r="AD145" s="23">
        <v>7800</v>
      </c>
      <c r="AE145" s="23">
        <f t="shared" ref="AE145:AE151" si="284">AD145*N145</f>
        <v>12129780</v>
      </c>
      <c r="AF145" s="23">
        <v>3600</v>
      </c>
      <c r="AG145" s="23">
        <f t="shared" si="263"/>
        <v>5598360</v>
      </c>
      <c r="AH145" s="23">
        <v>3600</v>
      </c>
      <c r="AI145" s="23">
        <v>7800</v>
      </c>
      <c r="AJ145" s="23">
        <f t="shared" si="264"/>
        <v>12129780</v>
      </c>
      <c r="AK145" s="23">
        <v>12500</v>
      </c>
      <c r="AL145" s="23">
        <f t="shared" si="265"/>
        <v>19438750</v>
      </c>
      <c r="AM145" s="23">
        <v>10200</v>
      </c>
      <c r="AN145" s="23">
        <v>7800</v>
      </c>
      <c r="AO145" s="23">
        <f t="shared" si="266"/>
        <v>12129780</v>
      </c>
      <c r="AP145" s="23">
        <v>0</v>
      </c>
      <c r="AQ145" s="23">
        <f t="shared" si="267"/>
        <v>0</v>
      </c>
      <c r="AR145" s="23"/>
      <c r="AS145" s="23">
        <v>7800</v>
      </c>
      <c r="AT145" s="23">
        <f t="shared" si="268"/>
        <v>12129780</v>
      </c>
      <c r="AU145" s="23">
        <v>4200</v>
      </c>
      <c r="AV145" s="23">
        <f t="shared" si="269"/>
        <v>6531420</v>
      </c>
      <c r="AW145" s="27">
        <v>4200</v>
      </c>
      <c r="AX145" s="24">
        <v>7800</v>
      </c>
      <c r="AY145" s="24">
        <f t="shared" si="270"/>
        <v>12129780</v>
      </c>
      <c r="AZ145" s="23">
        <v>7800</v>
      </c>
      <c r="BA145" s="23">
        <f t="shared" si="271"/>
        <v>12129780</v>
      </c>
      <c r="BB145" s="73">
        <v>1800</v>
      </c>
      <c r="BC145" s="23">
        <v>12800</v>
      </c>
      <c r="BD145" s="23">
        <f t="shared" si="272"/>
        <v>19905280</v>
      </c>
      <c r="BE145" s="23">
        <v>7800</v>
      </c>
      <c r="BF145" s="23">
        <f t="shared" si="273"/>
        <v>12129780</v>
      </c>
      <c r="BG145" s="23">
        <v>16800</v>
      </c>
      <c r="BH145" s="23">
        <v>12800</v>
      </c>
      <c r="BI145" s="23">
        <f t="shared" ref="BI145:BI151" si="285">BH145*N145</f>
        <v>19905280</v>
      </c>
      <c r="BJ145" s="23"/>
      <c r="BK145" s="23">
        <f t="shared" si="275"/>
        <v>0</v>
      </c>
      <c r="BL145" s="23">
        <v>7800</v>
      </c>
      <c r="BM145" s="23">
        <v>12800</v>
      </c>
      <c r="BN145" s="23">
        <f t="shared" si="276"/>
        <v>19905280</v>
      </c>
      <c r="BO145" s="23"/>
      <c r="BP145" s="23">
        <f t="shared" si="277"/>
        <v>0</v>
      </c>
      <c r="BQ145" s="23"/>
      <c r="BR145" s="23">
        <v>12800</v>
      </c>
      <c r="BS145" s="23">
        <f t="shared" si="278"/>
        <v>19905280</v>
      </c>
      <c r="BT145" s="23"/>
      <c r="BU145" s="23">
        <f t="shared" si="279"/>
        <v>0</v>
      </c>
      <c r="BV145" s="23"/>
      <c r="BW145" s="23">
        <v>12800</v>
      </c>
      <c r="BX145" s="23">
        <f t="shared" si="280"/>
        <v>19905280</v>
      </c>
      <c r="BY145" s="23"/>
      <c r="BZ145" s="23">
        <f t="shared" si="281"/>
        <v>0</v>
      </c>
      <c r="CA145" s="23"/>
      <c r="CB145" s="57" t="s">
        <v>605</v>
      </c>
    </row>
    <row r="146" spans="1:80" ht="16" x14ac:dyDescent="0.4">
      <c r="A146" s="15" t="s">
        <v>76</v>
      </c>
      <c r="B146" s="15" t="s">
        <v>262</v>
      </c>
      <c r="C146" s="15" t="s">
        <v>263</v>
      </c>
      <c r="D146" s="15" t="s">
        <v>561</v>
      </c>
      <c r="E146" s="112" t="s">
        <v>562</v>
      </c>
      <c r="F146" s="15" t="s">
        <v>267</v>
      </c>
      <c r="G146" s="15" t="s">
        <v>268</v>
      </c>
      <c r="H146" s="15" t="s">
        <v>114</v>
      </c>
      <c r="I146" s="15" t="s">
        <v>114</v>
      </c>
      <c r="J146" s="15" t="s">
        <v>89</v>
      </c>
      <c r="K146" s="15" t="s">
        <v>115</v>
      </c>
      <c r="L146" s="15" t="s">
        <v>564</v>
      </c>
      <c r="M146" s="15"/>
      <c r="N146" s="17">
        <v>1093</v>
      </c>
      <c r="O146" s="18"/>
      <c r="P146" s="22">
        <f t="shared" si="282"/>
        <v>0</v>
      </c>
      <c r="Q146" s="22">
        <f t="shared" si="283"/>
        <v>0</v>
      </c>
      <c r="R146" s="22">
        <f t="shared" ref="R146:R151" si="286">+(+BA146+BF146+BK146+BP146+BU146+BZ146)</f>
        <v>0</v>
      </c>
      <c r="S146" s="22">
        <f t="shared" ref="S146:S151" si="287">+(+BB146+BG146+BL146+BQ146+BV146+CA146)</f>
        <v>3000</v>
      </c>
      <c r="T146" s="23"/>
      <c r="U146" s="23">
        <f t="shared" ref="U146:U151" si="288">T146*N146</f>
        <v>0</v>
      </c>
      <c r="V146" s="23"/>
      <c r="W146" s="23">
        <f t="shared" ref="W146:W151" si="289">V146*N146</f>
        <v>0</v>
      </c>
      <c r="X146" s="23"/>
      <c r="Y146" s="23"/>
      <c r="Z146" s="23">
        <f t="shared" ref="Z146:Z151" si="290">Y146*N146</f>
        <v>0</v>
      </c>
      <c r="AA146" s="23"/>
      <c r="AB146" s="23">
        <f t="shared" ref="AB146:AB151" si="291">AA146*N146</f>
        <v>0</v>
      </c>
      <c r="AC146" s="23">
        <v>1000</v>
      </c>
      <c r="AD146" s="23"/>
      <c r="AE146" s="23">
        <f t="shared" si="284"/>
        <v>0</v>
      </c>
      <c r="AF146" s="23"/>
      <c r="AG146" s="23">
        <f t="shared" ref="AG146:AG151" si="292">AF146*N146</f>
        <v>0</v>
      </c>
      <c r="AH146" s="23"/>
      <c r="AI146" s="23"/>
      <c r="AJ146" s="23">
        <f t="shared" ref="AJ146:AJ151" si="293">AI146*N146</f>
        <v>0</v>
      </c>
      <c r="AK146" s="23"/>
      <c r="AL146" s="23">
        <f t="shared" ref="AL146:AL151" si="294">AK146*N146</f>
        <v>0</v>
      </c>
      <c r="AM146" s="23"/>
      <c r="AN146" s="23"/>
      <c r="AO146" s="23">
        <f t="shared" ref="AO146:AO151" si="295">AN146*N146</f>
        <v>0</v>
      </c>
      <c r="AP146" s="23"/>
      <c r="AQ146" s="23">
        <f t="shared" ref="AQ146:AQ151" si="296">AP146*N146</f>
        <v>0</v>
      </c>
      <c r="AR146" s="23"/>
      <c r="AS146" s="23"/>
      <c r="AT146" s="23">
        <f t="shared" ref="AT146:AT151" si="297">AS146*N146</f>
        <v>0</v>
      </c>
      <c r="AU146" s="23">
        <v>0</v>
      </c>
      <c r="AV146" s="23">
        <f t="shared" ref="AV146:AV151" si="298">AU146*N146</f>
        <v>0</v>
      </c>
      <c r="AW146" s="23"/>
      <c r="AX146" s="24"/>
      <c r="AY146" s="24">
        <f t="shared" ref="AY146:AY151" si="299">AX146*N146</f>
        <v>0</v>
      </c>
      <c r="AZ146" s="23"/>
      <c r="BA146" s="23">
        <f t="shared" ref="BA146:BA151" si="300">AZ146*N146</f>
        <v>0</v>
      </c>
      <c r="BB146" s="23"/>
      <c r="BC146" s="23"/>
      <c r="BD146" s="23">
        <f t="shared" ref="BD146:BD151" si="301">BC146*N146</f>
        <v>0</v>
      </c>
      <c r="BE146" s="23"/>
      <c r="BF146" s="23">
        <f t="shared" ref="BF146:BF151" si="302">BE146*N146</f>
        <v>0</v>
      </c>
      <c r="BG146" s="23">
        <v>3000</v>
      </c>
      <c r="BH146" s="23"/>
      <c r="BI146" s="23">
        <f t="shared" si="285"/>
        <v>0</v>
      </c>
      <c r="BJ146" s="23"/>
      <c r="BK146" s="23">
        <f t="shared" ref="BK146:BK151" si="303">BJ146*N146</f>
        <v>0</v>
      </c>
      <c r="BL146" s="23"/>
      <c r="BM146" s="23"/>
      <c r="BN146" s="23">
        <f t="shared" ref="BN146:BN151" si="304">BM146*N146</f>
        <v>0</v>
      </c>
      <c r="BO146" s="23"/>
      <c r="BP146" s="23">
        <f t="shared" ref="BP146:BP151" si="305">BO146*N146</f>
        <v>0</v>
      </c>
      <c r="BQ146" s="23"/>
      <c r="BR146" s="23"/>
      <c r="BS146" s="23">
        <f t="shared" ref="BS146:BS151" si="306">BR146*N146</f>
        <v>0</v>
      </c>
      <c r="BT146" s="23"/>
      <c r="BU146" s="23">
        <f t="shared" ref="BU146:BU151" si="307">BT146*N146</f>
        <v>0</v>
      </c>
      <c r="BV146" s="23"/>
      <c r="BW146" s="23"/>
      <c r="BX146" s="23">
        <f t="shared" ref="BX146:BX151" si="308">BW146*N146</f>
        <v>0</v>
      </c>
      <c r="BY146" s="23"/>
      <c r="BZ146" s="23">
        <f t="shared" ref="BZ146:BZ151" si="309">BY146*N146</f>
        <v>0</v>
      </c>
      <c r="CA146" s="23"/>
      <c r="CB146" s="74"/>
    </row>
    <row r="147" spans="1:80" ht="16" x14ac:dyDescent="0.4">
      <c r="A147" s="15" t="s">
        <v>76</v>
      </c>
      <c r="B147" s="15" t="s">
        <v>262</v>
      </c>
      <c r="C147" s="15" t="s">
        <v>263</v>
      </c>
      <c r="D147" s="15" t="s">
        <v>561</v>
      </c>
      <c r="E147" s="112" t="s">
        <v>562</v>
      </c>
      <c r="F147" s="15" t="s">
        <v>267</v>
      </c>
      <c r="G147" s="15" t="s">
        <v>268</v>
      </c>
      <c r="H147" s="15" t="s">
        <v>114</v>
      </c>
      <c r="I147" s="15" t="s">
        <v>114</v>
      </c>
      <c r="J147" s="15" t="s">
        <v>89</v>
      </c>
      <c r="K147" s="15" t="s">
        <v>115</v>
      </c>
      <c r="L147" s="15" t="s">
        <v>565</v>
      </c>
      <c r="M147" s="15" t="s">
        <v>80</v>
      </c>
      <c r="N147" s="17">
        <v>957.03</v>
      </c>
      <c r="O147" s="18"/>
      <c r="P147" s="22">
        <f t="shared" si="282"/>
        <v>49.5</v>
      </c>
      <c r="Q147" s="22">
        <f t="shared" si="283"/>
        <v>47372.985000000001</v>
      </c>
      <c r="R147" s="22">
        <f t="shared" si="286"/>
        <v>8268739.2000000002</v>
      </c>
      <c r="S147" s="22">
        <f t="shared" si="287"/>
        <v>9360</v>
      </c>
      <c r="T147" s="23">
        <v>5040</v>
      </c>
      <c r="U147" s="23">
        <f t="shared" si="288"/>
        <v>4823431.2</v>
      </c>
      <c r="V147" s="23">
        <v>5040</v>
      </c>
      <c r="W147" s="23">
        <f t="shared" si="289"/>
        <v>4823431.2</v>
      </c>
      <c r="X147" s="23">
        <v>9360</v>
      </c>
      <c r="Y147" s="23">
        <v>4230</v>
      </c>
      <c r="Z147" s="23">
        <f t="shared" si="290"/>
        <v>4048236.9</v>
      </c>
      <c r="AA147" s="23">
        <v>3600</v>
      </c>
      <c r="AB147" s="23">
        <f t="shared" si="291"/>
        <v>3445308</v>
      </c>
      <c r="AC147" s="23">
        <v>12240</v>
      </c>
      <c r="AD147" s="23">
        <v>2880</v>
      </c>
      <c r="AE147" s="23">
        <f t="shared" si="284"/>
        <v>2756246.4</v>
      </c>
      <c r="AF147" s="23">
        <v>4320</v>
      </c>
      <c r="AG147" s="23">
        <f t="shared" si="292"/>
        <v>4134369.6</v>
      </c>
      <c r="AH147" s="23">
        <v>2880</v>
      </c>
      <c r="AI147" s="23">
        <v>5040</v>
      </c>
      <c r="AJ147" s="23">
        <f t="shared" si="293"/>
        <v>4823431.2</v>
      </c>
      <c r="AK147" s="23">
        <v>4320</v>
      </c>
      <c r="AL147" s="23">
        <f t="shared" si="294"/>
        <v>4134369.6</v>
      </c>
      <c r="AM147" s="23">
        <v>7200</v>
      </c>
      <c r="AN147" s="23">
        <v>4320</v>
      </c>
      <c r="AO147" s="23">
        <f t="shared" si="295"/>
        <v>4134369.6</v>
      </c>
      <c r="AP147" s="23">
        <v>7920</v>
      </c>
      <c r="AQ147" s="23">
        <f t="shared" si="296"/>
        <v>7579677.5999999996</v>
      </c>
      <c r="AR147" s="23"/>
      <c r="AS147" s="23">
        <v>3600</v>
      </c>
      <c r="AT147" s="23">
        <f t="shared" si="297"/>
        <v>3445308</v>
      </c>
      <c r="AU147" s="23">
        <v>3600</v>
      </c>
      <c r="AV147" s="23">
        <f t="shared" si="298"/>
        <v>3445308</v>
      </c>
      <c r="AW147" s="27">
        <v>3600</v>
      </c>
      <c r="AX147" s="24">
        <v>3600</v>
      </c>
      <c r="AY147" s="24">
        <f t="shared" si="299"/>
        <v>3445308</v>
      </c>
      <c r="AZ147" s="23">
        <v>4320</v>
      </c>
      <c r="BA147" s="23">
        <f t="shared" si="300"/>
        <v>4134369.6</v>
      </c>
      <c r="BB147" s="73">
        <v>8640</v>
      </c>
      <c r="BC147" s="23">
        <v>3600</v>
      </c>
      <c r="BD147" s="23">
        <f t="shared" si="301"/>
        <v>3445308</v>
      </c>
      <c r="BE147" s="23">
        <v>4320</v>
      </c>
      <c r="BF147" s="23">
        <f t="shared" si="302"/>
        <v>4134369.6</v>
      </c>
      <c r="BG147" s="23">
        <v>720</v>
      </c>
      <c r="BH147" s="23">
        <v>5040</v>
      </c>
      <c r="BI147" s="23">
        <f t="shared" si="285"/>
        <v>4823431.2</v>
      </c>
      <c r="BJ147" s="23"/>
      <c r="BK147" s="23">
        <f t="shared" si="303"/>
        <v>0</v>
      </c>
      <c r="BL147" s="23"/>
      <c r="BM147" s="23">
        <v>4230</v>
      </c>
      <c r="BN147" s="23">
        <f t="shared" si="304"/>
        <v>4048236.9</v>
      </c>
      <c r="BO147" s="23"/>
      <c r="BP147" s="23">
        <f t="shared" si="305"/>
        <v>0</v>
      </c>
      <c r="BQ147" s="23"/>
      <c r="BR147" s="23">
        <v>2880</v>
      </c>
      <c r="BS147" s="23">
        <f t="shared" si="306"/>
        <v>2756246.4</v>
      </c>
      <c r="BT147" s="23"/>
      <c r="BU147" s="23">
        <f t="shared" si="307"/>
        <v>0</v>
      </c>
      <c r="BV147" s="23"/>
      <c r="BW147" s="23">
        <v>5040</v>
      </c>
      <c r="BX147" s="23">
        <f t="shared" si="308"/>
        <v>4823431.2</v>
      </c>
      <c r="BY147" s="23"/>
      <c r="BZ147" s="23">
        <f t="shared" si="309"/>
        <v>0</v>
      </c>
      <c r="CA147" s="23"/>
      <c r="CB147" s="57" t="s">
        <v>606</v>
      </c>
    </row>
    <row r="148" spans="1:80" ht="16" x14ac:dyDescent="0.4">
      <c r="A148" s="15" t="s">
        <v>76</v>
      </c>
      <c r="B148" s="15" t="s">
        <v>262</v>
      </c>
      <c r="C148" s="15" t="s">
        <v>263</v>
      </c>
      <c r="D148" s="15" t="s">
        <v>561</v>
      </c>
      <c r="E148" s="112" t="s">
        <v>562</v>
      </c>
      <c r="F148" s="15" t="s">
        <v>267</v>
      </c>
      <c r="G148" s="15" t="s">
        <v>268</v>
      </c>
      <c r="H148" s="15" t="s">
        <v>114</v>
      </c>
      <c r="I148" s="15" t="s">
        <v>114</v>
      </c>
      <c r="J148" s="15" t="s">
        <v>89</v>
      </c>
      <c r="K148" s="15" t="s">
        <v>115</v>
      </c>
      <c r="L148" s="15" t="s">
        <v>566</v>
      </c>
      <c r="M148" s="15" t="s">
        <v>80</v>
      </c>
      <c r="N148" s="17">
        <v>1024.76</v>
      </c>
      <c r="O148" s="18"/>
      <c r="P148" s="22">
        <f t="shared" si="282"/>
        <v>2.5</v>
      </c>
      <c r="Q148" s="22">
        <f t="shared" si="283"/>
        <v>2561.9</v>
      </c>
      <c r="R148" s="22">
        <f t="shared" si="286"/>
        <v>0</v>
      </c>
      <c r="S148" s="22">
        <f t="shared" si="287"/>
        <v>0</v>
      </c>
      <c r="T148" s="23"/>
      <c r="U148" s="23">
        <f t="shared" si="288"/>
        <v>0</v>
      </c>
      <c r="V148" s="23"/>
      <c r="W148" s="23">
        <f t="shared" si="289"/>
        <v>0</v>
      </c>
      <c r="X148" s="23"/>
      <c r="Y148" s="23"/>
      <c r="Z148" s="23">
        <f t="shared" si="290"/>
        <v>0</v>
      </c>
      <c r="AA148" s="23"/>
      <c r="AB148" s="23">
        <f t="shared" si="291"/>
        <v>0</v>
      </c>
      <c r="AC148" s="23"/>
      <c r="AD148" s="23"/>
      <c r="AE148" s="23">
        <f t="shared" si="284"/>
        <v>0</v>
      </c>
      <c r="AF148" s="23"/>
      <c r="AG148" s="23">
        <f t="shared" si="292"/>
        <v>0</v>
      </c>
      <c r="AH148" s="23"/>
      <c r="AI148" s="23"/>
      <c r="AJ148" s="23">
        <f t="shared" si="293"/>
        <v>0</v>
      </c>
      <c r="AK148" s="23"/>
      <c r="AL148" s="23">
        <f t="shared" si="294"/>
        <v>0</v>
      </c>
      <c r="AM148" s="23"/>
      <c r="AN148" s="23"/>
      <c r="AO148" s="23">
        <f t="shared" si="295"/>
        <v>0</v>
      </c>
      <c r="AP148" s="23"/>
      <c r="AQ148" s="23">
        <f t="shared" si="296"/>
        <v>0</v>
      </c>
      <c r="AR148" s="23"/>
      <c r="AS148" s="23">
        <v>500</v>
      </c>
      <c r="AT148" s="23">
        <f t="shared" si="297"/>
        <v>512380</v>
      </c>
      <c r="AU148" s="23"/>
      <c r="AV148" s="23">
        <f t="shared" si="298"/>
        <v>0</v>
      </c>
      <c r="AW148" s="23"/>
      <c r="AX148" s="24"/>
      <c r="AY148" s="24">
        <f t="shared" si="299"/>
        <v>0</v>
      </c>
      <c r="AZ148" s="23"/>
      <c r="BA148" s="23">
        <f t="shared" si="300"/>
        <v>0</v>
      </c>
      <c r="BB148" s="23"/>
      <c r="BC148" s="23">
        <v>500</v>
      </c>
      <c r="BD148" s="23">
        <f t="shared" si="301"/>
        <v>512380</v>
      </c>
      <c r="BE148" s="23"/>
      <c r="BF148" s="23">
        <f t="shared" si="302"/>
        <v>0</v>
      </c>
      <c r="BG148" s="23"/>
      <c r="BH148" s="23">
        <v>500</v>
      </c>
      <c r="BI148" s="23">
        <f t="shared" si="285"/>
        <v>512380</v>
      </c>
      <c r="BJ148" s="23"/>
      <c r="BK148" s="23">
        <f t="shared" si="303"/>
        <v>0</v>
      </c>
      <c r="BL148" s="23"/>
      <c r="BM148" s="23">
        <v>500</v>
      </c>
      <c r="BN148" s="23">
        <f t="shared" si="304"/>
        <v>512380</v>
      </c>
      <c r="BO148" s="23"/>
      <c r="BP148" s="23">
        <f t="shared" si="305"/>
        <v>0</v>
      </c>
      <c r="BQ148" s="23"/>
      <c r="BR148" s="23"/>
      <c r="BS148" s="23">
        <f t="shared" si="306"/>
        <v>0</v>
      </c>
      <c r="BT148" s="23"/>
      <c r="BU148" s="23">
        <f t="shared" si="307"/>
        <v>0</v>
      </c>
      <c r="BV148" s="23"/>
      <c r="BW148" s="23">
        <v>500</v>
      </c>
      <c r="BX148" s="23">
        <f t="shared" si="308"/>
        <v>512380</v>
      </c>
      <c r="BY148" s="23"/>
      <c r="BZ148" s="23">
        <f t="shared" si="309"/>
        <v>0</v>
      </c>
      <c r="CA148" s="23"/>
      <c r="CB148" s="15"/>
    </row>
    <row r="149" spans="1:80" ht="16" x14ac:dyDescent="0.4">
      <c r="A149" s="15" t="s">
        <v>76</v>
      </c>
      <c r="B149" s="15" t="s">
        <v>262</v>
      </c>
      <c r="C149" s="15" t="s">
        <v>263</v>
      </c>
      <c r="D149" s="15" t="s">
        <v>561</v>
      </c>
      <c r="E149" s="112" t="s">
        <v>562</v>
      </c>
      <c r="F149" s="15" t="s">
        <v>267</v>
      </c>
      <c r="G149" s="15" t="s">
        <v>268</v>
      </c>
      <c r="H149" s="15" t="s">
        <v>114</v>
      </c>
      <c r="I149" s="15" t="s">
        <v>114</v>
      </c>
      <c r="J149" s="15" t="s">
        <v>89</v>
      </c>
      <c r="K149" s="15" t="s">
        <v>115</v>
      </c>
      <c r="L149" s="15" t="s">
        <v>567</v>
      </c>
      <c r="M149" s="15"/>
      <c r="N149" s="17"/>
      <c r="O149" s="18"/>
      <c r="P149" s="22">
        <f t="shared" si="282"/>
        <v>0</v>
      </c>
      <c r="Q149" s="22">
        <f t="shared" si="283"/>
        <v>0</v>
      </c>
      <c r="R149" s="22">
        <f t="shared" si="286"/>
        <v>0</v>
      </c>
      <c r="S149" s="22">
        <f t="shared" si="287"/>
        <v>1000</v>
      </c>
      <c r="T149" s="23"/>
      <c r="U149" s="23">
        <f t="shared" si="288"/>
        <v>0</v>
      </c>
      <c r="V149" s="23"/>
      <c r="W149" s="23">
        <f t="shared" si="289"/>
        <v>0</v>
      </c>
      <c r="X149" s="23">
        <v>1000</v>
      </c>
      <c r="Y149" s="23"/>
      <c r="Z149" s="23">
        <f t="shared" si="290"/>
        <v>0</v>
      </c>
      <c r="AA149" s="23"/>
      <c r="AB149" s="23">
        <f t="shared" si="291"/>
        <v>0</v>
      </c>
      <c r="AC149" s="23">
        <v>2000</v>
      </c>
      <c r="AD149" s="23"/>
      <c r="AE149" s="23">
        <f t="shared" si="284"/>
        <v>0</v>
      </c>
      <c r="AF149" s="23"/>
      <c r="AG149" s="23">
        <f t="shared" si="292"/>
        <v>0</v>
      </c>
      <c r="AH149" s="23">
        <v>1000</v>
      </c>
      <c r="AI149" s="23"/>
      <c r="AJ149" s="23">
        <f t="shared" si="293"/>
        <v>0</v>
      </c>
      <c r="AK149" s="23"/>
      <c r="AL149" s="23">
        <f t="shared" si="294"/>
        <v>0</v>
      </c>
      <c r="AM149" s="23">
        <v>1000</v>
      </c>
      <c r="AN149" s="23"/>
      <c r="AO149" s="23">
        <f t="shared" si="295"/>
        <v>0</v>
      </c>
      <c r="AP149" s="23"/>
      <c r="AQ149" s="23">
        <f t="shared" si="296"/>
        <v>0</v>
      </c>
      <c r="AR149" s="23"/>
      <c r="AS149" s="23"/>
      <c r="AT149" s="23">
        <f t="shared" si="297"/>
        <v>0</v>
      </c>
      <c r="AU149" s="23"/>
      <c r="AV149" s="23">
        <f t="shared" si="298"/>
        <v>0</v>
      </c>
      <c r="AW149" s="23"/>
      <c r="AX149" s="24"/>
      <c r="AY149" s="24">
        <f t="shared" si="299"/>
        <v>0</v>
      </c>
      <c r="AZ149" s="23"/>
      <c r="BA149" s="23">
        <f t="shared" si="300"/>
        <v>0</v>
      </c>
      <c r="BB149" s="73">
        <v>1000</v>
      </c>
      <c r="BC149" s="23"/>
      <c r="BD149" s="23">
        <f t="shared" si="301"/>
        <v>0</v>
      </c>
      <c r="BE149" s="23"/>
      <c r="BF149" s="23">
        <f t="shared" si="302"/>
        <v>0</v>
      </c>
      <c r="BG149" s="23"/>
      <c r="BH149" s="23"/>
      <c r="BI149" s="23">
        <f t="shared" si="285"/>
        <v>0</v>
      </c>
      <c r="BJ149" s="23"/>
      <c r="BK149" s="23">
        <f t="shared" si="303"/>
        <v>0</v>
      </c>
      <c r="BL149" s="23"/>
      <c r="BM149" s="23"/>
      <c r="BN149" s="23">
        <f t="shared" si="304"/>
        <v>0</v>
      </c>
      <c r="BO149" s="23"/>
      <c r="BP149" s="23">
        <f t="shared" si="305"/>
        <v>0</v>
      </c>
      <c r="BQ149" s="23"/>
      <c r="BR149" s="23"/>
      <c r="BS149" s="23">
        <f t="shared" si="306"/>
        <v>0</v>
      </c>
      <c r="BT149" s="23"/>
      <c r="BU149" s="23">
        <f t="shared" si="307"/>
        <v>0</v>
      </c>
      <c r="BV149" s="23"/>
      <c r="BW149" s="23"/>
      <c r="BX149" s="23">
        <f t="shared" si="308"/>
        <v>0</v>
      </c>
      <c r="BY149" s="23"/>
      <c r="BZ149" s="23">
        <f t="shared" si="309"/>
        <v>0</v>
      </c>
      <c r="CA149" s="23"/>
      <c r="CB149" s="57" t="s">
        <v>226</v>
      </c>
    </row>
    <row r="150" spans="1:80" ht="16" x14ac:dyDescent="0.4">
      <c r="A150" s="15" t="s">
        <v>76</v>
      </c>
      <c r="B150" s="15" t="s">
        <v>262</v>
      </c>
      <c r="C150" s="15" t="s">
        <v>263</v>
      </c>
      <c r="D150" s="15" t="s">
        <v>561</v>
      </c>
      <c r="E150" s="112" t="s">
        <v>562</v>
      </c>
      <c r="F150" s="15" t="s">
        <v>267</v>
      </c>
      <c r="G150" s="15" t="s">
        <v>268</v>
      </c>
      <c r="H150" s="15" t="s">
        <v>114</v>
      </c>
      <c r="I150" s="15" t="s">
        <v>114</v>
      </c>
      <c r="J150" s="15" t="s">
        <v>89</v>
      </c>
      <c r="K150" s="15" t="s">
        <v>115</v>
      </c>
      <c r="L150" s="15" t="s">
        <v>568</v>
      </c>
      <c r="M150" s="15" t="s">
        <v>83</v>
      </c>
      <c r="N150" s="17">
        <v>1946</v>
      </c>
      <c r="O150" s="18"/>
      <c r="P150" s="22">
        <f t="shared" si="282"/>
        <v>1.5</v>
      </c>
      <c r="Q150" s="22">
        <f t="shared" si="283"/>
        <v>2919</v>
      </c>
      <c r="R150" s="22">
        <f t="shared" si="286"/>
        <v>5838000</v>
      </c>
      <c r="S150" s="22">
        <f t="shared" si="287"/>
        <v>0</v>
      </c>
      <c r="T150" s="23"/>
      <c r="U150" s="23">
        <f t="shared" si="288"/>
        <v>0</v>
      </c>
      <c r="V150" s="23"/>
      <c r="W150" s="23">
        <f t="shared" si="289"/>
        <v>0</v>
      </c>
      <c r="X150" s="23"/>
      <c r="Y150" s="23"/>
      <c r="Z150" s="23">
        <f t="shared" si="290"/>
        <v>0</v>
      </c>
      <c r="AA150" s="23"/>
      <c r="AB150" s="23">
        <f t="shared" si="291"/>
        <v>0</v>
      </c>
      <c r="AC150" s="23"/>
      <c r="AD150" s="23"/>
      <c r="AE150" s="23">
        <f t="shared" si="284"/>
        <v>0</v>
      </c>
      <c r="AF150" s="23"/>
      <c r="AG150" s="23">
        <f t="shared" si="292"/>
        <v>0</v>
      </c>
      <c r="AH150" s="23"/>
      <c r="AI150" s="23"/>
      <c r="AJ150" s="23">
        <f t="shared" si="293"/>
        <v>0</v>
      </c>
      <c r="AK150" s="23"/>
      <c r="AL150" s="23">
        <f t="shared" si="294"/>
        <v>0</v>
      </c>
      <c r="AM150" s="23"/>
      <c r="AN150" s="23"/>
      <c r="AO150" s="23">
        <f t="shared" si="295"/>
        <v>0</v>
      </c>
      <c r="AP150" s="23"/>
      <c r="AQ150" s="23">
        <f t="shared" si="296"/>
        <v>0</v>
      </c>
      <c r="AR150" s="23"/>
      <c r="AS150" s="23"/>
      <c r="AT150" s="23">
        <f t="shared" si="297"/>
        <v>0</v>
      </c>
      <c r="AU150" s="23">
        <v>3000</v>
      </c>
      <c r="AV150" s="23">
        <f t="shared" si="298"/>
        <v>5838000</v>
      </c>
      <c r="AW150" s="106">
        <v>6000</v>
      </c>
      <c r="AX150" s="24"/>
      <c r="AY150" s="24">
        <f t="shared" si="299"/>
        <v>0</v>
      </c>
      <c r="AZ150" s="23">
        <v>3000</v>
      </c>
      <c r="BA150" s="23">
        <f t="shared" si="300"/>
        <v>5838000</v>
      </c>
      <c r="BB150" s="23"/>
      <c r="BC150" s="23">
        <v>500</v>
      </c>
      <c r="BD150" s="23">
        <f t="shared" si="301"/>
        <v>973000</v>
      </c>
      <c r="BE150" s="23"/>
      <c r="BF150" s="23">
        <f t="shared" si="302"/>
        <v>0</v>
      </c>
      <c r="BG150" s="23"/>
      <c r="BH150" s="23"/>
      <c r="BI150" s="23">
        <f t="shared" si="285"/>
        <v>0</v>
      </c>
      <c r="BJ150" s="23"/>
      <c r="BK150" s="23">
        <f t="shared" si="303"/>
        <v>0</v>
      </c>
      <c r="BL150" s="23"/>
      <c r="BM150" s="23">
        <v>500</v>
      </c>
      <c r="BN150" s="23">
        <f t="shared" si="304"/>
        <v>973000</v>
      </c>
      <c r="BO150" s="23"/>
      <c r="BP150" s="23">
        <f t="shared" si="305"/>
        <v>0</v>
      </c>
      <c r="BQ150" s="23"/>
      <c r="BR150" s="23"/>
      <c r="BS150" s="23">
        <f t="shared" si="306"/>
        <v>0</v>
      </c>
      <c r="BT150" s="23"/>
      <c r="BU150" s="23">
        <f t="shared" si="307"/>
        <v>0</v>
      </c>
      <c r="BV150" s="23"/>
      <c r="BW150" s="23">
        <v>500</v>
      </c>
      <c r="BX150" s="23">
        <f t="shared" si="308"/>
        <v>973000</v>
      </c>
      <c r="BY150" s="23"/>
      <c r="BZ150" s="23">
        <f t="shared" si="309"/>
        <v>0</v>
      </c>
      <c r="CA150" s="23"/>
      <c r="CB150" s="74"/>
    </row>
    <row r="151" spans="1:80" ht="16" x14ac:dyDescent="0.4">
      <c r="A151" s="15" t="s">
        <v>76</v>
      </c>
      <c r="B151" s="15" t="s">
        <v>262</v>
      </c>
      <c r="C151" s="15" t="s">
        <v>263</v>
      </c>
      <c r="D151" s="15" t="s">
        <v>561</v>
      </c>
      <c r="E151" s="112" t="s">
        <v>562</v>
      </c>
      <c r="F151" s="15" t="s">
        <v>267</v>
      </c>
      <c r="G151" s="15" t="s">
        <v>268</v>
      </c>
      <c r="H151" s="15" t="s">
        <v>114</v>
      </c>
      <c r="I151" s="15" t="s">
        <v>114</v>
      </c>
      <c r="J151" s="15" t="s">
        <v>89</v>
      </c>
      <c r="K151" s="15" t="s">
        <v>115</v>
      </c>
      <c r="L151" s="15" t="s">
        <v>569</v>
      </c>
      <c r="M151" s="15"/>
      <c r="N151" s="17"/>
      <c r="O151" s="18"/>
      <c r="P151" s="22">
        <f t="shared" si="282"/>
        <v>0</v>
      </c>
      <c r="Q151" s="22">
        <f t="shared" si="283"/>
        <v>0</v>
      </c>
      <c r="R151" s="22">
        <f t="shared" si="286"/>
        <v>0</v>
      </c>
      <c r="S151" s="22">
        <f t="shared" si="287"/>
        <v>0</v>
      </c>
      <c r="T151" s="23"/>
      <c r="U151" s="23">
        <f t="shared" si="288"/>
        <v>0</v>
      </c>
      <c r="V151" s="23"/>
      <c r="W151" s="23">
        <f t="shared" si="289"/>
        <v>0</v>
      </c>
      <c r="X151" s="23"/>
      <c r="Y151" s="23"/>
      <c r="Z151" s="23">
        <f t="shared" si="290"/>
        <v>0</v>
      </c>
      <c r="AA151" s="23"/>
      <c r="AB151" s="23">
        <f t="shared" si="291"/>
        <v>0</v>
      </c>
      <c r="AC151" s="23"/>
      <c r="AD151" s="23"/>
      <c r="AE151" s="23">
        <f t="shared" si="284"/>
        <v>0</v>
      </c>
      <c r="AF151" s="23"/>
      <c r="AG151" s="23">
        <f t="shared" si="292"/>
        <v>0</v>
      </c>
      <c r="AH151" s="23"/>
      <c r="AI151" s="23"/>
      <c r="AJ151" s="23">
        <f t="shared" si="293"/>
        <v>0</v>
      </c>
      <c r="AK151" s="23"/>
      <c r="AL151" s="23">
        <f t="shared" si="294"/>
        <v>0</v>
      </c>
      <c r="AM151" s="23"/>
      <c r="AN151" s="23"/>
      <c r="AO151" s="23">
        <f t="shared" si="295"/>
        <v>0</v>
      </c>
      <c r="AP151" s="23"/>
      <c r="AQ151" s="23">
        <f t="shared" si="296"/>
        <v>0</v>
      </c>
      <c r="AR151" s="23"/>
      <c r="AS151" s="23"/>
      <c r="AT151" s="23">
        <f t="shared" si="297"/>
        <v>0</v>
      </c>
      <c r="AU151" s="23"/>
      <c r="AV151" s="23">
        <f t="shared" si="298"/>
        <v>0</v>
      </c>
      <c r="AW151" s="23"/>
      <c r="AX151" s="24"/>
      <c r="AY151" s="24">
        <f t="shared" si="299"/>
        <v>0</v>
      </c>
      <c r="AZ151" s="23"/>
      <c r="BA151" s="23">
        <f t="shared" si="300"/>
        <v>0</v>
      </c>
      <c r="BB151" s="23"/>
      <c r="BC151" s="23"/>
      <c r="BD151" s="23">
        <f t="shared" si="301"/>
        <v>0</v>
      </c>
      <c r="BE151" s="23"/>
      <c r="BF151" s="23">
        <f t="shared" si="302"/>
        <v>0</v>
      </c>
      <c r="BG151" s="23"/>
      <c r="BH151" s="23"/>
      <c r="BI151" s="23">
        <f t="shared" si="285"/>
        <v>0</v>
      </c>
      <c r="BJ151" s="23"/>
      <c r="BK151" s="23">
        <f t="shared" si="303"/>
        <v>0</v>
      </c>
      <c r="BL151" s="23"/>
      <c r="BM151" s="23"/>
      <c r="BN151" s="23">
        <f t="shared" si="304"/>
        <v>0</v>
      </c>
      <c r="BO151" s="23"/>
      <c r="BP151" s="23">
        <f t="shared" si="305"/>
        <v>0</v>
      </c>
      <c r="BQ151" s="23"/>
      <c r="BR151" s="23"/>
      <c r="BS151" s="23">
        <f t="shared" si="306"/>
        <v>0</v>
      </c>
      <c r="BT151" s="23"/>
      <c r="BU151" s="23">
        <f t="shared" si="307"/>
        <v>0</v>
      </c>
      <c r="BV151" s="23"/>
      <c r="BW151" s="23"/>
      <c r="BX151" s="23">
        <f t="shared" si="308"/>
        <v>0</v>
      </c>
      <c r="BY151" s="23"/>
      <c r="BZ151" s="23">
        <f t="shared" si="309"/>
        <v>0</v>
      </c>
      <c r="CA151" s="23"/>
      <c r="CB151" s="74"/>
    </row>
    <row r="152" spans="1:80" ht="16" x14ac:dyDescent="0.4">
      <c r="A152" s="15" t="s">
        <v>76</v>
      </c>
      <c r="B152" s="15" t="s">
        <v>262</v>
      </c>
      <c r="C152" s="15" t="s">
        <v>326</v>
      </c>
      <c r="D152" s="15" t="s">
        <v>570</v>
      </c>
      <c r="E152" s="112" t="s">
        <v>571</v>
      </c>
      <c r="F152" s="15" t="s">
        <v>267</v>
      </c>
      <c r="G152" s="15" t="s">
        <v>283</v>
      </c>
      <c r="H152" s="15" t="s">
        <v>99</v>
      </c>
      <c r="I152" s="15" t="s">
        <v>99</v>
      </c>
      <c r="J152" s="16" t="s">
        <v>100</v>
      </c>
      <c r="K152" s="3" t="s">
        <v>97</v>
      </c>
      <c r="L152" s="15" t="s">
        <v>572</v>
      </c>
      <c r="M152" s="15" t="s">
        <v>213</v>
      </c>
      <c r="N152" s="17">
        <v>350</v>
      </c>
      <c r="O152" s="18"/>
      <c r="P152" s="22">
        <f t="shared" ref="P152" si="310">+(T152+Y152+AD152+AI152+AN152+AS152+AX152+BC152+BH152+BM152+BR152+BW152)/1000</f>
        <v>2</v>
      </c>
      <c r="Q152" s="22">
        <f t="shared" ref="Q152" si="311">+(U152+Z152+AE152+AJ152+AO152+AT152+AY152+BD152+BI152+BN152+BS152+BX152)/1000</f>
        <v>700</v>
      </c>
      <c r="R152" s="22">
        <f t="shared" ref="R152" si="312">+(+BA152+BF152+BK152+BP152+BU152+BZ152)</f>
        <v>0</v>
      </c>
      <c r="S152" s="22">
        <f t="shared" ref="S152" si="313">+(+BB152+BG152+BL152+BQ152+BV152+CA152)</f>
        <v>0</v>
      </c>
      <c r="T152" s="23"/>
      <c r="U152" s="23">
        <f t="shared" ref="U152" si="314">T152*N152</f>
        <v>0</v>
      </c>
      <c r="V152" s="23"/>
      <c r="W152" s="23">
        <f t="shared" ref="W152" si="315">V152*N152</f>
        <v>0</v>
      </c>
      <c r="X152" s="23"/>
      <c r="Y152" s="23"/>
      <c r="Z152" s="23">
        <f t="shared" ref="Z152" si="316">Y152*N152</f>
        <v>0</v>
      </c>
      <c r="AA152" s="23"/>
      <c r="AB152" s="23">
        <f t="shared" ref="AB152" si="317">AA152*N152</f>
        <v>0</v>
      </c>
      <c r="AC152" s="23"/>
      <c r="AD152" s="23"/>
      <c r="AE152" s="23">
        <f t="shared" ref="AE152" si="318">AD152*N152</f>
        <v>0</v>
      </c>
      <c r="AF152" s="23"/>
      <c r="AG152" s="23">
        <f t="shared" ref="AG152" si="319">AF152*N152</f>
        <v>0</v>
      </c>
      <c r="AH152" s="23"/>
      <c r="AI152" s="23"/>
      <c r="AJ152" s="23">
        <f t="shared" ref="AJ152" si="320">AI152*N152</f>
        <v>0</v>
      </c>
      <c r="AK152" s="23"/>
      <c r="AL152" s="23">
        <f t="shared" ref="AL152" si="321">AK152*N152</f>
        <v>0</v>
      </c>
      <c r="AM152" s="23"/>
      <c r="AN152" s="23"/>
      <c r="AO152" s="23">
        <f t="shared" ref="AO152" si="322">AN152*N152</f>
        <v>0</v>
      </c>
      <c r="AP152" s="23"/>
      <c r="AQ152" s="23">
        <f t="shared" ref="AQ152" si="323">AP152*N152</f>
        <v>0</v>
      </c>
      <c r="AR152" s="23"/>
      <c r="AS152" s="23">
        <v>500</v>
      </c>
      <c r="AT152" s="23">
        <f t="shared" ref="AT152" si="324">AS152*N152</f>
        <v>175000</v>
      </c>
      <c r="AU152" s="23"/>
      <c r="AV152" s="23">
        <f t="shared" ref="AV152" si="325">AU152*N152</f>
        <v>0</v>
      </c>
      <c r="AW152" s="23"/>
      <c r="AX152" s="24"/>
      <c r="AY152" s="24">
        <f t="shared" ref="AY152" si="326">AX152*N152</f>
        <v>0</v>
      </c>
      <c r="AZ152" s="23"/>
      <c r="BA152" s="23">
        <f t="shared" ref="BA152" si="327">AZ152*N152</f>
        <v>0</v>
      </c>
      <c r="BB152" s="23"/>
      <c r="BC152" s="23">
        <v>500</v>
      </c>
      <c r="BD152" s="23">
        <f t="shared" ref="BD152" si="328">BC152*N152</f>
        <v>175000</v>
      </c>
      <c r="BE152" s="23"/>
      <c r="BF152" s="23">
        <f t="shared" ref="BF152" si="329">BE152*N152</f>
        <v>0</v>
      </c>
      <c r="BG152" s="23"/>
      <c r="BH152" s="23"/>
      <c r="BI152" s="23">
        <f t="shared" ref="BI152" si="330">BH152*N152</f>
        <v>0</v>
      </c>
      <c r="BJ152" s="23"/>
      <c r="BK152" s="23">
        <f t="shared" ref="BK152" si="331">BJ152*N152</f>
        <v>0</v>
      </c>
      <c r="BL152" s="23"/>
      <c r="BM152" s="23">
        <v>500</v>
      </c>
      <c r="BN152" s="23">
        <f t="shared" ref="BN152" si="332">BM152*N152</f>
        <v>175000</v>
      </c>
      <c r="BO152" s="23"/>
      <c r="BP152" s="23">
        <f t="shared" ref="BP152" si="333">BO152*N152</f>
        <v>0</v>
      </c>
      <c r="BQ152" s="23"/>
      <c r="BR152" s="23"/>
      <c r="BS152" s="23">
        <f t="shared" ref="BS152" si="334">BR152*N152</f>
        <v>0</v>
      </c>
      <c r="BT152" s="23"/>
      <c r="BU152" s="23">
        <f t="shared" ref="BU152" si="335">BT152*N152</f>
        <v>0</v>
      </c>
      <c r="BV152" s="23"/>
      <c r="BW152" s="23">
        <v>500</v>
      </c>
      <c r="BX152" s="23">
        <f t="shared" ref="BX152" si="336">BW152*N152</f>
        <v>175000</v>
      </c>
      <c r="BY152" s="23"/>
      <c r="BZ152" s="23">
        <f t="shared" ref="BZ152" si="337">BY152*N152</f>
        <v>0</v>
      </c>
      <c r="CA152" s="23"/>
      <c r="CB152" s="15"/>
    </row>
    <row r="153" spans="1:80" ht="16" x14ac:dyDescent="0.4">
      <c r="A153" s="15" t="s">
        <v>76</v>
      </c>
      <c r="B153" s="15" t="s">
        <v>262</v>
      </c>
      <c r="C153" s="15" t="s">
        <v>263</v>
      </c>
      <c r="D153" s="15" t="s">
        <v>573</v>
      </c>
      <c r="E153" s="112" t="s">
        <v>574</v>
      </c>
      <c r="F153" s="15" t="s">
        <v>267</v>
      </c>
      <c r="G153" s="15" t="s">
        <v>283</v>
      </c>
      <c r="H153" s="15" t="s">
        <v>114</v>
      </c>
      <c r="I153" s="15" t="s">
        <v>114</v>
      </c>
      <c r="J153" s="15" t="s">
        <v>89</v>
      </c>
      <c r="K153" s="15" t="s">
        <v>115</v>
      </c>
      <c r="L153" s="15" t="s">
        <v>126</v>
      </c>
      <c r="M153" s="15"/>
      <c r="N153" s="17">
        <v>5.9580000000000002</v>
      </c>
      <c r="O153" s="72">
        <v>22000</v>
      </c>
      <c r="P153" s="22">
        <f t="shared" ref="P153:P159" si="338">+(T153+Y153+AD153+AI153+AN153+AS153+AX153+BC153+BH153+BM153+BR153+BW153)/1000</f>
        <v>0</v>
      </c>
      <c r="Q153" s="22">
        <f t="shared" ref="Q153:Q159" si="339">+(U153+Z153+AE153+AJ153+AO153+AT153+AY153+BD153+BI153+BN153+BS153+BX153)/1000</f>
        <v>0</v>
      </c>
      <c r="R153" s="22">
        <f t="shared" ref="R153:R159" si="340">+(+BA153+BF153+BK153+BP153+BU153+BZ153)</f>
        <v>0</v>
      </c>
      <c r="S153" s="22">
        <f t="shared" ref="S153:S159" si="341">+(+BB153+BG153+BL153+BQ153+BV153+CA153)</f>
        <v>0</v>
      </c>
      <c r="T153" s="23"/>
      <c r="U153" s="23">
        <f t="shared" ref="U153:U159" si="342">T153*N153</f>
        <v>0</v>
      </c>
      <c r="V153" s="23"/>
      <c r="W153" s="23">
        <f t="shared" ref="W153:W159" si="343">V153*N153</f>
        <v>0</v>
      </c>
      <c r="X153" s="23"/>
      <c r="Y153" s="23"/>
      <c r="Z153" s="23">
        <f t="shared" ref="Z153:Z159" si="344">Y153*N153</f>
        <v>0</v>
      </c>
      <c r="AA153" s="23"/>
      <c r="AB153" s="23">
        <f t="shared" ref="AB153:AB159" si="345">AA153*N153</f>
        <v>0</v>
      </c>
      <c r="AC153" s="23"/>
      <c r="AD153" s="23"/>
      <c r="AE153" s="23">
        <f t="shared" ref="AE153:AE159" si="346">AD153*N153</f>
        <v>0</v>
      </c>
      <c r="AF153" s="23">
        <v>18000</v>
      </c>
      <c r="AG153" s="23">
        <f t="shared" ref="AG153:AG159" si="347">AF153*N153</f>
        <v>107244</v>
      </c>
      <c r="AH153" s="23"/>
      <c r="AI153" s="23"/>
      <c r="AJ153" s="23">
        <f t="shared" ref="AJ153:AJ159" si="348">AI153*N153</f>
        <v>0</v>
      </c>
      <c r="AK153" s="23">
        <v>18000</v>
      </c>
      <c r="AL153" s="23">
        <f t="shared" ref="AL153:AL159" si="349">AK153*N153</f>
        <v>107244</v>
      </c>
      <c r="AM153" s="23"/>
      <c r="AN153" s="23"/>
      <c r="AO153" s="23">
        <f t="shared" ref="AO153:AO159" si="350">AN153*N153</f>
        <v>0</v>
      </c>
      <c r="AP153" s="23"/>
      <c r="AQ153" s="23">
        <f t="shared" ref="AQ153:AQ159" si="351">AP153*N153</f>
        <v>0</v>
      </c>
      <c r="AR153" s="23">
        <v>26000</v>
      </c>
      <c r="AS153" s="23"/>
      <c r="AT153" s="23">
        <f t="shared" ref="AT153:AT159" si="352">AS153*N153</f>
        <v>0</v>
      </c>
      <c r="AU153" s="23"/>
      <c r="AV153" s="23">
        <f t="shared" ref="AV153:AV159" si="353">AU153*N153</f>
        <v>0</v>
      </c>
      <c r="AW153" s="23"/>
      <c r="AX153" s="24"/>
      <c r="AY153" s="24">
        <f t="shared" ref="AY153:AY159" si="354">AX153*N153</f>
        <v>0</v>
      </c>
      <c r="AZ153" s="23"/>
      <c r="BA153" s="23">
        <f t="shared" ref="BA153:BA159" si="355">AZ153*N153</f>
        <v>0</v>
      </c>
      <c r="BB153" s="23"/>
      <c r="BC153" s="23"/>
      <c r="BD153" s="23">
        <f t="shared" ref="BD153:BD159" si="356">BC153*N153</f>
        <v>0</v>
      </c>
      <c r="BE153" s="23"/>
      <c r="BF153" s="23">
        <f t="shared" ref="BF153:BF159" si="357">BE153*N153</f>
        <v>0</v>
      </c>
      <c r="BG153" s="23"/>
      <c r="BH153" s="23"/>
      <c r="BI153" s="23">
        <f t="shared" ref="BI153:BI159" si="358">BH153*N153</f>
        <v>0</v>
      </c>
      <c r="BJ153" s="23"/>
      <c r="BK153" s="23">
        <f t="shared" ref="BK153:BK159" si="359">BJ153*N153</f>
        <v>0</v>
      </c>
      <c r="BL153" s="23"/>
      <c r="BM153" s="23"/>
      <c r="BN153" s="23">
        <f t="shared" ref="BN153:BN159" si="360">BM153*N153</f>
        <v>0</v>
      </c>
      <c r="BO153" s="23"/>
      <c r="BP153" s="23">
        <f t="shared" ref="BP153:BP159" si="361">BO153*N153</f>
        <v>0</v>
      </c>
      <c r="BQ153" s="23"/>
      <c r="BR153" s="23"/>
      <c r="BS153" s="23">
        <f t="shared" ref="BS153:BS159" si="362">BR153*N153</f>
        <v>0</v>
      </c>
      <c r="BT153" s="23"/>
      <c r="BU153" s="23">
        <f t="shared" ref="BU153:BU159" si="363">BT153*N153</f>
        <v>0</v>
      </c>
      <c r="BV153" s="23"/>
      <c r="BW153" s="23"/>
      <c r="BX153" s="23">
        <f t="shared" ref="BX153:BX159" si="364">BW153*N153</f>
        <v>0</v>
      </c>
      <c r="BY153" s="23"/>
      <c r="BZ153" s="23">
        <f t="shared" ref="BZ153:BZ159" si="365">BY153*N153</f>
        <v>0</v>
      </c>
      <c r="CA153" s="23"/>
      <c r="CB153" s="15"/>
    </row>
    <row r="154" spans="1:80" ht="16" x14ac:dyDescent="0.4">
      <c r="A154" s="15" t="s">
        <v>76</v>
      </c>
      <c r="B154" s="15" t="s">
        <v>262</v>
      </c>
      <c r="C154" s="15" t="s">
        <v>263</v>
      </c>
      <c r="D154" s="15" t="s">
        <v>575</v>
      </c>
      <c r="E154" s="112" t="s">
        <v>576</v>
      </c>
      <c r="F154" s="15" t="s">
        <v>267</v>
      </c>
      <c r="G154" s="15" t="s">
        <v>274</v>
      </c>
      <c r="H154" s="15" t="s">
        <v>82</v>
      </c>
      <c r="I154" s="15" t="s">
        <v>82</v>
      </c>
      <c r="J154" s="15" t="s">
        <v>112</v>
      </c>
      <c r="K154" s="15" t="s">
        <v>81</v>
      </c>
      <c r="L154" s="15" t="s">
        <v>577</v>
      </c>
      <c r="M154" s="15" t="s">
        <v>83</v>
      </c>
      <c r="N154" s="17">
        <v>24</v>
      </c>
      <c r="O154" s="18"/>
      <c r="P154" s="22">
        <f t="shared" si="338"/>
        <v>360</v>
      </c>
      <c r="Q154" s="22">
        <f t="shared" si="339"/>
        <v>8640</v>
      </c>
      <c r="R154" s="22">
        <f t="shared" si="340"/>
        <v>2160000</v>
      </c>
      <c r="S154" s="22">
        <f t="shared" si="341"/>
        <v>0</v>
      </c>
      <c r="T154" s="23">
        <v>30000</v>
      </c>
      <c r="U154" s="23">
        <f t="shared" si="342"/>
        <v>720000</v>
      </c>
      <c r="V154" s="23"/>
      <c r="W154" s="23">
        <f t="shared" si="343"/>
        <v>0</v>
      </c>
      <c r="X154" s="23"/>
      <c r="Y154" s="23">
        <v>30000</v>
      </c>
      <c r="Z154" s="23">
        <f t="shared" si="344"/>
        <v>720000</v>
      </c>
      <c r="AA154" s="23"/>
      <c r="AB154" s="23">
        <f t="shared" si="345"/>
        <v>0</v>
      </c>
      <c r="AC154" s="23"/>
      <c r="AD154" s="23">
        <v>30000</v>
      </c>
      <c r="AE154" s="23">
        <f t="shared" si="346"/>
        <v>720000</v>
      </c>
      <c r="AF154" s="23">
        <v>30000</v>
      </c>
      <c r="AG154" s="23">
        <f t="shared" si="347"/>
        <v>720000</v>
      </c>
      <c r="AH154" s="23"/>
      <c r="AI154" s="23">
        <v>30000</v>
      </c>
      <c r="AJ154" s="23">
        <f t="shared" si="348"/>
        <v>720000</v>
      </c>
      <c r="AK154" s="23">
        <v>30000</v>
      </c>
      <c r="AL154" s="23">
        <f t="shared" si="349"/>
        <v>720000</v>
      </c>
      <c r="AM154" s="23"/>
      <c r="AN154" s="23">
        <v>30000</v>
      </c>
      <c r="AO154" s="23">
        <f t="shared" si="350"/>
        <v>720000</v>
      </c>
      <c r="AP154" s="23">
        <v>56000</v>
      </c>
      <c r="AQ154" s="23">
        <f t="shared" si="351"/>
        <v>1344000</v>
      </c>
      <c r="AR154" s="23"/>
      <c r="AS154" s="23">
        <v>30000</v>
      </c>
      <c r="AT154" s="23">
        <f t="shared" si="352"/>
        <v>720000</v>
      </c>
      <c r="AU154" s="23">
        <v>0</v>
      </c>
      <c r="AV154" s="23">
        <f t="shared" si="353"/>
        <v>0</v>
      </c>
      <c r="AW154" s="23"/>
      <c r="AX154" s="24">
        <v>30000</v>
      </c>
      <c r="AY154" s="24">
        <f t="shared" si="354"/>
        <v>720000</v>
      </c>
      <c r="AZ154" s="23">
        <v>30000</v>
      </c>
      <c r="BA154" s="23">
        <f t="shared" si="355"/>
        <v>720000</v>
      </c>
      <c r="BB154" s="23"/>
      <c r="BC154" s="23">
        <v>30000</v>
      </c>
      <c r="BD154" s="23">
        <f t="shared" si="356"/>
        <v>720000</v>
      </c>
      <c r="BE154" s="23">
        <v>30000</v>
      </c>
      <c r="BF154" s="23">
        <f t="shared" si="357"/>
        <v>720000</v>
      </c>
      <c r="BG154" s="23"/>
      <c r="BH154" s="23">
        <v>30000</v>
      </c>
      <c r="BI154" s="23">
        <f t="shared" si="358"/>
        <v>720000</v>
      </c>
      <c r="BJ154" s="23">
        <v>30000</v>
      </c>
      <c r="BK154" s="23">
        <f t="shared" si="359"/>
        <v>720000</v>
      </c>
      <c r="BL154" s="23"/>
      <c r="BM154" s="23">
        <v>30000</v>
      </c>
      <c r="BN154" s="23">
        <f t="shared" si="360"/>
        <v>720000</v>
      </c>
      <c r="BO154" s="23"/>
      <c r="BP154" s="23">
        <f t="shared" si="361"/>
        <v>0</v>
      </c>
      <c r="BQ154" s="23"/>
      <c r="BR154" s="23">
        <v>30000</v>
      </c>
      <c r="BS154" s="23">
        <f t="shared" si="362"/>
        <v>720000</v>
      </c>
      <c r="BT154" s="23"/>
      <c r="BU154" s="23">
        <f t="shared" si="363"/>
        <v>0</v>
      </c>
      <c r="BV154" s="23"/>
      <c r="BW154" s="23">
        <v>30000</v>
      </c>
      <c r="BX154" s="23">
        <f t="shared" si="364"/>
        <v>720000</v>
      </c>
      <c r="BY154" s="23"/>
      <c r="BZ154" s="23">
        <f t="shared" si="365"/>
        <v>0</v>
      </c>
      <c r="CA154" s="23"/>
      <c r="CB154" s="15"/>
    </row>
    <row r="155" spans="1:80" ht="16" x14ac:dyDescent="0.4">
      <c r="A155" s="15" t="s">
        <v>76</v>
      </c>
      <c r="B155" s="15" t="s">
        <v>262</v>
      </c>
      <c r="C155" s="15" t="s">
        <v>263</v>
      </c>
      <c r="D155" s="15" t="s">
        <v>575</v>
      </c>
      <c r="E155" s="112" t="s">
        <v>576</v>
      </c>
      <c r="F155" s="15" t="s">
        <v>267</v>
      </c>
      <c r="G155" s="15" t="s">
        <v>274</v>
      </c>
      <c r="H155" s="15" t="s">
        <v>82</v>
      </c>
      <c r="I155" s="15" t="s">
        <v>82</v>
      </c>
      <c r="J155" s="15" t="s">
        <v>112</v>
      </c>
      <c r="K155" s="15" t="s">
        <v>81</v>
      </c>
      <c r="L155" s="15" t="s">
        <v>151</v>
      </c>
      <c r="M155" s="15" t="s">
        <v>80</v>
      </c>
      <c r="N155" s="17">
        <v>22.92</v>
      </c>
      <c r="O155" s="72">
        <v>8000</v>
      </c>
      <c r="P155" s="22">
        <f t="shared" si="338"/>
        <v>360</v>
      </c>
      <c r="Q155" s="22">
        <f t="shared" si="339"/>
        <v>8251.2000000000007</v>
      </c>
      <c r="R155" s="22">
        <f t="shared" si="340"/>
        <v>2062800</v>
      </c>
      <c r="S155" s="22">
        <f t="shared" si="341"/>
        <v>228000</v>
      </c>
      <c r="T155" s="23">
        <v>30000</v>
      </c>
      <c r="U155" s="23">
        <f t="shared" si="342"/>
        <v>687600</v>
      </c>
      <c r="V155" s="23"/>
      <c r="W155" s="23">
        <f t="shared" si="343"/>
        <v>0</v>
      </c>
      <c r="X155" s="23">
        <v>40000</v>
      </c>
      <c r="Y155" s="23">
        <v>30000</v>
      </c>
      <c r="Z155" s="23">
        <f t="shared" si="344"/>
        <v>687600</v>
      </c>
      <c r="AA155" s="23"/>
      <c r="AB155" s="23">
        <f t="shared" si="345"/>
        <v>0</v>
      </c>
      <c r="AC155" s="23"/>
      <c r="AD155" s="23">
        <v>30000</v>
      </c>
      <c r="AE155" s="23">
        <f t="shared" si="346"/>
        <v>687600</v>
      </c>
      <c r="AF155" s="23">
        <v>30000</v>
      </c>
      <c r="AG155" s="23">
        <f t="shared" si="347"/>
        <v>687600</v>
      </c>
      <c r="AH155" s="23">
        <v>40000</v>
      </c>
      <c r="AI155" s="23">
        <v>30000</v>
      </c>
      <c r="AJ155" s="23">
        <f t="shared" si="348"/>
        <v>687600</v>
      </c>
      <c r="AK155" s="23">
        <v>30000</v>
      </c>
      <c r="AL155" s="23">
        <f t="shared" si="349"/>
        <v>687600</v>
      </c>
      <c r="AM155" s="23">
        <v>32000</v>
      </c>
      <c r="AN155" s="23">
        <v>30000</v>
      </c>
      <c r="AO155" s="23">
        <f t="shared" si="350"/>
        <v>687600</v>
      </c>
      <c r="AP155" s="23">
        <v>60000</v>
      </c>
      <c r="AQ155" s="23">
        <f t="shared" si="351"/>
        <v>1375200</v>
      </c>
      <c r="AR155" s="23"/>
      <c r="AS155" s="23">
        <v>30000</v>
      </c>
      <c r="AT155" s="23">
        <f t="shared" si="352"/>
        <v>687600</v>
      </c>
      <c r="AU155" s="23">
        <v>32000</v>
      </c>
      <c r="AV155" s="23">
        <f t="shared" si="353"/>
        <v>733440</v>
      </c>
      <c r="AW155" s="102">
        <v>32000</v>
      </c>
      <c r="AX155" s="24">
        <v>30000</v>
      </c>
      <c r="AY155" s="24">
        <f t="shared" si="354"/>
        <v>687600</v>
      </c>
      <c r="AZ155" s="23">
        <v>30000</v>
      </c>
      <c r="BA155" s="23">
        <f t="shared" si="355"/>
        <v>687600</v>
      </c>
      <c r="BB155" s="104">
        <v>32000</v>
      </c>
      <c r="BC155" s="23">
        <v>30000</v>
      </c>
      <c r="BD155" s="23">
        <f t="shared" si="356"/>
        <v>687600</v>
      </c>
      <c r="BE155" s="23">
        <v>30000</v>
      </c>
      <c r="BF155" s="23">
        <f t="shared" si="357"/>
        <v>687600</v>
      </c>
      <c r="BG155" s="101">
        <v>124000</v>
      </c>
      <c r="BH155" s="23">
        <v>30000</v>
      </c>
      <c r="BI155" s="23">
        <f t="shared" si="358"/>
        <v>687600</v>
      </c>
      <c r="BJ155" s="23">
        <v>30000</v>
      </c>
      <c r="BK155" s="23">
        <f t="shared" si="359"/>
        <v>687600</v>
      </c>
      <c r="BL155" s="101">
        <v>32000</v>
      </c>
      <c r="BM155" s="23">
        <v>30000</v>
      </c>
      <c r="BN155" s="23">
        <f t="shared" si="360"/>
        <v>687600</v>
      </c>
      <c r="BO155" s="23"/>
      <c r="BP155" s="23">
        <f t="shared" si="361"/>
        <v>0</v>
      </c>
      <c r="BQ155" s="101">
        <v>40000</v>
      </c>
      <c r="BR155" s="23">
        <v>30000</v>
      </c>
      <c r="BS155" s="23">
        <f t="shared" si="362"/>
        <v>687600</v>
      </c>
      <c r="BT155" s="23"/>
      <c r="BU155" s="23">
        <f t="shared" si="363"/>
        <v>0</v>
      </c>
      <c r="BV155" s="23"/>
      <c r="BW155" s="23">
        <v>30000</v>
      </c>
      <c r="BX155" s="23">
        <f t="shared" si="364"/>
        <v>687600</v>
      </c>
      <c r="BY155" s="23"/>
      <c r="BZ155" s="23">
        <f t="shared" si="365"/>
        <v>0</v>
      </c>
      <c r="CA155" s="23"/>
      <c r="CB155" s="15"/>
    </row>
    <row r="156" spans="1:80" ht="16" x14ac:dyDescent="0.4">
      <c r="A156" s="15" t="s">
        <v>76</v>
      </c>
      <c r="B156" s="15" t="s">
        <v>262</v>
      </c>
      <c r="C156" s="15" t="s">
        <v>263</v>
      </c>
      <c r="D156" s="15" t="s">
        <v>575</v>
      </c>
      <c r="E156" s="112" t="s">
        <v>576</v>
      </c>
      <c r="F156" s="15" t="s">
        <v>267</v>
      </c>
      <c r="G156" s="15" t="s">
        <v>274</v>
      </c>
      <c r="H156" s="15" t="s">
        <v>87</v>
      </c>
      <c r="I156" s="15" t="s">
        <v>87</v>
      </c>
      <c r="J156" s="15" t="s">
        <v>88</v>
      </c>
      <c r="K156" s="15" t="s">
        <v>85</v>
      </c>
      <c r="L156" s="15" t="s">
        <v>578</v>
      </c>
      <c r="M156" s="15" t="s">
        <v>83</v>
      </c>
      <c r="N156" s="17">
        <v>14.8</v>
      </c>
      <c r="O156" s="18"/>
      <c r="P156" s="22">
        <f t="shared" si="338"/>
        <v>110</v>
      </c>
      <c r="Q156" s="22">
        <f t="shared" si="339"/>
        <v>1628</v>
      </c>
      <c r="R156" s="22">
        <f t="shared" si="340"/>
        <v>0</v>
      </c>
      <c r="S156" s="22">
        <f t="shared" si="341"/>
        <v>0</v>
      </c>
      <c r="T156" s="23"/>
      <c r="U156" s="23">
        <f t="shared" si="342"/>
        <v>0</v>
      </c>
      <c r="V156" s="23"/>
      <c r="W156" s="23">
        <f t="shared" si="343"/>
        <v>0</v>
      </c>
      <c r="X156" s="23"/>
      <c r="Y156" s="23">
        <v>10000</v>
      </c>
      <c r="Z156" s="23">
        <f t="shared" si="344"/>
        <v>148000</v>
      </c>
      <c r="AA156" s="23"/>
      <c r="AB156" s="23">
        <f t="shared" si="345"/>
        <v>0</v>
      </c>
      <c r="AC156" s="23"/>
      <c r="AD156" s="23">
        <v>10000</v>
      </c>
      <c r="AE156" s="23">
        <f t="shared" si="346"/>
        <v>148000</v>
      </c>
      <c r="AF156" s="23"/>
      <c r="AG156" s="23">
        <f t="shared" si="347"/>
        <v>0</v>
      </c>
      <c r="AH156" s="23"/>
      <c r="AI156" s="23">
        <v>10000</v>
      </c>
      <c r="AJ156" s="23">
        <f t="shared" si="348"/>
        <v>148000</v>
      </c>
      <c r="AK156" s="23"/>
      <c r="AL156" s="23">
        <f t="shared" si="349"/>
        <v>0</v>
      </c>
      <c r="AM156" s="23"/>
      <c r="AN156" s="23">
        <v>10000</v>
      </c>
      <c r="AO156" s="23">
        <f t="shared" si="350"/>
        <v>148000</v>
      </c>
      <c r="AP156" s="23"/>
      <c r="AQ156" s="23">
        <f t="shared" si="351"/>
        <v>0</v>
      </c>
      <c r="AR156" s="23"/>
      <c r="AS156" s="23">
        <v>10000</v>
      </c>
      <c r="AT156" s="23">
        <f t="shared" si="352"/>
        <v>148000</v>
      </c>
      <c r="AU156" s="23"/>
      <c r="AV156" s="23">
        <f t="shared" si="353"/>
        <v>0</v>
      </c>
      <c r="AW156" s="23"/>
      <c r="AX156" s="24">
        <v>10000</v>
      </c>
      <c r="AY156" s="24">
        <f t="shared" si="354"/>
        <v>148000</v>
      </c>
      <c r="AZ156" s="23"/>
      <c r="BA156" s="23">
        <f t="shared" si="355"/>
        <v>0</v>
      </c>
      <c r="BB156" s="23"/>
      <c r="BC156" s="23">
        <v>10000</v>
      </c>
      <c r="BD156" s="23">
        <f t="shared" si="356"/>
        <v>148000</v>
      </c>
      <c r="BE156" s="23"/>
      <c r="BF156" s="23">
        <f t="shared" si="357"/>
        <v>0</v>
      </c>
      <c r="BG156" s="23"/>
      <c r="BH156" s="23">
        <v>10000</v>
      </c>
      <c r="BI156" s="23">
        <f t="shared" si="358"/>
        <v>148000</v>
      </c>
      <c r="BJ156" s="23"/>
      <c r="BK156" s="23">
        <f t="shared" si="359"/>
        <v>0</v>
      </c>
      <c r="BL156" s="23"/>
      <c r="BM156" s="23">
        <v>10000</v>
      </c>
      <c r="BN156" s="23">
        <f t="shared" si="360"/>
        <v>148000</v>
      </c>
      <c r="BO156" s="23"/>
      <c r="BP156" s="23">
        <f t="shared" si="361"/>
        <v>0</v>
      </c>
      <c r="BQ156" s="23"/>
      <c r="BR156" s="23">
        <v>10000</v>
      </c>
      <c r="BS156" s="23">
        <f t="shared" si="362"/>
        <v>148000</v>
      </c>
      <c r="BT156" s="23"/>
      <c r="BU156" s="23">
        <f t="shared" si="363"/>
        <v>0</v>
      </c>
      <c r="BV156" s="23"/>
      <c r="BW156" s="23">
        <v>10000</v>
      </c>
      <c r="BX156" s="23">
        <f t="shared" si="364"/>
        <v>148000</v>
      </c>
      <c r="BY156" s="23"/>
      <c r="BZ156" s="23">
        <f t="shared" si="365"/>
        <v>0</v>
      </c>
      <c r="CA156" s="23"/>
      <c r="CB156" s="15"/>
    </row>
    <row r="157" spans="1:80" ht="16" x14ac:dyDescent="0.4">
      <c r="A157" s="15" t="s">
        <v>76</v>
      </c>
      <c r="B157" s="15" t="s">
        <v>262</v>
      </c>
      <c r="C157" s="15" t="s">
        <v>263</v>
      </c>
      <c r="D157" s="15" t="s">
        <v>575</v>
      </c>
      <c r="E157" s="112" t="s">
        <v>576</v>
      </c>
      <c r="F157" s="15" t="s">
        <v>267</v>
      </c>
      <c r="G157" s="15" t="s">
        <v>274</v>
      </c>
      <c r="H157" s="15" t="s">
        <v>124</v>
      </c>
      <c r="I157" s="15" t="s">
        <v>124</v>
      </c>
      <c r="J157" s="15" t="s">
        <v>90</v>
      </c>
      <c r="K157" s="15" t="s">
        <v>125</v>
      </c>
      <c r="L157" s="79" t="s">
        <v>579</v>
      </c>
      <c r="M157" s="79" t="s">
        <v>83</v>
      </c>
      <c r="N157" s="81">
        <v>3.6</v>
      </c>
      <c r="O157" s="18"/>
      <c r="P157" s="22">
        <f t="shared" si="338"/>
        <v>500</v>
      </c>
      <c r="Q157" s="22">
        <f t="shared" si="339"/>
        <v>1800</v>
      </c>
      <c r="R157" s="22">
        <f t="shared" si="340"/>
        <v>0</v>
      </c>
      <c r="S157" s="22">
        <f t="shared" si="341"/>
        <v>0</v>
      </c>
      <c r="T157" s="23">
        <v>250000</v>
      </c>
      <c r="U157" s="23">
        <f t="shared" si="342"/>
        <v>900000</v>
      </c>
      <c r="V157" s="23"/>
      <c r="W157" s="23">
        <f t="shared" si="343"/>
        <v>0</v>
      </c>
      <c r="X157" s="23"/>
      <c r="Y157" s="23"/>
      <c r="Z157" s="23">
        <f t="shared" si="344"/>
        <v>0</v>
      </c>
      <c r="AA157" s="23"/>
      <c r="AB157" s="23">
        <f t="shared" si="345"/>
        <v>0</v>
      </c>
      <c r="AC157" s="23"/>
      <c r="AD157" s="23"/>
      <c r="AE157" s="23">
        <f t="shared" si="346"/>
        <v>0</v>
      </c>
      <c r="AF157" s="23"/>
      <c r="AG157" s="23">
        <f t="shared" si="347"/>
        <v>0</v>
      </c>
      <c r="AH157" s="23"/>
      <c r="AI157" s="23"/>
      <c r="AJ157" s="23">
        <f t="shared" si="348"/>
        <v>0</v>
      </c>
      <c r="AK157" s="23"/>
      <c r="AL157" s="23">
        <f t="shared" si="349"/>
        <v>0</v>
      </c>
      <c r="AM157" s="23"/>
      <c r="AN157" s="23"/>
      <c r="AO157" s="23">
        <f t="shared" si="350"/>
        <v>0</v>
      </c>
      <c r="AP157" s="23"/>
      <c r="AQ157" s="23">
        <f t="shared" si="351"/>
        <v>0</v>
      </c>
      <c r="AR157" s="23"/>
      <c r="AS157" s="23">
        <v>250000</v>
      </c>
      <c r="AT157" s="23">
        <f t="shared" si="352"/>
        <v>900000</v>
      </c>
      <c r="AU157" s="23"/>
      <c r="AV157" s="23">
        <f t="shared" si="353"/>
        <v>0</v>
      </c>
      <c r="AW157" s="82"/>
      <c r="AX157" s="117"/>
      <c r="AY157" s="24">
        <f t="shared" si="354"/>
        <v>0</v>
      </c>
      <c r="AZ157" s="23"/>
      <c r="BA157" s="23">
        <f t="shared" si="355"/>
        <v>0</v>
      </c>
      <c r="BB157" s="82"/>
      <c r="BC157" s="23"/>
      <c r="BD157" s="23">
        <f t="shared" si="356"/>
        <v>0</v>
      </c>
      <c r="BE157" s="23"/>
      <c r="BF157" s="23">
        <f t="shared" si="357"/>
        <v>0</v>
      </c>
      <c r="BG157" s="82"/>
      <c r="BH157" s="23"/>
      <c r="BI157" s="23">
        <f t="shared" si="358"/>
        <v>0</v>
      </c>
      <c r="BJ157" s="23"/>
      <c r="BK157" s="23">
        <f t="shared" si="359"/>
        <v>0</v>
      </c>
      <c r="BL157" s="82"/>
      <c r="BM157" s="23"/>
      <c r="BN157" s="23">
        <f t="shared" si="360"/>
        <v>0</v>
      </c>
      <c r="BO157" s="23"/>
      <c r="BP157" s="23">
        <f t="shared" si="361"/>
        <v>0</v>
      </c>
      <c r="BQ157" s="82"/>
      <c r="BR157" s="23"/>
      <c r="BS157" s="23">
        <f t="shared" si="362"/>
        <v>0</v>
      </c>
      <c r="BT157" s="23"/>
      <c r="BU157" s="23">
        <f t="shared" si="363"/>
        <v>0</v>
      </c>
      <c r="BV157" s="23"/>
      <c r="BW157" s="23"/>
      <c r="BX157" s="23">
        <f t="shared" si="364"/>
        <v>0</v>
      </c>
      <c r="BY157" s="23"/>
      <c r="BZ157" s="23">
        <f t="shared" si="365"/>
        <v>0</v>
      </c>
      <c r="CA157" s="23"/>
      <c r="CB157" s="79"/>
    </row>
    <row r="158" spans="1:80" ht="16" x14ac:dyDescent="0.4">
      <c r="A158" s="15" t="s">
        <v>76</v>
      </c>
      <c r="B158" s="15" t="s">
        <v>262</v>
      </c>
      <c r="C158" s="15" t="s">
        <v>263</v>
      </c>
      <c r="D158" s="15" t="s">
        <v>575</v>
      </c>
      <c r="E158" s="112" t="s">
        <v>576</v>
      </c>
      <c r="F158" s="15" t="s">
        <v>267</v>
      </c>
      <c r="G158" s="15" t="s">
        <v>274</v>
      </c>
      <c r="H158" s="15" t="s">
        <v>82</v>
      </c>
      <c r="I158" s="15" t="s">
        <v>82</v>
      </c>
      <c r="J158" s="15" t="s">
        <v>112</v>
      </c>
      <c r="K158" s="15" t="s">
        <v>81</v>
      </c>
      <c r="L158" s="15" t="s">
        <v>109</v>
      </c>
      <c r="M158" s="15"/>
      <c r="N158" s="17">
        <v>37.08</v>
      </c>
      <c r="O158" s="18"/>
      <c r="P158" s="22">
        <f t="shared" si="338"/>
        <v>0</v>
      </c>
      <c r="Q158" s="22">
        <f t="shared" si="339"/>
        <v>0</v>
      </c>
      <c r="R158" s="22">
        <f t="shared" si="340"/>
        <v>0</v>
      </c>
      <c r="S158" s="22">
        <f t="shared" si="341"/>
        <v>0</v>
      </c>
      <c r="T158" s="23"/>
      <c r="U158" s="23">
        <f t="shared" si="342"/>
        <v>0</v>
      </c>
      <c r="V158" s="23">
        <v>40000</v>
      </c>
      <c r="W158" s="23">
        <f t="shared" si="343"/>
        <v>1483200</v>
      </c>
      <c r="X158" s="23">
        <v>12000</v>
      </c>
      <c r="Y158" s="23"/>
      <c r="Z158" s="23">
        <f t="shared" si="344"/>
        <v>0</v>
      </c>
      <c r="AA158" s="23">
        <v>40000</v>
      </c>
      <c r="AB158" s="23">
        <f t="shared" si="345"/>
        <v>1483200</v>
      </c>
      <c r="AC158" s="23">
        <v>12000</v>
      </c>
      <c r="AD158" s="23"/>
      <c r="AE158" s="23">
        <f t="shared" si="346"/>
        <v>0</v>
      </c>
      <c r="AF158" s="23"/>
      <c r="AG158" s="23">
        <f t="shared" si="347"/>
        <v>0</v>
      </c>
      <c r="AH158" s="23"/>
      <c r="AI158" s="23"/>
      <c r="AJ158" s="23">
        <f t="shared" si="348"/>
        <v>0</v>
      </c>
      <c r="AK158" s="23"/>
      <c r="AL158" s="23">
        <f t="shared" si="349"/>
        <v>0</v>
      </c>
      <c r="AM158" s="23"/>
      <c r="AN158" s="23"/>
      <c r="AO158" s="23">
        <f t="shared" si="350"/>
        <v>0</v>
      </c>
      <c r="AP158" s="23"/>
      <c r="AQ158" s="23">
        <f t="shared" si="351"/>
        <v>0</v>
      </c>
      <c r="AR158" s="23"/>
      <c r="AS158" s="23"/>
      <c r="AT158" s="23">
        <f t="shared" si="352"/>
        <v>0</v>
      </c>
      <c r="AU158" s="23"/>
      <c r="AV158" s="23">
        <f t="shared" si="353"/>
        <v>0</v>
      </c>
      <c r="AW158" s="23"/>
      <c r="AX158" s="24"/>
      <c r="AY158" s="24">
        <f t="shared" si="354"/>
        <v>0</v>
      </c>
      <c r="AZ158" s="23"/>
      <c r="BA158" s="23">
        <f t="shared" si="355"/>
        <v>0</v>
      </c>
      <c r="BB158" s="23"/>
      <c r="BC158" s="23"/>
      <c r="BD158" s="23">
        <f t="shared" si="356"/>
        <v>0</v>
      </c>
      <c r="BE158" s="23"/>
      <c r="BF158" s="23">
        <f t="shared" si="357"/>
        <v>0</v>
      </c>
      <c r="BG158" s="23"/>
      <c r="BH158" s="23"/>
      <c r="BI158" s="23">
        <f t="shared" si="358"/>
        <v>0</v>
      </c>
      <c r="BJ158" s="23"/>
      <c r="BK158" s="23">
        <f t="shared" si="359"/>
        <v>0</v>
      </c>
      <c r="BL158" s="23"/>
      <c r="BM158" s="23"/>
      <c r="BN158" s="23">
        <f t="shared" si="360"/>
        <v>0</v>
      </c>
      <c r="BO158" s="23"/>
      <c r="BP158" s="23">
        <f t="shared" si="361"/>
        <v>0</v>
      </c>
      <c r="BQ158" s="23"/>
      <c r="BR158" s="23"/>
      <c r="BS158" s="23">
        <f t="shared" si="362"/>
        <v>0</v>
      </c>
      <c r="BT158" s="23"/>
      <c r="BU158" s="23">
        <f t="shared" si="363"/>
        <v>0</v>
      </c>
      <c r="BV158" s="23"/>
      <c r="BW158" s="23"/>
      <c r="BX158" s="23">
        <f t="shared" si="364"/>
        <v>0</v>
      </c>
      <c r="BY158" s="23"/>
      <c r="BZ158" s="23">
        <f t="shared" si="365"/>
        <v>0</v>
      </c>
      <c r="CA158" s="23"/>
      <c r="CB158" s="79"/>
    </row>
    <row r="159" spans="1:80" ht="16" x14ac:dyDescent="0.4">
      <c r="A159" s="15" t="s">
        <v>76</v>
      </c>
      <c r="B159" s="15" t="s">
        <v>262</v>
      </c>
      <c r="C159" s="15" t="s">
        <v>263</v>
      </c>
      <c r="D159" s="15" t="s">
        <v>575</v>
      </c>
      <c r="E159" s="112" t="s">
        <v>576</v>
      </c>
      <c r="F159" s="15" t="s">
        <v>267</v>
      </c>
      <c r="G159" s="15" t="s">
        <v>274</v>
      </c>
      <c r="H159" s="15" t="s">
        <v>82</v>
      </c>
      <c r="I159" s="15" t="s">
        <v>82</v>
      </c>
      <c r="J159" s="15" t="s">
        <v>112</v>
      </c>
      <c r="K159" s="15" t="s">
        <v>81</v>
      </c>
      <c r="L159" s="80" t="s">
        <v>580</v>
      </c>
      <c r="M159" s="15"/>
      <c r="N159" s="17">
        <v>24.52</v>
      </c>
      <c r="O159" s="18"/>
      <c r="P159" s="22">
        <f t="shared" si="338"/>
        <v>0</v>
      </c>
      <c r="Q159" s="22">
        <f t="shared" si="339"/>
        <v>0</v>
      </c>
      <c r="R159" s="22">
        <f t="shared" si="340"/>
        <v>0</v>
      </c>
      <c r="S159" s="22">
        <f t="shared" si="341"/>
        <v>216000</v>
      </c>
      <c r="T159" s="23"/>
      <c r="U159" s="23">
        <f t="shared" si="342"/>
        <v>0</v>
      </c>
      <c r="V159" s="23">
        <v>76000</v>
      </c>
      <c r="W159" s="23">
        <f t="shared" si="343"/>
        <v>1863520</v>
      </c>
      <c r="X159" s="23">
        <v>92000</v>
      </c>
      <c r="Y159" s="23"/>
      <c r="Z159" s="23">
        <f t="shared" si="344"/>
        <v>0</v>
      </c>
      <c r="AA159" s="23">
        <v>50000</v>
      </c>
      <c r="AB159" s="23">
        <f t="shared" si="345"/>
        <v>1226000</v>
      </c>
      <c r="AC159" s="23"/>
      <c r="AD159" s="23"/>
      <c r="AE159" s="23">
        <f t="shared" si="346"/>
        <v>0</v>
      </c>
      <c r="AF159" s="23"/>
      <c r="AG159" s="23">
        <f t="shared" si="347"/>
        <v>0</v>
      </c>
      <c r="AH159" s="23">
        <v>28000</v>
      </c>
      <c r="AI159" s="23"/>
      <c r="AJ159" s="23">
        <f t="shared" si="348"/>
        <v>0</v>
      </c>
      <c r="AK159" s="23"/>
      <c r="AL159" s="23">
        <f t="shared" si="349"/>
        <v>0</v>
      </c>
      <c r="AM159" s="23">
        <v>32000</v>
      </c>
      <c r="AN159" s="23"/>
      <c r="AO159" s="23">
        <f t="shared" si="350"/>
        <v>0</v>
      </c>
      <c r="AP159" s="23"/>
      <c r="AQ159" s="23">
        <f t="shared" si="351"/>
        <v>0</v>
      </c>
      <c r="AR159" s="23"/>
      <c r="AS159" s="23"/>
      <c r="AT159" s="23">
        <f t="shared" si="352"/>
        <v>0</v>
      </c>
      <c r="AU159" s="23">
        <v>32000</v>
      </c>
      <c r="AV159" s="23">
        <f t="shared" si="353"/>
        <v>784640</v>
      </c>
      <c r="AW159" s="23"/>
      <c r="AX159" s="24"/>
      <c r="AY159" s="24">
        <f t="shared" si="354"/>
        <v>0</v>
      </c>
      <c r="AZ159" s="23"/>
      <c r="BA159" s="23">
        <f t="shared" si="355"/>
        <v>0</v>
      </c>
      <c r="BB159" s="23"/>
      <c r="BC159" s="23"/>
      <c r="BD159" s="23">
        <f t="shared" si="356"/>
        <v>0</v>
      </c>
      <c r="BE159" s="23"/>
      <c r="BF159" s="23">
        <f t="shared" si="357"/>
        <v>0</v>
      </c>
      <c r="BG159" s="101">
        <v>84000</v>
      </c>
      <c r="BH159" s="23"/>
      <c r="BI159" s="23">
        <f t="shared" si="358"/>
        <v>0</v>
      </c>
      <c r="BJ159" s="23"/>
      <c r="BK159" s="23">
        <f t="shared" si="359"/>
        <v>0</v>
      </c>
      <c r="BL159" s="101">
        <v>52000</v>
      </c>
      <c r="BM159" s="23"/>
      <c r="BN159" s="23">
        <f t="shared" si="360"/>
        <v>0</v>
      </c>
      <c r="BO159" s="23"/>
      <c r="BP159" s="23">
        <f t="shared" si="361"/>
        <v>0</v>
      </c>
      <c r="BQ159" s="101">
        <v>40000</v>
      </c>
      <c r="BR159" s="23"/>
      <c r="BS159" s="23">
        <f t="shared" si="362"/>
        <v>0</v>
      </c>
      <c r="BT159" s="23"/>
      <c r="BU159" s="23">
        <f t="shared" si="363"/>
        <v>0</v>
      </c>
      <c r="BV159" s="23"/>
      <c r="BW159" s="23"/>
      <c r="BX159" s="23">
        <f t="shared" si="364"/>
        <v>0</v>
      </c>
      <c r="BY159" s="23"/>
      <c r="BZ159" s="23">
        <f t="shared" si="365"/>
        <v>0</v>
      </c>
      <c r="CA159" s="101">
        <v>40000</v>
      </c>
      <c r="CB159" s="80"/>
    </row>
  </sheetData>
  <sheetProtection algorithmName="SHA-512" hashValue="8jCqamOfHWxKdl73+4iR0gwvONW3smS0NA5tYgd8oawrOoRjKcomFCOYh0UG9JhFei3gG7H/3bGf2LnA+x6HgA==" saltValue="Dc0zvXVHOv+4wzFsMFrn2g==" spinCount="100000" sheet="1" objects="1" scenarios="1" selectLockedCells="1"/>
  <autoFilter ref="A2:CB2" xr:uid="{00000000-0001-0000-0000-000000000000}"/>
  <conditionalFormatting sqref="E86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158"/>
  <sheetViews>
    <sheetView tabSelected="1" topLeftCell="E1" zoomScale="70" zoomScaleNormal="70" workbookViewId="0">
      <pane ySplit="2" topLeftCell="A132" activePane="bottomLeft" state="frozen"/>
      <selection pane="bottomLeft" activeCell="BO137" sqref="BO137"/>
    </sheetView>
  </sheetViews>
  <sheetFormatPr defaultColWidth="18.7265625" defaultRowHeight="16" x14ac:dyDescent="0.4"/>
  <cols>
    <col min="1" max="1" width="13.453125" style="154" hidden="1" customWidth="1"/>
    <col min="2" max="2" width="9.08984375" style="154" hidden="1" customWidth="1"/>
    <col min="3" max="3" width="15.7265625" style="154" hidden="1" customWidth="1"/>
    <col min="4" max="4" width="22.54296875" style="154" hidden="1" customWidth="1"/>
    <col min="5" max="5" width="33.7265625" style="169" customWidth="1"/>
    <col min="6" max="6" width="15.7265625" style="154" hidden="1" customWidth="1"/>
    <col min="7" max="7" width="24" style="154" hidden="1" customWidth="1"/>
    <col min="8" max="8" width="64.08984375" style="154" hidden="1" customWidth="1"/>
    <col min="9" max="9" width="27.36328125" style="154" hidden="1" customWidth="1"/>
    <col min="10" max="10" width="32" style="154" hidden="1" customWidth="1"/>
    <col min="11" max="11" width="27.90625" style="155" bestFit="1" customWidth="1"/>
    <col min="12" max="12" width="18" style="156" hidden="1" customWidth="1"/>
    <col min="13" max="13" width="23.90625" style="156" hidden="1" customWidth="1"/>
    <col min="14" max="14" width="12" style="156" customWidth="1"/>
    <col min="15" max="15" width="18.7265625" style="156" hidden="1" customWidth="1"/>
    <col min="16" max="16" width="14.6328125" style="157" hidden="1" customWidth="1"/>
    <col min="17" max="17" width="23.81640625" style="154" bestFit="1" customWidth="1"/>
    <col min="18" max="18" width="17.54296875" style="154" hidden="1" customWidth="1"/>
    <col min="19" max="19" width="10" style="158" customWidth="1"/>
    <col min="20" max="20" width="25.90625" style="159" hidden="1" customWidth="1"/>
    <col min="21" max="21" width="19.453125" style="160" hidden="1" customWidth="1"/>
    <col min="22" max="22" width="25.08984375" style="160" hidden="1" customWidth="1"/>
    <col min="23" max="23" width="24.54296875" style="160" hidden="1" customWidth="1"/>
    <col min="24" max="24" width="21.54296875" style="160" hidden="1" customWidth="1"/>
    <col min="25" max="25" width="18.6328125" style="160" hidden="1" customWidth="1"/>
    <col min="26" max="26" width="17.6328125" style="160" hidden="1" customWidth="1"/>
    <col min="27" max="27" width="15.26953125" style="160" hidden="1" customWidth="1"/>
    <col min="28" max="28" width="17.36328125" style="160" hidden="1" customWidth="1"/>
    <col min="29" max="29" width="18.36328125" style="160" hidden="1" customWidth="1"/>
    <col min="30" max="30" width="19.1796875" style="160" hidden="1" customWidth="1"/>
    <col min="31" max="31" width="18.54296875" style="160" hidden="1" customWidth="1"/>
    <col min="32" max="32" width="16.08984375" style="160" hidden="1" customWidth="1"/>
    <col min="33" max="33" width="18.26953125" style="160" hidden="1" customWidth="1"/>
    <col min="34" max="34" width="21.54296875" style="160" hidden="1" customWidth="1"/>
    <col min="35" max="35" width="19.54296875" style="160" hidden="1" customWidth="1"/>
    <col min="36" max="36" width="17.7265625" style="160" hidden="1" customWidth="1"/>
    <col min="37" max="37" width="15.36328125" style="160" hidden="1" customWidth="1"/>
    <col min="38" max="38" width="17.54296875" style="160" hidden="1" customWidth="1"/>
    <col min="39" max="39" width="20.81640625" style="160" hidden="1" customWidth="1"/>
    <col min="40" max="40" width="18.90625" style="160" hidden="1" customWidth="1"/>
    <col min="41" max="41" width="16.54296875" style="160" hidden="1" customWidth="1"/>
    <col min="42" max="42" width="15.90625" style="160" hidden="1" customWidth="1"/>
    <col min="43" max="43" width="18" style="160" hidden="1" customWidth="1"/>
    <col min="44" max="44" width="21.26953125" style="160" hidden="1" customWidth="1"/>
    <col min="45" max="45" width="18.90625" style="160" hidden="1" customWidth="1"/>
    <col min="46" max="46" width="18.26953125" style="160" hidden="1" customWidth="1"/>
    <col min="47" max="47" width="15.453125" style="160" hidden="1" customWidth="1"/>
    <col min="48" max="48" width="17.6328125" style="160" hidden="1" customWidth="1"/>
    <col min="49" max="49" width="18.6328125" style="161" hidden="1" customWidth="1"/>
    <col min="50" max="50" width="18.6328125" style="160" hidden="1" customWidth="1"/>
    <col min="51" max="51" width="18" style="160" hidden="1" customWidth="1"/>
    <col min="52" max="52" width="15.26953125" style="160" hidden="1" customWidth="1"/>
    <col min="53" max="53" width="17.36328125" style="160" hidden="1" customWidth="1"/>
    <col min="54" max="54" width="18.36328125" style="162" hidden="1" customWidth="1"/>
    <col min="55" max="55" width="18.54296875" style="173" bestFit="1" customWidth="1"/>
    <col min="56" max="56" width="17.90625" style="173" bestFit="1" customWidth="1"/>
    <col min="57" max="57" width="15.08984375" style="160" bestFit="1" customWidth="1"/>
    <col min="58" max="58" width="17.26953125" style="160" bestFit="1" customWidth="1"/>
    <col min="59" max="59" width="18.26953125" style="162" hidden="1" customWidth="1"/>
    <col min="60" max="60" width="18.90625" style="160" hidden="1" customWidth="1"/>
    <col min="61" max="61" width="18.26953125" style="160" hidden="1" customWidth="1"/>
    <col min="62" max="62" width="15.453125" style="160" bestFit="1" customWidth="1"/>
    <col min="63" max="63" width="17.6328125" style="160" bestFit="1" customWidth="1"/>
    <col min="64" max="64" width="18.6328125" style="162" hidden="1" customWidth="1"/>
    <col min="65" max="65" width="18.81640625" style="160" hidden="1" customWidth="1"/>
    <col min="66" max="66" width="18.1796875" style="160" hidden="1" customWidth="1"/>
    <col min="67" max="67" width="15.36328125" style="160" bestFit="1" customWidth="1"/>
    <col min="68" max="68" width="17.54296875" style="160" bestFit="1" customWidth="1"/>
    <col min="69" max="69" width="18.54296875" style="162" hidden="1" customWidth="1"/>
    <col min="70" max="70" width="18.26953125" style="160" hidden="1" customWidth="1"/>
    <col min="71" max="71" width="17.6328125" style="160" hidden="1" customWidth="1"/>
    <col min="72" max="72" width="14.90625" style="160" hidden="1" customWidth="1"/>
    <col min="73" max="73" width="17" style="160" hidden="1" customWidth="1"/>
    <col min="74" max="74" width="21.453125" style="162" hidden="1" customWidth="1"/>
    <col min="75" max="75" width="18.54296875" style="160" hidden="1" customWidth="1"/>
    <col min="76" max="76" width="17.90625" style="160" hidden="1" customWidth="1"/>
    <col min="77" max="77" width="15.08984375" style="160" hidden="1" customWidth="1"/>
    <col min="78" max="78" width="17.26953125" style="160" hidden="1" customWidth="1"/>
    <col min="79" max="79" width="22.08984375" style="162" hidden="1" customWidth="1"/>
    <col min="80" max="80" width="19.6328125" style="160" hidden="1" customWidth="1"/>
    <col min="81" max="81" width="18.26953125" style="160" hidden="1" customWidth="1"/>
    <col min="82" max="82" width="15.453125" style="160" hidden="1" customWidth="1"/>
    <col min="83" max="83" width="17.6328125" style="160" hidden="1" customWidth="1"/>
    <col min="84" max="84" width="22.08984375" style="162" hidden="1" customWidth="1"/>
    <col min="85" max="85" width="90.26953125" style="126" bestFit="1" customWidth="1"/>
    <col min="86" max="16384" width="18.7265625" style="126"/>
  </cols>
  <sheetData>
    <row r="1" spans="1:87" s="127" customFormat="1" x14ac:dyDescent="0.4">
      <c r="A1" s="118"/>
      <c r="B1" s="118"/>
      <c r="C1" s="118"/>
      <c r="D1" s="118"/>
      <c r="E1" s="163"/>
      <c r="F1" s="118"/>
      <c r="G1" s="118"/>
      <c r="H1" s="118"/>
      <c r="I1" s="118"/>
      <c r="J1" s="118"/>
      <c r="K1" s="119"/>
      <c r="L1" s="120"/>
      <c r="M1" s="120"/>
      <c r="N1" s="120"/>
      <c r="O1" s="120"/>
      <c r="P1" s="121"/>
      <c r="Q1" s="122"/>
      <c r="R1" s="118"/>
      <c r="S1" s="123"/>
      <c r="T1" s="124">
        <f>SUBTOTAL(9,T3:T158)</f>
        <v>4563500</v>
      </c>
      <c r="U1" s="124">
        <f t="shared" ref="U1:AZ1" si="0">SUBTOTAL(9,U3:U167)</f>
        <v>24054.799999999999</v>
      </c>
      <c r="V1" s="124">
        <f t="shared" si="0"/>
        <v>2533.7034000000003</v>
      </c>
      <c r="W1" s="124">
        <f t="shared" si="0"/>
        <v>652408.30000000005</v>
      </c>
      <c r="X1" s="124">
        <f t="shared" si="0"/>
        <v>6317794</v>
      </c>
      <c r="Y1" s="124">
        <f t="shared" si="0"/>
        <v>1961450</v>
      </c>
      <c r="Z1" s="124">
        <f t="shared" si="0"/>
        <v>192007.40000000002</v>
      </c>
      <c r="AA1" s="124">
        <f t="shared" si="0"/>
        <v>2071250</v>
      </c>
      <c r="AB1" s="124">
        <f t="shared" si="0"/>
        <v>172232.7</v>
      </c>
      <c r="AC1" s="124">
        <f t="shared" si="0"/>
        <v>1144129</v>
      </c>
      <c r="AD1" s="124">
        <f t="shared" si="0"/>
        <v>1947250</v>
      </c>
      <c r="AE1" s="124">
        <f t="shared" si="0"/>
        <v>173581.2</v>
      </c>
      <c r="AF1" s="124">
        <f t="shared" si="0"/>
        <v>2404820</v>
      </c>
      <c r="AG1" s="124">
        <f t="shared" si="0"/>
        <v>249625.7</v>
      </c>
      <c r="AH1" s="124">
        <f t="shared" si="0"/>
        <v>2261203</v>
      </c>
      <c r="AI1" s="124">
        <f t="shared" si="0"/>
        <v>2022450</v>
      </c>
      <c r="AJ1" s="124">
        <f t="shared" si="0"/>
        <v>200499.40000000002</v>
      </c>
      <c r="AK1" s="124">
        <f t="shared" si="0"/>
        <v>2226608</v>
      </c>
      <c r="AL1" s="124">
        <f t="shared" si="0"/>
        <v>238682.14</v>
      </c>
      <c r="AM1" s="124">
        <f t="shared" si="0"/>
        <v>3257690</v>
      </c>
      <c r="AN1" s="124">
        <f t="shared" si="0"/>
        <v>2089050</v>
      </c>
      <c r="AO1" s="124">
        <f t="shared" si="0"/>
        <v>175798.00000000003</v>
      </c>
      <c r="AP1" s="124">
        <f t="shared" si="0"/>
        <v>2236897</v>
      </c>
      <c r="AQ1" s="124">
        <f t="shared" si="0"/>
        <v>258723.69999999998</v>
      </c>
      <c r="AR1" s="124">
        <f t="shared" si="0"/>
        <v>2021050</v>
      </c>
      <c r="AS1" s="124">
        <f t="shared" si="0"/>
        <v>1864650</v>
      </c>
      <c r="AT1" s="124">
        <f t="shared" si="0"/>
        <v>235467.80000000002</v>
      </c>
      <c r="AU1" s="124">
        <f t="shared" si="0"/>
        <v>2230300</v>
      </c>
      <c r="AV1" s="124">
        <f t="shared" si="0"/>
        <v>249368.30000000002</v>
      </c>
      <c r="AW1" s="124">
        <f t="shared" si="0"/>
        <v>2869323</v>
      </c>
      <c r="AX1" s="124">
        <f t="shared" si="0"/>
        <v>2044250</v>
      </c>
      <c r="AY1" s="124">
        <f t="shared" si="0"/>
        <v>214595.90000000002</v>
      </c>
      <c r="AZ1" s="124">
        <f t="shared" si="0"/>
        <v>2175800</v>
      </c>
      <c r="BA1" s="124">
        <f t="shared" ref="BA1:CF1" si="1">SUBTOTAL(9,BA3:BA167)</f>
        <v>206757.7</v>
      </c>
      <c r="BB1" s="124">
        <f t="shared" si="1"/>
        <v>757340</v>
      </c>
      <c r="BC1" s="170">
        <f t="shared" si="1"/>
        <v>2121550</v>
      </c>
      <c r="BD1" s="170">
        <f t="shared" si="1"/>
        <v>272962.90000000002</v>
      </c>
      <c r="BE1" s="124">
        <f t="shared" si="1"/>
        <v>2109300</v>
      </c>
      <c r="BF1" s="124">
        <f t="shared" si="1"/>
        <v>226287.1</v>
      </c>
      <c r="BG1" s="124">
        <f t="shared" si="1"/>
        <v>1315080</v>
      </c>
      <c r="BH1" s="124">
        <f t="shared" si="1"/>
        <v>1954550</v>
      </c>
      <c r="BI1" s="124">
        <f t="shared" si="1"/>
        <v>184343.1</v>
      </c>
      <c r="BJ1" s="124">
        <f t="shared" si="1"/>
        <v>2039300</v>
      </c>
      <c r="BK1" s="124">
        <f t="shared" si="1"/>
        <v>201530.1</v>
      </c>
      <c r="BL1" s="124">
        <f t="shared" si="1"/>
        <v>2027634</v>
      </c>
      <c r="BM1" s="124">
        <f t="shared" si="1"/>
        <v>2002250</v>
      </c>
      <c r="BN1" s="124">
        <f t="shared" si="1"/>
        <v>214912.90000000002</v>
      </c>
      <c r="BO1" s="124">
        <f t="shared" si="1"/>
        <v>2089300</v>
      </c>
      <c r="BP1" s="124">
        <f t="shared" si="1"/>
        <v>224591.1</v>
      </c>
      <c r="BQ1" s="124">
        <f t="shared" si="1"/>
        <v>693100</v>
      </c>
      <c r="BR1" s="124">
        <f t="shared" si="1"/>
        <v>1932550</v>
      </c>
      <c r="BS1" s="124">
        <f t="shared" si="1"/>
        <v>244546.80000000002</v>
      </c>
      <c r="BT1" s="124">
        <f t="shared" si="1"/>
        <v>0</v>
      </c>
      <c r="BU1" s="124">
        <f t="shared" si="1"/>
        <v>0</v>
      </c>
      <c r="BV1" s="124">
        <f t="shared" si="1"/>
        <v>1192000</v>
      </c>
      <c r="BW1" s="124">
        <f t="shared" si="1"/>
        <v>2027750</v>
      </c>
      <c r="BX1" s="124">
        <f t="shared" si="1"/>
        <v>204711.90000000002</v>
      </c>
      <c r="BY1" s="124">
        <f t="shared" si="1"/>
        <v>0</v>
      </c>
      <c r="BZ1" s="124">
        <f t="shared" si="1"/>
        <v>0</v>
      </c>
      <c r="CA1" s="124">
        <f t="shared" si="1"/>
        <v>695580</v>
      </c>
      <c r="CB1" s="124">
        <f t="shared" si="1"/>
        <v>2087050</v>
      </c>
      <c r="CC1" s="124">
        <f t="shared" si="1"/>
        <v>220276.1</v>
      </c>
      <c r="CD1" s="124">
        <f t="shared" si="1"/>
        <v>0</v>
      </c>
      <c r="CE1" s="124">
        <f t="shared" si="1"/>
        <v>0</v>
      </c>
      <c r="CF1" s="124">
        <f t="shared" si="1"/>
        <v>394400</v>
      </c>
      <c r="CG1" s="125"/>
      <c r="CH1" s="126"/>
      <c r="CI1" s="126"/>
    </row>
    <row r="2" spans="1:87" s="140" customFormat="1" ht="32" x14ac:dyDescent="0.4">
      <c r="A2" s="128" t="s">
        <v>0</v>
      </c>
      <c r="B2" s="128" t="s">
        <v>1</v>
      </c>
      <c r="C2" s="128" t="s">
        <v>2</v>
      </c>
      <c r="D2" s="128" t="s">
        <v>3</v>
      </c>
      <c r="E2" s="164" t="s">
        <v>4</v>
      </c>
      <c r="F2" s="128" t="s">
        <v>102</v>
      </c>
      <c r="G2" s="128" t="s">
        <v>103</v>
      </c>
      <c r="H2" s="128" t="s">
        <v>104</v>
      </c>
      <c r="I2" s="128" t="s">
        <v>105</v>
      </c>
      <c r="J2" s="128" t="s">
        <v>106</v>
      </c>
      <c r="K2" s="128" t="s">
        <v>207</v>
      </c>
      <c r="L2" s="129" t="s">
        <v>6</v>
      </c>
      <c r="M2" s="129" t="s">
        <v>7</v>
      </c>
      <c r="N2" s="129" t="s">
        <v>8</v>
      </c>
      <c r="O2" s="129" t="s">
        <v>9</v>
      </c>
      <c r="P2" s="129" t="s">
        <v>107</v>
      </c>
      <c r="Q2" s="128" t="s">
        <v>11</v>
      </c>
      <c r="R2" s="128" t="s">
        <v>12</v>
      </c>
      <c r="S2" s="130" t="s">
        <v>108</v>
      </c>
      <c r="T2" s="131" t="s">
        <v>590</v>
      </c>
      <c r="U2" s="132" t="s">
        <v>113</v>
      </c>
      <c r="V2" s="132" t="s">
        <v>203</v>
      </c>
      <c r="W2" s="132" t="s">
        <v>588</v>
      </c>
      <c r="X2" s="132" t="s">
        <v>589</v>
      </c>
      <c r="Y2" s="133" t="s">
        <v>15</v>
      </c>
      <c r="Z2" s="133" t="s">
        <v>16</v>
      </c>
      <c r="AA2" s="133" t="s">
        <v>17</v>
      </c>
      <c r="AB2" s="133" t="s">
        <v>18</v>
      </c>
      <c r="AC2" s="134" t="s">
        <v>19</v>
      </c>
      <c r="AD2" s="133" t="s">
        <v>20</v>
      </c>
      <c r="AE2" s="133" t="s">
        <v>21</v>
      </c>
      <c r="AF2" s="133" t="s">
        <v>22</v>
      </c>
      <c r="AG2" s="133" t="s">
        <v>23</v>
      </c>
      <c r="AH2" s="134" t="s">
        <v>24</v>
      </c>
      <c r="AI2" s="133" t="s">
        <v>25</v>
      </c>
      <c r="AJ2" s="133" t="s">
        <v>26</v>
      </c>
      <c r="AK2" s="133" t="s">
        <v>27</v>
      </c>
      <c r="AL2" s="133" t="s">
        <v>28</v>
      </c>
      <c r="AM2" s="134" t="s">
        <v>29</v>
      </c>
      <c r="AN2" s="133" t="s">
        <v>30</v>
      </c>
      <c r="AO2" s="133" t="s">
        <v>31</v>
      </c>
      <c r="AP2" s="133" t="s">
        <v>32</v>
      </c>
      <c r="AQ2" s="133" t="s">
        <v>33</v>
      </c>
      <c r="AR2" s="134" t="s">
        <v>34</v>
      </c>
      <c r="AS2" s="133" t="s">
        <v>35</v>
      </c>
      <c r="AT2" s="133" t="s">
        <v>36</v>
      </c>
      <c r="AU2" s="133" t="s">
        <v>37</v>
      </c>
      <c r="AV2" s="133" t="s">
        <v>38</v>
      </c>
      <c r="AW2" s="135" t="s">
        <v>39</v>
      </c>
      <c r="AX2" s="133" t="s">
        <v>40</v>
      </c>
      <c r="AY2" s="133" t="s">
        <v>41</v>
      </c>
      <c r="AZ2" s="133" t="s">
        <v>42</v>
      </c>
      <c r="BA2" s="133" t="s">
        <v>43</v>
      </c>
      <c r="BB2" s="135" t="s">
        <v>44</v>
      </c>
      <c r="BC2" s="171" t="s">
        <v>45</v>
      </c>
      <c r="BD2" s="171" t="s">
        <v>46</v>
      </c>
      <c r="BE2" s="136" t="s">
        <v>47</v>
      </c>
      <c r="BF2" s="133" t="s">
        <v>48</v>
      </c>
      <c r="BG2" s="135" t="s">
        <v>49</v>
      </c>
      <c r="BH2" s="133" t="s">
        <v>50</v>
      </c>
      <c r="BI2" s="133" t="s">
        <v>51</v>
      </c>
      <c r="BJ2" s="136" t="s">
        <v>52</v>
      </c>
      <c r="BK2" s="133" t="s">
        <v>53</v>
      </c>
      <c r="BL2" s="135" t="s">
        <v>54</v>
      </c>
      <c r="BM2" s="137" t="s">
        <v>55</v>
      </c>
      <c r="BN2" s="133" t="s">
        <v>56</v>
      </c>
      <c r="BO2" s="136" t="s">
        <v>57</v>
      </c>
      <c r="BP2" s="133" t="s">
        <v>58</v>
      </c>
      <c r="BQ2" s="135" t="s">
        <v>59</v>
      </c>
      <c r="BR2" s="133" t="s">
        <v>60</v>
      </c>
      <c r="BS2" s="133" t="s">
        <v>61</v>
      </c>
      <c r="BT2" s="133" t="s">
        <v>62</v>
      </c>
      <c r="BU2" s="133" t="s">
        <v>63</v>
      </c>
      <c r="BV2" s="138" t="s">
        <v>64</v>
      </c>
      <c r="BW2" s="133" t="s">
        <v>65</v>
      </c>
      <c r="BX2" s="133" t="s">
        <v>66</v>
      </c>
      <c r="BY2" s="133" t="s">
        <v>67</v>
      </c>
      <c r="BZ2" s="133" t="s">
        <v>68</v>
      </c>
      <c r="CA2" s="135" t="s">
        <v>69</v>
      </c>
      <c r="CB2" s="133" t="s">
        <v>70</v>
      </c>
      <c r="CC2" s="133" t="s">
        <v>71</v>
      </c>
      <c r="CD2" s="133" t="s">
        <v>72</v>
      </c>
      <c r="CE2" s="133" t="s">
        <v>73</v>
      </c>
      <c r="CF2" s="135" t="s">
        <v>74</v>
      </c>
      <c r="CG2" s="139" t="s">
        <v>75</v>
      </c>
      <c r="CH2" s="126"/>
      <c r="CI2" s="126"/>
    </row>
    <row r="3" spans="1:87" x14ac:dyDescent="0.4">
      <c r="A3" s="2" t="s">
        <v>110</v>
      </c>
      <c r="B3" s="2" t="s">
        <v>262</v>
      </c>
      <c r="C3" s="2" t="s">
        <v>263</v>
      </c>
      <c r="D3" s="2" t="s">
        <v>300</v>
      </c>
      <c r="E3" s="165" t="s">
        <v>301</v>
      </c>
      <c r="F3" s="2"/>
      <c r="G3" s="2"/>
      <c r="H3" s="2"/>
      <c r="I3" s="2"/>
      <c r="J3" s="2"/>
      <c r="K3" s="2" t="s">
        <v>267</v>
      </c>
      <c r="L3" s="13" t="s">
        <v>283</v>
      </c>
      <c r="M3" s="2" t="s">
        <v>138</v>
      </c>
      <c r="N3" s="2" t="s">
        <v>138</v>
      </c>
      <c r="O3" s="2" t="s">
        <v>90</v>
      </c>
      <c r="P3" s="2" t="s">
        <v>125</v>
      </c>
      <c r="Q3" s="2" t="s">
        <v>287</v>
      </c>
      <c r="R3" s="2" t="s">
        <v>83</v>
      </c>
      <c r="S3" s="11">
        <v>0.4516</v>
      </c>
      <c r="T3" s="12"/>
      <c r="U3" s="30">
        <f t="shared" ref="U3:U15" si="2">+(Y3+AD3+AI3+AN3+AS3+AX3+BC3+BH3+BM3+BR3+BW3+CB3)/1000</f>
        <v>10</v>
      </c>
      <c r="V3" s="30">
        <f t="shared" ref="V3:V15" si="3">+(Z3+AE3+AJ3+AO3+AT3+AY3+BD3+BI3+BN3+BS3+BX3+CC3)/1000</f>
        <v>4.516</v>
      </c>
      <c r="W3" s="30">
        <f t="shared" ref="W3:W15" si="4">+(+BF3+BK3+BP3+BU3+BZ3+CE3)</f>
        <v>0</v>
      </c>
      <c r="X3" s="30">
        <f t="shared" ref="X3:X15" si="5">+(+BG3+BL3+BQ3+BV3+CA3+CF3)</f>
        <v>0</v>
      </c>
      <c r="Y3" s="30"/>
      <c r="Z3" s="30">
        <f t="shared" ref="Z3:Z15" si="6">Y3*S3</f>
        <v>0</v>
      </c>
      <c r="AA3" s="30"/>
      <c r="AB3" s="30">
        <f t="shared" ref="AB3:AB15" si="7">AA3*S3</f>
        <v>0</v>
      </c>
      <c r="AC3" s="30"/>
      <c r="AD3" s="30"/>
      <c r="AE3" s="30">
        <f t="shared" ref="AE3:AE15" si="8">AD3*S3</f>
        <v>0</v>
      </c>
      <c r="AF3" s="30"/>
      <c r="AG3" s="30">
        <f t="shared" ref="AG3:AG15" si="9">AF3*S3</f>
        <v>0</v>
      </c>
      <c r="AH3" s="30"/>
      <c r="AI3" s="30"/>
      <c r="AJ3" s="30">
        <f t="shared" ref="AJ3:AJ15" si="10">AI3*S3</f>
        <v>0</v>
      </c>
      <c r="AK3" s="30"/>
      <c r="AL3" s="30">
        <f t="shared" ref="AL3:AL15" si="11">AK3*S3</f>
        <v>0</v>
      </c>
      <c r="AM3" s="30"/>
      <c r="AN3" s="30">
        <v>10000</v>
      </c>
      <c r="AO3" s="30">
        <f t="shared" ref="AO3:AO15" si="12">AN3*S3</f>
        <v>4516</v>
      </c>
      <c r="AP3" s="30"/>
      <c r="AQ3" s="30">
        <f t="shared" ref="AQ3:AQ15" si="13">AP3*S3</f>
        <v>0</v>
      </c>
      <c r="AR3" s="30"/>
      <c r="AS3" s="30"/>
      <c r="AT3" s="30">
        <f t="shared" ref="AT3:AT15" si="14">AS3*S3</f>
        <v>0</v>
      </c>
      <c r="AU3" s="30"/>
      <c r="AV3" s="30">
        <f t="shared" ref="AV3:AV15" si="15">AU3*S3</f>
        <v>0</v>
      </c>
      <c r="AW3" s="30"/>
      <c r="AX3" s="30"/>
      <c r="AY3" s="30">
        <f t="shared" ref="AY3:AY15" si="16">AX3*S3</f>
        <v>0</v>
      </c>
      <c r="AZ3" s="30"/>
      <c r="BA3" s="30">
        <v>0</v>
      </c>
      <c r="BB3" s="30"/>
      <c r="BC3" s="45"/>
      <c r="BD3" s="45">
        <f t="shared" ref="BD3:BD15" si="17">BC3*S3</f>
        <v>0</v>
      </c>
      <c r="BE3" s="30"/>
      <c r="BF3" s="30">
        <f t="shared" ref="BF3:BF15" si="18">BE3*S3</f>
        <v>0</v>
      </c>
      <c r="BG3" s="30"/>
      <c r="BH3" s="30"/>
      <c r="BI3" s="30">
        <f t="shared" ref="BI3:BI15" si="19">BH3*S3</f>
        <v>0</v>
      </c>
      <c r="BJ3" s="30"/>
      <c r="BK3" s="30">
        <f t="shared" ref="BK3:BK15" si="20">BJ3*S3</f>
        <v>0</v>
      </c>
      <c r="BL3" s="30"/>
      <c r="BM3" s="30"/>
      <c r="BN3" s="30">
        <f t="shared" ref="BN3:BN15" si="21">BM3*S3</f>
        <v>0</v>
      </c>
      <c r="BO3" s="30"/>
      <c r="BP3" s="30">
        <f t="shared" ref="BP3:BP15" si="22">BO3*S3</f>
        <v>0</v>
      </c>
      <c r="BQ3" s="30"/>
      <c r="BR3" s="30"/>
      <c r="BS3" s="30">
        <f t="shared" ref="BS3:BS15" si="23">BR3*S3</f>
        <v>0</v>
      </c>
      <c r="BT3" s="30"/>
      <c r="BU3" s="30">
        <f t="shared" ref="BU3:BU15" si="24">BT3*S3</f>
        <v>0</v>
      </c>
      <c r="BV3" s="30"/>
      <c r="BW3" s="30"/>
      <c r="BX3" s="30">
        <f t="shared" ref="BX3:BX15" si="25">BW3*S3</f>
        <v>0</v>
      </c>
      <c r="BY3" s="30"/>
      <c r="BZ3" s="30">
        <f t="shared" ref="BZ3:BZ15" si="26">BY3*S3</f>
        <v>0</v>
      </c>
      <c r="CA3" s="30"/>
      <c r="CB3" s="30"/>
      <c r="CC3" s="30">
        <f t="shared" ref="CC3:CC15" si="27">CB3*S3</f>
        <v>0</v>
      </c>
      <c r="CD3" s="30"/>
      <c r="CE3" s="30">
        <f t="shared" ref="CE3:CE15" si="28">CD3*S3</f>
        <v>0</v>
      </c>
      <c r="CF3" s="30"/>
      <c r="CG3" s="2"/>
    </row>
    <row r="4" spans="1:87" x14ac:dyDescent="0.4">
      <c r="A4" s="2" t="s">
        <v>110</v>
      </c>
      <c r="B4" s="2" t="s">
        <v>262</v>
      </c>
      <c r="C4" s="2" t="s">
        <v>263</v>
      </c>
      <c r="D4" s="2" t="s">
        <v>300</v>
      </c>
      <c r="E4" s="165" t="s">
        <v>301</v>
      </c>
      <c r="F4" s="2"/>
      <c r="G4" s="2"/>
      <c r="H4" s="2"/>
      <c r="I4" s="2"/>
      <c r="J4" s="2"/>
      <c r="K4" s="2" t="s">
        <v>267</v>
      </c>
      <c r="L4" s="13" t="s">
        <v>283</v>
      </c>
      <c r="M4" s="2" t="s">
        <v>138</v>
      </c>
      <c r="N4" s="2" t="s">
        <v>138</v>
      </c>
      <c r="O4" s="2" t="s">
        <v>90</v>
      </c>
      <c r="P4" s="2" t="s">
        <v>125</v>
      </c>
      <c r="Q4" s="2" t="s">
        <v>189</v>
      </c>
      <c r="R4" s="2" t="s">
        <v>83</v>
      </c>
      <c r="S4" s="11">
        <v>0.161</v>
      </c>
      <c r="T4" s="12"/>
      <c r="U4" s="30">
        <f t="shared" si="2"/>
        <v>2.5</v>
      </c>
      <c r="V4" s="30">
        <f t="shared" si="3"/>
        <v>0.40250000000000002</v>
      </c>
      <c r="W4" s="30">
        <f t="shared" si="4"/>
        <v>0</v>
      </c>
      <c r="X4" s="30">
        <f t="shared" si="5"/>
        <v>0</v>
      </c>
      <c r="Y4" s="30"/>
      <c r="Z4" s="30">
        <f t="shared" si="6"/>
        <v>0</v>
      </c>
      <c r="AA4" s="30"/>
      <c r="AB4" s="30">
        <f t="shared" si="7"/>
        <v>0</v>
      </c>
      <c r="AC4" s="30"/>
      <c r="AD4" s="30"/>
      <c r="AE4" s="30">
        <f t="shared" si="8"/>
        <v>0</v>
      </c>
      <c r="AF4" s="30"/>
      <c r="AG4" s="30">
        <f t="shared" si="9"/>
        <v>0</v>
      </c>
      <c r="AH4" s="30"/>
      <c r="AI4" s="30"/>
      <c r="AJ4" s="30">
        <f t="shared" si="10"/>
        <v>0</v>
      </c>
      <c r="AK4" s="30"/>
      <c r="AL4" s="30">
        <f t="shared" si="11"/>
        <v>0</v>
      </c>
      <c r="AM4" s="30"/>
      <c r="AN4" s="30">
        <v>2500</v>
      </c>
      <c r="AO4" s="30">
        <f t="shared" si="12"/>
        <v>402.5</v>
      </c>
      <c r="AP4" s="30"/>
      <c r="AQ4" s="30">
        <f t="shared" si="13"/>
        <v>0</v>
      </c>
      <c r="AR4" s="30"/>
      <c r="AS4" s="30"/>
      <c r="AT4" s="30">
        <f t="shared" si="14"/>
        <v>0</v>
      </c>
      <c r="AU4" s="30"/>
      <c r="AV4" s="30">
        <f t="shared" si="15"/>
        <v>0</v>
      </c>
      <c r="AW4" s="30"/>
      <c r="AX4" s="30"/>
      <c r="AY4" s="30">
        <f t="shared" si="16"/>
        <v>0</v>
      </c>
      <c r="AZ4" s="30"/>
      <c r="BA4" s="30">
        <v>0</v>
      </c>
      <c r="BB4" s="30"/>
      <c r="BC4" s="45"/>
      <c r="BD4" s="45">
        <f t="shared" si="17"/>
        <v>0</v>
      </c>
      <c r="BE4" s="30"/>
      <c r="BF4" s="30">
        <f t="shared" si="18"/>
        <v>0</v>
      </c>
      <c r="BG4" s="30"/>
      <c r="BH4" s="30"/>
      <c r="BI4" s="30">
        <f t="shared" si="19"/>
        <v>0</v>
      </c>
      <c r="BJ4" s="30"/>
      <c r="BK4" s="30">
        <f t="shared" si="20"/>
        <v>0</v>
      </c>
      <c r="BL4" s="30"/>
      <c r="BM4" s="30"/>
      <c r="BN4" s="30">
        <f t="shared" si="21"/>
        <v>0</v>
      </c>
      <c r="BO4" s="30"/>
      <c r="BP4" s="30">
        <f t="shared" si="22"/>
        <v>0</v>
      </c>
      <c r="BQ4" s="30"/>
      <c r="BR4" s="30"/>
      <c r="BS4" s="30">
        <f t="shared" si="23"/>
        <v>0</v>
      </c>
      <c r="BT4" s="30"/>
      <c r="BU4" s="30">
        <f t="shared" si="24"/>
        <v>0</v>
      </c>
      <c r="BV4" s="30"/>
      <c r="BW4" s="30"/>
      <c r="BX4" s="30">
        <f t="shared" si="25"/>
        <v>0</v>
      </c>
      <c r="BY4" s="30"/>
      <c r="BZ4" s="30">
        <f t="shared" si="26"/>
        <v>0</v>
      </c>
      <c r="CA4" s="30"/>
      <c r="CB4" s="30"/>
      <c r="CC4" s="30">
        <f t="shared" si="27"/>
        <v>0</v>
      </c>
      <c r="CD4" s="30"/>
      <c r="CE4" s="30">
        <f t="shared" si="28"/>
        <v>0</v>
      </c>
      <c r="CF4" s="30"/>
      <c r="CG4" s="2"/>
    </row>
    <row r="5" spans="1:87" x14ac:dyDescent="0.4">
      <c r="A5" s="2" t="s">
        <v>110</v>
      </c>
      <c r="B5" s="2" t="s">
        <v>262</v>
      </c>
      <c r="C5" s="2" t="s">
        <v>263</v>
      </c>
      <c r="D5" s="2" t="s">
        <v>300</v>
      </c>
      <c r="E5" s="165" t="s">
        <v>301</v>
      </c>
      <c r="F5" s="2"/>
      <c r="G5" s="2"/>
      <c r="H5" s="2"/>
      <c r="I5" s="2"/>
      <c r="J5" s="2"/>
      <c r="K5" s="2" t="s">
        <v>267</v>
      </c>
      <c r="L5" s="13" t="s">
        <v>283</v>
      </c>
      <c r="M5" s="2" t="s">
        <v>117</v>
      </c>
      <c r="N5" s="2" t="s">
        <v>117</v>
      </c>
      <c r="O5" s="2" t="s">
        <v>118</v>
      </c>
      <c r="P5" s="2" t="s">
        <v>603</v>
      </c>
      <c r="Q5" s="2" t="s">
        <v>302</v>
      </c>
      <c r="R5" s="2" t="s">
        <v>83</v>
      </c>
      <c r="S5" s="11">
        <v>6.4999999999999997E-3</v>
      </c>
      <c r="T5" s="12"/>
      <c r="U5" s="30">
        <f t="shared" si="2"/>
        <v>44</v>
      </c>
      <c r="V5" s="30">
        <f t="shared" si="3"/>
        <v>0.28599999999999998</v>
      </c>
      <c r="W5" s="30">
        <f t="shared" si="4"/>
        <v>0</v>
      </c>
      <c r="X5" s="30">
        <f t="shared" si="5"/>
        <v>0</v>
      </c>
      <c r="Y5" s="30"/>
      <c r="Z5" s="30">
        <f t="shared" si="6"/>
        <v>0</v>
      </c>
      <c r="AA5" s="30"/>
      <c r="AB5" s="30">
        <f t="shared" si="7"/>
        <v>0</v>
      </c>
      <c r="AC5" s="30"/>
      <c r="AD5" s="30"/>
      <c r="AE5" s="30">
        <f t="shared" si="8"/>
        <v>0</v>
      </c>
      <c r="AF5" s="30"/>
      <c r="AG5" s="30">
        <f t="shared" si="9"/>
        <v>0</v>
      </c>
      <c r="AH5" s="30"/>
      <c r="AI5" s="30"/>
      <c r="AJ5" s="30">
        <f t="shared" si="10"/>
        <v>0</v>
      </c>
      <c r="AK5" s="30"/>
      <c r="AL5" s="30">
        <f t="shared" si="11"/>
        <v>0</v>
      </c>
      <c r="AM5" s="30"/>
      <c r="AN5" s="30">
        <v>44000</v>
      </c>
      <c r="AO5" s="30">
        <f t="shared" si="12"/>
        <v>286</v>
      </c>
      <c r="AP5" s="30"/>
      <c r="AQ5" s="30">
        <f t="shared" si="13"/>
        <v>0</v>
      </c>
      <c r="AR5" s="30"/>
      <c r="AS5" s="30"/>
      <c r="AT5" s="30">
        <f t="shared" si="14"/>
        <v>0</v>
      </c>
      <c r="AU5" s="30"/>
      <c r="AV5" s="30">
        <f t="shared" si="15"/>
        <v>0</v>
      </c>
      <c r="AW5" s="30"/>
      <c r="AX5" s="30"/>
      <c r="AY5" s="30">
        <f t="shared" si="16"/>
        <v>0</v>
      </c>
      <c r="AZ5" s="30"/>
      <c r="BA5" s="30">
        <v>0</v>
      </c>
      <c r="BB5" s="30"/>
      <c r="BC5" s="45"/>
      <c r="BD5" s="45">
        <f t="shared" si="17"/>
        <v>0</v>
      </c>
      <c r="BE5" s="30"/>
      <c r="BF5" s="30">
        <f t="shared" si="18"/>
        <v>0</v>
      </c>
      <c r="BG5" s="30"/>
      <c r="BH5" s="30"/>
      <c r="BI5" s="30">
        <f t="shared" si="19"/>
        <v>0</v>
      </c>
      <c r="BJ5" s="30"/>
      <c r="BK5" s="30">
        <f t="shared" si="20"/>
        <v>0</v>
      </c>
      <c r="BL5" s="30"/>
      <c r="BM5" s="30"/>
      <c r="BN5" s="30">
        <f t="shared" si="21"/>
        <v>0</v>
      </c>
      <c r="BO5" s="30"/>
      <c r="BP5" s="30">
        <f t="shared" si="22"/>
        <v>0</v>
      </c>
      <c r="BQ5" s="30"/>
      <c r="BR5" s="30"/>
      <c r="BS5" s="30">
        <f t="shared" si="23"/>
        <v>0</v>
      </c>
      <c r="BT5" s="30"/>
      <c r="BU5" s="30">
        <f t="shared" si="24"/>
        <v>0</v>
      </c>
      <c r="BV5" s="30"/>
      <c r="BW5" s="30"/>
      <c r="BX5" s="30">
        <f t="shared" si="25"/>
        <v>0</v>
      </c>
      <c r="BY5" s="30"/>
      <c r="BZ5" s="30">
        <f t="shared" si="26"/>
        <v>0</v>
      </c>
      <c r="CA5" s="30"/>
      <c r="CB5" s="30"/>
      <c r="CC5" s="30">
        <f t="shared" si="27"/>
        <v>0</v>
      </c>
      <c r="CD5" s="30"/>
      <c r="CE5" s="30">
        <f t="shared" si="28"/>
        <v>0</v>
      </c>
      <c r="CF5" s="30"/>
      <c r="CG5" s="2"/>
    </row>
    <row r="6" spans="1:87" x14ac:dyDescent="0.4">
      <c r="A6" s="2" t="s">
        <v>110</v>
      </c>
      <c r="B6" s="2" t="s">
        <v>262</v>
      </c>
      <c r="C6" s="2" t="s">
        <v>263</v>
      </c>
      <c r="D6" s="2" t="s">
        <v>300</v>
      </c>
      <c r="E6" s="165" t="s">
        <v>301</v>
      </c>
      <c r="F6" s="2"/>
      <c r="G6" s="2"/>
      <c r="H6" s="2"/>
      <c r="I6" s="2"/>
      <c r="J6" s="2"/>
      <c r="K6" s="2" t="s">
        <v>267</v>
      </c>
      <c r="L6" s="13" t="s">
        <v>283</v>
      </c>
      <c r="M6" s="2" t="s">
        <v>117</v>
      </c>
      <c r="N6" s="2" t="s">
        <v>117</v>
      </c>
      <c r="O6" s="2" t="s">
        <v>118</v>
      </c>
      <c r="P6" s="2" t="s">
        <v>603</v>
      </c>
      <c r="Q6" s="2" t="s">
        <v>303</v>
      </c>
      <c r="R6" s="2" t="s">
        <v>83</v>
      </c>
      <c r="S6" s="11">
        <v>1.2999999999999999E-2</v>
      </c>
      <c r="T6" s="12"/>
      <c r="U6" s="30">
        <f t="shared" si="2"/>
        <v>8</v>
      </c>
      <c r="V6" s="30">
        <f t="shared" si="3"/>
        <v>0.104</v>
      </c>
      <c r="W6" s="30">
        <f t="shared" si="4"/>
        <v>0</v>
      </c>
      <c r="X6" s="30">
        <f t="shared" si="5"/>
        <v>0</v>
      </c>
      <c r="Y6" s="30"/>
      <c r="Z6" s="30">
        <f t="shared" si="6"/>
        <v>0</v>
      </c>
      <c r="AA6" s="30"/>
      <c r="AB6" s="30">
        <f t="shared" si="7"/>
        <v>0</v>
      </c>
      <c r="AC6" s="30"/>
      <c r="AD6" s="30"/>
      <c r="AE6" s="30">
        <f t="shared" si="8"/>
        <v>0</v>
      </c>
      <c r="AF6" s="30"/>
      <c r="AG6" s="30">
        <f t="shared" si="9"/>
        <v>0</v>
      </c>
      <c r="AH6" s="30"/>
      <c r="AI6" s="30"/>
      <c r="AJ6" s="30">
        <f t="shared" si="10"/>
        <v>0</v>
      </c>
      <c r="AK6" s="30"/>
      <c r="AL6" s="30">
        <f t="shared" si="11"/>
        <v>0</v>
      </c>
      <c r="AM6" s="30"/>
      <c r="AN6" s="30">
        <v>8000</v>
      </c>
      <c r="AO6" s="30">
        <f t="shared" si="12"/>
        <v>104</v>
      </c>
      <c r="AP6" s="30"/>
      <c r="AQ6" s="30">
        <f t="shared" si="13"/>
        <v>0</v>
      </c>
      <c r="AR6" s="30"/>
      <c r="AS6" s="30"/>
      <c r="AT6" s="30">
        <f t="shared" si="14"/>
        <v>0</v>
      </c>
      <c r="AU6" s="30"/>
      <c r="AV6" s="30">
        <f t="shared" si="15"/>
        <v>0</v>
      </c>
      <c r="AW6" s="30"/>
      <c r="AX6" s="30"/>
      <c r="AY6" s="30">
        <f t="shared" si="16"/>
        <v>0</v>
      </c>
      <c r="AZ6" s="30"/>
      <c r="BA6" s="30">
        <v>0</v>
      </c>
      <c r="BB6" s="30"/>
      <c r="BC6" s="45"/>
      <c r="BD6" s="45">
        <f t="shared" si="17"/>
        <v>0</v>
      </c>
      <c r="BE6" s="30"/>
      <c r="BF6" s="30">
        <f t="shared" si="18"/>
        <v>0</v>
      </c>
      <c r="BG6" s="30"/>
      <c r="BH6" s="30"/>
      <c r="BI6" s="30">
        <f t="shared" si="19"/>
        <v>0</v>
      </c>
      <c r="BJ6" s="30"/>
      <c r="BK6" s="30">
        <f t="shared" si="20"/>
        <v>0</v>
      </c>
      <c r="BL6" s="30"/>
      <c r="BM6" s="30"/>
      <c r="BN6" s="30">
        <f t="shared" si="21"/>
        <v>0</v>
      </c>
      <c r="BO6" s="30"/>
      <c r="BP6" s="30">
        <f t="shared" si="22"/>
        <v>0</v>
      </c>
      <c r="BQ6" s="30"/>
      <c r="BR6" s="30"/>
      <c r="BS6" s="30">
        <f t="shared" si="23"/>
        <v>0</v>
      </c>
      <c r="BT6" s="30"/>
      <c r="BU6" s="30">
        <f t="shared" si="24"/>
        <v>0</v>
      </c>
      <c r="BV6" s="30"/>
      <c r="BW6" s="30"/>
      <c r="BX6" s="30">
        <f t="shared" si="25"/>
        <v>0</v>
      </c>
      <c r="BY6" s="30"/>
      <c r="BZ6" s="30">
        <f t="shared" si="26"/>
        <v>0</v>
      </c>
      <c r="CA6" s="30"/>
      <c r="CB6" s="30"/>
      <c r="CC6" s="30">
        <f t="shared" si="27"/>
        <v>0</v>
      </c>
      <c r="CD6" s="30"/>
      <c r="CE6" s="30">
        <f t="shared" si="28"/>
        <v>0</v>
      </c>
      <c r="CF6" s="30"/>
      <c r="CG6" s="2"/>
    </row>
    <row r="7" spans="1:87" x14ac:dyDescent="0.4">
      <c r="A7" s="2" t="s">
        <v>110</v>
      </c>
      <c r="B7" s="2" t="s">
        <v>262</v>
      </c>
      <c r="C7" s="2" t="s">
        <v>263</v>
      </c>
      <c r="D7" s="2" t="s">
        <v>300</v>
      </c>
      <c r="E7" s="165" t="s">
        <v>301</v>
      </c>
      <c r="F7" s="2"/>
      <c r="G7" s="2"/>
      <c r="H7" s="2"/>
      <c r="I7" s="2"/>
      <c r="J7" s="2"/>
      <c r="K7" s="2" t="s">
        <v>267</v>
      </c>
      <c r="L7" s="13" t="s">
        <v>283</v>
      </c>
      <c r="M7" s="2" t="s">
        <v>117</v>
      </c>
      <c r="N7" s="2" t="s">
        <v>117</v>
      </c>
      <c r="O7" s="2" t="s">
        <v>118</v>
      </c>
      <c r="P7" s="2" t="s">
        <v>603</v>
      </c>
      <c r="Q7" s="2" t="s">
        <v>304</v>
      </c>
      <c r="R7" s="2" t="s">
        <v>83</v>
      </c>
      <c r="S7" s="11">
        <v>4.3E-3</v>
      </c>
      <c r="T7" s="12"/>
      <c r="U7" s="30">
        <f t="shared" si="2"/>
        <v>8</v>
      </c>
      <c r="V7" s="30">
        <f t="shared" si="3"/>
        <v>3.44E-2</v>
      </c>
      <c r="W7" s="30">
        <f t="shared" si="4"/>
        <v>0</v>
      </c>
      <c r="X7" s="30">
        <f t="shared" si="5"/>
        <v>0</v>
      </c>
      <c r="Y7" s="30"/>
      <c r="Z7" s="30">
        <f t="shared" si="6"/>
        <v>0</v>
      </c>
      <c r="AA7" s="30"/>
      <c r="AB7" s="30">
        <f t="shared" si="7"/>
        <v>0</v>
      </c>
      <c r="AC7" s="30"/>
      <c r="AD7" s="30"/>
      <c r="AE7" s="30">
        <f t="shared" si="8"/>
        <v>0</v>
      </c>
      <c r="AF7" s="30"/>
      <c r="AG7" s="30">
        <f t="shared" si="9"/>
        <v>0</v>
      </c>
      <c r="AH7" s="30"/>
      <c r="AI7" s="30"/>
      <c r="AJ7" s="30">
        <f t="shared" si="10"/>
        <v>0</v>
      </c>
      <c r="AK7" s="30"/>
      <c r="AL7" s="30">
        <f t="shared" si="11"/>
        <v>0</v>
      </c>
      <c r="AM7" s="30"/>
      <c r="AN7" s="30">
        <v>8000</v>
      </c>
      <c r="AO7" s="30">
        <f t="shared" si="12"/>
        <v>34.4</v>
      </c>
      <c r="AP7" s="30"/>
      <c r="AQ7" s="30">
        <f t="shared" si="13"/>
        <v>0</v>
      </c>
      <c r="AR7" s="30"/>
      <c r="AS7" s="30"/>
      <c r="AT7" s="30">
        <f t="shared" si="14"/>
        <v>0</v>
      </c>
      <c r="AU7" s="30"/>
      <c r="AV7" s="30">
        <f t="shared" si="15"/>
        <v>0</v>
      </c>
      <c r="AW7" s="30"/>
      <c r="AX7" s="30"/>
      <c r="AY7" s="30">
        <f t="shared" si="16"/>
        <v>0</v>
      </c>
      <c r="AZ7" s="30"/>
      <c r="BA7" s="30">
        <v>0</v>
      </c>
      <c r="BB7" s="30"/>
      <c r="BC7" s="45"/>
      <c r="BD7" s="45">
        <f t="shared" si="17"/>
        <v>0</v>
      </c>
      <c r="BE7" s="30"/>
      <c r="BF7" s="30">
        <f t="shared" si="18"/>
        <v>0</v>
      </c>
      <c r="BG7" s="30"/>
      <c r="BH7" s="30"/>
      <c r="BI7" s="30">
        <f t="shared" si="19"/>
        <v>0</v>
      </c>
      <c r="BJ7" s="30"/>
      <c r="BK7" s="30">
        <f t="shared" si="20"/>
        <v>0</v>
      </c>
      <c r="BL7" s="30"/>
      <c r="BM7" s="30"/>
      <c r="BN7" s="30">
        <f t="shared" si="21"/>
        <v>0</v>
      </c>
      <c r="BO7" s="30"/>
      <c r="BP7" s="30">
        <f t="shared" si="22"/>
        <v>0</v>
      </c>
      <c r="BQ7" s="30"/>
      <c r="BR7" s="30"/>
      <c r="BS7" s="30">
        <f t="shared" si="23"/>
        <v>0</v>
      </c>
      <c r="BT7" s="30"/>
      <c r="BU7" s="30">
        <f t="shared" si="24"/>
        <v>0</v>
      </c>
      <c r="BV7" s="30"/>
      <c r="BW7" s="30"/>
      <c r="BX7" s="30">
        <f t="shared" si="25"/>
        <v>0</v>
      </c>
      <c r="BY7" s="30"/>
      <c r="BZ7" s="30">
        <f t="shared" si="26"/>
        <v>0</v>
      </c>
      <c r="CA7" s="30"/>
      <c r="CB7" s="30"/>
      <c r="CC7" s="30">
        <f t="shared" si="27"/>
        <v>0</v>
      </c>
      <c r="CD7" s="30"/>
      <c r="CE7" s="30">
        <f t="shared" si="28"/>
        <v>0</v>
      </c>
      <c r="CF7" s="30"/>
      <c r="CG7" s="2"/>
    </row>
    <row r="8" spans="1:87" x14ac:dyDescent="0.4">
      <c r="A8" s="2" t="s">
        <v>110</v>
      </c>
      <c r="B8" s="2" t="s">
        <v>262</v>
      </c>
      <c r="C8" s="2" t="s">
        <v>263</v>
      </c>
      <c r="D8" s="2" t="s">
        <v>300</v>
      </c>
      <c r="E8" s="165" t="s">
        <v>301</v>
      </c>
      <c r="F8" s="2"/>
      <c r="G8" s="2"/>
      <c r="H8" s="2"/>
      <c r="I8" s="2"/>
      <c r="J8" s="2"/>
      <c r="K8" s="2" t="s">
        <v>267</v>
      </c>
      <c r="L8" s="13" t="s">
        <v>283</v>
      </c>
      <c r="M8" s="2" t="s">
        <v>117</v>
      </c>
      <c r="N8" s="2" t="s">
        <v>117</v>
      </c>
      <c r="O8" s="2" t="s">
        <v>118</v>
      </c>
      <c r="P8" s="2" t="s">
        <v>603</v>
      </c>
      <c r="Q8" s="2" t="s">
        <v>305</v>
      </c>
      <c r="R8" s="2" t="s">
        <v>83</v>
      </c>
      <c r="S8" s="11">
        <v>4.0000000000000001E-3</v>
      </c>
      <c r="T8" s="12"/>
      <c r="U8" s="30">
        <f t="shared" si="2"/>
        <v>12</v>
      </c>
      <c r="V8" s="30">
        <f t="shared" si="3"/>
        <v>4.8000000000000001E-2</v>
      </c>
      <c r="W8" s="30">
        <f t="shared" si="4"/>
        <v>0</v>
      </c>
      <c r="X8" s="30">
        <f t="shared" si="5"/>
        <v>0</v>
      </c>
      <c r="Y8" s="30"/>
      <c r="Z8" s="30">
        <f t="shared" si="6"/>
        <v>0</v>
      </c>
      <c r="AA8" s="30"/>
      <c r="AB8" s="30">
        <f t="shared" si="7"/>
        <v>0</v>
      </c>
      <c r="AC8" s="30"/>
      <c r="AD8" s="30"/>
      <c r="AE8" s="30">
        <f t="shared" si="8"/>
        <v>0</v>
      </c>
      <c r="AF8" s="30"/>
      <c r="AG8" s="30">
        <f t="shared" si="9"/>
        <v>0</v>
      </c>
      <c r="AH8" s="30"/>
      <c r="AI8" s="30"/>
      <c r="AJ8" s="30">
        <f t="shared" si="10"/>
        <v>0</v>
      </c>
      <c r="AK8" s="30"/>
      <c r="AL8" s="30">
        <f t="shared" si="11"/>
        <v>0</v>
      </c>
      <c r="AM8" s="30"/>
      <c r="AN8" s="30">
        <v>12000</v>
      </c>
      <c r="AO8" s="30">
        <f t="shared" si="12"/>
        <v>48</v>
      </c>
      <c r="AP8" s="30"/>
      <c r="AQ8" s="30">
        <f t="shared" si="13"/>
        <v>0</v>
      </c>
      <c r="AR8" s="30"/>
      <c r="AS8" s="30"/>
      <c r="AT8" s="30">
        <f t="shared" si="14"/>
        <v>0</v>
      </c>
      <c r="AU8" s="30"/>
      <c r="AV8" s="30">
        <f t="shared" si="15"/>
        <v>0</v>
      </c>
      <c r="AW8" s="30"/>
      <c r="AX8" s="30"/>
      <c r="AY8" s="30">
        <f t="shared" si="16"/>
        <v>0</v>
      </c>
      <c r="AZ8" s="30"/>
      <c r="BA8" s="30">
        <v>0</v>
      </c>
      <c r="BB8" s="30"/>
      <c r="BC8" s="45"/>
      <c r="BD8" s="45">
        <f t="shared" si="17"/>
        <v>0</v>
      </c>
      <c r="BE8" s="30"/>
      <c r="BF8" s="30">
        <f t="shared" si="18"/>
        <v>0</v>
      </c>
      <c r="BG8" s="30"/>
      <c r="BH8" s="30"/>
      <c r="BI8" s="30">
        <f t="shared" si="19"/>
        <v>0</v>
      </c>
      <c r="BJ8" s="30"/>
      <c r="BK8" s="30">
        <f t="shared" si="20"/>
        <v>0</v>
      </c>
      <c r="BL8" s="30"/>
      <c r="BM8" s="30"/>
      <c r="BN8" s="30">
        <f t="shared" si="21"/>
        <v>0</v>
      </c>
      <c r="BO8" s="30"/>
      <c r="BP8" s="30">
        <f t="shared" si="22"/>
        <v>0</v>
      </c>
      <c r="BQ8" s="30"/>
      <c r="BR8" s="30"/>
      <c r="BS8" s="30">
        <f t="shared" si="23"/>
        <v>0</v>
      </c>
      <c r="BT8" s="30"/>
      <c r="BU8" s="30">
        <f t="shared" si="24"/>
        <v>0</v>
      </c>
      <c r="BV8" s="30"/>
      <c r="BW8" s="30"/>
      <c r="BX8" s="30">
        <f t="shared" si="25"/>
        <v>0</v>
      </c>
      <c r="BY8" s="30"/>
      <c r="BZ8" s="30">
        <f t="shared" si="26"/>
        <v>0</v>
      </c>
      <c r="CA8" s="30"/>
      <c r="CB8" s="30"/>
      <c r="CC8" s="30">
        <f t="shared" si="27"/>
        <v>0</v>
      </c>
      <c r="CD8" s="30"/>
      <c r="CE8" s="30">
        <f t="shared" si="28"/>
        <v>0</v>
      </c>
      <c r="CF8" s="30"/>
      <c r="CG8" s="2"/>
    </row>
    <row r="9" spans="1:87" x14ac:dyDescent="0.4">
      <c r="A9" s="2" t="s">
        <v>110</v>
      </c>
      <c r="B9" s="2" t="s">
        <v>262</v>
      </c>
      <c r="C9" s="2" t="s">
        <v>263</v>
      </c>
      <c r="D9" s="2" t="s">
        <v>300</v>
      </c>
      <c r="E9" s="165" t="s">
        <v>301</v>
      </c>
      <c r="F9" s="2"/>
      <c r="G9" s="2"/>
      <c r="H9" s="2"/>
      <c r="I9" s="2"/>
      <c r="J9" s="2"/>
      <c r="K9" s="2" t="s">
        <v>267</v>
      </c>
      <c r="L9" s="13" t="s">
        <v>283</v>
      </c>
      <c r="M9" s="2" t="s">
        <v>117</v>
      </c>
      <c r="N9" s="2" t="s">
        <v>117</v>
      </c>
      <c r="O9" s="2" t="s">
        <v>118</v>
      </c>
      <c r="P9" s="2" t="s">
        <v>603</v>
      </c>
      <c r="Q9" s="2" t="s">
        <v>236</v>
      </c>
      <c r="R9" s="2" t="s">
        <v>83</v>
      </c>
      <c r="S9" s="11">
        <v>3.7000000000000002E-3</v>
      </c>
      <c r="T9" s="76"/>
      <c r="U9" s="30">
        <f t="shared" si="2"/>
        <v>20</v>
      </c>
      <c r="V9" s="30">
        <f t="shared" si="3"/>
        <v>7.3999999999999996E-2</v>
      </c>
      <c r="W9" s="30">
        <f t="shared" si="4"/>
        <v>0</v>
      </c>
      <c r="X9" s="30">
        <f t="shared" si="5"/>
        <v>0</v>
      </c>
      <c r="Y9" s="30"/>
      <c r="Z9" s="30">
        <f t="shared" si="6"/>
        <v>0</v>
      </c>
      <c r="AA9" s="30"/>
      <c r="AB9" s="30">
        <f t="shared" si="7"/>
        <v>0</v>
      </c>
      <c r="AC9" s="30"/>
      <c r="AD9" s="30"/>
      <c r="AE9" s="30">
        <f t="shared" si="8"/>
        <v>0</v>
      </c>
      <c r="AF9" s="30"/>
      <c r="AG9" s="30">
        <f t="shared" si="9"/>
        <v>0</v>
      </c>
      <c r="AH9" s="30"/>
      <c r="AI9" s="30"/>
      <c r="AJ9" s="30">
        <f t="shared" si="10"/>
        <v>0</v>
      </c>
      <c r="AK9" s="30"/>
      <c r="AL9" s="30">
        <f t="shared" si="11"/>
        <v>0</v>
      </c>
      <c r="AM9" s="30"/>
      <c r="AN9" s="30">
        <v>20000</v>
      </c>
      <c r="AO9" s="30">
        <f t="shared" si="12"/>
        <v>74</v>
      </c>
      <c r="AP9" s="30"/>
      <c r="AQ9" s="30">
        <f t="shared" si="13"/>
        <v>0</v>
      </c>
      <c r="AR9" s="30"/>
      <c r="AS9" s="30"/>
      <c r="AT9" s="30">
        <f t="shared" si="14"/>
        <v>0</v>
      </c>
      <c r="AU9" s="30"/>
      <c r="AV9" s="30">
        <f t="shared" si="15"/>
        <v>0</v>
      </c>
      <c r="AW9" s="30"/>
      <c r="AX9" s="30"/>
      <c r="AY9" s="30">
        <f t="shared" si="16"/>
        <v>0</v>
      </c>
      <c r="AZ9" s="30"/>
      <c r="BA9" s="30">
        <v>0</v>
      </c>
      <c r="BB9" s="30"/>
      <c r="BC9" s="45"/>
      <c r="BD9" s="45">
        <f t="shared" si="17"/>
        <v>0</v>
      </c>
      <c r="BE9" s="30"/>
      <c r="BF9" s="30">
        <f t="shared" si="18"/>
        <v>0</v>
      </c>
      <c r="BG9" s="30"/>
      <c r="BH9" s="30"/>
      <c r="BI9" s="30">
        <f t="shared" si="19"/>
        <v>0</v>
      </c>
      <c r="BJ9" s="30"/>
      <c r="BK9" s="30">
        <f t="shared" si="20"/>
        <v>0</v>
      </c>
      <c r="BL9" s="30"/>
      <c r="BM9" s="30"/>
      <c r="BN9" s="30">
        <f t="shared" si="21"/>
        <v>0</v>
      </c>
      <c r="BO9" s="30"/>
      <c r="BP9" s="30">
        <f t="shared" si="22"/>
        <v>0</v>
      </c>
      <c r="BQ9" s="30"/>
      <c r="BR9" s="30"/>
      <c r="BS9" s="30">
        <f t="shared" si="23"/>
        <v>0</v>
      </c>
      <c r="BT9" s="30"/>
      <c r="BU9" s="30">
        <f t="shared" si="24"/>
        <v>0</v>
      </c>
      <c r="BV9" s="30"/>
      <c r="BW9" s="30"/>
      <c r="BX9" s="30">
        <f t="shared" si="25"/>
        <v>0</v>
      </c>
      <c r="BY9" s="30"/>
      <c r="BZ9" s="30">
        <f t="shared" si="26"/>
        <v>0</v>
      </c>
      <c r="CA9" s="30"/>
      <c r="CB9" s="30"/>
      <c r="CC9" s="30">
        <f t="shared" si="27"/>
        <v>0</v>
      </c>
      <c r="CD9" s="30"/>
      <c r="CE9" s="30">
        <f t="shared" si="28"/>
        <v>0</v>
      </c>
      <c r="CF9" s="30"/>
      <c r="CG9" s="2"/>
    </row>
    <row r="10" spans="1:87" x14ac:dyDescent="0.4">
      <c r="A10" s="2" t="s">
        <v>110</v>
      </c>
      <c r="B10" s="2" t="s">
        <v>262</v>
      </c>
      <c r="C10" s="2" t="s">
        <v>263</v>
      </c>
      <c r="D10" s="2" t="s">
        <v>300</v>
      </c>
      <c r="E10" s="165" t="s">
        <v>301</v>
      </c>
      <c r="F10" s="2"/>
      <c r="G10" s="2"/>
      <c r="H10" s="2"/>
      <c r="I10" s="2"/>
      <c r="J10" s="2"/>
      <c r="K10" s="2" t="s">
        <v>267</v>
      </c>
      <c r="L10" s="13" t="s">
        <v>283</v>
      </c>
      <c r="M10" s="2" t="s">
        <v>117</v>
      </c>
      <c r="N10" s="2" t="s">
        <v>117</v>
      </c>
      <c r="O10" s="2" t="s">
        <v>118</v>
      </c>
      <c r="P10" s="2" t="s">
        <v>603</v>
      </c>
      <c r="Q10" s="2" t="s">
        <v>306</v>
      </c>
      <c r="R10" s="2" t="s">
        <v>83</v>
      </c>
      <c r="S10" s="11">
        <v>3.3500000000000002E-2</v>
      </c>
      <c r="T10" s="12"/>
      <c r="U10" s="30">
        <f t="shared" si="2"/>
        <v>12</v>
      </c>
      <c r="V10" s="30">
        <f t="shared" si="3"/>
        <v>0.40200000000000002</v>
      </c>
      <c r="W10" s="30">
        <f t="shared" si="4"/>
        <v>0</v>
      </c>
      <c r="X10" s="30">
        <f t="shared" si="5"/>
        <v>0</v>
      </c>
      <c r="Y10" s="30"/>
      <c r="Z10" s="30">
        <f t="shared" si="6"/>
        <v>0</v>
      </c>
      <c r="AA10" s="30"/>
      <c r="AB10" s="30">
        <f t="shared" si="7"/>
        <v>0</v>
      </c>
      <c r="AC10" s="30"/>
      <c r="AD10" s="30"/>
      <c r="AE10" s="30">
        <f t="shared" si="8"/>
        <v>0</v>
      </c>
      <c r="AF10" s="30"/>
      <c r="AG10" s="30">
        <f t="shared" si="9"/>
        <v>0</v>
      </c>
      <c r="AH10" s="30"/>
      <c r="AI10" s="30"/>
      <c r="AJ10" s="30">
        <f t="shared" si="10"/>
        <v>0</v>
      </c>
      <c r="AK10" s="30"/>
      <c r="AL10" s="30">
        <f t="shared" si="11"/>
        <v>0</v>
      </c>
      <c r="AM10" s="30"/>
      <c r="AN10" s="30">
        <v>12000</v>
      </c>
      <c r="AO10" s="30">
        <f t="shared" si="12"/>
        <v>402</v>
      </c>
      <c r="AP10" s="30"/>
      <c r="AQ10" s="30">
        <f t="shared" si="13"/>
        <v>0</v>
      </c>
      <c r="AR10" s="30"/>
      <c r="AS10" s="30"/>
      <c r="AT10" s="30">
        <f t="shared" si="14"/>
        <v>0</v>
      </c>
      <c r="AU10" s="30"/>
      <c r="AV10" s="30">
        <f t="shared" si="15"/>
        <v>0</v>
      </c>
      <c r="AW10" s="30"/>
      <c r="AX10" s="30"/>
      <c r="AY10" s="30">
        <f t="shared" si="16"/>
        <v>0</v>
      </c>
      <c r="AZ10" s="30"/>
      <c r="BA10" s="30">
        <v>0</v>
      </c>
      <c r="BB10" s="30"/>
      <c r="BC10" s="45"/>
      <c r="BD10" s="45">
        <f t="shared" si="17"/>
        <v>0</v>
      </c>
      <c r="BE10" s="30"/>
      <c r="BF10" s="30">
        <f t="shared" si="18"/>
        <v>0</v>
      </c>
      <c r="BG10" s="30"/>
      <c r="BH10" s="30"/>
      <c r="BI10" s="30">
        <f t="shared" si="19"/>
        <v>0</v>
      </c>
      <c r="BJ10" s="30"/>
      <c r="BK10" s="30">
        <f t="shared" si="20"/>
        <v>0</v>
      </c>
      <c r="BL10" s="30"/>
      <c r="BM10" s="30"/>
      <c r="BN10" s="30">
        <f t="shared" si="21"/>
        <v>0</v>
      </c>
      <c r="BO10" s="30"/>
      <c r="BP10" s="30">
        <f t="shared" si="22"/>
        <v>0</v>
      </c>
      <c r="BQ10" s="30"/>
      <c r="BR10" s="30"/>
      <c r="BS10" s="30">
        <f t="shared" si="23"/>
        <v>0</v>
      </c>
      <c r="BT10" s="30"/>
      <c r="BU10" s="30">
        <f t="shared" si="24"/>
        <v>0</v>
      </c>
      <c r="BV10" s="30"/>
      <c r="BW10" s="30"/>
      <c r="BX10" s="30">
        <f t="shared" si="25"/>
        <v>0</v>
      </c>
      <c r="BY10" s="30"/>
      <c r="BZ10" s="30">
        <f t="shared" si="26"/>
        <v>0</v>
      </c>
      <c r="CA10" s="30"/>
      <c r="CB10" s="30"/>
      <c r="CC10" s="30">
        <f t="shared" si="27"/>
        <v>0</v>
      </c>
      <c r="CD10" s="30"/>
      <c r="CE10" s="30">
        <f t="shared" si="28"/>
        <v>0</v>
      </c>
      <c r="CF10" s="30"/>
      <c r="CG10" s="2"/>
    </row>
    <row r="11" spans="1:87" x14ac:dyDescent="0.4">
      <c r="A11" s="2" t="s">
        <v>110</v>
      </c>
      <c r="B11" s="2" t="s">
        <v>262</v>
      </c>
      <c r="C11" s="2" t="s">
        <v>263</v>
      </c>
      <c r="D11" s="2" t="s">
        <v>300</v>
      </c>
      <c r="E11" s="165" t="s">
        <v>301</v>
      </c>
      <c r="F11" s="2"/>
      <c r="G11" s="2"/>
      <c r="H11" s="2"/>
      <c r="I11" s="2"/>
      <c r="J11" s="2"/>
      <c r="K11" s="2" t="s">
        <v>267</v>
      </c>
      <c r="L11" s="13" t="s">
        <v>283</v>
      </c>
      <c r="M11" s="2" t="s">
        <v>117</v>
      </c>
      <c r="N11" s="2" t="s">
        <v>117</v>
      </c>
      <c r="O11" s="2" t="s">
        <v>118</v>
      </c>
      <c r="P11" s="2" t="s">
        <v>603</v>
      </c>
      <c r="Q11" s="2" t="s">
        <v>307</v>
      </c>
      <c r="R11" s="2" t="s">
        <v>83</v>
      </c>
      <c r="S11" s="11">
        <v>2.6499999999999999E-2</v>
      </c>
      <c r="T11" s="12"/>
      <c r="U11" s="30">
        <f t="shared" si="2"/>
        <v>6</v>
      </c>
      <c r="V11" s="30">
        <f t="shared" si="3"/>
        <v>0.159</v>
      </c>
      <c r="W11" s="30">
        <f t="shared" si="4"/>
        <v>0</v>
      </c>
      <c r="X11" s="30">
        <f t="shared" si="5"/>
        <v>0</v>
      </c>
      <c r="Y11" s="30"/>
      <c r="Z11" s="30">
        <f t="shared" si="6"/>
        <v>0</v>
      </c>
      <c r="AA11" s="30"/>
      <c r="AB11" s="30">
        <f t="shared" si="7"/>
        <v>0</v>
      </c>
      <c r="AC11" s="30"/>
      <c r="AD11" s="30"/>
      <c r="AE11" s="30">
        <f t="shared" si="8"/>
        <v>0</v>
      </c>
      <c r="AF11" s="30"/>
      <c r="AG11" s="30">
        <f t="shared" si="9"/>
        <v>0</v>
      </c>
      <c r="AH11" s="30"/>
      <c r="AI11" s="30"/>
      <c r="AJ11" s="30">
        <f t="shared" si="10"/>
        <v>0</v>
      </c>
      <c r="AK11" s="30"/>
      <c r="AL11" s="30">
        <f t="shared" si="11"/>
        <v>0</v>
      </c>
      <c r="AM11" s="30"/>
      <c r="AN11" s="30">
        <v>6000</v>
      </c>
      <c r="AO11" s="30">
        <f t="shared" si="12"/>
        <v>159</v>
      </c>
      <c r="AP11" s="30"/>
      <c r="AQ11" s="30">
        <f t="shared" si="13"/>
        <v>0</v>
      </c>
      <c r="AR11" s="30"/>
      <c r="AS11" s="30"/>
      <c r="AT11" s="30">
        <f t="shared" si="14"/>
        <v>0</v>
      </c>
      <c r="AU11" s="30"/>
      <c r="AV11" s="30">
        <f t="shared" si="15"/>
        <v>0</v>
      </c>
      <c r="AW11" s="30"/>
      <c r="AX11" s="30"/>
      <c r="AY11" s="30">
        <f t="shared" si="16"/>
        <v>0</v>
      </c>
      <c r="AZ11" s="30"/>
      <c r="BA11" s="30">
        <v>0</v>
      </c>
      <c r="BB11" s="30"/>
      <c r="BC11" s="45"/>
      <c r="BD11" s="45">
        <f t="shared" si="17"/>
        <v>0</v>
      </c>
      <c r="BE11" s="30"/>
      <c r="BF11" s="30">
        <f t="shared" si="18"/>
        <v>0</v>
      </c>
      <c r="BG11" s="30"/>
      <c r="BH11" s="30"/>
      <c r="BI11" s="30">
        <f t="shared" si="19"/>
        <v>0</v>
      </c>
      <c r="BJ11" s="30"/>
      <c r="BK11" s="30">
        <f t="shared" si="20"/>
        <v>0</v>
      </c>
      <c r="BL11" s="30"/>
      <c r="BM11" s="30"/>
      <c r="BN11" s="30">
        <f t="shared" si="21"/>
        <v>0</v>
      </c>
      <c r="BO11" s="30"/>
      <c r="BP11" s="30">
        <f t="shared" si="22"/>
        <v>0</v>
      </c>
      <c r="BQ11" s="30"/>
      <c r="BR11" s="30"/>
      <c r="BS11" s="30">
        <f t="shared" si="23"/>
        <v>0</v>
      </c>
      <c r="BT11" s="30"/>
      <c r="BU11" s="30">
        <f t="shared" si="24"/>
        <v>0</v>
      </c>
      <c r="BV11" s="30"/>
      <c r="BW11" s="30"/>
      <c r="BX11" s="30">
        <f t="shared" si="25"/>
        <v>0</v>
      </c>
      <c r="BY11" s="30"/>
      <c r="BZ11" s="30">
        <f t="shared" si="26"/>
        <v>0</v>
      </c>
      <c r="CA11" s="30"/>
      <c r="CB11" s="30"/>
      <c r="CC11" s="30">
        <f t="shared" si="27"/>
        <v>0</v>
      </c>
      <c r="CD11" s="30"/>
      <c r="CE11" s="30">
        <f t="shared" si="28"/>
        <v>0</v>
      </c>
      <c r="CF11" s="30"/>
      <c r="CG11" s="2"/>
    </row>
    <row r="12" spans="1:87" x14ac:dyDescent="0.4">
      <c r="A12" s="2" t="s">
        <v>110</v>
      </c>
      <c r="B12" s="2" t="s">
        <v>262</v>
      </c>
      <c r="C12" s="2" t="s">
        <v>263</v>
      </c>
      <c r="D12" s="2" t="s">
        <v>300</v>
      </c>
      <c r="E12" s="165" t="s">
        <v>301</v>
      </c>
      <c r="F12" s="2"/>
      <c r="G12" s="2"/>
      <c r="H12" s="2"/>
      <c r="I12" s="2"/>
      <c r="J12" s="2"/>
      <c r="K12" s="2" t="s">
        <v>267</v>
      </c>
      <c r="L12" s="13" t="s">
        <v>283</v>
      </c>
      <c r="M12" s="2" t="s">
        <v>117</v>
      </c>
      <c r="N12" s="2" t="s">
        <v>117</v>
      </c>
      <c r="O12" s="2" t="s">
        <v>118</v>
      </c>
      <c r="P12" s="2" t="s">
        <v>603</v>
      </c>
      <c r="Q12" s="2" t="s">
        <v>308</v>
      </c>
      <c r="R12" s="2" t="s">
        <v>83</v>
      </c>
      <c r="S12" s="11">
        <v>2.3E-2</v>
      </c>
      <c r="T12" s="76"/>
      <c r="U12" s="30">
        <f t="shared" si="2"/>
        <v>3</v>
      </c>
      <c r="V12" s="30">
        <f t="shared" si="3"/>
        <v>6.9000000000000006E-2</v>
      </c>
      <c r="W12" s="30">
        <f t="shared" si="4"/>
        <v>0</v>
      </c>
      <c r="X12" s="30">
        <f t="shared" si="5"/>
        <v>0</v>
      </c>
      <c r="Y12" s="30"/>
      <c r="Z12" s="30">
        <f t="shared" si="6"/>
        <v>0</v>
      </c>
      <c r="AA12" s="30"/>
      <c r="AB12" s="30">
        <f t="shared" si="7"/>
        <v>0</v>
      </c>
      <c r="AC12" s="30"/>
      <c r="AD12" s="30"/>
      <c r="AE12" s="30">
        <f t="shared" si="8"/>
        <v>0</v>
      </c>
      <c r="AF12" s="30"/>
      <c r="AG12" s="30">
        <f t="shared" si="9"/>
        <v>0</v>
      </c>
      <c r="AH12" s="30"/>
      <c r="AI12" s="30"/>
      <c r="AJ12" s="30">
        <f t="shared" si="10"/>
        <v>0</v>
      </c>
      <c r="AK12" s="30"/>
      <c r="AL12" s="30">
        <f t="shared" si="11"/>
        <v>0</v>
      </c>
      <c r="AM12" s="30"/>
      <c r="AN12" s="30">
        <v>3000</v>
      </c>
      <c r="AO12" s="30">
        <f t="shared" si="12"/>
        <v>69</v>
      </c>
      <c r="AP12" s="30"/>
      <c r="AQ12" s="30">
        <f t="shared" si="13"/>
        <v>0</v>
      </c>
      <c r="AR12" s="30"/>
      <c r="AS12" s="30"/>
      <c r="AT12" s="30">
        <f t="shared" si="14"/>
        <v>0</v>
      </c>
      <c r="AU12" s="30"/>
      <c r="AV12" s="30">
        <f t="shared" si="15"/>
        <v>0</v>
      </c>
      <c r="AW12" s="30"/>
      <c r="AX12" s="30"/>
      <c r="AY12" s="30">
        <f t="shared" si="16"/>
        <v>0</v>
      </c>
      <c r="AZ12" s="30"/>
      <c r="BA12" s="30">
        <v>0</v>
      </c>
      <c r="BB12" s="30"/>
      <c r="BC12" s="45"/>
      <c r="BD12" s="45">
        <f t="shared" si="17"/>
        <v>0</v>
      </c>
      <c r="BE12" s="30"/>
      <c r="BF12" s="30">
        <f t="shared" si="18"/>
        <v>0</v>
      </c>
      <c r="BG12" s="30"/>
      <c r="BH12" s="30"/>
      <c r="BI12" s="30">
        <f t="shared" si="19"/>
        <v>0</v>
      </c>
      <c r="BJ12" s="30"/>
      <c r="BK12" s="30">
        <f t="shared" si="20"/>
        <v>0</v>
      </c>
      <c r="BL12" s="30"/>
      <c r="BM12" s="30"/>
      <c r="BN12" s="30">
        <f t="shared" si="21"/>
        <v>0</v>
      </c>
      <c r="BO12" s="30"/>
      <c r="BP12" s="30">
        <f t="shared" si="22"/>
        <v>0</v>
      </c>
      <c r="BQ12" s="30"/>
      <c r="BR12" s="30"/>
      <c r="BS12" s="30">
        <f t="shared" si="23"/>
        <v>0</v>
      </c>
      <c r="BT12" s="30"/>
      <c r="BU12" s="30">
        <f t="shared" si="24"/>
        <v>0</v>
      </c>
      <c r="BV12" s="30"/>
      <c r="BW12" s="30"/>
      <c r="BX12" s="30">
        <f t="shared" si="25"/>
        <v>0</v>
      </c>
      <c r="BY12" s="30"/>
      <c r="BZ12" s="30">
        <f t="shared" si="26"/>
        <v>0</v>
      </c>
      <c r="CA12" s="30"/>
      <c r="CB12" s="30"/>
      <c r="CC12" s="30">
        <f t="shared" si="27"/>
        <v>0</v>
      </c>
      <c r="CD12" s="30"/>
      <c r="CE12" s="30">
        <f t="shared" si="28"/>
        <v>0</v>
      </c>
      <c r="CF12" s="30"/>
      <c r="CG12" s="2"/>
    </row>
    <row r="13" spans="1:87" x14ac:dyDescent="0.4">
      <c r="A13" s="2" t="s">
        <v>110</v>
      </c>
      <c r="B13" s="2" t="s">
        <v>262</v>
      </c>
      <c r="C13" s="2" t="s">
        <v>263</v>
      </c>
      <c r="D13" s="2" t="s">
        <v>300</v>
      </c>
      <c r="E13" s="165" t="s">
        <v>301</v>
      </c>
      <c r="F13" s="2"/>
      <c r="G13" s="2"/>
      <c r="H13" s="2"/>
      <c r="I13" s="2"/>
      <c r="J13" s="2"/>
      <c r="K13" s="2" t="s">
        <v>267</v>
      </c>
      <c r="L13" s="13" t="s">
        <v>283</v>
      </c>
      <c r="M13" s="2" t="s">
        <v>117</v>
      </c>
      <c r="N13" s="2" t="s">
        <v>117</v>
      </c>
      <c r="O13" s="2" t="s">
        <v>118</v>
      </c>
      <c r="P13" s="2" t="s">
        <v>603</v>
      </c>
      <c r="Q13" s="2" t="s">
        <v>309</v>
      </c>
      <c r="R13" s="2" t="s">
        <v>83</v>
      </c>
      <c r="S13" s="11">
        <v>0.7671</v>
      </c>
      <c r="T13" s="12"/>
      <c r="U13" s="30">
        <f t="shared" si="2"/>
        <v>3</v>
      </c>
      <c r="V13" s="30">
        <f t="shared" si="3"/>
        <v>2.3013000000000003</v>
      </c>
      <c r="W13" s="30">
        <f t="shared" si="4"/>
        <v>0</v>
      </c>
      <c r="X13" s="30">
        <f t="shared" si="5"/>
        <v>0</v>
      </c>
      <c r="Y13" s="30"/>
      <c r="Z13" s="30">
        <f t="shared" si="6"/>
        <v>0</v>
      </c>
      <c r="AA13" s="30"/>
      <c r="AB13" s="30">
        <f t="shared" si="7"/>
        <v>0</v>
      </c>
      <c r="AC13" s="30"/>
      <c r="AD13" s="30"/>
      <c r="AE13" s="30">
        <f t="shared" si="8"/>
        <v>0</v>
      </c>
      <c r="AF13" s="30"/>
      <c r="AG13" s="30">
        <f t="shared" si="9"/>
        <v>0</v>
      </c>
      <c r="AH13" s="30"/>
      <c r="AI13" s="30"/>
      <c r="AJ13" s="30">
        <f t="shared" si="10"/>
        <v>0</v>
      </c>
      <c r="AK13" s="30"/>
      <c r="AL13" s="30">
        <f t="shared" si="11"/>
        <v>0</v>
      </c>
      <c r="AM13" s="30"/>
      <c r="AN13" s="30">
        <v>3000</v>
      </c>
      <c r="AO13" s="30">
        <f t="shared" si="12"/>
        <v>2301.3000000000002</v>
      </c>
      <c r="AP13" s="30"/>
      <c r="AQ13" s="30">
        <f t="shared" si="13"/>
        <v>0</v>
      </c>
      <c r="AR13" s="30"/>
      <c r="AS13" s="30"/>
      <c r="AT13" s="30">
        <f t="shared" si="14"/>
        <v>0</v>
      </c>
      <c r="AU13" s="30"/>
      <c r="AV13" s="30">
        <f t="shared" si="15"/>
        <v>0</v>
      </c>
      <c r="AW13" s="30"/>
      <c r="AX13" s="30"/>
      <c r="AY13" s="30">
        <f t="shared" si="16"/>
        <v>0</v>
      </c>
      <c r="AZ13" s="30"/>
      <c r="BA13" s="30">
        <v>0</v>
      </c>
      <c r="BB13" s="30"/>
      <c r="BC13" s="45"/>
      <c r="BD13" s="45">
        <f t="shared" si="17"/>
        <v>0</v>
      </c>
      <c r="BE13" s="30"/>
      <c r="BF13" s="30">
        <f t="shared" si="18"/>
        <v>0</v>
      </c>
      <c r="BG13" s="30"/>
      <c r="BH13" s="30"/>
      <c r="BI13" s="30">
        <f t="shared" si="19"/>
        <v>0</v>
      </c>
      <c r="BJ13" s="30"/>
      <c r="BK13" s="30">
        <f t="shared" si="20"/>
        <v>0</v>
      </c>
      <c r="BL13" s="30"/>
      <c r="BM13" s="30"/>
      <c r="BN13" s="30">
        <f t="shared" si="21"/>
        <v>0</v>
      </c>
      <c r="BO13" s="30"/>
      <c r="BP13" s="30">
        <f t="shared" si="22"/>
        <v>0</v>
      </c>
      <c r="BQ13" s="30"/>
      <c r="BR13" s="30"/>
      <c r="BS13" s="30">
        <f t="shared" si="23"/>
        <v>0</v>
      </c>
      <c r="BT13" s="30"/>
      <c r="BU13" s="30">
        <f t="shared" si="24"/>
        <v>0</v>
      </c>
      <c r="BV13" s="30"/>
      <c r="BW13" s="30"/>
      <c r="BX13" s="30">
        <f t="shared" si="25"/>
        <v>0</v>
      </c>
      <c r="BY13" s="30"/>
      <c r="BZ13" s="30">
        <f t="shared" si="26"/>
        <v>0</v>
      </c>
      <c r="CA13" s="30"/>
      <c r="CB13" s="30"/>
      <c r="CC13" s="30">
        <f t="shared" si="27"/>
        <v>0</v>
      </c>
      <c r="CD13" s="30"/>
      <c r="CE13" s="30">
        <f t="shared" si="28"/>
        <v>0</v>
      </c>
      <c r="CF13" s="30"/>
      <c r="CG13" s="2"/>
    </row>
    <row r="14" spans="1:87" x14ac:dyDescent="0.4">
      <c r="A14" s="2" t="s">
        <v>110</v>
      </c>
      <c r="B14" s="2" t="s">
        <v>262</v>
      </c>
      <c r="C14" s="2" t="s">
        <v>263</v>
      </c>
      <c r="D14" s="2" t="s">
        <v>300</v>
      </c>
      <c r="E14" s="165" t="s">
        <v>301</v>
      </c>
      <c r="F14" s="2"/>
      <c r="G14" s="2"/>
      <c r="H14" s="2"/>
      <c r="I14" s="2"/>
      <c r="J14" s="2"/>
      <c r="K14" s="2" t="s">
        <v>267</v>
      </c>
      <c r="L14" s="13" t="s">
        <v>283</v>
      </c>
      <c r="M14" s="2" t="s">
        <v>138</v>
      </c>
      <c r="N14" s="2" t="s">
        <v>138</v>
      </c>
      <c r="O14" s="2" t="s">
        <v>90</v>
      </c>
      <c r="P14" s="2" t="s">
        <v>125</v>
      </c>
      <c r="Q14" s="2" t="s">
        <v>237</v>
      </c>
      <c r="R14" s="2" t="s">
        <v>83</v>
      </c>
      <c r="S14" s="11">
        <v>5.3E-3</v>
      </c>
      <c r="T14" s="76"/>
      <c r="U14" s="30">
        <f t="shared" si="2"/>
        <v>10</v>
      </c>
      <c r="V14" s="30">
        <f t="shared" si="3"/>
        <v>5.2999999999999999E-2</v>
      </c>
      <c r="W14" s="30">
        <f t="shared" si="4"/>
        <v>0</v>
      </c>
      <c r="X14" s="30">
        <f t="shared" si="5"/>
        <v>0</v>
      </c>
      <c r="Y14" s="30"/>
      <c r="Z14" s="30">
        <f t="shared" si="6"/>
        <v>0</v>
      </c>
      <c r="AA14" s="30"/>
      <c r="AB14" s="30">
        <f t="shared" si="7"/>
        <v>0</v>
      </c>
      <c r="AC14" s="30"/>
      <c r="AD14" s="30"/>
      <c r="AE14" s="30">
        <f t="shared" si="8"/>
        <v>0</v>
      </c>
      <c r="AF14" s="30"/>
      <c r="AG14" s="30">
        <f t="shared" si="9"/>
        <v>0</v>
      </c>
      <c r="AH14" s="30"/>
      <c r="AI14" s="30"/>
      <c r="AJ14" s="30">
        <f t="shared" si="10"/>
        <v>0</v>
      </c>
      <c r="AK14" s="30"/>
      <c r="AL14" s="30">
        <f t="shared" si="11"/>
        <v>0</v>
      </c>
      <c r="AM14" s="30"/>
      <c r="AN14" s="30">
        <v>10000</v>
      </c>
      <c r="AO14" s="30">
        <f t="shared" si="12"/>
        <v>53</v>
      </c>
      <c r="AP14" s="30">
        <v>4000</v>
      </c>
      <c r="AQ14" s="30">
        <f t="shared" si="13"/>
        <v>21.2</v>
      </c>
      <c r="AR14" s="30"/>
      <c r="AS14" s="30"/>
      <c r="AT14" s="30">
        <f t="shared" si="14"/>
        <v>0</v>
      </c>
      <c r="AU14" s="30">
        <v>2000</v>
      </c>
      <c r="AV14" s="30">
        <f t="shared" si="15"/>
        <v>10.6</v>
      </c>
      <c r="AW14" s="30"/>
      <c r="AX14" s="30"/>
      <c r="AY14" s="30">
        <f t="shared" si="16"/>
        <v>0</v>
      </c>
      <c r="AZ14" s="30"/>
      <c r="BA14" s="30">
        <v>0</v>
      </c>
      <c r="BB14" s="30"/>
      <c r="BC14" s="45"/>
      <c r="BD14" s="45">
        <f t="shared" si="17"/>
        <v>0</v>
      </c>
      <c r="BE14" s="30"/>
      <c r="BF14" s="30">
        <f t="shared" si="18"/>
        <v>0</v>
      </c>
      <c r="BG14" s="30"/>
      <c r="BH14" s="30"/>
      <c r="BI14" s="30">
        <f t="shared" si="19"/>
        <v>0</v>
      </c>
      <c r="BJ14" s="30"/>
      <c r="BK14" s="30">
        <f t="shared" si="20"/>
        <v>0</v>
      </c>
      <c r="BL14" s="30"/>
      <c r="BM14" s="30"/>
      <c r="BN14" s="30">
        <f t="shared" si="21"/>
        <v>0</v>
      </c>
      <c r="BO14" s="30"/>
      <c r="BP14" s="30">
        <f t="shared" si="22"/>
        <v>0</v>
      </c>
      <c r="BQ14" s="30"/>
      <c r="BR14" s="30"/>
      <c r="BS14" s="30">
        <f t="shared" si="23"/>
        <v>0</v>
      </c>
      <c r="BT14" s="30"/>
      <c r="BU14" s="30">
        <f t="shared" si="24"/>
        <v>0</v>
      </c>
      <c r="BV14" s="30"/>
      <c r="BW14" s="30"/>
      <c r="BX14" s="30">
        <f t="shared" si="25"/>
        <v>0</v>
      </c>
      <c r="BY14" s="30"/>
      <c r="BZ14" s="30">
        <f t="shared" si="26"/>
        <v>0</v>
      </c>
      <c r="CA14" s="30"/>
      <c r="CB14" s="30"/>
      <c r="CC14" s="30">
        <f t="shared" si="27"/>
        <v>0</v>
      </c>
      <c r="CD14" s="30"/>
      <c r="CE14" s="30">
        <f t="shared" si="28"/>
        <v>0</v>
      </c>
      <c r="CF14" s="30"/>
      <c r="CG14" s="2"/>
    </row>
    <row r="15" spans="1:87" x14ac:dyDescent="0.4">
      <c r="A15" s="2" t="s">
        <v>110</v>
      </c>
      <c r="B15" s="2" t="s">
        <v>262</v>
      </c>
      <c r="C15" s="2" t="s">
        <v>263</v>
      </c>
      <c r="D15" s="2" t="s">
        <v>300</v>
      </c>
      <c r="E15" s="165" t="s">
        <v>301</v>
      </c>
      <c r="F15" s="2"/>
      <c r="G15" s="2"/>
      <c r="H15" s="2"/>
      <c r="I15" s="2"/>
      <c r="J15" s="2"/>
      <c r="K15" s="2" t="s">
        <v>267</v>
      </c>
      <c r="L15" s="13" t="s">
        <v>283</v>
      </c>
      <c r="M15" s="2" t="s">
        <v>138</v>
      </c>
      <c r="N15" s="2" t="s">
        <v>138</v>
      </c>
      <c r="O15" s="2" t="s">
        <v>129</v>
      </c>
      <c r="P15" s="2" t="s">
        <v>125</v>
      </c>
      <c r="Q15" s="2" t="s">
        <v>310</v>
      </c>
      <c r="R15" s="2" t="s">
        <v>83</v>
      </c>
      <c r="S15" s="11">
        <v>0.40250000000000002</v>
      </c>
      <c r="T15" s="12"/>
      <c r="U15" s="30">
        <f t="shared" si="2"/>
        <v>4</v>
      </c>
      <c r="V15" s="30">
        <f t="shared" si="3"/>
        <v>1.61</v>
      </c>
      <c r="W15" s="30">
        <f t="shared" si="4"/>
        <v>0</v>
      </c>
      <c r="X15" s="30">
        <f t="shared" si="5"/>
        <v>0</v>
      </c>
      <c r="Y15" s="30"/>
      <c r="Z15" s="30">
        <f t="shared" si="6"/>
        <v>0</v>
      </c>
      <c r="AA15" s="30"/>
      <c r="AB15" s="30">
        <f t="shared" si="7"/>
        <v>0</v>
      </c>
      <c r="AC15" s="30"/>
      <c r="AD15" s="30"/>
      <c r="AE15" s="30">
        <f t="shared" si="8"/>
        <v>0</v>
      </c>
      <c r="AF15" s="30"/>
      <c r="AG15" s="30">
        <f t="shared" si="9"/>
        <v>0</v>
      </c>
      <c r="AH15" s="30"/>
      <c r="AI15" s="30"/>
      <c r="AJ15" s="30">
        <f t="shared" si="10"/>
        <v>0</v>
      </c>
      <c r="AK15" s="30"/>
      <c r="AL15" s="30">
        <f t="shared" si="11"/>
        <v>0</v>
      </c>
      <c r="AM15" s="30"/>
      <c r="AN15" s="30">
        <v>4000</v>
      </c>
      <c r="AO15" s="30">
        <f t="shared" si="12"/>
        <v>1610</v>
      </c>
      <c r="AP15" s="30">
        <v>6000</v>
      </c>
      <c r="AQ15" s="30">
        <f t="shared" si="13"/>
        <v>2415</v>
      </c>
      <c r="AR15" s="30"/>
      <c r="AS15" s="30"/>
      <c r="AT15" s="30">
        <f t="shared" si="14"/>
        <v>0</v>
      </c>
      <c r="AU15" s="30">
        <v>2000</v>
      </c>
      <c r="AV15" s="30">
        <f t="shared" si="15"/>
        <v>805</v>
      </c>
      <c r="AW15" s="30"/>
      <c r="AX15" s="30"/>
      <c r="AY15" s="30">
        <f t="shared" si="16"/>
        <v>0</v>
      </c>
      <c r="AZ15" s="30"/>
      <c r="BA15" s="30">
        <v>0</v>
      </c>
      <c r="BB15" s="30"/>
      <c r="BC15" s="45"/>
      <c r="BD15" s="45">
        <f t="shared" si="17"/>
        <v>0</v>
      </c>
      <c r="BE15" s="30"/>
      <c r="BF15" s="30">
        <f t="shared" si="18"/>
        <v>0</v>
      </c>
      <c r="BG15" s="30"/>
      <c r="BH15" s="30"/>
      <c r="BI15" s="30">
        <f t="shared" si="19"/>
        <v>0</v>
      </c>
      <c r="BJ15" s="30"/>
      <c r="BK15" s="30">
        <f t="shared" si="20"/>
        <v>0</v>
      </c>
      <c r="BL15" s="30"/>
      <c r="BM15" s="30"/>
      <c r="BN15" s="30">
        <f t="shared" si="21"/>
        <v>0</v>
      </c>
      <c r="BO15" s="30"/>
      <c r="BP15" s="30">
        <f t="shared" si="22"/>
        <v>0</v>
      </c>
      <c r="BQ15" s="30"/>
      <c r="BR15" s="30"/>
      <c r="BS15" s="30">
        <f t="shared" si="23"/>
        <v>0</v>
      </c>
      <c r="BT15" s="30"/>
      <c r="BU15" s="30">
        <f t="shared" si="24"/>
        <v>0</v>
      </c>
      <c r="BV15" s="30"/>
      <c r="BW15" s="30"/>
      <c r="BX15" s="30">
        <f t="shared" si="25"/>
        <v>0</v>
      </c>
      <c r="BY15" s="30"/>
      <c r="BZ15" s="30">
        <f t="shared" si="26"/>
        <v>0</v>
      </c>
      <c r="CA15" s="30"/>
      <c r="CB15" s="30"/>
      <c r="CC15" s="30">
        <f t="shared" si="27"/>
        <v>0</v>
      </c>
      <c r="CD15" s="30"/>
      <c r="CE15" s="30">
        <f t="shared" si="28"/>
        <v>0</v>
      </c>
      <c r="CF15" s="30"/>
      <c r="CG15" s="2"/>
    </row>
    <row r="16" spans="1:87" x14ac:dyDescent="0.4">
      <c r="A16" s="2" t="s">
        <v>110</v>
      </c>
      <c r="B16" s="2" t="s">
        <v>262</v>
      </c>
      <c r="C16" s="2" t="s">
        <v>263</v>
      </c>
      <c r="D16" s="2" t="s">
        <v>272</v>
      </c>
      <c r="E16" s="165" t="s">
        <v>273</v>
      </c>
      <c r="F16" s="2" t="s">
        <v>175</v>
      </c>
      <c r="G16" s="2" t="s">
        <v>181</v>
      </c>
      <c r="H16" s="2" t="s">
        <v>273</v>
      </c>
      <c r="I16" s="2" t="s">
        <v>175</v>
      </c>
      <c r="J16" s="2" t="s">
        <v>181</v>
      </c>
      <c r="K16" s="2" t="s">
        <v>267</v>
      </c>
      <c r="L16" s="13" t="s">
        <v>274</v>
      </c>
      <c r="M16" s="2" t="s">
        <v>82</v>
      </c>
      <c r="N16" s="2" t="s">
        <v>82</v>
      </c>
      <c r="O16" s="2" t="s">
        <v>112</v>
      </c>
      <c r="P16" s="2" t="s">
        <v>81</v>
      </c>
      <c r="Q16" s="2" t="s">
        <v>182</v>
      </c>
      <c r="R16" s="2" t="s">
        <v>80</v>
      </c>
      <c r="S16" s="11">
        <v>0.81</v>
      </c>
      <c r="T16" s="12">
        <v>15360</v>
      </c>
      <c r="U16" s="30">
        <f t="shared" ref="U16:U30" si="29">+(Y16+AD16+AI16+AN16+AS16+AX16+BC16+BH16+BM16+BR16+BW16+CB16)/1000</f>
        <v>360</v>
      </c>
      <c r="V16" s="30">
        <f t="shared" ref="V16:V30" si="30">+(Z16+AE16+AJ16+AO16+AT16+AY16+BD16+BI16+BN16+BS16+BX16+CC16)/1000</f>
        <v>291.60000000000002</v>
      </c>
      <c r="W16" s="30">
        <f t="shared" ref="W16:W30" si="31">+(+BF16+BK16+BP16+BU16+BZ16+CE16)</f>
        <v>121500</v>
      </c>
      <c r="X16" s="30">
        <f t="shared" ref="X16:X30" si="32">+(+BG16+BL16+BQ16+BV16+CA16+CF16)</f>
        <v>192000</v>
      </c>
      <c r="Y16" s="30">
        <v>30000</v>
      </c>
      <c r="Z16" s="30">
        <f t="shared" ref="Z16:Z30" si="33">Y16*S16</f>
        <v>24300</v>
      </c>
      <c r="AA16" s="30">
        <v>20000</v>
      </c>
      <c r="AB16" s="30">
        <f t="shared" ref="AB16:AB30" si="34">AA16*S16</f>
        <v>16200.000000000002</v>
      </c>
      <c r="AC16" s="30">
        <v>102400</v>
      </c>
      <c r="AD16" s="30">
        <v>30000</v>
      </c>
      <c r="AE16" s="30">
        <f t="shared" ref="AE16:AE30" si="35">AD16*S16</f>
        <v>24300</v>
      </c>
      <c r="AF16" s="30">
        <v>50000</v>
      </c>
      <c r="AG16" s="30">
        <f t="shared" ref="AG16:AG30" si="36">AF16*S16</f>
        <v>40500</v>
      </c>
      <c r="AH16" s="30"/>
      <c r="AI16" s="30">
        <v>30000</v>
      </c>
      <c r="AJ16" s="30">
        <f t="shared" ref="AJ16:AJ30" si="37">AI16*S16</f>
        <v>24300</v>
      </c>
      <c r="AK16" s="30">
        <v>50000</v>
      </c>
      <c r="AL16" s="30">
        <f t="shared" ref="AL16:AL30" si="38">AK16*S16</f>
        <v>40500</v>
      </c>
      <c r="AM16" s="30"/>
      <c r="AN16" s="30">
        <v>30000</v>
      </c>
      <c r="AO16" s="30">
        <f t="shared" ref="AO16:AO30" si="39">AN16*S16</f>
        <v>24300</v>
      </c>
      <c r="AP16" s="30">
        <v>50000</v>
      </c>
      <c r="AQ16" s="30">
        <f t="shared" ref="AQ16:AQ30" si="40">AP16*S16</f>
        <v>40500</v>
      </c>
      <c r="AR16" s="30"/>
      <c r="AS16" s="30">
        <v>30000</v>
      </c>
      <c r="AT16" s="30">
        <f t="shared" ref="AT16:AT30" si="41">AS16*S16</f>
        <v>24300</v>
      </c>
      <c r="AU16" s="30">
        <v>50000</v>
      </c>
      <c r="AV16" s="30">
        <f t="shared" ref="AV16:AV30" si="42">AU16*S16</f>
        <v>40500</v>
      </c>
      <c r="AW16" s="30"/>
      <c r="AX16" s="30">
        <v>30000</v>
      </c>
      <c r="AY16" s="30">
        <f t="shared" ref="AY16:AY30" si="43">AX16*S16</f>
        <v>24300</v>
      </c>
      <c r="AZ16" s="30">
        <v>50000</v>
      </c>
      <c r="BA16" s="30">
        <v>40500</v>
      </c>
      <c r="BB16" s="30"/>
      <c r="BC16" s="45">
        <v>30000</v>
      </c>
      <c r="BD16" s="45">
        <f t="shared" ref="BD16:BD30" si="44">BC16*S16</f>
        <v>24300</v>
      </c>
      <c r="BE16" s="30">
        <v>50000</v>
      </c>
      <c r="BF16" s="30">
        <f t="shared" ref="BF16:BF30" si="45">BE16*S16</f>
        <v>40500</v>
      </c>
      <c r="BG16" s="30"/>
      <c r="BH16" s="30">
        <v>30000</v>
      </c>
      <c r="BI16" s="30">
        <f t="shared" ref="BI16:BI30" si="46">BH16*S16</f>
        <v>24300</v>
      </c>
      <c r="BJ16" s="30">
        <v>50000</v>
      </c>
      <c r="BK16" s="30">
        <f t="shared" ref="BK16:BK30" si="47">BJ16*S16</f>
        <v>40500</v>
      </c>
      <c r="BL16" s="32"/>
      <c r="BM16" s="30">
        <v>30000</v>
      </c>
      <c r="BN16" s="30">
        <f t="shared" ref="BN16:BN30" si="48">BM16*S16</f>
        <v>24300</v>
      </c>
      <c r="BO16" s="30">
        <v>50000</v>
      </c>
      <c r="BP16" s="30">
        <f t="shared" ref="BP16:BP30" si="49">BO16*S16</f>
        <v>40500</v>
      </c>
      <c r="BQ16" s="29"/>
      <c r="BR16" s="30">
        <v>30000</v>
      </c>
      <c r="BS16" s="30">
        <f t="shared" ref="BS16:BS30" si="50">BR16*S16</f>
        <v>24300</v>
      </c>
      <c r="BT16" s="30"/>
      <c r="BU16" s="30">
        <f t="shared" ref="BU16:BU30" si="51">BT16*S16</f>
        <v>0</v>
      </c>
      <c r="BV16" s="30"/>
      <c r="BW16" s="30">
        <v>30000</v>
      </c>
      <c r="BX16" s="30">
        <f t="shared" ref="BX16:BX30" si="52">BW16*S16</f>
        <v>24300</v>
      </c>
      <c r="BY16" s="30"/>
      <c r="BZ16" s="30">
        <f t="shared" ref="BZ16:BZ30" si="53">BY16*S16</f>
        <v>0</v>
      </c>
      <c r="CA16" s="30"/>
      <c r="CB16" s="30">
        <v>30000</v>
      </c>
      <c r="CC16" s="30">
        <f t="shared" ref="CC16:CC30" si="54">CB16*S16</f>
        <v>24300</v>
      </c>
      <c r="CD16" s="30"/>
      <c r="CE16" s="30">
        <f t="shared" ref="CE16:CE30" si="55">CD16*S16</f>
        <v>0</v>
      </c>
      <c r="CF16" s="141">
        <v>192000</v>
      </c>
      <c r="CG16" s="2"/>
    </row>
    <row r="17" spans="1:85" x14ac:dyDescent="0.4">
      <c r="A17" s="2" t="s">
        <v>110</v>
      </c>
      <c r="B17" s="2" t="s">
        <v>262</v>
      </c>
      <c r="C17" s="2" t="s">
        <v>263</v>
      </c>
      <c r="D17" s="2" t="s">
        <v>272</v>
      </c>
      <c r="E17" s="165" t="s">
        <v>273</v>
      </c>
      <c r="F17" s="2" t="s">
        <v>175</v>
      </c>
      <c r="G17" s="2" t="s">
        <v>181</v>
      </c>
      <c r="H17" s="2"/>
      <c r="I17" s="2" t="s">
        <v>175</v>
      </c>
      <c r="J17" s="2" t="s">
        <v>181</v>
      </c>
      <c r="K17" s="2" t="s">
        <v>267</v>
      </c>
      <c r="L17" s="13" t="s">
        <v>274</v>
      </c>
      <c r="M17" s="2" t="s">
        <v>87</v>
      </c>
      <c r="N17" s="2" t="s">
        <v>87</v>
      </c>
      <c r="O17" s="2" t="s">
        <v>88</v>
      </c>
      <c r="P17" s="2" t="s">
        <v>85</v>
      </c>
      <c r="Q17" s="2" t="s">
        <v>229</v>
      </c>
      <c r="R17" s="2" t="s">
        <v>80</v>
      </c>
      <c r="S17" s="11">
        <v>0.17</v>
      </c>
      <c r="T17" s="12">
        <v>258000</v>
      </c>
      <c r="U17" s="30">
        <f t="shared" si="29"/>
        <v>720</v>
      </c>
      <c r="V17" s="30">
        <f t="shared" si="30"/>
        <v>122.4</v>
      </c>
      <c r="W17" s="30">
        <f t="shared" si="31"/>
        <v>51000</v>
      </c>
      <c r="X17" s="30">
        <f t="shared" si="32"/>
        <v>0</v>
      </c>
      <c r="Y17" s="30">
        <v>60000</v>
      </c>
      <c r="Z17" s="30">
        <f t="shared" si="33"/>
        <v>10200</v>
      </c>
      <c r="AA17" s="30">
        <v>100000</v>
      </c>
      <c r="AB17" s="30">
        <f t="shared" si="34"/>
        <v>17000</v>
      </c>
      <c r="AC17" s="30">
        <v>235000</v>
      </c>
      <c r="AD17" s="30">
        <v>60000</v>
      </c>
      <c r="AE17" s="30">
        <f t="shared" si="35"/>
        <v>10200</v>
      </c>
      <c r="AF17" s="30">
        <v>100000</v>
      </c>
      <c r="AG17" s="30">
        <f t="shared" si="36"/>
        <v>17000</v>
      </c>
      <c r="AH17" s="30">
        <v>125000</v>
      </c>
      <c r="AI17" s="30">
        <v>60000</v>
      </c>
      <c r="AJ17" s="30">
        <f t="shared" si="37"/>
        <v>10200</v>
      </c>
      <c r="AK17" s="30">
        <v>100000</v>
      </c>
      <c r="AL17" s="30">
        <f t="shared" si="38"/>
        <v>17000</v>
      </c>
      <c r="AM17" s="30">
        <v>300000</v>
      </c>
      <c r="AN17" s="30">
        <v>60000</v>
      </c>
      <c r="AO17" s="30">
        <f t="shared" si="39"/>
        <v>10200</v>
      </c>
      <c r="AP17" s="30">
        <v>100000</v>
      </c>
      <c r="AQ17" s="30">
        <f t="shared" si="40"/>
        <v>17000</v>
      </c>
      <c r="AR17" s="30">
        <v>300000</v>
      </c>
      <c r="AS17" s="30">
        <v>60000</v>
      </c>
      <c r="AT17" s="30">
        <f t="shared" si="41"/>
        <v>10200</v>
      </c>
      <c r="AU17" s="30">
        <v>100000</v>
      </c>
      <c r="AV17" s="30">
        <f t="shared" si="42"/>
        <v>17000</v>
      </c>
      <c r="AW17" s="37">
        <v>100000</v>
      </c>
      <c r="AX17" s="30">
        <v>60000</v>
      </c>
      <c r="AY17" s="30">
        <f t="shared" si="43"/>
        <v>10200</v>
      </c>
      <c r="AZ17" s="30">
        <v>100000</v>
      </c>
      <c r="BA17" s="30">
        <v>17000</v>
      </c>
      <c r="BB17" s="30"/>
      <c r="BC17" s="45">
        <v>60000</v>
      </c>
      <c r="BD17" s="45">
        <f t="shared" si="44"/>
        <v>10200</v>
      </c>
      <c r="BE17" s="30">
        <v>100000</v>
      </c>
      <c r="BF17" s="30">
        <f t="shared" si="45"/>
        <v>17000</v>
      </c>
      <c r="BG17" s="35"/>
      <c r="BH17" s="30">
        <v>60000</v>
      </c>
      <c r="BI17" s="30">
        <f t="shared" si="46"/>
        <v>10200</v>
      </c>
      <c r="BJ17" s="30">
        <v>100000</v>
      </c>
      <c r="BK17" s="30">
        <f t="shared" si="47"/>
        <v>17000</v>
      </c>
      <c r="BL17" s="30"/>
      <c r="BM17" s="30">
        <v>60000</v>
      </c>
      <c r="BN17" s="30">
        <f t="shared" si="48"/>
        <v>10200</v>
      </c>
      <c r="BO17" s="30">
        <v>100000</v>
      </c>
      <c r="BP17" s="30">
        <f t="shared" si="49"/>
        <v>17000</v>
      </c>
      <c r="BQ17" s="30"/>
      <c r="BR17" s="30">
        <v>60000</v>
      </c>
      <c r="BS17" s="30">
        <f t="shared" si="50"/>
        <v>10200</v>
      </c>
      <c r="BT17" s="30"/>
      <c r="BU17" s="30">
        <f t="shared" si="51"/>
        <v>0</v>
      </c>
      <c r="BV17" s="30"/>
      <c r="BW17" s="30">
        <v>60000</v>
      </c>
      <c r="BX17" s="30">
        <f t="shared" si="52"/>
        <v>10200</v>
      </c>
      <c r="BY17" s="30"/>
      <c r="BZ17" s="30">
        <f t="shared" si="53"/>
        <v>0</v>
      </c>
      <c r="CA17" s="30"/>
      <c r="CB17" s="30">
        <v>60000</v>
      </c>
      <c r="CC17" s="30">
        <f t="shared" si="54"/>
        <v>10200</v>
      </c>
      <c r="CD17" s="30"/>
      <c r="CE17" s="30">
        <f t="shared" si="55"/>
        <v>0</v>
      </c>
      <c r="CF17" s="30"/>
      <c r="CG17" s="2"/>
    </row>
    <row r="18" spans="1:85" ht="17" x14ac:dyDescent="0.4">
      <c r="A18" s="2" t="s">
        <v>110</v>
      </c>
      <c r="B18" s="2" t="s">
        <v>262</v>
      </c>
      <c r="C18" s="2" t="s">
        <v>263</v>
      </c>
      <c r="D18" s="2" t="s">
        <v>272</v>
      </c>
      <c r="E18" s="165" t="s">
        <v>273</v>
      </c>
      <c r="F18" s="2"/>
      <c r="G18" s="2"/>
      <c r="H18" s="2"/>
      <c r="I18" s="2"/>
      <c r="J18" s="2"/>
      <c r="K18" s="2" t="s">
        <v>267</v>
      </c>
      <c r="L18" s="13" t="s">
        <v>274</v>
      </c>
      <c r="M18" s="2" t="s">
        <v>96</v>
      </c>
      <c r="N18" s="2" t="s">
        <v>96</v>
      </c>
      <c r="O18" s="2" t="s">
        <v>146</v>
      </c>
      <c r="P18" s="1" t="s">
        <v>97</v>
      </c>
      <c r="Q18" s="2" t="s">
        <v>275</v>
      </c>
      <c r="R18" s="2"/>
      <c r="S18" s="11">
        <v>0.33600000000000002</v>
      </c>
      <c r="T18" s="12"/>
      <c r="U18" s="30">
        <f t="shared" si="29"/>
        <v>0</v>
      </c>
      <c r="V18" s="30">
        <f t="shared" si="30"/>
        <v>0</v>
      </c>
      <c r="W18" s="30">
        <f t="shared" si="31"/>
        <v>0</v>
      </c>
      <c r="X18" s="30">
        <f t="shared" si="32"/>
        <v>0</v>
      </c>
      <c r="Y18" s="30"/>
      <c r="Z18" s="30">
        <f t="shared" si="33"/>
        <v>0</v>
      </c>
      <c r="AA18" s="30"/>
      <c r="AB18" s="30">
        <f t="shared" si="34"/>
        <v>0</v>
      </c>
      <c r="AC18" s="30">
        <v>74576</v>
      </c>
      <c r="AD18" s="30"/>
      <c r="AE18" s="30">
        <f t="shared" si="35"/>
        <v>0</v>
      </c>
      <c r="AF18" s="30">
        <v>50000</v>
      </c>
      <c r="AG18" s="30">
        <f t="shared" si="36"/>
        <v>16800</v>
      </c>
      <c r="AH18" s="30">
        <v>120000</v>
      </c>
      <c r="AI18" s="30"/>
      <c r="AJ18" s="30">
        <f t="shared" si="37"/>
        <v>0</v>
      </c>
      <c r="AK18" s="30">
        <v>50000</v>
      </c>
      <c r="AL18" s="30">
        <f t="shared" si="38"/>
        <v>16800</v>
      </c>
      <c r="AM18" s="30"/>
      <c r="AN18" s="30"/>
      <c r="AO18" s="30">
        <f t="shared" si="39"/>
        <v>0</v>
      </c>
      <c r="AP18" s="30">
        <v>50000</v>
      </c>
      <c r="AQ18" s="30">
        <f t="shared" si="40"/>
        <v>16800</v>
      </c>
      <c r="AR18" s="30"/>
      <c r="AS18" s="30"/>
      <c r="AT18" s="30">
        <f t="shared" si="41"/>
        <v>0</v>
      </c>
      <c r="AU18" s="30">
        <v>50000</v>
      </c>
      <c r="AV18" s="30">
        <f t="shared" si="42"/>
        <v>16800</v>
      </c>
      <c r="AW18" s="30"/>
      <c r="AX18" s="30"/>
      <c r="AY18" s="30">
        <f t="shared" si="43"/>
        <v>0</v>
      </c>
      <c r="AZ18" s="30">
        <v>50000</v>
      </c>
      <c r="BA18" s="30">
        <v>16800</v>
      </c>
      <c r="BB18" s="30"/>
      <c r="BC18" s="45"/>
      <c r="BD18" s="45">
        <f t="shared" si="44"/>
        <v>0</v>
      </c>
      <c r="BE18" s="30"/>
      <c r="BF18" s="30">
        <f t="shared" si="45"/>
        <v>0</v>
      </c>
      <c r="BG18" s="30"/>
      <c r="BH18" s="30"/>
      <c r="BI18" s="30">
        <f t="shared" si="46"/>
        <v>0</v>
      </c>
      <c r="BJ18" s="30"/>
      <c r="BK18" s="30">
        <f t="shared" si="47"/>
        <v>0</v>
      </c>
      <c r="BL18" s="30"/>
      <c r="BM18" s="30"/>
      <c r="BN18" s="30">
        <f t="shared" si="48"/>
        <v>0</v>
      </c>
      <c r="BO18" s="30"/>
      <c r="BP18" s="30">
        <f t="shared" si="49"/>
        <v>0</v>
      </c>
      <c r="BQ18" s="30"/>
      <c r="BR18" s="30"/>
      <c r="BS18" s="30">
        <f t="shared" si="50"/>
        <v>0</v>
      </c>
      <c r="BT18" s="30"/>
      <c r="BU18" s="30">
        <f t="shared" si="51"/>
        <v>0</v>
      </c>
      <c r="BV18" s="30"/>
      <c r="BW18" s="30"/>
      <c r="BX18" s="30">
        <f t="shared" si="52"/>
        <v>0</v>
      </c>
      <c r="BY18" s="30"/>
      <c r="BZ18" s="30">
        <f t="shared" si="53"/>
        <v>0</v>
      </c>
      <c r="CA18" s="30"/>
      <c r="CB18" s="30"/>
      <c r="CC18" s="30">
        <f t="shared" si="54"/>
        <v>0</v>
      </c>
      <c r="CD18" s="30"/>
      <c r="CE18" s="30">
        <f t="shared" si="55"/>
        <v>0</v>
      </c>
      <c r="CF18" s="30"/>
      <c r="CG18" s="62"/>
    </row>
    <row r="19" spans="1:85" x14ac:dyDescent="0.4">
      <c r="A19" s="2" t="s">
        <v>110</v>
      </c>
      <c r="B19" s="2" t="s">
        <v>262</v>
      </c>
      <c r="C19" s="2" t="s">
        <v>263</v>
      </c>
      <c r="D19" s="2" t="s">
        <v>272</v>
      </c>
      <c r="E19" s="165" t="s">
        <v>273</v>
      </c>
      <c r="F19" s="2" t="s">
        <v>175</v>
      </c>
      <c r="G19" s="2" t="s">
        <v>181</v>
      </c>
      <c r="H19" s="2"/>
      <c r="I19" s="2" t="s">
        <v>175</v>
      </c>
      <c r="J19" s="2" t="s">
        <v>181</v>
      </c>
      <c r="K19" s="2" t="s">
        <v>267</v>
      </c>
      <c r="L19" s="13" t="s">
        <v>274</v>
      </c>
      <c r="M19" s="2" t="s">
        <v>87</v>
      </c>
      <c r="N19" s="2" t="s">
        <v>87</v>
      </c>
      <c r="O19" s="2" t="s">
        <v>88</v>
      </c>
      <c r="P19" s="2" t="s">
        <v>85</v>
      </c>
      <c r="Q19" s="2" t="s">
        <v>235</v>
      </c>
      <c r="R19" s="2" t="s">
        <v>80</v>
      </c>
      <c r="S19" s="11">
        <v>7.2999999999999995E-2</v>
      </c>
      <c r="T19" s="12">
        <v>302000</v>
      </c>
      <c r="U19" s="30">
        <f t="shared" si="29"/>
        <v>255</v>
      </c>
      <c r="V19" s="30">
        <f t="shared" si="30"/>
        <v>18.614999999999998</v>
      </c>
      <c r="W19" s="30">
        <f t="shared" si="31"/>
        <v>21899.999999999996</v>
      </c>
      <c r="X19" s="30">
        <f t="shared" si="32"/>
        <v>0</v>
      </c>
      <c r="Y19" s="30">
        <v>30000</v>
      </c>
      <c r="Z19" s="30">
        <f t="shared" si="33"/>
        <v>2190</v>
      </c>
      <c r="AA19" s="30">
        <v>100000</v>
      </c>
      <c r="AB19" s="30">
        <f t="shared" si="34"/>
        <v>7299.9999999999991</v>
      </c>
      <c r="AC19" s="30">
        <v>21000</v>
      </c>
      <c r="AD19" s="30">
        <v>30000</v>
      </c>
      <c r="AE19" s="30">
        <f t="shared" si="35"/>
        <v>2190</v>
      </c>
      <c r="AF19" s="30">
        <v>100000</v>
      </c>
      <c r="AG19" s="30">
        <f t="shared" si="36"/>
        <v>7299.9999999999991</v>
      </c>
      <c r="AH19" s="30">
        <v>200000</v>
      </c>
      <c r="AI19" s="30">
        <v>15000</v>
      </c>
      <c r="AJ19" s="30">
        <f t="shared" si="37"/>
        <v>1095</v>
      </c>
      <c r="AK19" s="30">
        <v>100000</v>
      </c>
      <c r="AL19" s="30">
        <f t="shared" si="38"/>
        <v>7299.9999999999991</v>
      </c>
      <c r="AM19" s="30">
        <v>177600</v>
      </c>
      <c r="AN19" s="30">
        <v>30000</v>
      </c>
      <c r="AO19" s="30">
        <f t="shared" si="39"/>
        <v>2190</v>
      </c>
      <c r="AP19" s="30">
        <v>100000</v>
      </c>
      <c r="AQ19" s="30">
        <f t="shared" si="40"/>
        <v>7299.9999999999991</v>
      </c>
      <c r="AR19" s="30"/>
      <c r="AS19" s="30">
        <v>15000</v>
      </c>
      <c r="AT19" s="30">
        <f t="shared" si="41"/>
        <v>1095</v>
      </c>
      <c r="AU19" s="30">
        <v>100000</v>
      </c>
      <c r="AV19" s="30">
        <f t="shared" si="42"/>
        <v>7299.9999999999991</v>
      </c>
      <c r="AW19" s="30"/>
      <c r="AX19" s="30">
        <v>30000</v>
      </c>
      <c r="AY19" s="30">
        <f t="shared" si="43"/>
        <v>2190</v>
      </c>
      <c r="AZ19" s="30">
        <v>100000</v>
      </c>
      <c r="BA19" s="30">
        <v>7299.9999999999991</v>
      </c>
      <c r="BB19" s="30"/>
      <c r="BC19" s="45">
        <v>15000</v>
      </c>
      <c r="BD19" s="45">
        <f t="shared" si="44"/>
        <v>1095</v>
      </c>
      <c r="BE19" s="30">
        <v>100000</v>
      </c>
      <c r="BF19" s="30">
        <f t="shared" si="45"/>
        <v>7299.9999999999991</v>
      </c>
      <c r="BG19" s="30"/>
      <c r="BH19" s="30">
        <v>30000</v>
      </c>
      <c r="BI19" s="30">
        <f t="shared" si="46"/>
        <v>2190</v>
      </c>
      <c r="BJ19" s="30">
        <v>100000</v>
      </c>
      <c r="BK19" s="30">
        <f t="shared" si="47"/>
        <v>7299.9999999999991</v>
      </c>
      <c r="BL19" s="30"/>
      <c r="BM19" s="30">
        <v>15000</v>
      </c>
      <c r="BN19" s="30">
        <f t="shared" si="48"/>
        <v>1095</v>
      </c>
      <c r="BO19" s="30">
        <v>100000</v>
      </c>
      <c r="BP19" s="30">
        <f t="shared" si="49"/>
        <v>7299.9999999999991</v>
      </c>
      <c r="BQ19" s="30"/>
      <c r="BR19" s="30">
        <v>15000</v>
      </c>
      <c r="BS19" s="30">
        <f t="shared" si="50"/>
        <v>1095</v>
      </c>
      <c r="BT19" s="30"/>
      <c r="BU19" s="30">
        <f t="shared" si="51"/>
        <v>0</v>
      </c>
      <c r="BV19" s="30"/>
      <c r="BW19" s="30">
        <v>15000</v>
      </c>
      <c r="BX19" s="30">
        <f t="shared" si="52"/>
        <v>1095</v>
      </c>
      <c r="BY19" s="30"/>
      <c r="BZ19" s="30">
        <f t="shared" si="53"/>
        <v>0</v>
      </c>
      <c r="CA19" s="30"/>
      <c r="CB19" s="30">
        <v>15000</v>
      </c>
      <c r="CC19" s="30">
        <f t="shared" si="54"/>
        <v>1095</v>
      </c>
      <c r="CD19" s="30"/>
      <c r="CE19" s="30">
        <f t="shared" si="55"/>
        <v>0</v>
      </c>
      <c r="CF19" s="30"/>
      <c r="CG19" s="2"/>
    </row>
    <row r="20" spans="1:85" ht="17" x14ac:dyDescent="0.4">
      <c r="A20" s="2" t="s">
        <v>110</v>
      </c>
      <c r="B20" s="2" t="s">
        <v>262</v>
      </c>
      <c r="C20" s="2" t="s">
        <v>263</v>
      </c>
      <c r="D20" s="2" t="s">
        <v>272</v>
      </c>
      <c r="E20" s="165" t="s">
        <v>273</v>
      </c>
      <c r="F20" s="2" t="s">
        <v>175</v>
      </c>
      <c r="G20" s="2" t="s">
        <v>181</v>
      </c>
      <c r="H20" s="2"/>
      <c r="I20" s="2" t="s">
        <v>175</v>
      </c>
      <c r="J20" s="2" t="s">
        <v>181</v>
      </c>
      <c r="K20" s="2" t="s">
        <v>267</v>
      </c>
      <c r="L20" s="13" t="s">
        <v>274</v>
      </c>
      <c r="M20" s="2" t="s">
        <v>87</v>
      </c>
      <c r="N20" s="2" t="s">
        <v>87</v>
      </c>
      <c r="O20" s="2" t="s">
        <v>88</v>
      </c>
      <c r="P20" s="2" t="s">
        <v>85</v>
      </c>
      <c r="Q20" s="2" t="s">
        <v>234</v>
      </c>
      <c r="R20" s="2" t="s">
        <v>80</v>
      </c>
      <c r="S20" s="11">
        <v>7.0000000000000007E-2</v>
      </c>
      <c r="T20" s="12">
        <v>176000</v>
      </c>
      <c r="U20" s="30">
        <f t="shared" si="29"/>
        <v>360</v>
      </c>
      <c r="V20" s="30">
        <f t="shared" si="30"/>
        <v>25.2</v>
      </c>
      <c r="W20" s="30">
        <f t="shared" si="31"/>
        <v>21000.000000000004</v>
      </c>
      <c r="X20" s="30">
        <f t="shared" si="32"/>
        <v>44800</v>
      </c>
      <c r="Y20" s="30">
        <v>30000</v>
      </c>
      <c r="Z20" s="30">
        <f t="shared" si="33"/>
        <v>2100</v>
      </c>
      <c r="AA20" s="30">
        <v>100000</v>
      </c>
      <c r="AB20" s="30">
        <f t="shared" si="34"/>
        <v>7000.0000000000009</v>
      </c>
      <c r="AC20" s="30">
        <v>100800</v>
      </c>
      <c r="AD20" s="30">
        <v>30000</v>
      </c>
      <c r="AE20" s="30">
        <f t="shared" si="35"/>
        <v>2100</v>
      </c>
      <c r="AF20" s="30">
        <v>100000</v>
      </c>
      <c r="AG20" s="30">
        <f t="shared" si="36"/>
        <v>7000.0000000000009</v>
      </c>
      <c r="AH20" s="30">
        <v>304200</v>
      </c>
      <c r="AI20" s="30">
        <v>30000</v>
      </c>
      <c r="AJ20" s="30">
        <f t="shared" si="37"/>
        <v>2100</v>
      </c>
      <c r="AK20" s="30">
        <v>100000</v>
      </c>
      <c r="AL20" s="30">
        <f t="shared" si="38"/>
        <v>7000.0000000000009</v>
      </c>
      <c r="AM20" s="30">
        <v>303400</v>
      </c>
      <c r="AN20" s="30">
        <v>30000</v>
      </c>
      <c r="AO20" s="30">
        <f t="shared" si="39"/>
        <v>2100</v>
      </c>
      <c r="AP20" s="30">
        <v>100000</v>
      </c>
      <c r="AQ20" s="30">
        <f t="shared" si="40"/>
        <v>7000.0000000000009</v>
      </c>
      <c r="AR20" s="30">
        <v>97400</v>
      </c>
      <c r="AS20" s="30">
        <v>30000</v>
      </c>
      <c r="AT20" s="30">
        <f t="shared" si="41"/>
        <v>2100</v>
      </c>
      <c r="AU20" s="30">
        <v>100000</v>
      </c>
      <c r="AV20" s="30">
        <f t="shared" si="42"/>
        <v>7000.0000000000009</v>
      </c>
      <c r="AW20" s="30">
        <v>97400</v>
      </c>
      <c r="AX20" s="30">
        <v>30000</v>
      </c>
      <c r="AY20" s="30">
        <f t="shared" si="43"/>
        <v>2100</v>
      </c>
      <c r="AZ20" s="30">
        <v>100000</v>
      </c>
      <c r="BA20" s="30">
        <v>7000.0000000000009</v>
      </c>
      <c r="BB20" s="36">
        <v>95600</v>
      </c>
      <c r="BC20" s="45">
        <v>30000</v>
      </c>
      <c r="BD20" s="45">
        <f t="shared" si="44"/>
        <v>2100</v>
      </c>
      <c r="BE20" s="30">
        <v>100000</v>
      </c>
      <c r="BF20" s="30">
        <f t="shared" si="45"/>
        <v>7000.0000000000009</v>
      </c>
      <c r="BG20" s="142">
        <v>44800</v>
      </c>
      <c r="BH20" s="30">
        <v>30000</v>
      </c>
      <c r="BI20" s="30">
        <f t="shared" si="46"/>
        <v>2100</v>
      </c>
      <c r="BJ20" s="30">
        <v>100000</v>
      </c>
      <c r="BK20" s="30">
        <f t="shared" si="47"/>
        <v>7000.0000000000009</v>
      </c>
      <c r="BL20" s="30"/>
      <c r="BM20" s="30">
        <v>30000</v>
      </c>
      <c r="BN20" s="30">
        <f t="shared" si="48"/>
        <v>2100</v>
      </c>
      <c r="BO20" s="30">
        <v>100000</v>
      </c>
      <c r="BP20" s="30">
        <f t="shared" si="49"/>
        <v>7000.0000000000009</v>
      </c>
      <c r="BQ20" s="30"/>
      <c r="BR20" s="30">
        <v>30000</v>
      </c>
      <c r="BS20" s="30">
        <f t="shared" si="50"/>
        <v>2100</v>
      </c>
      <c r="BT20" s="30"/>
      <c r="BU20" s="30">
        <f t="shared" si="51"/>
        <v>0</v>
      </c>
      <c r="BV20" s="30"/>
      <c r="BW20" s="30">
        <v>30000</v>
      </c>
      <c r="BX20" s="30">
        <f t="shared" si="52"/>
        <v>2100</v>
      </c>
      <c r="BY20" s="30"/>
      <c r="BZ20" s="30">
        <f t="shared" si="53"/>
        <v>0</v>
      </c>
      <c r="CA20" s="30"/>
      <c r="CB20" s="30">
        <v>30000</v>
      </c>
      <c r="CC20" s="30">
        <f t="shared" si="54"/>
        <v>2100</v>
      </c>
      <c r="CD20" s="30"/>
      <c r="CE20" s="30">
        <f t="shared" si="55"/>
        <v>0</v>
      </c>
      <c r="CF20" s="30"/>
      <c r="CG20" s="62"/>
    </row>
    <row r="21" spans="1:85" ht="17" x14ac:dyDescent="0.4">
      <c r="A21" s="2" t="s">
        <v>110</v>
      </c>
      <c r="B21" s="2" t="s">
        <v>262</v>
      </c>
      <c r="C21" s="2" t="s">
        <v>263</v>
      </c>
      <c r="D21" s="2" t="s">
        <v>272</v>
      </c>
      <c r="E21" s="165" t="s">
        <v>273</v>
      </c>
      <c r="F21" s="2"/>
      <c r="G21" s="2"/>
      <c r="H21" s="2"/>
      <c r="I21" s="2"/>
      <c r="J21" s="2"/>
      <c r="K21" s="2" t="s">
        <v>267</v>
      </c>
      <c r="L21" s="13" t="s">
        <v>274</v>
      </c>
      <c r="M21" s="2" t="s">
        <v>87</v>
      </c>
      <c r="N21" s="2" t="s">
        <v>87</v>
      </c>
      <c r="O21" s="2" t="s">
        <v>88</v>
      </c>
      <c r="P21" s="2" t="s">
        <v>85</v>
      </c>
      <c r="Q21" s="2" t="s">
        <v>311</v>
      </c>
      <c r="R21" s="2"/>
      <c r="S21" s="11">
        <v>4.65E-2</v>
      </c>
      <c r="T21" s="12">
        <v>200000</v>
      </c>
      <c r="U21" s="30">
        <f t="shared" si="29"/>
        <v>0</v>
      </c>
      <c r="V21" s="30">
        <f t="shared" si="30"/>
        <v>0</v>
      </c>
      <c r="W21" s="30">
        <f t="shared" si="31"/>
        <v>13950</v>
      </c>
      <c r="X21" s="30">
        <f t="shared" si="32"/>
        <v>0</v>
      </c>
      <c r="Y21" s="30"/>
      <c r="Z21" s="30">
        <f t="shared" si="33"/>
        <v>0</v>
      </c>
      <c r="AA21" s="30"/>
      <c r="AB21" s="30">
        <f t="shared" si="34"/>
        <v>0</v>
      </c>
      <c r="AC21" s="30"/>
      <c r="AD21" s="30"/>
      <c r="AE21" s="30">
        <f t="shared" si="35"/>
        <v>0</v>
      </c>
      <c r="AF21" s="30"/>
      <c r="AG21" s="30">
        <f t="shared" si="36"/>
        <v>0</v>
      </c>
      <c r="AH21" s="30">
        <v>300000</v>
      </c>
      <c r="AI21" s="30"/>
      <c r="AJ21" s="30">
        <f t="shared" si="37"/>
        <v>0</v>
      </c>
      <c r="AK21" s="30">
        <v>100000</v>
      </c>
      <c r="AL21" s="30">
        <f t="shared" si="38"/>
        <v>4650</v>
      </c>
      <c r="AM21" s="30">
        <v>300000</v>
      </c>
      <c r="AN21" s="30"/>
      <c r="AO21" s="30">
        <f t="shared" si="39"/>
        <v>0</v>
      </c>
      <c r="AP21" s="30">
        <v>100000</v>
      </c>
      <c r="AQ21" s="30">
        <f t="shared" si="40"/>
        <v>4650</v>
      </c>
      <c r="AR21" s="30">
        <v>78000</v>
      </c>
      <c r="AS21" s="30"/>
      <c r="AT21" s="30">
        <f t="shared" si="41"/>
        <v>0</v>
      </c>
      <c r="AU21" s="30">
        <v>100000</v>
      </c>
      <c r="AV21" s="30">
        <f t="shared" si="42"/>
        <v>4650</v>
      </c>
      <c r="AW21" s="30"/>
      <c r="AX21" s="30"/>
      <c r="AY21" s="30">
        <f t="shared" si="43"/>
        <v>0</v>
      </c>
      <c r="AZ21" s="30">
        <v>100000</v>
      </c>
      <c r="BA21" s="30">
        <v>4650</v>
      </c>
      <c r="BB21" s="30"/>
      <c r="BC21" s="45"/>
      <c r="BD21" s="45">
        <f t="shared" si="44"/>
        <v>0</v>
      </c>
      <c r="BE21" s="30">
        <v>100000</v>
      </c>
      <c r="BF21" s="30">
        <f t="shared" si="45"/>
        <v>4650</v>
      </c>
      <c r="BG21" s="30"/>
      <c r="BH21" s="30"/>
      <c r="BI21" s="30">
        <f t="shared" si="46"/>
        <v>0</v>
      </c>
      <c r="BJ21" s="30">
        <v>100000</v>
      </c>
      <c r="BK21" s="30">
        <f t="shared" si="47"/>
        <v>4650</v>
      </c>
      <c r="BL21" s="30"/>
      <c r="BM21" s="30"/>
      <c r="BN21" s="30">
        <f t="shared" si="48"/>
        <v>0</v>
      </c>
      <c r="BO21" s="30">
        <v>100000</v>
      </c>
      <c r="BP21" s="30">
        <f t="shared" si="49"/>
        <v>4650</v>
      </c>
      <c r="BQ21" s="30"/>
      <c r="BR21" s="30"/>
      <c r="BS21" s="30">
        <f t="shared" si="50"/>
        <v>0</v>
      </c>
      <c r="BT21" s="30"/>
      <c r="BU21" s="30">
        <f t="shared" si="51"/>
        <v>0</v>
      </c>
      <c r="BV21" s="30"/>
      <c r="BW21" s="30"/>
      <c r="BX21" s="30">
        <f t="shared" si="52"/>
        <v>0</v>
      </c>
      <c r="BY21" s="30"/>
      <c r="BZ21" s="30">
        <f t="shared" si="53"/>
        <v>0</v>
      </c>
      <c r="CA21" s="30"/>
      <c r="CB21" s="30"/>
      <c r="CC21" s="30">
        <f t="shared" si="54"/>
        <v>0</v>
      </c>
      <c r="CD21" s="30"/>
      <c r="CE21" s="30">
        <f t="shared" si="55"/>
        <v>0</v>
      </c>
      <c r="CF21" s="30"/>
      <c r="CG21" s="62"/>
    </row>
    <row r="22" spans="1:85" ht="17" x14ac:dyDescent="0.4">
      <c r="A22" s="2" t="s">
        <v>110</v>
      </c>
      <c r="B22" s="2" t="s">
        <v>262</v>
      </c>
      <c r="C22" s="2" t="s">
        <v>263</v>
      </c>
      <c r="D22" s="2" t="s">
        <v>272</v>
      </c>
      <c r="E22" s="165" t="s">
        <v>273</v>
      </c>
      <c r="F22" s="2"/>
      <c r="G22" s="2"/>
      <c r="H22" s="2"/>
      <c r="I22" s="2"/>
      <c r="J22" s="2"/>
      <c r="K22" s="2" t="s">
        <v>267</v>
      </c>
      <c r="L22" s="13" t="s">
        <v>274</v>
      </c>
      <c r="M22" s="2" t="s">
        <v>96</v>
      </c>
      <c r="N22" s="2" t="s">
        <v>96</v>
      </c>
      <c r="O22" s="2" t="s">
        <v>146</v>
      </c>
      <c r="P22" s="1" t="s">
        <v>97</v>
      </c>
      <c r="Q22" s="2" t="s">
        <v>276</v>
      </c>
      <c r="R22" s="2"/>
      <c r="S22" s="11">
        <v>0.35</v>
      </c>
      <c r="T22" s="12"/>
      <c r="U22" s="30">
        <f t="shared" si="29"/>
        <v>0</v>
      </c>
      <c r="V22" s="30">
        <f t="shared" si="30"/>
        <v>0</v>
      </c>
      <c r="W22" s="30">
        <f t="shared" si="31"/>
        <v>0</v>
      </c>
      <c r="X22" s="30">
        <f t="shared" si="32"/>
        <v>0</v>
      </c>
      <c r="Y22" s="30"/>
      <c r="Z22" s="30">
        <f t="shared" si="33"/>
        <v>0</v>
      </c>
      <c r="AA22" s="30"/>
      <c r="AB22" s="30">
        <f t="shared" si="34"/>
        <v>0</v>
      </c>
      <c r="AC22" s="30"/>
      <c r="AD22" s="30"/>
      <c r="AE22" s="30">
        <f t="shared" si="35"/>
        <v>0</v>
      </c>
      <c r="AF22" s="30"/>
      <c r="AG22" s="30">
        <f t="shared" si="36"/>
        <v>0</v>
      </c>
      <c r="AH22" s="30">
        <v>8000</v>
      </c>
      <c r="AI22" s="30"/>
      <c r="AJ22" s="30">
        <f t="shared" si="37"/>
        <v>0</v>
      </c>
      <c r="AK22" s="30">
        <v>8000</v>
      </c>
      <c r="AL22" s="30">
        <f t="shared" si="38"/>
        <v>2800</v>
      </c>
      <c r="AM22" s="30"/>
      <c r="AN22" s="30"/>
      <c r="AO22" s="30">
        <f t="shared" si="39"/>
        <v>0</v>
      </c>
      <c r="AP22" s="30">
        <v>8000</v>
      </c>
      <c r="AQ22" s="30">
        <f t="shared" si="40"/>
        <v>2800</v>
      </c>
      <c r="AR22" s="30"/>
      <c r="AS22" s="30"/>
      <c r="AT22" s="30">
        <f t="shared" si="41"/>
        <v>0</v>
      </c>
      <c r="AU22" s="30">
        <v>8000</v>
      </c>
      <c r="AV22" s="30">
        <f t="shared" si="42"/>
        <v>2800</v>
      </c>
      <c r="AW22" s="30"/>
      <c r="AX22" s="30"/>
      <c r="AY22" s="30">
        <f t="shared" si="43"/>
        <v>0</v>
      </c>
      <c r="AZ22" s="30">
        <v>8000</v>
      </c>
      <c r="BA22" s="30">
        <v>2800</v>
      </c>
      <c r="BB22" s="30"/>
      <c r="BC22" s="45"/>
      <c r="BD22" s="45">
        <f t="shared" si="44"/>
        <v>0</v>
      </c>
      <c r="BE22" s="30"/>
      <c r="BF22" s="30">
        <f t="shared" si="45"/>
        <v>0</v>
      </c>
      <c r="BG22" s="30"/>
      <c r="BH22" s="30"/>
      <c r="BI22" s="30">
        <f t="shared" si="46"/>
        <v>0</v>
      </c>
      <c r="BJ22" s="30"/>
      <c r="BK22" s="30">
        <f t="shared" si="47"/>
        <v>0</v>
      </c>
      <c r="BL22" s="30"/>
      <c r="BM22" s="30"/>
      <c r="BN22" s="30">
        <f t="shared" si="48"/>
        <v>0</v>
      </c>
      <c r="BO22" s="30"/>
      <c r="BP22" s="30">
        <f t="shared" si="49"/>
        <v>0</v>
      </c>
      <c r="BQ22" s="30"/>
      <c r="BR22" s="30"/>
      <c r="BS22" s="30">
        <f t="shared" si="50"/>
        <v>0</v>
      </c>
      <c r="BT22" s="30"/>
      <c r="BU22" s="30">
        <f t="shared" si="51"/>
        <v>0</v>
      </c>
      <c r="BV22" s="30"/>
      <c r="BW22" s="30"/>
      <c r="BX22" s="30">
        <f t="shared" si="52"/>
        <v>0</v>
      </c>
      <c r="BY22" s="30"/>
      <c r="BZ22" s="30">
        <f t="shared" si="53"/>
        <v>0</v>
      </c>
      <c r="CA22" s="30"/>
      <c r="CB22" s="30"/>
      <c r="CC22" s="30">
        <f t="shared" si="54"/>
        <v>0</v>
      </c>
      <c r="CD22" s="30"/>
      <c r="CE22" s="30">
        <f t="shared" si="55"/>
        <v>0</v>
      </c>
      <c r="CF22" s="30"/>
      <c r="CG22" s="62"/>
    </row>
    <row r="23" spans="1:85" x14ac:dyDescent="0.4">
      <c r="A23" s="2" t="s">
        <v>110</v>
      </c>
      <c r="B23" s="2" t="s">
        <v>262</v>
      </c>
      <c r="C23" s="2" t="s">
        <v>263</v>
      </c>
      <c r="D23" s="2" t="s">
        <v>272</v>
      </c>
      <c r="E23" s="165" t="s">
        <v>273</v>
      </c>
      <c r="F23" s="2" t="s">
        <v>175</v>
      </c>
      <c r="G23" s="2" t="s">
        <v>181</v>
      </c>
      <c r="H23" s="2"/>
      <c r="I23" s="2"/>
      <c r="J23" s="2"/>
      <c r="K23" s="2" t="s">
        <v>267</v>
      </c>
      <c r="L23" s="13" t="s">
        <v>274</v>
      </c>
      <c r="M23" s="2" t="s">
        <v>94</v>
      </c>
      <c r="N23" s="2" t="s">
        <v>94</v>
      </c>
      <c r="O23" s="2" t="s">
        <v>78</v>
      </c>
      <c r="P23" s="2" t="s">
        <v>85</v>
      </c>
      <c r="Q23" s="2" t="s">
        <v>312</v>
      </c>
      <c r="R23" s="2" t="s">
        <v>80</v>
      </c>
      <c r="S23" s="11">
        <v>3.04E-2</v>
      </c>
      <c r="T23" s="12">
        <v>54000</v>
      </c>
      <c r="U23" s="30">
        <f t="shared" si="29"/>
        <v>120</v>
      </c>
      <c r="V23" s="30">
        <f t="shared" si="30"/>
        <v>3.6480000000000001</v>
      </c>
      <c r="W23" s="30">
        <f t="shared" si="31"/>
        <v>1824</v>
      </c>
      <c r="X23" s="30">
        <f t="shared" si="32"/>
        <v>0</v>
      </c>
      <c r="Y23" s="30">
        <v>10000</v>
      </c>
      <c r="Z23" s="30">
        <f t="shared" si="33"/>
        <v>304</v>
      </c>
      <c r="AA23" s="30"/>
      <c r="AB23" s="30">
        <f t="shared" si="34"/>
        <v>0</v>
      </c>
      <c r="AC23" s="30"/>
      <c r="AD23" s="30">
        <v>10000</v>
      </c>
      <c r="AE23" s="30">
        <f t="shared" si="35"/>
        <v>304</v>
      </c>
      <c r="AF23" s="30">
        <v>99000</v>
      </c>
      <c r="AG23" s="30">
        <f t="shared" si="36"/>
        <v>3009.6</v>
      </c>
      <c r="AH23" s="30"/>
      <c r="AI23" s="30">
        <v>10000</v>
      </c>
      <c r="AJ23" s="30">
        <f t="shared" si="37"/>
        <v>304</v>
      </c>
      <c r="AK23" s="30">
        <v>84000</v>
      </c>
      <c r="AL23" s="30">
        <f t="shared" si="38"/>
        <v>2553.6</v>
      </c>
      <c r="AM23" s="30"/>
      <c r="AN23" s="30">
        <v>10000</v>
      </c>
      <c r="AO23" s="30">
        <f t="shared" si="39"/>
        <v>304</v>
      </c>
      <c r="AP23" s="30">
        <v>84000</v>
      </c>
      <c r="AQ23" s="30">
        <f t="shared" si="40"/>
        <v>2553.6</v>
      </c>
      <c r="AR23" s="30"/>
      <c r="AS23" s="30">
        <v>10000</v>
      </c>
      <c r="AT23" s="30">
        <f t="shared" si="41"/>
        <v>304</v>
      </c>
      <c r="AU23" s="30">
        <v>84000</v>
      </c>
      <c r="AV23" s="30">
        <f t="shared" si="42"/>
        <v>2553.6</v>
      </c>
      <c r="AW23" s="30"/>
      <c r="AX23" s="30">
        <v>10000</v>
      </c>
      <c r="AY23" s="30">
        <f t="shared" si="43"/>
        <v>304</v>
      </c>
      <c r="AZ23" s="30">
        <v>84000</v>
      </c>
      <c r="BA23" s="30">
        <v>2553.6</v>
      </c>
      <c r="BB23" s="30"/>
      <c r="BC23" s="45">
        <v>10000</v>
      </c>
      <c r="BD23" s="45">
        <f t="shared" si="44"/>
        <v>304</v>
      </c>
      <c r="BE23" s="30">
        <v>20000</v>
      </c>
      <c r="BF23" s="30">
        <f t="shared" si="45"/>
        <v>608</v>
      </c>
      <c r="BG23" s="30"/>
      <c r="BH23" s="30">
        <v>10000</v>
      </c>
      <c r="BI23" s="30">
        <f t="shared" si="46"/>
        <v>304</v>
      </c>
      <c r="BJ23" s="30">
        <v>20000</v>
      </c>
      <c r="BK23" s="30">
        <f t="shared" si="47"/>
        <v>608</v>
      </c>
      <c r="BL23" s="30"/>
      <c r="BM23" s="30">
        <v>10000</v>
      </c>
      <c r="BN23" s="30">
        <f t="shared" si="48"/>
        <v>304</v>
      </c>
      <c r="BO23" s="30">
        <v>20000</v>
      </c>
      <c r="BP23" s="30">
        <f t="shared" si="49"/>
        <v>608</v>
      </c>
      <c r="BQ23" s="30"/>
      <c r="BR23" s="30">
        <v>10000</v>
      </c>
      <c r="BS23" s="30">
        <f t="shared" si="50"/>
        <v>304</v>
      </c>
      <c r="BT23" s="30"/>
      <c r="BU23" s="30">
        <f t="shared" si="51"/>
        <v>0</v>
      </c>
      <c r="BV23" s="30"/>
      <c r="BW23" s="30">
        <v>10000</v>
      </c>
      <c r="BX23" s="30">
        <f t="shared" si="52"/>
        <v>304</v>
      </c>
      <c r="BY23" s="30"/>
      <c r="BZ23" s="30">
        <f t="shared" si="53"/>
        <v>0</v>
      </c>
      <c r="CA23" s="30"/>
      <c r="CB23" s="30">
        <v>10000</v>
      </c>
      <c r="CC23" s="30">
        <f t="shared" si="54"/>
        <v>304</v>
      </c>
      <c r="CD23" s="30"/>
      <c r="CE23" s="30">
        <f t="shared" si="55"/>
        <v>0</v>
      </c>
      <c r="CF23" s="30"/>
      <c r="CG23" s="2"/>
    </row>
    <row r="24" spans="1:85" x14ac:dyDescent="0.4">
      <c r="A24" s="2" t="s">
        <v>110</v>
      </c>
      <c r="B24" s="2" t="s">
        <v>262</v>
      </c>
      <c r="C24" s="2" t="s">
        <v>263</v>
      </c>
      <c r="D24" s="2" t="s">
        <v>272</v>
      </c>
      <c r="E24" s="165" t="s">
        <v>273</v>
      </c>
      <c r="F24" s="2" t="s">
        <v>175</v>
      </c>
      <c r="G24" s="2" t="s">
        <v>181</v>
      </c>
      <c r="H24" s="2"/>
      <c r="I24" s="2" t="s">
        <v>175</v>
      </c>
      <c r="J24" s="2" t="s">
        <v>181</v>
      </c>
      <c r="K24" s="2" t="s">
        <v>267</v>
      </c>
      <c r="L24" s="13" t="s">
        <v>274</v>
      </c>
      <c r="M24" s="1" t="s">
        <v>91</v>
      </c>
      <c r="N24" s="1" t="s">
        <v>91</v>
      </c>
      <c r="O24" s="1" t="s">
        <v>92</v>
      </c>
      <c r="P24" s="2" t="s">
        <v>93</v>
      </c>
      <c r="Q24" s="2" t="s">
        <v>176</v>
      </c>
      <c r="R24" s="2" t="s">
        <v>80</v>
      </c>
      <c r="S24" s="11">
        <v>0.21</v>
      </c>
      <c r="T24" s="12">
        <v>80000</v>
      </c>
      <c r="U24" s="30">
        <f t="shared" si="29"/>
        <v>255</v>
      </c>
      <c r="V24" s="30">
        <f t="shared" si="30"/>
        <v>53.55</v>
      </c>
      <c r="W24" s="30">
        <f t="shared" si="31"/>
        <v>3150</v>
      </c>
      <c r="X24" s="30">
        <f t="shared" si="32"/>
        <v>0</v>
      </c>
      <c r="Y24" s="30">
        <v>30000</v>
      </c>
      <c r="Z24" s="30">
        <f t="shared" si="33"/>
        <v>6300</v>
      </c>
      <c r="AA24" s="30">
        <v>0</v>
      </c>
      <c r="AB24" s="30">
        <f t="shared" si="34"/>
        <v>0</v>
      </c>
      <c r="AC24" s="30"/>
      <c r="AD24" s="30">
        <v>30000</v>
      </c>
      <c r="AE24" s="30">
        <f t="shared" si="35"/>
        <v>6300</v>
      </c>
      <c r="AF24" s="30">
        <v>81000</v>
      </c>
      <c r="AG24" s="30">
        <f t="shared" si="36"/>
        <v>17010</v>
      </c>
      <c r="AH24" s="30"/>
      <c r="AI24" s="30">
        <v>15000</v>
      </c>
      <c r="AJ24" s="30">
        <f t="shared" si="37"/>
        <v>3150</v>
      </c>
      <c r="AK24" s="30">
        <v>10000</v>
      </c>
      <c r="AL24" s="30">
        <f t="shared" si="38"/>
        <v>2100</v>
      </c>
      <c r="AM24" s="30">
        <v>50000</v>
      </c>
      <c r="AN24" s="30">
        <v>30000</v>
      </c>
      <c r="AO24" s="30">
        <f t="shared" si="39"/>
        <v>6300</v>
      </c>
      <c r="AP24" s="30">
        <v>10000</v>
      </c>
      <c r="AQ24" s="30">
        <f t="shared" si="40"/>
        <v>2100</v>
      </c>
      <c r="AR24" s="30"/>
      <c r="AS24" s="30">
        <v>15000</v>
      </c>
      <c r="AT24" s="30">
        <f t="shared" si="41"/>
        <v>3150</v>
      </c>
      <c r="AU24" s="30">
        <v>10000</v>
      </c>
      <c r="AV24" s="30">
        <f t="shared" si="42"/>
        <v>2100</v>
      </c>
      <c r="AW24" s="30"/>
      <c r="AX24" s="30">
        <v>30000</v>
      </c>
      <c r="AY24" s="30">
        <f t="shared" si="43"/>
        <v>6300</v>
      </c>
      <c r="AZ24" s="30">
        <v>10000</v>
      </c>
      <c r="BA24" s="30">
        <v>2100</v>
      </c>
      <c r="BB24" s="30"/>
      <c r="BC24" s="45">
        <v>15000</v>
      </c>
      <c r="BD24" s="45">
        <f t="shared" si="44"/>
        <v>3150</v>
      </c>
      <c r="BE24" s="30">
        <v>5000</v>
      </c>
      <c r="BF24" s="30">
        <f t="shared" si="45"/>
        <v>1050</v>
      </c>
      <c r="BG24" s="30"/>
      <c r="BH24" s="30">
        <v>30000</v>
      </c>
      <c r="BI24" s="30">
        <f t="shared" si="46"/>
        <v>6300</v>
      </c>
      <c r="BJ24" s="30">
        <v>5000</v>
      </c>
      <c r="BK24" s="30">
        <f t="shared" si="47"/>
        <v>1050</v>
      </c>
      <c r="BL24" s="30"/>
      <c r="BM24" s="30">
        <v>15000</v>
      </c>
      <c r="BN24" s="30">
        <f t="shared" si="48"/>
        <v>3150</v>
      </c>
      <c r="BO24" s="30">
        <v>5000</v>
      </c>
      <c r="BP24" s="30">
        <f t="shared" si="49"/>
        <v>1050</v>
      </c>
      <c r="BQ24" s="30"/>
      <c r="BR24" s="30">
        <v>15000</v>
      </c>
      <c r="BS24" s="30">
        <f t="shared" si="50"/>
        <v>3150</v>
      </c>
      <c r="BT24" s="30"/>
      <c r="BU24" s="30">
        <f t="shared" si="51"/>
        <v>0</v>
      </c>
      <c r="BV24" s="30"/>
      <c r="BW24" s="30">
        <v>15000</v>
      </c>
      <c r="BX24" s="30">
        <f t="shared" si="52"/>
        <v>3150</v>
      </c>
      <c r="BY24" s="30"/>
      <c r="BZ24" s="30">
        <f t="shared" si="53"/>
        <v>0</v>
      </c>
      <c r="CA24" s="30"/>
      <c r="CB24" s="30">
        <v>15000</v>
      </c>
      <c r="CC24" s="30">
        <f t="shared" si="54"/>
        <v>3150</v>
      </c>
      <c r="CD24" s="30"/>
      <c r="CE24" s="30">
        <f t="shared" si="55"/>
        <v>0</v>
      </c>
      <c r="CF24" s="30"/>
      <c r="CG24" s="2"/>
    </row>
    <row r="25" spans="1:85" x14ac:dyDescent="0.4">
      <c r="A25" s="2" t="s">
        <v>110</v>
      </c>
      <c r="B25" s="2" t="s">
        <v>262</v>
      </c>
      <c r="C25" s="2" t="s">
        <v>263</v>
      </c>
      <c r="D25" s="2" t="s">
        <v>272</v>
      </c>
      <c r="E25" s="165" t="s">
        <v>273</v>
      </c>
      <c r="F25" s="2"/>
      <c r="G25" s="2"/>
      <c r="H25" s="2"/>
      <c r="I25" s="2"/>
      <c r="J25" s="2"/>
      <c r="K25" s="2" t="s">
        <v>267</v>
      </c>
      <c r="L25" s="13" t="s">
        <v>274</v>
      </c>
      <c r="M25" s="2" t="s">
        <v>232</v>
      </c>
      <c r="N25" s="2" t="s">
        <v>232</v>
      </c>
      <c r="O25" s="2" t="s">
        <v>153</v>
      </c>
      <c r="P25" s="1" t="s">
        <v>148</v>
      </c>
      <c r="Q25" s="2" t="s">
        <v>313</v>
      </c>
      <c r="R25" s="2" t="s">
        <v>83</v>
      </c>
      <c r="S25" s="11">
        <v>4.1000000000000002E-2</v>
      </c>
      <c r="T25" s="12">
        <v>189000</v>
      </c>
      <c r="U25" s="30">
        <f t="shared" si="29"/>
        <v>360</v>
      </c>
      <c r="V25" s="30">
        <f t="shared" si="30"/>
        <v>14.76</v>
      </c>
      <c r="W25" s="30">
        <f t="shared" si="31"/>
        <v>3690</v>
      </c>
      <c r="X25" s="30">
        <f t="shared" si="32"/>
        <v>0</v>
      </c>
      <c r="Y25" s="30">
        <v>30000</v>
      </c>
      <c r="Z25" s="30">
        <f t="shared" si="33"/>
        <v>1230</v>
      </c>
      <c r="AA25" s="30">
        <v>30000</v>
      </c>
      <c r="AB25" s="30">
        <f t="shared" si="34"/>
        <v>1230</v>
      </c>
      <c r="AC25" s="30">
        <v>21000</v>
      </c>
      <c r="AD25" s="30">
        <v>30000</v>
      </c>
      <c r="AE25" s="30">
        <f t="shared" si="35"/>
        <v>1230</v>
      </c>
      <c r="AF25" s="30">
        <v>30000</v>
      </c>
      <c r="AG25" s="30">
        <f t="shared" si="36"/>
        <v>1230</v>
      </c>
      <c r="AH25" s="30"/>
      <c r="AI25" s="30">
        <v>30000</v>
      </c>
      <c r="AJ25" s="30">
        <f t="shared" si="37"/>
        <v>1230</v>
      </c>
      <c r="AK25" s="30">
        <v>30000</v>
      </c>
      <c r="AL25" s="30">
        <f t="shared" si="38"/>
        <v>1230</v>
      </c>
      <c r="AM25" s="30">
        <v>87000</v>
      </c>
      <c r="AN25" s="30">
        <v>30000</v>
      </c>
      <c r="AO25" s="30">
        <f t="shared" si="39"/>
        <v>1230</v>
      </c>
      <c r="AP25" s="30">
        <v>30000</v>
      </c>
      <c r="AQ25" s="30">
        <f t="shared" si="40"/>
        <v>1230</v>
      </c>
      <c r="AR25" s="30"/>
      <c r="AS25" s="30">
        <v>30000</v>
      </c>
      <c r="AT25" s="30">
        <f t="shared" si="41"/>
        <v>1230</v>
      </c>
      <c r="AU25" s="30">
        <v>30000</v>
      </c>
      <c r="AV25" s="30">
        <f t="shared" si="42"/>
        <v>1230</v>
      </c>
      <c r="AW25" s="30"/>
      <c r="AX25" s="30">
        <v>30000</v>
      </c>
      <c r="AY25" s="30">
        <f t="shared" si="43"/>
        <v>1230</v>
      </c>
      <c r="AZ25" s="30">
        <v>30000</v>
      </c>
      <c r="BA25" s="30">
        <v>1230</v>
      </c>
      <c r="BB25" s="30"/>
      <c r="BC25" s="45">
        <v>30000</v>
      </c>
      <c r="BD25" s="45">
        <f t="shared" si="44"/>
        <v>1230</v>
      </c>
      <c r="BE25" s="30">
        <v>30000</v>
      </c>
      <c r="BF25" s="30">
        <f t="shared" si="45"/>
        <v>1230</v>
      </c>
      <c r="BG25" s="30"/>
      <c r="BH25" s="30">
        <v>30000</v>
      </c>
      <c r="BI25" s="30">
        <f t="shared" si="46"/>
        <v>1230</v>
      </c>
      <c r="BJ25" s="30">
        <v>30000</v>
      </c>
      <c r="BK25" s="30">
        <f t="shared" si="47"/>
        <v>1230</v>
      </c>
      <c r="BL25" s="30"/>
      <c r="BM25" s="30">
        <v>30000</v>
      </c>
      <c r="BN25" s="30">
        <f t="shared" si="48"/>
        <v>1230</v>
      </c>
      <c r="BO25" s="30">
        <v>30000</v>
      </c>
      <c r="BP25" s="30">
        <f t="shared" si="49"/>
        <v>1230</v>
      </c>
      <c r="BQ25" s="30"/>
      <c r="BR25" s="30">
        <v>30000</v>
      </c>
      <c r="BS25" s="30">
        <f t="shared" si="50"/>
        <v>1230</v>
      </c>
      <c r="BT25" s="30"/>
      <c r="BU25" s="30">
        <f t="shared" si="51"/>
        <v>0</v>
      </c>
      <c r="BV25" s="30"/>
      <c r="BW25" s="30">
        <v>30000</v>
      </c>
      <c r="BX25" s="30">
        <f t="shared" si="52"/>
        <v>1230</v>
      </c>
      <c r="BY25" s="30"/>
      <c r="BZ25" s="30">
        <f t="shared" si="53"/>
        <v>0</v>
      </c>
      <c r="CA25" s="30"/>
      <c r="CB25" s="30">
        <v>30000</v>
      </c>
      <c r="CC25" s="30">
        <f t="shared" si="54"/>
        <v>1230</v>
      </c>
      <c r="CD25" s="30"/>
      <c r="CE25" s="30">
        <f t="shared" si="55"/>
        <v>0</v>
      </c>
      <c r="CF25" s="30"/>
      <c r="CG25" s="2"/>
    </row>
    <row r="26" spans="1:85" x14ac:dyDescent="0.4">
      <c r="A26" s="2" t="s">
        <v>110</v>
      </c>
      <c r="B26" s="2" t="s">
        <v>262</v>
      </c>
      <c r="C26" s="2" t="s">
        <v>263</v>
      </c>
      <c r="D26" s="2" t="s">
        <v>272</v>
      </c>
      <c r="E26" s="165" t="s">
        <v>273</v>
      </c>
      <c r="F26" s="2" t="s">
        <v>175</v>
      </c>
      <c r="G26" s="2"/>
      <c r="H26" s="2"/>
      <c r="I26" s="2"/>
      <c r="J26" s="2"/>
      <c r="K26" s="2" t="s">
        <v>267</v>
      </c>
      <c r="L26" s="13" t="s">
        <v>274</v>
      </c>
      <c r="M26" s="2" t="s">
        <v>99</v>
      </c>
      <c r="N26" s="2" t="s">
        <v>99</v>
      </c>
      <c r="O26" s="13" t="s">
        <v>100</v>
      </c>
      <c r="P26" s="2" t="s">
        <v>97</v>
      </c>
      <c r="Q26" s="2" t="s">
        <v>314</v>
      </c>
      <c r="R26" s="2" t="s">
        <v>83</v>
      </c>
      <c r="S26" s="11">
        <v>0.4</v>
      </c>
      <c r="T26" s="12"/>
      <c r="U26" s="30">
        <f t="shared" si="29"/>
        <v>40</v>
      </c>
      <c r="V26" s="30">
        <f t="shared" si="30"/>
        <v>16</v>
      </c>
      <c r="W26" s="30">
        <f t="shared" si="31"/>
        <v>0</v>
      </c>
      <c r="X26" s="30">
        <f t="shared" si="32"/>
        <v>0</v>
      </c>
      <c r="Y26" s="30"/>
      <c r="Z26" s="30">
        <f t="shared" si="33"/>
        <v>0</v>
      </c>
      <c r="AA26" s="30"/>
      <c r="AB26" s="30">
        <f t="shared" si="34"/>
        <v>0</v>
      </c>
      <c r="AC26" s="30"/>
      <c r="AD26" s="30"/>
      <c r="AE26" s="30">
        <f t="shared" si="35"/>
        <v>0</v>
      </c>
      <c r="AF26" s="30"/>
      <c r="AG26" s="30">
        <f t="shared" si="36"/>
        <v>0</v>
      </c>
      <c r="AH26" s="30"/>
      <c r="AI26" s="30"/>
      <c r="AJ26" s="30">
        <f t="shared" si="37"/>
        <v>0</v>
      </c>
      <c r="AK26" s="30"/>
      <c r="AL26" s="30">
        <f t="shared" si="38"/>
        <v>0</v>
      </c>
      <c r="AM26" s="30"/>
      <c r="AN26" s="30"/>
      <c r="AO26" s="30">
        <f t="shared" si="39"/>
        <v>0</v>
      </c>
      <c r="AP26" s="30"/>
      <c r="AQ26" s="30">
        <f t="shared" si="40"/>
        <v>0</v>
      </c>
      <c r="AR26" s="30"/>
      <c r="AS26" s="30"/>
      <c r="AT26" s="30">
        <f t="shared" si="41"/>
        <v>0</v>
      </c>
      <c r="AU26" s="30"/>
      <c r="AV26" s="30">
        <f t="shared" si="42"/>
        <v>0</v>
      </c>
      <c r="AW26" s="30"/>
      <c r="AX26" s="30"/>
      <c r="AY26" s="30">
        <f t="shared" si="43"/>
        <v>0</v>
      </c>
      <c r="AZ26" s="30"/>
      <c r="BA26" s="30">
        <v>0</v>
      </c>
      <c r="BB26" s="30"/>
      <c r="BC26" s="45">
        <v>40000</v>
      </c>
      <c r="BD26" s="45">
        <f t="shared" si="44"/>
        <v>16000</v>
      </c>
      <c r="BE26" s="30"/>
      <c r="BF26" s="30">
        <f t="shared" si="45"/>
        <v>0</v>
      </c>
      <c r="BG26" s="30"/>
      <c r="BH26" s="30"/>
      <c r="BI26" s="30">
        <f t="shared" si="46"/>
        <v>0</v>
      </c>
      <c r="BJ26" s="30"/>
      <c r="BK26" s="30">
        <f t="shared" si="47"/>
        <v>0</v>
      </c>
      <c r="BL26" s="30"/>
      <c r="BM26" s="30"/>
      <c r="BN26" s="30">
        <f t="shared" si="48"/>
        <v>0</v>
      </c>
      <c r="BO26" s="30"/>
      <c r="BP26" s="30">
        <f t="shared" si="49"/>
        <v>0</v>
      </c>
      <c r="BQ26" s="30"/>
      <c r="BR26" s="30"/>
      <c r="BS26" s="30">
        <f t="shared" si="50"/>
        <v>0</v>
      </c>
      <c r="BT26" s="30"/>
      <c r="BU26" s="30">
        <f t="shared" si="51"/>
        <v>0</v>
      </c>
      <c r="BV26" s="30"/>
      <c r="BW26" s="30"/>
      <c r="BX26" s="30">
        <f t="shared" si="52"/>
        <v>0</v>
      </c>
      <c r="BY26" s="30"/>
      <c r="BZ26" s="30">
        <f t="shared" si="53"/>
        <v>0</v>
      </c>
      <c r="CA26" s="30"/>
      <c r="CB26" s="30"/>
      <c r="CC26" s="30">
        <f t="shared" si="54"/>
        <v>0</v>
      </c>
      <c r="CD26" s="30"/>
      <c r="CE26" s="30">
        <f t="shared" si="55"/>
        <v>0</v>
      </c>
      <c r="CF26" s="30"/>
      <c r="CG26" s="2"/>
    </row>
    <row r="27" spans="1:85" x14ac:dyDescent="0.4">
      <c r="A27" s="2" t="s">
        <v>110</v>
      </c>
      <c r="B27" s="2" t="s">
        <v>262</v>
      </c>
      <c r="C27" s="2" t="s">
        <v>263</v>
      </c>
      <c r="D27" s="2" t="s">
        <v>315</v>
      </c>
      <c r="E27" s="165" t="s">
        <v>316</v>
      </c>
      <c r="F27" s="2"/>
      <c r="G27" s="2"/>
      <c r="H27" s="2"/>
      <c r="I27" s="2"/>
      <c r="J27" s="2"/>
      <c r="K27" s="2" t="s">
        <v>267</v>
      </c>
      <c r="L27" s="13" t="s">
        <v>291</v>
      </c>
      <c r="M27" s="2" t="s">
        <v>190</v>
      </c>
      <c r="N27" s="2" t="s">
        <v>190</v>
      </c>
      <c r="O27" s="2" t="s">
        <v>160</v>
      </c>
      <c r="P27" s="2" t="s">
        <v>603</v>
      </c>
      <c r="Q27" s="2" t="s">
        <v>228</v>
      </c>
      <c r="R27" s="2" t="s">
        <v>83</v>
      </c>
      <c r="S27" s="11">
        <v>38.18</v>
      </c>
      <c r="T27" s="12"/>
      <c r="U27" s="30">
        <f t="shared" si="29"/>
        <v>3</v>
      </c>
      <c r="V27" s="30">
        <f t="shared" si="30"/>
        <v>114.54</v>
      </c>
      <c r="W27" s="30">
        <f t="shared" si="31"/>
        <v>0</v>
      </c>
      <c r="X27" s="30">
        <f t="shared" si="32"/>
        <v>0</v>
      </c>
      <c r="Y27" s="30"/>
      <c r="Z27" s="30">
        <f t="shared" si="33"/>
        <v>0</v>
      </c>
      <c r="AA27" s="30"/>
      <c r="AB27" s="30">
        <f t="shared" si="34"/>
        <v>0</v>
      </c>
      <c r="AC27" s="30"/>
      <c r="AD27" s="30"/>
      <c r="AE27" s="30">
        <f t="shared" si="35"/>
        <v>0</v>
      </c>
      <c r="AF27" s="30"/>
      <c r="AG27" s="30">
        <f t="shared" si="36"/>
        <v>0</v>
      </c>
      <c r="AH27" s="30"/>
      <c r="AI27" s="30"/>
      <c r="AJ27" s="30">
        <f t="shared" si="37"/>
        <v>0</v>
      </c>
      <c r="AK27" s="30"/>
      <c r="AL27" s="30">
        <f t="shared" si="38"/>
        <v>0</v>
      </c>
      <c r="AM27" s="30"/>
      <c r="AN27" s="30"/>
      <c r="AO27" s="30">
        <f t="shared" si="39"/>
        <v>0</v>
      </c>
      <c r="AP27" s="30"/>
      <c r="AQ27" s="30">
        <f t="shared" si="40"/>
        <v>0</v>
      </c>
      <c r="AR27" s="30"/>
      <c r="AS27" s="30">
        <v>1000</v>
      </c>
      <c r="AT27" s="30">
        <f t="shared" si="41"/>
        <v>38180</v>
      </c>
      <c r="AU27" s="30"/>
      <c r="AV27" s="30">
        <f t="shared" si="42"/>
        <v>0</v>
      </c>
      <c r="AW27" s="30"/>
      <c r="AX27" s="30"/>
      <c r="AY27" s="30">
        <f t="shared" si="43"/>
        <v>0</v>
      </c>
      <c r="AZ27" s="30"/>
      <c r="BA27" s="30">
        <v>0</v>
      </c>
      <c r="BB27" s="30"/>
      <c r="BC27" s="45">
        <v>1000</v>
      </c>
      <c r="BD27" s="45">
        <f t="shared" si="44"/>
        <v>38180</v>
      </c>
      <c r="BE27" s="30"/>
      <c r="BF27" s="30">
        <f t="shared" si="45"/>
        <v>0</v>
      </c>
      <c r="BG27" s="30"/>
      <c r="BH27" s="30"/>
      <c r="BI27" s="30">
        <f t="shared" si="46"/>
        <v>0</v>
      </c>
      <c r="BJ27" s="30"/>
      <c r="BK27" s="30">
        <f t="shared" si="47"/>
        <v>0</v>
      </c>
      <c r="BL27" s="30"/>
      <c r="BM27" s="30"/>
      <c r="BN27" s="30">
        <f t="shared" si="48"/>
        <v>0</v>
      </c>
      <c r="BO27" s="30"/>
      <c r="BP27" s="30">
        <f t="shared" si="49"/>
        <v>0</v>
      </c>
      <c r="BQ27" s="30"/>
      <c r="BR27" s="30">
        <v>1000</v>
      </c>
      <c r="BS27" s="30">
        <f t="shared" si="50"/>
        <v>38180</v>
      </c>
      <c r="BT27" s="30"/>
      <c r="BU27" s="30">
        <f t="shared" si="51"/>
        <v>0</v>
      </c>
      <c r="BV27" s="30"/>
      <c r="BW27" s="30"/>
      <c r="BX27" s="30">
        <f t="shared" si="52"/>
        <v>0</v>
      </c>
      <c r="BY27" s="30"/>
      <c r="BZ27" s="30">
        <f t="shared" si="53"/>
        <v>0</v>
      </c>
      <c r="CA27" s="30"/>
      <c r="CB27" s="30"/>
      <c r="CC27" s="30">
        <f t="shared" si="54"/>
        <v>0</v>
      </c>
      <c r="CD27" s="30"/>
      <c r="CE27" s="30">
        <f t="shared" si="55"/>
        <v>0</v>
      </c>
      <c r="CF27" s="30"/>
      <c r="CG27" s="2"/>
    </row>
    <row r="28" spans="1:85" x14ac:dyDescent="0.4">
      <c r="A28" s="2" t="s">
        <v>110</v>
      </c>
      <c r="B28" s="2" t="s">
        <v>262</v>
      </c>
      <c r="C28" s="2" t="s">
        <v>263</v>
      </c>
      <c r="D28" s="2" t="s">
        <v>315</v>
      </c>
      <c r="E28" s="165" t="s">
        <v>316</v>
      </c>
      <c r="F28" s="2" t="s">
        <v>175</v>
      </c>
      <c r="G28" s="2" t="s">
        <v>299</v>
      </c>
      <c r="H28" s="2"/>
      <c r="I28" s="2" t="s">
        <v>175</v>
      </c>
      <c r="J28" s="2" t="s">
        <v>299</v>
      </c>
      <c r="K28" s="2" t="s">
        <v>267</v>
      </c>
      <c r="L28" s="13" t="s">
        <v>291</v>
      </c>
      <c r="M28" s="2" t="s">
        <v>190</v>
      </c>
      <c r="N28" s="2" t="s">
        <v>190</v>
      </c>
      <c r="O28" s="2" t="s">
        <v>160</v>
      </c>
      <c r="P28" s="2" t="s">
        <v>603</v>
      </c>
      <c r="Q28" s="2" t="s">
        <v>228</v>
      </c>
      <c r="R28" s="2" t="s">
        <v>80</v>
      </c>
      <c r="S28" s="11">
        <v>38.18</v>
      </c>
      <c r="T28" s="12"/>
      <c r="U28" s="30">
        <f t="shared" si="29"/>
        <v>0.1</v>
      </c>
      <c r="V28" s="30">
        <f t="shared" si="30"/>
        <v>3.8180000000000001</v>
      </c>
      <c r="W28" s="30">
        <f t="shared" si="31"/>
        <v>0</v>
      </c>
      <c r="X28" s="30">
        <f t="shared" si="32"/>
        <v>0</v>
      </c>
      <c r="Y28" s="30">
        <v>0</v>
      </c>
      <c r="Z28" s="30">
        <f t="shared" si="33"/>
        <v>0</v>
      </c>
      <c r="AA28" s="30"/>
      <c r="AB28" s="30">
        <f t="shared" si="34"/>
        <v>0</v>
      </c>
      <c r="AC28" s="30">
        <v>400</v>
      </c>
      <c r="AD28" s="30"/>
      <c r="AE28" s="30">
        <f t="shared" si="35"/>
        <v>0</v>
      </c>
      <c r="AF28" s="30"/>
      <c r="AG28" s="30">
        <f t="shared" si="36"/>
        <v>0</v>
      </c>
      <c r="AH28" s="30"/>
      <c r="AI28" s="30"/>
      <c r="AJ28" s="30">
        <f t="shared" si="37"/>
        <v>0</v>
      </c>
      <c r="AK28" s="30">
        <v>308</v>
      </c>
      <c r="AL28" s="30">
        <f t="shared" si="38"/>
        <v>11759.44</v>
      </c>
      <c r="AM28" s="30">
        <v>400</v>
      </c>
      <c r="AN28" s="30"/>
      <c r="AO28" s="30">
        <f t="shared" si="39"/>
        <v>0</v>
      </c>
      <c r="AP28" s="30"/>
      <c r="AQ28" s="30">
        <f t="shared" si="40"/>
        <v>0</v>
      </c>
      <c r="AR28" s="30"/>
      <c r="AS28" s="30">
        <v>100</v>
      </c>
      <c r="AT28" s="30">
        <f t="shared" si="41"/>
        <v>3818</v>
      </c>
      <c r="AU28" s="30"/>
      <c r="AV28" s="30">
        <f t="shared" si="42"/>
        <v>0</v>
      </c>
      <c r="AW28" s="30"/>
      <c r="AX28" s="30"/>
      <c r="AY28" s="30">
        <f t="shared" si="43"/>
        <v>0</v>
      </c>
      <c r="AZ28" s="30"/>
      <c r="BA28" s="30">
        <v>0</v>
      </c>
      <c r="BB28" s="30"/>
      <c r="BC28" s="45"/>
      <c r="BD28" s="45">
        <f t="shared" si="44"/>
        <v>0</v>
      </c>
      <c r="BE28" s="30"/>
      <c r="BF28" s="30">
        <f t="shared" si="45"/>
        <v>0</v>
      </c>
      <c r="BG28" s="30"/>
      <c r="BH28" s="30"/>
      <c r="BI28" s="30">
        <f t="shared" si="46"/>
        <v>0</v>
      </c>
      <c r="BJ28" s="30"/>
      <c r="BK28" s="30">
        <f t="shared" si="47"/>
        <v>0</v>
      </c>
      <c r="BL28" s="30"/>
      <c r="BM28" s="30"/>
      <c r="BN28" s="30">
        <f t="shared" si="48"/>
        <v>0</v>
      </c>
      <c r="BO28" s="30"/>
      <c r="BP28" s="30">
        <f t="shared" si="49"/>
        <v>0</v>
      </c>
      <c r="BQ28" s="30"/>
      <c r="BR28" s="30"/>
      <c r="BS28" s="30">
        <f t="shared" si="50"/>
        <v>0</v>
      </c>
      <c r="BT28" s="30"/>
      <c r="BU28" s="30">
        <f t="shared" si="51"/>
        <v>0</v>
      </c>
      <c r="BV28" s="30"/>
      <c r="BW28" s="30"/>
      <c r="BX28" s="30">
        <f t="shared" si="52"/>
        <v>0</v>
      </c>
      <c r="BY28" s="30"/>
      <c r="BZ28" s="30">
        <f t="shared" si="53"/>
        <v>0</v>
      </c>
      <c r="CA28" s="30"/>
      <c r="CB28" s="30"/>
      <c r="CC28" s="30">
        <f t="shared" si="54"/>
        <v>0</v>
      </c>
      <c r="CD28" s="30"/>
      <c r="CE28" s="30">
        <f t="shared" si="55"/>
        <v>0</v>
      </c>
      <c r="CF28" s="30"/>
      <c r="CG28" s="2"/>
    </row>
    <row r="29" spans="1:85" x14ac:dyDescent="0.4">
      <c r="A29" s="2" t="s">
        <v>110</v>
      </c>
      <c r="B29" s="2" t="s">
        <v>262</v>
      </c>
      <c r="C29" s="2" t="s">
        <v>263</v>
      </c>
      <c r="D29" s="2" t="s">
        <v>315</v>
      </c>
      <c r="E29" s="165" t="s">
        <v>316</v>
      </c>
      <c r="F29" s="2"/>
      <c r="G29" s="2"/>
      <c r="H29" s="2"/>
      <c r="I29" s="2"/>
      <c r="J29" s="2"/>
      <c r="K29" s="2" t="s">
        <v>267</v>
      </c>
      <c r="L29" s="13" t="s">
        <v>291</v>
      </c>
      <c r="M29" s="2" t="s">
        <v>155</v>
      </c>
      <c r="N29" s="2" t="s">
        <v>155</v>
      </c>
      <c r="O29" s="2" t="s">
        <v>317</v>
      </c>
      <c r="P29" s="2" t="s">
        <v>148</v>
      </c>
      <c r="Q29" s="2" t="s">
        <v>318</v>
      </c>
      <c r="R29" s="2" t="s">
        <v>83</v>
      </c>
      <c r="S29" s="11">
        <v>0.44</v>
      </c>
      <c r="T29" s="12"/>
      <c r="U29" s="30">
        <f t="shared" si="29"/>
        <v>7</v>
      </c>
      <c r="V29" s="30">
        <f t="shared" si="30"/>
        <v>3.08</v>
      </c>
      <c r="W29" s="30">
        <f t="shared" si="31"/>
        <v>0</v>
      </c>
      <c r="X29" s="30">
        <f t="shared" si="32"/>
        <v>0</v>
      </c>
      <c r="Y29" s="30"/>
      <c r="Z29" s="30">
        <f t="shared" si="33"/>
        <v>0</v>
      </c>
      <c r="AA29" s="30"/>
      <c r="AB29" s="30">
        <f t="shared" si="34"/>
        <v>0</v>
      </c>
      <c r="AC29" s="30"/>
      <c r="AD29" s="30"/>
      <c r="AE29" s="30">
        <f t="shared" si="35"/>
        <v>0</v>
      </c>
      <c r="AF29" s="30"/>
      <c r="AG29" s="30">
        <f t="shared" si="36"/>
        <v>0</v>
      </c>
      <c r="AH29" s="30"/>
      <c r="AI29" s="30">
        <v>1000</v>
      </c>
      <c r="AJ29" s="30">
        <f t="shared" si="37"/>
        <v>440</v>
      </c>
      <c r="AK29" s="30"/>
      <c r="AL29" s="30">
        <f t="shared" si="38"/>
        <v>0</v>
      </c>
      <c r="AM29" s="30"/>
      <c r="AN29" s="30">
        <v>1000</v>
      </c>
      <c r="AO29" s="30">
        <f t="shared" si="39"/>
        <v>440</v>
      </c>
      <c r="AP29" s="30"/>
      <c r="AQ29" s="30">
        <f t="shared" si="40"/>
        <v>0</v>
      </c>
      <c r="AR29" s="30"/>
      <c r="AS29" s="30">
        <v>1000</v>
      </c>
      <c r="AT29" s="30">
        <f t="shared" si="41"/>
        <v>440</v>
      </c>
      <c r="AU29" s="30"/>
      <c r="AV29" s="30">
        <f t="shared" si="42"/>
        <v>0</v>
      </c>
      <c r="AW29" s="30"/>
      <c r="AX29" s="30"/>
      <c r="AY29" s="30">
        <f t="shared" si="43"/>
        <v>0</v>
      </c>
      <c r="AZ29" s="30"/>
      <c r="BA29" s="30">
        <v>0</v>
      </c>
      <c r="BB29" s="30"/>
      <c r="BC29" s="45">
        <v>1000</v>
      </c>
      <c r="BD29" s="45">
        <f t="shared" si="44"/>
        <v>440</v>
      </c>
      <c r="BE29" s="30"/>
      <c r="BF29" s="30">
        <f t="shared" si="45"/>
        <v>0</v>
      </c>
      <c r="BG29" s="30"/>
      <c r="BH29" s="30">
        <v>1000</v>
      </c>
      <c r="BI29" s="30">
        <f t="shared" si="46"/>
        <v>440</v>
      </c>
      <c r="BJ29" s="30"/>
      <c r="BK29" s="30">
        <f t="shared" si="47"/>
        <v>0</v>
      </c>
      <c r="BL29" s="30"/>
      <c r="BM29" s="30"/>
      <c r="BN29" s="30">
        <f t="shared" si="48"/>
        <v>0</v>
      </c>
      <c r="BO29" s="30"/>
      <c r="BP29" s="30">
        <f t="shared" si="49"/>
        <v>0</v>
      </c>
      <c r="BQ29" s="30"/>
      <c r="BR29" s="30">
        <v>1000</v>
      </c>
      <c r="BS29" s="30">
        <f t="shared" si="50"/>
        <v>440</v>
      </c>
      <c r="BT29" s="30"/>
      <c r="BU29" s="30">
        <f t="shared" si="51"/>
        <v>0</v>
      </c>
      <c r="BV29" s="30"/>
      <c r="BW29" s="30"/>
      <c r="BX29" s="30">
        <f t="shared" si="52"/>
        <v>0</v>
      </c>
      <c r="BY29" s="30"/>
      <c r="BZ29" s="30">
        <f t="shared" si="53"/>
        <v>0</v>
      </c>
      <c r="CA29" s="30"/>
      <c r="CB29" s="30">
        <v>1000</v>
      </c>
      <c r="CC29" s="30">
        <f t="shared" si="54"/>
        <v>440</v>
      </c>
      <c r="CD29" s="30"/>
      <c r="CE29" s="30">
        <f t="shared" si="55"/>
        <v>0</v>
      </c>
      <c r="CF29" s="30"/>
      <c r="CG29" s="2"/>
    </row>
    <row r="30" spans="1:85" x14ac:dyDescent="0.4">
      <c r="A30" s="39" t="s">
        <v>110</v>
      </c>
      <c r="B30" s="39" t="s">
        <v>262</v>
      </c>
      <c r="C30" s="39" t="s">
        <v>263</v>
      </c>
      <c r="D30" s="39" t="s">
        <v>315</v>
      </c>
      <c r="E30" s="166" t="s">
        <v>316</v>
      </c>
      <c r="F30" s="39"/>
      <c r="G30" s="39"/>
      <c r="H30" s="39"/>
      <c r="I30" s="39"/>
      <c r="J30" s="39"/>
      <c r="K30" s="39" t="s">
        <v>267</v>
      </c>
      <c r="L30" s="39" t="s">
        <v>291</v>
      </c>
      <c r="M30" s="39" t="s">
        <v>617</v>
      </c>
      <c r="N30" s="39" t="s">
        <v>190</v>
      </c>
      <c r="O30" s="39" t="s">
        <v>160</v>
      </c>
      <c r="P30" s="39" t="s">
        <v>603</v>
      </c>
      <c r="Q30" s="39" t="s">
        <v>616</v>
      </c>
      <c r="R30" s="48"/>
      <c r="S30" s="143"/>
      <c r="T30" s="71"/>
      <c r="U30" s="49">
        <f t="shared" si="29"/>
        <v>0</v>
      </c>
      <c r="V30" s="49">
        <f t="shared" si="30"/>
        <v>0</v>
      </c>
      <c r="W30" s="49">
        <f t="shared" si="31"/>
        <v>0</v>
      </c>
      <c r="X30" s="49">
        <f t="shared" si="32"/>
        <v>1100</v>
      </c>
      <c r="Y30" s="50"/>
      <c r="Z30" s="50">
        <f t="shared" si="33"/>
        <v>0</v>
      </c>
      <c r="AA30" s="50"/>
      <c r="AB30" s="50">
        <f t="shared" si="34"/>
        <v>0</v>
      </c>
      <c r="AC30" s="50"/>
      <c r="AD30" s="50"/>
      <c r="AE30" s="50">
        <f t="shared" si="35"/>
        <v>0</v>
      </c>
      <c r="AF30" s="50"/>
      <c r="AG30" s="50">
        <f t="shared" si="36"/>
        <v>0</v>
      </c>
      <c r="AH30" s="50"/>
      <c r="AI30" s="50"/>
      <c r="AJ30" s="50">
        <f t="shared" si="37"/>
        <v>0</v>
      </c>
      <c r="AK30" s="50"/>
      <c r="AL30" s="50">
        <f t="shared" si="38"/>
        <v>0</v>
      </c>
      <c r="AM30" s="50"/>
      <c r="AN30" s="50"/>
      <c r="AO30" s="50">
        <f t="shared" si="39"/>
        <v>0</v>
      </c>
      <c r="AP30" s="50"/>
      <c r="AQ30" s="50">
        <f t="shared" si="40"/>
        <v>0</v>
      </c>
      <c r="AR30" s="50"/>
      <c r="AS30" s="50"/>
      <c r="AT30" s="50">
        <f t="shared" si="41"/>
        <v>0</v>
      </c>
      <c r="AU30" s="50"/>
      <c r="AV30" s="50">
        <f t="shared" si="42"/>
        <v>0</v>
      </c>
      <c r="AW30" s="50"/>
      <c r="AX30" s="50"/>
      <c r="AY30" s="50">
        <f t="shared" si="43"/>
        <v>0</v>
      </c>
      <c r="AZ30" s="50"/>
      <c r="BA30" s="50">
        <v>0</v>
      </c>
      <c r="BB30" s="50"/>
      <c r="BC30" s="51"/>
      <c r="BD30" s="51">
        <f t="shared" si="44"/>
        <v>0</v>
      </c>
      <c r="BE30" s="50"/>
      <c r="BF30" s="50">
        <f t="shared" si="45"/>
        <v>0</v>
      </c>
      <c r="BG30" s="50"/>
      <c r="BH30" s="50"/>
      <c r="BI30" s="50">
        <f t="shared" si="46"/>
        <v>0</v>
      </c>
      <c r="BJ30" s="50"/>
      <c r="BK30" s="50">
        <f t="shared" si="47"/>
        <v>0</v>
      </c>
      <c r="BL30" s="144">
        <v>1100</v>
      </c>
      <c r="BM30" s="50"/>
      <c r="BN30" s="50">
        <f t="shared" si="48"/>
        <v>0</v>
      </c>
      <c r="BO30" s="50"/>
      <c r="BP30" s="50">
        <f t="shared" si="49"/>
        <v>0</v>
      </c>
      <c r="BQ30" s="50"/>
      <c r="BR30" s="50"/>
      <c r="BS30" s="50">
        <f t="shared" si="50"/>
        <v>0</v>
      </c>
      <c r="BT30" s="50"/>
      <c r="BU30" s="50">
        <f t="shared" si="51"/>
        <v>0</v>
      </c>
      <c r="BV30" s="50"/>
      <c r="BW30" s="50"/>
      <c r="BX30" s="50">
        <f t="shared" si="52"/>
        <v>0</v>
      </c>
      <c r="BY30" s="50"/>
      <c r="BZ30" s="50">
        <f t="shared" si="53"/>
        <v>0</v>
      </c>
      <c r="CA30" s="50"/>
      <c r="CB30" s="50"/>
      <c r="CC30" s="50">
        <f t="shared" si="54"/>
        <v>0</v>
      </c>
      <c r="CD30" s="50"/>
      <c r="CE30" s="50">
        <f t="shared" si="55"/>
        <v>0</v>
      </c>
      <c r="CF30" s="50"/>
      <c r="CG30" s="48"/>
    </row>
    <row r="31" spans="1:85" x14ac:dyDescent="0.4">
      <c r="A31" s="2" t="s">
        <v>110</v>
      </c>
      <c r="B31" s="2" t="s">
        <v>262</v>
      </c>
      <c r="C31" s="2" t="s">
        <v>263</v>
      </c>
      <c r="D31" s="2" t="s">
        <v>319</v>
      </c>
      <c r="E31" s="165" t="s">
        <v>320</v>
      </c>
      <c r="F31" s="2"/>
      <c r="G31" s="2"/>
      <c r="H31" s="2"/>
      <c r="I31" s="2"/>
      <c r="J31" s="2"/>
      <c r="K31" s="2" t="s">
        <v>267</v>
      </c>
      <c r="L31" s="13" t="s">
        <v>283</v>
      </c>
      <c r="M31" s="2" t="s">
        <v>94</v>
      </c>
      <c r="N31" s="2" t="s">
        <v>94</v>
      </c>
      <c r="O31" s="2" t="s">
        <v>78</v>
      </c>
      <c r="P31" s="2" t="s">
        <v>85</v>
      </c>
      <c r="Q31" s="2" t="s">
        <v>170</v>
      </c>
      <c r="R31" s="2" t="s">
        <v>83</v>
      </c>
      <c r="S31" s="11">
        <v>0.22950000000000001</v>
      </c>
      <c r="T31" s="76"/>
      <c r="U31" s="30">
        <f t="shared" ref="U31:U41" si="56">+(Y31+AD31+AI31+AN31+AS31+AX31+BC31+BH31+BM31+BR31+BW31+CB31)/1000</f>
        <v>10</v>
      </c>
      <c r="V31" s="30">
        <f t="shared" ref="V31:V41" si="57">+(Z31+AE31+AJ31+AO31+AT31+AY31+BD31+BI31+BN31+BS31+BX31+CC31)/1000</f>
        <v>2.2949999999999999</v>
      </c>
      <c r="W31" s="30">
        <f t="shared" ref="W31:W41" si="58">+(+BF31+BK31+BP31+BU31+BZ31+CE31)</f>
        <v>2295</v>
      </c>
      <c r="X31" s="30">
        <f t="shared" ref="X31:X41" si="59">+(+BG31+BL31+BQ31+BV31+CA31+CF31)</f>
        <v>0</v>
      </c>
      <c r="Y31" s="30"/>
      <c r="Z31" s="30">
        <f t="shared" ref="Z31:Z41" si="60">Y31*S31</f>
        <v>0</v>
      </c>
      <c r="AA31" s="30"/>
      <c r="AB31" s="30">
        <f t="shared" ref="AB31:AB41" si="61">AA31*S31</f>
        <v>0</v>
      </c>
      <c r="AC31" s="30"/>
      <c r="AD31" s="30"/>
      <c r="AE31" s="30">
        <f t="shared" ref="AE31:AE41" si="62">AD31*S31</f>
        <v>0</v>
      </c>
      <c r="AF31" s="30"/>
      <c r="AG31" s="30">
        <f t="shared" ref="AG31:AG41" si="63">AF31*S31</f>
        <v>0</v>
      </c>
      <c r="AH31" s="30"/>
      <c r="AI31" s="30">
        <v>5000</v>
      </c>
      <c r="AJ31" s="30">
        <f t="shared" ref="AJ31:AJ41" si="64">AI31*S31</f>
        <v>1147.5</v>
      </c>
      <c r="AK31" s="30">
        <v>5000</v>
      </c>
      <c r="AL31" s="30">
        <f t="shared" ref="AL31:AL41" si="65">AK31*S31</f>
        <v>1147.5</v>
      </c>
      <c r="AM31" s="30"/>
      <c r="AN31" s="30"/>
      <c r="AO31" s="30">
        <f t="shared" ref="AO31:AO41" si="66">AN31*S31</f>
        <v>0</v>
      </c>
      <c r="AP31" s="30">
        <v>10000</v>
      </c>
      <c r="AQ31" s="30">
        <f t="shared" ref="AQ31:AQ41" si="67">AP31*S31</f>
        <v>2295</v>
      </c>
      <c r="AR31" s="30"/>
      <c r="AS31" s="30"/>
      <c r="AT31" s="30">
        <f t="shared" ref="AT31:AT41" si="68">AS31*S31</f>
        <v>0</v>
      </c>
      <c r="AU31" s="30">
        <v>5000</v>
      </c>
      <c r="AV31" s="30">
        <f t="shared" ref="AV31:AV41" si="69">AU31*S31</f>
        <v>1147.5</v>
      </c>
      <c r="AW31" s="33">
        <v>7500</v>
      </c>
      <c r="AX31" s="30"/>
      <c r="AY31" s="30">
        <f t="shared" ref="AY31:AY41" si="70">AX31*S31</f>
        <v>0</v>
      </c>
      <c r="AZ31" s="30">
        <v>5000</v>
      </c>
      <c r="BA31" s="30">
        <v>1147.5</v>
      </c>
      <c r="BB31" s="36">
        <v>2500</v>
      </c>
      <c r="BC31" s="45"/>
      <c r="BD31" s="45">
        <f t="shared" ref="BD31:BD41" si="71">BC31*S31</f>
        <v>0</v>
      </c>
      <c r="BE31" s="30">
        <v>5000</v>
      </c>
      <c r="BF31" s="30">
        <f t="shared" ref="BF31:BF41" si="72">BE31*S31</f>
        <v>1147.5</v>
      </c>
      <c r="BG31" s="30"/>
      <c r="BH31" s="30">
        <v>5000</v>
      </c>
      <c r="BI31" s="30">
        <f t="shared" ref="BI31:BI41" si="73">BH31*S31</f>
        <v>1147.5</v>
      </c>
      <c r="BJ31" s="30">
        <v>5000</v>
      </c>
      <c r="BK31" s="30">
        <f t="shared" ref="BK31:BK41" si="74">BJ31*S31</f>
        <v>1147.5</v>
      </c>
      <c r="BL31" s="30"/>
      <c r="BM31" s="30"/>
      <c r="BN31" s="30">
        <f t="shared" ref="BN31:BN41" si="75">BM31*S31</f>
        <v>0</v>
      </c>
      <c r="BO31" s="30"/>
      <c r="BP31" s="30">
        <f t="shared" ref="BP31:BP41" si="76">BO31*S31</f>
        <v>0</v>
      </c>
      <c r="BQ31" s="30"/>
      <c r="BR31" s="30"/>
      <c r="BS31" s="30">
        <f t="shared" ref="BS31:BS41" si="77">BR31*S31</f>
        <v>0</v>
      </c>
      <c r="BT31" s="30"/>
      <c r="BU31" s="30">
        <f t="shared" ref="BU31:BU41" si="78">BT31*S31</f>
        <v>0</v>
      </c>
      <c r="BV31" s="30"/>
      <c r="BW31" s="30"/>
      <c r="BX31" s="30">
        <f t="shared" ref="BX31:BX41" si="79">BW31*S31</f>
        <v>0</v>
      </c>
      <c r="BY31" s="30"/>
      <c r="BZ31" s="30">
        <f t="shared" ref="BZ31:BZ41" si="80">BY31*S31</f>
        <v>0</v>
      </c>
      <c r="CA31" s="30"/>
      <c r="CB31" s="30"/>
      <c r="CC31" s="30">
        <f t="shared" ref="CC31:CC41" si="81">CB31*S31</f>
        <v>0</v>
      </c>
      <c r="CD31" s="30"/>
      <c r="CE31" s="30">
        <f t="shared" ref="CE31:CE41" si="82">CD31*S31</f>
        <v>0</v>
      </c>
      <c r="CF31" s="30"/>
      <c r="CG31" s="2"/>
    </row>
    <row r="32" spans="1:85" x14ac:dyDescent="0.4">
      <c r="A32" s="2" t="s">
        <v>110</v>
      </c>
      <c r="B32" s="2" t="s">
        <v>262</v>
      </c>
      <c r="C32" s="2" t="s">
        <v>263</v>
      </c>
      <c r="D32" s="2" t="s">
        <v>319</v>
      </c>
      <c r="E32" s="165" t="s">
        <v>320</v>
      </c>
      <c r="F32" s="2"/>
      <c r="G32" s="2"/>
      <c r="H32" s="2"/>
      <c r="I32" s="2"/>
      <c r="J32" s="2"/>
      <c r="K32" s="2" t="s">
        <v>267</v>
      </c>
      <c r="L32" s="13" t="s">
        <v>283</v>
      </c>
      <c r="M32" s="2" t="s">
        <v>94</v>
      </c>
      <c r="N32" s="2" t="s">
        <v>94</v>
      </c>
      <c r="O32" s="2" t="s">
        <v>78</v>
      </c>
      <c r="P32" s="2" t="s">
        <v>85</v>
      </c>
      <c r="Q32" s="2" t="s">
        <v>325</v>
      </c>
      <c r="R32" s="2" t="s">
        <v>83</v>
      </c>
      <c r="S32" s="11">
        <v>4.3700000000000003E-2</v>
      </c>
      <c r="T32" s="12">
        <v>3000</v>
      </c>
      <c r="U32" s="30">
        <f t="shared" si="56"/>
        <v>25</v>
      </c>
      <c r="V32" s="30">
        <f t="shared" si="57"/>
        <v>1.0925</v>
      </c>
      <c r="W32" s="30">
        <f t="shared" si="58"/>
        <v>437</v>
      </c>
      <c r="X32" s="30">
        <f t="shared" si="59"/>
        <v>0</v>
      </c>
      <c r="Y32" s="30"/>
      <c r="Z32" s="30">
        <f t="shared" si="60"/>
        <v>0</v>
      </c>
      <c r="AA32" s="30"/>
      <c r="AB32" s="30">
        <f t="shared" si="61"/>
        <v>0</v>
      </c>
      <c r="AC32" s="30"/>
      <c r="AD32" s="30"/>
      <c r="AE32" s="30">
        <f t="shared" si="62"/>
        <v>0</v>
      </c>
      <c r="AF32" s="30"/>
      <c r="AG32" s="30">
        <f t="shared" si="63"/>
        <v>0</v>
      </c>
      <c r="AH32" s="30"/>
      <c r="AI32" s="30">
        <v>5000</v>
      </c>
      <c r="AJ32" s="30">
        <f t="shared" si="64"/>
        <v>218.5</v>
      </c>
      <c r="AK32" s="30">
        <v>5000</v>
      </c>
      <c r="AL32" s="30">
        <f t="shared" si="65"/>
        <v>218.5</v>
      </c>
      <c r="AM32" s="30"/>
      <c r="AN32" s="30"/>
      <c r="AO32" s="30">
        <f t="shared" si="66"/>
        <v>0</v>
      </c>
      <c r="AP32" s="30"/>
      <c r="AQ32" s="30">
        <f t="shared" si="67"/>
        <v>0</v>
      </c>
      <c r="AR32" s="30"/>
      <c r="AS32" s="30"/>
      <c r="AT32" s="30">
        <f t="shared" si="68"/>
        <v>0</v>
      </c>
      <c r="AU32" s="30">
        <v>5000</v>
      </c>
      <c r="AV32" s="30">
        <f t="shared" si="69"/>
        <v>218.5</v>
      </c>
      <c r="AW32" s="30"/>
      <c r="AX32" s="30">
        <v>5000</v>
      </c>
      <c r="AY32" s="30">
        <f t="shared" si="70"/>
        <v>218.5</v>
      </c>
      <c r="AZ32" s="30">
        <v>5000</v>
      </c>
      <c r="BA32" s="30">
        <v>218.5</v>
      </c>
      <c r="BB32" s="30"/>
      <c r="BC32" s="45"/>
      <c r="BD32" s="45">
        <f t="shared" si="71"/>
        <v>0</v>
      </c>
      <c r="BE32" s="30">
        <v>5000</v>
      </c>
      <c r="BF32" s="30">
        <f t="shared" si="72"/>
        <v>218.5</v>
      </c>
      <c r="BG32" s="30"/>
      <c r="BH32" s="30"/>
      <c r="BI32" s="30">
        <f t="shared" si="73"/>
        <v>0</v>
      </c>
      <c r="BJ32" s="30">
        <v>5000</v>
      </c>
      <c r="BK32" s="30">
        <f t="shared" si="74"/>
        <v>218.5</v>
      </c>
      <c r="BL32" s="30"/>
      <c r="BM32" s="30">
        <v>5000</v>
      </c>
      <c r="BN32" s="30">
        <f t="shared" si="75"/>
        <v>218.5</v>
      </c>
      <c r="BO32" s="30"/>
      <c r="BP32" s="30">
        <f t="shared" si="76"/>
        <v>0</v>
      </c>
      <c r="BQ32" s="30"/>
      <c r="BR32" s="30"/>
      <c r="BS32" s="30">
        <f t="shared" si="77"/>
        <v>0</v>
      </c>
      <c r="BT32" s="30"/>
      <c r="BU32" s="30">
        <f t="shared" si="78"/>
        <v>0</v>
      </c>
      <c r="BV32" s="30"/>
      <c r="BW32" s="30">
        <v>5000</v>
      </c>
      <c r="BX32" s="30">
        <f t="shared" si="79"/>
        <v>218.5</v>
      </c>
      <c r="BY32" s="30"/>
      <c r="BZ32" s="30">
        <f t="shared" si="80"/>
        <v>0</v>
      </c>
      <c r="CA32" s="30"/>
      <c r="CB32" s="30">
        <v>5000</v>
      </c>
      <c r="CC32" s="30">
        <f t="shared" si="81"/>
        <v>218.5</v>
      </c>
      <c r="CD32" s="30"/>
      <c r="CE32" s="30">
        <f t="shared" si="82"/>
        <v>0</v>
      </c>
      <c r="CF32" s="30"/>
      <c r="CG32" s="2"/>
    </row>
    <row r="33" spans="1:85" x14ac:dyDescent="0.4">
      <c r="A33" s="2" t="s">
        <v>110</v>
      </c>
      <c r="B33" s="2" t="s">
        <v>262</v>
      </c>
      <c r="C33" s="2" t="s">
        <v>263</v>
      </c>
      <c r="D33" s="2" t="s">
        <v>319</v>
      </c>
      <c r="E33" s="165" t="s">
        <v>320</v>
      </c>
      <c r="F33" s="2"/>
      <c r="G33" s="2"/>
      <c r="H33" s="2"/>
      <c r="I33" s="2"/>
      <c r="J33" s="2"/>
      <c r="K33" s="2" t="s">
        <v>267</v>
      </c>
      <c r="L33" s="13" t="s">
        <v>283</v>
      </c>
      <c r="M33" s="2" t="s">
        <v>94</v>
      </c>
      <c r="N33" s="2" t="s">
        <v>94</v>
      </c>
      <c r="O33" s="2" t="s">
        <v>78</v>
      </c>
      <c r="P33" s="2" t="s">
        <v>85</v>
      </c>
      <c r="Q33" s="2" t="s">
        <v>321</v>
      </c>
      <c r="R33" s="2" t="s">
        <v>83</v>
      </c>
      <c r="S33" s="11">
        <v>0.06</v>
      </c>
      <c r="T33" s="12"/>
      <c r="U33" s="30">
        <f t="shared" si="56"/>
        <v>15</v>
      </c>
      <c r="V33" s="30">
        <f t="shared" si="57"/>
        <v>0.9</v>
      </c>
      <c r="W33" s="30">
        <f t="shared" si="58"/>
        <v>0</v>
      </c>
      <c r="X33" s="30">
        <f t="shared" si="59"/>
        <v>0</v>
      </c>
      <c r="Y33" s="30"/>
      <c r="Z33" s="30">
        <f t="shared" si="60"/>
        <v>0</v>
      </c>
      <c r="AA33" s="30"/>
      <c r="AB33" s="30">
        <f t="shared" si="61"/>
        <v>0</v>
      </c>
      <c r="AC33" s="30"/>
      <c r="AD33" s="30"/>
      <c r="AE33" s="30">
        <f t="shared" si="62"/>
        <v>0</v>
      </c>
      <c r="AF33" s="30"/>
      <c r="AG33" s="30">
        <f t="shared" si="63"/>
        <v>0</v>
      </c>
      <c r="AH33" s="30"/>
      <c r="AI33" s="30"/>
      <c r="AJ33" s="30">
        <f t="shared" si="64"/>
        <v>0</v>
      </c>
      <c r="AK33" s="30"/>
      <c r="AL33" s="30">
        <f t="shared" si="65"/>
        <v>0</v>
      </c>
      <c r="AM33" s="30"/>
      <c r="AN33" s="30"/>
      <c r="AO33" s="30">
        <f t="shared" si="66"/>
        <v>0</v>
      </c>
      <c r="AP33" s="30"/>
      <c r="AQ33" s="30">
        <f t="shared" si="67"/>
        <v>0</v>
      </c>
      <c r="AR33" s="30"/>
      <c r="AS33" s="30"/>
      <c r="AT33" s="30">
        <f t="shared" si="68"/>
        <v>0</v>
      </c>
      <c r="AU33" s="30"/>
      <c r="AV33" s="30">
        <f t="shared" si="69"/>
        <v>0</v>
      </c>
      <c r="AW33" s="30"/>
      <c r="AX33" s="30"/>
      <c r="AY33" s="30">
        <f t="shared" si="70"/>
        <v>0</v>
      </c>
      <c r="AZ33" s="30"/>
      <c r="BA33" s="30">
        <v>0</v>
      </c>
      <c r="BB33" s="30"/>
      <c r="BC33" s="45"/>
      <c r="BD33" s="45">
        <f t="shared" si="71"/>
        <v>0</v>
      </c>
      <c r="BE33" s="30"/>
      <c r="BF33" s="30">
        <f t="shared" si="72"/>
        <v>0</v>
      </c>
      <c r="BG33" s="30"/>
      <c r="BH33" s="30">
        <v>5000</v>
      </c>
      <c r="BI33" s="30">
        <f t="shared" si="73"/>
        <v>300</v>
      </c>
      <c r="BJ33" s="30"/>
      <c r="BK33" s="30">
        <f t="shared" si="74"/>
        <v>0</v>
      </c>
      <c r="BL33" s="30"/>
      <c r="BM33" s="30"/>
      <c r="BN33" s="30">
        <f t="shared" si="75"/>
        <v>0</v>
      </c>
      <c r="BO33" s="30"/>
      <c r="BP33" s="30">
        <f t="shared" si="76"/>
        <v>0</v>
      </c>
      <c r="BQ33" s="30"/>
      <c r="BR33" s="30">
        <v>5000</v>
      </c>
      <c r="BS33" s="30">
        <f t="shared" si="77"/>
        <v>300</v>
      </c>
      <c r="BT33" s="30"/>
      <c r="BU33" s="30">
        <f t="shared" si="78"/>
        <v>0</v>
      </c>
      <c r="BV33" s="30"/>
      <c r="BW33" s="30"/>
      <c r="BX33" s="30">
        <f t="shared" si="79"/>
        <v>0</v>
      </c>
      <c r="BY33" s="30"/>
      <c r="BZ33" s="30">
        <f t="shared" si="80"/>
        <v>0</v>
      </c>
      <c r="CA33" s="30"/>
      <c r="CB33" s="30">
        <v>5000</v>
      </c>
      <c r="CC33" s="30">
        <f t="shared" si="81"/>
        <v>300</v>
      </c>
      <c r="CD33" s="30"/>
      <c r="CE33" s="30">
        <f t="shared" si="82"/>
        <v>0</v>
      </c>
      <c r="CF33" s="30"/>
      <c r="CG33" s="2"/>
    </row>
    <row r="34" spans="1:85" x14ac:dyDescent="0.4">
      <c r="A34" s="2" t="s">
        <v>110</v>
      </c>
      <c r="B34" s="2" t="s">
        <v>262</v>
      </c>
      <c r="C34" s="2" t="s">
        <v>263</v>
      </c>
      <c r="D34" s="2" t="s">
        <v>319</v>
      </c>
      <c r="E34" s="165" t="s">
        <v>320</v>
      </c>
      <c r="F34" s="2"/>
      <c r="G34" s="2"/>
      <c r="H34" s="2"/>
      <c r="I34" s="2"/>
      <c r="J34" s="2"/>
      <c r="K34" s="2" t="s">
        <v>267</v>
      </c>
      <c r="L34" s="13" t="s">
        <v>283</v>
      </c>
      <c r="M34" s="2" t="s">
        <v>322</v>
      </c>
      <c r="N34" s="2" t="s">
        <v>322</v>
      </c>
      <c r="O34" s="2" t="s">
        <v>90</v>
      </c>
      <c r="P34" s="2" t="s">
        <v>125</v>
      </c>
      <c r="Q34" s="2" t="s">
        <v>323</v>
      </c>
      <c r="R34" s="2" t="s">
        <v>83</v>
      </c>
      <c r="S34" s="11">
        <v>7.61</v>
      </c>
      <c r="T34" s="12"/>
      <c r="U34" s="30">
        <f t="shared" si="56"/>
        <v>4</v>
      </c>
      <c r="V34" s="30">
        <f t="shared" si="57"/>
        <v>30.44</v>
      </c>
      <c r="W34" s="30">
        <f t="shared" si="58"/>
        <v>0</v>
      </c>
      <c r="X34" s="30">
        <f t="shared" si="59"/>
        <v>0</v>
      </c>
      <c r="Y34" s="30">
        <v>1000</v>
      </c>
      <c r="Z34" s="30">
        <f t="shared" si="60"/>
        <v>7610</v>
      </c>
      <c r="AA34" s="30"/>
      <c r="AB34" s="30">
        <f t="shared" si="61"/>
        <v>0</v>
      </c>
      <c r="AC34" s="30"/>
      <c r="AD34" s="30"/>
      <c r="AE34" s="30">
        <f t="shared" si="62"/>
        <v>0</v>
      </c>
      <c r="AF34" s="30"/>
      <c r="AG34" s="30">
        <f t="shared" si="63"/>
        <v>0</v>
      </c>
      <c r="AH34" s="30"/>
      <c r="AI34" s="30"/>
      <c r="AJ34" s="30">
        <f t="shared" si="64"/>
        <v>0</v>
      </c>
      <c r="AK34" s="30"/>
      <c r="AL34" s="30">
        <f t="shared" si="65"/>
        <v>0</v>
      </c>
      <c r="AM34" s="30"/>
      <c r="AN34" s="30"/>
      <c r="AO34" s="30">
        <f t="shared" si="66"/>
        <v>0</v>
      </c>
      <c r="AP34" s="30"/>
      <c r="AQ34" s="30">
        <f t="shared" si="67"/>
        <v>0</v>
      </c>
      <c r="AR34" s="30"/>
      <c r="AS34" s="30"/>
      <c r="AT34" s="30">
        <f t="shared" si="68"/>
        <v>0</v>
      </c>
      <c r="AU34" s="30"/>
      <c r="AV34" s="30">
        <f t="shared" si="69"/>
        <v>0</v>
      </c>
      <c r="AW34" s="30"/>
      <c r="AX34" s="30">
        <v>1000</v>
      </c>
      <c r="AY34" s="30">
        <f t="shared" si="70"/>
        <v>7610</v>
      </c>
      <c r="AZ34" s="30"/>
      <c r="BA34" s="30">
        <v>0</v>
      </c>
      <c r="BB34" s="30"/>
      <c r="BC34" s="45"/>
      <c r="BD34" s="45">
        <f t="shared" si="71"/>
        <v>0</v>
      </c>
      <c r="BE34" s="30"/>
      <c r="BF34" s="30">
        <f t="shared" si="72"/>
        <v>0</v>
      </c>
      <c r="BG34" s="30"/>
      <c r="BH34" s="30"/>
      <c r="BI34" s="30">
        <f t="shared" si="73"/>
        <v>0</v>
      </c>
      <c r="BJ34" s="30"/>
      <c r="BK34" s="30">
        <f t="shared" si="74"/>
        <v>0</v>
      </c>
      <c r="BL34" s="30"/>
      <c r="BM34" s="30"/>
      <c r="BN34" s="30">
        <f t="shared" si="75"/>
        <v>0</v>
      </c>
      <c r="BO34" s="30"/>
      <c r="BP34" s="30">
        <f t="shared" si="76"/>
        <v>0</v>
      </c>
      <c r="BQ34" s="30"/>
      <c r="BR34" s="30">
        <v>1000</v>
      </c>
      <c r="BS34" s="30">
        <f t="shared" si="77"/>
        <v>7610</v>
      </c>
      <c r="BT34" s="30"/>
      <c r="BU34" s="30">
        <f t="shared" si="78"/>
        <v>0</v>
      </c>
      <c r="BV34" s="30"/>
      <c r="BW34" s="30"/>
      <c r="BX34" s="30">
        <f t="shared" si="79"/>
        <v>0</v>
      </c>
      <c r="BY34" s="30"/>
      <c r="BZ34" s="30">
        <f t="shared" si="80"/>
        <v>0</v>
      </c>
      <c r="CA34" s="30"/>
      <c r="CB34" s="30">
        <v>1000</v>
      </c>
      <c r="CC34" s="30">
        <f t="shared" si="81"/>
        <v>7610</v>
      </c>
      <c r="CD34" s="30"/>
      <c r="CE34" s="30">
        <f t="shared" si="82"/>
        <v>0</v>
      </c>
      <c r="CF34" s="30"/>
      <c r="CG34" s="2"/>
    </row>
    <row r="35" spans="1:85" x14ac:dyDescent="0.4">
      <c r="A35" s="2" t="s">
        <v>110</v>
      </c>
      <c r="B35" s="2" t="s">
        <v>262</v>
      </c>
      <c r="C35" s="2" t="s">
        <v>263</v>
      </c>
      <c r="D35" s="2" t="s">
        <v>319</v>
      </c>
      <c r="E35" s="165" t="s">
        <v>320</v>
      </c>
      <c r="F35" s="2"/>
      <c r="G35" s="2"/>
      <c r="H35" s="2"/>
      <c r="I35" s="2"/>
      <c r="J35" s="2"/>
      <c r="K35" s="2" t="s">
        <v>267</v>
      </c>
      <c r="L35" s="13" t="s">
        <v>283</v>
      </c>
      <c r="M35" s="2" t="s">
        <v>322</v>
      </c>
      <c r="N35" s="2" t="s">
        <v>322</v>
      </c>
      <c r="O35" s="2" t="s">
        <v>90</v>
      </c>
      <c r="P35" s="2" t="s">
        <v>125</v>
      </c>
      <c r="Q35" s="2" t="s">
        <v>324</v>
      </c>
      <c r="R35" s="2" t="s">
        <v>83</v>
      </c>
      <c r="S35" s="11">
        <v>7.49</v>
      </c>
      <c r="T35" s="12"/>
      <c r="U35" s="30">
        <f t="shared" si="56"/>
        <v>4</v>
      </c>
      <c r="V35" s="30">
        <f t="shared" si="57"/>
        <v>29.96</v>
      </c>
      <c r="W35" s="30">
        <f t="shared" si="58"/>
        <v>0</v>
      </c>
      <c r="X35" s="30">
        <f t="shared" si="59"/>
        <v>0</v>
      </c>
      <c r="Y35" s="30">
        <v>1000</v>
      </c>
      <c r="Z35" s="30">
        <f t="shared" si="60"/>
        <v>7490</v>
      </c>
      <c r="AA35" s="30"/>
      <c r="AB35" s="30">
        <f t="shared" si="61"/>
        <v>0</v>
      </c>
      <c r="AC35" s="30"/>
      <c r="AD35" s="30"/>
      <c r="AE35" s="30">
        <f t="shared" si="62"/>
        <v>0</v>
      </c>
      <c r="AF35" s="30"/>
      <c r="AG35" s="30">
        <f t="shared" si="63"/>
        <v>0</v>
      </c>
      <c r="AH35" s="30"/>
      <c r="AI35" s="30"/>
      <c r="AJ35" s="30">
        <f t="shared" si="64"/>
        <v>0</v>
      </c>
      <c r="AK35" s="30"/>
      <c r="AL35" s="30">
        <f t="shared" si="65"/>
        <v>0</v>
      </c>
      <c r="AM35" s="30"/>
      <c r="AN35" s="30"/>
      <c r="AO35" s="30">
        <f t="shared" si="66"/>
        <v>0</v>
      </c>
      <c r="AP35" s="30"/>
      <c r="AQ35" s="30">
        <f t="shared" si="67"/>
        <v>0</v>
      </c>
      <c r="AR35" s="30"/>
      <c r="AS35" s="30"/>
      <c r="AT35" s="30">
        <f t="shared" si="68"/>
        <v>0</v>
      </c>
      <c r="AU35" s="30"/>
      <c r="AV35" s="30">
        <f t="shared" si="69"/>
        <v>0</v>
      </c>
      <c r="AW35" s="30"/>
      <c r="AX35" s="30">
        <v>1000</v>
      </c>
      <c r="AY35" s="30">
        <f t="shared" si="70"/>
        <v>7490</v>
      </c>
      <c r="AZ35" s="30"/>
      <c r="BA35" s="30">
        <v>0</v>
      </c>
      <c r="BB35" s="30"/>
      <c r="BC35" s="45"/>
      <c r="BD35" s="45">
        <f t="shared" si="71"/>
        <v>0</v>
      </c>
      <c r="BE35" s="30"/>
      <c r="BF35" s="30">
        <f t="shared" si="72"/>
        <v>0</v>
      </c>
      <c r="BG35" s="30"/>
      <c r="BH35" s="30"/>
      <c r="BI35" s="30">
        <f t="shared" si="73"/>
        <v>0</v>
      </c>
      <c r="BJ35" s="30"/>
      <c r="BK35" s="30">
        <f t="shared" si="74"/>
        <v>0</v>
      </c>
      <c r="BL35" s="30"/>
      <c r="BM35" s="30"/>
      <c r="BN35" s="30">
        <f t="shared" si="75"/>
        <v>0</v>
      </c>
      <c r="BO35" s="30"/>
      <c r="BP35" s="30">
        <f t="shared" si="76"/>
        <v>0</v>
      </c>
      <c r="BQ35" s="30"/>
      <c r="BR35" s="30">
        <v>1000</v>
      </c>
      <c r="BS35" s="30">
        <f t="shared" si="77"/>
        <v>7490</v>
      </c>
      <c r="BT35" s="30"/>
      <c r="BU35" s="30">
        <f t="shared" si="78"/>
        <v>0</v>
      </c>
      <c r="BV35" s="30"/>
      <c r="BW35" s="30"/>
      <c r="BX35" s="30">
        <f t="shared" si="79"/>
        <v>0</v>
      </c>
      <c r="BY35" s="30"/>
      <c r="BZ35" s="30">
        <f t="shared" si="80"/>
        <v>0</v>
      </c>
      <c r="CA35" s="30"/>
      <c r="CB35" s="30">
        <v>1000</v>
      </c>
      <c r="CC35" s="30">
        <f t="shared" si="81"/>
        <v>7490</v>
      </c>
      <c r="CD35" s="30"/>
      <c r="CE35" s="30">
        <f t="shared" si="82"/>
        <v>0</v>
      </c>
      <c r="CF35" s="30"/>
      <c r="CG35" s="2"/>
    </row>
    <row r="36" spans="1:85" ht="17" x14ac:dyDescent="0.4">
      <c r="A36" s="2" t="s">
        <v>110</v>
      </c>
      <c r="B36" s="2" t="s">
        <v>262</v>
      </c>
      <c r="C36" s="2" t="s">
        <v>326</v>
      </c>
      <c r="D36" s="2" t="s">
        <v>327</v>
      </c>
      <c r="E36" s="165" t="s">
        <v>328</v>
      </c>
      <c r="F36" s="2"/>
      <c r="G36" s="2"/>
      <c r="H36" s="2"/>
      <c r="I36" s="2"/>
      <c r="J36" s="2"/>
      <c r="K36" s="2" t="s">
        <v>267</v>
      </c>
      <c r="L36" s="2" t="s">
        <v>283</v>
      </c>
      <c r="M36" s="2" t="s">
        <v>82</v>
      </c>
      <c r="N36" s="2" t="s">
        <v>82</v>
      </c>
      <c r="O36" s="2" t="s">
        <v>112</v>
      </c>
      <c r="P36" s="2" t="s">
        <v>81</v>
      </c>
      <c r="Q36" s="2" t="s">
        <v>183</v>
      </c>
      <c r="R36" s="2"/>
      <c r="S36" s="44"/>
      <c r="T36" s="12"/>
      <c r="U36" s="30">
        <f t="shared" si="56"/>
        <v>0</v>
      </c>
      <c r="V36" s="30">
        <f t="shared" si="57"/>
        <v>0</v>
      </c>
      <c r="W36" s="30">
        <f t="shared" si="58"/>
        <v>0</v>
      </c>
      <c r="X36" s="30">
        <f t="shared" si="59"/>
        <v>0</v>
      </c>
      <c r="Y36" s="30"/>
      <c r="Z36" s="30">
        <f t="shared" si="60"/>
        <v>0</v>
      </c>
      <c r="AA36" s="30"/>
      <c r="AB36" s="30">
        <f t="shared" si="61"/>
        <v>0</v>
      </c>
      <c r="AC36" s="30"/>
      <c r="AD36" s="30"/>
      <c r="AE36" s="30">
        <f t="shared" si="62"/>
        <v>0</v>
      </c>
      <c r="AF36" s="30"/>
      <c r="AG36" s="30">
        <f t="shared" si="63"/>
        <v>0</v>
      </c>
      <c r="AH36" s="30"/>
      <c r="AI36" s="30"/>
      <c r="AJ36" s="30">
        <f t="shared" si="64"/>
        <v>0</v>
      </c>
      <c r="AK36" s="30"/>
      <c r="AL36" s="30">
        <f t="shared" si="65"/>
        <v>0</v>
      </c>
      <c r="AM36" s="30"/>
      <c r="AN36" s="30"/>
      <c r="AO36" s="30">
        <f t="shared" si="66"/>
        <v>0</v>
      </c>
      <c r="AP36" s="30"/>
      <c r="AQ36" s="30">
        <f t="shared" si="67"/>
        <v>0</v>
      </c>
      <c r="AR36" s="30"/>
      <c r="AS36" s="30"/>
      <c r="AT36" s="30">
        <f t="shared" si="68"/>
        <v>0</v>
      </c>
      <c r="AU36" s="30"/>
      <c r="AV36" s="30">
        <f t="shared" si="69"/>
        <v>0</v>
      </c>
      <c r="AW36" s="30"/>
      <c r="AX36" s="30"/>
      <c r="AY36" s="30">
        <f t="shared" si="70"/>
        <v>0</v>
      </c>
      <c r="AZ36" s="30"/>
      <c r="BA36" s="30">
        <v>0</v>
      </c>
      <c r="BB36" s="30"/>
      <c r="BC36" s="45"/>
      <c r="BD36" s="45">
        <f t="shared" si="71"/>
        <v>0</v>
      </c>
      <c r="BE36" s="30"/>
      <c r="BF36" s="30">
        <f t="shared" si="72"/>
        <v>0</v>
      </c>
      <c r="BG36" s="30"/>
      <c r="BH36" s="30"/>
      <c r="BI36" s="30">
        <f t="shared" si="73"/>
        <v>0</v>
      </c>
      <c r="BJ36" s="30"/>
      <c r="BK36" s="30">
        <f t="shared" si="74"/>
        <v>0</v>
      </c>
      <c r="BL36" s="32"/>
      <c r="BM36" s="30"/>
      <c r="BN36" s="30">
        <f t="shared" si="75"/>
        <v>0</v>
      </c>
      <c r="BO36" s="30"/>
      <c r="BP36" s="30">
        <f t="shared" si="76"/>
        <v>0</v>
      </c>
      <c r="BQ36" s="30"/>
      <c r="BR36" s="30"/>
      <c r="BS36" s="30">
        <f t="shared" si="77"/>
        <v>0</v>
      </c>
      <c r="BT36" s="30"/>
      <c r="BU36" s="30">
        <f t="shared" si="78"/>
        <v>0</v>
      </c>
      <c r="BV36" s="30"/>
      <c r="BW36" s="30"/>
      <c r="BX36" s="30">
        <f t="shared" si="79"/>
        <v>0</v>
      </c>
      <c r="BY36" s="30"/>
      <c r="BZ36" s="30">
        <f t="shared" si="80"/>
        <v>0</v>
      </c>
      <c r="CA36" s="30"/>
      <c r="CB36" s="30"/>
      <c r="CC36" s="30">
        <f t="shared" si="81"/>
        <v>0</v>
      </c>
      <c r="CD36" s="30"/>
      <c r="CE36" s="30">
        <f t="shared" si="82"/>
        <v>0</v>
      </c>
      <c r="CF36" s="30"/>
      <c r="CG36" s="61"/>
    </row>
    <row r="37" spans="1:85" x14ac:dyDescent="0.4">
      <c r="A37" s="2" t="s">
        <v>110</v>
      </c>
      <c r="B37" s="2" t="s">
        <v>262</v>
      </c>
      <c r="C37" s="2" t="s">
        <v>263</v>
      </c>
      <c r="D37" s="2" t="s">
        <v>329</v>
      </c>
      <c r="E37" s="165" t="s">
        <v>330</v>
      </c>
      <c r="F37" s="2" t="s">
        <v>191</v>
      </c>
      <c r="G37" s="2" t="s">
        <v>192</v>
      </c>
      <c r="H37" s="2" t="s">
        <v>330</v>
      </c>
      <c r="I37" s="2" t="s">
        <v>191</v>
      </c>
      <c r="J37" s="2" t="s">
        <v>192</v>
      </c>
      <c r="K37" s="2" t="s">
        <v>267</v>
      </c>
      <c r="L37" s="13" t="s">
        <v>264</v>
      </c>
      <c r="M37" s="2" t="s">
        <v>211</v>
      </c>
      <c r="N37" s="2" t="s">
        <v>211</v>
      </c>
      <c r="O37" s="2" t="s">
        <v>90</v>
      </c>
      <c r="P37" s="2" t="s">
        <v>292</v>
      </c>
      <c r="Q37" s="2" t="s">
        <v>331</v>
      </c>
      <c r="R37" s="2" t="s">
        <v>83</v>
      </c>
      <c r="S37" s="11">
        <v>0.5</v>
      </c>
      <c r="T37" s="12"/>
      <c r="U37" s="30">
        <f t="shared" si="56"/>
        <v>120</v>
      </c>
      <c r="V37" s="30">
        <f t="shared" si="57"/>
        <v>60</v>
      </c>
      <c r="W37" s="30">
        <f t="shared" si="58"/>
        <v>0</v>
      </c>
      <c r="X37" s="30">
        <f t="shared" si="59"/>
        <v>0</v>
      </c>
      <c r="Y37" s="30">
        <v>0</v>
      </c>
      <c r="Z37" s="30">
        <f t="shared" si="60"/>
        <v>0</v>
      </c>
      <c r="AA37" s="30"/>
      <c r="AB37" s="30">
        <f t="shared" si="61"/>
        <v>0</v>
      </c>
      <c r="AC37" s="30"/>
      <c r="AD37" s="30">
        <v>0</v>
      </c>
      <c r="AE37" s="30">
        <f t="shared" si="62"/>
        <v>0</v>
      </c>
      <c r="AF37" s="30"/>
      <c r="AG37" s="30">
        <f t="shared" si="63"/>
        <v>0</v>
      </c>
      <c r="AH37" s="30"/>
      <c r="AI37" s="30">
        <v>0</v>
      </c>
      <c r="AJ37" s="30">
        <f t="shared" si="64"/>
        <v>0</v>
      </c>
      <c r="AK37" s="30"/>
      <c r="AL37" s="30">
        <f t="shared" si="65"/>
        <v>0</v>
      </c>
      <c r="AM37" s="30"/>
      <c r="AN37" s="30">
        <v>0</v>
      </c>
      <c r="AO37" s="30">
        <f t="shared" si="66"/>
        <v>0</v>
      </c>
      <c r="AP37" s="30"/>
      <c r="AQ37" s="30">
        <f t="shared" si="67"/>
        <v>0</v>
      </c>
      <c r="AR37" s="30"/>
      <c r="AS37" s="30">
        <v>24000</v>
      </c>
      <c r="AT37" s="30">
        <f t="shared" si="68"/>
        <v>12000</v>
      </c>
      <c r="AU37" s="30"/>
      <c r="AV37" s="30">
        <f t="shared" si="69"/>
        <v>0</v>
      </c>
      <c r="AW37" s="30"/>
      <c r="AX37" s="30">
        <v>24000</v>
      </c>
      <c r="AY37" s="30">
        <f t="shared" si="70"/>
        <v>12000</v>
      </c>
      <c r="AZ37" s="30"/>
      <c r="BA37" s="30">
        <v>0</v>
      </c>
      <c r="BB37" s="30"/>
      <c r="BC37" s="45">
        <v>24000</v>
      </c>
      <c r="BD37" s="45">
        <f t="shared" si="71"/>
        <v>12000</v>
      </c>
      <c r="BE37" s="30"/>
      <c r="BF37" s="30">
        <f t="shared" si="72"/>
        <v>0</v>
      </c>
      <c r="BG37" s="30"/>
      <c r="BH37" s="30"/>
      <c r="BI37" s="30">
        <f t="shared" si="73"/>
        <v>0</v>
      </c>
      <c r="BJ37" s="30"/>
      <c r="BK37" s="30">
        <f t="shared" si="74"/>
        <v>0</v>
      </c>
      <c r="BL37" s="30"/>
      <c r="BM37" s="30"/>
      <c r="BN37" s="30">
        <f t="shared" si="75"/>
        <v>0</v>
      </c>
      <c r="BO37" s="30"/>
      <c r="BP37" s="30">
        <f t="shared" si="76"/>
        <v>0</v>
      </c>
      <c r="BQ37" s="30"/>
      <c r="BR37" s="30">
        <v>24000</v>
      </c>
      <c r="BS37" s="30">
        <f t="shared" si="77"/>
        <v>12000</v>
      </c>
      <c r="BT37" s="30"/>
      <c r="BU37" s="30">
        <f t="shared" si="78"/>
        <v>0</v>
      </c>
      <c r="BV37" s="30"/>
      <c r="BW37" s="30"/>
      <c r="BX37" s="30">
        <f t="shared" si="79"/>
        <v>0</v>
      </c>
      <c r="BY37" s="30"/>
      <c r="BZ37" s="30">
        <f t="shared" si="80"/>
        <v>0</v>
      </c>
      <c r="CA37" s="30"/>
      <c r="CB37" s="30">
        <v>24000</v>
      </c>
      <c r="CC37" s="30">
        <f t="shared" si="81"/>
        <v>12000</v>
      </c>
      <c r="CD37" s="30"/>
      <c r="CE37" s="30">
        <f t="shared" si="82"/>
        <v>0</v>
      </c>
      <c r="CF37" s="30"/>
      <c r="CG37" s="2"/>
    </row>
    <row r="38" spans="1:85" x14ac:dyDescent="0.4">
      <c r="A38" s="2" t="s">
        <v>110</v>
      </c>
      <c r="B38" s="2" t="s">
        <v>262</v>
      </c>
      <c r="C38" s="2" t="s">
        <v>263</v>
      </c>
      <c r="D38" s="2" t="s">
        <v>329</v>
      </c>
      <c r="E38" s="165" t="s">
        <v>330</v>
      </c>
      <c r="F38" s="2" t="s">
        <v>191</v>
      </c>
      <c r="G38" s="2" t="s">
        <v>192</v>
      </c>
      <c r="H38" s="2"/>
      <c r="I38" s="2" t="s">
        <v>191</v>
      </c>
      <c r="J38" s="2" t="s">
        <v>192</v>
      </c>
      <c r="K38" s="2" t="s">
        <v>267</v>
      </c>
      <c r="L38" s="13" t="s">
        <v>264</v>
      </c>
      <c r="M38" s="2" t="s">
        <v>87</v>
      </c>
      <c r="N38" s="2" t="s">
        <v>87</v>
      </c>
      <c r="O38" s="2" t="s">
        <v>88</v>
      </c>
      <c r="P38" s="2" t="s">
        <v>85</v>
      </c>
      <c r="Q38" s="2" t="s">
        <v>288</v>
      </c>
      <c r="R38" s="2" t="s">
        <v>80</v>
      </c>
      <c r="S38" s="11">
        <v>3.4000000000000002E-2</v>
      </c>
      <c r="T38" s="12"/>
      <c r="U38" s="30">
        <f t="shared" si="56"/>
        <v>2</v>
      </c>
      <c r="V38" s="30">
        <f t="shared" si="57"/>
        <v>6.8000000000000005E-2</v>
      </c>
      <c r="W38" s="30">
        <f t="shared" si="58"/>
        <v>0</v>
      </c>
      <c r="X38" s="30">
        <f t="shared" si="59"/>
        <v>0</v>
      </c>
      <c r="Y38" s="30">
        <v>0</v>
      </c>
      <c r="Z38" s="30">
        <f t="shared" si="60"/>
        <v>0</v>
      </c>
      <c r="AA38" s="30"/>
      <c r="AB38" s="30">
        <f t="shared" si="61"/>
        <v>0</v>
      </c>
      <c r="AC38" s="30"/>
      <c r="AD38" s="30">
        <v>0</v>
      </c>
      <c r="AE38" s="30">
        <f t="shared" si="62"/>
        <v>0</v>
      </c>
      <c r="AF38" s="30"/>
      <c r="AG38" s="30">
        <f t="shared" si="63"/>
        <v>0</v>
      </c>
      <c r="AH38" s="30"/>
      <c r="AI38" s="30">
        <v>0</v>
      </c>
      <c r="AJ38" s="30">
        <f t="shared" si="64"/>
        <v>0</v>
      </c>
      <c r="AK38" s="30"/>
      <c r="AL38" s="30">
        <f t="shared" si="65"/>
        <v>0</v>
      </c>
      <c r="AM38" s="30"/>
      <c r="AN38" s="30">
        <v>0</v>
      </c>
      <c r="AO38" s="30">
        <f t="shared" si="66"/>
        <v>0</v>
      </c>
      <c r="AP38" s="30"/>
      <c r="AQ38" s="30">
        <f t="shared" si="67"/>
        <v>0</v>
      </c>
      <c r="AR38" s="30"/>
      <c r="AS38" s="30">
        <v>2000</v>
      </c>
      <c r="AT38" s="30">
        <f t="shared" si="68"/>
        <v>68</v>
      </c>
      <c r="AU38" s="30"/>
      <c r="AV38" s="30">
        <f t="shared" si="69"/>
        <v>0</v>
      </c>
      <c r="AW38" s="30"/>
      <c r="AX38" s="30">
        <v>0</v>
      </c>
      <c r="AY38" s="30">
        <f t="shared" si="70"/>
        <v>0</v>
      </c>
      <c r="AZ38" s="30"/>
      <c r="BA38" s="30">
        <v>0</v>
      </c>
      <c r="BB38" s="30"/>
      <c r="BC38" s="45">
        <v>0</v>
      </c>
      <c r="BD38" s="45">
        <f t="shared" si="71"/>
        <v>0</v>
      </c>
      <c r="BE38" s="30"/>
      <c r="BF38" s="30">
        <f t="shared" si="72"/>
        <v>0</v>
      </c>
      <c r="BG38" s="30"/>
      <c r="BH38" s="30">
        <v>0</v>
      </c>
      <c r="BI38" s="30">
        <f t="shared" si="73"/>
        <v>0</v>
      </c>
      <c r="BJ38" s="30"/>
      <c r="BK38" s="30">
        <f t="shared" si="74"/>
        <v>0</v>
      </c>
      <c r="BL38" s="30"/>
      <c r="BM38" s="30">
        <v>0</v>
      </c>
      <c r="BN38" s="30">
        <f t="shared" si="75"/>
        <v>0</v>
      </c>
      <c r="BO38" s="30"/>
      <c r="BP38" s="30">
        <f t="shared" si="76"/>
        <v>0</v>
      </c>
      <c r="BQ38" s="30"/>
      <c r="BR38" s="30">
        <v>0</v>
      </c>
      <c r="BS38" s="30">
        <f t="shared" si="77"/>
        <v>0</v>
      </c>
      <c r="BT38" s="30"/>
      <c r="BU38" s="30">
        <f t="shared" si="78"/>
        <v>0</v>
      </c>
      <c r="BV38" s="30"/>
      <c r="BW38" s="30">
        <v>0</v>
      </c>
      <c r="BX38" s="30">
        <f t="shared" si="79"/>
        <v>0</v>
      </c>
      <c r="BY38" s="30"/>
      <c r="BZ38" s="30">
        <f t="shared" si="80"/>
        <v>0</v>
      </c>
      <c r="CA38" s="30"/>
      <c r="CB38" s="30">
        <v>0</v>
      </c>
      <c r="CC38" s="30">
        <f t="shared" si="81"/>
        <v>0</v>
      </c>
      <c r="CD38" s="30"/>
      <c r="CE38" s="30">
        <f t="shared" si="82"/>
        <v>0</v>
      </c>
      <c r="CF38" s="30"/>
      <c r="CG38" s="2"/>
    </row>
    <row r="39" spans="1:85" x14ac:dyDescent="0.4">
      <c r="A39" s="2" t="s">
        <v>110</v>
      </c>
      <c r="B39" s="2" t="s">
        <v>262</v>
      </c>
      <c r="C39" s="2" t="s">
        <v>263</v>
      </c>
      <c r="D39" s="2" t="s">
        <v>329</v>
      </c>
      <c r="E39" s="165" t="s">
        <v>330</v>
      </c>
      <c r="F39" s="2" t="s">
        <v>191</v>
      </c>
      <c r="G39" s="2" t="s">
        <v>192</v>
      </c>
      <c r="H39" s="2"/>
      <c r="I39" s="2" t="s">
        <v>191</v>
      </c>
      <c r="J39" s="2" t="s">
        <v>192</v>
      </c>
      <c r="K39" s="2" t="s">
        <v>267</v>
      </c>
      <c r="L39" s="13" t="s">
        <v>264</v>
      </c>
      <c r="M39" s="2" t="s">
        <v>87</v>
      </c>
      <c r="N39" s="2" t="s">
        <v>87</v>
      </c>
      <c r="O39" s="2" t="s">
        <v>88</v>
      </c>
      <c r="P39" s="2" t="s">
        <v>85</v>
      </c>
      <c r="Q39" s="2" t="s">
        <v>332</v>
      </c>
      <c r="R39" s="2" t="s">
        <v>80</v>
      </c>
      <c r="S39" s="11">
        <v>1.29</v>
      </c>
      <c r="T39" s="76"/>
      <c r="U39" s="30">
        <f t="shared" si="56"/>
        <v>0.2</v>
      </c>
      <c r="V39" s="30">
        <f t="shared" si="57"/>
        <v>0.25800000000000001</v>
      </c>
      <c r="W39" s="30">
        <f t="shared" si="58"/>
        <v>0</v>
      </c>
      <c r="X39" s="30">
        <f t="shared" si="59"/>
        <v>0</v>
      </c>
      <c r="Y39" s="30">
        <v>200</v>
      </c>
      <c r="Z39" s="30">
        <f t="shared" si="60"/>
        <v>258</v>
      </c>
      <c r="AA39" s="30"/>
      <c r="AB39" s="30">
        <f t="shared" si="61"/>
        <v>0</v>
      </c>
      <c r="AC39" s="30"/>
      <c r="AD39" s="30">
        <v>0</v>
      </c>
      <c r="AE39" s="30">
        <f t="shared" si="62"/>
        <v>0</v>
      </c>
      <c r="AF39" s="30"/>
      <c r="AG39" s="30">
        <f t="shared" si="63"/>
        <v>0</v>
      </c>
      <c r="AH39" s="30"/>
      <c r="AI39" s="30">
        <v>0</v>
      </c>
      <c r="AJ39" s="30">
        <f t="shared" si="64"/>
        <v>0</v>
      </c>
      <c r="AK39" s="30"/>
      <c r="AL39" s="30">
        <f t="shared" si="65"/>
        <v>0</v>
      </c>
      <c r="AM39" s="30"/>
      <c r="AN39" s="30">
        <v>0</v>
      </c>
      <c r="AO39" s="30">
        <f t="shared" si="66"/>
        <v>0</v>
      </c>
      <c r="AP39" s="30"/>
      <c r="AQ39" s="30">
        <f t="shared" si="67"/>
        <v>0</v>
      </c>
      <c r="AR39" s="30"/>
      <c r="AS39" s="30">
        <v>0</v>
      </c>
      <c r="AT39" s="30">
        <f t="shared" si="68"/>
        <v>0</v>
      </c>
      <c r="AU39" s="30"/>
      <c r="AV39" s="30">
        <f t="shared" si="69"/>
        <v>0</v>
      </c>
      <c r="AW39" s="30"/>
      <c r="AX39" s="30">
        <v>0</v>
      </c>
      <c r="AY39" s="30">
        <f t="shared" si="70"/>
        <v>0</v>
      </c>
      <c r="AZ39" s="30"/>
      <c r="BA39" s="30">
        <v>0</v>
      </c>
      <c r="BB39" s="30"/>
      <c r="BC39" s="45">
        <v>0</v>
      </c>
      <c r="BD39" s="45">
        <f t="shared" si="71"/>
        <v>0</v>
      </c>
      <c r="BE39" s="30"/>
      <c r="BF39" s="30">
        <f t="shared" si="72"/>
        <v>0</v>
      </c>
      <c r="BG39" s="30"/>
      <c r="BH39" s="30">
        <v>0</v>
      </c>
      <c r="BI39" s="30">
        <f t="shared" si="73"/>
        <v>0</v>
      </c>
      <c r="BJ39" s="30"/>
      <c r="BK39" s="30">
        <f t="shared" si="74"/>
        <v>0</v>
      </c>
      <c r="BL39" s="30"/>
      <c r="BM39" s="30">
        <v>0</v>
      </c>
      <c r="BN39" s="30">
        <f t="shared" si="75"/>
        <v>0</v>
      </c>
      <c r="BO39" s="30"/>
      <c r="BP39" s="30">
        <f t="shared" si="76"/>
        <v>0</v>
      </c>
      <c r="BQ39" s="30"/>
      <c r="BR39" s="30">
        <v>0</v>
      </c>
      <c r="BS39" s="30">
        <f t="shared" si="77"/>
        <v>0</v>
      </c>
      <c r="BT39" s="30"/>
      <c r="BU39" s="30">
        <f t="shared" si="78"/>
        <v>0</v>
      </c>
      <c r="BV39" s="30"/>
      <c r="BW39" s="30">
        <v>0</v>
      </c>
      <c r="BX39" s="30">
        <f t="shared" si="79"/>
        <v>0</v>
      </c>
      <c r="BY39" s="30"/>
      <c r="BZ39" s="30">
        <f t="shared" si="80"/>
        <v>0</v>
      </c>
      <c r="CA39" s="30"/>
      <c r="CB39" s="30">
        <v>0</v>
      </c>
      <c r="CC39" s="30">
        <f t="shared" si="81"/>
        <v>0</v>
      </c>
      <c r="CD39" s="30"/>
      <c r="CE39" s="30">
        <f t="shared" si="82"/>
        <v>0</v>
      </c>
      <c r="CF39" s="30"/>
      <c r="CG39" s="2"/>
    </row>
    <row r="40" spans="1:85" x14ac:dyDescent="0.4">
      <c r="A40" s="2" t="s">
        <v>110</v>
      </c>
      <c r="B40" s="2" t="s">
        <v>262</v>
      </c>
      <c r="C40" s="2" t="s">
        <v>263</v>
      </c>
      <c r="D40" s="2" t="s">
        <v>329</v>
      </c>
      <c r="E40" s="165" t="s">
        <v>330</v>
      </c>
      <c r="F40" s="2" t="s">
        <v>191</v>
      </c>
      <c r="G40" s="2" t="s">
        <v>192</v>
      </c>
      <c r="H40" s="2"/>
      <c r="I40" s="2" t="s">
        <v>191</v>
      </c>
      <c r="J40" s="2" t="s">
        <v>192</v>
      </c>
      <c r="K40" s="2" t="s">
        <v>267</v>
      </c>
      <c r="L40" s="13" t="s">
        <v>264</v>
      </c>
      <c r="M40" s="2" t="s">
        <v>87</v>
      </c>
      <c r="N40" s="2" t="s">
        <v>87</v>
      </c>
      <c r="O40" s="2" t="s">
        <v>88</v>
      </c>
      <c r="P40" s="2" t="s">
        <v>85</v>
      </c>
      <c r="Q40" s="2" t="s">
        <v>333</v>
      </c>
      <c r="R40" s="2" t="s">
        <v>80</v>
      </c>
      <c r="S40" s="11">
        <v>3.3000000000000002E-2</v>
      </c>
      <c r="T40" s="12"/>
      <c r="U40" s="30">
        <f t="shared" si="56"/>
        <v>6</v>
      </c>
      <c r="V40" s="30">
        <f t="shared" si="57"/>
        <v>0.19800000000000001</v>
      </c>
      <c r="W40" s="30">
        <f t="shared" si="58"/>
        <v>825</v>
      </c>
      <c r="X40" s="30">
        <f t="shared" si="59"/>
        <v>0</v>
      </c>
      <c r="Y40" s="30">
        <v>6000</v>
      </c>
      <c r="Z40" s="30">
        <f t="shared" si="60"/>
        <v>198</v>
      </c>
      <c r="AA40" s="30"/>
      <c r="AB40" s="30">
        <f t="shared" si="61"/>
        <v>0</v>
      </c>
      <c r="AC40" s="30"/>
      <c r="AD40" s="30">
        <v>0</v>
      </c>
      <c r="AE40" s="30">
        <f t="shared" si="62"/>
        <v>0</v>
      </c>
      <c r="AF40" s="30"/>
      <c r="AG40" s="30">
        <f t="shared" si="63"/>
        <v>0</v>
      </c>
      <c r="AH40" s="30"/>
      <c r="AI40" s="30">
        <v>0</v>
      </c>
      <c r="AJ40" s="30">
        <f t="shared" si="64"/>
        <v>0</v>
      </c>
      <c r="AK40" s="30"/>
      <c r="AL40" s="30">
        <f t="shared" si="65"/>
        <v>0</v>
      </c>
      <c r="AM40" s="30"/>
      <c r="AN40" s="30">
        <v>0</v>
      </c>
      <c r="AO40" s="30">
        <f t="shared" si="66"/>
        <v>0</v>
      </c>
      <c r="AP40" s="30"/>
      <c r="AQ40" s="30">
        <f t="shared" si="67"/>
        <v>0</v>
      </c>
      <c r="AR40" s="30"/>
      <c r="AS40" s="30">
        <v>0</v>
      </c>
      <c r="AT40" s="30">
        <f t="shared" si="68"/>
        <v>0</v>
      </c>
      <c r="AU40" s="30"/>
      <c r="AV40" s="30">
        <f t="shared" si="69"/>
        <v>0</v>
      </c>
      <c r="AW40" s="30"/>
      <c r="AX40" s="30">
        <v>0</v>
      </c>
      <c r="AY40" s="30">
        <f t="shared" si="70"/>
        <v>0</v>
      </c>
      <c r="AZ40" s="30"/>
      <c r="BA40" s="30">
        <v>0</v>
      </c>
      <c r="BB40" s="30"/>
      <c r="BC40" s="45">
        <v>0</v>
      </c>
      <c r="BD40" s="45">
        <f t="shared" si="71"/>
        <v>0</v>
      </c>
      <c r="BE40" s="30">
        <v>10000</v>
      </c>
      <c r="BF40" s="30">
        <f t="shared" si="72"/>
        <v>330</v>
      </c>
      <c r="BG40" s="30"/>
      <c r="BH40" s="30">
        <v>0</v>
      </c>
      <c r="BI40" s="30">
        <f t="shared" si="73"/>
        <v>0</v>
      </c>
      <c r="BJ40" s="30">
        <v>15000</v>
      </c>
      <c r="BK40" s="30">
        <f t="shared" si="74"/>
        <v>495</v>
      </c>
      <c r="BL40" s="30"/>
      <c r="BM40" s="30">
        <v>0</v>
      </c>
      <c r="BN40" s="30">
        <f t="shared" si="75"/>
        <v>0</v>
      </c>
      <c r="BO40" s="30"/>
      <c r="BP40" s="30">
        <f t="shared" si="76"/>
        <v>0</v>
      </c>
      <c r="BQ40" s="30"/>
      <c r="BR40" s="30">
        <v>0</v>
      </c>
      <c r="BS40" s="30">
        <f t="shared" si="77"/>
        <v>0</v>
      </c>
      <c r="BT40" s="30"/>
      <c r="BU40" s="30">
        <f t="shared" si="78"/>
        <v>0</v>
      </c>
      <c r="BV40" s="30"/>
      <c r="BW40" s="30">
        <v>0</v>
      </c>
      <c r="BX40" s="30">
        <f t="shared" si="79"/>
        <v>0</v>
      </c>
      <c r="BY40" s="30"/>
      <c r="BZ40" s="30">
        <f t="shared" si="80"/>
        <v>0</v>
      </c>
      <c r="CA40" s="30"/>
      <c r="CB40" s="30">
        <v>0</v>
      </c>
      <c r="CC40" s="30">
        <f t="shared" si="81"/>
        <v>0</v>
      </c>
      <c r="CD40" s="30"/>
      <c r="CE40" s="30">
        <f t="shared" si="82"/>
        <v>0</v>
      </c>
      <c r="CF40" s="30"/>
      <c r="CG40" s="2"/>
    </row>
    <row r="41" spans="1:85" x14ac:dyDescent="0.4">
      <c r="A41" s="2" t="s">
        <v>110</v>
      </c>
      <c r="B41" s="2" t="s">
        <v>262</v>
      </c>
      <c r="C41" s="2" t="s">
        <v>263</v>
      </c>
      <c r="D41" s="2" t="s">
        <v>329</v>
      </c>
      <c r="E41" s="112" t="s">
        <v>330</v>
      </c>
      <c r="F41" s="2"/>
      <c r="G41" s="2"/>
      <c r="H41" s="2"/>
      <c r="I41" s="2"/>
      <c r="J41" s="2"/>
      <c r="K41" s="2" t="s">
        <v>267</v>
      </c>
      <c r="L41" s="46" t="s">
        <v>264</v>
      </c>
      <c r="M41" s="46" t="s">
        <v>585</v>
      </c>
      <c r="N41" s="46" t="s">
        <v>585</v>
      </c>
      <c r="O41" s="46" t="s">
        <v>88</v>
      </c>
      <c r="P41" s="47" t="s">
        <v>85</v>
      </c>
      <c r="Q41" s="2" t="s">
        <v>586</v>
      </c>
      <c r="R41" s="2"/>
      <c r="S41" s="11">
        <v>3.4</v>
      </c>
      <c r="T41" s="12"/>
      <c r="U41" s="30">
        <f t="shared" si="56"/>
        <v>0</v>
      </c>
      <c r="V41" s="30">
        <f t="shared" si="57"/>
        <v>0</v>
      </c>
      <c r="W41" s="30">
        <f t="shared" si="58"/>
        <v>0</v>
      </c>
      <c r="X41" s="30">
        <f t="shared" si="59"/>
        <v>0</v>
      </c>
      <c r="Y41" s="30"/>
      <c r="Z41" s="30">
        <f t="shared" si="60"/>
        <v>0</v>
      </c>
      <c r="AA41" s="30"/>
      <c r="AB41" s="30">
        <f t="shared" si="61"/>
        <v>0</v>
      </c>
      <c r="AC41" s="30"/>
      <c r="AD41" s="30"/>
      <c r="AE41" s="30">
        <f t="shared" si="62"/>
        <v>0</v>
      </c>
      <c r="AF41" s="30"/>
      <c r="AG41" s="30">
        <f t="shared" si="63"/>
        <v>0</v>
      </c>
      <c r="AH41" s="30"/>
      <c r="AI41" s="30"/>
      <c r="AJ41" s="30">
        <f t="shared" si="64"/>
        <v>0</v>
      </c>
      <c r="AK41" s="30"/>
      <c r="AL41" s="30">
        <f t="shared" si="65"/>
        <v>0</v>
      </c>
      <c r="AM41" s="30"/>
      <c r="AN41" s="30"/>
      <c r="AO41" s="30">
        <f t="shared" si="66"/>
        <v>0</v>
      </c>
      <c r="AP41" s="30"/>
      <c r="AQ41" s="30">
        <f t="shared" si="67"/>
        <v>0</v>
      </c>
      <c r="AR41" s="30"/>
      <c r="AS41" s="30"/>
      <c r="AT41" s="30">
        <f t="shared" si="68"/>
        <v>0</v>
      </c>
      <c r="AU41" s="30"/>
      <c r="AV41" s="30">
        <f t="shared" si="69"/>
        <v>0</v>
      </c>
      <c r="AW41" s="30"/>
      <c r="AX41" s="30"/>
      <c r="AY41" s="30">
        <f t="shared" si="70"/>
        <v>0</v>
      </c>
      <c r="AZ41" s="30">
        <v>20000</v>
      </c>
      <c r="BA41" s="30">
        <v>0</v>
      </c>
      <c r="BB41" s="30"/>
      <c r="BC41" s="45"/>
      <c r="BD41" s="45">
        <f t="shared" si="71"/>
        <v>0</v>
      </c>
      <c r="BE41" s="30"/>
      <c r="BF41" s="30">
        <f t="shared" si="72"/>
        <v>0</v>
      </c>
      <c r="BG41" s="30"/>
      <c r="BH41" s="30"/>
      <c r="BI41" s="30">
        <f t="shared" si="73"/>
        <v>0</v>
      </c>
      <c r="BJ41" s="30"/>
      <c r="BK41" s="30">
        <f t="shared" si="74"/>
        <v>0</v>
      </c>
      <c r="BL41" s="30"/>
      <c r="BM41" s="30"/>
      <c r="BN41" s="30">
        <f t="shared" si="75"/>
        <v>0</v>
      </c>
      <c r="BO41" s="30"/>
      <c r="BP41" s="30">
        <f t="shared" si="76"/>
        <v>0</v>
      </c>
      <c r="BQ41" s="30"/>
      <c r="BR41" s="30"/>
      <c r="BS41" s="30">
        <f t="shared" si="77"/>
        <v>0</v>
      </c>
      <c r="BT41" s="30"/>
      <c r="BU41" s="30">
        <f t="shared" si="78"/>
        <v>0</v>
      </c>
      <c r="BV41" s="30"/>
      <c r="BW41" s="30"/>
      <c r="BX41" s="30">
        <f t="shared" si="79"/>
        <v>0</v>
      </c>
      <c r="BY41" s="30"/>
      <c r="BZ41" s="30">
        <f t="shared" si="80"/>
        <v>0</v>
      </c>
      <c r="CA41" s="30"/>
      <c r="CB41" s="30"/>
      <c r="CC41" s="30">
        <f t="shared" si="81"/>
        <v>0</v>
      </c>
      <c r="CD41" s="30"/>
      <c r="CE41" s="30">
        <f t="shared" si="82"/>
        <v>0</v>
      </c>
      <c r="CF41" s="30"/>
      <c r="CG41" s="2"/>
    </row>
    <row r="42" spans="1:85" x14ac:dyDescent="0.4">
      <c r="A42" s="2" t="s">
        <v>110</v>
      </c>
      <c r="B42" s="2" t="s">
        <v>262</v>
      </c>
      <c r="C42" s="2" t="s">
        <v>263</v>
      </c>
      <c r="D42" s="2" t="s">
        <v>279</v>
      </c>
      <c r="E42" s="165" t="s">
        <v>280</v>
      </c>
      <c r="F42" s="2"/>
      <c r="G42" s="2"/>
      <c r="H42" s="2"/>
      <c r="I42" s="2"/>
      <c r="J42" s="2"/>
      <c r="K42" s="2" t="s">
        <v>267</v>
      </c>
      <c r="L42" s="13" t="s">
        <v>271</v>
      </c>
      <c r="M42" s="2" t="s">
        <v>99</v>
      </c>
      <c r="N42" s="2" t="s">
        <v>99</v>
      </c>
      <c r="O42" s="13" t="s">
        <v>100</v>
      </c>
      <c r="P42" s="2" t="s">
        <v>97</v>
      </c>
      <c r="Q42" s="2" t="s">
        <v>210</v>
      </c>
      <c r="R42" s="2" t="s">
        <v>83</v>
      </c>
      <c r="S42" s="11">
        <v>8.4000000000000005E-2</v>
      </c>
      <c r="T42" s="12"/>
      <c r="U42" s="30">
        <f t="shared" ref="U42" si="83">+(Y42+AD42+AI42+AN42+AS42+AX42+BC42+BH42+BM42+BR42+BW42+CB42)/1000</f>
        <v>400</v>
      </c>
      <c r="V42" s="30">
        <f t="shared" ref="V42" si="84">+(Z42+AE42+AJ42+AO42+AT42+AY42+BD42+BI42+BN42+BS42+BX42+CC42)/1000</f>
        <v>33.6</v>
      </c>
      <c r="W42" s="30">
        <f t="shared" ref="W42" si="85">+(+BF42+BK42+BP42+BU42+BZ42+CE42)</f>
        <v>0</v>
      </c>
      <c r="X42" s="30">
        <f t="shared" ref="X42" si="86">+(+BG42+BL42+BQ42+BV42+CA42+CF42)</f>
        <v>0</v>
      </c>
      <c r="Y42" s="30"/>
      <c r="Z42" s="30">
        <f t="shared" ref="Z42" si="87">Y42*S42</f>
        <v>0</v>
      </c>
      <c r="AA42" s="30"/>
      <c r="AB42" s="30">
        <f t="shared" ref="AB42" si="88">AA42*S42</f>
        <v>0</v>
      </c>
      <c r="AC42" s="30"/>
      <c r="AD42" s="30"/>
      <c r="AE42" s="30">
        <f t="shared" ref="AE42" si="89">AD42*S42</f>
        <v>0</v>
      </c>
      <c r="AF42" s="30"/>
      <c r="AG42" s="30">
        <f t="shared" ref="AG42" si="90">AF42*S42</f>
        <v>0</v>
      </c>
      <c r="AH42" s="30"/>
      <c r="AI42" s="30">
        <v>100000</v>
      </c>
      <c r="AJ42" s="30">
        <f t="shared" ref="AJ42" si="91">AI42*S42</f>
        <v>8400</v>
      </c>
      <c r="AK42" s="30"/>
      <c r="AL42" s="30">
        <f t="shared" ref="AL42" si="92">AK42*S42</f>
        <v>0</v>
      </c>
      <c r="AM42" s="30"/>
      <c r="AN42" s="30"/>
      <c r="AO42" s="30">
        <f t="shared" ref="AO42" si="93">AN42*S42</f>
        <v>0</v>
      </c>
      <c r="AP42" s="30"/>
      <c r="AQ42" s="30">
        <f t="shared" ref="AQ42" si="94">AP42*S42</f>
        <v>0</v>
      </c>
      <c r="AR42" s="30"/>
      <c r="AS42" s="30"/>
      <c r="AT42" s="30">
        <f t="shared" ref="AT42" si="95">AS42*S42</f>
        <v>0</v>
      </c>
      <c r="AU42" s="30"/>
      <c r="AV42" s="30">
        <f t="shared" ref="AV42" si="96">AU42*S42</f>
        <v>0</v>
      </c>
      <c r="AW42" s="30"/>
      <c r="AX42" s="30">
        <v>100000</v>
      </c>
      <c r="AY42" s="30">
        <f t="shared" ref="AY42" si="97">AX42*S42</f>
        <v>8400</v>
      </c>
      <c r="AZ42" s="30"/>
      <c r="BA42" s="30">
        <v>0</v>
      </c>
      <c r="BB42" s="30"/>
      <c r="BC42" s="45"/>
      <c r="BD42" s="45">
        <f t="shared" ref="BD42" si="98">BC42*S42</f>
        <v>0</v>
      </c>
      <c r="BE42" s="30"/>
      <c r="BF42" s="30">
        <f t="shared" ref="BF42" si="99">BE42*S42</f>
        <v>0</v>
      </c>
      <c r="BG42" s="30"/>
      <c r="BH42" s="30"/>
      <c r="BI42" s="30">
        <f t="shared" ref="BI42" si="100">BH42*S42</f>
        <v>0</v>
      </c>
      <c r="BJ42" s="30"/>
      <c r="BK42" s="30">
        <f t="shared" ref="BK42" si="101">BJ42*S42</f>
        <v>0</v>
      </c>
      <c r="BL42" s="30"/>
      <c r="BM42" s="30">
        <v>100000</v>
      </c>
      <c r="BN42" s="30">
        <f t="shared" ref="BN42" si="102">BM42*S42</f>
        <v>8400</v>
      </c>
      <c r="BO42" s="30"/>
      <c r="BP42" s="30">
        <f t="shared" ref="BP42" si="103">BO42*S42</f>
        <v>0</v>
      </c>
      <c r="BQ42" s="30"/>
      <c r="BR42" s="30"/>
      <c r="BS42" s="30">
        <f t="shared" ref="BS42" si="104">BR42*S42</f>
        <v>0</v>
      </c>
      <c r="BT42" s="30"/>
      <c r="BU42" s="30">
        <f t="shared" ref="BU42" si="105">BT42*S42</f>
        <v>0</v>
      </c>
      <c r="BV42" s="30"/>
      <c r="BW42" s="30"/>
      <c r="BX42" s="30">
        <f t="shared" ref="BX42" si="106">BW42*S42</f>
        <v>0</v>
      </c>
      <c r="BY42" s="30"/>
      <c r="BZ42" s="30">
        <f t="shared" ref="BZ42" si="107">BY42*S42</f>
        <v>0</v>
      </c>
      <c r="CA42" s="30"/>
      <c r="CB42" s="30">
        <v>100000</v>
      </c>
      <c r="CC42" s="30">
        <f t="shared" ref="CC42" si="108">CB42*S42</f>
        <v>8400</v>
      </c>
      <c r="CD42" s="30"/>
      <c r="CE42" s="30">
        <f t="shared" ref="CE42" si="109">CD42*S42</f>
        <v>0</v>
      </c>
      <c r="CF42" s="30"/>
      <c r="CG42" s="2"/>
    </row>
    <row r="43" spans="1:85" x14ac:dyDescent="0.4">
      <c r="A43" s="2" t="s">
        <v>110</v>
      </c>
      <c r="B43" s="2" t="s">
        <v>262</v>
      </c>
      <c r="C43" s="2" t="s">
        <v>263</v>
      </c>
      <c r="D43" s="2" t="s">
        <v>265</v>
      </c>
      <c r="E43" s="165" t="s">
        <v>266</v>
      </c>
      <c r="F43" s="2"/>
      <c r="G43" s="2"/>
      <c r="H43" s="2"/>
      <c r="I43" s="2" t="s">
        <v>334</v>
      </c>
      <c r="J43" s="2" t="s">
        <v>198</v>
      </c>
      <c r="K43" s="2" t="s">
        <v>267</v>
      </c>
      <c r="L43" s="13" t="s">
        <v>268</v>
      </c>
      <c r="M43" s="2" t="s">
        <v>96</v>
      </c>
      <c r="N43" s="2" t="s">
        <v>96</v>
      </c>
      <c r="O43" s="2" t="s">
        <v>146</v>
      </c>
      <c r="P43" s="1" t="s">
        <v>97</v>
      </c>
      <c r="Q43" s="2" t="s">
        <v>336</v>
      </c>
      <c r="R43" s="2" t="s">
        <v>80</v>
      </c>
      <c r="S43" s="11">
        <v>0.52</v>
      </c>
      <c r="T43" s="12">
        <v>10080</v>
      </c>
      <c r="U43" s="30">
        <f t="shared" ref="U43:U68" si="110">+(Y43+AD43+AI43+AN43+AS43+AX43+BC43+BH43+BM43+BR43+BW43+CB43)/1000</f>
        <v>90</v>
      </c>
      <c r="V43" s="30">
        <f t="shared" ref="V43:V68" si="111">+(Z43+AE43+AJ43+AO43+AT43+AY43+BD43+BI43+BN43+BS43+BX43+CC43)/1000</f>
        <v>46.8</v>
      </c>
      <c r="W43" s="30">
        <f t="shared" ref="W43:W68" si="112">+(+BF43+BK43+BP43+BU43+BZ43+CE43)</f>
        <v>12480</v>
      </c>
      <c r="X43" s="30">
        <f t="shared" ref="X43:X68" si="113">+(+BG43+BL43+BQ43+BV43+CA43+CF43)</f>
        <v>57000</v>
      </c>
      <c r="Y43" s="30">
        <v>12000</v>
      </c>
      <c r="Z43" s="30">
        <f t="shared" ref="Z43:Z68" si="114">Y43*S43</f>
        <v>6240</v>
      </c>
      <c r="AA43" s="30">
        <v>12000</v>
      </c>
      <c r="AB43" s="30">
        <f t="shared" ref="AB43:AB68" si="115">AA43*S43</f>
        <v>6240</v>
      </c>
      <c r="AC43" s="30">
        <v>12000</v>
      </c>
      <c r="AD43" s="30">
        <v>12000</v>
      </c>
      <c r="AE43" s="30">
        <f t="shared" ref="AE43:AE68" si="116">AD43*S43</f>
        <v>6240</v>
      </c>
      <c r="AF43" s="30">
        <v>12000</v>
      </c>
      <c r="AG43" s="30">
        <f t="shared" ref="AG43:AG68" si="117">AF43*S43</f>
        <v>6240</v>
      </c>
      <c r="AH43" s="30">
        <v>12000</v>
      </c>
      <c r="AI43" s="30">
        <v>12000</v>
      </c>
      <c r="AJ43" s="30">
        <f t="shared" ref="AJ43:AJ68" si="118">AI43*S43</f>
        <v>6240</v>
      </c>
      <c r="AK43" s="30">
        <v>12000</v>
      </c>
      <c r="AL43" s="30">
        <f t="shared" ref="AL43:AL68" si="119">AK43*S43</f>
        <v>6240</v>
      </c>
      <c r="AM43" s="30"/>
      <c r="AN43" s="30">
        <v>6000</v>
      </c>
      <c r="AO43" s="30">
        <f t="shared" ref="AO43:AO68" si="120">AN43*S43</f>
        <v>3120</v>
      </c>
      <c r="AP43" s="30">
        <v>12000</v>
      </c>
      <c r="AQ43" s="30">
        <f t="shared" ref="AQ43:AQ68" si="121">AP43*S43</f>
        <v>6240</v>
      </c>
      <c r="AR43" s="30">
        <v>24000</v>
      </c>
      <c r="AS43" s="30">
        <v>6000</v>
      </c>
      <c r="AT43" s="30">
        <f t="shared" ref="AT43:AT68" si="122">AS43*S43</f>
        <v>3120</v>
      </c>
      <c r="AU43" s="30">
        <v>12000</v>
      </c>
      <c r="AV43" s="30">
        <f t="shared" ref="AV43:AV68" si="123">AU43*S43</f>
        <v>6240</v>
      </c>
      <c r="AW43" s="30"/>
      <c r="AX43" s="30">
        <v>6000</v>
      </c>
      <c r="AY43" s="30">
        <f t="shared" ref="AY43:AY68" si="124">AX43*S43</f>
        <v>3120</v>
      </c>
      <c r="AZ43" s="30">
        <v>12000</v>
      </c>
      <c r="BA43" s="30">
        <v>6240</v>
      </c>
      <c r="BB43" s="145">
        <v>15000</v>
      </c>
      <c r="BC43" s="45">
        <v>6000</v>
      </c>
      <c r="BD43" s="45">
        <f t="shared" ref="BD43:BD68" si="125">BC43*S43</f>
        <v>3120</v>
      </c>
      <c r="BE43" s="30">
        <v>12000</v>
      </c>
      <c r="BF43" s="30">
        <f t="shared" ref="BF43:BF68" si="126">BE43*S43</f>
        <v>6240</v>
      </c>
      <c r="BG43" s="142">
        <v>12000</v>
      </c>
      <c r="BH43" s="30">
        <v>6000</v>
      </c>
      <c r="BI43" s="30">
        <f t="shared" ref="BI43:BI68" si="127">BH43*S43</f>
        <v>3120</v>
      </c>
      <c r="BJ43" s="30"/>
      <c r="BK43" s="30">
        <f t="shared" ref="BK43:BK68" si="128">BJ43*S43</f>
        <v>0</v>
      </c>
      <c r="BL43" s="146">
        <v>15000</v>
      </c>
      <c r="BM43" s="30">
        <v>6000</v>
      </c>
      <c r="BN43" s="30">
        <f t="shared" ref="BN43:BN68" si="129">BM43*S43</f>
        <v>3120</v>
      </c>
      <c r="BO43" s="30">
        <v>12000</v>
      </c>
      <c r="BP43" s="30">
        <f t="shared" ref="BP43:BP68" si="130">BO43*S43</f>
        <v>6240</v>
      </c>
      <c r="BQ43" s="142">
        <v>15000</v>
      </c>
      <c r="BR43" s="30">
        <v>6000</v>
      </c>
      <c r="BS43" s="30">
        <f t="shared" ref="BS43:BS68" si="131">BR43*S43</f>
        <v>3120</v>
      </c>
      <c r="BT43" s="30"/>
      <c r="BU43" s="30">
        <f t="shared" ref="BU43:BU68" si="132">BT43*S43</f>
        <v>0</v>
      </c>
      <c r="BV43" s="146">
        <v>15000</v>
      </c>
      <c r="BW43" s="30">
        <v>6000</v>
      </c>
      <c r="BX43" s="30">
        <f t="shared" ref="BX43:BX68" si="133">BW43*S43</f>
        <v>3120</v>
      </c>
      <c r="BY43" s="30"/>
      <c r="BZ43" s="30">
        <f t="shared" ref="BZ43:BZ68" si="134">BY43*S43</f>
        <v>0</v>
      </c>
      <c r="CA43" s="30"/>
      <c r="CB43" s="30">
        <v>6000</v>
      </c>
      <c r="CC43" s="30">
        <f t="shared" ref="CC43:CC68" si="135">CB43*S43</f>
        <v>3120</v>
      </c>
      <c r="CD43" s="30"/>
      <c r="CE43" s="30">
        <f t="shared" ref="CE43:CE68" si="136">CD43*S43</f>
        <v>0</v>
      </c>
      <c r="CF43" s="30"/>
      <c r="CG43" s="2"/>
    </row>
    <row r="44" spans="1:85" x14ac:dyDescent="0.4">
      <c r="A44" s="2" t="s">
        <v>110</v>
      </c>
      <c r="B44" s="2" t="s">
        <v>262</v>
      </c>
      <c r="C44" s="2" t="s">
        <v>263</v>
      </c>
      <c r="D44" s="2" t="s">
        <v>265</v>
      </c>
      <c r="E44" s="165" t="s">
        <v>266</v>
      </c>
      <c r="F44" s="2"/>
      <c r="G44" s="2"/>
      <c r="H44" s="2"/>
      <c r="I44" s="2" t="s">
        <v>334</v>
      </c>
      <c r="J44" s="2" t="s">
        <v>198</v>
      </c>
      <c r="K44" s="2" t="s">
        <v>267</v>
      </c>
      <c r="L44" s="13" t="s">
        <v>268</v>
      </c>
      <c r="M44" s="2" t="s">
        <v>149</v>
      </c>
      <c r="N44" s="2" t="s">
        <v>149</v>
      </c>
      <c r="O44" s="13" t="s">
        <v>150</v>
      </c>
      <c r="P44" s="2" t="s">
        <v>79</v>
      </c>
      <c r="Q44" s="2" t="s">
        <v>337</v>
      </c>
      <c r="R44" s="2" t="s">
        <v>80</v>
      </c>
      <c r="S44" s="11">
        <v>7.0000000000000001E-3</v>
      </c>
      <c r="T44" s="12"/>
      <c r="U44" s="30">
        <f t="shared" si="110"/>
        <v>7800</v>
      </c>
      <c r="V44" s="30">
        <f t="shared" si="111"/>
        <v>54.6</v>
      </c>
      <c r="W44" s="30">
        <f t="shared" si="112"/>
        <v>13650</v>
      </c>
      <c r="X44" s="30">
        <f t="shared" si="113"/>
        <v>0</v>
      </c>
      <c r="Y44" s="30">
        <v>650000</v>
      </c>
      <c r="Z44" s="30">
        <f t="shared" si="114"/>
        <v>4550</v>
      </c>
      <c r="AA44" s="30">
        <v>650000</v>
      </c>
      <c r="AB44" s="30">
        <f t="shared" si="115"/>
        <v>4550</v>
      </c>
      <c r="AC44" s="30"/>
      <c r="AD44" s="30">
        <v>650000</v>
      </c>
      <c r="AE44" s="30">
        <f t="shared" si="116"/>
        <v>4550</v>
      </c>
      <c r="AF44" s="30">
        <v>850000</v>
      </c>
      <c r="AG44" s="30">
        <f t="shared" si="117"/>
        <v>5950</v>
      </c>
      <c r="AH44" s="30"/>
      <c r="AI44" s="30">
        <v>650000</v>
      </c>
      <c r="AJ44" s="30">
        <f t="shared" si="118"/>
        <v>4550</v>
      </c>
      <c r="AK44" s="30">
        <v>650000</v>
      </c>
      <c r="AL44" s="30">
        <f t="shared" si="119"/>
        <v>4550</v>
      </c>
      <c r="AM44" s="30"/>
      <c r="AN44" s="30">
        <v>650000</v>
      </c>
      <c r="AO44" s="30">
        <f t="shared" si="120"/>
        <v>4550</v>
      </c>
      <c r="AP44" s="30">
        <v>650000</v>
      </c>
      <c r="AQ44" s="30">
        <f t="shared" si="121"/>
        <v>4550</v>
      </c>
      <c r="AR44" s="30"/>
      <c r="AS44" s="30">
        <v>650000</v>
      </c>
      <c r="AT44" s="30">
        <f t="shared" si="122"/>
        <v>4550</v>
      </c>
      <c r="AU44" s="30">
        <v>650000</v>
      </c>
      <c r="AV44" s="30">
        <f t="shared" si="123"/>
        <v>4550</v>
      </c>
      <c r="AW44" s="30"/>
      <c r="AX44" s="30">
        <v>650000</v>
      </c>
      <c r="AY44" s="30">
        <f t="shared" si="124"/>
        <v>4550</v>
      </c>
      <c r="AZ44" s="30">
        <v>650000</v>
      </c>
      <c r="BA44" s="30">
        <v>4550</v>
      </c>
      <c r="BB44" s="30"/>
      <c r="BC44" s="45">
        <v>650000</v>
      </c>
      <c r="BD44" s="45">
        <f t="shared" si="125"/>
        <v>4550</v>
      </c>
      <c r="BE44" s="30">
        <v>650000</v>
      </c>
      <c r="BF44" s="30">
        <f t="shared" si="126"/>
        <v>4550</v>
      </c>
      <c r="BG44" s="30"/>
      <c r="BH44" s="30">
        <v>650000</v>
      </c>
      <c r="BI44" s="30">
        <f t="shared" si="127"/>
        <v>4550</v>
      </c>
      <c r="BJ44" s="30">
        <v>650000</v>
      </c>
      <c r="BK44" s="30">
        <f t="shared" si="128"/>
        <v>4550</v>
      </c>
      <c r="BL44" s="30"/>
      <c r="BM44" s="30">
        <v>650000</v>
      </c>
      <c r="BN44" s="30">
        <f t="shared" si="129"/>
        <v>4550</v>
      </c>
      <c r="BO44" s="30">
        <v>650000</v>
      </c>
      <c r="BP44" s="30">
        <f t="shared" si="130"/>
        <v>4550</v>
      </c>
      <c r="BQ44" s="30"/>
      <c r="BR44" s="30">
        <v>650000</v>
      </c>
      <c r="BS44" s="30">
        <f t="shared" si="131"/>
        <v>4550</v>
      </c>
      <c r="BT44" s="30"/>
      <c r="BU44" s="30">
        <f t="shared" si="132"/>
        <v>0</v>
      </c>
      <c r="BV44" s="30"/>
      <c r="BW44" s="30">
        <v>650000</v>
      </c>
      <c r="BX44" s="30">
        <f t="shared" si="133"/>
        <v>4550</v>
      </c>
      <c r="BY44" s="30"/>
      <c r="BZ44" s="30">
        <f t="shared" si="134"/>
        <v>0</v>
      </c>
      <c r="CA44" s="30"/>
      <c r="CB44" s="30">
        <v>650000</v>
      </c>
      <c r="CC44" s="30">
        <f t="shared" si="135"/>
        <v>4550</v>
      </c>
      <c r="CD44" s="30"/>
      <c r="CE44" s="30">
        <f t="shared" si="136"/>
        <v>0</v>
      </c>
      <c r="CF44" s="30"/>
      <c r="CG44" s="2"/>
    </row>
    <row r="45" spans="1:85" x14ac:dyDescent="0.4">
      <c r="A45" s="2" t="s">
        <v>110</v>
      </c>
      <c r="B45" s="2" t="s">
        <v>262</v>
      </c>
      <c r="C45" s="2" t="s">
        <v>263</v>
      </c>
      <c r="D45" s="2" t="s">
        <v>265</v>
      </c>
      <c r="E45" s="165" t="s">
        <v>266</v>
      </c>
      <c r="F45" s="2"/>
      <c r="G45" s="2"/>
      <c r="H45" s="2"/>
      <c r="I45" s="2" t="s">
        <v>334</v>
      </c>
      <c r="J45" s="2" t="s">
        <v>198</v>
      </c>
      <c r="K45" s="2" t="s">
        <v>267</v>
      </c>
      <c r="L45" s="13" t="s">
        <v>268</v>
      </c>
      <c r="M45" s="14" t="s">
        <v>96</v>
      </c>
      <c r="N45" s="14" t="s">
        <v>96</v>
      </c>
      <c r="O45" s="2" t="s">
        <v>146</v>
      </c>
      <c r="P45" s="1" t="s">
        <v>97</v>
      </c>
      <c r="Q45" s="2" t="s">
        <v>338</v>
      </c>
      <c r="R45" s="2" t="s">
        <v>80</v>
      </c>
      <c r="S45" s="11">
        <v>0.31</v>
      </c>
      <c r="T45" s="12"/>
      <c r="U45" s="30">
        <f t="shared" si="110"/>
        <v>90</v>
      </c>
      <c r="V45" s="30">
        <f t="shared" si="111"/>
        <v>27.9</v>
      </c>
      <c r="W45" s="30">
        <f t="shared" si="112"/>
        <v>7440</v>
      </c>
      <c r="X45" s="30">
        <f t="shared" si="113"/>
        <v>0</v>
      </c>
      <c r="Y45" s="30">
        <v>12000</v>
      </c>
      <c r="Z45" s="30">
        <f t="shared" si="114"/>
        <v>3720</v>
      </c>
      <c r="AA45" s="30">
        <v>12000</v>
      </c>
      <c r="AB45" s="30">
        <f t="shared" si="115"/>
        <v>3720</v>
      </c>
      <c r="AC45" s="30"/>
      <c r="AD45" s="30">
        <v>12000</v>
      </c>
      <c r="AE45" s="30">
        <f t="shared" si="116"/>
        <v>3720</v>
      </c>
      <c r="AF45" s="30">
        <v>12000</v>
      </c>
      <c r="AG45" s="30">
        <f t="shared" si="117"/>
        <v>3720</v>
      </c>
      <c r="AH45" s="30">
        <v>12000</v>
      </c>
      <c r="AI45" s="30">
        <v>12000</v>
      </c>
      <c r="AJ45" s="30">
        <f t="shared" si="118"/>
        <v>3720</v>
      </c>
      <c r="AK45" s="30">
        <v>12000</v>
      </c>
      <c r="AL45" s="30">
        <f t="shared" si="119"/>
        <v>3720</v>
      </c>
      <c r="AM45" s="30">
        <v>12000</v>
      </c>
      <c r="AN45" s="30">
        <v>6000</v>
      </c>
      <c r="AO45" s="30">
        <f t="shared" si="120"/>
        <v>1860</v>
      </c>
      <c r="AP45" s="30">
        <v>12000</v>
      </c>
      <c r="AQ45" s="30">
        <f t="shared" si="121"/>
        <v>3720</v>
      </c>
      <c r="AR45" s="30"/>
      <c r="AS45" s="30">
        <v>6000</v>
      </c>
      <c r="AT45" s="30">
        <f t="shared" si="122"/>
        <v>1860</v>
      </c>
      <c r="AU45" s="30">
        <v>12000</v>
      </c>
      <c r="AV45" s="30">
        <f t="shared" si="123"/>
        <v>3720</v>
      </c>
      <c r="AW45" s="30"/>
      <c r="AX45" s="30">
        <v>6000</v>
      </c>
      <c r="AY45" s="30">
        <f t="shared" si="124"/>
        <v>1860</v>
      </c>
      <c r="AZ45" s="30">
        <v>12000</v>
      </c>
      <c r="BA45" s="30">
        <v>3720</v>
      </c>
      <c r="BB45" s="145">
        <v>12000</v>
      </c>
      <c r="BC45" s="45">
        <v>6000</v>
      </c>
      <c r="BD45" s="45">
        <f t="shared" si="125"/>
        <v>1860</v>
      </c>
      <c r="BE45" s="30">
        <v>12000</v>
      </c>
      <c r="BF45" s="30">
        <f t="shared" si="126"/>
        <v>3720</v>
      </c>
      <c r="BG45" s="30"/>
      <c r="BH45" s="30">
        <v>6000</v>
      </c>
      <c r="BI45" s="30">
        <f t="shared" si="127"/>
        <v>1860</v>
      </c>
      <c r="BJ45" s="30"/>
      <c r="BK45" s="30">
        <f t="shared" si="128"/>
        <v>0</v>
      </c>
      <c r="BL45" s="30"/>
      <c r="BM45" s="30">
        <v>6000</v>
      </c>
      <c r="BN45" s="30">
        <f t="shared" si="129"/>
        <v>1860</v>
      </c>
      <c r="BO45" s="30">
        <v>12000</v>
      </c>
      <c r="BP45" s="30">
        <f t="shared" si="130"/>
        <v>3720</v>
      </c>
      <c r="BQ45" s="30"/>
      <c r="BR45" s="30">
        <v>6000</v>
      </c>
      <c r="BS45" s="30">
        <f t="shared" si="131"/>
        <v>1860</v>
      </c>
      <c r="BT45" s="30"/>
      <c r="BU45" s="30">
        <f t="shared" si="132"/>
        <v>0</v>
      </c>
      <c r="BV45" s="30"/>
      <c r="BW45" s="30">
        <v>6000</v>
      </c>
      <c r="BX45" s="30">
        <f t="shared" si="133"/>
        <v>1860</v>
      </c>
      <c r="BY45" s="30"/>
      <c r="BZ45" s="30">
        <f t="shared" si="134"/>
        <v>0</v>
      </c>
      <c r="CA45" s="30"/>
      <c r="CB45" s="30">
        <v>6000</v>
      </c>
      <c r="CC45" s="30">
        <f t="shared" si="135"/>
        <v>1860</v>
      </c>
      <c r="CD45" s="30"/>
      <c r="CE45" s="30">
        <f t="shared" si="136"/>
        <v>0</v>
      </c>
      <c r="CF45" s="30"/>
      <c r="CG45" s="2"/>
    </row>
    <row r="46" spans="1:85" x14ac:dyDescent="0.4">
      <c r="A46" s="2" t="s">
        <v>110</v>
      </c>
      <c r="B46" s="2" t="s">
        <v>262</v>
      </c>
      <c r="C46" s="2" t="s">
        <v>263</v>
      </c>
      <c r="D46" s="2" t="s">
        <v>265</v>
      </c>
      <c r="E46" s="165" t="s">
        <v>266</v>
      </c>
      <c r="F46" s="2" t="s">
        <v>174</v>
      </c>
      <c r="G46" s="2" t="s">
        <v>187</v>
      </c>
      <c r="H46" s="2"/>
      <c r="I46" s="2"/>
      <c r="J46" s="2"/>
      <c r="K46" s="2" t="s">
        <v>267</v>
      </c>
      <c r="L46" s="13" t="s">
        <v>268</v>
      </c>
      <c r="M46" s="2" t="s">
        <v>87</v>
      </c>
      <c r="N46" s="2" t="s">
        <v>87</v>
      </c>
      <c r="O46" s="2" t="s">
        <v>88</v>
      </c>
      <c r="P46" s="2" t="s">
        <v>85</v>
      </c>
      <c r="Q46" s="2" t="s">
        <v>339</v>
      </c>
      <c r="R46" s="2" t="s">
        <v>83</v>
      </c>
      <c r="S46" s="11">
        <v>8.2699999999999996E-2</v>
      </c>
      <c r="T46" s="12">
        <v>51000</v>
      </c>
      <c r="U46" s="30">
        <f t="shared" si="110"/>
        <v>420</v>
      </c>
      <c r="V46" s="30">
        <f t="shared" si="111"/>
        <v>34.734000000000002</v>
      </c>
      <c r="W46" s="30">
        <f t="shared" si="112"/>
        <v>8683.5</v>
      </c>
      <c r="X46" s="30">
        <f t="shared" si="113"/>
        <v>116000</v>
      </c>
      <c r="Y46" s="30">
        <v>35000</v>
      </c>
      <c r="Z46" s="30">
        <f t="shared" si="114"/>
        <v>2894.5</v>
      </c>
      <c r="AA46" s="30">
        <v>35000</v>
      </c>
      <c r="AB46" s="30">
        <f t="shared" si="115"/>
        <v>2894.5</v>
      </c>
      <c r="AC46" s="30"/>
      <c r="AD46" s="30">
        <v>35000</v>
      </c>
      <c r="AE46" s="30">
        <f t="shared" si="116"/>
        <v>2894.5</v>
      </c>
      <c r="AF46" s="30">
        <v>35000</v>
      </c>
      <c r="AG46" s="30">
        <f t="shared" si="117"/>
        <v>2894.5</v>
      </c>
      <c r="AH46" s="30"/>
      <c r="AI46" s="30">
        <v>35000</v>
      </c>
      <c r="AJ46" s="30">
        <f t="shared" si="118"/>
        <v>2894.5</v>
      </c>
      <c r="AK46" s="30">
        <v>35000</v>
      </c>
      <c r="AL46" s="30">
        <f t="shared" si="119"/>
        <v>2894.5</v>
      </c>
      <c r="AM46" s="30"/>
      <c r="AN46" s="30">
        <v>35000</v>
      </c>
      <c r="AO46" s="30">
        <f t="shared" si="120"/>
        <v>2894.5</v>
      </c>
      <c r="AP46" s="30">
        <v>35000</v>
      </c>
      <c r="AQ46" s="30">
        <f t="shared" si="121"/>
        <v>2894.5</v>
      </c>
      <c r="AR46" s="30">
        <v>7000</v>
      </c>
      <c r="AS46" s="30">
        <v>35000</v>
      </c>
      <c r="AT46" s="30">
        <f t="shared" si="122"/>
        <v>2894.5</v>
      </c>
      <c r="AU46" s="30">
        <v>35000</v>
      </c>
      <c r="AV46" s="30">
        <f t="shared" si="123"/>
        <v>2894.5</v>
      </c>
      <c r="AW46" s="30">
        <v>35000</v>
      </c>
      <c r="AX46" s="30">
        <v>35000</v>
      </c>
      <c r="AY46" s="30">
        <f t="shared" si="124"/>
        <v>2894.5</v>
      </c>
      <c r="AZ46" s="30">
        <v>35000</v>
      </c>
      <c r="BA46" s="30">
        <v>2894.5</v>
      </c>
      <c r="BB46" s="36">
        <v>11000</v>
      </c>
      <c r="BC46" s="45">
        <v>35000</v>
      </c>
      <c r="BD46" s="45">
        <f t="shared" si="125"/>
        <v>2894.5</v>
      </c>
      <c r="BE46" s="30">
        <v>35000</v>
      </c>
      <c r="BF46" s="30">
        <f t="shared" si="126"/>
        <v>2894.5</v>
      </c>
      <c r="BG46" s="142">
        <v>51000</v>
      </c>
      <c r="BH46" s="30">
        <v>35000</v>
      </c>
      <c r="BI46" s="30">
        <f t="shared" si="127"/>
        <v>2894.5</v>
      </c>
      <c r="BJ46" s="30">
        <v>35000</v>
      </c>
      <c r="BK46" s="30">
        <f t="shared" si="128"/>
        <v>2894.5</v>
      </c>
      <c r="BL46" s="146">
        <v>30000</v>
      </c>
      <c r="BM46" s="30">
        <v>35000</v>
      </c>
      <c r="BN46" s="30">
        <f t="shared" si="129"/>
        <v>2894.5</v>
      </c>
      <c r="BO46" s="30">
        <v>35000</v>
      </c>
      <c r="BP46" s="30">
        <f t="shared" si="130"/>
        <v>2894.5</v>
      </c>
      <c r="BQ46" s="142">
        <v>35000</v>
      </c>
      <c r="BR46" s="30">
        <v>35000</v>
      </c>
      <c r="BS46" s="30">
        <f t="shared" si="131"/>
        <v>2894.5</v>
      </c>
      <c r="BT46" s="30"/>
      <c r="BU46" s="30">
        <f t="shared" si="132"/>
        <v>0</v>
      </c>
      <c r="BV46" s="30"/>
      <c r="BW46" s="30">
        <v>35000</v>
      </c>
      <c r="BX46" s="30">
        <f t="shared" si="133"/>
        <v>2894.5</v>
      </c>
      <c r="BY46" s="30"/>
      <c r="BZ46" s="30">
        <f t="shared" si="134"/>
        <v>0</v>
      </c>
      <c r="CA46" s="30"/>
      <c r="CB46" s="30">
        <v>35000</v>
      </c>
      <c r="CC46" s="30">
        <f t="shared" si="135"/>
        <v>2894.5</v>
      </c>
      <c r="CD46" s="30"/>
      <c r="CE46" s="30">
        <f t="shared" si="136"/>
        <v>0</v>
      </c>
      <c r="CF46" s="30"/>
      <c r="CG46" s="2"/>
    </row>
    <row r="47" spans="1:85" x14ac:dyDescent="0.4">
      <c r="A47" s="2" t="s">
        <v>110</v>
      </c>
      <c r="B47" s="2" t="s">
        <v>262</v>
      </c>
      <c r="C47" s="2" t="s">
        <v>263</v>
      </c>
      <c r="D47" s="2" t="s">
        <v>265</v>
      </c>
      <c r="E47" s="165" t="s">
        <v>266</v>
      </c>
      <c r="F47" s="2" t="s">
        <v>174</v>
      </c>
      <c r="G47" s="2" t="s">
        <v>187</v>
      </c>
      <c r="H47" s="2"/>
      <c r="I47" s="2" t="s">
        <v>174</v>
      </c>
      <c r="J47" s="2" t="s">
        <v>187</v>
      </c>
      <c r="K47" s="2" t="s">
        <v>267</v>
      </c>
      <c r="L47" s="13" t="s">
        <v>268</v>
      </c>
      <c r="M47" s="2" t="s">
        <v>87</v>
      </c>
      <c r="N47" s="2" t="s">
        <v>87</v>
      </c>
      <c r="O47" s="2" t="s">
        <v>88</v>
      </c>
      <c r="P47" s="2" t="s">
        <v>85</v>
      </c>
      <c r="Q47" s="2" t="s">
        <v>340</v>
      </c>
      <c r="R47" s="2" t="s">
        <v>80</v>
      </c>
      <c r="S47" s="11">
        <v>9.2999999999999999E-2</v>
      </c>
      <c r="T47" s="12">
        <v>88500</v>
      </c>
      <c r="U47" s="30">
        <f t="shared" si="110"/>
        <v>360</v>
      </c>
      <c r="V47" s="30">
        <f t="shared" si="111"/>
        <v>33.479999999999997</v>
      </c>
      <c r="W47" s="30">
        <f t="shared" si="112"/>
        <v>8370</v>
      </c>
      <c r="X47" s="30">
        <f t="shared" si="113"/>
        <v>120000</v>
      </c>
      <c r="Y47" s="30">
        <v>30000</v>
      </c>
      <c r="Z47" s="30">
        <f t="shared" si="114"/>
        <v>2790</v>
      </c>
      <c r="AA47" s="30">
        <v>30000</v>
      </c>
      <c r="AB47" s="30">
        <f t="shared" si="115"/>
        <v>2790</v>
      </c>
      <c r="AC47" s="30">
        <v>32500</v>
      </c>
      <c r="AD47" s="30">
        <v>30000</v>
      </c>
      <c r="AE47" s="30">
        <f t="shared" si="116"/>
        <v>2790</v>
      </c>
      <c r="AF47" s="30">
        <v>30000</v>
      </c>
      <c r="AG47" s="30">
        <f t="shared" si="117"/>
        <v>2790</v>
      </c>
      <c r="AH47" s="30">
        <v>55500</v>
      </c>
      <c r="AI47" s="30">
        <v>30000</v>
      </c>
      <c r="AJ47" s="30">
        <f t="shared" si="118"/>
        <v>2790</v>
      </c>
      <c r="AK47" s="30">
        <v>30000</v>
      </c>
      <c r="AL47" s="30">
        <f t="shared" si="119"/>
        <v>2790</v>
      </c>
      <c r="AM47" s="30">
        <v>10500</v>
      </c>
      <c r="AN47" s="30">
        <v>30000</v>
      </c>
      <c r="AO47" s="30">
        <f t="shared" si="120"/>
        <v>2790</v>
      </c>
      <c r="AP47" s="30">
        <v>30000</v>
      </c>
      <c r="AQ47" s="30">
        <f t="shared" si="121"/>
        <v>2790</v>
      </c>
      <c r="AR47" s="30">
        <v>30000</v>
      </c>
      <c r="AS47" s="30">
        <v>30000</v>
      </c>
      <c r="AT47" s="30">
        <f t="shared" si="122"/>
        <v>2790</v>
      </c>
      <c r="AU47" s="30">
        <v>30000</v>
      </c>
      <c r="AV47" s="30">
        <f t="shared" si="123"/>
        <v>2790</v>
      </c>
      <c r="AW47" s="30">
        <v>34000</v>
      </c>
      <c r="AX47" s="30">
        <v>30000</v>
      </c>
      <c r="AY47" s="30">
        <f t="shared" si="124"/>
        <v>2790</v>
      </c>
      <c r="AZ47" s="30">
        <v>30000</v>
      </c>
      <c r="BA47" s="30">
        <v>2790</v>
      </c>
      <c r="BB47" s="36">
        <v>26000</v>
      </c>
      <c r="BC47" s="45">
        <v>30000</v>
      </c>
      <c r="BD47" s="45">
        <f t="shared" si="125"/>
        <v>2790</v>
      </c>
      <c r="BE47" s="30">
        <v>30000</v>
      </c>
      <c r="BF47" s="30">
        <f t="shared" si="126"/>
        <v>2790</v>
      </c>
      <c r="BG47" s="142">
        <v>86000</v>
      </c>
      <c r="BH47" s="30">
        <v>30000</v>
      </c>
      <c r="BI47" s="30">
        <f t="shared" si="127"/>
        <v>2790</v>
      </c>
      <c r="BJ47" s="30">
        <v>30000</v>
      </c>
      <c r="BK47" s="30">
        <f t="shared" si="128"/>
        <v>2790</v>
      </c>
      <c r="BL47" s="34"/>
      <c r="BM47" s="30">
        <v>30000</v>
      </c>
      <c r="BN47" s="30">
        <f t="shared" si="129"/>
        <v>2790</v>
      </c>
      <c r="BO47" s="30">
        <v>30000</v>
      </c>
      <c r="BP47" s="30">
        <f t="shared" si="130"/>
        <v>2790</v>
      </c>
      <c r="BQ47" s="142">
        <v>34000</v>
      </c>
      <c r="BR47" s="30">
        <v>30000</v>
      </c>
      <c r="BS47" s="30">
        <f t="shared" si="131"/>
        <v>2790</v>
      </c>
      <c r="BT47" s="30"/>
      <c r="BU47" s="30">
        <f t="shared" si="132"/>
        <v>0</v>
      </c>
      <c r="BV47" s="30"/>
      <c r="BW47" s="30">
        <v>30000</v>
      </c>
      <c r="BX47" s="30">
        <f t="shared" si="133"/>
        <v>2790</v>
      </c>
      <c r="BY47" s="30"/>
      <c r="BZ47" s="30">
        <f t="shared" si="134"/>
        <v>0</v>
      </c>
      <c r="CA47" s="30"/>
      <c r="CB47" s="30">
        <v>30000</v>
      </c>
      <c r="CC47" s="30">
        <f t="shared" si="135"/>
        <v>2790</v>
      </c>
      <c r="CD47" s="30"/>
      <c r="CE47" s="30">
        <f t="shared" si="136"/>
        <v>0</v>
      </c>
      <c r="CF47" s="30"/>
      <c r="CG47" s="2"/>
    </row>
    <row r="48" spans="1:85" x14ac:dyDescent="0.4">
      <c r="A48" s="2" t="s">
        <v>110</v>
      </c>
      <c r="B48" s="2" t="s">
        <v>262</v>
      </c>
      <c r="C48" s="2" t="s">
        <v>263</v>
      </c>
      <c r="D48" s="2" t="s">
        <v>265</v>
      </c>
      <c r="E48" s="165" t="s">
        <v>266</v>
      </c>
      <c r="F48" s="2"/>
      <c r="G48" s="2"/>
      <c r="H48" s="2"/>
      <c r="I48" s="2" t="s">
        <v>334</v>
      </c>
      <c r="J48" s="2" t="s">
        <v>198</v>
      </c>
      <c r="K48" s="2" t="s">
        <v>267</v>
      </c>
      <c r="L48" s="13" t="s">
        <v>268</v>
      </c>
      <c r="M48" s="14" t="s">
        <v>96</v>
      </c>
      <c r="N48" s="14" t="s">
        <v>96</v>
      </c>
      <c r="O48" s="2" t="s">
        <v>146</v>
      </c>
      <c r="P48" s="1" t="s">
        <v>97</v>
      </c>
      <c r="Q48" s="2" t="s">
        <v>341</v>
      </c>
      <c r="R48" s="2" t="s">
        <v>80</v>
      </c>
      <c r="S48" s="11">
        <v>0.41</v>
      </c>
      <c r="T48" s="12"/>
      <c r="U48" s="30">
        <f t="shared" si="110"/>
        <v>20</v>
      </c>
      <c r="V48" s="30">
        <f t="shared" si="111"/>
        <v>8.1999999999999993</v>
      </c>
      <c r="W48" s="30">
        <f t="shared" si="112"/>
        <v>4100</v>
      </c>
      <c r="X48" s="30">
        <f t="shared" si="113"/>
        <v>0</v>
      </c>
      <c r="Y48" s="30">
        <v>5000</v>
      </c>
      <c r="Z48" s="30">
        <f t="shared" si="114"/>
        <v>2050</v>
      </c>
      <c r="AA48" s="30">
        <v>5000</v>
      </c>
      <c r="AB48" s="30">
        <f t="shared" si="115"/>
        <v>2050</v>
      </c>
      <c r="AC48" s="30"/>
      <c r="AD48" s="30"/>
      <c r="AE48" s="30">
        <f t="shared" si="116"/>
        <v>0</v>
      </c>
      <c r="AF48" s="30">
        <v>5000</v>
      </c>
      <c r="AG48" s="30">
        <f t="shared" si="117"/>
        <v>2050</v>
      </c>
      <c r="AH48" s="30"/>
      <c r="AI48" s="30"/>
      <c r="AJ48" s="30">
        <f t="shared" si="118"/>
        <v>0</v>
      </c>
      <c r="AK48" s="30">
        <v>5000</v>
      </c>
      <c r="AL48" s="30">
        <f t="shared" si="119"/>
        <v>2050</v>
      </c>
      <c r="AM48" s="30"/>
      <c r="AN48" s="30"/>
      <c r="AO48" s="30">
        <f t="shared" si="120"/>
        <v>0</v>
      </c>
      <c r="AP48" s="30">
        <v>5000</v>
      </c>
      <c r="AQ48" s="30">
        <f t="shared" si="121"/>
        <v>2050</v>
      </c>
      <c r="AR48" s="30"/>
      <c r="AS48" s="30"/>
      <c r="AT48" s="30">
        <f t="shared" si="122"/>
        <v>0</v>
      </c>
      <c r="AU48" s="30">
        <v>5000</v>
      </c>
      <c r="AV48" s="30">
        <f t="shared" si="123"/>
        <v>2050</v>
      </c>
      <c r="AW48" s="30"/>
      <c r="AX48" s="30">
        <v>5000</v>
      </c>
      <c r="AY48" s="30">
        <f t="shared" si="124"/>
        <v>2050</v>
      </c>
      <c r="AZ48" s="30">
        <v>5000</v>
      </c>
      <c r="BA48" s="30">
        <v>2050</v>
      </c>
      <c r="BB48" s="30"/>
      <c r="BC48" s="45"/>
      <c r="BD48" s="45">
        <f t="shared" si="125"/>
        <v>0</v>
      </c>
      <c r="BE48" s="30">
        <v>5000</v>
      </c>
      <c r="BF48" s="30">
        <f t="shared" si="126"/>
        <v>2050</v>
      </c>
      <c r="BG48" s="30"/>
      <c r="BH48" s="30"/>
      <c r="BI48" s="30">
        <f t="shared" si="127"/>
        <v>0</v>
      </c>
      <c r="BJ48" s="30"/>
      <c r="BK48" s="30">
        <f t="shared" si="128"/>
        <v>0</v>
      </c>
      <c r="BL48" s="30"/>
      <c r="BM48" s="30">
        <v>5000</v>
      </c>
      <c r="BN48" s="30">
        <f t="shared" si="129"/>
        <v>2050</v>
      </c>
      <c r="BO48" s="30">
        <v>5000</v>
      </c>
      <c r="BP48" s="30">
        <f t="shared" si="130"/>
        <v>2050</v>
      </c>
      <c r="BQ48" s="30"/>
      <c r="BR48" s="30"/>
      <c r="BS48" s="30">
        <f t="shared" si="131"/>
        <v>0</v>
      </c>
      <c r="BT48" s="30"/>
      <c r="BU48" s="30">
        <f t="shared" si="132"/>
        <v>0</v>
      </c>
      <c r="BV48" s="30"/>
      <c r="BW48" s="30"/>
      <c r="BX48" s="30">
        <f t="shared" si="133"/>
        <v>0</v>
      </c>
      <c r="BY48" s="30"/>
      <c r="BZ48" s="30">
        <f t="shared" si="134"/>
        <v>0</v>
      </c>
      <c r="CA48" s="30"/>
      <c r="CB48" s="30">
        <v>5000</v>
      </c>
      <c r="CC48" s="30">
        <f t="shared" si="135"/>
        <v>2050</v>
      </c>
      <c r="CD48" s="30"/>
      <c r="CE48" s="30">
        <f t="shared" si="136"/>
        <v>0</v>
      </c>
      <c r="CF48" s="30"/>
      <c r="CG48" s="2"/>
    </row>
    <row r="49" spans="1:85" x14ac:dyDescent="0.4">
      <c r="A49" s="2" t="s">
        <v>110</v>
      </c>
      <c r="B49" s="2" t="s">
        <v>262</v>
      </c>
      <c r="C49" s="2" t="s">
        <v>263</v>
      </c>
      <c r="D49" s="2" t="s">
        <v>265</v>
      </c>
      <c r="E49" s="165" t="s">
        <v>266</v>
      </c>
      <c r="F49" s="2" t="s">
        <v>174</v>
      </c>
      <c r="G49" s="2" t="s">
        <v>187</v>
      </c>
      <c r="H49" s="2"/>
      <c r="I49" s="2" t="s">
        <v>174</v>
      </c>
      <c r="J49" s="2" t="s">
        <v>187</v>
      </c>
      <c r="K49" s="2" t="s">
        <v>267</v>
      </c>
      <c r="L49" s="13" t="s">
        <v>268</v>
      </c>
      <c r="M49" s="2" t="s">
        <v>87</v>
      </c>
      <c r="N49" s="2" t="s">
        <v>87</v>
      </c>
      <c r="O49" s="2" t="s">
        <v>88</v>
      </c>
      <c r="P49" s="2" t="s">
        <v>85</v>
      </c>
      <c r="Q49" s="2" t="s">
        <v>289</v>
      </c>
      <c r="R49" s="2" t="s">
        <v>80</v>
      </c>
      <c r="S49" s="11">
        <v>6.3E-2</v>
      </c>
      <c r="T49" s="12">
        <v>69300</v>
      </c>
      <c r="U49" s="30">
        <f t="shared" si="110"/>
        <v>360</v>
      </c>
      <c r="V49" s="30">
        <f t="shared" si="111"/>
        <v>22.68</v>
      </c>
      <c r="W49" s="30">
        <f t="shared" si="112"/>
        <v>5670</v>
      </c>
      <c r="X49" s="30">
        <f t="shared" si="113"/>
        <v>126900</v>
      </c>
      <c r="Y49" s="30">
        <v>30000</v>
      </c>
      <c r="Z49" s="30">
        <f t="shared" si="114"/>
        <v>1890</v>
      </c>
      <c r="AA49" s="30">
        <v>30000</v>
      </c>
      <c r="AB49" s="30">
        <f t="shared" si="115"/>
        <v>1890</v>
      </c>
      <c r="AC49" s="30"/>
      <c r="AD49" s="30">
        <v>30000</v>
      </c>
      <c r="AE49" s="30">
        <f t="shared" si="116"/>
        <v>1890</v>
      </c>
      <c r="AF49" s="30">
        <v>30000</v>
      </c>
      <c r="AG49" s="30">
        <f t="shared" si="117"/>
        <v>1890</v>
      </c>
      <c r="AH49" s="30"/>
      <c r="AI49" s="30">
        <v>30000</v>
      </c>
      <c r="AJ49" s="30">
        <f t="shared" si="118"/>
        <v>1890</v>
      </c>
      <c r="AK49" s="30">
        <v>30000</v>
      </c>
      <c r="AL49" s="30">
        <f t="shared" si="119"/>
        <v>1890</v>
      </c>
      <c r="AM49" s="30"/>
      <c r="AN49" s="30">
        <v>30000</v>
      </c>
      <c r="AO49" s="30">
        <f t="shared" si="120"/>
        <v>1890</v>
      </c>
      <c r="AP49" s="30">
        <v>30000</v>
      </c>
      <c r="AQ49" s="30">
        <f t="shared" si="121"/>
        <v>1890</v>
      </c>
      <c r="AR49" s="30">
        <v>34200</v>
      </c>
      <c r="AS49" s="30">
        <v>30000</v>
      </c>
      <c r="AT49" s="30">
        <f t="shared" si="122"/>
        <v>1890</v>
      </c>
      <c r="AU49" s="30">
        <v>30000</v>
      </c>
      <c r="AV49" s="30">
        <f t="shared" si="123"/>
        <v>1890</v>
      </c>
      <c r="AW49" s="30">
        <v>33300</v>
      </c>
      <c r="AX49" s="30">
        <v>30000</v>
      </c>
      <c r="AY49" s="30">
        <f t="shared" si="124"/>
        <v>1890</v>
      </c>
      <c r="AZ49" s="30">
        <v>30000</v>
      </c>
      <c r="BA49" s="30">
        <v>1890</v>
      </c>
      <c r="BB49" s="36">
        <v>20700</v>
      </c>
      <c r="BC49" s="45">
        <v>30000</v>
      </c>
      <c r="BD49" s="45">
        <f t="shared" si="125"/>
        <v>1890</v>
      </c>
      <c r="BE49" s="30">
        <v>30000</v>
      </c>
      <c r="BF49" s="30">
        <f t="shared" si="126"/>
        <v>1890</v>
      </c>
      <c r="BG49" s="142">
        <v>53100</v>
      </c>
      <c r="BH49" s="30">
        <v>30000</v>
      </c>
      <c r="BI49" s="30">
        <f t="shared" si="127"/>
        <v>1890</v>
      </c>
      <c r="BJ49" s="30">
        <v>30000</v>
      </c>
      <c r="BK49" s="30">
        <f t="shared" si="128"/>
        <v>1890</v>
      </c>
      <c r="BL49" s="146">
        <v>54000</v>
      </c>
      <c r="BM49" s="30">
        <v>30000</v>
      </c>
      <c r="BN49" s="30">
        <f t="shared" si="129"/>
        <v>1890</v>
      </c>
      <c r="BO49" s="30">
        <v>30000</v>
      </c>
      <c r="BP49" s="30">
        <f t="shared" si="130"/>
        <v>1890</v>
      </c>
      <c r="BQ49" s="142">
        <v>19800</v>
      </c>
      <c r="BR49" s="30">
        <v>30000</v>
      </c>
      <c r="BS49" s="30">
        <f t="shared" si="131"/>
        <v>1890</v>
      </c>
      <c r="BT49" s="30"/>
      <c r="BU49" s="30">
        <f t="shared" si="132"/>
        <v>0</v>
      </c>
      <c r="BV49" s="30"/>
      <c r="BW49" s="30">
        <v>30000</v>
      </c>
      <c r="BX49" s="30">
        <f t="shared" si="133"/>
        <v>1890</v>
      </c>
      <c r="BY49" s="30"/>
      <c r="BZ49" s="30">
        <f t="shared" si="134"/>
        <v>0</v>
      </c>
      <c r="CA49" s="30"/>
      <c r="CB49" s="30">
        <v>30000</v>
      </c>
      <c r="CC49" s="30">
        <f t="shared" si="135"/>
        <v>1890</v>
      </c>
      <c r="CD49" s="30"/>
      <c r="CE49" s="30">
        <f t="shared" si="136"/>
        <v>0</v>
      </c>
      <c r="CF49" s="30"/>
      <c r="CG49" s="2"/>
    </row>
    <row r="50" spans="1:85" x14ac:dyDescent="0.4">
      <c r="A50" s="2" t="s">
        <v>110</v>
      </c>
      <c r="B50" s="2" t="s">
        <v>262</v>
      </c>
      <c r="C50" s="2" t="s">
        <v>263</v>
      </c>
      <c r="D50" s="2" t="s">
        <v>265</v>
      </c>
      <c r="E50" s="165" t="s">
        <v>266</v>
      </c>
      <c r="F50" s="2"/>
      <c r="G50" s="2"/>
      <c r="H50" s="2"/>
      <c r="I50" s="2" t="s">
        <v>334</v>
      </c>
      <c r="J50" s="2" t="s">
        <v>198</v>
      </c>
      <c r="K50" s="2" t="s">
        <v>267</v>
      </c>
      <c r="L50" s="13" t="s">
        <v>268</v>
      </c>
      <c r="M50" s="14" t="s">
        <v>286</v>
      </c>
      <c r="N50" s="14" t="s">
        <v>286</v>
      </c>
      <c r="O50" s="2" t="s">
        <v>78</v>
      </c>
      <c r="P50" s="2" t="s">
        <v>148</v>
      </c>
      <c r="Q50" s="2" t="s">
        <v>342</v>
      </c>
      <c r="R50" s="2" t="s">
        <v>80</v>
      </c>
      <c r="S50" s="11">
        <v>4.7E-2</v>
      </c>
      <c r="T50" s="12">
        <v>20000</v>
      </c>
      <c r="U50" s="30">
        <f t="shared" si="110"/>
        <v>2280</v>
      </c>
      <c r="V50" s="30">
        <f t="shared" si="111"/>
        <v>107.16</v>
      </c>
      <c r="W50" s="30">
        <f t="shared" si="112"/>
        <v>5640</v>
      </c>
      <c r="X50" s="30">
        <f t="shared" si="113"/>
        <v>160000</v>
      </c>
      <c r="Y50" s="30">
        <v>190000</v>
      </c>
      <c r="Z50" s="30">
        <f t="shared" si="114"/>
        <v>8930</v>
      </c>
      <c r="AA50" s="30">
        <v>190000</v>
      </c>
      <c r="AB50" s="30">
        <f t="shared" si="115"/>
        <v>8930</v>
      </c>
      <c r="AC50" s="30"/>
      <c r="AD50" s="30">
        <v>190000</v>
      </c>
      <c r="AE50" s="30">
        <f t="shared" si="116"/>
        <v>8930</v>
      </c>
      <c r="AF50" s="30">
        <v>40000</v>
      </c>
      <c r="AG50" s="30">
        <f t="shared" si="117"/>
        <v>1880</v>
      </c>
      <c r="AH50" s="30">
        <v>46000</v>
      </c>
      <c r="AI50" s="30">
        <v>190000</v>
      </c>
      <c r="AJ50" s="30">
        <f t="shared" si="118"/>
        <v>8930</v>
      </c>
      <c r="AK50" s="30">
        <v>40000</v>
      </c>
      <c r="AL50" s="30">
        <f t="shared" si="119"/>
        <v>1880</v>
      </c>
      <c r="AM50" s="30">
        <v>30000</v>
      </c>
      <c r="AN50" s="30">
        <v>190000</v>
      </c>
      <c r="AO50" s="30">
        <f t="shared" si="120"/>
        <v>8930</v>
      </c>
      <c r="AP50" s="30">
        <v>40000</v>
      </c>
      <c r="AQ50" s="30">
        <f t="shared" si="121"/>
        <v>1880</v>
      </c>
      <c r="AR50" s="30">
        <v>30000</v>
      </c>
      <c r="AS50" s="30">
        <v>190000</v>
      </c>
      <c r="AT50" s="30">
        <f t="shared" si="122"/>
        <v>8930</v>
      </c>
      <c r="AU50" s="30">
        <v>40000</v>
      </c>
      <c r="AV50" s="30">
        <f t="shared" si="123"/>
        <v>1880</v>
      </c>
      <c r="AW50" s="33">
        <v>26000</v>
      </c>
      <c r="AX50" s="30">
        <v>190000</v>
      </c>
      <c r="AY50" s="30">
        <f t="shared" si="124"/>
        <v>8930</v>
      </c>
      <c r="AZ50" s="30">
        <v>40000</v>
      </c>
      <c r="BA50" s="30">
        <v>1880</v>
      </c>
      <c r="BB50" s="145">
        <v>60000</v>
      </c>
      <c r="BC50" s="45">
        <v>190000</v>
      </c>
      <c r="BD50" s="45">
        <f t="shared" si="125"/>
        <v>8930</v>
      </c>
      <c r="BE50" s="30">
        <v>40000</v>
      </c>
      <c r="BF50" s="30">
        <f t="shared" si="126"/>
        <v>1880</v>
      </c>
      <c r="BG50" s="146">
        <v>60000</v>
      </c>
      <c r="BH50" s="30">
        <v>190000</v>
      </c>
      <c r="BI50" s="30">
        <f t="shared" si="127"/>
        <v>8930</v>
      </c>
      <c r="BJ50" s="30">
        <v>40000</v>
      </c>
      <c r="BK50" s="30">
        <f t="shared" si="128"/>
        <v>1880</v>
      </c>
      <c r="BL50" s="30"/>
      <c r="BM50" s="30">
        <v>190000</v>
      </c>
      <c r="BN50" s="30">
        <f t="shared" si="129"/>
        <v>8930</v>
      </c>
      <c r="BO50" s="30">
        <v>40000</v>
      </c>
      <c r="BP50" s="30">
        <f t="shared" si="130"/>
        <v>1880</v>
      </c>
      <c r="BQ50" s="146">
        <v>30000</v>
      </c>
      <c r="BR50" s="30">
        <v>190000</v>
      </c>
      <c r="BS50" s="30">
        <f t="shared" si="131"/>
        <v>8930</v>
      </c>
      <c r="BT50" s="30"/>
      <c r="BU50" s="30">
        <f t="shared" si="132"/>
        <v>0</v>
      </c>
      <c r="BV50" s="146">
        <v>30000</v>
      </c>
      <c r="BW50" s="30">
        <v>190000</v>
      </c>
      <c r="BX50" s="30">
        <f t="shared" si="133"/>
        <v>8930</v>
      </c>
      <c r="BY50" s="30"/>
      <c r="BZ50" s="30">
        <f t="shared" si="134"/>
        <v>0</v>
      </c>
      <c r="CA50" s="30"/>
      <c r="CB50" s="30">
        <v>190000</v>
      </c>
      <c r="CC50" s="30">
        <f t="shared" si="135"/>
        <v>8930</v>
      </c>
      <c r="CD50" s="30"/>
      <c r="CE50" s="30">
        <f t="shared" si="136"/>
        <v>0</v>
      </c>
      <c r="CF50" s="146">
        <v>40000</v>
      </c>
      <c r="CG50" s="2"/>
    </row>
    <row r="51" spans="1:85" x14ac:dyDescent="0.4">
      <c r="A51" s="2" t="s">
        <v>110</v>
      </c>
      <c r="B51" s="2" t="s">
        <v>262</v>
      </c>
      <c r="C51" s="2" t="s">
        <v>263</v>
      </c>
      <c r="D51" s="2" t="s">
        <v>265</v>
      </c>
      <c r="E51" s="165" t="s">
        <v>266</v>
      </c>
      <c r="F51" s="2" t="s">
        <v>174</v>
      </c>
      <c r="G51" s="2" t="s">
        <v>187</v>
      </c>
      <c r="H51" s="2" t="s">
        <v>266</v>
      </c>
      <c r="I51" s="2" t="s">
        <v>174</v>
      </c>
      <c r="J51" s="2" t="s">
        <v>187</v>
      </c>
      <c r="K51" s="2" t="s">
        <v>267</v>
      </c>
      <c r="L51" s="13" t="s">
        <v>268</v>
      </c>
      <c r="M51" s="2" t="s">
        <v>117</v>
      </c>
      <c r="N51" s="2" t="s">
        <v>117</v>
      </c>
      <c r="O51" s="2" t="s">
        <v>118</v>
      </c>
      <c r="P51" s="2" t="s">
        <v>603</v>
      </c>
      <c r="Q51" s="2" t="s">
        <v>343</v>
      </c>
      <c r="R51" s="2" t="s">
        <v>80</v>
      </c>
      <c r="S51" s="11">
        <v>4.7E-2</v>
      </c>
      <c r="T51" s="12">
        <v>60000</v>
      </c>
      <c r="U51" s="30">
        <f t="shared" si="110"/>
        <v>480</v>
      </c>
      <c r="V51" s="30">
        <f t="shared" si="111"/>
        <v>22.56</v>
      </c>
      <c r="W51" s="30">
        <f t="shared" si="112"/>
        <v>5640</v>
      </c>
      <c r="X51" s="30">
        <f t="shared" si="113"/>
        <v>166000</v>
      </c>
      <c r="Y51" s="30">
        <v>40000</v>
      </c>
      <c r="Z51" s="30">
        <f t="shared" si="114"/>
        <v>1880</v>
      </c>
      <c r="AA51" s="30">
        <v>40000</v>
      </c>
      <c r="AB51" s="30">
        <f t="shared" si="115"/>
        <v>1880</v>
      </c>
      <c r="AC51" s="30">
        <v>50000</v>
      </c>
      <c r="AD51" s="30">
        <v>40000</v>
      </c>
      <c r="AE51" s="30">
        <f t="shared" si="116"/>
        <v>1880</v>
      </c>
      <c r="AF51" s="30">
        <v>40000</v>
      </c>
      <c r="AG51" s="30">
        <f t="shared" si="117"/>
        <v>1880</v>
      </c>
      <c r="AH51" s="30">
        <v>50000</v>
      </c>
      <c r="AI51" s="30">
        <v>40000</v>
      </c>
      <c r="AJ51" s="30">
        <f t="shared" si="118"/>
        <v>1880</v>
      </c>
      <c r="AK51" s="30">
        <v>40000</v>
      </c>
      <c r="AL51" s="30">
        <f t="shared" si="119"/>
        <v>1880</v>
      </c>
      <c r="AM51" s="30">
        <v>40000</v>
      </c>
      <c r="AN51" s="30">
        <v>40000</v>
      </c>
      <c r="AO51" s="30">
        <f t="shared" si="120"/>
        <v>1880</v>
      </c>
      <c r="AP51" s="30">
        <v>40000</v>
      </c>
      <c r="AQ51" s="30">
        <f t="shared" si="121"/>
        <v>1880</v>
      </c>
      <c r="AR51" s="30">
        <v>40000</v>
      </c>
      <c r="AS51" s="30">
        <v>40000</v>
      </c>
      <c r="AT51" s="30">
        <f t="shared" si="122"/>
        <v>1880</v>
      </c>
      <c r="AU51" s="30">
        <v>40000</v>
      </c>
      <c r="AV51" s="30">
        <f t="shared" si="123"/>
        <v>1880</v>
      </c>
      <c r="AW51" s="30">
        <v>40000</v>
      </c>
      <c r="AX51" s="30">
        <v>40000</v>
      </c>
      <c r="AY51" s="30">
        <f t="shared" si="124"/>
        <v>1880</v>
      </c>
      <c r="AZ51" s="30">
        <v>40000</v>
      </c>
      <c r="BA51" s="30">
        <v>1880</v>
      </c>
      <c r="BB51" s="36">
        <v>40000</v>
      </c>
      <c r="BC51" s="45">
        <v>40000</v>
      </c>
      <c r="BD51" s="45">
        <f t="shared" si="125"/>
        <v>1880</v>
      </c>
      <c r="BE51" s="30">
        <v>40000</v>
      </c>
      <c r="BF51" s="30">
        <f t="shared" si="126"/>
        <v>1880</v>
      </c>
      <c r="BG51" s="30"/>
      <c r="BH51" s="30">
        <v>40000</v>
      </c>
      <c r="BI51" s="30">
        <f t="shared" si="127"/>
        <v>1880</v>
      </c>
      <c r="BJ51" s="30">
        <v>40000</v>
      </c>
      <c r="BK51" s="30">
        <f t="shared" si="128"/>
        <v>1880</v>
      </c>
      <c r="BL51" s="30"/>
      <c r="BM51" s="30">
        <v>40000</v>
      </c>
      <c r="BN51" s="30">
        <f t="shared" si="129"/>
        <v>1880</v>
      </c>
      <c r="BO51" s="30">
        <v>40000</v>
      </c>
      <c r="BP51" s="30">
        <f t="shared" si="130"/>
        <v>1880</v>
      </c>
      <c r="BQ51" s="146">
        <v>80000</v>
      </c>
      <c r="BR51" s="30">
        <v>40000</v>
      </c>
      <c r="BS51" s="30">
        <f t="shared" si="131"/>
        <v>1880</v>
      </c>
      <c r="BT51" s="30"/>
      <c r="BU51" s="30">
        <f t="shared" si="132"/>
        <v>0</v>
      </c>
      <c r="BV51" s="35"/>
      <c r="BW51" s="30">
        <v>40000</v>
      </c>
      <c r="BX51" s="30">
        <f t="shared" si="133"/>
        <v>1880</v>
      </c>
      <c r="BY51" s="30"/>
      <c r="BZ51" s="30">
        <f t="shared" si="134"/>
        <v>0</v>
      </c>
      <c r="CA51" s="146">
        <v>40000</v>
      </c>
      <c r="CB51" s="30">
        <v>40000</v>
      </c>
      <c r="CC51" s="30">
        <f t="shared" si="135"/>
        <v>1880</v>
      </c>
      <c r="CD51" s="30"/>
      <c r="CE51" s="30">
        <f t="shared" si="136"/>
        <v>0</v>
      </c>
      <c r="CF51" s="146">
        <v>46000</v>
      </c>
      <c r="CG51" s="2"/>
    </row>
    <row r="52" spans="1:85" x14ac:dyDescent="0.4">
      <c r="A52" s="2" t="s">
        <v>110</v>
      </c>
      <c r="B52" s="2" t="s">
        <v>262</v>
      </c>
      <c r="C52" s="2" t="s">
        <v>263</v>
      </c>
      <c r="D52" s="2" t="s">
        <v>265</v>
      </c>
      <c r="E52" s="165" t="s">
        <v>266</v>
      </c>
      <c r="F52" s="2"/>
      <c r="G52" s="2"/>
      <c r="H52" s="2"/>
      <c r="I52" s="2" t="s">
        <v>334</v>
      </c>
      <c r="J52" s="2" t="s">
        <v>198</v>
      </c>
      <c r="K52" s="2" t="s">
        <v>267</v>
      </c>
      <c r="L52" s="13" t="s">
        <v>268</v>
      </c>
      <c r="M52" s="2" t="s">
        <v>149</v>
      </c>
      <c r="N52" s="2" t="s">
        <v>149</v>
      </c>
      <c r="O52" s="13" t="s">
        <v>150</v>
      </c>
      <c r="P52" s="2" t="s">
        <v>79</v>
      </c>
      <c r="Q52" s="2" t="s">
        <v>344</v>
      </c>
      <c r="R52" s="2" t="s">
        <v>80</v>
      </c>
      <c r="S52" s="11">
        <v>3.3599999999999998E-2</v>
      </c>
      <c r="T52" s="12">
        <v>110000</v>
      </c>
      <c r="U52" s="30">
        <f t="shared" si="110"/>
        <v>240</v>
      </c>
      <c r="V52" s="30">
        <f t="shared" si="111"/>
        <v>8.0639999999999983</v>
      </c>
      <c r="W52" s="30">
        <f t="shared" si="112"/>
        <v>2015.9999999999998</v>
      </c>
      <c r="X52" s="30">
        <f t="shared" si="113"/>
        <v>140000</v>
      </c>
      <c r="Y52" s="30">
        <v>30000</v>
      </c>
      <c r="Z52" s="30">
        <f t="shared" si="114"/>
        <v>1007.9999999999999</v>
      </c>
      <c r="AA52" s="30">
        <v>30000</v>
      </c>
      <c r="AB52" s="30">
        <f t="shared" si="115"/>
        <v>1007.9999999999999</v>
      </c>
      <c r="AC52" s="30"/>
      <c r="AD52" s="30">
        <v>30000</v>
      </c>
      <c r="AE52" s="30">
        <f t="shared" si="116"/>
        <v>1007.9999999999999</v>
      </c>
      <c r="AF52" s="30">
        <v>60000</v>
      </c>
      <c r="AG52" s="30">
        <f t="shared" si="117"/>
        <v>2015.9999999999998</v>
      </c>
      <c r="AH52" s="30">
        <v>60000</v>
      </c>
      <c r="AI52" s="30">
        <v>30000</v>
      </c>
      <c r="AJ52" s="30">
        <f t="shared" si="118"/>
        <v>1007.9999999999999</v>
      </c>
      <c r="AK52" s="30">
        <v>30000</v>
      </c>
      <c r="AL52" s="30">
        <f t="shared" si="119"/>
        <v>1007.9999999999999</v>
      </c>
      <c r="AM52" s="30">
        <v>40000</v>
      </c>
      <c r="AN52" s="30">
        <v>30000</v>
      </c>
      <c r="AO52" s="30">
        <f t="shared" si="120"/>
        <v>1007.9999999999999</v>
      </c>
      <c r="AP52" s="30">
        <v>30000</v>
      </c>
      <c r="AQ52" s="30">
        <f t="shared" si="121"/>
        <v>1007.9999999999999</v>
      </c>
      <c r="AR52" s="30">
        <v>60000</v>
      </c>
      <c r="AS52" s="30"/>
      <c r="AT52" s="30">
        <f t="shared" si="122"/>
        <v>0</v>
      </c>
      <c r="AU52" s="30">
        <v>30000</v>
      </c>
      <c r="AV52" s="30">
        <f t="shared" si="123"/>
        <v>1007.9999999999999</v>
      </c>
      <c r="AW52" s="33">
        <v>30000</v>
      </c>
      <c r="AX52" s="30">
        <v>15000</v>
      </c>
      <c r="AY52" s="30">
        <f t="shared" si="124"/>
        <v>503.99999999999994</v>
      </c>
      <c r="AZ52" s="30">
        <v>30000</v>
      </c>
      <c r="BA52" s="30">
        <v>1007.9999999999999</v>
      </c>
      <c r="BB52" s="31">
        <v>50000</v>
      </c>
      <c r="BC52" s="45">
        <v>15000</v>
      </c>
      <c r="BD52" s="45">
        <f t="shared" si="125"/>
        <v>503.99999999999994</v>
      </c>
      <c r="BE52" s="30">
        <v>30000</v>
      </c>
      <c r="BF52" s="30">
        <f t="shared" si="126"/>
        <v>1007.9999999999999</v>
      </c>
      <c r="BG52" s="30"/>
      <c r="BH52" s="30">
        <v>15000</v>
      </c>
      <c r="BI52" s="30">
        <f t="shared" si="127"/>
        <v>503.99999999999994</v>
      </c>
      <c r="BJ52" s="30"/>
      <c r="BK52" s="30">
        <f t="shared" si="128"/>
        <v>0</v>
      </c>
      <c r="BL52" s="146">
        <v>50000</v>
      </c>
      <c r="BM52" s="30">
        <v>15000</v>
      </c>
      <c r="BN52" s="30">
        <f t="shared" si="129"/>
        <v>503.99999999999994</v>
      </c>
      <c r="BO52" s="30">
        <v>30000</v>
      </c>
      <c r="BP52" s="30">
        <f t="shared" si="130"/>
        <v>1007.9999999999999</v>
      </c>
      <c r="BQ52" s="30"/>
      <c r="BR52" s="30"/>
      <c r="BS52" s="30">
        <f t="shared" si="131"/>
        <v>0</v>
      </c>
      <c r="BT52" s="30"/>
      <c r="BU52" s="30">
        <f t="shared" si="132"/>
        <v>0</v>
      </c>
      <c r="BV52" s="146">
        <v>30000</v>
      </c>
      <c r="BW52" s="30">
        <v>30000</v>
      </c>
      <c r="BX52" s="30">
        <f t="shared" si="133"/>
        <v>1007.9999999999999</v>
      </c>
      <c r="BY52" s="30"/>
      <c r="BZ52" s="30">
        <f t="shared" si="134"/>
        <v>0</v>
      </c>
      <c r="CA52" s="146">
        <v>30000</v>
      </c>
      <c r="CB52" s="30">
        <v>30000</v>
      </c>
      <c r="CC52" s="30">
        <f t="shared" si="135"/>
        <v>1007.9999999999999</v>
      </c>
      <c r="CD52" s="30"/>
      <c r="CE52" s="30">
        <f t="shared" si="136"/>
        <v>0</v>
      </c>
      <c r="CF52" s="146">
        <v>30000</v>
      </c>
      <c r="CG52" s="147" t="s">
        <v>614</v>
      </c>
    </row>
    <row r="53" spans="1:85" x14ac:dyDescent="0.4">
      <c r="A53" s="2" t="s">
        <v>110</v>
      </c>
      <c r="B53" s="2" t="s">
        <v>262</v>
      </c>
      <c r="C53" s="2" t="s">
        <v>263</v>
      </c>
      <c r="D53" s="2" t="s">
        <v>265</v>
      </c>
      <c r="E53" s="165" t="s">
        <v>266</v>
      </c>
      <c r="F53" s="2" t="s">
        <v>174</v>
      </c>
      <c r="G53" s="2" t="s">
        <v>187</v>
      </c>
      <c r="H53" s="2"/>
      <c r="I53" s="2" t="s">
        <v>174</v>
      </c>
      <c r="J53" s="2" t="s">
        <v>187</v>
      </c>
      <c r="K53" s="2" t="s">
        <v>267</v>
      </c>
      <c r="L53" s="13" t="s">
        <v>268</v>
      </c>
      <c r="M53" s="2" t="s">
        <v>138</v>
      </c>
      <c r="N53" s="2" t="s">
        <v>138</v>
      </c>
      <c r="O53" s="2" t="s">
        <v>90</v>
      </c>
      <c r="P53" s="2" t="s">
        <v>125</v>
      </c>
      <c r="Q53" s="2" t="s">
        <v>345</v>
      </c>
      <c r="R53" s="2" t="s">
        <v>80</v>
      </c>
      <c r="S53" s="11">
        <v>7.4999999999999997E-3</v>
      </c>
      <c r="T53" s="12">
        <v>60000</v>
      </c>
      <c r="U53" s="30">
        <f t="shared" si="110"/>
        <v>864</v>
      </c>
      <c r="V53" s="30">
        <f t="shared" si="111"/>
        <v>6.48</v>
      </c>
      <c r="W53" s="30">
        <f t="shared" si="112"/>
        <v>1620</v>
      </c>
      <c r="X53" s="30">
        <f t="shared" si="113"/>
        <v>416000</v>
      </c>
      <c r="Y53" s="30">
        <v>72000</v>
      </c>
      <c r="Z53" s="30">
        <f t="shared" si="114"/>
        <v>540</v>
      </c>
      <c r="AA53" s="30">
        <v>72000</v>
      </c>
      <c r="AB53" s="30">
        <f t="shared" si="115"/>
        <v>540</v>
      </c>
      <c r="AC53" s="30">
        <v>140000</v>
      </c>
      <c r="AD53" s="30">
        <v>72000</v>
      </c>
      <c r="AE53" s="30">
        <f t="shared" si="116"/>
        <v>540</v>
      </c>
      <c r="AF53" s="30">
        <v>72000</v>
      </c>
      <c r="AG53" s="30">
        <f t="shared" si="117"/>
        <v>540</v>
      </c>
      <c r="AH53" s="30"/>
      <c r="AI53" s="30">
        <v>72000</v>
      </c>
      <c r="AJ53" s="30">
        <f t="shared" si="118"/>
        <v>540</v>
      </c>
      <c r="AK53" s="30">
        <v>72000</v>
      </c>
      <c r="AL53" s="30">
        <f t="shared" si="119"/>
        <v>540</v>
      </c>
      <c r="AM53" s="30"/>
      <c r="AN53" s="30">
        <v>72000</v>
      </c>
      <c r="AO53" s="30">
        <f t="shared" si="120"/>
        <v>540</v>
      </c>
      <c r="AP53" s="30">
        <v>72000</v>
      </c>
      <c r="AQ53" s="30">
        <f t="shared" si="121"/>
        <v>540</v>
      </c>
      <c r="AR53" s="30">
        <v>80000</v>
      </c>
      <c r="AS53" s="30">
        <v>72000</v>
      </c>
      <c r="AT53" s="30">
        <f t="shared" si="122"/>
        <v>540</v>
      </c>
      <c r="AU53" s="30">
        <v>72000</v>
      </c>
      <c r="AV53" s="30">
        <f t="shared" si="123"/>
        <v>540</v>
      </c>
      <c r="AW53" s="30"/>
      <c r="AX53" s="30">
        <v>72000</v>
      </c>
      <c r="AY53" s="30">
        <f t="shared" si="124"/>
        <v>540</v>
      </c>
      <c r="AZ53" s="30">
        <v>72000</v>
      </c>
      <c r="BA53" s="30">
        <v>540</v>
      </c>
      <c r="BB53" s="145">
        <v>60000</v>
      </c>
      <c r="BC53" s="45">
        <v>72000</v>
      </c>
      <c r="BD53" s="45">
        <f t="shared" si="125"/>
        <v>540</v>
      </c>
      <c r="BE53" s="30">
        <v>72000</v>
      </c>
      <c r="BF53" s="30">
        <f t="shared" si="126"/>
        <v>540</v>
      </c>
      <c r="BG53" s="146">
        <v>48000</v>
      </c>
      <c r="BH53" s="30">
        <v>72000</v>
      </c>
      <c r="BI53" s="30">
        <f t="shared" si="127"/>
        <v>540</v>
      </c>
      <c r="BJ53" s="30">
        <v>72000</v>
      </c>
      <c r="BK53" s="30">
        <f t="shared" si="128"/>
        <v>540</v>
      </c>
      <c r="BL53" s="146">
        <v>88000</v>
      </c>
      <c r="BM53" s="30">
        <v>72000</v>
      </c>
      <c r="BN53" s="30">
        <f t="shared" si="129"/>
        <v>540</v>
      </c>
      <c r="BO53" s="30">
        <v>72000</v>
      </c>
      <c r="BP53" s="30">
        <f t="shared" si="130"/>
        <v>540</v>
      </c>
      <c r="BQ53" s="146">
        <v>72000</v>
      </c>
      <c r="BR53" s="30">
        <v>72000</v>
      </c>
      <c r="BS53" s="30">
        <f t="shared" si="131"/>
        <v>540</v>
      </c>
      <c r="BT53" s="30"/>
      <c r="BU53" s="30">
        <f t="shared" si="132"/>
        <v>0</v>
      </c>
      <c r="BV53" s="146">
        <v>56000</v>
      </c>
      <c r="BW53" s="30">
        <v>72000</v>
      </c>
      <c r="BX53" s="30">
        <f t="shared" si="133"/>
        <v>540</v>
      </c>
      <c r="BY53" s="30"/>
      <c r="BZ53" s="30">
        <f t="shared" si="134"/>
        <v>0</v>
      </c>
      <c r="CA53" s="146">
        <v>152000</v>
      </c>
      <c r="CB53" s="30">
        <v>72000</v>
      </c>
      <c r="CC53" s="30">
        <f t="shared" si="135"/>
        <v>540</v>
      </c>
      <c r="CD53" s="30"/>
      <c r="CE53" s="30">
        <f t="shared" si="136"/>
        <v>0</v>
      </c>
      <c r="CF53" s="30"/>
      <c r="CG53" s="2"/>
    </row>
    <row r="54" spans="1:85" x14ac:dyDescent="0.4">
      <c r="A54" s="2" t="s">
        <v>110</v>
      </c>
      <c r="B54" s="2" t="s">
        <v>262</v>
      </c>
      <c r="C54" s="2" t="s">
        <v>263</v>
      </c>
      <c r="D54" s="2" t="s">
        <v>265</v>
      </c>
      <c r="E54" s="165" t="s">
        <v>266</v>
      </c>
      <c r="F54" s="2" t="s">
        <v>174</v>
      </c>
      <c r="G54" s="2" t="s">
        <v>187</v>
      </c>
      <c r="H54" s="2"/>
      <c r="I54" s="2" t="s">
        <v>174</v>
      </c>
      <c r="J54" s="2" t="s">
        <v>187</v>
      </c>
      <c r="K54" s="2" t="s">
        <v>267</v>
      </c>
      <c r="L54" s="13" t="s">
        <v>268</v>
      </c>
      <c r="M54" s="2" t="s">
        <v>149</v>
      </c>
      <c r="N54" s="2" t="s">
        <v>149</v>
      </c>
      <c r="O54" s="13" t="s">
        <v>150</v>
      </c>
      <c r="P54" s="2" t="s">
        <v>79</v>
      </c>
      <c r="Q54" s="2" t="s">
        <v>346</v>
      </c>
      <c r="R54" s="2" t="s">
        <v>80</v>
      </c>
      <c r="S54" s="11">
        <v>3.3599999999999998E-2</v>
      </c>
      <c r="T54" s="12">
        <v>30000</v>
      </c>
      <c r="U54" s="30">
        <f t="shared" si="110"/>
        <v>70</v>
      </c>
      <c r="V54" s="30">
        <f t="shared" si="111"/>
        <v>2.3519999999999999</v>
      </c>
      <c r="W54" s="30">
        <f t="shared" si="112"/>
        <v>1007.9999999999999</v>
      </c>
      <c r="X54" s="30">
        <f t="shared" si="113"/>
        <v>60000</v>
      </c>
      <c r="Y54" s="30">
        <v>10000</v>
      </c>
      <c r="Z54" s="30">
        <f t="shared" si="114"/>
        <v>336</v>
      </c>
      <c r="AA54" s="30">
        <v>10000</v>
      </c>
      <c r="AB54" s="30">
        <f t="shared" si="115"/>
        <v>336</v>
      </c>
      <c r="AC54" s="30">
        <v>30000</v>
      </c>
      <c r="AD54" s="30">
        <v>10000</v>
      </c>
      <c r="AE54" s="30">
        <f t="shared" si="116"/>
        <v>336</v>
      </c>
      <c r="AF54" s="30">
        <v>15000</v>
      </c>
      <c r="AG54" s="30">
        <f t="shared" si="117"/>
        <v>503.99999999999994</v>
      </c>
      <c r="AH54" s="30">
        <v>30000</v>
      </c>
      <c r="AI54" s="30">
        <v>10000</v>
      </c>
      <c r="AJ54" s="30">
        <f t="shared" si="118"/>
        <v>336</v>
      </c>
      <c r="AK54" s="30">
        <v>15000</v>
      </c>
      <c r="AL54" s="30">
        <f t="shared" si="119"/>
        <v>503.99999999999994</v>
      </c>
      <c r="AM54" s="30"/>
      <c r="AN54" s="30"/>
      <c r="AO54" s="30">
        <f t="shared" si="120"/>
        <v>0</v>
      </c>
      <c r="AP54" s="30">
        <v>15000</v>
      </c>
      <c r="AQ54" s="30">
        <f t="shared" si="121"/>
        <v>503.99999999999994</v>
      </c>
      <c r="AR54" s="30">
        <v>30000</v>
      </c>
      <c r="AS54" s="30"/>
      <c r="AT54" s="30">
        <f t="shared" si="122"/>
        <v>0</v>
      </c>
      <c r="AU54" s="30">
        <v>15000</v>
      </c>
      <c r="AV54" s="30">
        <f t="shared" si="123"/>
        <v>503.99999999999994</v>
      </c>
      <c r="AW54" s="30">
        <v>30000</v>
      </c>
      <c r="AX54" s="30">
        <v>10000</v>
      </c>
      <c r="AY54" s="30">
        <f t="shared" si="124"/>
        <v>336</v>
      </c>
      <c r="AZ54" s="30">
        <v>15000</v>
      </c>
      <c r="BA54" s="30">
        <v>503.99999999999994</v>
      </c>
      <c r="BB54" s="30"/>
      <c r="BC54" s="45">
        <v>10000</v>
      </c>
      <c r="BD54" s="45">
        <f t="shared" si="125"/>
        <v>336</v>
      </c>
      <c r="BE54" s="30">
        <v>15000</v>
      </c>
      <c r="BF54" s="30">
        <f t="shared" si="126"/>
        <v>503.99999999999994</v>
      </c>
      <c r="BG54" s="30"/>
      <c r="BH54" s="30"/>
      <c r="BI54" s="30">
        <f t="shared" si="127"/>
        <v>0</v>
      </c>
      <c r="BJ54" s="30"/>
      <c r="BK54" s="30">
        <f t="shared" si="128"/>
        <v>0</v>
      </c>
      <c r="BL54" s="146">
        <v>30000</v>
      </c>
      <c r="BM54" s="30"/>
      <c r="BN54" s="30">
        <f t="shared" si="129"/>
        <v>0</v>
      </c>
      <c r="BO54" s="30">
        <v>15000</v>
      </c>
      <c r="BP54" s="30">
        <f t="shared" si="130"/>
        <v>503.99999999999994</v>
      </c>
      <c r="BQ54" s="30"/>
      <c r="BR54" s="30"/>
      <c r="BS54" s="30">
        <f t="shared" si="131"/>
        <v>0</v>
      </c>
      <c r="BT54" s="30"/>
      <c r="BU54" s="30">
        <f t="shared" si="132"/>
        <v>0</v>
      </c>
      <c r="BV54" s="30"/>
      <c r="BW54" s="30">
        <v>10000</v>
      </c>
      <c r="BX54" s="30">
        <f t="shared" si="133"/>
        <v>336</v>
      </c>
      <c r="BY54" s="30"/>
      <c r="BZ54" s="30">
        <f t="shared" si="134"/>
        <v>0</v>
      </c>
      <c r="CA54" s="30"/>
      <c r="CB54" s="30">
        <v>10000</v>
      </c>
      <c r="CC54" s="30">
        <f t="shared" si="135"/>
        <v>336</v>
      </c>
      <c r="CD54" s="30"/>
      <c r="CE54" s="30">
        <f t="shared" si="136"/>
        <v>0</v>
      </c>
      <c r="CF54" s="146">
        <v>30000</v>
      </c>
      <c r="CG54" s="2"/>
    </row>
    <row r="55" spans="1:85" x14ac:dyDescent="0.4">
      <c r="A55" s="2" t="s">
        <v>110</v>
      </c>
      <c r="B55" s="2" t="s">
        <v>262</v>
      </c>
      <c r="C55" s="2" t="s">
        <v>263</v>
      </c>
      <c r="D55" s="2" t="s">
        <v>265</v>
      </c>
      <c r="E55" s="165" t="s">
        <v>266</v>
      </c>
      <c r="F55" s="2" t="s">
        <v>174</v>
      </c>
      <c r="G55" s="2" t="s">
        <v>187</v>
      </c>
      <c r="H55" s="2"/>
      <c r="I55" s="2" t="s">
        <v>174</v>
      </c>
      <c r="J55" s="2" t="s">
        <v>187</v>
      </c>
      <c r="K55" s="2" t="s">
        <v>267</v>
      </c>
      <c r="L55" s="13" t="s">
        <v>268</v>
      </c>
      <c r="M55" s="2" t="s">
        <v>87</v>
      </c>
      <c r="N55" s="2" t="s">
        <v>87</v>
      </c>
      <c r="O55" s="2" t="s">
        <v>88</v>
      </c>
      <c r="P55" s="2" t="s">
        <v>85</v>
      </c>
      <c r="Q55" s="2" t="s">
        <v>284</v>
      </c>
      <c r="R55" s="2" t="s">
        <v>80</v>
      </c>
      <c r="S55" s="11">
        <v>9.5399999999999999E-2</v>
      </c>
      <c r="T55" s="12">
        <v>11000</v>
      </c>
      <c r="U55" s="30">
        <f t="shared" si="110"/>
        <v>60</v>
      </c>
      <c r="V55" s="30">
        <f t="shared" si="111"/>
        <v>5.7240000000000002</v>
      </c>
      <c r="W55" s="30">
        <f t="shared" si="112"/>
        <v>1431</v>
      </c>
      <c r="X55" s="30">
        <f t="shared" si="113"/>
        <v>8000</v>
      </c>
      <c r="Y55" s="30">
        <v>5000</v>
      </c>
      <c r="Z55" s="30">
        <f t="shared" si="114"/>
        <v>477</v>
      </c>
      <c r="AA55" s="30">
        <v>5000</v>
      </c>
      <c r="AB55" s="30">
        <f t="shared" si="115"/>
        <v>477</v>
      </c>
      <c r="AC55" s="30">
        <v>15000</v>
      </c>
      <c r="AD55" s="30">
        <v>5000</v>
      </c>
      <c r="AE55" s="30">
        <f t="shared" si="116"/>
        <v>477</v>
      </c>
      <c r="AF55" s="30">
        <v>10000</v>
      </c>
      <c r="AG55" s="30">
        <f t="shared" si="117"/>
        <v>954</v>
      </c>
      <c r="AH55" s="30"/>
      <c r="AI55" s="30">
        <v>5000</v>
      </c>
      <c r="AJ55" s="30">
        <f t="shared" si="118"/>
        <v>477</v>
      </c>
      <c r="AK55" s="30">
        <v>5000</v>
      </c>
      <c r="AL55" s="30">
        <f t="shared" si="119"/>
        <v>477</v>
      </c>
      <c r="AM55" s="30"/>
      <c r="AN55" s="30">
        <v>5000</v>
      </c>
      <c r="AO55" s="30">
        <f t="shared" si="120"/>
        <v>477</v>
      </c>
      <c r="AP55" s="30">
        <v>5000</v>
      </c>
      <c r="AQ55" s="30">
        <f t="shared" si="121"/>
        <v>477</v>
      </c>
      <c r="AR55" s="30">
        <v>11000</v>
      </c>
      <c r="AS55" s="30">
        <v>5000</v>
      </c>
      <c r="AT55" s="30">
        <f t="shared" si="122"/>
        <v>477</v>
      </c>
      <c r="AU55" s="30">
        <v>5000</v>
      </c>
      <c r="AV55" s="30">
        <f t="shared" si="123"/>
        <v>477</v>
      </c>
      <c r="AW55" s="30">
        <v>5000</v>
      </c>
      <c r="AX55" s="30">
        <v>5000</v>
      </c>
      <c r="AY55" s="30">
        <f t="shared" si="124"/>
        <v>477</v>
      </c>
      <c r="AZ55" s="30">
        <v>5000</v>
      </c>
      <c r="BA55" s="30">
        <v>477</v>
      </c>
      <c r="BB55" s="30"/>
      <c r="BC55" s="45">
        <v>5000</v>
      </c>
      <c r="BD55" s="45">
        <f t="shared" si="125"/>
        <v>477</v>
      </c>
      <c r="BE55" s="30">
        <v>5000</v>
      </c>
      <c r="BF55" s="30">
        <f t="shared" si="126"/>
        <v>477</v>
      </c>
      <c r="BG55" s="30"/>
      <c r="BH55" s="30">
        <v>5000</v>
      </c>
      <c r="BI55" s="30">
        <f t="shared" si="127"/>
        <v>477</v>
      </c>
      <c r="BJ55" s="30">
        <v>5000</v>
      </c>
      <c r="BK55" s="30">
        <f t="shared" si="128"/>
        <v>477</v>
      </c>
      <c r="BL55" s="30"/>
      <c r="BM55" s="30">
        <v>5000</v>
      </c>
      <c r="BN55" s="30">
        <f t="shared" si="129"/>
        <v>477</v>
      </c>
      <c r="BO55" s="30">
        <v>5000</v>
      </c>
      <c r="BP55" s="30">
        <f t="shared" si="130"/>
        <v>477</v>
      </c>
      <c r="BQ55" s="30"/>
      <c r="BR55" s="30">
        <v>5000</v>
      </c>
      <c r="BS55" s="30">
        <f t="shared" si="131"/>
        <v>477</v>
      </c>
      <c r="BT55" s="30"/>
      <c r="BU55" s="30">
        <f t="shared" si="132"/>
        <v>0</v>
      </c>
      <c r="BV55" s="30"/>
      <c r="BW55" s="30">
        <v>5000</v>
      </c>
      <c r="BX55" s="30">
        <f t="shared" si="133"/>
        <v>477</v>
      </c>
      <c r="BY55" s="30"/>
      <c r="BZ55" s="30">
        <f t="shared" si="134"/>
        <v>0</v>
      </c>
      <c r="CA55" s="142">
        <v>8000</v>
      </c>
      <c r="CB55" s="30">
        <v>5000</v>
      </c>
      <c r="CC55" s="30">
        <f t="shared" si="135"/>
        <v>477</v>
      </c>
      <c r="CD55" s="30"/>
      <c r="CE55" s="30">
        <f t="shared" si="136"/>
        <v>0</v>
      </c>
      <c r="CF55" s="30"/>
      <c r="CG55" s="2"/>
    </row>
    <row r="56" spans="1:85" ht="17" x14ac:dyDescent="0.4">
      <c r="A56" s="2" t="s">
        <v>110</v>
      </c>
      <c r="B56" s="2" t="s">
        <v>262</v>
      </c>
      <c r="C56" s="2" t="s">
        <v>263</v>
      </c>
      <c r="D56" s="2" t="s">
        <v>265</v>
      </c>
      <c r="E56" s="165" t="s">
        <v>266</v>
      </c>
      <c r="F56" s="2" t="s">
        <v>174</v>
      </c>
      <c r="G56" s="2" t="s">
        <v>187</v>
      </c>
      <c r="H56" s="2" t="s">
        <v>266</v>
      </c>
      <c r="I56" s="2" t="s">
        <v>174</v>
      </c>
      <c r="J56" s="2" t="s">
        <v>187</v>
      </c>
      <c r="K56" s="2" t="s">
        <v>267</v>
      </c>
      <c r="L56" s="13" t="s">
        <v>268</v>
      </c>
      <c r="M56" s="2" t="s">
        <v>117</v>
      </c>
      <c r="N56" s="2" t="s">
        <v>117</v>
      </c>
      <c r="O56" s="2" t="s">
        <v>118</v>
      </c>
      <c r="P56" s="2" t="s">
        <v>603</v>
      </c>
      <c r="Q56" s="2" t="s">
        <v>201</v>
      </c>
      <c r="R56" s="2" t="s">
        <v>80</v>
      </c>
      <c r="S56" s="11">
        <v>3.27E-2</v>
      </c>
      <c r="T56" s="12">
        <v>9000</v>
      </c>
      <c r="U56" s="30">
        <f t="shared" si="110"/>
        <v>96</v>
      </c>
      <c r="V56" s="30">
        <f t="shared" si="111"/>
        <v>3.1391999999999993</v>
      </c>
      <c r="W56" s="30">
        <f t="shared" si="112"/>
        <v>784.80000000000007</v>
      </c>
      <c r="X56" s="30">
        <f t="shared" si="113"/>
        <v>24000</v>
      </c>
      <c r="Y56" s="30">
        <v>8000</v>
      </c>
      <c r="Z56" s="30">
        <f t="shared" si="114"/>
        <v>261.60000000000002</v>
      </c>
      <c r="AA56" s="30">
        <v>8000</v>
      </c>
      <c r="AB56" s="30">
        <f t="shared" si="115"/>
        <v>261.60000000000002</v>
      </c>
      <c r="AC56" s="30">
        <v>6000</v>
      </c>
      <c r="AD56" s="30">
        <v>8000</v>
      </c>
      <c r="AE56" s="30">
        <f t="shared" si="116"/>
        <v>261.60000000000002</v>
      </c>
      <c r="AF56" s="30">
        <v>8000</v>
      </c>
      <c r="AG56" s="30">
        <f t="shared" si="117"/>
        <v>261.60000000000002</v>
      </c>
      <c r="AH56" s="30"/>
      <c r="AI56" s="30">
        <v>8000</v>
      </c>
      <c r="AJ56" s="30">
        <f t="shared" si="118"/>
        <v>261.60000000000002</v>
      </c>
      <c r="AK56" s="30">
        <v>8000</v>
      </c>
      <c r="AL56" s="30">
        <f t="shared" si="119"/>
        <v>261.60000000000002</v>
      </c>
      <c r="AM56" s="30">
        <v>18000</v>
      </c>
      <c r="AN56" s="30">
        <v>8000</v>
      </c>
      <c r="AO56" s="30">
        <f t="shared" si="120"/>
        <v>261.60000000000002</v>
      </c>
      <c r="AP56" s="30">
        <v>8000</v>
      </c>
      <c r="AQ56" s="30">
        <f t="shared" si="121"/>
        <v>261.60000000000002</v>
      </c>
      <c r="AR56" s="30">
        <v>9000</v>
      </c>
      <c r="AS56" s="30">
        <v>8000</v>
      </c>
      <c r="AT56" s="30">
        <f t="shared" si="122"/>
        <v>261.60000000000002</v>
      </c>
      <c r="AU56" s="30">
        <v>8000</v>
      </c>
      <c r="AV56" s="30">
        <f t="shared" si="123"/>
        <v>261.60000000000002</v>
      </c>
      <c r="AW56" s="30"/>
      <c r="AX56" s="30">
        <v>8000</v>
      </c>
      <c r="AY56" s="30">
        <f t="shared" si="124"/>
        <v>261.60000000000002</v>
      </c>
      <c r="AZ56" s="30">
        <v>8000</v>
      </c>
      <c r="BA56" s="30">
        <v>261.60000000000002</v>
      </c>
      <c r="BB56" s="30"/>
      <c r="BC56" s="45">
        <v>8000</v>
      </c>
      <c r="BD56" s="45">
        <f t="shared" si="125"/>
        <v>261.60000000000002</v>
      </c>
      <c r="BE56" s="30">
        <v>8000</v>
      </c>
      <c r="BF56" s="30">
        <f t="shared" si="126"/>
        <v>261.60000000000002</v>
      </c>
      <c r="BG56" s="59">
        <v>24000</v>
      </c>
      <c r="BH56" s="30">
        <v>8000</v>
      </c>
      <c r="BI56" s="30">
        <f t="shared" si="127"/>
        <v>261.60000000000002</v>
      </c>
      <c r="BJ56" s="30">
        <v>8000</v>
      </c>
      <c r="BK56" s="30">
        <f t="shared" si="128"/>
        <v>261.60000000000002</v>
      </c>
      <c r="BL56" s="30"/>
      <c r="BM56" s="30">
        <v>8000</v>
      </c>
      <c r="BN56" s="30">
        <f t="shared" si="129"/>
        <v>261.60000000000002</v>
      </c>
      <c r="BO56" s="30">
        <v>8000</v>
      </c>
      <c r="BP56" s="30">
        <f t="shared" si="130"/>
        <v>261.60000000000002</v>
      </c>
      <c r="BQ56" s="30"/>
      <c r="BR56" s="30">
        <v>8000</v>
      </c>
      <c r="BS56" s="30">
        <f t="shared" si="131"/>
        <v>261.60000000000002</v>
      </c>
      <c r="BT56" s="30"/>
      <c r="BU56" s="30">
        <f t="shared" si="132"/>
        <v>0</v>
      </c>
      <c r="BV56" s="30"/>
      <c r="BW56" s="30">
        <v>8000</v>
      </c>
      <c r="BX56" s="30">
        <f t="shared" si="133"/>
        <v>261.60000000000002</v>
      </c>
      <c r="BY56" s="30"/>
      <c r="BZ56" s="30">
        <f t="shared" si="134"/>
        <v>0</v>
      </c>
      <c r="CA56" s="30"/>
      <c r="CB56" s="30">
        <v>8000</v>
      </c>
      <c r="CC56" s="30">
        <f t="shared" si="135"/>
        <v>261.60000000000002</v>
      </c>
      <c r="CD56" s="30"/>
      <c r="CE56" s="30">
        <f t="shared" si="136"/>
        <v>0</v>
      </c>
      <c r="CF56" s="30"/>
      <c r="CG56" s="62"/>
    </row>
    <row r="57" spans="1:85" x14ac:dyDescent="0.4">
      <c r="A57" s="2" t="s">
        <v>110</v>
      </c>
      <c r="B57" s="2" t="s">
        <v>262</v>
      </c>
      <c r="C57" s="2" t="s">
        <v>263</v>
      </c>
      <c r="D57" s="2" t="s">
        <v>265</v>
      </c>
      <c r="E57" s="165" t="s">
        <v>266</v>
      </c>
      <c r="F57" s="2" t="s">
        <v>174</v>
      </c>
      <c r="G57" s="2" t="s">
        <v>187</v>
      </c>
      <c r="H57" s="2"/>
      <c r="I57" s="2" t="s">
        <v>174</v>
      </c>
      <c r="J57" s="2" t="s">
        <v>187</v>
      </c>
      <c r="K57" s="2" t="s">
        <v>267</v>
      </c>
      <c r="L57" s="13" t="s">
        <v>268</v>
      </c>
      <c r="M57" s="2" t="s">
        <v>87</v>
      </c>
      <c r="N57" s="2" t="s">
        <v>87</v>
      </c>
      <c r="O57" s="2" t="s">
        <v>88</v>
      </c>
      <c r="P57" s="2" t="s">
        <v>85</v>
      </c>
      <c r="Q57" s="2" t="s">
        <v>231</v>
      </c>
      <c r="R57" s="2" t="s">
        <v>80</v>
      </c>
      <c r="S57" s="11">
        <v>8.7999999999999995E-2</v>
      </c>
      <c r="T57" s="12"/>
      <c r="U57" s="30">
        <f t="shared" si="110"/>
        <v>10.8</v>
      </c>
      <c r="V57" s="30">
        <f t="shared" si="111"/>
        <v>0.95039999999999991</v>
      </c>
      <c r="W57" s="30">
        <f t="shared" si="112"/>
        <v>475.19999999999993</v>
      </c>
      <c r="X57" s="30">
        <f t="shared" si="113"/>
        <v>9000</v>
      </c>
      <c r="Y57" s="30"/>
      <c r="Z57" s="30">
        <f t="shared" si="114"/>
        <v>0</v>
      </c>
      <c r="AA57" s="30"/>
      <c r="AB57" s="30">
        <f t="shared" si="115"/>
        <v>0</v>
      </c>
      <c r="AC57" s="30"/>
      <c r="AD57" s="30"/>
      <c r="AE57" s="30">
        <f t="shared" si="116"/>
        <v>0</v>
      </c>
      <c r="AF57" s="30">
        <v>1800</v>
      </c>
      <c r="AG57" s="30">
        <f t="shared" si="117"/>
        <v>158.39999999999998</v>
      </c>
      <c r="AH57" s="30"/>
      <c r="AI57" s="30"/>
      <c r="AJ57" s="30">
        <f t="shared" si="118"/>
        <v>0</v>
      </c>
      <c r="AK57" s="30">
        <v>1800</v>
      </c>
      <c r="AL57" s="30">
        <f t="shared" si="119"/>
        <v>158.39999999999998</v>
      </c>
      <c r="AM57" s="30"/>
      <c r="AN57" s="30">
        <v>1800</v>
      </c>
      <c r="AO57" s="30">
        <f t="shared" si="120"/>
        <v>158.39999999999998</v>
      </c>
      <c r="AP57" s="30">
        <v>1800</v>
      </c>
      <c r="AQ57" s="30">
        <f t="shared" si="121"/>
        <v>158.39999999999998</v>
      </c>
      <c r="AR57" s="30"/>
      <c r="AS57" s="30">
        <v>1800</v>
      </c>
      <c r="AT57" s="30">
        <f t="shared" si="122"/>
        <v>158.39999999999998</v>
      </c>
      <c r="AU57" s="30">
        <v>1800</v>
      </c>
      <c r="AV57" s="30">
        <f t="shared" si="123"/>
        <v>158.39999999999998</v>
      </c>
      <c r="AW57" s="30"/>
      <c r="AX57" s="30"/>
      <c r="AY57" s="30">
        <f t="shared" si="124"/>
        <v>0</v>
      </c>
      <c r="AZ57" s="30">
        <v>1800</v>
      </c>
      <c r="BA57" s="30">
        <v>158.39999999999998</v>
      </c>
      <c r="BB57" s="30"/>
      <c r="BC57" s="45">
        <v>1800</v>
      </c>
      <c r="BD57" s="45">
        <f t="shared" si="125"/>
        <v>158.39999999999998</v>
      </c>
      <c r="BE57" s="30">
        <v>1800</v>
      </c>
      <c r="BF57" s="30">
        <f t="shared" si="126"/>
        <v>158.39999999999998</v>
      </c>
      <c r="BG57" s="142">
        <v>3600</v>
      </c>
      <c r="BH57" s="30">
        <v>1800</v>
      </c>
      <c r="BI57" s="30">
        <f t="shared" si="127"/>
        <v>158.39999999999998</v>
      </c>
      <c r="BJ57" s="30">
        <v>1800</v>
      </c>
      <c r="BK57" s="30">
        <f t="shared" si="128"/>
        <v>158.39999999999998</v>
      </c>
      <c r="BL57" s="34"/>
      <c r="BM57" s="30"/>
      <c r="BN57" s="30">
        <f t="shared" si="129"/>
        <v>0</v>
      </c>
      <c r="BO57" s="30">
        <v>1800</v>
      </c>
      <c r="BP57" s="30">
        <f t="shared" si="130"/>
        <v>158.39999999999998</v>
      </c>
      <c r="BQ57" s="142">
        <v>1800</v>
      </c>
      <c r="BR57" s="30">
        <v>1800</v>
      </c>
      <c r="BS57" s="30">
        <f t="shared" si="131"/>
        <v>158.39999999999998</v>
      </c>
      <c r="BT57" s="30"/>
      <c r="BU57" s="30">
        <f t="shared" si="132"/>
        <v>0</v>
      </c>
      <c r="BV57" s="30"/>
      <c r="BW57" s="30"/>
      <c r="BX57" s="30">
        <f t="shared" si="133"/>
        <v>0</v>
      </c>
      <c r="BY57" s="30"/>
      <c r="BZ57" s="30">
        <f t="shared" si="134"/>
        <v>0</v>
      </c>
      <c r="CA57" s="142">
        <v>3600</v>
      </c>
      <c r="CB57" s="30">
        <v>1800</v>
      </c>
      <c r="CC57" s="30">
        <f t="shared" si="135"/>
        <v>158.39999999999998</v>
      </c>
      <c r="CD57" s="30"/>
      <c r="CE57" s="30">
        <f t="shared" si="136"/>
        <v>0</v>
      </c>
      <c r="CF57" s="30"/>
      <c r="CG57" s="2"/>
    </row>
    <row r="58" spans="1:85" x14ac:dyDescent="0.4">
      <c r="A58" s="2" t="s">
        <v>110</v>
      </c>
      <c r="B58" s="2" t="s">
        <v>262</v>
      </c>
      <c r="C58" s="2" t="s">
        <v>263</v>
      </c>
      <c r="D58" s="2" t="s">
        <v>265</v>
      </c>
      <c r="E58" s="165" t="s">
        <v>266</v>
      </c>
      <c r="F58" s="2"/>
      <c r="G58" s="2"/>
      <c r="H58" s="2"/>
      <c r="I58" s="2" t="s">
        <v>334</v>
      </c>
      <c r="J58" s="2" t="s">
        <v>198</v>
      </c>
      <c r="K58" s="2" t="s">
        <v>267</v>
      </c>
      <c r="L58" s="13" t="s">
        <v>268</v>
      </c>
      <c r="M58" s="14" t="s">
        <v>96</v>
      </c>
      <c r="N58" s="14" t="s">
        <v>96</v>
      </c>
      <c r="O58" s="2" t="s">
        <v>146</v>
      </c>
      <c r="P58" s="1" t="s">
        <v>97</v>
      </c>
      <c r="Q58" s="2" t="s">
        <v>335</v>
      </c>
      <c r="R58" s="2" t="s">
        <v>80</v>
      </c>
      <c r="S58" s="11">
        <v>11.4</v>
      </c>
      <c r="T58" s="12"/>
      <c r="U58" s="30">
        <f t="shared" si="110"/>
        <v>9</v>
      </c>
      <c r="V58" s="30">
        <f t="shared" si="111"/>
        <v>102.6</v>
      </c>
      <c r="W58" s="30">
        <f t="shared" si="112"/>
        <v>22800</v>
      </c>
      <c r="X58" s="30">
        <f t="shared" si="113"/>
        <v>0</v>
      </c>
      <c r="Y58" s="30">
        <v>750</v>
      </c>
      <c r="Z58" s="30">
        <f t="shared" si="114"/>
        <v>8550</v>
      </c>
      <c r="AA58" s="30">
        <v>750</v>
      </c>
      <c r="AB58" s="30">
        <f t="shared" si="115"/>
        <v>8550</v>
      </c>
      <c r="AC58" s="30"/>
      <c r="AD58" s="30">
        <v>750</v>
      </c>
      <c r="AE58" s="30">
        <f t="shared" si="116"/>
        <v>8550</v>
      </c>
      <c r="AF58" s="30">
        <v>1000</v>
      </c>
      <c r="AG58" s="30">
        <f t="shared" si="117"/>
        <v>11400</v>
      </c>
      <c r="AH58" s="30"/>
      <c r="AI58" s="30">
        <v>750</v>
      </c>
      <c r="AJ58" s="30">
        <f t="shared" si="118"/>
        <v>8550</v>
      </c>
      <c r="AK58" s="30">
        <v>1000</v>
      </c>
      <c r="AL58" s="30">
        <f t="shared" si="119"/>
        <v>11400</v>
      </c>
      <c r="AM58" s="30"/>
      <c r="AN58" s="30">
        <v>750</v>
      </c>
      <c r="AO58" s="30">
        <f t="shared" si="120"/>
        <v>8550</v>
      </c>
      <c r="AP58" s="30">
        <v>1000</v>
      </c>
      <c r="AQ58" s="30">
        <f t="shared" si="121"/>
        <v>11400</v>
      </c>
      <c r="AR58" s="30"/>
      <c r="AS58" s="30">
        <v>750</v>
      </c>
      <c r="AT58" s="30">
        <f t="shared" si="122"/>
        <v>8550</v>
      </c>
      <c r="AU58" s="30">
        <v>1000</v>
      </c>
      <c r="AV58" s="30">
        <f t="shared" si="123"/>
        <v>11400</v>
      </c>
      <c r="AW58" s="30"/>
      <c r="AX58" s="30">
        <v>750</v>
      </c>
      <c r="AY58" s="30">
        <f t="shared" si="124"/>
        <v>8550</v>
      </c>
      <c r="AZ58" s="30">
        <v>0</v>
      </c>
      <c r="BA58" s="30">
        <v>0</v>
      </c>
      <c r="BB58" s="30"/>
      <c r="BC58" s="45">
        <v>750</v>
      </c>
      <c r="BD58" s="45">
        <f t="shared" si="125"/>
        <v>8550</v>
      </c>
      <c r="BE58" s="30">
        <v>1000</v>
      </c>
      <c r="BF58" s="30">
        <f t="shared" si="126"/>
        <v>11400</v>
      </c>
      <c r="BG58" s="30"/>
      <c r="BH58" s="30">
        <v>750</v>
      </c>
      <c r="BI58" s="30">
        <f t="shared" si="127"/>
        <v>8550</v>
      </c>
      <c r="BJ58" s="30"/>
      <c r="BK58" s="30">
        <f t="shared" si="128"/>
        <v>0</v>
      </c>
      <c r="BL58" s="30"/>
      <c r="BM58" s="30">
        <v>750</v>
      </c>
      <c r="BN58" s="30">
        <f t="shared" si="129"/>
        <v>8550</v>
      </c>
      <c r="BO58" s="30">
        <v>1000</v>
      </c>
      <c r="BP58" s="30">
        <f t="shared" si="130"/>
        <v>11400</v>
      </c>
      <c r="BQ58" s="30"/>
      <c r="BR58" s="30">
        <v>750</v>
      </c>
      <c r="BS58" s="30">
        <f t="shared" si="131"/>
        <v>8550</v>
      </c>
      <c r="BT58" s="30"/>
      <c r="BU58" s="30">
        <f t="shared" si="132"/>
        <v>0</v>
      </c>
      <c r="BV58" s="30"/>
      <c r="BW58" s="30">
        <v>750</v>
      </c>
      <c r="BX58" s="30">
        <f t="shared" si="133"/>
        <v>8550</v>
      </c>
      <c r="BY58" s="30"/>
      <c r="BZ58" s="30">
        <f t="shared" si="134"/>
        <v>0</v>
      </c>
      <c r="CA58" s="30"/>
      <c r="CB58" s="30">
        <v>750</v>
      </c>
      <c r="CC58" s="30">
        <f t="shared" si="135"/>
        <v>8550</v>
      </c>
      <c r="CD58" s="30"/>
      <c r="CE58" s="30">
        <f t="shared" si="136"/>
        <v>0</v>
      </c>
      <c r="CF58" s="30"/>
      <c r="CG58" s="2"/>
    </row>
    <row r="59" spans="1:85" x14ac:dyDescent="0.4">
      <c r="A59" s="2" t="s">
        <v>110</v>
      </c>
      <c r="B59" s="2" t="s">
        <v>262</v>
      </c>
      <c r="C59" s="2" t="s">
        <v>263</v>
      </c>
      <c r="D59" s="2" t="s">
        <v>265</v>
      </c>
      <c r="E59" s="165" t="s">
        <v>266</v>
      </c>
      <c r="F59" s="2"/>
      <c r="G59" s="2"/>
      <c r="H59" s="2"/>
      <c r="I59" s="2" t="s">
        <v>334</v>
      </c>
      <c r="J59" s="2" t="s">
        <v>198</v>
      </c>
      <c r="K59" s="2" t="s">
        <v>267</v>
      </c>
      <c r="L59" s="13" t="s">
        <v>268</v>
      </c>
      <c r="M59" s="14" t="s">
        <v>138</v>
      </c>
      <c r="N59" s="14" t="s">
        <v>138</v>
      </c>
      <c r="O59" s="13" t="s">
        <v>90</v>
      </c>
      <c r="P59" s="2" t="s">
        <v>125</v>
      </c>
      <c r="Q59" s="2" t="s">
        <v>347</v>
      </c>
      <c r="R59" s="2" t="s">
        <v>80</v>
      </c>
      <c r="S59" s="11">
        <v>0.34499999999999997</v>
      </c>
      <c r="T59" s="12"/>
      <c r="U59" s="30">
        <f t="shared" si="110"/>
        <v>270</v>
      </c>
      <c r="V59" s="30">
        <f t="shared" si="111"/>
        <v>93.15</v>
      </c>
      <c r="W59" s="30">
        <f t="shared" si="112"/>
        <v>0</v>
      </c>
      <c r="X59" s="30">
        <f t="shared" si="113"/>
        <v>0</v>
      </c>
      <c r="Y59" s="30"/>
      <c r="Z59" s="30">
        <f t="shared" si="114"/>
        <v>0</v>
      </c>
      <c r="AA59" s="30"/>
      <c r="AB59" s="30">
        <f t="shared" si="115"/>
        <v>0</v>
      </c>
      <c r="AC59" s="30"/>
      <c r="AD59" s="30"/>
      <c r="AE59" s="30">
        <f t="shared" si="116"/>
        <v>0</v>
      </c>
      <c r="AF59" s="30"/>
      <c r="AG59" s="30">
        <f t="shared" si="117"/>
        <v>0</v>
      </c>
      <c r="AH59" s="30"/>
      <c r="AI59" s="30"/>
      <c r="AJ59" s="30">
        <f t="shared" si="118"/>
        <v>0</v>
      </c>
      <c r="AK59" s="30"/>
      <c r="AL59" s="30">
        <f t="shared" si="119"/>
        <v>0</v>
      </c>
      <c r="AM59" s="30"/>
      <c r="AN59" s="30">
        <v>30000</v>
      </c>
      <c r="AO59" s="30">
        <f t="shared" si="120"/>
        <v>10350</v>
      </c>
      <c r="AP59" s="30"/>
      <c r="AQ59" s="30">
        <f t="shared" si="121"/>
        <v>0</v>
      </c>
      <c r="AR59" s="30"/>
      <c r="AS59" s="30">
        <v>30000</v>
      </c>
      <c r="AT59" s="30">
        <f t="shared" si="122"/>
        <v>10350</v>
      </c>
      <c r="AU59" s="30"/>
      <c r="AV59" s="30">
        <f t="shared" si="123"/>
        <v>0</v>
      </c>
      <c r="AW59" s="30"/>
      <c r="AX59" s="30">
        <v>30000</v>
      </c>
      <c r="AY59" s="30">
        <f t="shared" si="124"/>
        <v>10350</v>
      </c>
      <c r="AZ59" s="30"/>
      <c r="BA59" s="30">
        <v>0</v>
      </c>
      <c r="BB59" s="30"/>
      <c r="BC59" s="45">
        <v>30000</v>
      </c>
      <c r="BD59" s="45">
        <f t="shared" si="125"/>
        <v>10350</v>
      </c>
      <c r="BE59" s="30"/>
      <c r="BF59" s="30">
        <f t="shared" si="126"/>
        <v>0</v>
      </c>
      <c r="BG59" s="30"/>
      <c r="BH59" s="30">
        <v>30000</v>
      </c>
      <c r="BI59" s="30">
        <f t="shared" si="127"/>
        <v>10350</v>
      </c>
      <c r="BJ59" s="30"/>
      <c r="BK59" s="30">
        <f t="shared" si="128"/>
        <v>0</v>
      </c>
      <c r="BL59" s="30"/>
      <c r="BM59" s="30">
        <v>30000</v>
      </c>
      <c r="BN59" s="30">
        <f t="shared" si="129"/>
        <v>10350</v>
      </c>
      <c r="BO59" s="30"/>
      <c r="BP59" s="30">
        <f t="shared" si="130"/>
        <v>0</v>
      </c>
      <c r="BQ59" s="30"/>
      <c r="BR59" s="30">
        <v>30000</v>
      </c>
      <c r="BS59" s="30">
        <f t="shared" si="131"/>
        <v>10350</v>
      </c>
      <c r="BT59" s="30"/>
      <c r="BU59" s="30">
        <f t="shared" si="132"/>
        <v>0</v>
      </c>
      <c r="BV59" s="30"/>
      <c r="BW59" s="30">
        <v>30000</v>
      </c>
      <c r="BX59" s="30">
        <f t="shared" si="133"/>
        <v>10350</v>
      </c>
      <c r="BY59" s="30"/>
      <c r="BZ59" s="30">
        <f t="shared" si="134"/>
        <v>0</v>
      </c>
      <c r="CA59" s="30"/>
      <c r="CB59" s="30">
        <v>30000</v>
      </c>
      <c r="CC59" s="30">
        <f t="shared" si="135"/>
        <v>10350</v>
      </c>
      <c r="CD59" s="30"/>
      <c r="CE59" s="30">
        <f t="shared" si="136"/>
        <v>0</v>
      </c>
      <c r="CF59" s="30"/>
      <c r="CG59" s="2"/>
    </row>
    <row r="60" spans="1:85" x14ac:dyDescent="0.4">
      <c r="A60" s="2" t="s">
        <v>110</v>
      </c>
      <c r="B60" s="2" t="s">
        <v>262</v>
      </c>
      <c r="C60" s="2" t="s">
        <v>263</v>
      </c>
      <c r="D60" s="2" t="s">
        <v>265</v>
      </c>
      <c r="E60" s="165" t="s">
        <v>266</v>
      </c>
      <c r="F60" s="2"/>
      <c r="G60" s="2"/>
      <c r="H60" s="2"/>
      <c r="I60" s="2" t="s">
        <v>334</v>
      </c>
      <c r="J60" s="2" t="s">
        <v>198</v>
      </c>
      <c r="K60" s="2" t="s">
        <v>267</v>
      </c>
      <c r="L60" s="13" t="s">
        <v>268</v>
      </c>
      <c r="M60" s="14" t="s">
        <v>138</v>
      </c>
      <c r="N60" s="14" t="s">
        <v>138</v>
      </c>
      <c r="O60" s="13" t="s">
        <v>90</v>
      </c>
      <c r="P60" s="2" t="s">
        <v>125</v>
      </c>
      <c r="Q60" s="2" t="s">
        <v>348</v>
      </c>
      <c r="R60" s="2" t="s">
        <v>80</v>
      </c>
      <c r="S60" s="11">
        <v>0.20699999999999999</v>
      </c>
      <c r="T60" s="12"/>
      <c r="U60" s="30">
        <f t="shared" si="110"/>
        <v>270</v>
      </c>
      <c r="V60" s="30">
        <f t="shared" si="111"/>
        <v>55.89</v>
      </c>
      <c r="W60" s="30">
        <f t="shared" si="112"/>
        <v>0</v>
      </c>
      <c r="X60" s="30">
        <f t="shared" si="113"/>
        <v>0</v>
      </c>
      <c r="Y60" s="30"/>
      <c r="Z60" s="30">
        <f t="shared" si="114"/>
        <v>0</v>
      </c>
      <c r="AA60" s="30"/>
      <c r="AB60" s="30">
        <f t="shared" si="115"/>
        <v>0</v>
      </c>
      <c r="AC60" s="30"/>
      <c r="AD60" s="30"/>
      <c r="AE60" s="30">
        <f t="shared" si="116"/>
        <v>0</v>
      </c>
      <c r="AF60" s="30"/>
      <c r="AG60" s="30">
        <f t="shared" si="117"/>
        <v>0</v>
      </c>
      <c r="AH60" s="30"/>
      <c r="AI60" s="30"/>
      <c r="AJ60" s="30">
        <f t="shared" si="118"/>
        <v>0</v>
      </c>
      <c r="AK60" s="30"/>
      <c r="AL60" s="30">
        <f t="shared" si="119"/>
        <v>0</v>
      </c>
      <c r="AM60" s="30"/>
      <c r="AN60" s="30">
        <v>30000</v>
      </c>
      <c r="AO60" s="30">
        <f t="shared" si="120"/>
        <v>6210</v>
      </c>
      <c r="AP60" s="30"/>
      <c r="AQ60" s="30">
        <f t="shared" si="121"/>
        <v>0</v>
      </c>
      <c r="AR60" s="30"/>
      <c r="AS60" s="30">
        <v>30000</v>
      </c>
      <c r="AT60" s="30">
        <f t="shared" si="122"/>
        <v>6210</v>
      </c>
      <c r="AU60" s="30"/>
      <c r="AV60" s="30">
        <f t="shared" si="123"/>
        <v>0</v>
      </c>
      <c r="AW60" s="30"/>
      <c r="AX60" s="30">
        <v>30000</v>
      </c>
      <c r="AY60" s="30">
        <f t="shared" si="124"/>
        <v>6210</v>
      </c>
      <c r="AZ60" s="30"/>
      <c r="BA60" s="30">
        <v>0</v>
      </c>
      <c r="BB60" s="30"/>
      <c r="BC60" s="45">
        <v>30000</v>
      </c>
      <c r="BD60" s="45">
        <f t="shared" si="125"/>
        <v>6210</v>
      </c>
      <c r="BE60" s="30"/>
      <c r="BF60" s="30">
        <f t="shared" si="126"/>
        <v>0</v>
      </c>
      <c r="BG60" s="30"/>
      <c r="BH60" s="30">
        <v>30000</v>
      </c>
      <c r="BI60" s="30">
        <f t="shared" si="127"/>
        <v>6210</v>
      </c>
      <c r="BJ60" s="30"/>
      <c r="BK60" s="30">
        <f t="shared" si="128"/>
        <v>0</v>
      </c>
      <c r="BL60" s="30"/>
      <c r="BM60" s="30">
        <v>30000</v>
      </c>
      <c r="BN60" s="30">
        <f t="shared" si="129"/>
        <v>6210</v>
      </c>
      <c r="BO60" s="30"/>
      <c r="BP60" s="30">
        <f t="shared" si="130"/>
        <v>0</v>
      </c>
      <c r="BQ60" s="30"/>
      <c r="BR60" s="30">
        <v>30000</v>
      </c>
      <c r="BS60" s="30">
        <f t="shared" si="131"/>
        <v>6210</v>
      </c>
      <c r="BT60" s="30"/>
      <c r="BU60" s="30">
        <f t="shared" si="132"/>
        <v>0</v>
      </c>
      <c r="BV60" s="30"/>
      <c r="BW60" s="30">
        <v>30000</v>
      </c>
      <c r="BX60" s="30">
        <f t="shared" si="133"/>
        <v>6210</v>
      </c>
      <c r="BY60" s="30"/>
      <c r="BZ60" s="30">
        <f t="shared" si="134"/>
        <v>0</v>
      </c>
      <c r="CA60" s="30"/>
      <c r="CB60" s="30">
        <v>30000</v>
      </c>
      <c r="CC60" s="30">
        <f t="shared" si="135"/>
        <v>6210</v>
      </c>
      <c r="CD60" s="30"/>
      <c r="CE60" s="30">
        <f t="shared" si="136"/>
        <v>0</v>
      </c>
      <c r="CF60" s="30"/>
      <c r="CG60" s="2"/>
    </row>
    <row r="61" spans="1:85" x14ac:dyDescent="0.4">
      <c r="A61" s="2" t="s">
        <v>110</v>
      </c>
      <c r="B61" s="2" t="s">
        <v>262</v>
      </c>
      <c r="C61" s="2" t="s">
        <v>263</v>
      </c>
      <c r="D61" s="2" t="s">
        <v>265</v>
      </c>
      <c r="E61" s="165" t="s">
        <v>266</v>
      </c>
      <c r="F61" s="2"/>
      <c r="G61" s="2"/>
      <c r="H61" s="2"/>
      <c r="I61" s="2" t="s">
        <v>334</v>
      </c>
      <c r="J61" s="2" t="s">
        <v>198</v>
      </c>
      <c r="K61" s="2" t="s">
        <v>267</v>
      </c>
      <c r="L61" s="13" t="s">
        <v>268</v>
      </c>
      <c r="M61" s="14" t="s">
        <v>177</v>
      </c>
      <c r="N61" s="14" t="s">
        <v>177</v>
      </c>
      <c r="O61" s="13" t="s">
        <v>153</v>
      </c>
      <c r="P61" s="2" t="s">
        <v>349</v>
      </c>
      <c r="Q61" s="2" t="s">
        <v>350</v>
      </c>
      <c r="R61" s="2" t="s">
        <v>80</v>
      </c>
      <c r="S61" s="11">
        <v>0.26500000000000001</v>
      </c>
      <c r="T61" s="12"/>
      <c r="U61" s="30">
        <f t="shared" si="110"/>
        <v>80</v>
      </c>
      <c r="V61" s="30">
        <f t="shared" si="111"/>
        <v>21.2</v>
      </c>
      <c r="W61" s="30">
        <f t="shared" si="112"/>
        <v>0</v>
      </c>
      <c r="X61" s="30">
        <f t="shared" si="113"/>
        <v>0</v>
      </c>
      <c r="Y61" s="30"/>
      <c r="Z61" s="30">
        <f t="shared" si="114"/>
        <v>0</v>
      </c>
      <c r="AA61" s="30"/>
      <c r="AB61" s="30">
        <f t="shared" si="115"/>
        <v>0</v>
      </c>
      <c r="AC61" s="30"/>
      <c r="AD61" s="30"/>
      <c r="AE61" s="30">
        <f t="shared" si="116"/>
        <v>0</v>
      </c>
      <c r="AF61" s="30"/>
      <c r="AG61" s="30">
        <f t="shared" si="117"/>
        <v>0</v>
      </c>
      <c r="AH61" s="30"/>
      <c r="AI61" s="30"/>
      <c r="AJ61" s="30">
        <f t="shared" si="118"/>
        <v>0</v>
      </c>
      <c r="AK61" s="30"/>
      <c r="AL61" s="30">
        <f t="shared" si="119"/>
        <v>0</v>
      </c>
      <c r="AM61" s="30"/>
      <c r="AN61" s="30"/>
      <c r="AO61" s="30">
        <f t="shared" si="120"/>
        <v>0</v>
      </c>
      <c r="AP61" s="30"/>
      <c r="AQ61" s="30">
        <f t="shared" si="121"/>
        <v>0</v>
      </c>
      <c r="AR61" s="30"/>
      <c r="AS61" s="30">
        <v>10000</v>
      </c>
      <c r="AT61" s="30">
        <f t="shared" si="122"/>
        <v>2650</v>
      </c>
      <c r="AU61" s="30"/>
      <c r="AV61" s="30">
        <f t="shared" si="123"/>
        <v>0</v>
      </c>
      <c r="AW61" s="30"/>
      <c r="AX61" s="30">
        <v>10000</v>
      </c>
      <c r="AY61" s="30">
        <f t="shared" si="124"/>
        <v>2650</v>
      </c>
      <c r="AZ61" s="30"/>
      <c r="BA61" s="30">
        <v>0</v>
      </c>
      <c r="BB61" s="30"/>
      <c r="BC61" s="45">
        <v>10000</v>
      </c>
      <c r="BD61" s="45">
        <f t="shared" si="125"/>
        <v>2650</v>
      </c>
      <c r="BE61" s="30"/>
      <c r="BF61" s="30">
        <f t="shared" si="126"/>
        <v>0</v>
      </c>
      <c r="BG61" s="30"/>
      <c r="BH61" s="30">
        <v>10000</v>
      </c>
      <c r="BI61" s="30">
        <f t="shared" si="127"/>
        <v>2650</v>
      </c>
      <c r="BJ61" s="30"/>
      <c r="BK61" s="30">
        <f t="shared" si="128"/>
        <v>0</v>
      </c>
      <c r="BL61" s="30"/>
      <c r="BM61" s="30">
        <v>10000</v>
      </c>
      <c r="BN61" s="30">
        <f t="shared" si="129"/>
        <v>2650</v>
      </c>
      <c r="BO61" s="30"/>
      <c r="BP61" s="30">
        <f t="shared" si="130"/>
        <v>0</v>
      </c>
      <c r="BQ61" s="30"/>
      <c r="BR61" s="30">
        <v>10000</v>
      </c>
      <c r="BS61" s="30">
        <f t="shared" si="131"/>
        <v>2650</v>
      </c>
      <c r="BT61" s="30"/>
      <c r="BU61" s="30">
        <f t="shared" si="132"/>
        <v>0</v>
      </c>
      <c r="BV61" s="30"/>
      <c r="BW61" s="30">
        <v>10000</v>
      </c>
      <c r="BX61" s="30">
        <f t="shared" si="133"/>
        <v>2650</v>
      </c>
      <c r="BY61" s="30"/>
      <c r="BZ61" s="30">
        <f t="shared" si="134"/>
        <v>0</v>
      </c>
      <c r="CA61" s="30"/>
      <c r="CB61" s="30">
        <v>10000</v>
      </c>
      <c r="CC61" s="30">
        <f t="shared" si="135"/>
        <v>2650</v>
      </c>
      <c r="CD61" s="30"/>
      <c r="CE61" s="30">
        <f t="shared" si="136"/>
        <v>0</v>
      </c>
      <c r="CF61" s="30"/>
      <c r="CG61" s="2"/>
    </row>
    <row r="62" spans="1:85" x14ac:dyDescent="0.4">
      <c r="A62" s="2" t="s">
        <v>110</v>
      </c>
      <c r="B62" s="2" t="s">
        <v>262</v>
      </c>
      <c r="C62" s="2" t="s">
        <v>263</v>
      </c>
      <c r="D62" s="2" t="s">
        <v>265</v>
      </c>
      <c r="E62" s="165" t="s">
        <v>266</v>
      </c>
      <c r="F62" s="2"/>
      <c r="G62" s="2"/>
      <c r="H62" s="2"/>
      <c r="I62" s="2"/>
      <c r="J62" s="2"/>
      <c r="K62" s="2" t="s">
        <v>267</v>
      </c>
      <c r="L62" s="13" t="s">
        <v>268</v>
      </c>
      <c r="M62" s="2" t="s">
        <v>96</v>
      </c>
      <c r="N62" s="2" t="s">
        <v>96</v>
      </c>
      <c r="O62" s="2" t="s">
        <v>146</v>
      </c>
      <c r="P62" s="1" t="s">
        <v>97</v>
      </c>
      <c r="Q62" s="2" t="s">
        <v>351</v>
      </c>
      <c r="R62" s="2"/>
      <c r="S62" s="11"/>
      <c r="T62" s="12"/>
      <c r="U62" s="30">
        <f t="shared" si="110"/>
        <v>0</v>
      </c>
      <c r="V62" s="30">
        <f t="shared" si="111"/>
        <v>0</v>
      </c>
      <c r="W62" s="30">
        <f t="shared" si="112"/>
        <v>0</v>
      </c>
      <c r="X62" s="30">
        <f t="shared" si="113"/>
        <v>0</v>
      </c>
      <c r="Y62" s="30"/>
      <c r="Z62" s="30">
        <f t="shared" si="114"/>
        <v>0</v>
      </c>
      <c r="AA62" s="30"/>
      <c r="AB62" s="30">
        <f t="shared" si="115"/>
        <v>0</v>
      </c>
      <c r="AC62" s="30"/>
      <c r="AD62" s="30"/>
      <c r="AE62" s="30">
        <f t="shared" si="116"/>
        <v>0</v>
      </c>
      <c r="AF62" s="30"/>
      <c r="AG62" s="30">
        <f t="shared" si="117"/>
        <v>0</v>
      </c>
      <c r="AH62" s="30"/>
      <c r="AI62" s="30"/>
      <c r="AJ62" s="30">
        <f t="shared" si="118"/>
        <v>0</v>
      </c>
      <c r="AK62" s="30"/>
      <c r="AL62" s="30">
        <f t="shared" si="119"/>
        <v>0</v>
      </c>
      <c r="AM62" s="30"/>
      <c r="AN62" s="30"/>
      <c r="AO62" s="30">
        <f t="shared" si="120"/>
        <v>0</v>
      </c>
      <c r="AP62" s="30"/>
      <c r="AQ62" s="30">
        <f t="shared" si="121"/>
        <v>0</v>
      </c>
      <c r="AR62" s="30"/>
      <c r="AS62" s="30"/>
      <c r="AT62" s="30">
        <f t="shared" si="122"/>
        <v>0</v>
      </c>
      <c r="AU62" s="30"/>
      <c r="AV62" s="30">
        <f t="shared" si="123"/>
        <v>0</v>
      </c>
      <c r="AW62" s="30"/>
      <c r="AX62" s="30"/>
      <c r="AY62" s="30">
        <f t="shared" si="124"/>
        <v>0</v>
      </c>
      <c r="AZ62" s="30"/>
      <c r="BA62" s="30">
        <v>0</v>
      </c>
      <c r="BB62" s="30"/>
      <c r="BC62" s="45"/>
      <c r="BD62" s="45">
        <f t="shared" si="125"/>
        <v>0</v>
      </c>
      <c r="BE62" s="30"/>
      <c r="BF62" s="30">
        <f t="shared" si="126"/>
        <v>0</v>
      </c>
      <c r="BG62" s="30"/>
      <c r="BH62" s="30"/>
      <c r="BI62" s="30">
        <f t="shared" si="127"/>
        <v>0</v>
      </c>
      <c r="BJ62" s="30"/>
      <c r="BK62" s="30">
        <f t="shared" si="128"/>
        <v>0</v>
      </c>
      <c r="BL62" s="30"/>
      <c r="BM62" s="30"/>
      <c r="BN62" s="30">
        <f t="shared" si="129"/>
        <v>0</v>
      </c>
      <c r="BO62" s="30"/>
      <c r="BP62" s="30">
        <f t="shared" si="130"/>
        <v>0</v>
      </c>
      <c r="BQ62" s="30"/>
      <c r="BR62" s="30"/>
      <c r="BS62" s="30">
        <f t="shared" si="131"/>
        <v>0</v>
      </c>
      <c r="BT62" s="30"/>
      <c r="BU62" s="30">
        <f t="shared" si="132"/>
        <v>0</v>
      </c>
      <c r="BV62" s="30"/>
      <c r="BW62" s="30"/>
      <c r="BX62" s="30">
        <f t="shared" si="133"/>
        <v>0</v>
      </c>
      <c r="BY62" s="30"/>
      <c r="BZ62" s="30">
        <f t="shared" si="134"/>
        <v>0</v>
      </c>
      <c r="CA62" s="30"/>
      <c r="CB62" s="30"/>
      <c r="CC62" s="30">
        <f t="shared" si="135"/>
        <v>0</v>
      </c>
      <c r="CD62" s="30"/>
      <c r="CE62" s="30">
        <f t="shared" si="136"/>
        <v>0</v>
      </c>
      <c r="CF62" s="30"/>
      <c r="CG62" s="2"/>
    </row>
    <row r="63" spans="1:85" x14ac:dyDescent="0.4">
      <c r="A63" s="2" t="s">
        <v>110</v>
      </c>
      <c r="B63" s="2" t="s">
        <v>262</v>
      </c>
      <c r="C63" s="2" t="s">
        <v>263</v>
      </c>
      <c r="D63" s="2" t="s">
        <v>265</v>
      </c>
      <c r="E63" s="165" t="s">
        <v>266</v>
      </c>
      <c r="F63" s="2"/>
      <c r="G63" s="2"/>
      <c r="H63" s="2"/>
      <c r="I63" s="2"/>
      <c r="J63" s="2"/>
      <c r="K63" s="2" t="s">
        <v>267</v>
      </c>
      <c r="L63" s="13" t="s">
        <v>268</v>
      </c>
      <c r="M63" s="2" t="s">
        <v>87</v>
      </c>
      <c r="N63" s="2" t="s">
        <v>87</v>
      </c>
      <c r="O63" s="2" t="s">
        <v>88</v>
      </c>
      <c r="P63" s="2" t="s">
        <v>85</v>
      </c>
      <c r="Q63" s="2" t="s">
        <v>352</v>
      </c>
      <c r="R63" s="2"/>
      <c r="S63" s="11">
        <v>0.11</v>
      </c>
      <c r="T63" s="12">
        <v>5000</v>
      </c>
      <c r="U63" s="30">
        <f t="shared" si="110"/>
        <v>0</v>
      </c>
      <c r="V63" s="30">
        <f t="shared" si="111"/>
        <v>0</v>
      </c>
      <c r="W63" s="30">
        <f t="shared" si="112"/>
        <v>0</v>
      </c>
      <c r="X63" s="30">
        <f t="shared" si="113"/>
        <v>0</v>
      </c>
      <c r="Y63" s="30"/>
      <c r="Z63" s="30">
        <f t="shared" si="114"/>
        <v>0</v>
      </c>
      <c r="AA63" s="30"/>
      <c r="AB63" s="30">
        <f t="shared" si="115"/>
        <v>0</v>
      </c>
      <c r="AC63" s="30">
        <v>4000</v>
      </c>
      <c r="AD63" s="30"/>
      <c r="AE63" s="30">
        <f t="shared" si="116"/>
        <v>0</v>
      </c>
      <c r="AF63" s="30">
        <v>5000</v>
      </c>
      <c r="AG63" s="30">
        <f t="shared" si="117"/>
        <v>550</v>
      </c>
      <c r="AH63" s="30"/>
      <c r="AI63" s="30"/>
      <c r="AJ63" s="30">
        <f t="shared" si="118"/>
        <v>0</v>
      </c>
      <c r="AK63" s="30"/>
      <c r="AL63" s="30">
        <f t="shared" si="119"/>
        <v>0</v>
      </c>
      <c r="AM63" s="30"/>
      <c r="AN63" s="30"/>
      <c r="AO63" s="30">
        <f t="shared" si="120"/>
        <v>0</v>
      </c>
      <c r="AP63" s="30"/>
      <c r="AQ63" s="30">
        <f t="shared" si="121"/>
        <v>0</v>
      </c>
      <c r="AR63" s="30">
        <v>4000</v>
      </c>
      <c r="AS63" s="30"/>
      <c r="AT63" s="30">
        <f t="shared" si="122"/>
        <v>0</v>
      </c>
      <c r="AU63" s="30"/>
      <c r="AV63" s="30">
        <f t="shared" si="123"/>
        <v>0</v>
      </c>
      <c r="AW63" s="30"/>
      <c r="AX63" s="30"/>
      <c r="AY63" s="30">
        <f t="shared" si="124"/>
        <v>0</v>
      </c>
      <c r="AZ63" s="30"/>
      <c r="BA63" s="30">
        <v>0</v>
      </c>
      <c r="BB63" s="36">
        <v>5000</v>
      </c>
      <c r="BC63" s="45"/>
      <c r="BD63" s="45">
        <f t="shared" si="125"/>
        <v>0</v>
      </c>
      <c r="BE63" s="30"/>
      <c r="BF63" s="30">
        <f t="shared" si="126"/>
        <v>0</v>
      </c>
      <c r="BG63" s="30"/>
      <c r="BH63" s="30"/>
      <c r="BI63" s="30">
        <f t="shared" si="127"/>
        <v>0</v>
      </c>
      <c r="BJ63" s="30"/>
      <c r="BK63" s="30">
        <f t="shared" si="128"/>
        <v>0</v>
      </c>
      <c r="BL63" s="30"/>
      <c r="BM63" s="30"/>
      <c r="BN63" s="30">
        <f t="shared" si="129"/>
        <v>0</v>
      </c>
      <c r="BO63" s="30"/>
      <c r="BP63" s="30">
        <f t="shared" si="130"/>
        <v>0</v>
      </c>
      <c r="BQ63" s="30"/>
      <c r="BR63" s="30"/>
      <c r="BS63" s="30">
        <f t="shared" si="131"/>
        <v>0</v>
      </c>
      <c r="BT63" s="30"/>
      <c r="BU63" s="30">
        <f t="shared" si="132"/>
        <v>0</v>
      </c>
      <c r="BV63" s="30"/>
      <c r="BW63" s="30"/>
      <c r="BX63" s="30">
        <f t="shared" si="133"/>
        <v>0</v>
      </c>
      <c r="BY63" s="30"/>
      <c r="BZ63" s="30">
        <f t="shared" si="134"/>
        <v>0</v>
      </c>
      <c r="CA63" s="30"/>
      <c r="CB63" s="30"/>
      <c r="CC63" s="30">
        <f t="shared" si="135"/>
        <v>0</v>
      </c>
      <c r="CD63" s="30"/>
      <c r="CE63" s="30">
        <f t="shared" si="136"/>
        <v>0</v>
      </c>
      <c r="CF63" s="30"/>
      <c r="CG63" s="2"/>
    </row>
    <row r="64" spans="1:85" x14ac:dyDescent="0.4">
      <c r="A64" s="2" t="s">
        <v>110</v>
      </c>
      <c r="B64" s="2" t="s">
        <v>262</v>
      </c>
      <c r="C64" s="2" t="s">
        <v>263</v>
      </c>
      <c r="D64" s="2" t="s">
        <v>265</v>
      </c>
      <c r="E64" s="165" t="s">
        <v>266</v>
      </c>
      <c r="F64" s="2"/>
      <c r="G64" s="2"/>
      <c r="H64" s="2"/>
      <c r="I64" s="2"/>
      <c r="J64" s="2"/>
      <c r="K64" s="2" t="s">
        <v>267</v>
      </c>
      <c r="L64" s="13" t="s">
        <v>268</v>
      </c>
      <c r="M64" s="2" t="s">
        <v>128</v>
      </c>
      <c r="N64" s="2" t="s">
        <v>128</v>
      </c>
      <c r="O64" s="2" t="s">
        <v>129</v>
      </c>
      <c r="P64" s="2" t="s">
        <v>93</v>
      </c>
      <c r="Q64" s="2" t="s">
        <v>353</v>
      </c>
      <c r="R64" s="2"/>
      <c r="S64" s="11"/>
      <c r="T64" s="12"/>
      <c r="U64" s="30">
        <f t="shared" si="110"/>
        <v>0</v>
      </c>
      <c r="V64" s="30">
        <f t="shared" si="111"/>
        <v>0</v>
      </c>
      <c r="W64" s="30">
        <f t="shared" si="112"/>
        <v>0</v>
      </c>
      <c r="X64" s="30">
        <f t="shared" si="113"/>
        <v>0</v>
      </c>
      <c r="Y64" s="30"/>
      <c r="Z64" s="30">
        <f t="shared" si="114"/>
        <v>0</v>
      </c>
      <c r="AA64" s="30"/>
      <c r="AB64" s="30">
        <f t="shared" si="115"/>
        <v>0</v>
      </c>
      <c r="AC64" s="30"/>
      <c r="AD64" s="30"/>
      <c r="AE64" s="30">
        <f t="shared" si="116"/>
        <v>0</v>
      </c>
      <c r="AF64" s="30"/>
      <c r="AG64" s="30">
        <f t="shared" si="117"/>
        <v>0</v>
      </c>
      <c r="AH64" s="30"/>
      <c r="AI64" s="30"/>
      <c r="AJ64" s="30">
        <f t="shared" si="118"/>
        <v>0</v>
      </c>
      <c r="AK64" s="30"/>
      <c r="AL64" s="30">
        <f t="shared" si="119"/>
        <v>0</v>
      </c>
      <c r="AM64" s="30">
        <v>20000</v>
      </c>
      <c r="AN64" s="30"/>
      <c r="AO64" s="30">
        <f t="shared" si="120"/>
        <v>0</v>
      </c>
      <c r="AP64" s="30"/>
      <c r="AQ64" s="30">
        <f t="shared" si="121"/>
        <v>0</v>
      </c>
      <c r="AR64" s="30">
        <v>10000</v>
      </c>
      <c r="AS64" s="30"/>
      <c r="AT64" s="30">
        <f t="shared" si="122"/>
        <v>0</v>
      </c>
      <c r="AU64" s="30"/>
      <c r="AV64" s="30">
        <f t="shared" si="123"/>
        <v>0</v>
      </c>
      <c r="AW64" s="33">
        <v>10000</v>
      </c>
      <c r="AX64" s="30"/>
      <c r="AY64" s="30">
        <f t="shared" si="124"/>
        <v>0</v>
      </c>
      <c r="AZ64" s="30"/>
      <c r="BA64" s="30">
        <v>0</v>
      </c>
      <c r="BB64" s="31">
        <v>10000</v>
      </c>
      <c r="BC64" s="45"/>
      <c r="BD64" s="45">
        <f t="shared" si="125"/>
        <v>0</v>
      </c>
      <c r="BE64" s="30"/>
      <c r="BF64" s="30">
        <f t="shared" si="126"/>
        <v>0</v>
      </c>
      <c r="BG64" s="27"/>
      <c r="BH64" s="30"/>
      <c r="BI64" s="30">
        <f t="shared" si="127"/>
        <v>0</v>
      </c>
      <c r="BJ64" s="30"/>
      <c r="BK64" s="30">
        <f t="shared" si="128"/>
        <v>0</v>
      </c>
      <c r="BL64" s="38"/>
      <c r="BM64" s="30"/>
      <c r="BN64" s="30">
        <f t="shared" si="129"/>
        <v>0</v>
      </c>
      <c r="BO64" s="30"/>
      <c r="BP64" s="30">
        <f t="shared" si="130"/>
        <v>0</v>
      </c>
      <c r="BQ64" s="30"/>
      <c r="BR64" s="30"/>
      <c r="BS64" s="30">
        <f t="shared" si="131"/>
        <v>0</v>
      </c>
      <c r="BT64" s="30"/>
      <c r="BU64" s="30">
        <f t="shared" si="132"/>
        <v>0</v>
      </c>
      <c r="BV64" s="27"/>
      <c r="BW64" s="30"/>
      <c r="BX64" s="30">
        <f t="shared" si="133"/>
        <v>0</v>
      </c>
      <c r="BY64" s="30"/>
      <c r="BZ64" s="30">
        <f t="shared" si="134"/>
        <v>0</v>
      </c>
      <c r="CA64" s="30"/>
      <c r="CB64" s="30"/>
      <c r="CC64" s="30">
        <f t="shared" si="135"/>
        <v>0</v>
      </c>
      <c r="CD64" s="30"/>
      <c r="CE64" s="30">
        <f t="shared" si="136"/>
        <v>0</v>
      </c>
      <c r="CF64" s="30"/>
      <c r="CG64" s="2"/>
    </row>
    <row r="65" spans="1:85" x14ac:dyDescent="0.4">
      <c r="A65" s="2" t="s">
        <v>110</v>
      </c>
      <c r="B65" s="2" t="s">
        <v>262</v>
      </c>
      <c r="C65" s="2" t="s">
        <v>263</v>
      </c>
      <c r="D65" s="2" t="s">
        <v>265</v>
      </c>
      <c r="E65" s="165" t="s">
        <v>266</v>
      </c>
      <c r="F65" s="2"/>
      <c r="G65" s="2"/>
      <c r="H65" s="2"/>
      <c r="I65" s="2" t="s">
        <v>334</v>
      </c>
      <c r="J65" s="2" t="s">
        <v>198</v>
      </c>
      <c r="K65" s="2" t="s">
        <v>267</v>
      </c>
      <c r="L65" s="13" t="s">
        <v>268</v>
      </c>
      <c r="M65" s="1" t="s">
        <v>101</v>
      </c>
      <c r="N65" s="1" t="s">
        <v>101</v>
      </c>
      <c r="O65" s="1" t="s">
        <v>86</v>
      </c>
      <c r="P65" s="1" t="s">
        <v>93</v>
      </c>
      <c r="Q65" s="2" t="s">
        <v>354</v>
      </c>
      <c r="R65" s="2" t="s">
        <v>80</v>
      </c>
      <c r="S65" s="19">
        <v>0.316</v>
      </c>
      <c r="T65" s="12"/>
      <c r="U65" s="30">
        <f t="shared" si="110"/>
        <v>12</v>
      </c>
      <c r="V65" s="30">
        <f t="shared" si="111"/>
        <v>3.7919999999999998</v>
      </c>
      <c r="W65" s="30">
        <f t="shared" si="112"/>
        <v>0</v>
      </c>
      <c r="X65" s="30">
        <f t="shared" si="113"/>
        <v>0</v>
      </c>
      <c r="Y65" s="30">
        <v>1000</v>
      </c>
      <c r="Z65" s="30">
        <f t="shared" si="114"/>
        <v>316</v>
      </c>
      <c r="AA65" s="30">
        <v>1000</v>
      </c>
      <c r="AB65" s="30">
        <f t="shared" si="115"/>
        <v>316</v>
      </c>
      <c r="AC65" s="30"/>
      <c r="AD65" s="30">
        <v>1000</v>
      </c>
      <c r="AE65" s="30">
        <f t="shared" si="116"/>
        <v>316</v>
      </c>
      <c r="AF65" s="30">
        <v>0</v>
      </c>
      <c r="AG65" s="30">
        <f t="shared" si="117"/>
        <v>0</v>
      </c>
      <c r="AH65" s="30"/>
      <c r="AI65" s="30">
        <v>1000</v>
      </c>
      <c r="AJ65" s="30">
        <f t="shared" si="118"/>
        <v>316</v>
      </c>
      <c r="AK65" s="30">
        <v>0</v>
      </c>
      <c r="AL65" s="30">
        <f t="shared" si="119"/>
        <v>0</v>
      </c>
      <c r="AM65" s="30"/>
      <c r="AN65" s="30">
        <v>1000</v>
      </c>
      <c r="AO65" s="30">
        <f t="shared" si="120"/>
        <v>316</v>
      </c>
      <c r="AP65" s="30"/>
      <c r="AQ65" s="30">
        <f t="shared" si="121"/>
        <v>0</v>
      </c>
      <c r="AR65" s="30"/>
      <c r="AS65" s="30">
        <v>1000</v>
      </c>
      <c r="AT65" s="30">
        <f t="shared" si="122"/>
        <v>316</v>
      </c>
      <c r="AU65" s="30"/>
      <c r="AV65" s="30">
        <f t="shared" si="123"/>
        <v>0</v>
      </c>
      <c r="AW65" s="30"/>
      <c r="AX65" s="30">
        <v>1000</v>
      </c>
      <c r="AY65" s="30">
        <f t="shared" si="124"/>
        <v>316</v>
      </c>
      <c r="AZ65" s="30"/>
      <c r="BA65" s="30">
        <v>0</v>
      </c>
      <c r="BB65" s="30"/>
      <c r="BC65" s="45">
        <v>1000</v>
      </c>
      <c r="BD65" s="45">
        <f t="shared" si="125"/>
        <v>316</v>
      </c>
      <c r="BE65" s="30"/>
      <c r="BF65" s="30">
        <f t="shared" si="126"/>
        <v>0</v>
      </c>
      <c r="BG65" s="30"/>
      <c r="BH65" s="30">
        <v>1000</v>
      </c>
      <c r="BI65" s="30">
        <f t="shared" si="127"/>
        <v>316</v>
      </c>
      <c r="BJ65" s="30"/>
      <c r="BK65" s="30">
        <f t="shared" si="128"/>
        <v>0</v>
      </c>
      <c r="BL65" s="30"/>
      <c r="BM65" s="30">
        <v>1000</v>
      </c>
      <c r="BN65" s="30">
        <f t="shared" si="129"/>
        <v>316</v>
      </c>
      <c r="BO65" s="30"/>
      <c r="BP65" s="30">
        <f t="shared" si="130"/>
        <v>0</v>
      </c>
      <c r="BQ65" s="30"/>
      <c r="BR65" s="30">
        <v>1000</v>
      </c>
      <c r="BS65" s="30">
        <f t="shared" si="131"/>
        <v>316</v>
      </c>
      <c r="BT65" s="30"/>
      <c r="BU65" s="30">
        <f t="shared" si="132"/>
        <v>0</v>
      </c>
      <c r="BV65" s="30"/>
      <c r="BW65" s="30">
        <v>1000</v>
      </c>
      <c r="BX65" s="30">
        <f t="shared" si="133"/>
        <v>316</v>
      </c>
      <c r="BY65" s="30"/>
      <c r="BZ65" s="30">
        <f t="shared" si="134"/>
        <v>0</v>
      </c>
      <c r="CA65" s="30"/>
      <c r="CB65" s="30">
        <v>1000</v>
      </c>
      <c r="CC65" s="30">
        <f t="shared" si="135"/>
        <v>316</v>
      </c>
      <c r="CD65" s="30"/>
      <c r="CE65" s="30">
        <f t="shared" si="136"/>
        <v>0</v>
      </c>
      <c r="CF65" s="30"/>
      <c r="CG65" s="2"/>
    </row>
    <row r="66" spans="1:85" x14ac:dyDescent="0.4">
      <c r="A66" s="2" t="s">
        <v>110</v>
      </c>
      <c r="B66" s="2" t="s">
        <v>262</v>
      </c>
      <c r="C66" s="2" t="s">
        <v>263</v>
      </c>
      <c r="D66" s="2" t="s">
        <v>265</v>
      </c>
      <c r="E66" s="165" t="s">
        <v>266</v>
      </c>
      <c r="F66" s="2"/>
      <c r="G66" s="2"/>
      <c r="H66" s="2"/>
      <c r="I66" s="2"/>
      <c r="J66" s="2"/>
      <c r="K66" s="2" t="s">
        <v>267</v>
      </c>
      <c r="L66" s="13" t="s">
        <v>268</v>
      </c>
      <c r="M66" s="2" t="s">
        <v>96</v>
      </c>
      <c r="N66" s="2" t="s">
        <v>96</v>
      </c>
      <c r="O66" s="2" t="s">
        <v>146</v>
      </c>
      <c r="P66" s="1" t="s">
        <v>97</v>
      </c>
      <c r="Q66" s="2" t="s">
        <v>355</v>
      </c>
      <c r="R66" s="2"/>
      <c r="S66" s="11"/>
      <c r="T66" s="148">
        <v>5000</v>
      </c>
      <c r="U66" s="30">
        <f t="shared" si="110"/>
        <v>0</v>
      </c>
      <c r="V66" s="30">
        <f t="shared" si="111"/>
        <v>0</v>
      </c>
      <c r="W66" s="30">
        <f t="shared" si="112"/>
        <v>0</v>
      </c>
      <c r="X66" s="30">
        <f t="shared" si="113"/>
        <v>0</v>
      </c>
      <c r="Y66" s="30"/>
      <c r="Z66" s="30">
        <f t="shared" si="114"/>
        <v>0</v>
      </c>
      <c r="AA66" s="30"/>
      <c r="AB66" s="30">
        <f t="shared" si="115"/>
        <v>0</v>
      </c>
      <c r="AC66" s="30"/>
      <c r="AD66" s="30"/>
      <c r="AE66" s="30">
        <f t="shared" si="116"/>
        <v>0</v>
      </c>
      <c r="AF66" s="30"/>
      <c r="AG66" s="30">
        <f t="shared" si="117"/>
        <v>0</v>
      </c>
      <c r="AH66" s="30">
        <v>800</v>
      </c>
      <c r="AI66" s="30"/>
      <c r="AJ66" s="30">
        <f t="shared" si="118"/>
        <v>0</v>
      </c>
      <c r="AK66" s="30"/>
      <c r="AL66" s="30">
        <f t="shared" si="119"/>
        <v>0</v>
      </c>
      <c r="AM66" s="30"/>
      <c r="AN66" s="30"/>
      <c r="AO66" s="30">
        <f t="shared" si="120"/>
        <v>0</v>
      </c>
      <c r="AP66" s="30"/>
      <c r="AQ66" s="30">
        <f t="shared" si="121"/>
        <v>0</v>
      </c>
      <c r="AR66" s="30">
        <v>5000</v>
      </c>
      <c r="AS66" s="30"/>
      <c r="AT66" s="30">
        <f t="shared" si="122"/>
        <v>0</v>
      </c>
      <c r="AU66" s="30"/>
      <c r="AV66" s="30">
        <f t="shared" si="123"/>
        <v>0</v>
      </c>
      <c r="AW66" s="30"/>
      <c r="AX66" s="30"/>
      <c r="AY66" s="30">
        <f t="shared" si="124"/>
        <v>0</v>
      </c>
      <c r="AZ66" s="30"/>
      <c r="BA66" s="30">
        <v>0</v>
      </c>
      <c r="BB66" s="30"/>
      <c r="BC66" s="45"/>
      <c r="BD66" s="45">
        <f t="shared" si="125"/>
        <v>0</v>
      </c>
      <c r="BE66" s="30"/>
      <c r="BF66" s="30">
        <f t="shared" si="126"/>
        <v>0</v>
      </c>
      <c r="BG66" s="30"/>
      <c r="BH66" s="30"/>
      <c r="BI66" s="30">
        <f t="shared" si="127"/>
        <v>0</v>
      </c>
      <c r="BJ66" s="30"/>
      <c r="BK66" s="30">
        <f t="shared" si="128"/>
        <v>0</v>
      </c>
      <c r="BL66" s="30"/>
      <c r="BM66" s="30"/>
      <c r="BN66" s="30">
        <f t="shared" si="129"/>
        <v>0</v>
      </c>
      <c r="BO66" s="30"/>
      <c r="BP66" s="30">
        <f t="shared" si="130"/>
        <v>0</v>
      </c>
      <c r="BQ66" s="30"/>
      <c r="BR66" s="30"/>
      <c r="BS66" s="30">
        <f t="shared" si="131"/>
        <v>0</v>
      </c>
      <c r="BT66" s="30"/>
      <c r="BU66" s="30">
        <f t="shared" si="132"/>
        <v>0</v>
      </c>
      <c r="BV66" s="30"/>
      <c r="BW66" s="30"/>
      <c r="BX66" s="30">
        <f t="shared" si="133"/>
        <v>0</v>
      </c>
      <c r="BY66" s="30"/>
      <c r="BZ66" s="30">
        <f t="shared" si="134"/>
        <v>0</v>
      </c>
      <c r="CA66" s="30"/>
      <c r="CB66" s="30"/>
      <c r="CC66" s="30">
        <f t="shared" si="135"/>
        <v>0</v>
      </c>
      <c r="CD66" s="30"/>
      <c r="CE66" s="30">
        <f t="shared" si="136"/>
        <v>0</v>
      </c>
      <c r="CF66" s="30"/>
      <c r="CG66" s="2"/>
    </row>
    <row r="67" spans="1:85" x14ac:dyDescent="0.4">
      <c r="A67" s="2" t="s">
        <v>110</v>
      </c>
      <c r="B67" s="2" t="s">
        <v>262</v>
      </c>
      <c r="C67" s="2" t="s">
        <v>263</v>
      </c>
      <c r="D67" s="2" t="s">
        <v>265</v>
      </c>
      <c r="E67" s="165" t="s">
        <v>266</v>
      </c>
      <c r="F67" s="2"/>
      <c r="G67" s="2"/>
      <c r="H67" s="2"/>
      <c r="I67" s="2"/>
      <c r="J67" s="2"/>
      <c r="K67" s="2" t="s">
        <v>267</v>
      </c>
      <c r="L67" s="13" t="s">
        <v>268</v>
      </c>
      <c r="M67" s="2" t="s">
        <v>96</v>
      </c>
      <c r="N67" s="2" t="s">
        <v>96</v>
      </c>
      <c r="O67" s="2" t="s">
        <v>146</v>
      </c>
      <c r="P67" s="1" t="s">
        <v>97</v>
      </c>
      <c r="Q67" s="2" t="s">
        <v>269</v>
      </c>
      <c r="R67" s="2"/>
      <c r="S67" s="11"/>
      <c r="T67" s="12"/>
      <c r="U67" s="30">
        <f t="shared" si="110"/>
        <v>0</v>
      </c>
      <c r="V67" s="30">
        <f t="shared" si="111"/>
        <v>0</v>
      </c>
      <c r="W67" s="30">
        <f t="shared" si="112"/>
        <v>0</v>
      </c>
      <c r="X67" s="30">
        <f t="shared" si="113"/>
        <v>0</v>
      </c>
      <c r="Y67" s="30"/>
      <c r="Z67" s="30">
        <f t="shared" si="114"/>
        <v>0</v>
      </c>
      <c r="AA67" s="30"/>
      <c r="AB67" s="30">
        <f t="shared" si="115"/>
        <v>0</v>
      </c>
      <c r="AC67" s="30">
        <v>30000</v>
      </c>
      <c r="AD67" s="30"/>
      <c r="AE67" s="30">
        <f t="shared" si="116"/>
        <v>0</v>
      </c>
      <c r="AF67" s="30"/>
      <c r="AG67" s="30">
        <f t="shared" si="117"/>
        <v>0</v>
      </c>
      <c r="AH67" s="30"/>
      <c r="AI67" s="30"/>
      <c r="AJ67" s="30">
        <f t="shared" si="118"/>
        <v>0</v>
      </c>
      <c r="AK67" s="30"/>
      <c r="AL67" s="30">
        <f t="shared" si="119"/>
        <v>0</v>
      </c>
      <c r="AM67" s="30"/>
      <c r="AN67" s="30"/>
      <c r="AO67" s="30">
        <f t="shared" si="120"/>
        <v>0</v>
      </c>
      <c r="AP67" s="30"/>
      <c r="AQ67" s="30">
        <f t="shared" si="121"/>
        <v>0</v>
      </c>
      <c r="AR67" s="30"/>
      <c r="AS67" s="30"/>
      <c r="AT67" s="30">
        <f t="shared" si="122"/>
        <v>0</v>
      </c>
      <c r="AU67" s="30"/>
      <c r="AV67" s="30">
        <f t="shared" si="123"/>
        <v>0</v>
      </c>
      <c r="AW67" s="30"/>
      <c r="AX67" s="30"/>
      <c r="AY67" s="30">
        <f t="shared" si="124"/>
        <v>0</v>
      </c>
      <c r="AZ67" s="30"/>
      <c r="BA67" s="30">
        <v>0</v>
      </c>
      <c r="BB67" s="30"/>
      <c r="BC67" s="45"/>
      <c r="BD67" s="45">
        <f t="shared" si="125"/>
        <v>0</v>
      </c>
      <c r="BE67" s="30"/>
      <c r="BF67" s="30">
        <f t="shared" si="126"/>
        <v>0</v>
      </c>
      <c r="BG67" s="30"/>
      <c r="BH67" s="30"/>
      <c r="BI67" s="30">
        <f t="shared" si="127"/>
        <v>0</v>
      </c>
      <c r="BJ67" s="30"/>
      <c r="BK67" s="30">
        <f t="shared" si="128"/>
        <v>0</v>
      </c>
      <c r="BL67" s="30"/>
      <c r="BM67" s="30"/>
      <c r="BN67" s="30">
        <f t="shared" si="129"/>
        <v>0</v>
      </c>
      <c r="BO67" s="30"/>
      <c r="BP67" s="30">
        <f t="shared" si="130"/>
        <v>0</v>
      </c>
      <c r="BQ67" s="30"/>
      <c r="BR67" s="30"/>
      <c r="BS67" s="30">
        <f t="shared" si="131"/>
        <v>0</v>
      </c>
      <c r="BT67" s="30"/>
      <c r="BU67" s="30">
        <f t="shared" si="132"/>
        <v>0</v>
      </c>
      <c r="BV67" s="30"/>
      <c r="BW67" s="30"/>
      <c r="BX67" s="30">
        <f t="shared" si="133"/>
        <v>0</v>
      </c>
      <c r="BY67" s="30"/>
      <c r="BZ67" s="30">
        <f t="shared" si="134"/>
        <v>0</v>
      </c>
      <c r="CA67" s="30"/>
      <c r="CB67" s="30"/>
      <c r="CC67" s="30">
        <f t="shared" si="135"/>
        <v>0</v>
      </c>
      <c r="CD67" s="30"/>
      <c r="CE67" s="30">
        <f t="shared" si="136"/>
        <v>0</v>
      </c>
      <c r="CF67" s="30"/>
      <c r="CG67" s="2"/>
    </row>
    <row r="68" spans="1:85" ht="17" x14ac:dyDescent="0.4">
      <c r="A68" s="2" t="s">
        <v>110</v>
      </c>
      <c r="B68" s="2" t="s">
        <v>262</v>
      </c>
      <c r="C68" s="2" t="s">
        <v>263</v>
      </c>
      <c r="D68" s="2" t="s">
        <v>265</v>
      </c>
      <c r="E68" s="165" t="s">
        <v>266</v>
      </c>
      <c r="F68" s="2"/>
      <c r="G68" s="2"/>
      <c r="H68" s="2"/>
      <c r="I68" s="2"/>
      <c r="J68" s="2"/>
      <c r="K68" s="2" t="s">
        <v>267</v>
      </c>
      <c r="L68" s="13" t="s">
        <v>268</v>
      </c>
      <c r="M68" s="14" t="s">
        <v>87</v>
      </c>
      <c r="N68" s="14" t="s">
        <v>87</v>
      </c>
      <c r="O68" s="2" t="s">
        <v>88</v>
      </c>
      <c r="P68" s="2" t="s">
        <v>85</v>
      </c>
      <c r="Q68" s="2" t="s">
        <v>356</v>
      </c>
      <c r="R68" s="2"/>
      <c r="S68" s="11">
        <v>6.3E-2</v>
      </c>
      <c r="T68" s="12">
        <v>2000</v>
      </c>
      <c r="U68" s="30">
        <f t="shared" si="110"/>
        <v>0</v>
      </c>
      <c r="V68" s="30">
        <f t="shared" si="111"/>
        <v>0</v>
      </c>
      <c r="W68" s="30">
        <f t="shared" si="112"/>
        <v>0</v>
      </c>
      <c r="X68" s="30">
        <f t="shared" si="113"/>
        <v>2000</v>
      </c>
      <c r="Y68" s="30"/>
      <c r="Z68" s="30">
        <f t="shared" si="114"/>
        <v>0</v>
      </c>
      <c r="AA68" s="30"/>
      <c r="AB68" s="30">
        <f t="shared" si="115"/>
        <v>0</v>
      </c>
      <c r="AC68" s="30"/>
      <c r="AD68" s="30"/>
      <c r="AE68" s="30">
        <f t="shared" si="116"/>
        <v>0</v>
      </c>
      <c r="AF68" s="30"/>
      <c r="AG68" s="30">
        <f t="shared" si="117"/>
        <v>0</v>
      </c>
      <c r="AH68" s="30"/>
      <c r="AI68" s="30"/>
      <c r="AJ68" s="30">
        <f t="shared" si="118"/>
        <v>0</v>
      </c>
      <c r="AK68" s="30"/>
      <c r="AL68" s="30">
        <f t="shared" si="119"/>
        <v>0</v>
      </c>
      <c r="AM68" s="30"/>
      <c r="AN68" s="30"/>
      <c r="AO68" s="30">
        <f t="shared" si="120"/>
        <v>0</v>
      </c>
      <c r="AP68" s="30"/>
      <c r="AQ68" s="30">
        <f t="shared" si="121"/>
        <v>0</v>
      </c>
      <c r="AR68" s="30">
        <v>2000</v>
      </c>
      <c r="AS68" s="30"/>
      <c r="AT68" s="30">
        <f t="shared" si="122"/>
        <v>0</v>
      </c>
      <c r="AU68" s="30"/>
      <c r="AV68" s="30">
        <f t="shared" si="123"/>
        <v>0</v>
      </c>
      <c r="AW68" s="30">
        <v>2000</v>
      </c>
      <c r="AX68" s="30"/>
      <c r="AY68" s="30">
        <f t="shared" si="124"/>
        <v>0</v>
      </c>
      <c r="AZ68" s="30"/>
      <c r="BA68" s="30">
        <v>0</v>
      </c>
      <c r="BB68" s="30"/>
      <c r="BC68" s="45"/>
      <c r="BD68" s="45">
        <f t="shared" si="125"/>
        <v>0</v>
      </c>
      <c r="BE68" s="30"/>
      <c r="BF68" s="30">
        <f t="shared" si="126"/>
        <v>0</v>
      </c>
      <c r="BG68" s="30"/>
      <c r="BH68" s="30"/>
      <c r="BI68" s="30">
        <f t="shared" si="127"/>
        <v>0</v>
      </c>
      <c r="BJ68" s="30"/>
      <c r="BK68" s="30">
        <f t="shared" si="128"/>
        <v>0</v>
      </c>
      <c r="BL68" s="146">
        <v>2000</v>
      </c>
      <c r="BM68" s="30"/>
      <c r="BN68" s="30">
        <f t="shared" si="129"/>
        <v>0</v>
      </c>
      <c r="BO68" s="30"/>
      <c r="BP68" s="30">
        <f t="shared" si="130"/>
        <v>0</v>
      </c>
      <c r="BQ68" s="30"/>
      <c r="BR68" s="30"/>
      <c r="BS68" s="30">
        <f t="shared" si="131"/>
        <v>0</v>
      </c>
      <c r="BT68" s="30"/>
      <c r="BU68" s="30">
        <f t="shared" si="132"/>
        <v>0</v>
      </c>
      <c r="BV68" s="30"/>
      <c r="BW68" s="30"/>
      <c r="BX68" s="30">
        <f t="shared" si="133"/>
        <v>0</v>
      </c>
      <c r="BY68" s="30"/>
      <c r="BZ68" s="30">
        <f t="shared" si="134"/>
        <v>0</v>
      </c>
      <c r="CA68" s="30"/>
      <c r="CB68" s="30"/>
      <c r="CC68" s="30">
        <f t="shared" si="135"/>
        <v>0</v>
      </c>
      <c r="CD68" s="30"/>
      <c r="CE68" s="30">
        <f t="shared" si="136"/>
        <v>0</v>
      </c>
      <c r="CF68" s="30"/>
      <c r="CG68" s="62"/>
    </row>
    <row r="69" spans="1:85" x14ac:dyDescent="0.4">
      <c r="A69" s="2" t="s">
        <v>110</v>
      </c>
      <c r="B69" s="2" t="s">
        <v>262</v>
      </c>
      <c r="C69" s="2" t="s">
        <v>263</v>
      </c>
      <c r="D69" s="2" t="s">
        <v>265</v>
      </c>
      <c r="E69" s="165" t="s">
        <v>266</v>
      </c>
      <c r="F69" s="2"/>
      <c r="G69" s="2"/>
      <c r="H69" s="2"/>
      <c r="I69" s="2"/>
      <c r="J69" s="2"/>
      <c r="K69" s="2" t="s">
        <v>267</v>
      </c>
      <c r="L69" s="13" t="s">
        <v>268</v>
      </c>
      <c r="M69" s="2" t="s">
        <v>117</v>
      </c>
      <c r="N69" s="2" t="s">
        <v>117</v>
      </c>
      <c r="O69" s="2" t="s">
        <v>118</v>
      </c>
      <c r="P69" s="2" t="s">
        <v>603</v>
      </c>
      <c r="Q69" s="2" t="s">
        <v>357</v>
      </c>
      <c r="R69" s="2"/>
      <c r="S69" s="11"/>
      <c r="T69" s="12"/>
      <c r="U69" s="30">
        <f t="shared" ref="U69:U82" si="137">+(Y69+AD69+AI69+AN69+AS69+AX69+BC69+BH69+BM69+BR69+BW69+CB69)/1000</f>
        <v>0</v>
      </c>
      <c r="V69" s="30">
        <f t="shared" ref="V69:V82" si="138">+(Z69+AE69+AJ69+AO69+AT69+AY69+BD69+BI69+BN69+BS69+BX69+CC69)/1000</f>
        <v>0</v>
      </c>
      <c r="W69" s="30">
        <f t="shared" ref="W69:W82" si="139">+(+BF69+BK69+BP69+BU69+BZ69+CE69)</f>
        <v>0</v>
      </c>
      <c r="X69" s="30">
        <f t="shared" ref="X69:X82" si="140">+(+BG69+BL69+BQ69+BV69+CA69+CF69)</f>
        <v>0</v>
      </c>
      <c r="Y69" s="30"/>
      <c r="Z69" s="30">
        <f t="shared" ref="Z69:Z82" si="141">Y69*S69</f>
        <v>0</v>
      </c>
      <c r="AA69" s="30"/>
      <c r="AB69" s="30">
        <f t="shared" ref="AB69:AB82" si="142">AA69*S69</f>
        <v>0</v>
      </c>
      <c r="AC69" s="30"/>
      <c r="AD69" s="30"/>
      <c r="AE69" s="30">
        <f t="shared" ref="AE69:AE82" si="143">AD69*S69</f>
        <v>0</v>
      </c>
      <c r="AF69" s="30"/>
      <c r="AG69" s="30">
        <f t="shared" ref="AG69:AG82" si="144">AF69*S69</f>
        <v>0</v>
      </c>
      <c r="AH69" s="30"/>
      <c r="AI69" s="30"/>
      <c r="AJ69" s="30">
        <f t="shared" ref="AJ69:AJ82" si="145">AI69*S69</f>
        <v>0</v>
      </c>
      <c r="AK69" s="30"/>
      <c r="AL69" s="30">
        <f t="shared" ref="AL69:AL82" si="146">AK69*S69</f>
        <v>0</v>
      </c>
      <c r="AM69" s="30">
        <v>12000</v>
      </c>
      <c r="AN69" s="30"/>
      <c r="AO69" s="30">
        <f t="shared" ref="AO69:AO82" si="147">AN69*S69</f>
        <v>0</v>
      </c>
      <c r="AP69" s="30"/>
      <c r="AQ69" s="30">
        <f t="shared" ref="AQ69:AQ82" si="148">AP69*S69</f>
        <v>0</v>
      </c>
      <c r="AR69" s="30"/>
      <c r="AS69" s="30"/>
      <c r="AT69" s="30">
        <f t="shared" ref="AT69:AT82" si="149">AS69*S69</f>
        <v>0</v>
      </c>
      <c r="AU69" s="30"/>
      <c r="AV69" s="30">
        <f t="shared" ref="AV69:AV82" si="150">AU69*S69</f>
        <v>0</v>
      </c>
      <c r="AW69" s="30"/>
      <c r="AX69" s="30"/>
      <c r="AY69" s="30">
        <f t="shared" ref="AY69:AY82" si="151">AX69*S69</f>
        <v>0</v>
      </c>
      <c r="AZ69" s="30"/>
      <c r="BA69" s="30">
        <v>0</v>
      </c>
      <c r="BB69" s="30"/>
      <c r="BC69" s="45"/>
      <c r="BD69" s="45">
        <f t="shared" ref="BD69:BD82" si="152">BC69*S69</f>
        <v>0</v>
      </c>
      <c r="BE69" s="30"/>
      <c r="BF69" s="30">
        <f t="shared" ref="BF69:BF82" si="153">BE69*S69</f>
        <v>0</v>
      </c>
      <c r="BG69" s="30"/>
      <c r="BH69" s="30"/>
      <c r="BI69" s="30">
        <f t="shared" ref="BI69:BI82" si="154">BH69*S69</f>
        <v>0</v>
      </c>
      <c r="BJ69" s="30"/>
      <c r="BK69" s="30">
        <f t="shared" ref="BK69:BK82" si="155">BJ69*S69</f>
        <v>0</v>
      </c>
      <c r="BL69" s="30"/>
      <c r="BM69" s="30"/>
      <c r="BN69" s="30">
        <f t="shared" ref="BN69:BN82" si="156">BM69*S69</f>
        <v>0</v>
      </c>
      <c r="BO69" s="30"/>
      <c r="BP69" s="30">
        <f t="shared" ref="BP69:BP82" si="157">BO69*S69</f>
        <v>0</v>
      </c>
      <c r="BQ69" s="30"/>
      <c r="BR69" s="30"/>
      <c r="BS69" s="30">
        <f t="shared" ref="BS69:BS82" si="158">BR69*S69</f>
        <v>0</v>
      </c>
      <c r="BT69" s="30"/>
      <c r="BU69" s="30">
        <f t="shared" ref="BU69:BU82" si="159">BT69*S69</f>
        <v>0</v>
      </c>
      <c r="BV69" s="30"/>
      <c r="BW69" s="30"/>
      <c r="BX69" s="30">
        <f t="shared" ref="BX69:BX82" si="160">BW69*S69</f>
        <v>0</v>
      </c>
      <c r="BY69" s="30"/>
      <c r="BZ69" s="30">
        <f t="shared" ref="BZ69:BZ82" si="161">BY69*S69</f>
        <v>0</v>
      </c>
      <c r="CA69" s="30"/>
      <c r="CB69" s="30"/>
      <c r="CC69" s="30">
        <f t="shared" ref="CC69:CC82" si="162">CB69*S69</f>
        <v>0</v>
      </c>
      <c r="CD69" s="30"/>
      <c r="CE69" s="30">
        <f t="shared" ref="CE69:CE82" si="163">CD69*S69</f>
        <v>0</v>
      </c>
      <c r="CF69" s="30"/>
      <c r="CG69" s="2"/>
    </row>
    <row r="70" spans="1:85" x14ac:dyDescent="0.4">
      <c r="A70" s="2" t="s">
        <v>110</v>
      </c>
      <c r="B70" s="2" t="s">
        <v>262</v>
      </c>
      <c r="C70" s="2" t="s">
        <v>263</v>
      </c>
      <c r="D70" s="2" t="s">
        <v>265</v>
      </c>
      <c r="E70" s="165" t="s">
        <v>266</v>
      </c>
      <c r="F70" s="2"/>
      <c r="G70" s="2"/>
      <c r="H70" s="2"/>
      <c r="I70" s="2"/>
      <c r="J70" s="2"/>
      <c r="K70" s="2" t="s">
        <v>267</v>
      </c>
      <c r="L70" s="13" t="s">
        <v>268</v>
      </c>
      <c r="M70" s="14" t="s">
        <v>96</v>
      </c>
      <c r="N70" s="14" t="s">
        <v>96</v>
      </c>
      <c r="O70" s="2" t="s">
        <v>146</v>
      </c>
      <c r="P70" s="1" t="s">
        <v>97</v>
      </c>
      <c r="Q70" s="2" t="s">
        <v>358</v>
      </c>
      <c r="R70" s="2"/>
      <c r="S70" s="11">
        <v>0.77</v>
      </c>
      <c r="T70" s="12"/>
      <c r="U70" s="30">
        <f t="shared" si="137"/>
        <v>0</v>
      </c>
      <c r="V70" s="30">
        <f t="shared" si="138"/>
        <v>0</v>
      </c>
      <c r="W70" s="30">
        <f t="shared" si="139"/>
        <v>0</v>
      </c>
      <c r="X70" s="30">
        <f t="shared" si="140"/>
        <v>0</v>
      </c>
      <c r="Y70" s="30"/>
      <c r="Z70" s="30">
        <f t="shared" si="141"/>
        <v>0</v>
      </c>
      <c r="AA70" s="30"/>
      <c r="AB70" s="30">
        <f t="shared" si="142"/>
        <v>0</v>
      </c>
      <c r="AC70" s="30"/>
      <c r="AD70" s="30"/>
      <c r="AE70" s="30">
        <f t="shared" si="143"/>
        <v>0</v>
      </c>
      <c r="AF70" s="30"/>
      <c r="AG70" s="30">
        <f t="shared" si="144"/>
        <v>0</v>
      </c>
      <c r="AH70" s="30">
        <v>6400</v>
      </c>
      <c r="AI70" s="30"/>
      <c r="AJ70" s="30">
        <f t="shared" si="145"/>
        <v>0</v>
      </c>
      <c r="AK70" s="30"/>
      <c r="AL70" s="30">
        <f t="shared" si="146"/>
        <v>0</v>
      </c>
      <c r="AM70" s="30"/>
      <c r="AN70" s="30"/>
      <c r="AO70" s="30">
        <f t="shared" si="147"/>
        <v>0</v>
      </c>
      <c r="AP70" s="30"/>
      <c r="AQ70" s="30">
        <f t="shared" si="148"/>
        <v>0</v>
      </c>
      <c r="AR70" s="30"/>
      <c r="AS70" s="30"/>
      <c r="AT70" s="30">
        <f t="shared" si="149"/>
        <v>0</v>
      </c>
      <c r="AU70" s="30"/>
      <c r="AV70" s="30">
        <f t="shared" si="150"/>
        <v>0</v>
      </c>
      <c r="AW70" s="30"/>
      <c r="AX70" s="30"/>
      <c r="AY70" s="30">
        <f t="shared" si="151"/>
        <v>0</v>
      </c>
      <c r="AZ70" s="30"/>
      <c r="BA70" s="30">
        <v>0</v>
      </c>
      <c r="BB70" s="30"/>
      <c r="BC70" s="45"/>
      <c r="BD70" s="45">
        <f t="shared" si="152"/>
        <v>0</v>
      </c>
      <c r="BE70" s="30"/>
      <c r="BF70" s="30">
        <f t="shared" si="153"/>
        <v>0</v>
      </c>
      <c r="BG70" s="30"/>
      <c r="BH70" s="30"/>
      <c r="BI70" s="30">
        <f t="shared" si="154"/>
        <v>0</v>
      </c>
      <c r="BJ70" s="30"/>
      <c r="BK70" s="30">
        <f t="shared" si="155"/>
        <v>0</v>
      </c>
      <c r="BL70" s="30"/>
      <c r="BM70" s="30"/>
      <c r="BN70" s="30">
        <f t="shared" si="156"/>
        <v>0</v>
      </c>
      <c r="BO70" s="30"/>
      <c r="BP70" s="30">
        <f t="shared" si="157"/>
        <v>0</v>
      </c>
      <c r="BQ70" s="30"/>
      <c r="BR70" s="30"/>
      <c r="BS70" s="30">
        <f t="shared" si="158"/>
        <v>0</v>
      </c>
      <c r="BT70" s="30"/>
      <c r="BU70" s="30">
        <f t="shared" si="159"/>
        <v>0</v>
      </c>
      <c r="BV70" s="30"/>
      <c r="BW70" s="30"/>
      <c r="BX70" s="30">
        <f t="shared" si="160"/>
        <v>0</v>
      </c>
      <c r="BY70" s="30"/>
      <c r="BZ70" s="30">
        <f t="shared" si="161"/>
        <v>0</v>
      </c>
      <c r="CA70" s="30"/>
      <c r="CB70" s="30"/>
      <c r="CC70" s="30">
        <f t="shared" si="162"/>
        <v>0</v>
      </c>
      <c r="CD70" s="30"/>
      <c r="CE70" s="30">
        <f t="shared" si="163"/>
        <v>0</v>
      </c>
      <c r="CF70" s="30"/>
      <c r="CG70" s="2"/>
    </row>
    <row r="71" spans="1:85" x14ac:dyDescent="0.4">
      <c r="A71" s="2" t="s">
        <v>110</v>
      </c>
      <c r="B71" s="2" t="s">
        <v>262</v>
      </c>
      <c r="C71" s="2" t="s">
        <v>263</v>
      </c>
      <c r="D71" s="2" t="s">
        <v>265</v>
      </c>
      <c r="E71" s="165" t="s">
        <v>266</v>
      </c>
      <c r="F71" s="2"/>
      <c r="G71" s="2"/>
      <c r="H71" s="2"/>
      <c r="I71" s="2"/>
      <c r="J71" s="2"/>
      <c r="K71" s="2" t="s">
        <v>267</v>
      </c>
      <c r="L71" s="13" t="s">
        <v>268</v>
      </c>
      <c r="M71" s="2" t="s">
        <v>149</v>
      </c>
      <c r="N71" s="2" t="s">
        <v>149</v>
      </c>
      <c r="O71" s="13" t="s">
        <v>150</v>
      </c>
      <c r="P71" s="2" t="s">
        <v>79</v>
      </c>
      <c r="Q71" s="2" t="s">
        <v>359</v>
      </c>
      <c r="R71" s="2"/>
      <c r="S71" s="11"/>
      <c r="T71" s="12">
        <v>2001000</v>
      </c>
      <c r="U71" s="30">
        <f t="shared" si="137"/>
        <v>0</v>
      </c>
      <c r="V71" s="30">
        <f t="shared" si="138"/>
        <v>0</v>
      </c>
      <c r="W71" s="30">
        <f t="shared" si="139"/>
        <v>0</v>
      </c>
      <c r="X71" s="30">
        <f t="shared" si="140"/>
        <v>2592000</v>
      </c>
      <c r="Y71" s="30"/>
      <c r="Z71" s="30">
        <f t="shared" si="141"/>
        <v>0</v>
      </c>
      <c r="AA71" s="30"/>
      <c r="AB71" s="30">
        <f t="shared" si="142"/>
        <v>0</v>
      </c>
      <c r="AC71" s="30"/>
      <c r="AD71" s="30"/>
      <c r="AE71" s="30">
        <f t="shared" si="143"/>
        <v>0</v>
      </c>
      <c r="AF71" s="30"/>
      <c r="AG71" s="30">
        <f t="shared" si="144"/>
        <v>0</v>
      </c>
      <c r="AH71" s="30">
        <v>864000</v>
      </c>
      <c r="AI71" s="30"/>
      <c r="AJ71" s="30">
        <f t="shared" si="145"/>
        <v>0</v>
      </c>
      <c r="AK71" s="30"/>
      <c r="AL71" s="30">
        <f t="shared" si="146"/>
        <v>0</v>
      </c>
      <c r="AM71" s="30">
        <v>1728000</v>
      </c>
      <c r="AN71" s="30"/>
      <c r="AO71" s="30">
        <f t="shared" si="147"/>
        <v>0</v>
      </c>
      <c r="AP71" s="30"/>
      <c r="AQ71" s="30">
        <f t="shared" si="148"/>
        <v>0</v>
      </c>
      <c r="AR71" s="30">
        <v>864000</v>
      </c>
      <c r="AS71" s="30"/>
      <c r="AT71" s="30">
        <f t="shared" si="149"/>
        <v>0</v>
      </c>
      <c r="AU71" s="30"/>
      <c r="AV71" s="30">
        <f t="shared" si="150"/>
        <v>0</v>
      </c>
      <c r="AW71" s="33">
        <v>864000</v>
      </c>
      <c r="AX71" s="30"/>
      <c r="AY71" s="30">
        <f t="shared" si="151"/>
        <v>0</v>
      </c>
      <c r="AZ71" s="30"/>
      <c r="BA71" s="30">
        <v>0</v>
      </c>
      <c r="BB71" s="30"/>
      <c r="BC71" s="45"/>
      <c r="BD71" s="45">
        <f t="shared" si="152"/>
        <v>0</v>
      </c>
      <c r="BE71" s="30"/>
      <c r="BF71" s="30">
        <f t="shared" si="153"/>
        <v>0</v>
      </c>
      <c r="BG71" s="146">
        <v>864000</v>
      </c>
      <c r="BH71" s="30"/>
      <c r="BI71" s="30">
        <f t="shared" si="154"/>
        <v>0</v>
      </c>
      <c r="BJ71" s="30"/>
      <c r="BK71" s="30">
        <f t="shared" si="155"/>
        <v>0</v>
      </c>
      <c r="BL71" s="146">
        <v>864000</v>
      </c>
      <c r="BM71" s="30"/>
      <c r="BN71" s="30">
        <f t="shared" si="156"/>
        <v>0</v>
      </c>
      <c r="BO71" s="30"/>
      <c r="BP71" s="30">
        <f t="shared" si="157"/>
        <v>0</v>
      </c>
      <c r="BQ71" s="30"/>
      <c r="BR71" s="30"/>
      <c r="BS71" s="30">
        <f t="shared" si="158"/>
        <v>0</v>
      </c>
      <c r="BT71" s="30"/>
      <c r="BU71" s="30">
        <f t="shared" si="159"/>
        <v>0</v>
      </c>
      <c r="BV71" s="146">
        <v>864000</v>
      </c>
      <c r="BW71" s="30"/>
      <c r="BX71" s="30">
        <f t="shared" si="160"/>
        <v>0</v>
      </c>
      <c r="BY71" s="30"/>
      <c r="BZ71" s="30">
        <f t="shared" si="161"/>
        <v>0</v>
      </c>
      <c r="CA71" s="30"/>
      <c r="CB71" s="30"/>
      <c r="CC71" s="30">
        <f t="shared" si="162"/>
        <v>0</v>
      </c>
      <c r="CD71" s="30"/>
      <c r="CE71" s="30">
        <f t="shared" si="163"/>
        <v>0</v>
      </c>
      <c r="CF71" s="30"/>
      <c r="CG71" s="147" t="s">
        <v>612</v>
      </c>
    </row>
    <row r="72" spans="1:85" ht="17" x14ac:dyDescent="0.4">
      <c r="A72" s="2" t="s">
        <v>110</v>
      </c>
      <c r="B72" s="2" t="s">
        <v>262</v>
      </c>
      <c r="C72" s="2" t="s">
        <v>263</v>
      </c>
      <c r="D72" s="2" t="s">
        <v>265</v>
      </c>
      <c r="E72" s="165" t="s">
        <v>266</v>
      </c>
      <c r="F72" s="2"/>
      <c r="G72" s="2"/>
      <c r="H72" s="2"/>
      <c r="I72" s="2"/>
      <c r="J72" s="2"/>
      <c r="K72" s="2" t="s">
        <v>267</v>
      </c>
      <c r="L72" s="13" t="s">
        <v>268</v>
      </c>
      <c r="M72" s="1" t="s">
        <v>101</v>
      </c>
      <c r="N72" s="1" t="s">
        <v>101</v>
      </c>
      <c r="O72" s="1" t="s">
        <v>86</v>
      </c>
      <c r="P72" s="1" t="s">
        <v>93</v>
      </c>
      <c r="Q72" s="2" t="s">
        <v>233</v>
      </c>
      <c r="R72" s="2"/>
      <c r="S72" s="11"/>
      <c r="T72" s="12">
        <v>2000</v>
      </c>
      <c r="U72" s="30">
        <f t="shared" si="137"/>
        <v>0</v>
      </c>
      <c r="V72" s="30">
        <f t="shared" si="138"/>
        <v>0</v>
      </c>
      <c r="W72" s="30">
        <f t="shared" si="139"/>
        <v>0</v>
      </c>
      <c r="X72" s="30">
        <f t="shared" si="140"/>
        <v>14000</v>
      </c>
      <c r="Y72" s="30"/>
      <c r="Z72" s="30">
        <f t="shared" si="141"/>
        <v>0</v>
      </c>
      <c r="AA72" s="30"/>
      <c r="AB72" s="30">
        <f t="shared" si="142"/>
        <v>0</v>
      </c>
      <c r="AC72" s="30"/>
      <c r="AD72" s="30"/>
      <c r="AE72" s="30">
        <f t="shared" si="143"/>
        <v>0</v>
      </c>
      <c r="AF72" s="30"/>
      <c r="AG72" s="30">
        <f t="shared" si="144"/>
        <v>0</v>
      </c>
      <c r="AH72" s="30"/>
      <c r="AI72" s="30"/>
      <c r="AJ72" s="30">
        <f t="shared" si="145"/>
        <v>0</v>
      </c>
      <c r="AK72" s="30"/>
      <c r="AL72" s="30">
        <f t="shared" si="146"/>
        <v>0</v>
      </c>
      <c r="AM72" s="30"/>
      <c r="AN72" s="30"/>
      <c r="AO72" s="30">
        <f t="shared" si="147"/>
        <v>0</v>
      </c>
      <c r="AP72" s="30"/>
      <c r="AQ72" s="30">
        <f t="shared" si="148"/>
        <v>0</v>
      </c>
      <c r="AR72" s="30">
        <v>4000</v>
      </c>
      <c r="AS72" s="30"/>
      <c r="AT72" s="30">
        <f t="shared" si="149"/>
        <v>0</v>
      </c>
      <c r="AU72" s="30"/>
      <c r="AV72" s="30">
        <f t="shared" si="150"/>
        <v>0</v>
      </c>
      <c r="AW72" s="30"/>
      <c r="AX72" s="30"/>
      <c r="AY72" s="30">
        <f t="shared" si="151"/>
        <v>0</v>
      </c>
      <c r="AZ72" s="30"/>
      <c r="BA72" s="30">
        <v>0</v>
      </c>
      <c r="BB72" s="31">
        <v>2000</v>
      </c>
      <c r="BC72" s="45"/>
      <c r="BD72" s="45">
        <f t="shared" si="152"/>
        <v>0</v>
      </c>
      <c r="BE72" s="30"/>
      <c r="BF72" s="30">
        <f t="shared" si="153"/>
        <v>0</v>
      </c>
      <c r="BG72" s="30"/>
      <c r="BH72" s="30"/>
      <c r="BI72" s="30">
        <f t="shared" si="154"/>
        <v>0</v>
      </c>
      <c r="BJ72" s="30"/>
      <c r="BK72" s="30">
        <f t="shared" si="155"/>
        <v>0</v>
      </c>
      <c r="BL72" s="146">
        <v>14000</v>
      </c>
      <c r="BM72" s="30"/>
      <c r="BN72" s="30">
        <f t="shared" si="156"/>
        <v>0</v>
      </c>
      <c r="BO72" s="30"/>
      <c r="BP72" s="30">
        <f t="shared" si="157"/>
        <v>0</v>
      </c>
      <c r="BQ72" s="30"/>
      <c r="BR72" s="30"/>
      <c r="BS72" s="30">
        <f t="shared" si="158"/>
        <v>0</v>
      </c>
      <c r="BT72" s="30"/>
      <c r="BU72" s="30">
        <f t="shared" si="159"/>
        <v>0</v>
      </c>
      <c r="BV72" s="30"/>
      <c r="BW72" s="30"/>
      <c r="BX72" s="30">
        <f t="shared" si="160"/>
        <v>0</v>
      </c>
      <c r="BY72" s="30"/>
      <c r="BZ72" s="30">
        <f t="shared" si="161"/>
        <v>0</v>
      </c>
      <c r="CA72" s="30"/>
      <c r="CB72" s="30"/>
      <c r="CC72" s="30">
        <f t="shared" si="162"/>
        <v>0</v>
      </c>
      <c r="CD72" s="30"/>
      <c r="CE72" s="30">
        <f t="shared" si="163"/>
        <v>0</v>
      </c>
      <c r="CF72" s="30"/>
      <c r="CG72" s="62"/>
    </row>
    <row r="73" spans="1:85" ht="17" x14ac:dyDescent="0.4">
      <c r="A73" s="2" t="s">
        <v>110</v>
      </c>
      <c r="B73" s="2" t="s">
        <v>262</v>
      </c>
      <c r="C73" s="2" t="s">
        <v>263</v>
      </c>
      <c r="D73" s="2" t="s">
        <v>265</v>
      </c>
      <c r="E73" s="165" t="s">
        <v>266</v>
      </c>
      <c r="F73" s="2"/>
      <c r="G73" s="2"/>
      <c r="H73" s="2"/>
      <c r="I73" s="2"/>
      <c r="J73" s="2"/>
      <c r="K73" s="2" t="s">
        <v>267</v>
      </c>
      <c r="L73" s="13" t="s">
        <v>268</v>
      </c>
      <c r="M73" s="2" t="s">
        <v>87</v>
      </c>
      <c r="N73" s="2" t="s">
        <v>87</v>
      </c>
      <c r="O73" s="2" t="s">
        <v>88</v>
      </c>
      <c r="P73" s="2" t="s">
        <v>85</v>
      </c>
      <c r="Q73" s="2" t="s">
        <v>360</v>
      </c>
      <c r="R73" s="2"/>
      <c r="S73" s="11"/>
      <c r="T73" s="12"/>
      <c r="U73" s="30">
        <f t="shared" si="137"/>
        <v>0</v>
      </c>
      <c r="V73" s="30">
        <f t="shared" si="138"/>
        <v>0</v>
      </c>
      <c r="W73" s="30">
        <f t="shared" si="139"/>
        <v>0</v>
      </c>
      <c r="X73" s="30">
        <f t="shared" si="140"/>
        <v>45000</v>
      </c>
      <c r="Y73" s="30"/>
      <c r="Z73" s="30">
        <f t="shared" si="141"/>
        <v>0</v>
      </c>
      <c r="AA73" s="30"/>
      <c r="AB73" s="30">
        <f t="shared" si="142"/>
        <v>0</v>
      </c>
      <c r="AC73" s="30"/>
      <c r="AD73" s="30"/>
      <c r="AE73" s="30">
        <f t="shared" si="143"/>
        <v>0</v>
      </c>
      <c r="AF73" s="30"/>
      <c r="AG73" s="30">
        <f t="shared" si="144"/>
        <v>0</v>
      </c>
      <c r="AH73" s="30"/>
      <c r="AI73" s="30"/>
      <c r="AJ73" s="30">
        <f t="shared" si="145"/>
        <v>0</v>
      </c>
      <c r="AK73" s="30"/>
      <c r="AL73" s="30">
        <f t="shared" si="146"/>
        <v>0</v>
      </c>
      <c r="AM73" s="30"/>
      <c r="AN73" s="30"/>
      <c r="AO73" s="30">
        <f t="shared" si="147"/>
        <v>0</v>
      </c>
      <c r="AP73" s="30"/>
      <c r="AQ73" s="30">
        <f t="shared" si="148"/>
        <v>0</v>
      </c>
      <c r="AR73" s="30"/>
      <c r="AS73" s="30"/>
      <c r="AT73" s="30">
        <f t="shared" si="149"/>
        <v>0</v>
      </c>
      <c r="AU73" s="30"/>
      <c r="AV73" s="30">
        <f t="shared" si="150"/>
        <v>0</v>
      </c>
      <c r="AW73" s="30"/>
      <c r="AX73" s="30"/>
      <c r="AY73" s="30">
        <f t="shared" si="151"/>
        <v>0</v>
      </c>
      <c r="AZ73" s="30"/>
      <c r="BA73" s="30">
        <v>0</v>
      </c>
      <c r="BB73" s="30"/>
      <c r="BC73" s="45"/>
      <c r="BD73" s="45">
        <f t="shared" si="152"/>
        <v>0</v>
      </c>
      <c r="BE73" s="30"/>
      <c r="BF73" s="30">
        <f t="shared" si="153"/>
        <v>0</v>
      </c>
      <c r="BG73" s="142">
        <v>9000</v>
      </c>
      <c r="BH73" s="30"/>
      <c r="BI73" s="30">
        <f t="shared" si="154"/>
        <v>0</v>
      </c>
      <c r="BJ73" s="30"/>
      <c r="BK73" s="30">
        <f t="shared" si="155"/>
        <v>0</v>
      </c>
      <c r="BL73" s="34"/>
      <c r="BM73" s="30"/>
      <c r="BN73" s="30">
        <f t="shared" si="156"/>
        <v>0</v>
      </c>
      <c r="BO73" s="30"/>
      <c r="BP73" s="30">
        <f t="shared" si="157"/>
        <v>0</v>
      </c>
      <c r="BQ73" s="142">
        <v>13500</v>
      </c>
      <c r="BR73" s="30"/>
      <c r="BS73" s="30">
        <f t="shared" si="158"/>
        <v>0</v>
      </c>
      <c r="BT73" s="30"/>
      <c r="BU73" s="30">
        <f t="shared" si="159"/>
        <v>0</v>
      </c>
      <c r="BV73" s="146">
        <v>13500</v>
      </c>
      <c r="BW73" s="30"/>
      <c r="BX73" s="30">
        <f t="shared" si="160"/>
        <v>0</v>
      </c>
      <c r="BY73" s="30"/>
      <c r="BZ73" s="30">
        <f t="shared" si="161"/>
        <v>0</v>
      </c>
      <c r="CA73" s="142">
        <v>7200</v>
      </c>
      <c r="CB73" s="30"/>
      <c r="CC73" s="30">
        <f t="shared" si="162"/>
        <v>0</v>
      </c>
      <c r="CD73" s="30"/>
      <c r="CE73" s="30">
        <f t="shared" si="163"/>
        <v>0</v>
      </c>
      <c r="CF73" s="142">
        <v>1800</v>
      </c>
      <c r="CG73" s="62"/>
    </row>
    <row r="74" spans="1:85" x14ac:dyDescent="0.4">
      <c r="A74" s="2" t="s">
        <v>110</v>
      </c>
      <c r="B74" s="2" t="s">
        <v>262</v>
      </c>
      <c r="C74" s="2" t="s">
        <v>263</v>
      </c>
      <c r="D74" s="2" t="s">
        <v>265</v>
      </c>
      <c r="E74" s="167" t="s">
        <v>266</v>
      </c>
      <c r="F74" s="2"/>
      <c r="G74" s="2"/>
      <c r="H74" s="2"/>
      <c r="I74" s="2"/>
      <c r="J74" s="2"/>
      <c r="K74" s="2" t="s">
        <v>267</v>
      </c>
      <c r="L74" s="13" t="s">
        <v>268</v>
      </c>
      <c r="M74" s="2" t="s">
        <v>96</v>
      </c>
      <c r="N74" s="2" t="s">
        <v>96</v>
      </c>
      <c r="O74" s="2" t="s">
        <v>146</v>
      </c>
      <c r="P74" s="2" t="s">
        <v>97</v>
      </c>
      <c r="Q74" s="2" t="s">
        <v>361</v>
      </c>
      <c r="R74" s="2"/>
      <c r="S74" s="11"/>
      <c r="T74" s="12">
        <v>4500</v>
      </c>
      <c r="U74" s="30">
        <f t="shared" si="137"/>
        <v>0</v>
      </c>
      <c r="V74" s="30">
        <f t="shared" si="138"/>
        <v>0</v>
      </c>
      <c r="W74" s="30">
        <f t="shared" si="139"/>
        <v>0</v>
      </c>
      <c r="X74" s="30">
        <f t="shared" si="140"/>
        <v>0</v>
      </c>
      <c r="Y74" s="30"/>
      <c r="Z74" s="30">
        <f t="shared" si="141"/>
        <v>0</v>
      </c>
      <c r="AA74" s="30"/>
      <c r="AB74" s="30">
        <f t="shared" si="142"/>
        <v>0</v>
      </c>
      <c r="AC74" s="30"/>
      <c r="AD74" s="30"/>
      <c r="AE74" s="30">
        <f t="shared" si="143"/>
        <v>0</v>
      </c>
      <c r="AF74" s="30"/>
      <c r="AG74" s="30">
        <f t="shared" si="144"/>
        <v>0</v>
      </c>
      <c r="AH74" s="30"/>
      <c r="AI74" s="30"/>
      <c r="AJ74" s="30">
        <f t="shared" si="145"/>
        <v>0</v>
      </c>
      <c r="AK74" s="30"/>
      <c r="AL74" s="30">
        <f t="shared" si="146"/>
        <v>0</v>
      </c>
      <c r="AM74" s="30"/>
      <c r="AN74" s="30"/>
      <c r="AO74" s="30">
        <f t="shared" si="147"/>
        <v>0</v>
      </c>
      <c r="AP74" s="30"/>
      <c r="AQ74" s="30">
        <f t="shared" si="148"/>
        <v>0</v>
      </c>
      <c r="AR74" s="30"/>
      <c r="AS74" s="30"/>
      <c r="AT74" s="30">
        <f t="shared" si="149"/>
        <v>0</v>
      </c>
      <c r="AU74" s="30"/>
      <c r="AV74" s="30">
        <f t="shared" si="150"/>
        <v>0</v>
      </c>
      <c r="AW74" s="30">
        <v>4500</v>
      </c>
      <c r="AX74" s="30"/>
      <c r="AY74" s="30">
        <f t="shared" si="151"/>
        <v>0</v>
      </c>
      <c r="AZ74" s="30"/>
      <c r="BA74" s="30">
        <v>0</v>
      </c>
      <c r="BB74" s="145">
        <v>2000</v>
      </c>
      <c r="BC74" s="45"/>
      <c r="BD74" s="45">
        <f t="shared" si="152"/>
        <v>0</v>
      </c>
      <c r="BE74" s="30"/>
      <c r="BF74" s="30">
        <f t="shared" si="153"/>
        <v>0</v>
      </c>
      <c r="BG74" s="30"/>
      <c r="BH74" s="30"/>
      <c r="BI74" s="30">
        <f t="shared" si="154"/>
        <v>0</v>
      </c>
      <c r="BJ74" s="30"/>
      <c r="BK74" s="30">
        <f t="shared" si="155"/>
        <v>0</v>
      </c>
      <c r="BL74" s="30"/>
      <c r="BM74" s="30"/>
      <c r="BN74" s="30">
        <f t="shared" si="156"/>
        <v>0</v>
      </c>
      <c r="BO74" s="30"/>
      <c r="BP74" s="30">
        <f t="shared" si="157"/>
        <v>0</v>
      </c>
      <c r="BQ74" s="30"/>
      <c r="BR74" s="30"/>
      <c r="BS74" s="30">
        <f t="shared" si="158"/>
        <v>0</v>
      </c>
      <c r="BT74" s="30"/>
      <c r="BU74" s="30">
        <f t="shared" si="159"/>
        <v>0</v>
      </c>
      <c r="BV74" s="30"/>
      <c r="BW74" s="30"/>
      <c r="BX74" s="30">
        <f t="shared" si="160"/>
        <v>0</v>
      </c>
      <c r="BY74" s="30"/>
      <c r="BZ74" s="30">
        <f t="shared" si="161"/>
        <v>0</v>
      </c>
      <c r="CA74" s="30"/>
      <c r="CB74" s="30"/>
      <c r="CC74" s="30">
        <f t="shared" si="162"/>
        <v>0</v>
      </c>
      <c r="CD74" s="30"/>
      <c r="CE74" s="30">
        <f t="shared" si="163"/>
        <v>0</v>
      </c>
      <c r="CF74" s="30"/>
      <c r="CG74" s="2"/>
    </row>
    <row r="75" spans="1:85" x14ac:dyDescent="0.4">
      <c r="A75" s="2" t="s">
        <v>110</v>
      </c>
      <c r="B75" s="2" t="s">
        <v>262</v>
      </c>
      <c r="C75" s="2" t="s">
        <v>263</v>
      </c>
      <c r="D75" s="2" t="s">
        <v>265</v>
      </c>
      <c r="E75" s="165" t="s">
        <v>266</v>
      </c>
      <c r="F75" s="2"/>
      <c r="G75" s="2"/>
      <c r="H75" s="2"/>
      <c r="I75" s="2"/>
      <c r="J75" s="2"/>
      <c r="K75" s="2" t="s">
        <v>267</v>
      </c>
      <c r="L75" s="2" t="s">
        <v>268</v>
      </c>
      <c r="M75" s="2" t="s">
        <v>149</v>
      </c>
      <c r="N75" s="2" t="s">
        <v>149</v>
      </c>
      <c r="O75" s="2" t="s">
        <v>150</v>
      </c>
      <c r="P75" s="2" t="s">
        <v>79</v>
      </c>
      <c r="Q75" s="2" t="s">
        <v>362</v>
      </c>
      <c r="R75" s="2"/>
      <c r="S75" s="11"/>
      <c r="T75" s="12"/>
      <c r="U75" s="30">
        <f t="shared" si="137"/>
        <v>0</v>
      </c>
      <c r="V75" s="30">
        <f t="shared" si="138"/>
        <v>0</v>
      </c>
      <c r="W75" s="30">
        <f t="shared" si="139"/>
        <v>0</v>
      </c>
      <c r="X75" s="30">
        <f t="shared" si="140"/>
        <v>25500</v>
      </c>
      <c r="Y75" s="30"/>
      <c r="Z75" s="30">
        <f t="shared" si="141"/>
        <v>0</v>
      </c>
      <c r="AA75" s="30"/>
      <c r="AB75" s="30">
        <f t="shared" si="142"/>
        <v>0</v>
      </c>
      <c r="AC75" s="30"/>
      <c r="AD75" s="30"/>
      <c r="AE75" s="30">
        <f t="shared" si="143"/>
        <v>0</v>
      </c>
      <c r="AF75" s="30"/>
      <c r="AG75" s="30">
        <f t="shared" si="144"/>
        <v>0</v>
      </c>
      <c r="AH75" s="30"/>
      <c r="AI75" s="30"/>
      <c r="AJ75" s="30">
        <f t="shared" si="145"/>
        <v>0</v>
      </c>
      <c r="AK75" s="30"/>
      <c r="AL75" s="30">
        <f t="shared" si="146"/>
        <v>0</v>
      </c>
      <c r="AM75" s="30"/>
      <c r="AN75" s="30"/>
      <c r="AO75" s="30">
        <f t="shared" si="147"/>
        <v>0</v>
      </c>
      <c r="AP75" s="30"/>
      <c r="AQ75" s="30">
        <f t="shared" si="148"/>
        <v>0</v>
      </c>
      <c r="AR75" s="30"/>
      <c r="AS75" s="30"/>
      <c r="AT75" s="30">
        <f t="shared" si="149"/>
        <v>0</v>
      </c>
      <c r="AU75" s="30"/>
      <c r="AV75" s="30">
        <f t="shared" si="150"/>
        <v>0</v>
      </c>
      <c r="AW75" s="30"/>
      <c r="AX75" s="30"/>
      <c r="AY75" s="30">
        <f t="shared" si="151"/>
        <v>0</v>
      </c>
      <c r="AZ75" s="30"/>
      <c r="BA75" s="30">
        <v>0</v>
      </c>
      <c r="BB75" s="31">
        <v>12000</v>
      </c>
      <c r="BC75" s="45"/>
      <c r="BD75" s="45">
        <f t="shared" si="152"/>
        <v>0</v>
      </c>
      <c r="BE75" s="30"/>
      <c r="BF75" s="30">
        <f t="shared" si="153"/>
        <v>0</v>
      </c>
      <c r="BG75" s="146">
        <v>12000</v>
      </c>
      <c r="BH75" s="30"/>
      <c r="BI75" s="30">
        <f t="shared" si="154"/>
        <v>0</v>
      </c>
      <c r="BJ75" s="30"/>
      <c r="BK75" s="30">
        <f t="shared" si="155"/>
        <v>0</v>
      </c>
      <c r="BL75" s="30"/>
      <c r="BM75" s="30"/>
      <c r="BN75" s="30">
        <f t="shared" si="156"/>
        <v>0</v>
      </c>
      <c r="BO75" s="30"/>
      <c r="BP75" s="30">
        <f t="shared" si="157"/>
        <v>0</v>
      </c>
      <c r="BQ75" s="30"/>
      <c r="BR75" s="30"/>
      <c r="BS75" s="30">
        <f t="shared" si="158"/>
        <v>0</v>
      </c>
      <c r="BT75" s="30"/>
      <c r="BU75" s="30">
        <f t="shared" si="159"/>
        <v>0</v>
      </c>
      <c r="BV75" s="146">
        <v>13500</v>
      </c>
      <c r="BW75" s="30"/>
      <c r="BX75" s="30">
        <f t="shared" si="160"/>
        <v>0</v>
      </c>
      <c r="BY75" s="30"/>
      <c r="BZ75" s="30">
        <f t="shared" si="161"/>
        <v>0</v>
      </c>
      <c r="CA75" s="30"/>
      <c r="CB75" s="30"/>
      <c r="CC75" s="30">
        <f t="shared" si="162"/>
        <v>0</v>
      </c>
      <c r="CD75" s="30"/>
      <c r="CE75" s="30">
        <f t="shared" si="163"/>
        <v>0</v>
      </c>
      <c r="CF75" s="30"/>
      <c r="CG75" s="2"/>
    </row>
    <row r="76" spans="1:85" x14ac:dyDescent="0.4">
      <c r="A76" s="2" t="s">
        <v>110</v>
      </c>
      <c r="B76" s="2" t="s">
        <v>262</v>
      </c>
      <c r="C76" s="2" t="s">
        <v>263</v>
      </c>
      <c r="D76" s="2" t="s">
        <v>265</v>
      </c>
      <c r="E76" s="165" t="s">
        <v>266</v>
      </c>
      <c r="F76" s="2"/>
      <c r="G76" s="2"/>
      <c r="H76" s="2"/>
      <c r="I76" s="2"/>
      <c r="J76" s="2"/>
      <c r="K76" s="2" t="s">
        <v>267</v>
      </c>
      <c r="L76" s="2" t="s">
        <v>268</v>
      </c>
      <c r="M76" s="2" t="s">
        <v>363</v>
      </c>
      <c r="N76" s="2" t="s">
        <v>363</v>
      </c>
      <c r="O76" s="2" t="s">
        <v>86</v>
      </c>
      <c r="P76" s="2" t="s">
        <v>93</v>
      </c>
      <c r="Q76" s="2" t="s">
        <v>364</v>
      </c>
      <c r="R76" s="2"/>
      <c r="S76" s="11"/>
      <c r="T76" s="12">
        <v>2000</v>
      </c>
      <c r="U76" s="30">
        <f t="shared" si="137"/>
        <v>0</v>
      </c>
      <c r="V76" s="30">
        <f t="shared" si="138"/>
        <v>0</v>
      </c>
      <c r="W76" s="30">
        <f t="shared" si="139"/>
        <v>0</v>
      </c>
      <c r="X76" s="30">
        <f t="shared" si="140"/>
        <v>0</v>
      </c>
      <c r="Y76" s="30"/>
      <c r="Z76" s="30">
        <f t="shared" si="141"/>
        <v>0</v>
      </c>
      <c r="AA76" s="30"/>
      <c r="AB76" s="30">
        <f t="shared" si="142"/>
        <v>0</v>
      </c>
      <c r="AC76" s="30"/>
      <c r="AD76" s="30"/>
      <c r="AE76" s="30">
        <f t="shared" si="143"/>
        <v>0</v>
      </c>
      <c r="AF76" s="30"/>
      <c r="AG76" s="30">
        <f t="shared" si="144"/>
        <v>0</v>
      </c>
      <c r="AH76" s="30"/>
      <c r="AI76" s="30"/>
      <c r="AJ76" s="30">
        <f t="shared" si="145"/>
        <v>0</v>
      </c>
      <c r="AK76" s="30"/>
      <c r="AL76" s="30">
        <f t="shared" si="146"/>
        <v>0</v>
      </c>
      <c r="AM76" s="30"/>
      <c r="AN76" s="30"/>
      <c r="AO76" s="30">
        <f t="shared" si="147"/>
        <v>0</v>
      </c>
      <c r="AP76" s="30"/>
      <c r="AQ76" s="30">
        <f t="shared" si="148"/>
        <v>0</v>
      </c>
      <c r="AR76" s="30"/>
      <c r="AS76" s="30"/>
      <c r="AT76" s="30">
        <f t="shared" si="149"/>
        <v>0</v>
      </c>
      <c r="AU76" s="30"/>
      <c r="AV76" s="30">
        <f t="shared" si="150"/>
        <v>0</v>
      </c>
      <c r="AW76" s="33">
        <v>2000</v>
      </c>
      <c r="AX76" s="30"/>
      <c r="AY76" s="30">
        <f t="shared" si="151"/>
        <v>0</v>
      </c>
      <c r="AZ76" s="30"/>
      <c r="BA76" s="30">
        <v>0</v>
      </c>
      <c r="BB76" s="30"/>
      <c r="BC76" s="45"/>
      <c r="BD76" s="45">
        <f t="shared" si="152"/>
        <v>0</v>
      </c>
      <c r="BE76" s="30"/>
      <c r="BF76" s="30">
        <f t="shared" si="153"/>
        <v>0</v>
      </c>
      <c r="BG76" s="30"/>
      <c r="BH76" s="30"/>
      <c r="BI76" s="30">
        <f t="shared" si="154"/>
        <v>0</v>
      </c>
      <c r="BJ76" s="30"/>
      <c r="BK76" s="30">
        <f t="shared" si="155"/>
        <v>0</v>
      </c>
      <c r="BL76" s="30"/>
      <c r="BM76" s="30"/>
      <c r="BN76" s="30">
        <f t="shared" si="156"/>
        <v>0</v>
      </c>
      <c r="BO76" s="30"/>
      <c r="BP76" s="30">
        <f t="shared" si="157"/>
        <v>0</v>
      </c>
      <c r="BQ76" s="30"/>
      <c r="BR76" s="30"/>
      <c r="BS76" s="30">
        <f t="shared" si="158"/>
        <v>0</v>
      </c>
      <c r="BT76" s="30"/>
      <c r="BU76" s="30">
        <f t="shared" si="159"/>
        <v>0</v>
      </c>
      <c r="BV76" s="30"/>
      <c r="BW76" s="30"/>
      <c r="BX76" s="30">
        <f t="shared" si="160"/>
        <v>0</v>
      </c>
      <c r="BY76" s="30"/>
      <c r="BZ76" s="30">
        <f t="shared" si="161"/>
        <v>0</v>
      </c>
      <c r="CA76" s="30"/>
      <c r="CB76" s="30"/>
      <c r="CC76" s="30">
        <f t="shared" si="162"/>
        <v>0</v>
      </c>
      <c r="CD76" s="30"/>
      <c r="CE76" s="30">
        <f t="shared" si="163"/>
        <v>0</v>
      </c>
      <c r="CF76" s="30"/>
      <c r="CG76" s="2"/>
    </row>
    <row r="77" spans="1:85" x14ac:dyDescent="0.4">
      <c r="A77" s="39" t="s">
        <v>110</v>
      </c>
      <c r="B77" s="39" t="s">
        <v>262</v>
      </c>
      <c r="C77" s="39" t="s">
        <v>263</v>
      </c>
      <c r="D77" s="39" t="s">
        <v>265</v>
      </c>
      <c r="E77" s="166" t="s">
        <v>266</v>
      </c>
      <c r="F77" s="39"/>
      <c r="G77" s="39"/>
      <c r="H77" s="39"/>
      <c r="I77" s="39"/>
      <c r="J77" s="39"/>
      <c r="K77" s="39" t="s">
        <v>267</v>
      </c>
      <c r="L77" s="39" t="s">
        <v>268</v>
      </c>
      <c r="M77" s="39" t="s">
        <v>87</v>
      </c>
      <c r="N77" s="39" t="s">
        <v>87</v>
      </c>
      <c r="O77" s="39" t="s">
        <v>88</v>
      </c>
      <c r="P77" s="39" t="s">
        <v>85</v>
      </c>
      <c r="Q77" s="39" t="s">
        <v>607</v>
      </c>
      <c r="R77" s="48"/>
      <c r="S77" s="143"/>
      <c r="T77" s="71"/>
      <c r="U77" s="49">
        <f t="shared" si="137"/>
        <v>0</v>
      </c>
      <c r="V77" s="49">
        <f t="shared" si="138"/>
        <v>0</v>
      </c>
      <c r="W77" s="49">
        <f t="shared" si="139"/>
        <v>0</v>
      </c>
      <c r="X77" s="49">
        <f t="shared" si="140"/>
        <v>2000</v>
      </c>
      <c r="Y77" s="50"/>
      <c r="Z77" s="50">
        <f t="shared" si="141"/>
        <v>0</v>
      </c>
      <c r="AA77" s="50"/>
      <c r="AB77" s="50">
        <f t="shared" si="142"/>
        <v>0</v>
      </c>
      <c r="AC77" s="50"/>
      <c r="AD77" s="50"/>
      <c r="AE77" s="50">
        <f t="shared" si="143"/>
        <v>0</v>
      </c>
      <c r="AF77" s="50"/>
      <c r="AG77" s="50">
        <f t="shared" si="144"/>
        <v>0</v>
      </c>
      <c r="AH77" s="50"/>
      <c r="AI77" s="50"/>
      <c r="AJ77" s="50">
        <f t="shared" si="145"/>
        <v>0</v>
      </c>
      <c r="AK77" s="50"/>
      <c r="AL77" s="50">
        <f t="shared" si="146"/>
        <v>0</v>
      </c>
      <c r="AM77" s="50"/>
      <c r="AN77" s="50"/>
      <c r="AO77" s="50">
        <f t="shared" si="147"/>
        <v>0</v>
      </c>
      <c r="AP77" s="50"/>
      <c r="AQ77" s="50">
        <f t="shared" si="148"/>
        <v>0</v>
      </c>
      <c r="AR77" s="50"/>
      <c r="AS77" s="50"/>
      <c r="AT77" s="50">
        <f t="shared" si="149"/>
        <v>0</v>
      </c>
      <c r="AU77" s="50"/>
      <c r="AV77" s="50">
        <f t="shared" si="150"/>
        <v>0</v>
      </c>
      <c r="AW77" s="50"/>
      <c r="AX77" s="50"/>
      <c r="AY77" s="50">
        <f t="shared" si="151"/>
        <v>0</v>
      </c>
      <c r="AZ77" s="50"/>
      <c r="BA77" s="50">
        <v>0</v>
      </c>
      <c r="BB77" s="50"/>
      <c r="BC77" s="51"/>
      <c r="BD77" s="51">
        <f t="shared" si="152"/>
        <v>0</v>
      </c>
      <c r="BE77" s="50"/>
      <c r="BF77" s="50">
        <f t="shared" si="153"/>
        <v>0</v>
      </c>
      <c r="BG77" s="50"/>
      <c r="BH77" s="50"/>
      <c r="BI77" s="50">
        <f t="shared" si="154"/>
        <v>0</v>
      </c>
      <c r="BJ77" s="50"/>
      <c r="BK77" s="50">
        <f t="shared" si="155"/>
        <v>0</v>
      </c>
      <c r="BL77" s="50"/>
      <c r="BM77" s="50"/>
      <c r="BN77" s="50">
        <f t="shared" si="156"/>
        <v>0</v>
      </c>
      <c r="BO77" s="50"/>
      <c r="BP77" s="50">
        <f t="shared" si="157"/>
        <v>0</v>
      </c>
      <c r="BQ77" s="149">
        <v>500</v>
      </c>
      <c r="BR77" s="50"/>
      <c r="BS77" s="50">
        <f t="shared" si="158"/>
        <v>0</v>
      </c>
      <c r="BT77" s="50"/>
      <c r="BU77" s="50">
        <f t="shared" si="159"/>
        <v>0</v>
      </c>
      <c r="BV77" s="150">
        <v>1500</v>
      </c>
      <c r="BW77" s="50"/>
      <c r="BX77" s="50">
        <f t="shared" si="160"/>
        <v>0</v>
      </c>
      <c r="BY77" s="50"/>
      <c r="BZ77" s="50">
        <f t="shared" si="161"/>
        <v>0</v>
      </c>
      <c r="CA77" s="50"/>
      <c r="CB77" s="50"/>
      <c r="CC77" s="50">
        <f t="shared" si="162"/>
        <v>0</v>
      </c>
      <c r="CD77" s="50"/>
      <c r="CE77" s="50">
        <f t="shared" si="163"/>
        <v>0</v>
      </c>
      <c r="CF77" s="50"/>
      <c r="CG77" s="48"/>
    </row>
    <row r="78" spans="1:85" x14ac:dyDescent="0.4">
      <c r="A78" s="39" t="s">
        <v>110</v>
      </c>
      <c r="B78" s="39" t="s">
        <v>262</v>
      </c>
      <c r="C78" s="39" t="s">
        <v>263</v>
      </c>
      <c r="D78" s="39" t="s">
        <v>265</v>
      </c>
      <c r="E78" s="168" t="s">
        <v>266</v>
      </c>
      <c r="F78" s="39"/>
      <c r="G78" s="39"/>
      <c r="H78" s="39"/>
      <c r="I78" s="39"/>
      <c r="J78" s="39"/>
      <c r="K78" s="39" t="s">
        <v>267</v>
      </c>
      <c r="L78" s="39" t="s">
        <v>268</v>
      </c>
      <c r="M78" s="39" t="s">
        <v>87</v>
      </c>
      <c r="N78" s="39" t="s">
        <v>87</v>
      </c>
      <c r="O78" s="39" t="s">
        <v>88</v>
      </c>
      <c r="P78" s="39" t="s">
        <v>85</v>
      </c>
      <c r="Q78" s="39" t="s">
        <v>608</v>
      </c>
      <c r="R78" s="48"/>
      <c r="S78" s="143"/>
      <c r="T78" s="71"/>
      <c r="U78" s="49">
        <f t="shared" si="137"/>
        <v>0</v>
      </c>
      <c r="V78" s="49">
        <f t="shared" si="138"/>
        <v>0</v>
      </c>
      <c r="W78" s="49">
        <f t="shared" si="139"/>
        <v>0</v>
      </c>
      <c r="X78" s="49">
        <f t="shared" si="140"/>
        <v>2000</v>
      </c>
      <c r="Y78" s="50"/>
      <c r="Z78" s="50">
        <f t="shared" si="141"/>
        <v>0</v>
      </c>
      <c r="AA78" s="50"/>
      <c r="AB78" s="50">
        <f t="shared" si="142"/>
        <v>0</v>
      </c>
      <c r="AC78" s="50"/>
      <c r="AD78" s="50"/>
      <c r="AE78" s="50">
        <f t="shared" si="143"/>
        <v>0</v>
      </c>
      <c r="AF78" s="50"/>
      <c r="AG78" s="50">
        <f t="shared" si="144"/>
        <v>0</v>
      </c>
      <c r="AH78" s="50"/>
      <c r="AI78" s="50"/>
      <c r="AJ78" s="50">
        <f t="shared" si="145"/>
        <v>0</v>
      </c>
      <c r="AK78" s="50"/>
      <c r="AL78" s="50">
        <f t="shared" si="146"/>
        <v>0</v>
      </c>
      <c r="AM78" s="50"/>
      <c r="AN78" s="50"/>
      <c r="AO78" s="50">
        <f t="shared" si="147"/>
        <v>0</v>
      </c>
      <c r="AP78" s="50"/>
      <c r="AQ78" s="50">
        <f t="shared" si="148"/>
        <v>0</v>
      </c>
      <c r="AR78" s="50"/>
      <c r="AS78" s="50"/>
      <c r="AT78" s="50">
        <f t="shared" si="149"/>
        <v>0</v>
      </c>
      <c r="AU78" s="50"/>
      <c r="AV78" s="50">
        <f t="shared" si="150"/>
        <v>0</v>
      </c>
      <c r="AW78" s="50"/>
      <c r="AX78" s="50"/>
      <c r="AY78" s="50">
        <f t="shared" si="151"/>
        <v>0</v>
      </c>
      <c r="AZ78" s="50"/>
      <c r="BA78" s="50">
        <v>0</v>
      </c>
      <c r="BB78" s="50"/>
      <c r="BC78" s="51"/>
      <c r="BD78" s="51">
        <f t="shared" si="152"/>
        <v>0</v>
      </c>
      <c r="BE78" s="50"/>
      <c r="BF78" s="50">
        <f t="shared" si="153"/>
        <v>0</v>
      </c>
      <c r="BG78" s="50"/>
      <c r="BH78" s="50"/>
      <c r="BI78" s="50">
        <f t="shared" si="154"/>
        <v>0</v>
      </c>
      <c r="BJ78" s="50"/>
      <c r="BK78" s="50">
        <f t="shared" si="155"/>
        <v>0</v>
      </c>
      <c r="BL78" s="50"/>
      <c r="BM78" s="50"/>
      <c r="BN78" s="50">
        <f t="shared" si="156"/>
        <v>0</v>
      </c>
      <c r="BO78" s="50"/>
      <c r="BP78" s="50">
        <f t="shared" si="157"/>
        <v>0</v>
      </c>
      <c r="BQ78" s="149">
        <v>500</v>
      </c>
      <c r="BR78" s="50"/>
      <c r="BS78" s="50">
        <f t="shared" si="158"/>
        <v>0</v>
      </c>
      <c r="BT78" s="50"/>
      <c r="BU78" s="50">
        <f t="shared" si="159"/>
        <v>0</v>
      </c>
      <c r="BV78" s="150">
        <v>1500</v>
      </c>
      <c r="BW78" s="50"/>
      <c r="BX78" s="50">
        <f t="shared" si="160"/>
        <v>0</v>
      </c>
      <c r="BY78" s="50"/>
      <c r="BZ78" s="50">
        <f t="shared" si="161"/>
        <v>0</v>
      </c>
      <c r="CA78" s="50"/>
      <c r="CB78" s="50"/>
      <c r="CC78" s="50">
        <f t="shared" si="162"/>
        <v>0</v>
      </c>
      <c r="CD78" s="50"/>
      <c r="CE78" s="50">
        <f t="shared" si="163"/>
        <v>0</v>
      </c>
      <c r="CF78" s="50"/>
      <c r="CG78" s="48"/>
    </row>
    <row r="79" spans="1:85" x14ac:dyDescent="0.4">
      <c r="A79" s="39" t="s">
        <v>110</v>
      </c>
      <c r="B79" s="39" t="s">
        <v>262</v>
      </c>
      <c r="C79" s="39" t="s">
        <v>263</v>
      </c>
      <c r="D79" s="39" t="s">
        <v>265</v>
      </c>
      <c r="E79" s="166" t="s">
        <v>266</v>
      </c>
      <c r="F79" s="39"/>
      <c r="G79" s="39"/>
      <c r="H79" s="39"/>
      <c r="I79" s="39"/>
      <c r="J79" s="39"/>
      <c r="K79" s="39" t="s">
        <v>267</v>
      </c>
      <c r="L79" s="39" t="s">
        <v>268</v>
      </c>
      <c r="M79" s="39" t="s">
        <v>87</v>
      </c>
      <c r="N79" s="39" t="s">
        <v>87</v>
      </c>
      <c r="O79" s="39" t="s">
        <v>88</v>
      </c>
      <c r="P79" s="39" t="s">
        <v>85</v>
      </c>
      <c r="Q79" s="39" t="s">
        <v>609</v>
      </c>
      <c r="R79" s="48"/>
      <c r="S79" s="143"/>
      <c r="T79" s="71"/>
      <c r="U79" s="49">
        <f t="shared" si="137"/>
        <v>0</v>
      </c>
      <c r="V79" s="49">
        <f t="shared" si="138"/>
        <v>0</v>
      </c>
      <c r="W79" s="49">
        <f t="shared" si="139"/>
        <v>0</v>
      </c>
      <c r="X79" s="49">
        <f t="shared" si="140"/>
        <v>6000</v>
      </c>
      <c r="Y79" s="50"/>
      <c r="Z79" s="50">
        <f t="shared" si="141"/>
        <v>0</v>
      </c>
      <c r="AA79" s="50"/>
      <c r="AB79" s="50">
        <f t="shared" si="142"/>
        <v>0</v>
      </c>
      <c r="AC79" s="50"/>
      <c r="AD79" s="50"/>
      <c r="AE79" s="50">
        <f t="shared" si="143"/>
        <v>0</v>
      </c>
      <c r="AF79" s="50"/>
      <c r="AG79" s="50">
        <f t="shared" si="144"/>
        <v>0</v>
      </c>
      <c r="AH79" s="50"/>
      <c r="AI79" s="50"/>
      <c r="AJ79" s="50">
        <f t="shared" si="145"/>
        <v>0</v>
      </c>
      <c r="AK79" s="50"/>
      <c r="AL79" s="50">
        <f t="shared" si="146"/>
        <v>0</v>
      </c>
      <c r="AM79" s="50"/>
      <c r="AN79" s="50"/>
      <c r="AO79" s="50">
        <f t="shared" si="147"/>
        <v>0</v>
      </c>
      <c r="AP79" s="50"/>
      <c r="AQ79" s="50">
        <f t="shared" si="148"/>
        <v>0</v>
      </c>
      <c r="AR79" s="50"/>
      <c r="AS79" s="50"/>
      <c r="AT79" s="50">
        <f t="shared" si="149"/>
        <v>0</v>
      </c>
      <c r="AU79" s="50"/>
      <c r="AV79" s="50">
        <f t="shared" si="150"/>
        <v>0</v>
      </c>
      <c r="AW79" s="50"/>
      <c r="AX79" s="50"/>
      <c r="AY79" s="50">
        <f t="shared" si="151"/>
        <v>0</v>
      </c>
      <c r="AZ79" s="50"/>
      <c r="BA79" s="50">
        <v>0</v>
      </c>
      <c r="BB79" s="50"/>
      <c r="BC79" s="51"/>
      <c r="BD79" s="51">
        <f t="shared" si="152"/>
        <v>0</v>
      </c>
      <c r="BE79" s="50"/>
      <c r="BF79" s="50">
        <f t="shared" si="153"/>
        <v>0</v>
      </c>
      <c r="BG79" s="142">
        <v>1500</v>
      </c>
      <c r="BH79" s="50"/>
      <c r="BI79" s="50">
        <f t="shared" si="154"/>
        <v>0</v>
      </c>
      <c r="BJ79" s="50"/>
      <c r="BK79" s="50">
        <f t="shared" si="155"/>
        <v>0</v>
      </c>
      <c r="BL79" s="146">
        <v>4500</v>
      </c>
      <c r="BM79" s="50"/>
      <c r="BN79" s="50">
        <f t="shared" si="156"/>
        <v>0</v>
      </c>
      <c r="BO79" s="50"/>
      <c r="BP79" s="50">
        <f t="shared" si="157"/>
        <v>0</v>
      </c>
      <c r="BQ79" s="50"/>
      <c r="BR79" s="50"/>
      <c r="BS79" s="50">
        <f t="shared" si="158"/>
        <v>0</v>
      </c>
      <c r="BT79" s="50"/>
      <c r="BU79" s="50">
        <f t="shared" si="159"/>
        <v>0</v>
      </c>
      <c r="BV79" s="50"/>
      <c r="BW79" s="50"/>
      <c r="BX79" s="50">
        <f t="shared" si="160"/>
        <v>0</v>
      </c>
      <c r="BY79" s="50"/>
      <c r="BZ79" s="50">
        <f t="shared" si="161"/>
        <v>0</v>
      </c>
      <c r="CA79" s="50"/>
      <c r="CB79" s="50"/>
      <c r="CC79" s="50">
        <f t="shared" si="162"/>
        <v>0</v>
      </c>
      <c r="CD79" s="50"/>
      <c r="CE79" s="50">
        <f t="shared" si="163"/>
        <v>0</v>
      </c>
      <c r="CF79" s="50"/>
      <c r="CG79" s="48"/>
    </row>
    <row r="80" spans="1:85" ht="18.5" x14ac:dyDescent="0.45">
      <c r="A80" s="39" t="s">
        <v>110</v>
      </c>
      <c r="B80" s="39" t="s">
        <v>262</v>
      </c>
      <c r="C80" s="39" t="s">
        <v>263</v>
      </c>
      <c r="D80" s="39" t="s">
        <v>265</v>
      </c>
      <c r="E80" s="166" t="s">
        <v>266</v>
      </c>
      <c r="F80" s="39"/>
      <c r="G80" s="39"/>
      <c r="H80" s="39"/>
      <c r="I80" s="39"/>
      <c r="J80" s="39"/>
      <c r="K80" s="39" t="s">
        <v>267</v>
      </c>
      <c r="L80" s="39" t="s">
        <v>268</v>
      </c>
      <c r="M80" s="39" t="s">
        <v>87</v>
      </c>
      <c r="N80" s="39" t="s">
        <v>87</v>
      </c>
      <c r="O80" s="39" t="s">
        <v>88</v>
      </c>
      <c r="P80" s="39" t="s">
        <v>85</v>
      </c>
      <c r="Q80" s="39" t="s">
        <v>610</v>
      </c>
      <c r="R80" s="48"/>
      <c r="S80" s="143"/>
      <c r="T80" s="71"/>
      <c r="U80" s="49">
        <f t="shared" si="137"/>
        <v>0</v>
      </c>
      <c r="V80" s="49">
        <f t="shared" si="138"/>
        <v>0</v>
      </c>
      <c r="W80" s="49">
        <f t="shared" si="139"/>
        <v>0</v>
      </c>
      <c r="X80" s="49">
        <f t="shared" si="140"/>
        <v>0</v>
      </c>
      <c r="Y80" s="50"/>
      <c r="Z80" s="50">
        <f t="shared" si="141"/>
        <v>0</v>
      </c>
      <c r="AA80" s="50"/>
      <c r="AB80" s="50">
        <f t="shared" si="142"/>
        <v>0</v>
      </c>
      <c r="AC80" s="50"/>
      <c r="AD80" s="50"/>
      <c r="AE80" s="50">
        <f t="shared" si="143"/>
        <v>0</v>
      </c>
      <c r="AF80" s="50"/>
      <c r="AG80" s="50">
        <f t="shared" si="144"/>
        <v>0</v>
      </c>
      <c r="AH80" s="50"/>
      <c r="AI80" s="50"/>
      <c r="AJ80" s="50">
        <f t="shared" si="145"/>
        <v>0</v>
      </c>
      <c r="AK80" s="50"/>
      <c r="AL80" s="50">
        <f t="shared" si="146"/>
        <v>0</v>
      </c>
      <c r="AM80" s="50"/>
      <c r="AN80" s="50"/>
      <c r="AO80" s="50">
        <f t="shared" si="147"/>
        <v>0</v>
      </c>
      <c r="AP80" s="50"/>
      <c r="AQ80" s="50">
        <f t="shared" si="148"/>
        <v>0</v>
      </c>
      <c r="AR80" s="50"/>
      <c r="AS80" s="50"/>
      <c r="AT80" s="50">
        <f t="shared" si="149"/>
        <v>0</v>
      </c>
      <c r="AU80" s="50"/>
      <c r="AV80" s="50">
        <f t="shared" si="150"/>
        <v>0</v>
      </c>
      <c r="AW80" s="50"/>
      <c r="AX80" s="50"/>
      <c r="AY80" s="50">
        <f t="shared" si="151"/>
        <v>0</v>
      </c>
      <c r="AZ80" s="50"/>
      <c r="BA80" s="50">
        <v>0</v>
      </c>
      <c r="BB80" s="50"/>
      <c r="BC80" s="51"/>
      <c r="BD80" s="51">
        <f t="shared" si="152"/>
        <v>0</v>
      </c>
      <c r="BE80" s="50"/>
      <c r="BF80" s="50">
        <f t="shared" si="153"/>
        <v>0</v>
      </c>
      <c r="BG80" s="50"/>
      <c r="BH80" s="50"/>
      <c r="BI80" s="50">
        <f t="shared" si="154"/>
        <v>0</v>
      </c>
      <c r="BJ80" s="50"/>
      <c r="BK80" s="50">
        <f t="shared" si="155"/>
        <v>0</v>
      </c>
      <c r="BL80" s="50"/>
      <c r="BM80" s="50"/>
      <c r="BN80" s="50">
        <f t="shared" si="156"/>
        <v>0</v>
      </c>
      <c r="BO80" s="50"/>
      <c r="BP80" s="50">
        <f t="shared" si="157"/>
        <v>0</v>
      </c>
      <c r="BQ80" s="50"/>
      <c r="BR80" s="50"/>
      <c r="BS80" s="50">
        <f t="shared" si="158"/>
        <v>0</v>
      </c>
      <c r="BT80" s="50"/>
      <c r="BU80" s="50">
        <f t="shared" si="159"/>
        <v>0</v>
      </c>
      <c r="BV80" s="50"/>
      <c r="BW80" s="50"/>
      <c r="BX80" s="50">
        <f t="shared" si="160"/>
        <v>0</v>
      </c>
      <c r="BY80" s="50"/>
      <c r="BZ80" s="50">
        <f t="shared" si="161"/>
        <v>0</v>
      </c>
      <c r="CA80" s="50"/>
      <c r="CB80" s="50"/>
      <c r="CC80" s="50">
        <f t="shared" si="162"/>
        <v>0</v>
      </c>
      <c r="CD80" s="50"/>
      <c r="CE80" s="50">
        <f t="shared" si="163"/>
        <v>0</v>
      </c>
      <c r="CF80" s="50"/>
      <c r="CG80" s="151" t="s">
        <v>611</v>
      </c>
    </row>
    <row r="81" spans="1:85" ht="18.5" x14ac:dyDescent="0.45">
      <c r="A81" s="39" t="s">
        <v>110</v>
      </c>
      <c r="B81" s="39" t="s">
        <v>262</v>
      </c>
      <c r="C81" s="39" t="s">
        <v>263</v>
      </c>
      <c r="D81" s="39" t="s">
        <v>265</v>
      </c>
      <c r="E81" s="166" t="s">
        <v>266</v>
      </c>
      <c r="F81" s="39"/>
      <c r="G81" s="39"/>
      <c r="H81" s="39"/>
      <c r="I81" s="39"/>
      <c r="J81" s="39"/>
      <c r="K81" s="39" t="s">
        <v>267</v>
      </c>
      <c r="L81" s="39" t="s">
        <v>268</v>
      </c>
      <c r="M81" s="39" t="s">
        <v>149</v>
      </c>
      <c r="N81" s="39" t="s">
        <v>149</v>
      </c>
      <c r="O81" s="39" t="s">
        <v>150</v>
      </c>
      <c r="P81" s="39" t="s">
        <v>79</v>
      </c>
      <c r="Q81" s="39" t="s">
        <v>285</v>
      </c>
      <c r="R81" s="48"/>
      <c r="S81" s="143"/>
      <c r="T81" s="71"/>
      <c r="U81" s="49">
        <f t="shared" si="137"/>
        <v>0</v>
      </c>
      <c r="V81" s="49">
        <f t="shared" si="138"/>
        <v>0</v>
      </c>
      <c r="W81" s="49">
        <f t="shared" si="139"/>
        <v>0</v>
      </c>
      <c r="X81" s="49">
        <f t="shared" si="140"/>
        <v>0</v>
      </c>
      <c r="Y81" s="50"/>
      <c r="Z81" s="50">
        <f t="shared" si="141"/>
        <v>0</v>
      </c>
      <c r="AA81" s="50"/>
      <c r="AB81" s="50">
        <f t="shared" si="142"/>
        <v>0</v>
      </c>
      <c r="AC81" s="50"/>
      <c r="AD81" s="50"/>
      <c r="AE81" s="50">
        <f t="shared" si="143"/>
        <v>0</v>
      </c>
      <c r="AF81" s="50"/>
      <c r="AG81" s="50">
        <f t="shared" si="144"/>
        <v>0</v>
      </c>
      <c r="AH81" s="50"/>
      <c r="AI81" s="50"/>
      <c r="AJ81" s="50">
        <f t="shared" si="145"/>
        <v>0</v>
      </c>
      <c r="AK81" s="50"/>
      <c r="AL81" s="50">
        <f t="shared" si="146"/>
        <v>0</v>
      </c>
      <c r="AM81" s="50"/>
      <c r="AN81" s="50"/>
      <c r="AO81" s="50">
        <f t="shared" si="147"/>
        <v>0</v>
      </c>
      <c r="AP81" s="50"/>
      <c r="AQ81" s="50">
        <f t="shared" si="148"/>
        <v>0</v>
      </c>
      <c r="AR81" s="50"/>
      <c r="AS81" s="50"/>
      <c r="AT81" s="50">
        <f t="shared" si="149"/>
        <v>0</v>
      </c>
      <c r="AU81" s="50"/>
      <c r="AV81" s="50">
        <f t="shared" si="150"/>
        <v>0</v>
      </c>
      <c r="AW81" s="50"/>
      <c r="AX81" s="50"/>
      <c r="AY81" s="50">
        <f t="shared" si="151"/>
        <v>0</v>
      </c>
      <c r="AZ81" s="50"/>
      <c r="BA81" s="50">
        <v>0</v>
      </c>
      <c r="BB81" s="145">
        <v>144000</v>
      </c>
      <c r="BC81" s="51"/>
      <c r="BD81" s="51">
        <f t="shared" si="152"/>
        <v>0</v>
      </c>
      <c r="BE81" s="50"/>
      <c r="BF81" s="50">
        <f t="shared" si="153"/>
        <v>0</v>
      </c>
      <c r="BG81" s="50"/>
      <c r="BH81" s="50"/>
      <c r="BI81" s="50">
        <f t="shared" si="154"/>
        <v>0</v>
      </c>
      <c r="BJ81" s="50"/>
      <c r="BK81" s="50">
        <f t="shared" si="155"/>
        <v>0</v>
      </c>
      <c r="BL81" s="50"/>
      <c r="BM81" s="50"/>
      <c r="BN81" s="50">
        <f t="shared" si="156"/>
        <v>0</v>
      </c>
      <c r="BO81" s="50"/>
      <c r="BP81" s="50">
        <f t="shared" si="157"/>
        <v>0</v>
      </c>
      <c r="BQ81" s="50"/>
      <c r="BR81" s="50"/>
      <c r="BS81" s="50">
        <f t="shared" si="158"/>
        <v>0</v>
      </c>
      <c r="BT81" s="50"/>
      <c r="BU81" s="50">
        <f t="shared" si="159"/>
        <v>0</v>
      </c>
      <c r="BV81" s="50"/>
      <c r="BW81" s="50"/>
      <c r="BX81" s="50">
        <f t="shared" si="160"/>
        <v>0</v>
      </c>
      <c r="BY81" s="50"/>
      <c r="BZ81" s="50">
        <f t="shared" si="161"/>
        <v>0</v>
      </c>
      <c r="CA81" s="50"/>
      <c r="CB81" s="50"/>
      <c r="CC81" s="50">
        <f t="shared" si="162"/>
        <v>0</v>
      </c>
      <c r="CD81" s="50"/>
      <c r="CE81" s="50">
        <f t="shared" si="163"/>
        <v>0</v>
      </c>
      <c r="CF81" s="50"/>
      <c r="CG81" s="151" t="s">
        <v>613</v>
      </c>
    </row>
    <row r="82" spans="1:85" x14ac:dyDescent="0.4">
      <c r="A82" s="39" t="s">
        <v>110</v>
      </c>
      <c r="B82" s="39" t="s">
        <v>262</v>
      </c>
      <c r="C82" s="39" t="s">
        <v>263</v>
      </c>
      <c r="D82" s="39" t="s">
        <v>265</v>
      </c>
      <c r="E82" s="166" t="s">
        <v>266</v>
      </c>
      <c r="F82" s="39"/>
      <c r="G82" s="39"/>
      <c r="H82" s="39"/>
      <c r="I82" s="39"/>
      <c r="J82" s="39"/>
      <c r="K82" s="39" t="s">
        <v>267</v>
      </c>
      <c r="L82" s="39" t="s">
        <v>268</v>
      </c>
      <c r="M82" s="39" t="s">
        <v>117</v>
      </c>
      <c r="N82" s="39" t="s">
        <v>117</v>
      </c>
      <c r="O82" s="39" t="s">
        <v>118</v>
      </c>
      <c r="P82" s="39" t="s">
        <v>603</v>
      </c>
      <c r="Q82" s="39" t="s">
        <v>618</v>
      </c>
      <c r="R82" s="152"/>
      <c r="S82" s="152"/>
      <c r="T82" s="71"/>
      <c r="U82" s="49">
        <f t="shared" si="137"/>
        <v>0</v>
      </c>
      <c r="V82" s="49">
        <f t="shared" si="138"/>
        <v>0</v>
      </c>
      <c r="W82" s="49">
        <f t="shared" si="139"/>
        <v>0</v>
      </c>
      <c r="X82" s="49">
        <f t="shared" si="140"/>
        <v>60000</v>
      </c>
      <c r="Y82" s="152"/>
      <c r="Z82" s="50">
        <f t="shared" si="141"/>
        <v>0</v>
      </c>
      <c r="AA82" s="50"/>
      <c r="AB82" s="50">
        <f t="shared" si="142"/>
        <v>0</v>
      </c>
      <c r="AC82" s="50"/>
      <c r="AD82" s="50"/>
      <c r="AE82" s="50">
        <f t="shared" si="143"/>
        <v>0</v>
      </c>
      <c r="AF82" s="50"/>
      <c r="AG82" s="50">
        <f t="shared" si="144"/>
        <v>0</v>
      </c>
      <c r="AH82" s="50"/>
      <c r="AI82" s="50"/>
      <c r="AJ82" s="50">
        <f t="shared" si="145"/>
        <v>0</v>
      </c>
      <c r="AK82" s="50"/>
      <c r="AL82" s="50">
        <f t="shared" si="146"/>
        <v>0</v>
      </c>
      <c r="AM82" s="50"/>
      <c r="AN82" s="50"/>
      <c r="AO82" s="50">
        <f t="shared" si="147"/>
        <v>0</v>
      </c>
      <c r="AP82" s="50"/>
      <c r="AQ82" s="50">
        <f t="shared" si="148"/>
        <v>0</v>
      </c>
      <c r="AR82" s="50"/>
      <c r="AS82" s="50"/>
      <c r="AT82" s="50">
        <f t="shared" si="149"/>
        <v>0</v>
      </c>
      <c r="AU82" s="50"/>
      <c r="AV82" s="50">
        <f t="shared" si="150"/>
        <v>0</v>
      </c>
      <c r="AW82" s="50"/>
      <c r="AX82" s="50"/>
      <c r="AY82" s="50">
        <f t="shared" si="151"/>
        <v>0</v>
      </c>
      <c r="AZ82" s="50"/>
      <c r="BA82" s="50">
        <v>0</v>
      </c>
      <c r="BB82" s="152"/>
      <c r="BC82" s="172"/>
      <c r="BD82" s="51">
        <f t="shared" si="152"/>
        <v>0</v>
      </c>
      <c r="BE82" s="50"/>
      <c r="BF82" s="50">
        <f t="shared" si="153"/>
        <v>0</v>
      </c>
      <c r="BG82" s="152"/>
      <c r="BH82" s="152"/>
      <c r="BI82" s="50">
        <f t="shared" si="154"/>
        <v>0</v>
      </c>
      <c r="BJ82" s="50"/>
      <c r="BK82" s="50">
        <f t="shared" si="155"/>
        <v>0</v>
      </c>
      <c r="BL82" s="150">
        <v>60000</v>
      </c>
      <c r="BM82" s="152"/>
      <c r="BN82" s="50">
        <f t="shared" si="156"/>
        <v>0</v>
      </c>
      <c r="BO82" s="152"/>
      <c r="BP82" s="50">
        <f t="shared" si="157"/>
        <v>0</v>
      </c>
      <c r="BQ82" s="152"/>
      <c r="BR82" s="152"/>
      <c r="BS82" s="50">
        <f t="shared" si="158"/>
        <v>0</v>
      </c>
      <c r="BT82" s="50"/>
      <c r="BU82" s="50">
        <f t="shared" si="159"/>
        <v>0</v>
      </c>
      <c r="BV82" s="50"/>
      <c r="BW82" s="50"/>
      <c r="BX82" s="50">
        <f t="shared" si="160"/>
        <v>0</v>
      </c>
      <c r="BY82" s="50"/>
      <c r="BZ82" s="50">
        <f t="shared" si="161"/>
        <v>0</v>
      </c>
      <c r="CA82" s="152"/>
      <c r="CB82" s="152"/>
      <c r="CC82" s="50">
        <f t="shared" si="162"/>
        <v>0</v>
      </c>
      <c r="CD82" s="152"/>
      <c r="CE82" s="50">
        <f t="shared" si="163"/>
        <v>0</v>
      </c>
      <c r="CF82" s="152"/>
      <c r="CG82" s="152"/>
    </row>
    <row r="83" spans="1:85" x14ac:dyDescent="0.4">
      <c r="A83" s="2" t="s">
        <v>110</v>
      </c>
      <c r="B83" s="2" t="s">
        <v>262</v>
      </c>
      <c r="C83" s="2" t="s">
        <v>263</v>
      </c>
      <c r="D83" s="2" t="s">
        <v>365</v>
      </c>
      <c r="E83" s="165" t="s">
        <v>374</v>
      </c>
      <c r="F83" s="2"/>
      <c r="G83" s="2"/>
      <c r="H83" s="2"/>
      <c r="I83" s="2"/>
      <c r="J83" s="2"/>
      <c r="K83" s="13" t="s">
        <v>267</v>
      </c>
      <c r="L83" s="13" t="s">
        <v>268</v>
      </c>
      <c r="M83" s="2" t="s">
        <v>149</v>
      </c>
      <c r="N83" s="2" t="s">
        <v>149</v>
      </c>
      <c r="O83" s="13" t="s">
        <v>150</v>
      </c>
      <c r="P83" s="2" t="s">
        <v>79</v>
      </c>
      <c r="Q83" s="2" t="s">
        <v>375</v>
      </c>
      <c r="R83" s="2" t="s">
        <v>83</v>
      </c>
      <c r="S83" s="11">
        <v>1.5699999999999999E-2</v>
      </c>
      <c r="T83" s="12"/>
      <c r="U83" s="30">
        <f t="shared" ref="U83:U91" si="164">+(Y83+AD83+AI83+AN83+AS83+AX83+BC83+BH83+BM83+BR83+BW83+CB83)/1000</f>
        <v>8</v>
      </c>
      <c r="V83" s="30">
        <f t="shared" ref="V83:V91" si="165">+(Z83+AE83+AJ83+AO83+AT83+AY83+BD83+BI83+BN83+BS83+BX83+CC83)/1000</f>
        <v>0.12559999999999999</v>
      </c>
      <c r="W83" s="30">
        <f t="shared" ref="W83:W91" si="166">+(+BF83+BK83+BP83+BU83+BZ83+CE83)</f>
        <v>0</v>
      </c>
      <c r="X83" s="30">
        <f t="shared" ref="X83:X91" si="167">+(+BG83+BL83+BQ83+BV83+CA83+CF83)</f>
        <v>0</v>
      </c>
      <c r="Y83" s="30"/>
      <c r="Z83" s="30">
        <f t="shared" ref="Z83:Z91" si="168">Y83*S83</f>
        <v>0</v>
      </c>
      <c r="AA83" s="30"/>
      <c r="AB83" s="30">
        <f t="shared" ref="AB83:AB91" si="169">AA83*S83</f>
        <v>0</v>
      </c>
      <c r="AC83" s="30"/>
      <c r="AD83" s="30"/>
      <c r="AE83" s="30">
        <f t="shared" ref="AE83:AE91" si="170">AD83*S83</f>
        <v>0</v>
      </c>
      <c r="AF83" s="30"/>
      <c r="AG83" s="30">
        <f t="shared" ref="AG83:AG91" si="171">AF83*S83</f>
        <v>0</v>
      </c>
      <c r="AH83" s="30"/>
      <c r="AI83" s="30"/>
      <c r="AJ83" s="30">
        <f t="shared" ref="AJ83:AJ91" si="172">AI83*S83</f>
        <v>0</v>
      </c>
      <c r="AK83" s="30"/>
      <c r="AL83" s="30">
        <f t="shared" ref="AL83:AL91" si="173">AK83*S83</f>
        <v>0</v>
      </c>
      <c r="AM83" s="30"/>
      <c r="AN83" s="30"/>
      <c r="AO83" s="30">
        <f t="shared" ref="AO83:AO91" si="174">AN83*S83</f>
        <v>0</v>
      </c>
      <c r="AP83" s="30"/>
      <c r="AQ83" s="30">
        <f t="shared" ref="AQ83:AQ91" si="175">AP83*S83</f>
        <v>0</v>
      </c>
      <c r="AR83" s="30"/>
      <c r="AS83" s="30"/>
      <c r="AT83" s="30">
        <f t="shared" ref="AT83:AT91" si="176">AS83*S83</f>
        <v>0</v>
      </c>
      <c r="AU83" s="30"/>
      <c r="AV83" s="30">
        <f t="shared" ref="AV83:AV91" si="177">AU83*S83</f>
        <v>0</v>
      </c>
      <c r="AW83" s="30"/>
      <c r="AX83" s="30"/>
      <c r="AY83" s="30">
        <f t="shared" ref="AY83:AY91" si="178">AX83*S83</f>
        <v>0</v>
      </c>
      <c r="AZ83" s="30"/>
      <c r="BA83" s="30">
        <v>0</v>
      </c>
      <c r="BB83" s="30"/>
      <c r="BC83" s="45">
        <v>8000</v>
      </c>
      <c r="BD83" s="45">
        <f t="shared" ref="BD83:BD91" si="179">BC83*S83</f>
        <v>125.6</v>
      </c>
      <c r="BE83" s="30"/>
      <c r="BF83" s="30">
        <f t="shared" ref="BF83:BF91" si="180">BE83*S83</f>
        <v>0</v>
      </c>
      <c r="BG83" s="30"/>
      <c r="BH83" s="30"/>
      <c r="BI83" s="30">
        <f t="shared" ref="BI83:BI91" si="181">BH83*S83</f>
        <v>0</v>
      </c>
      <c r="BJ83" s="30"/>
      <c r="BK83" s="30">
        <f t="shared" ref="BK83:BK91" si="182">BJ83*S83</f>
        <v>0</v>
      </c>
      <c r="BL83" s="30"/>
      <c r="BM83" s="30"/>
      <c r="BN83" s="30">
        <f t="shared" ref="BN83:BN91" si="183">BM83*S83</f>
        <v>0</v>
      </c>
      <c r="BO83" s="30"/>
      <c r="BP83" s="30">
        <f t="shared" ref="BP83:BP91" si="184">BO83*S83</f>
        <v>0</v>
      </c>
      <c r="BQ83" s="30"/>
      <c r="BR83" s="30"/>
      <c r="BS83" s="30">
        <f t="shared" ref="BS83:BS91" si="185">BR83*S83</f>
        <v>0</v>
      </c>
      <c r="BT83" s="30"/>
      <c r="BU83" s="30">
        <f t="shared" ref="BU83:BU91" si="186">BT83*S83</f>
        <v>0</v>
      </c>
      <c r="BV83" s="30"/>
      <c r="BW83" s="30"/>
      <c r="BX83" s="30">
        <f t="shared" ref="BX83:BX91" si="187">BW83*S83</f>
        <v>0</v>
      </c>
      <c r="BY83" s="30"/>
      <c r="BZ83" s="30">
        <f t="shared" ref="BZ83:BZ91" si="188">BY83*S83</f>
        <v>0</v>
      </c>
      <c r="CA83" s="30"/>
      <c r="CB83" s="30"/>
      <c r="CC83" s="30">
        <f t="shared" ref="CC83:CC91" si="189">CB83*S83</f>
        <v>0</v>
      </c>
      <c r="CD83" s="30"/>
      <c r="CE83" s="30">
        <f t="shared" ref="CE83:CE91" si="190">CD83*S83</f>
        <v>0</v>
      </c>
      <c r="CF83" s="30"/>
      <c r="CG83" s="2"/>
    </row>
    <row r="84" spans="1:85" x14ac:dyDescent="0.4">
      <c r="A84" s="2" t="s">
        <v>110</v>
      </c>
      <c r="B84" s="2" t="s">
        <v>262</v>
      </c>
      <c r="C84" s="2" t="s">
        <v>263</v>
      </c>
      <c r="D84" s="2" t="s">
        <v>365</v>
      </c>
      <c r="E84" s="165" t="s">
        <v>374</v>
      </c>
      <c r="F84" s="2"/>
      <c r="G84" s="2"/>
      <c r="H84" s="2"/>
      <c r="I84" s="2"/>
      <c r="J84" s="2"/>
      <c r="K84" s="13" t="s">
        <v>267</v>
      </c>
      <c r="L84" s="13" t="s">
        <v>268</v>
      </c>
      <c r="M84" s="2" t="s">
        <v>149</v>
      </c>
      <c r="N84" s="2" t="s">
        <v>149</v>
      </c>
      <c r="O84" s="13" t="s">
        <v>150</v>
      </c>
      <c r="P84" s="2" t="s">
        <v>79</v>
      </c>
      <c r="Q84" s="2" t="s">
        <v>376</v>
      </c>
      <c r="R84" s="2" t="s">
        <v>83</v>
      </c>
      <c r="S84" s="11">
        <v>1.8499999999999999E-2</v>
      </c>
      <c r="T84" s="12"/>
      <c r="U84" s="30">
        <f t="shared" si="164"/>
        <v>5</v>
      </c>
      <c r="V84" s="30">
        <f t="shared" si="165"/>
        <v>9.2499999999999999E-2</v>
      </c>
      <c r="W84" s="30">
        <f t="shared" si="166"/>
        <v>0</v>
      </c>
      <c r="X84" s="30">
        <f t="shared" si="167"/>
        <v>0</v>
      </c>
      <c r="Y84" s="30"/>
      <c r="Z84" s="30">
        <f t="shared" si="168"/>
        <v>0</v>
      </c>
      <c r="AA84" s="30"/>
      <c r="AB84" s="30">
        <f t="shared" si="169"/>
        <v>0</v>
      </c>
      <c r="AC84" s="30"/>
      <c r="AD84" s="30"/>
      <c r="AE84" s="30">
        <f t="shared" si="170"/>
        <v>0</v>
      </c>
      <c r="AF84" s="30"/>
      <c r="AG84" s="30">
        <f t="shared" si="171"/>
        <v>0</v>
      </c>
      <c r="AH84" s="30"/>
      <c r="AI84" s="30"/>
      <c r="AJ84" s="30">
        <f t="shared" si="172"/>
        <v>0</v>
      </c>
      <c r="AK84" s="30"/>
      <c r="AL84" s="30">
        <f t="shared" si="173"/>
        <v>0</v>
      </c>
      <c r="AM84" s="30"/>
      <c r="AN84" s="30"/>
      <c r="AO84" s="30">
        <f t="shared" si="174"/>
        <v>0</v>
      </c>
      <c r="AP84" s="30"/>
      <c r="AQ84" s="30">
        <f t="shared" si="175"/>
        <v>0</v>
      </c>
      <c r="AR84" s="30"/>
      <c r="AS84" s="30"/>
      <c r="AT84" s="30">
        <f t="shared" si="176"/>
        <v>0</v>
      </c>
      <c r="AU84" s="30"/>
      <c r="AV84" s="30">
        <f t="shared" si="177"/>
        <v>0</v>
      </c>
      <c r="AW84" s="30"/>
      <c r="AX84" s="30"/>
      <c r="AY84" s="30">
        <f t="shared" si="178"/>
        <v>0</v>
      </c>
      <c r="AZ84" s="30"/>
      <c r="BA84" s="30">
        <v>0</v>
      </c>
      <c r="BB84" s="30"/>
      <c r="BC84" s="45">
        <v>5000</v>
      </c>
      <c r="BD84" s="45">
        <f t="shared" si="179"/>
        <v>92.5</v>
      </c>
      <c r="BE84" s="30"/>
      <c r="BF84" s="30">
        <f t="shared" si="180"/>
        <v>0</v>
      </c>
      <c r="BG84" s="30"/>
      <c r="BH84" s="30"/>
      <c r="BI84" s="30">
        <f t="shared" si="181"/>
        <v>0</v>
      </c>
      <c r="BJ84" s="30"/>
      <c r="BK84" s="30">
        <f t="shared" si="182"/>
        <v>0</v>
      </c>
      <c r="BL84" s="30"/>
      <c r="BM84" s="30"/>
      <c r="BN84" s="30">
        <f t="shared" si="183"/>
        <v>0</v>
      </c>
      <c r="BO84" s="30"/>
      <c r="BP84" s="30">
        <f t="shared" si="184"/>
        <v>0</v>
      </c>
      <c r="BQ84" s="30"/>
      <c r="BR84" s="30"/>
      <c r="BS84" s="30">
        <f t="shared" si="185"/>
        <v>0</v>
      </c>
      <c r="BT84" s="30"/>
      <c r="BU84" s="30">
        <f t="shared" si="186"/>
        <v>0</v>
      </c>
      <c r="BV84" s="30"/>
      <c r="BW84" s="30"/>
      <c r="BX84" s="30">
        <f t="shared" si="187"/>
        <v>0</v>
      </c>
      <c r="BY84" s="30"/>
      <c r="BZ84" s="30">
        <f t="shared" si="188"/>
        <v>0</v>
      </c>
      <c r="CA84" s="30"/>
      <c r="CB84" s="30"/>
      <c r="CC84" s="30">
        <f t="shared" si="189"/>
        <v>0</v>
      </c>
      <c r="CD84" s="30"/>
      <c r="CE84" s="30">
        <f t="shared" si="190"/>
        <v>0</v>
      </c>
      <c r="CF84" s="30"/>
      <c r="CG84" s="2"/>
    </row>
    <row r="85" spans="1:85" x14ac:dyDescent="0.4">
      <c r="A85" s="2" t="s">
        <v>110</v>
      </c>
      <c r="B85" s="2" t="s">
        <v>262</v>
      </c>
      <c r="C85" s="2" t="s">
        <v>263</v>
      </c>
      <c r="D85" s="2" t="s">
        <v>365</v>
      </c>
      <c r="E85" s="165" t="s">
        <v>374</v>
      </c>
      <c r="F85" s="2"/>
      <c r="G85" s="2"/>
      <c r="H85" s="2"/>
      <c r="I85" s="2"/>
      <c r="J85" s="2"/>
      <c r="K85" s="13" t="s">
        <v>267</v>
      </c>
      <c r="L85" s="13" t="s">
        <v>268</v>
      </c>
      <c r="M85" s="2" t="s">
        <v>149</v>
      </c>
      <c r="N85" s="2" t="s">
        <v>149</v>
      </c>
      <c r="O85" s="13" t="s">
        <v>150</v>
      </c>
      <c r="P85" s="2" t="s">
        <v>79</v>
      </c>
      <c r="Q85" s="2" t="s">
        <v>377</v>
      </c>
      <c r="R85" s="2" t="s">
        <v>83</v>
      </c>
      <c r="S85" s="11">
        <v>1.6799999999999999E-2</v>
      </c>
      <c r="T85" s="12"/>
      <c r="U85" s="30">
        <f t="shared" si="164"/>
        <v>10</v>
      </c>
      <c r="V85" s="30">
        <f t="shared" si="165"/>
        <v>0.16800000000000001</v>
      </c>
      <c r="W85" s="30">
        <f t="shared" si="166"/>
        <v>0</v>
      </c>
      <c r="X85" s="30">
        <f t="shared" si="167"/>
        <v>0</v>
      </c>
      <c r="Y85" s="30"/>
      <c r="Z85" s="30">
        <f t="shared" si="168"/>
        <v>0</v>
      </c>
      <c r="AA85" s="30"/>
      <c r="AB85" s="30">
        <f t="shared" si="169"/>
        <v>0</v>
      </c>
      <c r="AC85" s="30"/>
      <c r="AD85" s="30"/>
      <c r="AE85" s="30">
        <f t="shared" si="170"/>
        <v>0</v>
      </c>
      <c r="AF85" s="30"/>
      <c r="AG85" s="30">
        <f t="shared" si="171"/>
        <v>0</v>
      </c>
      <c r="AH85" s="30"/>
      <c r="AI85" s="30"/>
      <c r="AJ85" s="30">
        <f t="shared" si="172"/>
        <v>0</v>
      </c>
      <c r="AK85" s="30"/>
      <c r="AL85" s="30">
        <f t="shared" si="173"/>
        <v>0</v>
      </c>
      <c r="AM85" s="30"/>
      <c r="AN85" s="30"/>
      <c r="AO85" s="30">
        <f t="shared" si="174"/>
        <v>0</v>
      </c>
      <c r="AP85" s="30"/>
      <c r="AQ85" s="30">
        <f t="shared" si="175"/>
        <v>0</v>
      </c>
      <c r="AR85" s="30"/>
      <c r="AS85" s="30"/>
      <c r="AT85" s="30">
        <f t="shared" si="176"/>
        <v>0</v>
      </c>
      <c r="AU85" s="30"/>
      <c r="AV85" s="30">
        <f t="shared" si="177"/>
        <v>0</v>
      </c>
      <c r="AW85" s="30"/>
      <c r="AX85" s="30"/>
      <c r="AY85" s="30">
        <f t="shared" si="178"/>
        <v>0</v>
      </c>
      <c r="AZ85" s="30"/>
      <c r="BA85" s="30">
        <v>0</v>
      </c>
      <c r="BB85" s="30"/>
      <c r="BC85" s="45">
        <v>10000</v>
      </c>
      <c r="BD85" s="45">
        <f t="shared" si="179"/>
        <v>168</v>
      </c>
      <c r="BE85" s="30"/>
      <c r="BF85" s="30">
        <f t="shared" si="180"/>
        <v>0</v>
      </c>
      <c r="BG85" s="30"/>
      <c r="BH85" s="30"/>
      <c r="BI85" s="30">
        <f t="shared" si="181"/>
        <v>0</v>
      </c>
      <c r="BJ85" s="30"/>
      <c r="BK85" s="30">
        <f t="shared" si="182"/>
        <v>0</v>
      </c>
      <c r="BL85" s="30"/>
      <c r="BM85" s="30"/>
      <c r="BN85" s="30">
        <f t="shared" si="183"/>
        <v>0</v>
      </c>
      <c r="BO85" s="30"/>
      <c r="BP85" s="30">
        <f t="shared" si="184"/>
        <v>0</v>
      </c>
      <c r="BQ85" s="30"/>
      <c r="BR85" s="30"/>
      <c r="BS85" s="30">
        <f t="shared" si="185"/>
        <v>0</v>
      </c>
      <c r="BT85" s="30"/>
      <c r="BU85" s="30">
        <f t="shared" si="186"/>
        <v>0</v>
      </c>
      <c r="BV85" s="30"/>
      <c r="BW85" s="30"/>
      <c r="BX85" s="30">
        <f t="shared" si="187"/>
        <v>0</v>
      </c>
      <c r="BY85" s="30"/>
      <c r="BZ85" s="30">
        <f t="shared" si="188"/>
        <v>0</v>
      </c>
      <c r="CA85" s="30"/>
      <c r="CB85" s="30"/>
      <c r="CC85" s="30">
        <f t="shared" si="189"/>
        <v>0</v>
      </c>
      <c r="CD85" s="30"/>
      <c r="CE85" s="30">
        <f t="shared" si="190"/>
        <v>0</v>
      </c>
      <c r="CF85" s="30"/>
      <c r="CG85" s="2"/>
    </row>
    <row r="86" spans="1:85" x14ac:dyDescent="0.4">
      <c r="A86" s="2" t="s">
        <v>110</v>
      </c>
      <c r="B86" s="2" t="s">
        <v>262</v>
      </c>
      <c r="C86" s="2" t="s">
        <v>263</v>
      </c>
      <c r="D86" s="2" t="s">
        <v>365</v>
      </c>
      <c r="E86" s="165" t="s">
        <v>374</v>
      </c>
      <c r="F86" s="2"/>
      <c r="G86" s="2"/>
      <c r="H86" s="2"/>
      <c r="I86" s="2"/>
      <c r="J86" s="2"/>
      <c r="K86" s="13" t="s">
        <v>267</v>
      </c>
      <c r="L86" s="13" t="s">
        <v>268</v>
      </c>
      <c r="M86" s="2" t="s">
        <v>149</v>
      </c>
      <c r="N86" s="2" t="s">
        <v>149</v>
      </c>
      <c r="O86" s="13" t="s">
        <v>150</v>
      </c>
      <c r="P86" s="2" t="s">
        <v>79</v>
      </c>
      <c r="Q86" s="2" t="s">
        <v>378</v>
      </c>
      <c r="R86" s="2" t="s">
        <v>83</v>
      </c>
      <c r="S86" s="11">
        <v>5.5399999999999998E-2</v>
      </c>
      <c r="T86" s="12"/>
      <c r="U86" s="30">
        <f t="shared" si="164"/>
        <v>10</v>
      </c>
      <c r="V86" s="30">
        <f t="shared" si="165"/>
        <v>0.55400000000000005</v>
      </c>
      <c r="W86" s="30">
        <f t="shared" si="166"/>
        <v>0</v>
      </c>
      <c r="X86" s="30">
        <f t="shared" si="167"/>
        <v>0</v>
      </c>
      <c r="Y86" s="30"/>
      <c r="Z86" s="30">
        <f t="shared" si="168"/>
        <v>0</v>
      </c>
      <c r="AA86" s="30"/>
      <c r="AB86" s="30">
        <f t="shared" si="169"/>
        <v>0</v>
      </c>
      <c r="AC86" s="30"/>
      <c r="AD86" s="30"/>
      <c r="AE86" s="30">
        <f t="shared" si="170"/>
        <v>0</v>
      </c>
      <c r="AF86" s="30"/>
      <c r="AG86" s="30">
        <f t="shared" si="171"/>
        <v>0</v>
      </c>
      <c r="AH86" s="30"/>
      <c r="AI86" s="30"/>
      <c r="AJ86" s="30">
        <f t="shared" si="172"/>
        <v>0</v>
      </c>
      <c r="AK86" s="30"/>
      <c r="AL86" s="30">
        <f t="shared" si="173"/>
        <v>0</v>
      </c>
      <c r="AM86" s="30"/>
      <c r="AN86" s="30"/>
      <c r="AO86" s="30">
        <f t="shared" si="174"/>
        <v>0</v>
      </c>
      <c r="AP86" s="30"/>
      <c r="AQ86" s="30">
        <f t="shared" si="175"/>
        <v>0</v>
      </c>
      <c r="AR86" s="30"/>
      <c r="AS86" s="30"/>
      <c r="AT86" s="30">
        <f t="shared" si="176"/>
        <v>0</v>
      </c>
      <c r="AU86" s="30"/>
      <c r="AV86" s="30">
        <f t="shared" si="177"/>
        <v>0</v>
      </c>
      <c r="AW86" s="30"/>
      <c r="AX86" s="30"/>
      <c r="AY86" s="30">
        <f t="shared" si="178"/>
        <v>0</v>
      </c>
      <c r="AZ86" s="30"/>
      <c r="BA86" s="30">
        <v>0</v>
      </c>
      <c r="BB86" s="30"/>
      <c r="BC86" s="45">
        <v>10000</v>
      </c>
      <c r="BD86" s="45">
        <f t="shared" si="179"/>
        <v>554</v>
      </c>
      <c r="BE86" s="30"/>
      <c r="BF86" s="30">
        <f t="shared" si="180"/>
        <v>0</v>
      </c>
      <c r="BG86" s="30"/>
      <c r="BH86" s="30"/>
      <c r="BI86" s="30">
        <f t="shared" si="181"/>
        <v>0</v>
      </c>
      <c r="BJ86" s="30"/>
      <c r="BK86" s="30">
        <f t="shared" si="182"/>
        <v>0</v>
      </c>
      <c r="BL86" s="30"/>
      <c r="BM86" s="30"/>
      <c r="BN86" s="30">
        <f t="shared" si="183"/>
        <v>0</v>
      </c>
      <c r="BO86" s="30"/>
      <c r="BP86" s="30">
        <f t="shared" si="184"/>
        <v>0</v>
      </c>
      <c r="BQ86" s="30"/>
      <c r="BR86" s="30"/>
      <c r="BS86" s="30">
        <f t="shared" si="185"/>
        <v>0</v>
      </c>
      <c r="BT86" s="30"/>
      <c r="BU86" s="30">
        <f t="shared" si="186"/>
        <v>0</v>
      </c>
      <c r="BV86" s="30"/>
      <c r="BW86" s="30"/>
      <c r="BX86" s="30">
        <f t="shared" si="187"/>
        <v>0</v>
      </c>
      <c r="BY86" s="30"/>
      <c r="BZ86" s="30">
        <f t="shared" si="188"/>
        <v>0</v>
      </c>
      <c r="CA86" s="30"/>
      <c r="CB86" s="30"/>
      <c r="CC86" s="30">
        <f t="shared" si="189"/>
        <v>0</v>
      </c>
      <c r="CD86" s="30"/>
      <c r="CE86" s="30">
        <f t="shared" si="190"/>
        <v>0</v>
      </c>
      <c r="CF86" s="30"/>
      <c r="CG86" s="2"/>
    </row>
    <row r="87" spans="1:85" x14ac:dyDescent="0.4">
      <c r="A87" s="2" t="s">
        <v>110</v>
      </c>
      <c r="B87" s="2" t="s">
        <v>262</v>
      </c>
      <c r="C87" s="2" t="s">
        <v>263</v>
      </c>
      <c r="D87" s="2" t="s">
        <v>365</v>
      </c>
      <c r="E87" s="165" t="s">
        <v>374</v>
      </c>
      <c r="F87" s="2"/>
      <c r="G87" s="2"/>
      <c r="H87" s="2"/>
      <c r="I87" s="2"/>
      <c r="J87" s="2"/>
      <c r="K87" s="13" t="s">
        <v>267</v>
      </c>
      <c r="L87" s="13" t="s">
        <v>268</v>
      </c>
      <c r="M87" s="2" t="s">
        <v>96</v>
      </c>
      <c r="N87" s="2" t="s">
        <v>96</v>
      </c>
      <c r="O87" s="2" t="s">
        <v>146</v>
      </c>
      <c r="P87" s="1" t="s">
        <v>97</v>
      </c>
      <c r="Q87" s="2" t="s">
        <v>379</v>
      </c>
      <c r="R87" s="2" t="s">
        <v>83</v>
      </c>
      <c r="S87" s="11">
        <v>1.5100000000000001E-2</v>
      </c>
      <c r="T87" s="12"/>
      <c r="U87" s="30">
        <f t="shared" si="164"/>
        <v>10</v>
      </c>
      <c r="V87" s="30">
        <f t="shared" si="165"/>
        <v>0.151</v>
      </c>
      <c r="W87" s="30">
        <f t="shared" si="166"/>
        <v>0</v>
      </c>
      <c r="X87" s="30">
        <f t="shared" si="167"/>
        <v>0</v>
      </c>
      <c r="Y87" s="30"/>
      <c r="Z87" s="30">
        <f t="shared" si="168"/>
        <v>0</v>
      </c>
      <c r="AA87" s="30"/>
      <c r="AB87" s="30">
        <f t="shared" si="169"/>
        <v>0</v>
      </c>
      <c r="AC87" s="30"/>
      <c r="AD87" s="30"/>
      <c r="AE87" s="30">
        <f t="shared" si="170"/>
        <v>0</v>
      </c>
      <c r="AF87" s="30"/>
      <c r="AG87" s="30">
        <f t="shared" si="171"/>
        <v>0</v>
      </c>
      <c r="AH87" s="30"/>
      <c r="AI87" s="30"/>
      <c r="AJ87" s="30">
        <f t="shared" si="172"/>
        <v>0</v>
      </c>
      <c r="AK87" s="30"/>
      <c r="AL87" s="30">
        <f t="shared" si="173"/>
        <v>0</v>
      </c>
      <c r="AM87" s="30"/>
      <c r="AN87" s="30"/>
      <c r="AO87" s="30">
        <f t="shared" si="174"/>
        <v>0</v>
      </c>
      <c r="AP87" s="30"/>
      <c r="AQ87" s="30">
        <f t="shared" si="175"/>
        <v>0</v>
      </c>
      <c r="AR87" s="30"/>
      <c r="AS87" s="30"/>
      <c r="AT87" s="30">
        <f t="shared" si="176"/>
        <v>0</v>
      </c>
      <c r="AU87" s="30"/>
      <c r="AV87" s="30">
        <f t="shared" si="177"/>
        <v>0</v>
      </c>
      <c r="AW87" s="30"/>
      <c r="AX87" s="30"/>
      <c r="AY87" s="30">
        <f t="shared" si="178"/>
        <v>0</v>
      </c>
      <c r="AZ87" s="30"/>
      <c r="BA87" s="30">
        <v>0</v>
      </c>
      <c r="BB87" s="30"/>
      <c r="BC87" s="45">
        <v>10000</v>
      </c>
      <c r="BD87" s="45">
        <f t="shared" si="179"/>
        <v>151</v>
      </c>
      <c r="BE87" s="30"/>
      <c r="BF87" s="30">
        <f t="shared" si="180"/>
        <v>0</v>
      </c>
      <c r="BG87" s="30"/>
      <c r="BH87" s="30"/>
      <c r="BI87" s="30">
        <f t="shared" si="181"/>
        <v>0</v>
      </c>
      <c r="BJ87" s="30"/>
      <c r="BK87" s="30">
        <f t="shared" si="182"/>
        <v>0</v>
      </c>
      <c r="BL87" s="30"/>
      <c r="BM87" s="30"/>
      <c r="BN87" s="30">
        <f t="shared" si="183"/>
        <v>0</v>
      </c>
      <c r="BO87" s="30"/>
      <c r="BP87" s="30">
        <f t="shared" si="184"/>
        <v>0</v>
      </c>
      <c r="BQ87" s="30"/>
      <c r="BR87" s="30"/>
      <c r="BS87" s="30">
        <f t="shared" si="185"/>
        <v>0</v>
      </c>
      <c r="BT87" s="30"/>
      <c r="BU87" s="30">
        <f t="shared" si="186"/>
        <v>0</v>
      </c>
      <c r="BV87" s="30"/>
      <c r="BW87" s="30"/>
      <c r="BX87" s="30">
        <f t="shared" si="187"/>
        <v>0</v>
      </c>
      <c r="BY87" s="30"/>
      <c r="BZ87" s="30">
        <f t="shared" si="188"/>
        <v>0</v>
      </c>
      <c r="CA87" s="30"/>
      <c r="CB87" s="30"/>
      <c r="CC87" s="30">
        <f t="shared" si="189"/>
        <v>0</v>
      </c>
      <c r="CD87" s="30"/>
      <c r="CE87" s="30">
        <f t="shared" si="190"/>
        <v>0</v>
      </c>
      <c r="CF87" s="30"/>
      <c r="CG87" s="2"/>
    </row>
    <row r="88" spans="1:85" ht="17" x14ac:dyDescent="0.4">
      <c r="A88" s="2" t="s">
        <v>110</v>
      </c>
      <c r="B88" s="2" t="s">
        <v>262</v>
      </c>
      <c r="C88" s="2" t="s">
        <v>263</v>
      </c>
      <c r="D88" s="2" t="s">
        <v>446</v>
      </c>
      <c r="E88" s="165" t="s">
        <v>374</v>
      </c>
      <c r="F88" s="2"/>
      <c r="G88" s="2"/>
      <c r="H88" s="2"/>
      <c r="I88" s="2"/>
      <c r="J88" s="2"/>
      <c r="K88" s="13" t="s">
        <v>267</v>
      </c>
      <c r="L88" s="2"/>
      <c r="M88" s="2" t="s">
        <v>138</v>
      </c>
      <c r="N88" s="2" t="s">
        <v>138</v>
      </c>
      <c r="O88" s="2" t="s">
        <v>90</v>
      </c>
      <c r="P88" s="2" t="s">
        <v>125</v>
      </c>
      <c r="Q88" s="2" t="s">
        <v>447</v>
      </c>
      <c r="R88" s="2"/>
      <c r="S88" s="44"/>
      <c r="T88" s="12"/>
      <c r="U88" s="30">
        <f t="shared" si="164"/>
        <v>0</v>
      </c>
      <c r="V88" s="30">
        <f t="shared" si="165"/>
        <v>0</v>
      </c>
      <c r="W88" s="30">
        <f t="shared" si="166"/>
        <v>0</v>
      </c>
      <c r="X88" s="30">
        <f t="shared" si="167"/>
        <v>60000</v>
      </c>
      <c r="Y88" s="30"/>
      <c r="Z88" s="30">
        <f t="shared" si="168"/>
        <v>0</v>
      </c>
      <c r="AA88" s="30"/>
      <c r="AB88" s="30">
        <f t="shared" si="169"/>
        <v>0</v>
      </c>
      <c r="AC88" s="30"/>
      <c r="AD88" s="30"/>
      <c r="AE88" s="30">
        <f t="shared" si="170"/>
        <v>0</v>
      </c>
      <c r="AF88" s="30"/>
      <c r="AG88" s="30">
        <f t="shared" si="171"/>
        <v>0</v>
      </c>
      <c r="AH88" s="30"/>
      <c r="AI88" s="30"/>
      <c r="AJ88" s="30">
        <f t="shared" si="172"/>
        <v>0</v>
      </c>
      <c r="AK88" s="30"/>
      <c r="AL88" s="30">
        <f t="shared" si="173"/>
        <v>0</v>
      </c>
      <c r="AM88" s="30"/>
      <c r="AN88" s="30"/>
      <c r="AO88" s="30">
        <f t="shared" si="174"/>
        <v>0</v>
      </c>
      <c r="AP88" s="30"/>
      <c r="AQ88" s="30">
        <f t="shared" si="175"/>
        <v>0</v>
      </c>
      <c r="AR88" s="30"/>
      <c r="AS88" s="30"/>
      <c r="AT88" s="30">
        <f t="shared" si="176"/>
        <v>0</v>
      </c>
      <c r="AU88" s="30"/>
      <c r="AV88" s="30">
        <f t="shared" si="177"/>
        <v>0</v>
      </c>
      <c r="AW88" s="30"/>
      <c r="AX88" s="30"/>
      <c r="AY88" s="30">
        <f t="shared" si="178"/>
        <v>0</v>
      </c>
      <c r="AZ88" s="30"/>
      <c r="BA88" s="30">
        <v>0</v>
      </c>
      <c r="BB88" s="30"/>
      <c r="BC88" s="45"/>
      <c r="BD88" s="45">
        <f t="shared" si="179"/>
        <v>0</v>
      </c>
      <c r="BE88" s="30"/>
      <c r="BF88" s="30">
        <f t="shared" si="180"/>
        <v>0</v>
      </c>
      <c r="BG88" s="30"/>
      <c r="BH88" s="30"/>
      <c r="BI88" s="30">
        <f t="shared" si="181"/>
        <v>0</v>
      </c>
      <c r="BJ88" s="30"/>
      <c r="BK88" s="30">
        <f t="shared" si="182"/>
        <v>0</v>
      </c>
      <c r="BL88" s="30"/>
      <c r="BM88" s="30"/>
      <c r="BN88" s="30">
        <f t="shared" si="183"/>
        <v>0</v>
      </c>
      <c r="BO88" s="30"/>
      <c r="BP88" s="30">
        <f t="shared" si="184"/>
        <v>0</v>
      </c>
      <c r="BQ88" s="30"/>
      <c r="BR88" s="30"/>
      <c r="BS88" s="30">
        <f t="shared" si="185"/>
        <v>0</v>
      </c>
      <c r="BT88" s="30"/>
      <c r="BU88" s="30">
        <f t="shared" si="186"/>
        <v>0</v>
      </c>
      <c r="BV88" s="146">
        <v>60000</v>
      </c>
      <c r="BW88" s="30"/>
      <c r="BX88" s="30">
        <f t="shared" si="187"/>
        <v>0</v>
      </c>
      <c r="BY88" s="30"/>
      <c r="BZ88" s="30">
        <f t="shared" si="188"/>
        <v>0</v>
      </c>
      <c r="CA88" s="30"/>
      <c r="CB88" s="30"/>
      <c r="CC88" s="30">
        <f t="shared" si="189"/>
        <v>0</v>
      </c>
      <c r="CD88" s="30"/>
      <c r="CE88" s="30">
        <f t="shared" si="190"/>
        <v>0</v>
      </c>
      <c r="CF88" s="30"/>
      <c r="CG88" s="61"/>
    </row>
    <row r="89" spans="1:85" x14ac:dyDescent="0.4">
      <c r="A89" s="2" t="s">
        <v>110</v>
      </c>
      <c r="B89" s="2" t="s">
        <v>262</v>
      </c>
      <c r="C89" s="2" t="s">
        <v>263</v>
      </c>
      <c r="D89" s="2" t="s">
        <v>365</v>
      </c>
      <c r="E89" s="165" t="s">
        <v>366</v>
      </c>
      <c r="F89" s="2" t="s">
        <v>174</v>
      </c>
      <c r="G89" s="2" t="s">
        <v>185</v>
      </c>
      <c r="H89" s="2"/>
      <c r="I89" s="2" t="s">
        <v>174</v>
      </c>
      <c r="J89" s="2" t="s">
        <v>185</v>
      </c>
      <c r="K89" s="2" t="s">
        <v>267</v>
      </c>
      <c r="L89" s="13" t="s">
        <v>268</v>
      </c>
      <c r="M89" s="2" t="s">
        <v>149</v>
      </c>
      <c r="N89" s="2" t="s">
        <v>149</v>
      </c>
      <c r="O89" s="13" t="s">
        <v>150</v>
      </c>
      <c r="P89" s="2" t="s">
        <v>79</v>
      </c>
      <c r="Q89" s="2" t="s">
        <v>285</v>
      </c>
      <c r="R89" s="2" t="s">
        <v>80</v>
      </c>
      <c r="S89" s="11">
        <v>7.9000000000000001E-2</v>
      </c>
      <c r="T89" s="12">
        <v>354000</v>
      </c>
      <c r="U89" s="30">
        <f t="shared" si="164"/>
        <v>3600</v>
      </c>
      <c r="V89" s="30">
        <f t="shared" si="165"/>
        <v>284.39999999999998</v>
      </c>
      <c r="W89" s="30">
        <f t="shared" si="166"/>
        <v>71100</v>
      </c>
      <c r="X89" s="30">
        <f t="shared" si="167"/>
        <v>0</v>
      </c>
      <c r="Y89" s="30">
        <v>300000</v>
      </c>
      <c r="Z89" s="30">
        <f t="shared" si="168"/>
        <v>23700</v>
      </c>
      <c r="AA89" s="30">
        <v>300000</v>
      </c>
      <c r="AB89" s="30">
        <f t="shared" si="169"/>
        <v>23700</v>
      </c>
      <c r="AC89" s="30"/>
      <c r="AD89" s="30">
        <v>300000</v>
      </c>
      <c r="AE89" s="30">
        <f t="shared" si="170"/>
        <v>23700</v>
      </c>
      <c r="AF89" s="30">
        <v>300000</v>
      </c>
      <c r="AG89" s="30">
        <f t="shared" si="171"/>
        <v>23700</v>
      </c>
      <c r="AH89" s="30"/>
      <c r="AI89" s="30">
        <v>300000</v>
      </c>
      <c r="AJ89" s="30">
        <f t="shared" si="172"/>
        <v>23700</v>
      </c>
      <c r="AK89" s="30">
        <v>300000</v>
      </c>
      <c r="AL89" s="30">
        <f t="shared" si="173"/>
        <v>23700</v>
      </c>
      <c r="AM89" s="30"/>
      <c r="AN89" s="30">
        <v>300000</v>
      </c>
      <c r="AO89" s="30">
        <f t="shared" si="174"/>
        <v>23700</v>
      </c>
      <c r="AP89" s="30">
        <v>300000</v>
      </c>
      <c r="AQ89" s="30">
        <f t="shared" si="175"/>
        <v>23700</v>
      </c>
      <c r="AR89" s="30">
        <v>108000</v>
      </c>
      <c r="AS89" s="30">
        <v>300000</v>
      </c>
      <c r="AT89" s="30">
        <f t="shared" si="176"/>
        <v>23700</v>
      </c>
      <c r="AU89" s="30">
        <v>300000</v>
      </c>
      <c r="AV89" s="30">
        <f t="shared" si="177"/>
        <v>23700</v>
      </c>
      <c r="AW89" s="30">
        <v>1278000</v>
      </c>
      <c r="AX89" s="30">
        <v>300000</v>
      </c>
      <c r="AY89" s="30">
        <f t="shared" si="178"/>
        <v>23700</v>
      </c>
      <c r="AZ89" s="30">
        <v>250000</v>
      </c>
      <c r="BA89" s="30">
        <v>19750</v>
      </c>
      <c r="BB89" s="153">
        <v>42000</v>
      </c>
      <c r="BC89" s="45">
        <v>300000</v>
      </c>
      <c r="BD89" s="45">
        <f t="shared" si="179"/>
        <v>23700</v>
      </c>
      <c r="BE89" s="30">
        <v>300000</v>
      </c>
      <c r="BF89" s="30">
        <f t="shared" si="180"/>
        <v>23700</v>
      </c>
      <c r="BG89" s="30"/>
      <c r="BH89" s="30">
        <v>300000</v>
      </c>
      <c r="BI89" s="30">
        <f t="shared" si="181"/>
        <v>23700</v>
      </c>
      <c r="BJ89" s="30">
        <v>300000</v>
      </c>
      <c r="BK89" s="30">
        <f t="shared" si="182"/>
        <v>23700</v>
      </c>
      <c r="BL89" s="30"/>
      <c r="BM89" s="30">
        <v>300000</v>
      </c>
      <c r="BN89" s="30">
        <f t="shared" si="183"/>
        <v>23700</v>
      </c>
      <c r="BO89" s="30">
        <v>300000</v>
      </c>
      <c r="BP89" s="30">
        <f t="shared" si="184"/>
        <v>23700</v>
      </c>
      <c r="BQ89" s="30"/>
      <c r="BR89" s="30">
        <v>300000</v>
      </c>
      <c r="BS89" s="30">
        <f t="shared" si="185"/>
        <v>23700</v>
      </c>
      <c r="BT89" s="30"/>
      <c r="BU89" s="30">
        <f t="shared" si="186"/>
        <v>0</v>
      </c>
      <c r="BV89" s="30"/>
      <c r="BW89" s="30">
        <v>300000</v>
      </c>
      <c r="BX89" s="30">
        <f t="shared" si="187"/>
        <v>23700</v>
      </c>
      <c r="BY89" s="30"/>
      <c r="BZ89" s="30">
        <f t="shared" si="188"/>
        <v>0</v>
      </c>
      <c r="CA89" s="30"/>
      <c r="CB89" s="30">
        <v>300000</v>
      </c>
      <c r="CC89" s="30">
        <f t="shared" si="189"/>
        <v>23700</v>
      </c>
      <c r="CD89" s="30"/>
      <c r="CE89" s="30">
        <f t="shared" si="190"/>
        <v>0</v>
      </c>
      <c r="CF89" s="30"/>
      <c r="CG89" s="147" t="s">
        <v>615</v>
      </c>
    </row>
    <row r="90" spans="1:85" x14ac:dyDescent="0.4">
      <c r="A90" s="2" t="s">
        <v>110</v>
      </c>
      <c r="B90" s="2" t="s">
        <v>262</v>
      </c>
      <c r="C90" s="2" t="s">
        <v>263</v>
      </c>
      <c r="D90" s="2" t="s">
        <v>365</v>
      </c>
      <c r="E90" s="165" t="s">
        <v>366</v>
      </c>
      <c r="F90" s="2" t="s">
        <v>174</v>
      </c>
      <c r="G90" s="2" t="s">
        <v>185</v>
      </c>
      <c r="H90" s="2"/>
      <c r="I90" s="2" t="s">
        <v>174</v>
      </c>
      <c r="J90" s="2" t="s">
        <v>185</v>
      </c>
      <c r="K90" s="2" t="s">
        <v>267</v>
      </c>
      <c r="L90" s="13" t="s">
        <v>268</v>
      </c>
      <c r="M90" s="2" t="s">
        <v>138</v>
      </c>
      <c r="N90" s="2" t="s">
        <v>138</v>
      </c>
      <c r="O90" s="2" t="s">
        <v>90</v>
      </c>
      <c r="P90" s="2" t="s">
        <v>125</v>
      </c>
      <c r="Q90" s="2" t="s">
        <v>367</v>
      </c>
      <c r="R90" s="2" t="s">
        <v>80</v>
      </c>
      <c r="S90" s="11">
        <v>0.13100000000000001</v>
      </c>
      <c r="T90" s="12"/>
      <c r="U90" s="30">
        <f t="shared" si="164"/>
        <v>600</v>
      </c>
      <c r="V90" s="30">
        <f t="shared" si="165"/>
        <v>78.599999999999994</v>
      </c>
      <c r="W90" s="30">
        <f t="shared" si="166"/>
        <v>19650</v>
      </c>
      <c r="X90" s="30">
        <f t="shared" si="167"/>
        <v>334000</v>
      </c>
      <c r="Y90" s="30">
        <v>50000</v>
      </c>
      <c r="Z90" s="30">
        <f t="shared" si="168"/>
        <v>6550</v>
      </c>
      <c r="AA90" s="30">
        <v>50000</v>
      </c>
      <c r="AB90" s="30">
        <f t="shared" si="169"/>
        <v>6550</v>
      </c>
      <c r="AC90" s="30">
        <v>56000</v>
      </c>
      <c r="AD90" s="30">
        <v>50000</v>
      </c>
      <c r="AE90" s="30">
        <f t="shared" si="170"/>
        <v>6550</v>
      </c>
      <c r="AF90" s="30">
        <v>50000</v>
      </c>
      <c r="AG90" s="30">
        <f t="shared" si="171"/>
        <v>6550</v>
      </c>
      <c r="AH90" s="30"/>
      <c r="AI90" s="30">
        <v>50000</v>
      </c>
      <c r="AJ90" s="30">
        <f t="shared" si="172"/>
        <v>6550</v>
      </c>
      <c r="AK90" s="30">
        <v>50000</v>
      </c>
      <c r="AL90" s="30">
        <f t="shared" si="173"/>
        <v>6550</v>
      </c>
      <c r="AM90" s="30"/>
      <c r="AN90" s="30">
        <v>50000</v>
      </c>
      <c r="AO90" s="30">
        <f t="shared" si="174"/>
        <v>6550</v>
      </c>
      <c r="AP90" s="30">
        <v>50000</v>
      </c>
      <c r="AQ90" s="30">
        <f t="shared" si="175"/>
        <v>6550</v>
      </c>
      <c r="AR90" s="30">
        <v>102000</v>
      </c>
      <c r="AS90" s="30">
        <v>50000</v>
      </c>
      <c r="AT90" s="30">
        <f t="shared" si="176"/>
        <v>6550</v>
      </c>
      <c r="AU90" s="30">
        <v>50000</v>
      </c>
      <c r="AV90" s="30">
        <f t="shared" si="177"/>
        <v>6550</v>
      </c>
      <c r="AW90" s="30">
        <v>12000</v>
      </c>
      <c r="AX90" s="30">
        <v>50000</v>
      </c>
      <c r="AY90" s="30">
        <f t="shared" si="178"/>
        <v>6550</v>
      </c>
      <c r="AZ90" s="30">
        <v>50000</v>
      </c>
      <c r="BA90" s="30">
        <v>6550</v>
      </c>
      <c r="BB90" s="30"/>
      <c r="BC90" s="45">
        <v>50000</v>
      </c>
      <c r="BD90" s="45">
        <f t="shared" si="179"/>
        <v>6550</v>
      </c>
      <c r="BE90" s="30">
        <v>50000</v>
      </c>
      <c r="BF90" s="30">
        <f t="shared" si="180"/>
        <v>6550</v>
      </c>
      <c r="BG90" s="27"/>
      <c r="BH90" s="30">
        <v>50000</v>
      </c>
      <c r="BI90" s="30">
        <f t="shared" si="181"/>
        <v>6550</v>
      </c>
      <c r="BJ90" s="30">
        <v>50000</v>
      </c>
      <c r="BK90" s="30">
        <f t="shared" si="182"/>
        <v>6550</v>
      </c>
      <c r="BL90" s="146">
        <v>156000</v>
      </c>
      <c r="BM90" s="30">
        <v>50000</v>
      </c>
      <c r="BN90" s="30">
        <f t="shared" si="183"/>
        <v>6550</v>
      </c>
      <c r="BO90" s="30">
        <v>50000</v>
      </c>
      <c r="BP90" s="30">
        <f t="shared" si="184"/>
        <v>6550</v>
      </c>
      <c r="BQ90" s="146">
        <v>100000</v>
      </c>
      <c r="BR90" s="30">
        <v>50000</v>
      </c>
      <c r="BS90" s="30">
        <f t="shared" si="185"/>
        <v>6550</v>
      </c>
      <c r="BT90" s="30"/>
      <c r="BU90" s="30">
        <f t="shared" si="186"/>
        <v>0</v>
      </c>
      <c r="BV90" s="30"/>
      <c r="BW90" s="30">
        <v>50000</v>
      </c>
      <c r="BX90" s="30">
        <f t="shared" si="187"/>
        <v>6550</v>
      </c>
      <c r="BY90" s="30"/>
      <c r="BZ90" s="30">
        <f t="shared" si="188"/>
        <v>0</v>
      </c>
      <c r="CA90" s="146">
        <v>78000</v>
      </c>
      <c r="CB90" s="30">
        <v>50000</v>
      </c>
      <c r="CC90" s="30">
        <f t="shared" si="189"/>
        <v>6550</v>
      </c>
      <c r="CD90" s="30"/>
      <c r="CE90" s="30">
        <f t="shared" si="190"/>
        <v>0</v>
      </c>
      <c r="CF90" s="30"/>
      <c r="CG90" s="106" t="s">
        <v>594</v>
      </c>
    </row>
    <row r="91" spans="1:85" x14ac:dyDescent="0.4">
      <c r="A91" s="2" t="s">
        <v>110</v>
      </c>
      <c r="B91" s="2" t="s">
        <v>262</v>
      </c>
      <c r="C91" s="2" t="s">
        <v>263</v>
      </c>
      <c r="D91" s="2" t="s">
        <v>365</v>
      </c>
      <c r="E91" s="165" t="s">
        <v>366</v>
      </c>
      <c r="F91" s="2" t="s">
        <v>174</v>
      </c>
      <c r="G91" s="2" t="s">
        <v>185</v>
      </c>
      <c r="H91" s="2"/>
      <c r="I91" s="2" t="s">
        <v>174</v>
      </c>
      <c r="J91" s="2" t="s">
        <v>185</v>
      </c>
      <c r="K91" s="2" t="s">
        <v>267</v>
      </c>
      <c r="L91" s="13" t="s">
        <v>268</v>
      </c>
      <c r="M91" s="2" t="s">
        <v>128</v>
      </c>
      <c r="N91" s="2" t="s">
        <v>128</v>
      </c>
      <c r="O91" s="2" t="s">
        <v>129</v>
      </c>
      <c r="P91" s="2" t="s">
        <v>93</v>
      </c>
      <c r="Q91" s="2" t="s">
        <v>131</v>
      </c>
      <c r="R91" s="2" t="s">
        <v>80</v>
      </c>
      <c r="S91" s="11">
        <v>0.28000000000000003</v>
      </c>
      <c r="T91" s="12">
        <v>52500</v>
      </c>
      <c r="U91" s="30">
        <f t="shared" si="164"/>
        <v>90</v>
      </c>
      <c r="V91" s="30">
        <f t="shared" si="165"/>
        <v>25.2</v>
      </c>
      <c r="W91" s="30">
        <f t="shared" si="166"/>
        <v>25200</v>
      </c>
      <c r="X91" s="30">
        <f t="shared" si="167"/>
        <v>67500</v>
      </c>
      <c r="Y91" s="30">
        <v>30000</v>
      </c>
      <c r="Z91" s="30">
        <f t="shared" si="168"/>
        <v>8400</v>
      </c>
      <c r="AA91" s="30">
        <v>30000</v>
      </c>
      <c r="AB91" s="30">
        <f t="shared" si="169"/>
        <v>8400</v>
      </c>
      <c r="AC91" s="30"/>
      <c r="AD91" s="30">
        <v>30000</v>
      </c>
      <c r="AE91" s="30">
        <f t="shared" si="170"/>
        <v>8400</v>
      </c>
      <c r="AF91" s="30">
        <v>30000</v>
      </c>
      <c r="AG91" s="30">
        <f t="shared" si="171"/>
        <v>8400</v>
      </c>
      <c r="AH91" s="30"/>
      <c r="AI91" s="30">
        <v>30000</v>
      </c>
      <c r="AJ91" s="30">
        <f t="shared" si="172"/>
        <v>8400</v>
      </c>
      <c r="AK91" s="30">
        <v>30000</v>
      </c>
      <c r="AL91" s="30">
        <f t="shared" si="173"/>
        <v>8400</v>
      </c>
      <c r="AM91" s="30"/>
      <c r="AN91" s="30"/>
      <c r="AO91" s="30">
        <f t="shared" si="174"/>
        <v>0</v>
      </c>
      <c r="AP91" s="30">
        <v>30000</v>
      </c>
      <c r="AQ91" s="30">
        <f t="shared" si="175"/>
        <v>8400</v>
      </c>
      <c r="AR91" s="30"/>
      <c r="AS91" s="30"/>
      <c r="AT91" s="30">
        <f t="shared" si="176"/>
        <v>0</v>
      </c>
      <c r="AU91" s="30">
        <v>30000</v>
      </c>
      <c r="AV91" s="30">
        <f t="shared" si="177"/>
        <v>8400</v>
      </c>
      <c r="AW91" s="30">
        <v>67500</v>
      </c>
      <c r="AX91" s="30"/>
      <c r="AY91" s="30">
        <f t="shared" si="178"/>
        <v>0</v>
      </c>
      <c r="AZ91" s="30">
        <v>20000</v>
      </c>
      <c r="BA91" s="30">
        <v>5600.0000000000009</v>
      </c>
      <c r="BB91" s="31">
        <v>22500</v>
      </c>
      <c r="BC91" s="45"/>
      <c r="BD91" s="45">
        <f t="shared" si="179"/>
        <v>0</v>
      </c>
      <c r="BE91" s="30">
        <v>30000</v>
      </c>
      <c r="BF91" s="30">
        <f t="shared" si="180"/>
        <v>8400</v>
      </c>
      <c r="BG91" s="30"/>
      <c r="BH91" s="30"/>
      <c r="BI91" s="30">
        <f t="shared" si="181"/>
        <v>0</v>
      </c>
      <c r="BJ91" s="30">
        <v>30000</v>
      </c>
      <c r="BK91" s="30">
        <f t="shared" si="182"/>
        <v>8400</v>
      </c>
      <c r="BL91" s="146">
        <v>22500</v>
      </c>
      <c r="BM91" s="30"/>
      <c r="BN91" s="30">
        <f t="shared" si="183"/>
        <v>0</v>
      </c>
      <c r="BO91" s="30">
        <v>30000</v>
      </c>
      <c r="BP91" s="30">
        <f t="shared" si="184"/>
        <v>8400</v>
      </c>
      <c r="BQ91" s="142">
        <v>45000</v>
      </c>
      <c r="BR91" s="30"/>
      <c r="BS91" s="30">
        <f t="shared" si="185"/>
        <v>0</v>
      </c>
      <c r="BT91" s="30"/>
      <c r="BU91" s="30">
        <f t="shared" si="186"/>
        <v>0</v>
      </c>
      <c r="BV91" s="30"/>
      <c r="BW91" s="30"/>
      <c r="BX91" s="30">
        <f t="shared" si="187"/>
        <v>0</v>
      </c>
      <c r="BY91" s="30"/>
      <c r="BZ91" s="30">
        <f t="shared" si="188"/>
        <v>0</v>
      </c>
      <c r="CA91" s="30"/>
      <c r="CB91" s="30"/>
      <c r="CC91" s="30">
        <f t="shared" si="189"/>
        <v>0</v>
      </c>
      <c r="CD91" s="30"/>
      <c r="CE91" s="30">
        <f t="shared" si="190"/>
        <v>0</v>
      </c>
      <c r="CF91" s="30"/>
      <c r="CG91" s="2"/>
    </row>
    <row r="92" spans="1:85" x14ac:dyDescent="0.4">
      <c r="A92" s="2" t="s">
        <v>110</v>
      </c>
      <c r="B92" s="2" t="s">
        <v>262</v>
      </c>
      <c r="C92" s="2" t="s">
        <v>263</v>
      </c>
      <c r="D92" s="2" t="s">
        <v>365</v>
      </c>
      <c r="E92" s="165" t="s">
        <v>366</v>
      </c>
      <c r="F92" s="2" t="s">
        <v>174</v>
      </c>
      <c r="G92" s="2" t="s">
        <v>185</v>
      </c>
      <c r="H92" s="2"/>
      <c r="I92" s="2" t="s">
        <v>174</v>
      </c>
      <c r="J92" s="2" t="s">
        <v>185</v>
      </c>
      <c r="K92" s="2" t="s">
        <v>267</v>
      </c>
      <c r="L92" s="13" t="s">
        <v>268</v>
      </c>
      <c r="M92" s="2" t="s">
        <v>138</v>
      </c>
      <c r="N92" s="2" t="s">
        <v>138</v>
      </c>
      <c r="O92" s="2" t="s">
        <v>90</v>
      </c>
      <c r="P92" s="2" t="s">
        <v>125</v>
      </c>
      <c r="Q92" s="2" t="s">
        <v>189</v>
      </c>
      <c r="R92" s="2" t="s">
        <v>80</v>
      </c>
      <c r="S92" s="11">
        <v>0.157</v>
      </c>
      <c r="T92" s="12">
        <v>90000</v>
      </c>
      <c r="U92" s="30">
        <f t="shared" ref="U92:U141" si="191">+(Y92+AD92+AI92+AN92+AS92+AX92+BC92+BH92+BM92+BR92+BW92+CB92)/1000</f>
        <v>150</v>
      </c>
      <c r="V92" s="30">
        <f t="shared" ref="V92:V141" si="192">+(Z92+AE92+AJ92+AO92+AT92+AY92+BD92+BI92+BN92+BS92+BX92+CC92)/1000</f>
        <v>23.55</v>
      </c>
      <c r="W92" s="30">
        <f t="shared" ref="W92:W141" si="193">+(+BF92+BK92+BP92+BU92+BZ92+CE92)</f>
        <v>14130</v>
      </c>
      <c r="X92" s="30">
        <f t="shared" ref="X92:X141" si="194">+(+BG92+BL92+BQ92+BV92+CA92+CF92)</f>
        <v>0</v>
      </c>
      <c r="Y92" s="30">
        <v>30000</v>
      </c>
      <c r="Z92" s="30">
        <f t="shared" ref="Z92:Z141" si="195">Y92*S92</f>
        <v>4710</v>
      </c>
      <c r="AA92" s="30">
        <v>30000</v>
      </c>
      <c r="AB92" s="30">
        <f t="shared" ref="AB92:AB141" si="196">AA92*S92</f>
        <v>4710</v>
      </c>
      <c r="AC92" s="30"/>
      <c r="AD92" s="30">
        <v>30000</v>
      </c>
      <c r="AE92" s="30">
        <f t="shared" ref="AE92:AE141" si="197">AD92*S92</f>
        <v>4710</v>
      </c>
      <c r="AF92" s="30">
        <v>30000</v>
      </c>
      <c r="AG92" s="30">
        <f t="shared" ref="AG92:AG141" si="198">AF92*S92</f>
        <v>4710</v>
      </c>
      <c r="AH92" s="30"/>
      <c r="AI92" s="30">
        <v>30000</v>
      </c>
      <c r="AJ92" s="30">
        <f t="shared" ref="AJ92:AJ141" si="199">AI92*S92</f>
        <v>4710</v>
      </c>
      <c r="AK92" s="30">
        <v>30000</v>
      </c>
      <c r="AL92" s="30">
        <f t="shared" ref="AL92:AL141" si="200">AK92*S92</f>
        <v>4710</v>
      </c>
      <c r="AM92" s="30"/>
      <c r="AN92" s="30">
        <v>30000</v>
      </c>
      <c r="AO92" s="30">
        <f t="shared" ref="AO92:AO141" si="201">AN92*S92</f>
        <v>4710</v>
      </c>
      <c r="AP92" s="30">
        <v>30000</v>
      </c>
      <c r="AQ92" s="30">
        <f t="shared" ref="AQ92:AQ141" si="202">AP92*S92</f>
        <v>4710</v>
      </c>
      <c r="AR92" s="30"/>
      <c r="AS92" s="30">
        <v>30000</v>
      </c>
      <c r="AT92" s="30">
        <f t="shared" ref="AT92:AT141" si="203">AS92*S92</f>
        <v>4710</v>
      </c>
      <c r="AU92" s="30">
        <v>30000</v>
      </c>
      <c r="AV92" s="30">
        <f t="shared" ref="AV92:AV141" si="204">AU92*S92</f>
        <v>4710</v>
      </c>
      <c r="AW92" s="30"/>
      <c r="AX92" s="30"/>
      <c r="AY92" s="30">
        <f t="shared" ref="AY92:AY141" si="205">AX92*S92</f>
        <v>0</v>
      </c>
      <c r="AZ92" s="30">
        <v>30000</v>
      </c>
      <c r="BA92" s="30">
        <v>4710</v>
      </c>
      <c r="BB92" s="30"/>
      <c r="BC92" s="45"/>
      <c r="BD92" s="45">
        <f t="shared" ref="BD92:BD141" si="206">BC92*S92</f>
        <v>0</v>
      </c>
      <c r="BE92" s="30">
        <v>30000</v>
      </c>
      <c r="BF92" s="30">
        <f t="shared" ref="BF92:BF141" si="207">BE92*S92</f>
        <v>4710</v>
      </c>
      <c r="BG92" s="30"/>
      <c r="BH92" s="30"/>
      <c r="BI92" s="30">
        <f t="shared" ref="BI92:BI141" si="208">BH92*S92</f>
        <v>0</v>
      </c>
      <c r="BJ92" s="30">
        <v>30000</v>
      </c>
      <c r="BK92" s="30">
        <f t="shared" ref="BK92:BK141" si="209">BJ92*S92</f>
        <v>4710</v>
      </c>
      <c r="BL92" s="30"/>
      <c r="BM92" s="30"/>
      <c r="BN92" s="30">
        <f t="shared" ref="BN92:BN141" si="210">BM92*S92</f>
        <v>0</v>
      </c>
      <c r="BO92" s="30">
        <v>30000</v>
      </c>
      <c r="BP92" s="30">
        <f t="shared" ref="BP92:BP141" si="211">BO92*S92</f>
        <v>4710</v>
      </c>
      <c r="BQ92" s="30"/>
      <c r="BR92" s="30"/>
      <c r="BS92" s="30">
        <f t="shared" ref="BS92:BS141" si="212">BR92*S92</f>
        <v>0</v>
      </c>
      <c r="BT92" s="30"/>
      <c r="BU92" s="30">
        <f t="shared" ref="BU92:BU141" si="213">BT92*S92</f>
        <v>0</v>
      </c>
      <c r="BV92" s="30"/>
      <c r="BW92" s="30"/>
      <c r="BX92" s="30">
        <f t="shared" ref="BX92:BX141" si="214">BW92*S92</f>
        <v>0</v>
      </c>
      <c r="BY92" s="30"/>
      <c r="BZ92" s="30">
        <f t="shared" ref="BZ92:BZ141" si="215">BY92*S92</f>
        <v>0</v>
      </c>
      <c r="CA92" s="30"/>
      <c r="CB92" s="30"/>
      <c r="CC92" s="30">
        <f t="shared" ref="CC92:CC141" si="216">CB92*S92</f>
        <v>0</v>
      </c>
      <c r="CD92" s="30"/>
      <c r="CE92" s="30">
        <f t="shared" ref="CE92:CE141" si="217">CD92*S92</f>
        <v>0</v>
      </c>
      <c r="CF92" s="30"/>
      <c r="CG92" s="2"/>
    </row>
    <row r="93" spans="1:85" ht="17" x14ac:dyDescent="0.4">
      <c r="A93" s="2" t="s">
        <v>110</v>
      </c>
      <c r="B93" s="2" t="s">
        <v>262</v>
      </c>
      <c r="C93" s="2" t="s">
        <v>263</v>
      </c>
      <c r="D93" s="2" t="s">
        <v>365</v>
      </c>
      <c r="E93" s="165" t="s">
        <v>366</v>
      </c>
      <c r="F93" s="2" t="s">
        <v>174</v>
      </c>
      <c r="G93" s="2" t="s">
        <v>185</v>
      </c>
      <c r="H93" s="2"/>
      <c r="I93" s="2" t="s">
        <v>174</v>
      </c>
      <c r="J93" s="2" t="s">
        <v>185</v>
      </c>
      <c r="K93" s="2" t="s">
        <v>267</v>
      </c>
      <c r="L93" s="13" t="s">
        <v>268</v>
      </c>
      <c r="M93" s="2" t="s">
        <v>128</v>
      </c>
      <c r="N93" s="2" t="s">
        <v>128</v>
      </c>
      <c r="O93" s="2" t="s">
        <v>129</v>
      </c>
      <c r="P93" s="2" t="s">
        <v>93</v>
      </c>
      <c r="Q93" s="2" t="s">
        <v>368</v>
      </c>
      <c r="R93" s="2" t="s">
        <v>80</v>
      </c>
      <c r="S93" s="11">
        <v>0.13200000000000001</v>
      </c>
      <c r="T93" s="12">
        <v>12500</v>
      </c>
      <c r="U93" s="30">
        <f t="shared" si="191"/>
        <v>60</v>
      </c>
      <c r="V93" s="30">
        <f t="shared" si="192"/>
        <v>7.92</v>
      </c>
      <c r="W93" s="30">
        <f t="shared" si="193"/>
        <v>7920</v>
      </c>
      <c r="X93" s="30">
        <f t="shared" si="194"/>
        <v>0</v>
      </c>
      <c r="Y93" s="30">
        <v>20000</v>
      </c>
      <c r="Z93" s="30">
        <f t="shared" si="195"/>
        <v>2640</v>
      </c>
      <c r="AA93" s="30">
        <v>20000</v>
      </c>
      <c r="AB93" s="30">
        <f t="shared" si="196"/>
        <v>2640</v>
      </c>
      <c r="AC93" s="30"/>
      <c r="AD93" s="30">
        <v>20000</v>
      </c>
      <c r="AE93" s="30">
        <f t="shared" si="197"/>
        <v>2640</v>
      </c>
      <c r="AF93" s="30">
        <v>20000</v>
      </c>
      <c r="AG93" s="30">
        <f t="shared" si="198"/>
        <v>2640</v>
      </c>
      <c r="AH93" s="30"/>
      <c r="AI93" s="30">
        <v>20000</v>
      </c>
      <c r="AJ93" s="30">
        <f t="shared" si="199"/>
        <v>2640</v>
      </c>
      <c r="AK93" s="30">
        <v>20000</v>
      </c>
      <c r="AL93" s="30">
        <f t="shared" si="200"/>
        <v>2640</v>
      </c>
      <c r="AM93" s="30"/>
      <c r="AN93" s="30"/>
      <c r="AO93" s="30">
        <f t="shared" si="201"/>
        <v>0</v>
      </c>
      <c r="AP93" s="30">
        <v>20000</v>
      </c>
      <c r="AQ93" s="30">
        <f t="shared" si="202"/>
        <v>2640</v>
      </c>
      <c r="AR93" s="30"/>
      <c r="AS93" s="30"/>
      <c r="AT93" s="30">
        <f t="shared" si="203"/>
        <v>0</v>
      </c>
      <c r="AU93" s="30">
        <v>20000</v>
      </c>
      <c r="AV93" s="30">
        <f t="shared" si="204"/>
        <v>2640</v>
      </c>
      <c r="AW93" s="30"/>
      <c r="AX93" s="30"/>
      <c r="AY93" s="30">
        <f t="shared" si="205"/>
        <v>0</v>
      </c>
      <c r="AZ93" s="30">
        <v>20000</v>
      </c>
      <c r="BA93" s="30">
        <v>2640</v>
      </c>
      <c r="BB93" s="30"/>
      <c r="BC93" s="45"/>
      <c r="BD93" s="45">
        <f t="shared" si="206"/>
        <v>0</v>
      </c>
      <c r="BE93" s="30">
        <v>20000</v>
      </c>
      <c r="BF93" s="30">
        <f t="shared" si="207"/>
        <v>2640</v>
      </c>
      <c r="BG93" s="30"/>
      <c r="BH93" s="30"/>
      <c r="BI93" s="30">
        <f t="shared" si="208"/>
        <v>0</v>
      </c>
      <c r="BJ93" s="30">
        <v>20000</v>
      </c>
      <c r="BK93" s="30">
        <f t="shared" si="209"/>
        <v>2640</v>
      </c>
      <c r="BL93" s="30"/>
      <c r="BM93" s="30"/>
      <c r="BN93" s="30">
        <f t="shared" si="210"/>
        <v>0</v>
      </c>
      <c r="BO93" s="30">
        <v>20000</v>
      </c>
      <c r="BP93" s="30">
        <f t="shared" si="211"/>
        <v>2640</v>
      </c>
      <c r="BQ93" s="30"/>
      <c r="BR93" s="30"/>
      <c r="BS93" s="30">
        <f t="shared" si="212"/>
        <v>0</v>
      </c>
      <c r="BT93" s="30"/>
      <c r="BU93" s="30">
        <f t="shared" si="213"/>
        <v>0</v>
      </c>
      <c r="BV93" s="30"/>
      <c r="BW93" s="30"/>
      <c r="BX93" s="30">
        <f t="shared" si="214"/>
        <v>0</v>
      </c>
      <c r="BY93" s="30"/>
      <c r="BZ93" s="30">
        <f t="shared" si="215"/>
        <v>0</v>
      </c>
      <c r="CA93" s="30"/>
      <c r="CB93" s="30"/>
      <c r="CC93" s="30">
        <f t="shared" si="216"/>
        <v>0</v>
      </c>
      <c r="CD93" s="30"/>
      <c r="CE93" s="30">
        <f t="shared" si="217"/>
        <v>0</v>
      </c>
      <c r="CF93" s="30"/>
      <c r="CG93" s="52" t="s">
        <v>173</v>
      </c>
    </row>
    <row r="94" spans="1:85" ht="17" x14ac:dyDescent="0.4">
      <c r="A94" s="2" t="s">
        <v>110</v>
      </c>
      <c r="B94" s="2" t="s">
        <v>262</v>
      </c>
      <c r="C94" s="2" t="s">
        <v>263</v>
      </c>
      <c r="D94" s="2" t="s">
        <v>365</v>
      </c>
      <c r="E94" s="165" t="s">
        <v>366</v>
      </c>
      <c r="F94" s="2" t="s">
        <v>174</v>
      </c>
      <c r="G94" s="2" t="s">
        <v>185</v>
      </c>
      <c r="H94" s="2"/>
      <c r="I94" s="2" t="s">
        <v>174</v>
      </c>
      <c r="J94" s="2" t="s">
        <v>185</v>
      </c>
      <c r="K94" s="2" t="s">
        <v>267</v>
      </c>
      <c r="L94" s="13" t="s">
        <v>268</v>
      </c>
      <c r="M94" s="2" t="s">
        <v>138</v>
      </c>
      <c r="N94" s="2" t="s">
        <v>138</v>
      </c>
      <c r="O94" s="2" t="s">
        <v>90</v>
      </c>
      <c r="P94" s="2" t="s">
        <v>125</v>
      </c>
      <c r="Q94" s="2" t="s">
        <v>369</v>
      </c>
      <c r="R94" s="2" t="s">
        <v>80</v>
      </c>
      <c r="S94" s="11">
        <v>0.05</v>
      </c>
      <c r="T94" s="148">
        <v>20000</v>
      </c>
      <c r="U94" s="30">
        <f t="shared" si="191"/>
        <v>600</v>
      </c>
      <c r="V94" s="30">
        <f t="shared" si="192"/>
        <v>30</v>
      </c>
      <c r="W94" s="30">
        <f t="shared" si="193"/>
        <v>7500</v>
      </c>
      <c r="X94" s="30">
        <f t="shared" si="194"/>
        <v>604000</v>
      </c>
      <c r="Y94" s="30">
        <v>50000</v>
      </c>
      <c r="Z94" s="30">
        <f t="shared" si="195"/>
        <v>2500</v>
      </c>
      <c r="AA94" s="30">
        <v>50000</v>
      </c>
      <c r="AB94" s="30">
        <f t="shared" si="196"/>
        <v>2500</v>
      </c>
      <c r="AC94" s="30">
        <v>50000</v>
      </c>
      <c r="AD94" s="30">
        <v>50000</v>
      </c>
      <c r="AE94" s="30">
        <f t="shared" si="197"/>
        <v>2500</v>
      </c>
      <c r="AF94" s="30">
        <v>50000</v>
      </c>
      <c r="AG94" s="30">
        <f t="shared" si="198"/>
        <v>2500</v>
      </c>
      <c r="AH94" s="30"/>
      <c r="AI94" s="30">
        <v>50000</v>
      </c>
      <c r="AJ94" s="30">
        <f t="shared" si="199"/>
        <v>2500</v>
      </c>
      <c r="AK94" s="30">
        <v>50000</v>
      </c>
      <c r="AL94" s="30">
        <f t="shared" si="200"/>
        <v>2500</v>
      </c>
      <c r="AM94" s="30"/>
      <c r="AN94" s="30">
        <v>50000</v>
      </c>
      <c r="AO94" s="30">
        <f t="shared" si="201"/>
        <v>2500</v>
      </c>
      <c r="AP94" s="30">
        <v>50000</v>
      </c>
      <c r="AQ94" s="30">
        <f t="shared" si="202"/>
        <v>2500</v>
      </c>
      <c r="AR94" s="30"/>
      <c r="AS94" s="30">
        <v>50000</v>
      </c>
      <c r="AT94" s="30">
        <f t="shared" si="203"/>
        <v>2500</v>
      </c>
      <c r="AU94" s="30">
        <v>50000</v>
      </c>
      <c r="AV94" s="30">
        <f t="shared" si="204"/>
        <v>2500</v>
      </c>
      <c r="AW94" s="30">
        <v>64000</v>
      </c>
      <c r="AX94" s="30">
        <v>50000</v>
      </c>
      <c r="AY94" s="30">
        <f t="shared" si="205"/>
        <v>2500</v>
      </c>
      <c r="AZ94" s="30">
        <v>50000</v>
      </c>
      <c r="BA94" s="30">
        <v>2500</v>
      </c>
      <c r="BB94" s="30"/>
      <c r="BC94" s="45">
        <v>50000</v>
      </c>
      <c r="BD94" s="45">
        <f t="shared" si="206"/>
        <v>2500</v>
      </c>
      <c r="BE94" s="30">
        <v>50000</v>
      </c>
      <c r="BF94" s="30">
        <f t="shared" si="207"/>
        <v>2500</v>
      </c>
      <c r="BG94" s="27"/>
      <c r="BH94" s="30">
        <v>50000</v>
      </c>
      <c r="BI94" s="30">
        <f t="shared" si="208"/>
        <v>2500</v>
      </c>
      <c r="BJ94" s="30">
        <v>50000</v>
      </c>
      <c r="BK94" s="30">
        <f t="shared" si="209"/>
        <v>2500</v>
      </c>
      <c r="BL94" s="146">
        <v>384000</v>
      </c>
      <c r="BM94" s="30">
        <v>50000</v>
      </c>
      <c r="BN94" s="30">
        <f t="shared" si="210"/>
        <v>2500</v>
      </c>
      <c r="BO94" s="30">
        <v>50000</v>
      </c>
      <c r="BP94" s="30">
        <f t="shared" si="211"/>
        <v>2500</v>
      </c>
      <c r="BQ94" s="146">
        <v>70000</v>
      </c>
      <c r="BR94" s="30">
        <v>50000</v>
      </c>
      <c r="BS94" s="30">
        <f t="shared" si="212"/>
        <v>2500</v>
      </c>
      <c r="BT94" s="30"/>
      <c r="BU94" s="30">
        <f t="shared" si="213"/>
        <v>0</v>
      </c>
      <c r="BV94" s="30"/>
      <c r="BW94" s="30">
        <v>50000</v>
      </c>
      <c r="BX94" s="30">
        <f t="shared" si="214"/>
        <v>2500</v>
      </c>
      <c r="BY94" s="30"/>
      <c r="BZ94" s="30">
        <f t="shared" si="215"/>
        <v>0</v>
      </c>
      <c r="CA94" s="146">
        <v>150000</v>
      </c>
      <c r="CB94" s="30">
        <v>50000</v>
      </c>
      <c r="CC94" s="30">
        <f t="shared" si="216"/>
        <v>2500</v>
      </c>
      <c r="CD94" s="30"/>
      <c r="CE94" s="30">
        <f t="shared" si="217"/>
        <v>0</v>
      </c>
      <c r="CF94" s="30"/>
      <c r="CG94" s="61"/>
    </row>
    <row r="95" spans="1:85" ht="17" x14ac:dyDescent="0.4">
      <c r="A95" s="2" t="s">
        <v>110</v>
      </c>
      <c r="B95" s="2" t="s">
        <v>262</v>
      </c>
      <c r="C95" s="2" t="s">
        <v>263</v>
      </c>
      <c r="D95" s="2" t="s">
        <v>365</v>
      </c>
      <c r="E95" s="165" t="s">
        <v>366</v>
      </c>
      <c r="F95" s="2" t="s">
        <v>174</v>
      </c>
      <c r="G95" s="2" t="s">
        <v>185</v>
      </c>
      <c r="H95" s="2"/>
      <c r="I95" s="2"/>
      <c r="J95" s="2"/>
      <c r="K95" s="2" t="s">
        <v>267</v>
      </c>
      <c r="L95" s="13" t="s">
        <v>268</v>
      </c>
      <c r="M95" s="2" t="s">
        <v>138</v>
      </c>
      <c r="N95" s="2" t="s">
        <v>138</v>
      </c>
      <c r="O95" s="2" t="s">
        <v>90</v>
      </c>
      <c r="P95" s="2" t="s">
        <v>125</v>
      </c>
      <c r="Q95" s="2" t="s">
        <v>370</v>
      </c>
      <c r="R95" s="2" t="s">
        <v>80</v>
      </c>
      <c r="S95" s="11">
        <v>8.8999999999999996E-2</v>
      </c>
      <c r="T95" s="148">
        <v>36000</v>
      </c>
      <c r="U95" s="30">
        <f t="shared" si="191"/>
        <v>200</v>
      </c>
      <c r="V95" s="30">
        <f t="shared" si="192"/>
        <v>17.8</v>
      </c>
      <c r="W95" s="30">
        <f t="shared" si="193"/>
        <v>5340</v>
      </c>
      <c r="X95" s="30">
        <f t="shared" si="194"/>
        <v>113000</v>
      </c>
      <c r="Y95" s="30">
        <v>20000</v>
      </c>
      <c r="Z95" s="30">
        <f t="shared" si="195"/>
        <v>1780</v>
      </c>
      <c r="AA95" s="30">
        <v>20000</v>
      </c>
      <c r="AB95" s="30">
        <f t="shared" si="196"/>
        <v>1780</v>
      </c>
      <c r="AC95" s="30">
        <v>25000</v>
      </c>
      <c r="AD95" s="30">
        <v>20000</v>
      </c>
      <c r="AE95" s="30">
        <f t="shared" si="197"/>
        <v>1780</v>
      </c>
      <c r="AF95" s="30">
        <v>20000</v>
      </c>
      <c r="AG95" s="30">
        <f t="shared" si="198"/>
        <v>1780</v>
      </c>
      <c r="AH95" s="30"/>
      <c r="AI95" s="30">
        <v>20000</v>
      </c>
      <c r="AJ95" s="30">
        <f t="shared" si="199"/>
        <v>1780</v>
      </c>
      <c r="AK95" s="30">
        <v>20000</v>
      </c>
      <c r="AL95" s="30">
        <f t="shared" si="200"/>
        <v>1780</v>
      </c>
      <c r="AM95" s="30"/>
      <c r="AN95" s="30">
        <v>20000</v>
      </c>
      <c r="AO95" s="30">
        <f t="shared" si="201"/>
        <v>1780</v>
      </c>
      <c r="AP95" s="30">
        <v>20000</v>
      </c>
      <c r="AQ95" s="30">
        <f t="shared" si="202"/>
        <v>1780</v>
      </c>
      <c r="AR95" s="30"/>
      <c r="AS95" s="30"/>
      <c r="AT95" s="30">
        <f t="shared" si="203"/>
        <v>0</v>
      </c>
      <c r="AU95" s="30">
        <v>20000</v>
      </c>
      <c r="AV95" s="30">
        <f t="shared" si="204"/>
        <v>1780</v>
      </c>
      <c r="AW95" s="30"/>
      <c r="AX95" s="30">
        <v>20000</v>
      </c>
      <c r="AY95" s="30">
        <f t="shared" si="205"/>
        <v>1780</v>
      </c>
      <c r="AZ95" s="30">
        <v>20000</v>
      </c>
      <c r="BA95" s="30">
        <v>1780</v>
      </c>
      <c r="BB95" s="30"/>
      <c r="BC95" s="45">
        <v>20000</v>
      </c>
      <c r="BD95" s="45">
        <f t="shared" si="206"/>
        <v>1780</v>
      </c>
      <c r="BE95" s="30">
        <v>20000</v>
      </c>
      <c r="BF95" s="30">
        <f t="shared" si="207"/>
        <v>1780</v>
      </c>
      <c r="BG95" s="30"/>
      <c r="BH95" s="30">
        <v>20000</v>
      </c>
      <c r="BI95" s="30">
        <f t="shared" si="208"/>
        <v>1780</v>
      </c>
      <c r="BJ95" s="30">
        <v>20000</v>
      </c>
      <c r="BK95" s="30">
        <f t="shared" si="209"/>
        <v>1780</v>
      </c>
      <c r="BL95" s="146">
        <v>30000</v>
      </c>
      <c r="BM95" s="30"/>
      <c r="BN95" s="30">
        <f t="shared" si="210"/>
        <v>0</v>
      </c>
      <c r="BO95" s="30">
        <v>20000</v>
      </c>
      <c r="BP95" s="30">
        <f t="shared" si="211"/>
        <v>1780</v>
      </c>
      <c r="BQ95" s="146">
        <v>60000</v>
      </c>
      <c r="BR95" s="30">
        <v>20000</v>
      </c>
      <c r="BS95" s="30">
        <f t="shared" si="212"/>
        <v>1780</v>
      </c>
      <c r="BT95" s="30"/>
      <c r="BU95" s="30">
        <f t="shared" si="213"/>
        <v>0</v>
      </c>
      <c r="BV95" s="30"/>
      <c r="BW95" s="30">
        <v>20000</v>
      </c>
      <c r="BX95" s="30">
        <f t="shared" si="214"/>
        <v>1780</v>
      </c>
      <c r="BY95" s="30"/>
      <c r="BZ95" s="30">
        <f t="shared" si="215"/>
        <v>0</v>
      </c>
      <c r="CA95" s="146">
        <v>23000</v>
      </c>
      <c r="CB95" s="30">
        <v>20000</v>
      </c>
      <c r="CC95" s="30">
        <f t="shared" si="216"/>
        <v>1780</v>
      </c>
      <c r="CD95" s="30"/>
      <c r="CE95" s="30">
        <f t="shared" si="217"/>
        <v>0</v>
      </c>
      <c r="CF95" s="30"/>
      <c r="CG95" s="61"/>
    </row>
    <row r="96" spans="1:85" x14ac:dyDescent="0.4">
      <c r="A96" s="2" t="s">
        <v>110</v>
      </c>
      <c r="B96" s="2" t="s">
        <v>262</v>
      </c>
      <c r="C96" s="2" t="s">
        <v>263</v>
      </c>
      <c r="D96" s="2" t="s">
        <v>365</v>
      </c>
      <c r="E96" s="165" t="s">
        <v>366</v>
      </c>
      <c r="F96" s="2"/>
      <c r="G96" s="2"/>
      <c r="H96" s="2"/>
      <c r="I96" s="2"/>
      <c r="J96" s="2"/>
      <c r="K96" s="2" t="s">
        <v>267</v>
      </c>
      <c r="L96" s="13" t="s">
        <v>268</v>
      </c>
      <c r="M96" s="2" t="s">
        <v>138</v>
      </c>
      <c r="N96" s="2" t="s">
        <v>138</v>
      </c>
      <c r="O96" s="2" t="s">
        <v>90</v>
      </c>
      <c r="P96" s="2" t="s">
        <v>125</v>
      </c>
      <c r="Q96" s="2" t="s">
        <v>371</v>
      </c>
      <c r="R96" s="2" t="s">
        <v>80</v>
      </c>
      <c r="S96" s="11">
        <v>6.4399999999999999E-2</v>
      </c>
      <c r="T96" s="12"/>
      <c r="U96" s="30">
        <f t="shared" si="191"/>
        <v>288</v>
      </c>
      <c r="V96" s="30">
        <f t="shared" si="192"/>
        <v>18.5472</v>
      </c>
      <c r="W96" s="30">
        <f t="shared" si="193"/>
        <v>4636.7999999999993</v>
      </c>
      <c r="X96" s="30">
        <f t="shared" si="194"/>
        <v>0</v>
      </c>
      <c r="Y96" s="30">
        <v>24000</v>
      </c>
      <c r="Z96" s="30">
        <f t="shared" si="195"/>
        <v>1545.6</v>
      </c>
      <c r="AA96" s="30">
        <v>24000</v>
      </c>
      <c r="AB96" s="30">
        <f t="shared" si="196"/>
        <v>1545.6</v>
      </c>
      <c r="AC96" s="30"/>
      <c r="AD96" s="30">
        <v>24000</v>
      </c>
      <c r="AE96" s="30">
        <f t="shared" si="197"/>
        <v>1545.6</v>
      </c>
      <c r="AF96" s="30">
        <v>24000</v>
      </c>
      <c r="AG96" s="30">
        <f t="shared" si="198"/>
        <v>1545.6</v>
      </c>
      <c r="AH96" s="30"/>
      <c r="AI96" s="30">
        <v>24000</v>
      </c>
      <c r="AJ96" s="30">
        <f t="shared" si="199"/>
        <v>1545.6</v>
      </c>
      <c r="AK96" s="30">
        <v>24000</v>
      </c>
      <c r="AL96" s="30">
        <f t="shared" si="200"/>
        <v>1545.6</v>
      </c>
      <c r="AM96" s="30"/>
      <c r="AN96" s="30">
        <v>24000</v>
      </c>
      <c r="AO96" s="30">
        <f t="shared" si="201"/>
        <v>1545.6</v>
      </c>
      <c r="AP96" s="30">
        <v>24000</v>
      </c>
      <c r="AQ96" s="30">
        <f t="shared" si="202"/>
        <v>1545.6</v>
      </c>
      <c r="AR96" s="30"/>
      <c r="AS96" s="30">
        <v>24000</v>
      </c>
      <c r="AT96" s="30">
        <f t="shared" si="203"/>
        <v>1545.6</v>
      </c>
      <c r="AU96" s="30">
        <v>24000</v>
      </c>
      <c r="AV96" s="30">
        <f t="shared" si="204"/>
        <v>1545.6</v>
      </c>
      <c r="AW96" s="30"/>
      <c r="AX96" s="30">
        <v>24000</v>
      </c>
      <c r="AY96" s="30">
        <f t="shared" si="205"/>
        <v>1545.6</v>
      </c>
      <c r="AZ96" s="30">
        <v>24000</v>
      </c>
      <c r="BA96" s="30">
        <v>1545.6</v>
      </c>
      <c r="BB96" s="30"/>
      <c r="BC96" s="45">
        <v>24000</v>
      </c>
      <c r="BD96" s="45">
        <f t="shared" si="206"/>
        <v>1545.6</v>
      </c>
      <c r="BE96" s="30">
        <v>24000</v>
      </c>
      <c r="BF96" s="30">
        <f t="shared" si="207"/>
        <v>1545.6</v>
      </c>
      <c r="BG96" s="30"/>
      <c r="BH96" s="30">
        <v>24000</v>
      </c>
      <c r="BI96" s="30">
        <f t="shared" si="208"/>
        <v>1545.6</v>
      </c>
      <c r="BJ96" s="30">
        <v>24000</v>
      </c>
      <c r="BK96" s="30">
        <f t="shared" si="209"/>
        <v>1545.6</v>
      </c>
      <c r="BL96" s="30"/>
      <c r="BM96" s="30">
        <v>24000</v>
      </c>
      <c r="BN96" s="30">
        <f t="shared" si="210"/>
        <v>1545.6</v>
      </c>
      <c r="BO96" s="30">
        <v>24000</v>
      </c>
      <c r="BP96" s="30">
        <f t="shared" si="211"/>
        <v>1545.6</v>
      </c>
      <c r="BQ96" s="30"/>
      <c r="BR96" s="30">
        <v>24000</v>
      </c>
      <c r="BS96" s="30">
        <f t="shared" si="212"/>
        <v>1545.6</v>
      </c>
      <c r="BT96" s="30"/>
      <c r="BU96" s="30">
        <f t="shared" si="213"/>
        <v>0</v>
      </c>
      <c r="BV96" s="30"/>
      <c r="BW96" s="30">
        <v>24000</v>
      </c>
      <c r="BX96" s="30">
        <f t="shared" si="214"/>
        <v>1545.6</v>
      </c>
      <c r="BY96" s="30"/>
      <c r="BZ96" s="30">
        <f t="shared" si="215"/>
        <v>0</v>
      </c>
      <c r="CA96" s="30"/>
      <c r="CB96" s="30">
        <v>24000</v>
      </c>
      <c r="CC96" s="30">
        <f t="shared" si="216"/>
        <v>1545.6</v>
      </c>
      <c r="CD96" s="30"/>
      <c r="CE96" s="30">
        <f t="shared" si="217"/>
        <v>0</v>
      </c>
      <c r="CF96" s="30"/>
      <c r="CG96" s="2"/>
    </row>
    <row r="97" spans="1:85" x14ac:dyDescent="0.4">
      <c r="A97" s="2" t="s">
        <v>110</v>
      </c>
      <c r="B97" s="2" t="s">
        <v>262</v>
      </c>
      <c r="C97" s="2" t="s">
        <v>263</v>
      </c>
      <c r="D97" s="2" t="s">
        <v>365</v>
      </c>
      <c r="E97" s="165" t="s">
        <v>366</v>
      </c>
      <c r="F97" s="2" t="s">
        <v>174</v>
      </c>
      <c r="G97" s="2" t="s">
        <v>185</v>
      </c>
      <c r="H97" s="2"/>
      <c r="I97" s="2"/>
      <c r="J97" s="2"/>
      <c r="K97" s="2" t="s">
        <v>267</v>
      </c>
      <c r="L97" s="13" t="s">
        <v>268</v>
      </c>
      <c r="M97" s="2" t="s">
        <v>138</v>
      </c>
      <c r="N97" s="2" t="s">
        <v>138</v>
      </c>
      <c r="O97" s="2" t="s">
        <v>90</v>
      </c>
      <c r="P97" s="2" t="s">
        <v>125</v>
      </c>
      <c r="Q97" s="2" t="s">
        <v>197</v>
      </c>
      <c r="R97" s="2" t="s">
        <v>80</v>
      </c>
      <c r="S97" s="11">
        <v>0.16800000000000001</v>
      </c>
      <c r="T97" s="12"/>
      <c r="U97" s="30">
        <f t="shared" si="191"/>
        <v>72</v>
      </c>
      <c r="V97" s="30">
        <f t="shared" si="192"/>
        <v>12.096000000000002</v>
      </c>
      <c r="W97" s="30">
        <f t="shared" si="193"/>
        <v>3024.0000000000005</v>
      </c>
      <c r="X97" s="30">
        <f t="shared" si="194"/>
        <v>0</v>
      </c>
      <c r="Y97" s="30">
        <v>6000</v>
      </c>
      <c r="Z97" s="30">
        <f t="shared" si="195"/>
        <v>1008.0000000000001</v>
      </c>
      <c r="AA97" s="30">
        <v>6000</v>
      </c>
      <c r="AB97" s="30">
        <f t="shared" si="196"/>
        <v>1008.0000000000001</v>
      </c>
      <c r="AC97" s="30"/>
      <c r="AD97" s="30">
        <v>6000</v>
      </c>
      <c r="AE97" s="30">
        <f t="shared" si="197"/>
        <v>1008.0000000000001</v>
      </c>
      <c r="AF97" s="30">
        <v>6000</v>
      </c>
      <c r="AG97" s="30">
        <f t="shared" si="198"/>
        <v>1008.0000000000001</v>
      </c>
      <c r="AH97" s="30"/>
      <c r="AI97" s="30">
        <v>6000</v>
      </c>
      <c r="AJ97" s="30">
        <f t="shared" si="199"/>
        <v>1008.0000000000001</v>
      </c>
      <c r="AK97" s="30">
        <v>6000</v>
      </c>
      <c r="AL97" s="30">
        <f t="shared" si="200"/>
        <v>1008.0000000000001</v>
      </c>
      <c r="AM97" s="30"/>
      <c r="AN97" s="30">
        <v>6000</v>
      </c>
      <c r="AO97" s="30">
        <f t="shared" si="201"/>
        <v>1008.0000000000001</v>
      </c>
      <c r="AP97" s="30">
        <v>6000</v>
      </c>
      <c r="AQ97" s="30">
        <f t="shared" si="202"/>
        <v>1008.0000000000001</v>
      </c>
      <c r="AR97" s="30"/>
      <c r="AS97" s="30">
        <v>6000</v>
      </c>
      <c r="AT97" s="30">
        <f t="shared" si="203"/>
        <v>1008.0000000000001</v>
      </c>
      <c r="AU97" s="30">
        <v>6000</v>
      </c>
      <c r="AV97" s="30">
        <f t="shared" si="204"/>
        <v>1008.0000000000001</v>
      </c>
      <c r="AW97" s="30"/>
      <c r="AX97" s="30">
        <v>6000</v>
      </c>
      <c r="AY97" s="30">
        <f t="shared" si="205"/>
        <v>1008.0000000000001</v>
      </c>
      <c r="AZ97" s="30">
        <v>6000</v>
      </c>
      <c r="BA97" s="30">
        <v>1008.0000000000001</v>
      </c>
      <c r="BB97" s="30"/>
      <c r="BC97" s="45">
        <v>6000</v>
      </c>
      <c r="BD97" s="45">
        <f t="shared" si="206"/>
        <v>1008.0000000000001</v>
      </c>
      <c r="BE97" s="30">
        <v>6000</v>
      </c>
      <c r="BF97" s="30">
        <f t="shared" si="207"/>
        <v>1008.0000000000001</v>
      </c>
      <c r="BG97" s="30"/>
      <c r="BH97" s="30">
        <v>6000</v>
      </c>
      <c r="BI97" s="30">
        <f t="shared" si="208"/>
        <v>1008.0000000000001</v>
      </c>
      <c r="BJ97" s="30">
        <v>6000</v>
      </c>
      <c r="BK97" s="30">
        <f t="shared" si="209"/>
        <v>1008.0000000000001</v>
      </c>
      <c r="BL97" s="30"/>
      <c r="BM97" s="30">
        <v>6000</v>
      </c>
      <c r="BN97" s="30">
        <f t="shared" si="210"/>
        <v>1008.0000000000001</v>
      </c>
      <c r="BO97" s="30">
        <v>6000</v>
      </c>
      <c r="BP97" s="30">
        <f t="shared" si="211"/>
        <v>1008.0000000000001</v>
      </c>
      <c r="BQ97" s="30"/>
      <c r="BR97" s="30">
        <v>6000</v>
      </c>
      <c r="BS97" s="30">
        <f t="shared" si="212"/>
        <v>1008.0000000000001</v>
      </c>
      <c r="BT97" s="30"/>
      <c r="BU97" s="30">
        <f t="shared" si="213"/>
        <v>0</v>
      </c>
      <c r="BV97" s="30"/>
      <c r="BW97" s="30">
        <v>6000</v>
      </c>
      <c r="BX97" s="30">
        <f t="shared" si="214"/>
        <v>1008.0000000000001</v>
      </c>
      <c r="BY97" s="30"/>
      <c r="BZ97" s="30">
        <f t="shared" si="215"/>
        <v>0</v>
      </c>
      <c r="CA97" s="30"/>
      <c r="CB97" s="30">
        <v>6000</v>
      </c>
      <c r="CC97" s="30">
        <f t="shared" si="216"/>
        <v>1008.0000000000001</v>
      </c>
      <c r="CD97" s="30"/>
      <c r="CE97" s="30">
        <f t="shared" si="217"/>
        <v>0</v>
      </c>
      <c r="CF97" s="30"/>
      <c r="CG97" s="2"/>
    </row>
    <row r="98" spans="1:85" x14ac:dyDescent="0.4">
      <c r="A98" s="2" t="s">
        <v>110</v>
      </c>
      <c r="B98" s="2" t="s">
        <v>262</v>
      </c>
      <c r="C98" s="2" t="s">
        <v>263</v>
      </c>
      <c r="D98" s="2" t="s">
        <v>365</v>
      </c>
      <c r="E98" s="165" t="s">
        <v>366</v>
      </c>
      <c r="F98" s="2" t="s">
        <v>174</v>
      </c>
      <c r="G98" s="2" t="s">
        <v>185</v>
      </c>
      <c r="H98" s="2"/>
      <c r="I98" s="2" t="s">
        <v>174</v>
      </c>
      <c r="J98" s="2" t="s">
        <v>185</v>
      </c>
      <c r="K98" s="2" t="s">
        <v>267</v>
      </c>
      <c r="L98" s="13" t="s">
        <v>268</v>
      </c>
      <c r="M98" s="2" t="s">
        <v>128</v>
      </c>
      <c r="N98" s="2" t="s">
        <v>128</v>
      </c>
      <c r="O98" s="2" t="s">
        <v>129</v>
      </c>
      <c r="P98" s="2" t="s">
        <v>93</v>
      </c>
      <c r="Q98" s="2" t="s">
        <v>372</v>
      </c>
      <c r="R98" s="2" t="s">
        <v>80</v>
      </c>
      <c r="S98" s="11">
        <v>0.246</v>
      </c>
      <c r="T98" s="12"/>
      <c r="U98" s="30">
        <f t="shared" si="191"/>
        <v>7.5</v>
      </c>
      <c r="V98" s="30">
        <f t="shared" si="192"/>
        <v>1.845</v>
      </c>
      <c r="W98" s="30">
        <f t="shared" si="193"/>
        <v>1845</v>
      </c>
      <c r="X98" s="30">
        <f t="shared" si="194"/>
        <v>0</v>
      </c>
      <c r="Y98" s="30">
        <v>2500</v>
      </c>
      <c r="Z98" s="30">
        <f t="shared" si="195"/>
        <v>615</v>
      </c>
      <c r="AA98" s="30">
        <v>2500</v>
      </c>
      <c r="AB98" s="30">
        <f t="shared" si="196"/>
        <v>615</v>
      </c>
      <c r="AC98" s="30"/>
      <c r="AD98" s="30">
        <v>2500</v>
      </c>
      <c r="AE98" s="30">
        <f t="shared" si="197"/>
        <v>615</v>
      </c>
      <c r="AF98" s="30">
        <v>2500</v>
      </c>
      <c r="AG98" s="30">
        <f t="shared" si="198"/>
        <v>615</v>
      </c>
      <c r="AH98" s="30"/>
      <c r="AI98" s="30">
        <v>2500</v>
      </c>
      <c r="AJ98" s="30">
        <f t="shared" si="199"/>
        <v>615</v>
      </c>
      <c r="AK98" s="30">
        <v>2500</v>
      </c>
      <c r="AL98" s="30">
        <f t="shared" si="200"/>
        <v>615</v>
      </c>
      <c r="AM98" s="30">
        <v>5000</v>
      </c>
      <c r="AN98" s="30"/>
      <c r="AO98" s="30">
        <f t="shared" si="201"/>
        <v>0</v>
      </c>
      <c r="AP98" s="30">
        <v>2500</v>
      </c>
      <c r="AQ98" s="30">
        <f t="shared" si="202"/>
        <v>615</v>
      </c>
      <c r="AR98" s="30"/>
      <c r="AS98" s="30"/>
      <c r="AT98" s="30">
        <f t="shared" si="203"/>
        <v>0</v>
      </c>
      <c r="AU98" s="30">
        <v>2500</v>
      </c>
      <c r="AV98" s="30">
        <f t="shared" si="204"/>
        <v>615</v>
      </c>
      <c r="AW98" s="33">
        <v>2500</v>
      </c>
      <c r="AX98" s="30"/>
      <c r="AY98" s="30">
        <f t="shared" si="205"/>
        <v>0</v>
      </c>
      <c r="AZ98" s="30">
        <v>0</v>
      </c>
      <c r="BA98" s="30">
        <v>0</v>
      </c>
      <c r="BB98" s="30"/>
      <c r="BC98" s="45"/>
      <c r="BD98" s="45">
        <f t="shared" si="206"/>
        <v>0</v>
      </c>
      <c r="BE98" s="30">
        <v>2500</v>
      </c>
      <c r="BF98" s="30">
        <f t="shared" si="207"/>
        <v>615</v>
      </c>
      <c r="BG98" s="30"/>
      <c r="BH98" s="30"/>
      <c r="BI98" s="30">
        <f t="shared" si="208"/>
        <v>0</v>
      </c>
      <c r="BJ98" s="30">
        <v>2500</v>
      </c>
      <c r="BK98" s="30">
        <f t="shared" si="209"/>
        <v>615</v>
      </c>
      <c r="BL98" s="30"/>
      <c r="BM98" s="30"/>
      <c r="BN98" s="30">
        <f t="shared" si="210"/>
        <v>0</v>
      </c>
      <c r="BO98" s="30">
        <v>2500</v>
      </c>
      <c r="BP98" s="30">
        <f t="shared" si="211"/>
        <v>615</v>
      </c>
      <c r="BQ98" s="30"/>
      <c r="BR98" s="30"/>
      <c r="BS98" s="30">
        <f t="shared" si="212"/>
        <v>0</v>
      </c>
      <c r="BT98" s="30"/>
      <c r="BU98" s="30">
        <f t="shared" si="213"/>
        <v>0</v>
      </c>
      <c r="BV98" s="30"/>
      <c r="BW98" s="30"/>
      <c r="BX98" s="30">
        <f t="shared" si="214"/>
        <v>0</v>
      </c>
      <c r="BY98" s="30"/>
      <c r="BZ98" s="30">
        <f t="shared" si="215"/>
        <v>0</v>
      </c>
      <c r="CA98" s="30"/>
      <c r="CB98" s="30"/>
      <c r="CC98" s="30">
        <f t="shared" si="216"/>
        <v>0</v>
      </c>
      <c r="CD98" s="30"/>
      <c r="CE98" s="30">
        <f t="shared" si="217"/>
        <v>0</v>
      </c>
      <c r="CF98" s="30"/>
      <c r="CG98" s="2"/>
    </row>
    <row r="99" spans="1:85" x14ac:dyDescent="0.4">
      <c r="A99" s="2" t="s">
        <v>110</v>
      </c>
      <c r="B99" s="2" t="s">
        <v>262</v>
      </c>
      <c r="C99" s="2" t="s">
        <v>263</v>
      </c>
      <c r="D99" s="2" t="s">
        <v>365</v>
      </c>
      <c r="E99" s="165" t="s">
        <v>366</v>
      </c>
      <c r="F99" s="2" t="s">
        <v>174</v>
      </c>
      <c r="G99" s="2" t="s">
        <v>185</v>
      </c>
      <c r="H99" s="2"/>
      <c r="I99" s="2" t="s">
        <v>174</v>
      </c>
      <c r="J99" s="2" t="s">
        <v>185</v>
      </c>
      <c r="K99" s="2" t="s">
        <v>267</v>
      </c>
      <c r="L99" s="13" t="s">
        <v>268</v>
      </c>
      <c r="M99" s="2" t="s">
        <v>128</v>
      </c>
      <c r="N99" s="2" t="s">
        <v>128</v>
      </c>
      <c r="O99" s="2" t="s">
        <v>129</v>
      </c>
      <c r="P99" s="2" t="s">
        <v>93</v>
      </c>
      <c r="Q99" s="2" t="s">
        <v>373</v>
      </c>
      <c r="R99" s="2" t="s">
        <v>80</v>
      </c>
      <c r="S99" s="11">
        <v>4.5999999999999999E-2</v>
      </c>
      <c r="T99" s="12"/>
      <c r="U99" s="30">
        <f t="shared" si="191"/>
        <v>15</v>
      </c>
      <c r="V99" s="30">
        <f t="shared" si="192"/>
        <v>0.69</v>
      </c>
      <c r="W99" s="30">
        <f t="shared" si="193"/>
        <v>690</v>
      </c>
      <c r="X99" s="30">
        <f t="shared" si="194"/>
        <v>0</v>
      </c>
      <c r="Y99" s="30">
        <v>5000</v>
      </c>
      <c r="Z99" s="30">
        <f t="shared" si="195"/>
        <v>230</v>
      </c>
      <c r="AA99" s="30">
        <v>5000</v>
      </c>
      <c r="AB99" s="30">
        <f t="shared" si="196"/>
        <v>230</v>
      </c>
      <c r="AC99" s="30">
        <v>10500</v>
      </c>
      <c r="AD99" s="30">
        <v>5000</v>
      </c>
      <c r="AE99" s="30">
        <f t="shared" si="197"/>
        <v>230</v>
      </c>
      <c r="AF99" s="30">
        <v>5000</v>
      </c>
      <c r="AG99" s="30">
        <f t="shared" si="198"/>
        <v>230</v>
      </c>
      <c r="AH99" s="30"/>
      <c r="AI99" s="30">
        <v>5000</v>
      </c>
      <c r="AJ99" s="30">
        <f t="shared" si="199"/>
        <v>230</v>
      </c>
      <c r="AK99" s="30">
        <v>5000</v>
      </c>
      <c r="AL99" s="30">
        <f t="shared" si="200"/>
        <v>230</v>
      </c>
      <c r="AM99" s="30">
        <v>9000</v>
      </c>
      <c r="AN99" s="30"/>
      <c r="AO99" s="30">
        <f t="shared" si="201"/>
        <v>0</v>
      </c>
      <c r="AP99" s="30">
        <v>5000</v>
      </c>
      <c r="AQ99" s="30">
        <f t="shared" si="202"/>
        <v>230</v>
      </c>
      <c r="AR99" s="30"/>
      <c r="AS99" s="30"/>
      <c r="AT99" s="30">
        <f t="shared" si="203"/>
        <v>0</v>
      </c>
      <c r="AU99" s="30">
        <v>5000</v>
      </c>
      <c r="AV99" s="30">
        <f t="shared" si="204"/>
        <v>230</v>
      </c>
      <c r="AW99" s="30"/>
      <c r="AX99" s="30"/>
      <c r="AY99" s="30">
        <f t="shared" si="205"/>
        <v>0</v>
      </c>
      <c r="AZ99" s="30">
        <v>0</v>
      </c>
      <c r="BA99" s="30">
        <v>0</v>
      </c>
      <c r="BB99" s="30"/>
      <c r="BC99" s="45"/>
      <c r="BD99" s="45">
        <f t="shared" si="206"/>
        <v>0</v>
      </c>
      <c r="BE99" s="30">
        <v>5000</v>
      </c>
      <c r="BF99" s="30">
        <f t="shared" si="207"/>
        <v>230</v>
      </c>
      <c r="BG99" s="30"/>
      <c r="BH99" s="30"/>
      <c r="BI99" s="30">
        <f t="shared" si="208"/>
        <v>0</v>
      </c>
      <c r="BJ99" s="30">
        <v>5000</v>
      </c>
      <c r="BK99" s="30">
        <f t="shared" si="209"/>
        <v>230</v>
      </c>
      <c r="BL99" s="30"/>
      <c r="BM99" s="30"/>
      <c r="BN99" s="30">
        <f t="shared" si="210"/>
        <v>0</v>
      </c>
      <c r="BO99" s="30">
        <v>5000</v>
      </c>
      <c r="BP99" s="30">
        <f t="shared" si="211"/>
        <v>230</v>
      </c>
      <c r="BQ99" s="30"/>
      <c r="BR99" s="30"/>
      <c r="BS99" s="30">
        <f t="shared" si="212"/>
        <v>0</v>
      </c>
      <c r="BT99" s="30"/>
      <c r="BU99" s="30">
        <f t="shared" si="213"/>
        <v>0</v>
      </c>
      <c r="BV99" s="30"/>
      <c r="BW99" s="30"/>
      <c r="BX99" s="30">
        <f t="shared" si="214"/>
        <v>0</v>
      </c>
      <c r="BY99" s="30"/>
      <c r="BZ99" s="30">
        <f t="shared" si="215"/>
        <v>0</v>
      </c>
      <c r="CA99" s="30"/>
      <c r="CB99" s="30"/>
      <c r="CC99" s="30">
        <f t="shared" si="216"/>
        <v>0</v>
      </c>
      <c r="CD99" s="30"/>
      <c r="CE99" s="30">
        <f t="shared" si="217"/>
        <v>0</v>
      </c>
      <c r="CF99" s="30"/>
      <c r="CG99" s="2"/>
    </row>
    <row r="100" spans="1:85" x14ac:dyDescent="0.4">
      <c r="A100" s="2" t="s">
        <v>110</v>
      </c>
      <c r="B100" s="2" t="s">
        <v>262</v>
      </c>
      <c r="C100" s="2" t="s">
        <v>263</v>
      </c>
      <c r="D100" s="2" t="s">
        <v>365</v>
      </c>
      <c r="E100" s="165" t="s">
        <v>366</v>
      </c>
      <c r="F100" s="2"/>
      <c r="G100" s="2"/>
      <c r="H100" s="2"/>
      <c r="I100" s="2"/>
      <c r="J100" s="2"/>
      <c r="K100" s="2" t="s">
        <v>267</v>
      </c>
      <c r="L100" s="13" t="s">
        <v>268</v>
      </c>
      <c r="M100" s="2" t="s">
        <v>138</v>
      </c>
      <c r="N100" s="2" t="s">
        <v>138</v>
      </c>
      <c r="O100" s="2" t="s">
        <v>90</v>
      </c>
      <c r="P100" s="2" t="s">
        <v>125</v>
      </c>
      <c r="Q100" s="2" t="s">
        <v>380</v>
      </c>
      <c r="R100" s="2"/>
      <c r="S100" s="11"/>
      <c r="T100" s="12">
        <v>8000</v>
      </c>
      <c r="U100" s="30">
        <f t="shared" si="191"/>
        <v>0</v>
      </c>
      <c r="V100" s="30">
        <f t="shared" si="192"/>
        <v>0</v>
      </c>
      <c r="W100" s="30">
        <f t="shared" si="193"/>
        <v>0</v>
      </c>
      <c r="X100" s="30">
        <f t="shared" si="194"/>
        <v>44000</v>
      </c>
      <c r="Y100" s="30"/>
      <c r="Z100" s="30">
        <f t="shared" si="195"/>
        <v>0</v>
      </c>
      <c r="AA100" s="30"/>
      <c r="AB100" s="30">
        <f t="shared" si="196"/>
        <v>0</v>
      </c>
      <c r="AC100" s="30">
        <v>16000</v>
      </c>
      <c r="AD100" s="30"/>
      <c r="AE100" s="30">
        <f t="shared" si="197"/>
        <v>0</v>
      </c>
      <c r="AF100" s="30"/>
      <c r="AG100" s="30">
        <f t="shared" si="198"/>
        <v>0</v>
      </c>
      <c r="AH100" s="30"/>
      <c r="AI100" s="30"/>
      <c r="AJ100" s="30">
        <f t="shared" si="199"/>
        <v>0</v>
      </c>
      <c r="AK100" s="30"/>
      <c r="AL100" s="30">
        <f t="shared" si="200"/>
        <v>0</v>
      </c>
      <c r="AM100" s="30"/>
      <c r="AN100" s="30"/>
      <c r="AO100" s="30">
        <f t="shared" si="201"/>
        <v>0</v>
      </c>
      <c r="AP100" s="30"/>
      <c r="AQ100" s="30">
        <f t="shared" si="202"/>
        <v>0</v>
      </c>
      <c r="AR100" s="30"/>
      <c r="AS100" s="30"/>
      <c r="AT100" s="30">
        <f t="shared" si="203"/>
        <v>0</v>
      </c>
      <c r="AU100" s="30"/>
      <c r="AV100" s="30">
        <f t="shared" si="204"/>
        <v>0</v>
      </c>
      <c r="AW100" s="30"/>
      <c r="AX100" s="30"/>
      <c r="AY100" s="30">
        <f t="shared" si="205"/>
        <v>0</v>
      </c>
      <c r="AZ100" s="30"/>
      <c r="BA100" s="30">
        <v>0</v>
      </c>
      <c r="BB100" s="30"/>
      <c r="BC100" s="45"/>
      <c r="BD100" s="45">
        <f t="shared" si="206"/>
        <v>0</v>
      </c>
      <c r="BE100" s="30"/>
      <c r="BF100" s="30">
        <f t="shared" si="207"/>
        <v>0</v>
      </c>
      <c r="BG100" s="27"/>
      <c r="BH100" s="30"/>
      <c r="BI100" s="30">
        <f t="shared" si="208"/>
        <v>0</v>
      </c>
      <c r="BJ100" s="30"/>
      <c r="BK100" s="30">
        <f t="shared" si="209"/>
        <v>0</v>
      </c>
      <c r="BL100" s="146">
        <v>44000</v>
      </c>
      <c r="BM100" s="30"/>
      <c r="BN100" s="30">
        <f t="shared" si="210"/>
        <v>0</v>
      </c>
      <c r="BO100" s="30"/>
      <c r="BP100" s="30">
        <f t="shared" si="211"/>
        <v>0</v>
      </c>
      <c r="BQ100" s="30"/>
      <c r="BR100" s="30"/>
      <c r="BS100" s="30">
        <f t="shared" si="212"/>
        <v>0</v>
      </c>
      <c r="BT100" s="30"/>
      <c r="BU100" s="30">
        <f t="shared" si="213"/>
        <v>0</v>
      </c>
      <c r="BV100" s="30"/>
      <c r="BW100" s="30"/>
      <c r="BX100" s="30">
        <f t="shared" si="214"/>
        <v>0</v>
      </c>
      <c r="BY100" s="30"/>
      <c r="BZ100" s="30">
        <f t="shared" si="215"/>
        <v>0</v>
      </c>
      <c r="CA100" s="30"/>
      <c r="CB100" s="30"/>
      <c r="CC100" s="30">
        <f t="shared" si="216"/>
        <v>0</v>
      </c>
      <c r="CD100" s="30"/>
      <c r="CE100" s="30">
        <f t="shared" si="217"/>
        <v>0</v>
      </c>
      <c r="CF100" s="30"/>
      <c r="CG100" s="2"/>
    </row>
    <row r="101" spans="1:85" x14ac:dyDescent="0.4">
      <c r="A101" s="2" t="s">
        <v>110</v>
      </c>
      <c r="B101" s="2" t="s">
        <v>262</v>
      </c>
      <c r="C101" s="2" t="s">
        <v>263</v>
      </c>
      <c r="D101" s="2" t="s">
        <v>365</v>
      </c>
      <c r="E101" s="165" t="s">
        <v>366</v>
      </c>
      <c r="F101" s="2"/>
      <c r="G101" s="2"/>
      <c r="H101" s="2"/>
      <c r="I101" s="2"/>
      <c r="J101" s="2"/>
      <c r="K101" s="2" t="s">
        <v>267</v>
      </c>
      <c r="L101" s="13" t="s">
        <v>268</v>
      </c>
      <c r="M101" s="2" t="s">
        <v>128</v>
      </c>
      <c r="N101" s="2" t="s">
        <v>128</v>
      </c>
      <c r="O101" s="2" t="s">
        <v>129</v>
      </c>
      <c r="P101" s="2" t="s">
        <v>93</v>
      </c>
      <c r="Q101" s="2" t="s">
        <v>381</v>
      </c>
      <c r="R101" s="2"/>
      <c r="S101" s="11"/>
      <c r="T101" s="12"/>
      <c r="U101" s="30">
        <f t="shared" si="191"/>
        <v>0</v>
      </c>
      <c r="V101" s="30">
        <f t="shared" si="192"/>
        <v>0</v>
      </c>
      <c r="W101" s="30">
        <f t="shared" si="193"/>
        <v>0</v>
      </c>
      <c r="X101" s="30">
        <f t="shared" si="194"/>
        <v>0</v>
      </c>
      <c r="Y101" s="30"/>
      <c r="Z101" s="30">
        <f t="shared" si="195"/>
        <v>0</v>
      </c>
      <c r="AA101" s="30"/>
      <c r="AB101" s="30">
        <f t="shared" si="196"/>
        <v>0</v>
      </c>
      <c r="AC101" s="30"/>
      <c r="AD101" s="30"/>
      <c r="AE101" s="30">
        <f t="shared" si="197"/>
        <v>0</v>
      </c>
      <c r="AF101" s="30"/>
      <c r="AG101" s="30">
        <f t="shared" si="198"/>
        <v>0</v>
      </c>
      <c r="AH101" s="30">
        <v>5000</v>
      </c>
      <c r="AI101" s="30"/>
      <c r="AJ101" s="30">
        <f t="shared" si="199"/>
        <v>0</v>
      </c>
      <c r="AK101" s="30"/>
      <c r="AL101" s="30">
        <f t="shared" si="200"/>
        <v>0</v>
      </c>
      <c r="AM101" s="30">
        <v>5000</v>
      </c>
      <c r="AN101" s="30"/>
      <c r="AO101" s="30">
        <f t="shared" si="201"/>
        <v>0</v>
      </c>
      <c r="AP101" s="30"/>
      <c r="AQ101" s="30">
        <f t="shared" si="202"/>
        <v>0</v>
      </c>
      <c r="AR101" s="30"/>
      <c r="AS101" s="30"/>
      <c r="AT101" s="30">
        <f t="shared" si="203"/>
        <v>0</v>
      </c>
      <c r="AU101" s="30"/>
      <c r="AV101" s="30">
        <f t="shared" si="204"/>
        <v>0</v>
      </c>
      <c r="AW101" s="30"/>
      <c r="AX101" s="30"/>
      <c r="AY101" s="30">
        <f t="shared" si="205"/>
        <v>0</v>
      </c>
      <c r="AZ101" s="30"/>
      <c r="BA101" s="30">
        <v>0</v>
      </c>
      <c r="BB101" s="30"/>
      <c r="BC101" s="45"/>
      <c r="BD101" s="45">
        <f t="shared" si="206"/>
        <v>0</v>
      </c>
      <c r="BE101" s="30"/>
      <c r="BF101" s="30">
        <f t="shared" si="207"/>
        <v>0</v>
      </c>
      <c r="BG101" s="30"/>
      <c r="BH101" s="30"/>
      <c r="BI101" s="30">
        <f t="shared" si="208"/>
        <v>0</v>
      </c>
      <c r="BJ101" s="30"/>
      <c r="BK101" s="30">
        <f t="shared" si="209"/>
        <v>0</v>
      </c>
      <c r="BL101" s="30"/>
      <c r="BM101" s="30"/>
      <c r="BN101" s="30">
        <f t="shared" si="210"/>
        <v>0</v>
      </c>
      <c r="BO101" s="30"/>
      <c r="BP101" s="30">
        <f t="shared" si="211"/>
        <v>0</v>
      </c>
      <c r="BQ101" s="30"/>
      <c r="BR101" s="30"/>
      <c r="BS101" s="30">
        <f t="shared" si="212"/>
        <v>0</v>
      </c>
      <c r="BT101" s="30"/>
      <c r="BU101" s="30">
        <f t="shared" si="213"/>
        <v>0</v>
      </c>
      <c r="BV101" s="30"/>
      <c r="BW101" s="30"/>
      <c r="BX101" s="30">
        <f t="shared" si="214"/>
        <v>0</v>
      </c>
      <c r="BY101" s="30"/>
      <c r="BZ101" s="30">
        <f t="shared" si="215"/>
        <v>0</v>
      </c>
      <c r="CA101" s="30"/>
      <c r="CB101" s="30"/>
      <c r="CC101" s="30">
        <f t="shared" si="216"/>
        <v>0</v>
      </c>
      <c r="CD101" s="30"/>
      <c r="CE101" s="30">
        <f t="shared" si="217"/>
        <v>0</v>
      </c>
      <c r="CF101" s="30"/>
      <c r="CG101" s="2"/>
    </row>
    <row r="102" spans="1:85" x14ac:dyDescent="0.4">
      <c r="A102" s="2" t="s">
        <v>110</v>
      </c>
      <c r="B102" s="2" t="s">
        <v>262</v>
      </c>
      <c r="C102" s="2" t="s">
        <v>263</v>
      </c>
      <c r="D102" s="2" t="s">
        <v>365</v>
      </c>
      <c r="E102" s="165" t="s">
        <v>366</v>
      </c>
      <c r="F102" s="2"/>
      <c r="G102" s="2"/>
      <c r="H102" s="2"/>
      <c r="I102" s="2"/>
      <c r="J102" s="2"/>
      <c r="K102" s="2" t="s">
        <v>267</v>
      </c>
      <c r="L102" s="13" t="s">
        <v>268</v>
      </c>
      <c r="M102" s="2" t="s">
        <v>382</v>
      </c>
      <c r="N102" s="2" t="s">
        <v>382</v>
      </c>
      <c r="O102" s="2" t="s">
        <v>153</v>
      </c>
      <c r="P102" s="2" t="s">
        <v>153</v>
      </c>
      <c r="Q102" s="2" t="s">
        <v>383</v>
      </c>
      <c r="R102" s="2"/>
      <c r="S102" s="11"/>
      <c r="T102" s="12">
        <v>12000</v>
      </c>
      <c r="U102" s="30">
        <f t="shared" si="191"/>
        <v>0</v>
      </c>
      <c r="V102" s="30">
        <f t="shared" si="192"/>
        <v>0</v>
      </c>
      <c r="W102" s="30">
        <f t="shared" si="193"/>
        <v>0</v>
      </c>
      <c r="X102" s="30">
        <f t="shared" si="194"/>
        <v>0</v>
      </c>
      <c r="Y102" s="30"/>
      <c r="Z102" s="30">
        <f t="shared" si="195"/>
        <v>0</v>
      </c>
      <c r="AA102" s="30"/>
      <c r="AB102" s="30">
        <f t="shared" si="196"/>
        <v>0</v>
      </c>
      <c r="AC102" s="30"/>
      <c r="AD102" s="30"/>
      <c r="AE102" s="30">
        <f t="shared" si="197"/>
        <v>0</v>
      </c>
      <c r="AF102" s="30"/>
      <c r="AG102" s="30">
        <f t="shared" si="198"/>
        <v>0</v>
      </c>
      <c r="AH102" s="30">
        <v>12000</v>
      </c>
      <c r="AI102" s="30"/>
      <c r="AJ102" s="30">
        <f t="shared" si="199"/>
        <v>0</v>
      </c>
      <c r="AK102" s="30"/>
      <c r="AL102" s="30">
        <f t="shared" si="200"/>
        <v>0</v>
      </c>
      <c r="AM102" s="30"/>
      <c r="AN102" s="30"/>
      <c r="AO102" s="30">
        <f t="shared" si="201"/>
        <v>0</v>
      </c>
      <c r="AP102" s="30"/>
      <c r="AQ102" s="30">
        <f t="shared" si="202"/>
        <v>0</v>
      </c>
      <c r="AR102" s="30"/>
      <c r="AS102" s="30"/>
      <c r="AT102" s="30">
        <f t="shared" si="203"/>
        <v>0</v>
      </c>
      <c r="AU102" s="30"/>
      <c r="AV102" s="30">
        <f t="shared" si="204"/>
        <v>0</v>
      </c>
      <c r="AW102" s="30"/>
      <c r="AX102" s="30"/>
      <c r="AY102" s="30">
        <f t="shared" si="205"/>
        <v>0</v>
      </c>
      <c r="AZ102" s="30"/>
      <c r="BA102" s="30">
        <v>0</v>
      </c>
      <c r="BB102" s="30"/>
      <c r="BC102" s="45"/>
      <c r="BD102" s="45">
        <f t="shared" si="206"/>
        <v>0</v>
      </c>
      <c r="BE102" s="30"/>
      <c r="BF102" s="30">
        <f t="shared" si="207"/>
        <v>0</v>
      </c>
      <c r="BG102" s="30"/>
      <c r="BH102" s="30"/>
      <c r="BI102" s="30">
        <f t="shared" si="208"/>
        <v>0</v>
      </c>
      <c r="BJ102" s="30"/>
      <c r="BK102" s="30">
        <f t="shared" si="209"/>
        <v>0</v>
      </c>
      <c r="BL102" s="30"/>
      <c r="BM102" s="30"/>
      <c r="BN102" s="30">
        <f t="shared" si="210"/>
        <v>0</v>
      </c>
      <c r="BO102" s="30"/>
      <c r="BP102" s="30">
        <f t="shared" si="211"/>
        <v>0</v>
      </c>
      <c r="BQ102" s="30"/>
      <c r="BR102" s="30"/>
      <c r="BS102" s="30">
        <f t="shared" si="212"/>
        <v>0</v>
      </c>
      <c r="BT102" s="30"/>
      <c r="BU102" s="30">
        <f t="shared" si="213"/>
        <v>0</v>
      </c>
      <c r="BV102" s="30"/>
      <c r="BW102" s="30"/>
      <c r="BX102" s="30">
        <f t="shared" si="214"/>
        <v>0</v>
      </c>
      <c r="BY102" s="30"/>
      <c r="BZ102" s="30">
        <f t="shared" si="215"/>
        <v>0</v>
      </c>
      <c r="CA102" s="30"/>
      <c r="CB102" s="30"/>
      <c r="CC102" s="30">
        <f t="shared" si="216"/>
        <v>0</v>
      </c>
      <c r="CD102" s="30"/>
      <c r="CE102" s="30">
        <f t="shared" si="217"/>
        <v>0</v>
      </c>
      <c r="CF102" s="30"/>
      <c r="CG102" s="2"/>
    </row>
    <row r="103" spans="1:85" x14ac:dyDescent="0.4">
      <c r="A103" s="2" t="s">
        <v>110</v>
      </c>
      <c r="B103" s="2" t="s">
        <v>262</v>
      </c>
      <c r="C103" s="2" t="s">
        <v>263</v>
      </c>
      <c r="D103" s="2" t="s">
        <v>365</v>
      </c>
      <c r="E103" s="165" t="s">
        <v>366</v>
      </c>
      <c r="F103" s="2"/>
      <c r="G103" s="2"/>
      <c r="H103" s="2"/>
      <c r="I103" s="2"/>
      <c r="J103" s="2"/>
      <c r="K103" s="2" t="s">
        <v>267</v>
      </c>
      <c r="L103" s="13" t="s">
        <v>268</v>
      </c>
      <c r="M103" s="2" t="s">
        <v>124</v>
      </c>
      <c r="N103" s="2" t="s">
        <v>124</v>
      </c>
      <c r="O103" s="2" t="s">
        <v>90</v>
      </c>
      <c r="P103" s="2" t="s">
        <v>125</v>
      </c>
      <c r="Q103" s="2" t="s">
        <v>384</v>
      </c>
      <c r="R103" s="2" t="s">
        <v>80</v>
      </c>
      <c r="S103" s="11">
        <v>4.3700000000000003E-2</v>
      </c>
      <c r="T103" s="12"/>
      <c r="U103" s="30">
        <f t="shared" si="191"/>
        <v>40</v>
      </c>
      <c r="V103" s="30">
        <f t="shared" si="192"/>
        <v>1.748</v>
      </c>
      <c r="W103" s="30">
        <f t="shared" si="193"/>
        <v>0</v>
      </c>
      <c r="X103" s="30">
        <f t="shared" si="194"/>
        <v>0</v>
      </c>
      <c r="Y103" s="30"/>
      <c r="Z103" s="30">
        <f t="shared" si="195"/>
        <v>0</v>
      </c>
      <c r="AA103" s="30"/>
      <c r="AB103" s="30">
        <f t="shared" si="196"/>
        <v>0</v>
      </c>
      <c r="AC103" s="30"/>
      <c r="AD103" s="30"/>
      <c r="AE103" s="30">
        <f t="shared" si="197"/>
        <v>0</v>
      </c>
      <c r="AF103" s="30"/>
      <c r="AG103" s="30">
        <f t="shared" si="198"/>
        <v>0</v>
      </c>
      <c r="AH103" s="30"/>
      <c r="AI103" s="30"/>
      <c r="AJ103" s="30">
        <f t="shared" si="199"/>
        <v>0</v>
      </c>
      <c r="AK103" s="30"/>
      <c r="AL103" s="30">
        <f t="shared" si="200"/>
        <v>0</v>
      </c>
      <c r="AM103" s="30"/>
      <c r="AN103" s="30"/>
      <c r="AO103" s="30">
        <f t="shared" si="201"/>
        <v>0</v>
      </c>
      <c r="AP103" s="30"/>
      <c r="AQ103" s="30">
        <f t="shared" si="202"/>
        <v>0</v>
      </c>
      <c r="AR103" s="30"/>
      <c r="AS103" s="30"/>
      <c r="AT103" s="30">
        <f t="shared" si="203"/>
        <v>0</v>
      </c>
      <c r="AU103" s="30"/>
      <c r="AV103" s="30">
        <f t="shared" si="204"/>
        <v>0</v>
      </c>
      <c r="AW103" s="30"/>
      <c r="AX103" s="30"/>
      <c r="AY103" s="30">
        <f t="shared" si="205"/>
        <v>0</v>
      </c>
      <c r="AZ103" s="30"/>
      <c r="BA103" s="30">
        <v>0</v>
      </c>
      <c r="BB103" s="30"/>
      <c r="BC103" s="45">
        <v>20000</v>
      </c>
      <c r="BD103" s="45">
        <f t="shared" si="206"/>
        <v>874</v>
      </c>
      <c r="BE103" s="30"/>
      <c r="BF103" s="30">
        <f t="shared" si="207"/>
        <v>0</v>
      </c>
      <c r="BG103" s="30"/>
      <c r="BH103" s="30"/>
      <c r="BI103" s="30">
        <f t="shared" si="208"/>
        <v>0</v>
      </c>
      <c r="BJ103" s="30"/>
      <c r="BK103" s="30">
        <f t="shared" si="209"/>
        <v>0</v>
      </c>
      <c r="BL103" s="30"/>
      <c r="BM103" s="30"/>
      <c r="BN103" s="30">
        <f t="shared" si="210"/>
        <v>0</v>
      </c>
      <c r="BO103" s="30"/>
      <c r="BP103" s="30">
        <f t="shared" si="211"/>
        <v>0</v>
      </c>
      <c r="BQ103" s="30"/>
      <c r="BR103" s="30"/>
      <c r="BS103" s="30">
        <f t="shared" si="212"/>
        <v>0</v>
      </c>
      <c r="BT103" s="30"/>
      <c r="BU103" s="30">
        <f t="shared" si="213"/>
        <v>0</v>
      </c>
      <c r="BV103" s="30"/>
      <c r="BW103" s="30">
        <v>20000</v>
      </c>
      <c r="BX103" s="30">
        <f t="shared" si="214"/>
        <v>874</v>
      </c>
      <c r="BY103" s="30"/>
      <c r="BZ103" s="30">
        <f t="shared" si="215"/>
        <v>0</v>
      </c>
      <c r="CA103" s="30"/>
      <c r="CB103" s="30"/>
      <c r="CC103" s="30">
        <f t="shared" si="216"/>
        <v>0</v>
      </c>
      <c r="CD103" s="30"/>
      <c r="CE103" s="30">
        <f t="shared" si="217"/>
        <v>0</v>
      </c>
      <c r="CF103" s="30"/>
      <c r="CG103" s="2"/>
    </row>
    <row r="104" spans="1:85" x14ac:dyDescent="0.4">
      <c r="A104" s="2" t="s">
        <v>110</v>
      </c>
      <c r="B104" s="2" t="s">
        <v>262</v>
      </c>
      <c r="C104" s="2" t="s">
        <v>263</v>
      </c>
      <c r="D104" s="2" t="s">
        <v>365</v>
      </c>
      <c r="E104" s="165" t="s">
        <v>366</v>
      </c>
      <c r="F104" s="2"/>
      <c r="G104" s="2"/>
      <c r="H104" s="2"/>
      <c r="I104" s="2"/>
      <c r="J104" s="2"/>
      <c r="K104" s="2" t="s">
        <v>267</v>
      </c>
      <c r="L104" s="13" t="s">
        <v>268</v>
      </c>
      <c r="M104" s="2" t="s">
        <v>138</v>
      </c>
      <c r="N104" s="2" t="s">
        <v>138</v>
      </c>
      <c r="O104" s="2" t="s">
        <v>90</v>
      </c>
      <c r="P104" s="2" t="s">
        <v>125</v>
      </c>
      <c r="Q104" s="2" t="s">
        <v>385</v>
      </c>
      <c r="R104" s="2" t="s">
        <v>80</v>
      </c>
      <c r="S104" s="11">
        <v>3.5999999999999999E-3</v>
      </c>
      <c r="T104" s="12"/>
      <c r="U104" s="30">
        <f t="shared" si="191"/>
        <v>40</v>
      </c>
      <c r="V104" s="30">
        <f t="shared" si="192"/>
        <v>0.14399999999999999</v>
      </c>
      <c r="W104" s="30">
        <f t="shared" si="193"/>
        <v>0</v>
      </c>
      <c r="X104" s="30">
        <f t="shared" si="194"/>
        <v>0</v>
      </c>
      <c r="Y104" s="30"/>
      <c r="Z104" s="30">
        <f t="shared" si="195"/>
        <v>0</v>
      </c>
      <c r="AA104" s="30"/>
      <c r="AB104" s="30">
        <f t="shared" si="196"/>
        <v>0</v>
      </c>
      <c r="AC104" s="30"/>
      <c r="AD104" s="30"/>
      <c r="AE104" s="30">
        <f t="shared" si="197"/>
        <v>0</v>
      </c>
      <c r="AF104" s="30"/>
      <c r="AG104" s="30">
        <f t="shared" si="198"/>
        <v>0</v>
      </c>
      <c r="AH104" s="30"/>
      <c r="AI104" s="30"/>
      <c r="AJ104" s="30">
        <f t="shared" si="199"/>
        <v>0</v>
      </c>
      <c r="AK104" s="30"/>
      <c r="AL104" s="30">
        <f t="shared" si="200"/>
        <v>0</v>
      </c>
      <c r="AM104" s="30"/>
      <c r="AN104" s="30"/>
      <c r="AO104" s="30">
        <f t="shared" si="201"/>
        <v>0</v>
      </c>
      <c r="AP104" s="30"/>
      <c r="AQ104" s="30">
        <f t="shared" si="202"/>
        <v>0</v>
      </c>
      <c r="AR104" s="30"/>
      <c r="AS104" s="30"/>
      <c r="AT104" s="30">
        <f t="shared" si="203"/>
        <v>0</v>
      </c>
      <c r="AU104" s="30"/>
      <c r="AV104" s="30">
        <f t="shared" si="204"/>
        <v>0</v>
      </c>
      <c r="AW104" s="30"/>
      <c r="AX104" s="30"/>
      <c r="AY104" s="30">
        <f t="shared" si="205"/>
        <v>0</v>
      </c>
      <c r="AZ104" s="30"/>
      <c r="BA104" s="30">
        <v>0</v>
      </c>
      <c r="BB104" s="30"/>
      <c r="BC104" s="45">
        <v>20000</v>
      </c>
      <c r="BD104" s="45">
        <f t="shared" si="206"/>
        <v>72</v>
      </c>
      <c r="BE104" s="30"/>
      <c r="BF104" s="30">
        <f t="shared" si="207"/>
        <v>0</v>
      </c>
      <c r="BG104" s="30"/>
      <c r="BH104" s="30"/>
      <c r="BI104" s="30">
        <f t="shared" si="208"/>
        <v>0</v>
      </c>
      <c r="BJ104" s="30"/>
      <c r="BK104" s="30">
        <f t="shared" si="209"/>
        <v>0</v>
      </c>
      <c r="BL104" s="30"/>
      <c r="BM104" s="30"/>
      <c r="BN104" s="30">
        <f t="shared" si="210"/>
        <v>0</v>
      </c>
      <c r="BO104" s="30"/>
      <c r="BP104" s="30">
        <f t="shared" si="211"/>
        <v>0</v>
      </c>
      <c r="BQ104" s="30"/>
      <c r="BR104" s="30"/>
      <c r="BS104" s="30">
        <f t="shared" si="212"/>
        <v>0</v>
      </c>
      <c r="BT104" s="30"/>
      <c r="BU104" s="30">
        <f t="shared" si="213"/>
        <v>0</v>
      </c>
      <c r="BV104" s="30"/>
      <c r="BW104" s="30">
        <v>20000</v>
      </c>
      <c r="BX104" s="30">
        <f t="shared" si="214"/>
        <v>72</v>
      </c>
      <c r="BY104" s="30"/>
      <c r="BZ104" s="30">
        <f t="shared" si="215"/>
        <v>0</v>
      </c>
      <c r="CA104" s="30"/>
      <c r="CB104" s="30"/>
      <c r="CC104" s="30">
        <f t="shared" si="216"/>
        <v>0</v>
      </c>
      <c r="CD104" s="30"/>
      <c r="CE104" s="30">
        <f t="shared" si="217"/>
        <v>0</v>
      </c>
      <c r="CF104" s="30"/>
      <c r="CG104" s="2"/>
    </row>
    <row r="105" spans="1:85" x14ac:dyDescent="0.4">
      <c r="A105" s="2" t="s">
        <v>110</v>
      </c>
      <c r="B105" s="2" t="s">
        <v>262</v>
      </c>
      <c r="C105" s="2" t="s">
        <v>263</v>
      </c>
      <c r="D105" s="2" t="s">
        <v>365</v>
      </c>
      <c r="E105" s="165" t="s">
        <v>366</v>
      </c>
      <c r="F105" s="2"/>
      <c r="G105" s="2"/>
      <c r="H105" s="2"/>
      <c r="I105" s="2"/>
      <c r="J105" s="2"/>
      <c r="K105" s="2" t="s">
        <v>267</v>
      </c>
      <c r="L105" s="13" t="s">
        <v>268</v>
      </c>
      <c r="M105" s="2" t="s">
        <v>138</v>
      </c>
      <c r="N105" s="2" t="s">
        <v>138</v>
      </c>
      <c r="O105" s="2" t="s">
        <v>90</v>
      </c>
      <c r="P105" s="2" t="s">
        <v>125</v>
      </c>
      <c r="Q105" s="2" t="s">
        <v>386</v>
      </c>
      <c r="R105" s="2" t="s">
        <v>80</v>
      </c>
      <c r="S105" s="11">
        <v>1.0200000000000001E-2</v>
      </c>
      <c r="T105" s="12"/>
      <c r="U105" s="30">
        <f t="shared" si="191"/>
        <v>40</v>
      </c>
      <c r="V105" s="30">
        <f t="shared" si="192"/>
        <v>0.40800000000000003</v>
      </c>
      <c r="W105" s="30">
        <f t="shared" si="193"/>
        <v>0</v>
      </c>
      <c r="X105" s="30">
        <f t="shared" si="194"/>
        <v>0</v>
      </c>
      <c r="Y105" s="30"/>
      <c r="Z105" s="30">
        <f t="shared" si="195"/>
        <v>0</v>
      </c>
      <c r="AA105" s="30"/>
      <c r="AB105" s="30">
        <f t="shared" si="196"/>
        <v>0</v>
      </c>
      <c r="AC105" s="30"/>
      <c r="AD105" s="30"/>
      <c r="AE105" s="30">
        <f t="shared" si="197"/>
        <v>0</v>
      </c>
      <c r="AF105" s="30"/>
      <c r="AG105" s="30">
        <f t="shared" si="198"/>
        <v>0</v>
      </c>
      <c r="AH105" s="30"/>
      <c r="AI105" s="30"/>
      <c r="AJ105" s="30">
        <f t="shared" si="199"/>
        <v>0</v>
      </c>
      <c r="AK105" s="30"/>
      <c r="AL105" s="30">
        <f t="shared" si="200"/>
        <v>0</v>
      </c>
      <c r="AM105" s="30"/>
      <c r="AN105" s="30"/>
      <c r="AO105" s="30">
        <f t="shared" si="201"/>
        <v>0</v>
      </c>
      <c r="AP105" s="30"/>
      <c r="AQ105" s="30">
        <f t="shared" si="202"/>
        <v>0</v>
      </c>
      <c r="AR105" s="30"/>
      <c r="AS105" s="30"/>
      <c r="AT105" s="30">
        <f t="shared" si="203"/>
        <v>0</v>
      </c>
      <c r="AU105" s="30"/>
      <c r="AV105" s="30">
        <f t="shared" si="204"/>
        <v>0</v>
      </c>
      <c r="AW105" s="30"/>
      <c r="AX105" s="30"/>
      <c r="AY105" s="30">
        <f t="shared" si="205"/>
        <v>0</v>
      </c>
      <c r="AZ105" s="30"/>
      <c r="BA105" s="30">
        <v>0</v>
      </c>
      <c r="BB105" s="30"/>
      <c r="BC105" s="45">
        <v>20000</v>
      </c>
      <c r="BD105" s="45">
        <f t="shared" si="206"/>
        <v>204.00000000000003</v>
      </c>
      <c r="BE105" s="30"/>
      <c r="BF105" s="30">
        <f t="shared" si="207"/>
        <v>0</v>
      </c>
      <c r="BG105" s="30"/>
      <c r="BH105" s="30"/>
      <c r="BI105" s="30">
        <f t="shared" si="208"/>
        <v>0</v>
      </c>
      <c r="BJ105" s="30"/>
      <c r="BK105" s="30">
        <f t="shared" si="209"/>
        <v>0</v>
      </c>
      <c r="BL105" s="30"/>
      <c r="BM105" s="30"/>
      <c r="BN105" s="30">
        <f t="shared" si="210"/>
        <v>0</v>
      </c>
      <c r="BO105" s="30"/>
      <c r="BP105" s="30">
        <f t="shared" si="211"/>
        <v>0</v>
      </c>
      <c r="BQ105" s="30"/>
      <c r="BR105" s="30"/>
      <c r="BS105" s="30">
        <f t="shared" si="212"/>
        <v>0</v>
      </c>
      <c r="BT105" s="30"/>
      <c r="BU105" s="30">
        <f t="shared" si="213"/>
        <v>0</v>
      </c>
      <c r="BV105" s="30"/>
      <c r="BW105" s="30">
        <v>20000</v>
      </c>
      <c r="BX105" s="30">
        <f t="shared" si="214"/>
        <v>204.00000000000003</v>
      </c>
      <c r="BY105" s="30"/>
      <c r="BZ105" s="30">
        <f t="shared" si="215"/>
        <v>0</v>
      </c>
      <c r="CA105" s="30"/>
      <c r="CB105" s="30"/>
      <c r="CC105" s="30">
        <f t="shared" si="216"/>
        <v>0</v>
      </c>
      <c r="CD105" s="30"/>
      <c r="CE105" s="30">
        <f t="shared" si="217"/>
        <v>0</v>
      </c>
      <c r="CF105" s="30"/>
      <c r="CG105" s="2"/>
    </row>
    <row r="106" spans="1:85" x14ac:dyDescent="0.4">
      <c r="A106" s="2" t="s">
        <v>110</v>
      </c>
      <c r="B106" s="2" t="s">
        <v>262</v>
      </c>
      <c r="C106" s="2" t="s">
        <v>263</v>
      </c>
      <c r="D106" s="2" t="s">
        <v>365</v>
      </c>
      <c r="E106" s="165" t="s">
        <v>366</v>
      </c>
      <c r="F106" s="2"/>
      <c r="G106" s="2"/>
      <c r="H106" s="2"/>
      <c r="I106" s="2"/>
      <c r="J106" s="2"/>
      <c r="K106" s="2" t="s">
        <v>267</v>
      </c>
      <c r="L106" s="13" t="s">
        <v>268</v>
      </c>
      <c r="M106" s="2" t="s">
        <v>138</v>
      </c>
      <c r="N106" s="2" t="s">
        <v>138</v>
      </c>
      <c r="O106" s="2" t="s">
        <v>90</v>
      </c>
      <c r="P106" s="2" t="s">
        <v>125</v>
      </c>
      <c r="Q106" s="2" t="s">
        <v>387</v>
      </c>
      <c r="R106" s="2"/>
      <c r="S106" s="11"/>
      <c r="T106" s="12"/>
      <c r="U106" s="30">
        <f t="shared" si="191"/>
        <v>0</v>
      </c>
      <c r="V106" s="30">
        <f t="shared" si="192"/>
        <v>0</v>
      </c>
      <c r="W106" s="30">
        <f t="shared" si="193"/>
        <v>0</v>
      </c>
      <c r="X106" s="30">
        <f t="shared" si="194"/>
        <v>180000</v>
      </c>
      <c r="Y106" s="30"/>
      <c r="Z106" s="30">
        <f t="shared" si="195"/>
        <v>0</v>
      </c>
      <c r="AA106" s="30"/>
      <c r="AB106" s="30">
        <f t="shared" si="196"/>
        <v>0</v>
      </c>
      <c r="AC106" s="30">
        <v>32000</v>
      </c>
      <c r="AD106" s="30"/>
      <c r="AE106" s="30">
        <f t="shared" si="197"/>
        <v>0</v>
      </c>
      <c r="AF106" s="30"/>
      <c r="AG106" s="30">
        <f t="shared" si="198"/>
        <v>0</v>
      </c>
      <c r="AH106" s="30"/>
      <c r="AI106" s="30"/>
      <c r="AJ106" s="30">
        <f t="shared" si="199"/>
        <v>0</v>
      </c>
      <c r="AK106" s="30"/>
      <c r="AL106" s="30">
        <f t="shared" si="200"/>
        <v>0</v>
      </c>
      <c r="AM106" s="30"/>
      <c r="AN106" s="30"/>
      <c r="AO106" s="30">
        <f t="shared" si="201"/>
        <v>0</v>
      </c>
      <c r="AP106" s="30"/>
      <c r="AQ106" s="30">
        <f t="shared" si="202"/>
        <v>0</v>
      </c>
      <c r="AR106" s="30"/>
      <c r="AS106" s="30"/>
      <c r="AT106" s="30">
        <f t="shared" si="203"/>
        <v>0</v>
      </c>
      <c r="AU106" s="30"/>
      <c r="AV106" s="30">
        <f t="shared" si="204"/>
        <v>0</v>
      </c>
      <c r="AW106" s="30"/>
      <c r="AX106" s="30"/>
      <c r="AY106" s="30">
        <f t="shared" si="205"/>
        <v>0</v>
      </c>
      <c r="AZ106" s="30"/>
      <c r="BA106" s="30">
        <v>0</v>
      </c>
      <c r="BB106" s="30"/>
      <c r="BC106" s="45"/>
      <c r="BD106" s="45">
        <f t="shared" si="206"/>
        <v>0</v>
      </c>
      <c r="BE106" s="30"/>
      <c r="BF106" s="30">
        <f t="shared" si="207"/>
        <v>0</v>
      </c>
      <c r="BG106" s="30"/>
      <c r="BH106" s="30"/>
      <c r="BI106" s="30">
        <f t="shared" si="208"/>
        <v>0</v>
      </c>
      <c r="BJ106" s="30"/>
      <c r="BK106" s="30">
        <f t="shared" si="209"/>
        <v>0</v>
      </c>
      <c r="BL106" s="146">
        <v>34000</v>
      </c>
      <c r="BM106" s="30"/>
      <c r="BN106" s="30">
        <f t="shared" si="210"/>
        <v>0</v>
      </c>
      <c r="BO106" s="30"/>
      <c r="BP106" s="30">
        <f t="shared" si="211"/>
        <v>0</v>
      </c>
      <c r="BQ106" s="146">
        <v>90000</v>
      </c>
      <c r="BR106" s="30"/>
      <c r="BS106" s="30">
        <f t="shared" si="212"/>
        <v>0</v>
      </c>
      <c r="BT106" s="30"/>
      <c r="BU106" s="30">
        <f t="shared" si="213"/>
        <v>0</v>
      </c>
      <c r="BV106" s="30"/>
      <c r="BW106" s="30"/>
      <c r="BX106" s="30">
        <f t="shared" si="214"/>
        <v>0</v>
      </c>
      <c r="BY106" s="30"/>
      <c r="BZ106" s="30">
        <f t="shared" si="215"/>
        <v>0</v>
      </c>
      <c r="CA106" s="146">
        <v>56000</v>
      </c>
      <c r="CB106" s="30"/>
      <c r="CC106" s="30">
        <f t="shared" si="216"/>
        <v>0</v>
      </c>
      <c r="CD106" s="30"/>
      <c r="CE106" s="30">
        <f t="shared" si="217"/>
        <v>0</v>
      </c>
      <c r="CF106" s="30"/>
      <c r="CG106" s="106" t="s">
        <v>602</v>
      </c>
    </row>
    <row r="107" spans="1:85" x14ac:dyDescent="0.4">
      <c r="A107" s="2" t="s">
        <v>110</v>
      </c>
      <c r="B107" s="2" t="s">
        <v>262</v>
      </c>
      <c r="C107" s="2" t="s">
        <v>263</v>
      </c>
      <c r="D107" s="2" t="s">
        <v>365</v>
      </c>
      <c r="E107" s="165" t="s">
        <v>366</v>
      </c>
      <c r="F107" s="2" t="s">
        <v>174</v>
      </c>
      <c r="G107" s="2" t="s">
        <v>185</v>
      </c>
      <c r="H107" s="2"/>
      <c r="I107" s="2"/>
      <c r="J107" s="2"/>
      <c r="K107" s="2" t="s">
        <v>267</v>
      </c>
      <c r="L107" s="13" t="s">
        <v>268</v>
      </c>
      <c r="M107" s="2" t="s">
        <v>149</v>
      </c>
      <c r="N107" s="2" t="s">
        <v>149</v>
      </c>
      <c r="O107" s="13" t="s">
        <v>150</v>
      </c>
      <c r="P107" s="2" t="s">
        <v>79</v>
      </c>
      <c r="Q107" s="2" t="s">
        <v>388</v>
      </c>
      <c r="R107" s="2" t="s">
        <v>80</v>
      </c>
      <c r="S107" s="11">
        <v>2.6499999999999999E-2</v>
      </c>
      <c r="T107" s="12"/>
      <c r="U107" s="30">
        <f t="shared" si="191"/>
        <v>120</v>
      </c>
      <c r="V107" s="30">
        <f t="shared" si="192"/>
        <v>3.18</v>
      </c>
      <c r="W107" s="30">
        <f t="shared" si="193"/>
        <v>0</v>
      </c>
      <c r="X107" s="30">
        <f t="shared" si="194"/>
        <v>0</v>
      </c>
      <c r="Y107" s="30"/>
      <c r="Z107" s="30">
        <f t="shared" si="195"/>
        <v>0</v>
      </c>
      <c r="AA107" s="30"/>
      <c r="AB107" s="30">
        <f t="shared" si="196"/>
        <v>0</v>
      </c>
      <c r="AC107" s="30"/>
      <c r="AD107" s="30"/>
      <c r="AE107" s="30">
        <f t="shared" si="197"/>
        <v>0</v>
      </c>
      <c r="AF107" s="30"/>
      <c r="AG107" s="30">
        <f t="shared" si="198"/>
        <v>0</v>
      </c>
      <c r="AH107" s="30"/>
      <c r="AI107" s="30"/>
      <c r="AJ107" s="30">
        <f t="shared" si="199"/>
        <v>0</v>
      </c>
      <c r="AK107" s="30"/>
      <c r="AL107" s="30">
        <f t="shared" si="200"/>
        <v>0</v>
      </c>
      <c r="AM107" s="30"/>
      <c r="AN107" s="30">
        <v>30000</v>
      </c>
      <c r="AO107" s="30">
        <f t="shared" si="201"/>
        <v>795</v>
      </c>
      <c r="AP107" s="30"/>
      <c r="AQ107" s="30">
        <f t="shared" si="202"/>
        <v>0</v>
      </c>
      <c r="AR107" s="30"/>
      <c r="AS107" s="30"/>
      <c r="AT107" s="30">
        <f t="shared" si="203"/>
        <v>0</v>
      </c>
      <c r="AU107" s="30"/>
      <c r="AV107" s="30">
        <f t="shared" si="204"/>
        <v>0</v>
      </c>
      <c r="AW107" s="30"/>
      <c r="AX107" s="30"/>
      <c r="AY107" s="30">
        <f t="shared" si="205"/>
        <v>0</v>
      </c>
      <c r="AZ107" s="30"/>
      <c r="BA107" s="30">
        <v>0</v>
      </c>
      <c r="BB107" s="30"/>
      <c r="BC107" s="45">
        <v>30000</v>
      </c>
      <c r="BD107" s="45">
        <f t="shared" si="206"/>
        <v>795</v>
      </c>
      <c r="BE107" s="30"/>
      <c r="BF107" s="30">
        <f t="shared" si="207"/>
        <v>0</v>
      </c>
      <c r="BG107" s="30"/>
      <c r="BH107" s="30"/>
      <c r="BI107" s="30">
        <f t="shared" si="208"/>
        <v>0</v>
      </c>
      <c r="BJ107" s="30"/>
      <c r="BK107" s="30">
        <f t="shared" si="209"/>
        <v>0</v>
      </c>
      <c r="BL107" s="30"/>
      <c r="BM107" s="30"/>
      <c r="BN107" s="30">
        <f t="shared" si="210"/>
        <v>0</v>
      </c>
      <c r="BO107" s="30"/>
      <c r="BP107" s="30">
        <f t="shared" si="211"/>
        <v>0</v>
      </c>
      <c r="BQ107" s="30"/>
      <c r="BR107" s="30"/>
      <c r="BS107" s="30">
        <f t="shared" si="212"/>
        <v>0</v>
      </c>
      <c r="BT107" s="30"/>
      <c r="BU107" s="30">
        <f t="shared" si="213"/>
        <v>0</v>
      </c>
      <c r="BV107" s="30"/>
      <c r="BW107" s="30">
        <v>30000</v>
      </c>
      <c r="BX107" s="30">
        <f t="shared" si="214"/>
        <v>795</v>
      </c>
      <c r="BY107" s="30"/>
      <c r="BZ107" s="30">
        <f t="shared" si="215"/>
        <v>0</v>
      </c>
      <c r="CA107" s="30"/>
      <c r="CB107" s="30">
        <v>30000</v>
      </c>
      <c r="CC107" s="30">
        <f t="shared" si="216"/>
        <v>795</v>
      </c>
      <c r="CD107" s="30"/>
      <c r="CE107" s="30">
        <f t="shared" si="217"/>
        <v>0</v>
      </c>
      <c r="CF107" s="30"/>
      <c r="CG107" s="2"/>
    </row>
    <row r="108" spans="1:85" x14ac:dyDescent="0.4">
      <c r="A108" s="2" t="s">
        <v>110</v>
      </c>
      <c r="B108" s="2" t="s">
        <v>262</v>
      </c>
      <c r="C108" s="2" t="s">
        <v>263</v>
      </c>
      <c r="D108" s="2" t="s">
        <v>365</v>
      </c>
      <c r="E108" s="165" t="s">
        <v>366</v>
      </c>
      <c r="F108" s="2"/>
      <c r="G108" s="2"/>
      <c r="H108" s="2"/>
      <c r="I108" s="2"/>
      <c r="J108" s="2"/>
      <c r="K108" s="2" t="s">
        <v>267</v>
      </c>
      <c r="L108" s="13" t="s">
        <v>268</v>
      </c>
      <c r="M108" s="2" t="s">
        <v>87</v>
      </c>
      <c r="N108" s="2" t="s">
        <v>87</v>
      </c>
      <c r="O108" s="2" t="s">
        <v>88</v>
      </c>
      <c r="P108" s="2" t="s">
        <v>85</v>
      </c>
      <c r="Q108" s="2" t="s">
        <v>389</v>
      </c>
      <c r="R108" s="2" t="s">
        <v>80</v>
      </c>
      <c r="S108" s="11">
        <v>0.2</v>
      </c>
      <c r="T108" s="12"/>
      <c r="U108" s="30">
        <f t="shared" si="191"/>
        <v>50</v>
      </c>
      <c r="V108" s="30">
        <f t="shared" si="192"/>
        <v>10</v>
      </c>
      <c r="W108" s="30">
        <f t="shared" si="193"/>
        <v>0</v>
      </c>
      <c r="X108" s="30">
        <f t="shared" si="194"/>
        <v>0</v>
      </c>
      <c r="Y108" s="30"/>
      <c r="Z108" s="30">
        <f t="shared" si="195"/>
        <v>0</v>
      </c>
      <c r="AA108" s="30"/>
      <c r="AB108" s="30">
        <f t="shared" si="196"/>
        <v>0</v>
      </c>
      <c r="AC108" s="30"/>
      <c r="AD108" s="30"/>
      <c r="AE108" s="30">
        <f t="shared" si="197"/>
        <v>0</v>
      </c>
      <c r="AF108" s="30"/>
      <c r="AG108" s="30">
        <f t="shared" si="198"/>
        <v>0</v>
      </c>
      <c r="AH108" s="30"/>
      <c r="AI108" s="30"/>
      <c r="AJ108" s="30">
        <f t="shared" si="199"/>
        <v>0</v>
      </c>
      <c r="AK108" s="30"/>
      <c r="AL108" s="30">
        <f t="shared" si="200"/>
        <v>0</v>
      </c>
      <c r="AM108" s="30"/>
      <c r="AN108" s="30"/>
      <c r="AO108" s="30">
        <f t="shared" si="201"/>
        <v>0</v>
      </c>
      <c r="AP108" s="30"/>
      <c r="AQ108" s="30">
        <f t="shared" si="202"/>
        <v>0</v>
      </c>
      <c r="AR108" s="30"/>
      <c r="AS108" s="30"/>
      <c r="AT108" s="30">
        <f t="shared" si="203"/>
        <v>0</v>
      </c>
      <c r="AU108" s="30"/>
      <c r="AV108" s="30">
        <f t="shared" si="204"/>
        <v>0</v>
      </c>
      <c r="AW108" s="30"/>
      <c r="AX108" s="30"/>
      <c r="AY108" s="30">
        <f t="shared" si="205"/>
        <v>0</v>
      </c>
      <c r="AZ108" s="30"/>
      <c r="BA108" s="30">
        <v>0</v>
      </c>
      <c r="BB108" s="30"/>
      <c r="BC108" s="45">
        <v>10000</v>
      </c>
      <c r="BD108" s="45">
        <f t="shared" si="206"/>
        <v>2000</v>
      </c>
      <c r="BE108" s="30"/>
      <c r="BF108" s="30">
        <f t="shared" si="207"/>
        <v>0</v>
      </c>
      <c r="BG108" s="30"/>
      <c r="BH108" s="30">
        <v>10000</v>
      </c>
      <c r="BI108" s="30">
        <f t="shared" si="208"/>
        <v>2000</v>
      </c>
      <c r="BJ108" s="30"/>
      <c r="BK108" s="30">
        <f t="shared" si="209"/>
        <v>0</v>
      </c>
      <c r="BL108" s="30"/>
      <c r="BM108" s="30">
        <v>10000</v>
      </c>
      <c r="BN108" s="30">
        <f t="shared" si="210"/>
        <v>2000</v>
      </c>
      <c r="BO108" s="30"/>
      <c r="BP108" s="30">
        <f t="shared" si="211"/>
        <v>0</v>
      </c>
      <c r="BQ108" s="30"/>
      <c r="BR108" s="30">
        <v>10000</v>
      </c>
      <c r="BS108" s="30">
        <f t="shared" si="212"/>
        <v>2000</v>
      </c>
      <c r="BT108" s="30"/>
      <c r="BU108" s="30">
        <f t="shared" si="213"/>
        <v>0</v>
      </c>
      <c r="BV108" s="30"/>
      <c r="BW108" s="30">
        <v>10000</v>
      </c>
      <c r="BX108" s="30">
        <f t="shared" si="214"/>
        <v>2000</v>
      </c>
      <c r="BY108" s="30"/>
      <c r="BZ108" s="30">
        <f t="shared" si="215"/>
        <v>0</v>
      </c>
      <c r="CA108" s="30"/>
      <c r="CB108" s="30"/>
      <c r="CC108" s="30">
        <f t="shared" si="216"/>
        <v>0</v>
      </c>
      <c r="CD108" s="30"/>
      <c r="CE108" s="30">
        <f t="shared" si="217"/>
        <v>0</v>
      </c>
      <c r="CF108" s="30"/>
      <c r="CG108" s="2"/>
    </row>
    <row r="109" spans="1:85" x14ac:dyDescent="0.4">
      <c r="A109" s="2" t="s">
        <v>110</v>
      </c>
      <c r="B109" s="2" t="s">
        <v>262</v>
      </c>
      <c r="C109" s="2" t="s">
        <v>263</v>
      </c>
      <c r="D109" s="2" t="s">
        <v>365</v>
      </c>
      <c r="E109" s="165" t="s">
        <v>366</v>
      </c>
      <c r="F109" s="2"/>
      <c r="G109" s="2"/>
      <c r="H109" s="2"/>
      <c r="I109" s="2"/>
      <c r="J109" s="2"/>
      <c r="K109" s="2" t="s">
        <v>267</v>
      </c>
      <c r="L109" s="13" t="s">
        <v>268</v>
      </c>
      <c r="M109" s="2" t="s">
        <v>87</v>
      </c>
      <c r="N109" s="2" t="s">
        <v>87</v>
      </c>
      <c r="O109" s="2" t="s">
        <v>88</v>
      </c>
      <c r="P109" s="2" t="s">
        <v>85</v>
      </c>
      <c r="Q109" s="2" t="s">
        <v>390</v>
      </c>
      <c r="R109" s="2" t="s">
        <v>80</v>
      </c>
      <c r="S109" s="11">
        <v>5.8000000000000003E-2</v>
      </c>
      <c r="T109" s="12"/>
      <c r="U109" s="30">
        <f t="shared" si="191"/>
        <v>10</v>
      </c>
      <c r="V109" s="30">
        <f t="shared" si="192"/>
        <v>0.57999999999999996</v>
      </c>
      <c r="W109" s="30">
        <f t="shared" si="193"/>
        <v>0</v>
      </c>
      <c r="X109" s="30">
        <f t="shared" si="194"/>
        <v>0</v>
      </c>
      <c r="Y109" s="30"/>
      <c r="Z109" s="30">
        <f t="shared" si="195"/>
        <v>0</v>
      </c>
      <c r="AA109" s="30"/>
      <c r="AB109" s="30">
        <f t="shared" si="196"/>
        <v>0</v>
      </c>
      <c r="AC109" s="30"/>
      <c r="AD109" s="30"/>
      <c r="AE109" s="30">
        <f t="shared" si="197"/>
        <v>0</v>
      </c>
      <c r="AF109" s="30"/>
      <c r="AG109" s="30">
        <f t="shared" si="198"/>
        <v>0</v>
      </c>
      <c r="AH109" s="30"/>
      <c r="AI109" s="30"/>
      <c r="AJ109" s="30">
        <f t="shared" si="199"/>
        <v>0</v>
      </c>
      <c r="AK109" s="30"/>
      <c r="AL109" s="30">
        <f t="shared" si="200"/>
        <v>0</v>
      </c>
      <c r="AM109" s="30"/>
      <c r="AN109" s="30"/>
      <c r="AO109" s="30">
        <f t="shared" si="201"/>
        <v>0</v>
      </c>
      <c r="AP109" s="30"/>
      <c r="AQ109" s="30">
        <f t="shared" si="202"/>
        <v>0</v>
      </c>
      <c r="AR109" s="30"/>
      <c r="AS109" s="30"/>
      <c r="AT109" s="30">
        <f t="shared" si="203"/>
        <v>0</v>
      </c>
      <c r="AU109" s="30"/>
      <c r="AV109" s="30">
        <f t="shared" si="204"/>
        <v>0</v>
      </c>
      <c r="AW109" s="30"/>
      <c r="AX109" s="30"/>
      <c r="AY109" s="30">
        <f t="shared" si="205"/>
        <v>0</v>
      </c>
      <c r="AZ109" s="30"/>
      <c r="BA109" s="30">
        <v>0</v>
      </c>
      <c r="BB109" s="30"/>
      <c r="BC109" s="45">
        <v>2000</v>
      </c>
      <c r="BD109" s="45">
        <f t="shared" si="206"/>
        <v>116</v>
      </c>
      <c r="BE109" s="30"/>
      <c r="BF109" s="30">
        <f t="shared" si="207"/>
        <v>0</v>
      </c>
      <c r="BG109" s="30"/>
      <c r="BH109" s="30">
        <v>2000</v>
      </c>
      <c r="BI109" s="30">
        <f t="shared" si="208"/>
        <v>116</v>
      </c>
      <c r="BJ109" s="30"/>
      <c r="BK109" s="30">
        <f t="shared" si="209"/>
        <v>0</v>
      </c>
      <c r="BL109" s="30"/>
      <c r="BM109" s="30">
        <v>2000</v>
      </c>
      <c r="BN109" s="30">
        <f t="shared" si="210"/>
        <v>116</v>
      </c>
      <c r="BO109" s="30"/>
      <c r="BP109" s="30">
        <f t="shared" si="211"/>
        <v>0</v>
      </c>
      <c r="BQ109" s="30"/>
      <c r="BR109" s="30">
        <v>2000</v>
      </c>
      <c r="BS109" s="30">
        <f t="shared" si="212"/>
        <v>116</v>
      </c>
      <c r="BT109" s="30"/>
      <c r="BU109" s="30">
        <f t="shared" si="213"/>
        <v>0</v>
      </c>
      <c r="BV109" s="30"/>
      <c r="BW109" s="30">
        <v>2000</v>
      </c>
      <c r="BX109" s="30">
        <f t="shared" si="214"/>
        <v>116</v>
      </c>
      <c r="BY109" s="30"/>
      <c r="BZ109" s="30">
        <f t="shared" si="215"/>
        <v>0</v>
      </c>
      <c r="CA109" s="30"/>
      <c r="CB109" s="30"/>
      <c r="CC109" s="30">
        <f t="shared" si="216"/>
        <v>0</v>
      </c>
      <c r="CD109" s="30"/>
      <c r="CE109" s="30">
        <f t="shared" si="217"/>
        <v>0</v>
      </c>
      <c r="CF109" s="30"/>
      <c r="CG109" s="2"/>
    </row>
    <row r="110" spans="1:85" x14ac:dyDescent="0.4">
      <c r="A110" s="2" t="s">
        <v>110</v>
      </c>
      <c r="B110" s="2" t="s">
        <v>262</v>
      </c>
      <c r="C110" s="2" t="s">
        <v>263</v>
      </c>
      <c r="D110" s="2" t="s">
        <v>365</v>
      </c>
      <c r="E110" s="165" t="s">
        <v>366</v>
      </c>
      <c r="F110" s="2"/>
      <c r="G110" s="2"/>
      <c r="H110" s="2"/>
      <c r="I110" s="2"/>
      <c r="J110" s="2"/>
      <c r="K110" s="2" t="s">
        <v>267</v>
      </c>
      <c r="L110" s="13" t="s">
        <v>268</v>
      </c>
      <c r="M110" s="2" t="s">
        <v>87</v>
      </c>
      <c r="N110" s="2" t="s">
        <v>87</v>
      </c>
      <c r="O110" s="2" t="s">
        <v>88</v>
      </c>
      <c r="P110" s="2" t="s">
        <v>85</v>
      </c>
      <c r="Q110" s="2" t="s">
        <v>391</v>
      </c>
      <c r="R110" s="2" t="s">
        <v>80</v>
      </c>
      <c r="S110" s="11">
        <v>0.13900000000000001</v>
      </c>
      <c r="T110" s="12"/>
      <c r="U110" s="30">
        <f t="shared" si="191"/>
        <v>50</v>
      </c>
      <c r="V110" s="30">
        <f t="shared" si="192"/>
        <v>6.9500000000000011</v>
      </c>
      <c r="W110" s="30">
        <f t="shared" si="193"/>
        <v>0</v>
      </c>
      <c r="X110" s="30">
        <f t="shared" si="194"/>
        <v>0</v>
      </c>
      <c r="Y110" s="30"/>
      <c r="Z110" s="30">
        <f t="shared" si="195"/>
        <v>0</v>
      </c>
      <c r="AA110" s="30"/>
      <c r="AB110" s="30">
        <f t="shared" si="196"/>
        <v>0</v>
      </c>
      <c r="AC110" s="30"/>
      <c r="AD110" s="30"/>
      <c r="AE110" s="30">
        <f t="shared" si="197"/>
        <v>0</v>
      </c>
      <c r="AF110" s="30"/>
      <c r="AG110" s="30">
        <f t="shared" si="198"/>
        <v>0</v>
      </c>
      <c r="AH110" s="30"/>
      <c r="AI110" s="30"/>
      <c r="AJ110" s="30">
        <f t="shared" si="199"/>
        <v>0</v>
      </c>
      <c r="AK110" s="30"/>
      <c r="AL110" s="30">
        <f t="shared" si="200"/>
        <v>0</v>
      </c>
      <c r="AM110" s="30"/>
      <c r="AN110" s="30"/>
      <c r="AO110" s="30">
        <f t="shared" si="201"/>
        <v>0</v>
      </c>
      <c r="AP110" s="30"/>
      <c r="AQ110" s="30">
        <f t="shared" si="202"/>
        <v>0</v>
      </c>
      <c r="AR110" s="30"/>
      <c r="AS110" s="30"/>
      <c r="AT110" s="30">
        <f t="shared" si="203"/>
        <v>0</v>
      </c>
      <c r="AU110" s="30"/>
      <c r="AV110" s="30">
        <f t="shared" si="204"/>
        <v>0</v>
      </c>
      <c r="AW110" s="30"/>
      <c r="AX110" s="30"/>
      <c r="AY110" s="30">
        <f t="shared" si="205"/>
        <v>0</v>
      </c>
      <c r="AZ110" s="30"/>
      <c r="BA110" s="30">
        <v>0</v>
      </c>
      <c r="BB110" s="30"/>
      <c r="BC110" s="45">
        <v>10000</v>
      </c>
      <c r="BD110" s="45">
        <f t="shared" si="206"/>
        <v>1390.0000000000002</v>
      </c>
      <c r="BE110" s="30"/>
      <c r="BF110" s="30">
        <f t="shared" si="207"/>
        <v>0</v>
      </c>
      <c r="BG110" s="30"/>
      <c r="BH110" s="30">
        <v>10000</v>
      </c>
      <c r="BI110" s="30">
        <f t="shared" si="208"/>
        <v>1390.0000000000002</v>
      </c>
      <c r="BJ110" s="30"/>
      <c r="BK110" s="30">
        <f t="shared" si="209"/>
        <v>0</v>
      </c>
      <c r="BL110" s="30"/>
      <c r="BM110" s="30">
        <v>10000</v>
      </c>
      <c r="BN110" s="30">
        <f t="shared" si="210"/>
        <v>1390.0000000000002</v>
      </c>
      <c r="BO110" s="30"/>
      <c r="BP110" s="30">
        <f t="shared" si="211"/>
        <v>0</v>
      </c>
      <c r="BQ110" s="30"/>
      <c r="BR110" s="30">
        <v>10000</v>
      </c>
      <c r="BS110" s="30">
        <f t="shared" si="212"/>
        <v>1390.0000000000002</v>
      </c>
      <c r="BT110" s="30"/>
      <c r="BU110" s="30">
        <f t="shared" si="213"/>
        <v>0</v>
      </c>
      <c r="BV110" s="30"/>
      <c r="BW110" s="30">
        <v>10000</v>
      </c>
      <c r="BX110" s="30">
        <f t="shared" si="214"/>
        <v>1390.0000000000002</v>
      </c>
      <c r="BY110" s="30"/>
      <c r="BZ110" s="30">
        <f t="shared" si="215"/>
        <v>0</v>
      </c>
      <c r="CA110" s="30"/>
      <c r="CB110" s="30"/>
      <c r="CC110" s="30">
        <f t="shared" si="216"/>
        <v>0</v>
      </c>
      <c r="CD110" s="30"/>
      <c r="CE110" s="30">
        <f t="shared" si="217"/>
        <v>0</v>
      </c>
      <c r="CF110" s="30"/>
      <c r="CG110" s="2"/>
    </row>
    <row r="111" spans="1:85" x14ac:dyDescent="0.4">
      <c r="A111" s="2" t="s">
        <v>110</v>
      </c>
      <c r="B111" s="2" t="s">
        <v>262</v>
      </c>
      <c r="C111" s="2" t="s">
        <v>263</v>
      </c>
      <c r="D111" s="2" t="s">
        <v>365</v>
      </c>
      <c r="E111" s="165" t="s">
        <v>366</v>
      </c>
      <c r="F111" s="2"/>
      <c r="G111" s="2"/>
      <c r="H111" s="2"/>
      <c r="I111" s="2"/>
      <c r="J111" s="2"/>
      <c r="K111" s="2" t="s">
        <v>267</v>
      </c>
      <c r="L111" s="13" t="s">
        <v>268</v>
      </c>
      <c r="M111" s="2" t="s">
        <v>87</v>
      </c>
      <c r="N111" s="2" t="s">
        <v>87</v>
      </c>
      <c r="O111" s="2" t="s">
        <v>88</v>
      </c>
      <c r="P111" s="2" t="s">
        <v>85</v>
      </c>
      <c r="Q111" s="2" t="s">
        <v>392</v>
      </c>
      <c r="R111" s="2" t="s">
        <v>80</v>
      </c>
      <c r="S111" s="11">
        <v>0.112</v>
      </c>
      <c r="T111" s="12"/>
      <c r="U111" s="30">
        <f t="shared" si="191"/>
        <v>50</v>
      </c>
      <c r="V111" s="30">
        <f t="shared" si="192"/>
        <v>5.6</v>
      </c>
      <c r="W111" s="30">
        <f t="shared" si="193"/>
        <v>0</v>
      </c>
      <c r="X111" s="30">
        <f t="shared" si="194"/>
        <v>0</v>
      </c>
      <c r="Y111" s="30"/>
      <c r="Z111" s="30">
        <f t="shared" si="195"/>
        <v>0</v>
      </c>
      <c r="AA111" s="30"/>
      <c r="AB111" s="30">
        <f t="shared" si="196"/>
        <v>0</v>
      </c>
      <c r="AC111" s="30"/>
      <c r="AD111" s="30"/>
      <c r="AE111" s="30">
        <f t="shared" si="197"/>
        <v>0</v>
      </c>
      <c r="AF111" s="30"/>
      <c r="AG111" s="30">
        <f t="shared" si="198"/>
        <v>0</v>
      </c>
      <c r="AH111" s="30"/>
      <c r="AI111" s="30"/>
      <c r="AJ111" s="30">
        <f t="shared" si="199"/>
        <v>0</v>
      </c>
      <c r="AK111" s="30"/>
      <c r="AL111" s="30">
        <f t="shared" si="200"/>
        <v>0</v>
      </c>
      <c r="AM111" s="30"/>
      <c r="AN111" s="30"/>
      <c r="AO111" s="30">
        <f t="shared" si="201"/>
        <v>0</v>
      </c>
      <c r="AP111" s="30"/>
      <c r="AQ111" s="30">
        <f t="shared" si="202"/>
        <v>0</v>
      </c>
      <c r="AR111" s="30"/>
      <c r="AS111" s="30"/>
      <c r="AT111" s="30">
        <f t="shared" si="203"/>
        <v>0</v>
      </c>
      <c r="AU111" s="30"/>
      <c r="AV111" s="30">
        <f t="shared" si="204"/>
        <v>0</v>
      </c>
      <c r="AW111" s="30"/>
      <c r="AX111" s="30"/>
      <c r="AY111" s="30">
        <f t="shared" si="205"/>
        <v>0</v>
      </c>
      <c r="AZ111" s="30"/>
      <c r="BA111" s="30">
        <v>0</v>
      </c>
      <c r="BB111" s="30"/>
      <c r="BC111" s="45">
        <v>10000</v>
      </c>
      <c r="BD111" s="45">
        <f t="shared" si="206"/>
        <v>1120</v>
      </c>
      <c r="BE111" s="30"/>
      <c r="BF111" s="30">
        <f t="shared" si="207"/>
        <v>0</v>
      </c>
      <c r="BG111" s="30"/>
      <c r="BH111" s="30">
        <v>10000</v>
      </c>
      <c r="BI111" s="30">
        <f t="shared" si="208"/>
        <v>1120</v>
      </c>
      <c r="BJ111" s="30"/>
      <c r="BK111" s="30">
        <f t="shared" si="209"/>
        <v>0</v>
      </c>
      <c r="BL111" s="30"/>
      <c r="BM111" s="30">
        <v>10000</v>
      </c>
      <c r="BN111" s="30">
        <f t="shared" si="210"/>
        <v>1120</v>
      </c>
      <c r="BO111" s="30"/>
      <c r="BP111" s="30">
        <f t="shared" si="211"/>
        <v>0</v>
      </c>
      <c r="BQ111" s="30"/>
      <c r="BR111" s="30">
        <v>10000</v>
      </c>
      <c r="BS111" s="30">
        <f t="shared" si="212"/>
        <v>1120</v>
      </c>
      <c r="BT111" s="30"/>
      <c r="BU111" s="30">
        <f t="shared" si="213"/>
        <v>0</v>
      </c>
      <c r="BV111" s="30"/>
      <c r="BW111" s="30">
        <v>10000</v>
      </c>
      <c r="BX111" s="30">
        <f t="shared" si="214"/>
        <v>1120</v>
      </c>
      <c r="BY111" s="30"/>
      <c r="BZ111" s="30">
        <f t="shared" si="215"/>
        <v>0</v>
      </c>
      <c r="CA111" s="30"/>
      <c r="CB111" s="30"/>
      <c r="CC111" s="30">
        <f t="shared" si="216"/>
        <v>0</v>
      </c>
      <c r="CD111" s="30"/>
      <c r="CE111" s="30">
        <f t="shared" si="217"/>
        <v>0</v>
      </c>
      <c r="CF111" s="30"/>
      <c r="CG111" s="2"/>
    </row>
    <row r="112" spans="1:85" x14ac:dyDescent="0.4">
      <c r="A112" s="2" t="s">
        <v>110</v>
      </c>
      <c r="B112" s="2" t="s">
        <v>262</v>
      </c>
      <c r="C112" s="2" t="s">
        <v>263</v>
      </c>
      <c r="D112" s="2" t="s">
        <v>365</v>
      </c>
      <c r="E112" s="165" t="s">
        <v>366</v>
      </c>
      <c r="F112" s="2"/>
      <c r="G112" s="2"/>
      <c r="H112" s="2"/>
      <c r="I112" s="2"/>
      <c r="J112" s="2"/>
      <c r="K112" s="2" t="s">
        <v>267</v>
      </c>
      <c r="L112" s="13" t="s">
        <v>268</v>
      </c>
      <c r="M112" s="2" t="s">
        <v>138</v>
      </c>
      <c r="N112" s="2" t="s">
        <v>138</v>
      </c>
      <c r="O112" s="2" t="s">
        <v>90</v>
      </c>
      <c r="P112" s="2" t="s">
        <v>125</v>
      </c>
      <c r="Q112" s="2" t="s">
        <v>393</v>
      </c>
      <c r="R112" s="2" t="s">
        <v>80</v>
      </c>
      <c r="S112" s="11">
        <v>1.7250000000000001</v>
      </c>
      <c r="T112" s="12"/>
      <c r="U112" s="30">
        <f t="shared" si="191"/>
        <v>1</v>
      </c>
      <c r="V112" s="30">
        <f t="shared" si="192"/>
        <v>1.7250000000000001</v>
      </c>
      <c r="W112" s="30">
        <f t="shared" si="193"/>
        <v>0</v>
      </c>
      <c r="X112" s="30">
        <f t="shared" si="194"/>
        <v>0</v>
      </c>
      <c r="Y112" s="30"/>
      <c r="Z112" s="30">
        <f t="shared" si="195"/>
        <v>0</v>
      </c>
      <c r="AA112" s="30"/>
      <c r="AB112" s="30">
        <f t="shared" si="196"/>
        <v>0</v>
      </c>
      <c r="AC112" s="30"/>
      <c r="AD112" s="30"/>
      <c r="AE112" s="30">
        <f t="shared" si="197"/>
        <v>0</v>
      </c>
      <c r="AF112" s="30"/>
      <c r="AG112" s="30">
        <f t="shared" si="198"/>
        <v>0</v>
      </c>
      <c r="AH112" s="30"/>
      <c r="AI112" s="30"/>
      <c r="AJ112" s="30">
        <f t="shared" si="199"/>
        <v>0</v>
      </c>
      <c r="AK112" s="30"/>
      <c r="AL112" s="30">
        <f t="shared" si="200"/>
        <v>0</v>
      </c>
      <c r="AM112" s="30"/>
      <c r="AN112" s="30"/>
      <c r="AO112" s="30">
        <f t="shared" si="201"/>
        <v>0</v>
      </c>
      <c r="AP112" s="30"/>
      <c r="AQ112" s="30">
        <f t="shared" si="202"/>
        <v>0</v>
      </c>
      <c r="AR112" s="30"/>
      <c r="AS112" s="30"/>
      <c r="AT112" s="30">
        <f t="shared" si="203"/>
        <v>0</v>
      </c>
      <c r="AU112" s="30"/>
      <c r="AV112" s="30">
        <f t="shared" si="204"/>
        <v>0</v>
      </c>
      <c r="AW112" s="30"/>
      <c r="AX112" s="30"/>
      <c r="AY112" s="30">
        <f t="shared" si="205"/>
        <v>0</v>
      </c>
      <c r="AZ112" s="30"/>
      <c r="BA112" s="30">
        <v>0</v>
      </c>
      <c r="BB112" s="30"/>
      <c r="BC112" s="45">
        <v>500</v>
      </c>
      <c r="BD112" s="45">
        <f t="shared" si="206"/>
        <v>862.5</v>
      </c>
      <c r="BE112" s="30"/>
      <c r="BF112" s="30">
        <f t="shared" si="207"/>
        <v>0</v>
      </c>
      <c r="BG112" s="30"/>
      <c r="BH112" s="30"/>
      <c r="BI112" s="30">
        <f t="shared" si="208"/>
        <v>0</v>
      </c>
      <c r="BJ112" s="30"/>
      <c r="BK112" s="30">
        <f t="shared" si="209"/>
        <v>0</v>
      </c>
      <c r="BL112" s="30"/>
      <c r="BM112" s="30"/>
      <c r="BN112" s="30">
        <f t="shared" si="210"/>
        <v>0</v>
      </c>
      <c r="BO112" s="30"/>
      <c r="BP112" s="30">
        <f t="shared" si="211"/>
        <v>0</v>
      </c>
      <c r="BQ112" s="30"/>
      <c r="BR112" s="30"/>
      <c r="BS112" s="30">
        <f t="shared" si="212"/>
        <v>0</v>
      </c>
      <c r="BT112" s="30"/>
      <c r="BU112" s="30">
        <f t="shared" si="213"/>
        <v>0</v>
      </c>
      <c r="BV112" s="30"/>
      <c r="BW112" s="30">
        <v>500</v>
      </c>
      <c r="BX112" s="30">
        <f t="shared" si="214"/>
        <v>862.5</v>
      </c>
      <c r="BY112" s="30"/>
      <c r="BZ112" s="30">
        <f t="shared" si="215"/>
        <v>0</v>
      </c>
      <c r="CA112" s="30"/>
      <c r="CB112" s="30"/>
      <c r="CC112" s="30">
        <f t="shared" si="216"/>
        <v>0</v>
      </c>
      <c r="CD112" s="30"/>
      <c r="CE112" s="30">
        <f t="shared" si="217"/>
        <v>0</v>
      </c>
      <c r="CF112" s="30"/>
      <c r="CG112" s="2"/>
    </row>
    <row r="113" spans="1:85" x14ac:dyDescent="0.4">
      <c r="A113" s="2" t="s">
        <v>110</v>
      </c>
      <c r="B113" s="2" t="s">
        <v>262</v>
      </c>
      <c r="C113" s="2" t="s">
        <v>263</v>
      </c>
      <c r="D113" s="2" t="s">
        <v>365</v>
      </c>
      <c r="E113" s="167" t="s">
        <v>366</v>
      </c>
      <c r="F113" s="2"/>
      <c r="G113" s="2"/>
      <c r="H113" s="2"/>
      <c r="I113" s="2"/>
      <c r="J113" s="2"/>
      <c r="K113" s="2" t="s">
        <v>267</v>
      </c>
      <c r="L113" s="13" t="s">
        <v>268</v>
      </c>
      <c r="M113" s="2" t="s">
        <v>138</v>
      </c>
      <c r="N113" s="2" t="s">
        <v>138</v>
      </c>
      <c r="O113" s="2" t="s">
        <v>90</v>
      </c>
      <c r="P113" s="2" t="s">
        <v>125</v>
      </c>
      <c r="Q113" s="2" t="s">
        <v>394</v>
      </c>
      <c r="R113" s="2" t="s">
        <v>80</v>
      </c>
      <c r="S113" s="11">
        <v>1.7250000000000001</v>
      </c>
      <c r="T113" s="12"/>
      <c r="U113" s="30">
        <f t="shared" si="191"/>
        <v>1</v>
      </c>
      <c r="V113" s="30">
        <f t="shared" si="192"/>
        <v>1.7250000000000001</v>
      </c>
      <c r="W113" s="30">
        <f t="shared" si="193"/>
        <v>0</v>
      </c>
      <c r="X113" s="30">
        <f t="shared" si="194"/>
        <v>0</v>
      </c>
      <c r="Y113" s="30"/>
      <c r="Z113" s="30">
        <f t="shared" si="195"/>
        <v>0</v>
      </c>
      <c r="AA113" s="30"/>
      <c r="AB113" s="30">
        <f t="shared" si="196"/>
        <v>0</v>
      </c>
      <c r="AC113" s="30"/>
      <c r="AD113" s="30"/>
      <c r="AE113" s="30">
        <f t="shared" si="197"/>
        <v>0</v>
      </c>
      <c r="AF113" s="30"/>
      <c r="AG113" s="30">
        <f t="shared" si="198"/>
        <v>0</v>
      </c>
      <c r="AH113" s="30"/>
      <c r="AI113" s="30"/>
      <c r="AJ113" s="30">
        <f t="shared" si="199"/>
        <v>0</v>
      </c>
      <c r="AK113" s="30"/>
      <c r="AL113" s="30">
        <f t="shared" si="200"/>
        <v>0</v>
      </c>
      <c r="AM113" s="30"/>
      <c r="AN113" s="30"/>
      <c r="AO113" s="30">
        <f t="shared" si="201"/>
        <v>0</v>
      </c>
      <c r="AP113" s="30"/>
      <c r="AQ113" s="30">
        <f t="shared" si="202"/>
        <v>0</v>
      </c>
      <c r="AR113" s="30"/>
      <c r="AS113" s="30"/>
      <c r="AT113" s="30">
        <f t="shared" si="203"/>
        <v>0</v>
      </c>
      <c r="AU113" s="30"/>
      <c r="AV113" s="30">
        <f t="shared" si="204"/>
        <v>0</v>
      </c>
      <c r="AW113" s="30"/>
      <c r="AX113" s="30"/>
      <c r="AY113" s="30">
        <f t="shared" si="205"/>
        <v>0</v>
      </c>
      <c r="AZ113" s="30"/>
      <c r="BA113" s="30">
        <v>0</v>
      </c>
      <c r="BB113" s="30"/>
      <c r="BC113" s="45">
        <v>500</v>
      </c>
      <c r="BD113" s="45">
        <f t="shared" si="206"/>
        <v>862.5</v>
      </c>
      <c r="BE113" s="30"/>
      <c r="BF113" s="30">
        <f t="shared" si="207"/>
        <v>0</v>
      </c>
      <c r="BG113" s="30"/>
      <c r="BH113" s="30"/>
      <c r="BI113" s="30">
        <f t="shared" si="208"/>
        <v>0</v>
      </c>
      <c r="BJ113" s="30"/>
      <c r="BK113" s="30">
        <f t="shared" si="209"/>
        <v>0</v>
      </c>
      <c r="BL113" s="30"/>
      <c r="BM113" s="30"/>
      <c r="BN113" s="30">
        <f t="shared" si="210"/>
        <v>0</v>
      </c>
      <c r="BO113" s="30"/>
      <c r="BP113" s="30">
        <f t="shared" si="211"/>
        <v>0</v>
      </c>
      <c r="BQ113" s="30"/>
      <c r="BR113" s="30"/>
      <c r="BS113" s="30">
        <f t="shared" si="212"/>
        <v>0</v>
      </c>
      <c r="BT113" s="30"/>
      <c r="BU113" s="30">
        <f t="shared" si="213"/>
        <v>0</v>
      </c>
      <c r="BV113" s="30"/>
      <c r="BW113" s="30">
        <v>500</v>
      </c>
      <c r="BX113" s="30">
        <f t="shared" si="214"/>
        <v>862.5</v>
      </c>
      <c r="BY113" s="30"/>
      <c r="BZ113" s="30">
        <f t="shared" si="215"/>
        <v>0</v>
      </c>
      <c r="CA113" s="30"/>
      <c r="CB113" s="30"/>
      <c r="CC113" s="30">
        <f t="shared" si="216"/>
        <v>0</v>
      </c>
      <c r="CD113" s="30"/>
      <c r="CE113" s="30">
        <f t="shared" si="217"/>
        <v>0</v>
      </c>
      <c r="CF113" s="30"/>
      <c r="CG113" s="2"/>
    </row>
    <row r="114" spans="1:85" x14ac:dyDescent="0.4">
      <c r="A114" s="2" t="s">
        <v>110</v>
      </c>
      <c r="B114" s="2" t="s">
        <v>262</v>
      </c>
      <c r="C114" s="2" t="s">
        <v>263</v>
      </c>
      <c r="D114" s="2" t="s">
        <v>365</v>
      </c>
      <c r="E114" s="165" t="s">
        <v>366</v>
      </c>
      <c r="F114" s="2"/>
      <c r="G114" s="2"/>
      <c r="H114" s="2"/>
      <c r="I114" s="2"/>
      <c r="J114" s="2"/>
      <c r="K114" s="2" t="s">
        <v>267</v>
      </c>
      <c r="L114" s="13" t="s">
        <v>268</v>
      </c>
      <c r="M114" s="2" t="s">
        <v>124</v>
      </c>
      <c r="N114" s="2" t="s">
        <v>124</v>
      </c>
      <c r="O114" s="2" t="s">
        <v>90</v>
      </c>
      <c r="P114" s="2" t="s">
        <v>125</v>
      </c>
      <c r="Q114" s="2" t="s">
        <v>395</v>
      </c>
      <c r="R114" s="2"/>
      <c r="S114" s="11"/>
      <c r="T114" s="12">
        <v>64000</v>
      </c>
      <c r="U114" s="30">
        <f t="shared" si="191"/>
        <v>0</v>
      </c>
      <c r="V114" s="30">
        <f t="shared" si="192"/>
        <v>0</v>
      </c>
      <c r="W114" s="30">
        <f t="shared" si="193"/>
        <v>0</v>
      </c>
      <c r="X114" s="30">
        <f t="shared" si="194"/>
        <v>52000</v>
      </c>
      <c r="Y114" s="30"/>
      <c r="Z114" s="30">
        <f t="shared" si="195"/>
        <v>0</v>
      </c>
      <c r="AA114" s="30"/>
      <c r="AB114" s="30">
        <f t="shared" si="196"/>
        <v>0</v>
      </c>
      <c r="AC114" s="30">
        <v>52000</v>
      </c>
      <c r="AD114" s="30"/>
      <c r="AE114" s="30">
        <f t="shared" si="197"/>
        <v>0</v>
      </c>
      <c r="AF114" s="30"/>
      <c r="AG114" s="30">
        <f t="shared" si="198"/>
        <v>0</v>
      </c>
      <c r="AH114" s="30"/>
      <c r="AI114" s="30"/>
      <c r="AJ114" s="30">
        <f t="shared" si="199"/>
        <v>0</v>
      </c>
      <c r="AK114" s="30"/>
      <c r="AL114" s="30">
        <f t="shared" si="200"/>
        <v>0</v>
      </c>
      <c r="AM114" s="30"/>
      <c r="AN114" s="30"/>
      <c r="AO114" s="30">
        <f t="shared" si="201"/>
        <v>0</v>
      </c>
      <c r="AP114" s="30"/>
      <c r="AQ114" s="30">
        <f t="shared" si="202"/>
        <v>0</v>
      </c>
      <c r="AR114" s="30"/>
      <c r="AS114" s="30"/>
      <c r="AT114" s="30">
        <f t="shared" si="203"/>
        <v>0</v>
      </c>
      <c r="AU114" s="30"/>
      <c r="AV114" s="30">
        <f t="shared" si="204"/>
        <v>0</v>
      </c>
      <c r="AW114" s="30"/>
      <c r="AX114" s="30"/>
      <c r="AY114" s="30">
        <f t="shared" si="205"/>
        <v>0</v>
      </c>
      <c r="AZ114" s="30"/>
      <c r="BA114" s="30">
        <v>0</v>
      </c>
      <c r="BB114" s="30"/>
      <c r="BC114" s="45"/>
      <c r="BD114" s="45">
        <f t="shared" si="206"/>
        <v>0</v>
      </c>
      <c r="BE114" s="30"/>
      <c r="BF114" s="30">
        <f t="shared" si="207"/>
        <v>0</v>
      </c>
      <c r="BG114" s="30"/>
      <c r="BH114" s="30"/>
      <c r="BI114" s="30">
        <f t="shared" si="208"/>
        <v>0</v>
      </c>
      <c r="BJ114" s="30"/>
      <c r="BK114" s="30">
        <f t="shared" si="209"/>
        <v>0</v>
      </c>
      <c r="BL114" s="30"/>
      <c r="BM114" s="30"/>
      <c r="BN114" s="30">
        <f t="shared" si="210"/>
        <v>0</v>
      </c>
      <c r="BO114" s="30"/>
      <c r="BP114" s="30">
        <f t="shared" si="211"/>
        <v>0</v>
      </c>
      <c r="BQ114" s="30"/>
      <c r="BR114" s="30"/>
      <c r="BS114" s="30">
        <f t="shared" si="212"/>
        <v>0</v>
      </c>
      <c r="BT114" s="30"/>
      <c r="BU114" s="30">
        <f t="shared" si="213"/>
        <v>0</v>
      </c>
      <c r="BV114" s="30"/>
      <c r="BW114" s="30"/>
      <c r="BX114" s="30">
        <f t="shared" si="214"/>
        <v>0</v>
      </c>
      <c r="BY114" s="30"/>
      <c r="BZ114" s="30">
        <f t="shared" si="215"/>
        <v>0</v>
      </c>
      <c r="CA114" s="146">
        <v>52000</v>
      </c>
      <c r="CB114" s="30"/>
      <c r="CC114" s="30">
        <f t="shared" si="216"/>
        <v>0</v>
      </c>
      <c r="CD114" s="30"/>
      <c r="CE114" s="30">
        <f t="shared" si="217"/>
        <v>0</v>
      </c>
      <c r="CF114" s="30"/>
      <c r="CG114" s="2"/>
    </row>
    <row r="115" spans="1:85" ht="17" x14ac:dyDescent="0.4">
      <c r="A115" s="2" t="s">
        <v>110</v>
      </c>
      <c r="B115" s="2" t="s">
        <v>262</v>
      </c>
      <c r="C115" s="2" t="s">
        <v>263</v>
      </c>
      <c r="D115" s="2" t="s">
        <v>365</v>
      </c>
      <c r="E115" s="165" t="s">
        <v>366</v>
      </c>
      <c r="F115" s="2"/>
      <c r="G115" s="2"/>
      <c r="H115" s="2"/>
      <c r="I115" s="2"/>
      <c r="J115" s="2"/>
      <c r="K115" s="2" t="s">
        <v>267</v>
      </c>
      <c r="L115" s="13" t="s">
        <v>268</v>
      </c>
      <c r="M115" s="2" t="s">
        <v>138</v>
      </c>
      <c r="N115" s="2" t="s">
        <v>138</v>
      </c>
      <c r="O115" s="2" t="s">
        <v>90</v>
      </c>
      <c r="P115" s="2" t="s">
        <v>125</v>
      </c>
      <c r="Q115" s="2" t="s">
        <v>348</v>
      </c>
      <c r="R115" s="2"/>
      <c r="S115" s="11"/>
      <c r="T115" s="12"/>
      <c r="U115" s="30">
        <f t="shared" si="191"/>
        <v>0</v>
      </c>
      <c r="V115" s="30">
        <f t="shared" si="192"/>
        <v>0</v>
      </c>
      <c r="W115" s="30">
        <f t="shared" si="193"/>
        <v>0</v>
      </c>
      <c r="X115" s="30">
        <f t="shared" si="194"/>
        <v>0</v>
      </c>
      <c r="Y115" s="30"/>
      <c r="Z115" s="30">
        <f t="shared" si="195"/>
        <v>0</v>
      </c>
      <c r="AA115" s="30"/>
      <c r="AB115" s="30">
        <f t="shared" si="196"/>
        <v>0</v>
      </c>
      <c r="AC115" s="30"/>
      <c r="AD115" s="30"/>
      <c r="AE115" s="30">
        <f t="shared" si="197"/>
        <v>0</v>
      </c>
      <c r="AF115" s="30"/>
      <c r="AG115" s="30">
        <f t="shared" si="198"/>
        <v>0</v>
      </c>
      <c r="AH115" s="30"/>
      <c r="AI115" s="30"/>
      <c r="AJ115" s="30">
        <f t="shared" si="199"/>
        <v>0</v>
      </c>
      <c r="AK115" s="30"/>
      <c r="AL115" s="30">
        <f t="shared" si="200"/>
        <v>0</v>
      </c>
      <c r="AM115" s="30">
        <v>16000</v>
      </c>
      <c r="AN115" s="30"/>
      <c r="AO115" s="30">
        <f t="shared" si="201"/>
        <v>0</v>
      </c>
      <c r="AP115" s="30"/>
      <c r="AQ115" s="30">
        <f t="shared" si="202"/>
        <v>0</v>
      </c>
      <c r="AR115" s="30"/>
      <c r="AS115" s="30"/>
      <c r="AT115" s="30">
        <f t="shared" si="203"/>
        <v>0</v>
      </c>
      <c r="AU115" s="30"/>
      <c r="AV115" s="30">
        <f t="shared" si="204"/>
        <v>0</v>
      </c>
      <c r="AW115" s="30"/>
      <c r="AX115" s="30"/>
      <c r="AY115" s="30">
        <f t="shared" si="205"/>
        <v>0</v>
      </c>
      <c r="AZ115" s="30"/>
      <c r="BA115" s="30">
        <v>0</v>
      </c>
      <c r="BB115" s="30"/>
      <c r="BC115" s="45"/>
      <c r="BD115" s="45">
        <f t="shared" si="206"/>
        <v>0</v>
      </c>
      <c r="BE115" s="30"/>
      <c r="BF115" s="30">
        <f t="shared" si="207"/>
        <v>0</v>
      </c>
      <c r="BG115" s="30"/>
      <c r="BH115" s="30"/>
      <c r="BI115" s="30">
        <f t="shared" si="208"/>
        <v>0</v>
      </c>
      <c r="BJ115" s="30"/>
      <c r="BK115" s="30">
        <f t="shared" si="209"/>
        <v>0</v>
      </c>
      <c r="BL115" s="18"/>
      <c r="BM115" s="30"/>
      <c r="BN115" s="30">
        <f t="shared" si="210"/>
        <v>0</v>
      </c>
      <c r="BO115" s="30"/>
      <c r="BP115" s="30">
        <f t="shared" si="211"/>
        <v>0</v>
      </c>
      <c r="BQ115" s="27"/>
      <c r="BR115" s="30"/>
      <c r="BS115" s="30">
        <f t="shared" si="212"/>
        <v>0</v>
      </c>
      <c r="BT115" s="30"/>
      <c r="BU115" s="30">
        <f t="shared" si="213"/>
        <v>0</v>
      </c>
      <c r="BV115" s="30"/>
      <c r="BW115" s="30"/>
      <c r="BX115" s="30">
        <f t="shared" si="214"/>
        <v>0</v>
      </c>
      <c r="BY115" s="30"/>
      <c r="BZ115" s="30">
        <f t="shared" si="215"/>
        <v>0</v>
      </c>
      <c r="CA115" s="30"/>
      <c r="CB115" s="30"/>
      <c r="CC115" s="30">
        <f t="shared" si="216"/>
        <v>0</v>
      </c>
      <c r="CD115" s="30"/>
      <c r="CE115" s="30">
        <f t="shared" si="217"/>
        <v>0</v>
      </c>
      <c r="CF115" s="30"/>
      <c r="CG115" s="61"/>
    </row>
    <row r="116" spans="1:85" x14ac:dyDescent="0.4">
      <c r="A116" s="2" t="s">
        <v>110</v>
      </c>
      <c r="B116" s="2" t="s">
        <v>262</v>
      </c>
      <c r="C116" s="2" t="s">
        <v>263</v>
      </c>
      <c r="D116" s="2" t="s">
        <v>365</v>
      </c>
      <c r="E116" s="165" t="s">
        <v>366</v>
      </c>
      <c r="F116" s="2"/>
      <c r="G116" s="2"/>
      <c r="H116" s="2"/>
      <c r="I116" s="2"/>
      <c r="J116" s="2"/>
      <c r="K116" s="2" t="s">
        <v>267</v>
      </c>
      <c r="L116" s="13" t="s">
        <v>268</v>
      </c>
      <c r="M116" s="2" t="s">
        <v>138</v>
      </c>
      <c r="N116" s="2" t="s">
        <v>138</v>
      </c>
      <c r="O116" s="2" t="s">
        <v>90</v>
      </c>
      <c r="P116" s="2" t="s">
        <v>125</v>
      </c>
      <c r="Q116" s="2" t="s">
        <v>188</v>
      </c>
      <c r="R116" s="2"/>
      <c r="S116" s="11"/>
      <c r="T116" s="12"/>
      <c r="U116" s="30">
        <f t="shared" si="191"/>
        <v>0</v>
      </c>
      <c r="V116" s="30">
        <f t="shared" si="192"/>
        <v>0</v>
      </c>
      <c r="W116" s="30">
        <f t="shared" si="193"/>
        <v>0</v>
      </c>
      <c r="X116" s="30">
        <f t="shared" si="194"/>
        <v>0</v>
      </c>
      <c r="Y116" s="30"/>
      <c r="Z116" s="30">
        <f t="shared" si="195"/>
        <v>0</v>
      </c>
      <c r="AA116" s="30"/>
      <c r="AB116" s="30">
        <f t="shared" si="196"/>
        <v>0</v>
      </c>
      <c r="AC116" s="30"/>
      <c r="AD116" s="30"/>
      <c r="AE116" s="30">
        <f t="shared" si="197"/>
        <v>0</v>
      </c>
      <c r="AF116" s="30"/>
      <c r="AG116" s="30">
        <f t="shared" si="198"/>
        <v>0</v>
      </c>
      <c r="AH116" s="30"/>
      <c r="AI116" s="30"/>
      <c r="AJ116" s="30">
        <f t="shared" si="199"/>
        <v>0</v>
      </c>
      <c r="AK116" s="30"/>
      <c r="AL116" s="30">
        <f t="shared" si="200"/>
        <v>0</v>
      </c>
      <c r="AM116" s="30"/>
      <c r="AN116" s="30"/>
      <c r="AO116" s="30">
        <f t="shared" si="201"/>
        <v>0</v>
      </c>
      <c r="AP116" s="30"/>
      <c r="AQ116" s="30">
        <f t="shared" si="202"/>
        <v>0</v>
      </c>
      <c r="AR116" s="30"/>
      <c r="AS116" s="30"/>
      <c r="AT116" s="30">
        <f t="shared" si="203"/>
        <v>0</v>
      </c>
      <c r="AU116" s="30"/>
      <c r="AV116" s="30">
        <f t="shared" si="204"/>
        <v>0</v>
      </c>
      <c r="AW116" s="30"/>
      <c r="AX116" s="30"/>
      <c r="AY116" s="30">
        <f t="shared" si="205"/>
        <v>0</v>
      </c>
      <c r="AZ116" s="30"/>
      <c r="BA116" s="30">
        <v>0</v>
      </c>
      <c r="BB116" s="30"/>
      <c r="BC116" s="45"/>
      <c r="BD116" s="45">
        <f t="shared" si="206"/>
        <v>0</v>
      </c>
      <c r="BE116" s="30"/>
      <c r="BF116" s="30">
        <f t="shared" si="207"/>
        <v>0</v>
      </c>
      <c r="BG116" s="30"/>
      <c r="BH116" s="30"/>
      <c r="BI116" s="30">
        <f t="shared" si="208"/>
        <v>0</v>
      </c>
      <c r="BJ116" s="30"/>
      <c r="BK116" s="30">
        <f t="shared" si="209"/>
        <v>0</v>
      </c>
      <c r="BL116" s="18"/>
      <c r="BM116" s="30"/>
      <c r="BN116" s="30">
        <f t="shared" si="210"/>
        <v>0</v>
      </c>
      <c r="BO116" s="30"/>
      <c r="BP116" s="30">
        <f t="shared" si="211"/>
        <v>0</v>
      </c>
      <c r="BQ116" s="30"/>
      <c r="BR116" s="30"/>
      <c r="BS116" s="30">
        <f t="shared" si="212"/>
        <v>0</v>
      </c>
      <c r="BT116" s="30"/>
      <c r="BU116" s="30">
        <f t="shared" si="213"/>
        <v>0</v>
      </c>
      <c r="BV116" s="30"/>
      <c r="BW116" s="30"/>
      <c r="BX116" s="30">
        <f t="shared" si="214"/>
        <v>0</v>
      </c>
      <c r="BY116" s="30"/>
      <c r="BZ116" s="30">
        <f t="shared" si="215"/>
        <v>0</v>
      </c>
      <c r="CA116" s="30"/>
      <c r="CB116" s="30"/>
      <c r="CC116" s="30">
        <f t="shared" si="216"/>
        <v>0</v>
      </c>
      <c r="CD116" s="30"/>
      <c r="CE116" s="30">
        <f t="shared" si="217"/>
        <v>0</v>
      </c>
      <c r="CF116" s="30"/>
      <c r="CG116" s="2"/>
    </row>
    <row r="117" spans="1:85" x14ac:dyDescent="0.4">
      <c r="A117" s="2" t="s">
        <v>110</v>
      </c>
      <c r="B117" s="2" t="s">
        <v>262</v>
      </c>
      <c r="C117" s="2" t="s">
        <v>263</v>
      </c>
      <c r="D117" s="2" t="s">
        <v>365</v>
      </c>
      <c r="E117" s="165" t="s">
        <v>366</v>
      </c>
      <c r="F117" s="2"/>
      <c r="G117" s="2"/>
      <c r="H117" s="2"/>
      <c r="I117" s="2"/>
      <c r="J117" s="2"/>
      <c r="K117" s="2" t="s">
        <v>267</v>
      </c>
      <c r="L117" s="13" t="s">
        <v>268</v>
      </c>
      <c r="M117" s="2" t="s">
        <v>138</v>
      </c>
      <c r="N117" s="2" t="s">
        <v>138</v>
      </c>
      <c r="O117" s="2" t="s">
        <v>90</v>
      </c>
      <c r="P117" s="2" t="s">
        <v>125</v>
      </c>
      <c r="Q117" s="2" t="s">
        <v>396</v>
      </c>
      <c r="R117" s="2"/>
      <c r="S117" s="11"/>
      <c r="T117" s="12"/>
      <c r="U117" s="30">
        <f t="shared" si="191"/>
        <v>0</v>
      </c>
      <c r="V117" s="30">
        <f t="shared" si="192"/>
        <v>0</v>
      </c>
      <c r="W117" s="30">
        <f t="shared" si="193"/>
        <v>0</v>
      </c>
      <c r="X117" s="30">
        <f t="shared" si="194"/>
        <v>4000</v>
      </c>
      <c r="Y117" s="30"/>
      <c r="Z117" s="30">
        <f t="shared" si="195"/>
        <v>0</v>
      </c>
      <c r="AA117" s="30"/>
      <c r="AB117" s="30">
        <f t="shared" si="196"/>
        <v>0</v>
      </c>
      <c r="AC117" s="30"/>
      <c r="AD117" s="30"/>
      <c r="AE117" s="30">
        <f t="shared" si="197"/>
        <v>0</v>
      </c>
      <c r="AF117" s="30"/>
      <c r="AG117" s="30">
        <f t="shared" si="198"/>
        <v>0</v>
      </c>
      <c r="AH117" s="30"/>
      <c r="AI117" s="30"/>
      <c r="AJ117" s="30">
        <f t="shared" si="199"/>
        <v>0</v>
      </c>
      <c r="AK117" s="30"/>
      <c r="AL117" s="30">
        <f t="shared" si="200"/>
        <v>0</v>
      </c>
      <c r="AM117" s="30"/>
      <c r="AN117" s="30"/>
      <c r="AO117" s="30">
        <f t="shared" si="201"/>
        <v>0</v>
      </c>
      <c r="AP117" s="30"/>
      <c r="AQ117" s="30">
        <f t="shared" si="202"/>
        <v>0</v>
      </c>
      <c r="AR117" s="30"/>
      <c r="AS117" s="30"/>
      <c r="AT117" s="30">
        <f t="shared" si="203"/>
        <v>0</v>
      </c>
      <c r="AU117" s="30"/>
      <c r="AV117" s="30">
        <f t="shared" si="204"/>
        <v>0</v>
      </c>
      <c r="AW117" s="30"/>
      <c r="AX117" s="30"/>
      <c r="AY117" s="30">
        <f t="shared" si="205"/>
        <v>0</v>
      </c>
      <c r="AZ117" s="30"/>
      <c r="BA117" s="30">
        <v>0</v>
      </c>
      <c r="BB117" s="30"/>
      <c r="BC117" s="45"/>
      <c r="BD117" s="45">
        <f t="shared" si="206"/>
        <v>0</v>
      </c>
      <c r="BE117" s="30"/>
      <c r="BF117" s="30">
        <f t="shared" si="207"/>
        <v>0</v>
      </c>
      <c r="BG117" s="146">
        <v>4000</v>
      </c>
      <c r="BH117" s="30"/>
      <c r="BI117" s="30">
        <f t="shared" si="208"/>
        <v>0</v>
      </c>
      <c r="BJ117" s="30"/>
      <c r="BK117" s="30">
        <f t="shared" si="209"/>
        <v>0</v>
      </c>
      <c r="BL117" s="30"/>
      <c r="BM117" s="30"/>
      <c r="BN117" s="30">
        <f t="shared" si="210"/>
        <v>0</v>
      </c>
      <c r="BO117" s="30"/>
      <c r="BP117" s="30">
        <f t="shared" si="211"/>
        <v>0</v>
      </c>
      <c r="BQ117" s="30"/>
      <c r="BR117" s="30"/>
      <c r="BS117" s="30">
        <f t="shared" si="212"/>
        <v>0</v>
      </c>
      <c r="BT117" s="30"/>
      <c r="BU117" s="30">
        <f t="shared" si="213"/>
        <v>0</v>
      </c>
      <c r="BV117" s="30"/>
      <c r="BW117" s="30"/>
      <c r="BX117" s="30">
        <f t="shared" si="214"/>
        <v>0</v>
      </c>
      <c r="BY117" s="30"/>
      <c r="BZ117" s="30">
        <f t="shared" si="215"/>
        <v>0</v>
      </c>
      <c r="CA117" s="30"/>
      <c r="CB117" s="30"/>
      <c r="CC117" s="30">
        <f t="shared" si="216"/>
        <v>0</v>
      </c>
      <c r="CD117" s="30"/>
      <c r="CE117" s="30">
        <f t="shared" si="217"/>
        <v>0</v>
      </c>
      <c r="CF117" s="30"/>
      <c r="CG117" s="2"/>
    </row>
    <row r="118" spans="1:85" ht="17" x14ac:dyDescent="0.4">
      <c r="A118" s="2" t="s">
        <v>110</v>
      </c>
      <c r="B118" s="2" t="s">
        <v>262</v>
      </c>
      <c r="C118" s="2" t="s">
        <v>263</v>
      </c>
      <c r="D118" s="2" t="s">
        <v>365</v>
      </c>
      <c r="E118" s="165" t="s">
        <v>366</v>
      </c>
      <c r="F118" s="2"/>
      <c r="G118" s="2"/>
      <c r="H118" s="2"/>
      <c r="I118" s="2"/>
      <c r="J118" s="2"/>
      <c r="K118" s="2" t="s">
        <v>267</v>
      </c>
      <c r="L118" s="2" t="s">
        <v>268</v>
      </c>
      <c r="M118" s="2" t="s">
        <v>138</v>
      </c>
      <c r="N118" s="2" t="s">
        <v>138</v>
      </c>
      <c r="O118" s="2" t="s">
        <v>90</v>
      </c>
      <c r="P118" s="2" t="s">
        <v>125</v>
      </c>
      <c r="Q118" s="2" t="s">
        <v>397</v>
      </c>
      <c r="R118" s="2"/>
      <c r="S118" s="44"/>
      <c r="T118" s="12"/>
      <c r="U118" s="30">
        <f t="shared" si="191"/>
        <v>0</v>
      </c>
      <c r="V118" s="30">
        <f t="shared" si="192"/>
        <v>0</v>
      </c>
      <c r="W118" s="30">
        <f t="shared" si="193"/>
        <v>0</v>
      </c>
      <c r="X118" s="30">
        <f t="shared" si="194"/>
        <v>35000</v>
      </c>
      <c r="Y118" s="30"/>
      <c r="Z118" s="30">
        <f t="shared" si="195"/>
        <v>0</v>
      </c>
      <c r="AA118" s="30"/>
      <c r="AB118" s="30">
        <f t="shared" si="196"/>
        <v>0</v>
      </c>
      <c r="AC118" s="30"/>
      <c r="AD118" s="30"/>
      <c r="AE118" s="30">
        <f t="shared" si="197"/>
        <v>0</v>
      </c>
      <c r="AF118" s="30"/>
      <c r="AG118" s="30">
        <f t="shared" si="198"/>
        <v>0</v>
      </c>
      <c r="AH118" s="30"/>
      <c r="AI118" s="30"/>
      <c r="AJ118" s="30">
        <f t="shared" si="199"/>
        <v>0</v>
      </c>
      <c r="AK118" s="30"/>
      <c r="AL118" s="30">
        <f t="shared" si="200"/>
        <v>0</v>
      </c>
      <c r="AM118" s="30"/>
      <c r="AN118" s="30"/>
      <c r="AO118" s="30">
        <f t="shared" si="201"/>
        <v>0</v>
      </c>
      <c r="AP118" s="30"/>
      <c r="AQ118" s="30">
        <f t="shared" si="202"/>
        <v>0</v>
      </c>
      <c r="AR118" s="30"/>
      <c r="AS118" s="30"/>
      <c r="AT118" s="30">
        <f t="shared" si="203"/>
        <v>0</v>
      </c>
      <c r="AU118" s="30"/>
      <c r="AV118" s="30">
        <f t="shared" si="204"/>
        <v>0</v>
      </c>
      <c r="AW118" s="30"/>
      <c r="AX118" s="30"/>
      <c r="AY118" s="30">
        <f t="shared" si="205"/>
        <v>0</v>
      </c>
      <c r="AZ118" s="30"/>
      <c r="BA118" s="30">
        <v>0</v>
      </c>
      <c r="BB118" s="30"/>
      <c r="BC118" s="45"/>
      <c r="BD118" s="45">
        <f t="shared" si="206"/>
        <v>0</v>
      </c>
      <c r="BE118" s="30"/>
      <c r="BF118" s="30">
        <f t="shared" si="207"/>
        <v>0</v>
      </c>
      <c r="BG118" s="30"/>
      <c r="BH118" s="30"/>
      <c r="BI118" s="30">
        <f t="shared" si="208"/>
        <v>0</v>
      </c>
      <c r="BJ118" s="30"/>
      <c r="BK118" s="30">
        <f t="shared" si="209"/>
        <v>0</v>
      </c>
      <c r="BL118" s="30"/>
      <c r="BM118" s="30"/>
      <c r="BN118" s="30">
        <f t="shared" si="210"/>
        <v>0</v>
      </c>
      <c r="BO118" s="30"/>
      <c r="BP118" s="30">
        <f t="shared" si="211"/>
        <v>0</v>
      </c>
      <c r="BQ118" s="30"/>
      <c r="BR118" s="30"/>
      <c r="BS118" s="30">
        <f t="shared" si="212"/>
        <v>0</v>
      </c>
      <c r="BT118" s="30"/>
      <c r="BU118" s="30">
        <f t="shared" si="213"/>
        <v>0</v>
      </c>
      <c r="BV118" s="146">
        <v>25000</v>
      </c>
      <c r="BW118" s="30"/>
      <c r="BX118" s="30">
        <f t="shared" si="214"/>
        <v>0</v>
      </c>
      <c r="BY118" s="30"/>
      <c r="BZ118" s="30">
        <f t="shared" si="215"/>
        <v>0</v>
      </c>
      <c r="CA118" s="146">
        <v>10000</v>
      </c>
      <c r="CB118" s="30"/>
      <c r="CC118" s="30">
        <f t="shared" si="216"/>
        <v>0</v>
      </c>
      <c r="CD118" s="30"/>
      <c r="CE118" s="30">
        <f t="shared" si="217"/>
        <v>0</v>
      </c>
      <c r="CF118" s="30"/>
      <c r="CG118" s="61"/>
    </row>
    <row r="119" spans="1:85" x14ac:dyDescent="0.4">
      <c r="A119" s="2" t="s">
        <v>110</v>
      </c>
      <c r="B119" s="2" t="s">
        <v>262</v>
      </c>
      <c r="C119" s="2" t="s">
        <v>263</v>
      </c>
      <c r="D119" s="2" t="s">
        <v>398</v>
      </c>
      <c r="E119" s="165" t="s">
        <v>399</v>
      </c>
      <c r="F119" s="2"/>
      <c r="G119" s="2"/>
      <c r="H119" s="2"/>
      <c r="I119" s="2"/>
      <c r="J119" s="2"/>
      <c r="K119" s="2" t="s">
        <v>267</v>
      </c>
      <c r="L119" s="13" t="s">
        <v>283</v>
      </c>
      <c r="M119" s="2" t="s">
        <v>82</v>
      </c>
      <c r="N119" s="2" t="s">
        <v>82</v>
      </c>
      <c r="O119" s="2" t="s">
        <v>112</v>
      </c>
      <c r="P119" s="2" t="s">
        <v>81</v>
      </c>
      <c r="Q119" s="2" t="s">
        <v>400</v>
      </c>
      <c r="R119" s="2"/>
      <c r="S119" s="11"/>
      <c r="T119" s="12"/>
      <c r="U119" s="30">
        <f t="shared" si="191"/>
        <v>0</v>
      </c>
      <c r="V119" s="30">
        <f t="shared" si="192"/>
        <v>0</v>
      </c>
      <c r="W119" s="30">
        <f t="shared" si="193"/>
        <v>0</v>
      </c>
      <c r="X119" s="30">
        <f t="shared" si="194"/>
        <v>180</v>
      </c>
      <c r="Y119" s="30"/>
      <c r="Z119" s="30">
        <f t="shared" si="195"/>
        <v>0</v>
      </c>
      <c r="AA119" s="30"/>
      <c r="AB119" s="30">
        <f t="shared" si="196"/>
        <v>0</v>
      </c>
      <c r="AC119" s="30">
        <v>270</v>
      </c>
      <c r="AD119" s="30"/>
      <c r="AE119" s="30">
        <f t="shared" si="197"/>
        <v>0</v>
      </c>
      <c r="AF119" s="30"/>
      <c r="AG119" s="30">
        <f t="shared" si="198"/>
        <v>0</v>
      </c>
      <c r="AH119" s="30"/>
      <c r="AI119" s="30"/>
      <c r="AJ119" s="30">
        <f t="shared" si="199"/>
        <v>0</v>
      </c>
      <c r="AK119" s="30"/>
      <c r="AL119" s="30">
        <f t="shared" si="200"/>
        <v>0</v>
      </c>
      <c r="AM119" s="30">
        <v>270</v>
      </c>
      <c r="AN119" s="30"/>
      <c r="AO119" s="30">
        <f t="shared" si="201"/>
        <v>0</v>
      </c>
      <c r="AP119" s="30"/>
      <c r="AQ119" s="30">
        <f t="shared" si="202"/>
        <v>0</v>
      </c>
      <c r="AR119" s="30">
        <v>270</v>
      </c>
      <c r="AS119" s="30"/>
      <c r="AT119" s="30">
        <f t="shared" si="203"/>
        <v>0</v>
      </c>
      <c r="AU119" s="30"/>
      <c r="AV119" s="30">
        <f t="shared" si="204"/>
        <v>0</v>
      </c>
      <c r="AW119" s="30">
        <v>270</v>
      </c>
      <c r="AX119" s="30"/>
      <c r="AY119" s="30">
        <f t="shared" si="205"/>
        <v>0</v>
      </c>
      <c r="AZ119" s="30"/>
      <c r="BA119" s="30">
        <v>0</v>
      </c>
      <c r="BB119" s="30"/>
      <c r="BC119" s="45"/>
      <c r="BD119" s="45">
        <f t="shared" si="206"/>
        <v>0</v>
      </c>
      <c r="BE119" s="30"/>
      <c r="BF119" s="30">
        <f t="shared" si="207"/>
        <v>0</v>
      </c>
      <c r="BG119" s="30"/>
      <c r="BH119" s="30"/>
      <c r="BI119" s="30">
        <f t="shared" si="208"/>
        <v>0</v>
      </c>
      <c r="BJ119" s="30"/>
      <c r="BK119" s="30">
        <f t="shared" si="209"/>
        <v>0</v>
      </c>
      <c r="BL119" s="32"/>
      <c r="BM119" s="30"/>
      <c r="BN119" s="30">
        <f t="shared" si="210"/>
        <v>0</v>
      </c>
      <c r="BO119" s="30"/>
      <c r="BP119" s="30">
        <f t="shared" si="211"/>
        <v>0</v>
      </c>
      <c r="BQ119" s="30"/>
      <c r="BR119" s="30"/>
      <c r="BS119" s="30">
        <f t="shared" si="212"/>
        <v>0</v>
      </c>
      <c r="BT119" s="30"/>
      <c r="BU119" s="30">
        <f t="shared" si="213"/>
        <v>0</v>
      </c>
      <c r="BV119" s="30"/>
      <c r="BW119" s="30"/>
      <c r="BX119" s="30">
        <f t="shared" si="214"/>
        <v>0</v>
      </c>
      <c r="BY119" s="30"/>
      <c r="BZ119" s="30">
        <f t="shared" si="215"/>
        <v>0</v>
      </c>
      <c r="CA119" s="141">
        <v>180</v>
      </c>
      <c r="CB119" s="30"/>
      <c r="CC119" s="30">
        <f t="shared" si="216"/>
        <v>0</v>
      </c>
      <c r="CD119" s="30"/>
      <c r="CE119" s="30">
        <f t="shared" si="217"/>
        <v>0</v>
      </c>
      <c r="CF119" s="30"/>
      <c r="CG119" s="2"/>
    </row>
    <row r="120" spans="1:85" ht="17" x14ac:dyDescent="0.4">
      <c r="A120" s="2" t="s">
        <v>110</v>
      </c>
      <c r="B120" s="2" t="s">
        <v>262</v>
      </c>
      <c r="C120" s="2" t="s">
        <v>263</v>
      </c>
      <c r="D120" s="2" t="s">
        <v>398</v>
      </c>
      <c r="E120" s="165" t="s">
        <v>399</v>
      </c>
      <c r="F120" s="2"/>
      <c r="G120" s="2"/>
      <c r="H120" s="2"/>
      <c r="I120" s="2"/>
      <c r="J120" s="2"/>
      <c r="K120" s="2" t="s">
        <v>267</v>
      </c>
      <c r="L120" s="13" t="s">
        <v>283</v>
      </c>
      <c r="M120" s="2" t="s">
        <v>82</v>
      </c>
      <c r="N120" s="2" t="s">
        <v>82</v>
      </c>
      <c r="O120" s="2" t="s">
        <v>112</v>
      </c>
      <c r="P120" s="2" t="s">
        <v>81</v>
      </c>
      <c r="Q120" s="2" t="s">
        <v>401</v>
      </c>
      <c r="R120" s="2"/>
      <c r="S120" s="11"/>
      <c r="T120" s="12"/>
      <c r="U120" s="30">
        <f t="shared" si="191"/>
        <v>0</v>
      </c>
      <c r="V120" s="30">
        <f t="shared" si="192"/>
        <v>0</v>
      </c>
      <c r="W120" s="30">
        <f t="shared" si="193"/>
        <v>0</v>
      </c>
      <c r="X120" s="30">
        <f t="shared" si="194"/>
        <v>129</v>
      </c>
      <c r="Y120" s="30"/>
      <c r="Z120" s="30">
        <f t="shared" si="195"/>
        <v>0</v>
      </c>
      <c r="AA120" s="30"/>
      <c r="AB120" s="30">
        <f t="shared" si="196"/>
        <v>0</v>
      </c>
      <c r="AC120" s="30">
        <v>360</v>
      </c>
      <c r="AD120" s="30"/>
      <c r="AE120" s="30">
        <f t="shared" si="197"/>
        <v>0</v>
      </c>
      <c r="AF120" s="30"/>
      <c r="AG120" s="30">
        <f t="shared" si="198"/>
        <v>0</v>
      </c>
      <c r="AH120" s="30"/>
      <c r="AI120" s="30"/>
      <c r="AJ120" s="30">
        <f t="shared" si="199"/>
        <v>0</v>
      </c>
      <c r="AK120" s="30"/>
      <c r="AL120" s="30">
        <f t="shared" si="200"/>
        <v>0</v>
      </c>
      <c r="AM120" s="30"/>
      <c r="AN120" s="30"/>
      <c r="AO120" s="30">
        <f t="shared" si="201"/>
        <v>0</v>
      </c>
      <c r="AP120" s="30"/>
      <c r="AQ120" s="30">
        <f t="shared" si="202"/>
        <v>0</v>
      </c>
      <c r="AR120" s="30"/>
      <c r="AS120" s="30"/>
      <c r="AT120" s="30">
        <f t="shared" si="203"/>
        <v>0</v>
      </c>
      <c r="AU120" s="30"/>
      <c r="AV120" s="30">
        <f t="shared" si="204"/>
        <v>0</v>
      </c>
      <c r="AW120" s="33">
        <v>231</v>
      </c>
      <c r="AX120" s="30"/>
      <c r="AY120" s="30">
        <f t="shared" si="205"/>
        <v>0</v>
      </c>
      <c r="AZ120" s="30"/>
      <c r="BA120" s="30">
        <v>0</v>
      </c>
      <c r="BB120" s="30"/>
      <c r="BC120" s="45"/>
      <c r="BD120" s="45">
        <f t="shared" si="206"/>
        <v>0</v>
      </c>
      <c r="BE120" s="30"/>
      <c r="BF120" s="30">
        <f t="shared" si="207"/>
        <v>0</v>
      </c>
      <c r="BG120" s="30"/>
      <c r="BH120" s="30"/>
      <c r="BI120" s="30">
        <f t="shared" si="208"/>
        <v>0</v>
      </c>
      <c r="BJ120" s="30"/>
      <c r="BK120" s="30">
        <f t="shared" si="209"/>
        <v>0</v>
      </c>
      <c r="BL120" s="60">
        <v>129</v>
      </c>
      <c r="BM120" s="30"/>
      <c r="BN120" s="30">
        <f t="shared" si="210"/>
        <v>0</v>
      </c>
      <c r="BO120" s="30"/>
      <c r="BP120" s="30">
        <f t="shared" si="211"/>
        <v>0</v>
      </c>
      <c r="BQ120" s="30"/>
      <c r="BR120" s="30"/>
      <c r="BS120" s="30">
        <f t="shared" si="212"/>
        <v>0</v>
      </c>
      <c r="BT120" s="30"/>
      <c r="BU120" s="30">
        <f t="shared" si="213"/>
        <v>0</v>
      </c>
      <c r="BV120" s="27"/>
      <c r="BW120" s="30"/>
      <c r="BX120" s="30">
        <f t="shared" si="214"/>
        <v>0</v>
      </c>
      <c r="BY120" s="30"/>
      <c r="BZ120" s="30">
        <f t="shared" si="215"/>
        <v>0</v>
      </c>
      <c r="CA120" s="30"/>
      <c r="CB120" s="30"/>
      <c r="CC120" s="30">
        <f t="shared" si="216"/>
        <v>0</v>
      </c>
      <c r="CD120" s="30"/>
      <c r="CE120" s="30">
        <f t="shared" si="217"/>
        <v>0</v>
      </c>
      <c r="CF120" s="30"/>
      <c r="CG120" s="61"/>
    </row>
    <row r="121" spans="1:85" x14ac:dyDescent="0.4">
      <c r="A121" s="2" t="s">
        <v>110</v>
      </c>
      <c r="B121" s="2" t="s">
        <v>262</v>
      </c>
      <c r="C121" s="2" t="s">
        <v>263</v>
      </c>
      <c r="D121" s="2" t="s">
        <v>402</v>
      </c>
      <c r="E121" s="165" t="s">
        <v>403</v>
      </c>
      <c r="F121" s="2" t="s">
        <v>334</v>
      </c>
      <c r="G121" s="2" t="s">
        <v>404</v>
      </c>
      <c r="H121" s="2" t="s">
        <v>208</v>
      </c>
      <c r="I121" s="2" t="s">
        <v>334</v>
      </c>
      <c r="J121" s="2" t="s">
        <v>404</v>
      </c>
      <c r="K121" s="2" t="s">
        <v>267</v>
      </c>
      <c r="L121" s="13" t="s">
        <v>283</v>
      </c>
      <c r="M121" s="2" t="s">
        <v>180</v>
      </c>
      <c r="N121" s="2" t="s">
        <v>180</v>
      </c>
      <c r="O121" s="13" t="s">
        <v>90</v>
      </c>
      <c r="P121" s="2" t="s">
        <v>79</v>
      </c>
      <c r="Q121" s="2" t="s">
        <v>405</v>
      </c>
      <c r="R121" s="2" t="s">
        <v>83</v>
      </c>
      <c r="S121" s="11">
        <v>2</v>
      </c>
      <c r="T121" s="12"/>
      <c r="U121" s="30">
        <f t="shared" si="191"/>
        <v>8.6999999999999993</v>
      </c>
      <c r="V121" s="30">
        <f t="shared" si="192"/>
        <v>17.399999999999999</v>
      </c>
      <c r="W121" s="30">
        <f t="shared" si="193"/>
        <v>0</v>
      </c>
      <c r="X121" s="30">
        <f t="shared" si="194"/>
        <v>0</v>
      </c>
      <c r="Y121" s="30"/>
      <c r="Z121" s="30">
        <f t="shared" si="195"/>
        <v>0</v>
      </c>
      <c r="AA121" s="30"/>
      <c r="AB121" s="30">
        <f t="shared" si="196"/>
        <v>0</v>
      </c>
      <c r="AC121" s="30"/>
      <c r="AD121" s="30"/>
      <c r="AE121" s="30">
        <f t="shared" si="197"/>
        <v>0</v>
      </c>
      <c r="AF121" s="30"/>
      <c r="AG121" s="30">
        <f t="shared" si="198"/>
        <v>0</v>
      </c>
      <c r="AH121" s="30"/>
      <c r="AI121" s="30">
        <v>1200</v>
      </c>
      <c r="AJ121" s="30">
        <f t="shared" si="199"/>
        <v>2400</v>
      </c>
      <c r="AK121" s="30"/>
      <c r="AL121" s="30">
        <f t="shared" si="200"/>
        <v>0</v>
      </c>
      <c r="AM121" s="30"/>
      <c r="AN121" s="30"/>
      <c r="AO121" s="30">
        <f t="shared" si="201"/>
        <v>0</v>
      </c>
      <c r="AP121" s="30"/>
      <c r="AQ121" s="30">
        <f t="shared" si="202"/>
        <v>0</v>
      </c>
      <c r="AR121" s="30"/>
      <c r="AS121" s="30"/>
      <c r="AT121" s="30">
        <f t="shared" si="203"/>
        <v>0</v>
      </c>
      <c r="AU121" s="30"/>
      <c r="AV121" s="30">
        <f t="shared" si="204"/>
        <v>0</v>
      </c>
      <c r="AW121" s="30"/>
      <c r="AX121" s="30">
        <v>2500</v>
      </c>
      <c r="AY121" s="30">
        <f t="shared" si="205"/>
        <v>5000</v>
      </c>
      <c r="AZ121" s="30"/>
      <c r="BA121" s="30">
        <v>0</v>
      </c>
      <c r="BB121" s="30"/>
      <c r="BC121" s="45"/>
      <c r="BD121" s="45">
        <f t="shared" si="206"/>
        <v>0</v>
      </c>
      <c r="BE121" s="30"/>
      <c r="BF121" s="30">
        <f t="shared" si="207"/>
        <v>0</v>
      </c>
      <c r="BG121" s="30"/>
      <c r="BH121" s="30"/>
      <c r="BI121" s="30">
        <f t="shared" si="208"/>
        <v>0</v>
      </c>
      <c r="BJ121" s="30"/>
      <c r="BK121" s="30">
        <f t="shared" si="209"/>
        <v>0</v>
      </c>
      <c r="BL121" s="30"/>
      <c r="BM121" s="30">
        <v>2500</v>
      </c>
      <c r="BN121" s="30">
        <f t="shared" si="210"/>
        <v>5000</v>
      </c>
      <c r="BO121" s="30"/>
      <c r="BP121" s="30">
        <f t="shared" si="211"/>
        <v>0</v>
      </c>
      <c r="BQ121" s="30"/>
      <c r="BR121" s="30"/>
      <c r="BS121" s="30">
        <f t="shared" si="212"/>
        <v>0</v>
      </c>
      <c r="BT121" s="30"/>
      <c r="BU121" s="30">
        <f t="shared" si="213"/>
        <v>0</v>
      </c>
      <c r="BV121" s="30"/>
      <c r="BW121" s="30"/>
      <c r="BX121" s="30">
        <f t="shared" si="214"/>
        <v>0</v>
      </c>
      <c r="BY121" s="30"/>
      <c r="BZ121" s="30">
        <f t="shared" si="215"/>
        <v>0</v>
      </c>
      <c r="CA121" s="30"/>
      <c r="CB121" s="30">
        <v>2500</v>
      </c>
      <c r="CC121" s="30">
        <f t="shared" si="216"/>
        <v>5000</v>
      </c>
      <c r="CD121" s="30"/>
      <c r="CE121" s="30">
        <f t="shared" si="217"/>
        <v>0</v>
      </c>
      <c r="CF121" s="30"/>
      <c r="CG121" s="2"/>
    </row>
    <row r="122" spans="1:85" x14ac:dyDescent="0.4">
      <c r="A122" s="2" t="s">
        <v>110</v>
      </c>
      <c r="B122" s="2" t="s">
        <v>262</v>
      </c>
      <c r="C122" s="2" t="s">
        <v>263</v>
      </c>
      <c r="D122" s="2" t="s">
        <v>402</v>
      </c>
      <c r="E122" s="165" t="s">
        <v>403</v>
      </c>
      <c r="F122" s="2"/>
      <c r="G122" s="2"/>
      <c r="H122" s="2"/>
      <c r="I122" s="2"/>
      <c r="J122" s="2"/>
      <c r="K122" s="2" t="s">
        <v>267</v>
      </c>
      <c r="L122" s="13" t="s">
        <v>283</v>
      </c>
      <c r="M122" s="2" t="s">
        <v>138</v>
      </c>
      <c r="N122" s="2" t="s">
        <v>138</v>
      </c>
      <c r="O122" s="2" t="s">
        <v>90</v>
      </c>
      <c r="P122" s="2" t="s">
        <v>125</v>
      </c>
      <c r="Q122" s="2" t="s">
        <v>188</v>
      </c>
      <c r="R122" s="2" t="s">
        <v>83</v>
      </c>
      <c r="S122" s="11">
        <v>0.1419</v>
      </c>
      <c r="T122" s="12"/>
      <c r="U122" s="30">
        <f t="shared" si="191"/>
        <v>6</v>
      </c>
      <c r="V122" s="30">
        <f t="shared" si="192"/>
        <v>0.85140000000000005</v>
      </c>
      <c r="W122" s="30">
        <f t="shared" si="193"/>
        <v>0</v>
      </c>
      <c r="X122" s="30">
        <f t="shared" si="194"/>
        <v>0</v>
      </c>
      <c r="Y122" s="30"/>
      <c r="Z122" s="30">
        <f t="shared" si="195"/>
        <v>0</v>
      </c>
      <c r="AA122" s="30"/>
      <c r="AB122" s="30">
        <f t="shared" si="196"/>
        <v>0</v>
      </c>
      <c r="AC122" s="30"/>
      <c r="AD122" s="30">
        <v>2000</v>
      </c>
      <c r="AE122" s="30">
        <f t="shared" si="197"/>
        <v>283.8</v>
      </c>
      <c r="AF122" s="30"/>
      <c r="AG122" s="30">
        <f t="shared" si="198"/>
        <v>0</v>
      </c>
      <c r="AH122" s="30"/>
      <c r="AI122" s="30"/>
      <c r="AJ122" s="30">
        <f t="shared" si="199"/>
        <v>0</v>
      </c>
      <c r="AK122" s="30"/>
      <c r="AL122" s="30">
        <f t="shared" si="200"/>
        <v>0</v>
      </c>
      <c r="AM122" s="30"/>
      <c r="AN122" s="30"/>
      <c r="AO122" s="30">
        <f t="shared" si="201"/>
        <v>0</v>
      </c>
      <c r="AP122" s="30"/>
      <c r="AQ122" s="30">
        <f t="shared" si="202"/>
        <v>0</v>
      </c>
      <c r="AR122" s="30"/>
      <c r="AS122" s="30"/>
      <c r="AT122" s="30">
        <f t="shared" si="203"/>
        <v>0</v>
      </c>
      <c r="AU122" s="30"/>
      <c r="AV122" s="30">
        <f t="shared" si="204"/>
        <v>0</v>
      </c>
      <c r="AW122" s="30"/>
      <c r="AX122" s="30"/>
      <c r="AY122" s="30">
        <f t="shared" si="205"/>
        <v>0</v>
      </c>
      <c r="AZ122" s="30"/>
      <c r="BA122" s="30">
        <v>0</v>
      </c>
      <c r="BB122" s="30"/>
      <c r="BC122" s="45"/>
      <c r="BD122" s="45">
        <f t="shared" si="206"/>
        <v>0</v>
      </c>
      <c r="BE122" s="30"/>
      <c r="BF122" s="30">
        <f t="shared" si="207"/>
        <v>0</v>
      </c>
      <c r="BG122" s="30"/>
      <c r="BH122" s="30">
        <v>2000</v>
      </c>
      <c r="BI122" s="30">
        <f t="shared" si="208"/>
        <v>283.8</v>
      </c>
      <c r="BJ122" s="30"/>
      <c r="BK122" s="30">
        <f t="shared" si="209"/>
        <v>0</v>
      </c>
      <c r="BL122" s="30"/>
      <c r="BM122" s="30"/>
      <c r="BN122" s="30">
        <f t="shared" si="210"/>
        <v>0</v>
      </c>
      <c r="BO122" s="30"/>
      <c r="BP122" s="30">
        <f t="shared" si="211"/>
        <v>0</v>
      </c>
      <c r="BQ122" s="30"/>
      <c r="BR122" s="30"/>
      <c r="BS122" s="30">
        <f t="shared" si="212"/>
        <v>0</v>
      </c>
      <c r="BT122" s="30"/>
      <c r="BU122" s="30">
        <f t="shared" si="213"/>
        <v>0</v>
      </c>
      <c r="BV122" s="30"/>
      <c r="BW122" s="30"/>
      <c r="BX122" s="30">
        <f t="shared" si="214"/>
        <v>0</v>
      </c>
      <c r="BY122" s="30"/>
      <c r="BZ122" s="30">
        <f t="shared" si="215"/>
        <v>0</v>
      </c>
      <c r="CA122" s="30"/>
      <c r="CB122" s="30">
        <v>2000</v>
      </c>
      <c r="CC122" s="30">
        <f t="shared" si="216"/>
        <v>283.8</v>
      </c>
      <c r="CD122" s="30"/>
      <c r="CE122" s="30">
        <f t="shared" si="217"/>
        <v>0</v>
      </c>
      <c r="CF122" s="30"/>
      <c r="CG122" s="2"/>
    </row>
    <row r="123" spans="1:85" x14ac:dyDescent="0.4">
      <c r="A123" s="2" t="s">
        <v>110</v>
      </c>
      <c r="B123" s="2" t="s">
        <v>262</v>
      </c>
      <c r="C123" s="2" t="s">
        <v>263</v>
      </c>
      <c r="D123" s="2" t="s">
        <v>406</v>
      </c>
      <c r="E123" s="165" t="s">
        <v>295</v>
      </c>
      <c r="F123" s="2" t="s">
        <v>153</v>
      </c>
      <c r="G123" s="2" t="s">
        <v>153</v>
      </c>
      <c r="H123" s="2" t="s">
        <v>295</v>
      </c>
      <c r="I123" s="2" t="s">
        <v>153</v>
      </c>
      <c r="J123" s="2" t="s">
        <v>153</v>
      </c>
      <c r="K123" s="2" t="s">
        <v>267</v>
      </c>
      <c r="L123" s="13" t="s">
        <v>271</v>
      </c>
      <c r="M123" s="2" t="s">
        <v>82</v>
      </c>
      <c r="N123" s="2" t="s">
        <v>82</v>
      </c>
      <c r="O123" s="2" t="s">
        <v>112</v>
      </c>
      <c r="P123" s="2" t="s">
        <v>81</v>
      </c>
      <c r="Q123" s="2" t="s">
        <v>230</v>
      </c>
      <c r="R123" s="2" t="s">
        <v>80</v>
      </c>
      <c r="S123" s="11">
        <v>0.5</v>
      </c>
      <c r="T123" s="12"/>
      <c r="U123" s="30">
        <f t="shared" si="191"/>
        <v>370</v>
      </c>
      <c r="V123" s="30">
        <f t="shared" si="192"/>
        <v>185</v>
      </c>
      <c r="W123" s="30">
        <f t="shared" si="193"/>
        <v>45000</v>
      </c>
      <c r="X123" s="30">
        <f t="shared" si="194"/>
        <v>42000</v>
      </c>
      <c r="Y123" s="30">
        <v>30000</v>
      </c>
      <c r="Z123" s="30">
        <f t="shared" si="195"/>
        <v>15000</v>
      </c>
      <c r="AA123" s="30">
        <v>30000</v>
      </c>
      <c r="AB123" s="30">
        <f t="shared" si="196"/>
        <v>15000</v>
      </c>
      <c r="AC123" s="30"/>
      <c r="AD123" s="30">
        <v>30000</v>
      </c>
      <c r="AE123" s="30">
        <f t="shared" si="197"/>
        <v>15000</v>
      </c>
      <c r="AF123" s="30"/>
      <c r="AG123" s="30">
        <f t="shared" si="198"/>
        <v>0</v>
      </c>
      <c r="AH123" s="30"/>
      <c r="AI123" s="30">
        <v>20000</v>
      </c>
      <c r="AJ123" s="30">
        <f t="shared" si="199"/>
        <v>10000</v>
      </c>
      <c r="AK123" s="30">
        <v>30000</v>
      </c>
      <c r="AL123" s="30">
        <f t="shared" si="200"/>
        <v>15000</v>
      </c>
      <c r="AM123" s="30"/>
      <c r="AN123" s="30">
        <v>10000</v>
      </c>
      <c r="AO123" s="30">
        <f t="shared" si="201"/>
        <v>5000</v>
      </c>
      <c r="AP123" s="30">
        <v>30000</v>
      </c>
      <c r="AQ123" s="30">
        <f t="shared" si="202"/>
        <v>15000</v>
      </c>
      <c r="AR123" s="30"/>
      <c r="AS123" s="30">
        <v>10000</v>
      </c>
      <c r="AT123" s="30">
        <f t="shared" si="203"/>
        <v>5000</v>
      </c>
      <c r="AU123" s="30">
        <v>30000</v>
      </c>
      <c r="AV123" s="30">
        <f t="shared" si="204"/>
        <v>15000</v>
      </c>
      <c r="AW123" s="30"/>
      <c r="AX123" s="30">
        <v>30000</v>
      </c>
      <c r="AY123" s="30">
        <f t="shared" si="205"/>
        <v>15000</v>
      </c>
      <c r="AZ123" s="30">
        <v>30000</v>
      </c>
      <c r="BA123" s="30">
        <v>15000</v>
      </c>
      <c r="BB123" s="63">
        <v>18000</v>
      </c>
      <c r="BC123" s="45">
        <v>40000</v>
      </c>
      <c r="BD123" s="45">
        <f t="shared" si="206"/>
        <v>20000</v>
      </c>
      <c r="BE123" s="30">
        <v>30000</v>
      </c>
      <c r="BF123" s="30">
        <f t="shared" si="207"/>
        <v>15000</v>
      </c>
      <c r="BG123" s="59">
        <v>20000</v>
      </c>
      <c r="BH123" s="30">
        <v>40000</v>
      </c>
      <c r="BI123" s="30">
        <f t="shared" si="208"/>
        <v>20000</v>
      </c>
      <c r="BJ123" s="30">
        <v>30000</v>
      </c>
      <c r="BK123" s="30">
        <f t="shared" si="209"/>
        <v>15000</v>
      </c>
      <c r="BL123" s="60">
        <v>22000</v>
      </c>
      <c r="BM123" s="30">
        <v>40000</v>
      </c>
      <c r="BN123" s="30">
        <f t="shared" si="210"/>
        <v>20000</v>
      </c>
      <c r="BO123" s="30">
        <v>30000</v>
      </c>
      <c r="BP123" s="30">
        <f t="shared" si="211"/>
        <v>15000</v>
      </c>
      <c r="BQ123" s="30"/>
      <c r="BR123" s="30">
        <v>40000</v>
      </c>
      <c r="BS123" s="30">
        <f t="shared" si="212"/>
        <v>20000</v>
      </c>
      <c r="BT123" s="30"/>
      <c r="BU123" s="30">
        <f t="shared" si="213"/>
        <v>0</v>
      </c>
      <c r="BV123" s="30"/>
      <c r="BW123" s="30">
        <v>40000</v>
      </c>
      <c r="BX123" s="30">
        <f t="shared" si="214"/>
        <v>20000</v>
      </c>
      <c r="BY123" s="30"/>
      <c r="BZ123" s="30">
        <f t="shared" si="215"/>
        <v>0</v>
      </c>
      <c r="CA123" s="30"/>
      <c r="CB123" s="30">
        <v>40000</v>
      </c>
      <c r="CC123" s="30">
        <f t="shared" si="216"/>
        <v>20000</v>
      </c>
      <c r="CD123" s="30"/>
      <c r="CE123" s="30">
        <f t="shared" si="217"/>
        <v>0</v>
      </c>
      <c r="CF123" s="30"/>
      <c r="CG123" s="2"/>
    </row>
    <row r="124" spans="1:85" ht="17" x14ac:dyDescent="0.4">
      <c r="A124" s="2" t="s">
        <v>110</v>
      </c>
      <c r="B124" s="2" t="s">
        <v>262</v>
      </c>
      <c r="C124" s="2" t="s">
        <v>263</v>
      </c>
      <c r="D124" s="2" t="s">
        <v>406</v>
      </c>
      <c r="E124" s="165" t="s">
        <v>295</v>
      </c>
      <c r="F124" s="2" t="s">
        <v>153</v>
      </c>
      <c r="G124" s="2" t="s">
        <v>153</v>
      </c>
      <c r="H124" s="2" t="s">
        <v>295</v>
      </c>
      <c r="I124" s="2" t="s">
        <v>153</v>
      </c>
      <c r="J124" s="2" t="s">
        <v>153</v>
      </c>
      <c r="K124" s="2" t="s">
        <v>267</v>
      </c>
      <c r="L124" s="13" t="s">
        <v>271</v>
      </c>
      <c r="M124" s="2" t="s">
        <v>82</v>
      </c>
      <c r="N124" s="2" t="s">
        <v>82</v>
      </c>
      <c r="O124" s="2" t="s">
        <v>112</v>
      </c>
      <c r="P124" s="2" t="s">
        <v>81</v>
      </c>
      <c r="Q124" s="2" t="s">
        <v>84</v>
      </c>
      <c r="R124" s="2" t="s">
        <v>80</v>
      </c>
      <c r="S124" s="11">
        <v>0.53</v>
      </c>
      <c r="T124" s="12">
        <v>12000</v>
      </c>
      <c r="U124" s="30">
        <f t="shared" si="191"/>
        <v>120</v>
      </c>
      <c r="V124" s="30">
        <f t="shared" si="192"/>
        <v>63.6</v>
      </c>
      <c r="W124" s="30">
        <f t="shared" si="193"/>
        <v>15900</v>
      </c>
      <c r="X124" s="30">
        <f t="shared" si="194"/>
        <v>16000</v>
      </c>
      <c r="Y124" s="30">
        <v>10000</v>
      </c>
      <c r="Z124" s="30">
        <f t="shared" si="195"/>
        <v>5300</v>
      </c>
      <c r="AA124" s="30"/>
      <c r="AB124" s="30">
        <f t="shared" si="196"/>
        <v>0</v>
      </c>
      <c r="AC124" s="30"/>
      <c r="AD124" s="30">
        <v>10000</v>
      </c>
      <c r="AE124" s="30">
        <f t="shared" si="197"/>
        <v>5300</v>
      </c>
      <c r="AF124" s="30">
        <v>10000</v>
      </c>
      <c r="AG124" s="30">
        <f t="shared" si="198"/>
        <v>5300</v>
      </c>
      <c r="AH124" s="30"/>
      <c r="AI124" s="30">
        <v>10000</v>
      </c>
      <c r="AJ124" s="30">
        <f t="shared" si="199"/>
        <v>5300</v>
      </c>
      <c r="AK124" s="30">
        <v>10000</v>
      </c>
      <c r="AL124" s="30">
        <f t="shared" si="200"/>
        <v>5300</v>
      </c>
      <c r="AM124" s="30"/>
      <c r="AN124" s="30">
        <v>10000</v>
      </c>
      <c r="AO124" s="30">
        <f t="shared" si="201"/>
        <v>5300</v>
      </c>
      <c r="AP124" s="30">
        <v>10000</v>
      </c>
      <c r="AQ124" s="30">
        <f t="shared" si="202"/>
        <v>5300</v>
      </c>
      <c r="AR124" s="30"/>
      <c r="AS124" s="30">
        <v>10000</v>
      </c>
      <c r="AT124" s="30">
        <f t="shared" si="203"/>
        <v>5300</v>
      </c>
      <c r="AU124" s="30">
        <v>10000</v>
      </c>
      <c r="AV124" s="30">
        <f t="shared" si="204"/>
        <v>5300</v>
      </c>
      <c r="AW124" s="33">
        <v>2000</v>
      </c>
      <c r="AX124" s="30">
        <v>10000</v>
      </c>
      <c r="AY124" s="30">
        <f t="shared" si="205"/>
        <v>5300</v>
      </c>
      <c r="AZ124" s="30">
        <v>10000</v>
      </c>
      <c r="BA124" s="30">
        <v>5300</v>
      </c>
      <c r="BB124" s="31">
        <v>8000</v>
      </c>
      <c r="BC124" s="45">
        <v>10000</v>
      </c>
      <c r="BD124" s="45">
        <f t="shared" si="206"/>
        <v>5300</v>
      </c>
      <c r="BE124" s="30">
        <v>10000</v>
      </c>
      <c r="BF124" s="30">
        <f t="shared" si="207"/>
        <v>5300</v>
      </c>
      <c r="BG124" s="30"/>
      <c r="BH124" s="30">
        <v>10000</v>
      </c>
      <c r="BI124" s="30">
        <f t="shared" si="208"/>
        <v>5300</v>
      </c>
      <c r="BJ124" s="30">
        <v>10000</v>
      </c>
      <c r="BK124" s="30">
        <f t="shared" si="209"/>
        <v>5300</v>
      </c>
      <c r="BL124" s="60">
        <v>16000</v>
      </c>
      <c r="BM124" s="30">
        <v>10000</v>
      </c>
      <c r="BN124" s="30">
        <f t="shared" si="210"/>
        <v>5300</v>
      </c>
      <c r="BO124" s="30">
        <v>10000</v>
      </c>
      <c r="BP124" s="30">
        <f t="shared" si="211"/>
        <v>5300</v>
      </c>
      <c r="BQ124" s="29"/>
      <c r="BR124" s="30">
        <v>10000</v>
      </c>
      <c r="BS124" s="30">
        <f t="shared" si="212"/>
        <v>5300</v>
      </c>
      <c r="BT124" s="30"/>
      <c r="BU124" s="30">
        <f t="shared" si="213"/>
        <v>0</v>
      </c>
      <c r="BV124" s="27"/>
      <c r="BW124" s="30">
        <v>10000</v>
      </c>
      <c r="BX124" s="30">
        <f t="shared" si="214"/>
        <v>5300</v>
      </c>
      <c r="BY124" s="30"/>
      <c r="BZ124" s="30">
        <f t="shared" si="215"/>
        <v>0</v>
      </c>
      <c r="CA124" s="29"/>
      <c r="CB124" s="30">
        <v>10000</v>
      </c>
      <c r="CC124" s="30">
        <f t="shared" si="216"/>
        <v>5300</v>
      </c>
      <c r="CD124" s="30"/>
      <c r="CE124" s="30">
        <f t="shared" si="217"/>
        <v>0</v>
      </c>
      <c r="CF124" s="27"/>
      <c r="CG124" s="61"/>
    </row>
    <row r="125" spans="1:85" x14ac:dyDescent="0.4">
      <c r="A125" s="2" t="s">
        <v>110</v>
      </c>
      <c r="B125" s="2" t="s">
        <v>262</v>
      </c>
      <c r="C125" s="2" t="s">
        <v>263</v>
      </c>
      <c r="D125" s="2" t="s">
        <v>406</v>
      </c>
      <c r="E125" s="165" t="s">
        <v>295</v>
      </c>
      <c r="F125" s="2" t="s">
        <v>153</v>
      </c>
      <c r="G125" s="2" t="s">
        <v>153</v>
      </c>
      <c r="H125" s="2"/>
      <c r="I125" s="2" t="s">
        <v>153</v>
      </c>
      <c r="J125" s="2" t="s">
        <v>153</v>
      </c>
      <c r="K125" s="2" t="s">
        <v>267</v>
      </c>
      <c r="L125" s="13" t="s">
        <v>271</v>
      </c>
      <c r="M125" s="2" t="s">
        <v>119</v>
      </c>
      <c r="N125" s="2" t="s">
        <v>119</v>
      </c>
      <c r="O125" s="2" t="s">
        <v>112</v>
      </c>
      <c r="P125" s="2" t="s">
        <v>81</v>
      </c>
      <c r="Q125" s="2" t="s">
        <v>408</v>
      </c>
      <c r="R125" s="2" t="s">
        <v>80</v>
      </c>
      <c r="S125" s="11">
        <v>0.76600000000000001</v>
      </c>
      <c r="T125" s="12"/>
      <c r="U125" s="30">
        <f t="shared" si="191"/>
        <v>36</v>
      </c>
      <c r="V125" s="30">
        <f t="shared" si="192"/>
        <v>27.576000000000001</v>
      </c>
      <c r="W125" s="30">
        <f t="shared" si="193"/>
        <v>6894</v>
      </c>
      <c r="X125" s="30">
        <f t="shared" si="194"/>
        <v>0</v>
      </c>
      <c r="Y125" s="30">
        <v>3000</v>
      </c>
      <c r="Z125" s="30">
        <f t="shared" si="195"/>
        <v>2298</v>
      </c>
      <c r="AA125" s="30">
        <v>3000</v>
      </c>
      <c r="AB125" s="30">
        <f t="shared" si="196"/>
        <v>2298</v>
      </c>
      <c r="AC125" s="30"/>
      <c r="AD125" s="30">
        <v>3000</v>
      </c>
      <c r="AE125" s="30">
        <f t="shared" si="197"/>
        <v>2298</v>
      </c>
      <c r="AF125" s="30">
        <v>3000</v>
      </c>
      <c r="AG125" s="30">
        <f t="shared" si="198"/>
        <v>2298</v>
      </c>
      <c r="AH125" s="30"/>
      <c r="AI125" s="30">
        <v>3000</v>
      </c>
      <c r="AJ125" s="30">
        <f t="shared" si="199"/>
        <v>2298</v>
      </c>
      <c r="AK125" s="30">
        <v>3000</v>
      </c>
      <c r="AL125" s="30">
        <f t="shared" si="200"/>
        <v>2298</v>
      </c>
      <c r="AM125" s="30"/>
      <c r="AN125" s="30">
        <v>3000</v>
      </c>
      <c r="AO125" s="30">
        <f t="shared" si="201"/>
        <v>2298</v>
      </c>
      <c r="AP125" s="30">
        <v>3000</v>
      </c>
      <c r="AQ125" s="30">
        <f t="shared" si="202"/>
        <v>2298</v>
      </c>
      <c r="AR125" s="30"/>
      <c r="AS125" s="30">
        <v>3000</v>
      </c>
      <c r="AT125" s="30">
        <f t="shared" si="203"/>
        <v>2298</v>
      </c>
      <c r="AU125" s="30">
        <v>3000</v>
      </c>
      <c r="AV125" s="30">
        <f t="shared" si="204"/>
        <v>2298</v>
      </c>
      <c r="AW125" s="30"/>
      <c r="AX125" s="30">
        <v>3000</v>
      </c>
      <c r="AY125" s="30">
        <f t="shared" si="205"/>
        <v>2298</v>
      </c>
      <c r="AZ125" s="30">
        <v>3000</v>
      </c>
      <c r="BA125" s="30">
        <v>2298</v>
      </c>
      <c r="BB125" s="30"/>
      <c r="BC125" s="45">
        <v>3000</v>
      </c>
      <c r="BD125" s="45">
        <f t="shared" si="206"/>
        <v>2298</v>
      </c>
      <c r="BE125" s="30">
        <v>3000</v>
      </c>
      <c r="BF125" s="30">
        <f t="shared" si="207"/>
        <v>2298</v>
      </c>
      <c r="BG125" s="30"/>
      <c r="BH125" s="30">
        <v>3000</v>
      </c>
      <c r="BI125" s="30">
        <f t="shared" si="208"/>
        <v>2298</v>
      </c>
      <c r="BJ125" s="30">
        <v>3000</v>
      </c>
      <c r="BK125" s="30">
        <f t="shared" si="209"/>
        <v>2298</v>
      </c>
      <c r="BL125" s="30"/>
      <c r="BM125" s="30">
        <v>3000</v>
      </c>
      <c r="BN125" s="30">
        <f t="shared" si="210"/>
        <v>2298</v>
      </c>
      <c r="BO125" s="30">
        <v>3000</v>
      </c>
      <c r="BP125" s="30">
        <f t="shared" si="211"/>
        <v>2298</v>
      </c>
      <c r="BQ125" s="30"/>
      <c r="BR125" s="30">
        <v>3000</v>
      </c>
      <c r="BS125" s="30">
        <f t="shared" si="212"/>
        <v>2298</v>
      </c>
      <c r="BT125" s="30"/>
      <c r="BU125" s="30">
        <f t="shared" si="213"/>
        <v>0</v>
      </c>
      <c r="BV125" s="30"/>
      <c r="BW125" s="30">
        <v>3000</v>
      </c>
      <c r="BX125" s="30">
        <f t="shared" si="214"/>
        <v>2298</v>
      </c>
      <c r="BY125" s="30"/>
      <c r="BZ125" s="30">
        <f t="shared" si="215"/>
        <v>0</v>
      </c>
      <c r="CA125" s="30"/>
      <c r="CB125" s="30">
        <v>3000</v>
      </c>
      <c r="CC125" s="30">
        <f t="shared" si="216"/>
        <v>2298</v>
      </c>
      <c r="CD125" s="30"/>
      <c r="CE125" s="30">
        <f t="shared" si="217"/>
        <v>0</v>
      </c>
      <c r="CF125" s="30"/>
      <c r="CG125" s="2"/>
    </row>
    <row r="126" spans="1:85" x14ac:dyDescent="0.4">
      <c r="A126" s="2" t="s">
        <v>110</v>
      </c>
      <c r="B126" s="2" t="s">
        <v>262</v>
      </c>
      <c r="C126" s="2" t="s">
        <v>263</v>
      </c>
      <c r="D126" s="2" t="s">
        <v>406</v>
      </c>
      <c r="E126" s="165" t="s">
        <v>295</v>
      </c>
      <c r="F126" s="2" t="s">
        <v>153</v>
      </c>
      <c r="G126" s="2" t="s">
        <v>153</v>
      </c>
      <c r="H126" s="2"/>
      <c r="I126" s="2"/>
      <c r="J126" s="2"/>
      <c r="K126" s="2" t="s">
        <v>267</v>
      </c>
      <c r="L126" s="13" t="s">
        <v>271</v>
      </c>
      <c r="M126" s="2" t="s">
        <v>82</v>
      </c>
      <c r="N126" s="2" t="s">
        <v>82</v>
      </c>
      <c r="O126" s="2" t="s">
        <v>112</v>
      </c>
      <c r="P126" s="2" t="s">
        <v>81</v>
      </c>
      <c r="Q126" s="2" t="s">
        <v>144</v>
      </c>
      <c r="R126" s="2" t="s">
        <v>80</v>
      </c>
      <c r="S126" s="11">
        <v>0.4</v>
      </c>
      <c r="T126" s="12"/>
      <c r="U126" s="30">
        <f t="shared" si="191"/>
        <v>20</v>
      </c>
      <c r="V126" s="30">
        <f t="shared" si="192"/>
        <v>8</v>
      </c>
      <c r="W126" s="30">
        <f t="shared" si="193"/>
        <v>6000</v>
      </c>
      <c r="X126" s="30">
        <f t="shared" si="194"/>
        <v>0</v>
      </c>
      <c r="Y126" s="30">
        <v>5000</v>
      </c>
      <c r="Z126" s="30">
        <f t="shared" si="195"/>
        <v>2000</v>
      </c>
      <c r="AA126" s="30">
        <v>5000</v>
      </c>
      <c r="AB126" s="30">
        <f t="shared" si="196"/>
        <v>2000</v>
      </c>
      <c r="AC126" s="30"/>
      <c r="AD126" s="30"/>
      <c r="AE126" s="30">
        <f t="shared" si="197"/>
        <v>0</v>
      </c>
      <c r="AF126" s="30"/>
      <c r="AG126" s="30">
        <f t="shared" si="198"/>
        <v>0</v>
      </c>
      <c r="AH126" s="30">
        <v>25000</v>
      </c>
      <c r="AI126" s="30"/>
      <c r="AJ126" s="30">
        <f t="shared" si="199"/>
        <v>0</v>
      </c>
      <c r="AK126" s="30">
        <v>5000</v>
      </c>
      <c r="AL126" s="30">
        <f t="shared" si="200"/>
        <v>2000</v>
      </c>
      <c r="AM126" s="30">
        <v>7500</v>
      </c>
      <c r="AN126" s="30">
        <v>5000</v>
      </c>
      <c r="AO126" s="30">
        <f t="shared" si="201"/>
        <v>2000</v>
      </c>
      <c r="AP126" s="30">
        <v>5000</v>
      </c>
      <c r="AQ126" s="30">
        <f t="shared" si="202"/>
        <v>2000</v>
      </c>
      <c r="AR126" s="30">
        <v>7500</v>
      </c>
      <c r="AS126" s="30"/>
      <c r="AT126" s="30">
        <f t="shared" si="203"/>
        <v>0</v>
      </c>
      <c r="AU126" s="30">
        <v>5000</v>
      </c>
      <c r="AV126" s="30">
        <f t="shared" si="204"/>
        <v>2000</v>
      </c>
      <c r="AW126" s="30"/>
      <c r="AX126" s="30"/>
      <c r="AY126" s="30">
        <f t="shared" si="205"/>
        <v>0</v>
      </c>
      <c r="AZ126" s="30">
        <v>5000</v>
      </c>
      <c r="BA126" s="30">
        <v>2000</v>
      </c>
      <c r="BB126" s="30"/>
      <c r="BC126" s="45">
        <v>5000</v>
      </c>
      <c r="BD126" s="45">
        <f t="shared" si="206"/>
        <v>2000</v>
      </c>
      <c r="BE126" s="30">
        <v>5000</v>
      </c>
      <c r="BF126" s="30">
        <f t="shared" si="207"/>
        <v>2000</v>
      </c>
      <c r="BG126" s="30"/>
      <c r="BH126" s="30"/>
      <c r="BI126" s="30">
        <f t="shared" si="208"/>
        <v>0</v>
      </c>
      <c r="BJ126" s="30">
        <v>5000</v>
      </c>
      <c r="BK126" s="30">
        <f t="shared" si="209"/>
        <v>2000</v>
      </c>
      <c r="BL126" s="32"/>
      <c r="BM126" s="30"/>
      <c r="BN126" s="30">
        <f t="shared" si="210"/>
        <v>0</v>
      </c>
      <c r="BO126" s="30">
        <v>5000</v>
      </c>
      <c r="BP126" s="30">
        <f t="shared" si="211"/>
        <v>2000</v>
      </c>
      <c r="BQ126" s="30"/>
      <c r="BR126" s="30">
        <v>5000</v>
      </c>
      <c r="BS126" s="30">
        <f t="shared" si="212"/>
        <v>2000</v>
      </c>
      <c r="BT126" s="30"/>
      <c r="BU126" s="30">
        <f t="shared" si="213"/>
        <v>0</v>
      </c>
      <c r="BV126" s="30"/>
      <c r="BW126" s="30"/>
      <c r="BX126" s="30">
        <f t="shared" si="214"/>
        <v>0</v>
      </c>
      <c r="BY126" s="30"/>
      <c r="BZ126" s="30">
        <f t="shared" si="215"/>
        <v>0</v>
      </c>
      <c r="CA126" s="30"/>
      <c r="CB126" s="30"/>
      <c r="CC126" s="30">
        <f t="shared" si="216"/>
        <v>0</v>
      </c>
      <c r="CD126" s="30"/>
      <c r="CE126" s="30">
        <f t="shared" si="217"/>
        <v>0</v>
      </c>
      <c r="CF126" s="30"/>
      <c r="CG126" s="2"/>
    </row>
    <row r="127" spans="1:85" x14ac:dyDescent="0.4">
      <c r="A127" s="2" t="s">
        <v>110</v>
      </c>
      <c r="B127" s="2" t="s">
        <v>262</v>
      </c>
      <c r="C127" s="2" t="s">
        <v>263</v>
      </c>
      <c r="D127" s="2" t="s">
        <v>406</v>
      </c>
      <c r="E127" s="165" t="s">
        <v>295</v>
      </c>
      <c r="F127" s="2" t="s">
        <v>153</v>
      </c>
      <c r="G127" s="2" t="s">
        <v>153</v>
      </c>
      <c r="H127" s="2" t="s">
        <v>295</v>
      </c>
      <c r="I127" s="2" t="s">
        <v>153</v>
      </c>
      <c r="J127" s="2" t="s">
        <v>153</v>
      </c>
      <c r="K127" s="2" t="s">
        <v>267</v>
      </c>
      <c r="L127" s="13" t="s">
        <v>271</v>
      </c>
      <c r="M127" s="2" t="s">
        <v>82</v>
      </c>
      <c r="N127" s="2" t="s">
        <v>82</v>
      </c>
      <c r="O127" s="2" t="s">
        <v>112</v>
      </c>
      <c r="P127" s="2" t="s">
        <v>81</v>
      </c>
      <c r="Q127" s="2" t="s">
        <v>109</v>
      </c>
      <c r="R127" s="2" t="s">
        <v>80</v>
      </c>
      <c r="S127" s="11">
        <v>0.34399999999999997</v>
      </c>
      <c r="T127" s="12"/>
      <c r="U127" s="30">
        <f t="shared" si="191"/>
        <v>36</v>
      </c>
      <c r="V127" s="30">
        <f t="shared" si="192"/>
        <v>12.384</v>
      </c>
      <c r="W127" s="30">
        <f t="shared" si="193"/>
        <v>3096</v>
      </c>
      <c r="X127" s="30">
        <f t="shared" si="194"/>
        <v>12000</v>
      </c>
      <c r="Y127" s="30">
        <v>3000</v>
      </c>
      <c r="Z127" s="30">
        <f t="shared" si="195"/>
        <v>1032</v>
      </c>
      <c r="AA127" s="30">
        <v>3000</v>
      </c>
      <c r="AB127" s="30">
        <f t="shared" si="196"/>
        <v>1032</v>
      </c>
      <c r="AC127" s="30"/>
      <c r="AD127" s="30">
        <v>3000</v>
      </c>
      <c r="AE127" s="30">
        <f t="shared" si="197"/>
        <v>1032</v>
      </c>
      <c r="AF127" s="30">
        <v>3000</v>
      </c>
      <c r="AG127" s="30">
        <f t="shared" si="198"/>
        <v>1032</v>
      </c>
      <c r="AH127" s="30"/>
      <c r="AI127" s="30">
        <v>3000</v>
      </c>
      <c r="AJ127" s="30">
        <f t="shared" si="199"/>
        <v>1032</v>
      </c>
      <c r="AK127" s="30">
        <v>3000</v>
      </c>
      <c r="AL127" s="30">
        <f t="shared" si="200"/>
        <v>1032</v>
      </c>
      <c r="AM127" s="30"/>
      <c r="AN127" s="30">
        <v>3000</v>
      </c>
      <c r="AO127" s="30">
        <f t="shared" si="201"/>
        <v>1032</v>
      </c>
      <c r="AP127" s="30">
        <v>3000</v>
      </c>
      <c r="AQ127" s="30">
        <f t="shared" si="202"/>
        <v>1032</v>
      </c>
      <c r="AR127" s="30"/>
      <c r="AS127" s="30">
        <v>3000</v>
      </c>
      <c r="AT127" s="30">
        <f t="shared" si="203"/>
        <v>1032</v>
      </c>
      <c r="AU127" s="30">
        <v>3000</v>
      </c>
      <c r="AV127" s="30">
        <f t="shared" si="204"/>
        <v>1032</v>
      </c>
      <c r="AW127" s="30"/>
      <c r="AX127" s="30">
        <v>3000</v>
      </c>
      <c r="AY127" s="30">
        <f t="shared" si="205"/>
        <v>1032</v>
      </c>
      <c r="AZ127" s="30">
        <v>3000</v>
      </c>
      <c r="BA127" s="30">
        <v>1032</v>
      </c>
      <c r="BB127" s="30"/>
      <c r="BC127" s="45">
        <v>3000</v>
      </c>
      <c r="BD127" s="45">
        <f t="shared" si="206"/>
        <v>1032</v>
      </c>
      <c r="BE127" s="30">
        <v>3000</v>
      </c>
      <c r="BF127" s="30">
        <f t="shared" si="207"/>
        <v>1032</v>
      </c>
      <c r="BG127" s="59">
        <v>4000</v>
      </c>
      <c r="BH127" s="30">
        <v>3000</v>
      </c>
      <c r="BI127" s="30">
        <f t="shared" si="208"/>
        <v>1032</v>
      </c>
      <c r="BJ127" s="30">
        <v>3000</v>
      </c>
      <c r="BK127" s="30">
        <f t="shared" si="209"/>
        <v>1032</v>
      </c>
      <c r="BL127" s="141">
        <v>4000</v>
      </c>
      <c r="BM127" s="30">
        <v>3000</v>
      </c>
      <c r="BN127" s="30">
        <f t="shared" si="210"/>
        <v>1032</v>
      </c>
      <c r="BO127" s="30">
        <v>3000</v>
      </c>
      <c r="BP127" s="30">
        <f t="shared" si="211"/>
        <v>1032</v>
      </c>
      <c r="BQ127" s="146">
        <v>4000</v>
      </c>
      <c r="BR127" s="30">
        <v>3000</v>
      </c>
      <c r="BS127" s="30">
        <f t="shared" si="212"/>
        <v>1032</v>
      </c>
      <c r="BT127" s="30"/>
      <c r="BU127" s="30">
        <f t="shared" si="213"/>
        <v>0</v>
      </c>
      <c r="BV127" s="30"/>
      <c r="BW127" s="30">
        <v>3000</v>
      </c>
      <c r="BX127" s="30">
        <f t="shared" si="214"/>
        <v>1032</v>
      </c>
      <c r="BY127" s="30"/>
      <c r="BZ127" s="30">
        <f t="shared" si="215"/>
        <v>0</v>
      </c>
      <c r="CA127" s="30"/>
      <c r="CB127" s="30">
        <v>3000</v>
      </c>
      <c r="CC127" s="30">
        <f t="shared" si="216"/>
        <v>1032</v>
      </c>
      <c r="CD127" s="30"/>
      <c r="CE127" s="30">
        <f t="shared" si="217"/>
        <v>0</v>
      </c>
      <c r="CF127" s="30"/>
      <c r="CG127" s="2"/>
    </row>
    <row r="128" spans="1:85" ht="17" x14ac:dyDescent="0.4">
      <c r="A128" s="2" t="s">
        <v>110</v>
      </c>
      <c r="B128" s="2" t="s">
        <v>262</v>
      </c>
      <c r="C128" s="2" t="s">
        <v>263</v>
      </c>
      <c r="D128" s="2" t="s">
        <v>406</v>
      </c>
      <c r="E128" s="165" t="s">
        <v>295</v>
      </c>
      <c r="F128" s="2" t="s">
        <v>153</v>
      </c>
      <c r="G128" s="2" t="s">
        <v>153</v>
      </c>
      <c r="H128" s="2"/>
      <c r="I128" s="2" t="s">
        <v>153</v>
      </c>
      <c r="J128" s="2" t="s">
        <v>153</v>
      </c>
      <c r="K128" s="2" t="s">
        <v>267</v>
      </c>
      <c r="L128" s="13" t="s">
        <v>271</v>
      </c>
      <c r="M128" s="2" t="s">
        <v>261</v>
      </c>
      <c r="N128" s="2" t="s">
        <v>261</v>
      </c>
      <c r="O128" s="2"/>
      <c r="P128" s="2" t="s">
        <v>85</v>
      </c>
      <c r="Q128" s="2" t="s">
        <v>409</v>
      </c>
      <c r="R128" s="2" t="s">
        <v>80</v>
      </c>
      <c r="S128" s="11">
        <v>0.16900000000000001</v>
      </c>
      <c r="T128" s="12"/>
      <c r="U128" s="30">
        <f t="shared" si="191"/>
        <v>27</v>
      </c>
      <c r="V128" s="30">
        <f t="shared" si="192"/>
        <v>4.5629999999999997</v>
      </c>
      <c r="W128" s="30">
        <f t="shared" si="193"/>
        <v>1014</v>
      </c>
      <c r="X128" s="30">
        <f t="shared" si="194"/>
        <v>0</v>
      </c>
      <c r="Y128" s="30">
        <v>2000</v>
      </c>
      <c r="Z128" s="30">
        <f t="shared" si="195"/>
        <v>338</v>
      </c>
      <c r="AA128" s="30">
        <v>2000</v>
      </c>
      <c r="AB128" s="30">
        <f t="shared" si="196"/>
        <v>338</v>
      </c>
      <c r="AC128" s="30"/>
      <c r="AD128" s="30">
        <v>2000</v>
      </c>
      <c r="AE128" s="30">
        <f t="shared" si="197"/>
        <v>338</v>
      </c>
      <c r="AF128" s="30">
        <v>2000</v>
      </c>
      <c r="AG128" s="30">
        <f t="shared" si="198"/>
        <v>338</v>
      </c>
      <c r="AH128" s="30"/>
      <c r="AI128" s="30">
        <v>2000</v>
      </c>
      <c r="AJ128" s="30">
        <f t="shared" si="199"/>
        <v>338</v>
      </c>
      <c r="AK128" s="30">
        <v>2000</v>
      </c>
      <c r="AL128" s="30">
        <f t="shared" si="200"/>
        <v>338</v>
      </c>
      <c r="AM128" s="30"/>
      <c r="AN128" s="30">
        <v>2000</v>
      </c>
      <c r="AO128" s="30">
        <f t="shared" si="201"/>
        <v>338</v>
      </c>
      <c r="AP128" s="30">
        <v>2000</v>
      </c>
      <c r="AQ128" s="30">
        <f t="shared" si="202"/>
        <v>338</v>
      </c>
      <c r="AR128" s="30"/>
      <c r="AS128" s="30">
        <v>2000</v>
      </c>
      <c r="AT128" s="30">
        <f t="shared" si="203"/>
        <v>338</v>
      </c>
      <c r="AU128" s="30">
        <v>2000</v>
      </c>
      <c r="AV128" s="30">
        <f t="shared" si="204"/>
        <v>338</v>
      </c>
      <c r="AW128" s="30"/>
      <c r="AX128" s="30">
        <v>2000</v>
      </c>
      <c r="AY128" s="30">
        <f t="shared" si="205"/>
        <v>338</v>
      </c>
      <c r="AZ128" s="30">
        <v>2000</v>
      </c>
      <c r="BA128" s="30">
        <v>338</v>
      </c>
      <c r="BB128" s="145">
        <v>40000</v>
      </c>
      <c r="BC128" s="45">
        <v>2000</v>
      </c>
      <c r="BD128" s="45">
        <f t="shared" si="206"/>
        <v>338</v>
      </c>
      <c r="BE128" s="30">
        <v>2000</v>
      </c>
      <c r="BF128" s="30">
        <f t="shared" si="207"/>
        <v>338</v>
      </c>
      <c r="BG128" s="30"/>
      <c r="BH128" s="30">
        <v>2000</v>
      </c>
      <c r="BI128" s="30">
        <f t="shared" si="208"/>
        <v>338</v>
      </c>
      <c r="BJ128" s="30">
        <v>2000</v>
      </c>
      <c r="BK128" s="30">
        <f t="shared" si="209"/>
        <v>338</v>
      </c>
      <c r="BL128" s="30"/>
      <c r="BM128" s="30">
        <v>2000</v>
      </c>
      <c r="BN128" s="30">
        <f t="shared" si="210"/>
        <v>338</v>
      </c>
      <c r="BO128" s="30">
        <v>2000</v>
      </c>
      <c r="BP128" s="30">
        <f t="shared" si="211"/>
        <v>338</v>
      </c>
      <c r="BQ128" s="30"/>
      <c r="BR128" s="30">
        <v>2000</v>
      </c>
      <c r="BS128" s="30">
        <f t="shared" si="212"/>
        <v>338</v>
      </c>
      <c r="BT128" s="30"/>
      <c r="BU128" s="30">
        <f t="shared" si="213"/>
        <v>0</v>
      </c>
      <c r="BV128" s="30"/>
      <c r="BW128" s="30">
        <v>2000</v>
      </c>
      <c r="BX128" s="30">
        <f t="shared" si="214"/>
        <v>338</v>
      </c>
      <c r="BY128" s="30"/>
      <c r="BZ128" s="30">
        <f t="shared" si="215"/>
        <v>0</v>
      </c>
      <c r="CA128" s="30"/>
      <c r="CB128" s="30">
        <v>5000</v>
      </c>
      <c r="CC128" s="30">
        <f t="shared" si="216"/>
        <v>845</v>
      </c>
      <c r="CD128" s="30"/>
      <c r="CE128" s="30">
        <f t="shared" si="217"/>
        <v>0</v>
      </c>
      <c r="CF128" s="30"/>
      <c r="CG128" s="62"/>
    </row>
    <row r="129" spans="1:85" x14ac:dyDescent="0.4">
      <c r="A129" s="2" t="s">
        <v>110</v>
      </c>
      <c r="B129" s="2" t="s">
        <v>262</v>
      </c>
      <c r="C129" s="2" t="s">
        <v>263</v>
      </c>
      <c r="D129" s="2" t="s">
        <v>406</v>
      </c>
      <c r="E129" s="165" t="s">
        <v>295</v>
      </c>
      <c r="F129" s="2" t="s">
        <v>153</v>
      </c>
      <c r="G129" s="2" t="s">
        <v>153</v>
      </c>
      <c r="H129" s="2"/>
      <c r="I129" s="2" t="s">
        <v>153</v>
      </c>
      <c r="J129" s="2" t="s">
        <v>153</v>
      </c>
      <c r="K129" s="2" t="s">
        <v>267</v>
      </c>
      <c r="L129" s="13" t="s">
        <v>271</v>
      </c>
      <c r="M129" s="2" t="s">
        <v>261</v>
      </c>
      <c r="N129" s="2" t="s">
        <v>261</v>
      </c>
      <c r="O129" s="2" t="s">
        <v>89</v>
      </c>
      <c r="P129" s="2" t="s">
        <v>85</v>
      </c>
      <c r="Q129" s="2" t="s">
        <v>410</v>
      </c>
      <c r="R129" s="2" t="s">
        <v>80</v>
      </c>
      <c r="S129" s="11">
        <v>0.14649999999999999</v>
      </c>
      <c r="T129" s="12">
        <v>8000</v>
      </c>
      <c r="U129" s="30">
        <f t="shared" si="191"/>
        <v>24</v>
      </c>
      <c r="V129" s="30">
        <f t="shared" si="192"/>
        <v>3.516</v>
      </c>
      <c r="W129" s="30">
        <f t="shared" si="193"/>
        <v>879</v>
      </c>
      <c r="X129" s="30">
        <f t="shared" si="194"/>
        <v>0</v>
      </c>
      <c r="Y129" s="30">
        <v>2000</v>
      </c>
      <c r="Z129" s="30">
        <f t="shared" si="195"/>
        <v>293</v>
      </c>
      <c r="AA129" s="30">
        <v>2000</v>
      </c>
      <c r="AB129" s="30">
        <f t="shared" si="196"/>
        <v>293</v>
      </c>
      <c r="AC129" s="30"/>
      <c r="AD129" s="30">
        <v>2000</v>
      </c>
      <c r="AE129" s="30">
        <f t="shared" si="197"/>
        <v>293</v>
      </c>
      <c r="AF129" s="30">
        <v>2000</v>
      </c>
      <c r="AG129" s="30">
        <f t="shared" si="198"/>
        <v>293</v>
      </c>
      <c r="AH129" s="30"/>
      <c r="AI129" s="30">
        <v>2000</v>
      </c>
      <c r="AJ129" s="30">
        <f t="shared" si="199"/>
        <v>293</v>
      </c>
      <c r="AK129" s="30">
        <v>2000</v>
      </c>
      <c r="AL129" s="30">
        <f t="shared" si="200"/>
        <v>293</v>
      </c>
      <c r="AM129" s="30"/>
      <c r="AN129" s="30">
        <v>2000</v>
      </c>
      <c r="AO129" s="30">
        <f t="shared" si="201"/>
        <v>293</v>
      </c>
      <c r="AP129" s="30">
        <v>2000</v>
      </c>
      <c r="AQ129" s="30">
        <f t="shared" si="202"/>
        <v>293</v>
      </c>
      <c r="AR129" s="30"/>
      <c r="AS129" s="30">
        <v>2000</v>
      </c>
      <c r="AT129" s="30">
        <f t="shared" si="203"/>
        <v>293</v>
      </c>
      <c r="AU129" s="30">
        <v>2000</v>
      </c>
      <c r="AV129" s="30">
        <f t="shared" si="204"/>
        <v>293</v>
      </c>
      <c r="AW129" s="30"/>
      <c r="AX129" s="30">
        <v>2000</v>
      </c>
      <c r="AY129" s="30">
        <f t="shared" si="205"/>
        <v>293</v>
      </c>
      <c r="AZ129" s="30">
        <v>2000</v>
      </c>
      <c r="BA129" s="30">
        <v>293</v>
      </c>
      <c r="BB129" s="30"/>
      <c r="BC129" s="45">
        <v>2000</v>
      </c>
      <c r="BD129" s="45">
        <f t="shared" si="206"/>
        <v>293</v>
      </c>
      <c r="BE129" s="30">
        <v>2000</v>
      </c>
      <c r="BF129" s="30">
        <f t="shared" si="207"/>
        <v>293</v>
      </c>
      <c r="BG129" s="30"/>
      <c r="BH129" s="30">
        <v>2000</v>
      </c>
      <c r="BI129" s="30">
        <f t="shared" si="208"/>
        <v>293</v>
      </c>
      <c r="BJ129" s="30">
        <v>2000</v>
      </c>
      <c r="BK129" s="30">
        <f t="shared" si="209"/>
        <v>293</v>
      </c>
      <c r="BL129" s="30"/>
      <c r="BM129" s="30">
        <v>2000</v>
      </c>
      <c r="BN129" s="30">
        <f t="shared" si="210"/>
        <v>293</v>
      </c>
      <c r="BO129" s="30">
        <v>2000</v>
      </c>
      <c r="BP129" s="30">
        <f t="shared" si="211"/>
        <v>293</v>
      </c>
      <c r="BQ129" s="30"/>
      <c r="BR129" s="30">
        <v>2000</v>
      </c>
      <c r="BS129" s="30">
        <f t="shared" si="212"/>
        <v>293</v>
      </c>
      <c r="BT129" s="30"/>
      <c r="BU129" s="30">
        <f t="shared" si="213"/>
        <v>0</v>
      </c>
      <c r="BV129" s="30"/>
      <c r="BW129" s="30">
        <v>2000</v>
      </c>
      <c r="BX129" s="30">
        <f t="shared" si="214"/>
        <v>293</v>
      </c>
      <c r="BY129" s="30"/>
      <c r="BZ129" s="30">
        <f t="shared" si="215"/>
        <v>0</v>
      </c>
      <c r="CA129" s="30"/>
      <c r="CB129" s="30">
        <v>2000</v>
      </c>
      <c r="CC129" s="30">
        <f t="shared" si="216"/>
        <v>293</v>
      </c>
      <c r="CD129" s="30"/>
      <c r="CE129" s="30">
        <f t="shared" si="217"/>
        <v>0</v>
      </c>
      <c r="CF129" s="30"/>
      <c r="CG129" s="2"/>
    </row>
    <row r="130" spans="1:85" ht="17" x14ac:dyDescent="0.4">
      <c r="A130" s="2" t="s">
        <v>110</v>
      </c>
      <c r="B130" s="2" t="s">
        <v>262</v>
      </c>
      <c r="C130" s="2" t="s">
        <v>263</v>
      </c>
      <c r="D130" s="2" t="s">
        <v>406</v>
      </c>
      <c r="E130" s="165" t="s">
        <v>295</v>
      </c>
      <c r="F130" s="2" t="s">
        <v>153</v>
      </c>
      <c r="G130" s="2" t="s">
        <v>153</v>
      </c>
      <c r="H130" s="2" t="s">
        <v>295</v>
      </c>
      <c r="I130" s="2" t="s">
        <v>153</v>
      </c>
      <c r="J130" s="2" t="s">
        <v>153</v>
      </c>
      <c r="K130" s="2" t="s">
        <v>267</v>
      </c>
      <c r="L130" s="13" t="s">
        <v>271</v>
      </c>
      <c r="M130" s="2" t="s">
        <v>128</v>
      </c>
      <c r="N130" s="2" t="s">
        <v>128</v>
      </c>
      <c r="O130" s="2" t="s">
        <v>129</v>
      </c>
      <c r="P130" s="2" t="s">
        <v>93</v>
      </c>
      <c r="Q130" s="2" t="s">
        <v>290</v>
      </c>
      <c r="R130" s="2" t="s">
        <v>80</v>
      </c>
      <c r="S130" s="11">
        <v>0.09</v>
      </c>
      <c r="T130" s="12"/>
      <c r="U130" s="30">
        <f t="shared" si="191"/>
        <v>12</v>
      </c>
      <c r="V130" s="30">
        <f t="shared" si="192"/>
        <v>1.08</v>
      </c>
      <c r="W130" s="30">
        <f t="shared" si="193"/>
        <v>810</v>
      </c>
      <c r="X130" s="30">
        <f t="shared" si="194"/>
        <v>45000</v>
      </c>
      <c r="Y130" s="30">
        <v>3000</v>
      </c>
      <c r="Z130" s="30">
        <f t="shared" si="195"/>
        <v>270</v>
      </c>
      <c r="AA130" s="30">
        <v>3000</v>
      </c>
      <c r="AB130" s="30">
        <f t="shared" si="196"/>
        <v>270</v>
      </c>
      <c r="AC130" s="30">
        <v>22500</v>
      </c>
      <c r="AD130" s="30">
        <v>3000</v>
      </c>
      <c r="AE130" s="30">
        <f t="shared" si="197"/>
        <v>270</v>
      </c>
      <c r="AF130" s="30">
        <v>3000</v>
      </c>
      <c r="AG130" s="30">
        <f t="shared" si="198"/>
        <v>270</v>
      </c>
      <c r="AH130" s="30"/>
      <c r="AI130" s="30">
        <v>3000</v>
      </c>
      <c r="AJ130" s="30">
        <f t="shared" si="199"/>
        <v>270</v>
      </c>
      <c r="AK130" s="30">
        <v>3000</v>
      </c>
      <c r="AL130" s="30">
        <f t="shared" si="200"/>
        <v>270</v>
      </c>
      <c r="AM130" s="30"/>
      <c r="AN130" s="30">
        <v>3000</v>
      </c>
      <c r="AO130" s="30">
        <f t="shared" si="201"/>
        <v>270</v>
      </c>
      <c r="AP130" s="30">
        <v>3000</v>
      </c>
      <c r="AQ130" s="30">
        <f t="shared" si="202"/>
        <v>270</v>
      </c>
      <c r="AR130" s="30"/>
      <c r="AS130" s="30"/>
      <c r="AT130" s="30">
        <f t="shared" si="203"/>
        <v>0</v>
      </c>
      <c r="AU130" s="30">
        <v>3000</v>
      </c>
      <c r="AV130" s="30">
        <f t="shared" si="204"/>
        <v>270</v>
      </c>
      <c r="AW130" s="30"/>
      <c r="AX130" s="30"/>
      <c r="AY130" s="30">
        <f t="shared" si="205"/>
        <v>0</v>
      </c>
      <c r="AZ130" s="30">
        <v>3000</v>
      </c>
      <c r="BA130" s="30">
        <v>270</v>
      </c>
      <c r="BB130" s="30"/>
      <c r="BC130" s="45"/>
      <c r="BD130" s="45">
        <f t="shared" si="206"/>
        <v>0</v>
      </c>
      <c r="BE130" s="30">
        <v>3000</v>
      </c>
      <c r="BF130" s="30">
        <f t="shared" si="207"/>
        <v>270</v>
      </c>
      <c r="BG130" s="27"/>
      <c r="BH130" s="30"/>
      <c r="BI130" s="30">
        <f t="shared" si="208"/>
        <v>0</v>
      </c>
      <c r="BJ130" s="30">
        <v>3000</v>
      </c>
      <c r="BK130" s="30">
        <f t="shared" si="209"/>
        <v>270</v>
      </c>
      <c r="BL130" s="146">
        <v>20000</v>
      </c>
      <c r="BM130" s="30"/>
      <c r="BN130" s="30">
        <f t="shared" si="210"/>
        <v>0</v>
      </c>
      <c r="BO130" s="30">
        <v>3000</v>
      </c>
      <c r="BP130" s="30">
        <f t="shared" si="211"/>
        <v>270</v>
      </c>
      <c r="BQ130" s="30"/>
      <c r="BR130" s="30"/>
      <c r="BS130" s="30">
        <f t="shared" si="212"/>
        <v>0</v>
      </c>
      <c r="BT130" s="30"/>
      <c r="BU130" s="30">
        <f t="shared" si="213"/>
        <v>0</v>
      </c>
      <c r="BV130" s="146">
        <v>10000</v>
      </c>
      <c r="BW130" s="30"/>
      <c r="BX130" s="30">
        <f t="shared" si="214"/>
        <v>0</v>
      </c>
      <c r="BY130" s="30"/>
      <c r="BZ130" s="30">
        <f t="shared" si="215"/>
        <v>0</v>
      </c>
      <c r="CA130" s="142">
        <v>10000</v>
      </c>
      <c r="CB130" s="30"/>
      <c r="CC130" s="30">
        <f t="shared" si="216"/>
        <v>0</v>
      </c>
      <c r="CD130" s="30"/>
      <c r="CE130" s="30">
        <f t="shared" si="217"/>
        <v>0</v>
      </c>
      <c r="CF130" s="142">
        <v>5000</v>
      </c>
      <c r="CG130" s="52" t="s">
        <v>599</v>
      </c>
    </row>
    <row r="131" spans="1:85" ht="17" x14ac:dyDescent="0.4">
      <c r="A131" s="2" t="s">
        <v>110</v>
      </c>
      <c r="B131" s="2" t="s">
        <v>262</v>
      </c>
      <c r="C131" s="2" t="s">
        <v>263</v>
      </c>
      <c r="D131" s="2" t="s">
        <v>406</v>
      </c>
      <c r="E131" s="165" t="s">
        <v>295</v>
      </c>
      <c r="F131" s="2" t="s">
        <v>153</v>
      </c>
      <c r="G131" s="2" t="s">
        <v>153</v>
      </c>
      <c r="H131" s="2" t="s">
        <v>295</v>
      </c>
      <c r="I131" s="2" t="s">
        <v>153</v>
      </c>
      <c r="J131" s="2" t="s">
        <v>153</v>
      </c>
      <c r="K131" s="2" t="s">
        <v>267</v>
      </c>
      <c r="L131" s="13" t="s">
        <v>271</v>
      </c>
      <c r="M131" s="2" t="s">
        <v>82</v>
      </c>
      <c r="N131" s="2" t="s">
        <v>82</v>
      </c>
      <c r="O131" s="2" t="s">
        <v>112</v>
      </c>
      <c r="P131" s="2" t="s">
        <v>81</v>
      </c>
      <c r="Q131" s="2" t="s">
        <v>298</v>
      </c>
      <c r="R131" s="2" t="s">
        <v>80</v>
      </c>
      <c r="S131" s="11">
        <v>0.58499999999999996</v>
      </c>
      <c r="T131" s="12"/>
      <c r="U131" s="30">
        <f t="shared" si="191"/>
        <v>24</v>
      </c>
      <c r="V131" s="30">
        <f t="shared" si="192"/>
        <v>14.04</v>
      </c>
      <c r="W131" s="30">
        <f t="shared" si="193"/>
        <v>0</v>
      </c>
      <c r="X131" s="30">
        <f t="shared" si="194"/>
        <v>74240</v>
      </c>
      <c r="Y131" s="30">
        <v>2000</v>
      </c>
      <c r="Z131" s="30">
        <f t="shared" si="195"/>
        <v>1170</v>
      </c>
      <c r="AA131" s="30">
        <v>2000</v>
      </c>
      <c r="AB131" s="30">
        <f t="shared" si="196"/>
        <v>1170</v>
      </c>
      <c r="AC131" s="30"/>
      <c r="AD131" s="30">
        <v>2000</v>
      </c>
      <c r="AE131" s="30">
        <f t="shared" si="197"/>
        <v>1170</v>
      </c>
      <c r="AF131" s="30">
        <v>2000</v>
      </c>
      <c r="AG131" s="30">
        <f t="shared" si="198"/>
        <v>1170</v>
      </c>
      <c r="AH131" s="30"/>
      <c r="AI131" s="30">
        <v>2000</v>
      </c>
      <c r="AJ131" s="30">
        <f t="shared" si="199"/>
        <v>1170</v>
      </c>
      <c r="AK131" s="30">
        <v>2000</v>
      </c>
      <c r="AL131" s="30">
        <f t="shared" si="200"/>
        <v>1170</v>
      </c>
      <c r="AM131" s="30">
        <v>8960</v>
      </c>
      <c r="AN131" s="30">
        <v>2000</v>
      </c>
      <c r="AO131" s="30">
        <f t="shared" si="201"/>
        <v>1170</v>
      </c>
      <c r="AP131" s="30"/>
      <c r="AQ131" s="30">
        <f t="shared" si="202"/>
        <v>0</v>
      </c>
      <c r="AR131" s="30">
        <v>1280</v>
      </c>
      <c r="AS131" s="30">
        <v>2000</v>
      </c>
      <c r="AT131" s="30">
        <f t="shared" si="203"/>
        <v>1170</v>
      </c>
      <c r="AU131" s="30"/>
      <c r="AV131" s="30">
        <f t="shared" si="204"/>
        <v>0</v>
      </c>
      <c r="AW131" s="33">
        <v>17920</v>
      </c>
      <c r="AX131" s="30">
        <v>2000</v>
      </c>
      <c r="AY131" s="30">
        <f t="shared" si="205"/>
        <v>1170</v>
      </c>
      <c r="AZ131" s="30"/>
      <c r="BA131" s="30">
        <v>0</v>
      </c>
      <c r="BB131" s="63">
        <v>16640</v>
      </c>
      <c r="BC131" s="45">
        <v>2000</v>
      </c>
      <c r="BD131" s="45">
        <f t="shared" si="206"/>
        <v>1170</v>
      </c>
      <c r="BE131" s="30"/>
      <c r="BF131" s="30">
        <f t="shared" si="207"/>
        <v>0</v>
      </c>
      <c r="BG131" s="59">
        <v>14080</v>
      </c>
      <c r="BH131" s="30">
        <v>2000</v>
      </c>
      <c r="BI131" s="30">
        <f t="shared" si="208"/>
        <v>1170</v>
      </c>
      <c r="BJ131" s="30"/>
      <c r="BK131" s="30">
        <f t="shared" si="209"/>
        <v>0</v>
      </c>
      <c r="BL131" s="60">
        <v>8960</v>
      </c>
      <c r="BM131" s="30">
        <v>2000</v>
      </c>
      <c r="BN131" s="30">
        <f t="shared" si="210"/>
        <v>1170</v>
      </c>
      <c r="BO131" s="30"/>
      <c r="BP131" s="30">
        <f t="shared" si="211"/>
        <v>0</v>
      </c>
      <c r="BQ131" s="30"/>
      <c r="BR131" s="30">
        <v>2000</v>
      </c>
      <c r="BS131" s="30">
        <f t="shared" si="212"/>
        <v>1170</v>
      </c>
      <c r="BT131" s="30"/>
      <c r="BU131" s="30">
        <f t="shared" si="213"/>
        <v>0</v>
      </c>
      <c r="BV131" s="30"/>
      <c r="BW131" s="30">
        <v>2000</v>
      </c>
      <c r="BX131" s="30">
        <f t="shared" si="214"/>
        <v>1170</v>
      </c>
      <c r="BY131" s="30"/>
      <c r="BZ131" s="30">
        <f t="shared" si="215"/>
        <v>0</v>
      </c>
      <c r="CA131" s="141">
        <v>25600</v>
      </c>
      <c r="CB131" s="30">
        <v>2000</v>
      </c>
      <c r="CC131" s="30">
        <f t="shared" si="216"/>
        <v>1170</v>
      </c>
      <c r="CD131" s="30"/>
      <c r="CE131" s="30">
        <f t="shared" si="217"/>
        <v>0</v>
      </c>
      <c r="CF131" s="141">
        <v>25600</v>
      </c>
      <c r="CG131" s="52" t="s">
        <v>448</v>
      </c>
    </row>
    <row r="132" spans="1:85" x14ac:dyDescent="0.4">
      <c r="A132" s="2" t="s">
        <v>110</v>
      </c>
      <c r="B132" s="2" t="s">
        <v>262</v>
      </c>
      <c r="C132" s="2" t="s">
        <v>263</v>
      </c>
      <c r="D132" s="2" t="s">
        <v>406</v>
      </c>
      <c r="E132" s="165" t="s">
        <v>295</v>
      </c>
      <c r="F132" s="2" t="s">
        <v>153</v>
      </c>
      <c r="G132" s="2" t="s">
        <v>153</v>
      </c>
      <c r="H132" s="2" t="s">
        <v>295</v>
      </c>
      <c r="I132" s="2" t="s">
        <v>153</v>
      </c>
      <c r="J132" s="2" t="s">
        <v>153</v>
      </c>
      <c r="K132" s="2" t="s">
        <v>267</v>
      </c>
      <c r="L132" s="13" t="s">
        <v>271</v>
      </c>
      <c r="M132" s="2" t="s">
        <v>132</v>
      </c>
      <c r="N132" s="2" t="s">
        <v>132</v>
      </c>
      <c r="O132" s="2" t="s">
        <v>112</v>
      </c>
      <c r="P132" s="2" t="s">
        <v>81</v>
      </c>
      <c r="Q132" s="2" t="s">
        <v>407</v>
      </c>
      <c r="R132" s="2" t="s">
        <v>80</v>
      </c>
      <c r="S132" s="11">
        <v>0.33</v>
      </c>
      <c r="T132" s="12"/>
      <c r="U132" s="30">
        <f t="shared" si="191"/>
        <v>36</v>
      </c>
      <c r="V132" s="30">
        <f t="shared" si="192"/>
        <v>11.88</v>
      </c>
      <c r="W132" s="30">
        <f t="shared" si="193"/>
        <v>0</v>
      </c>
      <c r="X132" s="30">
        <f t="shared" si="194"/>
        <v>0</v>
      </c>
      <c r="Y132" s="30">
        <v>3000</v>
      </c>
      <c r="Z132" s="30">
        <f t="shared" si="195"/>
        <v>990</v>
      </c>
      <c r="AA132" s="30">
        <v>3000</v>
      </c>
      <c r="AB132" s="30">
        <f t="shared" si="196"/>
        <v>990</v>
      </c>
      <c r="AC132" s="30"/>
      <c r="AD132" s="30">
        <v>3000</v>
      </c>
      <c r="AE132" s="30">
        <f t="shared" si="197"/>
        <v>990</v>
      </c>
      <c r="AF132" s="30">
        <v>3000</v>
      </c>
      <c r="AG132" s="30">
        <f t="shared" si="198"/>
        <v>990</v>
      </c>
      <c r="AH132" s="30"/>
      <c r="AI132" s="30">
        <v>3000</v>
      </c>
      <c r="AJ132" s="30">
        <f t="shared" si="199"/>
        <v>990</v>
      </c>
      <c r="AK132" s="30"/>
      <c r="AL132" s="30">
        <f t="shared" si="200"/>
        <v>0</v>
      </c>
      <c r="AM132" s="30"/>
      <c r="AN132" s="30">
        <v>3000</v>
      </c>
      <c r="AO132" s="30">
        <f t="shared" si="201"/>
        <v>990</v>
      </c>
      <c r="AP132" s="30"/>
      <c r="AQ132" s="30">
        <f t="shared" si="202"/>
        <v>0</v>
      </c>
      <c r="AR132" s="30"/>
      <c r="AS132" s="30">
        <v>3000</v>
      </c>
      <c r="AT132" s="30">
        <f t="shared" si="203"/>
        <v>990</v>
      </c>
      <c r="AU132" s="30"/>
      <c r="AV132" s="30">
        <f t="shared" si="204"/>
        <v>0</v>
      </c>
      <c r="AW132" s="30"/>
      <c r="AX132" s="30">
        <v>3000</v>
      </c>
      <c r="AY132" s="30">
        <f t="shared" si="205"/>
        <v>990</v>
      </c>
      <c r="AZ132" s="30"/>
      <c r="BA132" s="30">
        <v>0</v>
      </c>
      <c r="BB132" s="30"/>
      <c r="BC132" s="45">
        <v>3000</v>
      </c>
      <c r="BD132" s="45">
        <f t="shared" si="206"/>
        <v>990</v>
      </c>
      <c r="BE132" s="30"/>
      <c r="BF132" s="30">
        <f t="shared" si="207"/>
        <v>0</v>
      </c>
      <c r="BG132" s="30"/>
      <c r="BH132" s="30">
        <v>3000</v>
      </c>
      <c r="BI132" s="30">
        <f t="shared" si="208"/>
        <v>990</v>
      </c>
      <c r="BJ132" s="30"/>
      <c r="BK132" s="30">
        <f t="shared" si="209"/>
        <v>0</v>
      </c>
      <c r="BL132" s="30"/>
      <c r="BM132" s="30">
        <v>3000</v>
      </c>
      <c r="BN132" s="30">
        <f t="shared" si="210"/>
        <v>990</v>
      </c>
      <c r="BO132" s="30"/>
      <c r="BP132" s="30">
        <f t="shared" si="211"/>
        <v>0</v>
      </c>
      <c r="BQ132" s="30"/>
      <c r="BR132" s="30">
        <v>3000</v>
      </c>
      <c r="BS132" s="30">
        <f t="shared" si="212"/>
        <v>990</v>
      </c>
      <c r="BT132" s="30"/>
      <c r="BU132" s="30">
        <f t="shared" si="213"/>
        <v>0</v>
      </c>
      <c r="BV132" s="30"/>
      <c r="BW132" s="30">
        <v>3000</v>
      </c>
      <c r="BX132" s="30">
        <f t="shared" si="214"/>
        <v>990</v>
      </c>
      <c r="BY132" s="30"/>
      <c r="BZ132" s="30">
        <f t="shared" si="215"/>
        <v>0</v>
      </c>
      <c r="CA132" s="30"/>
      <c r="CB132" s="30">
        <v>3000</v>
      </c>
      <c r="CC132" s="30">
        <f t="shared" si="216"/>
        <v>990</v>
      </c>
      <c r="CD132" s="30"/>
      <c r="CE132" s="30">
        <f t="shared" si="217"/>
        <v>0</v>
      </c>
      <c r="CF132" s="30"/>
      <c r="CG132" s="2"/>
    </row>
    <row r="133" spans="1:85" x14ac:dyDescent="0.4">
      <c r="A133" s="2" t="s">
        <v>110</v>
      </c>
      <c r="B133" s="2" t="s">
        <v>262</v>
      </c>
      <c r="C133" s="2" t="s">
        <v>263</v>
      </c>
      <c r="D133" s="2" t="s">
        <v>406</v>
      </c>
      <c r="E133" s="165" t="s">
        <v>295</v>
      </c>
      <c r="F133" s="2" t="s">
        <v>153</v>
      </c>
      <c r="G133" s="2" t="s">
        <v>153</v>
      </c>
      <c r="H133" s="2" t="s">
        <v>295</v>
      </c>
      <c r="I133" s="2" t="s">
        <v>153</v>
      </c>
      <c r="J133" s="2" t="s">
        <v>153</v>
      </c>
      <c r="K133" s="2" t="s">
        <v>267</v>
      </c>
      <c r="L133" s="13" t="s">
        <v>271</v>
      </c>
      <c r="M133" s="2" t="s">
        <v>82</v>
      </c>
      <c r="N133" s="2" t="s">
        <v>82</v>
      </c>
      <c r="O133" s="2" t="s">
        <v>112</v>
      </c>
      <c r="P133" s="2" t="s">
        <v>81</v>
      </c>
      <c r="Q133" s="2" t="s">
        <v>296</v>
      </c>
      <c r="R133" s="2" t="s">
        <v>80</v>
      </c>
      <c r="S133" s="11">
        <v>0.44800000000000001</v>
      </c>
      <c r="T133" s="12"/>
      <c r="U133" s="30">
        <f t="shared" si="191"/>
        <v>8</v>
      </c>
      <c r="V133" s="30">
        <f t="shared" si="192"/>
        <v>3.5840000000000001</v>
      </c>
      <c r="W133" s="30">
        <f t="shared" si="193"/>
        <v>0</v>
      </c>
      <c r="X133" s="30">
        <f t="shared" si="194"/>
        <v>0</v>
      </c>
      <c r="Y133" s="30"/>
      <c r="Z133" s="30">
        <f t="shared" si="195"/>
        <v>0</v>
      </c>
      <c r="AA133" s="30"/>
      <c r="AB133" s="30">
        <f t="shared" si="196"/>
        <v>0</v>
      </c>
      <c r="AC133" s="30">
        <v>2000</v>
      </c>
      <c r="AD133" s="30">
        <v>2000</v>
      </c>
      <c r="AE133" s="30">
        <f t="shared" si="197"/>
        <v>896</v>
      </c>
      <c r="AF133" s="30"/>
      <c r="AG133" s="30">
        <f t="shared" si="198"/>
        <v>0</v>
      </c>
      <c r="AH133" s="30"/>
      <c r="AI133" s="30"/>
      <c r="AJ133" s="30">
        <f t="shared" si="199"/>
        <v>0</v>
      </c>
      <c r="AK133" s="30"/>
      <c r="AL133" s="30">
        <f t="shared" si="200"/>
        <v>0</v>
      </c>
      <c r="AM133" s="30"/>
      <c r="AN133" s="30"/>
      <c r="AO133" s="30">
        <f t="shared" si="201"/>
        <v>0</v>
      </c>
      <c r="AP133" s="30"/>
      <c r="AQ133" s="30">
        <f t="shared" si="202"/>
        <v>0</v>
      </c>
      <c r="AR133" s="30">
        <v>10000</v>
      </c>
      <c r="AS133" s="30">
        <v>2000</v>
      </c>
      <c r="AT133" s="30">
        <f t="shared" si="203"/>
        <v>896</v>
      </c>
      <c r="AU133" s="30"/>
      <c r="AV133" s="30">
        <f t="shared" si="204"/>
        <v>0</v>
      </c>
      <c r="AW133" s="30">
        <v>6000</v>
      </c>
      <c r="AX133" s="30"/>
      <c r="AY133" s="30">
        <f t="shared" si="205"/>
        <v>0</v>
      </c>
      <c r="AZ133" s="30"/>
      <c r="BA133" s="30">
        <v>0</v>
      </c>
      <c r="BB133" s="30"/>
      <c r="BC133" s="45"/>
      <c r="BD133" s="45">
        <f t="shared" si="206"/>
        <v>0</v>
      </c>
      <c r="BE133" s="30"/>
      <c r="BF133" s="30">
        <f t="shared" si="207"/>
        <v>0</v>
      </c>
      <c r="BG133" s="30"/>
      <c r="BH133" s="30">
        <v>2000</v>
      </c>
      <c r="BI133" s="30">
        <f t="shared" si="208"/>
        <v>896</v>
      </c>
      <c r="BJ133" s="30"/>
      <c r="BK133" s="30">
        <f t="shared" si="209"/>
        <v>0</v>
      </c>
      <c r="BL133" s="32"/>
      <c r="BM133" s="30"/>
      <c r="BN133" s="30">
        <f t="shared" si="210"/>
        <v>0</v>
      </c>
      <c r="BO133" s="30"/>
      <c r="BP133" s="30">
        <f t="shared" si="211"/>
        <v>0</v>
      </c>
      <c r="BQ133" s="30"/>
      <c r="BR133" s="30"/>
      <c r="BS133" s="30">
        <f t="shared" si="212"/>
        <v>0</v>
      </c>
      <c r="BT133" s="30"/>
      <c r="BU133" s="30">
        <f t="shared" si="213"/>
        <v>0</v>
      </c>
      <c r="BV133" s="30"/>
      <c r="BW133" s="30">
        <v>2000</v>
      </c>
      <c r="BX133" s="30">
        <f t="shared" si="214"/>
        <v>896</v>
      </c>
      <c r="BY133" s="30"/>
      <c r="BZ133" s="30">
        <f t="shared" si="215"/>
        <v>0</v>
      </c>
      <c r="CA133" s="30"/>
      <c r="CB133" s="30"/>
      <c r="CC133" s="30">
        <f t="shared" si="216"/>
        <v>0</v>
      </c>
      <c r="CD133" s="30"/>
      <c r="CE133" s="30">
        <f t="shared" si="217"/>
        <v>0</v>
      </c>
      <c r="CF133" s="30"/>
      <c r="CG133" s="2"/>
    </row>
    <row r="134" spans="1:85" ht="17" x14ac:dyDescent="0.4">
      <c r="A134" s="2" t="s">
        <v>110</v>
      </c>
      <c r="B134" s="2" t="s">
        <v>262</v>
      </c>
      <c r="C134" s="2" t="s">
        <v>263</v>
      </c>
      <c r="D134" s="2" t="s">
        <v>406</v>
      </c>
      <c r="E134" s="165" t="s">
        <v>295</v>
      </c>
      <c r="F134" s="2"/>
      <c r="G134" s="2"/>
      <c r="H134" s="2"/>
      <c r="I134" s="2"/>
      <c r="J134" s="2"/>
      <c r="K134" s="2" t="s">
        <v>267</v>
      </c>
      <c r="L134" s="13" t="s">
        <v>271</v>
      </c>
      <c r="M134" s="2" t="s">
        <v>82</v>
      </c>
      <c r="N134" s="2" t="s">
        <v>82</v>
      </c>
      <c r="O134" s="2" t="s">
        <v>112</v>
      </c>
      <c r="P134" s="2" t="s">
        <v>81</v>
      </c>
      <c r="Q134" s="2" t="s">
        <v>411</v>
      </c>
      <c r="R134" s="2"/>
      <c r="S134" s="11"/>
      <c r="T134" s="12"/>
      <c r="U134" s="30">
        <f t="shared" si="191"/>
        <v>0</v>
      </c>
      <c r="V134" s="30">
        <f t="shared" si="192"/>
        <v>0</v>
      </c>
      <c r="W134" s="30">
        <f t="shared" si="193"/>
        <v>0</v>
      </c>
      <c r="X134" s="30">
        <f t="shared" si="194"/>
        <v>37500</v>
      </c>
      <c r="Y134" s="30"/>
      <c r="Z134" s="30">
        <f t="shared" si="195"/>
        <v>0</v>
      </c>
      <c r="AA134" s="30"/>
      <c r="AB134" s="30">
        <f t="shared" si="196"/>
        <v>0</v>
      </c>
      <c r="AC134" s="30"/>
      <c r="AD134" s="30"/>
      <c r="AE134" s="30">
        <f t="shared" si="197"/>
        <v>0</v>
      </c>
      <c r="AF134" s="30"/>
      <c r="AG134" s="30">
        <f t="shared" si="198"/>
        <v>0</v>
      </c>
      <c r="AH134" s="30"/>
      <c r="AI134" s="30"/>
      <c r="AJ134" s="30">
        <f t="shared" si="199"/>
        <v>0</v>
      </c>
      <c r="AK134" s="30"/>
      <c r="AL134" s="30">
        <f t="shared" si="200"/>
        <v>0</v>
      </c>
      <c r="AM134" s="30"/>
      <c r="AN134" s="30"/>
      <c r="AO134" s="30">
        <f t="shared" si="201"/>
        <v>0</v>
      </c>
      <c r="AP134" s="30"/>
      <c r="AQ134" s="30">
        <f t="shared" si="202"/>
        <v>0</v>
      </c>
      <c r="AR134" s="30"/>
      <c r="AS134" s="30"/>
      <c r="AT134" s="30">
        <f t="shared" si="203"/>
        <v>0</v>
      </c>
      <c r="AU134" s="30"/>
      <c r="AV134" s="30">
        <f t="shared" si="204"/>
        <v>0</v>
      </c>
      <c r="AW134" s="30"/>
      <c r="AX134" s="30"/>
      <c r="AY134" s="30">
        <f t="shared" si="205"/>
        <v>0</v>
      </c>
      <c r="AZ134" s="30"/>
      <c r="BA134" s="30">
        <v>0</v>
      </c>
      <c r="BB134" s="30"/>
      <c r="BC134" s="45"/>
      <c r="BD134" s="45">
        <f t="shared" si="206"/>
        <v>0</v>
      </c>
      <c r="BE134" s="30"/>
      <c r="BF134" s="30">
        <f t="shared" si="207"/>
        <v>0</v>
      </c>
      <c r="BG134" s="30"/>
      <c r="BH134" s="30"/>
      <c r="BI134" s="30">
        <f t="shared" si="208"/>
        <v>0</v>
      </c>
      <c r="BJ134" s="30"/>
      <c r="BK134" s="30">
        <f t="shared" si="209"/>
        <v>0</v>
      </c>
      <c r="BL134" s="60">
        <v>17500</v>
      </c>
      <c r="BM134" s="30"/>
      <c r="BN134" s="30">
        <f t="shared" si="210"/>
        <v>0</v>
      </c>
      <c r="BO134" s="30"/>
      <c r="BP134" s="30">
        <f t="shared" si="211"/>
        <v>0</v>
      </c>
      <c r="BQ134" s="30"/>
      <c r="BR134" s="30"/>
      <c r="BS134" s="30">
        <f t="shared" si="212"/>
        <v>0</v>
      </c>
      <c r="BT134" s="30"/>
      <c r="BU134" s="30">
        <f t="shared" si="213"/>
        <v>0</v>
      </c>
      <c r="BV134" s="30"/>
      <c r="BW134" s="30"/>
      <c r="BX134" s="30">
        <f t="shared" si="214"/>
        <v>0</v>
      </c>
      <c r="BY134" s="30"/>
      <c r="BZ134" s="30">
        <f t="shared" si="215"/>
        <v>0</v>
      </c>
      <c r="CA134" s="141">
        <v>20000</v>
      </c>
      <c r="CB134" s="30"/>
      <c r="CC134" s="30">
        <f t="shared" si="216"/>
        <v>0</v>
      </c>
      <c r="CD134" s="30"/>
      <c r="CE134" s="30">
        <f t="shared" si="217"/>
        <v>0</v>
      </c>
      <c r="CF134" s="30"/>
      <c r="CG134" s="61"/>
    </row>
    <row r="135" spans="1:85" x14ac:dyDescent="0.4">
      <c r="A135" s="2" t="s">
        <v>110</v>
      </c>
      <c r="B135" s="2" t="s">
        <v>262</v>
      </c>
      <c r="C135" s="2" t="s">
        <v>263</v>
      </c>
      <c r="D135" s="2" t="s">
        <v>406</v>
      </c>
      <c r="E135" s="165" t="s">
        <v>295</v>
      </c>
      <c r="F135" s="2"/>
      <c r="G135" s="2"/>
      <c r="H135" s="2"/>
      <c r="I135" s="2"/>
      <c r="J135" s="2"/>
      <c r="K135" s="2" t="s">
        <v>267</v>
      </c>
      <c r="L135" s="13" t="s">
        <v>271</v>
      </c>
      <c r="M135" s="2" t="s">
        <v>82</v>
      </c>
      <c r="N135" s="2" t="s">
        <v>82</v>
      </c>
      <c r="O135" s="2" t="s">
        <v>112</v>
      </c>
      <c r="P135" s="2" t="s">
        <v>81</v>
      </c>
      <c r="Q135" s="2" t="s">
        <v>135</v>
      </c>
      <c r="R135" s="2"/>
      <c r="S135" s="11"/>
      <c r="T135" s="12"/>
      <c r="U135" s="30">
        <f t="shared" si="191"/>
        <v>0</v>
      </c>
      <c r="V135" s="30">
        <f t="shared" si="192"/>
        <v>0</v>
      </c>
      <c r="W135" s="30">
        <f t="shared" si="193"/>
        <v>0</v>
      </c>
      <c r="X135" s="30">
        <f t="shared" si="194"/>
        <v>0</v>
      </c>
      <c r="Y135" s="30"/>
      <c r="Z135" s="30">
        <f t="shared" si="195"/>
        <v>0</v>
      </c>
      <c r="AA135" s="30"/>
      <c r="AB135" s="30">
        <f t="shared" si="196"/>
        <v>0</v>
      </c>
      <c r="AC135" s="30"/>
      <c r="AD135" s="30"/>
      <c r="AE135" s="30">
        <f t="shared" si="197"/>
        <v>0</v>
      </c>
      <c r="AF135" s="30"/>
      <c r="AG135" s="30">
        <f t="shared" si="198"/>
        <v>0</v>
      </c>
      <c r="AH135" s="30">
        <v>4000</v>
      </c>
      <c r="AI135" s="30"/>
      <c r="AJ135" s="30">
        <f t="shared" si="199"/>
        <v>0</v>
      </c>
      <c r="AK135" s="30"/>
      <c r="AL135" s="30">
        <f t="shared" si="200"/>
        <v>0</v>
      </c>
      <c r="AM135" s="30"/>
      <c r="AN135" s="30"/>
      <c r="AO135" s="30">
        <f t="shared" si="201"/>
        <v>0</v>
      </c>
      <c r="AP135" s="30"/>
      <c r="AQ135" s="30">
        <f t="shared" si="202"/>
        <v>0</v>
      </c>
      <c r="AR135" s="30">
        <v>20000</v>
      </c>
      <c r="AS135" s="30"/>
      <c r="AT135" s="30">
        <f t="shared" si="203"/>
        <v>0</v>
      </c>
      <c r="AU135" s="30"/>
      <c r="AV135" s="30">
        <f t="shared" si="204"/>
        <v>0</v>
      </c>
      <c r="AW135" s="33">
        <v>8000</v>
      </c>
      <c r="AX135" s="30"/>
      <c r="AY135" s="30">
        <f t="shared" si="205"/>
        <v>0</v>
      </c>
      <c r="AZ135" s="30"/>
      <c r="BA135" s="30">
        <v>0</v>
      </c>
      <c r="BB135" s="30"/>
      <c r="BC135" s="45"/>
      <c r="BD135" s="45">
        <f t="shared" si="206"/>
        <v>0</v>
      </c>
      <c r="BE135" s="30"/>
      <c r="BF135" s="30">
        <f t="shared" si="207"/>
        <v>0</v>
      </c>
      <c r="BG135" s="30"/>
      <c r="BH135" s="30"/>
      <c r="BI135" s="30">
        <f t="shared" si="208"/>
        <v>0</v>
      </c>
      <c r="BJ135" s="30"/>
      <c r="BK135" s="30">
        <f t="shared" si="209"/>
        <v>0</v>
      </c>
      <c r="BL135" s="32"/>
      <c r="BM135" s="30"/>
      <c r="BN135" s="30">
        <f t="shared" si="210"/>
        <v>0</v>
      </c>
      <c r="BO135" s="30"/>
      <c r="BP135" s="30">
        <f t="shared" si="211"/>
        <v>0</v>
      </c>
      <c r="BQ135" s="30"/>
      <c r="BR135" s="30"/>
      <c r="BS135" s="30">
        <f t="shared" si="212"/>
        <v>0</v>
      </c>
      <c r="BT135" s="30"/>
      <c r="BU135" s="30">
        <f t="shared" si="213"/>
        <v>0</v>
      </c>
      <c r="BV135" s="30"/>
      <c r="BW135" s="30"/>
      <c r="BX135" s="30">
        <f t="shared" si="214"/>
        <v>0</v>
      </c>
      <c r="BY135" s="30"/>
      <c r="BZ135" s="30">
        <f t="shared" si="215"/>
        <v>0</v>
      </c>
      <c r="CA135" s="30"/>
      <c r="CB135" s="30"/>
      <c r="CC135" s="30">
        <f t="shared" si="216"/>
        <v>0</v>
      </c>
      <c r="CD135" s="30"/>
      <c r="CE135" s="30">
        <f t="shared" si="217"/>
        <v>0</v>
      </c>
      <c r="CF135" s="30"/>
      <c r="CG135" s="2"/>
    </row>
    <row r="136" spans="1:85" x14ac:dyDescent="0.4">
      <c r="A136" s="2" t="s">
        <v>110</v>
      </c>
      <c r="B136" s="2" t="s">
        <v>262</v>
      </c>
      <c r="C136" s="2" t="s">
        <v>263</v>
      </c>
      <c r="D136" s="2" t="s">
        <v>406</v>
      </c>
      <c r="E136" s="165" t="s">
        <v>295</v>
      </c>
      <c r="F136" s="2"/>
      <c r="G136" s="2"/>
      <c r="H136" s="2"/>
      <c r="I136" s="2"/>
      <c r="J136" s="2"/>
      <c r="K136" s="2" t="s">
        <v>267</v>
      </c>
      <c r="L136" s="13" t="s">
        <v>271</v>
      </c>
      <c r="M136" s="2" t="s">
        <v>149</v>
      </c>
      <c r="N136" s="2" t="s">
        <v>149</v>
      </c>
      <c r="O136" s="13" t="s">
        <v>150</v>
      </c>
      <c r="P136" s="2" t="s">
        <v>79</v>
      </c>
      <c r="Q136" s="2" t="s">
        <v>412</v>
      </c>
      <c r="R136" s="2"/>
      <c r="S136" s="11"/>
      <c r="T136" s="12">
        <v>65000</v>
      </c>
      <c r="U136" s="30">
        <f t="shared" si="191"/>
        <v>0</v>
      </c>
      <c r="V136" s="30">
        <f t="shared" si="192"/>
        <v>0</v>
      </c>
      <c r="W136" s="30">
        <f t="shared" si="193"/>
        <v>0</v>
      </c>
      <c r="X136" s="30">
        <f t="shared" si="194"/>
        <v>0</v>
      </c>
      <c r="Y136" s="30"/>
      <c r="Z136" s="30">
        <f t="shared" si="195"/>
        <v>0</v>
      </c>
      <c r="AA136" s="30"/>
      <c r="AB136" s="30">
        <f t="shared" si="196"/>
        <v>0</v>
      </c>
      <c r="AC136" s="30"/>
      <c r="AD136" s="30"/>
      <c r="AE136" s="30">
        <f t="shared" si="197"/>
        <v>0</v>
      </c>
      <c r="AF136" s="30"/>
      <c r="AG136" s="30">
        <f t="shared" si="198"/>
        <v>0</v>
      </c>
      <c r="AH136" s="30"/>
      <c r="AI136" s="30"/>
      <c r="AJ136" s="30">
        <f t="shared" si="199"/>
        <v>0</v>
      </c>
      <c r="AK136" s="30"/>
      <c r="AL136" s="30">
        <f t="shared" si="200"/>
        <v>0</v>
      </c>
      <c r="AM136" s="30">
        <v>50000</v>
      </c>
      <c r="AN136" s="30"/>
      <c r="AO136" s="30">
        <f t="shared" si="201"/>
        <v>0</v>
      </c>
      <c r="AP136" s="30"/>
      <c r="AQ136" s="30">
        <f t="shared" si="202"/>
        <v>0</v>
      </c>
      <c r="AR136" s="30">
        <v>30000</v>
      </c>
      <c r="AS136" s="30"/>
      <c r="AT136" s="30">
        <f t="shared" si="203"/>
        <v>0</v>
      </c>
      <c r="AU136" s="30"/>
      <c r="AV136" s="30">
        <f t="shared" si="204"/>
        <v>0</v>
      </c>
      <c r="AW136" s="30"/>
      <c r="AX136" s="30"/>
      <c r="AY136" s="30">
        <f t="shared" si="205"/>
        <v>0</v>
      </c>
      <c r="AZ136" s="30"/>
      <c r="BA136" s="30">
        <v>0</v>
      </c>
      <c r="BB136" s="30"/>
      <c r="BC136" s="45"/>
      <c r="BD136" s="45">
        <f t="shared" si="206"/>
        <v>0</v>
      </c>
      <c r="BE136" s="30"/>
      <c r="BF136" s="30">
        <f t="shared" si="207"/>
        <v>0</v>
      </c>
      <c r="BG136" s="30"/>
      <c r="BH136" s="30"/>
      <c r="BI136" s="30">
        <f t="shared" si="208"/>
        <v>0</v>
      </c>
      <c r="BJ136" s="30"/>
      <c r="BK136" s="30">
        <f t="shared" si="209"/>
        <v>0</v>
      </c>
      <c r="BL136" s="30"/>
      <c r="BM136" s="30"/>
      <c r="BN136" s="30">
        <f t="shared" si="210"/>
        <v>0</v>
      </c>
      <c r="BO136" s="30"/>
      <c r="BP136" s="30">
        <f t="shared" si="211"/>
        <v>0</v>
      </c>
      <c r="BQ136" s="30"/>
      <c r="BR136" s="30"/>
      <c r="BS136" s="30">
        <f t="shared" si="212"/>
        <v>0</v>
      </c>
      <c r="BT136" s="30"/>
      <c r="BU136" s="30">
        <f t="shared" si="213"/>
        <v>0</v>
      </c>
      <c r="BV136" s="30"/>
      <c r="BW136" s="30"/>
      <c r="BX136" s="30">
        <f t="shared" si="214"/>
        <v>0</v>
      </c>
      <c r="BY136" s="30"/>
      <c r="BZ136" s="30">
        <f t="shared" si="215"/>
        <v>0</v>
      </c>
      <c r="CA136" s="30"/>
      <c r="CB136" s="30"/>
      <c r="CC136" s="30">
        <f t="shared" si="216"/>
        <v>0</v>
      </c>
      <c r="CD136" s="30"/>
      <c r="CE136" s="30">
        <f t="shared" si="217"/>
        <v>0</v>
      </c>
      <c r="CF136" s="30"/>
      <c r="CG136" s="2"/>
    </row>
    <row r="137" spans="1:85" x14ac:dyDescent="0.4">
      <c r="A137" s="2" t="s">
        <v>110</v>
      </c>
      <c r="B137" s="2" t="s">
        <v>262</v>
      </c>
      <c r="C137" s="2" t="s">
        <v>263</v>
      </c>
      <c r="D137" s="2" t="s">
        <v>406</v>
      </c>
      <c r="E137" s="165" t="s">
        <v>295</v>
      </c>
      <c r="F137" s="2"/>
      <c r="G137" s="2"/>
      <c r="H137" s="2"/>
      <c r="I137" s="2"/>
      <c r="J137" s="2"/>
      <c r="K137" s="2" t="s">
        <v>267</v>
      </c>
      <c r="L137" s="13" t="s">
        <v>271</v>
      </c>
      <c r="M137" s="2" t="s">
        <v>82</v>
      </c>
      <c r="N137" s="2" t="s">
        <v>82</v>
      </c>
      <c r="O137" s="2" t="s">
        <v>112</v>
      </c>
      <c r="P137" s="2" t="s">
        <v>81</v>
      </c>
      <c r="Q137" s="2" t="s">
        <v>134</v>
      </c>
      <c r="R137" s="2"/>
      <c r="S137" s="11"/>
      <c r="T137" s="12">
        <v>11760</v>
      </c>
      <c r="U137" s="30">
        <f t="shared" si="191"/>
        <v>0</v>
      </c>
      <c r="V137" s="30">
        <f t="shared" si="192"/>
        <v>0</v>
      </c>
      <c r="W137" s="30">
        <f t="shared" si="193"/>
        <v>0</v>
      </c>
      <c r="X137" s="30">
        <f t="shared" si="194"/>
        <v>0</v>
      </c>
      <c r="Y137" s="30"/>
      <c r="Z137" s="30">
        <f t="shared" si="195"/>
        <v>0</v>
      </c>
      <c r="AA137" s="30"/>
      <c r="AB137" s="30">
        <f t="shared" si="196"/>
        <v>0</v>
      </c>
      <c r="AC137" s="30"/>
      <c r="AD137" s="30"/>
      <c r="AE137" s="30">
        <f t="shared" si="197"/>
        <v>0</v>
      </c>
      <c r="AF137" s="30"/>
      <c r="AG137" s="30">
        <f t="shared" si="198"/>
        <v>0</v>
      </c>
      <c r="AH137" s="30">
        <v>16800</v>
      </c>
      <c r="AI137" s="30"/>
      <c r="AJ137" s="30">
        <f t="shared" si="199"/>
        <v>0</v>
      </c>
      <c r="AK137" s="30"/>
      <c r="AL137" s="30">
        <f t="shared" si="200"/>
        <v>0</v>
      </c>
      <c r="AM137" s="30"/>
      <c r="AN137" s="30"/>
      <c r="AO137" s="30">
        <f t="shared" si="201"/>
        <v>0</v>
      </c>
      <c r="AP137" s="30"/>
      <c r="AQ137" s="30">
        <f t="shared" si="202"/>
        <v>0</v>
      </c>
      <c r="AR137" s="30">
        <v>8400</v>
      </c>
      <c r="AS137" s="30"/>
      <c r="AT137" s="30">
        <f t="shared" si="203"/>
        <v>0</v>
      </c>
      <c r="AU137" s="30"/>
      <c r="AV137" s="30">
        <f t="shared" si="204"/>
        <v>0</v>
      </c>
      <c r="AW137" s="33">
        <v>11760</v>
      </c>
      <c r="AX137" s="30"/>
      <c r="AY137" s="30">
        <f t="shared" si="205"/>
        <v>0</v>
      </c>
      <c r="AZ137" s="30"/>
      <c r="BA137" s="30">
        <v>0</v>
      </c>
      <c r="BB137" s="30"/>
      <c r="BC137" s="45"/>
      <c r="BD137" s="45">
        <f t="shared" si="206"/>
        <v>0</v>
      </c>
      <c r="BE137" s="30"/>
      <c r="BF137" s="30">
        <f t="shared" si="207"/>
        <v>0</v>
      </c>
      <c r="BG137" s="30"/>
      <c r="BH137" s="30"/>
      <c r="BI137" s="30">
        <f t="shared" si="208"/>
        <v>0</v>
      </c>
      <c r="BJ137" s="30"/>
      <c r="BK137" s="30">
        <f t="shared" si="209"/>
        <v>0</v>
      </c>
      <c r="BL137" s="32"/>
      <c r="BM137" s="30"/>
      <c r="BN137" s="30">
        <f t="shared" si="210"/>
        <v>0</v>
      </c>
      <c r="BO137" s="30"/>
      <c r="BP137" s="30">
        <f t="shared" si="211"/>
        <v>0</v>
      </c>
      <c r="BQ137" s="30"/>
      <c r="BR137" s="30"/>
      <c r="BS137" s="30">
        <f t="shared" si="212"/>
        <v>0</v>
      </c>
      <c r="BT137" s="30"/>
      <c r="BU137" s="30">
        <f t="shared" si="213"/>
        <v>0</v>
      </c>
      <c r="BV137" s="30"/>
      <c r="BW137" s="30"/>
      <c r="BX137" s="30">
        <f t="shared" si="214"/>
        <v>0</v>
      </c>
      <c r="BY137" s="30"/>
      <c r="BZ137" s="30">
        <f t="shared" si="215"/>
        <v>0</v>
      </c>
      <c r="CA137" s="30"/>
      <c r="CB137" s="30"/>
      <c r="CC137" s="30">
        <f t="shared" si="216"/>
        <v>0</v>
      </c>
      <c r="CD137" s="30"/>
      <c r="CE137" s="30">
        <f t="shared" si="217"/>
        <v>0</v>
      </c>
      <c r="CF137" s="30"/>
      <c r="CG137" s="2"/>
    </row>
    <row r="138" spans="1:85" x14ac:dyDescent="0.4">
      <c r="A138" s="2" t="s">
        <v>110</v>
      </c>
      <c r="B138" s="2" t="s">
        <v>262</v>
      </c>
      <c r="C138" s="2" t="s">
        <v>263</v>
      </c>
      <c r="D138" s="2" t="s">
        <v>406</v>
      </c>
      <c r="E138" s="165" t="s">
        <v>295</v>
      </c>
      <c r="F138" s="2"/>
      <c r="G138" s="2"/>
      <c r="H138" s="2"/>
      <c r="I138" s="2"/>
      <c r="J138" s="2"/>
      <c r="K138" s="2" t="s">
        <v>267</v>
      </c>
      <c r="L138" s="13" t="s">
        <v>271</v>
      </c>
      <c r="M138" s="2" t="s">
        <v>82</v>
      </c>
      <c r="N138" s="2" t="s">
        <v>82</v>
      </c>
      <c r="O138" s="2" t="s">
        <v>112</v>
      </c>
      <c r="P138" s="2" t="s">
        <v>81</v>
      </c>
      <c r="Q138" s="2" t="s">
        <v>413</v>
      </c>
      <c r="R138" s="2" t="s">
        <v>80</v>
      </c>
      <c r="S138" s="19">
        <v>0.39600000000000002</v>
      </c>
      <c r="T138" s="12"/>
      <c r="U138" s="30">
        <f t="shared" si="191"/>
        <v>35</v>
      </c>
      <c r="V138" s="30">
        <f t="shared" si="192"/>
        <v>13.86</v>
      </c>
      <c r="W138" s="30">
        <f t="shared" si="193"/>
        <v>0</v>
      </c>
      <c r="X138" s="30">
        <f t="shared" si="194"/>
        <v>0</v>
      </c>
      <c r="Y138" s="30"/>
      <c r="Z138" s="30">
        <f t="shared" si="195"/>
        <v>0</v>
      </c>
      <c r="AA138" s="30"/>
      <c r="AB138" s="30">
        <f t="shared" si="196"/>
        <v>0</v>
      </c>
      <c r="AC138" s="30"/>
      <c r="AD138" s="30"/>
      <c r="AE138" s="30">
        <f t="shared" si="197"/>
        <v>0</v>
      </c>
      <c r="AF138" s="30"/>
      <c r="AG138" s="30">
        <f t="shared" si="198"/>
        <v>0</v>
      </c>
      <c r="AH138" s="30"/>
      <c r="AI138" s="30"/>
      <c r="AJ138" s="30">
        <f t="shared" si="199"/>
        <v>0</v>
      </c>
      <c r="AK138" s="30"/>
      <c r="AL138" s="30">
        <f t="shared" si="200"/>
        <v>0</v>
      </c>
      <c r="AM138" s="30"/>
      <c r="AN138" s="30"/>
      <c r="AO138" s="30">
        <f t="shared" si="201"/>
        <v>0</v>
      </c>
      <c r="AP138" s="30"/>
      <c r="AQ138" s="30">
        <f t="shared" si="202"/>
        <v>0</v>
      </c>
      <c r="AR138" s="30"/>
      <c r="AS138" s="30"/>
      <c r="AT138" s="30">
        <f t="shared" si="203"/>
        <v>0</v>
      </c>
      <c r="AU138" s="30"/>
      <c r="AV138" s="30">
        <f t="shared" si="204"/>
        <v>0</v>
      </c>
      <c r="AW138" s="30"/>
      <c r="AX138" s="30">
        <v>5000</v>
      </c>
      <c r="AY138" s="30">
        <f t="shared" si="205"/>
        <v>1980</v>
      </c>
      <c r="AZ138" s="30"/>
      <c r="BA138" s="30">
        <v>0</v>
      </c>
      <c r="BB138" s="30"/>
      <c r="BC138" s="45">
        <v>5000</v>
      </c>
      <c r="BD138" s="45">
        <f t="shared" si="206"/>
        <v>1980</v>
      </c>
      <c r="BE138" s="30"/>
      <c r="BF138" s="30">
        <f t="shared" si="207"/>
        <v>0</v>
      </c>
      <c r="BG138" s="30"/>
      <c r="BH138" s="30">
        <v>5000</v>
      </c>
      <c r="BI138" s="30">
        <f t="shared" si="208"/>
        <v>1980</v>
      </c>
      <c r="BJ138" s="30"/>
      <c r="BK138" s="30">
        <f t="shared" si="209"/>
        <v>0</v>
      </c>
      <c r="BL138" s="32"/>
      <c r="BM138" s="30">
        <v>5000</v>
      </c>
      <c r="BN138" s="30">
        <f t="shared" si="210"/>
        <v>1980</v>
      </c>
      <c r="BO138" s="30"/>
      <c r="BP138" s="30">
        <f t="shared" si="211"/>
        <v>0</v>
      </c>
      <c r="BQ138" s="30"/>
      <c r="BR138" s="30">
        <v>5000</v>
      </c>
      <c r="BS138" s="30">
        <f t="shared" si="212"/>
        <v>1980</v>
      </c>
      <c r="BT138" s="30"/>
      <c r="BU138" s="30">
        <f t="shared" si="213"/>
        <v>0</v>
      </c>
      <c r="BV138" s="30"/>
      <c r="BW138" s="30">
        <v>5000</v>
      </c>
      <c r="BX138" s="30">
        <f t="shared" si="214"/>
        <v>1980</v>
      </c>
      <c r="BY138" s="30"/>
      <c r="BZ138" s="30">
        <f t="shared" si="215"/>
        <v>0</v>
      </c>
      <c r="CA138" s="30"/>
      <c r="CB138" s="30">
        <v>5000</v>
      </c>
      <c r="CC138" s="30">
        <f t="shared" si="216"/>
        <v>1980</v>
      </c>
      <c r="CD138" s="30"/>
      <c r="CE138" s="30">
        <f t="shared" si="217"/>
        <v>0</v>
      </c>
      <c r="CF138" s="30"/>
      <c r="CG138" s="2"/>
    </row>
    <row r="139" spans="1:85" x14ac:dyDescent="0.4">
      <c r="A139" s="2" t="s">
        <v>110</v>
      </c>
      <c r="B139" s="2" t="s">
        <v>262</v>
      </c>
      <c r="C139" s="2" t="s">
        <v>263</v>
      </c>
      <c r="D139" s="2" t="s">
        <v>406</v>
      </c>
      <c r="E139" s="165" t="s">
        <v>295</v>
      </c>
      <c r="F139" s="2" t="s">
        <v>153</v>
      </c>
      <c r="G139" s="2" t="s">
        <v>153</v>
      </c>
      <c r="H139" s="2"/>
      <c r="I139" s="2" t="s">
        <v>153</v>
      </c>
      <c r="J139" s="2" t="s">
        <v>153</v>
      </c>
      <c r="K139" s="2" t="s">
        <v>267</v>
      </c>
      <c r="L139" s="13" t="s">
        <v>271</v>
      </c>
      <c r="M139" s="2" t="s">
        <v>261</v>
      </c>
      <c r="N139" s="2" t="s">
        <v>261</v>
      </c>
      <c r="O139" s="2" t="s">
        <v>89</v>
      </c>
      <c r="P139" s="2" t="s">
        <v>85</v>
      </c>
      <c r="Q139" s="2" t="s">
        <v>414</v>
      </c>
      <c r="R139" s="2" t="s">
        <v>80</v>
      </c>
      <c r="S139" s="11">
        <v>0.11700000000000001</v>
      </c>
      <c r="T139" s="12"/>
      <c r="U139" s="30">
        <f t="shared" si="191"/>
        <v>25</v>
      </c>
      <c r="V139" s="30">
        <f t="shared" si="192"/>
        <v>2.9249999999999998</v>
      </c>
      <c r="W139" s="30">
        <f t="shared" si="193"/>
        <v>0</v>
      </c>
      <c r="X139" s="30">
        <f t="shared" si="194"/>
        <v>0</v>
      </c>
      <c r="Y139" s="30">
        <v>0</v>
      </c>
      <c r="Z139" s="30">
        <f t="shared" si="195"/>
        <v>0</v>
      </c>
      <c r="AA139" s="30">
        <v>0</v>
      </c>
      <c r="AB139" s="30">
        <f t="shared" si="196"/>
        <v>0</v>
      </c>
      <c r="AC139" s="30"/>
      <c r="AD139" s="30">
        <v>0</v>
      </c>
      <c r="AE139" s="30">
        <f t="shared" si="197"/>
        <v>0</v>
      </c>
      <c r="AF139" s="30">
        <v>0</v>
      </c>
      <c r="AG139" s="30">
        <f t="shared" si="198"/>
        <v>0</v>
      </c>
      <c r="AH139" s="30"/>
      <c r="AI139" s="30">
        <v>0</v>
      </c>
      <c r="AJ139" s="30">
        <f t="shared" si="199"/>
        <v>0</v>
      </c>
      <c r="AK139" s="30">
        <v>0</v>
      </c>
      <c r="AL139" s="30">
        <f t="shared" si="200"/>
        <v>0</v>
      </c>
      <c r="AM139" s="30"/>
      <c r="AN139" s="30">
        <v>5000</v>
      </c>
      <c r="AO139" s="30">
        <f t="shared" si="201"/>
        <v>585</v>
      </c>
      <c r="AP139" s="30">
        <v>0</v>
      </c>
      <c r="AQ139" s="30">
        <f t="shared" si="202"/>
        <v>0</v>
      </c>
      <c r="AR139" s="30"/>
      <c r="AS139" s="30">
        <v>0</v>
      </c>
      <c r="AT139" s="30">
        <f t="shared" si="203"/>
        <v>0</v>
      </c>
      <c r="AU139" s="30">
        <v>0</v>
      </c>
      <c r="AV139" s="30">
        <f t="shared" si="204"/>
        <v>0</v>
      </c>
      <c r="AW139" s="30"/>
      <c r="AX139" s="30">
        <v>5000</v>
      </c>
      <c r="AY139" s="30">
        <f t="shared" si="205"/>
        <v>585</v>
      </c>
      <c r="AZ139" s="30"/>
      <c r="BA139" s="30">
        <v>0</v>
      </c>
      <c r="BB139" s="30"/>
      <c r="BC139" s="45">
        <v>0</v>
      </c>
      <c r="BD139" s="45">
        <f t="shared" si="206"/>
        <v>0</v>
      </c>
      <c r="BE139" s="30"/>
      <c r="BF139" s="30">
        <f t="shared" si="207"/>
        <v>0</v>
      </c>
      <c r="BG139" s="30"/>
      <c r="BH139" s="30">
        <v>5000</v>
      </c>
      <c r="BI139" s="30">
        <f t="shared" si="208"/>
        <v>585</v>
      </c>
      <c r="BJ139" s="30"/>
      <c r="BK139" s="30">
        <f t="shared" si="209"/>
        <v>0</v>
      </c>
      <c r="BL139" s="30"/>
      <c r="BM139" s="30">
        <v>0</v>
      </c>
      <c r="BN139" s="30">
        <f t="shared" si="210"/>
        <v>0</v>
      </c>
      <c r="BO139" s="30"/>
      <c r="BP139" s="30">
        <f t="shared" si="211"/>
        <v>0</v>
      </c>
      <c r="BQ139" s="30"/>
      <c r="BR139" s="30">
        <v>5000</v>
      </c>
      <c r="BS139" s="30">
        <f t="shared" si="212"/>
        <v>585</v>
      </c>
      <c r="BT139" s="30"/>
      <c r="BU139" s="30">
        <f t="shared" si="213"/>
        <v>0</v>
      </c>
      <c r="BV139" s="30"/>
      <c r="BW139" s="30">
        <v>0</v>
      </c>
      <c r="BX139" s="30">
        <f t="shared" si="214"/>
        <v>0</v>
      </c>
      <c r="BY139" s="30"/>
      <c r="BZ139" s="30">
        <f t="shared" si="215"/>
        <v>0</v>
      </c>
      <c r="CA139" s="30"/>
      <c r="CB139" s="30">
        <v>5000</v>
      </c>
      <c r="CC139" s="30">
        <f t="shared" si="216"/>
        <v>585</v>
      </c>
      <c r="CD139" s="30"/>
      <c r="CE139" s="30">
        <f t="shared" si="217"/>
        <v>0</v>
      </c>
      <c r="CF139" s="30"/>
      <c r="CG139" s="2"/>
    </row>
    <row r="140" spans="1:85" x14ac:dyDescent="0.4">
      <c r="A140" s="2" t="s">
        <v>110</v>
      </c>
      <c r="B140" s="2" t="s">
        <v>262</v>
      </c>
      <c r="C140" s="2" t="s">
        <v>263</v>
      </c>
      <c r="D140" s="2" t="s">
        <v>406</v>
      </c>
      <c r="E140" s="165" t="s">
        <v>295</v>
      </c>
      <c r="F140" s="2"/>
      <c r="G140" s="2"/>
      <c r="H140" s="2"/>
      <c r="I140" s="2"/>
      <c r="J140" s="2"/>
      <c r="K140" s="2" t="s">
        <v>267</v>
      </c>
      <c r="L140" s="13" t="s">
        <v>271</v>
      </c>
      <c r="M140" s="2" t="s">
        <v>96</v>
      </c>
      <c r="N140" s="2" t="s">
        <v>96</v>
      </c>
      <c r="O140" s="2" t="s">
        <v>146</v>
      </c>
      <c r="P140" s="1" t="s">
        <v>97</v>
      </c>
      <c r="Q140" s="2" t="s">
        <v>415</v>
      </c>
      <c r="R140" s="2"/>
      <c r="S140" s="11"/>
      <c r="T140" s="12"/>
      <c r="U140" s="30">
        <f t="shared" si="191"/>
        <v>0</v>
      </c>
      <c r="V140" s="30">
        <f t="shared" si="192"/>
        <v>0</v>
      </c>
      <c r="W140" s="30">
        <f t="shared" si="193"/>
        <v>0</v>
      </c>
      <c r="X140" s="30">
        <f t="shared" si="194"/>
        <v>0</v>
      </c>
      <c r="Y140" s="30"/>
      <c r="Z140" s="30">
        <f t="shared" si="195"/>
        <v>0</v>
      </c>
      <c r="AA140" s="30"/>
      <c r="AB140" s="30">
        <f t="shared" si="196"/>
        <v>0</v>
      </c>
      <c r="AC140" s="30"/>
      <c r="AD140" s="30"/>
      <c r="AE140" s="30">
        <f t="shared" si="197"/>
        <v>0</v>
      </c>
      <c r="AF140" s="30"/>
      <c r="AG140" s="30">
        <f t="shared" si="198"/>
        <v>0</v>
      </c>
      <c r="AH140" s="30">
        <v>2000</v>
      </c>
      <c r="AI140" s="30"/>
      <c r="AJ140" s="30">
        <f t="shared" si="199"/>
        <v>0</v>
      </c>
      <c r="AK140" s="30"/>
      <c r="AL140" s="30">
        <f t="shared" si="200"/>
        <v>0</v>
      </c>
      <c r="AM140" s="30"/>
      <c r="AN140" s="30"/>
      <c r="AO140" s="30">
        <f t="shared" si="201"/>
        <v>0</v>
      </c>
      <c r="AP140" s="30"/>
      <c r="AQ140" s="30">
        <f t="shared" si="202"/>
        <v>0</v>
      </c>
      <c r="AR140" s="30"/>
      <c r="AS140" s="30"/>
      <c r="AT140" s="30">
        <f t="shared" si="203"/>
        <v>0</v>
      </c>
      <c r="AU140" s="30"/>
      <c r="AV140" s="30">
        <f t="shared" si="204"/>
        <v>0</v>
      </c>
      <c r="AW140" s="30"/>
      <c r="AX140" s="30"/>
      <c r="AY140" s="30">
        <f t="shared" si="205"/>
        <v>0</v>
      </c>
      <c r="AZ140" s="30"/>
      <c r="BA140" s="30">
        <v>0</v>
      </c>
      <c r="BB140" s="30"/>
      <c r="BC140" s="45"/>
      <c r="BD140" s="45">
        <f t="shared" si="206"/>
        <v>0</v>
      </c>
      <c r="BE140" s="30"/>
      <c r="BF140" s="30">
        <f t="shared" si="207"/>
        <v>0</v>
      </c>
      <c r="BG140" s="30"/>
      <c r="BH140" s="30"/>
      <c r="BI140" s="30">
        <f t="shared" si="208"/>
        <v>0</v>
      </c>
      <c r="BJ140" s="30"/>
      <c r="BK140" s="30">
        <f t="shared" si="209"/>
        <v>0</v>
      </c>
      <c r="BL140" s="30"/>
      <c r="BM140" s="30"/>
      <c r="BN140" s="30">
        <f t="shared" si="210"/>
        <v>0</v>
      </c>
      <c r="BO140" s="30"/>
      <c r="BP140" s="30">
        <f t="shared" si="211"/>
        <v>0</v>
      </c>
      <c r="BQ140" s="30"/>
      <c r="BR140" s="30"/>
      <c r="BS140" s="30">
        <f t="shared" si="212"/>
        <v>0</v>
      </c>
      <c r="BT140" s="30"/>
      <c r="BU140" s="30">
        <f t="shared" si="213"/>
        <v>0</v>
      </c>
      <c r="BV140" s="30"/>
      <c r="BW140" s="30"/>
      <c r="BX140" s="30">
        <f t="shared" si="214"/>
        <v>0</v>
      </c>
      <c r="BY140" s="30"/>
      <c r="BZ140" s="30">
        <f t="shared" si="215"/>
        <v>0</v>
      </c>
      <c r="CA140" s="30"/>
      <c r="CB140" s="30"/>
      <c r="CC140" s="30">
        <f t="shared" si="216"/>
        <v>0</v>
      </c>
      <c r="CD140" s="30"/>
      <c r="CE140" s="30">
        <f t="shared" si="217"/>
        <v>0</v>
      </c>
      <c r="CF140" s="30"/>
      <c r="CG140" s="2"/>
    </row>
    <row r="141" spans="1:85" ht="17" x14ac:dyDescent="0.4">
      <c r="A141" s="2" t="s">
        <v>110</v>
      </c>
      <c r="B141" s="2" t="s">
        <v>262</v>
      </c>
      <c r="C141" s="2" t="s">
        <v>263</v>
      </c>
      <c r="D141" s="2" t="s">
        <v>406</v>
      </c>
      <c r="E141" s="165" t="s">
        <v>295</v>
      </c>
      <c r="F141" s="2"/>
      <c r="G141" s="2"/>
      <c r="H141" s="2"/>
      <c r="I141" s="2"/>
      <c r="J141" s="2"/>
      <c r="K141" s="2" t="s">
        <v>267</v>
      </c>
      <c r="L141" s="13" t="s">
        <v>271</v>
      </c>
      <c r="M141" s="2" t="s">
        <v>82</v>
      </c>
      <c r="N141" s="2" t="s">
        <v>82</v>
      </c>
      <c r="O141" s="2" t="s">
        <v>112</v>
      </c>
      <c r="P141" s="2" t="s">
        <v>81</v>
      </c>
      <c r="Q141" s="2" t="s">
        <v>416</v>
      </c>
      <c r="R141" s="2"/>
      <c r="S141" s="11"/>
      <c r="T141" s="12"/>
      <c r="U141" s="30">
        <f t="shared" si="191"/>
        <v>0</v>
      </c>
      <c r="V141" s="30">
        <f t="shared" si="192"/>
        <v>0</v>
      </c>
      <c r="W141" s="30">
        <f t="shared" si="193"/>
        <v>0</v>
      </c>
      <c r="X141" s="30">
        <f t="shared" si="194"/>
        <v>174000</v>
      </c>
      <c r="Y141" s="30"/>
      <c r="Z141" s="30">
        <f t="shared" si="195"/>
        <v>0</v>
      </c>
      <c r="AA141" s="30"/>
      <c r="AB141" s="30">
        <f t="shared" si="196"/>
        <v>0</v>
      </c>
      <c r="AC141" s="30"/>
      <c r="AD141" s="30"/>
      <c r="AE141" s="30">
        <f t="shared" si="197"/>
        <v>0</v>
      </c>
      <c r="AF141" s="30"/>
      <c r="AG141" s="30">
        <f t="shared" si="198"/>
        <v>0</v>
      </c>
      <c r="AH141" s="30"/>
      <c r="AI141" s="30"/>
      <c r="AJ141" s="30">
        <f t="shared" si="199"/>
        <v>0</v>
      </c>
      <c r="AK141" s="30"/>
      <c r="AL141" s="30">
        <f t="shared" si="200"/>
        <v>0</v>
      </c>
      <c r="AM141" s="30"/>
      <c r="AN141" s="30"/>
      <c r="AO141" s="30">
        <f t="shared" si="201"/>
        <v>0</v>
      </c>
      <c r="AP141" s="30"/>
      <c r="AQ141" s="30">
        <f t="shared" si="202"/>
        <v>0</v>
      </c>
      <c r="AR141" s="30">
        <v>10000</v>
      </c>
      <c r="AS141" s="30"/>
      <c r="AT141" s="30">
        <f t="shared" si="203"/>
        <v>0</v>
      </c>
      <c r="AU141" s="30"/>
      <c r="AV141" s="30">
        <f t="shared" si="204"/>
        <v>0</v>
      </c>
      <c r="AW141" s="30"/>
      <c r="AX141" s="30"/>
      <c r="AY141" s="30">
        <f t="shared" si="205"/>
        <v>0</v>
      </c>
      <c r="AZ141" s="30"/>
      <c r="BA141" s="30">
        <v>0</v>
      </c>
      <c r="BB141" s="63">
        <v>20000</v>
      </c>
      <c r="BC141" s="45"/>
      <c r="BD141" s="45">
        <f t="shared" si="206"/>
        <v>0</v>
      </c>
      <c r="BE141" s="30"/>
      <c r="BF141" s="30">
        <f t="shared" si="207"/>
        <v>0</v>
      </c>
      <c r="BG141" s="30"/>
      <c r="BH141" s="30"/>
      <c r="BI141" s="30">
        <f t="shared" si="208"/>
        <v>0</v>
      </c>
      <c r="BJ141" s="30"/>
      <c r="BK141" s="30">
        <f t="shared" si="209"/>
        <v>0</v>
      </c>
      <c r="BL141" s="60">
        <v>50000</v>
      </c>
      <c r="BM141" s="30"/>
      <c r="BN141" s="30">
        <f t="shared" si="210"/>
        <v>0</v>
      </c>
      <c r="BO141" s="30"/>
      <c r="BP141" s="30">
        <f t="shared" si="211"/>
        <v>0</v>
      </c>
      <c r="BQ141" s="146">
        <v>10000</v>
      </c>
      <c r="BR141" s="30"/>
      <c r="BS141" s="30">
        <f t="shared" si="212"/>
        <v>0</v>
      </c>
      <c r="BT141" s="30"/>
      <c r="BU141" s="30">
        <f t="shared" si="213"/>
        <v>0</v>
      </c>
      <c r="BV141" s="146">
        <v>60000</v>
      </c>
      <c r="BW141" s="30"/>
      <c r="BX141" s="30">
        <f t="shared" si="214"/>
        <v>0</v>
      </c>
      <c r="BY141" s="30"/>
      <c r="BZ141" s="30">
        <f t="shared" si="215"/>
        <v>0</v>
      </c>
      <c r="CA141" s="141">
        <v>30000</v>
      </c>
      <c r="CB141" s="30"/>
      <c r="CC141" s="30">
        <f t="shared" si="216"/>
        <v>0</v>
      </c>
      <c r="CD141" s="30"/>
      <c r="CE141" s="30">
        <f t="shared" si="217"/>
        <v>0</v>
      </c>
      <c r="CF141" s="141">
        <v>24000</v>
      </c>
      <c r="CG141" s="52" t="s">
        <v>449</v>
      </c>
    </row>
    <row r="142" spans="1:85" x14ac:dyDescent="0.4">
      <c r="A142" s="2" t="s">
        <v>110</v>
      </c>
      <c r="B142" s="2" t="s">
        <v>262</v>
      </c>
      <c r="C142" s="2" t="s">
        <v>263</v>
      </c>
      <c r="D142" s="2" t="s">
        <v>406</v>
      </c>
      <c r="E142" s="165" t="s">
        <v>295</v>
      </c>
      <c r="F142" s="2"/>
      <c r="G142" s="2"/>
      <c r="H142" s="2"/>
      <c r="I142" s="2"/>
      <c r="J142" s="2"/>
      <c r="K142" s="2" t="s">
        <v>267</v>
      </c>
      <c r="L142" s="13" t="s">
        <v>271</v>
      </c>
      <c r="M142" s="2" t="s">
        <v>128</v>
      </c>
      <c r="N142" s="2" t="s">
        <v>128</v>
      </c>
      <c r="O142" s="2" t="s">
        <v>129</v>
      </c>
      <c r="P142" s="2" t="s">
        <v>93</v>
      </c>
      <c r="Q142" s="2" t="s">
        <v>297</v>
      </c>
      <c r="R142" s="2"/>
      <c r="S142" s="11"/>
      <c r="T142" s="12"/>
      <c r="U142" s="30">
        <f t="shared" ref="U142:U143" si="218">+(Y142+AD142+AI142+AN142+AS142+AX142+BC142+BH142+BM142+BR142+BW142+CB142)/1000</f>
        <v>0</v>
      </c>
      <c r="V142" s="30">
        <f t="shared" ref="V142:V143" si="219">+(Z142+AE142+AJ142+AO142+AT142+AY142+BD142+BI142+BN142+BS142+BX142+CC142)/1000</f>
        <v>0</v>
      </c>
      <c r="W142" s="30">
        <f t="shared" ref="W142:W143" si="220">+(+BF142+BK142+BP142+BU142+BZ142+CE142)</f>
        <v>0</v>
      </c>
      <c r="X142" s="30">
        <f t="shared" ref="X142:X143" si="221">+(+BG142+BL142+BQ142+BV142+CA142+CF142)</f>
        <v>0</v>
      </c>
      <c r="Y142" s="30"/>
      <c r="Z142" s="30">
        <f t="shared" ref="Z142:Z143" si="222">Y142*S142</f>
        <v>0</v>
      </c>
      <c r="AA142" s="30"/>
      <c r="AB142" s="30">
        <f t="shared" ref="AB142:AB143" si="223">AA142*S142</f>
        <v>0</v>
      </c>
      <c r="AC142" s="30"/>
      <c r="AD142" s="30"/>
      <c r="AE142" s="30">
        <f t="shared" ref="AE142:AE143" si="224">AD142*S142</f>
        <v>0</v>
      </c>
      <c r="AF142" s="30"/>
      <c r="AG142" s="30">
        <f t="shared" ref="AG142:AG143" si="225">AF142*S142</f>
        <v>0</v>
      </c>
      <c r="AH142" s="30"/>
      <c r="AI142" s="30"/>
      <c r="AJ142" s="30">
        <f t="shared" ref="AJ142:AJ143" si="226">AI142*S142</f>
        <v>0</v>
      </c>
      <c r="AK142" s="30"/>
      <c r="AL142" s="30">
        <f t="shared" ref="AL142:AL143" si="227">AK142*S142</f>
        <v>0</v>
      </c>
      <c r="AM142" s="30"/>
      <c r="AN142" s="30"/>
      <c r="AO142" s="30">
        <f t="shared" ref="AO142:AO143" si="228">AN142*S142</f>
        <v>0</v>
      </c>
      <c r="AP142" s="30"/>
      <c r="AQ142" s="30">
        <f t="shared" ref="AQ142:AQ143" si="229">AP142*S142</f>
        <v>0</v>
      </c>
      <c r="AR142" s="30"/>
      <c r="AS142" s="30"/>
      <c r="AT142" s="30">
        <f t="shared" ref="AT142:AT143" si="230">AS142*S142</f>
        <v>0</v>
      </c>
      <c r="AU142" s="30"/>
      <c r="AV142" s="30">
        <f t="shared" ref="AV142:AV143" si="231">AU142*S142</f>
        <v>0</v>
      </c>
      <c r="AW142" s="30">
        <v>30000</v>
      </c>
      <c r="AX142" s="30"/>
      <c r="AY142" s="30">
        <f t="shared" ref="AY142:AY143" si="232">AX142*S142</f>
        <v>0</v>
      </c>
      <c r="AZ142" s="30"/>
      <c r="BA142" s="30">
        <v>0</v>
      </c>
      <c r="BB142" s="30"/>
      <c r="BC142" s="45"/>
      <c r="BD142" s="45">
        <f t="shared" ref="BD142:BD143" si="233">BC142*S142</f>
        <v>0</v>
      </c>
      <c r="BE142" s="30"/>
      <c r="BF142" s="30">
        <f t="shared" ref="BF142:BF143" si="234">BE142*S142</f>
        <v>0</v>
      </c>
      <c r="BG142" s="30"/>
      <c r="BH142" s="30"/>
      <c r="BI142" s="30">
        <f t="shared" ref="BI142:BI143" si="235">BH142*S142</f>
        <v>0</v>
      </c>
      <c r="BJ142" s="30"/>
      <c r="BK142" s="30">
        <f t="shared" ref="BK142:BK143" si="236">BJ142*S142</f>
        <v>0</v>
      </c>
      <c r="BL142" s="30"/>
      <c r="BM142" s="30"/>
      <c r="BN142" s="30">
        <f t="shared" ref="BN142:BN143" si="237">BM142*S142</f>
        <v>0</v>
      </c>
      <c r="BO142" s="30"/>
      <c r="BP142" s="30">
        <f t="shared" ref="BP142:BP143" si="238">BO142*S142</f>
        <v>0</v>
      </c>
      <c r="BQ142" s="30"/>
      <c r="BR142" s="30"/>
      <c r="BS142" s="30">
        <f t="shared" ref="BS142:BS143" si="239">BR142*S142</f>
        <v>0</v>
      </c>
      <c r="BT142" s="30"/>
      <c r="BU142" s="30">
        <f t="shared" ref="BU142:BU143" si="240">BT142*S142</f>
        <v>0</v>
      </c>
      <c r="BV142" s="30"/>
      <c r="BW142" s="30"/>
      <c r="BX142" s="30">
        <f t="shared" ref="BX142:BX143" si="241">BW142*S142</f>
        <v>0</v>
      </c>
      <c r="BY142" s="30"/>
      <c r="BZ142" s="30">
        <f t="shared" ref="BZ142:BZ143" si="242">BY142*S142</f>
        <v>0</v>
      </c>
      <c r="CA142" s="30"/>
      <c r="CB142" s="30"/>
      <c r="CC142" s="30">
        <f t="shared" ref="CC142:CC143" si="243">CB142*S142</f>
        <v>0</v>
      </c>
      <c r="CD142" s="30"/>
      <c r="CE142" s="30">
        <f t="shared" ref="CE142:CE143" si="244">CD142*S142</f>
        <v>0</v>
      </c>
      <c r="CF142" s="30"/>
      <c r="CG142" s="2"/>
    </row>
    <row r="143" spans="1:85" ht="17" x14ac:dyDescent="0.4">
      <c r="A143" s="2" t="s">
        <v>110</v>
      </c>
      <c r="B143" s="2" t="s">
        <v>262</v>
      </c>
      <c r="C143" s="2" t="s">
        <v>263</v>
      </c>
      <c r="D143" s="2" t="s">
        <v>406</v>
      </c>
      <c r="E143" s="165" t="s">
        <v>295</v>
      </c>
      <c r="F143" s="2"/>
      <c r="G143" s="2"/>
      <c r="H143" s="2"/>
      <c r="I143" s="2"/>
      <c r="J143" s="2"/>
      <c r="K143" s="2" t="s">
        <v>267</v>
      </c>
      <c r="L143" s="2" t="s">
        <v>271</v>
      </c>
      <c r="M143" s="2" t="s">
        <v>138</v>
      </c>
      <c r="N143" s="2" t="s">
        <v>138</v>
      </c>
      <c r="O143" s="2" t="s">
        <v>90</v>
      </c>
      <c r="P143" s="2" t="s">
        <v>125</v>
      </c>
      <c r="Q143" s="2" t="s">
        <v>417</v>
      </c>
      <c r="R143" s="2"/>
      <c r="S143" s="44"/>
      <c r="T143" s="12"/>
      <c r="U143" s="30">
        <f t="shared" si="218"/>
        <v>0</v>
      </c>
      <c r="V143" s="30">
        <f t="shared" si="219"/>
        <v>0</v>
      </c>
      <c r="W143" s="30">
        <f t="shared" si="220"/>
        <v>0</v>
      </c>
      <c r="X143" s="30">
        <f t="shared" si="221"/>
        <v>12000</v>
      </c>
      <c r="Y143" s="30"/>
      <c r="Z143" s="30">
        <f t="shared" si="222"/>
        <v>0</v>
      </c>
      <c r="AA143" s="30"/>
      <c r="AB143" s="30">
        <f t="shared" si="223"/>
        <v>0</v>
      </c>
      <c r="AC143" s="30"/>
      <c r="AD143" s="30"/>
      <c r="AE143" s="30">
        <f t="shared" si="224"/>
        <v>0</v>
      </c>
      <c r="AF143" s="30"/>
      <c r="AG143" s="30">
        <f t="shared" si="225"/>
        <v>0</v>
      </c>
      <c r="AH143" s="30"/>
      <c r="AI143" s="30"/>
      <c r="AJ143" s="30">
        <f t="shared" si="226"/>
        <v>0</v>
      </c>
      <c r="AK143" s="30"/>
      <c r="AL143" s="30">
        <f t="shared" si="227"/>
        <v>0</v>
      </c>
      <c r="AM143" s="30"/>
      <c r="AN143" s="30"/>
      <c r="AO143" s="30">
        <f t="shared" si="228"/>
        <v>0</v>
      </c>
      <c r="AP143" s="30"/>
      <c r="AQ143" s="30">
        <f t="shared" si="229"/>
        <v>0</v>
      </c>
      <c r="AR143" s="30"/>
      <c r="AS143" s="30"/>
      <c r="AT143" s="30">
        <f t="shared" si="230"/>
        <v>0</v>
      </c>
      <c r="AU143" s="30"/>
      <c r="AV143" s="30">
        <f t="shared" si="231"/>
        <v>0</v>
      </c>
      <c r="AW143" s="30"/>
      <c r="AX143" s="30"/>
      <c r="AY143" s="30">
        <f t="shared" si="232"/>
        <v>0</v>
      </c>
      <c r="AZ143" s="30"/>
      <c r="BA143" s="30">
        <v>0</v>
      </c>
      <c r="BB143" s="30"/>
      <c r="BC143" s="45"/>
      <c r="BD143" s="45">
        <f t="shared" si="233"/>
        <v>0</v>
      </c>
      <c r="BE143" s="30"/>
      <c r="BF143" s="30">
        <f t="shared" si="234"/>
        <v>0</v>
      </c>
      <c r="BG143" s="30"/>
      <c r="BH143" s="30"/>
      <c r="BI143" s="30">
        <f t="shared" si="235"/>
        <v>0</v>
      </c>
      <c r="BJ143" s="30"/>
      <c r="BK143" s="30">
        <f t="shared" si="236"/>
        <v>0</v>
      </c>
      <c r="BL143" s="30"/>
      <c r="BM143" s="30"/>
      <c r="BN143" s="30">
        <f t="shared" si="237"/>
        <v>0</v>
      </c>
      <c r="BO143" s="30"/>
      <c r="BP143" s="30">
        <f t="shared" si="238"/>
        <v>0</v>
      </c>
      <c r="BQ143" s="146">
        <v>12000</v>
      </c>
      <c r="BR143" s="30"/>
      <c r="BS143" s="30">
        <f t="shared" si="239"/>
        <v>0</v>
      </c>
      <c r="BT143" s="30"/>
      <c r="BU143" s="30">
        <f t="shared" si="240"/>
        <v>0</v>
      </c>
      <c r="BV143" s="30"/>
      <c r="BW143" s="30"/>
      <c r="BX143" s="30">
        <f t="shared" si="241"/>
        <v>0</v>
      </c>
      <c r="BY143" s="30"/>
      <c r="BZ143" s="30">
        <f t="shared" si="242"/>
        <v>0</v>
      </c>
      <c r="CA143" s="30"/>
      <c r="CB143" s="30"/>
      <c r="CC143" s="30">
        <f t="shared" si="243"/>
        <v>0</v>
      </c>
      <c r="CD143" s="30"/>
      <c r="CE143" s="30">
        <f t="shared" si="244"/>
        <v>0</v>
      </c>
      <c r="CF143" s="30"/>
      <c r="CG143" s="61"/>
    </row>
    <row r="144" spans="1:85" ht="17" x14ac:dyDescent="0.4">
      <c r="A144" s="2" t="s">
        <v>110</v>
      </c>
      <c r="B144" s="2" t="s">
        <v>262</v>
      </c>
      <c r="C144" s="2" t="s">
        <v>263</v>
      </c>
      <c r="D144" s="2" t="s">
        <v>418</v>
      </c>
      <c r="E144" s="165" t="s">
        <v>419</v>
      </c>
      <c r="F144" s="2"/>
      <c r="G144" s="2"/>
      <c r="H144" s="2"/>
      <c r="I144" s="2"/>
      <c r="J144" s="2"/>
      <c r="K144" s="2" t="s">
        <v>267</v>
      </c>
      <c r="L144" s="13" t="s">
        <v>196</v>
      </c>
      <c r="M144" s="2" t="s">
        <v>180</v>
      </c>
      <c r="N144" s="2" t="s">
        <v>180</v>
      </c>
      <c r="O144" s="2" t="s">
        <v>90</v>
      </c>
      <c r="P144" s="2" t="s">
        <v>79</v>
      </c>
      <c r="Q144" s="2" t="s">
        <v>420</v>
      </c>
      <c r="R144" s="2"/>
      <c r="S144" s="11"/>
      <c r="T144" s="12"/>
      <c r="U144" s="30">
        <f t="shared" ref="U144:U146" si="245">+(Y144+AD144+AI144+AN144+AS144+AX144+BC144+BH144+BM144+BR144+BW144+CB144)/1000</f>
        <v>0</v>
      </c>
      <c r="V144" s="30">
        <f t="shared" ref="V144:V146" si="246">+(Z144+AE144+AJ144+AO144+AT144+AY144+BD144+BI144+BN144+BS144+BX144+CC144)/1000</f>
        <v>0</v>
      </c>
      <c r="W144" s="30">
        <f t="shared" ref="W144:W146" si="247">+(+BF144+BK144+BP144+BU144+BZ144+CE144)</f>
        <v>0</v>
      </c>
      <c r="X144" s="30">
        <f t="shared" ref="X144:X146" si="248">+(+BG144+BL144+BQ144+BV144+CA144+CF144)</f>
        <v>12000</v>
      </c>
      <c r="Y144" s="30"/>
      <c r="Z144" s="30">
        <f t="shared" ref="Z144:Z146" si="249">Y144*S144</f>
        <v>0</v>
      </c>
      <c r="AA144" s="30"/>
      <c r="AB144" s="30">
        <f t="shared" ref="AB144:AB146" si="250">AA144*S144</f>
        <v>0</v>
      </c>
      <c r="AC144" s="30"/>
      <c r="AD144" s="30"/>
      <c r="AE144" s="30">
        <f t="shared" ref="AE144:AE146" si="251">AD144*S144</f>
        <v>0</v>
      </c>
      <c r="AF144" s="30"/>
      <c r="AG144" s="30">
        <f t="shared" ref="AG144:AG146" si="252">AF144*S144</f>
        <v>0</v>
      </c>
      <c r="AH144" s="30"/>
      <c r="AI144" s="30"/>
      <c r="AJ144" s="30">
        <f t="shared" ref="AJ144:AJ146" si="253">AI144*S144</f>
        <v>0</v>
      </c>
      <c r="AK144" s="30"/>
      <c r="AL144" s="30">
        <f t="shared" ref="AL144:AL146" si="254">AK144*S144</f>
        <v>0</v>
      </c>
      <c r="AM144" s="30">
        <v>24000</v>
      </c>
      <c r="AN144" s="30"/>
      <c r="AO144" s="30">
        <f t="shared" ref="AO144:AO146" si="255">AN144*S144</f>
        <v>0</v>
      </c>
      <c r="AP144" s="30"/>
      <c r="AQ144" s="30">
        <f t="shared" ref="AQ144:AQ146" si="256">AP144*S144</f>
        <v>0</v>
      </c>
      <c r="AR144" s="30"/>
      <c r="AS144" s="30"/>
      <c r="AT144" s="30">
        <f t="shared" ref="AT144:AT146" si="257">AS144*S144</f>
        <v>0</v>
      </c>
      <c r="AU144" s="30"/>
      <c r="AV144" s="30">
        <f t="shared" ref="AV144:AV146" si="258">AU144*S144</f>
        <v>0</v>
      </c>
      <c r="AW144" s="37">
        <v>24000</v>
      </c>
      <c r="AX144" s="30"/>
      <c r="AY144" s="30">
        <f t="shared" ref="AY144:AY146" si="259">AX144*S144</f>
        <v>0</v>
      </c>
      <c r="AZ144" s="30"/>
      <c r="BA144" s="30">
        <v>0</v>
      </c>
      <c r="BB144" s="30"/>
      <c r="BC144" s="45"/>
      <c r="BD144" s="45">
        <f t="shared" ref="BD144:BD146" si="260">BC144*S144</f>
        <v>0</v>
      </c>
      <c r="BE144" s="30"/>
      <c r="BF144" s="30">
        <f t="shared" ref="BF144:BF146" si="261">BE144*S144</f>
        <v>0</v>
      </c>
      <c r="BG144" s="30"/>
      <c r="BH144" s="30"/>
      <c r="BI144" s="30">
        <f t="shared" ref="BI144:BI146" si="262">BH144*S144</f>
        <v>0</v>
      </c>
      <c r="BJ144" s="30"/>
      <c r="BK144" s="30">
        <f t="shared" ref="BK144:BK146" si="263">BJ144*S144</f>
        <v>0</v>
      </c>
      <c r="BL144" s="30"/>
      <c r="BM144" s="30"/>
      <c r="BN144" s="30">
        <f t="shared" ref="BN144:BN146" si="264">BM144*S144</f>
        <v>0</v>
      </c>
      <c r="BO144" s="30"/>
      <c r="BP144" s="30">
        <f t="shared" ref="BP144:BP146" si="265">BO144*S144</f>
        <v>0</v>
      </c>
      <c r="BQ144" s="30"/>
      <c r="BR144" s="30"/>
      <c r="BS144" s="30">
        <f t="shared" ref="BS144:BS146" si="266">BR144*S144</f>
        <v>0</v>
      </c>
      <c r="BT144" s="30"/>
      <c r="BU144" s="30">
        <f t="shared" ref="BU144:BU146" si="267">BT144*S144</f>
        <v>0</v>
      </c>
      <c r="BV144" s="146">
        <v>12000</v>
      </c>
      <c r="BW144" s="30"/>
      <c r="BX144" s="30">
        <f t="shared" ref="BX144:BX146" si="268">BW144*S144</f>
        <v>0</v>
      </c>
      <c r="BY144" s="30"/>
      <c r="BZ144" s="30">
        <f t="shared" ref="BZ144:BZ146" si="269">BY144*S144</f>
        <v>0</v>
      </c>
      <c r="CA144" s="30"/>
      <c r="CB144" s="30"/>
      <c r="CC144" s="30">
        <f t="shared" ref="CC144:CC146" si="270">CB144*S144</f>
        <v>0</v>
      </c>
      <c r="CD144" s="30"/>
      <c r="CE144" s="30">
        <f t="shared" ref="CE144:CE146" si="271">CD144*S144</f>
        <v>0</v>
      </c>
      <c r="CF144" s="30"/>
      <c r="CG144" s="58" t="s">
        <v>204</v>
      </c>
    </row>
    <row r="145" spans="1:85" ht="17" x14ac:dyDescent="0.4">
      <c r="A145" s="2" t="s">
        <v>110</v>
      </c>
      <c r="B145" s="2" t="s">
        <v>262</v>
      </c>
      <c r="C145" s="2" t="s">
        <v>263</v>
      </c>
      <c r="D145" s="2" t="s">
        <v>421</v>
      </c>
      <c r="E145" s="165" t="s">
        <v>422</v>
      </c>
      <c r="F145" s="2"/>
      <c r="G145" s="2"/>
      <c r="H145" s="2"/>
      <c r="I145" s="2"/>
      <c r="J145" s="2"/>
      <c r="K145" s="2" t="s">
        <v>267</v>
      </c>
      <c r="L145" s="13" t="s">
        <v>283</v>
      </c>
      <c r="M145" s="2" t="s">
        <v>128</v>
      </c>
      <c r="N145" s="2" t="s">
        <v>128</v>
      </c>
      <c r="O145" s="2" t="s">
        <v>129</v>
      </c>
      <c r="P145" s="2" t="s">
        <v>93</v>
      </c>
      <c r="Q145" s="2" t="s">
        <v>290</v>
      </c>
      <c r="R145" s="2"/>
      <c r="S145" s="11"/>
      <c r="T145" s="12"/>
      <c r="U145" s="30">
        <f t="shared" si="245"/>
        <v>0</v>
      </c>
      <c r="V145" s="30">
        <f t="shared" si="246"/>
        <v>0</v>
      </c>
      <c r="W145" s="30">
        <f t="shared" si="247"/>
        <v>0</v>
      </c>
      <c r="X145" s="30">
        <f t="shared" si="248"/>
        <v>0</v>
      </c>
      <c r="Y145" s="30"/>
      <c r="Z145" s="30">
        <f t="shared" si="249"/>
        <v>0</v>
      </c>
      <c r="AA145" s="30"/>
      <c r="AB145" s="30">
        <f t="shared" si="250"/>
        <v>0</v>
      </c>
      <c r="AC145" s="30"/>
      <c r="AD145" s="30"/>
      <c r="AE145" s="30">
        <f t="shared" si="251"/>
        <v>0</v>
      </c>
      <c r="AF145" s="30"/>
      <c r="AG145" s="30">
        <f t="shared" si="252"/>
        <v>0</v>
      </c>
      <c r="AH145" s="30"/>
      <c r="AI145" s="30"/>
      <c r="AJ145" s="30">
        <f t="shared" si="253"/>
        <v>0</v>
      </c>
      <c r="AK145" s="30"/>
      <c r="AL145" s="30">
        <f t="shared" si="254"/>
        <v>0</v>
      </c>
      <c r="AM145" s="30"/>
      <c r="AN145" s="30"/>
      <c r="AO145" s="30">
        <f t="shared" si="255"/>
        <v>0</v>
      </c>
      <c r="AP145" s="30"/>
      <c r="AQ145" s="30">
        <f t="shared" si="256"/>
        <v>0</v>
      </c>
      <c r="AR145" s="30"/>
      <c r="AS145" s="30"/>
      <c r="AT145" s="30">
        <f t="shared" si="257"/>
        <v>0</v>
      </c>
      <c r="AU145" s="30"/>
      <c r="AV145" s="30">
        <f t="shared" si="258"/>
        <v>0</v>
      </c>
      <c r="AW145" s="30">
        <v>2500</v>
      </c>
      <c r="AX145" s="30"/>
      <c r="AY145" s="30">
        <f t="shared" si="259"/>
        <v>0</v>
      </c>
      <c r="AZ145" s="30"/>
      <c r="BA145" s="30">
        <v>0</v>
      </c>
      <c r="BB145" s="30"/>
      <c r="BC145" s="45"/>
      <c r="BD145" s="45">
        <f t="shared" si="260"/>
        <v>0</v>
      </c>
      <c r="BE145" s="30"/>
      <c r="BF145" s="30">
        <f t="shared" si="261"/>
        <v>0</v>
      </c>
      <c r="BG145" s="30"/>
      <c r="BH145" s="30"/>
      <c r="BI145" s="30">
        <f t="shared" si="262"/>
        <v>0</v>
      </c>
      <c r="BJ145" s="30"/>
      <c r="BK145" s="30">
        <f t="shared" si="263"/>
        <v>0</v>
      </c>
      <c r="BL145" s="30"/>
      <c r="BM145" s="30"/>
      <c r="BN145" s="30">
        <f t="shared" si="264"/>
        <v>0</v>
      </c>
      <c r="BO145" s="30"/>
      <c r="BP145" s="30">
        <f t="shared" si="265"/>
        <v>0</v>
      </c>
      <c r="BQ145" s="30"/>
      <c r="BR145" s="30"/>
      <c r="BS145" s="30">
        <f t="shared" si="266"/>
        <v>0</v>
      </c>
      <c r="BT145" s="30"/>
      <c r="BU145" s="30">
        <f t="shared" si="267"/>
        <v>0</v>
      </c>
      <c r="BV145" s="30"/>
      <c r="BW145" s="30"/>
      <c r="BX145" s="30">
        <f t="shared" si="268"/>
        <v>0</v>
      </c>
      <c r="BY145" s="30"/>
      <c r="BZ145" s="30">
        <f t="shared" si="269"/>
        <v>0</v>
      </c>
      <c r="CA145" s="30"/>
      <c r="CB145" s="30"/>
      <c r="CC145" s="30">
        <f t="shared" si="270"/>
        <v>0</v>
      </c>
      <c r="CD145" s="30"/>
      <c r="CE145" s="30">
        <f t="shared" si="271"/>
        <v>0</v>
      </c>
      <c r="CF145" s="30"/>
      <c r="CG145" s="52" t="s">
        <v>206</v>
      </c>
    </row>
    <row r="146" spans="1:85" x14ac:dyDescent="0.4">
      <c r="A146" s="2" t="s">
        <v>110</v>
      </c>
      <c r="B146" s="2" t="s">
        <v>262</v>
      </c>
      <c r="C146" s="2" t="s">
        <v>263</v>
      </c>
      <c r="D146" s="2" t="s">
        <v>421</v>
      </c>
      <c r="E146" s="167" t="s">
        <v>422</v>
      </c>
      <c r="F146" s="2"/>
      <c r="G146" s="2"/>
      <c r="H146" s="2"/>
      <c r="I146" s="2"/>
      <c r="J146" s="2"/>
      <c r="K146" s="2" t="s">
        <v>267</v>
      </c>
      <c r="L146" s="13" t="s">
        <v>283</v>
      </c>
      <c r="M146" s="2" t="s">
        <v>117</v>
      </c>
      <c r="N146" s="2" t="s">
        <v>117</v>
      </c>
      <c r="O146" s="2" t="s">
        <v>118</v>
      </c>
      <c r="P146" s="2" t="s">
        <v>603</v>
      </c>
      <c r="Q146" s="2" t="s">
        <v>423</v>
      </c>
      <c r="R146" s="2"/>
      <c r="S146" s="11"/>
      <c r="T146" s="12"/>
      <c r="U146" s="30">
        <f t="shared" si="245"/>
        <v>0</v>
      </c>
      <c r="V146" s="30">
        <f t="shared" si="246"/>
        <v>0</v>
      </c>
      <c r="W146" s="30">
        <f t="shared" si="247"/>
        <v>0</v>
      </c>
      <c r="X146" s="30">
        <f t="shared" si="248"/>
        <v>0</v>
      </c>
      <c r="Y146" s="30"/>
      <c r="Z146" s="30">
        <f t="shared" si="249"/>
        <v>0</v>
      </c>
      <c r="AA146" s="30"/>
      <c r="AB146" s="30">
        <f t="shared" si="250"/>
        <v>0</v>
      </c>
      <c r="AC146" s="30"/>
      <c r="AD146" s="30"/>
      <c r="AE146" s="30">
        <f t="shared" si="251"/>
        <v>0</v>
      </c>
      <c r="AF146" s="30"/>
      <c r="AG146" s="30">
        <f t="shared" si="252"/>
        <v>0</v>
      </c>
      <c r="AH146" s="30"/>
      <c r="AI146" s="30"/>
      <c r="AJ146" s="30">
        <f t="shared" si="253"/>
        <v>0</v>
      </c>
      <c r="AK146" s="30"/>
      <c r="AL146" s="30">
        <f t="shared" si="254"/>
        <v>0</v>
      </c>
      <c r="AM146" s="30"/>
      <c r="AN146" s="30"/>
      <c r="AO146" s="30">
        <f t="shared" si="255"/>
        <v>0</v>
      </c>
      <c r="AP146" s="30"/>
      <c r="AQ146" s="30">
        <f t="shared" si="256"/>
        <v>0</v>
      </c>
      <c r="AR146" s="30">
        <v>4000</v>
      </c>
      <c r="AS146" s="30"/>
      <c r="AT146" s="30">
        <f t="shared" si="257"/>
        <v>0</v>
      </c>
      <c r="AU146" s="30"/>
      <c r="AV146" s="30">
        <f t="shared" si="258"/>
        <v>0</v>
      </c>
      <c r="AW146" s="30">
        <v>20000</v>
      </c>
      <c r="AX146" s="30"/>
      <c r="AY146" s="30">
        <f t="shared" si="259"/>
        <v>0</v>
      </c>
      <c r="AZ146" s="30"/>
      <c r="BA146" s="30">
        <v>0</v>
      </c>
      <c r="BB146" s="30"/>
      <c r="BC146" s="45"/>
      <c r="BD146" s="45">
        <f t="shared" si="260"/>
        <v>0</v>
      </c>
      <c r="BE146" s="30"/>
      <c r="BF146" s="30">
        <f t="shared" si="261"/>
        <v>0</v>
      </c>
      <c r="BG146" s="30"/>
      <c r="BH146" s="30"/>
      <c r="BI146" s="30">
        <f t="shared" si="262"/>
        <v>0</v>
      </c>
      <c r="BJ146" s="30"/>
      <c r="BK146" s="30">
        <f t="shared" si="263"/>
        <v>0</v>
      </c>
      <c r="BL146" s="30"/>
      <c r="BM146" s="30"/>
      <c r="BN146" s="30">
        <f t="shared" si="264"/>
        <v>0</v>
      </c>
      <c r="BO146" s="30"/>
      <c r="BP146" s="30">
        <f t="shared" si="265"/>
        <v>0</v>
      </c>
      <c r="BQ146" s="30"/>
      <c r="BR146" s="30"/>
      <c r="BS146" s="30">
        <f t="shared" si="266"/>
        <v>0</v>
      </c>
      <c r="BT146" s="30"/>
      <c r="BU146" s="30">
        <f t="shared" si="267"/>
        <v>0</v>
      </c>
      <c r="BV146" s="30"/>
      <c r="BW146" s="30"/>
      <c r="BX146" s="30">
        <f t="shared" si="268"/>
        <v>0</v>
      </c>
      <c r="BY146" s="30"/>
      <c r="BZ146" s="30">
        <f t="shared" si="269"/>
        <v>0</v>
      </c>
      <c r="CA146" s="30"/>
      <c r="CB146" s="30"/>
      <c r="CC146" s="30">
        <f t="shared" si="270"/>
        <v>0</v>
      </c>
      <c r="CD146" s="30"/>
      <c r="CE146" s="30">
        <f t="shared" si="271"/>
        <v>0</v>
      </c>
      <c r="CF146" s="30"/>
      <c r="CG146" s="2"/>
    </row>
    <row r="147" spans="1:85" x14ac:dyDescent="0.4">
      <c r="A147" s="2" t="s">
        <v>110</v>
      </c>
      <c r="B147" s="2" t="s">
        <v>262</v>
      </c>
      <c r="C147" s="2" t="s">
        <v>263</v>
      </c>
      <c r="D147" s="2" t="s">
        <v>424</v>
      </c>
      <c r="E147" s="165" t="s">
        <v>425</v>
      </c>
      <c r="F147" s="2"/>
      <c r="G147" s="2"/>
      <c r="H147" s="2"/>
      <c r="I147" s="2"/>
      <c r="J147" s="2"/>
      <c r="K147" s="2" t="s">
        <v>267</v>
      </c>
      <c r="L147" s="13" t="s">
        <v>291</v>
      </c>
      <c r="M147" s="2" t="s">
        <v>82</v>
      </c>
      <c r="N147" s="2" t="s">
        <v>82</v>
      </c>
      <c r="O147" s="2" t="s">
        <v>112</v>
      </c>
      <c r="P147" s="2" t="s">
        <v>81</v>
      </c>
      <c r="Q147" s="2" t="s">
        <v>426</v>
      </c>
      <c r="R147" s="2"/>
      <c r="S147" s="11"/>
      <c r="T147" s="12"/>
      <c r="U147" s="30">
        <f t="shared" ref="U147:U155" si="272">+(Y147+AD147+AI147+AN147+AS147+AX147+BC147+BH147+BM147+BR147+BW147+CB147)/1000</f>
        <v>0</v>
      </c>
      <c r="V147" s="30">
        <f t="shared" ref="V147:V155" si="273">+(Z147+AE147+AJ147+AO147+AT147+AY147+BD147+BI147+BN147+BS147+BX147+CC147)/1000</f>
        <v>0</v>
      </c>
      <c r="W147" s="30">
        <f t="shared" ref="W147:W155" si="274">+(+BF147+BK147+BP147+BU147+BZ147+CE147)</f>
        <v>0</v>
      </c>
      <c r="X147" s="30">
        <f t="shared" ref="X147:X155" si="275">+(+BG147+BL147+BQ147+BV147+CA147+CF147)</f>
        <v>0</v>
      </c>
      <c r="Y147" s="30"/>
      <c r="Z147" s="30">
        <f t="shared" ref="Z147:Z155" si="276">Y147*S147</f>
        <v>0</v>
      </c>
      <c r="AA147" s="30"/>
      <c r="AB147" s="30">
        <f t="shared" ref="AB147:AB155" si="277">AA147*S147</f>
        <v>0</v>
      </c>
      <c r="AC147" s="30">
        <v>320</v>
      </c>
      <c r="AD147" s="30"/>
      <c r="AE147" s="30">
        <f t="shared" ref="AE147:AE155" si="278">AD147*S147</f>
        <v>0</v>
      </c>
      <c r="AF147" s="30"/>
      <c r="AG147" s="30">
        <f t="shared" ref="AG147:AG155" si="279">AF147*S147</f>
        <v>0</v>
      </c>
      <c r="AH147" s="30"/>
      <c r="AI147" s="30"/>
      <c r="AJ147" s="30">
        <f t="shared" ref="AJ147:AJ155" si="280">AI147*S147</f>
        <v>0</v>
      </c>
      <c r="AK147" s="30"/>
      <c r="AL147" s="30">
        <f t="shared" ref="AL147:AL155" si="281">AK147*S147</f>
        <v>0</v>
      </c>
      <c r="AM147" s="30"/>
      <c r="AN147" s="30"/>
      <c r="AO147" s="30">
        <f t="shared" ref="AO147:AO155" si="282">AN147*S147</f>
        <v>0</v>
      </c>
      <c r="AP147" s="30"/>
      <c r="AQ147" s="30">
        <f t="shared" ref="AQ147:AQ155" si="283">AP147*S147</f>
        <v>0</v>
      </c>
      <c r="AR147" s="30"/>
      <c r="AS147" s="30"/>
      <c r="AT147" s="30">
        <f t="shared" ref="AT147:AT155" si="284">AS147*S147</f>
        <v>0</v>
      </c>
      <c r="AU147" s="30"/>
      <c r="AV147" s="30">
        <f t="shared" ref="AV147:AV155" si="285">AU147*S147</f>
        <v>0</v>
      </c>
      <c r="AW147" s="30"/>
      <c r="AX147" s="30"/>
      <c r="AY147" s="30">
        <f t="shared" ref="AY147:AY155" si="286">AX147*S147</f>
        <v>0</v>
      </c>
      <c r="AZ147" s="30"/>
      <c r="BA147" s="30">
        <v>0</v>
      </c>
      <c r="BB147" s="30"/>
      <c r="BC147" s="45"/>
      <c r="BD147" s="45">
        <f t="shared" ref="BD147:BD155" si="287">BC147*S147</f>
        <v>0</v>
      </c>
      <c r="BE147" s="30"/>
      <c r="BF147" s="30">
        <f t="shared" ref="BF147:BF155" si="288">BE147*S147</f>
        <v>0</v>
      </c>
      <c r="BG147" s="30"/>
      <c r="BH147" s="30"/>
      <c r="BI147" s="30">
        <f t="shared" ref="BI147:BI155" si="289">BH147*S147</f>
        <v>0</v>
      </c>
      <c r="BJ147" s="30"/>
      <c r="BK147" s="30">
        <f t="shared" ref="BK147:BK155" si="290">BJ147*S147</f>
        <v>0</v>
      </c>
      <c r="BL147" s="32"/>
      <c r="BM147" s="30"/>
      <c r="BN147" s="30">
        <f t="shared" ref="BN147:BN155" si="291">BM147*S147</f>
        <v>0</v>
      </c>
      <c r="BO147" s="30"/>
      <c r="BP147" s="30">
        <f t="shared" ref="BP147:BP155" si="292">BO147*S147</f>
        <v>0</v>
      </c>
      <c r="BQ147" s="30"/>
      <c r="BR147" s="30"/>
      <c r="BS147" s="30">
        <f t="shared" ref="BS147:BS155" si="293">BR147*S147</f>
        <v>0</v>
      </c>
      <c r="BT147" s="30"/>
      <c r="BU147" s="30">
        <f t="shared" ref="BU147:BU155" si="294">BT147*S147</f>
        <v>0</v>
      </c>
      <c r="BV147" s="30"/>
      <c r="BW147" s="30"/>
      <c r="BX147" s="30">
        <f t="shared" ref="BX147:BX155" si="295">BW147*S147</f>
        <v>0</v>
      </c>
      <c r="BY147" s="30"/>
      <c r="BZ147" s="30">
        <f t="shared" ref="BZ147:BZ155" si="296">BY147*S147</f>
        <v>0</v>
      </c>
      <c r="CA147" s="30"/>
      <c r="CB147" s="30"/>
      <c r="CC147" s="30">
        <f t="shared" ref="CC147:CC155" si="297">CB147*S147</f>
        <v>0</v>
      </c>
      <c r="CD147" s="30"/>
      <c r="CE147" s="30">
        <f t="shared" ref="CE147:CE155" si="298">CD147*S147</f>
        <v>0</v>
      </c>
      <c r="CF147" s="30"/>
      <c r="CG147" s="2"/>
    </row>
    <row r="148" spans="1:85" x14ac:dyDescent="0.4">
      <c r="A148" s="2" t="s">
        <v>110</v>
      </c>
      <c r="B148" s="2" t="s">
        <v>262</v>
      </c>
      <c r="C148" s="2" t="s">
        <v>127</v>
      </c>
      <c r="D148" s="2" t="s">
        <v>427</v>
      </c>
      <c r="E148" s="165" t="s">
        <v>428</v>
      </c>
      <c r="F148" s="2" t="s">
        <v>175</v>
      </c>
      <c r="G148" s="2" t="s">
        <v>429</v>
      </c>
      <c r="H148" s="2" t="s">
        <v>430</v>
      </c>
      <c r="I148" s="2" t="s">
        <v>174</v>
      </c>
      <c r="J148" s="2" t="s">
        <v>429</v>
      </c>
      <c r="K148" s="2" t="s">
        <v>267</v>
      </c>
      <c r="L148" s="13" t="s">
        <v>196</v>
      </c>
      <c r="M148" s="2" t="s">
        <v>199</v>
      </c>
      <c r="N148" s="2" t="s">
        <v>199</v>
      </c>
      <c r="O148" s="2" t="s">
        <v>118</v>
      </c>
      <c r="P148" s="2" t="s">
        <v>292</v>
      </c>
      <c r="Q148" s="2" t="s">
        <v>431</v>
      </c>
      <c r="R148" s="2" t="s">
        <v>83</v>
      </c>
      <c r="S148" s="11">
        <v>0.91</v>
      </c>
      <c r="T148" s="12"/>
      <c r="U148" s="30">
        <f t="shared" si="272"/>
        <v>12</v>
      </c>
      <c r="V148" s="30">
        <f t="shared" si="273"/>
        <v>10.92</v>
      </c>
      <c r="W148" s="30">
        <f t="shared" si="274"/>
        <v>0</v>
      </c>
      <c r="X148" s="30">
        <f t="shared" si="275"/>
        <v>0</v>
      </c>
      <c r="Y148" s="30">
        <v>1000</v>
      </c>
      <c r="Z148" s="30">
        <f t="shared" si="276"/>
        <v>910</v>
      </c>
      <c r="AA148" s="30"/>
      <c r="AB148" s="30">
        <f t="shared" si="277"/>
        <v>0</v>
      </c>
      <c r="AC148" s="30"/>
      <c r="AD148" s="30">
        <v>1000</v>
      </c>
      <c r="AE148" s="30">
        <f t="shared" si="278"/>
        <v>910</v>
      </c>
      <c r="AF148" s="30"/>
      <c r="AG148" s="30">
        <f t="shared" si="279"/>
        <v>0</v>
      </c>
      <c r="AH148" s="30"/>
      <c r="AI148" s="30">
        <v>1000</v>
      </c>
      <c r="AJ148" s="30">
        <f t="shared" si="280"/>
        <v>910</v>
      </c>
      <c r="AK148" s="30"/>
      <c r="AL148" s="30">
        <f t="shared" si="281"/>
        <v>0</v>
      </c>
      <c r="AM148" s="30"/>
      <c r="AN148" s="30">
        <v>1000</v>
      </c>
      <c r="AO148" s="30">
        <f t="shared" si="282"/>
        <v>910</v>
      </c>
      <c r="AP148" s="30"/>
      <c r="AQ148" s="30">
        <f t="shared" si="283"/>
        <v>0</v>
      </c>
      <c r="AR148" s="30"/>
      <c r="AS148" s="30">
        <v>1000</v>
      </c>
      <c r="AT148" s="30">
        <f t="shared" si="284"/>
        <v>910</v>
      </c>
      <c r="AU148" s="30"/>
      <c r="AV148" s="30">
        <f t="shared" si="285"/>
        <v>0</v>
      </c>
      <c r="AW148" s="30"/>
      <c r="AX148" s="30">
        <v>1000</v>
      </c>
      <c r="AY148" s="30">
        <f t="shared" si="286"/>
        <v>910</v>
      </c>
      <c r="AZ148" s="30"/>
      <c r="BA148" s="30">
        <v>0</v>
      </c>
      <c r="BB148" s="30"/>
      <c r="BC148" s="45">
        <v>1000</v>
      </c>
      <c r="BD148" s="45">
        <f t="shared" si="287"/>
        <v>910</v>
      </c>
      <c r="BE148" s="30"/>
      <c r="BF148" s="30">
        <f t="shared" si="288"/>
        <v>0</v>
      </c>
      <c r="BG148" s="30"/>
      <c r="BH148" s="30">
        <v>1000</v>
      </c>
      <c r="BI148" s="30">
        <f t="shared" si="289"/>
        <v>910</v>
      </c>
      <c r="BJ148" s="30"/>
      <c r="BK148" s="30">
        <f t="shared" si="290"/>
        <v>0</v>
      </c>
      <c r="BL148" s="30"/>
      <c r="BM148" s="30">
        <v>1000</v>
      </c>
      <c r="BN148" s="30">
        <f t="shared" si="291"/>
        <v>910</v>
      </c>
      <c r="BO148" s="30"/>
      <c r="BP148" s="30">
        <f t="shared" si="292"/>
        <v>0</v>
      </c>
      <c r="BQ148" s="30"/>
      <c r="BR148" s="30">
        <v>1000</v>
      </c>
      <c r="BS148" s="30">
        <f t="shared" si="293"/>
        <v>910</v>
      </c>
      <c r="BT148" s="30"/>
      <c r="BU148" s="30">
        <f t="shared" si="294"/>
        <v>0</v>
      </c>
      <c r="BV148" s="30"/>
      <c r="BW148" s="30">
        <v>1000</v>
      </c>
      <c r="BX148" s="30">
        <f t="shared" si="295"/>
        <v>910</v>
      </c>
      <c r="BY148" s="30"/>
      <c r="BZ148" s="30">
        <f t="shared" si="296"/>
        <v>0</v>
      </c>
      <c r="CA148" s="30"/>
      <c r="CB148" s="30">
        <v>1000</v>
      </c>
      <c r="CC148" s="30">
        <f t="shared" si="297"/>
        <v>910</v>
      </c>
      <c r="CD148" s="30"/>
      <c r="CE148" s="30">
        <f t="shared" si="298"/>
        <v>0</v>
      </c>
      <c r="CF148" s="30"/>
      <c r="CG148" s="2"/>
    </row>
    <row r="149" spans="1:85" x14ac:dyDescent="0.4">
      <c r="A149" s="2" t="s">
        <v>110</v>
      </c>
      <c r="B149" s="2" t="s">
        <v>262</v>
      </c>
      <c r="C149" s="2" t="s">
        <v>127</v>
      </c>
      <c r="D149" s="2" t="s">
        <v>427</v>
      </c>
      <c r="E149" s="165" t="s">
        <v>428</v>
      </c>
      <c r="F149" s="2"/>
      <c r="G149" s="2"/>
      <c r="H149" s="2"/>
      <c r="I149" s="2"/>
      <c r="J149" s="2"/>
      <c r="K149" s="2" t="s">
        <v>267</v>
      </c>
      <c r="L149" s="13" t="s">
        <v>196</v>
      </c>
      <c r="M149" s="2" t="s">
        <v>117</v>
      </c>
      <c r="N149" s="2" t="s">
        <v>117</v>
      </c>
      <c r="O149" s="2" t="s">
        <v>118</v>
      </c>
      <c r="P149" s="2" t="s">
        <v>603</v>
      </c>
      <c r="Q149" s="2" t="s">
        <v>432</v>
      </c>
      <c r="R149" s="2" t="s">
        <v>83</v>
      </c>
      <c r="S149" s="11">
        <v>0.1147</v>
      </c>
      <c r="T149" s="12"/>
      <c r="U149" s="30">
        <f t="shared" si="272"/>
        <v>12</v>
      </c>
      <c r="V149" s="30">
        <f t="shared" si="273"/>
        <v>1.3764000000000003</v>
      </c>
      <c r="W149" s="30">
        <f t="shared" si="274"/>
        <v>0</v>
      </c>
      <c r="X149" s="30">
        <f t="shared" si="275"/>
        <v>0</v>
      </c>
      <c r="Y149" s="30">
        <v>1000</v>
      </c>
      <c r="Z149" s="30">
        <f t="shared" si="276"/>
        <v>114.7</v>
      </c>
      <c r="AA149" s="30"/>
      <c r="AB149" s="30">
        <f t="shared" si="277"/>
        <v>0</v>
      </c>
      <c r="AC149" s="30"/>
      <c r="AD149" s="30">
        <v>1000</v>
      </c>
      <c r="AE149" s="30">
        <f t="shared" si="278"/>
        <v>114.7</v>
      </c>
      <c r="AF149" s="30"/>
      <c r="AG149" s="30">
        <f t="shared" si="279"/>
        <v>0</v>
      </c>
      <c r="AH149" s="30"/>
      <c r="AI149" s="30">
        <v>1000</v>
      </c>
      <c r="AJ149" s="30">
        <f t="shared" si="280"/>
        <v>114.7</v>
      </c>
      <c r="AK149" s="30"/>
      <c r="AL149" s="30">
        <f t="shared" si="281"/>
        <v>0</v>
      </c>
      <c r="AM149" s="30"/>
      <c r="AN149" s="30">
        <v>1000</v>
      </c>
      <c r="AO149" s="30">
        <f t="shared" si="282"/>
        <v>114.7</v>
      </c>
      <c r="AP149" s="30"/>
      <c r="AQ149" s="30">
        <f t="shared" si="283"/>
        <v>0</v>
      </c>
      <c r="AR149" s="30"/>
      <c r="AS149" s="30">
        <v>1000</v>
      </c>
      <c r="AT149" s="30">
        <f t="shared" si="284"/>
        <v>114.7</v>
      </c>
      <c r="AU149" s="30"/>
      <c r="AV149" s="30">
        <f t="shared" si="285"/>
        <v>0</v>
      </c>
      <c r="AW149" s="30"/>
      <c r="AX149" s="30">
        <v>1000</v>
      </c>
      <c r="AY149" s="30">
        <f t="shared" si="286"/>
        <v>114.7</v>
      </c>
      <c r="AZ149" s="30"/>
      <c r="BA149" s="30">
        <v>0</v>
      </c>
      <c r="BB149" s="30"/>
      <c r="BC149" s="45">
        <v>1000</v>
      </c>
      <c r="BD149" s="45">
        <f t="shared" si="287"/>
        <v>114.7</v>
      </c>
      <c r="BE149" s="30"/>
      <c r="BF149" s="30">
        <f t="shared" si="288"/>
        <v>0</v>
      </c>
      <c r="BG149" s="30"/>
      <c r="BH149" s="30">
        <v>1000</v>
      </c>
      <c r="BI149" s="30">
        <f t="shared" si="289"/>
        <v>114.7</v>
      </c>
      <c r="BJ149" s="30"/>
      <c r="BK149" s="30">
        <f t="shared" si="290"/>
        <v>0</v>
      </c>
      <c r="BL149" s="30"/>
      <c r="BM149" s="30">
        <v>1000</v>
      </c>
      <c r="BN149" s="30">
        <f t="shared" si="291"/>
        <v>114.7</v>
      </c>
      <c r="BO149" s="30"/>
      <c r="BP149" s="30">
        <f t="shared" si="292"/>
        <v>0</v>
      </c>
      <c r="BQ149" s="30"/>
      <c r="BR149" s="30">
        <v>1000</v>
      </c>
      <c r="BS149" s="30">
        <f t="shared" si="293"/>
        <v>114.7</v>
      </c>
      <c r="BT149" s="30"/>
      <c r="BU149" s="30">
        <f t="shared" si="294"/>
        <v>0</v>
      </c>
      <c r="BV149" s="30"/>
      <c r="BW149" s="30">
        <v>1000</v>
      </c>
      <c r="BX149" s="30">
        <f t="shared" si="295"/>
        <v>114.7</v>
      </c>
      <c r="BY149" s="30"/>
      <c r="BZ149" s="30">
        <f t="shared" si="296"/>
        <v>0</v>
      </c>
      <c r="CA149" s="30"/>
      <c r="CB149" s="30">
        <v>1000</v>
      </c>
      <c r="CC149" s="30">
        <f t="shared" si="297"/>
        <v>114.7</v>
      </c>
      <c r="CD149" s="30"/>
      <c r="CE149" s="30">
        <f t="shared" si="298"/>
        <v>0</v>
      </c>
      <c r="CF149" s="30"/>
      <c r="CG149" s="2"/>
    </row>
    <row r="150" spans="1:85" x14ac:dyDescent="0.4">
      <c r="A150" s="2" t="s">
        <v>110</v>
      </c>
      <c r="B150" s="2" t="s">
        <v>262</v>
      </c>
      <c r="C150" s="2" t="s">
        <v>127</v>
      </c>
      <c r="D150" s="2" t="s">
        <v>427</v>
      </c>
      <c r="E150" s="165" t="s">
        <v>428</v>
      </c>
      <c r="F150" s="2"/>
      <c r="G150" s="2"/>
      <c r="H150" s="2"/>
      <c r="I150" s="2"/>
      <c r="J150" s="2"/>
      <c r="K150" s="2" t="s">
        <v>267</v>
      </c>
      <c r="L150" s="13" t="s">
        <v>196</v>
      </c>
      <c r="M150" s="2" t="s">
        <v>122</v>
      </c>
      <c r="N150" s="2" t="s">
        <v>122</v>
      </c>
      <c r="O150" s="13" t="s">
        <v>95</v>
      </c>
      <c r="P150" s="2" t="s">
        <v>93</v>
      </c>
      <c r="Q150" s="2" t="s">
        <v>220</v>
      </c>
      <c r="R150" s="2" t="s">
        <v>83</v>
      </c>
      <c r="S150" s="11">
        <v>0.45800000000000002</v>
      </c>
      <c r="T150" s="12"/>
      <c r="U150" s="30">
        <f t="shared" si="272"/>
        <v>3</v>
      </c>
      <c r="V150" s="30">
        <f t="shared" si="273"/>
        <v>1.3740000000000001</v>
      </c>
      <c r="W150" s="30">
        <f t="shared" si="274"/>
        <v>0</v>
      </c>
      <c r="X150" s="30">
        <f t="shared" si="275"/>
        <v>0</v>
      </c>
      <c r="Y150" s="30"/>
      <c r="Z150" s="30">
        <f t="shared" si="276"/>
        <v>0</v>
      </c>
      <c r="AA150" s="30"/>
      <c r="AB150" s="30">
        <f t="shared" si="277"/>
        <v>0</v>
      </c>
      <c r="AC150" s="30"/>
      <c r="AD150" s="30"/>
      <c r="AE150" s="30">
        <f t="shared" si="278"/>
        <v>0</v>
      </c>
      <c r="AF150" s="30"/>
      <c r="AG150" s="30">
        <f t="shared" si="279"/>
        <v>0</v>
      </c>
      <c r="AH150" s="30"/>
      <c r="AI150" s="30">
        <v>1000</v>
      </c>
      <c r="AJ150" s="30">
        <f t="shared" si="280"/>
        <v>458</v>
      </c>
      <c r="AK150" s="30"/>
      <c r="AL150" s="30">
        <f t="shared" si="281"/>
        <v>0</v>
      </c>
      <c r="AM150" s="30"/>
      <c r="AN150" s="30"/>
      <c r="AO150" s="30">
        <f t="shared" si="282"/>
        <v>0</v>
      </c>
      <c r="AP150" s="30"/>
      <c r="AQ150" s="30">
        <f t="shared" si="283"/>
        <v>0</v>
      </c>
      <c r="AR150" s="30"/>
      <c r="AS150" s="30"/>
      <c r="AT150" s="30">
        <f t="shared" si="284"/>
        <v>0</v>
      </c>
      <c r="AU150" s="30"/>
      <c r="AV150" s="30">
        <f t="shared" si="285"/>
        <v>0</v>
      </c>
      <c r="AW150" s="30"/>
      <c r="AX150" s="30"/>
      <c r="AY150" s="30">
        <f t="shared" si="286"/>
        <v>0</v>
      </c>
      <c r="AZ150" s="30"/>
      <c r="BA150" s="30">
        <v>0</v>
      </c>
      <c r="BB150" s="30"/>
      <c r="BC150" s="45"/>
      <c r="BD150" s="45">
        <f t="shared" si="287"/>
        <v>0</v>
      </c>
      <c r="BE150" s="30"/>
      <c r="BF150" s="30">
        <f t="shared" si="288"/>
        <v>0</v>
      </c>
      <c r="BG150" s="30"/>
      <c r="BH150" s="30"/>
      <c r="BI150" s="30">
        <f t="shared" si="289"/>
        <v>0</v>
      </c>
      <c r="BJ150" s="30"/>
      <c r="BK150" s="30">
        <f t="shared" si="290"/>
        <v>0</v>
      </c>
      <c r="BL150" s="30"/>
      <c r="BM150" s="30">
        <v>1000</v>
      </c>
      <c r="BN150" s="30">
        <f t="shared" si="291"/>
        <v>458</v>
      </c>
      <c r="BO150" s="30"/>
      <c r="BP150" s="30">
        <f t="shared" si="292"/>
        <v>0</v>
      </c>
      <c r="BQ150" s="30"/>
      <c r="BR150" s="30"/>
      <c r="BS150" s="30">
        <f t="shared" si="293"/>
        <v>0</v>
      </c>
      <c r="BT150" s="30"/>
      <c r="BU150" s="30">
        <f t="shared" si="294"/>
        <v>0</v>
      </c>
      <c r="BV150" s="30"/>
      <c r="BW150" s="30"/>
      <c r="BX150" s="30">
        <f t="shared" si="295"/>
        <v>0</v>
      </c>
      <c r="BY150" s="30"/>
      <c r="BZ150" s="30">
        <f t="shared" si="296"/>
        <v>0</v>
      </c>
      <c r="CA150" s="30"/>
      <c r="CB150" s="30">
        <v>1000</v>
      </c>
      <c r="CC150" s="30">
        <f t="shared" si="297"/>
        <v>458</v>
      </c>
      <c r="CD150" s="30"/>
      <c r="CE150" s="30">
        <f t="shared" si="298"/>
        <v>0</v>
      </c>
      <c r="CF150" s="30"/>
      <c r="CG150" s="2"/>
    </row>
    <row r="151" spans="1:85" x14ac:dyDescent="0.4">
      <c r="A151" s="2" t="s">
        <v>110</v>
      </c>
      <c r="B151" s="2" t="s">
        <v>262</v>
      </c>
      <c r="C151" s="2" t="s">
        <v>127</v>
      </c>
      <c r="D151" s="2" t="s">
        <v>427</v>
      </c>
      <c r="E151" s="165" t="s">
        <v>428</v>
      </c>
      <c r="F151" s="2"/>
      <c r="G151" s="2"/>
      <c r="H151" s="2"/>
      <c r="I151" s="2"/>
      <c r="J151" s="2"/>
      <c r="K151" s="2" t="s">
        <v>267</v>
      </c>
      <c r="L151" s="13" t="s">
        <v>196</v>
      </c>
      <c r="M151" s="2" t="s">
        <v>433</v>
      </c>
      <c r="N151" s="2" t="s">
        <v>433</v>
      </c>
      <c r="O151" s="2"/>
      <c r="P151" s="2"/>
      <c r="Q151" s="2" t="s">
        <v>434</v>
      </c>
      <c r="R151" s="2" t="s">
        <v>83</v>
      </c>
      <c r="S151" s="11">
        <v>0.91</v>
      </c>
      <c r="T151" s="12"/>
      <c r="U151" s="30">
        <f t="shared" si="272"/>
        <v>3</v>
      </c>
      <c r="V151" s="30">
        <f t="shared" si="273"/>
        <v>2.73</v>
      </c>
      <c r="W151" s="30">
        <f t="shared" si="274"/>
        <v>0</v>
      </c>
      <c r="X151" s="30">
        <f t="shared" si="275"/>
        <v>0</v>
      </c>
      <c r="Y151" s="30"/>
      <c r="Z151" s="30">
        <f t="shared" si="276"/>
        <v>0</v>
      </c>
      <c r="AA151" s="30"/>
      <c r="AB151" s="30">
        <f t="shared" si="277"/>
        <v>0</v>
      </c>
      <c r="AC151" s="30"/>
      <c r="AD151" s="30"/>
      <c r="AE151" s="30">
        <f t="shared" si="278"/>
        <v>0</v>
      </c>
      <c r="AF151" s="30"/>
      <c r="AG151" s="30">
        <f t="shared" si="279"/>
        <v>0</v>
      </c>
      <c r="AH151" s="30"/>
      <c r="AI151" s="30">
        <v>1000</v>
      </c>
      <c r="AJ151" s="30">
        <f t="shared" si="280"/>
        <v>910</v>
      </c>
      <c r="AK151" s="30"/>
      <c r="AL151" s="30">
        <f t="shared" si="281"/>
        <v>0</v>
      </c>
      <c r="AM151" s="30"/>
      <c r="AN151" s="30"/>
      <c r="AO151" s="30">
        <f t="shared" si="282"/>
        <v>0</v>
      </c>
      <c r="AP151" s="30"/>
      <c r="AQ151" s="30">
        <f t="shared" si="283"/>
        <v>0</v>
      </c>
      <c r="AR151" s="30"/>
      <c r="AS151" s="30"/>
      <c r="AT151" s="30">
        <f t="shared" si="284"/>
        <v>0</v>
      </c>
      <c r="AU151" s="30"/>
      <c r="AV151" s="30">
        <f t="shared" si="285"/>
        <v>0</v>
      </c>
      <c r="AW151" s="30"/>
      <c r="AX151" s="30"/>
      <c r="AY151" s="30">
        <f t="shared" si="286"/>
        <v>0</v>
      </c>
      <c r="AZ151" s="30"/>
      <c r="BA151" s="30">
        <v>0</v>
      </c>
      <c r="BB151" s="30"/>
      <c r="BC151" s="45"/>
      <c r="BD151" s="45">
        <f t="shared" si="287"/>
        <v>0</v>
      </c>
      <c r="BE151" s="30"/>
      <c r="BF151" s="30">
        <f t="shared" si="288"/>
        <v>0</v>
      </c>
      <c r="BG151" s="30"/>
      <c r="BH151" s="30"/>
      <c r="BI151" s="30">
        <f t="shared" si="289"/>
        <v>0</v>
      </c>
      <c r="BJ151" s="30"/>
      <c r="BK151" s="30">
        <f t="shared" si="290"/>
        <v>0</v>
      </c>
      <c r="BL151" s="30"/>
      <c r="BM151" s="30">
        <v>1000</v>
      </c>
      <c r="BN151" s="30">
        <f t="shared" si="291"/>
        <v>910</v>
      </c>
      <c r="BO151" s="30"/>
      <c r="BP151" s="30">
        <f t="shared" si="292"/>
        <v>0</v>
      </c>
      <c r="BQ151" s="30"/>
      <c r="BR151" s="30"/>
      <c r="BS151" s="30">
        <f t="shared" si="293"/>
        <v>0</v>
      </c>
      <c r="BT151" s="30"/>
      <c r="BU151" s="30">
        <f t="shared" si="294"/>
        <v>0</v>
      </c>
      <c r="BV151" s="30"/>
      <c r="BW151" s="30"/>
      <c r="BX151" s="30">
        <f t="shared" si="295"/>
        <v>0</v>
      </c>
      <c r="BY151" s="30"/>
      <c r="BZ151" s="30">
        <f t="shared" si="296"/>
        <v>0</v>
      </c>
      <c r="CA151" s="30"/>
      <c r="CB151" s="30">
        <v>1000</v>
      </c>
      <c r="CC151" s="30">
        <f t="shared" si="297"/>
        <v>910</v>
      </c>
      <c r="CD151" s="30"/>
      <c r="CE151" s="30">
        <f t="shared" si="298"/>
        <v>0</v>
      </c>
      <c r="CF151" s="30"/>
      <c r="CG151" s="2"/>
    </row>
    <row r="152" spans="1:85" x14ac:dyDescent="0.4">
      <c r="A152" s="2" t="s">
        <v>110</v>
      </c>
      <c r="B152" s="2" t="s">
        <v>262</v>
      </c>
      <c r="C152" s="2" t="s">
        <v>127</v>
      </c>
      <c r="D152" s="2" t="s">
        <v>427</v>
      </c>
      <c r="E152" s="165" t="s">
        <v>428</v>
      </c>
      <c r="F152" s="2" t="s">
        <v>175</v>
      </c>
      <c r="G152" s="2" t="s">
        <v>429</v>
      </c>
      <c r="H152" s="2" t="s">
        <v>430</v>
      </c>
      <c r="I152" s="2" t="s">
        <v>174</v>
      </c>
      <c r="J152" s="2" t="s">
        <v>429</v>
      </c>
      <c r="K152" s="2" t="s">
        <v>267</v>
      </c>
      <c r="L152" s="13" t="s">
        <v>196</v>
      </c>
      <c r="M152" s="2" t="s">
        <v>193</v>
      </c>
      <c r="N152" s="2" t="s">
        <v>193</v>
      </c>
      <c r="O152" s="2" t="s">
        <v>118</v>
      </c>
      <c r="P152" s="2" t="s">
        <v>156</v>
      </c>
      <c r="Q152" s="2" t="s">
        <v>435</v>
      </c>
      <c r="R152" s="2" t="s">
        <v>83</v>
      </c>
      <c r="S152" s="11">
        <v>0.185</v>
      </c>
      <c r="T152" s="12"/>
      <c r="U152" s="30">
        <f t="shared" si="272"/>
        <v>3</v>
      </c>
      <c r="V152" s="30">
        <f t="shared" si="273"/>
        <v>0.55500000000000005</v>
      </c>
      <c r="W152" s="30">
        <f t="shared" si="274"/>
        <v>0</v>
      </c>
      <c r="X152" s="30">
        <f t="shared" si="275"/>
        <v>0</v>
      </c>
      <c r="Y152" s="30"/>
      <c r="Z152" s="30">
        <f t="shared" si="276"/>
        <v>0</v>
      </c>
      <c r="AA152" s="30"/>
      <c r="AB152" s="30">
        <f t="shared" si="277"/>
        <v>0</v>
      </c>
      <c r="AC152" s="30"/>
      <c r="AD152" s="30"/>
      <c r="AE152" s="30">
        <f t="shared" si="278"/>
        <v>0</v>
      </c>
      <c r="AF152" s="30"/>
      <c r="AG152" s="30">
        <f t="shared" si="279"/>
        <v>0</v>
      </c>
      <c r="AH152" s="30"/>
      <c r="AI152" s="30">
        <v>1000</v>
      </c>
      <c r="AJ152" s="30">
        <f t="shared" si="280"/>
        <v>185</v>
      </c>
      <c r="AK152" s="30"/>
      <c r="AL152" s="30">
        <f t="shared" si="281"/>
        <v>0</v>
      </c>
      <c r="AM152" s="30"/>
      <c r="AN152" s="30"/>
      <c r="AO152" s="30">
        <f t="shared" si="282"/>
        <v>0</v>
      </c>
      <c r="AP152" s="30"/>
      <c r="AQ152" s="30">
        <f t="shared" si="283"/>
        <v>0</v>
      </c>
      <c r="AR152" s="30"/>
      <c r="AS152" s="30"/>
      <c r="AT152" s="30">
        <f t="shared" si="284"/>
        <v>0</v>
      </c>
      <c r="AU152" s="30"/>
      <c r="AV152" s="30">
        <f t="shared" si="285"/>
        <v>0</v>
      </c>
      <c r="AW152" s="30"/>
      <c r="AX152" s="30"/>
      <c r="AY152" s="30">
        <f t="shared" si="286"/>
        <v>0</v>
      </c>
      <c r="AZ152" s="30"/>
      <c r="BA152" s="30">
        <v>0</v>
      </c>
      <c r="BB152" s="30"/>
      <c r="BC152" s="45"/>
      <c r="BD152" s="45">
        <f t="shared" si="287"/>
        <v>0</v>
      </c>
      <c r="BE152" s="30"/>
      <c r="BF152" s="30">
        <f t="shared" si="288"/>
        <v>0</v>
      </c>
      <c r="BG152" s="30"/>
      <c r="BH152" s="30"/>
      <c r="BI152" s="30">
        <f t="shared" si="289"/>
        <v>0</v>
      </c>
      <c r="BJ152" s="30"/>
      <c r="BK152" s="30">
        <f t="shared" si="290"/>
        <v>0</v>
      </c>
      <c r="BL152" s="30"/>
      <c r="BM152" s="30">
        <v>1000</v>
      </c>
      <c r="BN152" s="30">
        <f t="shared" si="291"/>
        <v>185</v>
      </c>
      <c r="BO152" s="30"/>
      <c r="BP152" s="30">
        <f t="shared" si="292"/>
        <v>0</v>
      </c>
      <c r="BQ152" s="30"/>
      <c r="BR152" s="30"/>
      <c r="BS152" s="30">
        <f t="shared" si="293"/>
        <v>0</v>
      </c>
      <c r="BT152" s="30"/>
      <c r="BU152" s="30">
        <f t="shared" si="294"/>
        <v>0</v>
      </c>
      <c r="BV152" s="30"/>
      <c r="BW152" s="30"/>
      <c r="BX152" s="30">
        <f t="shared" si="295"/>
        <v>0</v>
      </c>
      <c r="BY152" s="30"/>
      <c r="BZ152" s="30">
        <f t="shared" si="296"/>
        <v>0</v>
      </c>
      <c r="CA152" s="30"/>
      <c r="CB152" s="30">
        <v>1000</v>
      </c>
      <c r="CC152" s="30">
        <f t="shared" si="297"/>
        <v>185</v>
      </c>
      <c r="CD152" s="30"/>
      <c r="CE152" s="30">
        <f t="shared" si="298"/>
        <v>0</v>
      </c>
      <c r="CF152" s="30"/>
      <c r="CG152" s="2"/>
    </row>
    <row r="153" spans="1:85" x14ac:dyDescent="0.4">
      <c r="A153" s="2" t="s">
        <v>110</v>
      </c>
      <c r="B153" s="2" t="s">
        <v>262</v>
      </c>
      <c r="C153" s="2" t="s">
        <v>127</v>
      </c>
      <c r="D153" s="2" t="s">
        <v>427</v>
      </c>
      <c r="E153" s="165" t="s">
        <v>428</v>
      </c>
      <c r="F153" s="2"/>
      <c r="G153" s="2"/>
      <c r="H153" s="2"/>
      <c r="I153" s="2"/>
      <c r="J153" s="2"/>
      <c r="K153" s="2" t="s">
        <v>267</v>
      </c>
      <c r="L153" s="13" t="s">
        <v>196</v>
      </c>
      <c r="M153" s="2" t="s">
        <v>152</v>
      </c>
      <c r="N153" s="2" t="s">
        <v>152</v>
      </c>
      <c r="O153" s="2" t="s">
        <v>118</v>
      </c>
      <c r="P153" s="2" t="s">
        <v>282</v>
      </c>
      <c r="Q153" s="2" t="s">
        <v>436</v>
      </c>
      <c r="R153" s="2" t="s">
        <v>83</v>
      </c>
      <c r="S153" s="11">
        <v>0.224</v>
      </c>
      <c r="T153" s="12"/>
      <c r="U153" s="30">
        <f t="shared" si="272"/>
        <v>3</v>
      </c>
      <c r="V153" s="30">
        <f t="shared" si="273"/>
        <v>0.67200000000000004</v>
      </c>
      <c r="W153" s="30">
        <f t="shared" si="274"/>
        <v>0</v>
      </c>
      <c r="X153" s="30">
        <f t="shared" si="275"/>
        <v>0</v>
      </c>
      <c r="Y153" s="30"/>
      <c r="Z153" s="30">
        <f t="shared" si="276"/>
        <v>0</v>
      </c>
      <c r="AA153" s="30"/>
      <c r="AB153" s="30">
        <f t="shared" si="277"/>
        <v>0</v>
      </c>
      <c r="AC153" s="30"/>
      <c r="AD153" s="30"/>
      <c r="AE153" s="30">
        <f t="shared" si="278"/>
        <v>0</v>
      </c>
      <c r="AF153" s="30"/>
      <c r="AG153" s="30">
        <f t="shared" si="279"/>
        <v>0</v>
      </c>
      <c r="AH153" s="30"/>
      <c r="AI153" s="30">
        <v>1000</v>
      </c>
      <c r="AJ153" s="30">
        <f t="shared" si="280"/>
        <v>224</v>
      </c>
      <c r="AK153" s="30"/>
      <c r="AL153" s="30">
        <f t="shared" si="281"/>
        <v>0</v>
      </c>
      <c r="AM153" s="30"/>
      <c r="AN153" s="30"/>
      <c r="AO153" s="30">
        <f t="shared" si="282"/>
        <v>0</v>
      </c>
      <c r="AP153" s="30"/>
      <c r="AQ153" s="30">
        <f t="shared" si="283"/>
        <v>0</v>
      </c>
      <c r="AR153" s="30"/>
      <c r="AS153" s="30"/>
      <c r="AT153" s="30">
        <f t="shared" si="284"/>
        <v>0</v>
      </c>
      <c r="AU153" s="30"/>
      <c r="AV153" s="30">
        <f t="shared" si="285"/>
        <v>0</v>
      </c>
      <c r="AW153" s="30"/>
      <c r="AX153" s="30"/>
      <c r="AY153" s="30">
        <f t="shared" si="286"/>
        <v>0</v>
      </c>
      <c r="AZ153" s="30"/>
      <c r="BA153" s="30">
        <v>0</v>
      </c>
      <c r="BB153" s="30"/>
      <c r="BC153" s="45"/>
      <c r="BD153" s="45">
        <f t="shared" si="287"/>
        <v>0</v>
      </c>
      <c r="BE153" s="30"/>
      <c r="BF153" s="30">
        <f t="shared" si="288"/>
        <v>0</v>
      </c>
      <c r="BG153" s="30"/>
      <c r="BH153" s="30"/>
      <c r="BI153" s="30">
        <f t="shared" si="289"/>
        <v>0</v>
      </c>
      <c r="BJ153" s="30"/>
      <c r="BK153" s="30">
        <f t="shared" si="290"/>
        <v>0</v>
      </c>
      <c r="BL153" s="30"/>
      <c r="BM153" s="30">
        <v>1000</v>
      </c>
      <c r="BN153" s="30">
        <f t="shared" si="291"/>
        <v>224</v>
      </c>
      <c r="BO153" s="30"/>
      <c r="BP153" s="30">
        <f t="shared" si="292"/>
        <v>0</v>
      </c>
      <c r="BQ153" s="30"/>
      <c r="BR153" s="30"/>
      <c r="BS153" s="30">
        <f t="shared" si="293"/>
        <v>0</v>
      </c>
      <c r="BT153" s="30"/>
      <c r="BU153" s="30">
        <f t="shared" si="294"/>
        <v>0</v>
      </c>
      <c r="BV153" s="30"/>
      <c r="BW153" s="30"/>
      <c r="BX153" s="30">
        <f t="shared" si="295"/>
        <v>0</v>
      </c>
      <c r="BY153" s="30"/>
      <c r="BZ153" s="30">
        <f t="shared" si="296"/>
        <v>0</v>
      </c>
      <c r="CA153" s="30"/>
      <c r="CB153" s="30">
        <v>1000</v>
      </c>
      <c r="CC153" s="30">
        <f t="shared" si="297"/>
        <v>224</v>
      </c>
      <c r="CD153" s="30"/>
      <c r="CE153" s="30">
        <f t="shared" si="298"/>
        <v>0</v>
      </c>
      <c r="CF153" s="30"/>
      <c r="CG153" s="2"/>
    </row>
    <row r="154" spans="1:85" x14ac:dyDescent="0.4">
      <c r="A154" s="2" t="s">
        <v>110</v>
      </c>
      <c r="B154" s="2" t="s">
        <v>262</v>
      </c>
      <c r="C154" s="2" t="s">
        <v>127</v>
      </c>
      <c r="D154" s="2" t="s">
        <v>427</v>
      </c>
      <c r="E154" s="165" t="s">
        <v>428</v>
      </c>
      <c r="F154" s="2"/>
      <c r="G154" s="2"/>
      <c r="H154" s="2"/>
      <c r="I154" s="2"/>
      <c r="J154" s="2"/>
      <c r="K154" s="2" t="s">
        <v>267</v>
      </c>
      <c r="L154" s="13" t="s">
        <v>196</v>
      </c>
      <c r="M154" s="2" t="s">
        <v>152</v>
      </c>
      <c r="N154" s="2" t="s">
        <v>152</v>
      </c>
      <c r="O154" s="2" t="s">
        <v>118</v>
      </c>
      <c r="P154" s="2" t="s">
        <v>282</v>
      </c>
      <c r="Q154" s="2" t="s">
        <v>437</v>
      </c>
      <c r="R154" s="2" t="s">
        <v>83</v>
      </c>
      <c r="S154" s="11">
        <v>0.16</v>
      </c>
      <c r="T154" s="12"/>
      <c r="U154" s="30">
        <f t="shared" si="272"/>
        <v>3</v>
      </c>
      <c r="V154" s="30">
        <f t="shared" si="273"/>
        <v>0.48</v>
      </c>
      <c r="W154" s="30">
        <f t="shared" si="274"/>
        <v>0</v>
      </c>
      <c r="X154" s="30">
        <f t="shared" si="275"/>
        <v>0</v>
      </c>
      <c r="Y154" s="30"/>
      <c r="Z154" s="30">
        <f t="shared" si="276"/>
        <v>0</v>
      </c>
      <c r="AA154" s="30"/>
      <c r="AB154" s="30">
        <f t="shared" si="277"/>
        <v>0</v>
      </c>
      <c r="AC154" s="30"/>
      <c r="AD154" s="30"/>
      <c r="AE154" s="30">
        <f t="shared" si="278"/>
        <v>0</v>
      </c>
      <c r="AF154" s="30"/>
      <c r="AG154" s="30">
        <f t="shared" si="279"/>
        <v>0</v>
      </c>
      <c r="AH154" s="30"/>
      <c r="AI154" s="30">
        <v>1000</v>
      </c>
      <c r="AJ154" s="30">
        <f t="shared" si="280"/>
        <v>160</v>
      </c>
      <c r="AK154" s="30"/>
      <c r="AL154" s="30">
        <f t="shared" si="281"/>
        <v>0</v>
      </c>
      <c r="AM154" s="30"/>
      <c r="AN154" s="30"/>
      <c r="AO154" s="30">
        <f t="shared" si="282"/>
        <v>0</v>
      </c>
      <c r="AP154" s="30"/>
      <c r="AQ154" s="30">
        <f t="shared" si="283"/>
        <v>0</v>
      </c>
      <c r="AR154" s="30"/>
      <c r="AS154" s="30"/>
      <c r="AT154" s="30">
        <f t="shared" si="284"/>
        <v>0</v>
      </c>
      <c r="AU154" s="30"/>
      <c r="AV154" s="30">
        <f t="shared" si="285"/>
        <v>0</v>
      </c>
      <c r="AW154" s="30"/>
      <c r="AX154" s="30"/>
      <c r="AY154" s="30">
        <f t="shared" si="286"/>
        <v>0</v>
      </c>
      <c r="AZ154" s="30"/>
      <c r="BA154" s="30">
        <v>0</v>
      </c>
      <c r="BB154" s="30"/>
      <c r="BC154" s="45"/>
      <c r="BD154" s="45">
        <f t="shared" si="287"/>
        <v>0</v>
      </c>
      <c r="BE154" s="30"/>
      <c r="BF154" s="30">
        <f t="shared" si="288"/>
        <v>0</v>
      </c>
      <c r="BG154" s="30"/>
      <c r="BH154" s="30"/>
      <c r="BI154" s="30">
        <f t="shared" si="289"/>
        <v>0</v>
      </c>
      <c r="BJ154" s="30"/>
      <c r="BK154" s="30">
        <f t="shared" si="290"/>
        <v>0</v>
      </c>
      <c r="BL154" s="30"/>
      <c r="BM154" s="30">
        <v>1000</v>
      </c>
      <c r="BN154" s="30">
        <f t="shared" si="291"/>
        <v>160</v>
      </c>
      <c r="BO154" s="30"/>
      <c r="BP154" s="30">
        <f t="shared" si="292"/>
        <v>0</v>
      </c>
      <c r="BQ154" s="30"/>
      <c r="BR154" s="30"/>
      <c r="BS154" s="30">
        <f t="shared" si="293"/>
        <v>0</v>
      </c>
      <c r="BT154" s="30"/>
      <c r="BU154" s="30">
        <f t="shared" si="294"/>
        <v>0</v>
      </c>
      <c r="BV154" s="30"/>
      <c r="BW154" s="30"/>
      <c r="BX154" s="30">
        <f t="shared" si="295"/>
        <v>0</v>
      </c>
      <c r="BY154" s="30"/>
      <c r="BZ154" s="30">
        <f t="shared" si="296"/>
        <v>0</v>
      </c>
      <c r="CA154" s="30"/>
      <c r="CB154" s="30">
        <v>1000</v>
      </c>
      <c r="CC154" s="30">
        <f t="shared" si="297"/>
        <v>160</v>
      </c>
      <c r="CD154" s="30"/>
      <c r="CE154" s="30">
        <f t="shared" si="298"/>
        <v>0</v>
      </c>
      <c r="CF154" s="30"/>
      <c r="CG154" s="2"/>
    </row>
    <row r="155" spans="1:85" x14ac:dyDescent="0.4">
      <c r="A155" s="2" t="s">
        <v>110</v>
      </c>
      <c r="B155" s="2" t="s">
        <v>262</v>
      </c>
      <c r="C155" s="2" t="s">
        <v>263</v>
      </c>
      <c r="D155" s="2" t="s">
        <v>438</v>
      </c>
      <c r="E155" s="165" t="s">
        <v>439</v>
      </c>
      <c r="F155" s="2"/>
      <c r="G155" s="2"/>
      <c r="H155" s="2"/>
      <c r="I155" s="2"/>
      <c r="J155" s="2"/>
      <c r="K155" s="2" t="s">
        <v>267</v>
      </c>
      <c r="L155" s="13" t="s">
        <v>196</v>
      </c>
      <c r="M155" s="2" t="s">
        <v>82</v>
      </c>
      <c r="N155" s="2" t="s">
        <v>82</v>
      </c>
      <c r="O155" s="2" t="s">
        <v>112</v>
      </c>
      <c r="P155" s="2" t="s">
        <v>81</v>
      </c>
      <c r="Q155" s="2" t="s">
        <v>440</v>
      </c>
      <c r="R155" s="2"/>
      <c r="S155" s="11"/>
      <c r="T155" s="12"/>
      <c r="U155" s="30">
        <f t="shared" si="272"/>
        <v>0</v>
      </c>
      <c r="V155" s="30">
        <f t="shared" si="273"/>
        <v>0</v>
      </c>
      <c r="W155" s="30">
        <f t="shared" si="274"/>
        <v>0</v>
      </c>
      <c r="X155" s="30">
        <f t="shared" si="275"/>
        <v>0</v>
      </c>
      <c r="Y155" s="30"/>
      <c r="Z155" s="30">
        <f t="shared" si="276"/>
        <v>0</v>
      </c>
      <c r="AA155" s="30"/>
      <c r="AB155" s="30">
        <f t="shared" si="277"/>
        <v>0</v>
      </c>
      <c r="AC155" s="30"/>
      <c r="AD155" s="30"/>
      <c r="AE155" s="30">
        <f t="shared" si="278"/>
        <v>0</v>
      </c>
      <c r="AF155" s="30"/>
      <c r="AG155" s="30">
        <f t="shared" si="279"/>
        <v>0</v>
      </c>
      <c r="AH155" s="30"/>
      <c r="AI155" s="30"/>
      <c r="AJ155" s="30">
        <f t="shared" si="280"/>
        <v>0</v>
      </c>
      <c r="AK155" s="30"/>
      <c r="AL155" s="30">
        <f t="shared" si="281"/>
        <v>0</v>
      </c>
      <c r="AM155" s="30">
        <v>60</v>
      </c>
      <c r="AN155" s="30"/>
      <c r="AO155" s="30">
        <f t="shared" si="282"/>
        <v>0</v>
      </c>
      <c r="AP155" s="30"/>
      <c r="AQ155" s="30">
        <f t="shared" si="283"/>
        <v>0</v>
      </c>
      <c r="AR155" s="30"/>
      <c r="AS155" s="30"/>
      <c r="AT155" s="30">
        <f t="shared" si="284"/>
        <v>0</v>
      </c>
      <c r="AU155" s="30"/>
      <c r="AV155" s="30">
        <f t="shared" si="285"/>
        <v>0</v>
      </c>
      <c r="AW155" s="30"/>
      <c r="AX155" s="30"/>
      <c r="AY155" s="30">
        <f t="shared" si="286"/>
        <v>0</v>
      </c>
      <c r="AZ155" s="30"/>
      <c r="BA155" s="30">
        <v>0</v>
      </c>
      <c r="BB155" s="30"/>
      <c r="BC155" s="45"/>
      <c r="BD155" s="45">
        <f t="shared" si="287"/>
        <v>0</v>
      </c>
      <c r="BE155" s="30"/>
      <c r="BF155" s="30">
        <f t="shared" si="288"/>
        <v>0</v>
      </c>
      <c r="BG155" s="30"/>
      <c r="BH155" s="30"/>
      <c r="BI155" s="30">
        <f t="shared" si="289"/>
        <v>0</v>
      </c>
      <c r="BJ155" s="30"/>
      <c r="BK155" s="30">
        <f t="shared" si="290"/>
        <v>0</v>
      </c>
      <c r="BL155" s="32"/>
      <c r="BM155" s="30"/>
      <c r="BN155" s="30">
        <f t="shared" si="291"/>
        <v>0</v>
      </c>
      <c r="BO155" s="30"/>
      <c r="BP155" s="30">
        <f t="shared" si="292"/>
        <v>0</v>
      </c>
      <c r="BQ155" s="30"/>
      <c r="BR155" s="30"/>
      <c r="BS155" s="30">
        <f t="shared" si="293"/>
        <v>0</v>
      </c>
      <c r="BT155" s="30"/>
      <c r="BU155" s="30">
        <f t="shared" si="294"/>
        <v>0</v>
      </c>
      <c r="BV155" s="30"/>
      <c r="BW155" s="30"/>
      <c r="BX155" s="30">
        <f t="shared" si="295"/>
        <v>0</v>
      </c>
      <c r="BY155" s="30"/>
      <c r="BZ155" s="30">
        <f t="shared" si="296"/>
        <v>0</v>
      </c>
      <c r="CA155" s="30"/>
      <c r="CB155" s="30"/>
      <c r="CC155" s="30">
        <f t="shared" si="297"/>
        <v>0</v>
      </c>
      <c r="CD155" s="30"/>
      <c r="CE155" s="30">
        <f t="shared" si="298"/>
        <v>0</v>
      </c>
      <c r="CF155" s="30"/>
      <c r="CG155" s="2"/>
    </row>
    <row r="156" spans="1:85" x14ac:dyDescent="0.4">
      <c r="A156" s="2" t="s">
        <v>110</v>
      </c>
      <c r="B156" s="2" t="s">
        <v>262</v>
      </c>
      <c r="C156" s="2" t="s">
        <v>263</v>
      </c>
      <c r="D156" s="2" t="s">
        <v>443</v>
      </c>
      <c r="E156" s="165" t="s">
        <v>444</v>
      </c>
      <c r="F156" s="2"/>
      <c r="G156" s="2"/>
      <c r="H156" s="2"/>
      <c r="I156" s="2"/>
      <c r="J156" s="2"/>
      <c r="K156" s="2" t="s">
        <v>267</v>
      </c>
      <c r="L156" s="13" t="s">
        <v>291</v>
      </c>
      <c r="M156" s="2" t="s">
        <v>166</v>
      </c>
      <c r="N156" s="2" t="s">
        <v>166</v>
      </c>
      <c r="O156" s="13" t="s">
        <v>88</v>
      </c>
      <c r="P156" s="2" t="s">
        <v>116</v>
      </c>
      <c r="Q156" s="2" t="s">
        <v>445</v>
      </c>
      <c r="R156" s="2"/>
      <c r="S156" s="11"/>
      <c r="T156" s="12"/>
      <c r="U156" s="30">
        <f t="shared" ref="U156:U158" si="299">+(Y156+AD156+AI156+AN156+AS156+AX156+BC156+BH156+BM156+BR156+BW156+CB156)/1000</f>
        <v>0</v>
      </c>
      <c r="V156" s="30">
        <f t="shared" ref="V156:V158" si="300">+(Z156+AE156+AJ156+AO156+AT156+AY156+BD156+BI156+BN156+BS156+BX156+CC156)/1000</f>
        <v>0</v>
      </c>
      <c r="W156" s="30">
        <f t="shared" ref="W156:W158" si="301">+(+BF156+BK156+BP156+BU156+BZ156+CE156)</f>
        <v>0</v>
      </c>
      <c r="X156" s="30">
        <f t="shared" ref="X156:X158" si="302">+(+BG156+BL156+BQ156+BV156+CA156+CF156)</f>
        <v>0</v>
      </c>
      <c r="Y156" s="77"/>
      <c r="Z156" s="30">
        <f t="shared" ref="Z156:Z158" si="303">Y156*S156</f>
        <v>0</v>
      </c>
      <c r="AA156" s="30"/>
      <c r="AB156" s="30">
        <f t="shared" ref="AB156:AB158" si="304">AA156*S156</f>
        <v>0</v>
      </c>
      <c r="AC156" s="30"/>
      <c r="AD156" s="30"/>
      <c r="AE156" s="30">
        <f t="shared" ref="AE156:AE158" si="305">AD156*S156</f>
        <v>0</v>
      </c>
      <c r="AF156" s="30"/>
      <c r="AG156" s="30">
        <f t="shared" ref="AG156:AG158" si="306">AF156*S156</f>
        <v>0</v>
      </c>
      <c r="AH156" s="30"/>
      <c r="AI156" s="30"/>
      <c r="AJ156" s="30">
        <f t="shared" ref="AJ156:AJ158" si="307">AI156*S156</f>
        <v>0</v>
      </c>
      <c r="AK156" s="30"/>
      <c r="AL156" s="30">
        <f t="shared" ref="AL156:AL158" si="308">AK156*S156</f>
        <v>0</v>
      </c>
      <c r="AM156" s="30"/>
      <c r="AN156" s="30"/>
      <c r="AO156" s="30">
        <f t="shared" ref="AO156:AO158" si="309">AN156*S156</f>
        <v>0</v>
      </c>
      <c r="AP156" s="30"/>
      <c r="AQ156" s="30">
        <f t="shared" ref="AQ156:AQ158" si="310">AP156*S156</f>
        <v>0</v>
      </c>
      <c r="AR156" s="30"/>
      <c r="AS156" s="30"/>
      <c r="AT156" s="30">
        <f t="shared" ref="AT156:AT158" si="311">AS156*S156</f>
        <v>0</v>
      </c>
      <c r="AU156" s="30"/>
      <c r="AV156" s="30">
        <f t="shared" ref="AV156:AV158" si="312">AU156*S156</f>
        <v>0</v>
      </c>
      <c r="AW156" s="30"/>
      <c r="AX156" s="30"/>
      <c r="AY156" s="30">
        <f t="shared" ref="AY156:AY158" si="313">AX156*S156</f>
        <v>0</v>
      </c>
      <c r="AZ156" s="30"/>
      <c r="BA156" s="30">
        <v>0</v>
      </c>
      <c r="BB156" s="145">
        <v>22400</v>
      </c>
      <c r="BC156" s="45"/>
      <c r="BD156" s="45">
        <f t="shared" ref="BD156:BD158" si="314">BC156*S156</f>
        <v>0</v>
      </c>
      <c r="BE156" s="30"/>
      <c r="BF156" s="30">
        <f t="shared" ref="BF156:BF158" si="315">BE156*S156</f>
        <v>0</v>
      </c>
      <c r="BG156" s="30"/>
      <c r="BH156" s="30"/>
      <c r="BI156" s="30">
        <f t="shared" ref="BI156:BI158" si="316">BH156*S156</f>
        <v>0</v>
      </c>
      <c r="BJ156" s="30"/>
      <c r="BK156" s="30">
        <f t="shared" ref="BK156:BK158" si="317">BJ156*S156</f>
        <v>0</v>
      </c>
      <c r="BL156" s="30"/>
      <c r="BM156" s="30"/>
      <c r="BN156" s="30">
        <f t="shared" ref="BN156:BN158" si="318">BM156*S156</f>
        <v>0</v>
      </c>
      <c r="BO156" s="30"/>
      <c r="BP156" s="30">
        <f t="shared" ref="BP156:BP158" si="319">BO156*S156</f>
        <v>0</v>
      </c>
      <c r="BQ156" s="30"/>
      <c r="BR156" s="30"/>
      <c r="BS156" s="30">
        <f t="shared" ref="BS156:BS158" si="320">BR156*S156</f>
        <v>0</v>
      </c>
      <c r="BT156" s="30"/>
      <c r="BU156" s="30">
        <f t="shared" ref="BU156:BU158" si="321">BT156*S156</f>
        <v>0</v>
      </c>
      <c r="BV156" s="30"/>
      <c r="BW156" s="30"/>
      <c r="BX156" s="30">
        <f t="shared" ref="BX156:BX158" si="322">BW156*S156</f>
        <v>0</v>
      </c>
      <c r="BY156" s="30"/>
      <c r="BZ156" s="30">
        <f t="shared" ref="BZ156:BZ158" si="323">BY156*S156</f>
        <v>0</v>
      </c>
      <c r="CA156" s="30"/>
      <c r="CB156" s="30"/>
      <c r="CC156" s="30">
        <f t="shared" ref="CC156:CC158" si="324">CB156*S156</f>
        <v>0</v>
      </c>
      <c r="CD156" s="30"/>
      <c r="CE156" s="30">
        <f t="shared" ref="CE156:CE158" si="325">CD156*S156</f>
        <v>0</v>
      </c>
      <c r="CF156" s="30"/>
      <c r="CG156" s="2"/>
    </row>
    <row r="157" spans="1:85" ht="17" x14ac:dyDescent="0.4">
      <c r="A157" s="2" t="s">
        <v>110</v>
      </c>
      <c r="B157" s="2" t="s">
        <v>262</v>
      </c>
      <c r="C157" s="2" t="s">
        <v>263</v>
      </c>
      <c r="D157" s="2" t="s">
        <v>441</v>
      </c>
      <c r="E157" s="165" t="s">
        <v>442</v>
      </c>
      <c r="F157" s="2" t="s">
        <v>175</v>
      </c>
      <c r="G157" s="2" t="s">
        <v>178</v>
      </c>
      <c r="H157" s="2"/>
      <c r="I157" s="2" t="s">
        <v>175</v>
      </c>
      <c r="J157" s="2" t="s">
        <v>178</v>
      </c>
      <c r="K157" s="2" t="s">
        <v>267</v>
      </c>
      <c r="L157" s="13" t="s">
        <v>268</v>
      </c>
      <c r="M157" s="2" t="s">
        <v>96</v>
      </c>
      <c r="N157" s="2" t="s">
        <v>96</v>
      </c>
      <c r="O157" s="2" t="s">
        <v>146</v>
      </c>
      <c r="P157" s="1" t="s">
        <v>97</v>
      </c>
      <c r="Q157" s="2" t="s">
        <v>335</v>
      </c>
      <c r="R157" s="2" t="s">
        <v>80</v>
      </c>
      <c r="S157" s="11">
        <v>11.4</v>
      </c>
      <c r="T157" s="12"/>
      <c r="U157" s="30">
        <f t="shared" si="299"/>
        <v>10</v>
      </c>
      <c r="V157" s="30">
        <f t="shared" si="300"/>
        <v>114</v>
      </c>
      <c r="W157" s="30">
        <f t="shared" si="301"/>
        <v>68400</v>
      </c>
      <c r="X157" s="30">
        <f t="shared" si="302"/>
        <v>5945</v>
      </c>
      <c r="Y157" s="77"/>
      <c r="Z157" s="30">
        <f t="shared" si="303"/>
        <v>0</v>
      </c>
      <c r="AA157" s="30"/>
      <c r="AB157" s="30">
        <f t="shared" si="304"/>
        <v>0</v>
      </c>
      <c r="AC157" s="30">
        <v>2503</v>
      </c>
      <c r="AD157" s="30"/>
      <c r="AE157" s="30">
        <f t="shared" si="305"/>
        <v>0</v>
      </c>
      <c r="AF157" s="30">
        <v>2520</v>
      </c>
      <c r="AG157" s="30">
        <f t="shared" si="306"/>
        <v>28728</v>
      </c>
      <c r="AH157" s="30">
        <v>2503</v>
      </c>
      <c r="AI157" s="30">
        <v>2000</v>
      </c>
      <c r="AJ157" s="30">
        <f t="shared" si="307"/>
        <v>22800</v>
      </c>
      <c r="AK157" s="30"/>
      <c r="AL157" s="30">
        <f t="shared" si="308"/>
        <v>0</v>
      </c>
      <c r="AM157" s="30">
        <v>3000</v>
      </c>
      <c r="AN157" s="30"/>
      <c r="AO157" s="30">
        <f t="shared" si="309"/>
        <v>0</v>
      </c>
      <c r="AP157" s="30">
        <v>2597</v>
      </c>
      <c r="AQ157" s="30">
        <f t="shared" si="310"/>
        <v>29605.8</v>
      </c>
      <c r="AR157" s="30"/>
      <c r="AS157" s="30">
        <v>2000</v>
      </c>
      <c r="AT157" s="30">
        <f t="shared" si="311"/>
        <v>22800</v>
      </c>
      <c r="AU157" s="30">
        <v>2000</v>
      </c>
      <c r="AV157" s="30">
        <f t="shared" si="312"/>
        <v>22800</v>
      </c>
      <c r="AW157" s="30">
        <v>1942</v>
      </c>
      <c r="AX157" s="30"/>
      <c r="AY157" s="30">
        <f t="shared" si="313"/>
        <v>0</v>
      </c>
      <c r="AZ157" s="30">
        <v>0</v>
      </c>
      <c r="BA157" s="30">
        <v>0</v>
      </c>
      <c r="BB157" s="30"/>
      <c r="BC157" s="45">
        <v>2000</v>
      </c>
      <c r="BD157" s="45">
        <f t="shared" si="314"/>
        <v>22800</v>
      </c>
      <c r="BE157" s="30">
        <v>2000</v>
      </c>
      <c r="BF157" s="30">
        <f t="shared" si="315"/>
        <v>22800</v>
      </c>
      <c r="BG157" s="30"/>
      <c r="BH157" s="30"/>
      <c r="BI157" s="30">
        <f t="shared" si="316"/>
        <v>0</v>
      </c>
      <c r="BJ157" s="30">
        <v>2000</v>
      </c>
      <c r="BK157" s="30">
        <f t="shared" si="317"/>
        <v>22800</v>
      </c>
      <c r="BL157" s="146">
        <v>5945</v>
      </c>
      <c r="BM157" s="30">
        <v>2000</v>
      </c>
      <c r="BN157" s="30">
        <f t="shared" si="318"/>
        <v>22800</v>
      </c>
      <c r="BO157" s="30">
        <v>2000</v>
      </c>
      <c r="BP157" s="30">
        <f t="shared" si="319"/>
        <v>22800</v>
      </c>
      <c r="BQ157" s="30"/>
      <c r="BR157" s="30"/>
      <c r="BS157" s="30">
        <f t="shared" si="320"/>
        <v>0</v>
      </c>
      <c r="BT157" s="30"/>
      <c r="BU157" s="30">
        <f t="shared" si="321"/>
        <v>0</v>
      </c>
      <c r="BV157" s="27"/>
      <c r="BW157" s="30">
        <v>2000</v>
      </c>
      <c r="BX157" s="30">
        <f t="shared" si="322"/>
        <v>22800</v>
      </c>
      <c r="BY157" s="30"/>
      <c r="BZ157" s="30">
        <f t="shared" si="323"/>
        <v>0</v>
      </c>
      <c r="CA157" s="30"/>
      <c r="CB157" s="30"/>
      <c r="CC157" s="30">
        <f t="shared" si="324"/>
        <v>0</v>
      </c>
      <c r="CD157" s="30"/>
      <c r="CE157" s="30">
        <f t="shared" si="325"/>
        <v>0</v>
      </c>
      <c r="CF157" s="30"/>
      <c r="CG157" s="62"/>
    </row>
    <row r="158" spans="1:85" x14ac:dyDescent="0.4">
      <c r="A158" s="39" t="s">
        <v>110</v>
      </c>
      <c r="B158" s="39" t="s">
        <v>262</v>
      </c>
      <c r="C158" s="39" t="s">
        <v>263</v>
      </c>
      <c r="D158" s="39" t="s">
        <v>575</v>
      </c>
      <c r="E158" s="166" t="s">
        <v>576</v>
      </c>
      <c r="F158" s="39"/>
      <c r="G158" s="39"/>
      <c r="H158" s="39"/>
      <c r="I158" s="39"/>
      <c r="J158" s="39"/>
      <c r="K158" s="39" t="s">
        <v>267</v>
      </c>
      <c r="L158" s="39" t="s">
        <v>274</v>
      </c>
      <c r="M158" s="39" t="s">
        <v>82</v>
      </c>
      <c r="N158" s="39" t="s">
        <v>82</v>
      </c>
      <c r="O158" s="39" t="s">
        <v>112</v>
      </c>
      <c r="P158" s="39" t="s">
        <v>601</v>
      </c>
      <c r="Q158" s="39" t="s">
        <v>600</v>
      </c>
      <c r="R158" s="48"/>
      <c r="S158" s="143"/>
      <c r="T158" s="71"/>
      <c r="U158" s="49">
        <f t="shared" si="299"/>
        <v>0</v>
      </c>
      <c r="V158" s="49">
        <f t="shared" si="300"/>
        <v>0</v>
      </c>
      <c r="W158" s="49">
        <f t="shared" si="301"/>
        <v>0</v>
      </c>
      <c r="X158" s="49">
        <f t="shared" si="302"/>
        <v>4000</v>
      </c>
      <c r="Y158" s="50"/>
      <c r="Z158" s="50">
        <f t="shared" si="303"/>
        <v>0</v>
      </c>
      <c r="AA158" s="50"/>
      <c r="AB158" s="50">
        <f t="shared" si="304"/>
        <v>0</v>
      </c>
      <c r="AC158" s="50"/>
      <c r="AD158" s="50"/>
      <c r="AE158" s="50">
        <f t="shared" si="305"/>
        <v>0</v>
      </c>
      <c r="AF158" s="50"/>
      <c r="AG158" s="50">
        <f t="shared" si="306"/>
        <v>0</v>
      </c>
      <c r="AH158" s="50"/>
      <c r="AI158" s="50"/>
      <c r="AJ158" s="50">
        <f t="shared" si="307"/>
        <v>0</v>
      </c>
      <c r="AK158" s="50"/>
      <c r="AL158" s="50">
        <f t="shared" si="308"/>
        <v>0</v>
      </c>
      <c r="AM158" s="50"/>
      <c r="AN158" s="50"/>
      <c r="AO158" s="50">
        <f t="shared" si="309"/>
        <v>0</v>
      </c>
      <c r="AP158" s="50"/>
      <c r="AQ158" s="50">
        <f t="shared" si="310"/>
        <v>0</v>
      </c>
      <c r="AR158" s="50"/>
      <c r="AS158" s="50"/>
      <c r="AT158" s="50">
        <f t="shared" si="311"/>
        <v>0</v>
      </c>
      <c r="AU158" s="50"/>
      <c r="AV158" s="50">
        <f t="shared" si="312"/>
        <v>0</v>
      </c>
      <c r="AW158" s="50"/>
      <c r="AX158" s="50"/>
      <c r="AY158" s="50">
        <f t="shared" si="313"/>
        <v>0</v>
      </c>
      <c r="AZ158" s="50"/>
      <c r="BA158" s="50">
        <v>0</v>
      </c>
      <c r="BB158" s="50"/>
      <c r="BC158" s="51"/>
      <c r="BD158" s="51">
        <f t="shared" si="314"/>
        <v>0</v>
      </c>
      <c r="BE158" s="50"/>
      <c r="BF158" s="50">
        <f t="shared" si="315"/>
        <v>0</v>
      </c>
      <c r="BG158" s="146">
        <v>4000</v>
      </c>
      <c r="BH158" s="50"/>
      <c r="BI158" s="50">
        <f t="shared" si="316"/>
        <v>0</v>
      </c>
      <c r="BJ158" s="50"/>
      <c r="BK158" s="50">
        <f t="shared" si="317"/>
        <v>0</v>
      </c>
      <c r="BL158" s="32"/>
      <c r="BM158" s="50"/>
      <c r="BN158" s="50">
        <f t="shared" si="318"/>
        <v>0</v>
      </c>
      <c r="BO158" s="50"/>
      <c r="BP158" s="50">
        <f t="shared" si="319"/>
        <v>0</v>
      </c>
      <c r="BQ158" s="50"/>
      <c r="BR158" s="50"/>
      <c r="BS158" s="50">
        <f t="shared" si="320"/>
        <v>0</v>
      </c>
      <c r="BT158" s="50"/>
      <c r="BU158" s="50">
        <f t="shared" si="321"/>
        <v>0</v>
      </c>
      <c r="BV158" s="50"/>
      <c r="BW158" s="50"/>
      <c r="BX158" s="50">
        <f t="shared" si="322"/>
        <v>0</v>
      </c>
      <c r="BY158" s="50"/>
      <c r="BZ158" s="50">
        <f t="shared" si="323"/>
        <v>0</v>
      </c>
      <c r="CA158" s="50"/>
      <c r="CB158" s="50"/>
      <c r="CC158" s="50">
        <f t="shared" si="324"/>
        <v>0</v>
      </c>
      <c r="CD158" s="50"/>
      <c r="CE158" s="50">
        <f t="shared" si="325"/>
        <v>0</v>
      </c>
      <c r="CF158" s="50"/>
      <c r="CG158" s="48"/>
    </row>
  </sheetData>
  <sheetProtection algorithmName="SHA-512" hashValue="tRAIIAvqpAC2/ebjdo3n+b2lvrQzhiTlJdSS/zFYYVFXKYXl+RjoNfStua8LyZelfiTaeghmEiIcRseuibzvmA==" saltValue="yYW0PToD7Y3OwKBh8eA1OA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16B1-B922-4540-8767-1C62132A2CF4}">
  <dimension ref="A1:CB9"/>
  <sheetViews>
    <sheetView topLeftCell="E1" zoomScale="70" zoomScaleNormal="70" workbookViewId="0">
      <pane ySplit="2" topLeftCell="A3" activePane="bottomLeft" state="frozen"/>
      <selection activeCell="A2" sqref="A2"/>
      <selection pane="bottomLeft" activeCell="AZ4" sqref="AZ4"/>
    </sheetView>
  </sheetViews>
  <sheetFormatPr defaultRowHeight="16" x14ac:dyDescent="0.4"/>
  <cols>
    <col min="1" max="1" width="12.90625" style="175" hidden="1" customWidth="1"/>
    <col min="2" max="2" width="9.7265625" style="175" hidden="1" customWidth="1"/>
    <col min="3" max="3" width="12.1796875" style="175" hidden="1" customWidth="1"/>
    <col min="4" max="4" width="17.26953125" style="175" hidden="1" customWidth="1"/>
    <col min="5" max="5" width="33.36328125" style="185" customWidth="1"/>
    <col min="6" max="6" width="24.7265625" style="175" bestFit="1" customWidth="1"/>
    <col min="7" max="7" width="17.90625" style="175" hidden="1" customWidth="1"/>
    <col min="8" max="8" width="21.81640625" style="175" hidden="1" customWidth="1"/>
    <col min="9" max="9" width="16.26953125" style="175" customWidth="1"/>
    <col min="10" max="10" width="13.6328125" style="175" hidden="1" customWidth="1"/>
    <col min="11" max="11" width="11.26953125" style="175" hidden="1" customWidth="1"/>
    <col min="12" max="12" width="17.7265625" style="175" customWidth="1"/>
    <col min="13" max="13" width="15.90625" style="175" hidden="1" customWidth="1"/>
    <col min="14" max="14" width="16.453125" style="175" bestFit="1" customWidth="1"/>
    <col min="15" max="15" width="19.1796875" style="175" hidden="1" customWidth="1"/>
    <col min="16" max="16" width="27.6328125" style="126" hidden="1" customWidth="1"/>
    <col min="17" max="17" width="31.26953125" style="182" hidden="1" customWidth="1"/>
    <col min="18" max="18" width="24.90625" style="126" hidden="1" customWidth="1"/>
    <col min="19" max="19" width="30.6328125" style="183" hidden="1" customWidth="1"/>
    <col min="20" max="20" width="19.54296875" style="175" hidden="1" customWidth="1"/>
    <col min="21" max="21" width="17.6328125" style="175" hidden="1" customWidth="1"/>
    <col min="22" max="22" width="17.26953125" style="175" hidden="1" customWidth="1"/>
    <col min="23" max="23" width="19.1796875" style="175" hidden="1" customWidth="1"/>
    <col min="24" max="24" width="21.81640625" style="175" hidden="1" customWidth="1"/>
    <col min="25" max="25" width="20" style="175" hidden="1" customWidth="1"/>
    <col min="26" max="26" width="19.453125" style="175" hidden="1" customWidth="1"/>
    <col min="27" max="27" width="17.6328125" style="175" hidden="1" customWidth="1"/>
    <col min="28" max="28" width="20" style="175" hidden="1" customWidth="1"/>
    <col min="29" max="29" width="21.81640625" style="175" hidden="1" customWidth="1"/>
    <col min="30" max="30" width="20.1796875" style="175" hidden="1" customWidth="1"/>
    <col min="31" max="31" width="19.08984375" style="175" hidden="1" customWidth="1"/>
    <col min="32" max="32" width="17" style="175" hidden="1" customWidth="1"/>
    <col min="33" max="33" width="18.90625" style="175" hidden="1" customWidth="1"/>
    <col min="34" max="34" width="21.54296875" style="175" hidden="1" customWidth="1"/>
    <col min="35" max="35" width="19.7265625" style="175" hidden="1" customWidth="1"/>
    <col min="36" max="36" width="19.453125" style="175" hidden="1" customWidth="1"/>
    <col min="37" max="37" width="17.36328125" style="175" hidden="1" customWidth="1"/>
    <col min="38" max="38" width="19.26953125" style="175" hidden="1" customWidth="1"/>
    <col min="39" max="39" width="21.90625" style="175" hidden="1" customWidth="1"/>
    <col min="40" max="40" width="19.7265625" style="175" hidden="1" customWidth="1"/>
    <col min="41" max="41" width="19.453125" style="175" hidden="1" customWidth="1"/>
    <col min="42" max="42" width="17" style="175" hidden="1" customWidth="1"/>
    <col min="43" max="43" width="19.26953125" style="175" hidden="1" customWidth="1"/>
    <col min="44" max="44" width="21.54296875" style="175" hidden="1" customWidth="1"/>
    <col min="45" max="45" width="19.453125" style="175" hidden="1" customWidth="1"/>
    <col min="46" max="46" width="19.1796875" style="175" hidden="1" customWidth="1"/>
    <col min="47" max="47" width="17.08984375" style="175" hidden="1" customWidth="1"/>
    <col min="48" max="48" width="19.08984375" style="175" hidden="1" customWidth="1"/>
    <col min="49" max="49" width="21.6328125" style="175" hidden="1" customWidth="1"/>
    <col min="50" max="50" width="19.26953125" style="190" bestFit="1" customWidth="1"/>
    <col min="51" max="51" width="19.08984375" style="190" bestFit="1" customWidth="1"/>
    <col min="52" max="52" width="17" style="184" bestFit="1" customWidth="1"/>
    <col min="53" max="53" width="15.26953125" style="184" customWidth="1"/>
    <col min="54" max="54" width="21.08984375" style="184" hidden="1" customWidth="1"/>
    <col min="55" max="55" width="19.81640625" style="184" hidden="1" customWidth="1"/>
    <col min="56" max="56" width="19.54296875" style="184" hidden="1" customWidth="1"/>
    <col min="57" max="57" width="17.453125" style="184" bestFit="1" customWidth="1"/>
    <col min="58" max="58" width="11.81640625" style="184" customWidth="1"/>
    <col min="59" max="59" width="22.1796875" style="184" hidden="1" customWidth="1"/>
    <col min="60" max="60" width="19.54296875" style="184" hidden="1" customWidth="1"/>
    <col min="61" max="61" width="19.26953125" style="184" hidden="1" customWidth="1"/>
    <col min="62" max="62" width="16.81640625" style="184" bestFit="1" customWidth="1"/>
    <col min="63" max="63" width="18.81640625" style="184" bestFit="1" customWidth="1"/>
    <col min="64" max="64" width="19.54296875" style="184" hidden="1" customWidth="1"/>
    <col min="65" max="65" width="19.26953125" style="184" hidden="1" customWidth="1"/>
    <col min="66" max="66" width="19.08984375" style="184" hidden="1" customWidth="1"/>
    <col min="67" max="67" width="16.54296875" style="184" hidden="1" customWidth="1"/>
    <col min="68" max="68" width="18.54296875" style="184" hidden="1" customWidth="1"/>
    <col min="69" max="69" width="22.1796875" style="184" hidden="1" customWidth="1"/>
    <col min="70" max="70" width="19.453125" style="184" hidden="1" customWidth="1"/>
    <col min="71" max="71" width="19.1796875" style="184" hidden="1" customWidth="1"/>
    <col min="72" max="72" width="16.7265625" style="184" hidden="1" customWidth="1"/>
    <col min="73" max="73" width="18.6328125" style="184" hidden="1" customWidth="1"/>
    <col min="74" max="74" width="22.7265625" style="184" hidden="1" customWidth="1"/>
    <col min="75" max="75" width="19.81640625" style="184" hidden="1" customWidth="1"/>
    <col min="76" max="76" width="19.54296875" style="184" hidden="1" customWidth="1"/>
    <col min="77" max="77" width="17.08984375" style="184" hidden="1" customWidth="1"/>
    <col min="78" max="78" width="19.08984375" style="175" hidden="1" customWidth="1"/>
    <col min="79" max="79" width="22.7265625" style="175" hidden="1" customWidth="1"/>
    <col min="80" max="80" width="65.81640625" style="175" bestFit="1" customWidth="1"/>
    <col min="81" max="16384" width="8.7265625" style="175"/>
  </cols>
  <sheetData>
    <row r="1" spans="1:80" ht="15.5" customHeight="1" x14ac:dyDescent="0.4">
      <c r="P1" s="176">
        <f t="shared" ref="P1:AU1" si="0">SUBTOTAL(9,P3:P15)</f>
        <v>539</v>
      </c>
      <c r="Q1" s="176">
        <f t="shared" si="0"/>
        <v>547.15499999999997</v>
      </c>
      <c r="R1" s="176">
        <f t="shared" si="0"/>
        <v>0</v>
      </c>
      <c r="S1" s="176">
        <f t="shared" si="0"/>
        <v>0</v>
      </c>
      <c r="T1" s="177">
        <f t="shared" si="0"/>
        <v>36000</v>
      </c>
      <c r="U1" s="177">
        <f t="shared" si="0"/>
        <v>12135</v>
      </c>
      <c r="V1" s="177">
        <f t="shared" si="0"/>
        <v>57700</v>
      </c>
      <c r="W1" s="177">
        <f t="shared" si="0"/>
        <v>30430</v>
      </c>
      <c r="X1" s="177">
        <f t="shared" si="0"/>
        <v>0</v>
      </c>
      <c r="Y1" s="177">
        <f t="shared" si="0"/>
        <v>36000</v>
      </c>
      <c r="Z1" s="177">
        <f t="shared" si="0"/>
        <v>12135</v>
      </c>
      <c r="AA1" s="177">
        <f t="shared" si="0"/>
        <v>55000</v>
      </c>
      <c r="AB1" s="177">
        <f t="shared" si="0"/>
        <v>18550</v>
      </c>
      <c r="AC1" s="177">
        <f t="shared" si="0"/>
        <v>10000</v>
      </c>
      <c r="AD1" s="177">
        <f t="shared" si="0"/>
        <v>76000</v>
      </c>
      <c r="AE1" s="177">
        <f t="shared" si="0"/>
        <v>147085</v>
      </c>
      <c r="AF1" s="177">
        <f t="shared" si="0"/>
        <v>67700</v>
      </c>
      <c r="AG1" s="177">
        <f t="shared" si="0"/>
        <v>33480</v>
      </c>
      <c r="AH1" s="177">
        <f t="shared" si="0"/>
        <v>0</v>
      </c>
      <c r="AI1" s="177">
        <f t="shared" si="0"/>
        <v>36000</v>
      </c>
      <c r="AJ1" s="177">
        <f t="shared" si="0"/>
        <v>12135</v>
      </c>
      <c r="AK1" s="177">
        <f t="shared" si="0"/>
        <v>0</v>
      </c>
      <c r="AL1" s="177">
        <f t="shared" si="0"/>
        <v>0</v>
      </c>
      <c r="AM1" s="177">
        <f t="shared" si="0"/>
        <v>0</v>
      </c>
      <c r="AN1" s="177">
        <f t="shared" si="0"/>
        <v>36000</v>
      </c>
      <c r="AO1" s="177">
        <f t="shared" si="0"/>
        <v>12135</v>
      </c>
      <c r="AP1" s="177">
        <f t="shared" si="0"/>
        <v>2700</v>
      </c>
      <c r="AQ1" s="177">
        <f t="shared" si="0"/>
        <v>11880.000000000002</v>
      </c>
      <c r="AR1" s="177">
        <f t="shared" si="0"/>
        <v>0</v>
      </c>
      <c r="AS1" s="177">
        <f t="shared" si="0"/>
        <v>46000</v>
      </c>
      <c r="AT1" s="177">
        <f t="shared" si="0"/>
        <v>15635</v>
      </c>
      <c r="AU1" s="177">
        <f t="shared" si="0"/>
        <v>0</v>
      </c>
      <c r="AV1" s="177">
        <f t="shared" ref="AV1:CA1" si="1">SUBTOTAL(9,AV3:AV15)</f>
        <v>0</v>
      </c>
      <c r="AW1" s="177">
        <f t="shared" si="1"/>
        <v>0</v>
      </c>
      <c r="AX1" s="187">
        <f t="shared" si="1"/>
        <v>36000</v>
      </c>
      <c r="AY1" s="187">
        <f t="shared" si="1"/>
        <v>12135</v>
      </c>
      <c r="AZ1" s="178">
        <f t="shared" si="1"/>
        <v>0</v>
      </c>
      <c r="BA1" s="178">
        <f t="shared" si="1"/>
        <v>0</v>
      </c>
      <c r="BB1" s="178">
        <f t="shared" si="1"/>
        <v>0</v>
      </c>
      <c r="BC1" s="178">
        <f t="shared" si="1"/>
        <v>66000</v>
      </c>
      <c r="BD1" s="178">
        <f t="shared" si="1"/>
        <v>144135</v>
      </c>
      <c r="BE1" s="178">
        <f t="shared" si="1"/>
        <v>0</v>
      </c>
      <c r="BF1" s="178">
        <f t="shared" si="1"/>
        <v>0</v>
      </c>
      <c r="BG1" s="178">
        <f t="shared" si="1"/>
        <v>0</v>
      </c>
      <c r="BH1" s="178">
        <f t="shared" si="1"/>
        <v>36000</v>
      </c>
      <c r="BI1" s="178">
        <f t="shared" si="1"/>
        <v>12135</v>
      </c>
      <c r="BJ1" s="178">
        <f t="shared" si="1"/>
        <v>0</v>
      </c>
      <c r="BK1" s="178">
        <f t="shared" si="1"/>
        <v>0</v>
      </c>
      <c r="BL1" s="178">
        <f t="shared" si="1"/>
        <v>0</v>
      </c>
      <c r="BM1" s="178">
        <f t="shared" si="1"/>
        <v>35000</v>
      </c>
      <c r="BN1" s="178">
        <f t="shared" si="1"/>
        <v>11830</v>
      </c>
      <c r="BO1" s="178">
        <f t="shared" si="1"/>
        <v>0</v>
      </c>
      <c r="BP1" s="178">
        <f t="shared" si="1"/>
        <v>0</v>
      </c>
      <c r="BQ1" s="178">
        <f t="shared" si="1"/>
        <v>0</v>
      </c>
      <c r="BR1" s="178">
        <f t="shared" si="1"/>
        <v>65000</v>
      </c>
      <c r="BS1" s="178">
        <f t="shared" si="1"/>
        <v>143830</v>
      </c>
      <c r="BT1" s="178">
        <f t="shared" si="1"/>
        <v>0</v>
      </c>
      <c r="BU1" s="178">
        <f t="shared" si="1"/>
        <v>0</v>
      </c>
      <c r="BV1" s="178">
        <f t="shared" si="1"/>
        <v>0</v>
      </c>
      <c r="BW1" s="178">
        <f t="shared" si="1"/>
        <v>35000</v>
      </c>
      <c r="BX1" s="178">
        <f t="shared" si="1"/>
        <v>11830</v>
      </c>
      <c r="BY1" s="178">
        <f t="shared" si="1"/>
        <v>0</v>
      </c>
      <c r="BZ1" s="177">
        <f t="shared" si="1"/>
        <v>0</v>
      </c>
      <c r="CA1" s="177">
        <f t="shared" si="1"/>
        <v>0</v>
      </c>
    </row>
    <row r="2" spans="1:80" ht="32" x14ac:dyDescent="0.3">
      <c r="A2" s="4" t="s">
        <v>238</v>
      </c>
      <c r="B2" s="4" t="s">
        <v>239</v>
      </c>
      <c r="C2" s="5" t="s">
        <v>2</v>
      </c>
      <c r="D2" s="5" t="s">
        <v>3</v>
      </c>
      <c r="E2" s="186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107</v>
      </c>
      <c r="L2" s="5" t="s">
        <v>11</v>
      </c>
      <c r="M2" s="4" t="s">
        <v>12</v>
      </c>
      <c r="N2" s="6" t="s">
        <v>108</v>
      </c>
      <c r="O2" s="10" t="s">
        <v>587</v>
      </c>
      <c r="P2" s="67" t="s">
        <v>14</v>
      </c>
      <c r="Q2" s="68" t="s">
        <v>202</v>
      </c>
      <c r="R2" s="69" t="s">
        <v>588</v>
      </c>
      <c r="S2" s="67" t="s">
        <v>589</v>
      </c>
      <c r="T2" s="7" t="s">
        <v>15</v>
      </c>
      <c r="U2" s="7" t="s">
        <v>240</v>
      </c>
      <c r="V2" s="8" t="s">
        <v>241</v>
      </c>
      <c r="W2" s="7" t="s">
        <v>242</v>
      </c>
      <c r="X2" s="9" t="s">
        <v>243</v>
      </c>
      <c r="Y2" s="7" t="s">
        <v>20</v>
      </c>
      <c r="Z2" s="7" t="s">
        <v>244</v>
      </c>
      <c r="AA2" s="8" t="s">
        <v>22</v>
      </c>
      <c r="AB2" s="7" t="s">
        <v>245</v>
      </c>
      <c r="AC2" s="9" t="s">
        <v>246</v>
      </c>
      <c r="AD2" s="7" t="s">
        <v>25</v>
      </c>
      <c r="AE2" s="7" t="s">
        <v>26</v>
      </c>
      <c r="AF2" s="8" t="s">
        <v>27</v>
      </c>
      <c r="AG2" s="7" t="s">
        <v>28</v>
      </c>
      <c r="AH2" s="9" t="s">
        <v>29</v>
      </c>
      <c r="AI2" s="7" t="s">
        <v>30</v>
      </c>
      <c r="AJ2" s="7" t="s">
        <v>247</v>
      </c>
      <c r="AK2" s="7" t="s">
        <v>32</v>
      </c>
      <c r="AL2" s="7" t="s">
        <v>33</v>
      </c>
      <c r="AM2" s="9" t="s">
        <v>34</v>
      </c>
      <c r="AN2" s="7" t="s">
        <v>35</v>
      </c>
      <c r="AO2" s="7" t="s">
        <v>36</v>
      </c>
      <c r="AP2" s="7" t="s">
        <v>37</v>
      </c>
      <c r="AQ2" s="7" t="s">
        <v>248</v>
      </c>
      <c r="AR2" s="9" t="s">
        <v>249</v>
      </c>
      <c r="AS2" s="7" t="s">
        <v>40</v>
      </c>
      <c r="AT2" s="7" t="s">
        <v>41</v>
      </c>
      <c r="AU2" s="7" t="s">
        <v>250</v>
      </c>
      <c r="AV2" s="7" t="s">
        <v>251</v>
      </c>
      <c r="AW2" s="9" t="s">
        <v>252</v>
      </c>
      <c r="AX2" s="188" t="s">
        <v>45</v>
      </c>
      <c r="AY2" s="188" t="s">
        <v>46</v>
      </c>
      <c r="AZ2" s="174" t="s">
        <v>253</v>
      </c>
      <c r="BA2" s="64" t="s">
        <v>254</v>
      </c>
      <c r="BB2" s="65" t="s">
        <v>255</v>
      </c>
      <c r="BC2" s="64" t="s">
        <v>50</v>
      </c>
      <c r="BD2" s="64" t="s">
        <v>51</v>
      </c>
      <c r="BE2" s="174" t="s">
        <v>256</v>
      </c>
      <c r="BF2" s="64" t="s">
        <v>257</v>
      </c>
      <c r="BG2" s="65" t="s">
        <v>258</v>
      </c>
      <c r="BH2" s="64" t="s">
        <v>55</v>
      </c>
      <c r="BI2" s="64" t="s">
        <v>56</v>
      </c>
      <c r="BJ2" s="174" t="s">
        <v>57</v>
      </c>
      <c r="BK2" s="64" t="s">
        <v>58</v>
      </c>
      <c r="BL2" s="65" t="s">
        <v>59</v>
      </c>
      <c r="BM2" s="64" t="s">
        <v>60</v>
      </c>
      <c r="BN2" s="64" t="s">
        <v>61</v>
      </c>
      <c r="BO2" s="64" t="s">
        <v>62</v>
      </c>
      <c r="BP2" s="64" t="s">
        <v>63</v>
      </c>
      <c r="BQ2" s="65" t="s">
        <v>64</v>
      </c>
      <c r="BR2" s="64" t="s">
        <v>65</v>
      </c>
      <c r="BS2" s="64" t="s">
        <v>66</v>
      </c>
      <c r="BT2" s="64" t="s">
        <v>67</v>
      </c>
      <c r="BU2" s="64" t="s">
        <v>68</v>
      </c>
      <c r="BV2" s="65" t="s">
        <v>69</v>
      </c>
      <c r="BW2" s="64" t="s">
        <v>259</v>
      </c>
      <c r="BX2" s="64" t="s">
        <v>71</v>
      </c>
      <c r="BY2" s="64" t="s">
        <v>72</v>
      </c>
      <c r="BZ2" s="7" t="s">
        <v>73</v>
      </c>
      <c r="CA2" s="9" t="s">
        <v>74</v>
      </c>
      <c r="CB2" s="7" t="s">
        <v>75</v>
      </c>
    </row>
    <row r="3" spans="1:80" s="126" customFormat="1" x14ac:dyDescent="0.4">
      <c r="A3" s="15" t="s">
        <v>260</v>
      </c>
      <c r="B3" s="15" t="s">
        <v>262</v>
      </c>
      <c r="C3" s="15" t="s">
        <v>263</v>
      </c>
      <c r="D3" s="15" t="s">
        <v>272</v>
      </c>
      <c r="E3" s="112" t="s">
        <v>273</v>
      </c>
      <c r="F3" s="15" t="s">
        <v>267</v>
      </c>
      <c r="G3" s="15" t="s">
        <v>274</v>
      </c>
      <c r="H3" s="15" t="s">
        <v>96</v>
      </c>
      <c r="I3" s="15" t="s">
        <v>96</v>
      </c>
      <c r="J3" s="40" t="s">
        <v>146</v>
      </c>
      <c r="K3" s="25" t="s">
        <v>97</v>
      </c>
      <c r="L3" s="15" t="s">
        <v>275</v>
      </c>
      <c r="M3" s="28" t="s">
        <v>80</v>
      </c>
      <c r="N3" s="41">
        <v>0.33600000000000002</v>
      </c>
      <c r="O3" s="42"/>
      <c r="P3" s="70">
        <f t="shared" ref="P3:P9" si="2">+(T3+Y3+AD3+AI3+AN3+AS3+AX3+BC3+BH3+BM3+BR3+BW3)/1000</f>
        <v>360</v>
      </c>
      <c r="Q3" s="44">
        <f t="shared" ref="Q3:Q9" si="3">+(U3+Z3+AE3+AJ3+AO3+AT3+AY3+BD3+BI3+BN3+BS3+BX3)/1000</f>
        <v>120.96</v>
      </c>
      <c r="R3" s="30">
        <f t="shared" ref="R3:R9" si="4">+(+BA3+BF3+BK3+BP3+BU3+BZ3)</f>
        <v>0</v>
      </c>
      <c r="S3" s="30">
        <f t="shared" ref="S3:S9" si="5">+BB3+BG3+BL3+BQ3+BV3+CA3</f>
        <v>0</v>
      </c>
      <c r="T3" s="25">
        <v>30000</v>
      </c>
      <c r="U3" s="43">
        <f t="shared" ref="U3:U9" si="6">T3*N3</f>
        <v>10080</v>
      </c>
      <c r="V3" s="25">
        <v>50000</v>
      </c>
      <c r="W3" s="43">
        <f t="shared" ref="W3:W9" si="7">V3*N3</f>
        <v>16800</v>
      </c>
      <c r="X3" s="25"/>
      <c r="Y3" s="25">
        <v>30000</v>
      </c>
      <c r="Z3" s="43">
        <f t="shared" ref="Z3:Z9" si="8">Y3*N3</f>
        <v>10080</v>
      </c>
      <c r="AA3" s="25">
        <v>50000</v>
      </c>
      <c r="AB3" s="43">
        <f t="shared" ref="AB3:AB9" si="9">AA3*N3</f>
        <v>16800</v>
      </c>
      <c r="AC3" s="25"/>
      <c r="AD3" s="25">
        <v>30000</v>
      </c>
      <c r="AE3" s="43">
        <f t="shared" ref="AE3:AE9" si="10">AD3*N3</f>
        <v>10080</v>
      </c>
      <c r="AF3" s="25">
        <v>50000</v>
      </c>
      <c r="AG3" s="43">
        <f t="shared" ref="AG3:AG9" si="11">AF3*N3</f>
        <v>16800</v>
      </c>
      <c r="AH3" s="25"/>
      <c r="AI3" s="25">
        <v>30000</v>
      </c>
      <c r="AJ3" s="43">
        <f t="shared" ref="AJ3:AJ9" si="12">AI3*N3</f>
        <v>10080</v>
      </c>
      <c r="AK3" s="25"/>
      <c r="AL3" s="43">
        <f t="shared" ref="AL3:AL9" si="13">AK3*N3</f>
        <v>0</v>
      </c>
      <c r="AM3" s="25"/>
      <c r="AN3" s="25">
        <v>30000</v>
      </c>
      <c r="AO3" s="43">
        <f t="shared" ref="AO3:AO9" si="14">AN3*N3</f>
        <v>10080</v>
      </c>
      <c r="AP3" s="25"/>
      <c r="AQ3" s="43">
        <f t="shared" ref="AQ3:AQ9" si="15">AP3*N3</f>
        <v>0</v>
      </c>
      <c r="AR3" s="25"/>
      <c r="AS3" s="25">
        <v>30000</v>
      </c>
      <c r="AT3" s="43">
        <f t="shared" ref="AT3:AT9" si="16">AS3*N3</f>
        <v>10080</v>
      </c>
      <c r="AU3" s="25"/>
      <c r="AV3" s="43">
        <f t="shared" ref="AV3:AV9" si="17">AU3*N3</f>
        <v>0</v>
      </c>
      <c r="AW3" s="25"/>
      <c r="AX3" s="189">
        <v>30000</v>
      </c>
      <c r="AY3" s="191">
        <f t="shared" ref="AY3:AY9" si="18">AX3*N3</f>
        <v>10080</v>
      </c>
      <c r="AZ3" s="105"/>
      <c r="BA3" s="66">
        <f t="shared" ref="BA3:BA9" si="19">AZ3*N3</f>
        <v>0</v>
      </c>
      <c r="BB3" s="179"/>
      <c r="BC3" s="105">
        <v>30000</v>
      </c>
      <c r="BD3" s="66">
        <f t="shared" ref="BD3:BD9" si="20">BC3*N3</f>
        <v>10080</v>
      </c>
      <c r="BE3" s="105"/>
      <c r="BF3" s="66">
        <f t="shared" ref="BF3:BF9" si="21">BE3*N3</f>
        <v>0</v>
      </c>
      <c r="BG3" s="105"/>
      <c r="BH3" s="105">
        <v>30000</v>
      </c>
      <c r="BI3" s="66">
        <f t="shared" ref="BI3:BI9" si="22">BH3*N3</f>
        <v>10080</v>
      </c>
      <c r="BJ3" s="105"/>
      <c r="BK3" s="66">
        <f t="shared" ref="BK3:BK9" si="23">BJ3*N3</f>
        <v>0</v>
      </c>
      <c r="BL3" s="105"/>
      <c r="BM3" s="105">
        <v>30000</v>
      </c>
      <c r="BN3" s="66">
        <f t="shared" ref="BN3:BN9" si="24">BM3*N3</f>
        <v>10080</v>
      </c>
      <c r="BO3" s="105"/>
      <c r="BP3" s="66">
        <f t="shared" ref="BP3:BP9" si="25">BO3*N3</f>
        <v>0</v>
      </c>
      <c r="BQ3" s="105"/>
      <c r="BR3" s="105">
        <v>30000</v>
      </c>
      <c r="BS3" s="66">
        <f t="shared" ref="BS3:BS9" si="26">BR3*N3</f>
        <v>10080</v>
      </c>
      <c r="BT3" s="105"/>
      <c r="BU3" s="66">
        <f t="shared" ref="BU3:BU9" si="27">BT3*N3</f>
        <v>0</v>
      </c>
      <c r="BV3" s="105"/>
      <c r="BW3" s="105">
        <v>30000</v>
      </c>
      <c r="BX3" s="66">
        <f>BW3*N3</f>
        <v>10080</v>
      </c>
      <c r="BY3" s="105"/>
      <c r="BZ3" s="43">
        <f t="shared" ref="BZ3:BZ9" si="28">BY3*N3</f>
        <v>0</v>
      </c>
      <c r="CA3" s="25"/>
      <c r="CB3" s="18"/>
    </row>
    <row r="4" spans="1:80" s="126" customFormat="1" x14ac:dyDescent="0.4">
      <c r="A4" s="15" t="s">
        <v>260</v>
      </c>
      <c r="B4" s="15" t="s">
        <v>262</v>
      </c>
      <c r="C4" s="15" t="s">
        <v>263</v>
      </c>
      <c r="D4" s="15" t="s">
        <v>272</v>
      </c>
      <c r="E4" s="112" t="s">
        <v>273</v>
      </c>
      <c r="F4" s="15" t="s">
        <v>267</v>
      </c>
      <c r="G4" s="15" t="s">
        <v>274</v>
      </c>
      <c r="H4" s="15" t="s">
        <v>96</v>
      </c>
      <c r="I4" s="15" t="s">
        <v>96</v>
      </c>
      <c r="J4" s="40" t="s">
        <v>146</v>
      </c>
      <c r="K4" s="25" t="s">
        <v>97</v>
      </c>
      <c r="L4" s="15" t="s">
        <v>276</v>
      </c>
      <c r="M4" s="28" t="s">
        <v>80</v>
      </c>
      <c r="N4" s="41">
        <v>0.35</v>
      </c>
      <c r="O4" s="42"/>
      <c r="P4" s="70">
        <f t="shared" si="2"/>
        <v>60</v>
      </c>
      <c r="Q4" s="44">
        <f t="shared" si="3"/>
        <v>21</v>
      </c>
      <c r="R4" s="30">
        <f t="shared" si="4"/>
        <v>0</v>
      </c>
      <c r="S4" s="30">
        <f t="shared" si="5"/>
        <v>0</v>
      </c>
      <c r="T4" s="25">
        <v>5000</v>
      </c>
      <c r="U4" s="43">
        <f t="shared" si="6"/>
        <v>1750</v>
      </c>
      <c r="V4" s="25">
        <v>5000</v>
      </c>
      <c r="W4" s="43">
        <f t="shared" si="7"/>
        <v>1750</v>
      </c>
      <c r="X4" s="25"/>
      <c r="Y4" s="25">
        <v>5000</v>
      </c>
      <c r="Z4" s="43">
        <f t="shared" si="8"/>
        <v>1750</v>
      </c>
      <c r="AA4" s="25">
        <v>5000</v>
      </c>
      <c r="AB4" s="43">
        <f t="shared" si="9"/>
        <v>1750</v>
      </c>
      <c r="AC4" s="25"/>
      <c r="AD4" s="25">
        <v>5000</v>
      </c>
      <c r="AE4" s="43">
        <f t="shared" si="10"/>
        <v>1750</v>
      </c>
      <c r="AF4" s="25">
        <v>5000</v>
      </c>
      <c r="AG4" s="43">
        <f t="shared" si="11"/>
        <v>1750</v>
      </c>
      <c r="AH4" s="25"/>
      <c r="AI4" s="25">
        <v>5000</v>
      </c>
      <c r="AJ4" s="43">
        <f t="shared" si="12"/>
        <v>1750</v>
      </c>
      <c r="AK4" s="25"/>
      <c r="AL4" s="43">
        <f t="shared" si="13"/>
        <v>0</v>
      </c>
      <c r="AM4" s="25"/>
      <c r="AN4" s="25">
        <v>5000</v>
      </c>
      <c r="AO4" s="43">
        <f t="shared" si="14"/>
        <v>1750</v>
      </c>
      <c r="AP4" s="25"/>
      <c r="AQ4" s="43">
        <f t="shared" si="15"/>
        <v>0</v>
      </c>
      <c r="AR4" s="25"/>
      <c r="AS4" s="25">
        <v>5000</v>
      </c>
      <c r="AT4" s="43">
        <f t="shared" si="16"/>
        <v>1750</v>
      </c>
      <c r="AU4" s="25"/>
      <c r="AV4" s="43">
        <f t="shared" si="17"/>
        <v>0</v>
      </c>
      <c r="AW4" s="25"/>
      <c r="AX4" s="189">
        <v>5000</v>
      </c>
      <c r="AY4" s="191">
        <f t="shared" si="18"/>
        <v>1750</v>
      </c>
      <c r="AZ4" s="105"/>
      <c r="BA4" s="66">
        <f t="shared" si="19"/>
        <v>0</v>
      </c>
      <c r="BB4" s="179"/>
      <c r="BC4" s="105">
        <v>5000</v>
      </c>
      <c r="BD4" s="66">
        <f t="shared" si="20"/>
        <v>1750</v>
      </c>
      <c r="BE4" s="105"/>
      <c r="BF4" s="66">
        <f t="shared" si="21"/>
        <v>0</v>
      </c>
      <c r="BG4" s="105"/>
      <c r="BH4" s="105">
        <v>5000</v>
      </c>
      <c r="BI4" s="66">
        <f t="shared" si="22"/>
        <v>1750</v>
      </c>
      <c r="BJ4" s="105"/>
      <c r="BK4" s="66">
        <f t="shared" si="23"/>
        <v>0</v>
      </c>
      <c r="BL4" s="105"/>
      <c r="BM4" s="105">
        <v>5000</v>
      </c>
      <c r="BN4" s="66">
        <f t="shared" si="24"/>
        <v>1750</v>
      </c>
      <c r="BO4" s="105"/>
      <c r="BP4" s="66">
        <f t="shared" si="25"/>
        <v>0</v>
      </c>
      <c r="BQ4" s="105"/>
      <c r="BR4" s="105">
        <v>5000</v>
      </c>
      <c r="BS4" s="66">
        <f t="shared" si="26"/>
        <v>1750</v>
      </c>
      <c r="BT4" s="105"/>
      <c r="BU4" s="66">
        <f t="shared" si="27"/>
        <v>0</v>
      </c>
      <c r="BV4" s="105"/>
      <c r="BW4" s="105">
        <v>5000</v>
      </c>
      <c r="BX4" s="66">
        <f>BW4*N4</f>
        <v>1750</v>
      </c>
      <c r="BY4" s="105"/>
      <c r="BZ4" s="43">
        <f t="shared" si="28"/>
        <v>0</v>
      </c>
      <c r="CA4" s="25"/>
      <c r="CB4" s="18"/>
    </row>
    <row r="5" spans="1:80" s="126" customFormat="1" x14ac:dyDescent="0.4">
      <c r="A5" s="15" t="s">
        <v>260</v>
      </c>
      <c r="B5" s="15" t="s">
        <v>262</v>
      </c>
      <c r="C5" s="15" t="s">
        <v>263</v>
      </c>
      <c r="D5" s="15" t="s">
        <v>272</v>
      </c>
      <c r="E5" s="112" t="s">
        <v>273</v>
      </c>
      <c r="F5" s="15" t="s">
        <v>267</v>
      </c>
      <c r="G5" s="15" t="s">
        <v>274</v>
      </c>
      <c r="H5" s="15" t="s">
        <v>96</v>
      </c>
      <c r="I5" s="15" t="s">
        <v>96</v>
      </c>
      <c r="J5" s="40" t="s">
        <v>146</v>
      </c>
      <c r="K5" s="25" t="s">
        <v>97</v>
      </c>
      <c r="L5" s="15" t="s">
        <v>277</v>
      </c>
      <c r="M5" s="28" t="s">
        <v>83</v>
      </c>
      <c r="N5" s="41">
        <v>0.29499999999999998</v>
      </c>
      <c r="O5" s="42"/>
      <c r="P5" s="70">
        <f t="shared" si="2"/>
        <v>10</v>
      </c>
      <c r="Q5" s="44">
        <f t="shared" si="3"/>
        <v>2.95</v>
      </c>
      <c r="R5" s="30">
        <f t="shared" si="4"/>
        <v>0</v>
      </c>
      <c r="S5" s="30">
        <f t="shared" si="5"/>
        <v>0</v>
      </c>
      <c r="T5" s="25"/>
      <c r="U5" s="43">
        <f t="shared" si="6"/>
        <v>0</v>
      </c>
      <c r="V5" s="25"/>
      <c r="W5" s="43">
        <f t="shared" si="7"/>
        <v>0</v>
      </c>
      <c r="X5" s="25"/>
      <c r="Y5" s="25"/>
      <c r="Z5" s="43">
        <f t="shared" si="8"/>
        <v>0</v>
      </c>
      <c r="AA5" s="25"/>
      <c r="AB5" s="43">
        <f t="shared" si="9"/>
        <v>0</v>
      </c>
      <c r="AC5" s="25"/>
      <c r="AD5" s="25">
        <v>10000</v>
      </c>
      <c r="AE5" s="43">
        <f t="shared" si="10"/>
        <v>2950</v>
      </c>
      <c r="AF5" s="25"/>
      <c r="AG5" s="43">
        <f t="shared" si="11"/>
        <v>0</v>
      </c>
      <c r="AH5" s="25"/>
      <c r="AI5" s="25"/>
      <c r="AJ5" s="43">
        <f t="shared" si="12"/>
        <v>0</v>
      </c>
      <c r="AK5" s="25"/>
      <c r="AL5" s="43">
        <f t="shared" si="13"/>
        <v>0</v>
      </c>
      <c r="AM5" s="25"/>
      <c r="AN5" s="25"/>
      <c r="AO5" s="43">
        <f t="shared" si="14"/>
        <v>0</v>
      </c>
      <c r="AP5" s="25"/>
      <c r="AQ5" s="43">
        <f t="shared" si="15"/>
        <v>0</v>
      </c>
      <c r="AR5" s="25"/>
      <c r="AS5" s="25"/>
      <c r="AT5" s="43">
        <f t="shared" si="16"/>
        <v>0</v>
      </c>
      <c r="AU5" s="25"/>
      <c r="AV5" s="43">
        <f t="shared" si="17"/>
        <v>0</v>
      </c>
      <c r="AW5" s="25"/>
      <c r="AX5" s="189"/>
      <c r="AY5" s="191">
        <f t="shared" si="18"/>
        <v>0</v>
      </c>
      <c r="AZ5" s="105"/>
      <c r="BA5" s="66">
        <f t="shared" si="19"/>
        <v>0</v>
      </c>
      <c r="BB5" s="179"/>
      <c r="BC5" s="105"/>
      <c r="BD5" s="66">
        <f t="shared" si="20"/>
        <v>0</v>
      </c>
      <c r="BE5" s="105"/>
      <c r="BF5" s="66">
        <f t="shared" si="21"/>
        <v>0</v>
      </c>
      <c r="BG5" s="105"/>
      <c r="BH5" s="105"/>
      <c r="BI5" s="66">
        <f t="shared" si="22"/>
        <v>0</v>
      </c>
      <c r="BJ5" s="105"/>
      <c r="BK5" s="66">
        <f t="shared" si="23"/>
        <v>0</v>
      </c>
      <c r="BL5" s="105"/>
      <c r="BM5" s="105"/>
      <c r="BN5" s="66">
        <f t="shared" si="24"/>
        <v>0</v>
      </c>
      <c r="BO5" s="105"/>
      <c r="BP5" s="66">
        <f t="shared" si="25"/>
        <v>0</v>
      </c>
      <c r="BQ5" s="105"/>
      <c r="BR5" s="105"/>
      <c r="BS5" s="66">
        <f t="shared" si="26"/>
        <v>0</v>
      </c>
      <c r="BT5" s="105"/>
      <c r="BU5" s="66">
        <f t="shared" si="27"/>
        <v>0</v>
      </c>
      <c r="BV5" s="105"/>
      <c r="BW5" s="105"/>
      <c r="BX5" s="66">
        <f>BW5*N5</f>
        <v>0</v>
      </c>
      <c r="BY5" s="105"/>
      <c r="BZ5" s="43">
        <f t="shared" si="28"/>
        <v>0</v>
      </c>
      <c r="CA5" s="25"/>
      <c r="CB5" s="18"/>
    </row>
    <row r="6" spans="1:80" s="126" customFormat="1" x14ac:dyDescent="0.4">
      <c r="A6" s="15" t="s">
        <v>260</v>
      </c>
      <c r="B6" s="15" t="s">
        <v>262</v>
      </c>
      <c r="C6" s="15" t="s">
        <v>263</v>
      </c>
      <c r="D6" s="15" t="s">
        <v>272</v>
      </c>
      <c r="E6" s="112" t="s">
        <v>273</v>
      </c>
      <c r="F6" s="15" t="s">
        <v>267</v>
      </c>
      <c r="G6" s="15" t="s">
        <v>274</v>
      </c>
      <c r="H6" s="15" t="s">
        <v>96</v>
      </c>
      <c r="I6" s="15" t="s">
        <v>96</v>
      </c>
      <c r="J6" s="40" t="s">
        <v>146</v>
      </c>
      <c r="K6" s="25" t="s">
        <v>97</v>
      </c>
      <c r="L6" s="15" t="s">
        <v>278</v>
      </c>
      <c r="M6" s="28" t="s">
        <v>83</v>
      </c>
      <c r="N6" s="41">
        <v>0.30499999999999999</v>
      </c>
      <c r="O6" s="42"/>
      <c r="P6" s="70">
        <f t="shared" si="2"/>
        <v>9</v>
      </c>
      <c r="Q6" s="44">
        <f t="shared" si="3"/>
        <v>2.7450000000000001</v>
      </c>
      <c r="R6" s="30">
        <f t="shared" si="4"/>
        <v>0</v>
      </c>
      <c r="S6" s="30">
        <f t="shared" si="5"/>
        <v>0</v>
      </c>
      <c r="T6" s="25">
        <v>1000</v>
      </c>
      <c r="U6" s="43">
        <f t="shared" si="6"/>
        <v>305</v>
      </c>
      <c r="V6" s="25"/>
      <c r="W6" s="43">
        <f t="shared" si="7"/>
        <v>0</v>
      </c>
      <c r="X6" s="25"/>
      <c r="Y6" s="25">
        <v>1000</v>
      </c>
      <c r="Z6" s="43">
        <f t="shared" si="8"/>
        <v>305</v>
      </c>
      <c r="AA6" s="25"/>
      <c r="AB6" s="43">
        <f t="shared" si="9"/>
        <v>0</v>
      </c>
      <c r="AC6" s="25">
        <v>10000</v>
      </c>
      <c r="AD6" s="25">
        <v>1000</v>
      </c>
      <c r="AE6" s="43">
        <f t="shared" si="10"/>
        <v>305</v>
      </c>
      <c r="AF6" s="25">
        <v>10000</v>
      </c>
      <c r="AG6" s="43">
        <f t="shared" si="11"/>
        <v>3050</v>
      </c>
      <c r="AH6" s="25"/>
      <c r="AI6" s="25">
        <v>1000</v>
      </c>
      <c r="AJ6" s="43">
        <f t="shared" si="12"/>
        <v>305</v>
      </c>
      <c r="AK6" s="25"/>
      <c r="AL6" s="43">
        <f t="shared" si="13"/>
        <v>0</v>
      </c>
      <c r="AM6" s="25"/>
      <c r="AN6" s="25">
        <v>1000</v>
      </c>
      <c r="AO6" s="43">
        <f t="shared" si="14"/>
        <v>305</v>
      </c>
      <c r="AP6" s="25"/>
      <c r="AQ6" s="43">
        <f t="shared" si="15"/>
        <v>0</v>
      </c>
      <c r="AR6" s="25"/>
      <c r="AS6" s="25">
        <v>1000</v>
      </c>
      <c r="AT6" s="43">
        <f t="shared" si="16"/>
        <v>305</v>
      </c>
      <c r="AU6" s="25"/>
      <c r="AV6" s="43">
        <f t="shared" si="17"/>
        <v>0</v>
      </c>
      <c r="AW6" s="25"/>
      <c r="AX6" s="189">
        <v>1000</v>
      </c>
      <c r="AY6" s="191">
        <f t="shared" si="18"/>
        <v>305</v>
      </c>
      <c r="AZ6" s="105"/>
      <c r="BA6" s="66">
        <f t="shared" si="19"/>
        <v>0</v>
      </c>
      <c r="BB6" s="179"/>
      <c r="BC6" s="105">
        <v>1000</v>
      </c>
      <c r="BD6" s="66">
        <f t="shared" si="20"/>
        <v>305</v>
      </c>
      <c r="BE6" s="105"/>
      <c r="BF6" s="66">
        <f t="shared" si="21"/>
        <v>0</v>
      </c>
      <c r="BG6" s="105"/>
      <c r="BH6" s="105">
        <v>1000</v>
      </c>
      <c r="BI6" s="66">
        <f t="shared" si="22"/>
        <v>305</v>
      </c>
      <c r="BJ6" s="105"/>
      <c r="BK6" s="66">
        <f t="shared" si="23"/>
        <v>0</v>
      </c>
      <c r="BL6" s="105"/>
      <c r="BM6" s="105"/>
      <c r="BN6" s="66">
        <f t="shared" si="24"/>
        <v>0</v>
      </c>
      <c r="BO6" s="105"/>
      <c r="BP6" s="66">
        <f t="shared" si="25"/>
        <v>0</v>
      </c>
      <c r="BQ6" s="105"/>
      <c r="BR6" s="105"/>
      <c r="BS6" s="66">
        <f t="shared" si="26"/>
        <v>0</v>
      </c>
      <c r="BT6" s="105"/>
      <c r="BU6" s="66">
        <f t="shared" si="27"/>
        <v>0</v>
      </c>
      <c r="BV6" s="105"/>
      <c r="BW6" s="105"/>
      <c r="BX6" s="66">
        <f>BW6*N6</f>
        <v>0</v>
      </c>
      <c r="BY6" s="105"/>
      <c r="BZ6" s="43">
        <f t="shared" si="28"/>
        <v>0</v>
      </c>
      <c r="CA6" s="25"/>
      <c r="CB6" s="18"/>
    </row>
    <row r="7" spans="1:80" s="126" customFormat="1" x14ac:dyDescent="0.4">
      <c r="A7" s="15" t="s">
        <v>260</v>
      </c>
      <c r="B7" s="15" t="s">
        <v>262</v>
      </c>
      <c r="C7" s="15" t="s">
        <v>263</v>
      </c>
      <c r="D7" s="15" t="s">
        <v>272</v>
      </c>
      <c r="E7" s="112" t="s">
        <v>273</v>
      </c>
      <c r="F7" s="15" t="s">
        <v>267</v>
      </c>
      <c r="G7" s="15" t="s">
        <v>274</v>
      </c>
      <c r="H7" s="15" t="s">
        <v>96</v>
      </c>
      <c r="I7" s="15" t="s">
        <v>96</v>
      </c>
      <c r="J7" s="40" t="s">
        <v>146</v>
      </c>
      <c r="K7" s="25" t="s">
        <v>97</v>
      </c>
      <c r="L7" s="15" t="s">
        <v>270</v>
      </c>
      <c r="M7" s="28" t="s">
        <v>83</v>
      </c>
      <c r="N7" s="41">
        <v>0.35</v>
      </c>
      <c r="O7" s="42"/>
      <c r="P7" s="70">
        <f t="shared" si="2"/>
        <v>10</v>
      </c>
      <c r="Q7" s="44">
        <f t="shared" si="3"/>
        <v>3.5</v>
      </c>
      <c r="R7" s="30">
        <f t="shared" si="4"/>
        <v>0</v>
      </c>
      <c r="S7" s="30">
        <f t="shared" si="5"/>
        <v>0</v>
      </c>
      <c r="T7" s="25"/>
      <c r="U7" s="43">
        <f t="shared" si="6"/>
        <v>0</v>
      </c>
      <c r="V7" s="25"/>
      <c r="W7" s="43">
        <f t="shared" si="7"/>
        <v>0</v>
      </c>
      <c r="X7" s="25"/>
      <c r="Y7" s="25"/>
      <c r="Z7" s="43">
        <f t="shared" si="8"/>
        <v>0</v>
      </c>
      <c r="AA7" s="25"/>
      <c r="AB7" s="43">
        <f t="shared" si="9"/>
        <v>0</v>
      </c>
      <c r="AC7" s="25"/>
      <c r="AD7" s="25"/>
      <c r="AE7" s="43">
        <f t="shared" si="10"/>
        <v>0</v>
      </c>
      <c r="AF7" s="25"/>
      <c r="AG7" s="43">
        <f t="shared" si="11"/>
        <v>0</v>
      </c>
      <c r="AH7" s="25"/>
      <c r="AI7" s="25"/>
      <c r="AJ7" s="43">
        <f t="shared" si="12"/>
        <v>0</v>
      </c>
      <c r="AK7" s="25"/>
      <c r="AL7" s="43">
        <f t="shared" si="13"/>
        <v>0</v>
      </c>
      <c r="AM7" s="25"/>
      <c r="AN7" s="25"/>
      <c r="AO7" s="43">
        <f t="shared" si="14"/>
        <v>0</v>
      </c>
      <c r="AP7" s="25"/>
      <c r="AQ7" s="43">
        <f t="shared" si="15"/>
        <v>0</v>
      </c>
      <c r="AR7" s="25"/>
      <c r="AS7" s="25">
        <v>10000</v>
      </c>
      <c r="AT7" s="43">
        <f t="shared" si="16"/>
        <v>3500</v>
      </c>
      <c r="AU7" s="25"/>
      <c r="AV7" s="43">
        <f t="shared" si="17"/>
        <v>0</v>
      </c>
      <c r="AW7" s="25"/>
      <c r="AX7" s="189"/>
      <c r="AY7" s="191">
        <f t="shared" si="18"/>
        <v>0</v>
      </c>
      <c r="AZ7" s="105"/>
      <c r="BA7" s="66">
        <f t="shared" si="19"/>
        <v>0</v>
      </c>
      <c r="BB7" s="179"/>
      <c r="BC7" s="105"/>
      <c r="BD7" s="66">
        <f t="shared" si="20"/>
        <v>0</v>
      </c>
      <c r="BE7" s="105"/>
      <c r="BF7" s="66">
        <f t="shared" si="21"/>
        <v>0</v>
      </c>
      <c r="BG7" s="105"/>
      <c r="BH7" s="105"/>
      <c r="BI7" s="66">
        <f t="shared" si="22"/>
        <v>0</v>
      </c>
      <c r="BJ7" s="105"/>
      <c r="BK7" s="66">
        <f t="shared" si="23"/>
        <v>0</v>
      </c>
      <c r="BL7" s="105"/>
      <c r="BM7" s="105"/>
      <c r="BN7" s="66">
        <f t="shared" si="24"/>
        <v>0</v>
      </c>
      <c r="BO7" s="105"/>
      <c r="BP7" s="66">
        <f t="shared" si="25"/>
        <v>0</v>
      </c>
      <c r="BQ7" s="105"/>
      <c r="BR7" s="105"/>
      <c r="BS7" s="66">
        <f t="shared" si="26"/>
        <v>0</v>
      </c>
      <c r="BT7" s="105"/>
      <c r="BU7" s="66">
        <f t="shared" si="27"/>
        <v>0</v>
      </c>
      <c r="BV7" s="105"/>
      <c r="BW7" s="105"/>
      <c r="BX7" s="66">
        <f>BW7*N7</f>
        <v>0</v>
      </c>
      <c r="BY7" s="105"/>
      <c r="BZ7" s="43">
        <f t="shared" si="28"/>
        <v>0</v>
      </c>
      <c r="CA7" s="25"/>
      <c r="CB7" s="18"/>
    </row>
    <row r="8" spans="1:80" s="126" customFormat="1" x14ac:dyDescent="0.4">
      <c r="A8" s="15" t="s">
        <v>260</v>
      </c>
      <c r="B8" s="15" t="s">
        <v>262</v>
      </c>
      <c r="C8" s="15" t="s">
        <v>263</v>
      </c>
      <c r="D8" s="15" t="s">
        <v>279</v>
      </c>
      <c r="E8" s="112" t="s">
        <v>280</v>
      </c>
      <c r="F8" s="15" t="s">
        <v>267</v>
      </c>
      <c r="G8" s="15" t="s">
        <v>271</v>
      </c>
      <c r="H8" s="15" t="s">
        <v>99</v>
      </c>
      <c r="I8" s="15" t="s">
        <v>99</v>
      </c>
      <c r="J8" s="15" t="s">
        <v>100</v>
      </c>
      <c r="K8" s="15" t="s">
        <v>97</v>
      </c>
      <c r="L8" s="15" t="s">
        <v>210</v>
      </c>
      <c r="M8" s="28"/>
      <c r="N8" s="41"/>
      <c r="O8" s="42"/>
      <c r="P8" s="70">
        <f t="shared" si="2"/>
        <v>0</v>
      </c>
      <c r="Q8" s="44">
        <f t="shared" si="3"/>
        <v>0</v>
      </c>
      <c r="R8" s="30">
        <f t="shared" si="4"/>
        <v>0</v>
      </c>
      <c r="S8" s="30">
        <f t="shared" si="5"/>
        <v>0</v>
      </c>
      <c r="T8" s="25"/>
      <c r="U8" s="43">
        <f t="shared" si="6"/>
        <v>0</v>
      </c>
      <c r="V8" s="25"/>
      <c r="W8" s="43">
        <f t="shared" si="7"/>
        <v>0</v>
      </c>
      <c r="X8" s="25"/>
      <c r="Y8" s="25"/>
      <c r="Z8" s="43">
        <f t="shared" si="8"/>
        <v>0</v>
      </c>
      <c r="AA8" s="25"/>
      <c r="AB8" s="43">
        <f t="shared" si="9"/>
        <v>0</v>
      </c>
      <c r="AC8" s="25"/>
      <c r="AD8" s="25"/>
      <c r="AE8" s="43">
        <f t="shared" si="10"/>
        <v>0</v>
      </c>
      <c r="AF8" s="25"/>
      <c r="AG8" s="43">
        <f t="shared" si="11"/>
        <v>0</v>
      </c>
      <c r="AH8" s="25"/>
      <c r="AI8" s="25"/>
      <c r="AJ8" s="43">
        <f t="shared" si="12"/>
        <v>0</v>
      </c>
      <c r="AK8" s="25"/>
      <c r="AL8" s="43">
        <f t="shared" si="13"/>
        <v>0</v>
      </c>
      <c r="AM8" s="25"/>
      <c r="AN8" s="25"/>
      <c r="AO8" s="43">
        <f t="shared" si="14"/>
        <v>0</v>
      </c>
      <c r="AP8" s="25"/>
      <c r="AQ8" s="43">
        <f t="shared" si="15"/>
        <v>0</v>
      </c>
      <c r="AR8" s="25"/>
      <c r="AS8" s="25"/>
      <c r="AT8" s="43">
        <f t="shared" si="16"/>
        <v>0</v>
      </c>
      <c r="AU8" s="25"/>
      <c r="AV8" s="43">
        <f t="shared" si="17"/>
        <v>0</v>
      </c>
      <c r="AW8" s="25"/>
      <c r="AX8" s="189"/>
      <c r="AY8" s="191">
        <f t="shared" si="18"/>
        <v>0</v>
      </c>
      <c r="AZ8" s="105"/>
      <c r="BA8" s="66">
        <f t="shared" si="19"/>
        <v>0</v>
      </c>
      <c r="BB8" s="179"/>
      <c r="BC8" s="105"/>
      <c r="BD8" s="66">
        <f t="shared" si="20"/>
        <v>0</v>
      </c>
      <c r="BE8" s="105"/>
      <c r="BF8" s="66">
        <f t="shared" si="21"/>
        <v>0</v>
      </c>
      <c r="BG8" s="105"/>
      <c r="BH8" s="105"/>
      <c r="BI8" s="66">
        <f t="shared" si="22"/>
        <v>0</v>
      </c>
      <c r="BJ8" s="105"/>
      <c r="BK8" s="66">
        <f t="shared" si="23"/>
        <v>0</v>
      </c>
      <c r="BL8" s="105"/>
      <c r="BM8" s="105"/>
      <c r="BN8" s="66">
        <f t="shared" si="24"/>
        <v>0</v>
      </c>
      <c r="BO8" s="105"/>
      <c r="BP8" s="66">
        <f t="shared" si="25"/>
        <v>0</v>
      </c>
      <c r="BQ8" s="105"/>
      <c r="BR8" s="105"/>
      <c r="BS8" s="66">
        <f t="shared" si="26"/>
        <v>0</v>
      </c>
      <c r="BT8" s="105"/>
      <c r="BU8" s="66">
        <f t="shared" si="27"/>
        <v>0</v>
      </c>
      <c r="BV8" s="105"/>
      <c r="BW8" s="105"/>
      <c r="BX8" s="66">
        <f t="shared" ref="BX8:BX9" si="29">BW8*N8</f>
        <v>0</v>
      </c>
      <c r="BY8" s="105"/>
      <c r="BZ8" s="43">
        <f t="shared" si="28"/>
        <v>0</v>
      </c>
      <c r="CA8" s="25"/>
      <c r="CB8" s="18"/>
    </row>
    <row r="9" spans="1:80" s="126" customFormat="1" ht="32" x14ac:dyDescent="0.4">
      <c r="A9" s="15" t="s">
        <v>260</v>
      </c>
      <c r="B9" s="15" t="s">
        <v>262</v>
      </c>
      <c r="C9" s="15" t="s">
        <v>263</v>
      </c>
      <c r="D9" s="15" t="s">
        <v>265</v>
      </c>
      <c r="E9" s="112" t="s">
        <v>266</v>
      </c>
      <c r="F9" s="15" t="s">
        <v>267</v>
      </c>
      <c r="G9" s="15" t="s">
        <v>268</v>
      </c>
      <c r="H9" s="15" t="s">
        <v>96</v>
      </c>
      <c r="I9" s="15" t="s">
        <v>96</v>
      </c>
      <c r="J9" s="40" t="s">
        <v>146</v>
      </c>
      <c r="K9" s="25" t="s">
        <v>97</v>
      </c>
      <c r="L9" s="15" t="s">
        <v>269</v>
      </c>
      <c r="M9" s="53" t="s">
        <v>80</v>
      </c>
      <c r="N9" s="54">
        <v>4.4000000000000004</v>
      </c>
      <c r="O9" s="55"/>
      <c r="P9" s="44">
        <f t="shared" si="2"/>
        <v>90</v>
      </c>
      <c r="Q9" s="44">
        <f t="shared" si="3"/>
        <v>396</v>
      </c>
      <c r="R9" s="30">
        <f t="shared" si="4"/>
        <v>0</v>
      </c>
      <c r="S9" s="30">
        <f t="shared" si="5"/>
        <v>0</v>
      </c>
      <c r="T9" s="25"/>
      <c r="U9" s="43">
        <f t="shared" si="6"/>
        <v>0</v>
      </c>
      <c r="V9" s="25">
        <v>2700</v>
      </c>
      <c r="W9" s="43">
        <f t="shared" si="7"/>
        <v>11880.000000000002</v>
      </c>
      <c r="X9" s="25"/>
      <c r="Y9" s="25"/>
      <c r="Z9" s="43">
        <f t="shared" si="8"/>
        <v>0</v>
      </c>
      <c r="AA9" s="25"/>
      <c r="AB9" s="43">
        <f t="shared" si="9"/>
        <v>0</v>
      </c>
      <c r="AC9" s="25"/>
      <c r="AD9" s="25">
        <v>30000</v>
      </c>
      <c r="AE9" s="43">
        <f t="shared" si="10"/>
        <v>132000</v>
      </c>
      <c r="AF9" s="25">
        <v>2700</v>
      </c>
      <c r="AG9" s="43">
        <f t="shared" si="11"/>
        <v>11880.000000000002</v>
      </c>
      <c r="AH9" s="25"/>
      <c r="AI9" s="25"/>
      <c r="AJ9" s="43">
        <f t="shared" si="12"/>
        <v>0</v>
      </c>
      <c r="AK9" s="25">
        <v>0</v>
      </c>
      <c r="AL9" s="43">
        <f t="shared" si="13"/>
        <v>0</v>
      </c>
      <c r="AM9" s="25"/>
      <c r="AN9" s="25"/>
      <c r="AO9" s="43">
        <f t="shared" si="14"/>
        <v>0</v>
      </c>
      <c r="AP9" s="25">
        <v>2700</v>
      </c>
      <c r="AQ9" s="43">
        <f t="shared" si="15"/>
        <v>11880.000000000002</v>
      </c>
      <c r="AR9" s="25"/>
      <c r="AS9" s="25"/>
      <c r="AT9" s="43">
        <f t="shared" si="16"/>
        <v>0</v>
      </c>
      <c r="AU9" s="25"/>
      <c r="AV9" s="43">
        <f t="shared" si="17"/>
        <v>0</v>
      </c>
      <c r="AW9" s="25"/>
      <c r="AX9" s="189"/>
      <c r="AY9" s="191">
        <f t="shared" si="18"/>
        <v>0</v>
      </c>
      <c r="AZ9" s="105"/>
      <c r="BA9" s="66">
        <f t="shared" si="19"/>
        <v>0</v>
      </c>
      <c r="BB9" s="180"/>
      <c r="BC9" s="105">
        <v>30000</v>
      </c>
      <c r="BD9" s="66">
        <f t="shared" si="20"/>
        <v>132000</v>
      </c>
      <c r="BE9" s="105"/>
      <c r="BF9" s="66">
        <f t="shared" si="21"/>
        <v>0</v>
      </c>
      <c r="BG9" s="105"/>
      <c r="BH9" s="105"/>
      <c r="BI9" s="66">
        <f t="shared" si="22"/>
        <v>0</v>
      </c>
      <c r="BJ9" s="105"/>
      <c r="BK9" s="66">
        <f t="shared" si="23"/>
        <v>0</v>
      </c>
      <c r="BL9" s="180"/>
      <c r="BM9" s="105"/>
      <c r="BN9" s="66">
        <f t="shared" si="24"/>
        <v>0</v>
      </c>
      <c r="BO9" s="105"/>
      <c r="BP9" s="66">
        <f t="shared" si="25"/>
        <v>0</v>
      </c>
      <c r="BQ9" s="180"/>
      <c r="BR9" s="105">
        <v>30000</v>
      </c>
      <c r="BS9" s="66">
        <f t="shared" si="26"/>
        <v>132000</v>
      </c>
      <c r="BT9" s="105"/>
      <c r="BU9" s="66">
        <f t="shared" si="27"/>
        <v>0</v>
      </c>
      <c r="BV9" s="105"/>
      <c r="BW9" s="105"/>
      <c r="BX9" s="66">
        <f t="shared" si="29"/>
        <v>0</v>
      </c>
      <c r="BY9" s="105"/>
      <c r="BZ9" s="43">
        <f t="shared" si="28"/>
        <v>0</v>
      </c>
      <c r="CA9" s="25"/>
      <c r="CB9" s="181" t="s">
        <v>281</v>
      </c>
    </row>
  </sheetData>
  <sheetProtection algorithmName="SHA-512" hashValue="qPOHyixmhh2vdp/qlGPDmzQhlLwwsQGKyweIT8MIsBC2zErBEQbUf6BlGIe0vSWbidm/VeOetJq57s3dj+Ra4w==" saltValue="h3rhQ1hIhI1o2wMw35mGIA==" spinCount="100000" sheet="1" objects="1" scenarios="1" selectLockedCells="1"/>
  <autoFilter ref="A2:CB2" xr:uid="{8E3616B1-B922-4540-8767-1C62132A2CF4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81BC1CF7478143B5B3C59CD5273383" ma:contentTypeVersion="8" ma:contentTypeDescription="Create a new document." ma:contentTypeScope="" ma:versionID="67c7a9acf4df7b5ee4c7c629ee779ef9">
  <xsd:schema xmlns:xsd="http://www.w3.org/2001/XMLSchema" xmlns:xs="http://www.w3.org/2001/XMLSchema" xmlns:p="http://schemas.microsoft.com/office/2006/metadata/properties" xmlns:ns2="683c045b-5725-4f36-b8a3-d216de519753" xmlns:ns3="037720bd-2f8f-4241-82a4-ef04fe219b04" targetNamespace="http://schemas.microsoft.com/office/2006/metadata/properties" ma:root="true" ma:fieldsID="89afe5bb8a3d9b61c533469929bf2785" ns2:_="" ns3:_="">
    <xsd:import namespace="683c045b-5725-4f36-b8a3-d216de519753"/>
    <xsd:import namespace="037720bd-2f8f-4241-82a4-ef04fe219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045b-5725-4f36-b8a3-d216de5197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720bd-2f8f-4241-82a4-ef04fe219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629955-BD0A-4587-8049-5B2114298E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E1DD8A-FA1C-44A8-B5E8-AA3E7A4E5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045b-5725-4f36-b8a3-d216de519753"/>
    <ds:schemaRef ds:uri="037720bd-2f8f-4241-82a4-ef04fe219b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4A8B25-0440-424A-91A8-BF2F6F021C4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37720bd-2f8f-4241-82a4-ef04fe219b04"/>
    <ds:schemaRef ds:uri="http://purl.org/dc/terms/"/>
    <ds:schemaRef ds:uri="http://schemas.openxmlformats.org/package/2006/metadata/core-properties"/>
    <ds:schemaRef ds:uri="683c045b-5725-4f36-b8a3-d216de51975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Mahesh Kumar</cp:lastModifiedBy>
  <dcterms:created xsi:type="dcterms:W3CDTF">2015-06-05T18:17:20Z</dcterms:created>
  <dcterms:modified xsi:type="dcterms:W3CDTF">2026-09-25T10:40:09Z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0x0101008C81BC1CF7478143B5B3C59CD5273383</vt:lpwstr>
  </property>
</Properties>
</file>