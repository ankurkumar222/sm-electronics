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<sst xmlns="http://schemas.openxmlformats.org/spreadsheetml/2006/main" count="23831" uniqueCount="2825">
  <si>
    <t xml:space="preserve">UNIQUE CODE</t>
  </si>
  <si>
    <t xml:space="preserve">New Line</t>
  </si>
  <si>
    <t xml:space="preserve">Sales Changes</t>
  </si>
  <si>
    <t xml:space="preserve">Currency</t>
  </si>
  <si>
    <t xml:space="preserve">Zone</t>
  </si>
  <si>
    <t xml:space="preserve">Region</t>
  </si>
  <si>
    <t xml:space="preserve">Customer Code</t>
  </si>
  <si>
    <t xml:space="preserve">Customer Name</t>
  </si>
  <si>
    <t xml:space="preserve">Segment</t>
  </si>
  <si>
    <t xml:space="preserve">Sub Segment</t>
  </si>
  <si>
    <t xml:space="preserve">End Customer Name</t>
  </si>
  <si>
    <t xml:space="preserve">End Customer Segment</t>
  </si>
  <si>
    <t xml:space="preserve">End Customer Sub-Segment</t>
  </si>
  <si>
    <t xml:space="preserve">Sales Incharge</t>
  </si>
  <si>
    <t xml:space="preserve">Sales CSR</t>
  </si>
  <si>
    <t xml:space="preserve">Principal</t>
  </si>
  <si>
    <t xml:space="preserve">Make</t>
  </si>
  <si>
    <t xml:space="preserve">PM Name</t>
  </si>
  <si>
    <t xml:space="preserve">PM CSR</t>
  </si>
  <si>
    <t xml:space="preserve">Part Number</t>
  </si>
  <si>
    <t xml:space="preserve">Existing/New</t>
  </si>
  <si>
    <t xml:space="preserve">EP in US $</t>
  </si>
  <si>
    <t xml:space="preserve">DP in US $</t>
  </si>
  <si>
    <t xml:space="preserve">Apr_FY2627_Qty</t>
  </si>
  <si>
    <t xml:space="preserve">May_FY2627_Qty</t>
  </si>
  <si>
    <t xml:space="preserve">Jun_FY2627_Qty</t>
  </si>
  <si>
    <t xml:space="preserve">July_FY2627_Qty</t>
  </si>
  <si>
    <t xml:space="preserve">Aug_FY2627_Qty</t>
  </si>
  <si>
    <t xml:space="preserve">Sept_FY2627_Qty</t>
  </si>
  <si>
    <t xml:space="preserve">Oct_FY2627_Qty</t>
  </si>
  <si>
    <t xml:space="preserve">Nov_FY2627_Qty</t>
  </si>
  <si>
    <t xml:space="preserve">Dec_FY2627_Qty</t>
  </si>
  <si>
    <t xml:space="preserve">Jan_FY2627_Qty</t>
  </si>
  <si>
    <t xml:space="preserve">Feb_FY2627_Qty</t>
  </si>
  <si>
    <t xml:space="preserve">Mar_FY2627_Qty</t>
  </si>
  <si>
    <t xml:space="preserve">Apr_FY2627_Val</t>
  </si>
  <si>
    <t xml:space="preserve">May_FY2627_Val</t>
  </si>
  <si>
    <t xml:space="preserve">Jun_FY2627_Val</t>
  </si>
  <si>
    <t xml:space="preserve">July_FY2627_Val</t>
  </si>
  <si>
    <t xml:space="preserve">Aug_FY2627_Val</t>
  </si>
  <si>
    <t xml:space="preserve">Sept_FY2627_Val</t>
  </si>
  <si>
    <t xml:space="preserve">Oct_FY2627_Val</t>
  </si>
  <si>
    <t xml:space="preserve">Nov_FY2627_Val</t>
  </si>
  <si>
    <t xml:space="preserve">Dec_FY2627_Val</t>
  </si>
  <si>
    <t xml:space="preserve">Jan_FY2627_Val</t>
  </si>
  <si>
    <t xml:space="preserve">Feb_FY2627_Val</t>
  </si>
  <si>
    <t xml:space="preserve">Mar_FY2627_Val</t>
  </si>
  <si>
    <t xml:space="preserve">TotalQty_FY2627</t>
  </si>
  <si>
    <t xml:space="preserve">TotalVal__INR_FY2627</t>
  </si>
  <si>
    <t xml:space="preserve">TotalVal_USD_FY2627</t>
  </si>
  <si>
    <t xml:space="preserve">INR</t>
  </si>
  <si>
    <t xml:space="preserve">NORTH</t>
  </si>
  <si>
    <t xml:space="preserve">NEW DELHI</t>
  </si>
  <si>
    <t xml:space="preserve">DEL00010</t>
  </si>
  <si>
    <t xml:space="preserve">ALLIED ENGINEERING WORKS LIMITED</t>
  </si>
  <si>
    <t xml:space="preserve">Energy Meter</t>
  </si>
  <si>
    <t xml:space="preserve">Smart Meter</t>
  </si>
  <si>
    <t xml:space="preserve">SURAJ PANDEY</t>
  </si>
  <si>
    <t xml:space="preserve">Palak</t>
  </si>
  <si>
    <t xml:space="preserve">QUECTEL</t>
  </si>
  <si>
    <t xml:space="preserve">Ram Mohan</t>
  </si>
  <si>
    <t xml:space="preserve">Lavanya</t>
  </si>
  <si>
    <t xml:space="preserve">EG800AKCN11LC-4I-SNNSI</t>
  </si>
  <si>
    <t xml:space="preserve">New</t>
  </si>
  <si>
    <t xml:space="preserve">A7007</t>
  </si>
  <si>
    <t xml:space="preserve">DEL01976</t>
  </si>
  <si>
    <t xml:space="preserve">KIMBAL PRIVATE LIMITED</t>
  </si>
  <si>
    <t xml:space="preserve">ARPIT SINGH</t>
  </si>
  <si>
    <t xml:space="preserve">Prakash</t>
  </si>
  <si>
    <t xml:space="preserve">EVE</t>
  </si>
  <si>
    <t xml:space="preserve">Manju N</t>
  </si>
  <si>
    <t xml:space="preserve">Kiran Bhamshetty</t>
  </si>
  <si>
    <t xml:space="preserve">CR2450CKP</t>
  </si>
  <si>
    <t xml:space="preserve">Existing</t>
  </si>
  <si>
    <t xml:space="preserve">A3336</t>
  </si>
  <si>
    <t xml:space="preserve">DEL00076</t>
  </si>
  <si>
    <t xml:space="preserve">PRANAV VIKAS INDIA (PVT) LTD</t>
  </si>
  <si>
    <t xml:space="preserve">Automotive-EV</t>
  </si>
  <si>
    <t xml:space="preserve">Motor Control Unit</t>
  </si>
  <si>
    <t xml:space="preserve">MAHESH KUMAR MITTAL</t>
  </si>
  <si>
    <t xml:space="preserve">PANASONIC</t>
  </si>
  <si>
    <t xml:space="preserve">Vikram</t>
  </si>
  <si>
    <t xml:space="preserve">Anbarasu</t>
  </si>
  <si>
    <t xml:space="preserve">SSW7169</t>
  </si>
  <si>
    <t xml:space="preserve">A4432</t>
  </si>
  <si>
    <t xml:space="preserve">NICHICON</t>
  </si>
  <si>
    <t xml:space="preserve">Abhinandan</t>
  </si>
  <si>
    <t xml:space="preserve">Shraddha</t>
  </si>
  <si>
    <t xml:space="preserve">UCS2V220MHD1TO</t>
  </si>
  <si>
    <t xml:space="preserve">EC200NCNAD-N05-SNNSI</t>
  </si>
  <si>
    <t xml:space="preserve">A2194</t>
  </si>
  <si>
    <t xml:space="preserve">DEL00038</t>
  </si>
  <si>
    <t xml:space="preserve">EPPELTONE ENGINEERS LIMITED</t>
  </si>
  <si>
    <t xml:space="preserve">KULDEEP KUMAR</t>
  </si>
  <si>
    <t xml:space="preserve">Poonam Kashyap</t>
  </si>
  <si>
    <t xml:space="preserve">EG800AKCN11LC-4I-SNNSA</t>
  </si>
  <si>
    <t xml:space="preserve">A8366</t>
  </si>
  <si>
    <t xml:space="preserve">CHANDIGARH</t>
  </si>
  <si>
    <t xml:space="preserve">DEL00016</t>
  </si>
  <si>
    <t xml:space="preserve">AVON METERS PRIVATE LIMITED</t>
  </si>
  <si>
    <t xml:space="preserve">Single Phase</t>
  </si>
  <si>
    <t xml:space="preserve">DP is in INR</t>
  </si>
  <si>
    <t xml:space="preserve">USD</t>
  </si>
  <si>
    <t xml:space="preserve">DEL00012</t>
  </si>
  <si>
    <t xml:space="preserve">A.Paul Software Systems Private Limited</t>
  </si>
  <si>
    <t xml:space="preserve">Industrial</t>
  </si>
  <si>
    <t xml:space="preserve">Security &amp; Surveillance</t>
  </si>
  <si>
    <t xml:space="preserve">Abha</t>
  </si>
  <si>
    <t xml:space="preserve">Renesas</t>
  </si>
  <si>
    <t xml:space="preserve">R8A774B1HA01BG</t>
  </si>
  <si>
    <t xml:space="preserve">RENESAS</t>
  </si>
  <si>
    <t xml:space="preserve">R8A774B0HA01BG#G2</t>
  </si>
  <si>
    <t xml:space="preserve">R9A09G047E57GBG</t>
  </si>
  <si>
    <t xml:space="preserve">ESMT </t>
  </si>
  <si>
    <t xml:space="preserve">FC51J32SJTS2A-2.5BWGE2D </t>
  </si>
  <si>
    <t xml:space="preserve">Qorvo </t>
  </si>
  <si>
    <t xml:space="preserve">ACT85411-101T</t>
  </si>
  <si>
    <t xml:space="preserve">Qorvo</t>
  </si>
  <si>
    <t xml:space="preserve">ACT88760-116T</t>
  </si>
  <si>
    <t xml:space="preserve">Quectel</t>
  </si>
  <si>
    <t xml:space="preserve">FCS866R</t>
  </si>
  <si>
    <t xml:space="preserve">R7FS5D97C2A01CBG#AC0</t>
  </si>
  <si>
    <t xml:space="preserve">L89HA-S90</t>
  </si>
  <si>
    <t xml:space="preserve">ISL81802FRTZ-T</t>
  </si>
  <si>
    <t xml:space="preserve">Lontium</t>
  </si>
  <si>
    <t xml:space="preserve">LT9711</t>
  </si>
  <si>
    <t xml:space="preserve">Macronix</t>
  </si>
  <si>
    <t xml:space="preserve">MX25U51245GXDI00-TR</t>
  </si>
  <si>
    <t xml:space="preserve">J Micron</t>
  </si>
  <si>
    <t xml:space="preserve">JMS582-QFN48</t>
  </si>
  <si>
    <t xml:space="preserve">ACT88430VM118-T</t>
  </si>
  <si>
    <t xml:space="preserve">ACT88430</t>
  </si>
  <si>
    <t xml:space="preserve">RAA215300A2GNP#HA0</t>
  </si>
  <si>
    <t xml:space="preserve">JMS583</t>
  </si>
  <si>
    <t xml:space="preserve">Hirose</t>
  </si>
  <si>
    <t xml:space="preserve">IX60G-A-10P </t>
  </si>
  <si>
    <t xml:space="preserve">uPD720202</t>
  </si>
  <si>
    <t xml:space="preserve">Uma</t>
  </si>
  <si>
    <t xml:space="preserve">9FGV0841AKILF</t>
  </si>
  <si>
    <t xml:space="preserve">UPD720210K8-BAF-A</t>
  </si>
  <si>
    <t xml:space="preserve">Bosch</t>
  </si>
  <si>
    <t xml:space="preserve">BMI270</t>
  </si>
  <si>
    <t xml:space="preserve">SealSq</t>
  </si>
  <si>
    <t xml:space="preserve">VAULTIC408</t>
  </si>
  <si>
    <t xml:space="preserve">DA7212-01UM2</t>
  </si>
  <si>
    <t xml:space="preserve">ECS</t>
  </si>
  <si>
    <t xml:space="preserve">ECS-TXO-3225MV-122.8-TR</t>
  </si>
  <si>
    <t xml:space="preserve">ECS-327MV-CN-TR</t>
  </si>
  <si>
    <t xml:space="preserve">HS3002</t>
  </si>
  <si>
    <t xml:space="preserve">5L35023B-000NLGI</t>
  </si>
  <si>
    <t xml:space="preserve">LT8711V</t>
  </si>
  <si>
    <t xml:space="preserve">5P35023B-000NLGI</t>
  </si>
  <si>
    <t xml:space="preserve">AT25QL128A-MHE-T</t>
  </si>
  <si>
    <t xml:space="preserve">ISL91127IIAZ-T7A</t>
  </si>
  <si>
    <t xml:space="preserve">ISL80505IRAJZ</t>
  </si>
  <si>
    <t xml:space="preserve">Dialog Semiconductor</t>
  </si>
  <si>
    <t xml:space="preserve">DA7218-00U32</t>
  </si>
  <si>
    <t xml:space="preserve">DA7218</t>
  </si>
  <si>
    <t xml:space="preserve">ECS-2520Q-18-330-BS-TR</t>
  </si>
  <si>
    <t xml:space="preserve">ISL61861BIBZ </t>
  </si>
  <si>
    <t xml:space="preserve">ISL1208IB8Z</t>
  </si>
  <si>
    <t xml:space="preserve">ECS-3225MVQ-1250-CN-TR</t>
  </si>
  <si>
    <t xml:space="preserve">JAE</t>
  </si>
  <si>
    <t xml:space="preserve">DX07S024WJ3R400</t>
  </si>
  <si>
    <t xml:space="preserve">FH26W-39S-0.3SHW(60) </t>
  </si>
  <si>
    <t xml:space="preserve">R7FA2E3053CNH#BA0</t>
  </si>
  <si>
    <t xml:space="preserve">ECS-2520MVLC-225.792-BN-TR</t>
  </si>
  <si>
    <t xml:space="preserve">Vishay</t>
  </si>
  <si>
    <t xml:space="preserve">M55342K11B1E00RS3</t>
  </si>
  <si>
    <t xml:space="preserve">ISL91117IIAZ-T</t>
  </si>
  <si>
    <t xml:space="preserve">ATTEND</t>
  </si>
  <si>
    <t xml:space="preserve">115A-ADA0-R02</t>
  </si>
  <si>
    <t xml:space="preserve">SLG46585M_3</t>
  </si>
  <si>
    <t xml:space="preserve">Sealsq</t>
  </si>
  <si>
    <t xml:space="preserve">VaultIC292</t>
  </si>
  <si>
    <t xml:space="preserve">112J-TDAR-R01</t>
  </si>
  <si>
    <t xml:space="preserve">ECS-250-20-33-CKM-TR</t>
  </si>
  <si>
    <t xml:space="preserve">123A-85MA0</t>
  </si>
  <si>
    <t xml:space="preserve">123A-85BA0</t>
  </si>
  <si>
    <t xml:space="preserve">Pulse Electronics</t>
  </si>
  <si>
    <t xml:space="preserve">HX5084NL</t>
  </si>
  <si>
    <t xml:space="preserve">ECS-.327-CDX-2217</t>
  </si>
  <si>
    <t xml:space="preserve">VISHAY</t>
  </si>
  <si>
    <t xml:space="preserve">WSL1206R0100FEA18 </t>
  </si>
  <si>
    <t xml:space="preserve">TR3C106K035C0450</t>
  </si>
  <si>
    <t xml:space="preserve">RV1S9160ACCSP-100V#KC0</t>
  </si>
  <si>
    <t xml:space="preserve">Hirose Electric</t>
  </si>
  <si>
    <t xml:space="preserve">U.FL-R-SMT-1(80) </t>
  </si>
  <si>
    <t xml:space="preserve">ROHM</t>
  </si>
  <si>
    <t xml:space="preserve">RS3G160ATTB1</t>
  </si>
  <si>
    <t xml:space="preserve">ISL80030AFRZ</t>
  </si>
  <si>
    <t xml:space="preserve">ISL80510IRAJZ</t>
  </si>
  <si>
    <t xml:space="preserve">VJ0603A151FXAAC</t>
  </si>
  <si>
    <t xml:space="preserve">ISL80030A</t>
  </si>
  <si>
    <t xml:space="preserve">206A-SEAN-R03</t>
  </si>
  <si>
    <t xml:space="preserve">DF51A-12DP-2DSA(01)</t>
  </si>
  <si>
    <t xml:space="preserve">CRCW08050000Z0TAHP</t>
  </si>
  <si>
    <t xml:space="preserve">YAGEO</t>
  </si>
  <si>
    <t xml:space="preserve">RC0402FR-070RL</t>
  </si>
  <si>
    <t xml:space="preserve">TDK</t>
  </si>
  <si>
    <t xml:space="preserve">SPM10040T-100M</t>
  </si>
  <si>
    <t xml:space="preserve">293D106X9035C2TE3</t>
  </si>
  <si>
    <t xml:space="preserve">RAA808013GP3</t>
  </si>
  <si>
    <t xml:space="preserve">DF51A-8DP-2DSA(01)</t>
  </si>
  <si>
    <t xml:space="preserve">SLG46537V</t>
  </si>
  <si>
    <t xml:space="preserve">ECS-.327-12.5-12-TR</t>
  </si>
  <si>
    <t xml:space="preserve">R5F12068ASP#30</t>
  </si>
  <si>
    <t xml:space="preserve">ECS-500-10-33-RTN-TR</t>
  </si>
  <si>
    <t xml:space="preserve">AOS</t>
  </si>
  <si>
    <t xml:space="preserve">AOD4189</t>
  </si>
  <si>
    <t xml:space="preserve">KEMET</t>
  </si>
  <si>
    <t xml:space="preserve">C0402H102J3GACT250</t>
  </si>
  <si>
    <t xml:space="preserve">BD82006FVJ-MGE2</t>
  </si>
  <si>
    <t xml:space="preserve">BD82007FVJ-MGE2</t>
  </si>
  <si>
    <t xml:space="preserve">293D226X9016C2TE3</t>
  </si>
  <si>
    <t xml:space="preserve">Vishay </t>
  </si>
  <si>
    <t xml:space="preserve">CRCW04020000Z0TDHP</t>
  </si>
  <si>
    <t xml:space="preserve">Hirose </t>
  </si>
  <si>
    <t xml:space="preserve">DF11-4DP-2DSA(08)</t>
  </si>
  <si>
    <t xml:space="preserve">DF51A-4P-2DSA(01)</t>
  </si>
  <si>
    <t xml:space="preserve">CLF7045NIT-100M-D </t>
  </si>
  <si>
    <t xml:space="preserve">R5F10Y16ASP#10</t>
  </si>
  <si>
    <t xml:space="preserve">QST </t>
  </si>
  <si>
    <t xml:space="preserve">QT252S-25.000MAHJ-T</t>
  </si>
  <si>
    <t xml:space="preserve">ECS-270-20-33-CKM-TR</t>
  </si>
  <si>
    <t xml:space="preserve">ECS-250-10-37B2-CWN-TR</t>
  </si>
  <si>
    <t xml:space="preserve">Murata Electronics</t>
  </si>
  <si>
    <t xml:space="preserve">GR443QR73D222KW01L</t>
  </si>
  <si>
    <t xml:space="preserve">AOZ8905</t>
  </si>
  <si>
    <t xml:space="preserve">SPM6530T-3R3M-HZ</t>
  </si>
  <si>
    <t xml:space="preserve">NTCS0603E3473FHT</t>
  </si>
  <si>
    <t xml:space="preserve">ECS-250-18-36B2-CTY-TR</t>
  </si>
  <si>
    <t xml:space="preserve">Sumida</t>
  </si>
  <si>
    <t xml:space="preserve">CDRH6D28NP-3R9NC</t>
  </si>
  <si>
    <t xml:space="preserve">CDRH6D28NP-100NC</t>
  </si>
  <si>
    <t xml:space="preserve">MCT0603HZ0000ZP100</t>
  </si>
  <si>
    <t xml:space="preserve">SMAJ550HM3_B/H</t>
  </si>
  <si>
    <t xml:space="preserve">DF13-6P-1.25DSA(05)</t>
  </si>
  <si>
    <t xml:space="preserve">TMCMA1A476MTRF</t>
  </si>
  <si>
    <t xml:space="preserve">ECS-120-10-36B2-CWY-TR</t>
  </si>
  <si>
    <t xml:space="preserve">AO4840</t>
  </si>
  <si>
    <t xml:space="preserve">SLG59M1557V</t>
  </si>
  <si>
    <t xml:space="preserve">A5930</t>
  </si>
  <si>
    <t xml:space="preserve">JAIPUR</t>
  </si>
  <si>
    <t xml:space="preserve">JPR00004</t>
  </si>
  <si>
    <t xml:space="preserve">POLARIS SMART METERING PRIVATE LIMITED</t>
  </si>
  <si>
    <t xml:space="preserve">Neha Chauhan</t>
  </si>
  <si>
    <t xml:space="preserve">ER14250-3PF</t>
  </si>
  <si>
    <t xml:space="preserve">A5367</t>
  </si>
  <si>
    <t xml:space="preserve">CR2032CKP</t>
  </si>
  <si>
    <t xml:space="preserve">DEL00859</t>
  </si>
  <si>
    <t xml:space="preserve">PROBUS SMART THINGS PRIVATE LIMITED</t>
  </si>
  <si>
    <t xml:space="preserve">EC200UCNAD-N05-SNNSI</t>
  </si>
  <si>
    <t xml:space="preserve">A8321</t>
  </si>
  <si>
    <t xml:space="preserve">DEL00233</t>
  </si>
  <si>
    <t xml:space="preserve">BENTEC INDIA LIMITED</t>
  </si>
  <si>
    <t xml:space="preserve">Three Phase</t>
  </si>
  <si>
    <t xml:space="preserve">A8330</t>
  </si>
  <si>
    <t xml:space="preserve">DEL00072</t>
  </si>
  <si>
    <t xml:space="preserve">NAPINO AUTO &amp; ELECTRONICS LTD</t>
  </si>
  <si>
    <t xml:space="preserve">Automotive</t>
  </si>
  <si>
    <t xml:space="preserve">Fuel Injection System</t>
  </si>
  <si>
    <t xml:space="preserve">TAIWAN SEMI</t>
  </si>
  <si>
    <t xml:space="preserve">Gaurav</t>
  </si>
  <si>
    <t xml:space="preserve">Prajwal</t>
  </si>
  <si>
    <t xml:space="preserve">FRAF10JG</t>
  </si>
  <si>
    <t xml:space="preserve">A11766</t>
  </si>
  <si>
    <t xml:space="preserve">GUJARAT</t>
  </si>
  <si>
    <t xml:space="preserve">DEL01419</t>
  </si>
  <si>
    <t xml:space="preserve">ACCESS COMPUTECH PVT LTD</t>
  </si>
  <si>
    <t xml:space="preserve">Others-Industrial</t>
  </si>
  <si>
    <t xml:space="preserve">HARSH DOSHI</t>
  </si>
  <si>
    <t xml:space="preserve">Manju PJ</t>
  </si>
  <si>
    <t xml:space="preserve">A3717</t>
  </si>
  <si>
    <t xml:space="preserve">DEL00061</t>
  </si>
  <si>
    <t xml:space="preserve">LUMAX INDUSTRIES LIMITED</t>
  </si>
  <si>
    <t xml:space="preserve">Lighting</t>
  </si>
  <si>
    <t xml:space="preserve">ERZHF2M220D</t>
  </si>
  <si>
    <t xml:space="preserve">A6217</t>
  </si>
  <si>
    <t xml:space="preserve">ER26500(F1320R-LF)</t>
  </si>
  <si>
    <t xml:space="preserve">A2794</t>
  </si>
  <si>
    <t xml:space="preserve">SSW6229S</t>
  </si>
  <si>
    <t xml:space="preserve">A8371</t>
  </si>
  <si>
    <t xml:space="preserve">DEKI</t>
  </si>
  <si>
    <t xml:space="preserve">02 333 K 3A 7 C</t>
  </si>
  <si>
    <t xml:space="preserve">A3305</t>
  </si>
  <si>
    <t xml:space="preserve">A5298</t>
  </si>
  <si>
    <t xml:space="preserve">DEL01762</t>
  </si>
  <si>
    <t xml:space="preserve">PRICOL LIMITED-GURGAON</t>
  </si>
  <si>
    <t xml:space="preserve">Body Control Unit</t>
  </si>
  <si>
    <t xml:space="preserve">ABHISHEKH CHOUDHARY</t>
  </si>
  <si>
    <t xml:space="preserve">A7232</t>
  </si>
  <si>
    <t xml:space="preserve">DEL00049</t>
  </si>
  <si>
    <t xml:space="preserve">HPL ELECTRIC &amp; POWER GURGAON 132133</t>
  </si>
  <si>
    <t xml:space="preserve">Neha</t>
  </si>
  <si>
    <t xml:space="preserve">A2078</t>
  </si>
  <si>
    <t xml:space="preserve">DEL00057</t>
  </si>
  <si>
    <t xml:space="preserve">KAYNES TECHNOLOGY INDIA LIMITED-DELHI</t>
  </si>
  <si>
    <t xml:space="preserve">Others</t>
  </si>
  <si>
    <t xml:space="preserve">EMS</t>
  </si>
  <si>
    <t xml:space="preserve">A6266</t>
  </si>
  <si>
    <t xml:space="preserve">DEL00085</t>
  </si>
  <si>
    <t xml:space="preserve">SGS TEKNIKS MANUFACTURING-MANESAR</t>
  </si>
  <si>
    <t xml:space="preserve">Consumer</t>
  </si>
  <si>
    <t xml:space="preserve">White Goods</t>
  </si>
  <si>
    <t xml:space="preserve">ER14250C-3PT</t>
  </si>
  <si>
    <t xml:space="preserve">A1836</t>
  </si>
  <si>
    <t xml:space="preserve">A6640</t>
  </si>
  <si>
    <t xml:space="preserve">DIOTEC</t>
  </si>
  <si>
    <t xml:space="preserve">Adarsh</t>
  </si>
  <si>
    <t xml:space="preserve">SK34SMA-3G</t>
  </si>
  <si>
    <t xml:space="preserve">A7027</t>
  </si>
  <si>
    <t xml:space="preserve">UDAIPUR</t>
  </si>
  <si>
    <t xml:space="preserve">DEL00083</t>
  </si>
  <si>
    <t xml:space="preserve">SECURE METERS LIMITED</t>
  </si>
  <si>
    <t xml:space="preserve">Vinny</t>
  </si>
  <si>
    <t xml:space="preserve">M0125XLF</t>
  </si>
  <si>
    <t xml:space="preserve">A7764</t>
  </si>
  <si>
    <t xml:space="preserve">DEL00046</t>
  </si>
  <si>
    <t xml:space="preserve">GENUS POWER INFRASTRUCTURES LTD</t>
  </si>
  <si>
    <t xml:space="preserve">BAT54C</t>
  </si>
  <si>
    <t xml:space="preserve">abha</t>
  </si>
  <si>
    <t xml:space="preserve">A5212</t>
  </si>
  <si>
    <t xml:space="preserve">DEL01942</t>
  </si>
  <si>
    <t xml:space="preserve">JNS INSTRUMENTS LIMITED</t>
  </si>
  <si>
    <t xml:space="preserve">Cluster</t>
  </si>
  <si>
    <t xml:space="preserve">ERZHF2M220F</t>
  </si>
  <si>
    <t xml:space="preserve">SAMRIDDHI AUTOMATIONS PVT. LTD.</t>
  </si>
  <si>
    <t xml:space="preserve">Security camera</t>
  </si>
  <si>
    <t xml:space="preserve">MACRONIX</t>
  </si>
  <si>
    <t xml:space="preserve">Pavan</t>
  </si>
  <si>
    <t xml:space="preserve">MX35LF1GE4AB-Z4I</t>
  </si>
  <si>
    <t xml:space="preserve">A6553</t>
  </si>
  <si>
    <t xml:space="preserve">UCY2W330MHD3TN</t>
  </si>
  <si>
    <t xml:space="preserve">A8119</t>
  </si>
  <si>
    <t xml:space="preserve">SPC1520A</t>
  </si>
  <si>
    <t xml:space="preserve">Aggressive EMS</t>
  </si>
  <si>
    <t xml:space="preserve">BLM18KG601SH1D</t>
  </si>
  <si>
    <t xml:space="preserve">A5634</t>
  </si>
  <si>
    <t xml:space="preserve">A8363</t>
  </si>
  <si>
    <t xml:space="preserve">JPR00057</t>
  </si>
  <si>
    <t xml:space="preserve">POLARISGRIDS PRIVATE LIMITED</t>
  </si>
  <si>
    <t xml:space="preserve">A2861</t>
  </si>
  <si>
    <t xml:space="preserve">GCM188R72A103KA37D</t>
  </si>
  <si>
    <t xml:space="preserve">A3922</t>
  </si>
  <si>
    <t xml:space="preserve">DEL02051</t>
  </si>
  <si>
    <t xml:space="preserve">RIOT LABZ PRIVATE LIMITED</t>
  </si>
  <si>
    <t xml:space="preserve">R5F10NPJDFB#15</t>
  </si>
  <si>
    <t xml:space="preserve">MURATA</t>
  </si>
  <si>
    <t xml:space="preserve">GCM21BR71A106KE22K</t>
  </si>
  <si>
    <t xml:space="preserve">GCM188R71H103KA37D</t>
  </si>
  <si>
    <t xml:space="preserve">ACT32P-102-2P-TL01</t>
  </si>
  <si>
    <t xml:space="preserve">CGA3E1X7R1C105K080AC</t>
  </si>
  <si>
    <t xml:space="preserve">A2725</t>
  </si>
  <si>
    <t xml:space="preserve">ABS15Y</t>
  </si>
  <si>
    <t xml:space="preserve">A1363</t>
  </si>
  <si>
    <t xml:space="preserve">UTTAR PRADESH</t>
  </si>
  <si>
    <t xml:space="preserve">DEL01737</t>
  </si>
  <si>
    <t xml:space="preserve">HINDUSTAN AERONAUTICS LIMITED</t>
  </si>
  <si>
    <t xml:space="preserve">Aerospace &amp; Defence</t>
  </si>
  <si>
    <t xml:space="preserve">Avionics</t>
  </si>
  <si>
    <t xml:space="preserve">HONEYWELL</t>
  </si>
  <si>
    <t xml:space="preserve">Veeranagouda</t>
  </si>
  <si>
    <t xml:space="preserve">Tanuja</t>
  </si>
  <si>
    <t xml:space="preserve">2HM19-5</t>
  </si>
  <si>
    <t xml:space="preserve">A8034</t>
  </si>
  <si>
    <t xml:space="preserve">DEL02049</t>
  </si>
  <si>
    <t xml:space="preserve">BOPARAI ELECTRICALS &amp; ELECTRONICS-1Z5</t>
  </si>
  <si>
    <t xml:space="preserve">Panel Meter</t>
  </si>
  <si>
    <t xml:space="preserve">R5F12048ASP#50</t>
  </si>
  <si>
    <t xml:space="preserve">GCJ188R72A104KA01D</t>
  </si>
  <si>
    <t xml:space="preserve">GCM1885C2A5R0CA16D</t>
  </si>
  <si>
    <t xml:space="preserve">GCM21BR71C475KA73K</t>
  </si>
  <si>
    <t xml:space="preserve">KKT00087</t>
  </si>
  <si>
    <t xml:space="preserve">UMA POLY SOLUTIONS PVT LTD</t>
  </si>
  <si>
    <t xml:space="preserve">A5484</t>
  </si>
  <si>
    <t xml:space="preserve">CT MICRO</t>
  </si>
  <si>
    <t xml:space="preserve">Karthik</t>
  </si>
  <si>
    <t xml:space="preserve">CT817D(S)(T1)-HG</t>
  </si>
  <si>
    <t xml:space="preserve">TRINITY ENERGY SYSTEMS PVT LTD</t>
  </si>
  <si>
    <t xml:space="preserve">TIANMA</t>
  </si>
  <si>
    <t xml:space="preserve">TJMS5299</t>
  </si>
  <si>
    <t xml:space="preserve">NEW</t>
  </si>
  <si>
    <t xml:space="preserve">A6897</t>
  </si>
  <si>
    <t xml:space="preserve">DEL02032</t>
  </si>
  <si>
    <t xml:space="preserve">PRICOL LIMITED</t>
  </si>
  <si>
    <t xml:space="preserve">A1567</t>
  </si>
  <si>
    <t xml:space="preserve">A6163</t>
  </si>
  <si>
    <t xml:space="preserve">COIM00307</t>
  </si>
  <si>
    <t xml:space="preserve">FIEM INDUSTRIES LTD</t>
  </si>
  <si>
    <t xml:space="preserve">A5845</t>
  </si>
  <si>
    <t xml:space="preserve">DEL00042</t>
  </si>
  <si>
    <t xml:space="preserve">FIEM INDUSTRIES LTD-ALWAR</t>
  </si>
  <si>
    <t xml:space="preserve">A2182</t>
  </si>
  <si>
    <t xml:space="preserve">US1M</t>
  </si>
  <si>
    <t xml:space="preserve">A2885</t>
  </si>
  <si>
    <t xml:space="preserve">LDI559-3.3EN</t>
  </si>
  <si>
    <t xml:space="preserve">CNA6P1X7R2A475K250AE</t>
  </si>
  <si>
    <t xml:space="preserve">PLT5BPH3013R7SNL</t>
  </si>
  <si>
    <t xml:space="preserve">GCM21BR71E225KA73K</t>
  </si>
  <si>
    <t xml:space="preserve">ACT45C-510-2P-TL000</t>
  </si>
  <si>
    <t xml:space="preserve">A2063</t>
  </si>
  <si>
    <t xml:space="preserve">S1W</t>
  </si>
  <si>
    <t xml:space="preserve">A6427</t>
  </si>
  <si>
    <t xml:space="preserve">AHMEDABAD</t>
  </si>
  <si>
    <t xml:space="preserve">AMD00013</t>
  </si>
  <si>
    <t xml:space="preserve">MULTISPAN CONTROL INSTRUMENTS PVT. LTD.</t>
  </si>
  <si>
    <t xml:space="preserve">R5F100GEAFB#50</t>
  </si>
  <si>
    <t xml:space="preserve">A3537</t>
  </si>
  <si>
    <t xml:space="preserve">S1M-Q</t>
  </si>
  <si>
    <t xml:space="preserve">ZENWIN MOTORPARTS PVT LTD</t>
  </si>
  <si>
    <t xml:space="preserve">Regulator Rectifier</t>
  </si>
  <si>
    <t xml:space="preserve">RF1216AASP#50</t>
  </si>
  <si>
    <t xml:space="preserve">A4851</t>
  </si>
  <si>
    <t xml:space="preserve">DI054N10D1-AQ</t>
  </si>
  <si>
    <t xml:space="preserve">A13667</t>
  </si>
  <si>
    <t xml:space="preserve">UCY2W330MHD</t>
  </si>
  <si>
    <t xml:space="preserve">A13430</t>
  </si>
  <si>
    <t xml:space="preserve">UHW1C821MPD6</t>
  </si>
  <si>
    <t xml:space="preserve">A2940</t>
  </si>
  <si>
    <t xml:space="preserve">DEL00069</t>
  </si>
  <si>
    <t xml:space="preserve">MINDA CORPORATION LTD</t>
  </si>
  <si>
    <t xml:space="preserve">A11578</t>
  </si>
  <si>
    <t xml:space="preserve">R5F10NPLDFB#50</t>
  </si>
  <si>
    <t xml:space="preserve">A8535</t>
  </si>
  <si>
    <t xml:space="preserve">R5F10NMLDFB#10</t>
  </si>
  <si>
    <t xml:space="preserve">A13894</t>
  </si>
  <si>
    <t xml:space="preserve">UPT2G330MHDBZX</t>
  </si>
  <si>
    <t xml:space="preserve">A3886</t>
  </si>
  <si>
    <t xml:space="preserve">BLR01054</t>
  </si>
  <si>
    <t xml:space="preserve">R5F12068ASP#50</t>
  </si>
  <si>
    <t xml:space="preserve">A2810</t>
  </si>
  <si>
    <t xml:space="preserve">MMFTP3401</t>
  </si>
  <si>
    <t xml:space="preserve">A2557</t>
  </si>
  <si>
    <t xml:space="preserve">INTERSIL-RENESAS</t>
  </si>
  <si>
    <t xml:space="preserve">ISL28113FHZ-T7</t>
  </si>
  <si>
    <t xml:space="preserve">A12094</t>
  </si>
  <si>
    <t xml:space="preserve">ER14250-3PT</t>
  </si>
  <si>
    <t xml:space="preserve">A1267</t>
  </si>
  <si>
    <t xml:space="preserve">DEL01317</t>
  </si>
  <si>
    <t xml:space="preserve">HMCMM AUTO LTD</t>
  </si>
  <si>
    <t xml:space="preserve">A9231</t>
  </si>
  <si>
    <t xml:space="preserve">Nagendra</t>
  </si>
  <si>
    <t xml:space="preserve">Bhavya</t>
  </si>
  <si>
    <t xml:space="preserve">TJMS5803#02</t>
  </si>
  <si>
    <t xml:space="preserve">A12713</t>
  </si>
  <si>
    <t xml:space="preserve">EC200NCNAD-N05-SNNSA</t>
  </si>
  <si>
    <t xml:space="preserve">A13129</t>
  </si>
  <si>
    <t xml:space="preserve">UHW1E102MPD</t>
  </si>
  <si>
    <t xml:space="preserve">A3911</t>
  </si>
  <si>
    <t xml:space="preserve">ETQP5M100YFC</t>
  </si>
  <si>
    <t xml:space="preserve">A4857</t>
  </si>
  <si>
    <t xml:space="preserve">BLR02741</t>
  </si>
  <si>
    <t xml:space="preserve">NAPINO AUTO &amp; ELECTRONICS LIMITED KRISHNAGIRI PLANT</t>
  </si>
  <si>
    <t xml:space="preserve">SK14-AQ</t>
  </si>
  <si>
    <t xml:space="preserve">GUJ00492</t>
  </si>
  <si>
    <t xml:space="preserve">CATHODE POWER PVT LTD</t>
  </si>
  <si>
    <t xml:space="preserve">Power Convertors</t>
  </si>
  <si>
    <t xml:space="preserve">LGN2L471MELEZS</t>
  </si>
  <si>
    <t xml:space="preserve">A11188</t>
  </si>
  <si>
    <t xml:space="preserve">Dialog -RENESAS</t>
  </si>
  <si>
    <t xml:space="preserve">AT25SF081B-SSHB-T</t>
  </si>
  <si>
    <t xml:space="preserve">A7570</t>
  </si>
  <si>
    <t xml:space="preserve">MMTL431A</t>
  </si>
  <si>
    <t xml:space="preserve">AMD00391</t>
  </si>
  <si>
    <t xml:space="preserve">HJ TECHNOLOGIES</t>
  </si>
  <si>
    <t xml:space="preserve">LGN2H511MELENS</t>
  </si>
  <si>
    <t xml:space="preserve">A10882</t>
  </si>
  <si>
    <t xml:space="preserve">TJMS5799#02</t>
  </si>
  <si>
    <t xml:space="preserve">A1149</t>
  </si>
  <si>
    <t xml:space="preserve">DEL01933</t>
  </si>
  <si>
    <t xml:space="preserve">ACCUMET SOLUTIONS</t>
  </si>
  <si>
    <t xml:space="preserve">R5F11TLEDFB#15</t>
  </si>
  <si>
    <t xml:space="preserve">A8369</t>
  </si>
  <si>
    <t xml:space="preserve">MMBTRA102SS</t>
  </si>
  <si>
    <t xml:space="preserve">A3640</t>
  </si>
  <si>
    <t xml:space="preserve">DEL00062</t>
  </si>
  <si>
    <t xml:space="preserve">LUMINOUS POWER TECHNOLOGIES HP</t>
  </si>
  <si>
    <t xml:space="preserve">Invertor</t>
  </si>
  <si>
    <t xml:space="preserve">DA14531MOD-00F01002</t>
  </si>
  <si>
    <t xml:space="preserve">A5460</t>
  </si>
  <si>
    <t xml:space="preserve">EEEFT1H470AP</t>
  </si>
  <si>
    <t xml:space="preserve">A7751</t>
  </si>
  <si>
    <t xml:space="preserve">ETQP3M4R7KVP</t>
  </si>
  <si>
    <t xml:space="preserve">A2606</t>
  </si>
  <si>
    <t xml:space="preserve">JPR00003</t>
  </si>
  <si>
    <t xml:space="preserve">GENUS POWER JAIPUR</t>
  </si>
  <si>
    <t xml:space="preserve">S1M</t>
  </si>
  <si>
    <t xml:space="preserve">A8012</t>
  </si>
  <si>
    <t xml:space="preserve">DEL02063</t>
  </si>
  <si>
    <t xml:space="preserve">BHARATECH SMART INDUSTRIAL PRIVATE LIMITED</t>
  </si>
  <si>
    <t xml:space="preserve">TJMS5883#01</t>
  </si>
  <si>
    <t xml:space="preserve">LGN2H471MESENS</t>
  </si>
  <si>
    <t xml:space="preserve">A5524</t>
  </si>
  <si>
    <t xml:space="preserve">DEL01992</t>
  </si>
  <si>
    <t xml:space="preserve">ANEVOLVE PRIVATE LIMITED</t>
  </si>
  <si>
    <t xml:space="preserve">Charger</t>
  </si>
  <si>
    <t xml:space="preserve">MBR20200CT</t>
  </si>
  <si>
    <t xml:space="preserve">A2734</t>
  </si>
  <si>
    <t xml:space="preserve">JPR00006</t>
  </si>
  <si>
    <t xml:space="preserve">SUN STAR INDUSTRIES</t>
  </si>
  <si>
    <t xml:space="preserve">17 414 K 06 1 M</t>
  </si>
  <si>
    <t xml:space="preserve">A4900</t>
  </si>
  <si>
    <t xml:space="preserve">MMTL431AR</t>
  </si>
  <si>
    <t xml:space="preserve">A2827</t>
  </si>
  <si>
    <t xml:space="preserve">A7119</t>
  </si>
  <si>
    <t xml:space="preserve">DEL00052</t>
  </si>
  <si>
    <t xml:space="preserve">INDICATION INSTRUMENTS LTD</t>
  </si>
  <si>
    <t xml:space="preserve">2SD1815SR-Q</t>
  </si>
  <si>
    <t xml:space="preserve">A1744</t>
  </si>
  <si>
    <t xml:space="preserve">A4775</t>
  </si>
  <si>
    <t xml:space="preserve">MMSZ5231B</t>
  </si>
  <si>
    <t xml:space="preserve">A2918</t>
  </si>
  <si>
    <t xml:space="preserve">M7, T/R</t>
  </si>
  <si>
    <t xml:space="preserve">A5508</t>
  </si>
  <si>
    <t xml:space="preserve">DEL01979</t>
  </si>
  <si>
    <t xml:space="preserve">LIVGUARD DRIVETRAIN PVT. LTD.</t>
  </si>
  <si>
    <t xml:space="preserve">Automotive-Ev</t>
  </si>
  <si>
    <t xml:space="preserve">LGG2W561MELC45</t>
  </si>
  <si>
    <t xml:space="preserve">A14083</t>
  </si>
  <si>
    <t xml:space="preserve">EV</t>
  </si>
  <si>
    <t xml:space="preserve">Navya</t>
  </si>
  <si>
    <t xml:space="preserve">CC0603JRX7R9BB104</t>
  </si>
  <si>
    <t xml:space="preserve">A12562</t>
  </si>
  <si>
    <t xml:space="preserve">RC0603JR-0710KL</t>
  </si>
  <si>
    <t xml:space="preserve">A13929</t>
  </si>
  <si>
    <t xml:space="preserve">CGA5L2X7R2A105KT0Y0S</t>
  </si>
  <si>
    <t xml:space="preserve">A13209</t>
  </si>
  <si>
    <t xml:space="preserve">Mangalagowri</t>
  </si>
  <si>
    <t xml:space="preserve">CD45-E2GA472M-NKA</t>
  </si>
  <si>
    <t xml:space="preserve">A8637</t>
  </si>
  <si>
    <t xml:space="preserve">CC0805JRX7R9BB104</t>
  </si>
  <si>
    <t xml:space="preserve">A8131</t>
  </si>
  <si>
    <t xml:space="preserve">ETQP4M220KVC</t>
  </si>
  <si>
    <t xml:space="preserve">A8021</t>
  </si>
  <si>
    <t xml:space="preserve">ETQP4M470KVC</t>
  </si>
  <si>
    <t xml:space="preserve">A9438</t>
  </si>
  <si>
    <t xml:space="preserve">CC0603JRX7R9BB101</t>
  </si>
  <si>
    <t xml:space="preserve">A9930</t>
  </si>
  <si>
    <t xml:space="preserve">RC0805JR-07100RL</t>
  </si>
  <si>
    <t xml:space="preserve">A12128</t>
  </si>
  <si>
    <t xml:space="preserve">RC0805JR-0710KL</t>
  </si>
  <si>
    <t xml:space="preserve">A12127</t>
  </si>
  <si>
    <t xml:space="preserve">RC0805JR-072K2L</t>
  </si>
  <si>
    <t xml:space="preserve">A8834</t>
  </si>
  <si>
    <t xml:space="preserve">RC0603FR-074K7L</t>
  </si>
  <si>
    <t xml:space="preserve">A9836</t>
  </si>
  <si>
    <t xml:space="preserve">UHW1K471MHD</t>
  </si>
  <si>
    <t xml:space="preserve">A8636</t>
  </si>
  <si>
    <t xml:space="preserve">ESMT</t>
  </si>
  <si>
    <t xml:space="preserve">Vivek</t>
  </si>
  <si>
    <t xml:space="preserve">RB068MM-60TR</t>
  </si>
  <si>
    <t xml:space="preserve">A8372</t>
  </si>
  <si>
    <t xml:space="preserve">SMAJ22A</t>
  </si>
  <si>
    <t xml:space="preserve">A9439</t>
  </si>
  <si>
    <t xml:space="preserve">CC0805KFX5R8BB106</t>
  </si>
  <si>
    <t xml:space="preserve">A8774</t>
  </si>
  <si>
    <t xml:space="preserve">RC0805FR-071KL</t>
  </si>
  <si>
    <t xml:space="preserve">A10118</t>
  </si>
  <si>
    <t xml:space="preserve">RC0805JR-074K7L</t>
  </si>
  <si>
    <t xml:space="preserve">A12367</t>
  </si>
  <si>
    <t xml:space="preserve">RC0603FR-07100RL</t>
  </si>
  <si>
    <t xml:space="preserve">A8602</t>
  </si>
  <si>
    <t xml:space="preserve">RC0603FR-071KL</t>
  </si>
  <si>
    <t xml:space="preserve">A9160</t>
  </si>
  <si>
    <t xml:space="preserve">CC0603MRX5R8BB106</t>
  </si>
  <si>
    <t xml:space="preserve">A12561</t>
  </si>
  <si>
    <t xml:space="preserve">RC0805FR-0710RL</t>
  </si>
  <si>
    <t xml:space="preserve">A9139</t>
  </si>
  <si>
    <t xml:space="preserve">RC1206JR-7W30KL</t>
  </si>
  <si>
    <t xml:space="preserve">A9897</t>
  </si>
  <si>
    <t xml:space="preserve">RC1206JR-07360KL</t>
  </si>
  <si>
    <t xml:space="preserve">A10952</t>
  </si>
  <si>
    <t xml:space="preserve">RC1206FR-07665KL</t>
  </si>
  <si>
    <t xml:space="preserve">A9344</t>
  </si>
  <si>
    <t xml:space="preserve">RC0805FR-07499KL</t>
  </si>
  <si>
    <t xml:space="preserve">A9382</t>
  </si>
  <si>
    <t xml:space="preserve">RC0603FR-07100KL</t>
  </si>
  <si>
    <t xml:space="preserve">A10085</t>
  </si>
  <si>
    <t xml:space="preserve">BM61M41RFV-CE2</t>
  </si>
  <si>
    <t xml:space="preserve">A9268</t>
  </si>
  <si>
    <t xml:space="preserve">R6035VNX3C16</t>
  </si>
  <si>
    <t xml:space="preserve">A5514</t>
  </si>
  <si>
    <t xml:space="preserve">A9310</t>
  </si>
  <si>
    <t xml:space="preserve">PA2512FKF7W0R1E</t>
  </si>
  <si>
    <t xml:space="preserve">A8061</t>
  </si>
  <si>
    <t xml:space="preserve">EEE-FT1H470AP</t>
  </si>
  <si>
    <t xml:space="preserve">A7371</t>
  </si>
  <si>
    <t xml:space="preserve">GUJ00022</t>
  </si>
  <si>
    <t xml:space="preserve">Tianma</t>
  </si>
  <si>
    <t xml:space="preserve">TJMS5760#02</t>
  </si>
  <si>
    <t xml:space="preserve">A9536</t>
  </si>
  <si>
    <t xml:space="preserve">RC0805FR-072R2L</t>
  </si>
  <si>
    <t xml:space="preserve">A8729</t>
  </si>
  <si>
    <t xml:space="preserve">CC0805JRX7R9BB103</t>
  </si>
  <si>
    <t xml:space="preserve">A8728</t>
  </si>
  <si>
    <t xml:space="preserve">RC0805JR-074R7L</t>
  </si>
  <si>
    <t xml:space="preserve">A9573</t>
  </si>
  <si>
    <t xml:space="preserve">RC1206JR-0710KL</t>
  </si>
  <si>
    <t xml:space="preserve">A9105</t>
  </si>
  <si>
    <t xml:space="preserve">RC1206JR-072ML</t>
  </si>
  <si>
    <t xml:space="preserve">A12290</t>
  </si>
  <si>
    <t xml:space="preserve">RC1206JR-073M3L</t>
  </si>
  <si>
    <t xml:space="preserve">A13046</t>
  </si>
  <si>
    <t xml:space="preserve">RC1206JR-07470KL</t>
  </si>
  <si>
    <t xml:space="preserve">A10671</t>
  </si>
  <si>
    <t xml:space="preserve">RC1206FR-071M8L</t>
  </si>
  <si>
    <t xml:space="preserve">A8773</t>
  </si>
  <si>
    <t xml:space="preserve">RC0805FR-0710KL</t>
  </si>
  <si>
    <t xml:space="preserve">A9346</t>
  </si>
  <si>
    <t xml:space="preserve">RC0805FR-0733RL</t>
  </si>
  <si>
    <t xml:space="preserve">A9107</t>
  </si>
  <si>
    <t xml:space="preserve">RC0805JR-07100KL</t>
  </si>
  <si>
    <t xml:space="preserve">A10673</t>
  </si>
  <si>
    <t xml:space="preserve">RC0603FR-070RL</t>
  </si>
  <si>
    <t xml:space="preserve">A8635</t>
  </si>
  <si>
    <t xml:space="preserve">RC0603FR-07160KL</t>
  </si>
  <si>
    <t xml:space="preserve">A9893</t>
  </si>
  <si>
    <t xml:space="preserve">RC0603FR-0760R4L</t>
  </si>
  <si>
    <t xml:space="preserve">A10632</t>
  </si>
  <si>
    <t xml:space="preserve">RC0603JR-07100KL</t>
  </si>
  <si>
    <t xml:space="preserve">A12244</t>
  </si>
  <si>
    <t xml:space="preserve">RC0603JR-071KL</t>
  </si>
  <si>
    <t xml:space="preserve">A4511</t>
  </si>
  <si>
    <t xml:space="preserve">R5F11TLGDFB#15</t>
  </si>
  <si>
    <t xml:space="preserve">A13898</t>
  </si>
  <si>
    <t xml:space="preserve">CK45-B3DD222KYGNA</t>
  </si>
  <si>
    <t xml:space="preserve">A9182</t>
  </si>
  <si>
    <t xml:space="preserve">R5F566TAAGFM#10</t>
  </si>
  <si>
    <t xml:space="preserve">A13764</t>
  </si>
  <si>
    <t xml:space="preserve">LGG2W271MELB30</t>
  </si>
  <si>
    <t xml:space="preserve">A8744</t>
  </si>
  <si>
    <t xml:space="preserve">SCS220AGC17</t>
  </si>
  <si>
    <t xml:space="preserve">A10086</t>
  </si>
  <si>
    <t xml:space="preserve">R6049YNX3C16</t>
  </si>
  <si>
    <t xml:space="preserve">A12210</t>
  </si>
  <si>
    <t xml:space="preserve">AOTF4N90</t>
  </si>
  <si>
    <t xml:space="preserve">A5041</t>
  </si>
  <si>
    <t xml:space="preserve">DEL00097</t>
  </si>
  <si>
    <t xml:space="preserve">TRINITY TOUCH PVT. LTD.</t>
  </si>
  <si>
    <t xml:space="preserve">R5F100MFGFB#10</t>
  </si>
  <si>
    <t xml:space="preserve">A9102</t>
  </si>
  <si>
    <t xml:space="preserve">BD41041FJ-CE2</t>
  </si>
  <si>
    <t xml:space="preserve">A9104</t>
  </si>
  <si>
    <t xml:space="preserve">BD7679G-GTR</t>
  </si>
  <si>
    <t xml:space="preserve">A5338</t>
  </si>
  <si>
    <t xml:space="preserve">SK26-Q</t>
  </si>
  <si>
    <t xml:space="preserve">A9934</t>
  </si>
  <si>
    <t xml:space="preserve">ACT45C-101-2P-TL000</t>
  </si>
  <si>
    <t xml:space="preserve">A1819</t>
  </si>
  <si>
    <t xml:space="preserve">AMD00035</t>
  </si>
  <si>
    <t xml:space="preserve">ADCO CONTROLS</t>
  </si>
  <si>
    <t xml:space="preserve">LGN2G561MELB50</t>
  </si>
  <si>
    <t xml:space="preserve">A9446</t>
  </si>
  <si>
    <t xml:space="preserve">GMR100HJBFER015</t>
  </si>
  <si>
    <t xml:space="preserve">A10600</t>
  </si>
  <si>
    <t xml:space="preserve">LAN Engineering and technology</t>
  </si>
  <si>
    <t xml:space="preserve">KORCHIP</t>
  </si>
  <si>
    <t xml:space="preserve">DR3R0106</t>
  </si>
  <si>
    <t xml:space="preserve">A9571</t>
  </si>
  <si>
    <t xml:space="preserve">UPJ1K470MPD6</t>
  </si>
  <si>
    <t xml:space="preserve">A5917</t>
  </si>
  <si>
    <t xml:space="preserve">JPR00044</t>
  </si>
  <si>
    <t xml:space="preserve">NORMET INDIA PVT LTD</t>
  </si>
  <si>
    <t xml:space="preserve">OEM</t>
  </si>
  <si>
    <t xml:space="preserve">SENSATA</t>
  </si>
  <si>
    <t xml:space="preserve">Kishore</t>
  </si>
  <si>
    <t xml:space="preserve">Milana</t>
  </si>
  <si>
    <t xml:space="preserve">MX14CAB</t>
  </si>
  <si>
    <t xml:space="preserve">A2003</t>
  </si>
  <si>
    <t xml:space="preserve">S2M-Q</t>
  </si>
  <si>
    <t xml:space="preserve">A11585</t>
  </si>
  <si>
    <t xml:space="preserve">CK45-B3AD102KYVNA</t>
  </si>
  <si>
    <t xml:space="preserve">Inverted Energy pvt ltd</t>
  </si>
  <si>
    <t xml:space="preserve">ADLER</t>
  </si>
  <si>
    <t xml:space="preserve">AEY3150900</t>
  </si>
  <si>
    <t xml:space="preserve">A1724</t>
  </si>
  <si>
    <t xml:space="preserve">A9933</t>
  </si>
  <si>
    <t xml:space="preserve">AOZ8212BCI-24</t>
  </si>
  <si>
    <t xml:space="preserve">A5860</t>
  </si>
  <si>
    <t xml:space="preserve">A9888</t>
  </si>
  <si>
    <t xml:space="preserve">CFR2WSJT-73-100K</t>
  </si>
  <si>
    <t xml:space="preserve">A7603</t>
  </si>
  <si>
    <t xml:space="preserve">S3M-Q</t>
  </si>
  <si>
    <t xml:space="preserve">A8023</t>
  </si>
  <si>
    <t xml:space="preserve">ETQP5M220YFC</t>
  </si>
  <si>
    <t xml:space="preserve">A9339</t>
  </si>
  <si>
    <t xml:space="preserve">CC0603MRX5R6BB106</t>
  </si>
  <si>
    <t xml:space="preserve">A3410</t>
  </si>
  <si>
    <t xml:space="preserve">SK16-Q</t>
  </si>
  <si>
    <t xml:space="preserve">A9103</t>
  </si>
  <si>
    <t xml:space="preserve">CC0603JRX7R9BB474</t>
  </si>
  <si>
    <t xml:space="preserve">A8343</t>
  </si>
  <si>
    <t xml:space="preserve">UCY2G330MHD</t>
  </si>
  <si>
    <t xml:space="preserve">A7458</t>
  </si>
  <si>
    <t xml:space="preserve">BOSCH</t>
  </si>
  <si>
    <t xml:space="preserve">SMI230</t>
  </si>
  <si>
    <t xml:space="preserve">A12240</t>
  </si>
  <si>
    <t xml:space="preserve">CC0603KRX5R8BB225</t>
  </si>
  <si>
    <t xml:space="preserve">ONSEMI</t>
  </si>
  <si>
    <t xml:space="preserve">NSI45030AT1G</t>
  </si>
  <si>
    <t xml:space="preserve">BC847B</t>
  </si>
  <si>
    <t xml:space="preserve">A8835</t>
  </si>
  <si>
    <t xml:space="preserve">CC0805JRX7R9BB102</t>
  </si>
  <si>
    <t xml:space="preserve">A9135</t>
  </si>
  <si>
    <t xml:space="preserve">CC0805JRX7R9BB473</t>
  </si>
  <si>
    <t xml:space="preserve">A9347</t>
  </si>
  <si>
    <t xml:space="preserve">CC0603MRX5R8BB105</t>
  </si>
  <si>
    <t xml:space="preserve">A9345</t>
  </si>
  <si>
    <t xml:space="preserve">CC0603JRX7R9BB472</t>
  </si>
  <si>
    <t xml:space="preserve">A9138</t>
  </si>
  <si>
    <t xml:space="preserve">CC0603KRX7R9BB122</t>
  </si>
  <si>
    <t xml:space="preserve">A10439</t>
  </si>
  <si>
    <t xml:space="preserve">CC0603JRX7R9BB102</t>
  </si>
  <si>
    <t xml:space="preserve">A9896</t>
  </si>
  <si>
    <t xml:space="preserve">RC0805JR-0747RL</t>
  </si>
  <si>
    <t xml:space="preserve">A11399</t>
  </si>
  <si>
    <t xml:space="preserve">RC0603FR-072K7P</t>
  </si>
  <si>
    <t xml:space="preserve">A9383</t>
  </si>
  <si>
    <t xml:space="preserve">RC1206FR-07150KL</t>
  </si>
  <si>
    <t xml:space="preserve">A9899</t>
  </si>
  <si>
    <t xml:space="preserve">RC1206FR-07324KL</t>
  </si>
  <si>
    <t xml:space="preserve">A9898</t>
  </si>
  <si>
    <t xml:space="preserve">CC0603KRX7R9BB103</t>
  </si>
  <si>
    <t xml:space="preserve">A12291</t>
  </si>
  <si>
    <t xml:space="preserve">RC0805FR-07100RL</t>
  </si>
  <si>
    <t xml:space="preserve">A9341</t>
  </si>
  <si>
    <t xml:space="preserve">RC0805FR-0712KL</t>
  </si>
  <si>
    <t xml:space="preserve">A9947</t>
  </si>
  <si>
    <t xml:space="preserve">RC0805FR-073K3L</t>
  </si>
  <si>
    <t xml:space="preserve">A8638</t>
  </si>
  <si>
    <t xml:space="preserve">RC0805FR-073KL</t>
  </si>
  <si>
    <t xml:space="preserve">A9891</t>
  </si>
  <si>
    <t xml:space="preserve">RC0805JR-0712KL</t>
  </si>
  <si>
    <t xml:space="preserve">A9948</t>
  </si>
  <si>
    <t xml:space="preserve">RC0805JR-07470RL</t>
  </si>
  <si>
    <t xml:space="preserve">A10601</t>
  </si>
  <si>
    <t xml:space="preserve">RC0603FR-071K2L</t>
  </si>
  <si>
    <t xml:space="preserve">RC0603FR-0723K2L</t>
  </si>
  <si>
    <t xml:space="preserve">A13279</t>
  </si>
  <si>
    <t xml:space="preserve">RC0603FR-0743KL</t>
  </si>
  <si>
    <t xml:space="preserve">A9929</t>
  </si>
  <si>
    <t xml:space="preserve">RC0603FR-0782K5L</t>
  </si>
  <si>
    <t xml:space="preserve">A9381</t>
  </si>
  <si>
    <t xml:space="preserve">RC0603JR-07470RL</t>
  </si>
  <si>
    <t xml:space="preserve">RC0603JR-074K7L</t>
  </si>
  <si>
    <t xml:space="preserve">A9386</t>
  </si>
  <si>
    <t xml:space="preserve">RC0603JR-07100RL</t>
  </si>
  <si>
    <t xml:space="preserve">A12557</t>
  </si>
  <si>
    <t xml:space="preserve">SCS210AGC17</t>
  </si>
  <si>
    <t xml:space="preserve">A4100</t>
  </si>
  <si>
    <t xml:space="preserve">ETQP4M330KVC</t>
  </si>
  <si>
    <t xml:space="preserve">A3765</t>
  </si>
  <si>
    <t xml:space="preserve">Z1SMA18</t>
  </si>
  <si>
    <t xml:space="preserve">YPCP001AA</t>
  </si>
  <si>
    <t xml:space="preserve">A5544</t>
  </si>
  <si>
    <t xml:space="preserve">A3155</t>
  </si>
  <si>
    <t xml:space="preserve">R5F10268ASP#55</t>
  </si>
  <si>
    <t xml:space="preserve">A3067</t>
  </si>
  <si>
    <t xml:space="preserve">P6SMB350A</t>
  </si>
  <si>
    <t xml:space="preserve">SEIKO INSTRUMENTS</t>
  </si>
  <si>
    <t xml:space="preserve">Q-SPT7P0327620C5GF</t>
  </si>
  <si>
    <t xml:space="preserve">A7181</t>
  </si>
  <si>
    <t xml:space="preserve">A5762</t>
  </si>
  <si>
    <t xml:space="preserve">DEL00691</t>
  </si>
  <si>
    <t xml:space="preserve">MICROMATION MOHALI E22</t>
  </si>
  <si>
    <t xml:space="preserve">IOT</t>
  </si>
  <si>
    <t xml:space="preserve">R7FS5D97C3A01CFP#AA0</t>
  </si>
  <si>
    <t xml:space="preserve">A3462</t>
  </si>
  <si>
    <t xml:space="preserve">11SX1-T</t>
  </si>
  <si>
    <t xml:space="preserve">A D MACHELAN</t>
  </si>
  <si>
    <t xml:space="preserve"> RAA2230214GSP</t>
  </si>
  <si>
    <t xml:space="preserve">A6726</t>
  </si>
  <si>
    <t xml:space="preserve">DEL00668</t>
  </si>
  <si>
    <t xml:space="preserve">MAHA MAI ENGINEERS</t>
  </si>
  <si>
    <t xml:space="preserve">LGN2W221MELA40</t>
  </si>
  <si>
    <t xml:space="preserve">A3064</t>
  </si>
  <si>
    <t xml:space="preserve">MMSZ5240B</t>
  </si>
  <si>
    <t xml:space="preserve">A9915</t>
  </si>
  <si>
    <t xml:space="preserve">MELEXIS</t>
  </si>
  <si>
    <t xml:space="preserve">MLX92211LUA-BAA-050-BU</t>
  </si>
  <si>
    <t xml:space="preserve">DEL02023</t>
  </si>
  <si>
    <t xml:space="preserve">ANEVOLVE TECHNOLOGIES PRIVATE LIMITED</t>
  </si>
  <si>
    <t xml:space="preserve">SCS230AE2GC11Z</t>
  </si>
  <si>
    <t xml:space="preserve">R5F12017GSP#10</t>
  </si>
  <si>
    <t xml:space="preserve">A2952</t>
  </si>
  <si>
    <t xml:space="preserve">MMFTP2319</t>
  </si>
  <si>
    <t xml:space="preserve">GMR100HJBFA10L0</t>
  </si>
  <si>
    <t xml:space="preserve">GMR100HJAAFD5L00</t>
  </si>
  <si>
    <t xml:space="preserve">EPCOS</t>
  </si>
  <si>
    <t xml:space="preserve">B32522C1105K189</t>
  </si>
  <si>
    <t xml:space="preserve">DEGSON</t>
  </si>
  <si>
    <t xml:space="preserve">Bharath</t>
  </si>
  <si>
    <t xml:space="preserve">K46-00Z(H)</t>
  </si>
  <si>
    <t xml:space="preserve">K34-00Z(H)</t>
  </si>
  <si>
    <t xml:space="preserve">RB160MM-60TR</t>
  </si>
  <si>
    <t xml:space="preserve">DTC113ZU3T106</t>
  </si>
  <si>
    <t xml:space="preserve">A6400</t>
  </si>
  <si>
    <t xml:space="preserve">ETQP5M4R7YFM</t>
  </si>
  <si>
    <t xml:space="preserve">A2277</t>
  </si>
  <si>
    <t xml:space="preserve">Anita</t>
  </si>
  <si>
    <t xml:space="preserve">GRM21BR61H106KE43L</t>
  </si>
  <si>
    <t xml:space="preserve">A1536</t>
  </si>
  <si>
    <t xml:space="preserve">JPR00005</t>
  </si>
  <si>
    <t xml:space="preserve">MAXWELL INDIA</t>
  </si>
  <si>
    <t xml:space="preserve">A12957</t>
  </si>
  <si>
    <t xml:space="preserve">Meter &amp; Measurement</t>
  </si>
  <si>
    <t xml:space="preserve">UCS2W220MHD</t>
  </si>
  <si>
    <t xml:space="preserve">A8335</t>
  </si>
  <si>
    <t xml:space="preserve">MMFTM2362-Q</t>
  </si>
  <si>
    <t xml:space="preserve">A1577</t>
  </si>
  <si>
    <t xml:space="preserve">A12539</t>
  </si>
  <si>
    <t xml:space="preserve">A14155</t>
  </si>
  <si>
    <t xml:space="preserve">DIRECT</t>
  </si>
  <si>
    <t xml:space="preserve">TJMS5925#01</t>
  </si>
  <si>
    <t xml:space="preserve">A12115</t>
  </si>
  <si>
    <t xml:space="preserve">UHW1C102MPD</t>
  </si>
  <si>
    <t xml:space="preserve">GS TECH</t>
  </si>
  <si>
    <t xml:space="preserve">COMCHIP</t>
  </si>
  <si>
    <t xml:space="preserve">CPDV4V5-HF</t>
  </si>
  <si>
    <t xml:space="preserve">A13482</t>
  </si>
  <si>
    <t xml:space="preserve">YC0003AA</t>
  </si>
  <si>
    <t xml:space="preserve">A10400</t>
  </si>
  <si>
    <t xml:space="preserve">A3004</t>
  </si>
  <si>
    <t xml:space="preserve">DI62063.3S1</t>
  </si>
  <si>
    <t xml:space="preserve">A1413</t>
  </si>
  <si>
    <t xml:space="preserve">S5M</t>
  </si>
  <si>
    <t xml:space="preserve">A13867</t>
  </si>
  <si>
    <t xml:space="preserve">AOZ8105CI</t>
  </si>
  <si>
    <t xml:space="preserve">A14322</t>
  </si>
  <si>
    <t xml:space="preserve">TJMS5926#01</t>
  </si>
  <si>
    <t xml:space="preserve">ER14250/3FP</t>
  </si>
  <si>
    <t xml:space="preserve">TJMS5833</t>
  </si>
  <si>
    <t xml:space="preserve">TJMS5890#01</t>
  </si>
  <si>
    <t xml:space="preserve">A1650</t>
  </si>
  <si>
    <t xml:space="preserve">A7259</t>
  </si>
  <si>
    <t xml:space="preserve">GUJ00513</t>
  </si>
  <si>
    <t xml:space="preserve">MANEKTECH SOLUTIONS PRIVATE LIMITED</t>
  </si>
  <si>
    <t xml:space="preserve">L89HD-S90</t>
  </si>
  <si>
    <t xml:space="preserve">A6407</t>
  </si>
  <si>
    <t xml:space="preserve">R5F51115ADFM#1A</t>
  </si>
  <si>
    <t xml:space="preserve">A8036</t>
  </si>
  <si>
    <t xml:space="preserve">R5F100ACGSP#10</t>
  </si>
  <si>
    <t xml:space="preserve">A6879</t>
  </si>
  <si>
    <t xml:space="preserve">ETQP5M101YGM</t>
  </si>
  <si>
    <t xml:space="preserve">A8352</t>
  </si>
  <si>
    <t xml:space="preserve">GUJ00049</t>
  </si>
  <si>
    <t xml:space="preserve">AXPERT ENTERPRISE</t>
  </si>
  <si>
    <t xml:space="preserve">consumer</t>
  </si>
  <si>
    <t xml:space="preserve">R5F100ACASP#50</t>
  </si>
  <si>
    <t xml:space="preserve">BEL Punchkula</t>
  </si>
  <si>
    <t xml:space="preserve">MERCURY</t>
  </si>
  <si>
    <t xml:space="preserve">S-817A12ANB-CUBT2U</t>
  </si>
  <si>
    <t xml:space="preserve">ABLIC</t>
  </si>
  <si>
    <t xml:space="preserve">AM1081-1</t>
  </si>
  <si>
    <t xml:space="preserve">A8326</t>
  </si>
  <si>
    <t xml:space="preserve">ERJ2BWFR050X</t>
  </si>
  <si>
    <t xml:space="preserve">DEL00070</t>
  </si>
  <si>
    <t xml:space="preserve">MKM TECHNOLOGIES PVT LTD</t>
  </si>
  <si>
    <t xml:space="preserve">JODING</t>
  </si>
  <si>
    <t xml:space="preserve">JDF320939AFSP</t>
  </si>
  <si>
    <t xml:space="preserve">A8043</t>
  </si>
  <si>
    <t xml:space="preserve">R7FS5D97E3A01CFC#AA0</t>
  </si>
  <si>
    <t xml:space="preserve">A5011</t>
  </si>
  <si>
    <t xml:space="preserve">MMBT7002K-Q</t>
  </si>
  <si>
    <t xml:space="preserve">A5031</t>
  </si>
  <si>
    <t xml:space="preserve">A4586</t>
  </si>
  <si>
    <t xml:space="preserve">EC200UCNAC-N05-SNNSA</t>
  </si>
  <si>
    <t xml:space="preserve">A8325</t>
  </si>
  <si>
    <t xml:space="preserve">ERA2VEB3922X</t>
  </si>
  <si>
    <t xml:space="preserve">UHE1V102MHD6</t>
  </si>
  <si>
    <t xml:space="preserve">A11374</t>
  </si>
  <si>
    <t xml:space="preserve">TJMS5760A</t>
  </si>
  <si>
    <t xml:space="preserve">A8940</t>
  </si>
  <si>
    <t xml:space="preserve">HIROSE</t>
  </si>
  <si>
    <t xml:space="preserve">Mahesha</t>
  </si>
  <si>
    <t xml:space="preserve">KP13B-SF-PEJ(800)</t>
  </si>
  <si>
    <t xml:space="preserve">A6448</t>
  </si>
  <si>
    <t xml:space="preserve">ETQ-P5M4R7YFM</t>
  </si>
  <si>
    <t xml:space="preserve">A6702</t>
  </si>
  <si>
    <t xml:space="preserve">PX1500M</t>
  </si>
  <si>
    <t xml:space="preserve">A13879</t>
  </si>
  <si>
    <t xml:space="preserve">TJMS5883</t>
  </si>
  <si>
    <t xml:space="preserve">A7031</t>
  </si>
  <si>
    <t xml:space="preserve">LGG2W101MELZ25</t>
  </si>
  <si>
    <t xml:space="preserve">A11519</t>
  </si>
  <si>
    <t xml:space="preserve">A7431</t>
  </si>
  <si>
    <t xml:space="preserve">GBU4M</t>
  </si>
  <si>
    <t xml:space="preserve">A8538</t>
  </si>
  <si>
    <t xml:space="preserve">DEL01834</t>
  </si>
  <si>
    <t xml:space="preserve">BHARAT ELECTRONICS LTD</t>
  </si>
  <si>
    <t xml:space="preserve">PLC</t>
  </si>
  <si>
    <t xml:space="preserve">Sinouvassane</t>
  </si>
  <si>
    <t xml:space="preserve">A6357</t>
  </si>
  <si>
    <t xml:space="preserve">04 474 K 2J 1B</t>
  </si>
  <si>
    <t xml:space="preserve">A7049</t>
  </si>
  <si>
    <t xml:space="preserve">ESD9BL0521P</t>
  </si>
  <si>
    <t xml:space="preserve">A8367</t>
  </si>
  <si>
    <t xml:space="preserve">GUJ00091</t>
  </si>
  <si>
    <t xml:space="preserve">Gtek Corporation Pvt Ltd</t>
  </si>
  <si>
    <t xml:space="preserve">Automation</t>
  </si>
  <si>
    <t xml:space="preserve">EC200UCNAA-N05-SGNSA</t>
  </si>
  <si>
    <t xml:space="preserve">Deki</t>
  </si>
  <si>
    <t xml:space="preserve">A2062</t>
  </si>
  <si>
    <t xml:space="preserve">B32642B0563K</t>
  </si>
  <si>
    <t xml:space="preserve">KK LIGHTING INDIA PRIVATE LIMITED</t>
  </si>
  <si>
    <t xml:space="preserve">TSC</t>
  </si>
  <si>
    <t xml:space="preserve">SMBJ30CAH</t>
  </si>
  <si>
    <t xml:space="preserve">DEL01199</t>
  </si>
  <si>
    <t xml:space="preserve">CAPITAL POWER SYSTEMS LTD</t>
  </si>
  <si>
    <t xml:space="preserve">TJMS5907#01</t>
  </si>
  <si>
    <t xml:space="preserve">A13119</t>
  </si>
  <si>
    <t xml:space="preserve">TJMS5910#01</t>
  </si>
  <si>
    <t xml:space="preserve">P6SMBJ200</t>
  </si>
  <si>
    <t xml:space="preserve">A12836</t>
  </si>
  <si>
    <t xml:space="preserve">A10816</t>
  </si>
  <si>
    <t xml:space="preserve">A11636</t>
  </si>
  <si>
    <t xml:space="preserve">UHV1C471MPD</t>
  </si>
  <si>
    <t xml:space="preserve">A11524</t>
  </si>
  <si>
    <t xml:space="preserve">TJMS5908#01</t>
  </si>
  <si>
    <t xml:space="preserve">A11358</t>
  </si>
  <si>
    <t xml:space="preserve">TJMS5909#01</t>
  </si>
  <si>
    <t xml:space="preserve">ER34165+SPC1520</t>
  </si>
  <si>
    <t xml:space="preserve">A4435</t>
  </si>
  <si>
    <t xml:space="preserve">ETQP4M100KFM</t>
  </si>
  <si>
    <t xml:space="preserve">A3377</t>
  </si>
  <si>
    <t xml:space="preserve">ES1D-Q</t>
  </si>
  <si>
    <t xml:space="preserve">207 105 K 05 1D</t>
  </si>
  <si>
    <t xml:space="preserve">A1471</t>
  </si>
  <si>
    <t xml:space="preserve">DEL00005</t>
  </si>
  <si>
    <t xml:space="preserve">AHUJA RADIOS</t>
  </si>
  <si>
    <t xml:space="preserve">UF4007</t>
  </si>
  <si>
    <t xml:space="preserve">A5617</t>
  </si>
  <si>
    <t xml:space="preserve">B32923C3225K N 1</t>
  </si>
  <si>
    <t xml:space="preserve">DEL00030</t>
  </si>
  <si>
    <t xml:space="preserve">CONTINENTAL DEVICE INDIA PVT. LTD. (DD)</t>
  </si>
  <si>
    <t xml:space="preserve">AO3401A</t>
  </si>
  <si>
    <t xml:space="preserve">AO3402</t>
  </si>
  <si>
    <t xml:space="preserve">AOD66920</t>
  </si>
  <si>
    <t xml:space="preserve">B32653A8222J000</t>
  </si>
  <si>
    <t xml:space="preserve">B32653A8222K000 </t>
  </si>
  <si>
    <t xml:space="preserve">A2809</t>
  </si>
  <si>
    <t xml:space="preserve">AMD00025</t>
  </si>
  <si>
    <t xml:space="preserve">THITA CONTROLS AND AUTOMATION</t>
  </si>
  <si>
    <t xml:space="preserve">R5F100MFAFB#10</t>
  </si>
  <si>
    <t xml:space="preserve">A2845</t>
  </si>
  <si>
    <t xml:space="preserve">SK320SMB</t>
  </si>
  <si>
    <t xml:space="preserve">DEL01824</t>
  </si>
  <si>
    <t xml:space="preserve">EXICOM TELE-SYSTEMS LIMITED</t>
  </si>
  <si>
    <t xml:space="preserve">3.0SMCJ130CA</t>
  </si>
  <si>
    <t xml:space="preserve">A4408</t>
  </si>
  <si>
    <t xml:space="preserve">UUD1H101MNL1GS</t>
  </si>
  <si>
    <t xml:space="preserve">A7590</t>
  </si>
  <si>
    <t xml:space="preserve">AMD00012</t>
  </si>
  <si>
    <t xml:space="preserve">MISTURA TECHNOLOGIES</t>
  </si>
  <si>
    <t xml:space="preserve">A1231</t>
  </si>
  <si>
    <t xml:space="preserve">BCX56-16</t>
  </si>
  <si>
    <t xml:space="preserve">A6205</t>
  </si>
  <si>
    <t xml:space="preserve">GUJ00236</t>
  </si>
  <si>
    <t xml:space="preserve">RELCON SYSTEMS</t>
  </si>
  <si>
    <t xml:space="preserve">CR2032AKW</t>
  </si>
  <si>
    <t xml:space="preserve">A3235</t>
  </si>
  <si>
    <t xml:space="preserve">AMD00026</t>
  </si>
  <si>
    <t xml:space="preserve">VOLTEX CONTROLS</t>
  </si>
  <si>
    <t xml:space="preserve">A3300</t>
  </si>
  <si>
    <t xml:space="preserve">R5F12018ASP#50</t>
  </si>
  <si>
    <t xml:space="preserve">A3910</t>
  </si>
  <si>
    <t xml:space="preserve">CHUROD</t>
  </si>
  <si>
    <t xml:space="preserve">Priyanka N</t>
  </si>
  <si>
    <t xml:space="preserve">CHM-S-124DA3</t>
  </si>
  <si>
    <t xml:space="preserve">A8055</t>
  </si>
  <si>
    <t xml:space="preserve">DEL00035</t>
  </si>
  <si>
    <t xml:space="preserve">ECOSTAR INNOVATION PVT. LTD.</t>
  </si>
  <si>
    <t xml:space="preserve">DHIRENDER PANDEY</t>
  </si>
  <si>
    <t xml:space="preserve">R5F104BAAFP#10</t>
  </si>
  <si>
    <t xml:space="preserve">A2178</t>
  </si>
  <si>
    <t xml:space="preserve">ER2G</t>
  </si>
  <si>
    <t xml:space="preserve">A7777</t>
  </si>
  <si>
    <t xml:space="preserve">CHG00001</t>
  </si>
  <si>
    <t xml:space="preserve">CYBER LABS PVT LTD</t>
  </si>
  <si>
    <t xml:space="preserve">R5F100LEAFA#10</t>
  </si>
  <si>
    <t xml:space="preserve">A2693</t>
  </si>
  <si>
    <t xml:space="preserve">AMD00281</t>
  </si>
  <si>
    <t xml:space="preserve">ABM INSTRUMENT</t>
  </si>
  <si>
    <t xml:space="preserve">A4585</t>
  </si>
  <si>
    <t xml:space="preserve">DEL02261</t>
  </si>
  <si>
    <t xml:space="preserve">HELLA INDIA AUTOMOTIVE PRIVATE LIMITED-DEL</t>
  </si>
  <si>
    <t xml:space="preserve">Infotainment</t>
  </si>
  <si>
    <t xml:space="preserve">MMBTRC102SS</t>
  </si>
  <si>
    <t xml:space="preserve">A7802</t>
  </si>
  <si>
    <t xml:space="preserve">GUJ00290</t>
  </si>
  <si>
    <t xml:space="preserve">MEDIHOLIC EQUIPMENT</t>
  </si>
  <si>
    <t xml:space="preserve">Medical</t>
  </si>
  <si>
    <t xml:space="preserve">Scanners</t>
  </si>
  <si>
    <t xml:space="preserve">A2431</t>
  </si>
  <si>
    <t xml:space="preserve">BZT52C5V1</t>
  </si>
  <si>
    <t xml:space="preserve">Azista Aerospace Pvt ltd</t>
  </si>
  <si>
    <t xml:space="preserve">quorvo</t>
  </si>
  <si>
    <t xml:space="preserve">TGL2217</t>
  </si>
  <si>
    <t xml:space="preserve">A8051</t>
  </si>
  <si>
    <t xml:space="preserve">AMD00340</t>
  </si>
  <si>
    <t xml:space="preserve">AARVI ELECTRONIC AND CONTROL</t>
  </si>
  <si>
    <t xml:space="preserve">A3304</t>
  </si>
  <si>
    <t xml:space="preserve">DEL01781</t>
  </si>
  <si>
    <t xml:space="preserve">VVDN TECHNOLOGIES PVT LTD</t>
  </si>
  <si>
    <t xml:space="preserve">Telecom</t>
  </si>
  <si>
    <t xml:space="preserve">Routers</t>
  </si>
  <si>
    <t xml:space="preserve">SMI330</t>
  </si>
  <si>
    <t xml:space="preserve">A4494</t>
  </si>
  <si>
    <t xml:space="preserve">DEL00084</t>
  </si>
  <si>
    <t xml:space="preserve">SECURICO ELECTRONICS INDIA LTD (H)</t>
  </si>
  <si>
    <t xml:space="preserve">R5F100GEAFB#10</t>
  </si>
  <si>
    <t xml:space="preserve">Panasonic</t>
  </si>
  <si>
    <t xml:space="preserve">BCP56-16-Q</t>
  </si>
  <si>
    <t xml:space="preserve">A2850</t>
  </si>
  <si>
    <t xml:space="preserve">AMD00001</t>
  </si>
  <si>
    <t xml:space="preserve">ALFA INSTRUMENTS</t>
  </si>
  <si>
    <t xml:space="preserve">A5084</t>
  </si>
  <si>
    <t xml:space="preserve">MMSZ5234B</t>
  </si>
  <si>
    <t xml:space="preserve">A6621</t>
  </si>
  <si>
    <t xml:space="preserve">A4662</t>
  </si>
  <si>
    <t xml:space="preserve">A1152</t>
  </si>
  <si>
    <t xml:space="preserve">K12-00Z(H)</t>
  </si>
  <si>
    <t xml:space="preserve">A8039</t>
  </si>
  <si>
    <t xml:space="preserve">UM7</t>
  </si>
  <si>
    <t xml:space="preserve">UVY2W220MHD</t>
  </si>
  <si>
    <t xml:space="preserve">A9047</t>
  </si>
  <si>
    <t xml:space="preserve">DEL00037</t>
  </si>
  <si>
    <t xml:space="preserve">EL SEWEDY ELECTRO METER INDIA PVT LTD</t>
  </si>
  <si>
    <t xml:space="preserve">A1800</t>
  </si>
  <si>
    <t xml:space="preserve">DEL00043</t>
  </si>
  <si>
    <t xml:space="preserve">FILM ELECTRONICS PVT LTD</t>
  </si>
  <si>
    <t xml:space="preserve">S2M</t>
  </si>
  <si>
    <t xml:space="preserve">A1402</t>
  </si>
  <si>
    <t xml:space="preserve">A2735</t>
  </si>
  <si>
    <t xml:space="preserve">DEL00019</t>
  </si>
  <si>
    <t xml:space="preserve">BCH ELECTRIC LIMITED</t>
  </si>
  <si>
    <t xml:space="preserve">R5F10Y17DSP#10</t>
  </si>
  <si>
    <t xml:space="preserve">A2709</t>
  </si>
  <si>
    <t xml:space="preserve">ES2J</t>
  </si>
  <si>
    <t xml:space="preserve">A7772</t>
  </si>
  <si>
    <t xml:space="preserve">DEL00091</t>
  </si>
  <si>
    <t xml:space="preserve">SUNRISE EMBEDDED SOLUTIONS PVT LTD</t>
  </si>
  <si>
    <t xml:space="preserve">A7092</t>
  </si>
  <si>
    <t xml:space="preserve">DEL00135</t>
  </si>
  <si>
    <t xml:space="preserve">ACHYUTTAM ELECTRONICS PVT LTD</t>
  </si>
  <si>
    <t xml:space="preserve">A6471</t>
  </si>
  <si>
    <t xml:space="preserve">DI78L3.3UAB</t>
  </si>
  <si>
    <t xml:space="preserve">A3990</t>
  </si>
  <si>
    <t xml:space="preserve">AO3423</t>
  </si>
  <si>
    <t xml:space="preserve">A8842</t>
  </si>
  <si>
    <t xml:space="preserve">GUJ00007</t>
  </si>
  <si>
    <t xml:space="preserve">ELITE ELECTRONICS</t>
  </si>
  <si>
    <t xml:space="preserve">TRACKER</t>
  </si>
  <si>
    <t xml:space="preserve">R5F10WLDAFB#10</t>
  </si>
  <si>
    <t xml:space="preserve">A8557</t>
  </si>
  <si>
    <t xml:space="preserve">R7F0C001G2DFB-C#BA0</t>
  </si>
  <si>
    <t xml:space="preserve">A8645</t>
  </si>
  <si>
    <t xml:space="preserve">RDE5C2A101J0M1H03A</t>
  </si>
  <si>
    <t xml:space="preserve">A10129</t>
  </si>
  <si>
    <t xml:space="preserve">BLUE STAR LIMITED</t>
  </si>
  <si>
    <t xml:space="preserve">R5F100FEAFP#50</t>
  </si>
  <si>
    <t xml:space="preserve">A11688</t>
  </si>
  <si>
    <t xml:space="preserve">UPD78F0431GB-602-GAG-AX</t>
  </si>
  <si>
    <t xml:space="preserve">GBPC5010-G</t>
  </si>
  <si>
    <t xml:space="preserve">MHM 320-41C1</t>
  </si>
  <si>
    <t xml:space="preserve">A6710</t>
  </si>
  <si>
    <t xml:space="preserve">DEL00625</t>
  </si>
  <si>
    <t xml:space="preserve">A6477</t>
  </si>
  <si>
    <t xml:space="preserve">B57213P0470M301</t>
  </si>
  <si>
    <t xml:space="preserve">A5810</t>
  </si>
  <si>
    <t xml:space="preserve">AMD00046</t>
  </si>
  <si>
    <t xml:space="preserve">APTUS AUTOMATION</t>
  </si>
  <si>
    <t xml:space="preserve">Drives</t>
  </si>
  <si>
    <t xml:space="preserve">A7265</t>
  </si>
  <si>
    <t xml:space="preserve">SL1M-Q</t>
  </si>
  <si>
    <t xml:space="preserve">A5782</t>
  </si>
  <si>
    <t xml:space="preserve">US2M</t>
  </si>
  <si>
    <t xml:space="preserve">A1949</t>
  </si>
  <si>
    <t xml:space="preserve">B72210S0301K101</t>
  </si>
  <si>
    <t xml:space="preserve">JBD307329BW4T</t>
  </si>
  <si>
    <t xml:space="preserve">A7742</t>
  </si>
  <si>
    <t xml:space="preserve">DEL02031</t>
  </si>
  <si>
    <t xml:space="preserve">EV POWER SYSTEM</t>
  </si>
  <si>
    <t xml:space="preserve">R5F102A8ASP#50</t>
  </si>
  <si>
    <t xml:space="preserve">AISHI</t>
  </si>
  <si>
    <t xml:space="preserve">EWH2WM100F16OTK</t>
  </si>
  <si>
    <t xml:space="preserve">A7190</t>
  </si>
  <si>
    <t xml:space="preserve">ES1J</t>
  </si>
  <si>
    <t xml:space="preserve">A6521</t>
  </si>
  <si>
    <t xml:space="preserve">S1G</t>
  </si>
  <si>
    <t xml:space="preserve">A9130</t>
  </si>
  <si>
    <t xml:space="preserve">A8037</t>
  </si>
  <si>
    <t xml:space="preserve">A5913</t>
  </si>
  <si>
    <t xml:space="preserve">Base Station</t>
  </si>
  <si>
    <t xml:space="preserve">P6SMBJ20A</t>
  </si>
  <si>
    <t xml:space="preserve">TJMS5912#02</t>
  </si>
  <si>
    <t xml:space="preserve">UCY2W470MHD6</t>
  </si>
  <si>
    <t xml:space="preserve">A13944</t>
  </si>
  <si>
    <t xml:space="preserve">UCY2G330MHD3TN</t>
  </si>
  <si>
    <t xml:space="preserve">UHE1E471MPD6</t>
  </si>
  <si>
    <t xml:space="preserve">A9068</t>
  </si>
  <si>
    <t xml:space="preserve">UHW1E102MPD1TD</t>
  </si>
  <si>
    <t xml:space="preserve">UCM1C470MCL1GS</t>
  </si>
  <si>
    <t xml:space="preserve">A11783</t>
  </si>
  <si>
    <t xml:space="preserve">UCD1C220MCL1GS</t>
  </si>
  <si>
    <t xml:space="preserve">UCD1C100MCL1GS</t>
  </si>
  <si>
    <t xml:space="preserve">A4405</t>
  </si>
  <si>
    <t xml:space="preserve">A9077</t>
  </si>
  <si>
    <t xml:space="preserve">TJMS5912#01</t>
  </si>
  <si>
    <t xml:space="preserve">A1711</t>
  </si>
  <si>
    <t xml:space="preserve">BZT52B3V3</t>
  </si>
  <si>
    <t xml:space="preserve">A2098</t>
  </si>
  <si>
    <t xml:space="preserve">BZV55B2V4 L0G</t>
  </si>
  <si>
    <t xml:space="preserve">A1424</t>
  </si>
  <si>
    <t xml:space="preserve">DEL00015</t>
  </si>
  <si>
    <t xml:space="preserve">AUTOMETERS ALLIANCE LTD</t>
  </si>
  <si>
    <t xml:space="preserve">Railways</t>
  </si>
  <si>
    <t xml:space="preserve">Traction</t>
  </si>
  <si>
    <t xml:space="preserve">ALQ305</t>
  </si>
  <si>
    <t xml:space="preserve">A2957</t>
  </si>
  <si>
    <t xml:space="preserve">LL4148</t>
  </si>
  <si>
    <t xml:space="preserve">A9149</t>
  </si>
  <si>
    <t xml:space="preserve">DEL02247</t>
  </si>
  <si>
    <t xml:space="preserve">ESYASOFT LANDIS AND GYR LIMITED</t>
  </si>
  <si>
    <t xml:space="preserve">YF0007KA-4SDYMA0A</t>
  </si>
  <si>
    <t xml:space="preserve">EC800GCNLD-I03-SNNDA2</t>
  </si>
  <si>
    <t xml:space="preserve">A8509</t>
  </si>
  <si>
    <t xml:space="preserve">EC200UCNAD-N05-SNNSA</t>
  </si>
  <si>
    <t xml:space="preserve">A8089</t>
  </si>
  <si>
    <t xml:space="preserve">A6827</t>
  </si>
  <si>
    <t xml:space="preserve">DEL00071</t>
  </si>
  <si>
    <t xml:space="preserve">Modern Transformers Pvt. Ltd</t>
  </si>
  <si>
    <t xml:space="preserve">UCS2G220MHD</t>
  </si>
  <si>
    <t xml:space="preserve">EVE-SECONDARY</t>
  </si>
  <si>
    <t xml:space="preserve">RAJIV ANAND</t>
  </si>
  <si>
    <t xml:space="preserve">A4840</t>
  </si>
  <si>
    <t xml:space="preserve">AMD00021</t>
  </si>
  <si>
    <t xml:space="preserve">SWASTIK AUTOMATION &amp; CONTROL</t>
  </si>
  <si>
    <t xml:space="preserve">R5F102AAASP#50</t>
  </si>
  <si>
    <t xml:space="preserve">JX41</t>
  </si>
  <si>
    <t xml:space="preserve">A6213</t>
  </si>
  <si>
    <t xml:space="preserve">P6SMBJ51CA</t>
  </si>
  <si>
    <t xml:space="preserve">A5788</t>
  </si>
  <si>
    <t xml:space="preserve">1N4148W-Q</t>
  </si>
  <si>
    <t xml:space="preserve">A12008</t>
  </si>
  <si>
    <t xml:space="preserve">Others Telecom</t>
  </si>
  <si>
    <t xml:space="preserve">GOFORD</t>
  </si>
  <si>
    <t xml:space="preserve">Masila</t>
  </si>
  <si>
    <t xml:space="preserve">GT015N10TL</t>
  </si>
  <si>
    <t xml:space="preserve">A7013</t>
  </si>
  <si>
    <t xml:space="preserve">SK315SMA</t>
  </si>
  <si>
    <t xml:space="preserve">A1403</t>
  </si>
  <si>
    <t xml:space="preserve">A5606</t>
  </si>
  <si>
    <t xml:space="preserve">B72314S0511K101</t>
  </si>
  <si>
    <t xml:space="preserve">ERZV05D201</t>
  </si>
  <si>
    <t xml:space="preserve">A6160</t>
  </si>
  <si>
    <t xml:space="preserve">MMFTN3404A-AQ</t>
  </si>
  <si>
    <t xml:space="preserve">Deva Autotronics</t>
  </si>
  <si>
    <t xml:space="preserve">CDRH127L125NP-101MC</t>
  </si>
  <si>
    <t xml:space="preserve">A2300</t>
  </si>
  <si>
    <t xml:space="preserve">SM4000</t>
  </si>
  <si>
    <t xml:space="preserve">A1722</t>
  </si>
  <si>
    <t xml:space="preserve">EM513</t>
  </si>
  <si>
    <t xml:space="preserve">A1366</t>
  </si>
  <si>
    <t xml:space="preserve">MMSZ5226B RH  T/R</t>
  </si>
  <si>
    <t xml:space="preserve">A6034</t>
  </si>
  <si>
    <t xml:space="preserve">LDI75L3.3UA</t>
  </si>
  <si>
    <t xml:space="preserve">A6509</t>
  </si>
  <si>
    <t xml:space="preserve">BZT52C18-AQ</t>
  </si>
  <si>
    <t xml:space="preserve">A8801</t>
  </si>
  <si>
    <t xml:space="preserve">UHE1C331MPD</t>
  </si>
  <si>
    <t xml:space="preserve">A8657</t>
  </si>
  <si>
    <t xml:space="preserve">UCD1E100MCL1GS</t>
  </si>
  <si>
    <t xml:space="preserve">A10915</t>
  </si>
  <si>
    <t xml:space="preserve">LGG2W271MELAZS</t>
  </si>
  <si>
    <t xml:space="preserve">A13835</t>
  </si>
  <si>
    <t xml:space="preserve">Industrial Automation</t>
  </si>
  <si>
    <t xml:space="preserve">TSCR420CX6H RFG</t>
  </si>
  <si>
    <t xml:space="preserve">A13814</t>
  </si>
  <si>
    <t xml:space="preserve">C0603C102JAGACAUTO</t>
  </si>
  <si>
    <t xml:space="preserve">CGA3E1X7T1A475K</t>
  </si>
  <si>
    <t xml:space="preserve">CGA4J3X7R1A475K</t>
  </si>
  <si>
    <t xml:space="preserve">CGA2B1X7T0G105M</t>
  </si>
  <si>
    <t xml:space="preserve">CGA3E1X5R1A335K</t>
  </si>
  <si>
    <t xml:space="preserve">CGA4J3X7R1C225K</t>
  </si>
  <si>
    <t xml:space="preserve">1.5SMCJ64CA</t>
  </si>
  <si>
    <t xml:space="preserve">CGA3E2X5R1A105K</t>
  </si>
  <si>
    <t xml:space="preserve">CGA3E1X7R1C105K</t>
  </si>
  <si>
    <t xml:space="preserve">VLS6045EX-680M-H</t>
  </si>
  <si>
    <t xml:space="preserve">A13850</t>
  </si>
  <si>
    <t xml:space="preserve">UCZ1H470MCL6GS</t>
  </si>
  <si>
    <t xml:space="preserve">A13849</t>
  </si>
  <si>
    <t xml:space="preserve">UCZ1C470MCL1GS</t>
  </si>
  <si>
    <t xml:space="preserve">VLS3015CX-4R7M-H</t>
  </si>
  <si>
    <t xml:space="preserve">BR24G04F-3GTE2</t>
  </si>
  <si>
    <t xml:space="preserve">Murata</t>
  </si>
  <si>
    <t xml:space="preserve">LQW15AN1N5D80D</t>
  </si>
  <si>
    <t xml:space="preserve">MPZ2012S102ATD25</t>
  </si>
  <si>
    <t xml:space="preserve">A9523</t>
  </si>
  <si>
    <t xml:space="preserve">UCM1V101MCL1GS</t>
  </si>
  <si>
    <t xml:space="preserve">A8725</t>
  </si>
  <si>
    <t xml:space="preserve">UWZ1A101MCL1GB</t>
  </si>
  <si>
    <t xml:space="preserve">A13858</t>
  </si>
  <si>
    <t xml:space="preserve">UCM1H101MCL1GS</t>
  </si>
  <si>
    <t xml:space="preserve">A13815</t>
  </si>
  <si>
    <t xml:space="preserve">C1206C475J3RACAUTO</t>
  </si>
  <si>
    <t xml:space="preserve">A6028</t>
  </si>
  <si>
    <t xml:space="preserve">A13822</t>
  </si>
  <si>
    <t xml:space="preserve">UUP1H0R1MCL1GS</t>
  </si>
  <si>
    <t xml:space="preserve">A13817</t>
  </si>
  <si>
    <t xml:space="preserve">UCD1A470MCL1GS</t>
  </si>
  <si>
    <t xml:space="preserve">A13843</t>
  </si>
  <si>
    <t xml:space="preserve">MPZ2012S300ATD25</t>
  </si>
  <si>
    <t xml:space="preserve">A13203</t>
  </si>
  <si>
    <t xml:space="preserve">CGA4J3X7R1E105K</t>
  </si>
  <si>
    <t xml:space="preserve">A11473</t>
  </si>
  <si>
    <t xml:space="preserve">A7658</t>
  </si>
  <si>
    <t xml:space="preserve">B72207S0200K101</t>
  </si>
  <si>
    <t xml:space="preserve">A9165</t>
  </si>
  <si>
    <t xml:space="preserve">SK36AH</t>
  </si>
  <si>
    <t xml:space="preserve">TAIYO YUDEN</t>
  </si>
  <si>
    <t xml:space="preserve">UMK316B7225KLHT</t>
  </si>
  <si>
    <t xml:space="preserve">UMK212B7105KGHT</t>
  </si>
  <si>
    <t xml:space="preserve">UMK325B7475KMHP</t>
  </si>
  <si>
    <t xml:space="preserve">A3446</t>
  </si>
  <si>
    <t xml:space="preserve">BCX53-16</t>
  </si>
  <si>
    <t xml:space="preserve">ETA</t>
  </si>
  <si>
    <t xml:space="preserve">EQ24030S2G</t>
  </si>
  <si>
    <t xml:space="preserve">QMK212B7472KGHT</t>
  </si>
  <si>
    <t xml:space="preserve">GUJ00565</t>
  </si>
  <si>
    <t xml:space="preserve">POLYCAB INDIA LTD</t>
  </si>
  <si>
    <t xml:space="preserve">B72220S0511K101</t>
  </si>
  <si>
    <t xml:space="preserve">A9121</t>
  </si>
  <si>
    <t xml:space="preserve">TSUP10M60SH</t>
  </si>
  <si>
    <t xml:space="preserve">A4449</t>
  </si>
  <si>
    <t xml:space="preserve">BZT52B24</t>
  </si>
  <si>
    <t xml:space="preserve">A4112</t>
  </si>
  <si>
    <t xml:space="preserve">A9406</t>
  </si>
  <si>
    <t xml:space="preserve">A8718</t>
  </si>
  <si>
    <t xml:space="preserve">TVS MOTOR COMPANY LIMITED</t>
  </si>
  <si>
    <t xml:space="preserve">Body</t>
  </si>
  <si>
    <t xml:space="preserve">MPZ2012S101ATD25</t>
  </si>
  <si>
    <t xml:space="preserve">A4040</t>
  </si>
  <si>
    <t xml:space="preserve">1.5SMCJ24CA-Q</t>
  </si>
  <si>
    <t xml:space="preserve">A8896</t>
  </si>
  <si>
    <t xml:space="preserve">CGA2B3X7R1H104K</t>
  </si>
  <si>
    <t xml:space="preserve">A8322</t>
  </si>
  <si>
    <t xml:space="preserve">ERA2AEB133X</t>
  </si>
  <si>
    <t xml:space="preserve">A9166</t>
  </si>
  <si>
    <t xml:space="preserve">SK26AH</t>
  </si>
  <si>
    <t xml:space="preserve">A8323</t>
  </si>
  <si>
    <t xml:space="preserve">ERA2AEB3091X</t>
  </si>
  <si>
    <t xml:space="preserve">A8324</t>
  </si>
  <si>
    <t xml:space="preserve">ERA2AEB4991X</t>
  </si>
  <si>
    <t xml:space="preserve">A8720</t>
  </si>
  <si>
    <t xml:space="preserve">VLS4015CX-4R7M-H</t>
  </si>
  <si>
    <t xml:space="preserve">A9619</t>
  </si>
  <si>
    <t xml:space="preserve">ABS10H</t>
  </si>
  <si>
    <t xml:space="preserve">SS16</t>
  </si>
  <si>
    <t xml:space="preserve">A10108</t>
  </si>
  <si>
    <t xml:space="preserve">A9499</t>
  </si>
  <si>
    <t xml:space="preserve">A10822</t>
  </si>
  <si>
    <t xml:space="preserve">MPZ1608S102ATD25</t>
  </si>
  <si>
    <t xml:space="preserve">A7327</t>
  </si>
  <si>
    <t xml:space="preserve">A3811</t>
  </si>
  <si>
    <t xml:space="preserve">BAT54WS-Q</t>
  </si>
  <si>
    <t xml:space="preserve">A6572</t>
  </si>
  <si>
    <t xml:space="preserve">Z1SMA39-Q</t>
  </si>
  <si>
    <t xml:space="preserve">A7032</t>
  </si>
  <si>
    <t xml:space="preserve">A7091</t>
  </si>
  <si>
    <t xml:space="preserve">JPR00001</t>
  </si>
  <si>
    <t xml:space="preserve">ENERTRAK INSTRUMENTS PRIVATE LTD</t>
  </si>
  <si>
    <t xml:space="preserve">A4719</t>
  </si>
  <si>
    <t xml:space="preserve">EEEHB1C100R</t>
  </si>
  <si>
    <t xml:space="preserve">A7043</t>
  </si>
  <si>
    <t xml:space="preserve">18 334 K 3B 1 A</t>
  </si>
  <si>
    <t xml:space="preserve">A8690</t>
  </si>
  <si>
    <t xml:space="preserve">VLS6045EX-100M-H</t>
  </si>
  <si>
    <t xml:space="preserve">A9803</t>
  </si>
  <si>
    <t xml:space="preserve">VLS5045EX-220M-H</t>
  </si>
  <si>
    <t xml:space="preserve">A8999</t>
  </si>
  <si>
    <t xml:space="preserve">CGA4J1X7R1H475KT0Y0N</t>
  </si>
  <si>
    <t xml:space="preserve">A3560</t>
  </si>
  <si>
    <t xml:space="preserve">DEL02284</t>
  </si>
  <si>
    <t xml:space="preserve">DAKSH ELECTRONICS PVT. LTD</t>
  </si>
  <si>
    <t xml:space="preserve">TSAL6100</t>
  </si>
  <si>
    <t xml:space="preserve">A3328</t>
  </si>
  <si>
    <t xml:space="preserve">A4973</t>
  </si>
  <si>
    <t xml:space="preserve">UST1D</t>
  </si>
  <si>
    <t xml:space="preserve">A9232</t>
  </si>
  <si>
    <t xml:space="preserve">ACM90V-701-2PL-TL00</t>
  </si>
  <si>
    <t xml:space="preserve">A6782</t>
  </si>
  <si>
    <t xml:space="preserve">02 223 K 2J 1A</t>
  </si>
  <si>
    <t xml:space="preserve">A12428</t>
  </si>
  <si>
    <t xml:space="preserve">A11990</t>
  </si>
  <si>
    <t xml:space="preserve">A7527</t>
  </si>
  <si>
    <t xml:space="preserve">UVY1V221MPD</t>
  </si>
  <si>
    <t xml:space="preserve">A4356</t>
  </si>
  <si>
    <t xml:space="preserve">LDI559-05EN</t>
  </si>
  <si>
    <t xml:space="preserve">A8897</t>
  </si>
  <si>
    <t xml:space="preserve">A11315</t>
  </si>
  <si>
    <t xml:space="preserve">A10528</t>
  </si>
  <si>
    <t xml:space="preserve">CGA3EDX7T1A106M</t>
  </si>
  <si>
    <t xml:space="preserve">A3209</t>
  </si>
  <si>
    <t xml:space="preserve">LDI559-3.6EN</t>
  </si>
  <si>
    <t xml:space="preserve">A1971</t>
  </si>
  <si>
    <t xml:space="preserve">BC817-40</t>
  </si>
  <si>
    <t xml:space="preserve">A6353</t>
  </si>
  <si>
    <t xml:space="preserve">DI78M05UAB</t>
  </si>
  <si>
    <t xml:space="preserve">A7575</t>
  </si>
  <si>
    <t xml:space="preserve">AC0805JRNPO9BN471</t>
  </si>
  <si>
    <t xml:space="preserve">A6947</t>
  </si>
  <si>
    <t xml:space="preserve">A5615</t>
  </si>
  <si>
    <t xml:space="preserve">UPM1J561MHD6</t>
  </si>
  <si>
    <t xml:space="preserve">UPM1H821MHH6</t>
  </si>
  <si>
    <t xml:space="preserve">UPM1H821MHD6</t>
  </si>
  <si>
    <t xml:space="preserve">UPM1J561MHH6</t>
  </si>
  <si>
    <t xml:space="preserve">UVY2W4R7MPD</t>
  </si>
  <si>
    <t xml:space="preserve">A5028</t>
  </si>
  <si>
    <t xml:space="preserve">1N4148W</t>
  </si>
  <si>
    <t xml:space="preserve">A9766</t>
  </si>
  <si>
    <t xml:space="preserve">Distributor</t>
  </si>
  <si>
    <t xml:space="preserve">A5307</t>
  </si>
  <si>
    <t xml:space="preserve">AC1206JR-0722RL</t>
  </si>
  <si>
    <t xml:space="preserve">A9576</t>
  </si>
  <si>
    <t xml:space="preserve">UCD1E101MCL1GS</t>
  </si>
  <si>
    <t xml:space="preserve">MACHNO TECH PVT LTD</t>
  </si>
  <si>
    <t xml:space="preserve">GBJ25M</t>
  </si>
  <si>
    <t xml:space="preserve">A9186</t>
  </si>
  <si>
    <t xml:space="preserve">A2823</t>
  </si>
  <si>
    <t xml:space="preserve">CR2450(M0453A)</t>
  </si>
  <si>
    <t xml:space="preserve">A8669</t>
  </si>
  <si>
    <t xml:space="preserve">A8668</t>
  </si>
  <si>
    <t xml:space="preserve">CD12-E2GA222MYNSA</t>
  </si>
  <si>
    <t xml:space="preserve">A10080</t>
  </si>
  <si>
    <t xml:space="preserve">UCL1C470MCL6GS</t>
  </si>
  <si>
    <t xml:space="preserve">A13666</t>
  </si>
  <si>
    <t xml:space="preserve">CR2032HP(M1408A)</t>
  </si>
  <si>
    <t xml:space="preserve">A14185</t>
  </si>
  <si>
    <t xml:space="preserve">TJMS5635A (E6099)</t>
  </si>
  <si>
    <t xml:space="preserve">A8038</t>
  </si>
  <si>
    <t xml:space="preserve">A4959</t>
  </si>
  <si>
    <t xml:space="preserve">DI78L12UAB</t>
  </si>
  <si>
    <t xml:space="preserve">A9083</t>
  </si>
  <si>
    <t xml:space="preserve">A13685</t>
  </si>
  <si>
    <t xml:space="preserve">UCL1E100MCL1GS</t>
  </si>
  <si>
    <t xml:space="preserve">A3057</t>
  </si>
  <si>
    <t xml:space="preserve">MUR460L</t>
  </si>
  <si>
    <t xml:space="preserve">A13768</t>
  </si>
  <si>
    <t xml:space="preserve">UHW1H222MHDAZX</t>
  </si>
  <si>
    <t xml:space="preserve">A13767</t>
  </si>
  <si>
    <t xml:space="preserve">UHW1H102MHD6</t>
  </si>
  <si>
    <t xml:space="preserve">A13769</t>
  </si>
  <si>
    <t xml:space="preserve">UHW1H471MPDCZX</t>
  </si>
  <si>
    <t xml:space="preserve">A14198</t>
  </si>
  <si>
    <t xml:space="preserve">TJMS5421A (E4471)</t>
  </si>
  <si>
    <t xml:space="preserve">A14200</t>
  </si>
  <si>
    <t xml:space="preserve">TJMS5517-017</t>
  </si>
  <si>
    <t xml:space="preserve">Energy_Meter</t>
  </si>
  <si>
    <t xml:space="preserve">R9A07G043U11GBG#BC0</t>
  </si>
  <si>
    <t xml:space="preserve">IW1702-00</t>
  </si>
  <si>
    <t xml:space="preserve">R5F10Y16DSP#50</t>
  </si>
  <si>
    <t xml:space="preserve">diotec</t>
  </si>
  <si>
    <t xml:space="preserve">MMFTP84</t>
  </si>
  <si>
    <t xml:space="preserve">A4783</t>
  </si>
  <si>
    <t xml:space="preserve">DEL02331</t>
  </si>
  <si>
    <t xml:space="preserve">SYRMA SGS TECHNOLOGY LIMITED-BADDI</t>
  </si>
  <si>
    <t xml:space="preserve">A7073</t>
  </si>
  <si>
    <t xml:space="preserve">BZT52B5V6</t>
  </si>
  <si>
    <t xml:space="preserve">A14134</t>
  </si>
  <si>
    <t xml:space="preserve">TJMS5762 (E8687)</t>
  </si>
  <si>
    <t xml:space="preserve">Degson</t>
  </si>
  <si>
    <t xml:space="preserve">UCY2G330MHDHZXCA</t>
  </si>
  <si>
    <t xml:space="preserve">A9076</t>
  </si>
  <si>
    <t xml:space="preserve">CD85-E2GA102MYNSA</t>
  </si>
  <si>
    <t xml:space="preserve">A8361</t>
  </si>
  <si>
    <t xml:space="preserve">BZT52B7V5</t>
  </si>
  <si>
    <t xml:space="preserve">A14260</t>
  </si>
  <si>
    <t xml:space="preserve">TJMS5720</t>
  </si>
  <si>
    <t xml:space="preserve">UCY2W220MHDRZXCA</t>
  </si>
  <si>
    <t xml:space="preserve">Others-Automotive</t>
  </si>
  <si>
    <t xml:space="preserve">A7704</t>
  </si>
  <si>
    <t xml:space="preserve">SKL12</t>
  </si>
  <si>
    <t xml:space="preserve">A8843</t>
  </si>
  <si>
    <t xml:space="preserve">CK45-E3AD103MYGNA</t>
  </si>
  <si>
    <t xml:space="preserve">A3297</t>
  </si>
  <si>
    <t xml:space="preserve">MM1Z4740A</t>
  </si>
  <si>
    <t xml:space="preserve">A10125</t>
  </si>
  <si>
    <t xml:space="preserve">QORVO</t>
  </si>
  <si>
    <t xml:space="preserve">QORVO-PPM</t>
  </si>
  <si>
    <t xml:space="preserve">RF3628TR13-5K</t>
  </si>
  <si>
    <t xml:space="preserve">2EDGRM-5.08-06P-14-100AH</t>
  </si>
  <si>
    <t xml:space="preserve">SL1J-AQ</t>
  </si>
  <si>
    <t xml:space="preserve">207 224 K 05 2V</t>
  </si>
  <si>
    <t xml:space="preserve">A3344</t>
  </si>
  <si>
    <t xml:space="preserve">GUJ00011</t>
  </si>
  <si>
    <t xml:space="preserve">LEAFTRONIX ANALOGIC SOLUTIONS PVT LTD</t>
  </si>
  <si>
    <t xml:space="preserve">A2080</t>
  </si>
  <si>
    <t xml:space="preserve">ESDB712</t>
  </si>
  <si>
    <t xml:space="preserve">BZT52B4V7</t>
  </si>
  <si>
    <t xml:space="preserve">HIROSE.UFL-R-SMT(10)</t>
  </si>
  <si>
    <t xml:space="preserve">A3059</t>
  </si>
  <si>
    <t xml:space="preserve">A13739</t>
  </si>
  <si>
    <t xml:space="preserve">HIROSE.GT17HN-4DP-2DS(A)</t>
  </si>
  <si>
    <t xml:space="preserve">A13740</t>
  </si>
  <si>
    <t xml:space="preserve">HIROSE.GT5-1P-DS(77)</t>
  </si>
  <si>
    <t xml:space="preserve">A13738</t>
  </si>
  <si>
    <t xml:space="preserve">HIROSE.GT13SHA-1/1PP-DS</t>
  </si>
  <si>
    <t xml:space="preserve">TOREX</t>
  </si>
  <si>
    <t xml:space="preserve">XC6203P332FR-G</t>
  </si>
  <si>
    <t xml:space="preserve">HFCL</t>
  </si>
  <si>
    <t xml:space="preserve">Mini Router </t>
  </si>
  <si>
    <t xml:space="preserve">DAPU</t>
  </si>
  <si>
    <t xml:space="preserve">O22S-0802-10.00MHz-H  </t>
  </si>
  <si>
    <t xml:space="preserve">HIMACHAL</t>
  </si>
  <si>
    <t xml:space="preserve">Himachal Energy Pvt. Limited</t>
  </si>
  <si>
    <t xml:space="preserve">Neha Singh</t>
  </si>
  <si>
    <t xml:space="preserve">CR2032/CKP</t>
  </si>
  <si>
    <t xml:space="preserve">A2162</t>
  </si>
  <si>
    <t xml:space="preserve">AL1M</t>
  </si>
  <si>
    <t xml:space="preserve">A5692</t>
  </si>
  <si>
    <t xml:space="preserve">MMBTA42</t>
  </si>
  <si>
    <t xml:space="preserve">A7535</t>
  </si>
  <si>
    <t xml:space="preserve">A6354</t>
  </si>
  <si>
    <t xml:space="preserve">MMTL431A-Q</t>
  </si>
  <si>
    <t xml:space="preserve">A8124</t>
  </si>
  <si>
    <t xml:space="preserve">R5F10Y16ASP#V0</t>
  </si>
  <si>
    <t xml:space="preserve">A5960</t>
  </si>
  <si>
    <t xml:space="preserve">GUJ00014</t>
  </si>
  <si>
    <t xml:space="preserve">RADIANT  CONTROLS &amp; AUTOMATION PVT. LTD.</t>
  </si>
  <si>
    <t xml:space="preserve">A4976</t>
  </si>
  <si>
    <t xml:space="preserve">VT200F-12.5PF20PPM</t>
  </si>
  <si>
    <t xml:space="preserve">A5483</t>
  </si>
  <si>
    <t xml:space="preserve">A7280</t>
  </si>
  <si>
    <t xml:space="preserve">AMD00206</t>
  </si>
  <si>
    <t xml:space="preserve">SM ELECTRONICS</t>
  </si>
  <si>
    <t xml:space="preserve">R5F102AAASP#10</t>
  </si>
  <si>
    <t xml:space="preserve">A2023</t>
  </si>
  <si>
    <t xml:space="preserve">EZJP0V420WM</t>
  </si>
  <si>
    <t xml:space="preserve">A4642</t>
  </si>
  <si>
    <t xml:space="preserve">AMD00074</t>
  </si>
  <si>
    <t xml:space="preserve">ELEVACO SYSTEMS</t>
  </si>
  <si>
    <t xml:space="preserve">R5F102A8ASP#10</t>
  </si>
  <si>
    <t xml:space="preserve">A8556</t>
  </si>
  <si>
    <t xml:space="preserve">ECU</t>
  </si>
  <si>
    <t xml:space="preserve">CGA3E2C0G2A102JT0Y0N</t>
  </si>
  <si>
    <t xml:space="preserve">A8583</t>
  </si>
  <si>
    <t xml:space="preserve">CGA6P1X7R1E106KT0Y0N</t>
  </si>
  <si>
    <t xml:space="preserve">EWK1VM101E11-T</t>
  </si>
  <si>
    <t xml:space="preserve">A8586</t>
  </si>
  <si>
    <t xml:space="preserve">CGA6P1X7R1C226MTJY0N</t>
  </si>
  <si>
    <t xml:space="preserve">A12129</t>
  </si>
  <si>
    <t xml:space="preserve">CGA5L1X7R1V106M</t>
  </si>
  <si>
    <t xml:space="preserve">A3228</t>
  </si>
  <si>
    <t xml:space="preserve">AMD00079</t>
  </si>
  <si>
    <t xml:space="preserve">EMTECH CONTROL</t>
  </si>
  <si>
    <t xml:space="preserve">A6538</t>
  </si>
  <si>
    <t xml:space="preserve">A10049</t>
  </si>
  <si>
    <t xml:space="preserve">RSS060P05HZGTB</t>
  </si>
  <si>
    <t xml:space="preserve">A13378</t>
  </si>
  <si>
    <t xml:space="preserve">RD3L220SNFRATL</t>
  </si>
  <si>
    <t xml:space="preserve">A8484</t>
  </si>
  <si>
    <t xml:space="preserve">BZD27C15PWH</t>
  </si>
  <si>
    <t xml:space="preserve">A10468</t>
  </si>
  <si>
    <t xml:space="preserve">DTC123JE3HZGTL</t>
  </si>
  <si>
    <t xml:space="preserve">A13056</t>
  </si>
  <si>
    <t xml:space="preserve">EC800KCNLC-I03-SNNSA</t>
  </si>
  <si>
    <t xml:space="preserve">A8506</t>
  </si>
  <si>
    <t xml:space="preserve">A13228</t>
  </si>
  <si>
    <t xml:space="preserve">A11327</t>
  </si>
  <si>
    <t xml:space="preserve">A8563</t>
  </si>
  <si>
    <t xml:space="preserve">UCY2W330KHDGZX</t>
  </si>
  <si>
    <t xml:space="preserve">R5F10NPLDFB#10</t>
  </si>
  <si>
    <t xml:space="preserve">A12546</t>
  </si>
  <si>
    <t xml:space="preserve">ER14250/3PF</t>
  </si>
  <si>
    <t xml:space="preserve">UCY2G330KHDDZX</t>
  </si>
  <si>
    <t xml:space="preserve">UCY2G470MHD6</t>
  </si>
  <si>
    <t xml:space="preserve">A11057</t>
  </si>
  <si>
    <t xml:space="preserve">115Q-BCA0</t>
  </si>
  <si>
    <t xml:space="preserve">ER14335 (F0012J-LF</t>
  </si>
  <si>
    <t xml:space="preserve">A8948</t>
  </si>
  <si>
    <t xml:space="preserve">UPA1E471KPDAZX</t>
  </si>
  <si>
    <t xml:space="preserve">A8953</t>
  </si>
  <si>
    <t xml:space="preserve">UPW1H471MHD</t>
  </si>
  <si>
    <t xml:space="preserve">A9722</t>
  </si>
  <si>
    <t xml:space="preserve">MX25V4035FM1I</t>
  </si>
  <si>
    <t xml:space="preserve">A2116</t>
  </si>
  <si>
    <t xml:space="preserve">A8528</t>
  </si>
  <si>
    <t xml:space="preserve">UPW1H471KHDCZX</t>
  </si>
  <si>
    <t xml:space="preserve">A8445</t>
  </si>
  <si>
    <t xml:space="preserve">A8569</t>
  </si>
  <si>
    <t xml:space="preserve">SPM6530T-1R0M120</t>
  </si>
  <si>
    <t xml:space="preserve">A1979</t>
  </si>
  <si>
    <t xml:space="preserve">A9518</t>
  </si>
  <si>
    <t xml:space="preserve">AT25SF041B-SSHD-T</t>
  </si>
  <si>
    <t xml:space="preserve">A12565</t>
  </si>
  <si>
    <t xml:space="preserve">UVZ1C222KHDAZX</t>
  </si>
  <si>
    <t xml:space="preserve">A11761</t>
  </si>
  <si>
    <t xml:space="preserve">TJMS5930#01</t>
  </si>
  <si>
    <t xml:space="preserve">A8534</t>
  </si>
  <si>
    <t xml:space="preserve">A9221</t>
  </si>
  <si>
    <t xml:space="preserve">UCD1C221MCL1GS</t>
  </si>
  <si>
    <t xml:space="preserve">A9643</t>
  </si>
  <si>
    <t xml:space="preserve">Y4BYL0MA0AA</t>
  </si>
  <si>
    <t xml:space="preserve">A11558</t>
  </si>
  <si>
    <t xml:space="preserve">CS45SL2GA330J-NKA</t>
  </si>
  <si>
    <t xml:space="preserve">FIRSTOHM</t>
  </si>
  <si>
    <t xml:space="preserve">SM204F270KTKRTR3K0</t>
  </si>
  <si>
    <t xml:space="preserve">ER26500 +SPC0920A</t>
  </si>
  <si>
    <t xml:space="preserve">A11267</t>
  </si>
  <si>
    <t xml:space="preserve">UVZ1E102KPDDZX</t>
  </si>
  <si>
    <t xml:space="preserve">A8814</t>
  </si>
  <si>
    <t xml:space="preserve">CS65-B2GA101KYNKA</t>
  </si>
  <si>
    <t xml:space="preserve">A9700</t>
  </si>
  <si>
    <t xml:space="preserve">CD45-E2GA222M-NKA</t>
  </si>
  <si>
    <t xml:space="preserve">R5F10MMGDFB#10</t>
  </si>
  <si>
    <t xml:space="preserve">A11383</t>
  </si>
  <si>
    <t xml:space="preserve">PU2DBH</t>
  </si>
  <si>
    <t xml:space="preserve">A11632</t>
  </si>
  <si>
    <t xml:space="preserve">UHW1C222MHD</t>
  </si>
  <si>
    <t xml:space="preserve">SM204F1K20TKRTR3K0</t>
  </si>
  <si>
    <t xml:space="preserve">A9027</t>
  </si>
  <si>
    <t xml:space="preserve">NTCG163JF103FT1A</t>
  </si>
  <si>
    <t xml:space="preserve">SM204F10R0TKRTR3K0</t>
  </si>
  <si>
    <t xml:space="preserve">MMP52C1M00TKQTR2K0</t>
  </si>
  <si>
    <t xml:space="preserve">MMP52C5K60TKQTR2K0</t>
  </si>
  <si>
    <t xml:space="preserve">A5404</t>
  </si>
  <si>
    <t xml:space="preserve">DEL01397</t>
  </si>
  <si>
    <t xml:space="preserve">SGS TEKNIKS MANUFACTURING HRY A3</t>
  </si>
  <si>
    <t xml:space="preserve">LL4148 - Diotec</t>
  </si>
  <si>
    <t xml:space="preserve">A5174</t>
  </si>
  <si>
    <t xml:space="preserve">MMBTRC118SS</t>
  </si>
  <si>
    <t xml:space="preserve">A3365</t>
  </si>
  <si>
    <t xml:space="preserve">DEL01833</t>
  </si>
  <si>
    <t xml:space="preserve">MAS TECHNOLOGY</t>
  </si>
  <si>
    <t xml:space="preserve">A4786</t>
  </si>
  <si>
    <t xml:space="preserve">GUJ00317</t>
  </si>
  <si>
    <t xml:space="preserve">AAVOLATE TECHNOLOGIES PRIVATE LIMITED</t>
  </si>
  <si>
    <t xml:space="preserve">A10620</t>
  </si>
  <si>
    <t xml:space="preserve">CRCW0201100KJNED</t>
  </si>
  <si>
    <t xml:space="preserve">A9333</t>
  </si>
  <si>
    <t xml:space="preserve">A8902</t>
  </si>
  <si>
    <t xml:space="preserve">DEL02252</t>
  </si>
  <si>
    <t xml:space="preserve">IKIO SOLUTIONS PRIVATE LIMITED</t>
  </si>
  <si>
    <t xml:space="preserve">TNPU0402100KAZEI00</t>
  </si>
  <si>
    <t xml:space="preserve">A10214</t>
  </si>
  <si>
    <t xml:space="preserve">Wheels Eye </t>
  </si>
  <si>
    <t xml:space="preserve">ECS-320-8-37CKM</t>
  </si>
  <si>
    <t xml:space="preserve">A10397</t>
  </si>
  <si>
    <t xml:space="preserve">NFM21PC104R1E3D</t>
  </si>
  <si>
    <t xml:space="preserve">A11018</t>
  </si>
  <si>
    <t xml:space="preserve">LQM18DN100M70L</t>
  </si>
  <si>
    <t xml:space="preserve">A11479</t>
  </si>
  <si>
    <t xml:space="preserve">GRM1555CYA103GE01D</t>
  </si>
  <si>
    <t xml:space="preserve">A12028</t>
  </si>
  <si>
    <t xml:space="preserve">GCM1555C1HR80WA16D</t>
  </si>
  <si>
    <t xml:space="preserve">A9148</t>
  </si>
  <si>
    <t xml:space="preserve">DEL00051</t>
  </si>
  <si>
    <t xml:space="preserve">IL JIN ELECTRONICS INDIA PVT LTD</t>
  </si>
  <si>
    <t xml:space="preserve">ITRIANGLE </t>
  </si>
  <si>
    <t xml:space="preserve">DLW32SH101XF2L</t>
  </si>
  <si>
    <t xml:space="preserve">Union Semi</t>
  </si>
  <si>
    <t xml:space="preserve">UM3232EEUE</t>
  </si>
  <si>
    <t xml:space="preserve">A9053</t>
  </si>
  <si>
    <t xml:space="preserve">ITRIANGLE INFOTECH PVT LTD</t>
  </si>
  <si>
    <t xml:space="preserve">Automotive Safety</t>
  </si>
  <si>
    <t xml:space="preserve">R7FA6M1AD3CFM#AA0</t>
  </si>
  <si>
    <t xml:space="preserve">A7168</t>
  </si>
  <si>
    <t xml:space="preserve">1N4007</t>
  </si>
  <si>
    <t xml:space="preserve">BC817-16RFG </t>
  </si>
  <si>
    <t xml:space="preserve">UMK316AC7475KLHTE</t>
  </si>
  <si>
    <t xml:space="preserve">MMFTN2362-Q</t>
  </si>
  <si>
    <t xml:space="preserve">A8595</t>
  </si>
  <si>
    <t xml:space="preserve">CGA3E3C0G2E101JT0Y0N</t>
  </si>
  <si>
    <t xml:space="preserve">A2455</t>
  </si>
  <si>
    <t xml:space="preserve">P4SMAJ15CA</t>
  </si>
  <si>
    <t xml:space="preserve">A8798</t>
  </si>
  <si>
    <t xml:space="preserve">GRT31CR61H106ME01L</t>
  </si>
  <si>
    <t xml:space="preserve">A8049</t>
  </si>
  <si>
    <t xml:space="preserve">M7  T/R</t>
  </si>
  <si>
    <t xml:space="preserve">A13735</t>
  </si>
  <si>
    <t xml:space="preserve">UCD1K470MNL1GS</t>
  </si>
  <si>
    <t xml:space="preserve">A2893</t>
  </si>
  <si>
    <t xml:space="preserve">02 105 K 2A 1B</t>
  </si>
  <si>
    <t xml:space="preserve">A1860</t>
  </si>
  <si>
    <t xml:space="preserve">AMD00063</t>
  </si>
  <si>
    <t xml:space="preserve">DEEP MARKETING</t>
  </si>
  <si>
    <t xml:space="preserve">A8856</t>
  </si>
  <si>
    <t xml:space="preserve">UCD1J680MNL1GS</t>
  </si>
  <si>
    <t xml:space="preserve">A8754</t>
  </si>
  <si>
    <t xml:space="preserve">UVY1J101MPD</t>
  </si>
  <si>
    <t xml:space="preserve">CNA6P1X7R2A106K</t>
  </si>
  <si>
    <t xml:space="preserve">CGA5L1X7R2A475K160AC</t>
  </si>
  <si>
    <t xml:space="preserve">ZM4733A LOG</t>
  </si>
  <si>
    <t xml:space="preserve">A4559</t>
  </si>
  <si>
    <t xml:space="preserve">P4SMAJ12CA</t>
  </si>
  <si>
    <t xml:space="preserve">A2994</t>
  </si>
  <si>
    <t xml:space="preserve">DEL00373</t>
  </si>
  <si>
    <t xml:space="preserve">ELECTROWAVES ELECTRONICS PVT. LTD</t>
  </si>
  <si>
    <t xml:space="preserve">A6288</t>
  </si>
  <si>
    <t xml:space="preserve">R5F10268ASP#35</t>
  </si>
  <si>
    <t xml:space="preserve">A3884</t>
  </si>
  <si>
    <t xml:space="preserve">Z1SMA22</t>
  </si>
  <si>
    <t xml:space="preserve">A13847</t>
  </si>
  <si>
    <t xml:space="preserve">GRT21BR61H475KE13L</t>
  </si>
  <si>
    <t xml:space="preserve">A14132</t>
  </si>
  <si>
    <t xml:space="preserve">TM01118AVHSUGNA#01</t>
  </si>
  <si>
    <t xml:space="preserve">TJM5427-011</t>
  </si>
  <si>
    <t xml:space="preserve">TJM5411A-012</t>
  </si>
  <si>
    <t xml:space="preserve">PAZ-UP30T27</t>
  </si>
  <si>
    <t xml:space="preserve">A1407</t>
  </si>
  <si>
    <t xml:space="preserve">Z1SMA24</t>
  </si>
  <si>
    <t xml:space="preserve">A8799</t>
  </si>
  <si>
    <t xml:space="preserve">ZM4742A L0G</t>
  </si>
  <si>
    <t xml:space="preserve">A9964</t>
  </si>
  <si>
    <t xml:space="preserve">A3274</t>
  </si>
  <si>
    <t xml:space="preserve">TJM4999</t>
  </si>
  <si>
    <t xml:space="preserve">A6708</t>
  </si>
  <si>
    <t xml:space="preserve">CR2032 - PLAIN</t>
  </si>
  <si>
    <t xml:space="preserve">A1950</t>
  </si>
  <si>
    <t xml:space="preserve">BC857B</t>
  </si>
  <si>
    <t xml:space="preserve">FH28-60S-0.5SH/60PIN        </t>
  </si>
  <si>
    <t xml:space="preserve">A10652</t>
  </si>
  <si>
    <t xml:space="preserve">TM035KDGP03-00</t>
  </si>
  <si>
    <t xml:space="preserve">A2604</t>
  </si>
  <si>
    <t xml:space="preserve">A4204</t>
  </si>
  <si>
    <t xml:space="preserve">A4899</t>
  </si>
  <si>
    <t xml:space="preserve">MMFTN3402</t>
  </si>
  <si>
    <t xml:space="preserve">A8068</t>
  </si>
  <si>
    <t xml:space="preserve">DEL00758</t>
  </si>
  <si>
    <t xml:space="preserve">NEOLITE ZKW LIGHTINGS PRIVATE LIMITED</t>
  </si>
  <si>
    <t xml:space="preserve">B72520T 200K 62</t>
  </si>
  <si>
    <t xml:space="preserve">A8767</t>
  </si>
  <si>
    <t xml:space="preserve">S3JBH</t>
  </si>
  <si>
    <t xml:space="preserve">A3930</t>
  </si>
  <si>
    <t xml:space="preserve">LDI1117-ADU</t>
  </si>
  <si>
    <t xml:space="preserve">UPM1J221MHD</t>
  </si>
  <si>
    <t xml:space="preserve">A8500</t>
  </si>
  <si>
    <t xml:space="preserve">SANDHYA KALYAN</t>
  </si>
  <si>
    <t xml:space="preserve">TM042NDKP31-00</t>
  </si>
  <si>
    <t xml:space="preserve">A8075</t>
  </si>
  <si>
    <t xml:space="preserve">A8743</t>
  </si>
  <si>
    <t xml:space="preserve">TM042NDKP26-00</t>
  </si>
  <si>
    <t xml:space="preserve">A13877</t>
  </si>
  <si>
    <t xml:space="preserve">S3JB-M-01HR5G</t>
  </si>
  <si>
    <t xml:space="preserve">A9316</t>
  </si>
  <si>
    <t xml:space="preserve">S1MLW-04HRVG</t>
  </si>
  <si>
    <t xml:space="preserve">A1430</t>
  </si>
  <si>
    <t xml:space="preserve">A3348</t>
  </si>
  <si>
    <t xml:space="preserve">SK84-3G</t>
  </si>
  <si>
    <t xml:space="preserve">A8078</t>
  </si>
  <si>
    <t xml:space="preserve">BAV21WS</t>
  </si>
  <si>
    <t xml:space="preserve">BZT52C5V1-AQ</t>
  </si>
  <si>
    <t xml:space="preserve">BZT52C15-AQ</t>
  </si>
  <si>
    <t xml:space="preserve">A7131</t>
  </si>
  <si>
    <t xml:space="preserve">A10866</t>
  </si>
  <si>
    <t xml:space="preserve">BD9G401EFJ-ME2</t>
  </si>
  <si>
    <t xml:space="preserve">A9567</t>
  </si>
  <si>
    <t xml:space="preserve">SS16H</t>
  </si>
  <si>
    <t xml:space="preserve">A13880</t>
  </si>
  <si>
    <t xml:space="preserve">Automotive Lighting</t>
  </si>
  <si>
    <t xml:space="preserve">CRCW201068R0FKEFHP</t>
  </si>
  <si>
    <t xml:space="preserve">KALA</t>
  </si>
  <si>
    <t xml:space="preserve">JBD508121AG1C</t>
  </si>
  <si>
    <t xml:space="preserve">A9111</t>
  </si>
  <si>
    <t xml:space="preserve">IHLP2525CZEK150M5A</t>
  </si>
  <si>
    <t xml:space="preserve">A4396</t>
  </si>
  <si>
    <t xml:space="preserve">ZMM5B1</t>
  </si>
  <si>
    <t xml:space="preserve">A3303</t>
  </si>
  <si>
    <t xml:space="preserve">LUYOUFA</t>
  </si>
  <si>
    <t xml:space="preserve">12251105FNG0S118002</t>
  </si>
  <si>
    <t xml:space="preserve">A10531</t>
  </si>
  <si>
    <t xml:space="preserve">Dura Automation</t>
  </si>
  <si>
    <t xml:space="preserve">GCM155R71E103KA37D</t>
  </si>
  <si>
    <t xml:space="preserve">DONGKE SEMI</t>
  </si>
  <si>
    <t xml:space="preserve">DK025G</t>
  </si>
  <si>
    <t xml:space="preserve">A9609</t>
  </si>
  <si>
    <t xml:space="preserve">Bluestar India</t>
  </si>
  <si>
    <t xml:space="preserve">GCM188R71E105KA64D</t>
  </si>
  <si>
    <t xml:space="preserve">A3642</t>
  </si>
  <si>
    <t xml:space="preserve">GUJ00004</t>
  </si>
  <si>
    <t xml:space="preserve">AMTECH ELECTRONICS (INDIA) LTD</t>
  </si>
  <si>
    <t xml:space="preserve">HV2</t>
  </si>
  <si>
    <t xml:space="preserve">A7400</t>
  </si>
  <si>
    <t xml:space="preserve">DEL00430</t>
  </si>
  <si>
    <t xml:space="preserve">GENNEX ELECTRONICS</t>
  </si>
  <si>
    <t xml:space="preserve">A10532</t>
  </si>
  <si>
    <t xml:space="preserve">GCM155R71H104KE02D</t>
  </si>
  <si>
    <t xml:space="preserve">A6930</t>
  </si>
  <si>
    <t xml:space="preserve">DEL01364</t>
  </si>
  <si>
    <t xml:space="preserve">KAYNES TECHNOLOGY INDIA PVT LTD- HIMACHAL PRADESH</t>
  </si>
  <si>
    <t xml:space="preserve">US1J</t>
  </si>
  <si>
    <t xml:space="preserve">A1862</t>
  </si>
  <si>
    <t xml:space="preserve">DEL01938</t>
  </si>
  <si>
    <t xml:space="preserve">V-GUARD CONSUMER PRODUCTS LIMITED</t>
  </si>
  <si>
    <t xml:space="preserve">MMTV431A</t>
  </si>
  <si>
    <t xml:space="preserve">BC807-40W-AQ</t>
  </si>
  <si>
    <t xml:space="preserve">A6860</t>
  </si>
  <si>
    <t xml:space="preserve">AC0402JR-0710KL</t>
  </si>
  <si>
    <t xml:space="preserve">A7628</t>
  </si>
  <si>
    <t xml:space="preserve">GTEK CORPORATION PVT LTD</t>
  </si>
  <si>
    <t xml:space="preserve">P6SMBJ12CA</t>
  </si>
  <si>
    <t xml:space="preserve">A3750</t>
  </si>
  <si>
    <t xml:space="preserve">AMD00256</t>
  </si>
  <si>
    <t xml:space="preserve">ELPRO CONTROLS</t>
  </si>
  <si>
    <t xml:space="preserve">A5127</t>
  </si>
  <si>
    <t xml:space="preserve">MMSZ5250B</t>
  </si>
  <si>
    <t xml:space="preserve">CRCW04024K70FKEDC</t>
  </si>
  <si>
    <t xml:space="preserve">CRCW04021K00FKEDC</t>
  </si>
  <si>
    <t xml:space="preserve">CRCW040222K0FKEDC</t>
  </si>
  <si>
    <t xml:space="preserve">A2820</t>
  </si>
  <si>
    <t xml:space="preserve">A12936</t>
  </si>
  <si>
    <t xml:space="preserve">CRCW06034K70FKEAC</t>
  </si>
  <si>
    <t xml:space="preserve">A13657</t>
  </si>
  <si>
    <t xml:space="preserve">CRCW060310K0FKEAC</t>
  </si>
  <si>
    <t xml:space="preserve">CRCW06031K00FKEAC</t>
  </si>
  <si>
    <t xml:space="preserve">CRCW060322K0FKEAC</t>
  </si>
  <si>
    <t xml:space="preserve">A8095</t>
  </si>
  <si>
    <t xml:space="preserve">A2043</t>
  </si>
  <si>
    <t xml:space="preserve">SL1M-AQ</t>
  </si>
  <si>
    <t xml:space="preserve">A7074</t>
  </si>
  <si>
    <t xml:space="preserve">1N5408</t>
  </si>
  <si>
    <t xml:space="preserve">A8159</t>
  </si>
  <si>
    <t xml:space="preserve">FRL1M</t>
  </si>
  <si>
    <t xml:space="preserve">CRCW0603100KFKEAC</t>
  </si>
  <si>
    <t xml:space="preserve">CRCW0603100RFKEAC</t>
  </si>
  <si>
    <t xml:space="preserve">A13658</t>
  </si>
  <si>
    <t xml:space="preserve">TJMS5903</t>
  </si>
  <si>
    <t xml:space="preserve">A9589</t>
  </si>
  <si>
    <t xml:space="preserve">CRCW060315K0FKEAC</t>
  </si>
  <si>
    <t xml:space="preserve">A5504</t>
  </si>
  <si>
    <t xml:space="preserve">BZT52C8V2</t>
  </si>
  <si>
    <t xml:space="preserve">CRCW080512R0FKEAC</t>
  </si>
  <si>
    <t xml:space="preserve">CRCW06030000Z0EAC</t>
  </si>
  <si>
    <t xml:space="preserve">CRCW060310R0FKEAC</t>
  </si>
  <si>
    <t xml:space="preserve">CRCW04020000Z0EDC</t>
  </si>
  <si>
    <t xml:space="preserve">CRCW040210K0FKEDC</t>
  </si>
  <si>
    <t xml:space="preserve">A3021</t>
  </si>
  <si>
    <t xml:space="preserve">CRCW1206470KFKEAC</t>
  </si>
  <si>
    <t xml:space="preserve">CRCW080522K0FKEAC</t>
  </si>
  <si>
    <t xml:space="preserve">CRCW1206330KFKEAC</t>
  </si>
  <si>
    <t xml:space="preserve">CRCW060333K0FKEAC</t>
  </si>
  <si>
    <t xml:space="preserve">CRCW06033K90FKEAC</t>
  </si>
  <si>
    <t xml:space="preserve">TJMS5934#01</t>
  </si>
  <si>
    <t xml:space="preserve">SS210H</t>
  </si>
  <si>
    <t xml:space="preserve">BZT52C7V5 RHG</t>
  </si>
  <si>
    <t xml:space="preserve">CRCW1206100RFKEAC</t>
  </si>
  <si>
    <t xml:space="preserve">CRCW120610R0FKEAC</t>
  </si>
  <si>
    <t xml:space="preserve">CRCW1206220RFKEAC</t>
  </si>
  <si>
    <t xml:space="preserve">CRCW120622R0FKEAC</t>
  </si>
  <si>
    <t xml:space="preserve">CRCW1206560RFKEAC</t>
  </si>
  <si>
    <t xml:space="preserve">CRCW1206750KFKEAC</t>
  </si>
  <si>
    <t xml:space="preserve">CRCW0603220RFKEAC</t>
  </si>
  <si>
    <t xml:space="preserve">CRCW06032K20FKEAC</t>
  </si>
  <si>
    <t xml:space="preserve">CRCW06032K70FKEAC</t>
  </si>
  <si>
    <t xml:space="preserve">CRCW06036K80FKEAC</t>
  </si>
  <si>
    <t xml:space="preserve">CRCW060310M0FKEAC</t>
  </si>
  <si>
    <t xml:space="preserve">CRCW040222R0FKEDC</t>
  </si>
  <si>
    <t xml:space="preserve">A9153</t>
  </si>
  <si>
    <t xml:space="preserve">CRCW0805620RFKEAC</t>
  </si>
  <si>
    <t xml:space="preserve">CRCW0402100RFKEDC</t>
  </si>
  <si>
    <t xml:space="preserve">CRCW080533M0JPEAHR</t>
  </si>
  <si>
    <t xml:space="preserve">A8115</t>
  </si>
  <si>
    <t xml:space="preserve">DEL01980</t>
  </si>
  <si>
    <t xml:space="preserve">USL1M</t>
  </si>
  <si>
    <t xml:space="preserve">CRCW06031K50FKEAC</t>
  </si>
  <si>
    <t xml:space="preserve">CRCW040233K0FKEDC</t>
  </si>
  <si>
    <t xml:space="preserve">GS2ZA</t>
  </si>
  <si>
    <t xml:space="preserve">SS12</t>
  </si>
  <si>
    <t xml:space="preserve">A4896</t>
  </si>
  <si>
    <t xml:space="preserve">AMD00009</t>
  </si>
  <si>
    <t xml:space="preserve">LUBI ELECTRONICS</t>
  </si>
  <si>
    <t xml:space="preserve">P6KE200A</t>
  </si>
  <si>
    <t xml:space="preserve">A8907</t>
  </si>
  <si>
    <t xml:space="preserve">TJMS5904</t>
  </si>
  <si>
    <t xml:space="preserve">ZMM4.7</t>
  </si>
  <si>
    <t xml:space="preserve">Madhuri</t>
  </si>
  <si>
    <t xml:space="preserve">MLX90391ELQ-AAA-011-RE</t>
  </si>
  <si>
    <t xml:space="preserve">EURO</t>
  </si>
  <si>
    <t xml:space="preserve">A7558</t>
  </si>
  <si>
    <t xml:space="preserve">CRCW12060000Z0EAC</t>
  </si>
  <si>
    <t xml:space="preserve">CRCW1206100KFKEAC</t>
  </si>
  <si>
    <t xml:space="preserve">CRCW060320K0FKEAC</t>
  </si>
  <si>
    <t xml:space="preserve">CRCW040210R0FKEDC</t>
  </si>
  <si>
    <t xml:space="preserve">AT25EU0021A-SSHN-T</t>
  </si>
  <si>
    <t xml:space="preserve">JBD506322AG1C</t>
  </si>
  <si>
    <t xml:space="preserve">BSS84</t>
  </si>
  <si>
    <t xml:space="preserve">CRCW0402470RFKEDC</t>
  </si>
  <si>
    <t xml:space="preserve">AMD00002</t>
  </si>
  <si>
    <t xml:space="preserve">AMBILIN INCORPORATE</t>
  </si>
  <si>
    <t xml:space="preserve">A7780</t>
  </si>
  <si>
    <t xml:space="preserve">134 102 K 3A 1A</t>
  </si>
  <si>
    <t xml:space="preserve">A7664</t>
  </si>
  <si>
    <t xml:space="preserve">BETTERFUSE</t>
  </si>
  <si>
    <t xml:space="preserve">5222100203C</t>
  </si>
  <si>
    <t xml:space="preserve">A6846</t>
  </si>
  <si>
    <t xml:space="preserve">UHV1A332MHD1TO</t>
  </si>
  <si>
    <t xml:space="preserve">SC206EEMDA-G51-UGNDAC</t>
  </si>
  <si>
    <t xml:space="preserve">217B-BC02</t>
  </si>
  <si>
    <t xml:space="preserve">207A-BAB0-01</t>
  </si>
  <si>
    <t xml:space="preserve">A8076</t>
  </si>
  <si>
    <t xml:space="preserve">A5015</t>
  </si>
  <si>
    <t xml:space="preserve">UUD0J471MNL1GS</t>
  </si>
  <si>
    <t xml:space="preserve">A7743</t>
  </si>
  <si>
    <t xml:space="preserve">SKL16-AQ</t>
  </si>
  <si>
    <t xml:space="preserve">A7709</t>
  </si>
  <si>
    <t xml:space="preserve">MMBT2222A</t>
  </si>
  <si>
    <t xml:space="preserve">A5910</t>
  </si>
  <si>
    <t xml:space="preserve">ERJUP6J122V</t>
  </si>
  <si>
    <t xml:space="preserve">A3564</t>
  </si>
  <si>
    <t xml:space="preserve">LDI1117-05H</t>
  </si>
  <si>
    <t xml:space="preserve">DI78M15D1</t>
  </si>
  <si>
    <t xml:space="preserve">A2580</t>
  </si>
  <si>
    <t xml:space="preserve">UHV1E221MPD</t>
  </si>
  <si>
    <t xml:space="preserve">A7360</t>
  </si>
  <si>
    <t xml:space="preserve">ERJB2AF111V</t>
  </si>
  <si>
    <t xml:space="preserve">A3041</t>
  </si>
  <si>
    <t xml:space="preserve">AC1206JR-071K8L</t>
  </si>
  <si>
    <t xml:space="preserve">DEL01429</t>
  </si>
  <si>
    <t xml:space="preserve">BC847B-Q</t>
  </si>
  <si>
    <t xml:space="preserve">EWK1CM101D11-T</t>
  </si>
  <si>
    <t xml:space="preserve">A1517</t>
  </si>
  <si>
    <t xml:space="preserve">BC846B-Q</t>
  </si>
  <si>
    <t xml:space="preserve">A4922</t>
  </si>
  <si>
    <t xml:space="preserve">GUJ00520</t>
  </si>
  <si>
    <t xml:space="preserve">SILVER CONSUMER ELECTRICALS LIMITED</t>
  </si>
  <si>
    <t xml:space="preserve">Solar Pumps</t>
  </si>
  <si>
    <t xml:space="preserve">SK54SMC</t>
  </si>
  <si>
    <t xml:space="preserve">A1919</t>
  </si>
  <si>
    <t xml:space="preserve">SK310</t>
  </si>
  <si>
    <t xml:space="preserve">EWK1HM100D11-T</t>
  </si>
  <si>
    <t xml:space="preserve">A3676</t>
  </si>
  <si>
    <t xml:space="preserve">USL1J</t>
  </si>
  <si>
    <t xml:space="preserve">A1216</t>
  </si>
  <si>
    <t xml:space="preserve">ERJB2AJ221V</t>
  </si>
  <si>
    <t xml:space="preserve">A3016</t>
  </si>
  <si>
    <t xml:space="preserve">ERJB2AJ391V</t>
  </si>
  <si>
    <t xml:space="preserve">A3699</t>
  </si>
  <si>
    <t xml:space="preserve">ERJB2AJ511V</t>
  </si>
  <si>
    <t xml:space="preserve">A6429</t>
  </si>
  <si>
    <t xml:space="preserve">DEL01895</t>
  </si>
  <si>
    <t xml:space="preserve">WYNNCOM DIGITAL DEVICES PVT. LTD.</t>
  </si>
  <si>
    <t xml:space="preserve">ESD3B12WS</t>
  </si>
  <si>
    <t xml:space="preserve">EWK1EM100D11-T</t>
  </si>
  <si>
    <t xml:space="preserve">EWK1CM100D11-T</t>
  </si>
  <si>
    <t xml:space="preserve">A5039</t>
  </si>
  <si>
    <t xml:space="preserve">13 103 K 2G 1A</t>
  </si>
  <si>
    <t xml:space="preserve">LUMAX ALPS ALPINE</t>
  </si>
  <si>
    <t xml:space="preserve">SMBJ24CAH</t>
  </si>
  <si>
    <t xml:space="preserve">S1MLWH</t>
  </si>
  <si>
    <t xml:space="preserve">TQM2N7002KCU</t>
  </si>
  <si>
    <t xml:space="preserve">BC817-25H</t>
  </si>
  <si>
    <t xml:space="preserve">RS1GLWH</t>
  </si>
  <si>
    <t xml:space="preserve">A2925</t>
  </si>
  <si>
    <t xml:space="preserve">BCW66F</t>
  </si>
  <si>
    <t xml:space="preserve">A9595</t>
  </si>
  <si>
    <t xml:space="preserve">A8090</t>
  </si>
  <si>
    <t xml:space="preserve">A4474</t>
  </si>
  <si>
    <t xml:space="preserve">A6375</t>
  </si>
  <si>
    <t xml:space="preserve">1N4148WS</t>
  </si>
  <si>
    <t xml:space="preserve">A4412</t>
  </si>
  <si>
    <t xml:space="preserve">A2990</t>
  </si>
  <si>
    <t xml:space="preserve">AC1206JR-072K7L</t>
  </si>
  <si>
    <t xml:space="preserve">A2783</t>
  </si>
  <si>
    <t xml:space="preserve">ERJPA2F1003X</t>
  </si>
  <si>
    <t xml:space="preserve">A5501</t>
  </si>
  <si>
    <t xml:space="preserve">A6255</t>
  </si>
  <si>
    <t xml:space="preserve">A9168</t>
  </si>
  <si>
    <t xml:space="preserve">CGA5L1X7R1H106KT0Y0N</t>
  </si>
  <si>
    <t xml:space="preserve">A9597</t>
  </si>
  <si>
    <t xml:space="preserve">CGA4J3X7R1H225KT000N</t>
  </si>
  <si>
    <t xml:space="preserve">A5118</t>
  </si>
  <si>
    <t xml:space="preserve">A6385</t>
  </si>
  <si>
    <t xml:space="preserve">A13717</t>
  </si>
  <si>
    <t xml:space="preserve">CGA6M3X7R1H225K200AB</t>
  </si>
  <si>
    <t xml:space="preserve">A10334</t>
  </si>
  <si>
    <t xml:space="preserve">CGA4F3X7S2A224K085AE</t>
  </si>
  <si>
    <t xml:space="preserve">A14112</t>
  </si>
  <si>
    <t xml:space="preserve">SS110LWH</t>
  </si>
  <si>
    <t xml:space="preserve">UCS2W330MHDFZX</t>
  </si>
  <si>
    <t xml:space="preserve">SL1D</t>
  </si>
  <si>
    <t xml:space="preserve">A9169</t>
  </si>
  <si>
    <t xml:space="preserve">A13785</t>
  </si>
  <si>
    <t xml:space="preserve">ACT1210-101-2P-TL00</t>
  </si>
  <si>
    <t xml:space="preserve">A3438</t>
  </si>
  <si>
    <t xml:space="preserve">UUL1E100MCL1GS</t>
  </si>
  <si>
    <t xml:space="preserve">A8469</t>
  </si>
  <si>
    <t xml:space="preserve">2SCR574D3FRATL</t>
  </si>
  <si>
    <t xml:space="preserve">UCH1V221MCL1GS</t>
  </si>
  <si>
    <t xml:space="preserve">UCM1K680MNL1GS</t>
  </si>
  <si>
    <t xml:space="preserve">UCZ1C101MCL6GS</t>
  </si>
  <si>
    <t xml:space="preserve">B72510E0250K062</t>
  </si>
  <si>
    <t xml:space="preserve">CGA3E2X7R1H104K080AE</t>
  </si>
  <si>
    <t xml:space="preserve">CGA2B3X7R1H103K050BB</t>
  </si>
  <si>
    <t xml:space="preserve">UCY2W220MHD</t>
  </si>
  <si>
    <t xml:space="preserve">A8328</t>
  </si>
  <si>
    <t xml:space="preserve">ERJ2RKF4531X</t>
  </si>
  <si>
    <t xml:space="preserve">EXB38V102JV</t>
  </si>
  <si>
    <t xml:space="preserve">A9621</t>
  </si>
  <si>
    <t xml:space="preserve">PTZTFTE2512B</t>
  </si>
  <si>
    <t xml:space="preserve">UCM1H220MCL1GS</t>
  </si>
  <si>
    <t xml:space="preserve">A9116</t>
  </si>
  <si>
    <t xml:space="preserve">RBR15BM60AFHTL</t>
  </si>
  <si>
    <t xml:space="preserve">ZCAT08V-BK</t>
  </si>
  <si>
    <t xml:space="preserve">ZCAT12V-BK</t>
  </si>
  <si>
    <t xml:space="preserve">EXB38V332JV</t>
  </si>
  <si>
    <t xml:space="preserve">A13703</t>
  </si>
  <si>
    <t xml:space="preserve">R5F104FCGFP#50</t>
  </si>
  <si>
    <t xml:space="preserve">A9294</t>
  </si>
  <si>
    <t xml:space="preserve">R5F523T3AGFL#50</t>
  </si>
  <si>
    <t xml:space="preserve">UWT1H2R2MCR1GB</t>
  </si>
  <si>
    <t xml:space="preserve">A9350</t>
  </si>
  <si>
    <t xml:space="preserve">DEL00063</t>
  </si>
  <si>
    <t xml:space="preserve">M S ELECTROVISION PVT LTD HARYANA</t>
  </si>
  <si>
    <t xml:space="preserve">A10639</t>
  </si>
  <si>
    <t xml:space="preserve">PS1240P02B2</t>
  </si>
  <si>
    <t xml:space="preserve">A13385</t>
  </si>
  <si>
    <t xml:space="preserve">DEL02269</t>
  </si>
  <si>
    <t xml:space="preserve">M/S POWER TECHNOLOGIES CORPORATION</t>
  </si>
  <si>
    <t xml:space="preserve">Lighting-Consumer</t>
  </si>
  <si>
    <t xml:space="preserve">MAL504518229E3</t>
  </si>
  <si>
    <t xml:space="preserve">A11022</t>
  </si>
  <si>
    <t xml:space="preserve">MAL504518109E3</t>
  </si>
  <si>
    <t xml:space="preserve">A10057</t>
  </si>
  <si>
    <t xml:space="preserve">MAL215946101E3</t>
  </si>
  <si>
    <t xml:space="preserve">DI78L05UAB</t>
  </si>
  <si>
    <t xml:space="preserve">A4338</t>
  </si>
  <si>
    <t xml:space="preserve">A3189</t>
  </si>
  <si>
    <t xml:space="preserve">NUP2105L</t>
  </si>
  <si>
    <t xml:space="preserve">A7344</t>
  </si>
  <si>
    <t xml:space="preserve">A8327</t>
  </si>
  <si>
    <t xml:space="preserve">ERJ2GEJ122X</t>
  </si>
  <si>
    <t xml:space="preserve">Mantra Softech (I) PVT LTD</t>
  </si>
  <si>
    <t xml:space="preserve">BMI323</t>
  </si>
  <si>
    <t xml:space="preserve">Diotec</t>
  </si>
  <si>
    <t xml:space="preserve">SK210</t>
  </si>
  <si>
    <t xml:space="preserve">A14184</t>
  </si>
  <si>
    <t xml:space="preserve">GUJ00241</t>
  </si>
  <si>
    <t xml:space="preserve">MATRIX COMSEC PVT LTD</t>
  </si>
  <si>
    <t xml:space="preserve">MS412FE-FL26E</t>
  </si>
  <si>
    <t xml:space="preserve">A14212</t>
  </si>
  <si>
    <t xml:space="preserve">MS920SE-FL27E</t>
  </si>
  <si>
    <t xml:space="preserve">A14195</t>
  </si>
  <si>
    <t xml:space="preserve">S-35390A-T8T1U</t>
  </si>
  <si>
    <t xml:space="preserve">A14225</t>
  </si>
  <si>
    <t xml:space="preserve">ML414H IV01E</t>
  </si>
  <si>
    <t xml:space="preserve">A14211</t>
  </si>
  <si>
    <t xml:space="preserve">MS621T-FL11E</t>
  </si>
  <si>
    <t xml:space="preserve">A14292</t>
  </si>
  <si>
    <t xml:space="preserve">MS920T-FL27E</t>
  </si>
  <si>
    <t xml:space="preserve">A10990</t>
  </si>
  <si>
    <t xml:space="preserve">AMD00028</t>
  </si>
  <si>
    <t xml:space="preserve">MATTER MOTOR WORKS PVT. LTD.</t>
  </si>
  <si>
    <t xml:space="preserve">UCS2C331MHD</t>
  </si>
  <si>
    <t xml:space="preserve">A13268</t>
  </si>
  <si>
    <t xml:space="preserve">ULD1H100MDD1TD</t>
  </si>
  <si>
    <t xml:space="preserve">A5759</t>
  </si>
  <si>
    <t xml:space="preserve">SK220SMA</t>
  </si>
  <si>
    <t xml:space="preserve">A4698</t>
  </si>
  <si>
    <t xml:space="preserve">DEL00369</t>
  </si>
  <si>
    <t xml:space="preserve">ELECTROFUSION TECHNOLOGIES</t>
  </si>
  <si>
    <t xml:space="preserve">SK810-3G</t>
  </si>
  <si>
    <t xml:space="preserve">ESDB12C </t>
  </si>
  <si>
    <t xml:space="preserve">A6381</t>
  </si>
  <si>
    <t xml:space="preserve">ABS15M</t>
  </si>
  <si>
    <t xml:space="preserve">ERS1VM101E12OT</t>
  </si>
  <si>
    <t xml:space="preserve">S1MQ</t>
  </si>
  <si>
    <t xml:space="preserve">ULD1J470MPD</t>
  </si>
  <si>
    <t xml:space="preserve">SMF200A </t>
  </si>
  <si>
    <t xml:space="preserve">N Priya</t>
  </si>
  <si>
    <t xml:space="preserve">A2603</t>
  </si>
  <si>
    <t xml:space="preserve">RC0805FR-07180RL</t>
  </si>
  <si>
    <t xml:space="preserve">A6892</t>
  </si>
  <si>
    <t xml:space="preserve">AC0402JR-070RL</t>
  </si>
  <si>
    <t xml:space="preserve">UHW1E471MPD</t>
  </si>
  <si>
    <t xml:space="preserve">UCW1C101MCL1GS</t>
  </si>
  <si>
    <t xml:space="preserve">ES1D</t>
  </si>
  <si>
    <t xml:space="preserve">A2965</t>
  </si>
  <si>
    <t xml:space="preserve">AC0402JR-0710RL</t>
  </si>
  <si>
    <t xml:space="preserve">R7FA4E10D2CFM#AA0</t>
  </si>
  <si>
    <t xml:space="preserve">A6659</t>
  </si>
  <si>
    <t xml:space="preserve">R7FA2L1A93CFL#AA0</t>
  </si>
  <si>
    <t xml:space="preserve">Y4SRZ0MA0AA</t>
  </si>
  <si>
    <t xml:space="preserve">Keyfob-EV</t>
  </si>
  <si>
    <t xml:space="preserve">ATHER ENERGY LIMITED</t>
  </si>
  <si>
    <t xml:space="preserve">SUMIDA</t>
  </si>
  <si>
    <t xml:space="preserve">CAS13D31B-472</t>
  </si>
  <si>
    <t xml:space="preserve">CGA5L1X7R1H106K160AC</t>
  </si>
  <si>
    <t xml:space="preserve">Minda Switch</t>
  </si>
  <si>
    <t xml:space="preserve">Injonic</t>
  </si>
  <si>
    <t xml:space="preserve">IP6520_Q1</t>
  </si>
  <si>
    <t xml:space="preserve">SLD8S22</t>
  </si>
  <si>
    <t xml:space="preserve">LC79HALMD</t>
  </si>
  <si>
    <t xml:space="preserve">A8436</t>
  </si>
  <si>
    <t xml:space="preserve">A8826</t>
  </si>
  <si>
    <t xml:space="preserve">R5F104BCAFP#10</t>
  </si>
  <si>
    <t xml:space="preserve">A10648</t>
  </si>
  <si>
    <t xml:space="preserve">iW248-00</t>
  </si>
  <si>
    <t xml:space="preserve">A9021</t>
  </si>
  <si>
    <t xml:space="preserve">A10392</t>
  </si>
  <si>
    <t xml:space="preserve">RAA2231814GSP#HA0</t>
  </si>
  <si>
    <t xml:space="preserve">R7F0C002G2DFB</t>
  </si>
  <si>
    <t xml:space="preserve">A13171</t>
  </si>
  <si>
    <t xml:space="preserve">KODENSHI AUK</t>
  </si>
  <si>
    <t xml:space="preserve">R2102TC-5AD</t>
  </si>
  <si>
    <t xml:space="preserve">A13369</t>
  </si>
  <si>
    <t xml:space="preserve">R903V1-5P</t>
  </si>
  <si>
    <t xml:space="preserve">A10043</t>
  </si>
  <si>
    <t xml:space="preserve">A6898</t>
  </si>
  <si>
    <t xml:space="preserve">CT817C(SL)(T1)-H</t>
  </si>
  <si>
    <t xml:space="preserve">A12013</t>
  </si>
  <si>
    <t xml:space="preserve">R903S9-4P</t>
  </si>
  <si>
    <t xml:space="preserve">ERJ-3EKF1002V</t>
  </si>
  <si>
    <t xml:space="preserve">A13825</t>
  </si>
  <si>
    <t xml:space="preserve">A10263</t>
  </si>
  <si>
    <t xml:space="preserve">BR24G256FJ-3GTE2</t>
  </si>
  <si>
    <t xml:space="preserve">A8676</t>
  </si>
  <si>
    <t xml:space="preserve">ERJ-3GEY0R00V</t>
  </si>
  <si>
    <t xml:space="preserve">ERJ-3EKF4701V</t>
  </si>
  <si>
    <t xml:space="preserve">ERJ-3EKF1003V</t>
  </si>
  <si>
    <t xml:space="preserve">ERJ-3EKF1000V</t>
  </si>
  <si>
    <t xml:space="preserve">ERJ-3EKF33R0V</t>
  </si>
  <si>
    <t xml:space="preserve">ERJ-3GEYJ122V</t>
  </si>
  <si>
    <t xml:space="preserve">ERJ-3GEYJ103V</t>
  </si>
  <si>
    <t xml:space="preserve">ERA-3AEB3163V</t>
  </si>
  <si>
    <t xml:space="preserve">ERA-3AEB333V</t>
  </si>
  <si>
    <t xml:space="preserve">ERA-3AEB202V</t>
  </si>
  <si>
    <t xml:space="preserve">ERJ-3EKF2003V</t>
  </si>
  <si>
    <t xml:space="preserve">ERJ-3EKF1692V</t>
  </si>
  <si>
    <t xml:space="preserve">ERJ-3EKF3300V</t>
  </si>
  <si>
    <t xml:space="preserve">ERJ-3EKF4302V</t>
  </si>
  <si>
    <t xml:space="preserve">ERJ-3EKF4533V</t>
  </si>
  <si>
    <t xml:space="preserve">EEE-FN1H680XP</t>
  </si>
  <si>
    <t xml:space="preserve">A5819</t>
  </si>
  <si>
    <t xml:space="preserve">DEL00103</t>
  </si>
  <si>
    <t xml:space="preserve">Allengers Global Healthcare  Derabassi</t>
  </si>
  <si>
    <t xml:space="preserve">MS621FE-FL11E</t>
  </si>
  <si>
    <t xml:space="preserve">JBD505920AG1C</t>
  </si>
  <si>
    <t xml:space="preserve">A9885</t>
  </si>
  <si>
    <t xml:space="preserve">A1199</t>
  </si>
  <si>
    <t xml:space="preserve">DEL01891</t>
  </si>
  <si>
    <t xml:space="preserve">ALLIED MEDICAL LIMITED</t>
  </si>
  <si>
    <t xml:space="preserve">Patient Monitoring Systems</t>
  </si>
  <si>
    <t xml:space="preserve">ASDXRRX001PDAA5</t>
  </si>
  <si>
    <t xml:space="preserve">A5729</t>
  </si>
  <si>
    <t xml:space="preserve">ABPDANN001PGAA5</t>
  </si>
  <si>
    <t xml:space="preserve">A3759</t>
  </si>
  <si>
    <t xml:space="preserve">ABP2MNNT150PAAA3XX</t>
  </si>
  <si>
    <t xml:space="preserve">A8073</t>
  </si>
  <si>
    <t xml:space="preserve">A1108</t>
  </si>
  <si>
    <t xml:space="preserve">A4848</t>
  </si>
  <si>
    <t xml:space="preserve">2SK2225-E</t>
  </si>
  <si>
    <t xml:space="preserve">A1885</t>
  </si>
  <si>
    <t xml:space="preserve">BAV99</t>
  </si>
  <si>
    <t xml:space="preserve">A1758</t>
  </si>
  <si>
    <t xml:space="preserve">TM12864A8CCWGWA#03</t>
  </si>
  <si>
    <t xml:space="preserve">A7187</t>
  </si>
  <si>
    <t xml:space="preserve">MBRS10H200CT</t>
  </si>
  <si>
    <t xml:space="preserve">A7681</t>
  </si>
  <si>
    <t xml:space="preserve">R5F100JLAFA#10</t>
  </si>
  <si>
    <t xml:space="preserve">R5F100ACASP#10</t>
  </si>
  <si>
    <t xml:space="preserve">A4284</t>
  </si>
  <si>
    <t xml:space="preserve">A3376</t>
  </si>
  <si>
    <t xml:space="preserve">DEL00011</t>
  </si>
  <si>
    <t xml:space="preserve">ANERGY INSTRUMENTS PVT LTD</t>
  </si>
  <si>
    <t xml:space="preserve">Data Logger</t>
  </si>
  <si>
    <t xml:space="preserve">A2361</t>
  </si>
  <si>
    <t xml:space="preserve">R5F21276SNFP#V2</t>
  </si>
  <si>
    <t xml:space="preserve">A2657</t>
  </si>
  <si>
    <t xml:space="preserve">FUJITSU</t>
  </si>
  <si>
    <t xml:space="preserve">FTR-F3CA024E-X</t>
  </si>
  <si>
    <t xml:space="preserve">A6202</t>
  </si>
  <si>
    <t xml:space="preserve">DEL00222</t>
  </si>
  <si>
    <t xml:space="preserve">AXIS ELECTRONICS UTTARAKHAND</t>
  </si>
  <si>
    <t xml:space="preserve">A5693</t>
  </si>
  <si>
    <t xml:space="preserve">R5F100GGAFB#10</t>
  </si>
  <si>
    <t xml:space="preserve">R5F12008ASN#90</t>
  </si>
  <si>
    <t xml:space="preserve">A2204</t>
  </si>
  <si>
    <t xml:space="preserve">SK320SMB </t>
  </si>
  <si>
    <t xml:space="preserve">A4237</t>
  </si>
  <si>
    <t xml:space="preserve">DEL00023</t>
  </si>
  <si>
    <t xml:space="preserve">C &amp; S ELECTRIC LTD</t>
  </si>
  <si>
    <t xml:space="preserve">ER14250/Plain</t>
  </si>
  <si>
    <t xml:space="preserve">A1182</t>
  </si>
  <si>
    <t xml:space="preserve">LGX2W681MELHNS</t>
  </si>
  <si>
    <t xml:space="preserve">A3611</t>
  </si>
  <si>
    <t xml:space="preserve">DEL00024</t>
  </si>
  <si>
    <t xml:space="preserve">CLARITY MEDICAL PVT LTD</t>
  </si>
  <si>
    <t xml:space="preserve">Diagnostic Equipments</t>
  </si>
  <si>
    <t xml:space="preserve">A8040</t>
  </si>
  <si>
    <t xml:space="preserve">DEL00027</t>
  </si>
  <si>
    <t xml:space="preserve">CRYSTAL SMART SOLUTIONS</t>
  </si>
  <si>
    <t xml:space="preserve">R5F56318CDFP#10</t>
  </si>
  <si>
    <t xml:space="preserve">A5005</t>
  </si>
  <si>
    <t xml:space="preserve">A2366</t>
  </si>
  <si>
    <t xml:space="preserve">A8099</t>
  </si>
  <si>
    <t xml:space="preserve">TM035KBH02-09</t>
  </si>
  <si>
    <t xml:space="preserve">A7672</t>
  </si>
  <si>
    <t xml:space="preserve">A8566</t>
  </si>
  <si>
    <t xml:space="preserve">2SC4081U3HZGT106R</t>
  </si>
  <si>
    <t xml:space="preserve">A13001</t>
  </si>
  <si>
    <t xml:space="preserve">BV1LD080EFJ-CE2</t>
  </si>
  <si>
    <t xml:space="preserve">Taiwan Semi</t>
  </si>
  <si>
    <t xml:space="preserve">S1JM-08HMSG</t>
  </si>
  <si>
    <t xml:space="preserve">S1GLWH-02</t>
  </si>
  <si>
    <t xml:space="preserve">A4503</t>
  </si>
  <si>
    <t xml:space="preserve">BPV10NF</t>
  </si>
  <si>
    <t xml:space="preserve">A8433</t>
  </si>
  <si>
    <t xml:space="preserve">2SA1576U3HZGT106R</t>
  </si>
  <si>
    <t xml:space="preserve">A9129</t>
  </si>
  <si>
    <t xml:space="preserve">ES1JFL-01</t>
  </si>
  <si>
    <t xml:space="preserve">A14109</t>
  </si>
  <si>
    <t xml:space="preserve">SMAJ30CAH</t>
  </si>
  <si>
    <t xml:space="preserve">A8560</t>
  </si>
  <si>
    <t xml:space="preserve">ESR18EZPF1002</t>
  </si>
  <si>
    <t xml:space="preserve">A8785</t>
  </si>
  <si>
    <t xml:space="preserve">ESR10EZPF4701</t>
  </si>
  <si>
    <t xml:space="preserve">A11305</t>
  </si>
  <si>
    <t xml:space="preserve">ESR10EZPF6801</t>
  </si>
  <si>
    <t xml:space="preserve">A11308</t>
  </si>
  <si>
    <t xml:space="preserve">ESR10EZPF1002</t>
  </si>
  <si>
    <t xml:space="preserve">A11718</t>
  </si>
  <si>
    <t xml:space="preserve">ESR10EZPF1202</t>
  </si>
  <si>
    <t xml:space="preserve">De Diamond Electric India Pvt Ltd</t>
  </si>
  <si>
    <t xml:space="preserve">HARVATEK</t>
  </si>
  <si>
    <t xml:space="preserve">HV-57G3004D-Z1</t>
  </si>
  <si>
    <t xml:space="preserve">A8474</t>
  </si>
  <si>
    <t xml:space="preserve">DAP202UT106</t>
  </si>
  <si>
    <t xml:space="preserve">HV-61O3004D-Z1</t>
  </si>
  <si>
    <t xml:space="preserve">HV-62R3004D-Z1</t>
  </si>
  <si>
    <t xml:space="preserve">A14113</t>
  </si>
  <si>
    <t xml:space="preserve">SS1H10LWH</t>
  </si>
  <si>
    <t xml:space="preserve">A1991</t>
  </si>
  <si>
    <t xml:space="preserve">DEL01307</t>
  </si>
  <si>
    <t xml:space="preserve">DE DIAMOND ELECTRIC INDIA PVT LTD</t>
  </si>
  <si>
    <t xml:space="preserve">TE CONNECTIVITY</t>
  </si>
  <si>
    <t xml:space="preserve">1376357-8</t>
  </si>
  <si>
    <t xml:space="preserve">TE Connectivity</t>
  </si>
  <si>
    <t xml:space="preserve">UUX2A220MNL1GS</t>
  </si>
  <si>
    <t xml:space="preserve">A11169</t>
  </si>
  <si>
    <t xml:space="preserve">ESR18EZPF9100</t>
  </si>
  <si>
    <t xml:space="preserve">A12364</t>
  </si>
  <si>
    <t xml:space="preserve">ESR10EZPF60R4</t>
  </si>
  <si>
    <t xml:space="preserve">UPJ1J221MHD</t>
  </si>
  <si>
    <t xml:space="preserve">UWT1H2R2MCL1GB</t>
  </si>
  <si>
    <t xml:space="preserve">A8611</t>
  </si>
  <si>
    <t xml:space="preserve">ESR18EZPF8201</t>
  </si>
  <si>
    <t xml:space="preserve">UGF10JH</t>
  </si>
  <si>
    <t xml:space="preserve">A7180</t>
  </si>
  <si>
    <t xml:space="preserve">DEL00031</t>
  </si>
  <si>
    <t xml:space="preserve">DIGITALS INDIA SECURITY PRODUCTS PVT LTD</t>
  </si>
  <si>
    <t xml:space="preserve">A6299</t>
  </si>
  <si>
    <t xml:space="preserve">PS1740P02CE</t>
  </si>
  <si>
    <t xml:space="preserve">A3645</t>
  </si>
  <si>
    <t xml:space="preserve">R5F21258SNFP#V2</t>
  </si>
  <si>
    <t xml:space="preserve">A12151</t>
  </si>
  <si>
    <t xml:space="preserve">ESR18EZPF1001</t>
  </si>
  <si>
    <t xml:space="preserve">A6803</t>
  </si>
  <si>
    <t xml:space="preserve">DEL02210</t>
  </si>
  <si>
    <t xml:space="preserve">EI EMS INDIA PRIVATE LIMITED-DEL</t>
  </si>
  <si>
    <t xml:space="preserve">DCM5R5104HF</t>
  </si>
  <si>
    <t xml:space="preserve">A2622</t>
  </si>
  <si>
    <t xml:space="preserve">DEL01412</t>
  </si>
  <si>
    <t xml:space="preserve">ELECTRIC INDUSTRIES</t>
  </si>
  <si>
    <t xml:space="preserve">Signals &amp; Communication</t>
  </si>
  <si>
    <t xml:space="preserve">A1131</t>
  </si>
  <si>
    <t xml:space="preserve">GBI35M</t>
  </si>
  <si>
    <t xml:space="preserve">A1174</t>
  </si>
  <si>
    <t xml:space="preserve">LGG2E102MELB40</t>
  </si>
  <si>
    <t xml:space="preserve">A8990</t>
  </si>
  <si>
    <t xml:space="preserve">ESR18EZPF3002</t>
  </si>
  <si>
    <t xml:space="preserve">A5411</t>
  </si>
  <si>
    <t xml:space="preserve">SK310SMB</t>
  </si>
  <si>
    <t xml:space="preserve">A3525</t>
  </si>
  <si>
    <t xml:space="preserve">LGG2W681MELHZS</t>
  </si>
  <si>
    <t xml:space="preserve">A2714</t>
  </si>
  <si>
    <t xml:space="preserve">AMD00292</t>
  </si>
  <si>
    <t xml:space="preserve">ELLICO CONTROLS PRIVATE LIMITED</t>
  </si>
  <si>
    <t xml:space="preserve">SM52F2K20TKRTR2K0</t>
  </si>
  <si>
    <t xml:space="preserve">SM52F5K10TKRTR2K0</t>
  </si>
  <si>
    <t xml:space="preserve">P4SMA27CAH</t>
  </si>
  <si>
    <t xml:space="preserve">Z1SMA13</t>
  </si>
  <si>
    <t xml:space="preserve">A5234</t>
  </si>
  <si>
    <t xml:space="preserve">RGP30M</t>
  </si>
  <si>
    <t xml:space="preserve">A9742</t>
  </si>
  <si>
    <t xml:space="preserve">ESR18EZPF2701</t>
  </si>
  <si>
    <t xml:space="preserve">A8648</t>
  </si>
  <si>
    <t xml:space="preserve">ESR25JZPF3001</t>
  </si>
  <si>
    <t xml:space="preserve">A11665</t>
  </si>
  <si>
    <t xml:space="preserve">ESR25JZPF1001</t>
  </si>
  <si>
    <t xml:space="preserve">A9195</t>
  </si>
  <si>
    <t xml:space="preserve">ESR18EZPF7502</t>
  </si>
  <si>
    <t xml:space="preserve">A6464</t>
  </si>
  <si>
    <t xml:space="preserve">JPR00014</t>
  </si>
  <si>
    <t xml:space="preserve">EPSILON HEALTHCARE SOLUTIONS PVT LTD</t>
  </si>
  <si>
    <t xml:space="preserve">1N4148 Diotec</t>
  </si>
  <si>
    <t xml:space="preserve">A4725</t>
  </si>
  <si>
    <t xml:space="preserve">B32922C3224MN1</t>
  </si>
  <si>
    <t xml:space="preserve">A8738</t>
  </si>
  <si>
    <t xml:space="preserve">ESR18EZPF6201</t>
  </si>
  <si>
    <t xml:space="preserve">A8647</t>
  </si>
  <si>
    <t xml:space="preserve">ESR18EZPF3902</t>
  </si>
  <si>
    <t xml:space="preserve">A7297</t>
  </si>
  <si>
    <t xml:space="preserve">LGG2D471MELZ25</t>
  </si>
  <si>
    <t xml:space="preserve">DEL01425</t>
  </si>
  <si>
    <t xml:space="preserve">EULER MOTORS PRIVATE LIMITED</t>
  </si>
  <si>
    <t xml:space="preserve">VCU</t>
  </si>
  <si>
    <t xml:space="preserve">LOTES</t>
  </si>
  <si>
    <t xml:space="preserve">AAUT0219-K001C</t>
  </si>
  <si>
    <t xml:space="preserve">A8991</t>
  </si>
  <si>
    <t xml:space="preserve">2SA1576AT106R</t>
  </si>
  <si>
    <t xml:space="preserve">A10240</t>
  </si>
  <si>
    <t xml:space="preserve">ESR03EZPF2200</t>
  </si>
  <si>
    <t xml:space="preserve">A2350</t>
  </si>
  <si>
    <t xml:space="preserve">DEL01946</t>
  </si>
  <si>
    <t xml:space="preserve">EULER MOTORS PRIVATE LIMITED-TOPLINE</t>
  </si>
  <si>
    <t xml:space="preserve">Vehicle Control Unit</t>
  </si>
  <si>
    <t xml:space="preserve">AECN51012 XXX</t>
  </si>
  <si>
    <t xml:space="preserve">A10450</t>
  </si>
  <si>
    <t xml:space="preserve">ESR25JZPF1000</t>
  </si>
  <si>
    <t xml:space="preserve">A8615</t>
  </si>
  <si>
    <t xml:space="preserve">ESR18EZPF2002</t>
  </si>
  <si>
    <t xml:space="preserve">A8442</t>
  </si>
  <si>
    <t xml:space="preserve">ESR03EZPF1001</t>
  </si>
  <si>
    <t xml:space="preserve">A8578</t>
  </si>
  <si>
    <t xml:space="preserve">ESR25JZPF5100</t>
  </si>
  <si>
    <t xml:space="preserve">A2068</t>
  </si>
  <si>
    <t xml:space="preserve">GUJ00008</t>
  </si>
  <si>
    <t xml:space="preserve">EXCELTECH INDIA PVT LTD</t>
  </si>
  <si>
    <t xml:space="preserve">A4823</t>
  </si>
  <si>
    <t xml:space="preserve">A9954</t>
  </si>
  <si>
    <t xml:space="preserve">MNR14E0APJ472</t>
  </si>
  <si>
    <t xml:space="preserve">A9193</t>
  </si>
  <si>
    <t xml:space="preserve">1SS355VMFHTE-17</t>
  </si>
  <si>
    <t xml:space="preserve">A9691</t>
  </si>
  <si>
    <t xml:space="preserve">2SC4081T106R</t>
  </si>
  <si>
    <t xml:space="preserve">A8477</t>
  </si>
  <si>
    <t xml:space="preserve">ESR18EZPJ470</t>
  </si>
  <si>
    <t xml:space="preserve">A8965</t>
  </si>
  <si>
    <t xml:space="preserve">KDZVTFTR2.7B</t>
  </si>
  <si>
    <t xml:space="preserve">A8930</t>
  </si>
  <si>
    <t xml:space="preserve">ESR10EZPF1001</t>
  </si>
  <si>
    <t xml:space="preserve">A9271</t>
  </si>
  <si>
    <t xml:space="preserve">2SD1484KT146R</t>
  </si>
  <si>
    <t xml:space="preserve">BZT52B24SH RRG</t>
  </si>
  <si>
    <t xml:space="preserve">A9210</t>
  </si>
  <si>
    <t xml:space="preserve">MCR10EZPF1001</t>
  </si>
  <si>
    <t xml:space="preserve">A9744</t>
  </si>
  <si>
    <t xml:space="preserve">MCR10EZPF4300</t>
  </si>
  <si>
    <t xml:space="preserve">A8932</t>
  </si>
  <si>
    <t xml:space="preserve">MCR03EZPFX1502</t>
  </si>
  <si>
    <t xml:space="preserve">A8672</t>
  </si>
  <si>
    <t xml:space="preserve">ESR18EZPF3601</t>
  </si>
  <si>
    <t xml:space="preserve">A9011</t>
  </si>
  <si>
    <t xml:space="preserve">TFZGTR16B</t>
  </si>
  <si>
    <t xml:space="preserve">A9402</t>
  </si>
  <si>
    <t xml:space="preserve">BD4843G-TR</t>
  </si>
  <si>
    <t xml:space="preserve">P6SMB27CAH</t>
  </si>
  <si>
    <t xml:space="preserve">A9675</t>
  </si>
  <si>
    <t xml:space="preserve">ESR18EZPF5100</t>
  </si>
  <si>
    <t xml:space="preserve">A8838</t>
  </si>
  <si>
    <t xml:space="preserve">MCR01MZPJ100</t>
  </si>
  <si>
    <t xml:space="preserve">A8476</t>
  </si>
  <si>
    <t xml:space="preserve">TFZGTR7.5B</t>
  </si>
  <si>
    <t xml:space="preserve">A11117</t>
  </si>
  <si>
    <t xml:space="preserve">BD18395EFV-ME2</t>
  </si>
  <si>
    <t xml:space="preserve">A9196</t>
  </si>
  <si>
    <t xml:space="preserve">UDZSNPTE-17 39B</t>
  </si>
  <si>
    <t xml:space="preserve">A11697</t>
  </si>
  <si>
    <t xml:space="preserve">MCR03EZPFX2701</t>
  </si>
  <si>
    <t xml:space="preserve">A11804</t>
  </si>
  <si>
    <t xml:space="preserve">ESR10EZPF2001</t>
  </si>
  <si>
    <t xml:space="preserve">A9679</t>
  </si>
  <si>
    <t xml:space="preserve">2SK3018T106</t>
  </si>
  <si>
    <t xml:space="preserve">A10858</t>
  </si>
  <si>
    <t xml:space="preserve">AG502ELD3HRBTL</t>
  </si>
  <si>
    <t xml:space="preserve">A8836</t>
  </si>
  <si>
    <t xml:space="preserve">1SS355TE-17</t>
  </si>
  <si>
    <t xml:space="preserve">A4977</t>
  </si>
  <si>
    <t xml:space="preserve">P4SMAJ13CA</t>
  </si>
  <si>
    <t xml:space="preserve">A3931</t>
  </si>
  <si>
    <t xml:space="preserve">SMF20CA</t>
  </si>
  <si>
    <t xml:space="preserve">DR3R0106 (10x30)</t>
  </si>
  <si>
    <t xml:space="preserve">A3453</t>
  </si>
  <si>
    <t xml:space="preserve">SQD50N10-8M9L_GE3</t>
  </si>
  <si>
    <t xml:space="preserve">A12033</t>
  </si>
  <si>
    <t xml:space="preserve">DEL02283</t>
  </si>
  <si>
    <t xml:space="preserve">NETWEB TECHNOLOGIES INDIA LIMITED</t>
  </si>
  <si>
    <t xml:space="preserve">AAA-BAT-029-P52</t>
  </si>
  <si>
    <t xml:space="preserve">A11023</t>
  </si>
  <si>
    <t xml:space="preserve">AWAFA115-P001A11C</t>
  </si>
  <si>
    <t xml:space="preserve">A10058</t>
  </si>
  <si>
    <t xml:space="preserve">APOW0092-P002A11</t>
  </si>
  <si>
    <t xml:space="preserve">A13386</t>
  </si>
  <si>
    <t xml:space="preserve">ACA-SPI-006-P06</t>
  </si>
  <si>
    <t xml:space="preserve">Nidec India</t>
  </si>
  <si>
    <t xml:space="preserve">UCM1E101MCL1GS</t>
  </si>
  <si>
    <t xml:space="preserve">GRM1555C1H121JA01D</t>
  </si>
  <si>
    <t xml:space="preserve">A8591</t>
  </si>
  <si>
    <t xml:space="preserve">DEL01439</t>
  </si>
  <si>
    <t xml:space="preserve">NIPPON AUDIOTRONIX PVT LTD</t>
  </si>
  <si>
    <t xml:space="preserve">GCM21BR72A104KA37L</t>
  </si>
  <si>
    <t xml:space="preserve">A12481</t>
  </si>
  <si>
    <t xml:space="preserve">GCM1885C2A240JA16D</t>
  </si>
  <si>
    <t xml:space="preserve">A5643</t>
  </si>
  <si>
    <t xml:space="preserve">MMBTA06</t>
  </si>
  <si>
    <t xml:space="preserve">A5588</t>
  </si>
  <si>
    <t xml:space="preserve">DEL02342</t>
  </si>
  <si>
    <t xml:space="preserve">GANTECH E TECHNOLOGIES PRIVATE LIMITED</t>
  </si>
  <si>
    <t xml:space="preserve">GELCO ELECTRONICS PVT LTD</t>
  </si>
  <si>
    <t xml:space="preserve">Vijayakumar</t>
  </si>
  <si>
    <t xml:space="preserve">R5F1212BCGFP</t>
  </si>
  <si>
    <t xml:space="preserve">A4436</t>
  </si>
  <si>
    <t xml:space="preserve">A3658</t>
  </si>
  <si>
    <t xml:space="preserve">A5170</t>
  </si>
  <si>
    <t xml:space="preserve">A4454</t>
  </si>
  <si>
    <t xml:space="preserve">BZT52C75</t>
  </si>
  <si>
    <t xml:space="preserve">A4604</t>
  </si>
  <si>
    <t xml:space="preserve">A4661</t>
  </si>
  <si>
    <t xml:space="preserve">DEL02078</t>
  </si>
  <si>
    <t xml:space="preserve">HASHSTUDIOZ TECHNOLOGIES PRIVATE LIMITED</t>
  </si>
  <si>
    <t xml:space="preserve">LINK-PP</t>
  </si>
  <si>
    <t xml:space="preserve">LP1188-ZY</t>
  </si>
  <si>
    <t xml:space="preserve">POLARIS GRIDS PRIVATE LIMITED</t>
  </si>
  <si>
    <t xml:space="preserve">TJMS5900</t>
  </si>
  <si>
    <t xml:space="preserve">A6886</t>
  </si>
  <si>
    <t xml:space="preserve">LPJE101-0BG-ZY</t>
  </si>
  <si>
    <t xml:space="preserve">A4720</t>
  </si>
  <si>
    <t xml:space="preserve">JS-152</t>
  </si>
  <si>
    <t xml:space="preserve">411SX21-T</t>
  </si>
  <si>
    <t xml:space="preserve">413SX21-T</t>
  </si>
  <si>
    <t xml:space="preserve">V3-1001</t>
  </si>
  <si>
    <t xml:space="preserve">A1646</t>
  </si>
  <si>
    <t xml:space="preserve">A14110</t>
  </si>
  <si>
    <t xml:space="preserve">17SX21T</t>
  </si>
  <si>
    <t xml:space="preserve">GUJARAT </t>
  </si>
  <si>
    <t xml:space="preserve">POLYCAB INDIA LIMITED-GUJARAT
 </t>
  </si>
  <si>
    <t xml:space="preserve">Harsh Doshi</t>
  </si>
  <si>
    <t xml:space="preserve">LCD+32PIN</t>
  </si>
  <si>
    <t xml:space="preserve">A3538</t>
  </si>
  <si>
    <t xml:space="preserve">11HM1</t>
  </si>
  <si>
    <t xml:space="preserve">ZMM30B</t>
  </si>
  <si>
    <t xml:space="preserve">BAS20</t>
  </si>
  <si>
    <t xml:space="preserve">LL4448</t>
  </si>
  <si>
    <t xml:space="preserve">A5342</t>
  </si>
  <si>
    <t xml:space="preserve">BC65PB-04-STD</t>
  </si>
  <si>
    <t xml:space="preserve">ECS-.327-12.5-34QCN-TR</t>
  </si>
  <si>
    <t xml:space="preserve">BCP53-16Q </t>
  </si>
  <si>
    <t xml:space="preserve">MMFTN210A</t>
  </si>
  <si>
    <t xml:space="preserve">A7020</t>
  </si>
  <si>
    <t xml:space="preserve">GUJ00113</t>
  </si>
  <si>
    <t xml:space="preserve">INNOWEIGH EQUIPMENTS PVT LTD</t>
  </si>
  <si>
    <t xml:space="preserve">others</t>
  </si>
  <si>
    <t xml:space="preserve">IDT-RENESAS</t>
  </si>
  <si>
    <t xml:space="preserve">HS3003</t>
  </si>
  <si>
    <t xml:space="preserve">A3296</t>
  </si>
  <si>
    <t xml:space="preserve">A7453</t>
  </si>
  <si>
    <t xml:space="preserve">DEL00567</t>
  </si>
  <si>
    <t xml:space="preserve">JNJ ELECTRONICS LTD</t>
  </si>
  <si>
    <t xml:space="preserve">BAV70</t>
  </si>
  <si>
    <t xml:space="preserve">A2912</t>
  </si>
  <si>
    <t xml:space="preserve">Kewintech, Hisar</t>
  </si>
  <si>
    <t xml:space="preserve">R5F100MGAFA#V0</t>
  </si>
  <si>
    <t xml:space="preserve">A5996</t>
  </si>
  <si>
    <t xml:space="preserve">A2765</t>
  </si>
  <si>
    <t xml:space="preserve">A8148</t>
  </si>
  <si>
    <t xml:space="preserve">UUD1A331MNL1GS</t>
  </si>
  <si>
    <t xml:space="preserve">A4489</t>
  </si>
  <si>
    <t xml:space="preserve">RTE0T0002LKCE00000R</t>
  </si>
  <si>
    <t xml:space="preserve">A8054</t>
  </si>
  <si>
    <t xml:space="preserve">GUJ00311</t>
  </si>
  <si>
    <t xml:space="preserve">KRUSHI CONTROLS PRIVATE LIMITED</t>
  </si>
  <si>
    <t xml:space="preserve">A3832</t>
  </si>
  <si>
    <t xml:space="preserve">RAA2113204GP</t>
  </si>
  <si>
    <t xml:space="preserve">A8441</t>
  </si>
  <si>
    <t xml:space="preserve">GRM188C81C106MA73D</t>
  </si>
  <si>
    <t xml:space="preserve">A13456</t>
  </si>
  <si>
    <t xml:space="preserve">A12708</t>
  </si>
  <si>
    <t xml:space="preserve">GRM188R60J106KE47D</t>
  </si>
  <si>
    <t xml:space="preserve">1225-2207CNG0R258T02</t>
  </si>
  <si>
    <t xml:space="preserve">new</t>
  </si>
  <si>
    <t xml:space="preserve">A10783</t>
  </si>
  <si>
    <t xml:space="preserve">1225-2207CNG0R205T01</t>
  </si>
  <si>
    <t xml:space="preserve">CS-315-07137PW </t>
  </si>
  <si>
    <t xml:space="preserve">A11160</t>
  </si>
  <si>
    <t xml:space="preserve">A8370</t>
  </si>
  <si>
    <t xml:space="preserve">P6KE30A</t>
  </si>
  <si>
    <t xml:space="preserve">1SMA5934H</t>
  </si>
  <si>
    <t xml:space="preserve">PE4DCH</t>
  </si>
  <si>
    <t xml:space="preserve">GT25H2-32DP-2.2H(10)</t>
  </si>
  <si>
    <t xml:space="preserve">A0700WXF2MAAADBA1 (AF + AG)</t>
  </si>
  <si>
    <t xml:space="preserve">A3463</t>
  </si>
  <si>
    <t xml:space="preserve">DEL01714</t>
  </si>
  <si>
    <t xml:space="preserve">MAXOMTECHNOVATION</t>
  </si>
  <si>
    <t xml:space="preserve">YF0022AA</t>
  </si>
  <si>
    <t xml:space="preserve">A1975</t>
  </si>
  <si>
    <t xml:space="preserve">A2766</t>
  </si>
  <si>
    <t xml:space="preserve">BAT54A</t>
  </si>
  <si>
    <t xml:space="preserve">MEHTA EXPAI TECHNOLOGIES PRIVATE LIMITED</t>
  </si>
  <si>
    <t xml:space="preserve">A6979</t>
  </si>
  <si>
    <t xml:space="preserve">DEL00689</t>
  </si>
  <si>
    <t xml:space="preserve">MICRO INSTRUMENTS CO.</t>
  </si>
  <si>
    <t xml:space="preserve">Motor Control Units</t>
  </si>
  <si>
    <t xml:space="preserve">AGD8252B1</t>
  </si>
  <si>
    <t xml:space="preserve">Rapadise</t>
  </si>
  <si>
    <t xml:space="preserve">QUALCOMM</t>
  </si>
  <si>
    <t xml:space="preserve">QCS-6490-1-PSP1287-TR-00-0A</t>
  </si>
  <si>
    <t xml:space="preserve">PM-7350C-0-FOWNSP-143-HR-02-0</t>
  </si>
  <si>
    <t xml:space="preserve">PM-7325-0FOWPSP120B-TR-0-00</t>
  </si>
  <si>
    <t xml:space="preserve">PM7250B-2-WLNSP-TR-0-00</t>
  </si>
  <si>
    <t xml:space="preserve">WCN6750-0-PSP229-TR-01-0</t>
  </si>
  <si>
    <t xml:space="preserve">PMK-7325-0-FOWPSP36-TR-01-0</t>
  </si>
  <si>
    <t xml:space="preserve">EC25AFFDMINIPCIE</t>
  </si>
  <si>
    <t xml:space="preserve">A3737</t>
  </si>
  <si>
    <t xml:space="preserve">1.0K-GL-30PB</t>
  </si>
  <si>
    <t xml:space="preserve">A11932</t>
  </si>
  <si>
    <t xml:space="preserve">DEL02134</t>
  </si>
  <si>
    <t xml:space="preserve">REXXAM DIXON ELECTRONICS PVT. LIMITED</t>
  </si>
  <si>
    <t xml:space="preserve">LGX2G101MELADK</t>
  </si>
  <si>
    <t xml:space="preserve">A3744</t>
  </si>
  <si>
    <t xml:space="preserve">A5608</t>
  </si>
  <si>
    <t xml:space="preserve">TM12864H6CCGWA-1</t>
  </si>
  <si>
    <t xml:space="preserve">A7183</t>
  </si>
  <si>
    <t xml:space="preserve">GUJ00025</t>
  </si>
  <si>
    <t xml:space="preserve">MOBA MOBILE AUTOMATION I PVT LTD</t>
  </si>
  <si>
    <t xml:space="preserve">ER34615C</t>
  </si>
  <si>
    <t xml:space="preserve">A8044</t>
  </si>
  <si>
    <t xml:space="preserve">A8045</t>
  </si>
  <si>
    <t xml:space="preserve">A5432</t>
  </si>
  <si>
    <t xml:space="preserve">A7726</t>
  </si>
  <si>
    <t xml:space="preserve">JBD506424AG1C</t>
  </si>
  <si>
    <t xml:space="preserve">A5181</t>
  </si>
  <si>
    <t xml:space="preserve">UHW1C471MPD</t>
  </si>
  <si>
    <t xml:space="preserve">A3967</t>
  </si>
  <si>
    <t xml:space="preserve">UCM1C101MCL1GS</t>
  </si>
  <si>
    <t xml:space="preserve">A8341</t>
  </si>
  <si>
    <t xml:space="preserve">A8340</t>
  </si>
  <si>
    <t xml:space="preserve">UCD1H470MCL1GS</t>
  </si>
  <si>
    <t xml:space="preserve">A6372</t>
  </si>
  <si>
    <t xml:space="preserve">A8365</t>
  </si>
  <si>
    <t xml:space="preserve">A8446</t>
  </si>
  <si>
    <t xml:space="preserve">MX25L6433FM2I-08G TAPE &amp; REEL</t>
  </si>
  <si>
    <t xml:space="preserve">ER14250</t>
  </si>
  <si>
    <t xml:space="preserve">A14145</t>
  </si>
  <si>
    <t xml:space="preserve">ER14250 1/2AA 3.6V</t>
  </si>
  <si>
    <t xml:space="preserve">A8684</t>
  </si>
  <si>
    <t xml:space="preserve">ISL84714IHZ-T</t>
  </si>
  <si>
    <t xml:space="preserve">A8568</t>
  </si>
  <si>
    <t xml:space="preserve">A14251</t>
  </si>
  <si>
    <t xml:space="preserve">TJM5565#02</t>
  </si>
  <si>
    <t xml:space="preserve">A8984</t>
  </si>
  <si>
    <t xml:space="preserve">IGNION</t>
  </si>
  <si>
    <t xml:space="preserve">NN01-102</t>
  </si>
  <si>
    <t xml:space="preserve">A14257</t>
  </si>
  <si>
    <t xml:space="preserve">ER14250/W</t>
  </si>
  <si>
    <t xml:space="preserve">A14157</t>
  </si>
  <si>
    <t xml:space="preserve">A9363</t>
  </si>
  <si>
    <t xml:space="preserve">MLG0603P5N1ST000</t>
  </si>
  <si>
    <t xml:space="preserve">A8561</t>
  </si>
  <si>
    <t xml:space="preserve">TJMS5852#01</t>
  </si>
  <si>
    <t xml:space="preserve">A8597</t>
  </si>
  <si>
    <t xml:space="preserve">ISL1208IB8Z-TK</t>
  </si>
  <si>
    <t xml:space="preserve">A14153</t>
  </si>
  <si>
    <t xml:space="preserve">TM12864U7BCSGWA1#01</t>
  </si>
  <si>
    <t xml:space="preserve">A14214</t>
  </si>
  <si>
    <t xml:space="preserve">TM12880FCCWGWA3</t>
  </si>
  <si>
    <t xml:space="preserve">A11086</t>
  </si>
  <si>
    <t xml:space="preserve">NN02-224</t>
  </si>
  <si>
    <t xml:space="preserve">A14151</t>
  </si>
  <si>
    <t xml:space="preserve">ER17505-W30-JST-2</t>
  </si>
  <si>
    <t xml:space="preserve">A8631</t>
  </si>
  <si>
    <t xml:space="preserve">MX25L12833FM2I-10G TR</t>
  </si>
  <si>
    <t xml:space="preserve">A9740</t>
  </si>
  <si>
    <t xml:space="preserve">R7FA2E1A92DFM#HA0</t>
  </si>
  <si>
    <t xml:space="preserve">A14250</t>
  </si>
  <si>
    <t xml:space="preserve">TJMS5500#01</t>
  </si>
  <si>
    <t xml:space="preserve">A14254</t>
  </si>
  <si>
    <t xml:space="preserve">TM12864U7BCSGWA1</t>
  </si>
  <si>
    <t xml:space="preserve">A14228</t>
  </si>
  <si>
    <t xml:space="preserve">SPC1520-W30-JST- 3P (G0677)</t>
  </si>
  <si>
    <t xml:space="preserve">A14248</t>
  </si>
  <si>
    <t xml:space="preserve">CR17450AH</t>
  </si>
  <si>
    <t xml:space="preserve">A11657</t>
  </si>
  <si>
    <t xml:space="preserve">TJMS5923#01</t>
  </si>
  <si>
    <t xml:space="preserve">A12861</t>
  </si>
  <si>
    <t xml:space="preserve">TJMS5922#01</t>
  </si>
  <si>
    <t xml:space="preserve">A8643</t>
  </si>
  <si>
    <t xml:space="preserve">TJM5927#01</t>
  </si>
  <si>
    <t xml:space="preserve">A14249</t>
  </si>
  <si>
    <t xml:space="preserve">CR1632 (M1498-LF)</t>
  </si>
  <si>
    <t xml:space="preserve">quectel</t>
  </si>
  <si>
    <t xml:space="preserve">A14208</t>
  </si>
  <si>
    <t xml:space="preserve">TJMS5876#01</t>
  </si>
  <si>
    <t xml:space="preserve">A14308</t>
  </si>
  <si>
    <t xml:space="preserve">TM01003AVFSZGWA1</t>
  </si>
  <si>
    <t xml:space="preserve">A14304</t>
  </si>
  <si>
    <t xml:space="preserve">TM043NDH02-40</t>
  </si>
  <si>
    <t xml:space="preserve">A13892</t>
  </si>
  <si>
    <t xml:space="preserve">AMD00188</t>
  </si>
  <si>
    <t xml:space="preserve">SECURE METERS LIMITED SANAND</t>
  </si>
  <si>
    <t xml:space="preserve">AOD2N100</t>
  </si>
  <si>
    <t xml:space="preserve">EL CUT</t>
  </si>
  <si>
    <t xml:space="preserve">FUSE THERMAL X2X</t>
  </si>
  <si>
    <t xml:space="preserve">A14271</t>
  </si>
  <si>
    <t xml:space="preserve">TM12864U2BCSUGGA2#01</t>
  </si>
  <si>
    <t xml:space="preserve">A14230</t>
  </si>
  <si>
    <t xml:space="preserve">TLMS5731#01</t>
  </si>
  <si>
    <t xml:space="preserve">A14258</t>
  </si>
  <si>
    <t xml:space="preserve">CR2032/DW</t>
  </si>
  <si>
    <t xml:space="preserve">A14255</t>
  </si>
  <si>
    <t xml:space="preserve">SPC1520/3PT</t>
  </si>
  <si>
    <t xml:space="preserve">A14259</t>
  </si>
  <si>
    <t xml:space="preserve">ER34615C/W</t>
  </si>
  <si>
    <t xml:space="preserve">A14268</t>
  </si>
  <si>
    <t xml:space="preserve">TM12864U7BCSUGGA2#01</t>
  </si>
  <si>
    <t xml:space="preserve">A14187</t>
  </si>
  <si>
    <t xml:space="preserve">TJMS5806</t>
  </si>
  <si>
    <t xml:space="preserve">A8678</t>
  </si>
  <si>
    <t xml:space="preserve">R7FA6M3AF3CFB#HA0</t>
  </si>
  <si>
    <t xml:space="preserve">A14326</t>
  </si>
  <si>
    <t xml:space="preserve">MOUSER</t>
  </si>
  <si>
    <t xml:space="preserve">MOUSER - NORTH</t>
  </si>
  <si>
    <t xml:space="preserve">Santhosh</t>
  </si>
  <si>
    <t xml:space="preserve">A3695</t>
  </si>
  <si>
    <t xml:space="preserve">BZT52B18</t>
  </si>
  <si>
    <t xml:space="preserve">A6440</t>
  </si>
  <si>
    <t xml:space="preserve">MMFTP3334K</t>
  </si>
  <si>
    <t xml:space="preserve">A3795</t>
  </si>
  <si>
    <t xml:space="preserve">R7FA2A1AB3CFM#AA0</t>
  </si>
  <si>
    <t xml:space="preserve">SG MICRO</t>
  </si>
  <si>
    <t xml:space="preserve">SGMOP07EXS8G/TR</t>
  </si>
  <si>
    <t xml:space="preserve">A2613</t>
  </si>
  <si>
    <t xml:space="preserve">2N2907A</t>
  </si>
  <si>
    <t xml:space="preserve">A12189</t>
  </si>
  <si>
    <t xml:space="preserve">UPW1J471MHD3TN</t>
  </si>
  <si>
    <t xml:space="preserve">A9791</t>
  </si>
  <si>
    <t xml:space="preserve">S3MBH</t>
  </si>
  <si>
    <t xml:space="preserve">A2485</t>
  </si>
  <si>
    <t xml:space="preserve">2N4403</t>
  </si>
  <si>
    <t xml:space="preserve">A13227</t>
  </si>
  <si>
    <t xml:space="preserve">A6909</t>
  </si>
  <si>
    <t xml:space="preserve">A12361</t>
  </si>
  <si>
    <t xml:space="preserve">1.5KE440CA</t>
  </si>
  <si>
    <t xml:space="preserve">A10534</t>
  </si>
  <si>
    <t xml:space="preserve">S8MCH</t>
  </si>
  <si>
    <t xml:space="preserve">A13149</t>
  </si>
  <si>
    <t xml:space="preserve">RS1KLWH</t>
  </si>
  <si>
    <t xml:space="preserve">A9245</t>
  </si>
  <si>
    <t xml:space="preserve">AOZ1282CI-1</t>
  </si>
  <si>
    <t xml:space="preserve">A6252</t>
  </si>
  <si>
    <t xml:space="preserve">A3245</t>
  </si>
  <si>
    <t xml:space="preserve">CDRH127BNP-220PC</t>
  </si>
  <si>
    <t xml:space="preserve">A11421</t>
  </si>
  <si>
    <t xml:space="preserve">TATA </t>
  </si>
  <si>
    <t xml:space="preserve">GCM155R71H102KA37D</t>
  </si>
  <si>
    <t xml:space="preserve">A2803</t>
  </si>
  <si>
    <t xml:space="preserve">DEL01996</t>
  </si>
  <si>
    <t xml:space="preserve">NOVUS HI-TECH ROBOTIC SYSTEMZ PRIVATE LIMITED</t>
  </si>
  <si>
    <t xml:space="preserve">CR2032HT</t>
  </si>
  <si>
    <t xml:space="preserve">A10394</t>
  </si>
  <si>
    <t xml:space="preserve">GCJ21BR71C475KA01L</t>
  </si>
  <si>
    <t xml:space="preserve">A2650</t>
  </si>
  <si>
    <t xml:space="preserve">DEL00790</t>
  </si>
  <si>
    <t xml:space="preserve">NUTRONICS INDIA</t>
  </si>
  <si>
    <t xml:space="preserve">R5F212CCSNFP#V2</t>
  </si>
  <si>
    <t xml:space="preserve">A5143</t>
  </si>
  <si>
    <t xml:space="preserve">AMD00164</t>
  </si>
  <si>
    <t xml:space="preserve">PHILBRICK TECHNOLOGIES (INDIA) PVT. LTD.</t>
  </si>
  <si>
    <t xml:space="preserve">A2020</t>
  </si>
  <si>
    <t xml:space="preserve">Pluto Mobility</t>
  </si>
  <si>
    <t xml:space="preserve">TM01258AVFSGWA</t>
  </si>
  <si>
    <t xml:space="preserve">GRM21BZ71E106KE15L</t>
  </si>
  <si>
    <t xml:space="preserve">A9910</t>
  </si>
  <si>
    <t xml:space="preserve">SQA405EJ-T1_GE3</t>
  </si>
  <si>
    <t xml:space="preserve">A9453</t>
  </si>
  <si>
    <t xml:space="preserve">LQH32PH4R7NN0L</t>
  </si>
  <si>
    <t xml:space="preserve">A9360</t>
  </si>
  <si>
    <t xml:space="preserve">GCM21BR71A106KE22L</t>
  </si>
  <si>
    <t xml:space="preserve">A9907</t>
  </si>
  <si>
    <t xml:space="preserve">LQW18AS4N7G0ZD</t>
  </si>
  <si>
    <t xml:space="preserve">A9909</t>
  </si>
  <si>
    <t xml:space="preserve">GCJ21BR71H105KA01L</t>
  </si>
  <si>
    <t xml:space="preserve">A9127</t>
  </si>
  <si>
    <t xml:space="preserve">GCM21BR71E225KA73L</t>
  </si>
  <si>
    <t xml:space="preserve">A11240</t>
  </si>
  <si>
    <t xml:space="preserve">GCQ1555C1H1R5BB01D</t>
  </si>
  <si>
    <t xml:space="preserve">A12732</t>
  </si>
  <si>
    <t xml:space="preserve">BLM15HG102SH1D</t>
  </si>
  <si>
    <t xml:space="preserve">A11778</t>
  </si>
  <si>
    <t xml:space="preserve">GCM1885C2A470JA16D</t>
  </si>
  <si>
    <t xml:space="preserve">A9881</t>
  </si>
  <si>
    <t xml:space="preserve">GCM1555C1H271FA16D</t>
  </si>
  <si>
    <t xml:space="preserve">A9878</t>
  </si>
  <si>
    <t xml:space="preserve">GCM1555C1H6R8BA16D</t>
  </si>
  <si>
    <t xml:space="preserve">A12258</t>
  </si>
  <si>
    <t xml:space="preserve">GCM1555C1H120FA16D</t>
  </si>
  <si>
    <t xml:space="preserve">A9062</t>
  </si>
  <si>
    <t xml:space="preserve">Reliance Jio </t>
  </si>
  <si>
    <t xml:space="preserve">GCM1555C1H101FA16D</t>
  </si>
  <si>
    <t xml:space="preserve">A9879</t>
  </si>
  <si>
    <t xml:space="preserve">GCM1555C1H221JA16D</t>
  </si>
  <si>
    <t xml:space="preserve">A12779</t>
  </si>
  <si>
    <t xml:space="preserve">GCM1555C1H180JA16D</t>
  </si>
  <si>
    <t xml:space="preserve">A12236</t>
  </si>
  <si>
    <t xml:space="preserve">GCM1555C1H120JA16D</t>
  </si>
  <si>
    <t xml:space="preserve">A9336</t>
  </si>
  <si>
    <t xml:space="preserve">GCM1555C1H470JA16D</t>
  </si>
  <si>
    <t xml:space="preserve">A9358</t>
  </si>
  <si>
    <t xml:space="preserve">GCM155R71H103KA55D</t>
  </si>
  <si>
    <t xml:space="preserve">A8486</t>
  </si>
  <si>
    <t xml:space="preserve">MX25R2035FM1IH1</t>
  </si>
  <si>
    <t xml:space="preserve">ECU200U-CN</t>
  </si>
  <si>
    <t xml:space="preserve">A12253</t>
  </si>
  <si>
    <t xml:space="preserve">R7FA4M3AF3CFB </t>
  </si>
  <si>
    <t xml:space="preserve">A9908</t>
  </si>
  <si>
    <t xml:space="preserve">R7FA4M3AF3CFP </t>
  </si>
  <si>
    <t xml:space="preserve">FUJITSU (FCL)</t>
  </si>
  <si>
    <t xml:space="preserve">FTR-MYAA012D</t>
  </si>
  <si>
    <t xml:space="preserve">A9359</t>
  </si>
  <si>
    <t xml:space="preserve">A9882</t>
  </si>
  <si>
    <t xml:space="preserve">A13856</t>
  </si>
  <si>
    <t xml:space="preserve">A9128</t>
  </si>
  <si>
    <t xml:space="preserve">A10627</t>
  </si>
  <si>
    <t xml:space="preserve">A9125</t>
  </si>
  <si>
    <t xml:space="preserve">A9867</t>
  </si>
  <si>
    <t xml:space="preserve">UCW1V220MCL1GS</t>
  </si>
  <si>
    <t xml:space="preserve">A9322</t>
  </si>
  <si>
    <t xml:space="preserve">UCW1V221MNL1GS</t>
  </si>
  <si>
    <t xml:space="preserve">A12221</t>
  </si>
  <si>
    <t xml:space="preserve">GJM1555C1H1R0WB01D</t>
  </si>
  <si>
    <t xml:space="preserve">iW3627-00</t>
  </si>
  <si>
    <t xml:space="preserve">A12222</t>
  </si>
  <si>
    <t xml:space="preserve">LQW18AN10NG80D</t>
  </si>
  <si>
    <t xml:space="preserve">A13218</t>
  </si>
  <si>
    <t xml:space="preserve">GQM1875C2ER50WB12D</t>
  </si>
  <si>
    <t xml:space="preserve">UWT1C470MCL1GB</t>
  </si>
  <si>
    <t xml:space="preserve">FH34SRJ-14S-0.5SH(50)</t>
  </si>
  <si>
    <t xml:space="preserve">A9324</t>
  </si>
  <si>
    <t xml:space="preserve">BR24G512FJ-3AGTE2</t>
  </si>
  <si>
    <t xml:space="preserve">FR604A-G</t>
  </si>
  <si>
    <t xml:space="preserve">A10609</t>
  </si>
  <si>
    <t xml:space="preserve">BLM21AG121SN1D</t>
  </si>
  <si>
    <t xml:space="preserve">A12224</t>
  </si>
  <si>
    <t xml:space="preserve">GRM188R71E224KA88D</t>
  </si>
  <si>
    <t xml:space="preserve">A9868</t>
  </si>
  <si>
    <t xml:space="preserve">LQW18AN13NG80D</t>
  </si>
  <si>
    <t xml:space="preserve">A10613</t>
  </si>
  <si>
    <t xml:space="preserve">A1613</t>
  </si>
  <si>
    <t xml:space="preserve">EC800GCNLR-I03-SNNDA</t>
  </si>
  <si>
    <t xml:space="preserve">A10610</t>
  </si>
  <si>
    <t xml:space="preserve">UCW1E101MCL1GS</t>
  </si>
  <si>
    <t xml:space="preserve">A1372</t>
  </si>
  <si>
    <t xml:space="preserve">GUJ00165</t>
  </si>
  <si>
    <t xml:space="preserve">POONAWALA ELECTRO WEIGH</t>
  </si>
  <si>
    <t xml:space="preserve">A10611</t>
  </si>
  <si>
    <t xml:space="preserve">UCW1C221MCL1GS</t>
  </si>
  <si>
    <t xml:space="preserve">A9866</t>
  </si>
  <si>
    <t xml:space="preserve">UCW1V331MNL1GS</t>
  </si>
  <si>
    <t xml:space="preserve">A9323</t>
  </si>
  <si>
    <t xml:space="preserve">UCW1E471MNL1GS</t>
  </si>
  <si>
    <t xml:space="preserve">DEL01325</t>
  </si>
  <si>
    <t xml:space="preserve">Prakant Electronics Pvt Ltd</t>
  </si>
  <si>
    <t xml:space="preserve">Kuldeep Kumar</t>
  </si>
  <si>
    <t xml:space="preserve">JBY109439AW2T</t>
  </si>
  <si>
    <t xml:space="preserve">New </t>
  </si>
  <si>
    <t xml:space="preserve">A12223</t>
  </si>
  <si>
    <t xml:space="preserve">NN02-220</t>
  </si>
  <si>
    <t xml:space="preserve">A10612</t>
  </si>
  <si>
    <t xml:space="preserve">A3341</t>
  </si>
  <si>
    <t xml:space="preserve">SSW6235S</t>
  </si>
  <si>
    <t xml:space="preserve">A6430</t>
  </si>
  <si>
    <t xml:space="preserve">SSW71106C</t>
  </si>
  <si>
    <t xml:space="preserve">SMART METER CUSTOMERS</t>
  </si>
  <si>
    <t xml:space="preserve">RCHIP  &amp; P6SMB</t>
  </si>
  <si>
    <t xml:space="preserve">Standex</t>
  </si>
  <si>
    <t xml:space="preserve">OIL LEVEL SENSOR</t>
  </si>
  <si>
    <t xml:space="preserve">A2831</t>
  </si>
  <si>
    <t xml:space="preserve">DEL02203</t>
  </si>
  <si>
    <t xml:space="preserve">PYROTECH TECHNOLOGIES PRIVATE LIMITED</t>
  </si>
  <si>
    <t xml:space="preserve">A5695</t>
  </si>
  <si>
    <t xml:space="preserve">SPACE APPLICATIONS CENTRE</t>
  </si>
  <si>
    <t xml:space="preserve">QUORVO</t>
  </si>
  <si>
    <t xml:space="preserve">TGA2238</t>
  </si>
  <si>
    <t xml:space="preserve">A5768</t>
  </si>
  <si>
    <t xml:space="preserve">A7005</t>
  </si>
  <si>
    <t xml:space="preserve">GUJ00016</t>
  </si>
  <si>
    <t xml:space="preserve">RADIANT TECHNOLOGY</t>
  </si>
  <si>
    <t xml:space="preserve">A7524</t>
  </si>
  <si>
    <t xml:space="preserve">DEL02319</t>
  </si>
  <si>
    <t xml:space="preserve">STATIQ</t>
  </si>
  <si>
    <t xml:space="preserve">EV CHARGER</t>
  </si>
  <si>
    <t xml:space="preserve">shatiq</t>
  </si>
  <si>
    <t xml:space="preserve">LPJ4012GD-ZY</t>
  </si>
  <si>
    <t xml:space="preserve">LQH5BPH470MT0L</t>
  </si>
  <si>
    <t xml:space="preserve">7499011121A</t>
  </si>
  <si>
    <t xml:space="preserve">115U-A103</t>
  </si>
  <si>
    <t xml:space="preserve">ECS-.327-12.5-34QN-TR</t>
  </si>
  <si>
    <t xml:space="preserve">CS-315-07137PW</t>
  </si>
  <si>
    <t xml:space="preserve">ECS-320-8-33Q-JES-TR</t>
  </si>
  <si>
    <t xml:space="preserve">A3939</t>
  </si>
  <si>
    <t xml:space="preserve">Sterling G tek Mobility</t>
  </si>
  <si>
    <t xml:space="preserve">SIA483ADJ-T1-GE3</t>
  </si>
  <si>
    <t xml:space="preserve">A4565</t>
  </si>
  <si>
    <t xml:space="preserve">A5235</t>
  </si>
  <si>
    <t xml:space="preserve">UCY2G330MHD3</t>
  </si>
  <si>
    <t xml:space="preserve">A1931</t>
  </si>
  <si>
    <t xml:space="preserve">UCW1H470MNL1GS</t>
  </si>
  <si>
    <t xml:space="preserve">A3696</t>
  </si>
  <si>
    <t xml:space="preserve">Jmicron</t>
  </si>
  <si>
    <t xml:space="preserve">Rammohan</t>
  </si>
  <si>
    <t xml:space="preserve">JMS591-BHAA1A </t>
  </si>
  <si>
    <t xml:space="preserve">Semi-Conductor Laboratory</t>
  </si>
  <si>
    <t xml:space="preserve">ER18505</t>
  </si>
  <si>
    <t xml:space="preserve">A2102</t>
  </si>
  <si>
    <t xml:space="preserve">AMD00189</t>
  </si>
  <si>
    <t xml:space="preserve">SERVOTRONICS</t>
  </si>
  <si>
    <t xml:space="preserve">A2623</t>
  </si>
  <si>
    <t xml:space="preserve">SM4007</t>
  </si>
  <si>
    <t xml:space="preserve">A4172</t>
  </si>
  <si>
    <t xml:space="preserve">A6144</t>
  </si>
  <si>
    <t xml:space="preserve">ZMM39</t>
  </si>
  <si>
    <t xml:space="preserve">A3742</t>
  </si>
  <si>
    <t xml:space="preserve">BAS31</t>
  </si>
  <si>
    <t xml:space="preserve">A2895</t>
  </si>
  <si>
    <t xml:space="preserve">UF5404</t>
  </si>
  <si>
    <t xml:space="preserve">A7143</t>
  </si>
  <si>
    <t xml:space="preserve">EATON</t>
  </si>
  <si>
    <t xml:space="preserve">125NHG00B</t>
  </si>
  <si>
    <t xml:space="preserve">A6938</t>
  </si>
  <si>
    <t xml:space="preserve">UCY2W330MHD3</t>
  </si>
  <si>
    <t xml:space="preserve">A5297</t>
  </si>
  <si>
    <t xml:space="preserve">KBP210G</t>
  </si>
  <si>
    <t xml:space="preserve">GBI40W</t>
  </si>
  <si>
    <t xml:space="preserve">GUJ00454</t>
  </si>
  <si>
    <t xml:space="preserve">SMART NODE</t>
  </si>
  <si>
    <t xml:space="preserve">Power</t>
  </si>
  <si>
    <t xml:space="preserve">SC-32S 12.5PF20PPM</t>
  </si>
  <si>
    <t xml:space="preserve">A5618</t>
  </si>
  <si>
    <t xml:space="preserve">DEL02211</t>
  </si>
  <si>
    <t xml:space="preserve">SNAES INDUSTRIES PVT. LTD</t>
  </si>
  <si>
    <t xml:space="preserve">A2774</t>
  </si>
  <si>
    <t xml:space="preserve">DEL02287</t>
  </si>
  <si>
    <t xml:space="preserve">SONA BLW PRECISION FORGINGS LTD</t>
  </si>
  <si>
    <t xml:space="preserve">Passenger Information System</t>
  </si>
  <si>
    <t xml:space="preserve">OLS710D324-003</t>
  </si>
  <si>
    <t xml:space="preserve">CMD283C3 </t>
  </si>
  <si>
    <t xml:space="preserve">TQP9111 </t>
  </si>
  <si>
    <t xml:space="preserve">A2941</t>
  </si>
  <si>
    <t xml:space="preserve">DEL02206</t>
  </si>
  <si>
    <t xml:space="preserve">SPARROW ELECTRONICS</t>
  </si>
  <si>
    <t xml:space="preserve">PAC5256QX</t>
  </si>
  <si>
    <t xml:space="preserve">Aishi</t>
  </si>
  <si>
    <t xml:space="preserve">ERR1KM221K20OT</t>
  </si>
  <si>
    <t xml:space="preserve">ERR1VM102W20OT</t>
  </si>
  <si>
    <t xml:space="preserve">ERR1VM101E11OT</t>
  </si>
  <si>
    <t xml:space="preserve">ELH2WM681R50AT</t>
  </si>
  <si>
    <t xml:space="preserve">A5048</t>
  </si>
  <si>
    <t xml:space="preserve">DEL01184</t>
  </si>
  <si>
    <t xml:space="preserve">STJ Electronics  Pvt Ltd</t>
  </si>
  <si>
    <t xml:space="preserve">BM1P061FJ-E2</t>
  </si>
  <si>
    <t xml:space="preserve">A6589</t>
  </si>
  <si>
    <t xml:space="preserve">B43254A5337M000</t>
  </si>
  <si>
    <t xml:space="preserve">A6313</t>
  </si>
  <si>
    <t xml:space="preserve">TSM60NC390CP</t>
  </si>
  <si>
    <t xml:space="preserve">A6307</t>
  </si>
  <si>
    <t xml:space="preserve">DEL01712</t>
  </si>
  <si>
    <t xml:space="preserve">TECH OVN PVT LTD</t>
  </si>
  <si>
    <t xml:space="preserve">A3248</t>
  </si>
  <si>
    <t xml:space="preserve">Metering</t>
  </si>
  <si>
    <t xml:space="preserve">ODM</t>
  </si>
  <si>
    <t xml:space="preserve">NN03-310</t>
  </si>
  <si>
    <t xml:space="preserve">Nichicon</t>
  </si>
  <si>
    <t xml:space="preserve">B82144B2333J000</t>
  </si>
  <si>
    <t xml:space="preserve">1SMB5927</t>
  </si>
  <si>
    <t xml:space="preserve">Luyoufa</t>
  </si>
  <si>
    <t xml:space="preserve">22850207CNG1SYA01</t>
  </si>
  <si>
    <t xml:space="preserve">A2382</t>
  </si>
  <si>
    <t xml:space="preserve">CHM-S-112DA3</t>
  </si>
  <si>
    <t xml:space="preserve">2285-203G0ASY01</t>
  </si>
  <si>
    <t xml:space="preserve">A2609</t>
  </si>
  <si>
    <t xml:space="preserve">R5F121BCGFP#30</t>
  </si>
  <si>
    <t xml:space="preserve">A2543</t>
  </si>
  <si>
    <t xml:space="preserve">A2554</t>
  </si>
  <si>
    <t xml:space="preserve">A5178</t>
  </si>
  <si>
    <t xml:space="preserve">DEL02250</t>
  </si>
  <si>
    <t xml:space="preserve">TSUIKA AUTO PVT. LTD.</t>
  </si>
  <si>
    <t xml:space="preserve">42486-1</t>
  </si>
  <si>
    <t xml:space="preserve">EG800AKCN11LC-4I-SNNSA </t>
  </si>
  <si>
    <t xml:space="preserve">A11328</t>
  </si>
  <si>
    <t xml:space="preserve">A9706</t>
  </si>
  <si>
    <t xml:space="preserve">293D107X0010D2TE3</t>
  </si>
  <si>
    <t xml:space="preserve">Joding</t>
  </si>
  <si>
    <t xml:space="preserve">A11454</t>
  </si>
  <si>
    <t xml:space="preserve">DEL01426</t>
  </si>
  <si>
    <t xml:space="preserve">VEETHREE ELECTRONICS AND MARINE LLC</t>
  </si>
  <si>
    <t xml:space="preserve">US2G</t>
  </si>
  <si>
    <t xml:space="preserve">A9718</t>
  </si>
  <si>
    <t xml:space="preserve">GRM033R71E102JA01D</t>
  </si>
  <si>
    <t xml:space="preserve">MX25V8035FZUI</t>
  </si>
  <si>
    <t xml:space="preserve">A8511</t>
  </si>
  <si>
    <t xml:space="preserve">GRM21BZ71A226ME15L</t>
  </si>
  <si>
    <t xml:space="preserve">A10474</t>
  </si>
  <si>
    <t xml:space="preserve">GRM21BC81H475KE11L</t>
  </si>
  <si>
    <t xml:space="preserve">C1608X7S1A475K080AC</t>
  </si>
  <si>
    <t xml:space="preserve">A8512</t>
  </si>
  <si>
    <t xml:space="preserve">GRM188C80J226ME15D</t>
  </si>
  <si>
    <t xml:space="preserve">C1005X6S1A225K050BC</t>
  </si>
  <si>
    <t xml:space="preserve">GCM155R71H104KE02J</t>
  </si>
  <si>
    <t xml:space="preserve">A9187</t>
  </si>
  <si>
    <t xml:space="preserve">GCM155R71H333KE02D</t>
  </si>
  <si>
    <t xml:space="preserve">A11934</t>
  </si>
  <si>
    <t xml:space="preserve">AM3152</t>
  </si>
  <si>
    <t xml:space="preserve">BAV99W</t>
  </si>
  <si>
    <t xml:space="preserve">M7</t>
  </si>
  <si>
    <t xml:space="preserve">A4697</t>
  </si>
  <si>
    <t xml:space="preserve">AMD00237</t>
  </si>
  <si>
    <t xml:space="preserve">VARDHMAN CONTROL INSTRUMENTS</t>
  </si>
  <si>
    <t xml:space="preserve">A3670</t>
  </si>
  <si>
    <t xml:space="preserve">GUJ00251</t>
  </si>
  <si>
    <t xml:space="preserve">VARNI DIGITAL PRIVATE LIMITED</t>
  </si>
  <si>
    <t xml:space="preserve">A1-S-112IA2F</t>
  </si>
  <si>
    <t xml:space="preserve">A5097</t>
  </si>
  <si>
    <t xml:space="preserve">A6242</t>
  </si>
  <si>
    <t xml:space="preserve">B72210S0250K101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</si>
</sst>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_ * #,##0.00_ ;_ * \-#,##0.00_ ;_ * \-??_ ;_ @_ "/>
    <numFmt numFmtId="167" formatCode="_ * #,##0_ ;_ * \-#,##0_ ;_ * \-??_ ;_ @_ "/>
    <numFmt numFmtId="168" formatCode="0.000"/>
    <numFmt numFmtId="169" formatCode="0E+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0" tint="-0.15"/>
      <name val="Aptos Display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Aptos"/>
      <family val="2"/>
      <charset val="1"/>
    </font>
    <font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Aptos Display"/>
      <family val="2"/>
      <charset val="1"/>
    </font>
    <font>
      <sz val="10"/>
      <color theme="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8" tint="0.7999"/>
        <bgColor rgb="FFDEEBF7"/>
      </patternFill>
    </fill>
    <fill>
      <patternFill patternType="solid">
        <fgColor theme="2" tint="-0.25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D9D9D9"/>
      </patternFill>
    </fill>
    <fill>
      <patternFill patternType="solid">
        <fgColor theme="5" tint="0.5999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theme="4" tint="0.7999"/>
        <bgColor rgb="FFDAE3F3"/>
      </patternFill>
    </fill>
    <fill>
      <patternFill patternType="solid">
        <fgColor theme="0"/>
        <bgColor rgb="FFFFFFCC"/>
      </patternFill>
    </fill>
    <fill>
      <patternFill patternType="solid">
        <fgColor rgb="FF227ACB"/>
        <bgColor rgb="FF0066FF"/>
      </patternFill>
    </fill>
    <fill>
      <patternFill patternType="solid">
        <fgColor rgb="FF0066FF"/>
        <bgColor rgb="FF227ACB"/>
      </patternFill>
    </fill>
    <fill>
      <patternFill patternType="solid">
        <fgColor rgb="FF00B0F0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6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9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9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9" fillId="9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9" fillId="9" borderId="1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9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9" fillId="9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9" borderId="1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9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DEEBF7"/>
      <rgbColor rgb="FF660066"/>
      <rgbColor rgb="FFFF8080"/>
      <rgbColor rgb="FF0066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C5E0B4"/>
      <rgbColor rgb="FFFFFF99"/>
      <rgbColor rgb="FF99CCFF"/>
      <rgbColor rgb="FFFFC7CE"/>
      <rgbColor rgb="FFCC99FF"/>
      <rgbColor rgb="FFF8CBAD"/>
      <rgbColor rgb="FF227ACB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" name="TextBox 1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" name="TextBox 2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" name="TextBox 3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" name="TextBox 4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" name="TextBox 5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6" name="TextBox 6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7" name="TextBox 7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8" name="TextBox 8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9" name="TextBox 9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0" name="TextBox 10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1" name="TextBox 11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2" name="TextBox 12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3" name="TextBox 13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4" name="TextBox 14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5" name="TextBox 15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6" name="TextBox 16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7" name="TextBox 17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8" name="TextBox 18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19" name="TextBox 19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0" name="TextBox 20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1" name="TextBox 21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2" name="TextBox 22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3" name="TextBox 23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4" name="TextBox 24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5" name="TextBox 25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6" name="TextBox 26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7" name="TextBox 27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8" name="TextBox 28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29" name="TextBox 29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0" name="TextBox 30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1" name="TextBox 31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2" name="TextBox 32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3" name="TextBox 33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4" name="TextBox 34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5" name="TextBox 35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6" name="TextBox 36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7" name="TextBox 37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8" name="TextBox 38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39" name="TextBox 39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0" name="TextBox 40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1" name="TextBox 41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2" name="TextBox 42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3" name="TextBox 43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4" name="TextBox 44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5" name="TextBox 45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6" name="TextBox 46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7" name="TextBox 47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8" name="TextBox 48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49" name="TextBox 49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0" name="TextBox 50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1" name="TextBox 51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2" name="TextBox 52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3" name="TextBox 53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4" name="TextBox 54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5" name="TextBox 55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6" name="TextBox 56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7" name="TextBox 57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8" name="TextBox 58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59" name="TextBox 59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60" name="TextBox 60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1242000</xdr:colOff>
      <xdr:row>1517</xdr:row>
      <xdr:rowOff>0</xdr:rowOff>
    </xdr:from>
    <xdr:to>
      <xdr:col>22</xdr:col>
      <xdr:colOff>1242360</xdr:colOff>
      <xdr:row>1517</xdr:row>
      <xdr:rowOff>171360</xdr:rowOff>
    </xdr:to>
    <xdr:sp>
      <xdr:nvSpPr>
        <xdr:cNvPr id="61" name="TextBox 61"/>
        <xdr:cNvSpPr/>
      </xdr:nvSpPr>
      <xdr:spPr>
        <a:xfrm>
          <a:off x="19650600" y="2879755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9" activeCellId="0" sqref="F9"/>
    </sheetView>
  </sheetViews>
  <sheetFormatPr defaultColWidth="9.08984375" defaultRowHeight="14.25" customHeight="false" zeroHeight="false" outlineLevelRow="0" outlineLevelCol="0"/>
  <cols>
    <col collapsed="false" customWidth="true" hidden="true" outlineLevel="0" max="1" min="1" style="1" width="11"/>
    <col collapsed="false" customWidth="true" hidden="true" outlineLevel="0" max="2" min="2" style="1" width="11.82"/>
    <col collapsed="false" customWidth="true" hidden="true" outlineLevel="0" max="3" min="3" style="1" width="11.45"/>
    <col collapsed="false" customWidth="true" hidden="false" outlineLevel="0" max="4" min="4" style="1" width="20.18"/>
    <col collapsed="false" customWidth="true" hidden="true" outlineLevel="0" max="5" min="5" style="1" width="29.27"/>
    <col collapsed="false" customWidth="true" hidden="false" outlineLevel="0" max="6" min="6" style="1" width="14.73"/>
    <col collapsed="false" customWidth="true" hidden="true" outlineLevel="0" max="7" min="7" style="1" width="17.54"/>
    <col collapsed="false" customWidth="true" hidden="false" outlineLevel="0" max="8" min="8" style="1" width="51.09"/>
    <col collapsed="false" customWidth="true" hidden="true" outlineLevel="0" max="9" min="9" style="2" width="18.64"/>
    <col collapsed="false" customWidth="true" hidden="true" outlineLevel="0" max="10" min="10" style="2" width="26.18"/>
    <col collapsed="false" customWidth="true" hidden="false" outlineLevel="0" max="11" min="11" style="2" width="51.09"/>
    <col collapsed="false" customWidth="true" hidden="true" outlineLevel="0" max="12" min="12" style="2" width="24.27"/>
    <col collapsed="false" customWidth="true" hidden="true" outlineLevel="0" max="13" min="13" style="2" width="28.18"/>
    <col collapsed="false" customWidth="true" hidden="false" outlineLevel="0" max="14" min="14" style="1" width="22.45"/>
    <col collapsed="false" customWidth="true" hidden="true" outlineLevel="0" max="15" min="15" style="2" width="15.54"/>
    <col collapsed="false" customWidth="true" hidden="true" outlineLevel="0" max="16" min="16" style="2" width="19.45"/>
    <col collapsed="false" customWidth="true" hidden="false" outlineLevel="0" max="17" min="17" style="2" width="19.45"/>
    <col collapsed="false" customWidth="true" hidden="true" outlineLevel="0" max="18" min="18" style="2" width="18.27"/>
    <col collapsed="false" customWidth="true" hidden="true" outlineLevel="0" max="19" min="19" style="2" width="16"/>
    <col collapsed="false" customWidth="true" hidden="false" outlineLevel="0" max="20" min="20" style="1" width="35.82"/>
    <col collapsed="false" customWidth="true" hidden="true" outlineLevel="0" max="21" min="21" style="1" width="15.18"/>
    <col collapsed="false" customWidth="true" hidden="false" outlineLevel="0" max="22" min="22" style="1" width="15.27"/>
    <col collapsed="false" customWidth="true" hidden="false" outlineLevel="0" max="23" min="23" style="1" width="15.54"/>
    <col collapsed="false" customWidth="true" hidden="true" outlineLevel="0" max="24" min="24" style="1" width="17.9"/>
    <col collapsed="false" customWidth="true" hidden="true" outlineLevel="0" max="25" min="25" style="1" width="18.37"/>
    <col collapsed="false" customWidth="true" hidden="true" outlineLevel="0" max="26" min="26" style="1" width="17.9"/>
    <col collapsed="false" customWidth="true" hidden="true" outlineLevel="0" max="27" min="27" style="1" width="18.37"/>
    <col collapsed="false" customWidth="true" hidden="true" outlineLevel="0" max="28" min="28" style="1" width="18.18"/>
    <col collapsed="false" customWidth="true" hidden="true" outlineLevel="0" max="29" min="29" style="1" width="18.91"/>
    <col collapsed="false" customWidth="true" hidden="true" outlineLevel="0" max="30" min="30" style="1" width="17.9"/>
    <col collapsed="false" customWidth="true" hidden="true" outlineLevel="0" max="32" min="31" style="1" width="18.37"/>
    <col collapsed="false" customWidth="true" hidden="true" outlineLevel="0" max="33" min="33" style="1" width="17.82"/>
    <col collapsed="false" customWidth="true" hidden="true" outlineLevel="0" max="35" min="34" style="1" width="18.18"/>
    <col collapsed="false" customWidth="true" hidden="false" outlineLevel="0" max="36" min="36" style="1" width="17.63"/>
    <col collapsed="false" customWidth="true" hidden="false" outlineLevel="0" max="37" min="37" style="1" width="18.18"/>
    <col collapsed="false" customWidth="true" hidden="false" outlineLevel="0" max="38" min="38" style="1" width="17.63"/>
    <col collapsed="false" customWidth="true" hidden="false" outlineLevel="0" max="39" min="39" style="1" width="18.18"/>
    <col collapsed="false" customWidth="true" hidden="false" outlineLevel="0" max="40" min="40" style="1" width="17.9"/>
    <col collapsed="false" customWidth="true" hidden="false" outlineLevel="0" max="41" min="41" style="1" width="18.64"/>
    <col collapsed="false" customWidth="true" hidden="false" outlineLevel="0" max="42" min="42" style="1" width="17.63"/>
    <col collapsed="false" customWidth="true" hidden="false" outlineLevel="0" max="44" min="43" style="1" width="18.18"/>
    <col collapsed="false" customWidth="true" hidden="false" outlineLevel="0" max="45" min="45" style="1" width="17.54"/>
    <col collapsed="false" customWidth="true" hidden="false" outlineLevel="0" max="47" min="46" style="1" width="17.9"/>
    <col collapsed="false" customWidth="true" hidden="false" outlineLevel="0" max="48" min="48" style="1" width="18.37"/>
    <col collapsed="false" customWidth="true" hidden="false" outlineLevel="0" max="49" min="49" style="1" width="23.09"/>
    <col collapsed="false" customWidth="true" hidden="false" outlineLevel="0" max="50" min="50" style="1" width="22.82"/>
    <col collapsed="false" customWidth="true" hidden="false" outlineLevel="0" max="51" min="51" style="1" width="10.37"/>
    <col collapsed="false" customWidth="true" hidden="false" outlineLevel="0" max="52" min="52" style="1" width="12.9"/>
    <col collapsed="false" customWidth="false" hidden="false" outlineLevel="0" max="16384" min="53" style="1" width="9.09"/>
  </cols>
  <sheetData>
    <row r="1" customFormat="false" ht="31.3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</row>
    <row r="2" s="11" customFormat="true" ht="14.25" hidden="false" customHeight="false" outlineLevel="0" collapsed="false">
      <c r="A2" s="9"/>
      <c r="B2" s="9" t="n">
        <v>1</v>
      </c>
      <c r="C2" s="10"/>
      <c r="D2" s="10" t="s">
        <v>50</v>
      </c>
      <c r="E2" s="9" t="s">
        <v>51</v>
      </c>
      <c r="F2" s="10" t="s">
        <v>52</v>
      </c>
      <c r="G2" s="9" t="s">
        <v>53</v>
      </c>
      <c r="H2" s="10" t="s">
        <v>54</v>
      </c>
      <c r="I2" s="9" t="s">
        <v>55</v>
      </c>
      <c r="J2" s="9" t="s">
        <v>56</v>
      </c>
      <c r="K2" s="10" t="s">
        <v>54</v>
      </c>
      <c r="L2" s="9" t="s">
        <v>55</v>
      </c>
      <c r="M2" s="9" t="s">
        <v>56</v>
      </c>
      <c r="N2" s="10" t="s">
        <v>57</v>
      </c>
      <c r="O2" s="9" t="s">
        <v>58</v>
      </c>
      <c r="P2" s="9" t="s">
        <v>59</v>
      </c>
      <c r="Q2" s="10" t="s">
        <v>59</v>
      </c>
      <c r="R2" s="9" t="s">
        <v>60</v>
      </c>
      <c r="S2" s="9" t="s">
        <v>61</v>
      </c>
      <c r="T2" s="10" t="s">
        <v>62</v>
      </c>
      <c r="U2" s="9" t="s">
        <v>63</v>
      </c>
      <c r="V2" s="10" t="n">
        <v>159</v>
      </c>
      <c r="W2" s="10"/>
      <c r="X2" s="9" t="n">
        <v>100000</v>
      </c>
      <c r="Y2" s="9" t="n">
        <v>100000</v>
      </c>
      <c r="Z2" s="9" t="n">
        <v>100000</v>
      </c>
      <c r="AA2" s="9" t="n">
        <v>100000</v>
      </c>
      <c r="AB2" s="9" t="n">
        <v>100000</v>
      </c>
      <c r="AC2" s="9" t="n">
        <v>100000</v>
      </c>
      <c r="AD2" s="9" t="n">
        <v>100000</v>
      </c>
      <c r="AE2" s="9" t="n">
        <v>100000</v>
      </c>
      <c r="AF2" s="9" t="n">
        <v>100000</v>
      </c>
      <c r="AG2" s="9" t="n">
        <v>100000</v>
      </c>
      <c r="AH2" s="9" t="n">
        <v>100000</v>
      </c>
      <c r="AI2" s="9" t="n">
        <v>100000</v>
      </c>
      <c r="AJ2" s="10" t="n">
        <f aca="false">X2*$V2</f>
        <v>15900000</v>
      </c>
      <c r="AK2" s="10" t="n">
        <f aca="false">Y2*$V2</f>
        <v>15900000</v>
      </c>
      <c r="AL2" s="10" t="n">
        <v>0</v>
      </c>
      <c r="AM2" s="10" t="n">
        <f aca="false">AA2*$V2</f>
        <v>15900000</v>
      </c>
      <c r="AN2" s="10" t="n">
        <f aca="false">AB2*$V2</f>
        <v>15900000</v>
      </c>
      <c r="AO2" s="10" t="n">
        <f aca="false">AC2*$V2</f>
        <v>15900000</v>
      </c>
      <c r="AP2" s="10" t="n">
        <f aca="false">AD2*$V2</f>
        <v>15900000</v>
      </c>
      <c r="AQ2" s="10" t="n">
        <f aca="false">AE2*$V2</f>
        <v>15900000</v>
      </c>
      <c r="AR2" s="10" t="n">
        <f aca="false">AF2*$V2</f>
        <v>15900000</v>
      </c>
      <c r="AS2" s="10" t="n">
        <f aca="false">AG2*$V2</f>
        <v>15900000</v>
      </c>
      <c r="AT2" s="10" t="n">
        <f aca="false">AH2*$V2</f>
        <v>15900000</v>
      </c>
      <c r="AU2" s="10" t="n">
        <f aca="false">AI2*$V2</f>
        <v>15900000</v>
      </c>
      <c r="AV2" s="10" t="n">
        <f aca="false">SUM(X2:AI2)/1000</f>
        <v>1200</v>
      </c>
      <c r="AW2" s="10" t="n">
        <f aca="false">SUM(AJ2:AU2)</f>
        <v>174900000</v>
      </c>
      <c r="AX2" s="10" t="n">
        <f aca="false">IF(D2="INR",AW2/88.24,AW2)/1000000</f>
        <v>1.98209428830462</v>
      </c>
    </row>
    <row r="3" s="11" customFormat="true" ht="14.25" hidden="false" customHeight="false" outlineLevel="0" collapsed="false">
      <c r="A3" s="12" t="s">
        <v>64</v>
      </c>
      <c r="B3" s="13" t="n">
        <v>5</v>
      </c>
      <c r="C3" s="14"/>
      <c r="D3" s="15" t="s">
        <v>50</v>
      </c>
      <c r="E3" s="16" t="s">
        <v>51</v>
      </c>
      <c r="F3" s="15" t="s">
        <v>52</v>
      </c>
      <c r="G3" s="16" t="s">
        <v>65</v>
      </c>
      <c r="H3" s="15" t="s">
        <v>66</v>
      </c>
      <c r="I3" s="16" t="s">
        <v>55</v>
      </c>
      <c r="J3" s="16" t="s">
        <v>56</v>
      </c>
      <c r="K3" s="15"/>
      <c r="L3" s="16" t="s">
        <v>55</v>
      </c>
      <c r="M3" s="16" t="s">
        <v>56</v>
      </c>
      <c r="N3" s="15" t="s">
        <v>67</v>
      </c>
      <c r="O3" s="16" t="s">
        <v>68</v>
      </c>
      <c r="P3" s="16" t="s">
        <v>69</v>
      </c>
      <c r="Q3" s="15" t="s">
        <v>69</v>
      </c>
      <c r="R3" s="16" t="s">
        <v>70</v>
      </c>
      <c r="S3" s="16" t="s">
        <v>71</v>
      </c>
      <c r="T3" s="15" t="s">
        <v>72</v>
      </c>
      <c r="U3" s="16" t="s">
        <v>73</v>
      </c>
      <c r="V3" s="17" t="n">
        <v>20.35</v>
      </c>
      <c r="W3" s="15" t="n">
        <v>0.175</v>
      </c>
      <c r="X3" s="16" t="n">
        <v>600000</v>
      </c>
      <c r="Y3" s="16" t="n">
        <v>600000</v>
      </c>
      <c r="Z3" s="16" t="n">
        <v>600000</v>
      </c>
      <c r="AA3" s="16" t="n">
        <v>600000</v>
      </c>
      <c r="AB3" s="16" t="n">
        <v>600000</v>
      </c>
      <c r="AC3" s="16" t="n">
        <v>600000</v>
      </c>
      <c r="AD3" s="16" t="n">
        <v>600000</v>
      </c>
      <c r="AE3" s="16" t="n">
        <v>600000</v>
      </c>
      <c r="AF3" s="16" t="n">
        <v>600000</v>
      </c>
      <c r="AG3" s="16" t="n">
        <v>600000</v>
      </c>
      <c r="AH3" s="16" t="n">
        <v>600000</v>
      </c>
      <c r="AI3" s="16" t="n">
        <v>600000</v>
      </c>
      <c r="AJ3" s="10" t="n">
        <f aca="false">X3*$V3</f>
        <v>12210000</v>
      </c>
      <c r="AK3" s="10" t="n">
        <f aca="false">Y3*$V3</f>
        <v>12210000</v>
      </c>
      <c r="AL3" s="10" t="n">
        <v>0</v>
      </c>
      <c r="AM3" s="10" t="n">
        <f aca="false">AA3*$V3</f>
        <v>12210000</v>
      </c>
      <c r="AN3" s="10" t="n">
        <f aca="false">AB3*$V3</f>
        <v>12210000</v>
      </c>
      <c r="AO3" s="10" t="n">
        <f aca="false">AC3*$V3</f>
        <v>12210000</v>
      </c>
      <c r="AP3" s="10" t="n">
        <f aca="false">AD3*$V3</f>
        <v>12210000</v>
      </c>
      <c r="AQ3" s="10" t="n">
        <f aca="false">AE3*$V3</f>
        <v>12210000</v>
      </c>
      <c r="AR3" s="10" t="n">
        <f aca="false">AF3*$V3</f>
        <v>12210000</v>
      </c>
      <c r="AS3" s="10" t="n">
        <f aca="false">AG3*$V3</f>
        <v>12210000</v>
      </c>
      <c r="AT3" s="10" t="n">
        <f aca="false">AH3*$V3</f>
        <v>12210000</v>
      </c>
      <c r="AU3" s="10" t="n">
        <f aca="false">AI3*$V3</f>
        <v>12210000</v>
      </c>
      <c r="AV3" s="10" t="n">
        <f aca="false">SUM(X3:AI3)/1000</f>
        <v>7200</v>
      </c>
      <c r="AW3" s="10" t="n">
        <f aca="false">SUM(AJ3:AU3)</f>
        <v>134310000</v>
      </c>
      <c r="AX3" s="10" t="n">
        <f aca="false">IF(D3="INR",AW3/88.24,AW3)/1000000</f>
        <v>1.52209882139619</v>
      </c>
    </row>
    <row r="4" s="2" customFormat="true" ht="16.4" hidden="false" customHeight="false" outlineLevel="0" collapsed="false">
      <c r="A4" s="9" t="s">
        <v>74</v>
      </c>
      <c r="B4" s="9"/>
      <c r="C4" s="10" t="n">
        <v>5</v>
      </c>
      <c r="D4" s="16" t="s">
        <v>50</v>
      </c>
      <c r="E4" s="18" t="s">
        <v>51</v>
      </c>
      <c r="F4" s="18" t="s">
        <v>52</v>
      </c>
      <c r="G4" s="9" t="s">
        <v>75</v>
      </c>
      <c r="H4" s="9" t="s">
        <v>76</v>
      </c>
      <c r="I4" s="9" t="s">
        <v>77</v>
      </c>
      <c r="J4" s="9" t="s">
        <v>78</v>
      </c>
      <c r="K4" s="9"/>
      <c r="L4" s="9" t="s">
        <v>77</v>
      </c>
      <c r="M4" s="9" t="s">
        <v>78</v>
      </c>
      <c r="N4" s="16" t="s">
        <v>79</v>
      </c>
      <c r="O4" s="16" t="s">
        <v>68</v>
      </c>
      <c r="P4" s="18" t="s">
        <v>80</v>
      </c>
      <c r="Q4" s="18" t="s">
        <v>80</v>
      </c>
      <c r="R4" s="9" t="s">
        <v>81</v>
      </c>
      <c r="S4" s="9" t="s">
        <v>82</v>
      </c>
      <c r="T4" s="16" t="s">
        <v>83</v>
      </c>
      <c r="U4" s="16" t="s">
        <v>73</v>
      </c>
      <c r="V4" s="16" t="n">
        <v>1555.1</v>
      </c>
      <c r="W4" s="18" t="n">
        <v>1417.871</v>
      </c>
      <c r="X4" s="19" t="n">
        <v>7800</v>
      </c>
      <c r="Y4" s="19" t="n">
        <v>7800</v>
      </c>
      <c r="Z4" s="19" t="n">
        <v>7800</v>
      </c>
      <c r="AA4" s="9" t="n">
        <v>7800</v>
      </c>
      <c r="AB4" s="16" t="n">
        <v>7800</v>
      </c>
      <c r="AC4" s="16" t="n">
        <v>7800</v>
      </c>
      <c r="AD4" s="16" t="n">
        <v>7800</v>
      </c>
      <c r="AE4" s="16" t="n">
        <v>12800</v>
      </c>
      <c r="AF4" s="16" t="n">
        <v>12800</v>
      </c>
      <c r="AG4" s="16" t="n">
        <v>12800</v>
      </c>
      <c r="AH4" s="16" t="n">
        <v>12800</v>
      </c>
      <c r="AI4" s="16" t="n">
        <v>12800</v>
      </c>
      <c r="AJ4" s="9" t="n">
        <f aca="false">X4*$V4</f>
        <v>12129780</v>
      </c>
      <c r="AK4" s="9" t="n">
        <f aca="false">Y4*$V4</f>
        <v>12129780</v>
      </c>
      <c r="AL4" s="9" t="n">
        <f aca="false">Z4*$V4</f>
        <v>12129780</v>
      </c>
      <c r="AM4" s="9" t="n">
        <f aca="false">AA4*$V4</f>
        <v>12129780</v>
      </c>
      <c r="AN4" s="9" t="n">
        <f aca="false">AB4*$V4</f>
        <v>12129780</v>
      </c>
      <c r="AO4" s="9" t="n">
        <f aca="false">AC4*$V4</f>
        <v>12129780</v>
      </c>
      <c r="AP4" s="9" t="n">
        <f aca="false">AD4*$V4</f>
        <v>12129780</v>
      </c>
      <c r="AQ4" s="9" t="n">
        <f aca="false">AE4*$V4</f>
        <v>19905280</v>
      </c>
      <c r="AR4" s="9" t="n">
        <f aca="false">AF4*$V4</f>
        <v>19905280</v>
      </c>
      <c r="AS4" s="9" t="n">
        <f aca="false">AG4*$V4</f>
        <v>19905280</v>
      </c>
      <c r="AT4" s="9" t="n">
        <f aca="false">AH4*$V4</f>
        <v>19905280</v>
      </c>
      <c r="AU4" s="9" t="n">
        <f aca="false">AI4*$V4</f>
        <v>19905280</v>
      </c>
      <c r="AV4" s="9" t="n">
        <f aca="false">SUM(X4:AI4)/1000</f>
        <v>118.6</v>
      </c>
      <c r="AW4" s="9" t="n">
        <f aca="false">SUM(AJ4:AU4)</f>
        <v>184434860</v>
      </c>
      <c r="AX4" s="9" t="n">
        <f aca="false">IF(D4="INR",AW4/88.24,AW4)/1000000</f>
        <v>2.09015027198549</v>
      </c>
    </row>
    <row r="5" s="2" customFormat="true" ht="14.25" hidden="false" customHeight="false" outlineLevel="0" collapsed="false">
      <c r="A5" s="12" t="s">
        <v>84</v>
      </c>
      <c r="B5" s="16" t="n">
        <v>5</v>
      </c>
      <c r="C5" s="15"/>
      <c r="D5" s="16" t="s">
        <v>50</v>
      </c>
      <c r="E5" s="16" t="s">
        <v>51</v>
      </c>
      <c r="F5" s="16" t="s">
        <v>52</v>
      </c>
      <c r="G5" s="16" t="s">
        <v>65</v>
      </c>
      <c r="H5" s="9" t="s">
        <v>66</v>
      </c>
      <c r="I5" s="16" t="s">
        <v>55</v>
      </c>
      <c r="J5" s="16" t="s">
        <v>56</v>
      </c>
      <c r="K5" s="9"/>
      <c r="L5" s="16" t="s">
        <v>55</v>
      </c>
      <c r="M5" s="16" t="s">
        <v>56</v>
      </c>
      <c r="N5" s="16" t="s">
        <v>67</v>
      </c>
      <c r="O5" s="16" t="s">
        <v>68</v>
      </c>
      <c r="P5" s="16" t="s">
        <v>85</v>
      </c>
      <c r="Q5" s="16" t="s">
        <v>85</v>
      </c>
      <c r="R5" s="16" t="s">
        <v>86</v>
      </c>
      <c r="S5" s="16" t="s">
        <v>87</v>
      </c>
      <c r="T5" s="16" t="s">
        <v>88</v>
      </c>
      <c r="U5" s="16" t="s">
        <v>73</v>
      </c>
      <c r="V5" s="16" t="n">
        <v>8.5</v>
      </c>
      <c r="W5" s="16" t="n">
        <v>0.0837</v>
      </c>
      <c r="X5" s="16" t="n">
        <v>1200000</v>
      </c>
      <c r="Y5" s="16" t="n">
        <v>1200000</v>
      </c>
      <c r="Z5" s="16" t="n">
        <v>1200000</v>
      </c>
      <c r="AA5" s="16" t="n">
        <v>1200000</v>
      </c>
      <c r="AB5" s="16" t="n">
        <v>1200000</v>
      </c>
      <c r="AC5" s="16" t="n">
        <v>1200000</v>
      </c>
      <c r="AD5" s="16" t="n">
        <v>1200000</v>
      </c>
      <c r="AE5" s="16" t="n">
        <v>1200000</v>
      </c>
      <c r="AF5" s="16" t="n">
        <v>1200000</v>
      </c>
      <c r="AG5" s="16" t="n">
        <v>1200000</v>
      </c>
      <c r="AH5" s="16" t="n">
        <v>1200000</v>
      </c>
      <c r="AI5" s="16" t="n">
        <v>1200000</v>
      </c>
      <c r="AJ5" s="9" t="n">
        <f aca="false">X5*$V5</f>
        <v>10200000</v>
      </c>
      <c r="AK5" s="9" t="n">
        <f aca="false">Y5*$V5</f>
        <v>10200000</v>
      </c>
      <c r="AL5" s="9" t="n">
        <f aca="false">Z5*$V5</f>
        <v>10200000</v>
      </c>
      <c r="AM5" s="9" t="n">
        <f aca="false">AA5*$V5</f>
        <v>10200000</v>
      </c>
      <c r="AN5" s="9" t="n">
        <f aca="false">AB5*$V5</f>
        <v>10200000</v>
      </c>
      <c r="AO5" s="9" t="n">
        <f aca="false">AC5*$V5</f>
        <v>10200000</v>
      </c>
      <c r="AP5" s="9" t="n">
        <f aca="false">AD5*$V5</f>
        <v>10200000</v>
      </c>
      <c r="AQ5" s="9" t="n">
        <f aca="false">AE5*$V5</f>
        <v>10200000</v>
      </c>
      <c r="AR5" s="9" t="n">
        <f aca="false">AF5*$V5</f>
        <v>10200000</v>
      </c>
      <c r="AS5" s="9" t="n">
        <f aca="false">AG5*$V5</f>
        <v>10200000</v>
      </c>
      <c r="AT5" s="9" t="n">
        <f aca="false">AH5*$V5</f>
        <v>10200000</v>
      </c>
      <c r="AU5" s="9" t="n">
        <f aca="false">AI5*$V5</f>
        <v>10200000</v>
      </c>
      <c r="AV5" s="9" t="n">
        <f aca="false">SUM(X5:AI5)/1000</f>
        <v>14400</v>
      </c>
      <c r="AW5" s="9" t="n">
        <f aca="false">SUM(AJ5:AU5)</f>
        <v>122400000</v>
      </c>
      <c r="AX5" s="9" t="n">
        <f aca="false">IF(D5="INR",AW5/88.24,AW5)/1000000</f>
        <v>1.3871260199456</v>
      </c>
    </row>
    <row r="6" s="11" customFormat="true" ht="14.25" hidden="false" customHeight="false" outlineLevel="0" collapsed="false">
      <c r="A6" s="9"/>
      <c r="B6" s="16" t="n">
        <v>1</v>
      </c>
      <c r="C6" s="15"/>
      <c r="D6" s="15" t="s">
        <v>50</v>
      </c>
      <c r="E6" s="16" t="s">
        <v>51</v>
      </c>
      <c r="F6" s="15" t="s">
        <v>52</v>
      </c>
      <c r="G6" s="16" t="s">
        <v>53</v>
      </c>
      <c r="H6" s="10" t="s">
        <v>54</v>
      </c>
      <c r="I6" s="16" t="s">
        <v>55</v>
      </c>
      <c r="J6" s="16" t="s">
        <v>56</v>
      </c>
      <c r="K6" s="10" t="s">
        <v>54</v>
      </c>
      <c r="L6" s="16" t="s">
        <v>55</v>
      </c>
      <c r="M6" s="16" t="s">
        <v>56</v>
      </c>
      <c r="N6" s="15" t="s">
        <v>57</v>
      </c>
      <c r="O6" s="16" t="s">
        <v>58</v>
      </c>
      <c r="P6" s="16" t="s">
        <v>59</v>
      </c>
      <c r="Q6" s="15" t="s">
        <v>59</v>
      </c>
      <c r="R6" s="16" t="s">
        <v>60</v>
      </c>
      <c r="S6" s="16" t="s">
        <v>61</v>
      </c>
      <c r="T6" s="20" t="s">
        <v>89</v>
      </c>
      <c r="U6" s="16" t="s">
        <v>63</v>
      </c>
      <c r="V6" s="15" t="n">
        <v>360</v>
      </c>
      <c r="W6" s="20"/>
      <c r="X6" s="16" t="n">
        <v>25000</v>
      </c>
      <c r="Y6" s="16" t="n">
        <v>25000</v>
      </c>
      <c r="Z6" s="16" t="n">
        <v>25000</v>
      </c>
      <c r="AA6" s="16" t="n">
        <v>25000</v>
      </c>
      <c r="AB6" s="16" t="n">
        <v>25000</v>
      </c>
      <c r="AC6" s="16" t="n">
        <v>25000</v>
      </c>
      <c r="AD6" s="16" t="n">
        <v>25000</v>
      </c>
      <c r="AE6" s="16" t="n">
        <v>25000</v>
      </c>
      <c r="AF6" s="16" t="n">
        <v>25000</v>
      </c>
      <c r="AG6" s="16" t="n">
        <v>25000</v>
      </c>
      <c r="AH6" s="16" t="n">
        <v>25000</v>
      </c>
      <c r="AI6" s="16" t="n">
        <v>25000</v>
      </c>
      <c r="AJ6" s="10" t="n">
        <f aca="false">X6*$V6</f>
        <v>9000000</v>
      </c>
      <c r="AK6" s="10" t="n">
        <f aca="false">Y6*$V6</f>
        <v>9000000</v>
      </c>
      <c r="AL6" s="10" t="n">
        <v>0</v>
      </c>
      <c r="AM6" s="10" t="n">
        <f aca="false">AA6*$V6</f>
        <v>9000000</v>
      </c>
      <c r="AN6" s="10" t="n">
        <f aca="false">AB6*$V6</f>
        <v>9000000</v>
      </c>
      <c r="AO6" s="10" t="n">
        <f aca="false">AC6*$V6</f>
        <v>9000000</v>
      </c>
      <c r="AP6" s="10" t="n">
        <f aca="false">AD6*$V6</f>
        <v>9000000</v>
      </c>
      <c r="AQ6" s="10" t="n">
        <f aca="false">AE6*$V6</f>
        <v>9000000</v>
      </c>
      <c r="AR6" s="10" t="n">
        <f aca="false">AF6*$V6</f>
        <v>9000000</v>
      </c>
      <c r="AS6" s="10" t="n">
        <f aca="false">AG6*$V6</f>
        <v>9000000</v>
      </c>
      <c r="AT6" s="10" t="n">
        <f aca="false">AH6*$V6</f>
        <v>9000000</v>
      </c>
      <c r="AU6" s="10" t="n">
        <f aca="false">AI6*$V6</f>
        <v>9000000</v>
      </c>
      <c r="AV6" s="10" t="n">
        <f aca="false">SUM(X6:AI6)/1000</f>
        <v>300</v>
      </c>
      <c r="AW6" s="10" t="n">
        <f aca="false">SUM(AJ6:AU6)</f>
        <v>99000000</v>
      </c>
      <c r="AX6" s="10" t="n">
        <f aca="false">IF(D6="INR",AW6/88.24,AW6)/1000000</f>
        <v>1.1219401631913</v>
      </c>
    </row>
    <row r="7" s="11" customFormat="true" ht="16.4" hidden="false" customHeight="false" outlineLevel="0" collapsed="false">
      <c r="A7" s="9" t="s">
        <v>90</v>
      </c>
      <c r="B7" s="9" t="n">
        <v>5</v>
      </c>
      <c r="C7" s="15"/>
      <c r="D7" s="15" t="s">
        <v>50</v>
      </c>
      <c r="E7" s="16" t="s">
        <v>51</v>
      </c>
      <c r="F7" s="15" t="s">
        <v>52</v>
      </c>
      <c r="G7" s="16" t="s">
        <v>91</v>
      </c>
      <c r="H7" s="10" t="s">
        <v>92</v>
      </c>
      <c r="I7" s="16" t="s">
        <v>55</v>
      </c>
      <c r="J7" s="16" t="s">
        <v>56</v>
      </c>
      <c r="K7" s="10"/>
      <c r="L7" s="16" t="s">
        <v>55</v>
      </c>
      <c r="M7" s="16" t="s">
        <v>56</v>
      </c>
      <c r="N7" s="15" t="s">
        <v>93</v>
      </c>
      <c r="O7" s="16" t="s">
        <v>94</v>
      </c>
      <c r="P7" s="9" t="s">
        <v>59</v>
      </c>
      <c r="Q7" s="10" t="s">
        <v>59</v>
      </c>
      <c r="R7" s="9" t="s">
        <v>60</v>
      </c>
      <c r="S7" s="9" t="s">
        <v>61</v>
      </c>
      <c r="T7" s="10" t="s">
        <v>95</v>
      </c>
      <c r="U7" s="16" t="s">
        <v>73</v>
      </c>
      <c r="V7" s="21" t="n">
        <v>178</v>
      </c>
      <c r="W7" s="10" t="n">
        <v>2.6</v>
      </c>
      <c r="X7" s="22" t="n">
        <v>50000</v>
      </c>
      <c r="Y7" s="9"/>
      <c r="Z7" s="9" t="n">
        <v>50000</v>
      </c>
      <c r="AA7" s="9"/>
      <c r="AB7" s="9"/>
      <c r="AC7" s="9"/>
      <c r="AD7" s="23" t="n">
        <v>50000</v>
      </c>
      <c r="AE7" s="9"/>
      <c r="AF7" s="9"/>
      <c r="AG7" s="9" t="n">
        <v>50000</v>
      </c>
      <c r="AH7" s="9"/>
      <c r="AI7" s="9"/>
      <c r="AJ7" s="10" t="n">
        <f aca="false">X7*$V7</f>
        <v>8900000</v>
      </c>
      <c r="AK7" s="10" t="n">
        <f aca="false">Y7*$V7</f>
        <v>0</v>
      </c>
      <c r="AL7" s="10" t="n">
        <v>0</v>
      </c>
      <c r="AM7" s="10" t="n">
        <f aca="false">AA7*$V7</f>
        <v>0</v>
      </c>
      <c r="AN7" s="10" t="n">
        <f aca="false">AB7*$V7</f>
        <v>0</v>
      </c>
      <c r="AO7" s="10" t="n">
        <f aca="false">AC7*$V7</f>
        <v>0</v>
      </c>
      <c r="AP7" s="10" t="n">
        <f aca="false">AD7*$V7</f>
        <v>8900000</v>
      </c>
      <c r="AQ7" s="10" t="n">
        <f aca="false">AE7*$V7</f>
        <v>0</v>
      </c>
      <c r="AR7" s="10" t="n">
        <f aca="false">AF7*$V7</f>
        <v>0</v>
      </c>
      <c r="AS7" s="10" t="n">
        <f aca="false">AG7*$V7</f>
        <v>8900000</v>
      </c>
      <c r="AT7" s="10" t="n">
        <f aca="false">AH7*$V7</f>
        <v>0</v>
      </c>
      <c r="AU7" s="10" t="n">
        <f aca="false">AI7*$V7</f>
        <v>0</v>
      </c>
      <c r="AV7" s="10" t="n">
        <f aca="false">SUM(X7:AI7)/1000</f>
        <v>200</v>
      </c>
      <c r="AW7" s="10" t="n">
        <f aca="false">SUM(AJ7:AU7)</f>
        <v>26700000</v>
      </c>
      <c r="AX7" s="10" t="n">
        <f aca="false">IF(D7="INR",AW7/88.24,AW7)/1000000</f>
        <v>0.302583862194016</v>
      </c>
    </row>
    <row r="8" s="2" customFormat="true" ht="16.4" hidden="false" customHeight="false" outlineLevel="0" collapsed="false">
      <c r="A8" s="9" t="s">
        <v>96</v>
      </c>
      <c r="B8" s="9" t="n">
        <v>5</v>
      </c>
      <c r="C8" s="10"/>
      <c r="D8" s="16" t="s">
        <v>50</v>
      </c>
      <c r="E8" s="16" t="s">
        <v>51</v>
      </c>
      <c r="F8" s="16" t="s">
        <v>97</v>
      </c>
      <c r="G8" s="16" t="s">
        <v>98</v>
      </c>
      <c r="H8" s="9" t="s">
        <v>99</v>
      </c>
      <c r="I8" s="16" t="s">
        <v>55</v>
      </c>
      <c r="J8" s="16" t="s">
        <v>100</v>
      </c>
      <c r="K8" s="9"/>
      <c r="L8" s="16" t="s">
        <v>55</v>
      </c>
      <c r="M8" s="16" t="s">
        <v>100</v>
      </c>
      <c r="N8" s="16" t="s">
        <v>79</v>
      </c>
      <c r="O8" s="16" t="s">
        <v>58</v>
      </c>
      <c r="P8" s="9" t="s">
        <v>59</v>
      </c>
      <c r="Q8" s="9" t="s">
        <v>59</v>
      </c>
      <c r="R8" s="9" t="s">
        <v>60</v>
      </c>
      <c r="S8" s="9" t="s">
        <v>61</v>
      </c>
      <c r="T8" s="24" t="s">
        <v>89</v>
      </c>
      <c r="U8" s="16" t="s">
        <v>73</v>
      </c>
      <c r="V8" s="25" t="n">
        <v>352</v>
      </c>
      <c r="W8" s="25" t="n">
        <v>337</v>
      </c>
      <c r="X8" s="22" t="n">
        <v>20000</v>
      </c>
      <c r="Y8" s="9" t="n">
        <v>20000</v>
      </c>
      <c r="Z8" s="9" t="n">
        <v>20000</v>
      </c>
      <c r="AA8" s="9" t="n">
        <v>20000</v>
      </c>
      <c r="AB8" s="9" t="n">
        <v>20000</v>
      </c>
      <c r="AC8" s="9" t="n">
        <v>20000</v>
      </c>
      <c r="AD8" s="9" t="n">
        <v>20000</v>
      </c>
      <c r="AE8" s="9" t="n">
        <v>20000</v>
      </c>
      <c r="AF8" s="9" t="n">
        <v>5000</v>
      </c>
      <c r="AG8" s="9" t="n">
        <v>5000</v>
      </c>
      <c r="AH8" s="9" t="n">
        <v>5000</v>
      </c>
      <c r="AI8" s="9" t="n">
        <v>5000</v>
      </c>
      <c r="AJ8" s="9" t="n">
        <f aca="false">X8*$V8</f>
        <v>7040000</v>
      </c>
      <c r="AK8" s="9" t="n">
        <f aca="false">Y8*$V8</f>
        <v>7040000</v>
      </c>
      <c r="AL8" s="9" t="n">
        <f aca="false">Z8*$V8</f>
        <v>7040000</v>
      </c>
      <c r="AM8" s="9" t="n">
        <f aca="false">AA8*$V8</f>
        <v>7040000</v>
      </c>
      <c r="AN8" s="9" t="n">
        <f aca="false">AB8*$V8</f>
        <v>7040000</v>
      </c>
      <c r="AO8" s="9" t="n">
        <f aca="false">AC8*$V8</f>
        <v>7040000</v>
      </c>
      <c r="AP8" s="9" t="n">
        <f aca="false">AD8*$V8</f>
        <v>7040000</v>
      </c>
      <c r="AQ8" s="9" t="n">
        <f aca="false">AE8*$V8</f>
        <v>7040000</v>
      </c>
      <c r="AR8" s="9" t="n">
        <f aca="false">AF8*$V8</f>
        <v>1760000</v>
      </c>
      <c r="AS8" s="9" t="n">
        <f aca="false">AG8*$V8</f>
        <v>1760000</v>
      </c>
      <c r="AT8" s="9" t="n">
        <f aca="false">AH8*$V8</f>
        <v>1760000</v>
      </c>
      <c r="AU8" s="9" t="n">
        <f aca="false">AI8*$V8</f>
        <v>1760000</v>
      </c>
      <c r="AV8" s="9" t="n">
        <f aca="false">SUM(X8:AI8)/1000</f>
        <v>180</v>
      </c>
      <c r="AW8" s="9" t="n">
        <f aca="false">SUM(AJ8:AU8)</f>
        <v>63360000</v>
      </c>
      <c r="AX8" s="9" t="n">
        <f aca="false">IF(D8="INR",AW8/88.24,AW8)/1000000</f>
        <v>0.71804170444243</v>
      </c>
      <c r="AY8" s="2" t="s">
        <v>101</v>
      </c>
    </row>
    <row r="9" s="2" customFormat="true" ht="14.25" hidden="false" customHeight="false" outlineLevel="0" collapsed="false">
      <c r="A9" s="12"/>
      <c r="B9" s="16" t="n">
        <v>1</v>
      </c>
      <c r="C9" s="15"/>
      <c r="D9" s="16" t="s">
        <v>102</v>
      </c>
      <c r="E9" s="16" t="s">
        <v>51</v>
      </c>
      <c r="F9" s="16" t="s">
        <v>52</v>
      </c>
      <c r="G9" s="16" t="s">
        <v>103</v>
      </c>
      <c r="H9" s="16" t="s">
        <v>104</v>
      </c>
      <c r="I9" s="16" t="s">
        <v>105</v>
      </c>
      <c r="J9" s="16" t="s">
        <v>106</v>
      </c>
      <c r="K9" s="16" t="s">
        <v>104</v>
      </c>
      <c r="L9" s="16" t="s">
        <v>105</v>
      </c>
      <c r="M9" s="16" t="s">
        <v>106</v>
      </c>
      <c r="N9" s="16" t="s">
        <v>57</v>
      </c>
      <c r="O9" s="16" t="s">
        <v>107</v>
      </c>
      <c r="P9" s="16" t="s">
        <v>108</v>
      </c>
      <c r="Q9" s="16" t="s">
        <v>108</v>
      </c>
      <c r="R9" s="16"/>
      <c r="S9" s="16"/>
      <c r="T9" s="16" t="s">
        <v>109</v>
      </c>
      <c r="U9" s="16" t="s">
        <v>63</v>
      </c>
      <c r="V9" s="16" t="n">
        <v>30</v>
      </c>
      <c r="W9" s="16"/>
      <c r="X9" s="16"/>
      <c r="Y9" s="16"/>
      <c r="Z9" s="16"/>
      <c r="AA9" s="16"/>
      <c r="AB9" s="16"/>
      <c r="AC9" s="16"/>
      <c r="AD9" s="16" t="n">
        <v>500</v>
      </c>
      <c r="AE9" s="16"/>
      <c r="AF9" s="16"/>
      <c r="AG9" s="16"/>
      <c r="AH9" s="16"/>
      <c r="AI9" s="16"/>
      <c r="AJ9" s="9" t="n">
        <f aca="false">X9*$V9</f>
        <v>0</v>
      </c>
      <c r="AK9" s="9" t="n">
        <f aca="false">Y9*$V9</f>
        <v>0</v>
      </c>
      <c r="AL9" s="9" t="n">
        <f aca="false">Z9*$V9</f>
        <v>0</v>
      </c>
      <c r="AM9" s="9" t="n">
        <f aca="false">AA9*$V9</f>
        <v>0</v>
      </c>
      <c r="AN9" s="9" t="n">
        <f aca="false">AB9*$V9</f>
        <v>0</v>
      </c>
      <c r="AO9" s="9" t="n">
        <f aca="false">AC9*$V9</f>
        <v>0</v>
      </c>
      <c r="AP9" s="9" t="n">
        <f aca="false">AD9*$V9</f>
        <v>15000</v>
      </c>
      <c r="AQ9" s="9" t="n">
        <f aca="false">AE9*$V9</f>
        <v>0</v>
      </c>
      <c r="AR9" s="9" t="n">
        <f aca="false">AF9*$V9</f>
        <v>0</v>
      </c>
      <c r="AS9" s="9" t="n">
        <f aca="false">AG9*$V9</f>
        <v>0</v>
      </c>
      <c r="AT9" s="9" t="n">
        <f aca="false">AH9*$V9</f>
        <v>0</v>
      </c>
      <c r="AU9" s="9" t="n">
        <f aca="false">AI9*$V9</f>
        <v>0</v>
      </c>
      <c r="AV9" s="9" t="n">
        <f aca="false">SUM(X9:AI9)/1000</f>
        <v>0.5</v>
      </c>
      <c r="AW9" s="9" t="n">
        <f aca="false">SUM(AJ9:AU9)</f>
        <v>15000</v>
      </c>
      <c r="AX9" s="9" t="n">
        <f aca="false">IF(D9="INR",AW9/88.24,AW9)/1000000</f>
        <v>0.015</v>
      </c>
    </row>
    <row r="10" s="2" customFormat="true" ht="14.25" hidden="false" customHeight="false" outlineLevel="0" collapsed="false">
      <c r="A10" s="12"/>
      <c r="B10" s="16" t="n">
        <v>1</v>
      </c>
      <c r="C10" s="15"/>
      <c r="D10" s="16" t="s">
        <v>102</v>
      </c>
      <c r="E10" s="16" t="s">
        <v>51</v>
      </c>
      <c r="F10" s="16" t="s">
        <v>52</v>
      </c>
      <c r="G10" s="16" t="s">
        <v>103</v>
      </c>
      <c r="H10" s="16" t="s">
        <v>104</v>
      </c>
      <c r="I10" s="16" t="s">
        <v>105</v>
      </c>
      <c r="J10" s="16" t="s">
        <v>106</v>
      </c>
      <c r="K10" s="16" t="s">
        <v>104</v>
      </c>
      <c r="L10" s="16" t="s">
        <v>105</v>
      </c>
      <c r="M10" s="16" t="s">
        <v>106</v>
      </c>
      <c r="N10" s="16" t="s">
        <v>57</v>
      </c>
      <c r="O10" s="16" t="s">
        <v>107</v>
      </c>
      <c r="P10" s="16" t="s">
        <v>110</v>
      </c>
      <c r="Q10" s="16" t="s">
        <v>110</v>
      </c>
      <c r="R10" s="16"/>
      <c r="S10" s="16"/>
      <c r="T10" s="16" t="s">
        <v>111</v>
      </c>
      <c r="U10" s="16" t="s">
        <v>63</v>
      </c>
      <c r="V10" s="16" t="n">
        <v>24.97</v>
      </c>
      <c r="W10" s="16"/>
      <c r="X10" s="16"/>
      <c r="Y10" s="16"/>
      <c r="Z10" s="16"/>
      <c r="AA10" s="16"/>
      <c r="AB10" s="16"/>
      <c r="AC10" s="16"/>
      <c r="AD10" s="16" t="n">
        <v>500</v>
      </c>
      <c r="AE10" s="16"/>
      <c r="AF10" s="16"/>
      <c r="AG10" s="16"/>
      <c r="AH10" s="16"/>
      <c r="AI10" s="16"/>
      <c r="AJ10" s="9" t="n">
        <f aca="false">X10*$V10</f>
        <v>0</v>
      </c>
      <c r="AK10" s="9" t="n">
        <f aca="false">Y10*$V10</f>
        <v>0</v>
      </c>
      <c r="AL10" s="9" t="n">
        <f aca="false">Z10*$V10</f>
        <v>0</v>
      </c>
      <c r="AM10" s="9" t="n">
        <f aca="false">AA10*$V10</f>
        <v>0</v>
      </c>
      <c r="AN10" s="9" t="n">
        <f aca="false">AB10*$V10</f>
        <v>0</v>
      </c>
      <c r="AO10" s="9" t="n">
        <f aca="false">AC10*$V10</f>
        <v>0</v>
      </c>
      <c r="AP10" s="9" t="n">
        <f aca="false">AD10*$V10</f>
        <v>12485</v>
      </c>
      <c r="AQ10" s="9" t="n">
        <f aca="false">AE10*$V10</f>
        <v>0</v>
      </c>
      <c r="AR10" s="9" t="n">
        <f aca="false">AF10*$V10</f>
        <v>0</v>
      </c>
      <c r="AS10" s="9" t="n">
        <f aca="false">AG10*$V10</f>
        <v>0</v>
      </c>
      <c r="AT10" s="9" t="n">
        <f aca="false">AH10*$V10</f>
        <v>0</v>
      </c>
      <c r="AU10" s="9" t="n">
        <f aca="false">AI10*$V10</f>
        <v>0</v>
      </c>
      <c r="AV10" s="9" t="n">
        <f aca="false">SUM(X10:AI10)/1000</f>
        <v>0.5</v>
      </c>
      <c r="AW10" s="9" t="n">
        <f aca="false">SUM(AJ10:AU10)</f>
        <v>12485</v>
      </c>
      <c r="AX10" s="9" t="n">
        <f aca="false">IF(D10="INR",AW10/88.24,AW10)/1000000</f>
        <v>0.012485</v>
      </c>
    </row>
    <row r="11" s="2" customFormat="true" ht="14.25" hidden="false" customHeight="false" outlineLevel="0" collapsed="false">
      <c r="A11" s="12"/>
      <c r="B11" s="16" t="n">
        <v>1</v>
      </c>
      <c r="C11" s="15"/>
      <c r="D11" s="16" t="s">
        <v>102</v>
      </c>
      <c r="E11" s="16" t="s">
        <v>51</v>
      </c>
      <c r="F11" s="16" t="s">
        <v>52</v>
      </c>
      <c r="G11" s="16" t="s">
        <v>103</v>
      </c>
      <c r="H11" s="16" t="s">
        <v>104</v>
      </c>
      <c r="I11" s="16" t="s">
        <v>105</v>
      </c>
      <c r="J11" s="16" t="s">
        <v>106</v>
      </c>
      <c r="K11" s="16" t="s">
        <v>104</v>
      </c>
      <c r="L11" s="16" t="s">
        <v>105</v>
      </c>
      <c r="M11" s="16" t="s">
        <v>106</v>
      </c>
      <c r="N11" s="16" t="s">
        <v>57</v>
      </c>
      <c r="O11" s="16" t="s">
        <v>107</v>
      </c>
      <c r="P11" s="16" t="s">
        <v>108</v>
      </c>
      <c r="Q11" s="16" t="s">
        <v>108</v>
      </c>
      <c r="R11" s="16"/>
      <c r="S11" s="16"/>
      <c r="T11" s="16" t="s">
        <v>112</v>
      </c>
      <c r="U11" s="16" t="s">
        <v>63</v>
      </c>
      <c r="V11" s="16" t="n">
        <v>17</v>
      </c>
      <c r="W11" s="16"/>
      <c r="X11" s="16"/>
      <c r="Y11" s="16"/>
      <c r="Z11" s="16"/>
      <c r="AA11" s="16"/>
      <c r="AB11" s="16"/>
      <c r="AC11" s="16"/>
      <c r="AD11" s="16" t="n">
        <v>500</v>
      </c>
      <c r="AE11" s="16"/>
      <c r="AF11" s="16"/>
      <c r="AG11" s="16"/>
      <c r="AH11" s="16"/>
      <c r="AI11" s="16"/>
      <c r="AJ11" s="9" t="n">
        <f aca="false">X11*$V11</f>
        <v>0</v>
      </c>
      <c r="AK11" s="9" t="n">
        <f aca="false">Y11*$V11</f>
        <v>0</v>
      </c>
      <c r="AL11" s="9" t="n">
        <f aca="false">Z11*$V11</f>
        <v>0</v>
      </c>
      <c r="AM11" s="9" t="n">
        <f aca="false">AA11*$V11</f>
        <v>0</v>
      </c>
      <c r="AN11" s="9" t="n">
        <f aca="false">AB11*$V11</f>
        <v>0</v>
      </c>
      <c r="AO11" s="9" t="n">
        <f aca="false">AC11*$V11</f>
        <v>0</v>
      </c>
      <c r="AP11" s="9" t="n">
        <f aca="false">AD11*$V11</f>
        <v>8500</v>
      </c>
      <c r="AQ11" s="9" t="n">
        <f aca="false">AE11*$V11</f>
        <v>0</v>
      </c>
      <c r="AR11" s="9" t="n">
        <f aca="false">AF11*$V11</f>
        <v>0</v>
      </c>
      <c r="AS11" s="9" t="n">
        <f aca="false">AG11*$V11</f>
        <v>0</v>
      </c>
      <c r="AT11" s="9" t="n">
        <f aca="false">AH11*$V11</f>
        <v>0</v>
      </c>
      <c r="AU11" s="9" t="n">
        <f aca="false">AI11*$V11</f>
        <v>0</v>
      </c>
      <c r="AV11" s="9" t="n">
        <f aca="false">SUM(X11:AI11)/1000</f>
        <v>0.5</v>
      </c>
      <c r="AW11" s="9" t="n">
        <f aca="false">SUM(AJ11:AU11)</f>
        <v>8500</v>
      </c>
      <c r="AX11" s="9" t="n">
        <f aca="false">IF(D11="INR",AW11/88.24,AW11)/1000000</f>
        <v>0.0085</v>
      </c>
    </row>
    <row r="12" s="2" customFormat="true" ht="14.25" hidden="false" customHeight="false" outlineLevel="0" collapsed="false">
      <c r="A12" s="12"/>
      <c r="B12" s="16" t="n">
        <v>1</v>
      </c>
      <c r="C12" s="15"/>
      <c r="D12" s="16" t="s">
        <v>102</v>
      </c>
      <c r="E12" s="16" t="s">
        <v>51</v>
      </c>
      <c r="F12" s="16" t="s">
        <v>52</v>
      </c>
      <c r="G12" s="16" t="s">
        <v>103</v>
      </c>
      <c r="H12" s="16" t="s">
        <v>104</v>
      </c>
      <c r="I12" s="16" t="s">
        <v>105</v>
      </c>
      <c r="J12" s="16" t="s">
        <v>106</v>
      </c>
      <c r="K12" s="16" t="s">
        <v>104</v>
      </c>
      <c r="L12" s="16" t="s">
        <v>105</v>
      </c>
      <c r="M12" s="16" t="s">
        <v>106</v>
      </c>
      <c r="N12" s="16" t="s">
        <v>57</v>
      </c>
      <c r="O12" s="16" t="s">
        <v>107</v>
      </c>
      <c r="P12" s="16" t="s">
        <v>113</v>
      </c>
      <c r="Q12" s="16" t="s">
        <v>113</v>
      </c>
      <c r="R12" s="16"/>
      <c r="S12" s="16"/>
      <c r="T12" s="16" t="s">
        <v>114</v>
      </c>
      <c r="U12" s="16" t="s">
        <v>63</v>
      </c>
      <c r="V12" s="16" t="n">
        <v>14.8</v>
      </c>
      <c r="W12" s="16"/>
      <c r="X12" s="16"/>
      <c r="Y12" s="16"/>
      <c r="Z12" s="16"/>
      <c r="AA12" s="16"/>
      <c r="AB12" s="16"/>
      <c r="AC12" s="16"/>
      <c r="AD12" s="16" t="n">
        <v>500</v>
      </c>
      <c r="AE12" s="16"/>
      <c r="AF12" s="16"/>
      <c r="AG12" s="16"/>
      <c r="AH12" s="16"/>
      <c r="AI12" s="16"/>
      <c r="AJ12" s="9" t="n">
        <f aca="false">X12*$V12</f>
        <v>0</v>
      </c>
      <c r="AK12" s="9" t="n">
        <f aca="false">Y12*$V12</f>
        <v>0</v>
      </c>
      <c r="AL12" s="9" t="n">
        <f aca="false">Z12*$V12</f>
        <v>0</v>
      </c>
      <c r="AM12" s="9" t="n">
        <f aca="false">AA12*$V12</f>
        <v>0</v>
      </c>
      <c r="AN12" s="9" t="n">
        <f aca="false">AB12*$V12</f>
        <v>0</v>
      </c>
      <c r="AO12" s="9" t="n">
        <f aca="false">AC12*$V12</f>
        <v>0</v>
      </c>
      <c r="AP12" s="9" t="n">
        <f aca="false">AD12*$V12</f>
        <v>7400</v>
      </c>
      <c r="AQ12" s="9" t="n">
        <f aca="false">AE12*$V12</f>
        <v>0</v>
      </c>
      <c r="AR12" s="9" t="n">
        <f aca="false">AF12*$V12</f>
        <v>0</v>
      </c>
      <c r="AS12" s="9" t="n">
        <f aca="false">AG12*$V12</f>
        <v>0</v>
      </c>
      <c r="AT12" s="9" t="n">
        <f aca="false">AH12*$V12</f>
        <v>0</v>
      </c>
      <c r="AU12" s="9" t="n">
        <f aca="false">AI12*$V12</f>
        <v>0</v>
      </c>
      <c r="AV12" s="9" t="n">
        <f aca="false">SUM(X12:AI12)/1000</f>
        <v>0.5</v>
      </c>
      <c r="AW12" s="9" t="n">
        <f aca="false">SUM(AJ12:AU12)</f>
        <v>7400</v>
      </c>
      <c r="AX12" s="9" t="n">
        <f aca="false">IF(D12="INR",AW12/88.24,AW12)/1000000</f>
        <v>0.0074</v>
      </c>
    </row>
    <row r="13" s="2" customFormat="true" ht="14.25" hidden="false" customHeight="false" outlineLevel="0" collapsed="false">
      <c r="A13" s="12"/>
      <c r="B13" s="16" t="n">
        <v>1</v>
      </c>
      <c r="C13" s="15"/>
      <c r="D13" s="16" t="s">
        <v>102</v>
      </c>
      <c r="E13" s="16" t="s">
        <v>51</v>
      </c>
      <c r="F13" s="16" t="s">
        <v>52</v>
      </c>
      <c r="G13" s="16" t="s">
        <v>103</v>
      </c>
      <c r="H13" s="16" t="s">
        <v>104</v>
      </c>
      <c r="I13" s="16" t="s">
        <v>105</v>
      </c>
      <c r="J13" s="16" t="s">
        <v>106</v>
      </c>
      <c r="K13" s="16" t="s">
        <v>104</v>
      </c>
      <c r="L13" s="16" t="s">
        <v>105</v>
      </c>
      <c r="M13" s="16" t="s">
        <v>106</v>
      </c>
      <c r="N13" s="16" t="s">
        <v>57</v>
      </c>
      <c r="O13" s="16" t="s">
        <v>107</v>
      </c>
      <c r="P13" s="16" t="s">
        <v>115</v>
      </c>
      <c r="Q13" s="16" t="s">
        <v>115</v>
      </c>
      <c r="R13" s="16"/>
      <c r="S13" s="16"/>
      <c r="T13" s="16" t="s">
        <v>116</v>
      </c>
      <c r="U13" s="16" t="s">
        <v>63</v>
      </c>
      <c r="V13" s="16" t="n">
        <v>8</v>
      </c>
      <c r="W13" s="16"/>
      <c r="X13" s="22"/>
      <c r="Y13" s="22"/>
      <c r="Z13" s="22"/>
      <c r="AA13" s="22"/>
      <c r="AB13" s="22"/>
      <c r="AC13" s="22"/>
      <c r="AD13" s="22" t="n">
        <v>500</v>
      </c>
      <c r="AE13" s="22"/>
      <c r="AF13" s="22"/>
      <c r="AG13" s="22"/>
      <c r="AH13" s="22"/>
      <c r="AI13" s="22"/>
      <c r="AJ13" s="9" t="n">
        <f aca="false">X13*$V13</f>
        <v>0</v>
      </c>
      <c r="AK13" s="9" t="n">
        <f aca="false">Y13*$V13</f>
        <v>0</v>
      </c>
      <c r="AL13" s="9" t="n">
        <f aca="false">Z13*$V13</f>
        <v>0</v>
      </c>
      <c r="AM13" s="9" t="n">
        <f aca="false">AA13*$V13</f>
        <v>0</v>
      </c>
      <c r="AN13" s="9" t="n">
        <f aca="false">AB13*$V13</f>
        <v>0</v>
      </c>
      <c r="AO13" s="9" t="n">
        <f aca="false">AC13*$V13</f>
        <v>0</v>
      </c>
      <c r="AP13" s="9" t="n">
        <f aca="false">AD13*$V13</f>
        <v>4000</v>
      </c>
      <c r="AQ13" s="9" t="n">
        <f aca="false">AE13*$V13</f>
        <v>0</v>
      </c>
      <c r="AR13" s="9" t="n">
        <f aca="false">AF13*$V13</f>
        <v>0</v>
      </c>
      <c r="AS13" s="9" t="n">
        <f aca="false">AG13*$V13</f>
        <v>0</v>
      </c>
      <c r="AT13" s="9" t="n">
        <f aca="false">AH13*$V13</f>
        <v>0</v>
      </c>
      <c r="AU13" s="9" t="n">
        <f aca="false">AI13*$V13</f>
        <v>0</v>
      </c>
      <c r="AV13" s="9" t="n">
        <f aca="false">SUM(X13:AI13)/1000</f>
        <v>0.5</v>
      </c>
      <c r="AW13" s="9" t="n">
        <f aca="false">SUM(AJ13:AU13)</f>
        <v>4000</v>
      </c>
      <c r="AX13" s="9" t="n">
        <f aca="false">IF(D13="INR",AW13/88.24,AW13)/1000000</f>
        <v>0.004</v>
      </c>
    </row>
    <row r="14" s="2" customFormat="true" ht="14.25" hidden="false" customHeight="false" outlineLevel="0" collapsed="false">
      <c r="A14" s="12"/>
      <c r="B14" s="16" t="n">
        <v>1</v>
      </c>
      <c r="C14" s="15"/>
      <c r="D14" s="16" t="s">
        <v>102</v>
      </c>
      <c r="E14" s="16" t="s">
        <v>51</v>
      </c>
      <c r="F14" s="16" t="s">
        <v>52</v>
      </c>
      <c r="G14" s="16" t="s">
        <v>103</v>
      </c>
      <c r="H14" s="16" t="s">
        <v>104</v>
      </c>
      <c r="I14" s="16" t="s">
        <v>105</v>
      </c>
      <c r="J14" s="16" t="s">
        <v>106</v>
      </c>
      <c r="K14" s="16" t="s">
        <v>104</v>
      </c>
      <c r="L14" s="16" t="s">
        <v>105</v>
      </c>
      <c r="M14" s="16" t="s">
        <v>106</v>
      </c>
      <c r="N14" s="16" t="s">
        <v>57</v>
      </c>
      <c r="O14" s="16" t="s">
        <v>107</v>
      </c>
      <c r="P14" s="16" t="s">
        <v>117</v>
      </c>
      <c r="Q14" s="16" t="s">
        <v>117</v>
      </c>
      <c r="R14" s="16"/>
      <c r="S14" s="16"/>
      <c r="T14" s="16" t="s">
        <v>118</v>
      </c>
      <c r="U14" s="16" t="s">
        <v>63</v>
      </c>
      <c r="V14" s="16" t="n">
        <v>7.4</v>
      </c>
      <c r="W14" s="16"/>
      <c r="X14" s="22"/>
      <c r="Y14" s="16"/>
      <c r="Z14" s="16"/>
      <c r="AA14" s="16"/>
      <c r="AB14" s="16"/>
      <c r="AC14" s="16"/>
      <c r="AD14" s="16" t="n">
        <v>500</v>
      </c>
      <c r="AE14" s="16"/>
      <c r="AF14" s="16"/>
      <c r="AG14" s="16"/>
      <c r="AH14" s="16"/>
      <c r="AI14" s="16"/>
      <c r="AJ14" s="9" t="n">
        <f aca="false">X14*$V14</f>
        <v>0</v>
      </c>
      <c r="AK14" s="9" t="n">
        <f aca="false">Y14*$V14</f>
        <v>0</v>
      </c>
      <c r="AL14" s="9" t="n">
        <f aca="false">Z14*$V14</f>
        <v>0</v>
      </c>
      <c r="AM14" s="9" t="n">
        <f aca="false">AA14*$V14</f>
        <v>0</v>
      </c>
      <c r="AN14" s="9" t="n">
        <f aca="false">AB14*$V14</f>
        <v>0</v>
      </c>
      <c r="AO14" s="9" t="n">
        <f aca="false">AC14*$V14</f>
        <v>0</v>
      </c>
      <c r="AP14" s="9" t="n">
        <f aca="false">AD14*$V14</f>
        <v>3700</v>
      </c>
      <c r="AQ14" s="9" t="n">
        <f aca="false">AE14*$V14</f>
        <v>0</v>
      </c>
      <c r="AR14" s="9" t="n">
        <f aca="false">AF14*$V14</f>
        <v>0</v>
      </c>
      <c r="AS14" s="9" t="n">
        <f aca="false">AG14*$V14</f>
        <v>0</v>
      </c>
      <c r="AT14" s="9" t="n">
        <f aca="false">AH14*$V14</f>
        <v>0</v>
      </c>
      <c r="AU14" s="9" t="n">
        <f aca="false">AI14*$V14</f>
        <v>0</v>
      </c>
      <c r="AV14" s="9" t="n">
        <f aca="false">SUM(X14:AI14)/1000</f>
        <v>0.5</v>
      </c>
      <c r="AW14" s="9" t="n">
        <f aca="false">SUM(AJ14:AU14)</f>
        <v>3700</v>
      </c>
      <c r="AX14" s="9" t="n">
        <f aca="false">IF(D14="INR",AW14/88.24,AW14)/1000000</f>
        <v>0.0037</v>
      </c>
    </row>
    <row r="15" s="2" customFormat="true" ht="14.25" hidden="false" customHeight="false" outlineLevel="0" collapsed="false">
      <c r="A15" s="12"/>
      <c r="B15" s="16" t="n">
        <v>1</v>
      </c>
      <c r="C15" s="15"/>
      <c r="D15" s="16" t="s">
        <v>102</v>
      </c>
      <c r="E15" s="16" t="s">
        <v>51</v>
      </c>
      <c r="F15" s="16" t="s">
        <v>52</v>
      </c>
      <c r="G15" s="16" t="s">
        <v>103</v>
      </c>
      <c r="H15" s="16" t="s">
        <v>104</v>
      </c>
      <c r="I15" s="16" t="s">
        <v>105</v>
      </c>
      <c r="J15" s="16" t="s">
        <v>106</v>
      </c>
      <c r="K15" s="16" t="s">
        <v>104</v>
      </c>
      <c r="L15" s="16" t="s">
        <v>105</v>
      </c>
      <c r="M15" s="16" t="s">
        <v>106</v>
      </c>
      <c r="N15" s="16" t="s">
        <v>57</v>
      </c>
      <c r="O15" s="16" t="s">
        <v>107</v>
      </c>
      <c r="P15" s="16" t="s">
        <v>119</v>
      </c>
      <c r="Q15" s="16" t="s">
        <v>119</v>
      </c>
      <c r="R15" s="16"/>
      <c r="S15" s="16"/>
      <c r="T15" s="9" t="s">
        <v>120</v>
      </c>
      <c r="U15" s="9" t="s">
        <v>63</v>
      </c>
      <c r="V15" s="9" t="n">
        <v>5.85</v>
      </c>
      <c r="W15" s="16"/>
      <c r="X15" s="22"/>
      <c r="Y15" s="16"/>
      <c r="Z15" s="16"/>
      <c r="AA15" s="16"/>
      <c r="AB15" s="16"/>
      <c r="AC15" s="16"/>
      <c r="AD15" s="16" t="n">
        <v>500</v>
      </c>
      <c r="AE15" s="16"/>
      <c r="AF15" s="16"/>
      <c r="AG15" s="16"/>
      <c r="AH15" s="16"/>
      <c r="AI15" s="16"/>
      <c r="AJ15" s="9" t="n">
        <f aca="false">X15*$V15</f>
        <v>0</v>
      </c>
      <c r="AK15" s="9" t="n">
        <f aca="false">Y15*$V15</f>
        <v>0</v>
      </c>
      <c r="AL15" s="9" t="n">
        <f aca="false">Z15*$V15</f>
        <v>0</v>
      </c>
      <c r="AM15" s="9" t="n">
        <f aca="false">AA15*$V15</f>
        <v>0</v>
      </c>
      <c r="AN15" s="9" t="n">
        <f aca="false">AB15*$V15</f>
        <v>0</v>
      </c>
      <c r="AO15" s="9" t="n">
        <f aca="false">AC15*$V15</f>
        <v>0</v>
      </c>
      <c r="AP15" s="9" t="n">
        <f aca="false">AD15*$V15</f>
        <v>2925</v>
      </c>
      <c r="AQ15" s="9" t="n">
        <f aca="false">AE15*$V15</f>
        <v>0</v>
      </c>
      <c r="AR15" s="9" t="n">
        <f aca="false">AF15*$V15</f>
        <v>0</v>
      </c>
      <c r="AS15" s="9" t="n">
        <f aca="false">AG15*$V15</f>
        <v>0</v>
      </c>
      <c r="AT15" s="9" t="n">
        <f aca="false">AH15*$V15</f>
        <v>0</v>
      </c>
      <c r="AU15" s="9" t="n">
        <f aca="false">AI15*$V15</f>
        <v>0</v>
      </c>
      <c r="AV15" s="9" t="n">
        <f aca="false">SUM(X15:AI15)/1000</f>
        <v>0.5</v>
      </c>
      <c r="AW15" s="9" t="n">
        <f aca="false">SUM(AJ15:AU15)</f>
        <v>2925</v>
      </c>
      <c r="AX15" s="9" t="n">
        <f aca="false">IF(D15="INR",AW15/88.24,AW15)/1000000</f>
        <v>0.002925</v>
      </c>
    </row>
    <row r="16" s="2" customFormat="true" ht="14.25" hidden="false" customHeight="false" outlineLevel="0" collapsed="false">
      <c r="A16" s="9"/>
      <c r="B16" s="9" t="n">
        <v>1</v>
      </c>
      <c r="C16" s="10"/>
      <c r="D16" s="9" t="s">
        <v>102</v>
      </c>
      <c r="E16" s="9" t="s">
        <v>51</v>
      </c>
      <c r="F16" s="9" t="s">
        <v>52</v>
      </c>
      <c r="G16" s="9" t="s">
        <v>103</v>
      </c>
      <c r="H16" s="9" t="s">
        <v>104</v>
      </c>
      <c r="I16" s="9" t="s">
        <v>105</v>
      </c>
      <c r="J16" s="9" t="s">
        <v>106</v>
      </c>
      <c r="K16" s="9" t="s">
        <v>104</v>
      </c>
      <c r="L16" s="9" t="s">
        <v>105</v>
      </c>
      <c r="M16" s="9" t="s">
        <v>106</v>
      </c>
      <c r="N16" s="9" t="s">
        <v>57</v>
      </c>
      <c r="O16" s="9" t="s">
        <v>107</v>
      </c>
      <c r="P16" s="9" t="s">
        <v>110</v>
      </c>
      <c r="Q16" s="9" t="s">
        <v>110</v>
      </c>
      <c r="R16" s="9"/>
      <c r="S16" s="9"/>
      <c r="T16" s="9" t="s">
        <v>121</v>
      </c>
      <c r="U16" s="9" t="s">
        <v>63</v>
      </c>
      <c r="V16" s="9" t="n">
        <v>5.07</v>
      </c>
      <c r="W16" s="9"/>
      <c r="X16" s="9"/>
      <c r="Y16" s="9"/>
      <c r="Z16" s="9"/>
      <c r="AA16" s="9"/>
      <c r="AB16" s="9"/>
      <c r="AC16" s="9"/>
      <c r="AD16" s="9" t="n">
        <v>500</v>
      </c>
      <c r="AE16" s="9"/>
      <c r="AF16" s="9"/>
      <c r="AG16" s="9"/>
      <c r="AH16" s="9"/>
      <c r="AI16" s="9"/>
      <c r="AJ16" s="9" t="n">
        <f aca="false">X16*$V16</f>
        <v>0</v>
      </c>
      <c r="AK16" s="9" t="n">
        <f aca="false">Y16*$V16</f>
        <v>0</v>
      </c>
      <c r="AL16" s="9" t="n">
        <f aca="false">Z16*$V16</f>
        <v>0</v>
      </c>
      <c r="AM16" s="9" t="n">
        <f aca="false">AA16*$V16</f>
        <v>0</v>
      </c>
      <c r="AN16" s="9" t="n">
        <f aca="false">AB16*$V16</f>
        <v>0</v>
      </c>
      <c r="AO16" s="9" t="n">
        <f aca="false">AC16*$V16</f>
        <v>0</v>
      </c>
      <c r="AP16" s="9" t="n">
        <f aca="false">AD16*$V16</f>
        <v>2535</v>
      </c>
      <c r="AQ16" s="9" t="n">
        <f aca="false">AE16*$V16</f>
        <v>0</v>
      </c>
      <c r="AR16" s="9" t="n">
        <f aca="false">AF16*$V16</f>
        <v>0</v>
      </c>
      <c r="AS16" s="9" t="n">
        <f aca="false">AG16*$V16</f>
        <v>0</v>
      </c>
      <c r="AT16" s="9" t="n">
        <f aca="false">AH16*$V16</f>
        <v>0</v>
      </c>
      <c r="AU16" s="9" t="n">
        <f aca="false">AI16*$V16</f>
        <v>0</v>
      </c>
      <c r="AV16" s="9" t="n">
        <f aca="false">SUM(X16:AI16)/1000</f>
        <v>0.5</v>
      </c>
      <c r="AW16" s="9" t="n">
        <f aca="false">SUM(AJ16:AU16)</f>
        <v>2535</v>
      </c>
      <c r="AX16" s="9" t="n">
        <f aca="false">IF(D16="INR",AW16/88.24,AW16)/1000000</f>
        <v>0.002535</v>
      </c>
    </row>
    <row r="17" s="2" customFormat="true" ht="14.25" hidden="false" customHeight="false" outlineLevel="0" collapsed="false">
      <c r="A17" s="12"/>
      <c r="B17" s="16" t="n">
        <v>1</v>
      </c>
      <c r="C17" s="15"/>
      <c r="D17" s="16" t="s">
        <v>102</v>
      </c>
      <c r="E17" s="16" t="s">
        <v>51</v>
      </c>
      <c r="F17" s="16" t="s">
        <v>52</v>
      </c>
      <c r="G17" s="16" t="s">
        <v>103</v>
      </c>
      <c r="H17" s="16" t="s">
        <v>104</v>
      </c>
      <c r="I17" s="16" t="s">
        <v>105</v>
      </c>
      <c r="J17" s="16" t="s">
        <v>106</v>
      </c>
      <c r="K17" s="16" t="s">
        <v>104</v>
      </c>
      <c r="L17" s="16" t="s">
        <v>105</v>
      </c>
      <c r="M17" s="16" t="s">
        <v>106</v>
      </c>
      <c r="N17" s="16" t="s">
        <v>57</v>
      </c>
      <c r="O17" s="16" t="s">
        <v>107</v>
      </c>
      <c r="P17" s="16" t="s">
        <v>119</v>
      </c>
      <c r="Q17" s="16" t="s">
        <v>119</v>
      </c>
      <c r="R17" s="16"/>
      <c r="S17" s="16"/>
      <c r="T17" s="16" t="s">
        <v>122</v>
      </c>
      <c r="U17" s="16" t="s">
        <v>63</v>
      </c>
      <c r="V17" s="16" t="n">
        <v>4.85</v>
      </c>
      <c r="W17" s="16"/>
      <c r="X17" s="16"/>
      <c r="Y17" s="16"/>
      <c r="Z17" s="16"/>
      <c r="AA17" s="16"/>
      <c r="AB17" s="16"/>
      <c r="AC17" s="16"/>
      <c r="AD17" s="16" t="n">
        <v>500</v>
      </c>
      <c r="AE17" s="16"/>
      <c r="AF17" s="16"/>
      <c r="AG17" s="16"/>
      <c r="AH17" s="16"/>
      <c r="AI17" s="16"/>
      <c r="AJ17" s="9" t="n">
        <f aca="false">X17*$V17</f>
        <v>0</v>
      </c>
      <c r="AK17" s="9" t="n">
        <f aca="false">Y17*$V17</f>
        <v>0</v>
      </c>
      <c r="AL17" s="9" t="n">
        <f aca="false">Z17*$V17</f>
        <v>0</v>
      </c>
      <c r="AM17" s="9" t="n">
        <f aca="false">AA17*$V17</f>
        <v>0</v>
      </c>
      <c r="AN17" s="9" t="n">
        <f aca="false">AB17*$V17</f>
        <v>0</v>
      </c>
      <c r="AO17" s="9" t="n">
        <f aca="false">AC17*$V17</f>
        <v>0</v>
      </c>
      <c r="AP17" s="9" t="n">
        <f aca="false">AD17*$V17</f>
        <v>2425</v>
      </c>
      <c r="AQ17" s="9" t="n">
        <f aca="false">AE17*$V17</f>
        <v>0</v>
      </c>
      <c r="AR17" s="9" t="n">
        <f aca="false">AF17*$V17</f>
        <v>0</v>
      </c>
      <c r="AS17" s="9" t="n">
        <f aca="false">AG17*$V17</f>
        <v>0</v>
      </c>
      <c r="AT17" s="9" t="n">
        <f aca="false">AH17*$V17</f>
        <v>0</v>
      </c>
      <c r="AU17" s="9" t="n">
        <f aca="false">AI17*$V17</f>
        <v>0</v>
      </c>
      <c r="AV17" s="9" t="n">
        <f aca="false">SUM(X17:AI17)/1000</f>
        <v>0.5</v>
      </c>
      <c r="AW17" s="9" t="n">
        <f aca="false">SUM(AJ17:AU17)</f>
        <v>2425</v>
      </c>
      <c r="AX17" s="9" t="n">
        <f aca="false">IF(D17="INR",AW17/88.24,AW17)/1000000</f>
        <v>0.002425</v>
      </c>
    </row>
    <row r="18" s="2" customFormat="true" ht="14.25" hidden="false" customHeight="false" outlineLevel="0" collapsed="false">
      <c r="A18" s="12"/>
      <c r="B18" s="16" t="n">
        <v>1</v>
      </c>
      <c r="C18" s="15"/>
      <c r="D18" s="16" t="s">
        <v>102</v>
      </c>
      <c r="E18" s="16" t="s">
        <v>51</v>
      </c>
      <c r="F18" s="16" t="s">
        <v>52</v>
      </c>
      <c r="G18" s="16" t="s">
        <v>103</v>
      </c>
      <c r="H18" s="16" t="s">
        <v>104</v>
      </c>
      <c r="I18" s="16" t="s">
        <v>105</v>
      </c>
      <c r="J18" s="16" t="s">
        <v>106</v>
      </c>
      <c r="K18" s="16" t="s">
        <v>104</v>
      </c>
      <c r="L18" s="16" t="s">
        <v>105</v>
      </c>
      <c r="M18" s="16" t="s">
        <v>106</v>
      </c>
      <c r="N18" s="16" t="s">
        <v>57</v>
      </c>
      <c r="O18" s="16" t="s">
        <v>107</v>
      </c>
      <c r="P18" s="16" t="s">
        <v>110</v>
      </c>
      <c r="Q18" s="16" t="s">
        <v>110</v>
      </c>
      <c r="R18" s="16"/>
      <c r="S18" s="16"/>
      <c r="T18" s="16" t="s">
        <v>123</v>
      </c>
      <c r="U18" s="16" t="s">
        <v>63</v>
      </c>
      <c r="V18" s="16" t="n">
        <v>4.57</v>
      </c>
      <c r="W18" s="16"/>
      <c r="X18" s="16"/>
      <c r="Y18" s="26"/>
      <c r="Z18" s="16"/>
      <c r="AA18" s="16"/>
      <c r="AB18" s="16"/>
      <c r="AC18" s="26"/>
      <c r="AD18" s="16" t="n">
        <v>500</v>
      </c>
      <c r="AE18" s="16"/>
      <c r="AF18" s="16"/>
      <c r="AG18" s="16"/>
      <c r="AH18" s="16"/>
      <c r="AI18" s="16"/>
      <c r="AJ18" s="9" t="n">
        <f aca="false">X18*$V18</f>
        <v>0</v>
      </c>
      <c r="AK18" s="9" t="n">
        <f aca="false">Y18*$V18</f>
        <v>0</v>
      </c>
      <c r="AL18" s="9" t="n">
        <f aca="false">Z18*$V18</f>
        <v>0</v>
      </c>
      <c r="AM18" s="9" t="n">
        <f aca="false">AA18*$V18</f>
        <v>0</v>
      </c>
      <c r="AN18" s="9" t="n">
        <f aca="false">AB18*$V18</f>
        <v>0</v>
      </c>
      <c r="AO18" s="9" t="n">
        <f aca="false">AC18*$V18</f>
        <v>0</v>
      </c>
      <c r="AP18" s="9" t="n">
        <f aca="false">AD18*$V18</f>
        <v>2285</v>
      </c>
      <c r="AQ18" s="9" t="n">
        <f aca="false">AE18*$V18</f>
        <v>0</v>
      </c>
      <c r="AR18" s="9" t="n">
        <f aca="false">AF18*$V18</f>
        <v>0</v>
      </c>
      <c r="AS18" s="9" t="n">
        <f aca="false">AG18*$V18</f>
        <v>0</v>
      </c>
      <c r="AT18" s="9" t="n">
        <f aca="false">AH18*$V18</f>
        <v>0</v>
      </c>
      <c r="AU18" s="9" t="n">
        <f aca="false">AI18*$V18</f>
        <v>0</v>
      </c>
      <c r="AV18" s="9" t="n">
        <f aca="false">SUM(X18:AI18)/1000</f>
        <v>0.5</v>
      </c>
      <c r="AW18" s="9" t="n">
        <f aca="false">SUM(AJ18:AU18)</f>
        <v>2285</v>
      </c>
      <c r="AX18" s="9" t="n">
        <f aca="false">IF(D18="INR",AW18/88.24,AW18)/1000000</f>
        <v>0.002285</v>
      </c>
    </row>
    <row r="19" s="2" customFormat="true" ht="14.25" hidden="false" customHeight="false" outlineLevel="0" collapsed="false">
      <c r="A19" s="12"/>
      <c r="B19" s="16" t="n">
        <v>1</v>
      </c>
      <c r="C19" s="15"/>
      <c r="D19" s="16" t="s">
        <v>102</v>
      </c>
      <c r="E19" s="16" t="s">
        <v>51</v>
      </c>
      <c r="F19" s="16" t="s">
        <v>52</v>
      </c>
      <c r="G19" s="16" t="s">
        <v>103</v>
      </c>
      <c r="H19" s="16" t="s">
        <v>104</v>
      </c>
      <c r="I19" s="16" t="s">
        <v>105</v>
      </c>
      <c r="J19" s="16" t="s">
        <v>106</v>
      </c>
      <c r="K19" s="16" t="s">
        <v>104</v>
      </c>
      <c r="L19" s="16" t="s">
        <v>105</v>
      </c>
      <c r="M19" s="16" t="s">
        <v>106</v>
      </c>
      <c r="N19" s="16" t="s">
        <v>57</v>
      </c>
      <c r="O19" s="16" t="s">
        <v>107</v>
      </c>
      <c r="P19" s="16" t="s">
        <v>124</v>
      </c>
      <c r="Q19" s="16" t="s">
        <v>124</v>
      </c>
      <c r="R19" s="16"/>
      <c r="S19" s="16"/>
      <c r="T19" s="16" t="s">
        <v>125</v>
      </c>
      <c r="U19" s="16" t="s">
        <v>63</v>
      </c>
      <c r="V19" s="16" t="n">
        <v>3.67</v>
      </c>
      <c r="W19" s="16"/>
      <c r="X19" s="16"/>
      <c r="Y19" s="16"/>
      <c r="Z19" s="16"/>
      <c r="AA19" s="16"/>
      <c r="AB19" s="16"/>
      <c r="AC19" s="16"/>
      <c r="AD19" s="16" t="n">
        <v>500</v>
      </c>
      <c r="AE19" s="16"/>
      <c r="AF19" s="16"/>
      <c r="AG19" s="16"/>
      <c r="AH19" s="16"/>
      <c r="AI19" s="16"/>
      <c r="AJ19" s="9" t="n">
        <f aca="false">X19*$V19</f>
        <v>0</v>
      </c>
      <c r="AK19" s="9" t="n">
        <f aca="false">Y19*$V19</f>
        <v>0</v>
      </c>
      <c r="AL19" s="9" t="n">
        <f aca="false">Z19*$V19</f>
        <v>0</v>
      </c>
      <c r="AM19" s="9" t="n">
        <f aca="false">AA19*$V19</f>
        <v>0</v>
      </c>
      <c r="AN19" s="9" t="n">
        <f aca="false">AB19*$V19</f>
        <v>0</v>
      </c>
      <c r="AO19" s="9" t="n">
        <f aca="false">AC19*$V19</f>
        <v>0</v>
      </c>
      <c r="AP19" s="9" t="n">
        <f aca="false">AD19*$V19</f>
        <v>1835</v>
      </c>
      <c r="AQ19" s="9" t="n">
        <f aca="false">AE19*$V19</f>
        <v>0</v>
      </c>
      <c r="AR19" s="9" t="n">
        <f aca="false">AF19*$V19</f>
        <v>0</v>
      </c>
      <c r="AS19" s="9" t="n">
        <f aca="false">AG19*$V19</f>
        <v>0</v>
      </c>
      <c r="AT19" s="9" t="n">
        <f aca="false">AH19*$V19</f>
        <v>0</v>
      </c>
      <c r="AU19" s="9" t="n">
        <f aca="false">AI19*$V19</f>
        <v>0</v>
      </c>
      <c r="AV19" s="9" t="n">
        <f aca="false">SUM(X19:AI19)/1000</f>
        <v>0.5</v>
      </c>
      <c r="AW19" s="9" t="n">
        <f aca="false">SUM(AJ19:AU19)</f>
        <v>1835</v>
      </c>
      <c r="AX19" s="9" t="n">
        <f aca="false">IF(D19="INR",AW19/88.24,AW19)/1000000</f>
        <v>0.001835</v>
      </c>
      <c r="AY19" s="27"/>
    </row>
    <row r="20" s="2" customFormat="true" ht="14.25" hidden="false" customHeight="false" outlineLevel="0" collapsed="false">
      <c r="A20" s="12"/>
      <c r="B20" s="16" t="n">
        <v>1</v>
      </c>
      <c r="C20" s="15"/>
      <c r="D20" s="16" t="s">
        <v>102</v>
      </c>
      <c r="E20" s="16" t="s">
        <v>51</v>
      </c>
      <c r="F20" s="16" t="s">
        <v>52</v>
      </c>
      <c r="G20" s="16" t="s">
        <v>103</v>
      </c>
      <c r="H20" s="16" t="s">
        <v>104</v>
      </c>
      <c r="I20" s="16" t="s">
        <v>105</v>
      </c>
      <c r="J20" s="16" t="s">
        <v>106</v>
      </c>
      <c r="K20" s="16" t="s">
        <v>104</v>
      </c>
      <c r="L20" s="16" t="s">
        <v>105</v>
      </c>
      <c r="M20" s="16" t="s">
        <v>106</v>
      </c>
      <c r="N20" s="16" t="s">
        <v>57</v>
      </c>
      <c r="O20" s="16" t="s">
        <v>107</v>
      </c>
      <c r="P20" s="16" t="s">
        <v>126</v>
      </c>
      <c r="Q20" s="16" t="s">
        <v>126</v>
      </c>
      <c r="R20" s="16"/>
      <c r="S20" s="16"/>
      <c r="T20" s="16" t="s">
        <v>127</v>
      </c>
      <c r="U20" s="16" t="s">
        <v>63</v>
      </c>
      <c r="V20" s="16" t="n">
        <v>3.6</v>
      </c>
      <c r="W20" s="16"/>
      <c r="X20" s="16"/>
      <c r="Y20" s="16"/>
      <c r="Z20" s="16"/>
      <c r="AA20" s="16"/>
      <c r="AB20" s="16"/>
      <c r="AC20" s="16"/>
      <c r="AD20" s="16" t="n">
        <v>500</v>
      </c>
      <c r="AE20" s="16"/>
      <c r="AF20" s="16"/>
      <c r="AG20" s="16"/>
      <c r="AH20" s="16"/>
      <c r="AI20" s="16"/>
      <c r="AJ20" s="9" t="n">
        <f aca="false">X20*$V20</f>
        <v>0</v>
      </c>
      <c r="AK20" s="9" t="n">
        <f aca="false">Y20*$V20</f>
        <v>0</v>
      </c>
      <c r="AL20" s="9" t="n">
        <f aca="false">Z20*$V20</f>
        <v>0</v>
      </c>
      <c r="AM20" s="9" t="n">
        <f aca="false">AA20*$V20</f>
        <v>0</v>
      </c>
      <c r="AN20" s="9" t="n">
        <f aca="false">AB20*$V20</f>
        <v>0</v>
      </c>
      <c r="AO20" s="9" t="n">
        <f aca="false">AC20*$V20</f>
        <v>0</v>
      </c>
      <c r="AP20" s="9" t="n">
        <f aca="false">AD20*$V20</f>
        <v>1800</v>
      </c>
      <c r="AQ20" s="9" t="n">
        <f aca="false">AE20*$V20</f>
        <v>0</v>
      </c>
      <c r="AR20" s="9" t="n">
        <f aca="false">AF20*$V20</f>
        <v>0</v>
      </c>
      <c r="AS20" s="9" t="n">
        <f aca="false">AG20*$V20</f>
        <v>0</v>
      </c>
      <c r="AT20" s="9" t="n">
        <f aca="false">AH20*$V20</f>
        <v>0</v>
      </c>
      <c r="AU20" s="9" t="n">
        <f aca="false">AI20*$V20</f>
        <v>0</v>
      </c>
      <c r="AV20" s="9" t="n">
        <f aca="false">SUM(X20:AI20)/1000</f>
        <v>0.5</v>
      </c>
      <c r="AW20" s="9" t="n">
        <f aca="false">SUM(AJ20:AU20)</f>
        <v>1800</v>
      </c>
      <c r="AX20" s="9" t="n">
        <f aca="false">IF(D20="INR",AW20/88.24,AW20)/1000000</f>
        <v>0.0018</v>
      </c>
      <c r="AY20" s="27"/>
    </row>
    <row r="21" s="2" customFormat="true" ht="14.25" hidden="false" customHeight="false" outlineLevel="0" collapsed="false">
      <c r="A21" s="28"/>
      <c r="B21" s="16" t="n">
        <v>1</v>
      </c>
      <c r="C21" s="16"/>
      <c r="D21" s="16" t="s">
        <v>102</v>
      </c>
      <c r="E21" s="16" t="s">
        <v>51</v>
      </c>
      <c r="F21" s="16" t="s">
        <v>52</v>
      </c>
      <c r="G21" s="16" t="s">
        <v>103</v>
      </c>
      <c r="H21" s="16" t="s">
        <v>104</v>
      </c>
      <c r="I21" s="16" t="s">
        <v>105</v>
      </c>
      <c r="J21" s="16" t="s">
        <v>106</v>
      </c>
      <c r="K21" s="16" t="s">
        <v>104</v>
      </c>
      <c r="L21" s="16" t="s">
        <v>105</v>
      </c>
      <c r="M21" s="16" t="s">
        <v>106</v>
      </c>
      <c r="N21" s="16" t="s">
        <v>57</v>
      </c>
      <c r="O21" s="16" t="s">
        <v>107</v>
      </c>
      <c r="P21" s="16" t="s">
        <v>128</v>
      </c>
      <c r="Q21" s="16" t="s">
        <v>128</v>
      </c>
      <c r="R21" s="16"/>
      <c r="S21" s="16"/>
      <c r="T21" s="16" t="s">
        <v>129</v>
      </c>
      <c r="U21" s="16" t="s">
        <v>63</v>
      </c>
      <c r="V21" s="16" t="n">
        <v>2.68</v>
      </c>
      <c r="W21" s="26"/>
      <c r="X21" s="26"/>
      <c r="Y21" s="16"/>
      <c r="Z21" s="16"/>
      <c r="AA21" s="16"/>
      <c r="AB21" s="16"/>
      <c r="AC21" s="16"/>
      <c r="AD21" s="16" t="n">
        <v>500</v>
      </c>
      <c r="AE21" s="16"/>
      <c r="AF21" s="16"/>
      <c r="AG21" s="16"/>
      <c r="AH21" s="16"/>
      <c r="AI21" s="16"/>
      <c r="AJ21" s="9" t="n">
        <f aca="false">X21*$V21</f>
        <v>0</v>
      </c>
      <c r="AK21" s="9" t="n">
        <f aca="false">Y21*$V21</f>
        <v>0</v>
      </c>
      <c r="AL21" s="9" t="n">
        <f aca="false">Z21*$V21</f>
        <v>0</v>
      </c>
      <c r="AM21" s="9" t="n">
        <f aca="false">AA21*$V21</f>
        <v>0</v>
      </c>
      <c r="AN21" s="9" t="n">
        <f aca="false">AB21*$V21</f>
        <v>0</v>
      </c>
      <c r="AO21" s="9" t="n">
        <f aca="false">AC21*$V21</f>
        <v>0</v>
      </c>
      <c r="AP21" s="9" t="n">
        <f aca="false">AD21*$V21</f>
        <v>1340</v>
      </c>
      <c r="AQ21" s="9" t="n">
        <f aca="false">AE21*$V21</f>
        <v>0</v>
      </c>
      <c r="AR21" s="9" t="n">
        <f aca="false">AF21*$V21</f>
        <v>0</v>
      </c>
      <c r="AS21" s="9" t="n">
        <f aca="false">AG21*$V21</f>
        <v>0</v>
      </c>
      <c r="AT21" s="9" t="n">
        <f aca="false">AH21*$V21</f>
        <v>0</v>
      </c>
      <c r="AU21" s="9" t="n">
        <f aca="false">AI21*$V21</f>
        <v>0</v>
      </c>
      <c r="AV21" s="9" t="n">
        <f aca="false">SUM(X21:AI21)/1000</f>
        <v>0.5</v>
      </c>
      <c r="AW21" s="9" t="n">
        <f aca="false">SUM(AJ21:AU21)</f>
        <v>1340</v>
      </c>
      <c r="AX21" s="9" t="n">
        <f aca="false">IF(D21="INR",AW21/88.24,AW21)/1000000</f>
        <v>0.00134</v>
      </c>
    </row>
    <row r="22" s="2" customFormat="true" ht="14.25" hidden="false" customHeight="false" outlineLevel="0" collapsed="false">
      <c r="A22" s="9"/>
      <c r="B22" s="9" t="n">
        <v>1</v>
      </c>
      <c r="C22" s="10"/>
      <c r="D22" s="9" t="s">
        <v>102</v>
      </c>
      <c r="E22" s="9" t="s">
        <v>51</v>
      </c>
      <c r="F22" s="9" t="s">
        <v>52</v>
      </c>
      <c r="G22" s="9" t="s">
        <v>103</v>
      </c>
      <c r="H22" s="9" t="s">
        <v>104</v>
      </c>
      <c r="I22" s="9" t="s">
        <v>105</v>
      </c>
      <c r="J22" s="9" t="s">
        <v>106</v>
      </c>
      <c r="K22" s="9" t="s">
        <v>104</v>
      </c>
      <c r="L22" s="9" t="s">
        <v>105</v>
      </c>
      <c r="M22" s="9" t="s">
        <v>106</v>
      </c>
      <c r="N22" s="9" t="s">
        <v>57</v>
      </c>
      <c r="O22" s="9" t="s">
        <v>107</v>
      </c>
      <c r="P22" s="9" t="s">
        <v>115</v>
      </c>
      <c r="Q22" s="9" t="s">
        <v>115</v>
      </c>
      <c r="R22" s="9"/>
      <c r="S22" s="9"/>
      <c r="T22" s="9" t="s">
        <v>130</v>
      </c>
      <c r="U22" s="9" t="s">
        <v>63</v>
      </c>
      <c r="V22" s="9" t="n">
        <v>2.2</v>
      </c>
      <c r="W22" s="9"/>
      <c r="X22" s="9"/>
      <c r="Y22" s="9"/>
      <c r="Z22" s="9"/>
      <c r="AA22" s="9"/>
      <c r="AB22" s="9"/>
      <c r="AC22" s="9"/>
      <c r="AD22" s="9" t="n">
        <v>500</v>
      </c>
      <c r="AE22" s="9"/>
      <c r="AF22" s="9"/>
      <c r="AG22" s="9"/>
      <c r="AH22" s="9"/>
      <c r="AI22" s="9"/>
      <c r="AJ22" s="9" t="n">
        <f aca="false">X22*$V22</f>
        <v>0</v>
      </c>
      <c r="AK22" s="9" t="n">
        <f aca="false">Y22*$V22</f>
        <v>0</v>
      </c>
      <c r="AL22" s="9" t="n">
        <f aca="false">Z22*$V22</f>
        <v>0</v>
      </c>
      <c r="AM22" s="9" t="n">
        <f aca="false">AA22*$V22</f>
        <v>0</v>
      </c>
      <c r="AN22" s="9" t="n">
        <f aca="false">AB22*$V22</f>
        <v>0</v>
      </c>
      <c r="AO22" s="9" t="n">
        <f aca="false">AC22*$V22</f>
        <v>0</v>
      </c>
      <c r="AP22" s="9" t="n">
        <f aca="false">AD22*$V22</f>
        <v>1100</v>
      </c>
      <c r="AQ22" s="9" t="n">
        <f aca="false">AE22*$V22</f>
        <v>0</v>
      </c>
      <c r="AR22" s="9" t="n">
        <f aca="false">AF22*$V22</f>
        <v>0</v>
      </c>
      <c r="AS22" s="9" t="n">
        <f aca="false">AG22*$V22</f>
        <v>0</v>
      </c>
      <c r="AT22" s="9" t="n">
        <f aca="false">AH22*$V22</f>
        <v>0</v>
      </c>
      <c r="AU22" s="9" t="n">
        <f aca="false">AI22*$V22</f>
        <v>0</v>
      </c>
      <c r="AV22" s="9" t="n">
        <f aca="false">SUM(X22:AI22)/1000</f>
        <v>0.5</v>
      </c>
      <c r="AW22" s="9" t="n">
        <f aca="false">SUM(AJ22:AU22)</f>
        <v>1100</v>
      </c>
      <c r="AX22" s="9" t="n">
        <f aca="false">IF(D22="INR",AW22/88.24,AW22)/1000000</f>
        <v>0.0011</v>
      </c>
    </row>
    <row r="23" s="2" customFormat="true" ht="14.25" hidden="false" customHeight="false" outlineLevel="0" collapsed="false">
      <c r="A23" s="9"/>
      <c r="B23" s="9" t="n">
        <v>1</v>
      </c>
      <c r="C23" s="10"/>
      <c r="D23" s="9" t="s">
        <v>102</v>
      </c>
      <c r="E23" s="9" t="s">
        <v>51</v>
      </c>
      <c r="F23" s="9" t="s">
        <v>52</v>
      </c>
      <c r="G23" s="9" t="s">
        <v>103</v>
      </c>
      <c r="H23" s="9" t="s">
        <v>104</v>
      </c>
      <c r="I23" s="9" t="s">
        <v>105</v>
      </c>
      <c r="J23" s="9" t="s">
        <v>106</v>
      </c>
      <c r="K23" s="9" t="s">
        <v>104</v>
      </c>
      <c r="L23" s="9" t="s">
        <v>105</v>
      </c>
      <c r="M23" s="9" t="s">
        <v>106</v>
      </c>
      <c r="N23" s="9" t="s">
        <v>57</v>
      </c>
      <c r="O23" s="9" t="s">
        <v>107</v>
      </c>
      <c r="P23" s="9" t="s">
        <v>117</v>
      </c>
      <c r="Q23" s="9" t="s">
        <v>117</v>
      </c>
      <c r="R23" s="9"/>
      <c r="S23" s="9"/>
      <c r="T23" s="9" t="s">
        <v>131</v>
      </c>
      <c r="U23" s="9" t="s">
        <v>63</v>
      </c>
      <c r="V23" s="9" t="n">
        <v>2.2</v>
      </c>
      <c r="W23" s="9"/>
      <c r="X23" s="9"/>
      <c r="Y23" s="9"/>
      <c r="Z23" s="9"/>
      <c r="AA23" s="9"/>
      <c r="AB23" s="9"/>
      <c r="AC23" s="9"/>
      <c r="AD23" s="9" t="n">
        <v>500</v>
      </c>
      <c r="AE23" s="9"/>
      <c r="AF23" s="9"/>
      <c r="AG23" s="9"/>
      <c r="AH23" s="9"/>
      <c r="AI23" s="9"/>
      <c r="AJ23" s="9" t="n">
        <f aca="false">X23*$V23</f>
        <v>0</v>
      </c>
      <c r="AK23" s="9" t="n">
        <f aca="false">Y23*$V23</f>
        <v>0</v>
      </c>
      <c r="AL23" s="9" t="n">
        <f aca="false">Z23*$V23</f>
        <v>0</v>
      </c>
      <c r="AM23" s="9" t="n">
        <f aca="false">AA23*$V23</f>
        <v>0</v>
      </c>
      <c r="AN23" s="9" t="n">
        <f aca="false">AB23*$V23</f>
        <v>0</v>
      </c>
      <c r="AO23" s="9" t="n">
        <f aca="false">AC23*$V23</f>
        <v>0</v>
      </c>
      <c r="AP23" s="9" t="n">
        <f aca="false">AD23*$V23</f>
        <v>1100</v>
      </c>
      <c r="AQ23" s="9" t="n">
        <f aca="false">AE23*$V23</f>
        <v>0</v>
      </c>
      <c r="AR23" s="9" t="n">
        <f aca="false">AF23*$V23</f>
        <v>0</v>
      </c>
      <c r="AS23" s="9" t="n">
        <f aca="false">AG23*$V23</f>
        <v>0</v>
      </c>
      <c r="AT23" s="9" t="n">
        <f aca="false">AH23*$V23</f>
        <v>0</v>
      </c>
      <c r="AU23" s="9" t="n">
        <f aca="false">AI23*$V23</f>
        <v>0</v>
      </c>
      <c r="AV23" s="9" t="n">
        <f aca="false">SUM(X23:AI23)/1000</f>
        <v>0.5</v>
      </c>
      <c r="AW23" s="9" t="n">
        <f aca="false">SUM(AJ23:AU23)</f>
        <v>1100</v>
      </c>
      <c r="AX23" s="9" t="n">
        <f aca="false">IF(D23="INR",AW23/88.24,AW23)/1000000</f>
        <v>0.0011</v>
      </c>
    </row>
    <row r="24" s="2" customFormat="true" ht="14.25" hidden="false" customHeight="false" outlineLevel="0" collapsed="false">
      <c r="A24" s="9"/>
      <c r="B24" s="9" t="n">
        <v>1</v>
      </c>
      <c r="C24" s="10"/>
      <c r="D24" s="9" t="s">
        <v>102</v>
      </c>
      <c r="E24" s="9" t="s">
        <v>51</v>
      </c>
      <c r="F24" s="9" t="s">
        <v>52</v>
      </c>
      <c r="G24" s="9" t="s">
        <v>103</v>
      </c>
      <c r="H24" s="9" t="s">
        <v>104</v>
      </c>
      <c r="I24" s="9" t="s">
        <v>105</v>
      </c>
      <c r="J24" s="9" t="s">
        <v>106</v>
      </c>
      <c r="K24" s="9" t="s">
        <v>104</v>
      </c>
      <c r="L24" s="9" t="s">
        <v>105</v>
      </c>
      <c r="M24" s="9" t="s">
        <v>106</v>
      </c>
      <c r="N24" s="9" t="s">
        <v>57</v>
      </c>
      <c r="O24" s="9" t="s">
        <v>107</v>
      </c>
      <c r="P24" s="9" t="s">
        <v>108</v>
      </c>
      <c r="Q24" s="9" t="s">
        <v>108</v>
      </c>
      <c r="R24" s="9"/>
      <c r="S24" s="9"/>
      <c r="T24" s="9" t="s">
        <v>132</v>
      </c>
      <c r="U24" s="9" t="s">
        <v>63</v>
      </c>
      <c r="V24" s="9" t="n">
        <v>2.2</v>
      </c>
      <c r="W24" s="9"/>
      <c r="X24" s="9"/>
      <c r="Y24" s="9"/>
      <c r="Z24" s="9"/>
      <c r="AA24" s="9"/>
      <c r="AB24" s="9"/>
      <c r="AC24" s="9"/>
      <c r="AD24" s="9" t="n">
        <v>500</v>
      </c>
      <c r="AE24" s="9"/>
      <c r="AF24" s="9"/>
      <c r="AG24" s="9"/>
      <c r="AH24" s="9"/>
      <c r="AI24" s="9"/>
      <c r="AJ24" s="9" t="n">
        <f aca="false">X24*$V24</f>
        <v>0</v>
      </c>
      <c r="AK24" s="9" t="n">
        <f aca="false">Y24*$V24</f>
        <v>0</v>
      </c>
      <c r="AL24" s="9" t="n">
        <f aca="false">Z24*$V24</f>
        <v>0</v>
      </c>
      <c r="AM24" s="9" t="n">
        <f aca="false">AA24*$V24</f>
        <v>0</v>
      </c>
      <c r="AN24" s="9" t="n">
        <f aca="false">AB24*$V24</f>
        <v>0</v>
      </c>
      <c r="AO24" s="9" t="n">
        <f aca="false">AC24*$V24</f>
        <v>0</v>
      </c>
      <c r="AP24" s="9" t="n">
        <f aca="false">AD24*$V24</f>
        <v>1100</v>
      </c>
      <c r="AQ24" s="9" t="n">
        <f aca="false">AE24*$V24</f>
        <v>0</v>
      </c>
      <c r="AR24" s="9" t="n">
        <f aca="false">AF24*$V24</f>
        <v>0</v>
      </c>
      <c r="AS24" s="9" t="n">
        <f aca="false">AG24*$V24</f>
        <v>0</v>
      </c>
      <c r="AT24" s="9" t="n">
        <f aca="false">AH24*$V24</f>
        <v>0</v>
      </c>
      <c r="AU24" s="9" t="n">
        <f aca="false">AI24*$V24</f>
        <v>0</v>
      </c>
      <c r="AV24" s="9" t="n">
        <f aca="false">SUM(X24:AI24)/1000</f>
        <v>0.5</v>
      </c>
      <c r="AW24" s="9" t="n">
        <f aca="false">SUM(AJ24:AU24)</f>
        <v>1100</v>
      </c>
      <c r="AX24" s="9" t="n">
        <f aca="false">IF(D24="INR",AW24/88.24,AW24)/1000000</f>
        <v>0.0011</v>
      </c>
    </row>
    <row r="25" s="2" customFormat="true" ht="14.25" hidden="false" customHeight="false" outlineLevel="0" collapsed="false">
      <c r="A25" s="9"/>
      <c r="B25" s="9" t="n">
        <v>1</v>
      </c>
      <c r="C25" s="10"/>
      <c r="D25" s="9" t="s">
        <v>102</v>
      </c>
      <c r="E25" s="9" t="s">
        <v>51</v>
      </c>
      <c r="F25" s="9" t="s">
        <v>52</v>
      </c>
      <c r="G25" s="9" t="s">
        <v>103</v>
      </c>
      <c r="H25" s="9" t="s">
        <v>104</v>
      </c>
      <c r="I25" s="9" t="s">
        <v>105</v>
      </c>
      <c r="J25" s="9" t="s">
        <v>106</v>
      </c>
      <c r="K25" s="9" t="s">
        <v>104</v>
      </c>
      <c r="L25" s="9" t="s">
        <v>105</v>
      </c>
      <c r="M25" s="9" t="s">
        <v>106</v>
      </c>
      <c r="N25" s="9" t="s">
        <v>57</v>
      </c>
      <c r="O25" s="9" t="s">
        <v>107</v>
      </c>
      <c r="P25" s="9" t="s">
        <v>110</v>
      </c>
      <c r="Q25" s="9" t="s">
        <v>110</v>
      </c>
      <c r="R25" s="9"/>
      <c r="S25" s="9"/>
      <c r="T25" s="9" t="s">
        <v>132</v>
      </c>
      <c r="U25" s="9" t="s">
        <v>63</v>
      </c>
      <c r="V25" s="9" t="n">
        <v>2.2</v>
      </c>
      <c r="W25" s="9"/>
      <c r="X25" s="9"/>
      <c r="Y25" s="9"/>
      <c r="Z25" s="9"/>
      <c r="AA25" s="9"/>
      <c r="AB25" s="9"/>
      <c r="AC25" s="9"/>
      <c r="AD25" s="9" t="n">
        <v>500</v>
      </c>
      <c r="AE25" s="9"/>
      <c r="AF25" s="9"/>
      <c r="AG25" s="9"/>
      <c r="AH25" s="9"/>
      <c r="AI25" s="9"/>
      <c r="AJ25" s="9" t="n">
        <f aca="false">X25*$V25</f>
        <v>0</v>
      </c>
      <c r="AK25" s="9" t="n">
        <f aca="false">Y25*$V25</f>
        <v>0</v>
      </c>
      <c r="AL25" s="9" t="n">
        <f aca="false">Z25*$V25</f>
        <v>0</v>
      </c>
      <c r="AM25" s="9" t="n">
        <f aca="false">AA25*$V25</f>
        <v>0</v>
      </c>
      <c r="AN25" s="9" t="n">
        <f aca="false">AB25*$V25</f>
        <v>0</v>
      </c>
      <c r="AO25" s="9" t="n">
        <f aca="false">AC25*$V25</f>
        <v>0</v>
      </c>
      <c r="AP25" s="9" t="n">
        <f aca="false">AD25*$V25</f>
        <v>1100</v>
      </c>
      <c r="AQ25" s="9" t="n">
        <f aca="false">AE25*$V25</f>
        <v>0</v>
      </c>
      <c r="AR25" s="9" t="n">
        <f aca="false">AF25*$V25</f>
        <v>0</v>
      </c>
      <c r="AS25" s="9" t="n">
        <f aca="false">AG25*$V25</f>
        <v>0</v>
      </c>
      <c r="AT25" s="9" t="n">
        <f aca="false">AH25*$V25</f>
        <v>0</v>
      </c>
      <c r="AU25" s="9" t="n">
        <f aca="false">AI25*$V25</f>
        <v>0</v>
      </c>
      <c r="AV25" s="9" t="n">
        <f aca="false">SUM(X25:AI25)/1000</f>
        <v>0.5</v>
      </c>
      <c r="AW25" s="9" t="n">
        <f aca="false">SUM(AJ25:AU25)</f>
        <v>1100</v>
      </c>
      <c r="AX25" s="9" t="n">
        <f aca="false">IF(D25="INR",AW25/88.24,AW25)/1000000</f>
        <v>0.0011</v>
      </c>
    </row>
    <row r="26" s="2" customFormat="true" ht="14.25" hidden="false" customHeight="false" outlineLevel="0" collapsed="false">
      <c r="A26" s="28"/>
      <c r="B26" s="16" t="n">
        <v>1</v>
      </c>
      <c r="C26" s="16"/>
      <c r="D26" s="16" t="s">
        <v>102</v>
      </c>
      <c r="E26" s="16" t="s">
        <v>51</v>
      </c>
      <c r="F26" s="16" t="s">
        <v>52</v>
      </c>
      <c r="G26" s="16" t="s">
        <v>103</v>
      </c>
      <c r="H26" s="16" t="s">
        <v>104</v>
      </c>
      <c r="I26" s="16" t="s">
        <v>105</v>
      </c>
      <c r="J26" s="16" t="s">
        <v>106</v>
      </c>
      <c r="K26" s="16" t="s">
        <v>104</v>
      </c>
      <c r="L26" s="16" t="s">
        <v>105</v>
      </c>
      <c r="M26" s="16" t="s">
        <v>106</v>
      </c>
      <c r="N26" s="16" t="s">
        <v>57</v>
      </c>
      <c r="O26" s="16" t="s">
        <v>107</v>
      </c>
      <c r="P26" s="16" t="s">
        <v>128</v>
      </c>
      <c r="Q26" s="16" t="s">
        <v>128</v>
      </c>
      <c r="R26" s="16"/>
      <c r="S26" s="16"/>
      <c r="T26" s="16" t="s">
        <v>133</v>
      </c>
      <c r="U26" s="16" t="s">
        <v>63</v>
      </c>
      <c r="V26" s="16" t="n">
        <v>2.12</v>
      </c>
      <c r="W26" s="16"/>
      <c r="X26" s="16"/>
      <c r="Y26" s="16"/>
      <c r="Z26" s="16"/>
      <c r="AA26" s="16"/>
      <c r="AB26" s="16"/>
      <c r="AC26" s="16"/>
      <c r="AD26" s="16" t="n">
        <v>500</v>
      </c>
      <c r="AE26" s="16"/>
      <c r="AF26" s="16"/>
      <c r="AG26" s="16"/>
      <c r="AH26" s="16"/>
      <c r="AI26" s="16"/>
      <c r="AJ26" s="9" t="n">
        <f aca="false">X26*$V26</f>
        <v>0</v>
      </c>
      <c r="AK26" s="9" t="n">
        <f aca="false">Y26*$V26</f>
        <v>0</v>
      </c>
      <c r="AL26" s="9" t="n">
        <f aca="false">Z26*$V26</f>
        <v>0</v>
      </c>
      <c r="AM26" s="9" t="n">
        <f aca="false">AA26*$V26</f>
        <v>0</v>
      </c>
      <c r="AN26" s="9" t="n">
        <f aca="false">AB26*$V26</f>
        <v>0</v>
      </c>
      <c r="AO26" s="9" t="n">
        <f aca="false">AC26*$V26</f>
        <v>0</v>
      </c>
      <c r="AP26" s="9" t="n">
        <f aca="false">AD26*$V26</f>
        <v>1060</v>
      </c>
      <c r="AQ26" s="9" t="n">
        <f aca="false">AE26*$V26</f>
        <v>0</v>
      </c>
      <c r="AR26" s="9" t="n">
        <f aca="false">AF26*$V26</f>
        <v>0</v>
      </c>
      <c r="AS26" s="9" t="n">
        <f aca="false">AG26*$V26</f>
        <v>0</v>
      </c>
      <c r="AT26" s="9" t="n">
        <f aca="false">AH26*$V26</f>
        <v>0</v>
      </c>
      <c r="AU26" s="9" t="n">
        <f aca="false">AI26*$V26</f>
        <v>0</v>
      </c>
      <c r="AV26" s="9" t="n">
        <f aca="false">SUM(X26:AI26)/1000</f>
        <v>0.5</v>
      </c>
      <c r="AW26" s="9" t="n">
        <f aca="false">SUM(AJ26:AU26)</f>
        <v>1060</v>
      </c>
      <c r="AX26" s="9" t="n">
        <f aca="false">IF(D26="INR",AW26/88.24,AW26)/1000000</f>
        <v>0.00106</v>
      </c>
    </row>
    <row r="27" s="2" customFormat="true" ht="14.25" hidden="false" customHeight="false" outlineLevel="0" collapsed="false">
      <c r="A27" s="12"/>
      <c r="B27" s="16" t="n">
        <v>1</v>
      </c>
      <c r="C27" s="15"/>
      <c r="D27" s="16" t="s">
        <v>102</v>
      </c>
      <c r="E27" s="16" t="s">
        <v>51</v>
      </c>
      <c r="F27" s="16" t="s">
        <v>52</v>
      </c>
      <c r="G27" s="16" t="s">
        <v>103</v>
      </c>
      <c r="H27" s="16" t="s">
        <v>104</v>
      </c>
      <c r="I27" s="16" t="s">
        <v>105</v>
      </c>
      <c r="J27" s="16" t="s">
        <v>106</v>
      </c>
      <c r="K27" s="16" t="s">
        <v>104</v>
      </c>
      <c r="L27" s="16" t="s">
        <v>105</v>
      </c>
      <c r="M27" s="16" t="s">
        <v>106</v>
      </c>
      <c r="N27" s="16" t="s">
        <v>57</v>
      </c>
      <c r="O27" s="16" t="s">
        <v>107</v>
      </c>
      <c r="P27" s="16" t="s">
        <v>134</v>
      </c>
      <c r="Q27" s="16" t="s">
        <v>134</v>
      </c>
      <c r="R27" s="16"/>
      <c r="S27" s="16"/>
      <c r="T27" s="16" t="s">
        <v>135</v>
      </c>
      <c r="U27" s="16" t="s">
        <v>63</v>
      </c>
      <c r="V27" s="16" t="n">
        <v>2.09461</v>
      </c>
      <c r="W27" s="16"/>
      <c r="X27" s="16"/>
      <c r="Y27" s="16"/>
      <c r="Z27" s="16"/>
      <c r="AA27" s="16"/>
      <c r="AB27" s="16"/>
      <c r="AC27" s="16"/>
      <c r="AD27" s="16" t="n">
        <v>500</v>
      </c>
      <c r="AE27" s="16"/>
      <c r="AF27" s="16"/>
      <c r="AG27" s="16"/>
      <c r="AH27" s="16"/>
      <c r="AI27" s="16"/>
      <c r="AJ27" s="9" t="n">
        <f aca="false">X27*$V27</f>
        <v>0</v>
      </c>
      <c r="AK27" s="9" t="n">
        <f aca="false">Y27*$V27</f>
        <v>0</v>
      </c>
      <c r="AL27" s="9" t="n">
        <f aca="false">Z27*$V27</f>
        <v>0</v>
      </c>
      <c r="AM27" s="9" t="n">
        <f aca="false">AA27*$V27</f>
        <v>0</v>
      </c>
      <c r="AN27" s="9" t="n">
        <f aca="false">AB27*$V27</f>
        <v>0</v>
      </c>
      <c r="AO27" s="9" t="n">
        <f aca="false">AC27*$V27</f>
        <v>0</v>
      </c>
      <c r="AP27" s="9" t="n">
        <f aca="false">AD27*$V27</f>
        <v>1047.305</v>
      </c>
      <c r="AQ27" s="9" t="n">
        <f aca="false">AE27*$V27</f>
        <v>0</v>
      </c>
      <c r="AR27" s="9" t="n">
        <f aca="false">AF27*$V27</f>
        <v>0</v>
      </c>
      <c r="AS27" s="9" t="n">
        <f aca="false">AG27*$V27</f>
        <v>0</v>
      </c>
      <c r="AT27" s="9" t="n">
        <f aca="false">AH27*$V27</f>
        <v>0</v>
      </c>
      <c r="AU27" s="9" t="n">
        <f aca="false">AI27*$V27</f>
        <v>0</v>
      </c>
      <c r="AV27" s="9" t="n">
        <f aca="false">SUM(X27:AI27)/1000</f>
        <v>0.5</v>
      </c>
      <c r="AW27" s="9" t="n">
        <f aca="false">SUM(AJ27:AU27)</f>
        <v>1047.305</v>
      </c>
      <c r="AX27" s="9" t="n">
        <f aca="false">IF(D27="INR",AW27/88.24,AW27)/1000000</f>
        <v>0.001047305</v>
      </c>
    </row>
    <row r="28" s="2" customFormat="true" ht="14.25" hidden="false" customHeight="false" outlineLevel="0" collapsed="false">
      <c r="A28" s="9"/>
      <c r="B28" s="16" t="n">
        <v>1</v>
      </c>
      <c r="C28" s="9"/>
      <c r="D28" s="16" t="s">
        <v>102</v>
      </c>
      <c r="E28" s="9" t="s">
        <v>51</v>
      </c>
      <c r="F28" s="9" t="s">
        <v>52</v>
      </c>
      <c r="G28" s="9" t="s">
        <v>103</v>
      </c>
      <c r="H28" s="9" t="s">
        <v>104</v>
      </c>
      <c r="I28" s="9" t="s">
        <v>105</v>
      </c>
      <c r="J28" s="9" t="s">
        <v>106</v>
      </c>
      <c r="K28" s="9" t="s">
        <v>104</v>
      </c>
      <c r="L28" s="9" t="s">
        <v>105</v>
      </c>
      <c r="M28" s="9" t="s">
        <v>106</v>
      </c>
      <c r="N28" s="9" t="s">
        <v>57</v>
      </c>
      <c r="O28" s="9" t="s">
        <v>107</v>
      </c>
      <c r="P28" s="9" t="s">
        <v>108</v>
      </c>
      <c r="Q28" s="9" t="s">
        <v>108</v>
      </c>
      <c r="R28" s="9"/>
      <c r="S28" s="9"/>
      <c r="T28" s="9" t="s">
        <v>136</v>
      </c>
      <c r="U28" s="9" t="s">
        <v>63</v>
      </c>
      <c r="V28" s="9" t="n">
        <v>1.92</v>
      </c>
      <c r="W28" s="9"/>
      <c r="X28" s="9"/>
      <c r="Y28" s="9"/>
      <c r="Z28" s="9"/>
      <c r="AA28" s="9"/>
      <c r="AB28" s="9"/>
      <c r="AC28" s="9"/>
      <c r="AD28" s="9" t="n">
        <v>500</v>
      </c>
      <c r="AE28" s="9"/>
      <c r="AF28" s="9"/>
      <c r="AG28" s="9"/>
      <c r="AH28" s="9"/>
      <c r="AI28" s="9"/>
      <c r="AJ28" s="9" t="n">
        <f aca="false">X28*$V28</f>
        <v>0</v>
      </c>
      <c r="AK28" s="9" t="n">
        <f aca="false">Y28*$V28</f>
        <v>0</v>
      </c>
      <c r="AL28" s="9" t="n">
        <f aca="false">Z28*$V28</f>
        <v>0</v>
      </c>
      <c r="AM28" s="9" t="n">
        <f aca="false">AA28*$V28</f>
        <v>0</v>
      </c>
      <c r="AN28" s="9" t="n">
        <f aca="false">AB28*$V28</f>
        <v>0</v>
      </c>
      <c r="AO28" s="9" t="n">
        <f aca="false">AC28*$V28</f>
        <v>0</v>
      </c>
      <c r="AP28" s="9" t="n">
        <f aca="false">AD28*$V28</f>
        <v>960</v>
      </c>
      <c r="AQ28" s="9" t="n">
        <f aca="false">AE28*$V28</f>
        <v>0</v>
      </c>
      <c r="AR28" s="9" t="n">
        <f aca="false">AF28*$V28</f>
        <v>0</v>
      </c>
      <c r="AS28" s="9" t="n">
        <f aca="false">AG28*$V28</f>
        <v>0</v>
      </c>
      <c r="AT28" s="9" t="n">
        <f aca="false">AH28*$V28</f>
        <v>0</v>
      </c>
      <c r="AU28" s="9" t="n">
        <f aca="false">AI28*$V28</f>
        <v>0</v>
      </c>
      <c r="AV28" s="9" t="n">
        <f aca="false">SUM(X28:AI28)/1000</f>
        <v>0.5</v>
      </c>
      <c r="AW28" s="9" t="n">
        <f aca="false">SUM(AJ28:AU28)</f>
        <v>960</v>
      </c>
      <c r="AX28" s="9" t="n">
        <f aca="false">IF(D28="INR",AW28/88.24,AW28)/1000000</f>
        <v>0.00096</v>
      </c>
    </row>
    <row r="29" s="2" customFormat="true" ht="14.25" hidden="false" customHeight="false" outlineLevel="0" collapsed="false">
      <c r="A29" s="28"/>
      <c r="B29" s="16" t="n">
        <v>1</v>
      </c>
      <c r="C29" s="16"/>
      <c r="D29" s="16" t="s">
        <v>102</v>
      </c>
      <c r="E29" s="16" t="s">
        <v>51</v>
      </c>
      <c r="F29" s="16" t="s">
        <v>52</v>
      </c>
      <c r="G29" s="16" t="s">
        <v>103</v>
      </c>
      <c r="H29" s="16" t="s">
        <v>104</v>
      </c>
      <c r="I29" s="16" t="s">
        <v>105</v>
      </c>
      <c r="J29" s="16" t="s">
        <v>106</v>
      </c>
      <c r="K29" s="16" t="s">
        <v>104</v>
      </c>
      <c r="L29" s="16" t="s">
        <v>105</v>
      </c>
      <c r="M29" s="16" t="s">
        <v>106</v>
      </c>
      <c r="N29" s="16" t="s">
        <v>57</v>
      </c>
      <c r="O29" s="16" t="s">
        <v>107</v>
      </c>
      <c r="P29" s="16" t="s">
        <v>110</v>
      </c>
      <c r="Q29" s="16" t="s">
        <v>110</v>
      </c>
      <c r="R29" s="16" t="s">
        <v>137</v>
      </c>
      <c r="S29" s="16"/>
      <c r="T29" s="16" t="s">
        <v>138</v>
      </c>
      <c r="U29" s="26" t="s">
        <v>63</v>
      </c>
      <c r="V29" s="16" t="n">
        <v>1.65</v>
      </c>
      <c r="W29" s="16" t="n">
        <v>1.44</v>
      </c>
      <c r="X29" s="16"/>
      <c r="Y29" s="16"/>
      <c r="Z29" s="16"/>
      <c r="AA29" s="16"/>
      <c r="AB29" s="16"/>
      <c r="AC29" s="16"/>
      <c r="AD29" s="16" t="n">
        <v>500</v>
      </c>
      <c r="AE29" s="16"/>
      <c r="AF29" s="16"/>
      <c r="AG29" s="16"/>
      <c r="AH29" s="16"/>
      <c r="AI29" s="16"/>
      <c r="AJ29" s="9" t="n">
        <f aca="false">X29*$V29</f>
        <v>0</v>
      </c>
      <c r="AK29" s="9" t="n">
        <f aca="false">Y29*$V29</f>
        <v>0</v>
      </c>
      <c r="AL29" s="9" t="n">
        <f aca="false">Z29*$V29</f>
        <v>0</v>
      </c>
      <c r="AM29" s="9" t="n">
        <f aca="false">AA29*$V29</f>
        <v>0</v>
      </c>
      <c r="AN29" s="9" t="n">
        <f aca="false">AB29*$V29</f>
        <v>0</v>
      </c>
      <c r="AO29" s="9" t="n">
        <f aca="false">AC29*$V29</f>
        <v>0</v>
      </c>
      <c r="AP29" s="9" t="n">
        <f aca="false">AD29*$V29</f>
        <v>825</v>
      </c>
      <c r="AQ29" s="9" t="n">
        <f aca="false">AE29*$V29</f>
        <v>0</v>
      </c>
      <c r="AR29" s="9" t="n">
        <f aca="false">AF29*$V29</f>
        <v>0</v>
      </c>
      <c r="AS29" s="9" t="n">
        <f aca="false">AG29*$V29</f>
        <v>0</v>
      </c>
      <c r="AT29" s="9" t="n">
        <f aca="false">AH29*$V29</f>
        <v>0</v>
      </c>
      <c r="AU29" s="9" t="n">
        <f aca="false">AI29*$V29</f>
        <v>0</v>
      </c>
      <c r="AV29" s="9" t="n">
        <f aca="false">SUM(X29:AI29)/1000</f>
        <v>0.5</v>
      </c>
      <c r="AW29" s="9" t="n">
        <f aca="false">SUM(AJ29:AU29)</f>
        <v>825</v>
      </c>
      <c r="AX29" s="9" t="n">
        <f aca="false">IF(D29="INR",AW29/88.24,AW29)/1000000</f>
        <v>0.000825</v>
      </c>
    </row>
    <row r="30" s="2" customFormat="true" ht="14.25" hidden="false" customHeight="false" outlineLevel="0" collapsed="false">
      <c r="A30" s="9"/>
      <c r="B30" s="9" t="n">
        <v>1</v>
      </c>
      <c r="C30" s="10"/>
      <c r="D30" s="9" t="s">
        <v>102</v>
      </c>
      <c r="E30" s="9" t="s">
        <v>51</v>
      </c>
      <c r="F30" s="9" t="s">
        <v>52</v>
      </c>
      <c r="G30" s="9" t="s">
        <v>103</v>
      </c>
      <c r="H30" s="9" t="s">
        <v>104</v>
      </c>
      <c r="I30" s="9" t="s">
        <v>105</v>
      </c>
      <c r="J30" s="9" t="s">
        <v>106</v>
      </c>
      <c r="K30" s="9" t="s">
        <v>104</v>
      </c>
      <c r="L30" s="9" t="s">
        <v>105</v>
      </c>
      <c r="M30" s="9" t="s">
        <v>106</v>
      </c>
      <c r="N30" s="9" t="s">
        <v>57</v>
      </c>
      <c r="O30" s="9" t="s">
        <v>107</v>
      </c>
      <c r="P30" s="9" t="s">
        <v>108</v>
      </c>
      <c r="Q30" s="9" t="s">
        <v>108</v>
      </c>
      <c r="R30" s="9"/>
      <c r="S30" s="9"/>
      <c r="T30" s="9" t="s">
        <v>139</v>
      </c>
      <c r="U30" s="9" t="s">
        <v>63</v>
      </c>
      <c r="V30" s="9" t="n">
        <v>1.54</v>
      </c>
      <c r="W30" s="9"/>
      <c r="X30" s="9"/>
      <c r="Y30" s="9"/>
      <c r="Z30" s="9"/>
      <c r="AA30" s="9"/>
      <c r="AB30" s="9"/>
      <c r="AC30" s="9"/>
      <c r="AD30" s="9" t="n">
        <v>500</v>
      </c>
      <c r="AE30" s="9"/>
      <c r="AF30" s="9"/>
      <c r="AG30" s="9"/>
      <c r="AH30" s="9"/>
      <c r="AI30" s="9"/>
      <c r="AJ30" s="9" t="n">
        <f aca="false">X30*$V30</f>
        <v>0</v>
      </c>
      <c r="AK30" s="9" t="n">
        <f aca="false">Y30*$V30</f>
        <v>0</v>
      </c>
      <c r="AL30" s="9" t="n">
        <f aca="false">Z30*$V30</f>
        <v>0</v>
      </c>
      <c r="AM30" s="9" t="n">
        <f aca="false">AA30*$V30</f>
        <v>0</v>
      </c>
      <c r="AN30" s="9" t="n">
        <f aca="false">AB30*$V30</f>
        <v>0</v>
      </c>
      <c r="AO30" s="9" t="n">
        <f aca="false">AC30*$V30</f>
        <v>0</v>
      </c>
      <c r="AP30" s="9" t="n">
        <f aca="false">AD30*$V30</f>
        <v>770</v>
      </c>
      <c r="AQ30" s="9" t="n">
        <f aca="false">AE30*$V30</f>
        <v>0</v>
      </c>
      <c r="AR30" s="9" t="n">
        <f aca="false">AF30*$V30</f>
        <v>0</v>
      </c>
      <c r="AS30" s="9" t="n">
        <f aca="false">AG30*$V30</f>
        <v>0</v>
      </c>
      <c r="AT30" s="9" t="n">
        <f aca="false">AH30*$V30</f>
        <v>0</v>
      </c>
      <c r="AU30" s="9" t="n">
        <f aca="false">AI30*$V30</f>
        <v>0</v>
      </c>
      <c r="AV30" s="9" t="n">
        <f aca="false">SUM(X30:AI30)/1000</f>
        <v>0.5</v>
      </c>
      <c r="AW30" s="9" t="n">
        <f aca="false">SUM(AJ30:AU30)</f>
        <v>770</v>
      </c>
      <c r="AX30" s="9" t="n">
        <f aca="false">IF(D30="INR",AW30/88.24,AW30)/1000000</f>
        <v>0.00077</v>
      </c>
    </row>
    <row r="31" s="2" customFormat="true" ht="14.25" hidden="false" customHeight="false" outlineLevel="0" collapsed="false">
      <c r="A31" s="9"/>
      <c r="B31" s="9" t="n">
        <v>1</v>
      </c>
      <c r="C31" s="10"/>
      <c r="D31" s="9" t="s">
        <v>102</v>
      </c>
      <c r="E31" s="9" t="s">
        <v>51</v>
      </c>
      <c r="F31" s="9" t="s">
        <v>52</v>
      </c>
      <c r="G31" s="9" t="s">
        <v>103</v>
      </c>
      <c r="H31" s="9" t="s">
        <v>104</v>
      </c>
      <c r="I31" s="9" t="s">
        <v>105</v>
      </c>
      <c r="J31" s="9" t="s">
        <v>106</v>
      </c>
      <c r="K31" s="9" t="s">
        <v>104</v>
      </c>
      <c r="L31" s="9" t="s">
        <v>105</v>
      </c>
      <c r="M31" s="9" t="s">
        <v>106</v>
      </c>
      <c r="N31" s="9" t="s">
        <v>57</v>
      </c>
      <c r="O31" s="9" t="s">
        <v>107</v>
      </c>
      <c r="P31" s="9" t="s">
        <v>140</v>
      </c>
      <c r="Q31" s="9" t="s">
        <v>140</v>
      </c>
      <c r="R31" s="9"/>
      <c r="S31" s="9"/>
      <c r="T31" s="9" t="s">
        <v>141</v>
      </c>
      <c r="U31" s="9" t="s">
        <v>63</v>
      </c>
      <c r="V31" s="9" t="n">
        <v>1.5</v>
      </c>
      <c r="W31" s="9"/>
      <c r="X31" s="9"/>
      <c r="Y31" s="9"/>
      <c r="Z31" s="9"/>
      <c r="AA31" s="9"/>
      <c r="AB31" s="9"/>
      <c r="AC31" s="9"/>
      <c r="AD31" s="9" t="n">
        <v>500</v>
      </c>
      <c r="AE31" s="9"/>
      <c r="AF31" s="9"/>
      <c r="AG31" s="9"/>
      <c r="AH31" s="9"/>
      <c r="AI31" s="9"/>
      <c r="AJ31" s="9" t="n">
        <f aca="false">X31*$V31</f>
        <v>0</v>
      </c>
      <c r="AK31" s="9" t="n">
        <f aca="false">Y31*$V31</f>
        <v>0</v>
      </c>
      <c r="AL31" s="9" t="n">
        <f aca="false">Z31*$V31</f>
        <v>0</v>
      </c>
      <c r="AM31" s="9" t="n">
        <f aca="false">AA31*$V31</f>
        <v>0</v>
      </c>
      <c r="AN31" s="9" t="n">
        <f aca="false">AB31*$V31</f>
        <v>0</v>
      </c>
      <c r="AO31" s="9" t="n">
        <f aca="false">AC31*$V31</f>
        <v>0</v>
      </c>
      <c r="AP31" s="9" t="n">
        <f aca="false">AD31*$V31</f>
        <v>750</v>
      </c>
      <c r="AQ31" s="9" t="n">
        <f aca="false">AE31*$V31</f>
        <v>0</v>
      </c>
      <c r="AR31" s="9" t="n">
        <f aca="false">AF31*$V31</f>
        <v>0</v>
      </c>
      <c r="AS31" s="9" t="n">
        <f aca="false">AG31*$V31</f>
        <v>0</v>
      </c>
      <c r="AT31" s="9" t="n">
        <f aca="false">AH31*$V31</f>
        <v>0</v>
      </c>
      <c r="AU31" s="9" t="n">
        <f aca="false">AI31*$V31</f>
        <v>0</v>
      </c>
      <c r="AV31" s="9" t="n">
        <f aca="false">SUM(X31:AI31)/1000</f>
        <v>0.5</v>
      </c>
      <c r="AW31" s="9" t="n">
        <f aca="false">SUM(AJ31:AU31)</f>
        <v>750</v>
      </c>
      <c r="AX31" s="9" t="n">
        <f aca="false">IF(D31="INR",AW31/88.24,AW31)/1000000</f>
        <v>0.00075</v>
      </c>
    </row>
    <row r="32" s="2" customFormat="true" ht="14.25" hidden="false" customHeight="false" outlineLevel="0" collapsed="false">
      <c r="A32" s="9"/>
      <c r="B32" s="9" t="n">
        <v>1</v>
      </c>
      <c r="C32" s="10"/>
      <c r="D32" s="9" t="s">
        <v>102</v>
      </c>
      <c r="E32" s="9" t="s">
        <v>51</v>
      </c>
      <c r="F32" s="9" t="s">
        <v>52</v>
      </c>
      <c r="G32" s="9" t="s">
        <v>103</v>
      </c>
      <c r="H32" s="9" t="s">
        <v>104</v>
      </c>
      <c r="I32" s="9" t="s">
        <v>105</v>
      </c>
      <c r="J32" s="9" t="s">
        <v>106</v>
      </c>
      <c r="K32" s="9" t="s">
        <v>104</v>
      </c>
      <c r="L32" s="9" t="s">
        <v>105</v>
      </c>
      <c r="M32" s="9" t="s">
        <v>106</v>
      </c>
      <c r="N32" s="9" t="s">
        <v>57</v>
      </c>
      <c r="O32" s="9" t="s">
        <v>107</v>
      </c>
      <c r="P32" s="9" t="s">
        <v>140</v>
      </c>
      <c r="Q32" s="9" t="s">
        <v>140</v>
      </c>
      <c r="R32" s="9"/>
      <c r="S32" s="9"/>
      <c r="T32" s="9" t="s">
        <v>141</v>
      </c>
      <c r="U32" s="9" t="s">
        <v>63</v>
      </c>
      <c r="V32" s="9" t="n">
        <v>1.5</v>
      </c>
      <c r="W32" s="9"/>
      <c r="X32" s="9"/>
      <c r="Y32" s="9"/>
      <c r="Z32" s="9"/>
      <c r="AA32" s="9"/>
      <c r="AB32" s="9"/>
      <c r="AC32" s="9"/>
      <c r="AD32" s="9" t="n">
        <v>500</v>
      </c>
      <c r="AE32" s="9"/>
      <c r="AF32" s="9"/>
      <c r="AG32" s="9"/>
      <c r="AH32" s="9"/>
      <c r="AI32" s="9"/>
      <c r="AJ32" s="9" t="n">
        <f aca="false">X32*$V32</f>
        <v>0</v>
      </c>
      <c r="AK32" s="9" t="n">
        <f aca="false">Y32*$V32</f>
        <v>0</v>
      </c>
      <c r="AL32" s="9" t="n">
        <f aca="false">Z32*$V32</f>
        <v>0</v>
      </c>
      <c r="AM32" s="9" t="n">
        <f aca="false">AA32*$V32</f>
        <v>0</v>
      </c>
      <c r="AN32" s="9" t="n">
        <f aca="false">AB32*$V32</f>
        <v>0</v>
      </c>
      <c r="AO32" s="9" t="n">
        <f aca="false">AC32*$V32</f>
        <v>0</v>
      </c>
      <c r="AP32" s="9" t="n">
        <f aca="false">AD32*$V32</f>
        <v>750</v>
      </c>
      <c r="AQ32" s="9" t="n">
        <f aca="false">AE32*$V32</f>
        <v>0</v>
      </c>
      <c r="AR32" s="9" t="n">
        <f aca="false">AF32*$V32</f>
        <v>0</v>
      </c>
      <c r="AS32" s="9" t="n">
        <f aca="false">AG32*$V32</f>
        <v>0</v>
      </c>
      <c r="AT32" s="9" t="n">
        <f aca="false">AH32*$V32</f>
        <v>0</v>
      </c>
      <c r="AU32" s="9" t="n">
        <f aca="false">AI32*$V32</f>
        <v>0</v>
      </c>
      <c r="AV32" s="9" t="n">
        <f aca="false">SUM(X32:AI32)/1000</f>
        <v>0.5</v>
      </c>
      <c r="AW32" s="9" t="n">
        <f aca="false">SUM(AJ32:AU32)</f>
        <v>750</v>
      </c>
      <c r="AX32" s="9" t="n">
        <f aca="false">IF(D32="INR",AW32/88.24,AW32)/1000000</f>
        <v>0.00075</v>
      </c>
    </row>
    <row r="33" s="2" customFormat="true" ht="14.25" hidden="false" customHeight="false" outlineLevel="0" collapsed="false">
      <c r="A33" s="9"/>
      <c r="B33" s="9" t="n">
        <v>1</v>
      </c>
      <c r="C33" s="10"/>
      <c r="D33" s="9" t="s">
        <v>102</v>
      </c>
      <c r="E33" s="9" t="s">
        <v>51</v>
      </c>
      <c r="F33" s="9" t="s">
        <v>52</v>
      </c>
      <c r="G33" s="9" t="s">
        <v>103</v>
      </c>
      <c r="H33" s="9" t="s">
        <v>104</v>
      </c>
      <c r="I33" s="9" t="s">
        <v>105</v>
      </c>
      <c r="J33" s="9" t="s">
        <v>106</v>
      </c>
      <c r="K33" s="9" t="s">
        <v>104</v>
      </c>
      <c r="L33" s="9" t="s">
        <v>105</v>
      </c>
      <c r="M33" s="9" t="s">
        <v>106</v>
      </c>
      <c r="N33" s="9" t="s">
        <v>57</v>
      </c>
      <c r="O33" s="9" t="s">
        <v>107</v>
      </c>
      <c r="P33" s="9" t="s">
        <v>142</v>
      </c>
      <c r="Q33" s="9" t="s">
        <v>142</v>
      </c>
      <c r="R33" s="9"/>
      <c r="S33" s="9"/>
      <c r="T33" s="9" t="s">
        <v>143</v>
      </c>
      <c r="U33" s="9" t="s">
        <v>63</v>
      </c>
      <c r="V33" s="9" t="n">
        <v>1.48</v>
      </c>
      <c r="W33" s="9"/>
      <c r="X33" s="9"/>
      <c r="Y33" s="9"/>
      <c r="Z33" s="9"/>
      <c r="AA33" s="9"/>
      <c r="AB33" s="9"/>
      <c r="AC33" s="9"/>
      <c r="AD33" s="9" t="n">
        <v>500</v>
      </c>
      <c r="AE33" s="9"/>
      <c r="AF33" s="9"/>
      <c r="AG33" s="9"/>
      <c r="AH33" s="9"/>
      <c r="AI33" s="9"/>
      <c r="AJ33" s="9" t="n">
        <f aca="false">X33*$V33</f>
        <v>0</v>
      </c>
      <c r="AK33" s="9" t="n">
        <f aca="false">Y33*$V33</f>
        <v>0</v>
      </c>
      <c r="AL33" s="9" t="n">
        <f aca="false">Z33*$V33</f>
        <v>0</v>
      </c>
      <c r="AM33" s="9" t="n">
        <f aca="false">AA33*$V33</f>
        <v>0</v>
      </c>
      <c r="AN33" s="9" t="n">
        <f aca="false">AB33*$V33</f>
        <v>0</v>
      </c>
      <c r="AO33" s="9" t="n">
        <f aca="false">AC33*$V33</f>
        <v>0</v>
      </c>
      <c r="AP33" s="9" t="n">
        <f aca="false">AD33*$V33</f>
        <v>740</v>
      </c>
      <c r="AQ33" s="9" t="n">
        <f aca="false">AE33*$V33</f>
        <v>0</v>
      </c>
      <c r="AR33" s="9" t="n">
        <f aca="false">AF33*$V33</f>
        <v>0</v>
      </c>
      <c r="AS33" s="9" t="n">
        <f aca="false">AG33*$V33</f>
        <v>0</v>
      </c>
      <c r="AT33" s="9" t="n">
        <f aca="false">AH33*$V33</f>
        <v>0</v>
      </c>
      <c r="AU33" s="9" t="n">
        <f aca="false">AI33*$V33</f>
        <v>0</v>
      </c>
      <c r="AV33" s="9" t="n">
        <f aca="false">SUM(X33:AI33)/1000</f>
        <v>0.5</v>
      </c>
      <c r="AW33" s="9" t="n">
        <f aca="false">SUM(AJ33:AU33)</f>
        <v>740</v>
      </c>
      <c r="AX33" s="9" t="n">
        <f aca="false">IF(D33="INR",AW33/88.24,AW33)/1000000</f>
        <v>0.00074</v>
      </c>
    </row>
    <row r="34" s="2" customFormat="true" ht="14.25" hidden="false" customHeight="false" outlineLevel="0" collapsed="false">
      <c r="A34" s="9"/>
      <c r="B34" s="9" t="n">
        <v>1</v>
      </c>
      <c r="C34" s="10"/>
      <c r="D34" s="9" t="s">
        <v>102</v>
      </c>
      <c r="E34" s="9" t="s">
        <v>51</v>
      </c>
      <c r="F34" s="9" t="s">
        <v>52</v>
      </c>
      <c r="G34" s="9" t="s">
        <v>103</v>
      </c>
      <c r="H34" s="9" t="s">
        <v>104</v>
      </c>
      <c r="I34" s="9" t="s">
        <v>105</v>
      </c>
      <c r="J34" s="9" t="s">
        <v>106</v>
      </c>
      <c r="K34" s="9" t="s">
        <v>104</v>
      </c>
      <c r="L34" s="9" t="s">
        <v>105</v>
      </c>
      <c r="M34" s="9" t="s">
        <v>106</v>
      </c>
      <c r="N34" s="9" t="s">
        <v>57</v>
      </c>
      <c r="O34" s="9" t="s">
        <v>107</v>
      </c>
      <c r="P34" s="9" t="s">
        <v>108</v>
      </c>
      <c r="Q34" s="9" t="s">
        <v>108</v>
      </c>
      <c r="R34" s="9"/>
      <c r="S34" s="9"/>
      <c r="T34" s="9" t="s">
        <v>144</v>
      </c>
      <c r="U34" s="9" t="s">
        <v>63</v>
      </c>
      <c r="V34" s="9" t="n">
        <v>1.365</v>
      </c>
      <c r="W34" s="9"/>
      <c r="X34" s="9"/>
      <c r="Y34" s="9"/>
      <c r="Z34" s="9"/>
      <c r="AA34" s="9"/>
      <c r="AB34" s="9"/>
      <c r="AC34" s="9"/>
      <c r="AD34" s="9" t="n">
        <v>500</v>
      </c>
      <c r="AE34" s="9"/>
      <c r="AF34" s="9"/>
      <c r="AG34" s="9"/>
      <c r="AH34" s="9"/>
      <c r="AI34" s="9"/>
      <c r="AJ34" s="9" t="n">
        <f aca="false">X34*$V34</f>
        <v>0</v>
      </c>
      <c r="AK34" s="9" t="n">
        <f aca="false">Y34*$V34</f>
        <v>0</v>
      </c>
      <c r="AL34" s="9" t="n">
        <f aca="false">Z34*$V34</f>
        <v>0</v>
      </c>
      <c r="AM34" s="9" t="n">
        <f aca="false">AA34*$V34</f>
        <v>0</v>
      </c>
      <c r="AN34" s="9" t="n">
        <f aca="false">AB34*$V34</f>
        <v>0</v>
      </c>
      <c r="AO34" s="9" t="n">
        <f aca="false">AC34*$V34</f>
        <v>0</v>
      </c>
      <c r="AP34" s="9" t="n">
        <f aca="false">AD34*$V34</f>
        <v>682.5</v>
      </c>
      <c r="AQ34" s="9" t="n">
        <f aca="false">AE34*$V34</f>
        <v>0</v>
      </c>
      <c r="AR34" s="9" t="n">
        <f aca="false">AF34*$V34</f>
        <v>0</v>
      </c>
      <c r="AS34" s="9" t="n">
        <f aca="false">AG34*$V34</f>
        <v>0</v>
      </c>
      <c r="AT34" s="9" t="n">
        <f aca="false">AH34*$V34</f>
        <v>0</v>
      </c>
      <c r="AU34" s="9" t="n">
        <f aca="false">AI34*$V34</f>
        <v>0</v>
      </c>
      <c r="AV34" s="9" t="n">
        <f aca="false">SUM(X34:AI34)/1000</f>
        <v>0.5</v>
      </c>
      <c r="AW34" s="9" t="n">
        <f aca="false">SUM(AJ34:AU34)</f>
        <v>682.5</v>
      </c>
      <c r="AX34" s="9" t="n">
        <f aca="false">IF(D34="INR",AW34/88.24,AW34)/1000000</f>
        <v>0.0006825</v>
      </c>
    </row>
    <row r="35" s="2" customFormat="true" ht="14.25" hidden="false" customHeight="false" outlineLevel="0" collapsed="false">
      <c r="A35" s="9"/>
      <c r="B35" s="9" t="n">
        <v>1</v>
      </c>
      <c r="C35" s="10"/>
      <c r="D35" s="9" t="s">
        <v>102</v>
      </c>
      <c r="E35" s="9" t="s">
        <v>51</v>
      </c>
      <c r="F35" s="9" t="s">
        <v>52</v>
      </c>
      <c r="G35" s="9" t="s">
        <v>103</v>
      </c>
      <c r="H35" s="9" t="s">
        <v>104</v>
      </c>
      <c r="I35" s="9" t="s">
        <v>105</v>
      </c>
      <c r="J35" s="9" t="s">
        <v>106</v>
      </c>
      <c r="K35" s="9" t="s">
        <v>104</v>
      </c>
      <c r="L35" s="9" t="s">
        <v>105</v>
      </c>
      <c r="M35" s="9" t="s">
        <v>106</v>
      </c>
      <c r="N35" s="9" t="s">
        <v>57</v>
      </c>
      <c r="O35" s="9" t="s">
        <v>107</v>
      </c>
      <c r="P35" s="9" t="s">
        <v>145</v>
      </c>
      <c r="Q35" s="9" t="s">
        <v>145</v>
      </c>
      <c r="R35" s="9"/>
      <c r="S35" s="9"/>
      <c r="T35" s="9" t="s">
        <v>146</v>
      </c>
      <c r="U35" s="9" t="s">
        <v>63</v>
      </c>
      <c r="V35" s="9" t="n">
        <v>1.23529</v>
      </c>
      <c r="W35" s="9"/>
      <c r="X35" s="9"/>
      <c r="Y35" s="9"/>
      <c r="Z35" s="9"/>
      <c r="AA35" s="9"/>
      <c r="AB35" s="9"/>
      <c r="AC35" s="9"/>
      <c r="AD35" s="9" t="n">
        <v>500</v>
      </c>
      <c r="AE35" s="9"/>
      <c r="AF35" s="9"/>
      <c r="AG35" s="9"/>
      <c r="AH35" s="9"/>
      <c r="AI35" s="9"/>
      <c r="AJ35" s="9" t="n">
        <f aca="false">X35*$V35</f>
        <v>0</v>
      </c>
      <c r="AK35" s="9" t="n">
        <f aca="false">Y35*$V35</f>
        <v>0</v>
      </c>
      <c r="AL35" s="9" t="n">
        <f aca="false">Z35*$V35</f>
        <v>0</v>
      </c>
      <c r="AM35" s="9" t="n">
        <f aca="false">AA35*$V35</f>
        <v>0</v>
      </c>
      <c r="AN35" s="9" t="n">
        <f aca="false">AB35*$V35</f>
        <v>0</v>
      </c>
      <c r="AO35" s="9" t="n">
        <f aca="false">AC35*$V35</f>
        <v>0</v>
      </c>
      <c r="AP35" s="9" t="n">
        <f aca="false">AD35*$V35</f>
        <v>617.645</v>
      </c>
      <c r="AQ35" s="9" t="n">
        <f aca="false">AE35*$V35</f>
        <v>0</v>
      </c>
      <c r="AR35" s="9" t="n">
        <f aca="false">AF35*$V35</f>
        <v>0</v>
      </c>
      <c r="AS35" s="9" t="n">
        <f aca="false">AG35*$V35</f>
        <v>0</v>
      </c>
      <c r="AT35" s="9" t="n">
        <f aca="false">AH35*$V35</f>
        <v>0</v>
      </c>
      <c r="AU35" s="9" t="n">
        <f aca="false">AI35*$V35</f>
        <v>0</v>
      </c>
      <c r="AV35" s="9" t="n">
        <f aca="false">SUM(X35:AI35)/1000</f>
        <v>0.5</v>
      </c>
      <c r="AW35" s="9" t="n">
        <f aca="false">SUM(AJ35:AU35)</f>
        <v>617.645</v>
      </c>
      <c r="AX35" s="9" t="n">
        <f aca="false">IF(D35="INR",AW35/88.24,AW35)/1000000</f>
        <v>0.000617645</v>
      </c>
    </row>
    <row r="36" s="2" customFormat="true" ht="14.25" hidden="false" customHeight="false" outlineLevel="0" collapsed="false">
      <c r="A36" s="9"/>
      <c r="B36" s="9" t="n">
        <v>1</v>
      </c>
      <c r="C36" s="10"/>
      <c r="D36" s="9" t="s">
        <v>102</v>
      </c>
      <c r="E36" s="9" t="s">
        <v>51</v>
      </c>
      <c r="F36" s="9" t="s">
        <v>52</v>
      </c>
      <c r="G36" s="9" t="s">
        <v>103</v>
      </c>
      <c r="H36" s="9" t="s">
        <v>104</v>
      </c>
      <c r="I36" s="9" t="s">
        <v>105</v>
      </c>
      <c r="J36" s="9" t="s">
        <v>106</v>
      </c>
      <c r="K36" s="9" t="s">
        <v>104</v>
      </c>
      <c r="L36" s="9" t="s">
        <v>105</v>
      </c>
      <c r="M36" s="9" t="s">
        <v>106</v>
      </c>
      <c r="N36" s="9" t="s">
        <v>57</v>
      </c>
      <c r="O36" s="9" t="s">
        <v>107</v>
      </c>
      <c r="P36" s="9" t="s">
        <v>145</v>
      </c>
      <c r="Q36" s="9" t="s">
        <v>145</v>
      </c>
      <c r="R36" s="9"/>
      <c r="S36" s="9"/>
      <c r="T36" s="9" t="s">
        <v>147</v>
      </c>
      <c r="U36" s="9" t="s">
        <v>63</v>
      </c>
      <c r="V36" s="9" t="n">
        <v>1.17647</v>
      </c>
      <c r="W36" s="9"/>
      <c r="X36" s="9"/>
      <c r="Y36" s="9"/>
      <c r="Z36" s="9"/>
      <c r="AA36" s="9"/>
      <c r="AB36" s="9"/>
      <c r="AC36" s="9"/>
      <c r="AD36" s="9" t="n">
        <v>500</v>
      </c>
      <c r="AE36" s="9"/>
      <c r="AF36" s="9"/>
      <c r="AG36" s="9"/>
      <c r="AH36" s="9"/>
      <c r="AI36" s="9"/>
      <c r="AJ36" s="9" t="n">
        <f aca="false">X36*$V36</f>
        <v>0</v>
      </c>
      <c r="AK36" s="9" t="n">
        <f aca="false">Y36*$V36</f>
        <v>0</v>
      </c>
      <c r="AL36" s="9" t="n">
        <f aca="false">Z36*$V36</f>
        <v>0</v>
      </c>
      <c r="AM36" s="9" t="n">
        <f aca="false">AA36*$V36</f>
        <v>0</v>
      </c>
      <c r="AN36" s="9" t="n">
        <f aca="false">AB36*$V36</f>
        <v>0</v>
      </c>
      <c r="AO36" s="9" t="n">
        <f aca="false">AC36*$V36</f>
        <v>0</v>
      </c>
      <c r="AP36" s="9" t="n">
        <f aca="false">AD36*$V36</f>
        <v>588.235</v>
      </c>
      <c r="AQ36" s="9" t="n">
        <f aca="false">AE36*$V36</f>
        <v>0</v>
      </c>
      <c r="AR36" s="9" t="n">
        <f aca="false">AF36*$V36</f>
        <v>0</v>
      </c>
      <c r="AS36" s="9" t="n">
        <f aca="false">AG36*$V36</f>
        <v>0</v>
      </c>
      <c r="AT36" s="9" t="n">
        <f aca="false">AH36*$V36</f>
        <v>0</v>
      </c>
      <c r="AU36" s="9" t="n">
        <f aca="false">AI36*$V36</f>
        <v>0</v>
      </c>
      <c r="AV36" s="9" t="n">
        <f aca="false">SUM(X36:AI36)/1000</f>
        <v>0.5</v>
      </c>
      <c r="AW36" s="9" t="n">
        <f aca="false">SUM(AJ36:AU36)</f>
        <v>588.235</v>
      </c>
      <c r="AX36" s="9" t="n">
        <f aca="false">IF(D36="INR",AW36/88.24,AW36)/1000000</f>
        <v>0.000588235</v>
      </c>
    </row>
    <row r="37" s="2" customFormat="true" ht="14.25" hidden="false" customHeight="false" outlineLevel="0" collapsed="false">
      <c r="A37" s="9"/>
      <c r="B37" s="9" t="n">
        <v>1</v>
      </c>
      <c r="C37" s="10"/>
      <c r="D37" s="9" t="s">
        <v>102</v>
      </c>
      <c r="E37" s="9" t="s">
        <v>51</v>
      </c>
      <c r="F37" s="9" t="s">
        <v>52</v>
      </c>
      <c r="G37" s="9" t="s">
        <v>103</v>
      </c>
      <c r="H37" s="9" t="s">
        <v>104</v>
      </c>
      <c r="I37" s="9" t="s">
        <v>105</v>
      </c>
      <c r="J37" s="9" t="s">
        <v>106</v>
      </c>
      <c r="K37" s="9" t="s">
        <v>104</v>
      </c>
      <c r="L37" s="9" t="s">
        <v>105</v>
      </c>
      <c r="M37" s="9" t="s">
        <v>106</v>
      </c>
      <c r="N37" s="9" t="s">
        <v>57</v>
      </c>
      <c r="O37" s="9" t="s">
        <v>107</v>
      </c>
      <c r="P37" s="9" t="s">
        <v>110</v>
      </c>
      <c r="Q37" s="9" t="s">
        <v>110</v>
      </c>
      <c r="R37" s="9"/>
      <c r="S37" s="9"/>
      <c r="T37" s="9" t="s">
        <v>148</v>
      </c>
      <c r="U37" s="9" t="s">
        <v>63</v>
      </c>
      <c r="V37" s="9" t="n">
        <v>1.15</v>
      </c>
      <c r="W37" s="9"/>
      <c r="X37" s="9"/>
      <c r="Y37" s="9"/>
      <c r="Z37" s="9"/>
      <c r="AA37" s="9"/>
      <c r="AB37" s="9"/>
      <c r="AC37" s="9"/>
      <c r="AD37" s="9" t="n">
        <v>500</v>
      </c>
      <c r="AE37" s="9"/>
      <c r="AF37" s="9"/>
      <c r="AG37" s="9"/>
      <c r="AH37" s="9"/>
      <c r="AI37" s="9"/>
      <c r="AJ37" s="9" t="n">
        <f aca="false">X37*$V37</f>
        <v>0</v>
      </c>
      <c r="AK37" s="9" t="n">
        <f aca="false">Y37*$V37</f>
        <v>0</v>
      </c>
      <c r="AL37" s="9" t="n">
        <f aca="false">Z37*$V37</f>
        <v>0</v>
      </c>
      <c r="AM37" s="9" t="n">
        <f aca="false">AA37*$V37</f>
        <v>0</v>
      </c>
      <c r="AN37" s="9" t="n">
        <f aca="false">AB37*$V37</f>
        <v>0</v>
      </c>
      <c r="AO37" s="9" t="n">
        <f aca="false">AC37*$V37</f>
        <v>0</v>
      </c>
      <c r="AP37" s="9" t="n">
        <f aca="false">AD37*$V37</f>
        <v>575</v>
      </c>
      <c r="AQ37" s="9" t="n">
        <f aca="false">AE37*$V37</f>
        <v>0</v>
      </c>
      <c r="AR37" s="9" t="n">
        <f aca="false">AF37*$V37</f>
        <v>0</v>
      </c>
      <c r="AS37" s="9" t="n">
        <f aca="false">AG37*$V37</f>
        <v>0</v>
      </c>
      <c r="AT37" s="9" t="n">
        <f aca="false">AH37*$V37</f>
        <v>0</v>
      </c>
      <c r="AU37" s="9" t="n">
        <f aca="false">AI37*$V37</f>
        <v>0</v>
      </c>
      <c r="AV37" s="9" t="n">
        <f aca="false">SUM(X37:AI37)/1000</f>
        <v>0.5</v>
      </c>
      <c r="AW37" s="9" t="n">
        <f aca="false">SUM(AJ37:AU37)</f>
        <v>575</v>
      </c>
      <c r="AX37" s="9" t="n">
        <f aca="false">IF(D37="INR",AW37/88.24,AW37)/1000000</f>
        <v>0.000575</v>
      </c>
    </row>
    <row r="38" s="2" customFormat="true" ht="14.25" hidden="false" customHeight="false" outlineLevel="0" collapsed="false">
      <c r="A38" s="9"/>
      <c r="B38" s="9" t="n">
        <v>1</v>
      </c>
      <c r="C38" s="10"/>
      <c r="D38" s="9" t="s">
        <v>102</v>
      </c>
      <c r="E38" s="9" t="s">
        <v>51</v>
      </c>
      <c r="F38" s="9" t="s">
        <v>52</v>
      </c>
      <c r="G38" s="9" t="s">
        <v>103</v>
      </c>
      <c r="H38" s="9" t="s">
        <v>104</v>
      </c>
      <c r="I38" s="9" t="s">
        <v>105</v>
      </c>
      <c r="J38" s="9" t="s">
        <v>106</v>
      </c>
      <c r="K38" s="9" t="s">
        <v>104</v>
      </c>
      <c r="L38" s="9" t="s">
        <v>105</v>
      </c>
      <c r="M38" s="9" t="s">
        <v>106</v>
      </c>
      <c r="N38" s="9" t="s">
        <v>57</v>
      </c>
      <c r="O38" s="9" t="s">
        <v>107</v>
      </c>
      <c r="P38" s="9" t="s">
        <v>108</v>
      </c>
      <c r="Q38" s="9" t="s">
        <v>108</v>
      </c>
      <c r="R38" s="9"/>
      <c r="S38" s="9"/>
      <c r="T38" s="9" t="s">
        <v>149</v>
      </c>
      <c r="U38" s="9" t="s">
        <v>63</v>
      </c>
      <c r="V38" s="9" t="n">
        <v>1.145</v>
      </c>
      <c r="W38" s="9"/>
      <c r="X38" s="9"/>
      <c r="Y38" s="9"/>
      <c r="Z38" s="9"/>
      <c r="AA38" s="9"/>
      <c r="AB38" s="9"/>
      <c r="AC38" s="9"/>
      <c r="AD38" s="9" t="n">
        <v>500</v>
      </c>
      <c r="AE38" s="9"/>
      <c r="AF38" s="9"/>
      <c r="AG38" s="9"/>
      <c r="AH38" s="9"/>
      <c r="AI38" s="9"/>
      <c r="AJ38" s="9" t="n">
        <f aca="false">X38*$V38</f>
        <v>0</v>
      </c>
      <c r="AK38" s="9" t="n">
        <f aca="false">Y38*$V38</f>
        <v>0</v>
      </c>
      <c r="AL38" s="9" t="n">
        <f aca="false">Z38*$V38</f>
        <v>0</v>
      </c>
      <c r="AM38" s="9" t="n">
        <f aca="false">AA38*$V38</f>
        <v>0</v>
      </c>
      <c r="AN38" s="9" t="n">
        <f aca="false">AB38*$V38</f>
        <v>0</v>
      </c>
      <c r="AO38" s="9" t="n">
        <f aca="false">AC38*$V38</f>
        <v>0</v>
      </c>
      <c r="AP38" s="9" t="n">
        <f aca="false">AD38*$V38</f>
        <v>572.5</v>
      </c>
      <c r="AQ38" s="9" t="n">
        <f aca="false">AE38*$V38</f>
        <v>0</v>
      </c>
      <c r="AR38" s="9" t="n">
        <f aca="false">AF38*$V38</f>
        <v>0</v>
      </c>
      <c r="AS38" s="9" t="n">
        <f aca="false">AG38*$V38</f>
        <v>0</v>
      </c>
      <c r="AT38" s="9" t="n">
        <f aca="false">AH38*$V38</f>
        <v>0</v>
      </c>
      <c r="AU38" s="9" t="n">
        <f aca="false">AI38*$V38</f>
        <v>0</v>
      </c>
      <c r="AV38" s="9" t="n">
        <f aca="false">SUM(X38:AI38)/1000</f>
        <v>0.5</v>
      </c>
      <c r="AW38" s="9" t="n">
        <f aca="false">SUM(AJ38:AU38)</f>
        <v>572.5</v>
      </c>
      <c r="AX38" s="9" t="n">
        <f aca="false">IF(D38="INR",AW38/88.24,AW38)/1000000</f>
        <v>0.0005725</v>
      </c>
    </row>
    <row r="39" s="2" customFormat="true" ht="14.25" hidden="false" customHeight="false" outlineLevel="0" collapsed="false">
      <c r="A39" s="9"/>
      <c r="B39" s="9" t="n">
        <v>1</v>
      </c>
      <c r="C39" s="10"/>
      <c r="D39" s="9" t="s">
        <v>102</v>
      </c>
      <c r="E39" s="9" t="s">
        <v>51</v>
      </c>
      <c r="F39" s="9" t="s">
        <v>52</v>
      </c>
      <c r="G39" s="9" t="s">
        <v>103</v>
      </c>
      <c r="H39" s="9" t="s">
        <v>104</v>
      </c>
      <c r="I39" s="9" t="s">
        <v>105</v>
      </c>
      <c r="J39" s="9" t="s">
        <v>106</v>
      </c>
      <c r="K39" s="9" t="s">
        <v>104</v>
      </c>
      <c r="L39" s="9" t="s">
        <v>105</v>
      </c>
      <c r="M39" s="9" t="s">
        <v>106</v>
      </c>
      <c r="N39" s="9" t="s">
        <v>57</v>
      </c>
      <c r="O39" s="9" t="s">
        <v>107</v>
      </c>
      <c r="P39" s="9" t="s">
        <v>124</v>
      </c>
      <c r="Q39" s="9" t="s">
        <v>124</v>
      </c>
      <c r="R39" s="9"/>
      <c r="S39" s="9"/>
      <c r="T39" s="9" t="s">
        <v>150</v>
      </c>
      <c r="U39" s="9" t="s">
        <v>63</v>
      </c>
      <c r="V39" s="9" t="n">
        <v>1.1</v>
      </c>
      <c r="W39" s="9"/>
      <c r="X39" s="9"/>
      <c r="Y39" s="9"/>
      <c r="Z39" s="9"/>
      <c r="AA39" s="9"/>
      <c r="AB39" s="9"/>
      <c r="AC39" s="9"/>
      <c r="AD39" s="9" t="n">
        <v>500</v>
      </c>
      <c r="AE39" s="9"/>
      <c r="AF39" s="9"/>
      <c r="AG39" s="9"/>
      <c r="AH39" s="9"/>
      <c r="AI39" s="9"/>
      <c r="AJ39" s="9" t="n">
        <f aca="false">X39*$V39</f>
        <v>0</v>
      </c>
      <c r="AK39" s="9" t="n">
        <f aca="false">Y39*$V39</f>
        <v>0</v>
      </c>
      <c r="AL39" s="9" t="n">
        <f aca="false">Z39*$V39</f>
        <v>0</v>
      </c>
      <c r="AM39" s="9" t="n">
        <f aca="false">AA39*$V39</f>
        <v>0</v>
      </c>
      <c r="AN39" s="9" t="n">
        <f aca="false">AB39*$V39</f>
        <v>0</v>
      </c>
      <c r="AO39" s="9" t="n">
        <f aca="false">AC39*$V39</f>
        <v>0</v>
      </c>
      <c r="AP39" s="9" t="n">
        <f aca="false">AD39*$V39</f>
        <v>550</v>
      </c>
      <c r="AQ39" s="9" t="n">
        <f aca="false">AE39*$V39</f>
        <v>0</v>
      </c>
      <c r="AR39" s="9" t="n">
        <f aca="false">AF39*$V39</f>
        <v>0</v>
      </c>
      <c r="AS39" s="9" t="n">
        <f aca="false">AG39*$V39</f>
        <v>0</v>
      </c>
      <c r="AT39" s="9" t="n">
        <f aca="false">AH39*$V39</f>
        <v>0</v>
      </c>
      <c r="AU39" s="9" t="n">
        <f aca="false">AI39*$V39</f>
        <v>0</v>
      </c>
      <c r="AV39" s="9" t="n">
        <f aca="false">SUM(X39:AI39)/1000</f>
        <v>0.5</v>
      </c>
      <c r="AW39" s="9" t="n">
        <f aca="false">SUM(AJ39:AU39)</f>
        <v>550</v>
      </c>
      <c r="AX39" s="9" t="n">
        <f aca="false">IF(D39="INR",AW39/88.24,AW39)/1000000</f>
        <v>0.00055</v>
      </c>
    </row>
    <row r="40" s="2" customFormat="true" ht="14.25" hidden="false" customHeight="false" outlineLevel="0" collapsed="false">
      <c r="A40" s="9"/>
      <c r="B40" s="9" t="n">
        <v>1</v>
      </c>
      <c r="C40" s="10"/>
      <c r="D40" s="9" t="s">
        <v>102</v>
      </c>
      <c r="E40" s="9" t="s">
        <v>51</v>
      </c>
      <c r="F40" s="9" t="s">
        <v>52</v>
      </c>
      <c r="G40" s="9" t="s">
        <v>103</v>
      </c>
      <c r="H40" s="9" t="s">
        <v>104</v>
      </c>
      <c r="I40" s="9" t="s">
        <v>105</v>
      </c>
      <c r="J40" s="9" t="s">
        <v>106</v>
      </c>
      <c r="K40" s="9" t="s">
        <v>104</v>
      </c>
      <c r="L40" s="9" t="s">
        <v>105</v>
      </c>
      <c r="M40" s="9" t="s">
        <v>106</v>
      </c>
      <c r="N40" s="9" t="s">
        <v>57</v>
      </c>
      <c r="O40" s="9" t="s">
        <v>107</v>
      </c>
      <c r="P40" s="9" t="s">
        <v>108</v>
      </c>
      <c r="Q40" s="9" t="s">
        <v>108</v>
      </c>
      <c r="R40" s="9"/>
      <c r="S40" s="9"/>
      <c r="T40" s="9" t="s">
        <v>151</v>
      </c>
      <c r="U40" s="9" t="s">
        <v>63</v>
      </c>
      <c r="V40" s="9" t="n">
        <v>1.092</v>
      </c>
      <c r="W40" s="9"/>
      <c r="X40" s="9"/>
      <c r="Y40" s="9"/>
      <c r="Z40" s="9"/>
      <c r="AA40" s="9"/>
      <c r="AB40" s="9"/>
      <c r="AC40" s="9"/>
      <c r="AD40" s="9" t="n">
        <v>500</v>
      </c>
      <c r="AE40" s="9"/>
      <c r="AF40" s="9"/>
      <c r="AG40" s="9"/>
      <c r="AH40" s="9"/>
      <c r="AI40" s="9"/>
      <c r="AJ40" s="9" t="n">
        <f aca="false">X40*$V40</f>
        <v>0</v>
      </c>
      <c r="AK40" s="9" t="n">
        <f aca="false">Y40*$V40</f>
        <v>0</v>
      </c>
      <c r="AL40" s="9" t="n">
        <f aca="false">Z40*$V40</f>
        <v>0</v>
      </c>
      <c r="AM40" s="9" t="n">
        <f aca="false">AA40*$V40</f>
        <v>0</v>
      </c>
      <c r="AN40" s="9" t="n">
        <f aca="false">AB40*$V40</f>
        <v>0</v>
      </c>
      <c r="AO40" s="9" t="n">
        <f aca="false">AC40*$V40</f>
        <v>0</v>
      </c>
      <c r="AP40" s="9" t="n">
        <f aca="false">AD40*$V40</f>
        <v>546</v>
      </c>
      <c r="AQ40" s="9" t="n">
        <f aca="false">AE40*$V40</f>
        <v>0</v>
      </c>
      <c r="AR40" s="9" t="n">
        <f aca="false">AF40*$V40</f>
        <v>0</v>
      </c>
      <c r="AS40" s="9" t="n">
        <f aca="false">AG40*$V40</f>
        <v>0</v>
      </c>
      <c r="AT40" s="9" t="n">
        <f aca="false">AH40*$V40</f>
        <v>0</v>
      </c>
      <c r="AU40" s="9" t="n">
        <f aca="false">AI40*$V40</f>
        <v>0</v>
      </c>
      <c r="AV40" s="9" t="n">
        <f aca="false">SUM(X40:AI40)/1000</f>
        <v>0.5</v>
      </c>
      <c r="AW40" s="9" t="n">
        <f aca="false">SUM(AJ40:AU40)</f>
        <v>546</v>
      </c>
      <c r="AX40" s="9" t="n">
        <f aca="false">IF(D40="INR",AW40/88.24,AW40)/1000000</f>
        <v>0.000546</v>
      </c>
    </row>
    <row r="41" s="2" customFormat="true" ht="14.25" hidden="false" customHeight="false" outlineLevel="0" collapsed="false">
      <c r="A41" s="9"/>
      <c r="B41" s="9" t="n">
        <v>1</v>
      </c>
      <c r="C41" s="10"/>
      <c r="D41" s="9" t="s">
        <v>102</v>
      </c>
      <c r="E41" s="9" t="s">
        <v>51</v>
      </c>
      <c r="F41" s="9" t="s">
        <v>52</v>
      </c>
      <c r="G41" s="9" t="s">
        <v>103</v>
      </c>
      <c r="H41" s="9" t="s">
        <v>104</v>
      </c>
      <c r="I41" s="9" t="s">
        <v>105</v>
      </c>
      <c r="J41" s="9" t="s">
        <v>106</v>
      </c>
      <c r="K41" s="9" t="s">
        <v>104</v>
      </c>
      <c r="L41" s="9" t="s">
        <v>105</v>
      </c>
      <c r="M41" s="9" t="s">
        <v>106</v>
      </c>
      <c r="N41" s="9" t="s">
        <v>57</v>
      </c>
      <c r="O41" s="9" t="s">
        <v>107</v>
      </c>
      <c r="P41" s="9" t="s">
        <v>108</v>
      </c>
      <c r="Q41" s="16" t="s">
        <v>108</v>
      </c>
      <c r="R41" s="9"/>
      <c r="S41" s="9"/>
      <c r="T41" s="9" t="s">
        <v>152</v>
      </c>
      <c r="U41" s="9" t="s">
        <v>63</v>
      </c>
      <c r="V41" s="9" t="n">
        <v>1.05</v>
      </c>
      <c r="W41" s="9"/>
      <c r="X41" s="9"/>
      <c r="Y41" s="9"/>
      <c r="Z41" s="9"/>
      <c r="AA41" s="9"/>
      <c r="AB41" s="9"/>
      <c r="AC41" s="9"/>
      <c r="AD41" s="9" t="n">
        <v>500</v>
      </c>
      <c r="AE41" s="9"/>
      <c r="AF41" s="9"/>
      <c r="AG41" s="9"/>
      <c r="AH41" s="9"/>
      <c r="AI41" s="9"/>
      <c r="AJ41" s="9" t="n">
        <f aca="false">X41*$V41</f>
        <v>0</v>
      </c>
      <c r="AK41" s="9" t="n">
        <f aca="false">Y41*$V41</f>
        <v>0</v>
      </c>
      <c r="AL41" s="9" t="n">
        <f aca="false">Z41*$V41</f>
        <v>0</v>
      </c>
      <c r="AM41" s="9" t="n">
        <f aca="false">AA41*$V41</f>
        <v>0</v>
      </c>
      <c r="AN41" s="9" t="n">
        <f aca="false">AB41*$V41</f>
        <v>0</v>
      </c>
      <c r="AO41" s="9" t="n">
        <f aca="false">AC41*$V41</f>
        <v>0</v>
      </c>
      <c r="AP41" s="9" t="n">
        <f aca="false">AD41*$V41</f>
        <v>525</v>
      </c>
      <c r="AQ41" s="9" t="n">
        <f aca="false">AE41*$V41</f>
        <v>0</v>
      </c>
      <c r="AR41" s="9" t="n">
        <f aca="false">AF41*$V41</f>
        <v>0</v>
      </c>
      <c r="AS41" s="9" t="n">
        <f aca="false">AG41*$V41</f>
        <v>0</v>
      </c>
      <c r="AT41" s="9" t="n">
        <f aca="false">AH41*$V41</f>
        <v>0</v>
      </c>
      <c r="AU41" s="9" t="n">
        <f aca="false">AI41*$V41</f>
        <v>0</v>
      </c>
      <c r="AV41" s="9" t="n">
        <f aca="false">SUM(X41:AI41)/1000</f>
        <v>0.5</v>
      </c>
      <c r="AW41" s="9" t="n">
        <f aca="false">SUM(AJ41:AU41)</f>
        <v>525</v>
      </c>
      <c r="AX41" s="9" t="n">
        <f aca="false">IF(D41="INR",AW41/88.24,AW41)/1000000</f>
        <v>0.000525</v>
      </c>
    </row>
    <row r="42" s="2" customFormat="true" ht="14.25" hidden="false" customHeight="false" outlineLevel="0" collapsed="false">
      <c r="A42" s="28"/>
      <c r="B42" s="16" t="n">
        <v>1</v>
      </c>
      <c r="C42" s="16"/>
      <c r="D42" s="16" t="s">
        <v>102</v>
      </c>
      <c r="E42" s="16" t="s">
        <v>51</v>
      </c>
      <c r="F42" s="16" t="s">
        <v>52</v>
      </c>
      <c r="G42" s="16" t="s">
        <v>103</v>
      </c>
      <c r="H42" s="16" t="s">
        <v>104</v>
      </c>
      <c r="I42" s="16" t="s">
        <v>105</v>
      </c>
      <c r="J42" s="16" t="s">
        <v>106</v>
      </c>
      <c r="K42" s="16" t="s">
        <v>104</v>
      </c>
      <c r="L42" s="16" t="s">
        <v>105</v>
      </c>
      <c r="M42" s="16" t="s">
        <v>106</v>
      </c>
      <c r="N42" s="16" t="s">
        <v>57</v>
      </c>
      <c r="O42" s="16" t="s">
        <v>107</v>
      </c>
      <c r="P42" s="16" t="s">
        <v>108</v>
      </c>
      <c r="Q42" s="16" t="s">
        <v>108</v>
      </c>
      <c r="R42" s="16"/>
      <c r="S42" s="16"/>
      <c r="T42" s="16" t="s">
        <v>153</v>
      </c>
      <c r="U42" s="16" t="s">
        <v>63</v>
      </c>
      <c r="V42" s="16" t="n">
        <v>0.914</v>
      </c>
      <c r="W42" s="16"/>
      <c r="X42" s="16"/>
      <c r="Y42" s="16"/>
      <c r="Z42" s="16"/>
      <c r="AA42" s="16"/>
      <c r="AB42" s="16"/>
      <c r="AC42" s="16"/>
      <c r="AD42" s="16" t="n">
        <v>500</v>
      </c>
      <c r="AE42" s="16"/>
      <c r="AF42" s="16"/>
      <c r="AG42" s="16"/>
      <c r="AH42" s="16"/>
      <c r="AI42" s="16"/>
      <c r="AJ42" s="9" t="n">
        <f aca="false">X42*$V42</f>
        <v>0</v>
      </c>
      <c r="AK42" s="9" t="n">
        <f aca="false">Y42*$V42</f>
        <v>0</v>
      </c>
      <c r="AL42" s="9" t="n">
        <f aca="false">Z42*$V42</f>
        <v>0</v>
      </c>
      <c r="AM42" s="9" t="n">
        <f aca="false">AA42*$V42</f>
        <v>0</v>
      </c>
      <c r="AN42" s="9" t="n">
        <f aca="false">AB42*$V42</f>
        <v>0</v>
      </c>
      <c r="AO42" s="9" t="n">
        <f aca="false">AC42*$V42</f>
        <v>0</v>
      </c>
      <c r="AP42" s="9" t="n">
        <f aca="false">AD42*$V42</f>
        <v>457</v>
      </c>
      <c r="AQ42" s="9" t="n">
        <f aca="false">AE42*$V42</f>
        <v>0</v>
      </c>
      <c r="AR42" s="9" t="n">
        <f aca="false">AF42*$V42</f>
        <v>0</v>
      </c>
      <c r="AS42" s="9" t="n">
        <f aca="false">AG42*$V42</f>
        <v>0</v>
      </c>
      <c r="AT42" s="9" t="n">
        <f aca="false">AH42*$V42</f>
        <v>0</v>
      </c>
      <c r="AU42" s="9" t="n">
        <f aca="false">AI42*$V42</f>
        <v>0</v>
      </c>
      <c r="AV42" s="9" t="n">
        <f aca="false">SUM(X42:AI42)/1000</f>
        <v>0.5</v>
      </c>
      <c r="AW42" s="9" t="n">
        <f aca="false">SUM(AJ42:AU42)</f>
        <v>457</v>
      </c>
      <c r="AX42" s="9" t="n">
        <f aca="false">IF(D42="INR",AW42/88.24,AW42)/1000000</f>
        <v>0.000457</v>
      </c>
    </row>
    <row r="43" s="2" customFormat="true" ht="14.25" hidden="false" customHeight="false" outlineLevel="0" collapsed="false">
      <c r="A43" s="28"/>
      <c r="B43" s="16" t="n">
        <v>1</v>
      </c>
      <c r="C43" s="16"/>
      <c r="D43" s="16" t="s">
        <v>102</v>
      </c>
      <c r="E43" s="16" t="s">
        <v>51</v>
      </c>
      <c r="F43" s="16" t="s">
        <v>52</v>
      </c>
      <c r="G43" s="16" t="s">
        <v>103</v>
      </c>
      <c r="H43" s="16" t="s">
        <v>104</v>
      </c>
      <c r="I43" s="16" t="s">
        <v>105</v>
      </c>
      <c r="J43" s="16" t="s">
        <v>106</v>
      </c>
      <c r="K43" s="16" t="s">
        <v>104</v>
      </c>
      <c r="L43" s="16" t="s">
        <v>105</v>
      </c>
      <c r="M43" s="16" t="s">
        <v>106</v>
      </c>
      <c r="N43" s="16" t="s">
        <v>57</v>
      </c>
      <c r="O43" s="16" t="s">
        <v>107</v>
      </c>
      <c r="P43" s="16" t="s">
        <v>110</v>
      </c>
      <c r="Q43" s="16" t="s">
        <v>110</v>
      </c>
      <c r="R43" s="16" t="s">
        <v>137</v>
      </c>
      <c r="S43" s="16"/>
      <c r="T43" s="26" t="s">
        <v>154</v>
      </c>
      <c r="U43" s="16" t="s">
        <v>63</v>
      </c>
      <c r="V43" s="16" t="n">
        <v>0.9</v>
      </c>
      <c r="W43" s="16" t="n">
        <v>0.78</v>
      </c>
      <c r="X43" s="16"/>
      <c r="Y43" s="16"/>
      <c r="Z43" s="16"/>
      <c r="AA43" s="16"/>
      <c r="AB43" s="16"/>
      <c r="AC43" s="16"/>
      <c r="AD43" s="16" t="n">
        <v>500</v>
      </c>
      <c r="AE43" s="16"/>
      <c r="AF43" s="16"/>
      <c r="AG43" s="16"/>
      <c r="AH43" s="16"/>
      <c r="AI43" s="16"/>
      <c r="AJ43" s="9" t="n">
        <f aca="false">X43*$V43</f>
        <v>0</v>
      </c>
      <c r="AK43" s="9" t="n">
        <f aca="false">Y43*$V43</f>
        <v>0</v>
      </c>
      <c r="AL43" s="9" t="n">
        <f aca="false">Z43*$V43</f>
        <v>0</v>
      </c>
      <c r="AM43" s="9" t="n">
        <f aca="false">AA43*$V43</f>
        <v>0</v>
      </c>
      <c r="AN43" s="9" t="n">
        <f aca="false">AB43*$V43</f>
        <v>0</v>
      </c>
      <c r="AO43" s="9" t="n">
        <f aca="false">AC43*$V43</f>
        <v>0</v>
      </c>
      <c r="AP43" s="9" t="n">
        <f aca="false">AD43*$V43</f>
        <v>450</v>
      </c>
      <c r="AQ43" s="9" t="n">
        <f aca="false">AE43*$V43</f>
        <v>0</v>
      </c>
      <c r="AR43" s="9" t="n">
        <f aca="false">AF43*$V43</f>
        <v>0</v>
      </c>
      <c r="AS43" s="9" t="n">
        <f aca="false">AG43*$V43</f>
        <v>0</v>
      </c>
      <c r="AT43" s="9" t="n">
        <f aca="false">AH43*$V43</f>
        <v>0</v>
      </c>
      <c r="AU43" s="9" t="n">
        <f aca="false">AI43*$V43</f>
        <v>0</v>
      </c>
      <c r="AV43" s="9" t="n">
        <f aca="false">SUM(X43:AI43)/1000</f>
        <v>0.5</v>
      </c>
      <c r="AW43" s="9" t="n">
        <f aca="false">SUM(AJ43:AU43)</f>
        <v>450</v>
      </c>
      <c r="AX43" s="9" t="n">
        <f aca="false">IF(D43="INR",AW43/88.24,AW43)/1000000</f>
        <v>0.00045</v>
      </c>
    </row>
    <row r="44" s="2" customFormat="true" ht="14.25" hidden="false" customHeight="false" outlineLevel="0" collapsed="false">
      <c r="A44" s="16"/>
      <c r="B44" s="16" t="n">
        <v>1</v>
      </c>
      <c r="C44" s="16"/>
      <c r="D44" s="16" t="s">
        <v>102</v>
      </c>
      <c r="E44" s="16" t="s">
        <v>51</v>
      </c>
      <c r="F44" s="16" t="s">
        <v>52</v>
      </c>
      <c r="G44" s="16" t="s">
        <v>103</v>
      </c>
      <c r="H44" s="16" t="s">
        <v>104</v>
      </c>
      <c r="I44" s="16" t="s">
        <v>105</v>
      </c>
      <c r="J44" s="16" t="s">
        <v>106</v>
      </c>
      <c r="K44" s="16" t="s">
        <v>104</v>
      </c>
      <c r="L44" s="16" t="s">
        <v>105</v>
      </c>
      <c r="M44" s="16" t="s">
        <v>106</v>
      </c>
      <c r="N44" s="16" t="s">
        <v>57</v>
      </c>
      <c r="O44" s="16" t="s">
        <v>107</v>
      </c>
      <c r="P44" s="16" t="s">
        <v>155</v>
      </c>
      <c r="Q44" s="16" t="s">
        <v>155</v>
      </c>
      <c r="R44" s="16"/>
      <c r="S44" s="16"/>
      <c r="T44" s="29" t="s">
        <v>156</v>
      </c>
      <c r="U44" s="29" t="s">
        <v>63</v>
      </c>
      <c r="V44" s="16" t="n">
        <v>0.889</v>
      </c>
      <c r="W44" s="29"/>
      <c r="X44" s="29"/>
      <c r="Y44" s="29"/>
      <c r="Z44" s="29"/>
      <c r="AA44" s="29"/>
      <c r="AB44" s="29"/>
      <c r="AC44" s="29"/>
      <c r="AD44" s="29" t="n">
        <v>500</v>
      </c>
      <c r="AE44" s="29"/>
      <c r="AF44" s="29"/>
      <c r="AG44" s="29"/>
      <c r="AH44" s="29"/>
      <c r="AI44" s="29"/>
      <c r="AJ44" s="9" t="n">
        <f aca="false">X44*$V44</f>
        <v>0</v>
      </c>
      <c r="AK44" s="9" t="n">
        <f aca="false">Y44*$V44</f>
        <v>0</v>
      </c>
      <c r="AL44" s="9" t="n">
        <f aca="false">Z44*$V44</f>
        <v>0</v>
      </c>
      <c r="AM44" s="9" t="n">
        <f aca="false">AA44*$V44</f>
        <v>0</v>
      </c>
      <c r="AN44" s="9" t="n">
        <f aca="false">AB44*$V44</f>
        <v>0</v>
      </c>
      <c r="AO44" s="9" t="n">
        <f aca="false">AC44*$V44</f>
        <v>0</v>
      </c>
      <c r="AP44" s="9" t="n">
        <f aca="false">AD44*$V44</f>
        <v>444.5</v>
      </c>
      <c r="AQ44" s="9" t="n">
        <f aca="false">AE44*$V44</f>
        <v>0</v>
      </c>
      <c r="AR44" s="9" t="n">
        <f aca="false">AF44*$V44</f>
        <v>0</v>
      </c>
      <c r="AS44" s="9" t="n">
        <f aca="false">AG44*$V44</f>
        <v>0</v>
      </c>
      <c r="AT44" s="9" t="n">
        <f aca="false">AH44*$V44</f>
        <v>0</v>
      </c>
      <c r="AU44" s="9" t="n">
        <f aca="false">AI44*$V44</f>
        <v>0</v>
      </c>
      <c r="AV44" s="9" t="n">
        <f aca="false">SUM(X44:AI44)/1000</f>
        <v>0.5</v>
      </c>
      <c r="AW44" s="9" t="n">
        <f aca="false">SUM(AJ44:AU44)</f>
        <v>444.5</v>
      </c>
      <c r="AX44" s="9" t="n">
        <f aca="false">IF(D44="INR",AW44/88.24,AW44)/1000000</f>
        <v>0.0004445</v>
      </c>
    </row>
    <row r="45" s="2" customFormat="true" ht="14.25" hidden="false" customHeight="false" outlineLevel="0" collapsed="false">
      <c r="A45" s="16"/>
      <c r="B45" s="16" t="n">
        <v>1</v>
      </c>
      <c r="C45" s="16"/>
      <c r="D45" s="16" t="s">
        <v>102</v>
      </c>
      <c r="E45" s="16" t="s">
        <v>51</v>
      </c>
      <c r="F45" s="16" t="s">
        <v>52</v>
      </c>
      <c r="G45" s="16" t="s">
        <v>103</v>
      </c>
      <c r="H45" s="16" t="s">
        <v>104</v>
      </c>
      <c r="I45" s="16" t="s">
        <v>105</v>
      </c>
      <c r="J45" s="16" t="s">
        <v>106</v>
      </c>
      <c r="K45" s="16" t="s">
        <v>104</v>
      </c>
      <c r="L45" s="16" t="s">
        <v>105</v>
      </c>
      <c r="M45" s="16" t="s">
        <v>106</v>
      </c>
      <c r="N45" s="16" t="s">
        <v>57</v>
      </c>
      <c r="O45" s="16" t="s">
        <v>107</v>
      </c>
      <c r="P45" s="16" t="s">
        <v>108</v>
      </c>
      <c r="Q45" s="16" t="s">
        <v>108</v>
      </c>
      <c r="R45" s="16"/>
      <c r="S45" s="16"/>
      <c r="T45" s="16" t="s">
        <v>157</v>
      </c>
      <c r="U45" s="16" t="s">
        <v>63</v>
      </c>
      <c r="V45" s="16" t="n">
        <v>0.889</v>
      </c>
      <c r="W45" s="16"/>
      <c r="X45" s="16"/>
      <c r="Y45" s="16"/>
      <c r="Z45" s="16"/>
      <c r="AA45" s="29"/>
      <c r="AB45" s="29"/>
      <c r="AC45" s="16"/>
      <c r="AD45" s="16" t="n">
        <v>500</v>
      </c>
      <c r="AE45" s="16"/>
      <c r="AF45" s="29"/>
      <c r="AG45" s="29"/>
      <c r="AH45" s="29"/>
      <c r="AI45" s="29"/>
      <c r="AJ45" s="9" t="n">
        <f aca="false">X45*$V45</f>
        <v>0</v>
      </c>
      <c r="AK45" s="9" t="n">
        <f aca="false">Y45*$V45</f>
        <v>0</v>
      </c>
      <c r="AL45" s="9" t="n">
        <f aca="false">Z45*$V45</f>
        <v>0</v>
      </c>
      <c r="AM45" s="9" t="n">
        <f aca="false">AA45*$V45</f>
        <v>0</v>
      </c>
      <c r="AN45" s="9" t="n">
        <f aca="false">AB45*$V45</f>
        <v>0</v>
      </c>
      <c r="AO45" s="9" t="n">
        <f aca="false">AC45*$V45</f>
        <v>0</v>
      </c>
      <c r="AP45" s="9" t="n">
        <f aca="false">AD45*$V45</f>
        <v>444.5</v>
      </c>
      <c r="AQ45" s="9" t="n">
        <f aca="false">AE45*$V45</f>
        <v>0</v>
      </c>
      <c r="AR45" s="9" t="n">
        <f aca="false">AF45*$V45</f>
        <v>0</v>
      </c>
      <c r="AS45" s="9" t="n">
        <f aca="false">AG45*$V45</f>
        <v>0</v>
      </c>
      <c r="AT45" s="9" t="n">
        <f aca="false">AH45*$V45</f>
        <v>0</v>
      </c>
      <c r="AU45" s="9" t="n">
        <f aca="false">AI45*$V45</f>
        <v>0</v>
      </c>
      <c r="AV45" s="9" t="n">
        <f aca="false">SUM(X45:AI45)/1000</f>
        <v>0.5</v>
      </c>
      <c r="AW45" s="9" t="n">
        <f aca="false">SUM(AJ45:AU45)</f>
        <v>444.5</v>
      </c>
      <c r="AX45" s="9" t="n">
        <f aca="false">IF(D45="INR",AW45/88.24,AW45)/1000000</f>
        <v>0.0004445</v>
      </c>
    </row>
    <row r="46" s="2" customFormat="true" ht="14.25" hidden="false" customHeight="false" outlineLevel="0" collapsed="false">
      <c r="A46" s="9"/>
      <c r="B46" s="16" t="n">
        <v>1</v>
      </c>
      <c r="C46" s="9"/>
      <c r="D46" s="16" t="s">
        <v>102</v>
      </c>
      <c r="E46" s="9" t="s">
        <v>51</v>
      </c>
      <c r="F46" s="16" t="s">
        <v>52</v>
      </c>
      <c r="G46" s="9" t="s">
        <v>103</v>
      </c>
      <c r="H46" s="16" t="s">
        <v>104</v>
      </c>
      <c r="I46" s="9" t="s">
        <v>105</v>
      </c>
      <c r="J46" s="9" t="s">
        <v>106</v>
      </c>
      <c r="K46" s="9" t="s">
        <v>104</v>
      </c>
      <c r="L46" s="9" t="s">
        <v>105</v>
      </c>
      <c r="M46" s="9" t="s">
        <v>106</v>
      </c>
      <c r="N46" s="16" t="s">
        <v>57</v>
      </c>
      <c r="O46" s="9" t="s">
        <v>107</v>
      </c>
      <c r="P46" s="9" t="s">
        <v>145</v>
      </c>
      <c r="Q46" s="16" t="s">
        <v>145</v>
      </c>
      <c r="R46" s="9"/>
      <c r="S46" s="9"/>
      <c r="T46" s="9" t="s">
        <v>158</v>
      </c>
      <c r="U46" s="9" t="s">
        <v>63</v>
      </c>
      <c r="V46" s="9" t="n">
        <v>0.88</v>
      </c>
      <c r="W46" s="9"/>
      <c r="X46" s="9"/>
      <c r="Y46" s="9"/>
      <c r="Z46" s="9"/>
      <c r="AA46" s="9"/>
      <c r="AB46" s="9"/>
      <c r="AC46" s="9"/>
      <c r="AD46" s="9" t="n">
        <v>500</v>
      </c>
      <c r="AE46" s="9"/>
      <c r="AF46" s="9"/>
      <c r="AG46" s="9"/>
      <c r="AH46" s="9"/>
      <c r="AI46" s="9"/>
      <c r="AJ46" s="9" t="n">
        <f aca="false">X46*$V46</f>
        <v>0</v>
      </c>
      <c r="AK46" s="9" t="n">
        <f aca="false">Y46*$V46</f>
        <v>0</v>
      </c>
      <c r="AL46" s="9" t="n">
        <f aca="false">Z46*$V46</f>
        <v>0</v>
      </c>
      <c r="AM46" s="9" t="n">
        <f aca="false">AA46*$V46</f>
        <v>0</v>
      </c>
      <c r="AN46" s="9" t="n">
        <f aca="false">AB46*$V46</f>
        <v>0</v>
      </c>
      <c r="AO46" s="9" t="n">
        <f aca="false">AC46*$V46</f>
        <v>0</v>
      </c>
      <c r="AP46" s="9" t="n">
        <f aca="false">AD46*$V46</f>
        <v>440</v>
      </c>
      <c r="AQ46" s="9" t="n">
        <f aca="false">AE46*$V46</f>
        <v>0</v>
      </c>
      <c r="AR46" s="9" t="n">
        <f aca="false">AF46*$V46</f>
        <v>0</v>
      </c>
      <c r="AS46" s="9" t="n">
        <f aca="false">AG46*$V46</f>
        <v>0</v>
      </c>
      <c r="AT46" s="9" t="n">
        <f aca="false">AH46*$V46</f>
        <v>0</v>
      </c>
      <c r="AU46" s="9" t="n">
        <f aca="false">AI46*$V46</f>
        <v>0</v>
      </c>
      <c r="AV46" s="9" t="n">
        <f aca="false">SUM(X46:AI46)/1000</f>
        <v>0.5</v>
      </c>
      <c r="AW46" s="9" t="n">
        <f aca="false">SUM(AJ46:AU46)</f>
        <v>440</v>
      </c>
      <c r="AX46" s="9" t="n">
        <f aca="false">IF(D46="INR",AW46/88.24,AW46)/1000000</f>
        <v>0.00044</v>
      </c>
    </row>
    <row r="47" s="2" customFormat="true" ht="14.25" hidden="false" customHeight="false" outlineLevel="0" collapsed="false">
      <c r="A47" s="28"/>
      <c r="B47" s="16" t="n">
        <v>1</v>
      </c>
      <c r="C47" s="16"/>
      <c r="D47" s="16" t="s">
        <v>102</v>
      </c>
      <c r="E47" s="16" t="s">
        <v>51</v>
      </c>
      <c r="F47" s="16" t="s">
        <v>52</v>
      </c>
      <c r="G47" s="16" t="s">
        <v>103</v>
      </c>
      <c r="H47" s="16" t="s">
        <v>104</v>
      </c>
      <c r="I47" s="16" t="s">
        <v>105</v>
      </c>
      <c r="J47" s="16" t="s">
        <v>106</v>
      </c>
      <c r="K47" s="16" t="s">
        <v>104</v>
      </c>
      <c r="L47" s="16" t="s">
        <v>105</v>
      </c>
      <c r="M47" s="16" t="s">
        <v>106</v>
      </c>
      <c r="N47" s="16" t="s">
        <v>57</v>
      </c>
      <c r="O47" s="16" t="s">
        <v>107</v>
      </c>
      <c r="P47" s="16" t="s">
        <v>108</v>
      </c>
      <c r="Q47" s="16" t="s">
        <v>108</v>
      </c>
      <c r="R47" s="16"/>
      <c r="S47" s="16"/>
      <c r="T47" s="16" t="s">
        <v>159</v>
      </c>
      <c r="U47" s="16" t="s">
        <v>63</v>
      </c>
      <c r="V47" s="16" t="n">
        <v>0.872</v>
      </c>
      <c r="W47" s="26"/>
      <c r="X47" s="16"/>
      <c r="Y47" s="16"/>
      <c r="Z47" s="16"/>
      <c r="AA47" s="16"/>
      <c r="AB47" s="16"/>
      <c r="AC47" s="16"/>
      <c r="AD47" s="16" t="n">
        <v>500</v>
      </c>
      <c r="AE47" s="16"/>
      <c r="AF47" s="16"/>
      <c r="AG47" s="16"/>
      <c r="AH47" s="16"/>
      <c r="AI47" s="16"/>
      <c r="AJ47" s="9" t="n">
        <f aca="false">X47*$V47</f>
        <v>0</v>
      </c>
      <c r="AK47" s="9" t="n">
        <f aca="false">Y47*$V47</f>
        <v>0</v>
      </c>
      <c r="AL47" s="9" t="n">
        <f aca="false">Z47*$V47</f>
        <v>0</v>
      </c>
      <c r="AM47" s="9" t="n">
        <f aca="false">AA47*$V47</f>
        <v>0</v>
      </c>
      <c r="AN47" s="9" t="n">
        <f aca="false">AB47*$V47</f>
        <v>0</v>
      </c>
      <c r="AO47" s="9" t="n">
        <f aca="false">AC47*$V47</f>
        <v>0</v>
      </c>
      <c r="AP47" s="9" t="n">
        <f aca="false">AD47*$V47</f>
        <v>436</v>
      </c>
      <c r="AQ47" s="9" t="n">
        <f aca="false">AE47*$V47</f>
        <v>0</v>
      </c>
      <c r="AR47" s="9" t="n">
        <f aca="false">AF47*$V47</f>
        <v>0</v>
      </c>
      <c r="AS47" s="9" t="n">
        <f aca="false">AG47*$V47</f>
        <v>0</v>
      </c>
      <c r="AT47" s="9" t="n">
        <f aca="false">AH47*$V47</f>
        <v>0</v>
      </c>
      <c r="AU47" s="9" t="n">
        <f aca="false">AI47*$V47</f>
        <v>0</v>
      </c>
      <c r="AV47" s="9" t="n">
        <f aca="false">SUM(X47:AI47)/1000</f>
        <v>0.5</v>
      </c>
      <c r="AW47" s="9" t="n">
        <f aca="false">SUM(AJ47:AU47)</f>
        <v>436</v>
      </c>
      <c r="AX47" s="9" t="n">
        <f aca="false">IF(D47="INR",AW47/88.24,AW47)/1000000</f>
        <v>0.000436</v>
      </c>
    </row>
    <row r="48" s="2" customFormat="true" ht="14.25" hidden="false" customHeight="false" outlineLevel="0" collapsed="false">
      <c r="A48" s="28"/>
      <c r="B48" s="16" t="n">
        <v>1</v>
      </c>
      <c r="C48" s="16"/>
      <c r="D48" s="16" t="s">
        <v>102</v>
      </c>
      <c r="E48" s="16" t="s">
        <v>51</v>
      </c>
      <c r="F48" s="16" t="s">
        <v>52</v>
      </c>
      <c r="G48" s="16" t="s">
        <v>103</v>
      </c>
      <c r="H48" s="16" t="s">
        <v>104</v>
      </c>
      <c r="I48" s="16" t="s">
        <v>105</v>
      </c>
      <c r="J48" s="16" t="s">
        <v>106</v>
      </c>
      <c r="K48" s="16" t="s">
        <v>104</v>
      </c>
      <c r="L48" s="16" t="s">
        <v>105</v>
      </c>
      <c r="M48" s="16" t="s">
        <v>106</v>
      </c>
      <c r="N48" s="16" t="s">
        <v>57</v>
      </c>
      <c r="O48" s="16" t="s">
        <v>107</v>
      </c>
      <c r="P48" s="16" t="s">
        <v>110</v>
      </c>
      <c r="Q48" s="16" t="s">
        <v>110</v>
      </c>
      <c r="R48" s="16" t="s">
        <v>137</v>
      </c>
      <c r="S48" s="16"/>
      <c r="T48" s="16" t="s">
        <v>160</v>
      </c>
      <c r="U48" s="16" t="s">
        <v>63</v>
      </c>
      <c r="V48" s="16" t="n">
        <v>0.78</v>
      </c>
      <c r="W48" s="26" t="n">
        <v>0.9</v>
      </c>
      <c r="X48" s="16"/>
      <c r="Y48" s="16"/>
      <c r="Z48" s="16"/>
      <c r="AA48" s="16"/>
      <c r="AB48" s="16"/>
      <c r="AC48" s="16"/>
      <c r="AD48" s="16" t="n">
        <v>500</v>
      </c>
      <c r="AE48" s="16"/>
      <c r="AF48" s="16"/>
      <c r="AG48" s="16"/>
      <c r="AH48" s="16"/>
      <c r="AI48" s="16"/>
      <c r="AJ48" s="9" t="n">
        <f aca="false">X48*$V48</f>
        <v>0</v>
      </c>
      <c r="AK48" s="9" t="n">
        <f aca="false">Y48*$V48</f>
        <v>0</v>
      </c>
      <c r="AL48" s="9" t="n">
        <f aca="false">Z48*$V48</f>
        <v>0</v>
      </c>
      <c r="AM48" s="9" t="n">
        <f aca="false">AA48*$V48</f>
        <v>0</v>
      </c>
      <c r="AN48" s="9" t="n">
        <f aca="false">AB48*$V48</f>
        <v>0</v>
      </c>
      <c r="AO48" s="9" t="n">
        <f aca="false">AC48*$V48</f>
        <v>0</v>
      </c>
      <c r="AP48" s="9" t="n">
        <f aca="false">AD48*$V48</f>
        <v>390</v>
      </c>
      <c r="AQ48" s="9" t="n">
        <f aca="false">AE48*$V48</f>
        <v>0</v>
      </c>
      <c r="AR48" s="9" t="n">
        <f aca="false">AF48*$V48</f>
        <v>0</v>
      </c>
      <c r="AS48" s="9" t="n">
        <f aca="false">AG48*$V48</f>
        <v>0</v>
      </c>
      <c r="AT48" s="9" t="n">
        <f aca="false">AH48*$V48</f>
        <v>0</v>
      </c>
      <c r="AU48" s="9" t="n">
        <f aca="false">AI48*$V48</f>
        <v>0</v>
      </c>
      <c r="AV48" s="9" t="n">
        <f aca="false">SUM(X48:AI48)/1000</f>
        <v>0.5</v>
      </c>
      <c r="AW48" s="9" t="n">
        <f aca="false">SUM(AJ48:AU48)</f>
        <v>390</v>
      </c>
      <c r="AX48" s="9" t="n">
        <f aca="false">IF(D48="INR",AW48/88.24,AW48)/1000000</f>
        <v>0.00039</v>
      </c>
    </row>
    <row r="49" s="2" customFormat="true" ht="14.25" hidden="false" customHeight="false" outlineLevel="0" collapsed="false">
      <c r="A49" s="28"/>
      <c r="B49" s="16" t="n">
        <v>1</v>
      </c>
      <c r="C49" s="16"/>
      <c r="D49" s="16" t="s">
        <v>102</v>
      </c>
      <c r="E49" s="16" t="s">
        <v>51</v>
      </c>
      <c r="F49" s="16" t="s">
        <v>52</v>
      </c>
      <c r="G49" s="16" t="s">
        <v>103</v>
      </c>
      <c r="H49" s="16" t="s">
        <v>104</v>
      </c>
      <c r="I49" s="16" t="s">
        <v>105</v>
      </c>
      <c r="J49" s="16" t="s">
        <v>106</v>
      </c>
      <c r="K49" s="16" t="s">
        <v>104</v>
      </c>
      <c r="L49" s="16" t="s">
        <v>105</v>
      </c>
      <c r="M49" s="16" t="s">
        <v>106</v>
      </c>
      <c r="N49" s="16" t="s">
        <v>57</v>
      </c>
      <c r="O49" s="16" t="s">
        <v>107</v>
      </c>
      <c r="P49" s="16" t="s">
        <v>145</v>
      </c>
      <c r="Q49" s="16" t="s">
        <v>145</v>
      </c>
      <c r="R49" s="16"/>
      <c r="S49" s="16"/>
      <c r="T49" s="26" t="s">
        <v>161</v>
      </c>
      <c r="U49" s="16" t="s">
        <v>63</v>
      </c>
      <c r="V49" s="16" t="n">
        <v>0.73</v>
      </c>
      <c r="W49" s="16"/>
      <c r="X49" s="16"/>
      <c r="Y49" s="16"/>
      <c r="Z49" s="16"/>
      <c r="AA49" s="16"/>
      <c r="AB49" s="16"/>
      <c r="AC49" s="16"/>
      <c r="AD49" s="16" t="n">
        <v>500</v>
      </c>
      <c r="AE49" s="16"/>
      <c r="AF49" s="16"/>
      <c r="AG49" s="16"/>
      <c r="AH49" s="16"/>
      <c r="AI49" s="16"/>
      <c r="AJ49" s="9" t="n">
        <f aca="false">X49*$V49</f>
        <v>0</v>
      </c>
      <c r="AK49" s="9" t="n">
        <f aca="false">Y49*$V49</f>
        <v>0</v>
      </c>
      <c r="AL49" s="9" t="n">
        <f aca="false">Z49*$V49</f>
        <v>0</v>
      </c>
      <c r="AM49" s="9" t="n">
        <f aca="false">AA49*$V49</f>
        <v>0</v>
      </c>
      <c r="AN49" s="9" t="n">
        <f aca="false">AB49*$V49</f>
        <v>0</v>
      </c>
      <c r="AO49" s="9" t="n">
        <f aca="false">AC49*$V49</f>
        <v>0</v>
      </c>
      <c r="AP49" s="9" t="n">
        <f aca="false">AD49*$V49</f>
        <v>365</v>
      </c>
      <c r="AQ49" s="9" t="n">
        <f aca="false">AE49*$V49</f>
        <v>0</v>
      </c>
      <c r="AR49" s="9" t="n">
        <f aca="false">AF49*$V49</f>
        <v>0</v>
      </c>
      <c r="AS49" s="9" t="n">
        <f aca="false">AG49*$V49</f>
        <v>0</v>
      </c>
      <c r="AT49" s="9" t="n">
        <f aca="false">AH49*$V49</f>
        <v>0</v>
      </c>
      <c r="AU49" s="9" t="n">
        <f aca="false">AI49*$V49</f>
        <v>0</v>
      </c>
      <c r="AV49" s="9" t="n">
        <f aca="false">SUM(X49:AI49)/1000</f>
        <v>0.5</v>
      </c>
      <c r="AW49" s="9" t="n">
        <f aca="false">SUM(AJ49:AU49)</f>
        <v>365</v>
      </c>
      <c r="AX49" s="9" t="n">
        <f aca="false">IF(D49="INR",AW49/88.24,AW49)/1000000</f>
        <v>0.000365</v>
      </c>
    </row>
    <row r="50" s="2" customFormat="true" ht="14.25" hidden="false" customHeight="false" outlineLevel="0" collapsed="false">
      <c r="A50" s="9"/>
      <c r="B50" s="9" t="n">
        <v>1</v>
      </c>
      <c r="C50" s="9"/>
      <c r="D50" s="9" t="s">
        <v>102</v>
      </c>
      <c r="E50" s="16" t="s">
        <v>51</v>
      </c>
      <c r="F50" s="16" t="s">
        <v>52</v>
      </c>
      <c r="G50" s="16" t="s">
        <v>103</v>
      </c>
      <c r="H50" s="16" t="s">
        <v>104</v>
      </c>
      <c r="I50" s="9" t="s">
        <v>105</v>
      </c>
      <c r="J50" s="9" t="s">
        <v>106</v>
      </c>
      <c r="K50" s="9" t="s">
        <v>104</v>
      </c>
      <c r="L50" s="9" t="s">
        <v>105</v>
      </c>
      <c r="M50" s="9" t="s">
        <v>106</v>
      </c>
      <c r="N50" s="16" t="s">
        <v>57</v>
      </c>
      <c r="O50" s="9" t="s">
        <v>107</v>
      </c>
      <c r="P50" s="9" t="s">
        <v>162</v>
      </c>
      <c r="Q50" s="16" t="s">
        <v>162</v>
      </c>
      <c r="R50" s="9"/>
      <c r="S50" s="9"/>
      <c r="T50" s="9" t="s">
        <v>163</v>
      </c>
      <c r="U50" s="9" t="s">
        <v>63</v>
      </c>
      <c r="V50" s="16" t="n">
        <v>0.729</v>
      </c>
      <c r="W50" s="9"/>
      <c r="X50" s="16"/>
      <c r="Y50" s="16"/>
      <c r="Z50" s="16"/>
      <c r="AA50" s="16"/>
      <c r="AB50" s="16"/>
      <c r="AC50" s="16"/>
      <c r="AD50" s="16" t="n">
        <v>500</v>
      </c>
      <c r="AE50" s="9"/>
      <c r="AF50" s="9"/>
      <c r="AG50" s="9"/>
      <c r="AH50" s="9"/>
      <c r="AI50" s="9"/>
      <c r="AJ50" s="9" t="n">
        <f aca="false">X50*$V50</f>
        <v>0</v>
      </c>
      <c r="AK50" s="9" t="n">
        <f aca="false">Y50*$V50</f>
        <v>0</v>
      </c>
      <c r="AL50" s="9" t="n">
        <f aca="false">Z50*$V50</f>
        <v>0</v>
      </c>
      <c r="AM50" s="9" t="n">
        <f aca="false">AA50*$V50</f>
        <v>0</v>
      </c>
      <c r="AN50" s="9" t="n">
        <f aca="false">AB50*$V50</f>
        <v>0</v>
      </c>
      <c r="AO50" s="9" t="n">
        <f aca="false">AC50*$V50</f>
        <v>0</v>
      </c>
      <c r="AP50" s="9" t="n">
        <f aca="false">AD50*$V50</f>
        <v>364.5</v>
      </c>
      <c r="AQ50" s="9" t="n">
        <f aca="false">AE50*$V50</f>
        <v>0</v>
      </c>
      <c r="AR50" s="9" t="n">
        <f aca="false">AF50*$V50</f>
        <v>0</v>
      </c>
      <c r="AS50" s="9" t="n">
        <f aca="false">AG50*$V50</f>
        <v>0</v>
      </c>
      <c r="AT50" s="9" t="n">
        <f aca="false">AH50*$V50</f>
        <v>0</v>
      </c>
      <c r="AU50" s="9" t="n">
        <f aca="false">AI50*$V50</f>
        <v>0</v>
      </c>
      <c r="AV50" s="9" t="n">
        <f aca="false">SUM(X50:AI50)/1000</f>
        <v>0.5</v>
      </c>
      <c r="AW50" s="9" t="n">
        <f aca="false">SUM(AJ50:AU50)</f>
        <v>364.5</v>
      </c>
      <c r="AX50" s="9" t="n">
        <f aca="false">IF(D50="INR",AW50/88.24,AW50)/1000000</f>
        <v>0.0003645</v>
      </c>
    </row>
    <row r="51" s="2" customFormat="true" ht="14.25" hidden="false" customHeight="false" outlineLevel="0" collapsed="false">
      <c r="A51" s="9"/>
      <c r="B51" s="9" t="n">
        <v>1</v>
      </c>
      <c r="C51" s="15"/>
      <c r="D51" s="9" t="s">
        <v>102</v>
      </c>
      <c r="E51" s="9" t="s">
        <v>51</v>
      </c>
      <c r="F51" s="9" t="s">
        <v>52</v>
      </c>
      <c r="G51" s="9" t="s">
        <v>103</v>
      </c>
      <c r="H51" s="9" t="s">
        <v>104</v>
      </c>
      <c r="I51" s="9" t="s">
        <v>105</v>
      </c>
      <c r="J51" s="9" t="s">
        <v>106</v>
      </c>
      <c r="K51" s="9" t="s">
        <v>104</v>
      </c>
      <c r="L51" s="9" t="s">
        <v>105</v>
      </c>
      <c r="M51" s="9" t="s">
        <v>106</v>
      </c>
      <c r="N51" s="16" t="s">
        <v>57</v>
      </c>
      <c r="O51" s="9" t="s">
        <v>107</v>
      </c>
      <c r="P51" s="9" t="s">
        <v>134</v>
      </c>
      <c r="Q51" s="9" t="s">
        <v>134</v>
      </c>
      <c r="R51" s="9"/>
      <c r="S51" s="9"/>
      <c r="T51" s="9" t="s">
        <v>164</v>
      </c>
      <c r="U51" s="9" t="s">
        <v>63</v>
      </c>
      <c r="V51" s="9" t="n">
        <v>0.70817</v>
      </c>
      <c r="W51" s="9"/>
      <c r="X51" s="22"/>
      <c r="Y51" s="9"/>
      <c r="Z51" s="9"/>
      <c r="AA51" s="9"/>
      <c r="AB51" s="9"/>
      <c r="AC51" s="9"/>
      <c r="AD51" s="9" t="n">
        <v>500</v>
      </c>
      <c r="AE51" s="9"/>
      <c r="AF51" s="9"/>
      <c r="AG51" s="9"/>
      <c r="AH51" s="9"/>
      <c r="AI51" s="9"/>
      <c r="AJ51" s="9" t="n">
        <f aca="false">X51*$V51</f>
        <v>0</v>
      </c>
      <c r="AK51" s="9" t="n">
        <f aca="false">Y51*$V51</f>
        <v>0</v>
      </c>
      <c r="AL51" s="9" t="n">
        <f aca="false">Z51*$V51</f>
        <v>0</v>
      </c>
      <c r="AM51" s="9" t="n">
        <f aca="false">AA51*$V51</f>
        <v>0</v>
      </c>
      <c r="AN51" s="9" t="n">
        <f aca="false">AB51*$V51</f>
        <v>0</v>
      </c>
      <c r="AO51" s="9" t="n">
        <f aca="false">AC51*$V51</f>
        <v>0</v>
      </c>
      <c r="AP51" s="9" t="n">
        <f aca="false">AD51*$V51</f>
        <v>354.085</v>
      </c>
      <c r="AQ51" s="9" t="n">
        <f aca="false">AE51*$V51</f>
        <v>0</v>
      </c>
      <c r="AR51" s="9" t="n">
        <f aca="false">AF51*$V51</f>
        <v>0</v>
      </c>
      <c r="AS51" s="9" t="n">
        <f aca="false">AG51*$V51</f>
        <v>0</v>
      </c>
      <c r="AT51" s="9" t="n">
        <f aca="false">AH51*$V51</f>
        <v>0</v>
      </c>
      <c r="AU51" s="9" t="n">
        <f aca="false">AI51*$V51</f>
        <v>0</v>
      </c>
      <c r="AV51" s="9" t="n">
        <f aca="false">SUM(X51:AI51)/1000</f>
        <v>0.5</v>
      </c>
      <c r="AW51" s="9" t="n">
        <f aca="false">SUM(AJ51:AU51)</f>
        <v>354.085</v>
      </c>
      <c r="AX51" s="9" t="n">
        <f aca="false">IF(D51="INR",AW51/88.24,AW51)/1000000</f>
        <v>0.000354085</v>
      </c>
    </row>
    <row r="52" s="2" customFormat="true" ht="14.25" hidden="false" customHeight="false" outlineLevel="0" collapsed="false">
      <c r="A52" s="28"/>
      <c r="B52" s="16" t="n">
        <v>1</v>
      </c>
      <c r="C52" s="16"/>
      <c r="D52" s="16" t="s">
        <v>102</v>
      </c>
      <c r="E52" s="16" t="s">
        <v>51</v>
      </c>
      <c r="F52" s="16" t="s">
        <v>52</v>
      </c>
      <c r="G52" s="16" t="s">
        <v>103</v>
      </c>
      <c r="H52" s="16" t="s">
        <v>104</v>
      </c>
      <c r="I52" s="16" t="s">
        <v>105</v>
      </c>
      <c r="J52" s="16" t="s">
        <v>106</v>
      </c>
      <c r="K52" s="16" t="s">
        <v>104</v>
      </c>
      <c r="L52" s="16" t="s">
        <v>105</v>
      </c>
      <c r="M52" s="16" t="s">
        <v>106</v>
      </c>
      <c r="N52" s="16" t="s">
        <v>57</v>
      </c>
      <c r="O52" s="16" t="s">
        <v>107</v>
      </c>
      <c r="P52" s="16" t="s">
        <v>110</v>
      </c>
      <c r="Q52" s="16" t="s">
        <v>110</v>
      </c>
      <c r="R52" s="16"/>
      <c r="S52" s="16"/>
      <c r="T52" s="16" t="s">
        <v>165</v>
      </c>
      <c r="U52" s="16" t="s">
        <v>63</v>
      </c>
      <c r="V52" s="16" t="n">
        <v>0.66</v>
      </c>
      <c r="W52" s="16"/>
      <c r="X52" s="16"/>
      <c r="Y52" s="16"/>
      <c r="Z52" s="16"/>
      <c r="AA52" s="16"/>
      <c r="AB52" s="16"/>
      <c r="AC52" s="16"/>
      <c r="AD52" s="16" t="n">
        <v>500</v>
      </c>
      <c r="AE52" s="16"/>
      <c r="AF52" s="16"/>
      <c r="AG52" s="16"/>
      <c r="AH52" s="16"/>
      <c r="AI52" s="16"/>
      <c r="AJ52" s="9" t="n">
        <f aca="false">X52*$V52</f>
        <v>0</v>
      </c>
      <c r="AK52" s="9" t="n">
        <f aca="false">Y52*$V52</f>
        <v>0</v>
      </c>
      <c r="AL52" s="9" t="n">
        <f aca="false">Z52*$V52</f>
        <v>0</v>
      </c>
      <c r="AM52" s="9" t="n">
        <f aca="false">AA52*$V52</f>
        <v>0</v>
      </c>
      <c r="AN52" s="9" t="n">
        <f aca="false">AB52*$V52</f>
        <v>0</v>
      </c>
      <c r="AO52" s="9" t="n">
        <f aca="false">AC52*$V52</f>
        <v>0</v>
      </c>
      <c r="AP52" s="9" t="n">
        <f aca="false">AD52*$V52</f>
        <v>330</v>
      </c>
      <c r="AQ52" s="9" t="n">
        <f aca="false">AE52*$V52</f>
        <v>0</v>
      </c>
      <c r="AR52" s="9" t="n">
        <f aca="false">AF52*$V52</f>
        <v>0</v>
      </c>
      <c r="AS52" s="9" t="n">
        <f aca="false">AG52*$V52</f>
        <v>0</v>
      </c>
      <c r="AT52" s="9" t="n">
        <f aca="false">AH52*$V52</f>
        <v>0</v>
      </c>
      <c r="AU52" s="9" t="n">
        <f aca="false">AI52*$V52</f>
        <v>0</v>
      </c>
      <c r="AV52" s="9" t="n">
        <f aca="false">SUM(X52:AI52)/1000</f>
        <v>0.5</v>
      </c>
      <c r="AW52" s="9" t="n">
        <f aca="false">SUM(AJ52:AU52)</f>
        <v>330</v>
      </c>
      <c r="AX52" s="9" t="n">
        <f aca="false">IF(D52="INR",AW52/88.24,AW52)/1000000</f>
        <v>0.00033</v>
      </c>
    </row>
    <row r="53" s="2" customFormat="true" ht="14.25" hidden="false" customHeight="false" outlineLevel="0" collapsed="false">
      <c r="A53" s="28"/>
      <c r="B53" s="16" t="n">
        <v>1</v>
      </c>
      <c r="C53" s="16"/>
      <c r="D53" s="16" t="s">
        <v>102</v>
      </c>
      <c r="E53" s="16" t="s">
        <v>51</v>
      </c>
      <c r="F53" s="16" t="s">
        <v>52</v>
      </c>
      <c r="G53" s="16" t="s">
        <v>103</v>
      </c>
      <c r="H53" s="16" t="s">
        <v>104</v>
      </c>
      <c r="I53" s="16" t="s">
        <v>105</v>
      </c>
      <c r="J53" s="16" t="s">
        <v>106</v>
      </c>
      <c r="K53" s="16" t="s">
        <v>104</v>
      </c>
      <c r="L53" s="16" t="s">
        <v>105</v>
      </c>
      <c r="M53" s="16" t="s">
        <v>106</v>
      </c>
      <c r="N53" s="16" t="s">
        <v>57</v>
      </c>
      <c r="O53" s="16" t="s">
        <v>107</v>
      </c>
      <c r="P53" s="16" t="s">
        <v>145</v>
      </c>
      <c r="Q53" s="16" t="s">
        <v>145</v>
      </c>
      <c r="R53" s="16"/>
      <c r="S53" s="16"/>
      <c r="T53" s="16" t="s">
        <v>166</v>
      </c>
      <c r="U53" s="16" t="s">
        <v>63</v>
      </c>
      <c r="V53" s="16" t="n">
        <v>0.65882</v>
      </c>
      <c r="W53" s="26"/>
      <c r="X53" s="16"/>
      <c r="Y53" s="16"/>
      <c r="Z53" s="16"/>
      <c r="AA53" s="16"/>
      <c r="AB53" s="16"/>
      <c r="AC53" s="16"/>
      <c r="AD53" s="16" t="n">
        <v>500</v>
      </c>
      <c r="AE53" s="16"/>
      <c r="AF53" s="16"/>
      <c r="AG53" s="16"/>
      <c r="AH53" s="16"/>
      <c r="AI53" s="16"/>
      <c r="AJ53" s="9" t="n">
        <f aca="false">X53*$V53</f>
        <v>0</v>
      </c>
      <c r="AK53" s="9" t="n">
        <f aca="false">Y53*$V53</f>
        <v>0</v>
      </c>
      <c r="AL53" s="9" t="n">
        <f aca="false">Z53*$V53</f>
        <v>0</v>
      </c>
      <c r="AM53" s="9" t="n">
        <f aca="false">AA53*$V53</f>
        <v>0</v>
      </c>
      <c r="AN53" s="9" t="n">
        <f aca="false">AB53*$V53</f>
        <v>0</v>
      </c>
      <c r="AO53" s="9" t="n">
        <f aca="false">AC53*$V53</f>
        <v>0</v>
      </c>
      <c r="AP53" s="9" t="n">
        <f aca="false">AD53*$V53</f>
        <v>329.41</v>
      </c>
      <c r="AQ53" s="9" t="n">
        <f aca="false">AE53*$V53</f>
        <v>0</v>
      </c>
      <c r="AR53" s="9" t="n">
        <f aca="false">AF53*$V53</f>
        <v>0</v>
      </c>
      <c r="AS53" s="9" t="n">
        <f aca="false">AG53*$V53</f>
        <v>0</v>
      </c>
      <c r="AT53" s="9" t="n">
        <f aca="false">AH53*$V53</f>
        <v>0</v>
      </c>
      <c r="AU53" s="9" t="n">
        <f aca="false">AI53*$V53</f>
        <v>0</v>
      </c>
      <c r="AV53" s="9" t="n">
        <f aca="false">SUM(X53:AI53)/1000</f>
        <v>0.5</v>
      </c>
      <c r="AW53" s="9" t="n">
        <f aca="false">SUM(AJ53:AU53)</f>
        <v>329.41</v>
      </c>
      <c r="AX53" s="9" t="n">
        <f aca="false">IF(D53="INR",AW53/88.24,AW53)/1000000</f>
        <v>0.00032941</v>
      </c>
    </row>
    <row r="54" s="2" customFormat="true" ht="14.25" hidden="false" customHeight="false" outlineLevel="0" collapsed="false">
      <c r="A54" s="28"/>
      <c r="B54" s="16" t="n">
        <v>1</v>
      </c>
      <c r="C54" s="16"/>
      <c r="D54" s="16" t="s">
        <v>102</v>
      </c>
      <c r="E54" s="16" t="s">
        <v>51</v>
      </c>
      <c r="F54" s="16" t="s">
        <v>52</v>
      </c>
      <c r="G54" s="16" t="s">
        <v>103</v>
      </c>
      <c r="H54" s="16" t="s">
        <v>104</v>
      </c>
      <c r="I54" s="16" t="s">
        <v>105</v>
      </c>
      <c r="J54" s="16" t="s">
        <v>106</v>
      </c>
      <c r="K54" s="16" t="s">
        <v>104</v>
      </c>
      <c r="L54" s="16" t="s">
        <v>105</v>
      </c>
      <c r="M54" s="16" t="s">
        <v>106</v>
      </c>
      <c r="N54" s="16" t="s">
        <v>57</v>
      </c>
      <c r="O54" s="16" t="s">
        <v>107</v>
      </c>
      <c r="P54" s="16" t="s">
        <v>108</v>
      </c>
      <c r="Q54" s="16" t="s">
        <v>108</v>
      </c>
      <c r="R54" s="16"/>
      <c r="S54" s="16"/>
      <c r="T54" s="16" t="s">
        <v>148</v>
      </c>
      <c r="U54" s="16" t="s">
        <v>63</v>
      </c>
      <c r="V54" s="16" t="n">
        <v>0.64</v>
      </c>
      <c r="W54" s="16"/>
      <c r="X54" s="16"/>
      <c r="Y54" s="16"/>
      <c r="Z54" s="16"/>
      <c r="AA54" s="16"/>
      <c r="AB54" s="16"/>
      <c r="AC54" s="16"/>
      <c r="AD54" s="16" t="n">
        <v>500</v>
      </c>
      <c r="AE54" s="16"/>
      <c r="AF54" s="16"/>
      <c r="AG54" s="16"/>
      <c r="AH54" s="16"/>
      <c r="AI54" s="16"/>
      <c r="AJ54" s="9" t="n">
        <f aca="false">X54*$V54</f>
        <v>0</v>
      </c>
      <c r="AK54" s="9" t="n">
        <f aca="false">Y54*$V54</f>
        <v>0</v>
      </c>
      <c r="AL54" s="9" t="n">
        <f aca="false">Z54*$V54</f>
        <v>0</v>
      </c>
      <c r="AM54" s="9" t="n">
        <f aca="false">AA54*$V54</f>
        <v>0</v>
      </c>
      <c r="AN54" s="9" t="n">
        <f aca="false">AB54*$V54</f>
        <v>0</v>
      </c>
      <c r="AO54" s="9" t="n">
        <f aca="false">AC54*$V54</f>
        <v>0</v>
      </c>
      <c r="AP54" s="9" t="n">
        <f aca="false">AD54*$V54</f>
        <v>320</v>
      </c>
      <c r="AQ54" s="9" t="n">
        <f aca="false">AE54*$V54</f>
        <v>0</v>
      </c>
      <c r="AR54" s="9" t="n">
        <f aca="false">AF54*$V54</f>
        <v>0</v>
      </c>
      <c r="AS54" s="9" t="n">
        <f aca="false">AG54*$V54</f>
        <v>0</v>
      </c>
      <c r="AT54" s="9" t="n">
        <f aca="false">AH54*$V54</f>
        <v>0</v>
      </c>
      <c r="AU54" s="9" t="n">
        <f aca="false">AI54*$V54</f>
        <v>0</v>
      </c>
      <c r="AV54" s="9" t="n">
        <f aca="false">SUM(X54:AI54)/1000</f>
        <v>0.5</v>
      </c>
      <c r="AW54" s="9" t="n">
        <f aca="false">SUM(AJ54:AU54)</f>
        <v>320</v>
      </c>
      <c r="AX54" s="9" t="n">
        <f aca="false">IF(D54="INR",AW54/88.24,AW54)/1000000</f>
        <v>0.00032</v>
      </c>
    </row>
    <row r="55" s="2" customFormat="true" ht="14.25" hidden="false" customHeight="false" outlineLevel="0" collapsed="false">
      <c r="A55" s="28"/>
      <c r="B55" s="16" t="n">
        <v>1</v>
      </c>
      <c r="C55" s="16"/>
      <c r="D55" s="16" t="s">
        <v>102</v>
      </c>
      <c r="E55" s="16" t="s">
        <v>51</v>
      </c>
      <c r="F55" s="16" t="s">
        <v>52</v>
      </c>
      <c r="G55" s="16" t="s">
        <v>103</v>
      </c>
      <c r="H55" s="16" t="s">
        <v>104</v>
      </c>
      <c r="I55" s="16" t="s">
        <v>105</v>
      </c>
      <c r="J55" s="16" t="s">
        <v>106</v>
      </c>
      <c r="K55" s="16" t="s">
        <v>104</v>
      </c>
      <c r="L55" s="16" t="s">
        <v>105</v>
      </c>
      <c r="M55" s="16" t="s">
        <v>106</v>
      </c>
      <c r="N55" s="16" t="s">
        <v>57</v>
      </c>
      <c r="O55" s="16" t="s">
        <v>107</v>
      </c>
      <c r="P55" s="16" t="s">
        <v>167</v>
      </c>
      <c r="Q55" s="16" t="s">
        <v>167</v>
      </c>
      <c r="R55" s="16"/>
      <c r="S55" s="16"/>
      <c r="T55" s="16" t="s">
        <v>168</v>
      </c>
      <c r="U55" s="16" t="s">
        <v>63</v>
      </c>
      <c r="V55" s="16" t="n">
        <v>0.6199</v>
      </c>
      <c r="W55" s="16"/>
      <c r="X55" s="16"/>
      <c r="Y55" s="16"/>
      <c r="Z55" s="16"/>
      <c r="AA55" s="16"/>
      <c r="AB55" s="16"/>
      <c r="AC55" s="16"/>
      <c r="AD55" s="16" t="n">
        <v>500</v>
      </c>
      <c r="AE55" s="16"/>
      <c r="AF55" s="16"/>
      <c r="AG55" s="16"/>
      <c r="AH55" s="16"/>
      <c r="AI55" s="16"/>
      <c r="AJ55" s="9" t="n">
        <f aca="false">X55*$V55</f>
        <v>0</v>
      </c>
      <c r="AK55" s="9" t="n">
        <f aca="false">Y55*$V55</f>
        <v>0</v>
      </c>
      <c r="AL55" s="9" t="n">
        <f aca="false">Z55*$V55</f>
        <v>0</v>
      </c>
      <c r="AM55" s="9" t="n">
        <f aca="false">AA55*$V55</f>
        <v>0</v>
      </c>
      <c r="AN55" s="9" t="n">
        <f aca="false">AB55*$V55</f>
        <v>0</v>
      </c>
      <c r="AO55" s="9" t="n">
        <f aca="false">AC55*$V55</f>
        <v>0</v>
      </c>
      <c r="AP55" s="9" t="n">
        <f aca="false">AD55*$V55</f>
        <v>309.95</v>
      </c>
      <c r="AQ55" s="9" t="n">
        <f aca="false">AE55*$V55</f>
        <v>0</v>
      </c>
      <c r="AR55" s="9" t="n">
        <f aca="false">AF55*$V55</f>
        <v>0</v>
      </c>
      <c r="AS55" s="9" t="n">
        <f aca="false">AG55*$V55</f>
        <v>0</v>
      </c>
      <c r="AT55" s="9" t="n">
        <f aca="false">AH55*$V55</f>
        <v>0</v>
      </c>
      <c r="AU55" s="9" t="n">
        <f aca="false">AI55*$V55</f>
        <v>0</v>
      </c>
      <c r="AV55" s="9" t="n">
        <f aca="false">SUM(X55:AI55)/1000</f>
        <v>0.5</v>
      </c>
      <c r="AW55" s="9" t="n">
        <f aca="false">SUM(AJ55:AU55)</f>
        <v>309.95</v>
      </c>
      <c r="AX55" s="9" t="n">
        <f aca="false">IF(D55="INR",AW55/88.24,AW55)/1000000</f>
        <v>0.00030995</v>
      </c>
    </row>
    <row r="56" s="2" customFormat="true" ht="14.25" hidden="false" customHeight="false" outlineLevel="0" collapsed="false">
      <c r="A56" s="9"/>
      <c r="B56" s="9" t="n">
        <v>1</v>
      </c>
      <c r="C56" s="10"/>
      <c r="D56" s="16" t="s">
        <v>102</v>
      </c>
      <c r="E56" s="9" t="s">
        <v>51</v>
      </c>
      <c r="F56" s="9" t="s">
        <v>52</v>
      </c>
      <c r="G56" s="9" t="s">
        <v>103</v>
      </c>
      <c r="H56" s="16" t="s">
        <v>104</v>
      </c>
      <c r="I56" s="9" t="s">
        <v>105</v>
      </c>
      <c r="J56" s="9" t="s">
        <v>106</v>
      </c>
      <c r="K56" s="9" t="s">
        <v>104</v>
      </c>
      <c r="L56" s="9" t="s">
        <v>105</v>
      </c>
      <c r="M56" s="9" t="s">
        <v>106</v>
      </c>
      <c r="N56" s="16" t="s">
        <v>57</v>
      </c>
      <c r="O56" s="9" t="s">
        <v>107</v>
      </c>
      <c r="P56" s="9" t="s">
        <v>108</v>
      </c>
      <c r="Q56" s="9" t="s">
        <v>108</v>
      </c>
      <c r="R56" s="9"/>
      <c r="S56" s="9"/>
      <c r="T56" s="9" t="s">
        <v>169</v>
      </c>
      <c r="U56" s="9" t="s">
        <v>63</v>
      </c>
      <c r="V56" s="9" t="n">
        <v>0.57</v>
      </c>
      <c r="W56" s="9"/>
      <c r="X56" s="9"/>
      <c r="Y56" s="9"/>
      <c r="Z56" s="9"/>
      <c r="AA56" s="9"/>
      <c r="AB56" s="9"/>
      <c r="AC56" s="9"/>
      <c r="AD56" s="9" t="n">
        <v>500</v>
      </c>
      <c r="AE56" s="9"/>
      <c r="AF56" s="9"/>
      <c r="AG56" s="9"/>
      <c r="AH56" s="9"/>
      <c r="AI56" s="9"/>
      <c r="AJ56" s="9" t="n">
        <f aca="false">X56*$V56</f>
        <v>0</v>
      </c>
      <c r="AK56" s="9" t="n">
        <f aca="false">Y56*$V56</f>
        <v>0</v>
      </c>
      <c r="AL56" s="9" t="n">
        <f aca="false">Z56*$V56</f>
        <v>0</v>
      </c>
      <c r="AM56" s="9" t="n">
        <f aca="false">AA56*$V56</f>
        <v>0</v>
      </c>
      <c r="AN56" s="9" t="n">
        <f aca="false">AB56*$V56</f>
        <v>0</v>
      </c>
      <c r="AO56" s="9" t="n">
        <f aca="false">AC56*$V56</f>
        <v>0</v>
      </c>
      <c r="AP56" s="9" t="n">
        <f aca="false">AD56*$V56</f>
        <v>285</v>
      </c>
      <c r="AQ56" s="9" t="n">
        <f aca="false">AE56*$V56</f>
        <v>0</v>
      </c>
      <c r="AR56" s="9" t="n">
        <f aca="false">AF56*$V56</f>
        <v>0</v>
      </c>
      <c r="AS56" s="9" t="n">
        <f aca="false">AG56*$V56</f>
        <v>0</v>
      </c>
      <c r="AT56" s="9" t="n">
        <f aca="false">AH56*$V56</f>
        <v>0</v>
      </c>
      <c r="AU56" s="9" t="n">
        <f aca="false">AI56*$V56</f>
        <v>0</v>
      </c>
      <c r="AV56" s="9" t="n">
        <f aca="false">SUM(X56:AI56)/1000</f>
        <v>0.5</v>
      </c>
      <c r="AW56" s="9" t="n">
        <f aca="false">SUM(AJ56:AU56)</f>
        <v>285</v>
      </c>
      <c r="AX56" s="9" t="n">
        <f aca="false">IF(D56="INR",AW56/88.24,AW56)/1000000</f>
        <v>0.000285</v>
      </c>
    </row>
    <row r="57" s="2" customFormat="true" ht="14.25" hidden="false" customHeight="false" outlineLevel="0" collapsed="false">
      <c r="A57" s="28"/>
      <c r="B57" s="16" t="n">
        <v>1</v>
      </c>
      <c r="C57" s="16"/>
      <c r="D57" s="16" t="s">
        <v>102</v>
      </c>
      <c r="E57" s="16" t="s">
        <v>51</v>
      </c>
      <c r="F57" s="16" t="s">
        <v>52</v>
      </c>
      <c r="G57" s="16" t="s">
        <v>103</v>
      </c>
      <c r="H57" s="16" t="s">
        <v>104</v>
      </c>
      <c r="I57" s="16" t="s">
        <v>105</v>
      </c>
      <c r="J57" s="16" t="s">
        <v>106</v>
      </c>
      <c r="K57" s="16" t="s">
        <v>104</v>
      </c>
      <c r="L57" s="16" t="s">
        <v>105</v>
      </c>
      <c r="M57" s="16" t="s">
        <v>106</v>
      </c>
      <c r="N57" s="16" t="s">
        <v>57</v>
      </c>
      <c r="O57" s="16" t="s">
        <v>107</v>
      </c>
      <c r="P57" s="16" t="s">
        <v>170</v>
      </c>
      <c r="Q57" s="16" t="s">
        <v>170</v>
      </c>
      <c r="R57" s="16"/>
      <c r="S57" s="16"/>
      <c r="T57" s="16" t="s">
        <v>171</v>
      </c>
      <c r="U57" s="16" t="s">
        <v>63</v>
      </c>
      <c r="V57" s="16" t="n">
        <v>0.517</v>
      </c>
      <c r="W57" s="16"/>
      <c r="X57" s="16"/>
      <c r="Y57" s="16"/>
      <c r="Z57" s="16"/>
      <c r="AA57" s="16"/>
      <c r="AB57" s="16"/>
      <c r="AC57" s="16"/>
      <c r="AD57" s="16" t="n">
        <v>500</v>
      </c>
      <c r="AE57" s="16"/>
      <c r="AF57" s="16"/>
      <c r="AG57" s="16"/>
      <c r="AH57" s="16"/>
      <c r="AI57" s="16"/>
      <c r="AJ57" s="9" t="n">
        <f aca="false">X57*$V57</f>
        <v>0</v>
      </c>
      <c r="AK57" s="9" t="n">
        <f aca="false">Y57*$V57</f>
        <v>0</v>
      </c>
      <c r="AL57" s="9" t="n">
        <f aca="false">Z57*$V57</f>
        <v>0</v>
      </c>
      <c r="AM57" s="9" t="n">
        <f aca="false">AA57*$V57</f>
        <v>0</v>
      </c>
      <c r="AN57" s="9" t="n">
        <f aca="false">AB57*$V57</f>
        <v>0</v>
      </c>
      <c r="AO57" s="9" t="n">
        <f aca="false">AC57*$V57</f>
        <v>0</v>
      </c>
      <c r="AP57" s="9" t="n">
        <f aca="false">AD57*$V57</f>
        <v>258.5</v>
      </c>
      <c r="AQ57" s="9" t="n">
        <f aca="false">AE57*$V57</f>
        <v>0</v>
      </c>
      <c r="AR57" s="9" t="n">
        <f aca="false">AF57*$V57</f>
        <v>0</v>
      </c>
      <c r="AS57" s="9" t="n">
        <f aca="false">AG57*$V57</f>
        <v>0</v>
      </c>
      <c r="AT57" s="9" t="n">
        <f aca="false">AH57*$V57</f>
        <v>0</v>
      </c>
      <c r="AU57" s="9" t="n">
        <f aca="false">AI57*$V57</f>
        <v>0</v>
      </c>
      <c r="AV57" s="9" t="n">
        <f aca="false">SUM(X57:AI57)/1000</f>
        <v>0.5</v>
      </c>
      <c r="AW57" s="9" t="n">
        <f aca="false">SUM(AJ57:AU57)</f>
        <v>258.5</v>
      </c>
      <c r="AX57" s="9" t="n">
        <f aca="false">IF(D57="INR",AW57/88.24,AW57)/1000000</f>
        <v>0.0002585</v>
      </c>
    </row>
    <row r="58" s="2" customFormat="true" ht="14.25" hidden="false" customHeight="false" outlineLevel="0" collapsed="false">
      <c r="A58" s="28"/>
      <c r="B58" s="16" t="n">
        <v>1</v>
      </c>
      <c r="C58" s="15"/>
      <c r="D58" s="16" t="s">
        <v>102</v>
      </c>
      <c r="E58" s="16" t="s">
        <v>51</v>
      </c>
      <c r="F58" s="16" t="s">
        <v>52</v>
      </c>
      <c r="G58" s="16" t="s">
        <v>103</v>
      </c>
      <c r="H58" s="16" t="s">
        <v>104</v>
      </c>
      <c r="I58" s="16" t="s">
        <v>105</v>
      </c>
      <c r="J58" s="16" t="s">
        <v>106</v>
      </c>
      <c r="K58" s="16" t="s">
        <v>104</v>
      </c>
      <c r="L58" s="16" t="s">
        <v>105</v>
      </c>
      <c r="M58" s="16" t="s">
        <v>106</v>
      </c>
      <c r="N58" s="16" t="s">
        <v>57</v>
      </c>
      <c r="O58" s="16" t="s">
        <v>107</v>
      </c>
      <c r="P58" s="16" t="s">
        <v>155</v>
      </c>
      <c r="Q58" s="16" t="s">
        <v>155</v>
      </c>
      <c r="R58" s="16"/>
      <c r="S58" s="16"/>
      <c r="T58" s="16" t="s">
        <v>172</v>
      </c>
      <c r="U58" s="16" t="s">
        <v>63</v>
      </c>
      <c r="V58" s="16" t="n">
        <v>0.49</v>
      </c>
      <c r="W58" s="16"/>
      <c r="X58" s="16"/>
      <c r="Y58" s="16"/>
      <c r="Z58" s="16"/>
      <c r="AA58" s="16"/>
      <c r="AB58" s="16"/>
      <c r="AC58" s="16"/>
      <c r="AD58" s="16" t="n">
        <v>500</v>
      </c>
      <c r="AE58" s="16"/>
      <c r="AF58" s="16"/>
      <c r="AG58" s="16"/>
      <c r="AH58" s="16"/>
      <c r="AI58" s="16"/>
      <c r="AJ58" s="9" t="n">
        <f aca="false">X58*$V58</f>
        <v>0</v>
      </c>
      <c r="AK58" s="9" t="n">
        <f aca="false">Y58*$V58</f>
        <v>0</v>
      </c>
      <c r="AL58" s="9" t="n">
        <f aca="false">Z58*$V58</f>
        <v>0</v>
      </c>
      <c r="AM58" s="9" t="n">
        <f aca="false">AA58*$V58</f>
        <v>0</v>
      </c>
      <c r="AN58" s="9" t="n">
        <f aca="false">AB58*$V58</f>
        <v>0</v>
      </c>
      <c r="AO58" s="9" t="n">
        <f aca="false">AC58*$V58</f>
        <v>0</v>
      </c>
      <c r="AP58" s="9" t="n">
        <f aca="false">AD58*$V58</f>
        <v>245</v>
      </c>
      <c r="AQ58" s="9" t="n">
        <f aca="false">AE58*$V58</f>
        <v>0</v>
      </c>
      <c r="AR58" s="9" t="n">
        <f aca="false">AF58*$V58</f>
        <v>0</v>
      </c>
      <c r="AS58" s="9" t="n">
        <f aca="false">AG58*$V58</f>
        <v>0</v>
      </c>
      <c r="AT58" s="9" t="n">
        <f aca="false">AH58*$V58</f>
        <v>0</v>
      </c>
      <c r="AU58" s="9" t="n">
        <f aca="false">AI58*$V58</f>
        <v>0</v>
      </c>
      <c r="AV58" s="9" t="n">
        <f aca="false">SUM(X58:AI58)/1000</f>
        <v>0.5</v>
      </c>
      <c r="AW58" s="9" t="n">
        <f aca="false">SUM(AJ58:AU58)</f>
        <v>245</v>
      </c>
      <c r="AX58" s="9" t="n">
        <f aca="false">IF(D58="INR",AW58/88.24,AW58)/1000000</f>
        <v>0.000245</v>
      </c>
    </row>
    <row r="59" s="2" customFormat="true" ht="14.25" hidden="false" customHeight="false" outlineLevel="0" collapsed="false">
      <c r="A59" s="28"/>
      <c r="B59" s="16" t="n">
        <v>1</v>
      </c>
      <c r="C59" s="15"/>
      <c r="D59" s="16" t="s">
        <v>102</v>
      </c>
      <c r="E59" s="16" t="s">
        <v>51</v>
      </c>
      <c r="F59" s="16" t="s">
        <v>52</v>
      </c>
      <c r="G59" s="16" t="s">
        <v>103</v>
      </c>
      <c r="H59" s="16" t="s">
        <v>104</v>
      </c>
      <c r="I59" s="16" t="s">
        <v>105</v>
      </c>
      <c r="J59" s="16" t="s">
        <v>106</v>
      </c>
      <c r="K59" s="16" t="s">
        <v>104</v>
      </c>
      <c r="L59" s="16" t="s">
        <v>105</v>
      </c>
      <c r="M59" s="16" t="s">
        <v>106</v>
      </c>
      <c r="N59" s="16" t="s">
        <v>57</v>
      </c>
      <c r="O59" s="16" t="s">
        <v>107</v>
      </c>
      <c r="P59" s="16" t="s">
        <v>173</v>
      </c>
      <c r="Q59" s="16" t="s">
        <v>173</v>
      </c>
      <c r="R59" s="16"/>
      <c r="S59" s="16"/>
      <c r="T59" s="16" t="s">
        <v>174</v>
      </c>
      <c r="U59" s="16" t="s">
        <v>63</v>
      </c>
      <c r="V59" s="16" t="n">
        <v>0.46</v>
      </c>
      <c r="W59" s="16"/>
      <c r="X59" s="16"/>
      <c r="Y59" s="16"/>
      <c r="Z59" s="16"/>
      <c r="AA59" s="16"/>
      <c r="AB59" s="16"/>
      <c r="AC59" s="16"/>
      <c r="AD59" s="16" t="n">
        <v>500</v>
      </c>
      <c r="AE59" s="16"/>
      <c r="AF59" s="16"/>
      <c r="AG59" s="16"/>
      <c r="AH59" s="16"/>
      <c r="AI59" s="16"/>
      <c r="AJ59" s="9" t="n">
        <f aca="false">X59*$V59</f>
        <v>0</v>
      </c>
      <c r="AK59" s="9" t="n">
        <f aca="false">Y59*$V59</f>
        <v>0</v>
      </c>
      <c r="AL59" s="9" t="n">
        <f aca="false">Z59*$V59</f>
        <v>0</v>
      </c>
      <c r="AM59" s="9" t="n">
        <f aca="false">AA59*$V59</f>
        <v>0</v>
      </c>
      <c r="AN59" s="9" t="n">
        <f aca="false">AB59*$V59</f>
        <v>0</v>
      </c>
      <c r="AO59" s="9" t="n">
        <f aca="false">AC59*$V59</f>
        <v>0</v>
      </c>
      <c r="AP59" s="9" t="n">
        <f aca="false">AD59*$V59</f>
        <v>230</v>
      </c>
      <c r="AQ59" s="9" t="n">
        <f aca="false">AE59*$V59</f>
        <v>0</v>
      </c>
      <c r="AR59" s="9" t="n">
        <f aca="false">AF59*$V59</f>
        <v>0</v>
      </c>
      <c r="AS59" s="9" t="n">
        <f aca="false">AG59*$V59</f>
        <v>0</v>
      </c>
      <c r="AT59" s="9" t="n">
        <f aca="false">AH59*$V59</f>
        <v>0</v>
      </c>
      <c r="AU59" s="9" t="n">
        <f aca="false">AI59*$V59</f>
        <v>0</v>
      </c>
      <c r="AV59" s="9" t="n">
        <f aca="false">SUM(X59:AI59)/1000</f>
        <v>0.5</v>
      </c>
      <c r="AW59" s="9" t="n">
        <f aca="false">SUM(AJ59:AU59)</f>
        <v>230</v>
      </c>
      <c r="AX59" s="9" t="n">
        <f aca="false">IF(D59="INR",AW59/88.24,AW59)/1000000</f>
        <v>0.00023</v>
      </c>
    </row>
    <row r="60" s="2" customFormat="true" ht="14.25" hidden="false" customHeight="false" outlineLevel="0" collapsed="false">
      <c r="A60" s="28"/>
      <c r="B60" s="16" t="n">
        <v>1</v>
      </c>
      <c r="C60" s="15"/>
      <c r="D60" s="16" t="s">
        <v>102</v>
      </c>
      <c r="E60" s="16" t="s">
        <v>51</v>
      </c>
      <c r="F60" s="16" t="s">
        <v>52</v>
      </c>
      <c r="G60" s="16" t="s">
        <v>103</v>
      </c>
      <c r="H60" s="16" t="s">
        <v>104</v>
      </c>
      <c r="I60" s="16" t="s">
        <v>105</v>
      </c>
      <c r="J60" s="16" t="s">
        <v>106</v>
      </c>
      <c r="K60" s="16" t="s">
        <v>104</v>
      </c>
      <c r="L60" s="16" t="s">
        <v>105</v>
      </c>
      <c r="M60" s="16" t="s">
        <v>106</v>
      </c>
      <c r="N60" s="16" t="s">
        <v>57</v>
      </c>
      <c r="O60" s="16" t="s">
        <v>107</v>
      </c>
      <c r="P60" s="16" t="s">
        <v>170</v>
      </c>
      <c r="Q60" s="16" t="s">
        <v>170</v>
      </c>
      <c r="R60" s="16"/>
      <c r="S60" s="16"/>
      <c r="T60" s="16" t="s">
        <v>175</v>
      </c>
      <c r="U60" s="16" t="s">
        <v>63</v>
      </c>
      <c r="V60" s="16" t="n">
        <v>0.448</v>
      </c>
      <c r="W60" s="16"/>
      <c r="X60" s="16"/>
      <c r="Y60" s="16"/>
      <c r="Z60" s="16"/>
      <c r="AA60" s="16"/>
      <c r="AB60" s="16"/>
      <c r="AC60" s="16"/>
      <c r="AD60" s="16" t="n">
        <v>500</v>
      </c>
      <c r="AE60" s="16"/>
      <c r="AF60" s="16"/>
      <c r="AG60" s="16"/>
      <c r="AH60" s="16"/>
      <c r="AI60" s="16"/>
      <c r="AJ60" s="9" t="n">
        <f aca="false">X60*$V60</f>
        <v>0</v>
      </c>
      <c r="AK60" s="9" t="n">
        <f aca="false">Y60*$V60</f>
        <v>0</v>
      </c>
      <c r="AL60" s="9" t="n">
        <f aca="false">Z60*$V60</f>
        <v>0</v>
      </c>
      <c r="AM60" s="9" t="n">
        <f aca="false">AA60*$V60</f>
        <v>0</v>
      </c>
      <c r="AN60" s="9" t="n">
        <f aca="false">AB60*$V60</f>
        <v>0</v>
      </c>
      <c r="AO60" s="9" t="n">
        <f aca="false">AC60*$V60</f>
        <v>0</v>
      </c>
      <c r="AP60" s="9" t="n">
        <f aca="false">AD60*$V60</f>
        <v>224</v>
      </c>
      <c r="AQ60" s="9" t="n">
        <f aca="false">AE60*$V60</f>
        <v>0</v>
      </c>
      <c r="AR60" s="9" t="n">
        <f aca="false">AF60*$V60</f>
        <v>0</v>
      </c>
      <c r="AS60" s="9" t="n">
        <f aca="false">AG60*$V60</f>
        <v>0</v>
      </c>
      <c r="AT60" s="9" t="n">
        <f aca="false">AH60*$V60</f>
        <v>0</v>
      </c>
      <c r="AU60" s="9" t="n">
        <f aca="false">AI60*$V60</f>
        <v>0</v>
      </c>
      <c r="AV60" s="9" t="n">
        <f aca="false">SUM(X60:AI60)/1000</f>
        <v>0.5</v>
      </c>
      <c r="AW60" s="9" t="n">
        <f aca="false">SUM(AJ60:AU60)</f>
        <v>224</v>
      </c>
      <c r="AX60" s="9" t="n">
        <f aca="false">IF(D60="INR",AW60/88.24,AW60)/1000000</f>
        <v>0.000224</v>
      </c>
    </row>
    <row r="61" s="2" customFormat="true" ht="14.25" hidden="false" customHeight="false" outlineLevel="0" collapsed="false">
      <c r="A61" s="28"/>
      <c r="B61" s="16" t="n">
        <v>1</v>
      </c>
      <c r="C61" s="15"/>
      <c r="D61" s="16" t="s">
        <v>102</v>
      </c>
      <c r="E61" s="16" t="s">
        <v>51</v>
      </c>
      <c r="F61" s="16" t="s">
        <v>52</v>
      </c>
      <c r="G61" s="16" t="s">
        <v>103</v>
      </c>
      <c r="H61" s="16" t="s">
        <v>104</v>
      </c>
      <c r="I61" s="16" t="s">
        <v>105</v>
      </c>
      <c r="J61" s="16" t="s">
        <v>106</v>
      </c>
      <c r="K61" s="16" t="s">
        <v>104</v>
      </c>
      <c r="L61" s="16" t="s">
        <v>105</v>
      </c>
      <c r="M61" s="16" t="s">
        <v>106</v>
      </c>
      <c r="N61" s="16" t="s">
        <v>57</v>
      </c>
      <c r="O61" s="16" t="s">
        <v>107</v>
      </c>
      <c r="P61" s="16" t="s">
        <v>145</v>
      </c>
      <c r="Q61" s="16" t="s">
        <v>145</v>
      </c>
      <c r="R61" s="16"/>
      <c r="S61" s="16"/>
      <c r="T61" s="16" t="s">
        <v>176</v>
      </c>
      <c r="U61" s="16" t="s">
        <v>63</v>
      </c>
      <c r="V61" s="16" t="n">
        <v>0.44705</v>
      </c>
      <c r="W61" s="16"/>
      <c r="X61" s="16"/>
      <c r="Y61" s="16"/>
      <c r="Z61" s="16"/>
      <c r="AA61" s="16"/>
      <c r="AB61" s="16"/>
      <c r="AC61" s="16"/>
      <c r="AD61" s="16" t="n">
        <v>500</v>
      </c>
      <c r="AE61" s="16"/>
      <c r="AF61" s="16"/>
      <c r="AG61" s="16"/>
      <c r="AH61" s="16"/>
      <c r="AI61" s="16"/>
      <c r="AJ61" s="9" t="n">
        <f aca="false">X61*$V61</f>
        <v>0</v>
      </c>
      <c r="AK61" s="9" t="n">
        <f aca="false">Y61*$V61</f>
        <v>0</v>
      </c>
      <c r="AL61" s="9" t="n">
        <f aca="false">Z61*$V61</f>
        <v>0</v>
      </c>
      <c r="AM61" s="9" t="n">
        <f aca="false">AA61*$V61</f>
        <v>0</v>
      </c>
      <c r="AN61" s="9" t="n">
        <f aca="false">AB61*$V61</f>
        <v>0</v>
      </c>
      <c r="AO61" s="9" t="n">
        <f aca="false">AC61*$V61</f>
        <v>0</v>
      </c>
      <c r="AP61" s="9" t="n">
        <f aca="false">AD61*$V61</f>
        <v>223.525</v>
      </c>
      <c r="AQ61" s="9" t="n">
        <f aca="false">AE61*$V61</f>
        <v>0</v>
      </c>
      <c r="AR61" s="9" t="n">
        <f aca="false">AF61*$V61</f>
        <v>0</v>
      </c>
      <c r="AS61" s="9" t="n">
        <f aca="false">AG61*$V61</f>
        <v>0</v>
      </c>
      <c r="AT61" s="9" t="n">
        <f aca="false">AH61*$V61</f>
        <v>0</v>
      </c>
      <c r="AU61" s="9" t="n">
        <f aca="false">AI61*$V61</f>
        <v>0</v>
      </c>
      <c r="AV61" s="9" t="n">
        <f aca="false">SUM(X61:AI61)/1000</f>
        <v>0.5</v>
      </c>
      <c r="AW61" s="9" t="n">
        <f aca="false">SUM(AJ61:AU61)</f>
        <v>223.525</v>
      </c>
      <c r="AX61" s="9" t="n">
        <f aca="false">IF(D61="INR",AW61/88.24,AW61)/1000000</f>
        <v>0.000223525</v>
      </c>
    </row>
    <row r="62" s="2" customFormat="true" ht="14.25" hidden="false" customHeight="false" outlineLevel="0" collapsed="false">
      <c r="A62" s="28"/>
      <c r="B62" s="16" t="n">
        <v>1</v>
      </c>
      <c r="C62" s="15"/>
      <c r="D62" s="16" t="s">
        <v>102</v>
      </c>
      <c r="E62" s="16" t="s">
        <v>51</v>
      </c>
      <c r="F62" s="16" t="s">
        <v>52</v>
      </c>
      <c r="G62" s="16" t="s">
        <v>103</v>
      </c>
      <c r="H62" s="16" t="s">
        <v>104</v>
      </c>
      <c r="I62" s="16" t="s">
        <v>105</v>
      </c>
      <c r="J62" s="16" t="s">
        <v>106</v>
      </c>
      <c r="K62" s="16" t="s">
        <v>104</v>
      </c>
      <c r="L62" s="16" t="s">
        <v>105</v>
      </c>
      <c r="M62" s="16" t="s">
        <v>106</v>
      </c>
      <c r="N62" s="16" t="s">
        <v>57</v>
      </c>
      <c r="O62" s="16" t="s">
        <v>107</v>
      </c>
      <c r="P62" s="16" t="s">
        <v>145</v>
      </c>
      <c r="Q62" s="16" t="s">
        <v>145</v>
      </c>
      <c r="R62" s="16"/>
      <c r="S62" s="16"/>
      <c r="T62" s="16" t="s">
        <v>176</v>
      </c>
      <c r="U62" s="16" t="s">
        <v>63</v>
      </c>
      <c r="V62" s="16" t="n">
        <v>0.44705</v>
      </c>
      <c r="W62" s="16"/>
      <c r="X62" s="16"/>
      <c r="Y62" s="16"/>
      <c r="Z62" s="16"/>
      <c r="AA62" s="16"/>
      <c r="AB62" s="16"/>
      <c r="AC62" s="16"/>
      <c r="AD62" s="16" t="n">
        <v>500</v>
      </c>
      <c r="AE62" s="16"/>
      <c r="AF62" s="16"/>
      <c r="AG62" s="16"/>
      <c r="AH62" s="16"/>
      <c r="AI62" s="16"/>
      <c r="AJ62" s="9" t="n">
        <f aca="false">X62*$V62</f>
        <v>0</v>
      </c>
      <c r="AK62" s="9" t="n">
        <f aca="false">Y62*$V62</f>
        <v>0</v>
      </c>
      <c r="AL62" s="9" t="n">
        <f aca="false">Z62*$V62</f>
        <v>0</v>
      </c>
      <c r="AM62" s="9" t="n">
        <f aca="false">AA62*$V62</f>
        <v>0</v>
      </c>
      <c r="AN62" s="9" t="n">
        <f aca="false">AB62*$V62</f>
        <v>0</v>
      </c>
      <c r="AO62" s="9" t="n">
        <f aca="false">AC62*$V62</f>
        <v>0</v>
      </c>
      <c r="AP62" s="9" t="n">
        <f aca="false">AD62*$V62</f>
        <v>223.525</v>
      </c>
      <c r="AQ62" s="9" t="n">
        <f aca="false">AE62*$V62</f>
        <v>0</v>
      </c>
      <c r="AR62" s="9" t="n">
        <f aca="false">AF62*$V62</f>
        <v>0</v>
      </c>
      <c r="AS62" s="9" t="n">
        <f aca="false">AG62*$V62</f>
        <v>0</v>
      </c>
      <c r="AT62" s="9" t="n">
        <f aca="false">AH62*$V62</f>
        <v>0</v>
      </c>
      <c r="AU62" s="9" t="n">
        <f aca="false">AI62*$V62</f>
        <v>0</v>
      </c>
      <c r="AV62" s="9" t="n">
        <f aca="false">SUM(X62:AI62)/1000</f>
        <v>0.5</v>
      </c>
      <c r="AW62" s="9" t="n">
        <f aca="false">SUM(AJ62:AU62)</f>
        <v>223.525</v>
      </c>
      <c r="AX62" s="9" t="n">
        <f aca="false">IF(D62="INR",AW62/88.24,AW62)/1000000</f>
        <v>0.000223525</v>
      </c>
    </row>
    <row r="63" s="2" customFormat="true" ht="14.25" hidden="false" customHeight="false" outlineLevel="0" collapsed="false">
      <c r="A63" s="28"/>
      <c r="B63" s="16" t="n">
        <v>1</v>
      </c>
      <c r="C63" s="15"/>
      <c r="D63" s="16" t="s">
        <v>102</v>
      </c>
      <c r="E63" s="16" t="s">
        <v>51</v>
      </c>
      <c r="F63" s="16" t="s">
        <v>52</v>
      </c>
      <c r="G63" s="16" t="s">
        <v>103</v>
      </c>
      <c r="H63" s="16" t="s">
        <v>104</v>
      </c>
      <c r="I63" s="16" t="s">
        <v>105</v>
      </c>
      <c r="J63" s="16" t="s">
        <v>106</v>
      </c>
      <c r="K63" s="16" t="s">
        <v>104</v>
      </c>
      <c r="L63" s="16" t="s">
        <v>105</v>
      </c>
      <c r="M63" s="16" t="s">
        <v>106</v>
      </c>
      <c r="N63" s="16" t="s">
        <v>57</v>
      </c>
      <c r="O63" s="16" t="s">
        <v>107</v>
      </c>
      <c r="P63" s="16" t="s">
        <v>145</v>
      </c>
      <c r="Q63" s="16" t="s">
        <v>145</v>
      </c>
      <c r="R63" s="16"/>
      <c r="S63" s="16"/>
      <c r="T63" s="16" t="s">
        <v>176</v>
      </c>
      <c r="U63" s="16" t="s">
        <v>63</v>
      </c>
      <c r="V63" s="16" t="n">
        <v>0.44705</v>
      </c>
      <c r="W63" s="16"/>
      <c r="X63" s="16"/>
      <c r="Y63" s="16"/>
      <c r="Z63" s="16"/>
      <c r="AA63" s="16"/>
      <c r="AB63" s="16"/>
      <c r="AC63" s="16"/>
      <c r="AD63" s="16" t="n">
        <v>500</v>
      </c>
      <c r="AE63" s="16"/>
      <c r="AF63" s="16"/>
      <c r="AG63" s="16"/>
      <c r="AH63" s="16"/>
      <c r="AI63" s="16"/>
      <c r="AJ63" s="9" t="n">
        <f aca="false">X63*$V63</f>
        <v>0</v>
      </c>
      <c r="AK63" s="9" t="n">
        <f aca="false">Y63*$V63</f>
        <v>0</v>
      </c>
      <c r="AL63" s="9" t="n">
        <f aca="false">Z63*$V63</f>
        <v>0</v>
      </c>
      <c r="AM63" s="9" t="n">
        <f aca="false">AA63*$V63</f>
        <v>0</v>
      </c>
      <c r="AN63" s="9" t="n">
        <f aca="false">AB63*$V63</f>
        <v>0</v>
      </c>
      <c r="AO63" s="9" t="n">
        <f aca="false">AC63*$V63</f>
        <v>0</v>
      </c>
      <c r="AP63" s="9" t="n">
        <f aca="false">AD63*$V63</f>
        <v>223.525</v>
      </c>
      <c r="AQ63" s="9" t="n">
        <f aca="false">AE63*$V63</f>
        <v>0</v>
      </c>
      <c r="AR63" s="9" t="n">
        <f aca="false">AF63*$V63</f>
        <v>0</v>
      </c>
      <c r="AS63" s="9" t="n">
        <f aca="false">AG63*$V63</f>
        <v>0</v>
      </c>
      <c r="AT63" s="9" t="n">
        <f aca="false">AH63*$V63</f>
        <v>0</v>
      </c>
      <c r="AU63" s="9" t="n">
        <f aca="false">AI63*$V63</f>
        <v>0</v>
      </c>
      <c r="AV63" s="9" t="n">
        <f aca="false">SUM(X63:AI63)/1000</f>
        <v>0.5</v>
      </c>
      <c r="AW63" s="9" t="n">
        <f aca="false">SUM(AJ63:AU63)</f>
        <v>223.525</v>
      </c>
      <c r="AX63" s="9" t="n">
        <f aca="false">IF(D63="INR",AW63/88.24,AW63)/1000000</f>
        <v>0.000223525</v>
      </c>
    </row>
    <row r="64" s="2" customFormat="true" ht="14.25" hidden="false" customHeight="false" outlineLevel="0" collapsed="false">
      <c r="A64" s="28"/>
      <c r="B64" s="16" t="n">
        <v>1</v>
      </c>
      <c r="C64" s="15"/>
      <c r="D64" s="16" t="s">
        <v>102</v>
      </c>
      <c r="E64" s="16" t="s">
        <v>51</v>
      </c>
      <c r="F64" s="16" t="s">
        <v>52</v>
      </c>
      <c r="G64" s="16" t="s">
        <v>103</v>
      </c>
      <c r="H64" s="16" t="s">
        <v>104</v>
      </c>
      <c r="I64" s="16" t="s">
        <v>105</v>
      </c>
      <c r="J64" s="16" t="s">
        <v>106</v>
      </c>
      <c r="K64" s="16" t="s">
        <v>104</v>
      </c>
      <c r="L64" s="16" t="s">
        <v>105</v>
      </c>
      <c r="M64" s="16" t="s">
        <v>106</v>
      </c>
      <c r="N64" s="16" t="s">
        <v>57</v>
      </c>
      <c r="O64" s="16" t="s">
        <v>107</v>
      </c>
      <c r="P64" s="16" t="s">
        <v>170</v>
      </c>
      <c r="Q64" s="16" t="s">
        <v>170</v>
      </c>
      <c r="R64" s="16"/>
      <c r="S64" s="16"/>
      <c r="T64" s="16" t="s">
        <v>177</v>
      </c>
      <c r="U64" s="16" t="s">
        <v>63</v>
      </c>
      <c r="V64" s="16" t="n">
        <v>0.437</v>
      </c>
      <c r="W64" s="16"/>
      <c r="X64" s="16"/>
      <c r="Y64" s="16"/>
      <c r="Z64" s="16"/>
      <c r="AA64" s="16"/>
      <c r="AB64" s="16"/>
      <c r="AC64" s="16"/>
      <c r="AD64" s="16" t="n">
        <v>500</v>
      </c>
      <c r="AE64" s="16"/>
      <c r="AF64" s="16"/>
      <c r="AG64" s="16"/>
      <c r="AH64" s="16"/>
      <c r="AI64" s="16"/>
      <c r="AJ64" s="9" t="n">
        <f aca="false">X64*$V64</f>
        <v>0</v>
      </c>
      <c r="AK64" s="9" t="n">
        <f aca="false">Y64*$V64</f>
        <v>0</v>
      </c>
      <c r="AL64" s="9" t="n">
        <f aca="false">Z64*$V64</f>
        <v>0</v>
      </c>
      <c r="AM64" s="9" t="n">
        <f aca="false">AA64*$V64</f>
        <v>0</v>
      </c>
      <c r="AN64" s="9" t="n">
        <f aca="false">AB64*$V64</f>
        <v>0</v>
      </c>
      <c r="AO64" s="9" t="n">
        <f aca="false">AC64*$V64</f>
        <v>0</v>
      </c>
      <c r="AP64" s="9" t="n">
        <f aca="false">AD64*$V64</f>
        <v>218.5</v>
      </c>
      <c r="AQ64" s="9" t="n">
        <f aca="false">AE64*$V64</f>
        <v>0</v>
      </c>
      <c r="AR64" s="9" t="n">
        <f aca="false">AF64*$V64</f>
        <v>0</v>
      </c>
      <c r="AS64" s="9" t="n">
        <f aca="false">AG64*$V64</f>
        <v>0</v>
      </c>
      <c r="AT64" s="9" t="n">
        <f aca="false">AH64*$V64</f>
        <v>0</v>
      </c>
      <c r="AU64" s="9" t="n">
        <f aca="false">AI64*$V64</f>
        <v>0</v>
      </c>
      <c r="AV64" s="9" t="n">
        <f aca="false">SUM(X64:AI64)/1000</f>
        <v>0.5</v>
      </c>
      <c r="AW64" s="9" t="n">
        <f aca="false">SUM(AJ64:AU64)</f>
        <v>218.5</v>
      </c>
      <c r="AX64" s="9" t="n">
        <f aca="false">IF(D64="INR",AW64/88.24,AW64)/1000000</f>
        <v>0.0002185</v>
      </c>
    </row>
    <row r="65" s="2" customFormat="true" ht="14.25" hidden="false" customHeight="false" outlineLevel="0" collapsed="false">
      <c r="A65" s="28"/>
      <c r="B65" s="16" t="n">
        <v>1</v>
      </c>
      <c r="C65" s="15"/>
      <c r="D65" s="16" t="s">
        <v>102</v>
      </c>
      <c r="E65" s="16" t="s">
        <v>51</v>
      </c>
      <c r="F65" s="16" t="s">
        <v>52</v>
      </c>
      <c r="G65" s="16" t="s">
        <v>103</v>
      </c>
      <c r="H65" s="16" t="s">
        <v>104</v>
      </c>
      <c r="I65" s="16" t="s">
        <v>105</v>
      </c>
      <c r="J65" s="16" t="s">
        <v>106</v>
      </c>
      <c r="K65" s="16" t="s">
        <v>104</v>
      </c>
      <c r="L65" s="16" t="s">
        <v>105</v>
      </c>
      <c r="M65" s="16" t="s">
        <v>106</v>
      </c>
      <c r="N65" s="16" t="s">
        <v>57</v>
      </c>
      <c r="O65" s="16" t="s">
        <v>107</v>
      </c>
      <c r="P65" s="16" t="s">
        <v>170</v>
      </c>
      <c r="Q65" s="16" t="s">
        <v>170</v>
      </c>
      <c r="R65" s="16"/>
      <c r="S65" s="16"/>
      <c r="T65" s="16" t="s">
        <v>178</v>
      </c>
      <c r="U65" s="16" t="s">
        <v>63</v>
      </c>
      <c r="V65" s="16" t="n">
        <v>0.437</v>
      </c>
      <c r="W65" s="16"/>
      <c r="X65" s="16"/>
      <c r="Y65" s="16"/>
      <c r="Z65" s="16"/>
      <c r="AA65" s="16"/>
      <c r="AB65" s="16"/>
      <c r="AC65" s="16"/>
      <c r="AD65" s="16" t="n">
        <v>500</v>
      </c>
      <c r="AE65" s="16"/>
      <c r="AF65" s="16"/>
      <c r="AG65" s="16"/>
      <c r="AH65" s="16"/>
      <c r="AI65" s="16"/>
      <c r="AJ65" s="9" t="n">
        <f aca="false">X65*$V65</f>
        <v>0</v>
      </c>
      <c r="AK65" s="9" t="n">
        <f aca="false">Y65*$V65</f>
        <v>0</v>
      </c>
      <c r="AL65" s="9" t="n">
        <f aca="false">Z65*$V65</f>
        <v>0</v>
      </c>
      <c r="AM65" s="9" t="n">
        <f aca="false">AA65*$V65</f>
        <v>0</v>
      </c>
      <c r="AN65" s="9" t="n">
        <f aca="false">AB65*$V65</f>
        <v>0</v>
      </c>
      <c r="AO65" s="9" t="n">
        <f aca="false">AC65*$V65</f>
        <v>0</v>
      </c>
      <c r="AP65" s="9" t="n">
        <f aca="false">AD65*$V65</f>
        <v>218.5</v>
      </c>
      <c r="AQ65" s="9" t="n">
        <f aca="false">AE65*$V65</f>
        <v>0</v>
      </c>
      <c r="AR65" s="9" t="n">
        <f aca="false">AF65*$V65</f>
        <v>0</v>
      </c>
      <c r="AS65" s="9" t="n">
        <f aca="false">AG65*$V65</f>
        <v>0</v>
      </c>
      <c r="AT65" s="9" t="n">
        <f aca="false">AH65*$V65</f>
        <v>0</v>
      </c>
      <c r="AU65" s="9" t="n">
        <f aca="false">AI65*$V65</f>
        <v>0</v>
      </c>
      <c r="AV65" s="9" t="n">
        <f aca="false">SUM(X65:AI65)/1000</f>
        <v>0.5</v>
      </c>
      <c r="AW65" s="9" t="n">
        <f aca="false">SUM(AJ65:AU65)</f>
        <v>218.5</v>
      </c>
      <c r="AX65" s="9" t="n">
        <f aca="false">IF(D65="INR",AW65/88.24,AW65)/1000000</f>
        <v>0.0002185</v>
      </c>
    </row>
    <row r="66" s="2" customFormat="true" ht="14.25" hidden="false" customHeight="false" outlineLevel="0" collapsed="false">
      <c r="A66" s="28"/>
      <c r="B66" s="16" t="n">
        <v>1</v>
      </c>
      <c r="C66" s="15"/>
      <c r="D66" s="16" t="s">
        <v>102</v>
      </c>
      <c r="E66" s="16" t="s">
        <v>51</v>
      </c>
      <c r="F66" s="16" t="s">
        <v>52</v>
      </c>
      <c r="G66" s="16" t="s">
        <v>103</v>
      </c>
      <c r="H66" s="16" t="s">
        <v>104</v>
      </c>
      <c r="I66" s="16" t="s">
        <v>105</v>
      </c>
      <c r="J66" s="16" t="s">
        <v>106</v>
      </c>
      <c r="K66" s="16" t="s">
        <v>104</v>
      </c>
      <c r="L66" s="16" t="s">
        <v>105</v>
      </c>
      <c r="M66" s="16" t="s">
        <v>106</v>
      </c>
      <c r="N66" s="16" t="s">
        <v>57</v>
      </c>
      <c r="O66" s="16" t="s">
        <v>107</v>
      </c>
      <c r="P66" s="16" t="s">
        <v>179</v>
      </c>
      <c r="Q66" s="16" t="s">
        <v>179</v>
      </c>
      <c r="R66" s="16"/>
      <c r="S66" s="16"/>
      <c r="T66" s="16" t="s">
        <v>180</v>
      </c>
      <c r="U66" s="16" t="s">
        <v>63</v>
      </c>
      <c r="V66" s="16" t="n">
        <v>0.425</v>
      </c>
      <c r="W66" s="16"/>
      <c r="X66" s="16"/>
      <c r="Y66" s="16"/>
      <c r="Z66" s="16"/>
      <c r="AA66" s="16"/>
      <c r="AB66" s="16"/>
      <c r="AC66" s="16"/>
      <c r="AD66" s="16" t="n">
        <v>500</v>
      </c>
      <c r="AE66" s="16"/>
      <c r="AF66" s="16"/>
      <c r="AG66" s="16"/>
      <c r="AH66" s="16"/>
      <c r="AI66" s="16"/>
      <c r="AJ66" s="9" t="n">
        <f aca="false">X66*$V66</f>
        <v>0</v>
      </c>
      <c r="AK66" s="9" t="n">
        <f aca="false">Y66*$V66</f>
        <v>0</v>
      </c>
      <c r="AL66" s="9" t="n">
        <f aca="false">Z66*$V66</f>
        <v>0</v>
      </c>
      <c r="AM66" s="9" t="n">
        <f aca="false">AA66*$V66</f>
        <v>0</v>
      </c>
      <c r="AN66" s="9" t="n">
        <f aca="false">AB66*$V66</f>
        <v>0</v>
      </c>
      <c r="AO66" s="9" t="n">
        <f aca="false">AC66*$V66</f>
        <v>0</v>
      </c>
      <c r="AP66" s="9" t="n">
        <f aca="false">AD66*$V66</f>
        <v>212.5</v>
      </c>
      <c r="AQ66" s="9" t="n">
        <f aca="false">AE66*$V66</f>
        <v>0</v>
      </c>
      <c r="AR66" s="9" t="n">
        <f aca="false">AF66*$V66</f>
        <v>0</v>
      </c>
      <c r="AS66" s="9" t="n">
        <f aca="false">AG66*$V66</f>
        <v>0</v>
      </c>
      <c r="AT66" s="9" t="n">
        <f aca="false">AH66*$V66</f>
        <v>0</v>
      </c>
      <c r="AU66" s="9" t="n">
        <f aca="false">AI66*$V66</f>
        <v>0</v>
      </c>
      <c r="AV66" s="9" t="n">
        <f aca="false">SUM(X66:AI66)/1000</f>
        <v>0.5</v>
      </c>
      <c r="AW66" s="9" t="n">
        <f aca="false">SUM(AJ66:AU66)</f>
        <v>212.5</v>
      </c>
      <c r="AX66" s="9" t="n">
        <f aca="false">IF(D66="INR",AW66/88.24,AW66)/1000000</f>
        <v>0.0002125</v>
      </c>
    </row>
    <row r="67" s="2" customFormat="true" ht="14.25" hidden="false" customHeight="false" outlineLevel="0" collapsed="false">
      <c r="A67" s="28"/>
      <c r="B67" s="16" t="n">
        <v>1</v>
      </c>
      <c r="C67" s="15"/>
      <c r="D67" s="16" t="s">
        <v>102</v>
      </c>
      <c r="E67" s="16" t="s">
        <v>51</v>
      </c>
      <c r="F67" s="16" t="s">
        <v>52</v>
      </c>
      <c r="G67" s="16" t="s">
        <v>103</v>
      </c>
      <c r="H67" s="16" t="s">
        <v>104</v>
      </c>
      <c r="I67" s="16" t="s">
        <v>105</v>
      </c>
      <c r="J67" s="16" t="s">
        <v>106</v>
      </c>
      <c r="K67" s="16" t="s">
        <v>104</v>
      </c>
      <c r="L67" s="16" t="s">
        <v>105</v>
      </c>
      <c r="M67" s="16" t="s">
        <v>106</v>
      </c>
      <c r="N67" s="16" t="s">
        <v>57</v>
      </c>
      <c r="O67" s="16" t="s">
        <v>107</v>
      </c>
      <c r="P67" s="16" t="s">
        <v>145</v>
      </c>
      <c r="Q67" s="16" t="s">
        <v>145</v>
      </c>
      <c r="R67" s="16"/>
      <c r="S67" s="16"/>
      <c r="T67" s="16" t="s">
        <v>181</v>
      </c>
      <c r="U67" s="16" t="s">
        <v>63</v>
      </c>
      <c r="V67" s="16" t="n">
        <v>0.42352</v>
      </c>
      <c r="W67" s="16"/>
      <c r="X67" s="16"/>
      <c r="Y67" s="16"/>
      <c r="Z67" s="16"/>
      <c r="AA67" s="16"/>
      <c r="AB67" s="16"/>
      <c r="AC67" s="16"/>
      <c r="AD67" s="16" t="n">
        <v>500</v>
      </c>
      <c r="AE67" s="16"/>
      <c r="AF67" s="16"/>
      <c r="AG67" s="16"/>
      <c r="AH67" s="16"/>
      <c r="AI67" s="16"/>
      <c r="AJ67" s="9" t="n">
        <f aca="false">X67*$V67</f>
        <v>0</v>
      </c>
      <c r="AK67" s="9" t="n">
        <f aca="false">Y67*$V67</f>
        <v>0</v>
      </c>
      <c r="AL67" s="9" t="n">
        <f aca="false">Z67*$V67</f>
        <v>0</v>
      </c>
      <c r="AM67" s="9" t="n">
        <f aca="false">AA67*$V67</f>
        <v>0</v>
      </c>
      <c r="AN67" s="9" t="n">
        <f aca="false">AB67*$V67</f>
        <v>0</v>
      </c>
      <c r="AO67" s="9" t="n">
        <f aca="false">AC67*$V67</f>
        <v>0</v>
      </c>
      <c r="AP67" s="9" t="n">
        <f aca="false">AD67*$V67</f>
        <v>211.76</v>
      </c>
      <c r="AQ67" s="9" t="n">
        <f aca="false">AE67*$V67</f>
        <v>0</v>
      </c>
      <c r="AR67" s="9" t="n">
        <f aca="false">AF67*$V67</f>
        <v>0</v>
      </c>
      <c r="AS67" s="9" t="n">
        <f aca="false">AG67*$V67</f>
        <v>0</v>
      </c>
      <c r="AT67" s="9" t="n">
        <f aca="false">AH67*$V67</f>
        <v>0</v>
      </c>
      <c r="AU67" s="9" t="n">
        <f aca="false">AI67*$V67</f>
        <v>0</v>
      </c>
      <c r="AV67" s="9" t="n">
        <f aca="false">SUM(X67:AI67)/1000</f>
        <v>0.5</v>
      </c>
      <c r="AW67" s="9" t="n">
        <f aca="false">SUM(AJ67:AU67)</f>
        <v>211.76</v>
      </c>
      <c r="AX67" s="9" t="n">
        <f aca="false">IF(D67="INR",AW67/88.24,AW67)/1000000</f>
        <v>0.00021176</v>
      </c>
      <c r="AZ67" s="1"/>
    </row>
    <row r="68" s="2" customFormat="true" ht="14.25" hidden="false" customHeight="false" outlineLevel="0" collapsed="false">
      <c r="A68" s="28"/>
      <c r="B68" s="16" t="n">
        <v>1</v>
      </c>
      <c r="C68" s="15"/>
      <c r="D68" s="16" t="s">
        <v>102</v>
      </c>
      <c r="E68" s="16" t="s">
        <v>51</v>
      </c>
      <c r="F68" s="16" t="s">
        <v>52</v>
      </c>
      <c r="G68" s="16" t="s">
        <v>103</v>
      </c>
      <c r="H68" s="16" t="s">
        <v>104</v>
      </c>
      <c r="I68" s="16" t="s">
        <v>105</v>
      </c>
      <c r="J68" s="16" t="s">
        <v>106</v>
      </c>
      <c r="K68" s="16" t="s">
        <v>104</v>
      </c>
      <c r="L68" s="16" t="s">
        <v>105</v>
      </c>
      <c r="M68" s="16" t="s">
        <v>106</v>
      </c>
      <c r="N68" s="16" t="s">
        <v>57</v>
      </c>
      <c r="O68" s="16" t="s">
        <v>107</v>
      </c>
      <c r="P68" s="16" t="s">
        <v>182</v>
      </c>
      <c r="Q68" s="16" t="s">
        <v>182</v>
      </c>
      <c r="R68" s="16"/>
      <c r="S68" s="16"/>
      <c r="T68" s="16" t="s">
        <v>183</v>
      </c>
      <c r="U68" s="16" t="s">
        <v>63</v>
      </c>
      <c r="V68" s="16" t="n">
        <v>0.42126</v>
      </c>
      <c r="W68" s="16"/>
      <c r="X68" s="16"/>
      <c r="Y68" s="16"/>
      <c r="Z68" s="16"/>
      <c r="AA68" s="16"/>
      <c r="AB68" s="16"/>
      <c r="AC68" s="16"/>
      <c r="AD68" s="16" t="n">
        <v>500</v>
      </c>
      <c r="AE68" s="16"/>
      <c r="AF68" s="16"/>
      <c r="AG68" s="16"/>
      <c r="AH68" s="16"/>
      <c r="AI68" s="16"/>
      <c r="AJ68" s="9" t="n">
        <f aca="false">X68*$V68</f>
        <v>0</v>
      </c>
      <c r="AK68" s="9" t="n">
        <f aca="false">Y68*$V68</f>
        <v>0</v>
      </c>
      <c r="AL68" s="9" t="n">
        <f aca="false">Z68*$V68</f>
        <v>0</v>
      </c>
      <c r="AM68" s="9" t="n">
        <f aca="false">AA68*$V68</f>
        <v>0</v>
      </c>
      <c r="AN68" s="9" t="n">
        <f aca="false">AB68*$V68</f>
        <v>0</v>
      </c>
      <c r="AO68" s="9" t="n">
        <f aca="false">AC68*$V68</f>
        <v>0</v>
      </c>
      <c r="AP68" s="9" t="n">
        <f aca="false">AD68*$V68</f>
        <v>210.63</v>
      </c>
      <c r="AQ68" s="9" t="n">
        <f aca="false">AE68*$V68</f>
        <v>0</v>
      </c>
      <c r="AR68" s="9" t="n">
        <f aca="false">AF68*$V68</f>
        <v>0</v>
      </c>
      <c r="AS68" s="9" t="n">
        <f aca="false">AG68*$V68</f>
        <v>0</v>
      </c>
      <c r="AT68" s="9" t="n">
        <f aca="false">AH68*$V68</f>
        <v>0</v>
      </c>
      <c r="AU68" s="9" t="n">
        <f aca="false">AI68*$V68</f>
        <v>0</v>
      </c>
      <c r="AV68" s="9" t="n">
        <f aca="false">SUM(X68:AI68)/1000</f>
        <v>0.5</v>
      </c>
      <c r="AW68" s="9" t="n">
        <f aca="false">SUM(AJ68:AU68)</f>
        <v>210.63</v>
      </c>
      <c r="AX68" s="9" t="n">
        <f aca="false">IF(D68="INR",AW68/88.24,AW68)/1000000</f>
        <v>0.00021063</v>
      </c>
      <c r="AZ68" s="1"/>
    </row>
    <row r="69" s="2" customFormat="true" ht="14.25" hidden="false" customHeight="true" outlineLevel="0" collapsed="false">
      <c r="A69" s="28"/>
      <c r="B69" s="16" t="n">
        <v>1</v>
      </c>
      <c r="C69" s="16"/>
      <c r="D69" s="16" t="s">
        <v>102</v>
      </c>
      <c r="E69" s="16" t="s">
        <v>51</v>
      </c>
      <c r="F69" s="16" t="s">
        <v>52</v>
      </c>
      <c r="G69" s="16" t="s">
        <v>103</v>
      </c>
      <c r="H69" s="16" t="s">
        <v>104</v>
      </c>
      <c r="I69" s="16" t="s">
        <v>105</v>
      </c>
      <c r="J69" s="16" t="s">
        <v>106</v>
      </c>
      <c r="K69" s="16" t="s">
        <v>104</v>
      </c>
      <c r="L69" s="16" t="s">
        <v>105</v>
      </c>
      <c r="M69" s="16" t="s">
        <v>106</v>
      </c>
      <c r="N69" s="16" t="s">
        <v>57</v>
      </c>
      <c r="O69" s="16" t="s">
        <v>107</v>
      </c>
      <c r="P69" s="16" t="s">
        <v>167</v>
      </c>
      <c r="Q69" s="16" t="s">
        <v>167</v>
      </c>
      <c r="R69" s="16"/>
      <c r="S69" s="16"/>
      <c r="T69" s="16" t="s">
        <v>184</v>
      </c>
      <c r="U69" s="26" t="s">
        <v>63</v>
      </c>
      <c r="V69" s="26" t="n">
        <v>0.399076</v>
      </c>
      <c r="W69" s="16"/>
      <c r="X69" s="30"/>
      <c r="Y69" s="30"/>
      <c r="Z69" s="30"/>
      <c r="AA69" s="30"/>
      <c r="AB69" s="30"/>
      <c r="AC69" s="30"/>
      <c r="AD69" s="30" t="n">
        <v>500</v>
      </c>
      <c r="AE69" s="30"/>
      <c r="AF69" s="30"/>
      <c r="AG69" s="30"/>
      <c r="AH69" s="30"/>
      <c r="AI69" s="30"/>
      <c r="AJ69" s="9" t="n">
        <f aca="false">X69*$V69</f>
        <v>0</v>
      </c>
      <c r="AK69" s="9" t="n">
        <f aca="false">Y69*$V69</f>
        <v>0</v>
      </c>
      <c r="AL69" s="9" t="n">
        <f aca="false">Z69*$V69</f>
        <v>0</v>
      </c>
      <c r="AM69" s="9" t="n">
        <f aca="false">AA69*$V69</f>
        <v>0</v>
      </c>
      <c r="AN69" s="9" t="n">
        <f aca="false">AB69*$V69</f>
        <v>0</v>
      </c>
      <c r="AO69" s="9" t="n">
        <f aca="false">AC69*$V69</f>
        <v>0</v>
      </c>
      <c r="AP69" s="9" t="n">
        <f aca="false">AD69*$V69</f>
        <v>199.538</v>
      </c>
      <c r="AQ69" s="9" t="n">
        <f aca="false">AE69*$V69</f>
        <v>0</v>
      </c>
      <c r="AR69" s="9" t="n">
        <f aca="false">AF69*$V69</f>
        <v>0</v>
      </c>
      <c r="AS69" s="9" t="n">
        <f aca="false">AG69*$V69</f>
        <v>0</v>
      </c>
      <c r="AT69" s="9" t="n">
        <f aca="false">AH69*$V69</f>
        <v>0</v>
      </c>
      <c r="AU69" s="9" t="n">
        <f aca="false">AI69*$V69</f>
        <v>0</v>
      </c>
      <c r="AV69" s="9" t="n">
        <f aca="false">SUM(X69:AI69)/1000</f>
        <v>0.5</v>
      </c>
      <c r="AW69" s="9" t="n">
        <f aca="false">SUM(AJ69:AU69)</f>
        <v>199.538</v>
      </c>
      <c r="AX69" s="9" t="n">
        <f aca="false">IF(D69="INR",AW69/88.24,AW69)/1000000</f>
        <v>0.000199538</v>
      </c>
    </row>
    <row r="70" s="2" customFormat="true" ht="14.25" hidden="false" customHeight="false" outlineLevel="0" collapsed="false">
      <c r="A70" s="28"/>
      <c r="B70" s="16" t="n">
        <v>1</v>
      </c>
      <c r="C70" s="16"/>
      <c r="D70" s="16" t="s">
        <v>102</v>
      </c>
      <c r="E70" s="16" t="s">
        <v>51</v>
      </c>
      <c r="F70" s="16" t="s">
        <v>52</v>
      </c>
      <c r="G70" s="16" t="s">
        <v>103</v>
      </c>
      <c r="H70" s="16" t="s">
        <v>104</v>
      </c>
      <c r="I70" s="16" t="s">
        <v>105</v>
      </c>
      <c r="J70" s="16" t="s">
        <v>106</v>
      </c>
      <c r="K70" s="16" t="s">
        <v>104</v>
      </c>
      <c r="L70" s="16" t="s">
        <v>105</v>
      </c>
      <c r="M70" s="16" t="s">
        <v>106</v>
      </c>
      <c r="N70" s="16" t="s">
        <v>57</v>
      </c>
      <c r="O70" s="16" t="s">
        <v>107</v>
      </c>
      <c r="P70" s="16" t="s">
        <v>108</v>
      </c>
      <c r="Q70" s="16" t="s">
        <v>108</v>
      </c>
      <c r="R70" s="16"/>
      <c r="S70" s="16"/>
      <c r="T70" s="16" t="s">
        <v>185</v>
      </c>
      <c r="U70" s="16" t="s">
        <v>63</v>
      </c>
      <c r="V70" s="16" t="n">
        <v>0.37</v>
      </c>
      <c r="W70" s="16"/>
      <c r="X70" s="16"/>
      <c r="Y70" s="16"/>
      <c r="Z70" s="16"/>
      <c r="AA70" s="16"/>
      <c r="AB70" s="16"/>
      <c r="AC70" s="16"/>
      <c r="AD70" s="16" t="n">
        <v>500</v>
      </c>
      <c r="AE70" s="16"/>
      <c r="AF70" s="16"/>
      <c r="AG70" s="16"/>
      <c r="AH70" s="16"/>
      <c r="AI70" s="16"/>
      <c r="AJ70" s="9" t="n">
        <f aca="false">X70*$V70</f>
        <v>0</v>
      </c>
      <c r="AK70" s="9" t="n">
        <f aca="false">Y70*$V70</f>
        <v>0</v>
      </c>
      <c r="AL70" s="9" t="n">
        <f aca="false">Z70*$V70</f>
        <v>0</v>
      </c>
      <c r="AM70" s="9" t="n">
        <f aca="false">AA70*$V70</f>
        <v>0</v>
      </c>
      <c r="AN70" s="9" t="n">
        <f aca="false">AB70*$V70</f>
        <v>0</v>
      </c>
      <c r="AO70" s="9" t="n">
        <f aca="false">AC70*$V70</f>
        <v>0</v>
      </c>
      <c r="AP70" s="9" t="n">
        <f aca="false">AD70*$V70</f>
        <v>185</v>
      </c>
      <c r="AQ70" s="9" t="n">
        <f aca="false">AE70*$V70</f>
        <v>0</v>
      </c>
      <c r="AR70" s="9" t="n">
        <f aca="false">AF70*$V70</f>
        <v>0</v>
      </c>
      <c r="AS70" s="9" t="n">
        <f aca="false">AG70*$V70</f>
        <v>0</v>
      </c>
      <c r="AT70" s="9" t="n">
        <f aca="false">AH70*$V70</f>
        <v>0</v>
      </c>
      <c r="AU70" s="9" t="n">
        <f aca="false">AI70*$V70</f>
        <v>0</v>
      </c>
      <c r="AV70" s="9" t="n">
        <f aca="false">SUM(X70:AI70)/1000</f>
        <v>0.5</v>
      </c>
      <c r="AW70" s="9" t="n">
        <f aca="false">SUM(AJ70:AU70)</f>
        <v>185</v>
      </c>
      <c r="AX70" s="9" t="n">
        <f aca="false">IF(D70="INR",AW70/88.24,AW70)/1000000</f>
        <v>0.000185</v>
      </c>
    </row>
    <row r="71" s="2" customFormat="true" ht="14.25" hidden="false" customHeight="false" outlineLevel="0" collapsed="false">
      <c r="A71" s="28"/>
      <c r="B71" s="16" t="n">
        <v>1</v>
      </c>
      <c r="C71" s="16"/>
      <c r="D71" s="16" t="s">
        <v>102</v>
      </c>
      <c r="E71" s="16" t="s">
        <v>51</v>
      </c>
      <c r="F71" s="16" t="s">
        <v>52</v>
      </c>
      <c r="G71" s="16" t="s">
        <v>103</v>
      </c>
      <c r="H71" s="16" t="s">
        <v>104</v>
      </c>
      <c r="I71" s="16" t="s">
        <v>105</v>
      </c>
      <c r="J71" s="16" t="s">
        <v>106</v>
      </c>
      <c r="K71" s="16" t="s">
        <v>104</v>
      </c>
      <c r="L71" s="16" t="s">
        <v>105</v>
      </c>
      <c r="M71" s="16" t="s">
        <v>106</v>
      </c>
      <c r="N71" s="16" t="s">
        <v>57</v>
      </c>
      <c r="O71" s="16" t="s">
        <v>107</v>
      </c>
      <c r="P71" s="16" t="s">
        <v>179</v>
      </c>
      <c r="Q71" s="16" t="s">
        <v>179</v>
      </c>
      <c r="R71" s="16"/>
      <c r="S71" s="16"/>
      <c r="T71" s="26" t="s">
        <v>180</v>
      </c>
      <c r="U71" s="26" t="s">
        <v>63</v>
      </c>
      <c r="V71" s="16" t="n">
        <v>0.365</v>
      </c>
      <c r="W71" s="16"/>
      <c r="X71" s="16"/>
      <c r="Y71" s="16"/>
      <c r="Z71" s="16"/>
      <c r="AA71" s="16"/>
      <c r="AB71" s="16"/>
      <c r="AC71" s="16"/>
      <c r="AD71" s="16" t="n">
        <v>500</v>
      </c>
      <c r="AE71" s="16"/>
      <c r="AF71" s="16"/>
      <c r="AG71" s="16"/>
      <c r="AH71" s="16"/>
      <c r="AI71" s="16"/>
      <c r="AJ71" s="9" t="n">
        <f aca="false">X71*$V71</f>
        <v>0</v>
      </c>
      <c r="AK71" s="9" t="n">
        <f aca="false">Y71*$V71</f>
        <v>0</v>
      </c>
      <c r="AL71" s="9" t="n">
        <f aca="false">Z71*$V71</f>
        <v>0</v>
      </c>
      <c r="AM71" s="9" t="n">
        <f aca="false">AA71*$V71</f>
        <v>0</v>
      </c>
      <c r="AN71" s="9" t="n">
        <f aca="false">AB71*$V71</f>
        <v>0</v>
      </c>
      <c r="AO71" s="9" t="n">
        <f aca="false">AC71*$V71</f>
        <v>0</v>
      </c>
      <c r="AP71" s="9" t="n">
        <f aca="false">AD71*$V71</f>
        <v>182.5</v>
      </c>
      <c r="AQ71" s="9" t="n">
        <f aca="false">AE71*$V71</f>
        <v>0</v>
      </c>
      <c r="AR71" s="9" t="n">
        <f aca="false">AF71*$V71</f>
        <v>0</v>
      </c>
      <c r="AS71" s="9" t="n">
        <f aca="false">AG71*$V71</f>
        <v>0</v>
      </c>
      <c r="AT71" s="9" t="n">
        <f aca="false">AH71*$V71</f>
        <v>0</v>
      </c>
      <c r="AU71" s="9" t="n">
        <f aca="false">AI71*$V71</f>
        <v>0</v>
      </c>
      <c r="AV71" s="9" t="n">
        <f aca="false">SUM(X71:AI71)/1000</f>
        <v>0.5</v>
      </c>
      <c r="AW71" s="9" t="n">
        <f aca="false">SUM(AJ71:AU71)</f>
        <v>182.5</v>
      </c>
      <c r="AX71" s="9" t="n">
        <f aca="false">IF(D71="INR",AW71/88.24,AW71)/1000000</f>
        <v>0.0001825</v>
      </c>
    </row>
    <row r="72" s="2" customFormat="true" ht="14.25" hidden="false" customHeight="false" outlineLevel="0" collapsed="false">
      <c r="A72" s="28"/>
      <c r="B72" s="16" t="n">
        <v>1</v>
      </c>
      <c r="C72" s="16"/>
      <c r="D72" s="16" t="s">
        <v>102</v>
      </c>
      <c r="E72" s="16" t="s">
        <v>51</v>
      </c>
      <c r="F72" s="16" t="s">
        <v>52</v>
      </c>
      <c r="G72" s="16" t="s">
        <v>103</v>
      </c>
      <c r="H72" s="16" t="s">
        <v>104</v>
      </c>
      <c r="I72" s="16" t="s">
        <v>105</v>
      </c>
      <c r="J72" s="16" t="s">
        <v>106</v>
      </c>
      <c r="K72" s="16" t="s">
        <v>104</v>
      </c>
      <c r="L72" s="16" t="s">
        <v>105</v>
      </c>
      <c r="M72" s="16" t="s">
        <v>106</v>
      </c>
      <c r="N72" s="16" t="s">
        <v>57</v>
      </c>
      <c r="O72" s="16" t="s">
        <v>107</v>
      </c>
      <c r="P72" s="16" t="s">
        <v>179</v>
      </c>
      <c r="Q72" s="16" t="s">
        <v>179</v>
      </c>
      <c r="R72" s="16"/>
      <c r="S72" s="16"/>
      <c r="T72" s="16" t="s">
        <v>180</v>
      </c>
      <c r="U72" s="16" t="s">
        <v>63</v>
      </c>
      <c r="V72" s="16" t="n">
        <v>0.365</v>
      </c>
      <c r="W72" s="16"/>
      <c r="X72" s="16"/>
      <c r="Y72" s="16"/>
      <c r="Z72" s="16"/>
      <c r="AA72" s="16"/>
      <c r="AB72" s="16"/>
      <c r="AC72" s="16"/>
      <c r="AD72" s="16" t="n">
        <v>500</v>
      </c>
      <c r="AE72" s="16"/>
      <c r="AF72" s="16"/>
      <c r="AG72" s="16"/>
      <c r="AH72" s="16"/>
      <c r="AI72" s="16"/>
      <c r="AJ72" s="9" t="n">
        <f aca="false">X72*$V72</f>
        <v>0</v>
      </c>
      <c r="AK72" s="9" t="n">
        <f aca="false">Y72*$V72</f>
        <v>0</v>
      </c>
      <c r="AL72" s="9" t="n">
        <f aca="false">Z72*$V72</f>
        <v>0</v>
      </c>
      <c r="AM72" s="9" t="n">
        <f aca="false">AA72*$V72</f>
        <v>0</v>
      </c>
      <c r="AN72" s="9" t="n">
        <f aca="false">AB72*$V72</f>
        <v>0</v>
      </c>
      <c r="AO72" s="9" t="n">
        <f aca="false">AC72*$V72</f>
        <v>0</v>
      </c>
      <c r="AP72" s="9" t="n">
        <f aca="false">AD72*$V72</f>
        <v>182.5</v>
      </c>
      <c r="AQ72" s="9" t="n">
        <f aca="false">AE72*$V72</f>
        <v>0</v>
      </c>
      <c r="AR72" s="9" t="n">
        <f aca="false">AF72*$V72</f>
        <v>0</v>
      </c>
      <c r="AS72" s="9" t="n">
        <f aca="false">AG72*$V72</f>
        <v>0</v>
      </c>
      <c r="AT72" s="9" t="n">
        <f aca="false">AH72*$V72</f>
        <v>0</v>
      </c>
      <c r="AU72" s="9" t="n">
        <f aca="false">AI72*$V72</f>
        <v>0</v>
      </c>
      <c r="AV72" s="9" t="n">
        <f aca="false">SUM(X72:AI72)/1000</f>
        <v>0.5</v>
      </c>
      <c r="AW72" s="9" t="n">
        <f aca="false">SUM(AJ72:AU72)</f>
        <v>182.5</v>
      </c>
      <c r="AX72" s="9" t="n">
        <f aca="false">IF(D72="INR",AW72/88.24,AW72)/1000000</f>
        <v>0.0001825</v>
      </c>
    </row>
    <row r="73" s="2" customFormat="true" ht="14.25" hidden="false" customHeight="false" outlineLevel="0" collapsed="false">
      <c r="A73" s="28"/>
      <c r="B73" s="16" t="n">
        <v>1</v>
      </c>
      <c r="C73" s="16"/>
      <c r="D73" s="16" t="s">
        <v>102</v>
      </c>
      <c r="E73" s="16" t="s">
        <v>51</v>
      </c>
      <c r="F73" s="16" t="s">
        <v>52</v>
      </c>
      <c r="G73" s="16" t="s">
        <v>103</v>
      </c>
      <c r="H73" s="16" t="s">
        <v>104</v>
      </c>
      <c r="I73" s="16" t="s">
        <v>105</v>
      </c>
      <c r="J73" s="16" t="s">
        <v>106</v>
      </c>
      <c r="K73" s="16" t="s">
        <v>104</v>
      </c>
      <c r="L73" s="16" t="s">
        <v>105</v>
      </c>
      <c r="M73" s="16" t="s">
        <v>106</v>
      </c>
      <c r="N73" s="16" t="s">
        <v>57</v>
      </c>
      <c r="O73" s="16" t="s">
        <v>107</v>
      </c>
      <c r="P73" s="16" t="s">
        <v>186</v>
      </c>
      <c r="Q73" s="9" t="s">
        <v>186</v>
      </c>
      <c r="R73" s="16"/>
      <c r="S73" s="16"/>
      <c r="T73" s="16" t="s">
        <v>187</v>
      </c>
      <c r="U73" s="16" t="s">
        <v>63</v>
      </c>
      <c r="V73" s="16" t="n">
        <v>0.3644</v>
      </c>
      <c r="W73" s="16"/>
      <c r="X73" s="9"/>
      <c r="Y73" s="9"/>
      <c r="Z73" s="9"/>
      <c r="AA73" s="9"/>
      <c r="AB73" s="9"/>
      <c r="AC73" s="9"/>
      <c r="AD73" s="9" t="n">
        <v>500</v>
      </c>
      <c r="AE73" s="9"/>
      <c r="AF73" s="16"/>
      <c r="AG73" s="16"/>
      <c r="AH73" s="16"/>
      <c r="AI73" s="16"/>
      <c r="AJ73" s="9" t="n">
        <f aca="false">X73*$V73</f>
        <v>0</v>
      </c>
      <c r="AK73" s="9" t="n">
        <f aca="false">Y73*$V73</f>
        <v>0</v>
      </c>
      <c r="AL73" s="9" t="n">
        <f aca="false">Z73*$V73</f>
        <v>0</v>
      </c>
      <c r="AM73" s="9" t="n">
        <f aca="false">AA73*$V73</f>
        <v>0</v>
      </c>
      <c r="AN73" s="9" t="n">
        <f aca="false">AB73*$V73</f>
        <v>0</v>
      </c>
      <c r="AO73" s="9" t="n">
        <f aca="false">AC73*$V73</f>
        <v>0</v>
      </c>
      <c r="AP73" s="9" t="n">
        <f aca="false">AD73*$V73</f>
        <v>182.2</v>
      </c>
      <c r="AQ73" s="9" t="n">
        <f aca="false">AE73*$V73</f>
        <v>0</v>
      </c>
      <c r="AR73" s="9" t="n">
        <f aca="false">AF73*$V73</f>
        <v>0</v>
      </c>
      <c r="AS73" s="9" t="n">
        <f aca="false">AG73*$V73</f>
        <v>0</v>
      </c>
      <c r="AT73" s="9" t="n">
        <f aca="false">AH73*$V73</f>
        <v>0</v>
      </c>
      <c r="AU73" s="9" t="n">
        <f aca="false">AI73*$V73</f>
        <v>0</v>
      </c>
      <c r="AV73" s="9" t="n">
        <f aca="false">SUM(X73:AI73)/1000</f>
        <v>0.5</v>
      </c>
      <c r="AW73" s="9" t="n">
        <f aca="false">SUM(AJ73:AU73)</f>
        <v>182.2</v>
      </c>
      <c r="AX73" s="9" t="n">
        <f aca="false">IF(D73="INR",AW73/88.24,AW73)/1000000</f>
        <v>0.0001822</v>
      </c>
    </row>
    <row r="74" s="2" customFormat="true" ht="14.25" hidden="false" customHeight="true" outlineLevel="0" collapsed="false">
      <c r="A74" s="28"/>
      <c r="B74" s="16" t="n">
        <v>1</v>
      </c>
      <c r="C74" s="16"/>
      <c r="D74" s="16" t="s">
        <v>102</v>
      </c>
      <c r="E74" s="16" t="s">
        <v>51</v>
      </c>
      <c r="F74" s="16" t="s">
        <v>52</v>
      </c>
      <c r="G74" s="16" t="s">
        <v>103</v>
      </c>
      <c r="H74" s="16" t="s">
        <v>104</v>
      </c>
      <c r="I74" s="16" t="s">
        <v>105</v>
      </c>
      <c r="J74" s="16" t="s">
        <v>106</v>
      </c>
      <c r="K74" s="16" t="s">
        <v>104</v>
      </c>
      <c r="L74" s="16" t="s">
        <v>105</v>
      </c>
      <c r="M74" s="16" t="s">
        <v>106</v>
      </c>
      <c r="N74" s="16" t="s">
        <v>57</v>
      </c>
      <c r="O74" s="16" t="s">
        <v>107</v>
      </c>
      <c r="P74" s="16" t="s">
        <v>186</v>
      </c>
      <c r="Q74" s="16" t="s">
        <v>186</v>
      </c>
      <c r="R74" s="16"/>
      <c r="S74" s="16"/>
      <c r="T74" s="16" t="s">
        <v>187</v>
      </c>
      <c r="U74" s="16" t="s">
        <v>63</v>
      </c>
      <c r="V74" s="16" t="n">
        <v>0.3644</v>
      </c>
      <c r="W74" s="16"/>
      <c r="X74" s="31"/>
      <c r="Y74" s="31"/>
      <c r="Z74" s="31"/>
      <c r="AA74" s="31"/>
      <c r="AB74" s="31"/>
      <c r="AC74" s="31"/>
      <c r="AD74" s="31" t="n">
        <v>500</v>
      </c>
      <c r="AE74" s="31"/>
      <c r="AF74" s="31"/>
      <c r="AG74" s="31"/>
      <c r="AH74" s="31"/>
      <c r="AI74" s="31"/>
      <c r="AJ74" s="9" t="n">
        <f aca="false">X74*$V74</f>
        <v>0</v>
      </c>
      <c r="AK74" s="9" t="n">
        <f aca="false">Y74*$V74</f>
        <v>0</v>
      </c>
      <c r="AL74" s="9" t="n">
        <f aca="false">Z74*$V74</f>
        <v>0</v>
      </c>
      <c r="AM74" s="9" t="n">
        <f aca="false">AA74*$V74</f>
        <v>0</v>
      </c>
      <c r="AN74" s="9" t="n">
        <f aca="false">AB74*$V74</f>
        <v>0</v>
      </c>
      <c r="AO74" s="9" t="n">
        <f aca="false">AC74*$V74</f>
        <v>0</v>
      </c>
      <c r="AP74" s="9" t="n">
        <f aca="false">AD74*$V74</f>
        <v>182.2</v>
      </c>
      <c r="AQ74" s="9" t="n">
        <f aca="false">AE74*$V74</f>
        <v>0</v>
      </c>
      <c r="AR74" s="9" t="n">
        <f aca="false">AF74*$V74</f>
        <v>0</v>
      </c>
      <c r="AS74" s="9" t="n">
        <f aca="false">AG74*$V74</f>
        <v>0</v>
      </c>
      <c r="AT74" s="9" t="n">
        <f aca="false">AH74*$V74</f>
        <v>0</v>
      </c>
      <c r="AU74" s="9" t="n">
        <f aca="false">AI74*$V74</f>
        <v>0</v>
      </c>
      <c r="AV74" s="9" t="n">
        <f aca="false">SUM(X74:AI74)/1000</f>
        <v>0.5</v>
      </c>
      <c r="AW74" s="9" t="n">
        <f aca="false">SUM(AJ74:AU74)</f>
        <v>182.2</v>
      </c>
      <c r="AX74" s="9" t="n">
        <f aca="false">IF(D74="INR",AW74/88.24,AW74)/1000000</f>
        <v>0.0001822</v>
      </c>
    </row>
    <row r="75" s="2" customFormat="true" ht="14.25" hidden="false" customHeight="false" outlineLevel="0" collapsed="false">
      <c r="A75" s="28"/>
      <c r="B75" s="16" t="n">
        <v>1</v>
      </c>
      <c r="C75" s="16"/>
      <c r="D75" s="16" t="s">
        <v>102</v>
      </c>
      <c r="E75" s="16" t="s">
        <v>51</v>
      </c>
      <c r="F75" s="16" t="s">
        <v>52</v>
      </c>
      <c r="G75" s="16" t="s">
        <v>103</v>
      </c>
      <c r="H75" s="16" t="s">
        <v>104</v>
      </c>
      <c r="I75" s="16" t="s">
        <v>105</v>
      </c>
      <c r="J75" s="16" t="s">
        <v>106</v>
      </c>
      <c r="K75" s="16" t="s">
        <v>104</v>
      </c>
      <c r="L75" s="16" t="s">
        <v>105</v>
      </c>
      <c r="M75" s="16" t="s">
        <v>106</v>
      </c>
      <c r="N75" s="16" t="s">
        <v>57</v>
      </c>
      <c r="O75" s="16" t="s">
        <v>107</v>
      </c>
      <c r="P75" s="16" t="s">
        <v>188</v>
      </c>
      <c r="Q75" s="16" t="s">
        <v>188</v>
      </c>
      <c r="R75" s="16"/>
      <c r="S75" s="16"/>
      <c r="T75" s="16" t="s">
        <v>189</v>
      </c>
      <c r="U75" s="16" t="s">
        <v>63</v>
      </c>
      <c r="V75" s="16" t="n">
        <v>0.35597</v>
      </c>
      <c r="W75" s="16"/>
      <c r="X75" s="16"/>
      <c r="Y75" s="16"/>
      <c r="Z75" s="16"/>
      <c r="AA75" s="16"/>
      <c r="AB75" s="16"/>
      <c r="AC75" s="16"/>
      <c r="AD75" s="16" t="n">
        <v>500</v>
      </c>
      <c r="AE75" s="16"/>
      <c r="AF75" s="16"/>
      <c r="AG75" s="16"/>
      <c r="AH75" s="16"/>
      <c r="AI75" s="16"/>
      <c r="AJ75" s="9" t="n">
        <f aca="false">X75*$V75</f>
        <v>0</v>
      </c>
      <c r="AK75" s="9" t="n">
        <f aca="false">Y75*$V75</f>
        <v>0</v>
      </c>
      <c r="AL75" s="9" t="n">
        <f aca="false">Z75*$V75</f>
        <v>0</v>
      </c>
      <c r="AM75" s="9" t="n">
        <f aca="false">AA75*$V75</f>
        <v>0</v>
      </c>
      <c r="AN75" s="9" t="n">
        <f aca="false">AB75*$V75</f>
        <v>0</v>
      </c>
      <c r="AO75" s="9" t="n">
        <f aca="false">AC75*$V75</f>
        <v>0</v>
      </c>
      <c r="AP75" s="9" t="n">
        <f aca="false">AD75*$V75</f>
        <v>177.985</v>
      </c>
      <c r="AQ75" s="9" t="n">
        <f aca="false">AE75*$V75</f>
        <v>0</v>
      </c>
      <c r="AR75" s="9" t="n">
        <f aca="false">AF75*$V75</f>
        <v>0</v>
      </c>
      <c r="AS75" s="9" t="n">
        <f aca="false">AG75*$V75</f>
        <v>0</v>
      </c>
      <c r="AT75" s="9" t="n">
        <f aca="false">AH75*$V75</f>
        <v>0</v>
      </c>
      <c r="AU75" s="9" t="n">
        <f aca="false">AI75*$V75</f>
        <v>0</v>
      </c>
      <c r="AV75" s="9" t="n">
        <f aca="false">SUM(X75:AI75)/1000</f>
        <v>0.5</v>
      </c>
      <c r="AW75" s="9" t="n">
        <f aca="false">SUM(AJ75:AU75)</f>
        <v>177.985</v>
      </c>
      <c r="AX75" s="9" t="n">
        <f aca="false">IF(D75="INR",AW75/88.24,AW75)/1000000</f>
        <v>0.000177985</v>
      </c>
    </row>
    <row r="76" s="2" customFormat="true" ht="14.25" hidden="false" customHeight="false" outlineLevel="0" collapsed="false">
      <c r="A76" s="28"/>
      <c r="B76" s="16" t="n">
        <v>1</v>
      </c>
      <c r="C76" s="16"/>
      <c r="D76" s="16" t="s">
        <v>102</v>
      </c>
      <c r="E76" s="16" t="s">
        <v>51</v>
      </c>
      <c r="F76" s="16" t="s">
        <v>52</v>
      </c>
      <c r="G76" s="16" t="s">
        <v>103</v>
      </c>
      <c r="H76" s="16" t="s">
        <v>104</v>
      </c>
      <c r="I76" s="16" t="s">
        <v>105</v>
      </c>
      <c r="J76" s="16" t="s">
        <v>106</v>
      </c>
      <c r="K76" s="16" t="s">
        <v>104</v>
      </c>
      <c r="L76" s="16" t="s">
        <v>105</v>
      </c>
      <c r="M76" s="16" t="s">
        <v>106</v>
      </c>
      <c r="N76" s="16" t="s">
        <v>57</v>
      </c>
      <c r="O76" s="16" t="s">
        <v>107</v>
      </c>
      <c r="P76" s="9" t="s">
        <v>108</v>
      </c>
      <c r="Q76" s="16" t="s">
        <v>108</v>
      </c>
      <c r="R76" s="9"/>
      <c r="S76" s="9"/>
      <c r="T76" s="9" t="s">
        <v>190</v>
      </c>
      <c r="U76" s="9" t="s">
        <v>63</v>
      </c>
      <c r="V76" s="9" t="n">
        <v>0.34</v>
      </c>
      <c r="W76" s="9"/>
      <c r="X76" s="16"/>
      <c r="Y76" s="16"/>
      <c r="Z76" s="16"/>
      <c r="AA76" s="16"/>
      <c r="AB76" s="16"/>
      <c r="AC76" s="16"/>
      <c r="AD76" s="16" t="n">
        <v>500</v>
      </c>
      <c r="AE76" s="16"/>
      <c r="AF76" s="16"/>
      <c r="AG76" s="16"/>
      <c r="AH76" s="16"/>
      <c r="AI76" s="16"/>
      <c r="AJ76" s="9" t="n">
        <f aca="false">X76*$V76</f>
        <v>0</v>
      </c>
      <c r="AK76" s="9" t="n">
        <f aca="false">Y76*$V76</f>
        <v>0</v>
      </c>
      <c r="AL76" s="9" t="n">
        <f aca="false">Z76*$V76</f>
        <v>0</v>
      </c>
      <c r="AM76" s="9" t="n">
        <f aca="false">AA76*$V76</f>
        <v>0</v>
      </c>
      <c r="AN76" s="9" t="n">
        <f aca="false">AB76*$V76</f>
        <v>0</v>
      </c>
      <c r="AO76" s="9" t="n">
        <f aca="false">AC76*$V76</f>
        <v>0</v>
      </c>
      <c r="AP76" s="9" t="n">
        <f aca="false">AD76*$V76</f>
        <v>170</v>
      </c>
      <c r="AQ76" s="9" t="n">
        <f aca="false">AE76*$V76</f>
        <v>0</v>
      </c>
      <c r="AR76" s="9" t="n">
        <f aca="false">AF76*$V76</f>
        <v>0</v>
      </c>
      <c r="AS76" s="9" t="n">
        <f aca="false">AG76*$V76</f>
        <v>0</v>
      </c>
      <c r="AT76" s="9" t="n">
        <f aca="false">AH76*$V76</f>
        <v>0</v>
      </c>
      <c r="AU76" s="9" t="n">
        <f aca="false">AI76*$V76</f>
        <v>0</v>
      </c>
      <c r="AV76" s="9" t="n">
        <f aca="false">SUM(X76:AI76)/1000</f>
        <v>0.5</v>
      </c>
      <c r="AW76" s="9" t="n">
        <f aca="false">SUM(AJ76:AU76)</f>
        <v>170</v>
      </c>
      <c r="AX76" s="9" t="n">
        <f aca="false">IF(D76="INR",AW76/88.24,AW76)/1000000</f>
        <v>0.00017</v>
      </c>
    </row>
    <row r="77" s="2" customFormat="true" ht="14.25" hidden="false" customHeight="false" outlineLevel="0" collapsed="false">
      <c r="A77" s="28"/>
      <c r="B77" s="16" t="n">
        <v>1</v>
      </c>
      <c r="C77" s="16"/>
      <c r="D77" s="16" t="s">
        <v>102</v>
      </c>
      <c r="E77" s="16" t="s">
        <v>51</v>
      </c>
      <c r="F77" s="16" t="s">
        <v>52</v>
      </c>
      <c r="G77" s="16" t="s">
        <v>103</v>
      </c>
      <c r="H77" s="16" t="s">
        <v>104</v>
      </c>
      <c r="I77" s="16" t="s">
        <v>105</v>
      </c>
      <c r="J77" s="16" t="s">
        <v>106</v>
      </c>
      <c r="K77" s="16" t="s">
        <v>104</v>
      </c>
      <c r="L77" s="16" t="s">
        <v>105</v>
      </c>
      <c r="M77" s="16" t="s">
        <v>106</v>
      </c>
      <c r="N77" s="16" t="s">
        <v>57</v>
      </c>
      <c r="O77" s="16" t="s">
        <v>107</v>
      </c>
      <c r="P77" s="9" t="s">
        <v>108</v>
      </c>
      <c r="Q77" s="16" t="s">
        <v>108</v>
      </c>
      <c r="R77" s="9"/>
      <c r="S77" s="9"/>
      <c r="T77" s="9" t="s">
        <v>191</v>
      </c>
      <c r="U77" s="9" t="s">
        <v>63</v>
      </c>
      <c r="V77" s="9" t="n">
        <v>0.34</v>
      </c>
      <c r="W77" s="9"/>
      <c r="X77" s="16"/>
      <c r="Y77" s="16"/>
      <c r="Z77" s="16"/>
      <c r="AA77" s="16"/>
      <c r="AB77" s="16"/>
      <c r="AC77" s="16"/>
      <c r="AD77" s="16" t="n">
        <v>500</v>
      </c>
      <c r="AE77" s="16"/>
      <c r="AF77" s="16"/>
      <c r="AG77" s="16"/>
      <c r="AH77" s="16"/>
      <c r="AI77" s="16"/>
      <c r="AJ77" s="9" t="n">
        <f aca="false">X77*$V77</f>
        <v>0</v>
      </c>
      <c r="AK77" s="9" t="n">
        <f aca="false">Y77*$V77</f>
        <v>0</v>
      </c>
      <c r="AL77" s="9" t="n">
        <f aca="false">Z77*$V77</f>
        <v>0</v>
      </c>
      <c r="AM77" s="9" t="n">
        <f aca="false">AA77*$V77</f>
        <v>0</v>
      </c>
      <c r="AN77" s="9" t="n">
        <f aca="false">AB77*$V77</f>
        <v>0</v>
      </c>
      <c r="AO77" s="9" t="n">
        <f aca="false">AC77*$V77</f>
        <v>0</v>
      </c>
      <c r="AP77" s="9" t="n">
        <f aca="false">AD77*$V77</f>
        <v>170</v>
      </c>
      <c r="AQ77" s="9" t="n">
        <f aca="false">AE77*$V77</f>
        <v>0</v>
      </c>
      <c r="AR77" s="9" t="n">
        <f aca="false">AF77*$V77</f>
        <v>0</v>
      </c>
      <c r="AS77" s="9" t="n">
        <f aca="false">AG77*$V77</f>
        <v>0</v>
      </c>
      <c r="AT77" s="9" t="n">
        <f aca="false">AH77*$V77</f>
        <v>0</v>
      </c>
      <c r="AU77" s="9" t="n">
        <f aca="false">AI77*$V77</f>
        <v>0</v>
      </c>
      <c r="AV77" s="9" t="n">
        <f aca="false">SUM(X77:AI77)/1000</f>
        <v>0.5</v>
      </c>
      <c r="AW77" s="9" t="n">
        <f aca="false">SUM(AJ77:AU77)</f>
        <v>170</v>
      </c>
      <c r="AX77" s="9" t="n">
        <f aca="false">IF(D77="INR",AW77/88.24,AW77)/1000000</f>
        <v>0.00017</v>
      </c>
    </row>
    <row r="78" s="2" customFormat="true" ht="14.25" hidden="false" customHeight="false" outlineLevel="0" collapsed="false">
      <c r="A78" s="28"/>
      <c r="B78" s="16" t="n">
        <v>1</v>
      </c>
      <c r="C78" s="16"/>
      <c r="D78" s="16" t="s">
        <v>102</v>
      </c>
      <c r="E78" s="16" t="s">
        <v>51</v>
      </c>
      <c r="F78" s="16" t="s">
        <v>52</v>
      </c>
      <c r="G78" s="16" t="s">
        <v>103</v>
      </c>
      <c r="H78" s="16" t="s">
        <v>104</v>
      </c>
      <c r="I78" s="16" t="s">
        <v>105</v>
      </c>
      <c r="J78" s="16" t="s">
        <v>106</v>
      </c>
      <c r="K78" s="16" t="s">
        <v>104</v>
      </c>
      <c r="L78" s="16" t="s">
        <v>105</v>
      </c>
      <c r="M78" s="16" t="s">
        <v>106</v>
      </c>
      <c r="N78" s="16" t="s">
        <v>57</v>
      </c>
      <c r="O78" s="16" t="s">
        <v>107</v>
      </c>
      <c r="P78" s="9" t="s">
        <v>167</v>
      </c>
      <c r="Q78" s="16" t="s">
        <v>167</v>
      </c>
      <c r="R78" s="9"/>
      <c r="S78" s="9"/>
      <c r="T78" s="9" t="s">
        <v>192</v>
      </c>
      <c r="U78" s="9" t="s">
        <v>63</v>
      </c>
      <c r="V78" s="9" t="n">
        <v>0.328158</v>
      </c>
      <c r="W78" s="9"/>
      <c r="X78" s="16"/>
      <c r="Y78" s="16"/>
      <c r="Z78" s="16"/>
      <c r="AA78" s="16"/>
      <c r="AB78" s="16"/>
      <c r="AC78" s="16"/>
      <c r="AD78" s="16" t="n">
        <v>500</v>
      </c>
      <c r="AE78" s="16"/>
      <c r="AF78" s="16"/>
      <c r="AG78" s="16"/>
      <c r="AH78" s="16"/>
      <c r="AI78" s="16"/>
      <c r="AJ78" s="9" t="n">
        <f aca="false">X78*$V78</f>
        <v>0</v>
      </c>
      <c r="AK78" s="9" t="n">
        <f aca="false">Y78*$V78</f>
        <v>0</v>
      </c>
      <c r="AL78" s="9" t="n">
        <f aca="false">Z78*$V78</f>
        <v>0</v>
      </c>
      <c r="AM78" s="9" t="n">
        <f aca="false">AA78*$V78</f>
        <v>0</v>
      </c>
      <c r="AN78" s="9" t="n">
        <f aca="false">AB78*$V78</f>
        <v>0</v>
      </c>
      <c r="AO78" s="9" t="n">
        <f aca="false">AC78*$V78</f>
        <v>0</v>
      </c>
      <c r="AP78" s="9" t="n">
        <f aca="false">AD78*$V78</f>
        <v>164.079</v>
      </c>
      <c r="AQ78" s="9" t="n">
        <f aca="false">AE78*$V78</f>
        <v>0</v>
      </c>
      <c r="AR78" s="9" t="n">
        <f aca="false">AF78*$V78</f>
        <v>0</v>
      </c>
      <c r="AS78" s="9" t="n">
        <f aca="false">AG78*$V78</f>
        <v>0</v>
      </c>
      <c r="AT78" s="9" t="n">
        <f aca="false">AH78*$V78</f>
        <v>0</v>
      </c>
      <c r="AU78" s="9" t="n">
        <f aca="false">AI78*$V78</f>
        <v>0</v>
      </c>
      <c r="AV78" s="9" t="n">
        <f aca="false">SUM(X78:AI78)/1000</f>
        <v>0.5</v>
      </c>
      <c r="AW78" s="9" t="n">
        <f aca="false">SUM(AJ78:AU78)</f>
        <v>164.079</v>
      </c>
      <c r="AX78" s="9" t="n">
        <f aca="false">IF(D78="INR",AW78/88.24,AW78)/1000000</f>
        <v>0.000164079</v>
      </c>
    </row>
    <row r="79" s="2" customFormat="true" ht="14.25" hidden="false" customHeight="true" outlineLevel="0" collapsed="false">
      <c r="A79" s="28"/>
      <c r="B79" s="16" t="n">
        <v>1</v>
      </c>
      <c r="C79" s="16"/>
      <c r="D79" s="16" t="s">
        <v>102</v>
      </c>
      <c r="E79" s="16" t="s">
        <v>51</v>
      </c>
      <c r="F79" s="16" t="s">
        <v>52</v>
      </c>
      <c r="G79" s="16" t="s">
        <v>103</v>
      </c>
      <c r="H79" s="16" t="s">
        <v>104</v>
      </c>
      <c r="I79" s="16" t="s">
        <v>105</v>
      </c>
      <c r="J79" s="16" t="s">
        <v>106</v>
      </c>
      <c r="K79" s="16" t="s">
        <v>104</v>
      </c>
      <c r="L79" s="16" t="s">
        <v>105</v>
      </c>
      <c r="M79" s="16" t="s">
        <v>106</v>
      </c>
      <c r="N79" s="16" t="s">
        <v>57</v>
      </c>
      <c r="O79" s="16" t="s">
        <v>107</v>
      </c>
      <c r="P79" s="16" t="s">
        <v>108</v>
      </c>
      <c r="Q79" s="16" t="s">
        <v>108</v>
      </c>
      <c r="R79" s="16"/>
      <c r="S79" s="16"/>
      <c r="T79" s="16" t="s">
        <v>193</v>
      </c>
      <c r="U79" s="16" t="s">
        <v>63</v>
      </c>
      <c r="V79" s="16" t="n">
        <v>0.326</v>
      </c>
      <c r="W79" s="16"/>
      <c r="X79" s="30"/>
      <c r="Y79" s="30"/>
      <c r="Z79" s="30"/>
      <c r="AA79" s="30"/>
      <c r="AB79" s="30"/>
      <c r="AC79" s="30"/>
      <c r="AD79" s="30" t="n">
        <v>500</v>
      </c>
      <c r="AE79" s="30"/>
      <c r="AF79" s="30"/>
      <c r="AG79" s="30"/>
      <c r="AH79" s="30"/>
      <c r="AI79" s="30"/>
      <c r="AJ79" s="9" t="n">
        <f aca="false">X79*$V79</f>
        <v>0</v>
      </c>
      <c r="AK79" s="9" t="n">
        <f aca="false">Y79*$V79</f>
        <v>0</v>
      </c>
      <c r="AL79" s="9" t="n">
        <f aca="false">Z79*$V79</f>
        <v>0</v>
      </c>
      <c r="AM79" s="9" t="n">
        <f aca="false">AA79*$V79</f>
        <v>0</v>
      </c>
      <c r="AN79" s="9" t="n">
        <f aca="false">AB79*$V79</f>
        <v>0</v>
      </c>
      <c r="AO79" s="9" t="n">
        <f aca="false">AC79*$V79</f>
        <v>0</v>
      </c>
      <c r="AP79" s="9" t="n">
        <f aca="false">AD79*$V79</f>
        <v>163</v>
      </c>
      <c r="AQ79" s="9" t="n">
        <f aca="false">AE79*$V79</f>
        <v>0</v>
      </c>
      <c r="AR79" s="9" t="n">
        <f aca="false">AF79*$V79</f>
        <v>0</v>
      </c>
      <c r="AS79" s="9" t="n">
        <f aca="false">AG79*$V79</f>
        <v>0</v>
      </c>
      <c r="AT79" s="9" t="n">
        <f aca="false">AH79*$V79</f>
        <v>0</v>
      </c>
      <c r="AU79" s="9" t="n">
        <f aca="false">AI79*$V79</f>
        <v>0</v>
      </c>
      <c r="AV79" s="9" t="n">
        <f aca="false">SUM(X79:AI79)/1000</f>
        <v>0.5</v>
      </c>
      <c r="AW79" s="9" t="n">
        <f aca="false">SUM(AJ79:AU79)</f>
        <v>163</v>
      </c>
      <c r="AX79" s="9" t="n">
        <f aca="false">IF(D79="INR",AW79/88.24,AW79)/1000000</f>
        <v>0.000163</v>
      </c>
    </row>
    <row r="80" s="2" customFormat="true" ht="14.25" hidden="false" customHeight="false" outlineLevel="0" collapsed="false">
      <c r="A80" s="28"/>
      <c r="B80" s="16" t="n">
        <v>1</v>
      </c>
      <c r="C80" s="16"/>
      <c r="D80" s="16" t="s">
        <v>102</v>
      </c>
      <c r="E80" s="16" t="s">
        <v>51</v>
      </c>
      <c r="F80" s="16" t="s">
        <v>52</v>
      </c>
      <c r="G80" s="16" t="s">
        <v>103</v>
      </c>
      <c r="H80" s="16" t="s">
        <v>104</v>
      </c>
      <c r="I80" s="16" t="s">
        <v>105</v>
      </c>
      <c r="J80" s="16" t="s">
        <v>106</v>
      </c>
      <c r="K80" s="16" t="s">
        <v>104</v>
      </c>
      <c r="L80" s="16" t="s">
        <v>105</v>
      </c>
      <c r="M80" s="16" t="s">
        <v>106</v>
      </c>
      <c r="N80" s="16" t="s">
        <v>57</v>
      </c>
      <c r="O80" s="16" t="s">
        <v>107</v>
      </c>
      <c r="P80" s="16" t="s">
        <v>170</v>
      </c>
      <c r="Q80" s="16" t="s">
        <v>170</v>
      </c>
      <c r="R80" s="16"/>
      <c r="S80" s="16"/>
      <c r="T80" s="16" t="s">
        <v>194</v>
      </c>
      <c r="U80" s="16" t="s">
        <v>63</v>
      </c>
      <c r="V80" s="16" t="n">
        <v>0.322</v>
      </c>
      <c r="W80" s="16"/>
      <c r="X80" s="16"/>
      <c r="Y80" s="16"/>
      <c r="Z80" s="16"/>
      <c r="AA80" s="16"/>
      <c r="AB80" s="16"/>
      <c r="AC80" s="16"/>
      <c r="AD80" s="16" t="n">
        <v>500</v>
      </c>
      <c r="AE80" s="16"/>
      <c r="AF80" s="16"/>
      <c r="AG80" s="16"/>
      <c r="AH80" s="16"/>
      <c r="AI80" s="16"/>
      <c r="AJ80" s="9" t="n">
        <f aca="false">X80*$V80</f>
        <v>0</v>
      </c>
      <c r="AK80" s="9" t="n">
        <f aca="false">Y80*$V80</f>
        <v>0</v>
      </c>
      <c r="AL80" s="9" t="n">
        <f aca="false">Z80*$V80</f>
        <v>0</v>
      </c>
      <c r="AM80" s="9" t="n">
        <f aca="false">AA80*$V80</f>
        <v>0</v>
      </c>
      <c r="AN80" s="9" t="n">
        <f aca="false">AB80*$V80</f>
        <v>0</v>
      </c>
      <c r="AO80" s="9" t="n">
        <f aca="false">AC80*$V80</f>
        <v>0</v>
      </c>
      <c r="AP80" s="9" t="n">
        <f aca="false">AD80*$V80</f>
        <v>161</v>
      </c>
      <c r="AQ80" s="9" t="n">
        <f aca="false">AE80*$V80</f>
        <v>0</v>
      </c>
      <c r="AR80" s="9" t="n">
        <f aca="false">AF80*$V80</f>
        <v>0</v>
      </c>
      <c r="AS80" s="9" t="n">
        <f aca="false">AG80*$V80</f>
        <v>0</v>
      </c>
      <c r="AT80" s="9" t="n">
        <f aca="false">AH80*$V80</f>
        <v>0</v>
      </c>
      <c r="AU80" s="9" t="n">
        <f aca="false">AI80*$V80</f>
        <v>0</v>
      </c>
      <c r="AV80" s="9" t="n">
        <f aca="false">SUM(X80:AI80)/1000</f>
        <v>0.5</v>
      </c>
      <c r="AW80" s="9" t="n">
        <f aca="false">SUM(AJ80:AU80)</f>
        <v>161</v>
      </c>
      <c r="AX80" s="9" t="n">
        <f aca="false">IF(D80="INR",AW80/88.24,AW80)/1000000</f>
        <v>0.000161</v>
      </c>
    </row>
    <row r="81" s="2" customFormat="true" ht="14.25" hidden="false" customHeight="false" outlineLevel="0" collapsed="false">
      <c r="A81" s="28"/>
      <c r="B81" s="16" t="n">
        <v>1</v>
      </c>
      <c r="C81" s="16"/>
      <c r="D81" s="16" t="s">
        <v>102</v>
      </c>
      <c r="E81" s="16" t="s">
        <v>51</v>
      </c>
      <c r="F81" s="16" t="s">
        <v>52</v>
      </c>
      <c r="G81" s="16" t="s">
        <v>103</v>
      </c>
      <c r="H81" s="16" t="s">
        <v>104</v>
      </c>
      <c r="I81" s="16" t="s">
        <v>105</v>
      </c>
      <c r="J81" s="16" t="s">
        <v>106</v>
      </c>
      <c r="K81" s="16" t="s">
        <v>104</v>
      </c>
      <c r="L81" s="16" t="s">
        <v>105</v>
      </c>
      <c r="M81" s="16" t="s">
        <v>106</v>
      </c>
      <c r="N81" s="16" t="s">
        <v>57</v>
      </c>
      <c r="O81" s="16" t="s">
        <v>107</v>
      </c>
      <c r="P81" s="16" t="s">
        <v>186</v>
      </c>
      <c r="Q81" s="16" t="s">
        <v>186</v>
      </c>
      <c r="R81" s="16"/>
      <c r="S81" s="16"/>
      <c r="T81" s="16" t="s">
        <v>195</v>
      </c>
      <c r="U81" s="16" t="s">
        <v>63</v>
      </c>
      <c r="V81" s="26" t="n">
        <v>0.31</v>
      </c>
      <c r="W81" s="16"/>
      <c r="X81" s="16"/>
      <c r="Y81" s="16"/>
      <c r="Z81" s="16"/>
      <c r="AA81" s="16"/>
      <c r="AB81" s="16"/>
      <c r="AC81" s="16"/>
      <c r="AD81" s="16" t="n">
        <v>500</v>
      </c>
      <c r="AE81" s="16"/>
      <c r="AF81" s="16"/>
      <c r="AG81" s="16"/>
      <c r="AH81" s="16"/>
      <c r="AI81" s="16"/>
      <c r="AJ81" s="9" t="n">
        <f aca="false">X81*$V81</f>
        <v>0</v>
      </c>
      <c r="AK81" s="9" t="n">
        <f aca="false">Y81*$V81</f>
        <v>0</v>
      </c>
      <c r="AL81" s="9" t="n">
        <f aca="false">Z81*$V81</f>
        <v>0</v>
      </c>
      <c r="AM81" s="9" t="n">
        <f aca="false">AA81*$V81</f>
        <v>0</v>
      </c>
      <c r="AN81" s="9" t="n">
        <f aca="false">AB81*$V81</f>
        <v>0</v>
      </c>
      <c r="AO81" s="9" t="n">
        <f aca="false">AC81*$V81</f>
        <v>0</v>
      </c>
      <c r="AP81" s="9" t="n">
        <f aca="false">AD81*$V81</f>
        <v>155</v>
      </c>
      <c r="AQ81" s="9" t="n">
        <f aca="false">AE81*$V81</f>
        <v>0</v>
      </c>
      <c r="AR81" s="9" t="n">
        <f aca="false">AF81*$V81</f>
        <v>0</v>
      </c>
      <c r="AS81" s="9" t="n">
        <f aca="false">AG81*$V81</f>
        <v>0</v>
      </c>
      <c r="AT81" s="9" t="n">
        <f aca="false">AH81*$V81</f>
        <v>0</v>
      </c>
      <c r="AU81" s="9" t="n">
        <f aca="false">AI81*$V81</f>
        <v>0</v>
      </c>
      <c r="AV81" s="9" t="n">
        <f aca="false">SUM(X81:AI81)/1000</f>
        <v>0.5</v>
      </c>
      <c r="AW81" s="9" t="n">
        <f aca="false">SUM(AJ81:AU81)</f>
        <v>155</v>
      </c>
      <c r="AX81" s="9" t="n">
        <f aca="false">IF(D81="INR",AW81/88.24,AW81)/1000000</f>
        <v>0.000155</v>
      </c>
    </row>
    <row r="82" s="2" customFormat="true" ht="14.25" hidden="false" customHeight="false" outlineLevel="0" collapsed="false">
      <c r="A82" s="28"/>
      <c r="B82" s="16" t="n">
        <v>1</v>
      </c>
      <c r="C82" s="16"/>
      <c r="D82" s="16" t="s">
        <v>102</v>
      </c>
      <c r="E82" s="16" t="s">
        <v>51</v>
      </c>
      <c r="F82" s="16" t="s">
        <v>52</v>
      </c>
      <c r="G82" s="16" t="s">
        <v>103</v>
      </c>
      <c r="H82" s="16" t="s">
        <v>104</v>
      </c>
      <c r="I82" s="16" t="s">
        <v>105</v>
      </c>
      <c r="J82" s="16" t="s">
        <v>106</v>
      </c>
      <c r="K82" s="16" t="s">
        <v>104</v>
      </c>
      <c r="L82" s="16" t="s">
        <v>105</v>
      </c>
      <c r="M82" s="16" t="s">
        <v>106</v>
      </c>
      <c r="N82" s="16" t="s">
        <v>57</v>
      </c>
      <c r="O82" s="16" t="s">
        <v>107</v>
      </c>
      <c r="P82" s="16" t="s">
        <v>167</v>
      </c>
      <c r="Q82" s="16" t="s">
        <v>167</v>
      </c>
      <c r="R82" s="16"/>
      <c r="S82" s="16"/>
      <c r="T82" s="16" t="s">
        <v>196</v>
      </c>
      <c r="U82" s="16" t="s">
        <v>63</v>
      </c>
      <c r="V82" s="26" t="n">
        <v>0.30385</v>
      </c>
      <c r="W82" s="16"/>
      <c r="X82" s="16"/>
      <c r="Y82" s="16"/>
      <c r="Z82" s="16"/>
      <c r="AA82" s="16"/>
      <c r="AB82" s="16"/>
      <c r="AC82" s="16"/>
      <c r="AD82" s="16" t="n">
        <v>500</v>
      </c>
      <c r="AE82" s="16"/>
      <c r="AF82" s="16"/>
      <c r="AG82" s="16"/>
      <c r="AH82" s="16"/>
      <c r="AI82" s="16"/>
      <c r="AJ82" s="9" t="n">
        <f aca="false">X82*$V82</f>
        <v>0</v>
      </c>
      <c r="AK82" s="9" t="n">
        <f aca="false">Y82*$V82</f>
        <v>0</v>
      </c>
      <c r="AL82" s="9" t="n">
        <f aca="false">Z82*$V82</f>
        <v>0</v>
      </c>
      <c r="AM82" s="9" t="n">
        <f aca="false">AA82*$V82</f>
        <v>0</v>
      </c>
      <c r="AN82" s="9" t="n">
        <f aca="false">AB82*$V82</f>
        <v>0</v>
      </c>
      <c r="AO82" s="9" t="n">
        <f aca="false">AC82*$V82</f>
        <v>0</v>
      </c>
      <c r="AP82" s="9" t="n">
        <f aca="false">AD82*$V82</f>
        <v>151.925</v>
      </c>
      <c r="AQ82" s="9" t="n">
        <f aca="false">AE82*$V82</f>
        <v>0</v>
      </c>
      <c r="AR82" s="9" t="n">
        <f aca="false">AF82*$V82</f>
        <v>0</v>
      </c>
      <c r="AS82" s="9" t="n">
        <f aca="false">AG82*$V82</f>
        <v>0</v>
      </c>
      <c r="AT82" s="9" t="n">
        <f aca="false">AH82*$V82</f>
        <v>0</v>
      </c>
      <c r="AU82" s="9" t="n">
        <f aca="false">AI82*$V82</f>
        <v>0</v>
      </c>
      <c r="AV82" s="9" t="n">
        <f aca="false">SUM(X82:AI82)/1000</f>
        <v>0.5</v>
      </c>
      <c r="AW82" s="9" t="n">
        <f aca="false">SUM(AJ82:AU82)</f>
        <v>151.925</v>
      </c>
      <c r="AX82" s="9" t="n">
        <f aca="false">IF(D82="INR",AW82/88.24,AW82)/1000000</f>
        <v>0.000151925</v>
      </c>
    </row>
    <row r="83" s="2" customFormat="true" ht="14.25" hidden="false" customHeight="false" outlineLevel="0" collapsed="false">
      <c r="A83" s="28"/>
      <c r="B83" s="16" t="n">
        <v>1</v>
      </c>
      <c r="C83" s="16"/>
      <c r="D83" s="16" t="s">
        <v>102</v>
      </c>
      <c r="E83" s="16" t="s">
        <v>51</v>
      </c>
      <c r="F83" s="16" t="s">
        <v>52</v>
      </c>
      <c r="G83" s="16" t="s">
        <v>103</v>
      </c>
      <c r="H83" s="16" t="s">
        <v>104</v>
      </c>
      <c r="I83" s="16" t="s">
        <v>105</v>
      </c>
      <c r="J83" s="16" t="s">
        <v>106</v>
      </c>
      <c r="K83" s="16" t="s">
        <v>104</v>
      </c>
      <c r="L83" s="16" t="s">
        <v>105</v>
      </c>
      <c r="M83" s="16" t="s">
        <v>106</v>
      </c>
      <c r="N83" s="16" t="s">
        <v>57</v>
      </c>
      <c r="O83" s="16" t="s">
        <v>107</v>
      </c>
      <c r="P83" s="16" t="s">
        <v>197</v>
      </c>
      <c r="Q83" s="16" t="s">
        <v>197</v>
      </c>
      <c r="R83" s="16"/>
      <c r="S83" s="16"/>
      <c r="T83" s="16" t="s">
        <v>198</v>
      </c>
      <c r="U83" s="16" t="s">
        <v>63</v>
      </c>
      <c r="V83" s="16" t="n">
        <v>0.29</v>
      </c>
      <c r="W83" s="16"/>
      <c r="X83" s="16"/>
      <c r="Y83" s="16"/>
      <c r="Z83" s="16"/>
      <c r="AA83" s="16"/>
      <c r="AB83" s="16"/>
      <c r="AC83" s="16"/>
      <c r="AD83" s="16" t="n">
        <v>500</v>
      </c>
      <c r="AE83" s="16"/>
      <c r="AF83" s="16"/>
      <c r="AG83" s="16"/>
      <c r="AH83" s="16"/>
      <c r="AI83" s="16"/>
      <c r="AJ83" s="9" t="n">
        <f aca="false">X83*$V83</f>
        <v>0</v>
      </c>
      <c r="AK83" s="9" t="n">
        <f aca="false">Y83*$V83</f>
        <v>0</v>
      </c>
      <c r="AL83" s="9" t="n">
        <f aca="false">Z83*$V83</f>
        <v>0</v>
      </c>
      <c r="AM83" s="9" t="n">
        <f aca="false">AA83*$V83</f>
        <v>0</v>
      </c>
      <c r="AN83" s="9" t="n">
        <f aca="false">AB83*$V83</f>
        <v>0</v>
      </c>
      <c r="AO83" s="9" t="n">
        <f aca="false">AC83*$V83</f>
        <v>0</v>
      </c>
      <c r="AP83" s="9" t="n">
        <f aca="false">AD83*$V83</f>
        <v>145</v>
      </c>
      <c r="AQ83" s="9" t="n">
        <f aca="false">AE83*$V83</f>
        <v>0</v>
      </c>
      <c r="AR83" s="9" t="n">
        <f aca="false">AF83*$V83</f>
        <v>0</v>
      </c>
      <c r="AS83" s="9" t="n">
        <f aca="false">AG83*$V83</f>
        <v>0</v>
      </c>
      <c r="AT83" s="9" t="n">
        <f aca="false">AH83*$V83</f>
        <v>0</v>
      </c>
      <c r="AU83" s="9" t="n">
        <f aca="false">AI83*$V83</f>
        <v>0</v>
      </c>
      <c r="AV83" s="9" t="n">
        <f aca="false">SUM(X83:AI83)/1000</f>
        <v>0.5</v>
      </c>
      <c r="AW83" s="9" t="n">
        <f aca="false">SUM(AJ83:AU83)</f>
        <v>145</v>
      </c>
      <c r="AX83" s="9" t="n">
        <f aca="false">IF(D83="INR",AW83/88.24,AW83)/1000000</f>
        <v>0.000145</v>
      </c>
    </row>
    <row r="84" s="2" customFormat="true" ht="14.25" hidden="false" customHeight="false" outlineLevel="0" collapsed="false">
      <c r="A84" s="28"/>
      <c r="B84" s="16" t="n">
        <v>1</v>
      </c>
      <c r="C84" s="16"/>
      <c r="D84" s="16" t="s">
        <v>102</v>
      </c>
      <c r="E84" s="16" t="s">
        <v>51</v>
      </c>
      <c r="F84" s="16" t="s">
        <v>52</v>
      </c>
      <c r="G84" s="16" t="s">
        <v>103</v>
      </c>
      <c r="H84" s="16" t="s">
        <v>104</v>
      </c>
      <c r="I84" s="16" t="s">
        <v>105</v>
      </c>
      <c r="J84" s="16" t="s">
        <v>106</v>
      </c>
      <c r="K84" s="16" t="s">
        <v>104</v>
      </c>
      <c r="L84" s="16" t="s">
        <v>105</v>
      </c>
      <c r="M84" s="16" t="s">
        <v>106</v>
      </c>
      <c r="N84" s="16" t="s">
        <v>57</v>
      </c>
      <c r="O84" s="16" t="s">
        <v>107</v>
      </c>
      <c r="P84" s="16" t="s">
        <v>199</v>
      </c>
      <c r="Q84" s="16" t="s">
        <v>199</v>
      </c>
      <c r="R84" s="16"/>
      <c r="S84" s="16"/>
      <c r="T84" s="16" t="s">
        <v>200</v>
      </c>
      <c r="U84" s="26" t="s">
        <v>63</v>
      </c>
      <c r="V84" s="16" t="n">
        <v>0.2875</v>
      </c>
      <c r="W84" s="16"/>
      <c r="X84" s="16"/>
      <c r="Y84" s="16"/>
      <c r="Z84" s="16"/>
      <c r="AA84" s="16"/>
      <c r="AB84" s="16"/>
      <c r="AC84" s="16"/>
      <c r="AD84" s="16" t="n">
        <v>500</v>
      </c>
      <c r="AE84" s="16"/>
      <c r="AF84" s="16"/>
      <c r="AG84" s="16"/>
      <c r="AH84" s="16"/>
      <c r="AI84" s="16"/>
      <c r="AJ84" s="9" t="n">
        <f aca="false">X84*$V84</f>
        <v>0</v>
      </c>
      <c r="AK84" s="9" t="n">
        <f aca="false">Y84*$V84</f>
        <v>0</v>
      </c>
      <c r="AL84" s="9" t="n">
        <f aca="false">Z84*$V84</f>
        <v>0</v>
      </c>
      <c r="AM84" s="9" t="n">
        <f aca="false">AA84*$V84</f>
        <v>0</v>
      </c>
      <c r="AN84" s="9" t="n">
        <f aca="false">AB84*$V84</f>
        <v>0</v>
      </c>
      <c r="AO84" s="9" t="n">
        <f aca="false">AC84*$V84</f>
        <v>0</v>
      </c>
      <c r="AP84" s="9" t="n">
        <f aca="false">AD84*$V84</f>
        <v>143.75</v>
      </c>
      <c r="AQ84" s="9" t="n">
        <f aca="false">AE84*$V84</f>
        <v>0</v>
      </c>
      <c r="AR84" s="9" t="n">
        <f aca="false">AF84*$V84</f>
        <v>0</v>
      </c>
      <c r="AS84" s="9" t="n">
        <f aca="false">AG84*$V84</f>
        <v>0</v>
      </c>
      <c r="AT84" s="9" t="n">
        <f aca="false">AH84*$V84</f>
        <v>0</v>
      </c>
      <c r="AU84" s="9" t="n">
        <f aca="false">AI84*$V84</f>
        <v>0</v>
      </c>
      <c r="AV84" s="9" t="n">
        <f aca="false">SUM(X84:AI84)/1000</f>
        <v>0.5</v>
      </c>
      <c r="AW84" s="9" t="n">
        <f aca="false">SUM(AJ84:AU84)</f>
        <v>143.75</v>
      </c>
      <c r="AX84" s="9" t="n">
        <f aca="false">IF(D84="INR",AW84/88.24,AW84)/1000000</f>
        <v>0.00014375</v>
      </c>
    </row>
    <row r="85" s="2" customFormat="true" ht="14.25" hidden="false" customHeight="false" outlineLevel="0" collapsed="false">
      <c r="A85" s="28"/>
      <c r="B85" s="16" t="n">
        <v>1</v>
      </c>
      <c r="C85" s="16"/>
      <c r="D85" s="16" t="s">
        <v>102</v>
      </c>
      <c r="E85" s="16" t="s">
        <v>51</v>
      </c>
      <c r="F85" s="16" t="s">
        <v>52</v>
      </c>
      <c r="G85" s="16" t="s">
        <v>103</v>
      </c>
      <c r="H85" s="16" t="s">
        <v>104</v>
      </c>
      <c r="I85" s="16" t="s">
        <v>105</v>
      </c>
      <c r="J85" s="16" t="s">
        <v>106</v>
      </c>
      <c r="K85" s="16" t="s">
        <v>104</v>
      </c>
      <c r="L85" s="16" t="s">
        <v>105</v>
      </c>
      <c r="M85" s="16" t="s">
        <v>106</v>
      </c>
      <c r="N85" s="16" t="s">
        <v>57</v>
      </c>
      <c r="O85" s="16" t="s">
        <v>107</v>
      </c>
      <c r="P85" s="16" t="s">
        <v>167</v>
      </c>
      <c r="Q85" s="16" t="s">
        <v>167</v>
      </c>
      <c r="R85" s="16"/>
      <c r="S85" s="16"/>
      <c r="T85" s="16" t="s">
        <v>201</v>
      </c>
      <c r="U85" s="16" t="s">
        <v>63</v>
      </c>
      <c r="V85" s="16" t="n">
        <v>0.273828</v>
      </c>
      <c r="W85" s="16"/>
      <c r="X85" s="16"/>
      <c r="Y85" s="16"/>
      <c r="Z85" s="16"/>
      <c r="AA85" s="16"/>
      <c r="AB85" s="16"/>
      <c r="AC85" s="16"/>
      <c r="AD85" s="16" t="n">
        <v>500</v>
      </c>
      <c r="AE85" s="16"/>
      <c r="AF85" s="16"/>
      <c r="AG85" s="16"/>
      <c r="AH85" s="16"/>
      <c r="AI85" s="16"/>
      <c r="AJ85" s="9" t="n">
        <f aca="false">X85*$V85</f>
        <v>0</v>
      </c>
      <c r="AK85" s="9" t="n">
        <f aca="false">Y85*$V85</f>
        <v>0</v>
      </c>
      <c r="AL85" s="9" t="n">
        <f aca="false">Z85*$V85</f>
        <v>0</v>
      </c>
      <c r="AM85" s="9" t="n">
        <f aca="false">AA85*$V85</f>
        <v>0</v>
      </c>
      <c r="AN85" s="9" t="n">
        <f aca="false">AB85*$V85</f>
        <v>0</v>
      </c>
      <c r="AO85" s="9" t="n">
        <f aca="false">AC85*$V85</f>
        <v>0</v>
      </c>
      <c r="AP85" s="9" t="n">
        <f aca="false">AD85*$V85</f>
        <v>136.914</v>
      </c>
      <c r="AQ85" s="9" t="n">
        <f aca="false">AE85*$V85</f>
        <v>0</v>
      </c>
      <c r="AR85" s="9" t="n">
        <f aca="false">AF85*$V85</f>
        <v>0</v>
      </c>
      <c r="AS85" s="9" t="n">
        <f aca="false">AG85*$V85</f>
        <v>0</v>
      </c>
      <c r="AT85" s="9" t="n">
        <f aca="false">AH85*$V85</f>
        <v>0</v>
      </c>
      <c r="AU85" s="9" t="n">
        <f aca="false">AI85*$V85</f>
        <v>0</v>
      </c>
      <c r="AV85" s="9" t="n">
        <f aca="false">SUM(X85:AI85)/1000</f>
        <v>0.5</v>
      </c>
      <c r="AW85" s="9" t="n">
        <f aca="false">SUM(AJ85:AU85)</f>
        <v>136.914</v>
      </c>
      <c r="AX85" s="9" t="n">
        <f aca="false">IF(D85="INR",AW85/88.24,AW85)/1000000</f>
        <v>0.000136914</v>
      </c>
    </row>
    <row r="86" s="2" customFormat="true" ht="14.25" hidden="false" customHeight="false" outlineLevel="0" collapsed="false">
      <c r="A86" s="28"/>
      <c r="B86" s="16" t="n">
        <v>1</v>
      </c>
      <c r="C86" s="16"/>
      <c r="D86" s="16" t="s">
        <v>102</v>
      </c>
      <c r="E86" s="16" t="s">
        <v>51</v>
      </c>
      <c r="F86" s="16" t="s">
        <v>52</v>
      </c>
      <c r="G86" s="16" t="s">
        <v>103</v>
      </c>
      <c r="H86" s="16" t="s">
        <v>104</v>
      </c>
      <c r="I86" s="16" t="s">
        <v>105</v>
      </c>
      <c r="J86" s="16" t="s">
        <v>106</v>
      </c>
      <c r="K86" s="16" t="s">
        <v>104</v>
      </c>
      <c r="L86" s="16" t="s">
        <v>105</v>
      </c>
      <c r="M86" s="16" t="s">
        <v>106</v>
      </c>
      <c r="N86" s="16" t="s">
        <v>57</v>
      </c>
      <c r="O86" s="16" t="s">
        <v>107</v>
      </c>
      <c r="P86" s="16" t="s">
        <v>108</v>
      </c>
      <c r="Q86" s="16" t="s">
        <v>108</v>
      </c>
      <c r="R86" s="16"/>
      <c r="S86" s="16"/>
      <c r="T86" s="16" t="s">
        <v>202</v>
      </c>
      <c r="U86" s="16" t="s">
        <v>63</v>
      </c>
      <c r="V86" s="16" t="n">
        <v>0.272</v>
      </c>
      <c r="W86" s="16"/>
      <c r="X86" s="16"/>
      <c r="Y86" s="16"/>
      <c r="Z86" s="16"/>
      <c r="AA86" s="16"/>
      <c r="AB86" s="16"/>
      <c r="AC86" s="16"/>
      <c r="AD86" s="16" t="n">
        <v>500</v>
      </c>
      <c r="AE86" s="16"/>
      <c r="AF86" s="16"/>
      <c r="AG86" s="16"/>
      <c r="AH86" s="16"/>
      <c r="AI86" s="16"/>
      <c r="AJ86" s="9" t="n">
        <f aca="false">X86*$V86</f>
        <v>0</v>
      </c>
      <c r="AK86" s="9" t="n">
        <f aca="false">Y86*$V86</f>
        <v>0</v>
      </c>
      <c r="AL86" s="9" t="n">
        <f aca="false">Z86*$V86</f>
        <v>0</v>
      </c>
      <c r="AM86" s="9" t="n">
        <f aca="false">AA86*$V86</f>
        <v>0</v>
      </c>
      <c r="AN86" s="9" t="n">
        <f aca="false">AB86*$V86</f>
        <v>0</v>
      </c>
      <c r="AO86" s="9" t="n">
        <f aca="false">AC86*$V86</f>
        <v>0</v>
      </c>
      <c r="AP86" s="9" t="n">
        <f aca="false">AD86*$V86</f>
        <v>136</v>
      </c>
      <c r="AQ86" s="9" t="n">
        <f aca="false">AE86*$V86</f>
        <v>0</v>
      </c>
      <c r="AR86" s="9" t="n">
        <f aca="false">AF86*$V86</f>
        <v>0</v>
      </c>
      <c r="AS86" s="9" t="n">
        <f aca="false">AG86*$V86</f>
        <v>0</v>
      </c>
      <c r="AT86" s="9" t="n">
        <f aca="false">AH86*$V86</f>
        <v>0</v>
      </c>
      <c r="AU86" s="9" t="n">
        <f aca="false">AI86*$V86</f>
        <v>0</v>
      </c>
      <c r="AV86" s="9" t="n">
        <f aca="false">SUM(X86:AI86)/1000</f>
        <v>0.5</v>
      </c>
      <c r="AW86" s="9" t="n">
        <f aca="false">SUM(AJ86:AU86)</f>
        <v>136</v>
      </c>
      <c r="AX86" s="9" t="n">
        <f aca="false">IF(D86="INR",AW86/88.24,AW86)/1000000</f>
        <v>0.000136</v>
      </c>
    </row>
    <row r="87" s="2" customFormat="true" ht="14.25" hidden="false" customHeight="false" outlineLevel="0" collapsed="false">
      <c r="A87" s="28"/>
      <c r="B87" s="16" t="n">
        <v>1</v>
      </c>
      <c r="C87" s="16"/>
      <c r="D87" s="16" t="s">
        <v>102</v>
      </c>
      <c r="E87" s="16" t="s">
        <v>51</v>
      </c>
      <c r="F87" s="16" t="s">
        <v>52</v>
      </c>
      <c r="G87" s="16" t="s">
        <v>103</v>
      </c>
      <c r="H87" s="16" t="s">
        <v>104</v>
      </c>
      <c r="I87" s="16" t="s">
        <v>105</v>
      </c>
      <c r="J87" s="16" t="s">
        <v>106</v>
      </c>
      <c r="K87" s="16" t="s">
        <v>104</v>
      </c>
      <c r="L87" s="16" t="s">
        <v>105</v>
      </c>
      <c r="M87" s="16" t="s">
        <v>106</v>
      </c>
      <c r="N87" s="16" t="s">
        <v>57</v>
      </c>
      <c r="O87" s="16" t="s">
        <v>107</v>
      </c>
      <c r="P87" s="16" t="s">
        <v>186</v>
      </c>
      <c r="Q87" s="16" t="s">
        <v>186</v>
      </c>
      <c r="R87" s="16"/>
      <c r="S87" s="16"/>
      <c r="T87" s="16" t="s">
        <v>203</v>
      </c>
      <c r="U87" s="16" t="s">
        <v>63</v>
      </c>
      <c r="V87" s="16" t="n">
        <v>0.2485</v>
      </c>
      <c r="W87" s="16"/>
      <c r="X87" s="16"/>
      <c r="Y87" s="16"/>
      <c r="Z87" s="16"/>
      <c r="AA87" s="16"/>
      <c r="AB87" s="16"/>
      <c r="AC87" s="16"/>
      <c r="AD87" s="16" t="n">
        <v>500</v>
      </c>
      <c r="AE87" s="16"/>
      <c r="AF87" s="16"/>
      <c r="AG87" s="16"/>
      <c r="AH87" s="16"/>
      <c r="AI87" s="16"/>
      <c r="AJ87" s="9" t="n">
        <f aca="false">X87*$V87</f>
        <v>0</v>
      </c>
      <c r="AK87" s="9" t="n">
        <f aca="false">Y87*$V87</f>
        <v>0</v>
      </c>
      <c r="AL87" s="9" t="n">
        <f aca="false">Z87*$V87</f>
        <v>0</v>
      </c>
      <c r="AM87" s="9" t="n">
        <f aca="false">AA87*$V87</f>
        <v>0</v>
      </c>
      <c r="AN87" s="9" t="n">
        <f aca="false">AB87*$V87</f>
        <v>0</v>
      </c>
      <c r="AO87" s="9" t="n">
        <f aca="false">AC87*$V87</f>
        <v>0</v>
      </c>
      <c r="AP87" s="9" t="n">
        <f aca="false">AD87*$V87</f>
        <v>124.25</v>
      </c>
      <c r="AQ87" s="9" t="n">
        <f aca="false">AE87*$V87</f>
        <v>0</v>
      </c>
      <c r="AR87" s="9" t="n">
        <f aca="false">AF87*$V87</f>
        <v>0</v>
      </c>
      <c r="AS87" s="9" t="n">
        <f aca="false">AG87*$V87</f>
        <v>0</v>
      </c>
      <c r="AT87" s="9" t="n">
        <f aca="false">AH87*$V87</f>
        <v>0</v>
      </c>
      <c r="AU87" s="9" t="n">
        <f aca="false">AI87*$V87</f>
        <v>0</v>
      </c>
      <c r="AV87" s="9" t="n">
        <f aca="false">SUM(X87:AI87)/1000</f>
        <v>0.5</v>
      </c>
      <c r="AW87" s="9" t="n">
        <f aca="false">SUM(AJ87:AU87)</f>
        <v>124.25</v>
      </c>
      <c r="AX87" s="9" t="n">
        <f aca="false">IF(D87="INR",AW87/88.24,AW87)/1000000</f>
        <v>0.00012425</v>
      </c>
    </row>
    <row r="88" s="2" customFormat="true" ht="14.25" hidden="false" customHeight="false" outlineLevel="0" collapsed="false">
      <c r="A88" s="28"/>
      <c r="B88" s="16" t="n">
        <v>1</v>
      </c>
      <c r="C88" s="16"/>
      <c r="D88" s="16" t="s">
        <v>102</v>
      </c>
      <c r="E88" s="16" t="s">
        <v>51</v>
      </c>
      <c r="F88" s="16" t="s">
        <v>52</v>
      </c>
      <c r="G88" s="16" t="s">
        <v>103</v>
      </c>
      <c r="H88" s="16" t="s">
        <v>104</v>
      </c>
      <c r="I88" s="16" t="s">
        <v>105</v>
      </c>
      <c r="J88" s="16" t="s">
        <v>106</v>
      </c>
      <c r="K88" s="16" t="s">
        <v>104</v>
      </c>
      <c r="L88" s="16" t="s">
        <v>105</v>
      </c>
      <c r="M88" s="16" t="s">
        <v>106</v>
      </c>
      <c r="N88" s="16" t="s">
        <v>57</v>
      </c>
      <c r="O88" s="16" t="s">
        <v>107</v>
      </c>
      <c r="P88" s="9" t="s">
        <v>155</v>
      </c>
      <c r="Q88" s="16" t="s">
        <v>155</v>
      </c>
      <c r="R88" s="9"/>
      <c r="S88" s="9"/>
      <c r="T88" s="9" t="s">
        <v>204</v>
      </c>
      <c r="U88" s="9" t="s">
        <v>63</v>
      </c>
      <c r="V88" s="9" t="n">
        <v>0.24</v>
      </c>
      <c r="W88" s="9"/>
      <c r="X88" s="16"/>
      <c r="Y88" s="16"/>
      <c r="Z88" s="16"/>
      <c r="AA88" s="16"/>
      <c r="AB88" s="16"/>
      <c r="AC88" s="16"/>
      <c r="AD88" s="16" t="n">
        <v>500</v>
      </c>
      <c r="AE88" s="16"/>
      <c r="AF88" s="16"/>
      <c r="AG88" s="16"/>
      <c r="AH88" s="16"/>
      <c r="AI88" s="16"/>
      <c r="AJ88" s="9" t="n">
        <f aca="false">X88*$V88</f>
        <v>0</v>
      </c>
      <c r="AK88" s="9" t="n">
        <f aca="false">Y88*$V88</f>
        <v>0</v>
      </c>
      <c r="AL88" s="9" t="n">
        <f aca="false">Z88*$V88</f>
        <v>0</v>
      </c>
      <c r="AM88" s="9" t="n">
        <f aca="false">AA88*$V88</f>
        <v>0</v>
      </c>
      <c r="AN88" s="9" t="n">
        <f aca="false">AB88*$V88</f>
        <v>0</v>
      </c>
      <c r="AO88" s="9" t="n">
        <f aca="false">AC88*$V88</f>
        <v>0</v>
      </c>
      <c r="AP88" s="9" t="n">
        <f aca="false">AD88*$V88</f>
        <v>120</v>
      </c>
      <c r="AQ88" s="9" t="n">
        <f aca="false">AE88*$V88</f>
        <v>0</v>
      </c>
      <c r="AR88" s="9" t="n">
        <f aca="false">AF88*$V88</f>
        <v>0</v>
      </c>
      <c r="AS88" s="9" t="n">
        <f aca="false">AG88*$V88</f>
        <v>0</v>
      </c>
      <c r="AT88" s="9" t="n">
        <f aca="false">AH88*$V88</f>
        <v>0</v>
      </c>
      <c r="AU88" s="9" t="n">
        <f aca="false">AI88*$V88</f>
        <v>0</v>
      </c>
      <c r="AV88" s="9" t="n">
        <f aca="false">SUM(X88:AI88)/1000</f>
        <v>0.5</v>
      </c>
      <c r="AW88" s="9" t="n">
        <f aca="false">SUM(AJ88:AU88)</f>
        <v>120</v>
      </c>
      <c r="AX88" s="9" t="n">
        <f aca="false">IF(D88="INR",AW88/88.24,AW88)/1000000</f>
        <v>0.00012</v>
      </c>
    </row>
    <row r="89" s="2" customFormat="true" ht="14.25" hidden="false" customHeight="false" outlineLevel="0" collapsed="false">
      <c r="A89" s="28"/>
      <c r="B89" s="16" t="n">
        <v>1</v>
      </c>
      <c r="C89" s="16"/>
      <c r="D89" s="16" t="s">
        <v>102</v>
      </c>
      <c r="E89" s="16" t="s">
        <v>51</v>
      </c>
      <c r="F89" s="16" t="s">
        <v>52</v>
      </c>
      <c r="G89" s="16" t="s">
        <v>103</v>
      </c>
      <c r="H89" s="16" t="s">
        <v>104</v>
      </c>
      <c r="I89" s="16" t="s">
        <v>105</v>
      </c>
      <c r="J89" s="16" t="s">
        <v>106</v>
      </c>
      <c r="K89" s="16" t="s">
        <v>104</v>
      </c>
      <c r="L89" s="16" t="s">
        <v>105</v>
      </c>
      <c r="M89" s="16" t="s">
        <v>106</v>
      </c>
      <c r="N89" s="16" t="s">
        <v>57</v>
      </c>
      <c r="O89" s="16" t="s">
        <v>107</v>
      </c>
      <c r="P89" s="16" t="s">
        <v>145</v>
      </c>
      <c r="Q89" s="16" t="s">
        <v>145</v>
      </c>
      <c r="R89" s="16"/>
      <c r="S89" s="16"/>
      <c r="T89" s="16" t="s">
        <v>205</v>
      </c>
      <c r="U89" s="16" t="s">
        <v>63</v>
      </c>
      <c r="V89" s="16" t="n">
        <v>0.22352</v>
      </c>
      <c r="W89" s="16"/>
      <c r="X89" s="16"/>
      <c r="Y89" s="16"/>
      <c r="Z89" s="16"/>
      <c r="AA89" s="16"/>
      <c r="AB89" s="16"/>
      <c r="AC89" s="16"/>
      <c r="AD89" s="16" t="n">
        <v>500</v>
      </c>
      <c r="AE89" s="16"/>
      <c r="AF89" s="16"/>
      <c r="AG89" s="16"/>
      <c r="AH89" s="16"/>
      <c r="AI89" s="16"/>
      <c r="AJ89" s="9" t="n">
        <f aca="false">X89*$V89</f>
        <v>0</v>
      </c>
      <c r="AK89" s="9" t="n">
        <f aca="false">Y89*$V89</f>
        <v>0</v>
      </c>
      <c r="AL89" s="9" t="n">
        <f aca="false">Z89*$V89</f>
        <v>0</v>
      </c>
      <c r="AM89" s="9" t="n">
        <f aca="false">AA89*$V89</f>
        <v>0</v>
      </c>
      <c r="AN89" s="9" t="n">
        <f aca="false">AB89*$V89</f>
        <v>0</v>
      </c>
      <c r="AO89" s="9" t="n">
        <f aca="false">AC89*$V89</f>
        <v>0</v>
      </c>
      <c r="AP89" s="9" t="n">
        <f aca="false">AD89*$V89</f>
        <v>111.76</v>
      </c>
      <c r="AQ89" s="9" t="n">
        <f aca="false">AE89*$V89</f>
        <v>0</v>
      </c>
      <c r="AR89" s="9" t="n">
        <f aca="false">AF89*$V89</f>
        <v>0</v>
      </c>
      <c r="AS89" s="9" t="n">
        <f aca="false">AG89*$V89</f>
        <v>0</v>
      </c>
      <c r="AT89" s="9" t="n">
        <f aca="false">AH89*$V89</f>
        <v>0</v>
      </c>
      <c r="AU89" s="9" t="n">
        <f aca="false">AI89*$V89</f>
        <v>0</v>
      </c>
      <c r="AV89" s="9" t="n">
        <f aca="false">SUM(X89:AI89)/1000</f>
        <v>0.5</v>
      </c>
      <c r="AW89" s="9" t="n">
        <f aca="false">SUM(AJ89:AU89)</f>
        <v>111.76</v>
      </c>
      <c r="AX89" s="9" t="n">
        <f aca="false">IF(D89="INR",AW89/88.24,AW89)/1000000</f>
        <v>0.00011176</v>
      </c>
    </row>
    <row r="90" s="2" customFormat="true" ht="14.25" hidden="false" customHeight="false" outlineLevel="0" collapsed="false">
      <c r="A90" s="28"/>
      <c r="B90" s="16" t="n">
        <v>1</v>
      </c>
      <c r="C90" s="16"/>
      <c r="D90" s="16" t="s">
        <v>102</v>
      </c>
      <c r="E90" s="16" t="s">
        <v>51</v>
      </c>
      <c r="F90" s="16" t="s">
        <v>52</v>
      </c>
      <c r="G90" s="16" t="s">
        <v>103</v>
      </c>
      <c r="H90" s="16" t="s">
        <v>104</v>
      </c>
      <c r="I90" s="16" t="s">
        <v>105</v>
      </c>
      <c r="J90" s="16" t="s">
        <v>106</v>
      </c>
      <c r="K90" s="16" t="s">
        <v>104</v>
      </c>
      <c r="L90" s="16" t="s">
        <v>105</v>
      </c>
      <c r="M90" s="16" t="s">
        <v>106</v>
      </c>
      <c r="N90" s="16" t="s">
        <v>57</v>
      </c>
      <c r="O90" s="16" t="s">
        <v>107</v>
      </c>
      <c r="P90" s="16" t="s">
        <v>110</v>
      </c>
      <c r="Q90" s="16" t="s">
        <v>110</v>
      </c>
      <c r="R90" s="16" t="s">
        <v>137</v>
      </c>
      <c r="S90" s="16"/>
      <c r="T90" s="26" t="s">
        <v>206</v>
      </c>
      <c r="U90" s="16" t="s">
        <v>63</v>
      </c>
      <c r="V90" s="16" t="n">
        <v>0.22</v>
      </c>
      <c r="W90" s="16" t="n">
        <v>0.193</v>
      </c>
      <c r="X90" s="16"/>
      <c r="Y90" s="16"/>
      <c r="Z90" s="16"/>
      <c r="AA90" s="16"/>
      <c r="AB90" s="16"/>
      <c r="AC90" s="16"/>
      <c r="AD90" s="16" t="n">
        <v>500</v>
      </c>
      <c r="AE90" s="16"/>
      <c r="AF90" s="16"/>
      <c r="AG90" s="16"/>
      <c r="AH90" s="16"/>
      <c r="AI90" s="16"/>
      <c r="AJ90" s="9" t="n">
        <f aca="false">X90*$V90</f>
        <v>0</v>
      </c>
      <c r="AK90" s="9" t="n">
        <f aca="false">Y90*$V90</f>
        <v>0</v>
      </c>
      <c r="AL90" s="9" t="n">
        <f aca="false">Z90*$V90</f>
        <v>0</v>
      </c>
      <c r="AM90" s="9" t="n">
        <f aca="false">AA90*$V90</f>
        <v>0</v>
      </c>
      <c r="AN90" s="9" t="n">
        <f aca="false">AB90*$V90</f>
        <v>0</v>
      </c>
      <c r="AO90" s="9" t="n">
        <f aca="false">AC90*$V90</f>
        <v>0</v>
      </c>
      <c r="AP90" s="9" t="n">
        <f aca="false">AD90*$V90</f>
        <v>110</v>
      </c>
      <c r="AQ90" s="9" t="n">
        <f aca="false">AE90*$V90</f>
        <v>0</v>
      </c>
      <c r="AR90" s="9" t="n">
        <f aca="false">AF90*$V90</f>
        <v>0</v>
      </c>
      <c r="AS90" s="9" t="n">
        <f aca="false">AG90*$V90</f>
        <v>0</v>
      </c>
      <c r="AT90" s="9" t="n">
        <f aca="false">AH90*$V90</f>
        <v>0</v>
      </c>
      <c r="AU90" s="9" t="n">
        <f aca="false">AI90*$V90</f>
        <v>0</v>
      </c>
      <c r="AV90" s="9" t="n">
        <f aca="false">SUM(X90:AI90)/1000</f>
        <v>0.5</v>
      </c>
      <c r="AW90" s="9" t="n">
        <f aca="false">SUM(AJ90:AU90)</f>
        <v>110</v>
      </c>
      <c r="AX90" s="9" t="n">
        <f aca="false">IF(D90="INR",AW90/88.24,AW90)/1000000</f>
        <v>0.00011</v>
      </c>
    </row>
    <row r="91" s="2" customFormat="true" ht="14.25" hidden="false" customHeight="false" outlineLevel="0" collapsed="false">
      <c r="A91" s="28"/>
      <c r="B91" s="16" t="n">
        <v>1</v>
      </c>
      <c r="C91" s="16"/>
      <c r="D91" s="16" t="s">
        <v>102</v>
      </c>
      <c r="E91" s="16" t="s">
        <v>51</v>
      </c>
      <c r="F91" s="16" t="s">
        <v>52</v>
      </c>
      <c r="G91" s="16" t="s">
        <v>103</v>
      </c>
      <c r="H91" s="16" t="s">
        <v>104</v>
      </c>
      <c r="I91" s="16" t="s">
        <v>105</v>
      </c>
      <c r="J91" s="16" t="s">
        <v>106</v>
      </c>
      <c r="K91" s="16" t="s">
        <v>104</v>
      </c>
      <c r="L91" s="16" t="s">
        <v>105</v>
      </c>
      <c r="M91" s="16" t="s">
        <v>106</v>
      </c>
      <c r="N91" s="16" t="s">
        <v>57</v>
      </c>
      <c r="O91" s="16" t="s">
        <v>107</v>
      </c>
      <c r="P91" s="16" t="s">
        <v>145</v>
      </c>
      <c r="Q91" s="16" t="s">
        <v>145</v>
      </c>
      <c r="R91" s="16"/>
      <c r="S91" s="16"/>
      <c r="T91" s="16" t="s">
        <v>207</v>
      </c>
      <c r="U91" s="16" t="s">
        <v>63</v>
      </c>
      <c r="V91" s="16" t="n">
        <v>0.21764</v>
      </c>
      <c r="W91" s="16"/>
      <c r="X91" s="16"/>
      <c r="Y91" s="16"/>
      <c r="Z91" s="16"/>
      <c r="AA91" s="16"/>
      <c r="AB91" s="16"/>
      <c r="AC91" s="16"/>
      <c r="AD91" s="16" t="n">
        <v>500</v>
      </c>
      <c r="AE91" s="16"/>
      <c r="AF91" s="16"/>
      <c r="AG91" s="16"/>
      <c r="AH91" s="16"/>
      <c r="AI91" s="16"/>
      <c r="AJ91" s="9" t="n">
        <f aca="false">X91*$V91</f>
        <v>0</v>
      </c>
      <c r="AK91" s="9" t="n">
        <f aca="false">Y91*$V91</f>
        <v>0</v>
      </c>
      <c r="AL91" s="9" t="n">
        <f aca="false">Z91*$V91</f>
        <v>0</v>
      </c>
      <c r="AM91" s="9" t="n">
        <f aca="false">AA91*$V91</f>
        <v>0</v>
      </c>
      <c r="AN91" s="9" t="n">
        <f aca="false">AB91*$V91</f>
        <v>0</v>
      </c>
      <c r="AO91" s="9" t="n">
        <f aca="false">AC91*$V91</f>
        <v>0</v>
      </c>
      <c r="AP91" s="9" t="n">
        <f aca="false">AD91*$V91</f>
        <v>108.82</v>
      </c>
      <c r="AQ91" s="9" t="n">
        <f aca="false">AE91*$V91</f>
        <v>0</v>
      </c>
      <c r="AR91" s="9" t="n">
        <f aca="false">AF91*$V91</f>
        <v>0</v>
      </c>
      <c r="AS91" s="9" t="n">
        <f aca="false">AG91*$V91</f>
        <v>0</v>
      </c>
      <c r="AT91" s="9" t="n">
        <f aca="false">AH91*$V91</f>
        <v>0</v>
      </c>
      <c r="AU91" s="9" t="n">
        <f aca="false">AI91*$V91</f>
        <v>0</v>
      </c>
      <c r="AV91" s="9" t="n">
        <f aca="false">SUM(X91:AI91)/1000</f>
        <v>0.5</v>
      </c>
      <c r="AW91" s="9" t="n">
        <f aca="false">SUM(AJ91:AU91)</f>
        <v>108.82</v>
      </c>
      <c r="AX91" s="9" t="n">
        <f aca="false">IF(D91="INR",AW91/88.24,AW91)/1000000</f>
        <v>0.00010882</v>
      </c>
    </row>
    <row r="92" s="2" customFormat="true" ht="14.25" hidden="false" customHeight="false" outlineLevel="0" collapsed="false">
      <c r="A92" s="28"/>
      <c r="B92" s="16" t="n">
        <v>1</v>
      </c>
      <c r="C92" s="16"/>
      <c r="D92" s="16" t="s">
        <v>102</v>
      </c>
      <c r="E92" s="16" t="s">
        <v>51</v>
      </c>
      <c r="F92" s="16" t="s">
        <v>52</v>
      </c>
      <c r="G92" s="16" t="s">
        <v>103</v>
      </c>
      <c r="H92" s="16" t="s">
        <v>104</v>
      </c>
      <c r="I92" s="16" t="s">
        <v>105</v>
      </c>
      <c r="J92" s="16" t="s">
        <v>106</v>
      </c>
      <c r="K92" s="16" t="s">
        <v>104</v>
      </c>
      <c r="L92" s="16" t="s">
        <v>105</v>
      </c>
      <c r="M92" s="16" t="s">
        <v>106</v>
      </c>
      <c r="N92" s="16" t="s">
        <v>57</v>
      </c>
      <c r="O92" s="16" t="s">
        <v>107</v>
      </c>
      <c r="P92" s="16" t="s">
        <v>208</v>
      </c>
      <c r="Q92" s="16" t="s">
        <v>208</v>
      </c>
      <c r="R92" s="16"/>
      <c r="S92" s="16"/>
      <c r="T92" s="16" t="s">
        <v>209</v>
      </c>
      <c r="U92" s="16" t="s">
        <v>63</v>
      </c>
      <c r="V92" s="16" t="n">
        <v>0.215</v>
      </c>
      <c r="W92" s="16"/>
      <c r="X92" s="16"/>
      <c r="Y92" s="16"/>
      <c r="Z92" s="16"/>
      <c r="AA92" s="16"/>
      <c r="AB92" s="16"/>
      <c r="AC92" s="16"/>
      <c r="AD92" s="16" t="n">
        <v>500</v>
      </c>
      <c r="AE92" s="16"/>
      <c r="AF92" s="16"/>
      <c r="AG92" s="16"/>
      <c r="AH92" s="16"/>
      <c r="AI92" s="16"/>
      <c r="AJ92" s="9" t="n">
        <f aca="false">X92*$V92</f>
        <v>0</v>
      </c>
      <c r="AK92" s="9" t="n">
        <f aca="false">Y92*$V92</f>
        <v>0</v>
      </c>
      <c r="AL92" s="9" t="n">
        <f aca="false">Z92*$V92</f>
        <v>0</v>
      </c>
      <c r="AM92" s="9" t="n">
        <f aca="false">AA92*$V92</f>
        <v>0</v>
      </c>
      <c r="AN92" s="9" t="n">
        <f aca="false">AB92*$V92</f>
        <v>0</v>
      </c>
      <c r="AO92" s="9" t="n">
        <f aca="false">AC92*$V92</f>
        <v>0</v>
      </c>
      <c r="AP92" s="9" t="n">
        <f aca="false">AD92*$V92</f>
        <v>107.5</v>
      </c>
      <c r="AQ92" s="9" t="n">
        <f aca="false">AE92*$V92</f>
        <v>0</v>
      </c>
      <c r="AR92" s="9" t="n">
        <f aca="false">AF92*$V92</f>
        <v>0</v>
      </c>
      <c r="AS92" s="9" t="n">
        <f aca="false">AG92*$V92</f>
        <v>0</v>
      </c>
      <c r="AT92" s="9" t="n">
        <f aca="false">AH92*$V92</f>
        <v>0</v>
      </c>
      <c r="AU92" s="9" t="n">
        <f aca="false">AI92*$V92</f>
        <v>0</v>
      </c>
      <c r="AV92" s="9" t="n">
        <f aca="false">SUM(X92:AI92)/1000</f>
        <v>0.5</v>
      </c>
      <c r="AW92" s="9" t="n">
        <f aca="false">SUM(AJ92:AU92)</f>
        <v>107.5</v>
      </c>
      <c r="AX92" s="9" t="n">
        <f aca="false">IF(D92="INR",AW92/88.24,AW92)/1000000</f>
        <v>0.0001075</v>
      </c>
    </row>
    <row r="93" s="2" customFormat="true" ht="14.25" hidden="false" customHeight="false" outlineLevel="0" collapsed="false">
      <c r="A93" s="28"/>
      <c r="B93" s="16" t="n">
        <v>1</v>
      </c>
      <c r="C93" s="16"/>
      <c r="D93" s="16" t="s">
        <v>102</v>
      </c>
      <c r="E93" s="16" t="s">
        <v>51</v>
      </c>
      <c r="F93" s="16" t="s">
        <v>52</v>
      </c>
      <c r="G93" s="16" t="s">
        <v>103</v>
      </c>
      <c r="H93" s="16" t="s">
        <v>104</v>
      </c>
      <c r="I93" s="16" t="s">
        <v>105</v>
      </c>
      <c r="J93" s="16" t="s">
        <v>106</v>
      </c>
      <c r="K93" s="16" t="s">
        <v>104</v>
      </c>
      <c r="L93" s="16" t="s">
        <v>105</v>
      </c>
      <c r="M93" s="16" t="s">
        <v>106</v>
      </c>
      <c r="N93" s="16" t="s">
        <v>57</v>
      </c>
      <c r="O93" s="16" t="s">
        <v>107</v>
      </c>
      <c r="P93" s="16" t="s">
        <v>210</v>
      </c>
      <c r="Q93" s="16" t="s">
        <v>210</v>
      </c>
      <c r="R93" s="16"/>
      <c r="S93" s="16"/>
      <c r="T93" s="16" t="s">
        <v>211</v>
      </c>
      <c r="U93" s="16" t="s">
        <v>63</v>
      </c>
      <c r="V93" s="16" t="n">
        <v>0.2058</v>
      </c>
      <c r="W93" s="16"/>
      <c r="X93" s="16"/>
      <c r="Y93" s="16"/>
      <c r="Z93" s="16"/>
      <c r="AA93" s="16"/>
      <c r="AB93" s="16"/>
      <c r="AC93" s="16"/>
      <c r="AD93" s="16" t="n">
        <v>500</v>
      </c>
      <c r="AE93" s="16"/>
      <c r="AF93" s="16"/>
      <c r="AG93" s="16"/>
      <c r="AH93" s="16"/>
      <c r="AI93" s="16"/>
      <c r="AJ93" s="9" t="n">
        <f aca="false">X93*$V93</f>
        <v>0</v>
      </c>
      <c r="AK93" s="9" t="n">
        <f aca="false">Y93*$V93</f>
        <v>0</v>
      </c>
      <c r="AL93" s="9" t="n">
        <f aca="false">Z93*$V93</f>
        <v>0</v>
      </c>
      <c r="AM93" s="9" t="n">
        <f aca="false">AA93*$V93</f>
        <v>0</v>
      </c>
      <c r="AN93" s="9" t="n">
        <f aca="false">AB93*$V93</f>
        <v>0</v>
      </c>
      <c r="AO93" s="9" t="n">
        <f aca="false">AC93*$V93</f>
        <v>0</v>
      </c>
      <c r="AP93" s="9" t="n">
        <f aca="false">AD93*$V93</f>
        <v>102.9</v>
      </c>
      <c r="AQ93" s="9" t="n">
        <f aca="false">AE93*$V93</f>
        <v>0</v>
      </c>
      <c r="AR93" s="9" t="n">
        <f aca="false">AF93*$V93</f>
        <v>0</v>
      </c>
      <c r="AS93" s="9" t="n">
        <f aca="false">AG93*$V93</f>
        <v>0</v>
      </c>
      <c r="AT93" s="9" t="n">
        <f aca="false">AH93*$V93</f>
        <v>0</v>
      </c>
      <c r="AU93" s="9" t="n">
        <f aca="false">AI93*$V93</f>
        <v>0</v>
      </c>
      <c r="AV93" s="9" t="n">
        <f aca="false">SUM(X93:AI93)/1000</f>
        <v>0.5</v>
      </c>
      <c r="AW93" s="9" t="n">
        <f aca="false">SUM(AJ93:AU93)</f>
        <v>102.9</v>
      </c>
      <c r="AX93" s="9" t="n">
        <f aca="false">IF(D93="INR",AW93/88.24,AW93)/1000000</f>
        <v>0.0001029</v>
      </c>
    </row>
    <row r="94" s="2" customFormat="true" ht="14.25" hidden="false" customHeight="false" outlineLevel="0" collapsed="false">
      <c r="A94" s="28"/>
      <c r="B94" s="16" t="n">
        <v>1</v>
      </c>
      <c r="C94" s="16"/>
      <c r="D94" s="16" t="s">
        <v>102</v>
      </c>
      <c r="E94" s="16" t="s">
        <v>51</v>
      </c>
      <c r="F94" s="16" t="s">
        <v>52</v>
      </c>
      <c r="G94" s="16" t="s">
        <v>103</v>
      </c>
      <c r="H94" s="16" t="s">
        <v>104</v>
      </c>
      <c r="I94" s="16" t="s">
        <v>105</v>
      </c>
      <c r="J94" s="16" t="s">
        <v>106</v>
      </c>
      <c r="K94" s="16" t="s">
        <v>104</v>
      </c>
      <c r="L94" s="16" t="s">
        <v>105</v>
      </c>
      <c r="M94" s="16" t="s">
        <v>106</v>
      </c>
      <c r="N94" s="16" t="s">
        <v>57</v>
      </c>
      <c r="O94" s="16" t="s">
        <v>107</v>
      </c>
      <c r="P94" s="16" t="s">
        <v>188</v>
      </c>
      <c r="Q94" s="9" t="s">
        <v>188</v>
      </c>
      <c r="R94" s="16"/>
      <c r="S94" s="16"/>
      <c r="T94" s="16" t="s">
        <v>212</v>
      </c>
      <c r="U94" s="16" t="s">
        <v>63</v>
      </c>
      <c r="V94" s="16" t="n">
        <v>0.20177</v>
      </c>
      <c r="W94" s="16"/>
      <c r="X94" s="16"/>
      <c r="Y94" s="16"/>
      <c r="Z94" s="16"/>
      <c r="AA94" s="16"/>
      <c r="AB94" s="16"/>
      <c r="AC94" s="16"/>
      <c r="AD94" s="16" t="n">
        <v>500</v>
      </c>
      <c r="AE94" s="16"/>
      <c r="AF94" s="16"/>
      <c r="AG94" s="16"/>
      <c r="AH94" s="16"/>
      <c r="AI94" s="16"/>
      <c r="AJ94" s="9" t="n">
        <f aca="false">X94*$V94</f>
        <v>0</v>
      </c>
      <c r="AK94" s="9" t="n">
        <f aca="false">Y94*$V94</f>
        <v>0</v>
      </c>
      <c r="AL94" s="9" t="n">
        <f aca="false">Z94*$V94</f>
        <v>0</v>
      </c>
      <c r="AM94" s="9" t="n">
        <f aca="false">AA94*$V94</f>
        <v>0</v>
      </c>
      <c r="AN94" s="9" t="n">
        <f aca="false">AB94*$V94</f>
        <v>0</v>
      </c>
      <c r="AO94" s="9" t="n">
        <f aca="false">AC94*$V94</f>
        <v>0</v>
      </c>
      <c r="AP94" s="9" t="n">
        <f aca="false">AD94*$V94</f>
        <v>100.885</v>
      </c>
      <c r="AQ94" s="9" t="n">
        <f aca="false">AE94*$V94</f>
        <v>0</v>
      </c>
      <c r="AR94" s="9" t="n">
        <f aca="false">AF94*$V94</f>
        <v>0</v>
      </c>
      <c r="AS94" s="9" t="n">
        <f aca="false">AG94*$V94</f>
        <v>0</v>
      </c>
      <c r="AT94" s="9" t="n">
        <f aca="false">AH94*$V94</f>
        <v>0</v>
      </c>
      <c r="AU94" s="9" t="n">
        <f aca="false">AI94*$V94</f>
        <v>0</v>
      </c>
      <c r="AV94" s="9" t="n">
        <f aca="false">SUM(X94:AI94)/1000</f>
        <v>0.5</v>
      </c>
      <c r="AW94" s="9" t="n">
        <f aca="false">SUM(AJ94:AU94)</f>
        <v>100.885</v>
      </c>
      <c r="AX94" s="9" t="n">
        <f aca="false">IF(D94="INR",AW94/88.24,AW94)/1000000</f>
        <v>0.000100885</v>
      </c>
    </row>
    <row r="95" s="2" customFormat="true" ht="14.25" hidden="false" customHeight="false" outlineLevel="0" collapsed="false">
      <c r="A95" s="28"/>
      <c r="B95" s="16" t="n">
        <v>1</v>
      </c>
      <c r="C95" s="16"/>
      <c r="D95" s="16" t="s">
        <v>102</v>
      </c>
      <c r="E95" s="16" t="s">
        <v>51</v>
      </c>
      <c r="F95" s="16" t="s">
        <v>52</v>
      </c>
      <c r="G95" s="16" t="s">
        <v>103</v>
      </c>
      <c r="H95" s="16" t="s">
        <v>104</v>
      </c>
      <c r="I95" s="16" t="s">
        <v>105</v>
      </c>
      <c r="J95" s="16" t="s">
        <v>106</v>
      </c>
      <c r="K95" s="16" t="s">
        <v>104</v>
      </c>
      <c r="L95" s="16" t="s">
        <v>105</v>
      </c>
      <c r="M95" s="16" t="s">
        <v>106</v>
      </c>
      <c r="N95" s="16" t="s">
        <v>57</v>
      </c>
      <c r="O95" s="16" t="s">
        <v>107</v>
      </c>
      <c r="P95" s="16" t="s">
        <v>188</v>
      </c>
      <c r="Q95" s="9" t="s">
        <v>188</v>
      </c>
      <c r="R95" s="16"/>
      <c r="S95" s="16"/>
      <c r="T95" s="26" t="s">
        <v>213</v>
      </c>
      <c r="U95" s="16" t="s">
        <v>63</v>
      </c>
      <c r="V95" s="16" t="n">
        <v>0.20177</v>
      </c>
      <c r="W95" s="16"/>
      <c r="X95" s="16"/>
      <c r="Y95" s="16"/>
      <c r="Z95" s="16"/>
      <c r="AA95" s="16"/>
      <c r="AB95" s="16"/>
      <c r="AC95" s="16"/>
      <c r="AD95" s="16" t="n">
        <v>500</v>
      </c>
      <c r="AE95" s="16"/>
      <c r="AF95" s="16"/>
      <c r="AG95" s="16"/>
      <c r="AH95" s="16"/>
      <c r="AI95" s="16"/>
      <c r="AJ95" s="9" t="n">
        <f aca="false">X95*$V95</f>
        <v>0</v>
      </c>
      <c r="AK95" s="9" t="n">
        <f aca="false">Y95*$V95</f>
        <v>0</v>
      </c>
      <c r="AL95" s="9" t="n">
        <f aca="false">Z95*$V95</f>
        <v>0</v>
      </c>
      <c r="AM95" s="9" t="n">
        <f aca="false">AA95*$V95</f>
        <v>0</v>
      </c>
      <c r="AN95" s="9" t="n">
        <f aca="false">AB95*$V95</f>
        <v>0</v>
      </c>
      <c r="AO95" s="9" t="n">
        <f aca="false">AC95*$V95</f>
        <v>0</v>
      </c>
      <c r="AP95" s="9" t="n">
        <f aca="false">AD95*$V95</f>
        <v>100.885</v>
      </c>
      <c r="AQ95" s="9" t="n">
        <f aca="false">AE95*$V95</f>
        <v>0</v>
      </c>
      <c r="AR95" s="9" t="n">
        <f aca="false">AF95*$V95</f>
        <v>0</v>
      </c>
      <c r="AS95" s="9" t="n">
        <f aca="false">AG95*$V95</f>
        <v>0</v>
      </c>
      <c r="AT95" s="9" t="n">
        <f aca="false">AH95*$V95</f>
        <v>0</v>
      </c>
      <c r="AU95" s="9" t="n">
        <f aca="false">AI95*$V95</f>
        <v>0</v>
      </c>
      <c r="AV95" s="9" t="n">
        <f aca="false">SUM(X95:AI95)/1000</f>
        <v>0.5</v>
      </c>
      <c r="AW95" s="9" t="n">
        <f aca="false">SUM(AJ95:AU95)</f>
        <v>100.885</v>
      </c>
      <c r="AX95" s="9" t="n">
        <f aca="false">IF(D95="INR",AW95/88.24,AW95)/1000000</f>
        <v>0.000100885</v>
      </c>
    </row>
    <row r="96" s="2" customFormat="true" ht="14.25" hidden="false" customHeight="false" outlineLevel="0" collapsed="false">
      <c r="A96" s="28"/>
      <c r="B96" s="16" t="n">
        <v>1</v>
      </c>
      <c r="C96" s="16"/>
      <c r="D96" s="16" t="s">
        <v>102</v>
      </c>
      <c r="E96" s="16" t="s">
        <v>51</v>
      </c>
      <c r="F96" s="16" t="s">
        <v>52</v>
      </c>
      <c r="G96" s="16" t="s">
        <v>103</v>
      </c>
      <c r="H96" s="16" t="s">
        <v>104</v>
      </c>
      <c r="I96" s="16" t="s">
        <v>105</v>
      </c>
      <c r="J96" s="16" t="s">
        <v>106</v>
      </c>
      <c r="K96" s="16" t="s">
        <v>104</v>
      </c>
      <c r="L96" s="16" t="s">
        <v>105</v>
      </c>
      <c r="M96" s="16" t="s">
        <v>106</v>
      </c>
      <c r="N96" s="16" t="s">
        <v>57</v>
      </c>
      <c r="O96" s="16" t="s">
        <v>107</v>
      </c>
      <c r="P96" s="16" t="s">
        <v>167</v>
      </c>
      <c r="Q96" s="9" t="s">
        <v>167</v>
      </c>
      <c r="R96" s="16"/>
      <c r="S96" s="16"/>
      <c r="T96" s="16" t="s">
        <v>214</v>
      </c>
      <c r="U96" s="16" t="s">
        <v>63</v>
      </c>
      <c r="V96" s="26" t="n">
        <v>0.20121</v>
      </c>
      <c r="W96" s="26"/>
      <c r="X96" s="16"/>
      <c r="Y96" s="16"/>
      <c r="Z96" s="16"/>
      <c r="AA96" s="16"/>
      <c r="AB96" s="16"/>
      <c r="AC96" s="16"/>
      <c r="AD96" s="16" t="n">
        <v>500</v>
      </c>
      <c r="AE96" s="16"/>
      <c r="AF96" s="16"/>
      <c r="AG96" s="16"/>
      <c r="AH96" s="16"/>
      <c r="AI96" s="16"/>
      <c r="AJ96" s="9" t="n">
        <f aca="false">X96*$V96</f>
        <v>0</v>
      </c>
      <c r="AK96" s="9" t="n">
        <f aca="false">Y96*$V96</f>
        <v>0</v>
      </c>
      <c r="AL96" s="9" t="n">
        <f aca="false">Z96*$V96</f>
        <v>0</v>
      </c>
      <c r="AM96" s="9" t="n">
        <f aca="false">AA96*$V96</f>
        <v>0</v>
      </c>
      <c r="AN96" s="9" t="n">
        <f aca="false">AB96*$V96</f>
        <v>0</v>
      </c>
      <c r="AO96" s="9" t="n">
        <f aca="false">AC96*$V96</f>
        <v>0</v>
      </c>
      <c r="AP96" s="9" t="n">
        <f aca="false">AD96*$V96</f>
        <v>100.605</v>
      </c>
      <c r="AQ96" s="9" t="n">
        <f aca="false">AE96*$V96</f>
        <v>0</v>
      </c>
      <c r="AR96" s="9" t="n">
        <f aca="false">AF96*$V96</f>
        <v>0</v>
      </c>
      <c r="AS96" s="9" t="n">
        <f aca="false">AG96*$V96</f>
        <v>0</v>
      </c>
      <c r="AT96" s="9" t="n">
        <f aca="false">AH96*$V96</f>
        <v>0</v>
      </c>
      <c r="AU96" s="9" t="n">
        <f aca="false">AI96*$V96</f>
        <v>0</v>
      </c>
      <c r="AV96" s="9" t="n">
        <f aca="false">SUM(X96:AI96)/1000</f>
        <v>0.5</v>
      </c>
      <c r="AW96" s="9" t="n">
        <f aca="false">SUM(AJ96:AU96)</f>
        <v>100.605</v>
      </c>
      <c r="AX96" s="9" t="n">
        <f aca="false">IF(D96="INR",AW96/88.24,AW96)/1000000</f>
        <v>0.000100605</v>
      </c>
    </row>
    <row r="97" s="2" customFormat="true" ht="14.25" hidden="false" customHeight="false" outlineLevel="0" collapsed="false">
      <c r="A97" s="28"/>
      <c r="B97" s="16" t="n">
        <v>1</v>
      </c>
      <c r="C97" s="16"/>
      <c r="D97" s="16" t="s">
        <v>102</v>
      </c>
      <c r="E97" s="16" t="s">
        <v>51</v>
      </c>
      <c r="F97" s="16" t="s">
        <v>52</v>
      </c>
      <c r="G97" s="16" t="s">
        <v>103</v>
      </c>
      <c r="H97" s="16" t="s">
        <v>104</v>
      </c>
      <c r="I97" s="16" t="s">
        <v>105</v>
      </c>
      <c r="J97" s="16" t="s">
        <v>106</v>
      </c>
      <c r="K97" s="16" t="s">
        <v>104</v>
      </c>
      <c r="L97" s="16" t="s">
        <v>105</v>
      </c>
      <c r="M97" s="16" t="s">
        <v>106</v>
      </c>
      <c r="N97" s="16" t="s">
        <v>57</v>
      </c>
      <c r="O97" s="16" t="s">
        <v>107</v>
      </c>
      <c r="P97" s="16" t="s">
        <v>167</v>
      </c>
      <c r="Q97" s="9" t="s">
        <v>167</v>
      </c>
      <c r="R97" s="16"/>
      <c r="S97" s="16"/>
      <c r="T97" s="16" t="s">
        <v>214</v>
      </c>
      <c r="U97" s="16" t="s">
        <v>63</v>
      </c>
      <c r="V97" s="26" t="n">
        <v>0.20121</v>
      </c>
      <c r="W97" s="16"/>
      <c r="X97" s="16"/>
      <c r="Y97" s="16"/>
      <c r="Z97" s="16"/>
      <c r="AA97" s="16"/>
      <c r="AB97" s="16"/>
      <c r="AC97" s="16"/>
      <c r="AD97" s="16" t="n">
        <v>500</v>
      </c>
      <c r="AE97" s="16"/>
      <c r="AF97" s="16"/>
      <c r="AG97" s="16"/>
      <c r="AH97" s="16"/>
      <c r="AI97" s="16"/>
      <c r="AJ97" s="9" t="n">
        <f aca="false">X97*$V97</f>
        <v>0</v>
      </c>
      <c r="AK97" s="9" t="n">
        <f aca="false">Y97*$V97</f>
        <v>0</v>
      </c>
      <c r="AL97" s="9" t="n">
        <f aca="false">Z97*$V97</f>
        <v>0</v>
      </c>
      <c r="AM97" s="9" t="n">
        <f aca="false">AA97*$V97</f>
        <v>0</v>
      </c>
      <c r="AN97" s="9" t="n">
        <f aca="false">AB97*$V97</f>
        <v>0</v>
      </c>
      <c r="AO97" s="9" t="n">
        <f aca="false">AC97*$V97</f>
        <v>0</v>
      </c>
      <c r="AP97" s="9" t="n">
        <f aca="false">AD97*$V97</f>
        <v>100.605</v>
      </c>
      <c r="AQ97" s="9" t="n">
        <f aca="false">AE97*$V97</f>
        <v>0</v>
      </c>
      <c r="AR97" s="9" t="n">
        <f aca="false">AF97*$V97</f>
        <v>0</v>
      </c>
      <c r="AS97" s="9" t="n">
        <f aca="false">AG97*$V97</f>
        <v>0</v>
      </c>
      <c r="AT97" s="9" t="n">
        <f aca="false">AH97*$V97</f>
        <v>0</v>
      </c>
      <c r="AU97" s="9" t="n">
        <f aca="false">AI97*$V97</f>
        <v>0</v>
      </c>
      <c r="AV97" s="9" t="n">
        <f aca="false">SUM(X97:AI97)/1000</f>
        <v>0.5</v>
      </c>
      <c r="AW97" s="9" t="n">
        <f aca="false">SUM(AJ97:AU97)</f>
        <v>100.605</v>
      </c>
      <c r="AX97" s="9" t="n">
        <f aca="false">IF(D97="INR",AW97/88.24,AW97)/1000000</f>
        <v>0.000100605</v>
      </c>
    </row>
    <row r="98" s="2" customFormat="true" ht="14.25" hidden="false" customHeight="false" outlineLevel="0" collapsed="false">
      <c r="A98" s="28"/>
      <c r="B98" s="16" t="n">
        <v>1</v>
      </c>
      <c r="C98" s="16"/>
      <c r="D98" s="16" t="s">
        <v>102</v>
      </c>
      <c r="E98" s="16" t="s">
        <v>51</v>
      </c>
      <c r="F98" s="16" t="s">
        <v>52</v>
      </c>
      <c r="G98" s="16" t="s">
        <v>103</v>
      </c>
      <c r="H98" s="16" t="s">
        <v>104</v>
      </c>
      <c r="I98" s="16" t="s">
        <v>105</v>
      </c>
      <c r="J98" s="16" t="s">
        <v>106</v>
      </c>
      <c r="K98" s="16" t="s">
        <v>104</v>
      </c>
      <c r="L98" s="16" t="s">
        <v>105</v>
      </c>
      <c r="M98" s="16" t="s">
        <v>106</v>
      </c>
      <c r="N98" s="16" t="s">
        <v>57</v>
      </c>
      <c r="O98" s="16" t="s">
        <v>107</v>
      </c>
      <c r="P98" s="16" t="s">
        <v>167</v>
      </c>
      <c r="Q98" s="9" t="s">
        <v>167</v>
      </c>
      <c r="R98" s="16"/>
      <c r="S98" s="16"/>
      <c r="T98" s="16" t="s">
        <v>214</v>
      </c>
      <c r="U98" s="16" t="s">
        <v>63</v>
      </c>
      <c r="V98" s="16" t="n">
        <v>0.20121</v>
      </c>
      <c r="W98" s="16"/>
      <c r="X98" s="16"/>
      <c r="Y98" s="16"/>
      <c r="Z98" s="16"/>
      <c r="AA98" s="16"/>
      <c r="AB98" s="16"/>
      <c r="AC98" s="16"/>
      <c r="AD98" s="16" t="n">
        <v>500</v>
      </c>
      <c r="AE98" s="16"/>
      <c r="AF98" s="16"/>
      <c r="AG98" s="16"/>
      <c r="AH98" s="16"/>
      <c r="AI98" s="16"/>
      <c r="AJ98" s="9" t="n">
        <f aca="false">X98*$V98</f>
        <v>0</v>
      </c>
      <c r="AK98" s="9" t="n">
        <f aca="false">Y98*$V98</f>
        <v>0</v>
      </c>
      <c r="AL98" s="9" t="n">
        <f aca="false">Z98*$V98</f>
        <v>0</v>
      </c>
      <c r="AM98" s="9" t="n">
        <f aca="false">AA98*$V98</f>
        <v>0</v>
      </c>
      <c r="AN98" s="9" t="n">
        <f aca="false">AB98*$V98</f>
        <v>0</v>
      </c>
      <c r="AO98" s="9" t="n">
        <f aca="false">AC98*$V98</f>
        <v>0</v>
      </c>
      <c r="AP98" s="9" t="n">
        <f aca="false">AD98*$V98</f>
        <v>100.605</v>
      </c>
      <c r="AQ98" s="9" t="n">
        <f aca="false">AE98*$V98</f>
        <v>0</v>
      </c>
      <c r="AR98" s="9" t="n">
        <f aca="false">AF98*$V98</f>
        <v>0</v>
      </c>
      <c r="AS98" s="9" t="n">
        <f aca="false">AG98*$V98</f>
        <v>0</v>
      </c>
      <c r="AT98" s="9" t="n">
        <f aca="false">AH98*$V98</f>
        <v>0</v>
      </c>
      <c r="AU98" s="9" t="n">
        <f aca="false">AI98*$V98</f>
        <v>0</v>
      </c>
      <c r="AV98" s="9" t="n">
        <f aca="false">SUM(X98:AI98)/1000</f>
        <v>0.5</v>
      </c>
      <c r="AW98" s="9" t="n">
        <f aca="false">SUM(AJ98:AU98)</f>
        <v>100.605</v>
      </c>
      <c r="AX98" s="9" t="n">
        <f aca="false">IF(D98="INR",AW98/88.24,AW98)/1000000</f>
        <v>0.000100605</v>
      </c>
    </row>
    <row r="99" s="2" customFormat="true" ht="14.25" hidden="false" customHeight="false" outlineLevel="0" collapsed="false">
      <c r="A99" s="28"/>
      <c r="B99" s="16" t="n">
        <v>1</v>
      </c>
      <c r="C99" s="16"/>
      <c r="D99" s="16" t="s">
        <v>102</v>
      </c>
      <c r="E99" s="16" t="s">
        <v>51</v>
      </c>
      <c r="F99" s="16" t="s">
        <v>52</v>
      </c>
      <c r="G99" s="16" t="s">
        <v>103</v>
      </c>
      <c r="H99" s="16" t="s">
        <v>104</v>
      </c>
      <c r="I99" s="16" t="s">
        <v>105</v>
      </c>
      <c r="J99" s="16" t="s">
        <v>106</v>
      </c>
      <c r="K99" s="16" t="s">
        <v>104</v>
      </c>
      <c r="L99" s="16" t="s">
        <v>105</v>
      </c>
      <c r="M99" s="16" t="s">
        <v>106</v>
      </c>
      <c r="N99" s="16" t="s">
        <v>57</v>
      </c>
      <c r="O99" s="16" t="s">
        <v>107</v>
      </c>
      <c r="P99" s="16" t="s">
        <v>215</v>
      </c>
      <c r="Q99" s="9" t="s">
        <v>215</v>
      </c>
      <c r="R99" s="16"/>
      <c r="S99" s="16"/>
      <c r="T99" s="16" t="s">
        <v>216</v>
      </c>
      <c r="U99" s="16" t="s">
        <v>63</v>
      </c>
      <c r="V99" s="16" t="n">
        <v>0.2006</v>
      </c>
      <c r="W99" s="16"/>
      <c r="X99" s="16"/>
      <c r="Y99" s="16"/>
      <c r="Z99" s="16"/>
      <c r="AA99" s="16"/>
      <c r="AB99" s="16"/>
      <c r="AC99" s="16"/>
      <c r="AD99" s="16" t="n">
        <v>500</v>
      </c>
      <c r="AE99" s="16"/>
      <c r="AF99" s="16"/>
      <c r="AG99" s="16"/>
      <c r="AH99" s="16"/>
      <c r="AI99" s="16"/>
      <c r="AJ99" s="9" t="n">
        <f aca="false">X99*$V99</f>
        <v>0</v>
      </c>
      <c r="AK99" s="9" t="n">
        <f aca="false">Y99*$V99</f>
        <v>0</v>
      </c>
      <c r="AL99" s="9" t="n">
        <f aca="false">Z99*$V99</f>
        <v>0</v>
      </c>
      <c r="AM99" s="9" t="n">
        <f aca="false">AA99*$V99</f>
        <v>0</v>
      </c>
      <c r="AN99" s="9" t="n">
        <f aca="false">AB99*$V99</f>
        <v>0</v>
      </c>
      <c r="AO99" s="9" t="n">
        <f aca="false">AC99*$V99</f>
        <v>0</v>
      </c>
      <c r="AP99" s="9" t="n">
        <f aca="false">AD99*$V99</f>
        <v>100.3</v>
      </c>
      <c r="AQ99" s="9" t="n">
        <f aca="false">AE99*$V99</f>
        <v>0</v>
      </c>
      <c r="AR99" s="9" t="n">
        <f aca="false">AF99*$V99</f>
        <v>0</v>
      </c>
      <c r="AS99" s="9" t="n">
        <f aca="false">AG99*$V99</f>
        <v>0</v>
      </c>
      <c r="AT99" s="9" t="n">
        <f aca="false">AH99*$V99</f>
        <v>0</v>
      </c>
      <c r="AU99" s="9" t="n">
        <f aca="false">AI99*$V99</f>
        <v>0</v>
      </c>
      <c r="AV99" s="9" t="n">
        <f aca="false">SUM(X99:AI99)/1000</f>
        <v>0.5</v>
      </c>
      <c r="AW99" s="9" t="n">
        <f aca="false">SUM(AJ99:AU99)</f>
        <v>100.3</v>
      </c>
      <c r="AX99" s="9" t="n">
        <f aca="false">IF(D99="INR",AW99/88.24,AW99)/1000000</f>
        <v>0.0001003</v>
      </c>
    </row>
    <row r="100" s="2" customFormat="true" ht="14.25" hidden="false" customHeight="false" outlineLevel="0" collapsed="false">
      <c r="A100" s="28"/>
      <c r="B100" s="16" t="n">
        <v>1</v>
      </c>
      <c r="C100" s="16"/>
      <c r="D100" s="16" t="s">
        <v>102</v>
      </c>
      <c r="E100" s="16" t="s">
        <v>51</v>
      </c>
      <c r="F100" s="16" t="s">
        <v>52</v>
      </c>
      <c r="G100" s="16" t="s">
        <v>103</v>
      </c>
      <c r="H100" s="16" t="s">
        <v>104</v>
      </c>
      <c r="I100" s="16" t="s">
        <v>105</v>
      </c>
      <c r="J100" s="16" t="s">
        <v>106</v>
      </c>
      <c r="K100" s="16" t="s">
        <v>104</v>
      </c>
      <c r="L100" s="16" t="s">
        <v>105</v>
      </c>
      <c r="M100" s="16" t="s">
        <v>106</v>
      </c>
      <c r="N100" s="16" t="s">
        <v>57</v>
      </c>
      <c r="O100" s="16" t="s">
        <v>107</v>
      </c>
      <c r="P100" s="16" t="s">
        <v>217</v>
      </c>
      <c r="Q100" s="16" t="s">
        <v>217</v>
      </c>
      <c r="R100" s="16"/>
      <c r="S100" s="16"/>
      <c r="T100" s="26" t="s">
        <v>218</v>
      </c>
      <c r="U100" s="16" t="s">
        <v>63</v>
      </c>
      <c r="V100" s="26" t="n">
        <v>0.2</v>
      </c>
      <c r="W100" s="16"/>
      <c r="X100" s="16"/>
      <c r="Y100" s="16"/>
      <c r="Z100" s="16"/>
      <c r="AA100" s="16"/>
      <c r="AB100" s="16"/>
      <c r="AC100" s="16"/>
      <c r="AD100" s="16" t="n">
        <v>500</v>
      </c>
      <c r="AE100" s="16"/>
      <c r="AF100" s="16"/>
      <c r="AG100" s="16"/>
      <c r="AH100" s="16"/>
      <c r="AI100" s="16"/>
      <c r="AJ100" s="9" t="n">
        <f aca="false">X100*$V100</f>
        <v>0</v>
      </c>
      <c r="AK100" s="9" t="n">
        <f aca="false">Y100*$V100</f>
        <v>0</v>
      </c>
      <c r="AL100" s="9" t="n">
        <f aca="false">Z100*$V100</f>
        <v>0</v>
      </c>
      <c r="AM100" s="9" t="n">
        <f aca="false">AA100*$V100</f>
        <v>0</v>
      </c>
      <c r="AN100" s="9" t="n">
        <f aca="false">AB100*$V100</f>
        <v>0</v>
      </c>
      <c r="AO100" s="9" t="n">
        <f aca="false">AC100*$V100</f>
        <v>0</v>
      </c>
      <c r="AP100" s="9" t="n">
        <f aca="false">AD100*$V100</f>
        <v>100</v>
      </c>
      <c r="AQ100" s="9" t="n">
        <f aca="false">AE100*$V100</f>
        <v>0</v>
      </c>
      <c r="AR100" s="9" t="n">
        <f aca="false">AF100*$V100</f>
        <v>0</v>
      </c>
      <c r="AS100" s="9" t="n">
        <f aca="false">AG100*$V100</f>
        <v>0</v>
      </c>
      <c r="AT100" s="9" t="n">
        <f aca="false">AH100*$V100</f>
        <v>0</v>
      </c>
      <c r="AU100" s="9" t="n">
        <f aca="false">AI100*$V100</f>
        <v>0</v>
      </c>
      <c r="AV100" s="9" t="n">
        <f aca="false">SUM(X100:AI100)/1000</f>
        <v>0.5</v>
      </c>
      <c r="AW100" s="9" t="n">
        <f aca="false">SUM(AJ100:AU100)</f>
        <v>100</v>
      </c>
      <c r="AX100" s="9" t="n">
        <f aca="false">IF(D100="INR",AW100/88.24,AW100)/1000000</f>
        <v>0.0001</v>
      </c>
    </row>
    <row r="101" s="2" customFormat="true" ht="14.25" hidden="false" customHeight="false" outlineLevel="0" collapsed="false">
      <c r="A101" s="28"/>
      <c r="B101" s="16" t="n">
        <v>1</v>
      </c>
      <c r="C101" s="16"/>
      <c r="D101" s="16" t="s">
        <v>102</v>
      </c>
      <c r="E101" s="16" t="s">
        <v>51</v>
      </c>
      <c r="F101" s="16" t="s">
        <v>52</v>
      </c>
      <c r="G101" s="16" t="s">
        <v>103</v>
      </c>
      <c r="H101" s="16" t="s">
        <v>104</v>
      </c>
      <c r="I101" s="16" t="s">
        <v>105</v>
      </c>
      <c r="J101" s="16" t="s">
        <v>106</v>
      </c>
      <c r="K101" s="16" t="s">
        <v>104</v>
      </c>
      <c r="L101" s="16" t="s">
        <v>105</v>
      </c>
      <c r="M101" s="16" t="s">
        <v>106</v>
      </c>
      <c r="N101" s="16" t="s">
        <v>57</v>
      </c>
      <c r="O101" s="16" t="s">
        <v>107</v>
      </c>
      <c r="P101" s="16" t="s">
        <v>186</v>
      </c>
      <c r="Q101" s="9" t="s">
        <v>186</v>
      </c>
      <c r="R101" s="16"/>
      <c r="S101" s="16"/>
      <c r="T101" s="16" t="s">
        <v>219</v>
      </c>
      <c r="U101" s="16" t="s">
        <v>63</v>
      </c>
      <c r="V101" s="16" t="n">
        <v>0.1987</v>
      </c>
      <c r="W101" s="16"/>
      <c r="X101" s="16"/>
      <c r="Y101" s="16"/>
      <c r="Z101" s="16"/>
      <c r="AA101" s="16"/>
      <c r="AB101" s="16"/>
      <c r="AC101" s="16"/>
      <c r="AD101" s="16" t="n">
        <v>500</v>
      </c>
      <c r="AE101" s="16"/>
      <c r="AF101" s="16"/>
      <c r="AG101" s="16"/>
      <c r="AH101" s="16"/>
      <c r="AI101" s="16"/>
      <c r="AJ101" s="9" t="n">
        <f aca="false">X101*$V101</f>
        <v>0</v>
      </c>
      <c r="AK101" s="9" t="n">
        <f aca="false">Y101*$V101</f>
        <v>0</v>
      </c>
      <c r="AL101" s="9" t="n">
        <f aca="false">Z101*$V101</f>
        <v>0</v>
      </c>
      <c r="AM101" s="9" t="n">
        <f aca="false">AA101*$V101</f>
        <v>0</v>
      </c>
      <c r="AN101" s="9" t="n">
        <f aca="false">AB101*$V101</f>
        <v>0</v>
      </c>
      <c r="AO101" s="9" t="n">
        <f aca="false">AC101*$V101</f>
        <v>0</v>
      </c>
      <c r="AP101" s="9" t="n">
        <f aca="false">AD101*$V101</f>
        <v>99.35</v>
      </c>
      <c r="AQ101" s="9" t="n">
        <f aca="false">AE101*$V101</f>
        <v>0</v>
      </c>
      <c r="AR101" s="9" t="n">
        <f aca="false">AF101*$V101</f>
        <v>0</v>
      </c>
      <c r="AS101" s="9" t="n">
        <f aca="false">AG101*$V101</f>
        <v>0</v>
      </c>
      <c r="AT101" s="9" t="n">
        <f aca="false">AH101*$V101</f>
        <v>0</v>
      </c>
      <c r="AU101" s="9" t="n">
        <f aca="false">AI101*$V101</f>
        <v>0</v>
      </c>
      <c r="AV101" s="9" t="n">
        <f aca="false">SUM(X101:AI101)/1000</f>
        <v>0.5</v>
      </c>
      <c r="AW101" s="9" t="n">
        <f aca="false">SUM(AJ101:AU101)</f>
        <v>99.35</v>
      </c>
      <c r="AX101" s="9" t="n">
        <f aca="false">IF(D101="INR",AW101/88.24,AW101)/1000000</f>
        <v>9.935E-005</v>
      </c>
    </row>
    <row r="102" s="2" customFormat="true" ht="14.25" hidden="false" customHeight="false" outlineLevel="0" collapsed="false">
      <c r="A102" s="28"/>
      <c r="B102" s="16" t="n">
        <v>1</v>
      </c>
      <c r="C102" s="16"/>
      <c r="D102" s="16" t="s">
        <v>102</v>
      </c>
      <c r="E102" s="16" t="s">
        <v>51</v>
      </c>
      <c r="F102" s="16" t="s">
        <v>52</v>
      </c>
      <c r="G102" s="16" t="s">
        <v>103</v>
      </c>
      <c r="H102" s="16" t="s">
        <v>104</v>
      </c>
      <c r="I102" s="16" t="s">
        <v>105</v>
      </c>
      <c r="J102" s="16" t="s">
        <v>106</v>
      </c>
      <c r="K102" s="16" t="s">
        <v>104</v>
      </c>
      <c r="L102" s="16" t="s">
        <v>105</v>
      </c>
      <c r="M102" s="16" t="s">
        <v>106</v>
      </c>
      <c r="N102" s="16" t="s">
        <v>57</v>
      </c>
      <c r="O102" s="16" t="s">
        <v>107</v>
      </c>
      <c r="P102" s="16" t="s">
        <v>199</v>
      </c>
      <c r="Q102" s="9" t="s">
        <v>199</v>
      </c>
      <c r="R102" s="16"/>
      <c r="S102" s="16"/>
      <c r="T102" s="16" t="s">
        <v>220</v>
      </c>
      <c r="U102" s="16" t="s">
        <v>63</v>
      </c>
      <c r="V102" s="26" t="n">
        <v>0.1955</v>
      </c>
      <c r="W102" s="16"/>
      <c r="X102" s="16"/>
      <c r="Y102" s="16"/>
      <c r="Z102" s="16"/>
      <c r="AA102" s="16"/>
      <c r="AB102" s="16"/>
      <c r="AC102" s="16"/>
      <c r="AD102" s="16" t="n">
        <v>500</v>
      </c>
      <c r="AE102" s="16"/>
      <c r="AF102" s="16"/>
      <c r="AG102" s="16"/>
      <c r="AH102" s="16"/>
      <c r="AI102" s="16"/>
      <c r="AJ102" s="9" t="n">
        <f aca="false">X102*$V102</f>
        <v>0</v>
      </c>
      <c r="AK102" s="9" t="n">
        <f aca="false">Y102*$V102</f>
        <v>0</v>
      </c>
      <c r="AL102" s="9" t="n">
        <f aca="false">Z102*$V102</f>
        <v>0</v>
      </c>
      <c r="AM102" s="9" t="n">
        <f aca="false">AA102*$V102</f>
        <v>0</v>
      </c>
      <c r="AN102" s="9" t="n">
        <f aca="false">AB102*$V102</f>
        <v>0</v>
      </c>
      <c r="AO102" s="9" t="n">
        <f aca="false">AC102*$V102</f>
        <v>0</v>
      </c>
      <c r="AP102" s="9" t="n">
        <f aca="false">AD102*$V102</f>
        <v>97.75</v>
      </c>
      <c r="AQ102" s="9" t="n">
        <f aca="false">AE102*$V102</f>
        <v>0</v>
      </c>
      <c r="AR102" s="9" t="n">
        <f aca="false">AF102*$V102</f>
        <v>0</v>
      </c>
      <c r="AS102" s="9" t="n">
        <f aca="false">AG102*$V102</f>
        <v>0</v>
      </c>
      <c r="AT102" s="9" t="n">
        <f aca="false">AH102*$V102</f>
        <v>0</v>
      </c>
      <c r="AU102" s="9" t="n">
        <f aca="false">AI102*$V102</f>
        <v>0</v>
      </c>
      <c r="AV102" s="9" t="n">
        <f aca="false">SUM(X102:AI102)/1000</f>
        <v>0.5</v>
      </c>
      <c r="AW102" s="9" t="n">
        <f aca="false">SUM(AJ102:AU102)</f>
        <v>97.75</v>
      </c>
      <c r="AX102" s="9" t="n">
        <f aca="false">IF(D102="INR",AW102/88.24,AW102)/1000000</f>
        <v>9.775E-005</v>
      </c>
    </row>
    <row r="103" s="2" customFormat="true" ht="14.25" hidden="false" customHeight="false" outlineLevel="0" collapsed="false">
      <c r="A103" s="28"/>
      <c r="B103" s="16" t="n">
        <v>1</v>
      </c>
      <c r="C103" s="16"/>
      <c r="D103" s="16" t="s">
        <v>102</v>
      </c>
      <c r="E103" s="16" t="s">
        <v>51</v>
      </c>
      <c r="F103" s="16" t="s">
        <v>52</v>
      </c>
      <c r="G103" s="16" t="s">
        <v>103</v>
      </c>
      <c r="H103" s="16" t="s">
        <v>104</v>
      </c>
      <c r="I103" s="16" t="s">
        <v>105</v>
      </c>
      <c r="J103" s="16" t="s">
        <v>106</v>
      </c>
      <c r="K103" s="16" t="s">
        <v>104</v>
      </c>
      <c r="L103" s="16" t="s">
        <v>105</v>
      </c>
      <c r="M103" s="16" t="s">
        <v>106</v>
      </c>
      <c r="N103" s="16" t="s">
        <v>57</v>
      </c>
      <c r="O103" s="16" t="s">
        <v>107</v>
      </c>
      <c r="P103" s="16" t="s">
        <v>110</v>
      </c>
      <c r="Q103" s="9" t="s">
        <v>110</v>
      </c>
      <c r="R103" s="16"/>
      <c r="S103" s="16"/>
      <c r="T103" s="16" t="s">
        <v>221</v>
      </c>
      <c r="U103" s="16" t="s">
        <v>63</v>
      </c>
      <c r="V103" s="16" t="n">
        <v>0.19</v>
      </c>
      <c r="W103" s="16"/>
      <c r="X103" s="16"/>
      <c r="Y103" s="16"/>
      <c r="Z103" s="16"/>
      <c r="AA103" s="16"/>
      <c r="AB103" s="16"/>
      <c r="AC103" s="16"/>
      <c r="AD103" s="16" t="n">
        <v>500</v>
      </c>
      <c r="AE103" s="16"/>
      <c r="AF103" s="16"/>
      <c r="AG103" s="16"/>
      <c r="AH103" s="16"/>
      <c r="AI103" s="16"/>
      <c r="AJ103" s="9" t="n">
        <f aca="false">X103*$V103</f>
        <v>0</v>
      </c>
      <c r="AK103" s="9" t="n">
        <f aca="false">Y103*$V103</f>
        <v>0</v>
      </c>
      <c r="AL103" s="9" t="n">
        <f aca="false">Z103*$V103</f>
        <v>0</v>
      </c>
      <c r="AM103" s="9" t="n">
        <f aca="false">AA103*$V103</f>
        <v>0</v>
      </c>
      <c r="AN103" s="9" t="n">
        <f aca="false">AB103*$V103</f>
        <v>0</v>
      </c>
      <c r="AO103" s="9" t="n">
        <f aca="false">AC103*$V103</f>
        <v>0</v>
      </c>
      <c r="AP103" s="9" t="n">
        <f aca="false">AD103*$V103</f>
        <v>95</v>
      </c>
      <c r="AQ103" s="9" t="n">
        <f aca="false">AE103*$V103</f>
        <v>0</v>
      </c>
      <c r="AR103" s="9" t="n">
        <f aca="false">AF103*$V103</f>
        <v>0</v>
      </c>
      <c r="AS103" s="9" t="n">
        <f aca="false">AG103*$V103</f>
        <v>0</v>
      </c>
      <c r="AT103" s="9" t="n">
        <f aca="false">AH103*$V103</f>
        <v>0</v>
      </c>
      <c r="AU103" s="9" t="n">
        <f aca="false">AI103*$V103</f>
        <v>0</v>
      </c>
      <c r="AV103" s="9" t="n">
        <f aca="false">SUM(X103:AI103)/1000</f>
        <v>0.5</v>
      </c>
      <c r="AW103" s="9" t="n">
        <f aca="false">SUM(AJ103:AU103)</f>
        <v>95</v>
      </c>
      <c r="AX103" s="9" t="n">
        <f aca="false">IF(D103="INR",AW103/88.24,AW103)/1000000</f>
        <v>9.5E-005</v>
      </c>
    </row>
    <row r="104" s="2" customFormat="true" ht="14.25" hidden="false" customHeight="true" outlineLevel="0" collapsed="false">
      <c r="A104" s="28"/>
      <c r="B104" s="16" t="n">
        <v>1</v>
      </c>
      <c r="C104" s="16"/>
      <c r="D104" s="16" t="s">
        <v>102</v>
      </c>
      <c r="E104" s="16" t="s">
        <v>51</v>
      </c>
      <c r="F104" s="16" t="s">
        <v>52</v>
      </c>
      <c r="G104" s="16" t="s">
        <v>103</v>
      </c>
      <c r="H104" s="16" t="s">
        <v>104</v>
      </c>
      <c r="I104" s="16" t="s">
        <v>105</v>
      </c>
      <c r="J104" s="16" t="s">
        <v>106</v>
      </c>
      <c r="K104" s="16" t="s">
        <v>104</v>
      </c>
      <c r="L104" s="16" t="s">
        <v>105</v>
      </c>
      <c r="M104" s="16" t="s">
        <v>106</v>
      </c>
      <c r="N104" s="16" t="s">
        <v>57</v>
      </c>
      <c r="O104" s="16" t="s">
        <v>107</v>
      </c>
      <c r="P104" s="16" t="s">
        <v>222</v>
      </c>
      <c r="Q104" s="9" t="s">
        <v>222</v>
      </c>
      <c r="R104" s="16"/>
      <c r="S104" s="16"/>
      <c r="T104" s="16" t="s">
        <v>223</v>
      </c>
      <c r="U104" s="16" t="s">
        <v>63</v>
      </c>
      <c r="V104" s="16" t="n">
        <v>0.18823</v>
      </c>
      <c r="W104" s="16"/>
      <c r="X104" s="32"/>
      <c r="Y104" s="32"/>
      <c r="Z104" s="32"/>
      <c r="AA104" s="32"/>
      <c r="AB104" s="32"/>
      <c r="AC104" s="32"/>
      <c r="AD104" s="32" t="n">
        <v>500</v>
      </c>
      <c r="AE104" s="32"/>
      <c r="AF104" s="32"/>
      <c r="AG104" s="32"/>
      <c r="AH104" s="32"/>
      <c r="AI104" s="32"/>
      <c r="AJ104" s="9" t="n">
        <f aca="false">X104*$V104</f>
        <v>0</v>
      </c>
      <c r="AK104" s="9" t="n">
        <f aca="false">Y104*$V104</f>
        <v>0</v>
      </c>
      <c r="AL104" s="9" t="n">
        <f aca="false">Z104*$V104</f>
        <v>0</v>
      </c>
      <c r="AM104" s="9" t="n">
        <f aca="false">AA104*$V104</f>
        <v>0</v>
      </c>
      <c r="AN104" s="9" t="n">
        <f aca="false">AB104*$V104</f>
        <v>0</v>
      </c>
      <c r="AO104" s="9" t="n">
        <f aca="false">AC104*$V104</f>
        <v>0</v>
      </c>
      <c r="AP104" s="9" t="n">
        <f aca="false">AD104*$V104</f>
        <v>94.115</v>
      </c>
      <c r="AQ104" s="9" t="n">
        <f aca="false">AE104*$V104</f>
        <v>0</v>
      </c>
      <c r="AR104" s="9" t="n">
        <f aca="false">AF104*$V104</f>
        <v>0</v>
      </c>
      <c r="AS104" s="9" t="n">
        <f aca="false">AG104*$V104</f>
        <v>0</v>
      </c>
      <c r="AT104" s="9" t="n">
        <f aca="false">AH104*$V104</f>
        <v>0</v>
      </c>
      <c r="AU104" s="9" t="n">
        <f aca="false">AI104*$V104</f>
        <v>0</v>
      </c>
      <c r="AV104" s="9" t="n">
        <f aca="false">SUM(X104:AI104)/1000</f>
        <v>0.5</v>
      </c>
      <c r="AW104" s="9" t="n">
        <f aca="false">SUM(AJ104:AU104)</f>
        <v>94.115</v>
      </c>
      <c r="AX104" s="9" t="n">
        <f aca="false">IF(D104="INR",AW104/88.24,AW104)/1000000</f>
        <v>9.4115E-005</v>
      </c>
    </row>
    <row r="105" s="2" customFormat="true" ht="14.25" hidden="false" customHeight="false" outlineLevel="0" collapsed="false">
      <c r="A105" s="28"/>
      <c r="B105" s="16" t="n">
        <v>1</v>
      </c>
      <c r="C105" s="16"/>
      <c r="D105" s="16" t="s">
        <v>102</v>
      </c>
      <c r="E105" s="16" t="s">
        <v>51</v>
      </c>
      <c r="F105" s="16" t="s">
        <v>52</v>
      </c>
      <c r="G105" s="16" t="s">
        <v>103</v>
      </c>
      <c r="H105" s="16" t="s">
        <v>104</v>
      </c>
      <c r="I105" s="16" t="s">
        <v>105</v>
      </c>
      <c r="J105" s="16" t="s">
        <v>106</v>
      </c>
      <c r="K105" s="16" t="s">
        <v>104</v>
      </c>
      <c r="L105" s="16" t="s">
        <v>105</v>
      </c>
      <c r="M105" s="16" t="s">
        <v>106</v>
      </c>
      <c r="N105" s="16" t="s">
        <v>57</v>
      </c>
      <c r="O105" s="16" t="s">
        <v>107</v>
      </c>
      <c r="P105" s="16" t="s">
        <v>145</v>
      </c>
      <c r="Q105" s="16" t="s">
        <v>145</v>
      </c>
      <c r="R105" s="16"/>
      <c r="S105" s="16"/>
      <c r="T105" s="16" t="s">
        <v>224</v>
      </c>
      <c r="U105" s="16" t="s">
        <v>63</v>
      </c>
      <c r="V105" s="16" t="n">
        <v>0.18</v>
      </c>
      <c r="W105" s="16"/>
      <c r="X105" s="16"/>
      <c r="Y105" s="16"/>
      <c r="Z105" s="16"/>
      <c r="AA105" s="26"/>
      <c r="AB105" s="26"/>
      <c r="AC105" s="16"/>
      <c r="AD105" s="16" t="n">
        <v>500</v>
      </c>
      <c r="AE105" s="16"/>
      <c r="AF105" s="16"/>
      <c r="AG105" s="16"/>
      <c r="AH105" s="16"/>
      <c r="AI105" s="16"/>
      <c r="AJ105" s="9" t="n">
        <f aca="false">X105*$V105</f>
        <v>0</v>
      </c>
      <c r="AK105" s="9" t="n">
        <f aca="false">Y105*$V105</f>
        <v>0</v>
      </c>
      <c r="AL105" s="9" t="n">
        <f aca="false">Z105*$V105</f>
        <v>0</v>
      </c>
      <c r="AM105" s="9" t="n">
        <f aca="false">AA105*$V105</f>
        <v>0</v>
      </c>
      <c r="AN105" s="9" t="n">
        <f aca="false">AB105*$V105</f>
        <v>0</v>
      </c>
      <c r="AO105" s="9" t="n">
        <f aca="false">AC105*$V105</f>
        <v>0</v>
      </c>
      <c r="AP105" s="9" t="n">
        <f aca="false">AD105*$V105</f>
        <v>90</v>
      </c>
      <c r="AQ105" s="9" t="n">
        <f aca="false">AE105*$V105</f>
        <v>0</v>
      </c>
      <c r="AR105" s="9" t="n">
        <f aca="false">AF105*$V105</f>
        <v>0</v>
      </c>
      <c r="AS105" s="9" t="n">
        <f aca="false">AG105*$V105</f>
        <v>0</v>
      </c>
      <c r="AT105" s="9" t="n">
        <f aca="false">AH105*$V105</f>
        <v>0</v>
      </c>
      <c r="AU105" s="9" t="n">
        <f aca="false">AI105*$V105</f>
        <v>0</v>
      </c>
      <c r="AV105" s="9" t="n">
        <f aca="false">SUM(X105:AI105)/1000</f>
        <v>0.5</v>
      </c>
      <c r="AW105" s="9" t="n">
        <f aca="false">SUM(AJ105:AU105)</f>
        <v>90</v>
      </c>
      <c r="AX105" s="9" t="n">
        <f aca="false">IF(D105="INR",AW105/88.24,AW105)/1000000</f>
        <v>9E-005</v>
      </c>
    </row>
    <row r="106" s="2" customFormat="true" ht="14.25" hidden="false" customHeight="false" outlineLevel="0" collapsed="false">
      <c r="A106" s="28"/>
      <c r="B106" s="16" t="n">
        <v>1</v>
      </c>
      <c r="C106" s="16"/>
      <c r="D106" s="16" t="s">
        <v>102</v>
      </c>
      <c r="E106" s="16" t="s">
        <v>51</v>
      </c>
      <c r="F106" s="16" t="s">
        <v>52</v>
      </c>
      <c r="G106" s="16" t="s">
        <v>103</v>
      </c>
      <c r="H106" s="16" t="s">
        <v>104</v>
      </c>
      <c r="I106" s="16" t="s">
        <v>105</v>
      </c>
      <c r="J106" s="16" t="s">
        <v>106</v>
      </c>
      <c r="K106" s="16" t="s">
        <v>104</v>
      </c>
      <c r="L106" s="16" t="s">
        <v>105</v>
      </c>
      <c r="M106" s="16" t="s">
        <v>106</v>
      </c>
      <c r="N106" s="16" t="s">
        <v>57</v>
      </c>
      <c r="O106" s="16" t="s">
        <v>107</v>
      </c>
      <c r="P106" s="16" t="s">
        <v>145</v>
      </c>
      <c r="Q106" s="16" t="s">
        <v>145</v>
      </c>
      <c r="R106" s="16"/>
      <c r="S106" s="16"/>
      <c r="T106" s="26" t="s">
        <v>225</v>
      </c>
      <c r="U106" s="26" t="s">
        <v>63</v>
      </c>
      <c r="V106" s="16" t="n">
        <v>0.17647</v>
      </c>
      <c r="W106" s="16"/>
      <c r="X106" s="16"/>
      <c r="Y106" s="16"/>
      <c r="Z106" s="16"/>
      <c r="AA106" s="16"/>
      <c r="AB106" s="16"/>
      <c r="AC106" s="16"/>
      <c r="AD106" s="16" t="n">
        <v>500</v>
      </c>
      <c r="AE106" s="16"/>
      <c r="AF106" s="16"/>
      <c r="AG106" s="16"/>
      <c r="AH106" s="16"/>
      <c r="AI106" s="16"/>
      <c r="AJ106" s="9" t="n">
        <f aca="false">X106*$V106</f>
        <v>0</v>
      </c>
      <c r="AK106" s="9" t="n">
        <f aca="false">Y106*$V106</f>
        <v>0</v>
      </c>
      <c r="AL106" s="9" t="n">
        <f aca="false">Z106*$V106</f>
        <v>0</v>
      </c>
      <c r="AM106" s="9" t="n">
        <f aca="false">AA106*$V106</f>
        <v>0</v>
      </c>
      <c r="AN106" s="9" t="n">
        <f aca="false">AB106*$V106</f>
        <v>0</v>
      </c>
      <c r="AO106" s="9" t="n">
        <f aca="false">AC106*$V106</f>
        <v>0</v>
      </c>
      <c r="AP106" s="9" t="n">
        <f aca="false">AD106*$V106</f>
        <v>88.235</v>
      </c>
      <c r="AQ106" s="9" t="n">
        <f aca="false">AE106*$V106</f>
        <v>0</v>
      </c>
      <c r="AR106" s="9" t="n">
        <f aca="false">AF106*$V106</f>
        <v>0</v>
      </c>
      <c r="AS106" s="9" t="n">
        <f aca="false">AG106*$V106</f>
        <v>0</v>
      </c>
      <c r="AT106" s="9" t="n">
        <f aca="false">AH106*$V106</f>
        <v>0</v>
      </c>
      <c r="AU106" s="9" t="n">
        <f aca="false">AI106*$V106</f>
        <v>0</v>
      </c>
      <c r="AV106" s="9" t="n">
        <f aca="false">SUM(X106:AI106)/1000</f>
        <v>0.5</v>
      </c>
      <c r="AW106" s="9" t="n">
        <f aca="false">SUM(AJ106:AU106)</f>
        <v>88.235</v>
      </c>
      <c r="AX106" s="9" t="n">
        <f aca="false">IF(D106="INR",AW106/88.24,AW106)/1000000</f>
        <v>8.8235E-005</v>
      </c>
    </row>
    <row r="107" s="2" customFormat="true" ht="14.25" hidden="false" customHeight="true" outlineLevel="0" collapsed="false">
      <c r="A107" s="28"/>
      <c r="B107" s="16" t="n">
        <v>1</v>
      </c>
      <c r="C107" s="16"/>
      <c r="D107" s="16" t="s">
        <v>102</v>
      </c>
      <c r="E107" s="16" t="s">
        <v>51</v>
      </c>
      <c r="F107" s="16" t="s">
        <v>52</v>
      </c>
      <c r="G107" s="16" t="s">
        <v>103</v>
      </c>
      <c r="H107" s="16" t="s">
        <v>104</v>
      </c>
      <c r="I107" s="16" t="s">
        <v>105</v>
      </c>
      <c r="J107" s="16" t="s">
        <v>106</v>
      </c>
      <c r="K107" s="16" t="s">
        <v>104</v>
      </c>
      <c r="L107" s="16" t="s">
        <v>105</v>
      </c>
      <c r="M107" s="16" t="s">
        <v>106</v>
      </c>
      <c r="N107" s="16" t="s">
        <v>57</v>
      </c>
      <c r="O107" s="16" t="s">
        <v>107</v>
      </c>
      <c r="P107" s="16" t="s">
        <v>226</v>
      </c>
      <c r="Q107" s="16" t="s">
        <v>226</v>
      </c>
      <c r="R107" s="16"/>
      <c r="S107" s="33"/>
      <c r="T107" s="16" t="s">
        <v>227</v>
      </c>
      <c r="U107" s="16" t="s">
        <v>63</v>
      </c>
      <c r="V107" s="16" t="n">
        <v>0.1736</v>
      </c>
      <c r="W107" s="16"/>
      <c r="X107" s="34"/>
      <c r="Y107" s="34"/>
      <c r="Z107" s="34"/>
      <c r="AA107" s="34"/>
      <c r="AB107" s="34"/>
      <c r="AC107" s="34"/>
      <c r="AD107" s="34" t="n">
        <v>500</v>
      </c>
      <c r="AE107" s="34"/>
      <c r="AF107" s="34"/>
      <c r="AG107" s="34"/>
      <c r="AH107" s="34"/>
      <c r="AI107" s="34"/>
      <c r="AJ107" s="9" t="n">
        <f aca="false">X107*$V107</f>
        <v>0</v>
      </c>
      <c r="AK107" s="9" t="n">
        <f aca="false">Y107*$V107</f>
        <v>0</v>
      </c>
      <c r="AL107" s="9" t="n">
        <f aca="false">Z107*$V107</f>
        <v>0</v>
      </c>
      <c r="AM107" s="9" t="n">
        <f aca="false">AA107*$V107</f>
        <v>0</v>
      </c>
      <c r="AN107" s="9" t="n">
        <f aca="false">AB107*$V107</f>
        <v>0</v>
      </c>
      <c r="AO107" s="9" t="n">
        <f aca="false">AC107*$V107</f>
        <v>0</v>
      </c>
      <c r="AP107" s="9" t="n">
        <f aca="false">AD107*$V107</f>
        <v>86.8</v>
      </c>
      <c r="AQ107" s="9" t="n">
        <f aca="false">AE107*$V107</f>
        <v>0</v>
      </c>
      <c r="AR107" s="9" t="n">
        <f aca="false">AF107*$V107</f>
        <v>0</v>
      </c>
      <c r="AS107" s="9" t="n">
        <f aca="false">AG107*$V107</f>
        <v>0</v>
      </c>
      <c r="AT107" s="9" t="n">
        <f aca="false">AH107*$V107</f>
        <v>0</v>
      </c>
      <c r="AU107" s="9" t="n">
        <f aca="false">AI107*$V107</f>
        <v>0</v>
      </c>
      <c r="AV107" s="9" t="n">
        <f aca="false">SUM(X107:AI107)/1000</f>
        <v>0.5</v>
      </c>
      <c r="AW107" s="9" t="n">
        <f aca="false">SUM(AJ107:AU107)</f>
        <v>86.8</v>
      </c>
      <c r="AX107" s="9" t="n">
        <f aca="false">IF(D107="INR",AW107/88.24,AW107)/1000000</f>
        <v>8.68E-005</v>
      </c>
    </row>
    <row r="108" s="2" customFormat="true" ht="14.25" hidden="false" customHeight="true" outlineLevel="0" collapsed="false">
      <c r="A108" s="28"/>
      <c r="B108" s="16" t="n">
        <v>1</v>
      </c>
      <c r="C108" s="16"/>
      <c r="D108" s="16" t="s">
        <v>102</v>
      </c>
      <c r="E108" s="16" t="s">
        <v>51</v>
      </c>
      <c r="F108" s="16" t="s">
        <v>52</v>
      </c>
      <c r="G108" s="16" t="s">
        <v>103</v>
      </c>
      <c r="H108" s="16" t="s">
        <v>104</v>
      </c>
      <c r="I108" s="16" t="s">
        <v>105</v>
      </c>
      <c r="J108" s="16" t="s">
        <v>106</v>
      </c>
      <c r="K108" s="16" t="s">
        <v>104</v>
      </c>
      <c r="L108" s="16" t="s">
        <v>105</v>
      </c>
      <c r="M108" s="16" t="s">
        <v>106</v>
      </c>
      <c r="N108" s="16" t="s">
        <v>57</v>
      </c>
      <c r="O108" s="16" t="s">
        <v>107</v>
      </c>
      <c r="P108" s="16" t="s">
        <v>226</v>
      </c>
      <c r="Q108" s="16" t="s">
        <v>226</v>
      </c>
      <c r="R108" s="16"/>
      <c r="S108" s="33"/>
      <c r="T108" s="16" t="s">
        <v>227</v>
      </c>
      <c r="U108" s="16" t="s">
        <v>63</v>
      </c>
      <c r="V108" s="16" t="n">
        <v>0.1736</v>
      </c>
      <c r="W108" s="16"/>
      <c r="X108" s="34"/>
      <c r="Y108" s="34"/>
      <c r="Z108" s="34"/>
      <c r="AA108" s="34"/>
      <c r="AB108" s="34"/>
      <c r="AC108" s="34"/>
      <c r="AD108" s="34" t="n">
        <v>500</v>
      </c>
      <c r="AE108" s="34"/>
      <c r="AF108" s="34"/>
      <c r="AG108" s="34"/>
      <c r="AH108" s="34"/>
      <c r="AI108" s="34"/>
      <c r="AJ108" s="9" t="n">
        <f aca="false">X108*$V108</f>
        <v>0</v>
      </c>
      <c r="AK108" s="9" t="n">
        <f aca="false">Y108*$V108</f>
        <v>0</v>
      </c>
      <c r="AL108" s="9" t="n">
        <f aca="false">Z108*$V108</f>
        <v>0</v>
      </c>
      <c r="AM108" s="9" t="n">
        <f aca="false">AA108*$V108</f>
        <v>0</v>
      </c>
      <c r="AN108" s="9" t="n">
        <f aca="false">AB108*$V108</f>
        <v>0</v>
      </c>
      <c r="AO108" s="9" t="n">
        <f aca="false">AC108*$V108</f>
        <v>0</v>
      </c>
      <c r="AP108" s="9" t="n">
        <f aca="false">AD108*$V108</f>
        <v>86.8</v>
      </c>
      <c r="AQ108" s="9" t="n">
        <f aca="false">AE108*$V108</f>
        <v>0</v>
      </c>
      <c r="AR108" s="9" t="n">
        <f aca="false">AF108*$V108</f>
        <v>0</v>
      </c>
      <c r="AS108" s="9" t="n">
        <f aca="false">AG108*$V108</f>
        <v>0</v>
      </c>
      <c r="AT108" s="9" t="n">
        <f aca="false">AH108*$V108</f>
        <v>0</v>
      </c>
      <c r="AU108" s="9" t="n">
        <f aca="false">AI108*$V108</f>
        <v>0</v>
      </c>
      <c r="AV108" s="9" t="n">
        <f aca="false">SUM(X108:AI108)/1000</f>
        <v>0.5</v>
      </c>
      <c r="AW108" s="9" t="n">
        <f aca="false">SUM(AJ108:AU108)</f>
        <v>86.8</v>
      </c>
      <c r="AX108" s="9" t="n">
        <f aca="false">IF(D108="INR",AW108/88.24,AW108)/1000000</f>
        <v>8.68E-005</v>
      </c>
    </row>
    <row r="109" s="2" customFormat="true" ht="14.25" hidden="false" customHeight="true" outlineLevel="0" collapsed="false">
      <c r="A109" s="28"/>
      <c r="B109" s="16" t="n">
        <v>1</v>
      </c>
      <c r="C109" s="16"/>
      <c r="D109" s="16" t="s">
        <v>102</v>
      </c>
      <c r="E109" s="16" t="s">
        <v>51</v>
      </c>
      <c r="F109" s="16" t="s">
        <v>52</v>
      </c>
      <c r="G109" s="16" t="s">
        <v>103</v>
      </c>
      <c r="H109" s="16" t="s">
        <v>104</v>
      </c>
      <c r="I109" s="16" t="s">
        <v>105</v>
      </c>
      <c r="J109" s="16" t="s">
        <v>106</v>
      </c>
      <c r="K109" s="16" t="s">
        <v>104</v>
      </c>
      <c r="L109" s="16" t="s">
        <v>105</v>
      </c>
      <c r="M109" s="16" t="s">
        <v>106</v>
      </c>
      <c r="N109" s="16" t="s">
        <v>57</v>
      </c>
      <c r="O109" s="16" t="s">
        <v>107</v>
      </c>
      <c r="P109" s="16" t="s">
        <v>208</v>
      </c>
      <c r="Q109" s="16" t="s">
        <v>208</v>
      </c>
      <c r="R109" s="16"/>
      <c r="S109" s="33"/>
      <c r="T109" s="16" t="s">
        <v>228</v>
      </c>
      <c r="U109" s="16" t="s">
        <v>63</v>
      </c>
      <c r="V109" s="16" t="n">
        <v>0.1725</v>
      </c>
      <c r="W109" s="16"/>
      <c r="X109" s="34"/>
      <c r="Y109" s="34"/>
      <c r="Z109" s="34"/>
      <c r="AA109" s="34"/>
      <c r="AB109" s="34"/>
      <c r="AC109" s="34"/>
      <c r="AD109" s="34" t="n">
        <v>500</v>
      </c>
      <c r="AE109" s="34"/>
      <c r="AF109" s="34"/>
      <c r="AG109" s="34"/>
      <c r="AH109" s="34"/>
      <c r="AI109" s="34"/>
      <c r="AJ109" s="9" t="n">
        <f aca="false">X109*$V109</f>
        <v>0</v>
      </c>
      <c r="AK109" s="9" t="n">
        <f aca="false">Y109*$V109</f>
        <v>0</v>
      </c>
      <c r="AL109" s="9" t="n">
        <f aca="false">Z109*$V109</f>
        <v>0</v>
      </c>
      <c r="AM109" s="9" t="n">
        <f aca="false">AA109*$V109</f>
        <v>0</v>
      </c>
      <c r="AN109" s="9" t="n">
        <f aca="false">AB109*$V109</f>
        <v>0</v>
      </c>
      <c r="AO109" s="9" t="n">
        <f aca="false">AC109*$V109</f>
        <v>0</v>
      </c>
      <c r="AP109" s="9" t="n">
        <f aca="false">AD109*$V109</f>
        <v>86.25</v>
      </c>
      <c r="AQ109" s="9" t="n">
        <f aca="false">AE109*$V109</f>
        <v>0</v>
      </c>
      <c r="AR109" s="9" t="n">
        <f aca="false">AF109*$V109</f>
        <v>0</v>
      </c>
      <c r="AS109" s="9" t="n">
        <f aca="false">AG109*$V109</f>
        <v>0</v>
      </c>
      <c r="AT109" s="9" t="n">
        <f aca="false">AH109*$V109</f>
        <v>0</v>
      </c>
      <c r="AU109" s="9" t="n">
        <f aca="false">AI109*$V109</f>
        <v>0</v>
      </c>
      <c r="AV109" s="9" t="n">
        <f aca="false">SUM(X109:AI109)/1000</f>
        <v>0.5</v>
      </c>
      <c r="AW109" s="9" t="n">
        <f aca="false">SUM(AJ109:AU109)</f>
        <v>86.25</v>
      </c>
      <c r="AX109" s="9" t="n">
        <f aca="false">IF(D109="INR",AW109/88.24,AW109)/1000000</f>
        <v>8.625E-005</v>
      </c>
    </row>
    <row r="110" s="2" customFormat="true" ht="14.25" hidden="false" customHeight="true" outlineLevel="0" collapsed="false">
      <c r="A110" s="28"/>
      <c r="B110" s="16" t="n">
        <v>1</v>
      </c>
      <c r="C110" s="16"/>
      <c r="D110" s="16" t="s">
        <v>102</v>
      </c>
      <c r="E110" s="16" t="s">
        <v>51</v>
      </c>
      <c r="F110" s="16" t="s">
        <v>52</v>
      </c>
      <c r="G110" s="16" t="s">
        <v>103</v>
      </c>
      <c r="H110" s="16" t="s">
        <v>104</v>
      </c>
      <c r="I110" s="16" t="s">
        <v>105</v>
      </c>
      <c r="J110" s="16" t="s">
        <v>106</v>
      </c>
      <c r="K110" s="16" t="s">
        <v>104</v>
      </c>
      <c r="L110" s="16" t="s">
        <v>105</v>
      </c>
      <c r="M110" s="16" t="s">
        <v>106</v>
      </c>
      <c r="N110" s="16" t="s">
        <v>57</v>
      </c>
      <c r="O110" s="16" t="s">
        <v>107</v>
      </c>
      <c r="P110" s="16" t="s">
        <v>199</v>
      </c>
      <c r="Q110" s="16" t="s">
        <v>199</v>
      </c>
      <c r="R110" s="16"/>
      <c r="S110" s="16"/>
      <c r="T110" s="16" t="s">
        <v>229</v>
      </c>
      <c r="U110" s="16" t="s">
        <v>63</v>
      </c>
      <c r="V110" s="16" t="n">
        <v>0.1725</v>
      </c>
      <c r="W110" s="26"/>
      <c r="X110" s="32"/>
      <c r="Y110" s="32"/>
      <c r="Z110" s="32"/>
      <c r="AA110" s="32"/>
      <c r="AB110" s="32"/>
      <c r="AC110" s="32"/>
      <c r="AD110" s="32" t="n">
        <v>500</v>
      </c>
      <c r="AE110" s="32"/>
      <c r="AF110" s="32"/>
      <c r="AG110" s="32"/>
      <c r="AH110" s="32"/>
      <c r="AI110" s="32"/>
      <c r="AJ110" s="9" t="n">
        <f aca="false">X110*$V110</f>
        <v>0</v>
      </c>
      <c r="AK110" s="9" t="n">
        <f aca="false">Y110*$V110</f>
        <v>0</v>
      </c>
      <c r="AL110" s="9" t="n">
        <f aca="false">Z110*$V110</f>
        <v>0</v>
      </c>
      <c r="AM110" s="9" t="n">
        <f aca="false">AA110*$V110</f>
        <v>0</v>
      </c>
      <c r="AN110" s="9" t="n">
        <f aca="false">AB110*$V110</f>
        <v>0</v>
      </c>
      <c r="AO110" s="9" t="n">
        <f aca="false">AC110*$V110</f>
        <v>0</v>
      </c>
      <c r="AP110" s="9" t="n">
        <f aca="false">AD110*$V110</f>
        <v>86.25</v>
      </c>
      <c r="AQ110" s="9" t="n">
        <f aca="false">AE110*$V110</f>
        <v>0</v>
      </c>
      <c r="AR110" s="9" t="n">
        <f aca="false">AF110*$V110</f>
        <v>0</v>
      </c>
      <c r="AS110" s="9" t="n">
        <f aca="false">AG110*$V110</f>
        <v>0</v>
      </c>
      <c r="AT110" s="9" t="n">
        <f aca="false">AH110*$V110</f>
        <v>0</v>
      </c>
      <c r="AU110" s="9" t="n">
        <f aca="false">AI110*$V110</f>
        <v>0</v>
      </c>
      <c r="AV110" s="9" t="n">
        <f aca="false">SUM(X110:AI110)/1000</f>
        <v>0.5</v>
      </c>
      <c r="AW110" s="9" t="n">
        <f aca="false">SUM(AJ110:AU110)</f>
        <v>86.25</v>
      </c>
      <c r="AX110" s="9" t="n">
        <f aca="false">IF(D110="INR",AW110/88.24,AW110)/1000000</f>
        <v>8.625E-005</v>
      </c>
    </row>
    <row r="111" s="2" customFormat="true" ht="14.25" hidden="false" customHeight="false" outlineLevel="0" collapsed="false">
      <c r="A111" s="28"/>
      <c r="B111" s="16" t="n">
        <v>1</v>
      </c>
      <c r="C111" s="16"/>
      <c r="D111" s="16" t="s">
        <v>102</v>
      </c>
      <c r="E111" s="16" t="s">
        <v>51</v>
      </c>
      <c r="F111" s="16" t="s">
        <v>52</v>
      </c>
      <c r="G111" s="16" t="s">
        <v>103</v>
      </c>
      <c r="H111" s="16" t="s">
        <v>104</v>
      </c>
      <c r="I111" s="16" t="s">
        <v>105</v>
      </c>
      <c r="J111" s="16" t="s">
        <v>106</v>
      </c>
      <c r="K111" s="16" t="s">
        <v>104</v>
      </c>
      <c r="L111" s="16" t="s">
        <v>105</v>
      </c>
      <c r="M111" s="16" t="s">
        <v>106</v>
      </c>
      <c r="N111" s="16" t="s">
        <v>57</v>
      </c>
      <c r="O111" s="16" t="s">
        <v>107</v>
      </c>
      <c r="P111" s="16" t="s">
        <v>167</v>
      </c>
      <c r="Q111" s="16" t="s">
        <v>167</v>
      </c>
      <c r="R111" s="16"/>
      <c r="S111" s="16"/>
      <c r="T111" s="16" t="s">
        <v>230</v>
      </c>
      <c r="U111" s="16" t="s">
        <v>63</v>
      </c>
      <c r="V111" s="26" t="n">
        <v>0.168386</v>
      </c>
      <c r="W111" s="26"/>
      <c r="X111" s="16"/>
      <c r="Y111" s="16"/>
      <c r="Z111" s="16"/>
      <c r="AA111" s="16"/>
      <c r="AB111" s="16"/>
      <c r="AC111" s="16"/>
      <c r="AD111" s="16" t="n">
        <v>500</v>
      </c>
      <c r="AE111" s="16"/>
      <c r="AF111" s="16"/>
      <c r="AG111" s="16"/>
      <c r="AH111" s="16"/>
      <c r="AI111" s="16"/>
      <c r="AJ111" s="9" t="n">
        <f aca="false">X111*$V111</f>
        <v>0</v>
      </c>
      <c r="AK111" s="9" t="n">
        <f aca="false">Y111*$V111</f>
        <v>0</v>
      </c>
      <c r="AL111" s="9" t="n">
        <f aca="false">Z111*$V111</f>
        <v>0</v>
      </c>
      <c r="AM111" s="9" t="n">
        <f aca="false">AA111*$V111</f>
        <v>0</v>
      </c>
      <c r="AN111" s="9" t="n">
        <f aca="false">AB111*$V111</f>
        <v>0</v>
      </c>
      <c r="AO111" s="9" t="n">
        <f aca="false">AC111*$V111</f>
        <v>0</v>
      </c>
      <c r="AP111" s="9" t="n">
        <f aca="false">AD111*$V111</f>
        <v>84.193</v>
      </c>
      <c r="AQ111" s="9" t="n">
        <f aca="false">AE111*$V111</f>
        <v>0</v>
      </c>
      <c r="AR111" s="9" t="n">
        <f aca="false">AF111*$V111</f>
        <v>0</v>
      </c>
      <c r="AS111" s="9" t="n">
        <f aca="false">AG111*$V111</f>
        <v>0</v>
      </c>
      <c r="AT111" s="9" t="n">
        <f aca="false">AH111*$V111</f>
        <v>0</v>
      </c>
      <c r="AU111" s="9" t="n">
        <f aca="false">AI111*$V111</f>
        <v>0</v>
      </c>
      <c r="AV111" s="9" t="n">
        <f aca="false">SUM(X111:AI111)/1000</f>
        <v>0.5</v>
      </c>
      <c r="AW111" s="9" t="n">
        <f aca="false">SUM(AJ111:AU111)</f>
        <v>84.193</v>
      </c>
      <c r="AX111" s="9" t="n">
        <f aca="false">IF(D111="INR",AW111/88.24,AW111)/1000000</f>
        <v>8.4193E-005</v>
      </c>
    </row>
    <row r="112" s="2" customFormat="true" ht="14.25" hidden="false" customHeight="false" outlineLevel="0" collapsed="false">
      <c r="A112" s="28"/>
      <c r="B112" s="16" t="n">
        <v>1</v>
      </c>
      <c r="C112" s="16"/>
      <c r="D112" s="16" t="s">
        <v>102</v>
      </c>
      <c r="E112" s="16" t="s">
        <v>51</v>
      </c>
      <c r="F112" s="16" t="s">
        <v>52</v>
      </c>
      <c r="G112" s="16" t="s">
        <v>103</v>
      </c>
      <c r="H112" s="16" t="s">
        <v>104</v>
      </c>
      <c r="I112" s="16" t="s">
        <v>105</v>
      </c>
      <c r="J112" s="16" t="s">
        <v>106</v>
      </c>
      <c r="K112" s="16" t="s">
        <v>104</v>
      </c>
      <c r="L112" s="16" t="s">
        <v>105</v>
      </c>
      <c r="M112" s="16" t="s">
        <v>106</v>
      </c>
      <c r="N112" s="16" t="s">
        <v>57</v>
      </c>
      <c r="O112" s="16" t="s">
        <v>107</v>
      </c>
      <c r="P112" s="16" t="s">
        <v>145</v>
      </c>
      <c r="Q112" s="16" t="s">
        <v>145</v>
      </c>
      <c r="R112" s="16"/>
      <c r="S112" s="16"/>
      <c r="T112" s="16" t="s">
        <v>231</v>
      </c>
      <c r="U112" s="16" t="s">
        <v>63</v>
      </c>
      <c r="V112" s="16" t="n">
        <v>0.1647</v>
      </c>
      <c r="W112" s="16"/>
      <c r="X112" s="16"/>
      <c r="Y112" s="16"/>
      <c r="Z112" s="16"/>
      <c r="AA112" s="16"/>
      <c r="AB112" s="16"/>
      <c r="AC112" s="16"/>
      <c r="AD112" s="16" t="n">
        <v>500</v>
      </c>
      <c r="AE112" s="16"/>
      <c r="AF112" s="16"/>
      <c r="AG112" s="16"/>
      <c r="AH112" s="16"/>
      <c r="AI112" s="16"/>
      <c r="AJ112" s="9" t="n">
        <f aca="false">X112*$V112</f>
        <v>0</v>
      </c>
      <c r="AK112" s="9" t="n">
        <f aca="false">Y112*$V112</f>
        <v>0</v>
      </c>
      <c r="AL112" s="9" t="n">
        <f aca="false">Z112*$V112</f>
        <v>0</v>
      </c>
      <c r="AM112" s="9" t="n">
        <f aca="false">AA112*$V112</f>
        <v>0</v>
      </c>
      <c r="AN112" s="9" t="n">
        <f aca="false">AB112*$V112</f>
        <v>0</v>
      </c>
      <c r="AO112" s="9" t="n">
        <f aca="false">AC112*$V112</f>
        <v>0</v>
      </c>
      <c r="AP112" s="9" t="n">
        <f aca="false">AD112*$V112</f>
        <v>82.35</v>
      </c>
      <c r="AQ112" s="9" t="n">
        <f aca="false">AE112*$V112</f>
        <v>0</v>
      </c>
      <c r="AR112" s="9" t="n">
        <f aca="false">AF112*$V112</f>
        <v>0</v>
      </c>
      <c r="AS112" s="9" t="n">
        <f aca="false">AG112*$V112</f>
        <v>0</v>
      </c>
      <c r="AT112" s="9" t="n">
        <f aca="false">AH112*$V112</f>
        <v>0</v>
      </c>
      <c r="AU112" s="9" t="n">
        <f aca="false">AI112*$V112</f>
        <v>0</v>
      </c>
      <c r="AV112" s="9" t="n">
        <f aca="false">SUM(X112:AI112)/1000</f>
        <v>0.5</v>
      </c>
      <c r="AW112" s="9" t="n">
        <f aca="false">SUM(AJ112:AU112)</f>
        <v>82.35</v>
      </c>
      <c r="AX112" s="9" t="n">
        <f aca="false">IF(D112="INR",AW112/88.24,AW112)/1000000</f>
        <v>8.235E-005</v>
      </c>
    </row>
    <row r="113" s="2" customFormat="true" ht="14.25" hidden="false" customHeight="false" outlineLevel="0" collapsed="false">
      <c r="A113" s="28"/>
      <c r="B113" s="16" t="n">
        <v>1</v>
      </c>
      <c r="C113" s="16"/>
      <c r="D113" s="16" t="s">
        <v>102</v>
      </c>
      <c r="E113" s="16" t="s">
        <v>51</v>
      </c>
      <c r="F113" s="16" t="s">
        <v>52</v>
      </c>
      <c r="G113" s="16" t="s">
        <v>103</v>
      </c>
      <c r="H113" s="16" t="s">
        <v>104</v>
      </c>
      <c r="I113" s="16" t="s">
        <v>105</v>
      </c>
      <c r="J113" s="16" t="s">
        <v>106</v>
      </c>
      <c r="K113" s="16" t="s">
        <v>104</v>
      </c>
      <c r="L113" s="16" t="s">
        <v>105</v>
      </c>
      <c r="M113" s="16" t="s">
        <v>106</v>
      </c>
      <c r="N113" s="16" t="s">
        <v>57</v>
      </c>
      <c r="O113" s="16" t="s">
        <v>107</v>
      </c>
      <c r="P113" s="16" t="s">
        <v>232</v>
      </c>
      <c r="Q113" s="16" t="s">
        <v>232</v>
      </c>
      <c r="R113" s="16"/>
      <c r="S113" s="16"/>
      <c r="T113" s="16" t="s">
        <v>233</v>
      </c>
      <c r="U113" s="16" t="s">
        <v>63</v>
      </c>
      <c r="V113" s="16" t="n">
        <v>0.1593</v>
      </c>
      <c r="W113" s="16"/>
      <c r="X113" s="16"/>
      <c r="Y113" s="16"/>
      <c r="Z113" s="16"/>
      <c r="AA113" s="16"/>
      <c r="AB113" s="16"/>
      <c r="AC113" s="16"/>
      <c r="AD113" s="16" t="n">
        <v>500</v>
      </c>
      <c r="AE113" s="16"/>
      <c r="AF113" s="16"/>
      <c r="AG113" s="16"/>
      <c r="AH113" s="16"/>
      <c r="AI113" s="16"/>
      <c r="AJ113" s="9" t="n">
        <f aca="false">X113*$V113</f>
        <v>0</v>
      </c>
      <c r="AK113" s="9" t="n">
        <f aca="false">Y113*$V113</f>
        <v>0</v>
      </c>
      <c r="AL113" s="9" t="n">
        <f aca="false">Z113*$V113</f>
        <v>0</v>
      </c>
      <c r="AM113" s="9" t="n">
        <f aca="false">AA113*$V113</f>
        <v>0</v>
      </c>
      <c r="AN113" s="9" t="n">
        <f aca="false">AB113*$V113</f>
        <v>0</v>
      </c>
      <c r="AO113" s="9" t="n">
        <f aca="false">AC113*$V113</f>
        <v>0</v>
      </c>
      <c r="AP113" s="9" t="n">
        <f aca="false">AD113*$V113</f>
        <v>79.65</v>
      </c>
      <c r="AQ113" s="9" t="n">
        <f aca="false">AE113*$V113</f>
        <v>0</v>
      </c>
      <c r="AR113" s="9" t="n">
        <f aca="false">AF113*$V113</f>
        <v>0</v>
      </c>
      <c r="AS113" s="9" t="n">
        <f aca="false">AG113*$V113</f>
        <v>0</v>
      </c>
      <c r="AT113" s="9" t="n">
        <f aca="false">AH113*$V113</f>
        <v>0</v>
      </c>
      <c r="AU113" s="9" t="n">
        <f aca="false">AI113*$V113</f>
        <v>0</v>
      </c>
      <c r="AV113" s="9" t="n">
        <f aca="false">SUM(X113:AI113)/1000</f>
        <v>0.5</v>
      </c>
      <c r="AW113" s="9" t="n">
        <f aca="false">SUM(AJ113:AU113)</f>
        <v>79.65</v>
      </c>
      <c r="AX113" s="9" t="n">
        <f aca="false">IF(D113="INR",AW113/88.24,AW113)/1000000</f>
        <v>7.965E-005</v>
      </c>
    </row>
    <row r="114" s="2" customFormat="true" ht="14.25" hidden="false" customHeight="false" outlineLevel="0" collapsed="false">
      <c r="A114" s="28"/>
      <c r="B114" s="16" t="n">
        <v>1</v>
      </c>
      <c r="C114" s="16"/>
      <c r="D114" s="16" t="s">
        <v>102</v>
      </c>
      <c r="E114" s="16" t="s">
        <v>51</v>
      </c>
      <c r="F114" s="16" t="s">
        <v>52</v>
      </c>
      <c r="G114" s="16" t="s">
        <v>103</v>
      </c>
      <c r="H114" s="16" t="s">
        <v>104</v>
      </c>
      <c r="I114" s="16" t="s">
        <v>105</v>
      </c>
      <c r="J114" s="16" t="s">
        <v>106</v>
      </c>
      <c r="K114" s="16" t="s">
        <v>104</v>
      </c>
      <c r="L114" s="16" t="s">
        <v>105</v>
      </c>
      <c r="M114" s="16" t="s">
        <v>106</v>
      </c>
      <c r="N114" s="16" t="s">
        <v>57</v>
      </c>
      <c r="O114" s="16" t="s">
        <v>107</v>
      </c>
      <c r="P114" s="9" t="s">
        <v>232</v>
      </c>
      <c r="Q114" s="16" t="s">
        <v>232</v>
      </c>
      <c r="R114" s="9"/>
      <c r="S114" s="9"/>
      <c r="T114" s="9" t="s">
        <v>234</v>
      </c>
      <c r="U114" s="9" t="s">
        <v>63</v>
      </c>
      <c r="V114" s="9" t="n">
        <v>0.1593</v>
      </c>
      <c r="W114" s="9"/>
      <c r="X114" s="16"/>
      <c r="Y114" s="16"/>
      <c r="Z114" s="16"/>
      <c r="AA114" s="16"/>
      <c r="AB114" s="16"/>
      <c r="AC114" s="16"/>
      <c r="AD114" s="16" t="n">
        <v>500</v>
      </c>
      <c r="AE114" s="16"/>
      <c r="AF114" s="16"/>
      <c r="AG114" s="16"/>
      <c r="AH114" s="16"/>
      <c r="AI114" s="16"/>
      <c r="AJ114" s="9" t="n">
        <f aca="false">X114*$V114</f>
        <v>0</v>
      </c>
      <c r="AK114" s="9" t="n">
        <f aca="false">Y114*$V114</f>
        <v>0</v>
      </c>
      <c r="AL114" s="9" t="n">
        <f aca="false">Z114*$V114</f>
        <v>0</v>
      </c>
      <c r="AM114" s="9" t="n">
        <f aca="false">AA114*$V114</f>
        <v>0</v>
      </c>
      <c r="AN114" s="9" t="n">
        <f aca="false">AB114*$V114</f>
        <v>0</v>
      </c>
      <c r="AO114" s="9" t="n">
        <f aca="false">AC114*$V114</f>
        <v>0</v>
      </c>
      <c r="AP114" s="9" t="n">
        <f aca="false">AD114*$V114</f>
        <v>79.65</v>
      </c>
      <c r="AQ114" s="9" t="n">
        <f aca="false">AE114*$V114</f>
        <v>0</v>
      </c>
      <c r="AR114" s="9" t="n">
        <f aca="false">AF114*$V114</f>
        <v>0</v>
      </c>
      <c r="AS114" s="9" t="n">
        <f aca="false">AG114*$V114</f>
        <v>0</v>
      </c>
      <c r="AT114" s="9" t="n">
        <f aca="false">AH114*$V114</f>
        <v>0</v>
      </c>
      <c r="AU114" s="9" t="n">
        <f aca="false">AI114*$V114</f>
        <v>0</v>
      </c>
      <c r="AV114" s="9" t="n">
        <f aca="false">SUM(X114:AI114)/1000</f>
        <v>0.5</v>
      </c>
      <c r="AW114" s="9" t="n">
        <f aca="false">SUM(AJ114:AU114)</f>
        <v>79.65</v>
      </c>
      <c r="AX114" s="9" t="n">
        <f aca="false">IF(D114="INR",AW114/88.24,AW114)/1000000</f>
        <v>7.965E-005</v>
      </c>
    </row>
    <row r="115" s="2" customFormat="true" ht="14.25" hidden="false" customHeight="false" outlineLevel="0" collapsed="false">
      <c r="A115" s="28"/>
      <c r="B115" s="16" t="n">
        <v>1</v>
      </c>
      <c r="C115" s="16"/>
      <c r="D115" s="16" t="s">
        <v>102</v>
      </c>
      <c r="E115" s="16" t="s">
        <v>51</v>
      </c>
      <c r="F115" s="16" t="s">
        <v>52</v>
      </c>
      <c r="G115" s="16" t="s">
        <v>103</v>
      </c>
      <c r="H115" s="16" t="s">
        <v>104</v>
      </c>
      <c r="I115" s="16" t="s">
        <v>105</v>
      </c>
      <c r="J115" s="16" t="s">
        <v>106</v>
      </c>
      <c r="K115" s="16" t="s">
        <v>104</v>
      </c>
      <c r="L115" s="16" t="s">
        <v>105</v>
      </c>
      <c r="M115" s="16" t="s">
        <v>106</v>
      </c>
      <c r="N115" s="16" t="s">
        <v>57</v>
      </c>
      <c r="O115" s="16" t="s">
        <v>107</v>
      </c>
      <c r="P115" s="16" t="s">
        <v>215</v>
      </c>
      <c r="Q115" s="16" t="s">
        <v>215</v>
      </c>
      <c r="R115" s="16"/>
      <c r="S115" s="16"/>
      <c r="T115" s="16" t="s">
        <v>235</v>
      </c>
      <c r="U115" s="16" t="s">
        <v>63</v>
      </c>
      <c r="V115" s="16" t="n">
        <v>0.159182</v>
      </c>
      <c r="W115" s="16"/>
      <c r="X115" s="16"/>
      <c r="Y115" s="16"/>
      <c r="Z115" s="16"/>
      <c r="AA115" s="16"/>
      <c r="AB115" s="16"/>
      <c r="AC115" s="16"/>
      <c r="AD115" s="16" t="n">
        <v>500</v>
      </c>
      <c r="AE115" s="16"/>
      <c r="AF115" s="16"/>
      <c r="AG115" s="16"/>
      <c r="AH115" s="16"/>
      <c r="AI115" s="16"/>
      <c r="AJ115" s="9" t="n">
        <f aca="false">X115*$V115</f>
        <v>0</v>
      </c>
      <c r="AK115" s="9" t="n">
        <f aca="false">Y115*$V115</f>
        <v>0</v>
      </c>
      <c r="AL115" s="9" t="n">
        <f aca="false">Z115*$V115</f>
        <v>0</v>
      </c>
      <c r="AM115" s="9" t="n">
        <f aca="false">AA115*$V115</f>
        <v>0</v>
      </c>
      <c r="AN115" s="9" t="n">
        <f aca="false">AB115*$V115</f>
        <v>0</v>
      </c>
      <c r="AO115" s="9" t="n">
        <f aca="false">AC115*$V115</f>
        <v>0</v>
      </c>
      <c r="AP115" s="9" t="n">
        <f aca="false">AD115*$V115</f>
        <v>79.591</v>
      </c>
      <c r="AQ115" s="9" t="n">
        <f aca="false">AE115*$V115</f>
        <v>0</v>
      </c>
      <c r="AR115" s="9" t="n">
        <f aca="false">AF115*$V115</f>
        <v>0</v>
      </c>
      <c r="AS115" s="9" t="n">
        <f aca="false">AG115*$V115</f>
        <v>0</v>
      </c>
      <c r="AT115" s="9" t="n">
        <f aca="false">AH115*$V115</f>
        <v>0</v>
      </c>
      <c r="AU115" s="9" t="n">
        <f aca="false">AI115*$V115</f>
        <v>0</v>
      </c>
      <c r="AV115" s="9" t="n">
        <f aca="false">SUM(X115:AI115)/1000</f>
        <v>0.5</v>
      </c>
      <c r="AW115" s="9" t="n">
        <f aca="false">SUM(AJ115:AU115)</f>
        <v>79.591</v>
      </c>
      <c r="AX115" s="9" t="n">
        <f aca="false">IF(D115="INR",AW115/88.24,AW115)/1000000</f>
        <v>7.9591E-005</v>
      </c>
    </row>
    <row r="116" s="2" customFormat="true" ht="14.25" hidden="false" customHeight="false" outlineLevel="0" collapsed="false">
      <c r="A116" s="28"/>
      <c r="B116" s="16" t="n">
        <v>1</v>
      </c>
      <c r="C116" s="16"/>
      <c r="D116" s="16" t="s">
        <v>102</v>
      </c>
      <c r="E116" s="16" t="s">
        <v>51</v>
      </c>
      <c r="F116" s="16" t="s">
        <v>52</v>
      </c>
      <c r="G116" s="16" t="s">
        <v>103</v>
      </c>
      <c r="H116" s="16" t="s">
        <v>104</v>
      </c>
      <c r="I116" s="16" t="s">
        <v>105</v>
      </c>
      <c r="J116" s="16" t="s">
        <v>106</v>
      </c>
      <c r="K116" s="16" t="s">
        <v>104</v>
      </c>
      <c r="L116" s="16" t="s">
        <v>105</v>
      </c>
      <c r="M116" s="16" t="s">
        <v>106</v>
      </c>
      <c r="N116" s="16" t="s">
        <v>57</v>
      </c>
      <c r="O116" s="16" t="s">
        <v>107</v>
      </c>
      <c r="P116" s="16" t="s">
        <v>215</v>
      </c>
      <c r="Q116" s="16" t="s">
        <v>215</v>
      </c>
      <c r="R116" s="16"/>
      <c r="S116" s="16"/>
      <c r="T116" s="16" t="s">
        <v>235</v>
      </c>
      <c r="U116" s="16" t="s">
        <v>63</v>
      </c>
      <c r="V116" s="16" t="n">
        <v>0.159182</v>
      </c>
      <c r="W116" s="16"/>
      <c r="X116" s="16"/>
      <c r="Y116" s="16"/>
      <c r="Z116" s="16"/>
      <c r="AA116" s="16"/>
      <c r="AB116" s="16"/>
      <c r="AC116" s="16"/>
      <c r="AD116" s="16" t="n">
        <v>500</v>
      </c>
      <c r="AE116" s="16"/>
      <c r="AF116" s="16"/>
      <c r="AG116" s="16"/>
      <c r="AH116" s="16"/>
      <c r="AI116" s="16"/>
      <c r="AJ116" s="9" t="n">
        <f aca="false">X116*$V116</f>
        <v>0</v>
      </c>
      <c r="AK116" s="9" t="n">
        <f aca="false">Y116*$V116</f>
        <v>0</v>
      </c>
      <c r="AL116" s="9" t="n">
        <f aca="false">Z116*$V116</f>
        <v>0</v>
      </c>
      <c r="AM116" s="9" t="n">
        <f aca="false">AA116*$V116</f>
        <v>0</v>
      </c>
      <c r="AN116" s="9" t="n">
        <f aca="false">AB116*$V116</f>
        <v>0</v>
      </c>
      <c r="AO116" s="9" t="n">
        <f aca="false">AC116*$V116</f>
        <v>0</v>
      </c>
      <c r="AP116" s="9" t="n">
        <f aca="false">AD116*$V116</f>
        <v>79.591</v>
      </c>
      <c r="AQ116" s="9" t="n">
        <f aca="false">AE116*$V116</f>
        <v>0</v>
      </c>
      <c r="AR116" s="9" t="n">
        <f aca="false">AF116*$V116</f>
        <v>0</v>
      </c>
      <c r="AS116" s="9" t="n">
        <f aca="false">AG116*$V116</f>
        <v>0</v>
      </c>
      <c r="AT116" s="9" t="n">
        <f aca="false">AH116*$V116</f>
        <v>0</v>
      </c>
      <c r="AU116" s="9" t="n">
        <f aca="false">AI116*$V116</f>
        <v>0</v>
      </c>
      <c r="AV116" s="9" t="n">
        <f aca="false">SUM(X116:AI116)/1000</f>
        <v>0.5</v>
      </c>
      <c r="AW116" s="9" t="n">
        <f aca="false">SUM(AJ116:AU116)</f>
        <v>79.591</v>
      </c>
      <c r="AX116" s="9" t="n">
        <f aca="false">IF(D116="INR",AW116/88.24,AW116)/1000000</f>
        <v>7.9591E-005</v>
      </c>
    </row>
    <row r="117" s="2" customFormat="true" ht="14.25" hidden="false" customHeight="false" outlineLevel="0" collapsed="false">
      <c r="A117" s="28"/>
      <c r="B117" s="16" t="n">
        <v>1</v>
      </c>
      <c r="C117" s="16"/>
      <c r="D117" s="16" t="s">
        <v>102</v>
      </c>
      <c r="E117" s="16" t="s">
        <v>51</v>
      </c>
      <c r="F117" s="16" t="s">
        <v>52</v>
      </c>
      <c r="G117" s="16" t="s">
        <v>103</v>
      </c>
      <c r="H117" s="16" t="s">
        <v>104</v>
      </c>
      <c r="I117" s="16" t="s">
        <v>105</v>
      </c>
      <c r="J117" s="16" t="s">
        <v>106</v>
      </c>
      <c r="K117" s="16" t="s">
        <v>104</v>
      </c>
      <c r="L117" s="16" t="s">
        <v>105</v>
      </c>
      <c r="M117" s="16" t="s">
        <v>106</v>
      </c>
      <c r="N117" s="16" t="s">
        <v>57</v>
      </c>
      <c r="O117" s="16" t="s">
        <v>107</v>
      </c>
      <c r="P117" s="16" t="s">
        <v>167</v>
      </c>
      <c r="Q117" s="16" t="s">
        <v>167</v>
      </c>
      <c r="R117" s="16"/>
      <c r="S117" s="16"/>
      <c r="T117" s="16" t="s">
        <v>236</v>
      </c>
      <c r="U117" s="16" t="s">
        <v>63</v>
      </c>
      <c r="V117" s="16" t="n">
        <v>0.155268</v>
      </c>
      <c r="W117" s="16"/>
      <c r="X117" s="16"/>
      <c r="Y117" s="16"/>
      <c r="Z117" s="16"/>
      <c r="AA117" s="16"/>
      <c r="AB117" s="16"/>
      <c r="AC117" s="16"/>
      <c r="AD117" s="16" t="n">
        <v>500</v>
      </c>
      <c r="AE117" s="16"/>
      <c r="AF117" s="16"/>
      <c r="AG117" s="16"/>
      <c r="AH117" s="16"/>
      <c r="AI117" s="16"/>
      <c r="AJ117" s="9" t="n">
        <f aca="false">X117*$V117</f>
        <v>0</v>
      </c>
      <c r="AK117" s="9" t="n">
        <f aca="false">Y117*$V117</f>
        <v>0</v>
      </c>
      <c r="AL117" s="9" t="n">
        <f aca="false">Z117*$V117</f>
        <v>0</v>
      </c>
      <c r="AM117" s="9" t="n">
        <f aca="false">AA117*$V117</f>
        <v>0</v>
      </c>
      <c r="AN117" s="9" t="n">
        <f aca="false">AB117*$V117</f>
        <v>0</v>
      </c>
      <c r="AO117" s="9" t="n">
        <f aca="false">AC117*$V117</f>
        <v>0</v>
      </c>
      <c r="AP117" s="9" t="n">
        <f aca="false">AD117*$V117</f>
        <v>77.634</v>
      </c>
      <c r="AQ117" s="9" t="n">
        <f aca="false">AE117*$V117</f>
        <v>0</v>
      </c>
      <c r="AR117" s="9" t="n">
        <f aca="false">AF117*$V117</f>
        <v>0</v>
      </c>
      <c r="AS117" s="9" t="n">
        <f aca="false">AG117*$V117</f>
        <v>0</v>
      </c>
      <c r="AT117" s="9" t="n">
        <f aca="false">AH117*$V117</f>
        <v>0</v>
      </c>
      <c r="AU117" s="9" t="n">
        <f aca="false">AI117*$V117</f>
        <v>0</v>
      </c>
      <c r="AV117" s="9" t="n">
        <f aca="false">SUM(X117:AI117)/1000</f>
        <v>0.5</v>
      </c>
      <c r="AW117" s="9" t="n">
        <f aca="false">SUM(AJ117:AU117)</f>
        <v>77.634</v>
      </c>
      <c r="AX117" s="9" t="n">
        <f aca="false">IF(D117="INR",AW117/88.24,AW117)/1000000</f>
        <v>7.7634E-005</v>
      </c>
    </row>
    <row r="118" s="2" customFormat="true" ht="14.25" hidden="false" customHeight="true" outlineLevel="0" collapsed="false">
      <c r="A118" s="28"/>
      <c r="B118" s="16" t="n">
        <v>1</v>
      </c>
      <c r="C118" s="16"/>
      <c r="D118" s="16" t="s">
        <v>102</v>
      </c>
      <c r="E118" s="16" t="s">
        <v>51</v>
      </c>
      <c r="F118" s="16" t="s">
        <v>52</v>
      </c>
      <c r="G118" s="16" t="s">
        <v>103</v>
      </c>
      <c r="H118" s="16" t="s">
        <v>104</v>
      </c>
      <c r="I118" s="16" t="s">
        <v>105</v>
      </c>
      <c r="J118" s="16" t="s">
        <v>106</v>
      </c>
      <c r="K118" s="16" t="s">
        <v>104</v>
      </c>
      <c r="L118" s="16" t="s">
        <v>105</v>
      </c>
      <c r="M118" s="16" t="s">
        <v>106</v>
      </c>
      <c r="N118" s="16" t="s">
        <v>57</v>
      </c>
      <c r="O118" s="16" t="s">
        <v>107</v>
      </c>
      <c r="P118" s="16" t="s">
        <v>186</v>
      </c>
      <c r="Q118" s="16" t="s">
        <v>186</v>
      </c>
      <c r="R118" s="16"/>
      <c r="S118" s="16"/>
      <c r="T118" s="26" t="s">
        <v>237</v>
      </c>
      <c r="U118" s="26" t="s">
        <v>63</v>
      </c>
      <c r="V118" s="26" t="n">
        <v>0.15</v>
      </c>
      <c r="W118" s="26"/>
      <c r="X118" s="30"/>
      <c r="Y118" s="30"/>
      <c r="Z118" s="30"/>
      <c r="AA118" s="30"/>
      <c r="AB118" s="30"/>
      <c r="AC118" s="30"/>
      <c r="AD118" s="30" t="n">
        <v>500</v>
      </c>
      <c r="AE118" s="30"/>
      <c r="AF118" s="30"/>
      <c r="AG118" s="30"/>
      <c r="AH118" s="30"/>
      <c r="AI118" s="30"/>
      <c r="AJ118" s="9" t="n">
        <f aca="false">X118*$V118</f>
        <v>0</v>
      </c>
      <c r="AK118" s="9" t="n">
        <f aca="false">Y118*$V118</f>
        <v>0</v>
      </c>
      <c r="AL118" s="9" t="n">
        <f aca="false">Z118*$V118</f>
        <v>0</v>
      </c>
      <c r="AM118" s="9" t="n">
        <f aca="false">AA118*$V118</f>
        <v>0</v>
      </c>
      <c r="AN118" s="9" t="n">
        <f aca="false">AB118*$V118</f>
        <v>0</v>
      </c>
      <c r="AO118" s="9" t="n">
        <f aca="false">AC118*$V118</f>
        <v>0</v>
      </c>
      <c r="AP118" s="9" t="n">
        <f aca="false">AD118*$V118</f>
        <v>75</v>
      </c>
      <c r="AQ118" s="9" t="n">
        <f aca="false">AE118*$V118</f>
        <v>0</v>
      </c>
      <c r="AR118" s="9" t="n">
        <f aca="false">AF118*$V118</f>
        <v>0</v>
      </c>
      <c r="AS118" s="9" t="n">
        <f aca="false">AG118*$V118</f>
        <v>0</v>
      </c>
      <c r="AT118" s="9" t="n">
        <f aca="false">AH118*$V118</f>
        <v>0</v>
      </c>
      <c r="AU118" s="9" t="n">
        <f aca="false">AI118*$V118</f>
        <v>0</v>
      </c>
      <c r="AV118" s="9" t="n">
        <f aca="false">SUM(X118:AI118)/1000</f>
        <v>0.5</v>
      </c>
      <c r="AW118" s="9" t="n">
        <f aca="false">SUM(AJ118:AU118)</f>
        <v>75</v>
      </c>
      <c r="AX118" s="9" t="n">
        <f aca="false">IF(D118="INR",AW118/88.24,AW118)/1000000</f>
        <v>7.5E-005</v>
      </c>
    </row>
    <row r="119" s="2" customFormat="true" ht="14.25" hidden="false" customHeight="true" outlineLevel="0" collapsed="false">
      <c r="A119" s="28"/>
      <c r="B119" s="16" t="n">
        <v>1</v>
      </c>
      <c r="C119" s="16"/>
      <c r="D119" s="16" t="s">
        <v>102</v>
      </c>
      <c r="E119" s="16" t="s">
        <v>51</v>
      </c>
      <c r="F119" s="16" t="s">
        <v>52</v>
      </c>
      <c r="G119" s="16" t="s">
        <v>103</v>
      </c>
      <c r="H119" s="16" t="s">
        <v>104</v>
      </c>
      <c r="I119" s="16" t="s">
        <v>105</v>
      </c>
      <c r="J119" s="16" t="s">
        <v>106</v>
      </c>
      <c r="K119" s="16" t="s">
        <v>104</v>
      </c>
      <c r="L119" s="16" t="s">
        <v>105</v>
      </c>
      <c r="M119" s="16" t="s">
        <v>106</v>
      </c>
      <c r="N119" s="16" t="s">
        <v>57</v>
      </c>
      <c r="O119" s="16" t="s">
        <v>107</v>
      </c>
      <c r="P119" s="16" t="s">
        <v>167</v>
      </c>
      <c r="Q119" s="16" t="s">
        <v>167</v>
      </c>
      <c r="R119" s="16"/>
      <c r="S119" s="16"/>
      <c r="T119" s="16" t="s">
        <v>238</v>
      </c>
      <c r="U119" s="16" t="s">
        <v>63</v>
      </c>
      <c r="V119" s="16" t="n">
        <v>0.148314</v>
      </c>
      <c r="W119" s="26"/>
      <c r="X119" s="30"/>
      <c r="Y119" s="30"/>
      <c r="Z119" s="30"/>
      <c r="AA119" s="30"/>
      <c r="AB119" s="30"/>
      <c r="AC119" s="30"/>
      <c r="AD119" s="30" t="n">
        <v>500</v>
      </c>
      <c r="AE119" s="30"/>
      <c r="AF119" s="30"/>
      <c r="AG119" s="30"/>
      <c r="AH119" s="30"/>
      <c r="AI119" s="30"/>
      <c r="AJ119" s="9" t="n">
        <f aca="false">X119*$V119</f>
        <v>0</v>
      </c>
      <c r="AK119" s="9" t="n">
        <f aca="false">Y119*$V119</f>
        <v>0</v>
      </c>
      <c r="AL119" s="9" t="n">
        <f aca="false">Z119*$V119</f>
        <v>0</v>
      </c>
      <c r="AM119" s="9" t="n">
        <f aca="false">AA119*$V119</f>
        <v>0</v>
      </c>
      <c r="AN119" s="9" t="n">
        <f aca="false">AB119*$V119</f>
        <v>0</v>
      </c>
      <c r="AO119" s="9" t="n">
        <f aca="false">AC119*$V119</f>
        <v>0</v>
      </c>
      <c r="AP119" s="9" t="n">
        <f aca="false">AD119*$V119</f>
        <v>74.157</v>
      </c>
      <c r="AQ119" s="9" t="n">
        <f aca="false">AE119*$V119</f>
        <v>0</v>
      </c>
      <c r="AR119" s="9" t="n">
        <f aca="false">AF119*$V119</f>
        <v>0</v>
      </c>
      <c r="AS119" s="9" t="n">
        <f aca="false">AG119*$V119</f>
        <v>0</v>
      </c>
      <c r="AT119" s="9" t="n">
        <f aca="false">AH119*$V119</f>
        <v>0</v>
      </c>
      <c r="AU119" s="9" t="n">
        <f aca="false">AI119*$V119</f>
        <v>0</v>
      </c>
      <c r="AV119" s="9" t="n">
        <f aca="false">SUM(X119:AI119)/1000</f>
        <v>0.5</v>
      </c>
      <c r="AW119" s="9" t="n">
        <f aca="false">SUM(AJ119:AU119)</f>
        <v>74.157</v>
      </c>
      <c r="AX119" s="9" t="n">
        <f aca="false">IF(D119="INR",AW119/88.24,AW119)/1000000</f>
        <v>7.4157E-005</v>
      </c>
    </row>
    <row r="120" s="2" customFormat="true" ht="14.25" hidden="false" customHeight="false" outlineLevel="0" collapsed="false">
      <c r="A120" s="28"/>
      <c r="B120" s="16" t="n">
        <v>1</v>
      </c>
      <c r="C120" s="16"/>
      <c r="D120" s="16" t="s">
        <v>102</v>
      </c>
      <c r="E120" s="16" t="s">
        <v>51</v>
      </c>
      <c r="F120" s="16" t="s">
        <v>52</v>
      </c>
      <c r="G120" s="16" t="s">
        <v>103</v>
      </c>
      <c r="H120" s="16" t="s">
        <v>104</v>
      </c>
      <c r="I120" s="16" t="s">
        <v>105</v>
      </c>
      <c r="J120" s="16" t="s">
        <v>106</v>
      </c>
      <c r="K120" s="16" t="s">
        <v>104</v>
      </c>
      <c r="L120" s="16" t="s">
        <v>105</v>
      </c>
      <c r="M120" s="16" t="s">
        <v>106</v>
      </c>
      <c r="N120" s="16" t="s">
        <v>57</v>
      </c>
      <c r="O120" s="16" t="s">
        <v>107</v>
      </c>
      <c r="P120" s="16" t="s">
        <v>145</v>
      </c>
      <c r="Q120" s="16" t="s">
        <v>145</v>
      </c>
      <c r="R120" s="16"/>
      <c r="S120" s="16"/>
      <c r="T120" s="16" t="s">
        <v>239</v>
      </c>
      <c r="U120" s="16" t="s">
        <v>63</v>
      </c>
      <c r="V120" s="16" t="n">
        <v>0.14</v>
      </c>
      <c r="W120" s="16"/>
      <c r="X120" s="16"/>
      <c r="Y120" s="16"/>
      <c r="Z120" s="16"/>
      <c r="AA120" s="16"/>
      <c r="AB120" s="16"/>
      <c r="AC120" s="16"/>
      <c r="AD120" s="16" t="n">
        <v>500</v>
      </c>
      <c r="AE120" s="16"/>
      <c r="AF120" s="16"/>
      <c r="AG120" s="16"/>
      <c r="AH120" s="16"/>
      <c r="AI120" s="16"/>
      <c r="AJ120" s="9" t="n">
        <f aca="false">X120*$V120</f>
        <v>0</v>
      </c>
      <c r="AK120" s="9" t="n">
        <f aca="false">Y120*$V120</f>
        <v>0</v>
      </c>
      <c r="AL120" s="9" t="n">
        <f aca="false">Z120*$V120</f>
        <v>0</v>
      </c>
      <c r="AM120" s="9" t="n">
        <f aca="false">AA120*$V120</f>
        <v>0</v>
      </c>
      <c r="AN120" s="9" t="n">
        <f aca="false">AB120*$V120</f>
        <v>0</v>
      </c>
      <c r="AO120" s="9" t="n">
        <f aca="false">AC120*$V120</f>
        <v>0</v>
      </c>
      <c r="AP120" s="9" t="n">
        <f aca="false">AD120*$V120</f>
        <v>70</v>
      </c>
      <c r="AQ120" s="9" t="n">
        <f aca="false">AE120*$V120</f>
        <v>0</v>
      </c>
      <c r="AR120" s="9" t="n">
        <f aca="false">AF120*$V120</f>
        <v>0</v>
      </c>
      <c r="AS120" s="9" t="n">
        <f aca="false">AG120*$V120</f>
        <v>0</v>
      </c>
      <c r="AT120" s="9" t="n">
        <f aca="false">AH120*$V120</f>
        <v>0</v>
      </c>
      <c r="AU120" s="9" t="n">
        <f aca="false">AI120*$V120</f>
        <v>0</v>
      </c>
      <c r="AV120" s="9" t="n">
        <f aca="false">SUM(X120:AI120)/1000</f>
        <v>0.5</v>
      </c>
      <c r="AW120" s="9" t="n">
        <f aca="false">SUM(AJ120:AU120)</f>
        <v>70</v>
      </c>
      <c r="AX120" s="9" t="n">
        <f aca="false">IF(D120="INR",AW120/88.24,AW120)/1000000</f>
        <v>7E-005</v>
      </c>
    </row>
    <row r="121" s="2" customFormat="true" ht="14.25" hidden="false" customHeight="false" outlineLevel="0" collapsed="false">
      <c r="A121" s="28"/>
      <c r="B121" s="16" t="n">
        <v>1</v>
      </c>
      <c r="C121" s="16"/>
      <c r="D121" s="16" t="s">
        <v>102</v>
      </c>
      <c r="E121" s="16" t="s">
        <v>51</v>
      </c>
      <c r="F121" s="16" t="s">
        <v>52</v>
      </c>
      <c r="G121" s="16" t="s">
        <v>103</v>
      </c>
      <c r="H121" s="16" t="s">
        <v>104</v>
      </c>
      <c r="I121" s="16" t="s">
        <v>105</v>
      </c>
      <c r="J121" s="16" t="s">
        <v>106</v>
      </c>
      <c r="K121" s="16" t="s">
        <v>104</v>
      </c>
      <c r="L121" s="16" t="s">
        <v>105</v>
      </c>
      <c r="M121" s="16" t="s">
        <v>106</v>
      </c>
      <c r="N121" s="16" t="s">
        <v>57</v>
      </c>
      <c r="O121" s="16" t="s">
        <v>107</v>
      </c>
      <c r="P121" s="16" t="s">
        <v>208</v>
      </c>
      <c r="Q121" s="16" t="s">
        <v>208</v>
      </c>
      <c r="R121" s="16"/>
      <c r="S121" s="16"/>
      <c r="T121" s="16" t="s">
        <v>240</v>
      </c>
      <c r="U121" s="16" t="s">
        <v>63</v>
      </c>
      <c r="V121" s="16" t="n">
        <v>0.1302</v>
      </c>
      <c r="W121" s="16"/>
      <c r="X121" s="16"/>
      <c r="Y121" s="16"/>
      <c r="Z121" s="16"/>
      <c r="AA121" s="16"/>
      <c r="AB121" s="16"/>
      <c r="AC121" s="16"/>
      <c r="AD121" s="16" t="n">
        <v>500</v>
      </c>
      <c r="AE121" s="16"/>
      <c r="AF121" s="16"/>
      <c r="AG121" s="16"/>
      <c r="AH121" s="16"/>
      <c r="AI121" s="16"/>
      <c r="AJ121" s="9" t="n">
        <f aca="false">X121*$V121</f>
        <v>0</v>
      </c>
      <c r="AK121" s="9" t="n">
        <f aca="false">Y121*$V121</f>
        <v>0</v>
      </c>
      <c r="AL121" s="9" t="n">
        <f aca="false">Z121*$V121</f>
        <v>0</v>
      </c>
      <c r="AM121" s="9" t="n">
        <f aca="false">AA121*$V121</f>
        <v>0</v>
      </c>
      <c r="AN121" s="9" t="n">
        <f aca="false">AB121*$V121</f>
        <v>0</v>
      </c>
      <c r="AO121" s="9" t="n">
        <f aca="false">AC121*$V121</f>
        <v>0</v>
      </c>
      <c r="AP121" s="9" t="n">
        <f aca="false">AD121*$V121</f>
        <v>65.1</v>
      </c>
      <c r="AQ121" s="9" t="n">
        <f aca="false">AE121*$V121</f>
        <v>0</v>
      </c>
      <c r="AR121" s="9" t="n">
        <f aca="false">AF121*$V121</f>
        <v>0</v>
      </c>
      <c r="AS121" s="9" t="n">
        <f aca="false">AG121*$V121</f>
        <v>0</v>
      </c>
      <c r="AT121" s="9" t="n">
        <f aca="false">AH121*$V121</f>
        <v>0</v>
      </c>
      <c r="AU121" s="9" t="n">
        <f aca="false">AI121*$V121</f>
        <v>0</v>
      </c>
      <c r="AV121" s="9" t="n">
        <f aca="false">SUM(X121:AI121)/1000</f>
        <v>0.5</v>
      </c>
      <c r="AW121" s="9" t="n">
        <f aca="false">SUM(AJ121:AU121)</f>
        <v>65.1</v>
      </c>
      <c r="AX121" s="9" t="n">
        <f aca="false">IF(D121="INR",AW121/88.24,AW121)/1000000</f>
        <v>6.51E-005</v>
      </c>
    </row>
    <row r="122" s="2" customFormat="true" ht="14.25" hidden="false" customHeight="true" outlineLevel="0" collapsed="false">
      <c r="A122" s="28"/>
      <c r="B122" s="16" t="n">
        <v>1</v>
      </c>
      <c r="C122" s="16"/>
      <c r="D122" s="16" t="s">
        <v>102</v>
      </c>
      <c r="E122" s="16" t="s">
        <v>51</v>
      </c>
      <c r="F122" s="16" t="s">
        <v>52</v>
      </c>
      <c r="G122" s="16" t="s">
        <v>103</v>
      </c>
      <c r="H122" s="16" t="s">
        <v>104</v>
      </c>
      <c r="I122" s="16" t="s">
        <v>105</v>
      </c>
      <c r="J122" s="16" t="s">
        <v>106</v>
      </c>
      <c r="K122" s="16" t="s">
        <v>104</v>
      </c>
      <c r="L122" s="16" t="s">
        <v>105</v>
      </c>
      <c r="M122" s="16" t="s">
        <v>106</v>
      </c>
      <c r="N122" s="16" t="s">
        <v>57</v>
      </c>
      <c r="O122" s="16" t="s">
        <v>107</v>
      </c>
      <c r="P122" s="16" t="s">
        <v>155</v>
      </c>
      <c r="Q122" s="16" t="s">
        <v>155</v>
      </c>
      <c r="R122" s="16"/>
      <c r="S122" s="16"/>
      <c r="T122" s="16" t="s">
        <v>241</v>
      </c>
      <c r="U122" s="16" t="s">
        <v>63</v>
      </c>
      <c r="V122" s="16" t="n">
        <v>0.13</v>
      </c>
      <c r="W122" s="26"/>
      <c r="X122" s="30"/>
      <c r="Y122" s="30"/>
      <c r="Z122" s="30"/>
      <c r="AA122" s="30"/>
      <c r="AB122" s="30"/>
      <c r="AC122" s="30"/>
      <c r="AD122" s="30" t="n">
        <v>500</v>
      </c>
      <c r="AE122" s="30"/>
      <c r="AF122" s="30"/>
      <c r="AG122" s="30"/>
      <c r="AH122" s="30"/>
      <c r="AI122" s="30"/>
      <c r="AJ122" s="9" t="n">
        <f aca="false">X122*$V122</f>
        <v>0</v>
      </c>
      <c r="AK122" s="9" t="n">
        <f aca="false">Y122*$V122</f>
        <v>0</v>
      </c>
      <c r="AL122" s="9" t="n">
        <f aca="false">Z122*$V122</f>
        <v>0</v>
      </c>
      <c r="AM122" s="9" t="n">
        <f aca="false">AA122*$V122</f>
        <v>0</v>
      </c>
      <c r="AN122" s="9" t="n">
        <f aca="false">AB122*$V122</f>
        <v>0</v>
      </c>
      <c r="AO122" s="9" t="n">
        <f aca="false">AC122*$V122</f>
        <v>0</v>
      </c>
      <c r="AP122" s="9" t="n">
        <f aca="false">AD122*$V122</f>
        <v>65</v>
      </c>
      <c r="AQ122" s="9" t="n">
        <f aca="false">AE122*$V122</f>
        <v>0</v>
      </c>
      <c r="AR122" s="9" t="n">
        <f aca="false">AF122*$V122</f>
        <v>0</v>
      </c>
      <c r="AS122" s="9" t="n">
        <f aca="false">AG122*$V122</f>
        <v>0</v>
      </c>
      <c r="AT122" s="9" t="n">
        <f aca="false">AH122*$V122</f>
        <v>0</v>
      </c>
      <c r="AU122" s="9" t="n">
        <f aca="false">AI122*$V122</f>
        <v>0</v>
      </c>
      <c r="AV122" s="9" t="n">
        <f aca="false">SUM(X122:AI122)/1000</f>
        <v>0.5</v>
      </c>
      <c r="AW122" s="9" t="n">
        <f aca="false">SUM(AJ122:AU122)</f>
        <v>65</v>
      </c>
      <c r="AX122" s="9" t="n">
        <f aca="false">IF(D122="INR",AW122/88.24,AW122)/1000000</f>
        <v>6.5E-005</v>
      </c>
    </row>
    <row r="123" s="2" customFormat="true" ht="14.25" hidden="false" customHeight="false" outlineLevel="0" collapsed="false">
      <c r="A123" s="12" t="s">
        <v>242</v>
      </c>
      <c r="B123" s="16"/>
      <c r="C123" s="15"/>
      <c r="D123" s="16" t="s">
        <v>50</v>
      </c>
      <c r="E123" s="16" t="s">
        <v>51</v>
      </c>
      <c r="F123" s="16" t="s">
        <v>243</v>
      </c>
      <c r="G123" s="16" t="s">
        <v>244</v>
      </c>
      <c r="H123" s="9" t="s">
        <v>245</v>
      </c>
      <c r="I123" s="16" t="s">
        <v>55</v>
      </c>
      <c r="J123" s="16" t="s">
        <v>56</v>
      </c>
      <c r="K123" s="9"/>
      <c r="L123" s="16" t="s">
        <v>55</v>
      </c>
      <c r="M123" s="16" t="s">
        <v>56</v>
      </c>
      <c r="N123" s="16" t="s">
        <v>93</v>
      </c>
      <c r="O123" s="16" t="s">
        <v>246</v>
      </c>
      <c r="P123" s="16" t="s">
        <v>69</v>
      </c>
      <c r="Q123" s="16" t="s">
        <v>69</v>
      </c>
      <c r="R123" s="16" t="s">
        <v>70</v>
      </c>
      <c r="S123" s="16" t="s">
        <v>71</v>
      </c>
      <c r="T123" s="16" t="s">
        <v>247</v>
      </c>
      <c r="U123" s="16" t="s">
        <v>73</v>
      </c>
      <c r="V123" s="16" t="n">
        <v>42.85</v>
      </c>
      <c r="W123" s="16" t="n">
        <v>0.395</v>
      </c>
      <c r="X123" s="9" t="n">
        <v>150000</v>
      </c>
      <c r="Y123" s="9" t="n">
        <v>150000</v>
      </c>
      <c r="Z123" s="9" t="n">
        <v>150000</v>
      </c>
      <c r="AA123" s="9" t="n">
        <v>150000</v>
      </c>
      <c r="AB123" s="9" t="n">
        <v>150000</v>
      </c>
      <c r="AC123" s="9" t="n">
        <v>150000</v>
      </c>
      <c r="AD123" s="9" t="n">
        <v>150000</v>
      </c>
      <c r="AE123" s="9" t="n">
        <v>150000</v>
      </c>
      <c r="AF123" s="9" t="n">
        <v>150000</v>
      </c>
      <c r="AG123" s="9" t="n">
        <v>150000</v>
      </c>
      <c r="AH123" s="9" t="n">
        <v>150000</v>
      </c>
      <c r="AI123" s="9" t="n">
        <v>150000</v>
      </c>
      <c r="AJ123" s="9" t="n">
        <f aca="false">X123*$V123</f>
        <v>6427500</v>
      </c>
      <c r="AK123" s="9" t="n">
        <f aca="false">Y123*$V123</f>
        <v>6427500</v>
      </c>
      <c r="AL123" s="9" t="n">
        <f aca="false">Z123*$V123</f>
        <v>6427500</v>
      </c>
      <c r="AM123" s="9" t="n">
        <f aca="false">AA123*$V123</f>
        <v>6427500</v>
      </c>
      <c r="AN123" s="9" t="n">
        <f aca="false">AB123*$V123</f>
        <v>6427500</v>
      </c>
      <c r="AO123" s="9" t="n">
        <f aca="false">AC123*$V123</f>
        <v>6427500</v>
      </c>
      <c r="AP123" s="9" t="n">
        <f aca="false">AD123*$V123</f>
        <v>6427500</v>
      </c>
      <c r="AQ123" s="9" t="n">
        <f aca="false">AE123*$V123</f>
        <v>6427500</v>
      </c>
      <c r="AR123" s="9" t="n">
        <f aca="false">AF123*$V123</f>
        <v>6427500</v>
      </c>
      <c r="AS123" s="9" t="n">
        <f aca="false">AG123*$V123</f>
        <v>6427500</v>
      </c>
      <c r="AT123" s="9" t="n">
        <f aca="false">AH123*$V123</f>
        <v>6427500</v>
      </c>
      <c r="AU123" s="9" t="n">
        <f aca="false">AI123*$V123</f>
        <v>6427500</v>
      </c>
      <c r="AV123" s="9" t="n">
        <f aca="false">SUM(X123:AI123)/1000</f>
        <v>1800</v>
      </c>
      <c r="AW123" s="9" t="n">
        <f aca="false">SUM(AJ123:AU123)</f>
        <v>77130000</v>
      </c>
      <c r="AX123" s="9" t="n">
        <f aca="false">IF(D123="INR",AW123/88.24,AW123)/1000000</f>
        <v>0.87409338168631</v>
      </c>
    </row>
    <row r="124" s="2" customFormat="true" ht="16.4" hidden="false" customHeight="false" outlineLevel="0" collapsed="false">
      <c r="A124" s="35" t="s">
        <v>248</v>
      </c>
      <c r="B124" s="9" t="n">
        <v>5</v>
      </c>
      <c r="C124" s="10"/>
      <c r="D124" s="16" t="s">
        <v>50</v>
      </c>
      <c r="E124" s="16" t="s">
        <v>51</v>
      </c>
      <c r="F124" s="16" t="s">
        <v>52</v>
      </c>
      <c r="G124" s="16" t="s">
        <v>65</v>
      </c>
      <c r="H124" s="9" t="s">
        <v>66</v>
      </c>
      <c r="I124" s="16" t="s">
        <v>55</v>
      </c>
      <c r="J124" s="16" t="s">
        <v>56</v>
      </c>
      <c r="K124" s="9"/>
      <c r="L124" s="16" t="s">
        <v>55</v>
      </c>
      <c r="M124" s="16" t="s">
        <v>56</v>
      </c>
      <c r="N124" s="16" t="s">
        <v>67</v>
      </c>
      <c r="O124" s="16" t="s">
        <v>68</v>
      </c>
      <c r="P124" s="9" t="s">
        <v>69</v>
      </c>
      <c r="Q124" s="9" t="s">
        <v>69</v>
      </c>
      <c r="R124" s="9" t="s">
        <v>70</v>
      </c>
      <c r="S124" s="9" t="s">
        <v>71</v>
      </c>
      <c r="T124" s="24" t="s">
        <v>249</v>
      </c>
      <c r="U124" s="16" t="s">
        <v>73</v>
      </c>
      <c r="V124" s="25" t="n">
        <v>9.5</v>
      </c>
      <c r="W124" s="25" t="n">
        <v>0.08</v>
      </c>
      <c r="X124" s="22" t="n">
        <v>600000</v>
      </c>
      <c r="Y124" s="9" t="n">
        <v>600000</v>
      </c>
      <c r="Z124" s="9" t="n">
        <v>600000</v>
      </c>
      <c r="AA124" s="9" t="n">
        <v>600000</v>
      </c>
      <c r="AB124" s="9" t="n">
        <v>600000</v>
      </c>
      <c r="AC124" s="9" t="n">
        <v>600000</v>
      </c>
      <c r="AD124" s="9" t="n">
        <v>600000</v>
      </c>
      <c r="AE124" s="9" t="n">
        <v>600000</v>
      </c>
      <c r="AF124" s="9" t="n">
        <v>600000</v>
      </c>
      <c r="AG124" s="9" t="n">
        <v>600000</v>
      </c>
      <c r="AH124" s="9" t="n">
        <v>600000</v>
      </c>
      <c r="AI124" s="9" t="n">
        <v>600000</v>
      </c>
      <c r="AJ124" s="9" t="n">
        <f aca="false">X124*$V124</f>
        <v>5700000</v>
      </c>
      <c r="AK124" s="9" t="n">
        <f aca="false">Y124*$V124</f>
        <v>5700000</v>
      </c>
      <c r="AL124" s="9" t="n">
        <f aca="false">Z124*$V124</f>
        <v>5700000</v>
      </c>
      <c r="AM124" s="9" t="n">
        <f aca="false">AA124*$V124</f>
        <v>5700000</v>
      </c>
      <c r="AN124" s="9" t="n">
        <f aca="false">AB124*$V124</f>
        <v>5700000</v>
      </c>
      <c r="AO124" s="9" t="n">
        <f aca="false">AC124*$V124</f>
        <v>5700000</v>
      </c>
      <c r="AP124" s="9" t="n">
        <f aca="false">AD124*$V124</f>
        <v>5700000</v>
      </c>
      <c r="AQ124" s="9" t="n">
        <f aca="false">AE124*$V124</f>
        <v>5700000</v>
      </c>
      <c r="AR124" s="9" t="n">
        <f aca="false">AF124*$V124</f>
        <v>5700000</v>
      </c>
      <c r="AS124" s="9" t="n">
        <f aca="false">AG124*$V124</f>
        <v>5700000</v>
      </c>
      <c r="AT124" s="9" t="n">
        <f aca="false">AH124*$V124</f>
        <v>5700000</v>
      </c>
      <c r="AU124" s="9" t="n">
        <f aca="false">AI124*$V124</f>
        <v>5700000</v>
      </c>
      <c r="AV124" s="9" t="n">
        <f aca="false">SUM(X124:AI124)/1000</f>
        <v>7200</v>
      </c>
      <c r="AW124" s="9" t="n">
        <f aca="false">SUM(AJ124:AU124)</f>
        <v>68400000</v>
      </c>
      <c r="AX124" s="9" t="n">
        <f aca="false">IF(D124="INR",AW124/88.24,AW124)/1000000</f>
        <v>0.775158658204896</v>
      </c>
    </row>
    <row r="125" s="11" customFormat="true" ht="14.25" hidden="false" customHeight="false" outlineLevel="0" collapsed="false">
      <c r="A125" s="35"/>
      <c r="B125" s="9" t="n">
        <v>1</v>
      </c>
      <c r="C125" s="15"/>
      <c r="D125" s="15" t="s">
        <v>50</v>
      </c>
      <c r="E125" s="16" t="s">
        <v>51</v>
      </c>
      <c r="F125" s="15" t="s">
        <v>52</v>
      </c>
      <c r="G125" s="16" t="s">
        <v>250</v>
      </c>
      <c r="H125" s="10" t="s">
        <v>251</v>
      </c>
      <c r="I125" s="16" t="s">
        <v>55</v>
      </c>
      <c r="J125" s="16" t="s">
        <v>100</v>
      </c>
      <c r="K125" s="10"/>
      <c r="L125" s="16" t="s">
        <v>55</v>
      </c>
      <c r="M125" s="16" t="s">
        <v>100</v>
      </c>
      <c r="N125" s="15" t="s">
        <v>93</v>
      </c>
      <c r="O125" s="16"/>
      <c r="P125" s="9" t="s">
        <v>59</v>
      </c>
      <c r="Q125" s="10" t="s">
        <v>59</v>
      </c>
      <c r="R125" s="9" t="s">
        <v>60</v>
      </c>
      <c r="S125" s="9" t="s">
        <v>61</v>
      </c>
      <c r="T125" s="10" t="s">
        <v>252</v>
      </c>
      <c r="U125" s="16" t="s">
        <v>63</v>
      </c>
      <c r="V125" s="21" t="n">
        <v>368</v>
      </c>
      <c r="W125" s="10" t="n">
        <v>351</v>
      </c>
      <c r="X125" s="22"/>
      <c r="Y125" s="9"/>
      <c r="Z125" s="9" t="n">
        <v>10000</v>
      </c>
      <c r="AA125" s="9"/>
      <c r="AB125" s="9"/>
      <c r="AC125" s="9" t="n">
        <v>10000</v>
      </c>
      <c r="AD125" s="23"/>
      <c r="AE125" s="9"/>
      <c r="AF125" s="9" t="n">
        <v>10000</v>
      </c>
      <c r="AG125" s="9"/>
      <c r="AH125" s="9"/>
      <c r="AI125" s="9" t="n">
        <v>10000</v>
      </c>
      <c r="AJ125" s="10" t="n">
        <f aca="false">X125*$V125</f>
        <v>0</v>
      </c>
      <c r="AK125" s="10" t="n">
        <f aca="false">Y125*$V125</f>
        <v>0</v>
      </c>
      <c r="AL125" s="10" t="n">
        <v>0</v>
      </c>
      <c r="AM125" s="10" t="n">
        <f aca="false">AA125*$V125</f>
        <v>0</v>
      </c>
      <c r="AN125" s="10" t="n">
        <f aca="false">AB125*$V125</f>
        <v>0</v>
      </c>
      <c r="AO125" s="10" t="n">
        <f aca="false">AC125*$V125</f>
        <v>3680000</v>
      </c>
      <c r="AP125" s="10" t="n">
        <f aca="false">AD125*$V125</f>
        <v>0</v>
      </c>
      <c r="AQ125" s="10" t="n">
        <f aca="false">AE125*$V125</f>
        <v>0</v>
      </c>
      <c r="AR125" s="10" t="n">
        <f aca="false">AF125*$V125</f>
        <v>3680000</v>
      </c>
      <c r="AS125" s="10" t="n">
        <f aca="false">AG125*$V125</f>
        <v>0</v>
      </c>
      <c r="AT125" s="10" t="n">
        <f aca="false">AH125*$V125</f>
        <v>0</v>
      </c>
      <c r="AU125" s="10" t="n">
        <f aca="false">AI125*$V125</f>
        <v>3680000</v>
      </c>
      <c r="AV125" s="10" t="n">
        <f aca="false">SUM(X125:AI125)/1000</f>
        <v>40</v>
      </c>
      <c r="AW125" s="10" t="n">
        <f aca="false">SUM(AJ125:AU125)</f>
        <v>11040000</v>
      </c>
      <c r="AX125" s="10" t="n">
        <f aca="false">IF(D125="INR",AW125/88.24,AW125)/1000000</f>
        <v>0.125113327289211</v>
      </c>
    </row>
    <row r="126" s="2" customFormat="true" ht="16.4" hidden="false" customHeight="false" outlineLevel="0" collapsed="false">
      <c r="A126" s="35" t="s">
        <v>253</v>
      </c>
      <c r="B126" s="9" t="n">
        <v>5</v>
      </c>
      <c r="C126" s="15"/>
      <c r="D126" s="16" t="s">
        <v>50</v>
      </c>
      <c r="E126" s="16" t="s">
        <v>51</v>
      </c>
      <c r="F126" s="16" t="s">
        <v>52</v>
      </c>
      <c r="G126" s="16" t="s">
        <v>254</v>
      </c>
      <c r="H126" s="9" t="s">
        <v>255</v>
      </c>
      <c r="I126" s="16" t="s">
        <v>55</v>
      </c>
      <c r="J126" s="16" t="s">
        <v>256</v>
      </c>
      <c r="K126" s="9"/>
      <c r="L126" s="16" t="s">
        <v>55</v>
      </c>
      <c r="M126" s="16" t="s">
        <v>256</v>
      </c>
      <c r="N126" s="16" t="s">
        <v>67</v>
      </c>
      <c r="O126" s="16" t="s">
        <v>246</v>
      </c>
      <c r="P126" s="9" t="s">
        <v>59</v>
      </c>
      <c r="Q126" s="16" t="s">
        <v>59</v>
      </c>
      <c r="R126" s="9" t="s">
        <v>60</v>
      </c>
      <c r="S126" s="9" t="s">
        <v>61</v>
      </c>
      <c r="T126" s="9" t="s">
        <v>252</v>
      </c>
      <c r="U126" s="16" t="s">
        <v>63</v>
      </c>
      <c r="V126" s="36" t="n">
        <v>354</v>
      </c>
      <c r="W126" s="9" t="n">
        <v>340</v>
      </c>
      <c r="X126" s="22" t="n">
        <v>10000</v>
      </c>
      <c r="Y126" s="9" t="n">
        <v>10000</v>
      </c>
      <c r="Z126" s="9" t="n">
        <v>10000</v>
      </c>
      <c r="AA126" s="9" t="n">
        <v>10000</v>
      </c>
      <c r="AB126" s="9" t="n">
        <v>10000</v>
      </c>
      <c r="AC126" s="9" t="n">
        <v>10000</v>
      </c>
      <c r="AD126" s="23" t="n">
        <v>10000</v>
      </c>
      <c r="AE126" s="9" t="n">
        <v>10000</v>
      </c>
      <c r="AF126" s="9" t="n">
        <v>10000</v>
      </c>
      <c r="AG126" s="9" t="n">
        <v>10000</v>
      </c>
      <c r="AH126" s="9" t="n">
        <v>10000</v>
      </c>
      <c r="AI126" s="9" t="n">
        <v>10000</v>
      </c>
      <c r="AJ126" s="9" t="n">
        <f aca="false">X126*$V126</f>
        <v>3540000</v>
      </c>
      <c r="AK126" s="9" t="n">
        <f aca="false">Y126*$V126</f>
        <v>3540000</v>
      </c>
      <c r="AL126" s="9" t="n">
        <f aca="false">Z126*$V126</f>
        <v>3540000</v>
      </c>
      <c r="AM126" s="9" t="n">
        <f aca="false">AA126*$V126</f>
        <v>3540000</v>
      </c>
      <c r="AN126" s="9" t="n">
        <f aca="false">AB126*$V126</f>
        <v>3540000</v>
      </c>
      <c r="AO126" s="9" t="n">
        <f aca="false">AC126*$V126</f>
        <v>3540000</v>
      </c>
      <c r="AP126" s="9" t="n">
        <f aca="false">AD126*$V126</f>
        <v>3540000</v>
      </c>
      <c r="AQ126" s="9" t="n">
        <f aca="false">AE126*$V126</f>
        <v>3540000</v>
      </c>
      <c r="AR126" s="9" t="n">
        <f aca="false">AF126*$V126</f>
        <v>3540000</v>
      </c>
      <c r="AS126" s="9" t="n">
        <f aca="false">AG126*$V126</f>
        <v>3540000</v>
      </c>
      <c r="AT126" s="9" t="n">
        <f aca="false">AH126*$V126</f>
        <v>3540000</v>
      </c>
      <c r="AU126" s="9" t="n">
        <f aca="false">AI126*$V126</f>
        <v>3540000</v>
      </c>
      <c r="AV126" s="9" t="n">
        <f aca="false">SUM(X126:AI126)/1000</f>
        <v>120</v>
      </c>
      <c r="AW126" s="9" t="n">
        <f aca="false">SUM(AJ126:AU126)</f>
        <v>42480000</v>
      </c>
      <c r="AX126" s="9" t="n">
        <f aca="false">IF(D126="INR",AW126/88.24,AW126)/1000000</f>
        <v>0.481414324569356</v>
      </c>
      <c r="AY126" s="2" t="s">
        <v>101</v>
      </c>
    </row>
    <row r="127" s="2" customFormat="true" ht="16.4" hidden="false" customHeight="false" outlineLevel="0" collapsed="false">
      <c r="A127" s="35" t="s">
        <v>257</v>
      </c>
      <c r="B127" s="9"/>
      <c r="C127" s="15"/>
      <c r="D127" s="16" t="s">
        <v>50</v>
      </c>
      <c r="E127" s="16" t="s">
        <v>51</v>
      </c>
      <c r="F127" s="16" t="s">
        <v>52</v>
      </c>
      <c r="G127" s="16" t="s">
        <v>258</v>
      </c>
      <c r="H127" s="9" t="s">
        <v>259</v>
      </c>
      <c r="I127" s="16" t="s">
        <v>260</v>
      </c>
      <c r="J127" s="16" t="s">
        <v>261</v>
      </c>
      <c r="K127" s="9"/>
      <c r="L127" s="16" t="s">
        <v>260</v>
      </c>
      <c r="M127" s="16" t="s">
        <v>261</v>
      </c>
      <c r="N127" s="16" t="s">
        <v>67</v>
      </c>
      <c r="O127" s="16" t="s">
        <v>58</v>
      </c>
      <c r="P127" s="9" t="s">
        <v>262</v>
      </c>
      <c r="Q127" s="9" t="s">
        <v>262</v>
      </c>
      <c r="R127" s="9" t="s">
        <v>263</v>
      </c>
      <c r="S127" s="9" t="s">
        <v>264</v>
      </c>
      <c r="T127" s="9" t="s">
        <v>265</v>
      </c>
      <c r="U127" s="16" t="s">
        <v>73</v>
      </c>
      <c r="V127" s="36" t="n">
        <v>11.245</v>
      </c>
      <c r="W127" s="9" t="n">
        <v>0</v>
      </c>
      <c r="X127" s="22" t="n">
        <v>300000</v>
      </c>
      <c r="Y127" s="9" t="n">
        <v>300000</v>
      </c>
      <c r="Z127" s="9" t="n">
        <v>300000</v>
      </c>
      <c r="AA127" s="9"/>
      <c r="AB127" s="9"/>
      <c r="AC127" s="9"/>
      <c r="AD127" s="23"/>
      <c r="AE127" s="9"/>
      <c r="AF127" s="9"/>
      <c r="AG127" s="9"/>
      <c r="AH127" s="9"/>
      <c r="AI127" s="9"/>
      <c r="AJ127" s="9" t="n">
        <f aca="false">X127*$V127</f>
        <v>3373500</v>
      </c>
      <c r="AK127" s="9" t="n">
        <f aca="false">Y127*$V127</f>
        <v>3373500</v>
      </c>
      <c r="AL127" s="9" t="n">
        <f aca="false">Z127*$V127</f>
        <v>3373500</v>
      </c>
      <c r="AM127" s="9" t="n">
        <f aca="false">AA127*$V127</f>
        <v>0</v>
      </c>
      <c r="AN127" s="9" t="n">
        <f aca="false">AB127*$V127</f>
        <v>0</v>
      </c>
      <c r="AO127" s="9" t="n">
        <f aca="false">AC127*$V127</f>
        <v>0</v>
      </c>
      <c r="AP127" s="9" t="n">
        <f aca="false">AD127*$V127</f>
        <v>0</v>
      </c>
      <c r="AQ127" s="9" t="n">
        <f aca="false">AE127*$V127</f>
        <v>0</v>
      </c>
      <c r="AR127" s="9" t="n">
        <f aca="false">AF127*$V127</f>
        <v>0</v>
      </c>
      <c r="AS127" s="9" t="n">
        <f aca="false">AG127*$V127</f>
        <v>0</v>
      </c>
      <c r="AT127" s="9" t="n">
        <f aca="false">AH127*$V127</f>
        <v>0</v>
      </c>
      <c r="AU127" s="9" t="n">
        <f aca="false">AI127*$V127</f>
        <v>0</v>
      </c>
      <c r="AV127" s="9" t="n">
        <f aca="false">SUM(X127:AI127)/1000</f>
        <v>900</v>
      </c>
      <c r="AW127" s="9" t="n">
        <f aca="false">SUM(AJ127:AU127)</f>
        <v>10120500</v>
      </c>
      <c r="AX127" s="9" t="n">
        <f aca="false">IF(D127="INR",AW127/88.24,AW127)/1000000</f>
        <v>0.114692883046238</v>
      </c>
    </row>
    <row r="128" s="2" customFormat="true" ht="14.25" hidden="false" customHeight="false" outlineLevel="0" collapsed="false">
      <c r="A128" s="12" t="s">
        <v>266</v>
      </c>
      <c r="B128" s="16" t="n">
        <v>5</v>
      </c>
      <c r="C128" s="15"/>
      <c r="D128" s="16" t="s">
        <v>102</v>
      </c>
      <c r="E128" s="16" t="s">
        <v>51</v>
      </c>
      <c r="F128" s="16" t="s">
        <v>267</v>
      </c>
      <c r="G128" s="16" t="s">
        <v>268</v>
      </c>
      <c r="H128" s="9" t="s">
        <v>269</v>
      </c>
      <c r="I128" s="16" t="s">
        <v>105</v>
      </c>
      <c r="J128" s="16" t="s">
        <v>270</v>
      </c>
      <c r="K128" s="9" t="s">
        <v>269</v>
      </c>
      <c r="L128" s="16" t="s">
        <v>105</v>
      </c>
      <c r="M128" s="16" t="s">
        <v>270</v>
      </c>
      <c r="N128" s="16" t="s">
        <v>271</v>
      </c>
      <c r="O128" s="16" t="s">
        <v>94</v>
      </c>
      <c r="P128" s="16" t="s">
        <v>110</v>
      </c>
      <c r="Q128" s="16" t="s">
        <v>110</v>
      </c>
      <c r="R128" s="16" t="s">
        <v>137</v>
      </c>
      <c r="S128" s="16" t="s">
        <v>272</v>
      </c>
      <c r="T128" s="16" t="s">
        <v>121</v>
      </c>
      <c r="U128" s="16" t="s">
        <v>73</v>
      </c>
      <c r="V128" s="16" t="n">
        <v>4.4</v>
      </c>
      <c r="W128" s="16" t="n">
        <v>3.97</v>
      </c>
      <c r="X128" s="16"/>
      <c r="Y128" s="16"/>
      <c r="Z128" s="16" t="n">
        <v>60000</v>
      </c>
      <c r="AA128" s="16"/>
      <c r="AB128" s="16"/>
      <c r="AC128" s="16" t="n">
        <v>60000</v>
      </c>
      <c r="AD128" s="16"/>
      <c r="AE128" s="16"/>
      <c r="AF128" s="16" t="n">
        <v>60000</v>
      </c>
      <c r="AG128" s="16"/>
      <c r="AH128" s="16"/>
      <c r="AI128" s="16" t="n">
        <v>60000</v>
      </c>
      <c r="AJ128" s="9" t="n">
        <f aca="false">X128*$V128</f>
        <v>0</v>
      </c>
      <c r="AK128" s="9" t="n">
        <f aca="false">Y128*$V128</f>
        <v>0</v>
      </c>
      <c r="AL128" s="9" t="n">
        <f aca="false">Z128*$V128</f>
        <v>264000</v>
      </c>
      <c r="AM128" s="9" t="n">
        <f aca="false">AA128*$V128</f>
        <v>0</v>
      </c>
      <c r="AN128" s="9" t="n">
        <f aca="false">AB128*$V128</f>
        <v>0</v>
      </c>
      <c r="AO128" s="9" t="n">
        <f aca="false">AC128*$V128</f>
        <v>264000</v>
      </c>
      <c r="AP128" s="9" t="n">
        <f aca="false">AD128*$V128</f>
        <v>0</v>
      </c>
      <c r="AQ128" s="9" t="n">
        <f aca="false">AE128*$V128</f>
        <v>0</v>
      </c>
      <c r="AR128" s="9" t="n">
        <f aca="false">AF128*$V128</f>
        <v>264000</v>
      </c>
      <c r="AS128" s="9" t="n">
        <f aca="false">AG128*$V128</f>
        <v>0</v>
      </c>
      <c r="AT128" s="9" t="n">
        <f aca="false">AH128*$V128</f>
        <v>0</v>
      </c>
      <c r="AU128" s="9" t="n">
        <f aca="false">AI128*$V128</f>
        <v>264000</v>
      </c>
      <c r="AV128" s="9" t="n">
        <f aca="false">SUM(X128:AI128)/1000</f>
        <v>240</v>
      </c>
      <c r="AW128" s="9" t="n">
        <f aca="false">SUM(AJ128:AU128)</f>
        <v>1056000</v>
      </c>
      <c r="AX128" s="9" t="n">
        <f aca="false">IF(D128="INR",AW128/88.24,AW128)/1000000</f>
        <v>1.056</v>
      </c>
    </row>
    <row r="129" s="2" customFormat="true" ht="14.25" hidden="false" customHeight="false" outlineLevel="0" collapsed="false">
      <c r="A129" s="35"/>
      <c r="B129" s="9" t="n">
        <v>1</v>
      </c>
      <c r="C129" s="15"/>
      <c r="D129" s="16" t="s">
        <v>50</v>
      </c>
      <c r="E129" s="16" t="s">
        <v>51</v>
      </c>
      <c r="F129" s="16" t="s">
        <v>97</v>
      </c>
      <c r="G129" s="16" t="s">
        <v>98</v>
      </c>
      <c r="H129" s="9" t="s">
        <v>99</v>
      </c>
      <c r="I129" s="16" t="s">
        <v>55</v>
      </c>
      <c r="J129" s="16" t="s">
        <v>100</v>
      </c>
      <c r="K129" s="9"/>
      <c r="L129" s="16" t="s">
        <v>55</v>
      </c>
      <c r="M129" s="16" t="s">
        <v>100</v>
      </c>
      <c r="N129" s="16" t="s">
        <v>79</v>
      </c>
      <c r="O129" s="16" t="s">
        <v>94</v>
      </c>
      <c r="P129" s="9" t="s">
        <v>59</v>
      </c>
      <c r="Q129" s="9" t="s">
        <v>59</v>
      </c>
      <c r="R129" s="9" t="s">
        <v>60</v>
      </c>
      <c r="S129" s="9" t="s">
        <v>61</v>
      </c>
      <c r="T129" s="9" t="s">
        <v>62</v>
      </c>
      <c r="U129" s="16" t="s">
        <v>63</v>
      </c>
      <c r="V129" s="36" t="n">
        <v>168</v>
      </c>
      <c r="W129" s="9" t="n">
        <v>159.51</v>
      </c>
      <c r="X129" s="22" t="n">
        <v>20000</v>
      </c>
      <c r="Y129" s="9" t="n">
        <v>20000</v>
      </c>
      <c r="Z129" s="9" t="n">
        <v>20000</v>
      </c>
      <c r="AA129" s="9" t="n">
        <v>20000</v>
      </c>
      <c r="AB129" s="9" t="n">
        <v>20000</v>
      </c>
      <c r="AC129" s="9" t="n">
        <v>20000</v>
      </c>
      <c r="AD129" s="23" t="n">
        <v>20000</v>
      </c>
      <c r="AE129" s="9" t="n">
        <v>20000</v>
      </c>
      <c r="AF129" s="9" t="n">
        <v>20000</v>
      </c>
      <c r="AG129" s="9" t="n">
        <v>20000</v>
      </c>
      <c r="AH129" s="9" t="n">
        <v>20000</v>
      </c>
      <c r="AI129" s="9" t="n">
        <v>20000</v>
      </c>
      <c r="AJ129" s="9" t="n">
        <f aca="false">X129*$V129</f>
        <v>3360000</v>
      </c>
      <c r="AK129" s="9" t="n">
        <f aca="false">Y129*$V129</f>
        <v>3360000</v>
      </c>
      <c r="AL129" s="9" t="n">
        <f aca="false">Z129*$V129</f>
        <v>3360000</v>
      </c>
      <c r="AM129" s="9" t="n">
        <f aca="false">AA129*$V129</f>
        <v>3360000</v>
      </c>
      <c r="AN129" s="9" t="n">
        <f aca="false">AB129*$V129</f>
        <v>3360000</v>
      </c>
      <c r="AO129" s="9" t="n">
        <f aca="false">AC129*$V129</f>
        <v>3360000</v>
      </c>
      <c r="AP129" s="9" t="n">
        <f aca="false">AD129*$V129</f>
        <v>3360000</v>
      </c>
      <c r="AQ129" s="9" t="n">
        <f aca="false">AE129*$V129</f>
        <v>3360000</v>
      </c>
      <c r="AR129" s="9" t="n">
        <f aca="false">AF129*$V129</f>
        <v>3360000</v>
      </c>
      <c r="AS129" s="9" t="n">
        <f aca="false">AG129*$V129</f>
        <v>3360000</v>
      </c>
      <c r="AT129" s="9" t="n">
        <f aca="false">AH129*$V129</f>
        <v>3360000</v>
      </c>
      <c r="AU129" s="9" t="n">
        <f aca="false">AI129*$V129</f>
        <v>3360000</v>
      </c>
      <c r="AV129" s="9" t="n">
        <f aca="false">SUM(X129:AI129)/1000</f>
        <v>240</v>
      </c>
      <c r="AW129" s="9" t="n">
        <f aca="false">SUM(AJ129:AU129)</f>
        <v>40320000</v>
      </c>
      <c r="AX129" s="9" t="n">
        <f aca="false">IF(D129="INR",AW129/88.24,AW129)/1000000</f>
        <v>0.456935630099728</v>
      </c>
      <c r="AY129" s="2" t="s">
        <v>101</v>
      </c>
    </row>
    <row r="130" s="2" customFormat="true" ht="16.4" hidden="false" customHeight="false" outlineLevel="0" collapsed="false">
      <c r="A130" s="35" t="s">
        <v>273</v>
      </c>
      <c r="B130" s="9" t="n">
        <v>5</v>
      </c>
      <c r="C130" s="15"/>
      <c r="D130" s="16" t="s">
        <v>50</v>
      </c>
      <c r="E130" s="16" t="s">
        <v>51</v>
      </c>
      <c r="F130" s="16" t="s">
        <v>52</v>
      </c>
      <c r="G130" s="16" t="s">
        <v>274</v>
      </c>
      <c r="H130" s="9" t="s">
        <v>275</v>
      </c>
      <c r="I130" s="16" t="s">
        <v>260</v>
      </c>
      <c r="J130" s="16" t="s">
        <v>276</v>
      </c>
      <c r="K130" s="9"/>
      <c r="L130" s="16" t="s">
        <v>260</v>
      </c>
      <c r="M130" s="16" t="s">
        <v>276</v>
      </c>
      <c r="N130" s="16" t="s">
        <v>79</v>
      </c>
      <c r="O130" s="16" t="s">
        <v>68</v>
      </c>
      <c r="P130" s="9" t="s">
        <v>80</v>
      </c>
      <c r="Q130" s="9" t="s">
        <v>80</v>
      </c>
      <c r="R130" s="9" t="s">
        <v>81</v>
      </c>
      <c r="S130" s="9" t="s">
        <v>82</v>
      </c>
      <c r="T130" s="9" t="s">
        <v>277</v>
      </c>
      <c r="U130" s="16" t="s">
        <v>73</v>
      </c>
      <c r="V130" s="36" t="n">
        <v>29.46</v>
      </c>
      <c r="W130" s="9" t="n">
        <v>27.38919</v>
      </c>
      <c r="X130" s="22" t="n">
        <v>100000</v>
      </c>
      <c r="Y130" s="9" t="n">
        <v>100000</v>
      </c>
      <c r="Z130" s="9" t="n">
        <v>100000</v>
      </c>
      <c r="AA130" s="9" t="n">
        <v>100000</v>
      </c>
      <c r="AB130" s="9" t="n">
        <v>100000</v>
      </c>
      <c r="AC130" s="9" t="n">
        <v>100000</v>
      </c>
      <c r="AD130" s="23" t="n">
        <v>100000</v>
      </c>
      <c r="AE130" s="9" t="n">
        <v>100000</v>
      </c>
      <c r="AF130" s="9" t="n">
        <v>100000</v>
      </c>
      <c r="AG130" s="9" t="n">
        <v>100000</v>
      </c>
      <c r="AH130" s="9" t="n">
        <v>100000</v>
      </c>
      <c r="AI130" s="9" t="n">
        <v>100000</v>
      </c>
      <c r="AJ130" s="9" t="n">
        <f aca="false">X130*$V130</f>
        <v>2946000</v>
      </c>
      <c r="AK130" s="9" t="n">
        <f aca="false">Y130*$V130</f>
        <v>2946000</v>
      </c>
      <c r="AL130" s="9" t="n">
        <f aca="false">Z130*$V130</f>
        <v>2946000</v>
      </c>
      <c r="AM130" s="9" t="n">
        <f aca="false">AA130*$V130</f>
        <v>2946000</v>
      </c>
      <c r="AN130" s="9" t="n">
        <f aca="false">AB130*$V130</f>
        <v>2946000</v>
      </c>
      <c r="AO130" s="9" t="n">
        <f aca="false">AC130*$V130</f>
        <v>2946000</v>
      </c>
      <c r="AP130" s="9" t="n">
        <f aca="false">AD130*$V130</f>
        <v>2946000</v>
      </c>
      <c r="AQ130" s="9" t="n">
        <f aca="false">AE130*$V130</f>
        <v>2946000</v>
      </c>
      <c r="AR130" s="9" t="n">
        <f aca="false">AF130*$V130</f>
        <v>2946000</v>
      </c>
      <c r="AS130" s="9" t="n">
        <f aca="false">AG130*$V130</f>
        <v>2946000</v>
      </c>
      <c r="AT130" s="9" t="n">
        <f aca="false">AH130*$V130</f>
        <v>2946000</v>
      </c>
      <c r="AU130" s="9" t="n">
        <f aca="false">AI130*$V130</f>
        <v>2946000</v>
      </c>
      <c r="AV130" s="9" t="n">
        <f aca="false">SUM(X130:AI130)/1000</f>
        <v>1200</v>
      </c>
      <c r="AW130" s="9" t="n">
        <f aca="false">SUM(AJ130:AU130)</f>
        <v>35352000</v>
      </c>
      <c r="AX130" s="9" t="n">
        <f aca="false">IF(D130="INR",AW130/88.24,AW130)/1000000</f>
        <v>0.400634632819583</v>
      </c>
    </row>
    <row r="131" s="2" customFormat="true" ht="16.4" hidden="false" customHeight="false" outlineLevel="0" collapsed="false">
      <c r="A131" s="35" t="s">
        <v>278</v>
      </c>
      <c r="B131" s="9" t="n">
        <v>5</v>
      </c>
      <c r="C131" s="15"/>
      <c r="D131" s="16" t="s">
        <v>50</v>
      </c>
      <c r="E131" s="16" t="s">
        <v>51</v>
      </c>
      <c r="F131" s="16" t="s">
        <v>243</v>
      </c>
      <c r="G131" s="16" t="s">
        <v>244</v>
      </c>
      <c r="H131" s="9" t="s">
        <v>245</v>
      </c>
      <c r="I131" s="16" t="s">
        <v>55</v>
      </c>
      <c r="J131" s="16" t="s">
        <v>56</v>
      </c>
      <c r="K131" s="9"/>
      <c r="L131" s="16" t="s">
        <v>55</v>
      </c>
      <c r="M131" s="16" t="s">
        <v>56</v>
      </c>
      <c r="N131" s="16" t="s">
        <v>93</v>
      </c>
      <c r="O131" s="16" t="s">
        <v>246</v>
      </c>
      <c r="P131" s="9" t="s">
        <v>69</v>
      </c>
      <c r="Q131" s="9" t="s">
        <v>69</v>
      </c>
      <c r="R131" s="9" t="s">
        <v>70</v>
      </c>
      <c r="S131" s="9" t="s">
        <v>71</v>
      </c>
      <c r="T131" s="9" t="s">
        <v>279</v>
      </c>
      <c r="U131" s="16" t="s">
        <v>73</v>
      </c>
      <c r="V131" s="36" t="n">
        <v>290</v>
      </c>
      <c r="W131" s="9" t="n">
        <v>2.36</v>
      </c>
      <c r="X131" s="22" t="n">
        <v>10000</v>
      </c>
      <c r="Y131" s="9" t="n">
        <v>10000</v>
      </c>
      <c r="Z131" s="9" t="n">
        <v>10000</v>
      </c>
      <c r="AA131" s="9" t="n">
        <v>5000</v>
      </c>
      <c r="AB131" s="9" t="n">
        <v>5000</v>
      </c>
      <c r="AC131" s="9" t="n">
        <v>5000</v>
      </c>
      <c r="AD131" s="23" t="n">
        <v>5000</v>
      </c>
      <c r="AE131" s="9" t="n">
        <v>5000</v>
      </c>
      <c r="AF131" s="9" t="n">
        <v>5000</v>
      </c>
      <c r="AG131" s="9" t="n">
        <v>5000</v>
      </c>
      <c r="AH131" s="9" t="n">
        <v>5000</v>
      </c>
      <c r="AI131" s="9" t="n">
        <v>5000</v>
      </c>
      <c r="AJ131" s="9" t="n">
        <f aca="false">X131*$V131</f>
        <v>2900000</v>
      </c>
      <c r="AK131" s="9" t="n">
        <f aca="false">Y131*$V131</f>
        <v>2900000</v>
      </c>
      <c r="AL131" s="9" t="n">
        <f aca="false">Z131*$V131</f>
        <v>2900000</v>
      </c>
      <c r="AM131" s="9" t="n">
        <f aca="false">AA131*$V131</f>
        <v>1450000</v>
      </c>
      <c r="AN131" s="9" t="n">
        <f aca="false">AB131*$V131</f>
        <v>1450000</v>
      </c>
      <c r="AO131" s="9" t="n">
        <f aca="false">AC131*$V131</f>
        <v>1450000</v>
      </c>
      <c r="AP131" s="9" t="n">
        <f aca="false">AD131*$V131</f>
        <v>1450000</v>
      </c>
      <c r="AQ131" s="9" t="n">
        <f aca="false">AE131*$V131</f>
        <v>1450000</v>
      </c>
      <c r="AR131" s="9" t="n">
        <f aca="false">AF131*$V131</f>
        <v>1450000</v>
      </c>
      <c r="AS131" s="9" t="n">
        <f aca="false">AG131*$V131</f>
        <v>1450000</v>
      </c>
      <c r="AT131" s="9" t="n">
        <f aca="false">AH131*$V131</f>
        <v>1450000</v>
      </c>
      <c r="AU131" s="9" t="n">
        <f aca="false">AI131*$V131</f>
        <v>1450000</v>
      </c>
      <c r="AV131" s="9" t="n">
        <f aca="false">SUM(X131:AI131)/1000</f>
        <v>75</v>
      </c>
      <c r="AW131" s="9" t="n">
        <f aca="false">SUM(AJ131:AU131)</f>
        <v>21750000</v>
      </c>
      <c r="AX131" s="9" t="n">
        <f aca="false">IF(D131="INR",AW131/88.24,AW131)/1000000</f>
        <v>0.246486854034452</v>
      </c>
    </row>
    <row r="132" s="2" customFormat="true" ht="16.4" hidden="false" customHeight="false" outlineLevel="0" collapsed="false">
      <c r="A132" s="35" t="s">
        <v>280</v>
      </c>
      <c r="B132" s="9"/>
      <c r="C132" s="10" t="n">
        <v>5</v>
      </c>
      <c r="D132" s="16" t="s">
        <v>50</v>
      </c>
      <c r="E132" s="16" t="s">
        <v>51</v>
      </c>
      <c r="F132" s="16" t="s">
        <v>52</v>
      </c>
      <c r="G132" s="16" t="s">
        <v>75</v>
      </c>
      <c r="H132" s="9" t="s">
        <v>76</v>
      </c>
      <c r="I132" s="16" t="s">
        <v>77</v>
      </c>
      <c r="J132" s="16" t="s">
        <v>78</v>
      </c>
      <c r="K132" s="9"/>
      <c r="L132" s="16" t="s">
        <v>77</v>
      </c>
      <c r="M132" s="16" t="s">
        <v>78</v>
      </c>
      <c r="N132" s="16" t="s">
        <v>79</v>
      </c>
      <c r="O132" s="16" t="s">
        <v>68</v>
      </c>
      <c r="P132" s="9" t="s">
        <v>80</v>
      </c>
      <c r="Q132" s="9" t="s">
        <v>80</v>
      </c>
      <c r="R132" s="9" t="s">
        <v>81</v>
      </c>
      <c r="S132" s="9" t="s">
        <v>82</v>
      </c>
      <c r="T132" s="24" t="s">
        <v>281</v>
      </c>
      <c r="U132" s="16" t="s">
        <v>73</v>
      </c>
      <c r="V132" s="25" t="n">
        <v>957.03</v>
      </c>
      <c r="W132" s="25" t="n">
        <v>868.1499</v>
      </c>
      <c r="X132" s="22" t="n">
        <v>5040</v>
      </c>
      <c r="Y132" s="9" t="n">
        <v>4230</v>
      </c>
      <c r="Z132" s="9" t="n">
        <v>2880</v>
      </c>
      <c r="AA132" s="9" t="n">
        <v>5040</v>
      </c>
      <c r="AB132" s="9" t="n">
        <v>4320</v>
      </c>
      <c r="AC132" s="9" t="n">
        <v>3600</v>
      </c>
      <c r="AD132" s="9" t="n">
        <v>3600</v>
      </c>
      <c r="AE132" s="9" t="n">
        <v>3600</v>
      </c>
      <c r="AF132" s="9" t="n">
        <v>5040</v>
      </c>
      <c r="AG132" s="9" t="n">
        <v>4230</v>
      </c>
      <c r="AH132" s="9" t="n">
        <v>2880</v>
      </c>
      <c r="AI132" s="9" t="n">
        <v>5040</v>
      </c>
      <c r="AJ132" s="9" t="n">
        <f aca="false">X132*$V132</f>
        <v>4823431.2</v>
      </c>
      <c r="AK132" s="9" t="n">
        <f aca="false">Y132*$V132</f>
        <v>4048236.9</v>
      </c>
      <c r="AL132" s="9" t="n">
        <f aca="false">Z132*$V132</f>
        <v>2756246.4</v>
      </c>
      <c r="AM132" s="9" t="n">
        <f aca="false">AA132*$V132</f>
        <v>4823431.2</v>
      </c>
      <c r="AN132" s="9" t="n">
        <f aca="false">AB132*$V132</f>
        <v>4134369.6</v>
      </c>
      <c r="AO132" s="9" t="n">
        <f aca="false">AC132*$V132</f>
        <v>3445308</v>
      </c>
      <c r="AP132" s="9" t="n">
        <f aca="false">AD132*$V132</f>
        <v>3445308</v>
      </c>
      <c r="AQ132" s="9" t="n">
        <f aca="false">AE132*$V132</f>
        <v>3445308</v>
      </c>
      <c r="AR132" s="9" t="n">
        <f aca="false">AF132*$V132</f>
        <v>4823431.2</v>
      </c>
      <c r="AS132" s="9" t="n">
        <f aca="false">AG132*$V132</f>
        <v>4048236.9</v>
      </c>
      <c r="AT132" s="9" t="n">
        <f aca="false">AH132*$V132</f>
        <v>2756246.4</v>
      </c>
      <c r="AU132" s="9" t="n">
        <f aca="false">AI132*$V132</f>
        <v>4823431.2</v>
      </c>
      <c r="AV132" s="9" t="n">
        <f aca="false">SUM(X132:AI132)/1000</f>
        <v>49.5</v>
      </c>
      <c r="AW132" s="9" t="n">
        <f aca="false">SUM(AJ132:AU132)</f>
        <v>47372985</v>
      </c>
      <c r="AX132" s="9" t="n">
        <f aca="false">IF(D132="INR",AW132/88.24,AW132)/1000000</f>
        <v>0.536865197189483</v>
      </c>
    </row>
    <row r="133" s="2" customFormat="true" ht="16.4" hidden="false" customHeight="false" outlineLevel="0" collapsed="false">
      <c r="A133" s="35" t="s">
        <v>282</v>
      </c>
      <c r="B133" s="9" t="n">
        <v>5</v>
      </c>
      <c r="C133" s="15"/>
      <c r="D133" s="16" t="s">
        <v>50</v>
      </c>
      <c r="E133" s="16" t="s">
        <v>51</v>
      </c>
      <c r="F133" s="16" t="s">
        <v>52</v>
      </c>
      <c r="G133" s="16" t="s">
        <v>65</v>
      </c>
      <c r="H133" s="9" t="s">
        <v>66</v>
      </c>
      <c r="I133" s="16" t="s">
        <v>55</v>
      </c>
      <c r="J133" s="16" t="s">
        <v>56</v>
      </c>
      <c r="K133" s="9"/>
      <c r="L133" s="16" t="s">
        <v>55</v>
      </c>
      <c r="M133" s="16" t="s">
        <v>56</v>
      </c>
      <c r="N133" s="16" t="s">
        <v>67</v>
      </c>
      <c r="O133" s="16" t="s">
        <v>58</v>
      </c>
      <c r="P133" s="9" t="s">
        <v>283</v>
      </c>
      <c r="Q133" s="9" t="s">
        <v>283</v>
      </c>
      <c r="R133" s="9" t="s">
        <v>81</v>
      </c>
      <c r="S133" s="9"/>
      <c r="T133" s="9" t="s">
        <v>284</v>
      </c>
      <c r="U133" s="16" t="s">
        <v>73</v>
      </c>
      <c r="V133" s="36" t="n">
        <v>3.9</v>
      </c>
      <c r="W133" s="9" t="n">
        <v>0</v>
      </c>
      <c r="X133" s="22" t="n">
        <v>600000</v>
      </c>
      <c r="Y133" s="9" t="n">
        <v>600000</v>
      </c>
      <c r="Z133" s="9" t="n">
        <v>600000</v>
      </c>
      <c r="AA133" s="9" t="n">
        <v>600000</v>
      </c>
      <c r="AB133" s="9" t="n">
        <v>600000</v>
      </c>
      <c r="AC133" s="9" t="n">
        <v>600000</v>
      </c>
      <c r="AD133" s="23" t="n">
        <v>600000</v>
      </c>
      <c r="AE133" s="9" t="n">
        <v>600000</v>
      </c>
      <c r="AF133" s="9" t="n">
        <v>600000</v>
      </c>
      <c r="AG133" s="9" t="n">
        <v>600000</v>
      </c>
      <c r="AH133" s="9" t="n">
        <v>600000</v>
      </c>
      <c r="AI133" s="9" t="n">
        <v>600000</v>
      </c>
      <c r="AJ133" s="9" t="n">
        <f aca="false">X133*$V133</f>
        <v>2340000</v>
      </c>
      <c r="AK133" s="9" t="n">
        <f aca="false">Y133*$V133</f>
        <v>2340000</v>
      </c>
      <c r="AL133" s="9" t="n">
        <f aca="false">Z133*$V133</f>
        <v>2340000</v>
      </c>
      <c r="AM133" s="9" t="n">
        <f aca="false">AA133*$V133</f>
        <v>2340000</v>
      </c>
      <c r="AN133" s="9" t="n">
        <f aca="false">AB133*$V133</f>
        <v>2340000</v>
      </c>
      <c r="AO133" s="9" t="n">
        <f aca="false">AC133*$V133</f>
        <v>2340000</v>
      </c>
      <c r="AP133" s="9" t="n">
        <f aca="false">AD133*$V133</f>
        <v>2340000</v>
      </c>
      <c r="AQ133" s="9" t="n">
        <f aca="false">AE133*$V133</f>
        <v>2340000</v>
      </c>
      <c r="AR133" s="9" t="n">
        <f aca="false">AF133*$V133</f>
        <v>2340000</v>
      </c>
      <c r="AS133" s="9" t="n">
        <f aca="false">AG133*$V133</f>
        <v>2340000</v>
      </c>
      <c r="AT133" s="9" t="n">
        <f aca="false">AH133*$V133</f>
        <v>2340000</v>
      </c>
      <c r="AU133" s="9" t="n">
        <f aca="false">AI133*$V133</f>
        <v>2340000</v>
      </c>
      <c r="AV133" s="9" t="n">
        <f aca="false">SUM(X133:AI133)/1000</f>
        <v>7200</v>
      </c>
      <c r="AW133" s="9" t="n">
        <f aca="false">SUM(AJ133:AU133)</f>
        <v>28080000</v>
      </c>
      <c r="AX133" s="9" t="n">
        <f aca="false">IF(D133="INR",AW133/88.24,AW133)/1000000</f>
        <v>0.318223028105168</v>
      </c>
    </row>
    <row r="134" s="2" customFormat="true" ht="16.4" hidden="false" customHeight="false" outlineLevel="0" collapsed="false">
      <c r="A134" s="35" t="s">
        <v>285</v>
      </c>
      <c r="B134" s="9" t="n">
        <v>5</v>
      </c>
      <c r="C134" s="15"/>
      <c r="D134" s="16" t="s">
        <v>50</v>
      </c>
      <c r="E134" s="16" t="s">
        <v>51</v>
      </c>
      <c r="F134" s="16" t="s">
        <v>52</v>
      </c>
      <c r="G134" s="16" t="s">
        <v>65</v>
      </c>
      <c r="H134" s="9" t="s">
        <v>66</v>
      </c>
      <c r="I134" s="16" t="s">
        <v>55</v>
      </c>
      <c r="J134" s="16" t="s">
        <v>56</v>
      </c>
      <c r="K134" s="9"/>
      <c r="L134" s="16" t="s">
        <v>55</v>
      </c>
      <c r="M134" s="16" t="s">
        <v>56</v>
      </c>
      <c r="N134" s="16" t="s">
        <v>67</v>
      </c>
      <c r="O134" s="16" t="s">
        <v>68</v>
      </c>
      <c r="P134" s="9" t="s">
        <v>69</v>
      </c>
      <c r="Q134" s="9" t="s">
        <v>69</v>
      </c>
      <c r="R134" s="9" t="s">
        <v>70</v>
      </c>
      <c r="S134" s="9" t="s">
        <v>71</v>
      </c>
      <c r="T134" s="9" t="s">
        <v>247</v>
      </c>
      <c r="U134" s="16" t="s">
        <v>73</v>
      </c>
      <c r="V134" s="36" t="n">
        <v>43.5</v>
      </c>
      <c r="W134" s="9" t="n">
        <v>0.395</v>
      </c>
      <c r="X134" s="22" t="n">
        <v>50000</v>
      </c>
      <c r="Y134" s="9" t="n">
        <v>50000</v>
      </c>
      <c r="Z134" s="9" t="n">
        <v>50000</v>
      </c>
      <c r="AA134" s="9" t="n">
        <v>50000</v>
      </c>
      <c r="AB134" s="9" t="n">
        <v>50000</v>
      </c>
      <c r="AC134" s="9" t="n">
        <v>50000</v>
      </c>
      <c r="AD134" s="23" t="n">
        <v>50000</v>
      </c>
      <c r="AE134" s="9" t="n">
        <v>50000</v>
      </c>
      <c r="AF134" s="9" t="n">
        <v>50000</v>
      </c>
      <c r="AG134" s="9" t="n">
        <v>50000</v>
      </c>
      <c r="AH134" s="9" t="n">
        <v>50000</v>
      </c>
      <c r="AI134" s="9" t="n">
        <v>50000</v>
      </c>
      <c r="AJ134" s="9" t="n">
        <f aca="false">X134*$V134</f>
        <v>2175000</v>
      </c>
      <c r="AK134" s="9" t="n">
        <f aca="false">Y134*$V134</f>
        <v>2175000</v>
      </c>
      <c r="AL134" s="9" t="n">
        <f aca="false">Z134*$V134</f>
        <v>2175000</v>
      </c>
      <c r="AM134" s="9" t="n">
        <f aca="false">AA134*$V134</f>
        <v>2175000</v>
      </c>
      <c r="AN134" s="9" t="n">
        <f aca="false">AB134*$V134</f>
        <v>2175000</v>
      </c>
      <c r="AO134" s="9" t="n">
        <f aca="false">AC134*$V134</f>
        <v>2175000</v>
      </c>
      <c r="AP134" s="9" t="n">
        <f aca="false">AD134*$V134</f>
        <v>2175000</v>
      </c>
      <c r="AQ134" s="9" t="n">
        <f aca="false">AE134*$V134</f>
        <v>2175000</v>
      </c>
      <c r="AR134" s="9" t="n">
        <f aca="false">AF134*$V134</f>
        <v>2175000</v>
      </c>
      <c r="AS134" s="9" t="n">
        <f aca="false">AG134*$V134</f>
        <v>2175000</v>
      </c>
      <c r="AT134" s="9" t="n">
        <f aca="false">AH134*$V134</f>
        <v>2175000</v>
      </c>
      <c r="AU134" s="9" t="n">
        <f aca="false">AI134*$V134</f>
        <v>2175000</v>
      </c>
      <c r="AV134" s="9" t="n">
        <f aca="false">SUM(X134:AI134)/1000</f>
        <v>600</v>
      </c>
      <c r="AW134" s="9" t="n">
        <f aca="false">SUM(AJ134:AU134)</f>
        <v>26100000</v>
      </c>
      <c r="AX134" s="9" t="n">
        <f aca="false">IF(D134="INR",AW134/88.24,AW134)/1000000</f>
        <v>0.295784224841342</v>
      </c>
    </row>
    <row r="135" s="2" customFormat="true" ht="16.4" hidden="false" customHeight="false" outlineLevel="0" collapsed="false">
      <c r="A135" s="35" t="s">
        <v>286</v>
      </c>
      <c r="B135" s="9"/>
      <c r="C135" s="15" t="n">
        <v>5</v>
      </c>
      <c r="D135" s="16" t="s">
        <v>50</v>
      </c>
      <c r="E135" s="16" t="s">
        <v>51</v>
      </c>
      <c r="F135" s="16" t="s">
        <v>52</v>
      </c>
      <c r="G135" s="16" t="s">
        <v>287</v>
      </c>
      <c r="H135" s="9" t="s">
        <v>288</v>
      </c>
      <c r="I135" s="16" t="s">
        <v>260</v>
      </c>
      <c r="J135" s="16" t="s">
        <v>289</v>
      </c>
      <c r="K135" s="9"/>
      <c r="L135" s="16" t="s">
        <v>260</v>
      </c>
      <c r="M135" s="16" t="s">
        <v>289</v>
      </c>
      <c r="N135" s="16" t="s">
        <v>290</v>
      </c>
      <c r="O135" s="16" t="s">
        <v>94</v>
      </c>
      <c r="P135" s="9" t="s">
        <v>80</v>
      </c>
      <c r="Q135" s="9" t="s">
        <v>80</v>
      </c>
      <c r="R135" s="9" t="s">
        <v>81</v>
      </c>
      <c r="S135" s="9" t="s">
        <v>82</v>
      </c>
      <c r="T135" s="9" t="s">
        <v>277</v>
      </c>
      <c r="U135" s="16" t="s">
        <v>73</v>
      </c>
      <c r="V135" s="36" t="n">
        <v>30.92</v>
      </c>
      <c r="W135" s="9" t="n">
        <v>27.38919</v>
      </c>
      <c r="X135" s="22" t="n">
        <v>70000</v>
      </c>
      <c r="Y135" s="9" t="n">
        <v>70000</v>
      </c>
      <c r="Z135" s="9" t="n">
        <v>70000</v>
      </c>
      <c r="AA135" s="9" t="n">
        <v>60000</v>
      </c>
      <c r="AB135" s="9" t="n">
        <v>60000</v>
      </c>
      <c r="AC135" s="9" t="n">
        <v>60000</v>
      </c>
      <c r="AD135" s="23" t="n">
        <v>60000</v>
      </c>
      <c r="AE135" s="9" t="n">
        <v>60000</v>
      </c>
      <c r="AF135" s="9" t="n">
        <v>60000</v>
      </c>
      <c r="AG135" s="9" t="n">
        <v>60000</v>
      </c>
      <c r="AH135" s="9" t="n">
        <v>60000</v>
      </c>
      <c r="AI135" s="9" t="n">
        <v>60000</v>
      </c>
      <c r="AJ135" s="9" t="n">
        <f aca="false">X135*$V135</f>
        <v>2164400</v>
      </c>
      <c r="AK135" s="9" t="n">
        <f aca="false">Y135*$V135</f>
        <v>2164400</v>
      </c>
      <c r="AL135" s="9" t="n">
        <f aca="false">Z135*$V135</f>
        <v>2164400</v>
      </c>
      <c r="AM135" s="9" t="n">
        <f aca="false">AA135*$V135</f>
        <v>1855200</v>
      </c>
      <c r="AN135" s="9" t="n">
        <f aca="false">AB135*$V135</f>
        <v>1855200</v>
      </c>
      <c r="AO135" s="9" t="n">
        <f aca="false">AC135*$V135</f>
        <v>1855200</v>
      </c>
      <c r="AP135" s="9" t="n">
        <f aca="false">AD135*$V135</f>
        <v>1855200</v>
      </c>
      <c r="AQ135" s="9" t="n">
        <f aca="false">AE135*$V135</f>
        <v>1855200</v>
      </c>
      <c r="AR135" s="9" t="n">
        <f aca="false">AF135*$V135</f>
        <v>1855200</v>
      </c>
      <c r="AS135" s="9" t="n">
        <f aca="false">AG135*$V135</f>
        <v>1855200</v>
      </c>
      <c r="AT135" s="9" t="n">
        <f aca="false">AH135*$V135</f>
        <v>1855200</v>
      </c>
      <c r="AU135" s="9" t="n">
        <f aca="false">AI135*$V135</f>
        <v>1855200</v>
      </c>
      <c r="AV135" s="9" t="n">
        <f aca="false">SUM(X135:AI135)/1000</f>
        <v>750</v>
      </c>
      <c r="AW135" s="9" t="n">
        <f aca="false">SUM(AJ135:AU135)</f>
        <v>23190000</v>
      </c>
      <c r="AX135" s="9" t="n">
        <f aca="false">IF(D135="INR",AW135/88.24,AW135)/1000000</f>
        <v>0.26280598368087</v>
      </c>
    </row>
    <row r="136" s="2" customFormat="true" ht="16.4" hidden="false" customHeight="false" outlineLevel="0" collapsed="false">
      <c r="A136" s="35" t="s">
        <v>291</v>
      </c>
      <c r="B136" s="9" t="n">
        <v>5</v>
      </c>
      <c r="C136" s="15"/>
      <c r="D136" s="16" t="s">
        <v>50</v>
      </c>
      <c r="E136" s="16" t="s">
        <v>51</v>
      </c>
      <c r="F136" s="16" t="s">
        <v>52</v>
      </c>
      <c r="G136" s="16" t="s">
        <v>292</v>
      </c>
      <c r="H136" s="9" t="s">
        <v>293</v>
      </c>
      <c r="I136" s="16" t="s">
        <v>55</v>
      </c>
      <c r="J136" s="16" t="s">
        <v>56</v>
      </c>
      <c r="K136" s="9"/>
      <c r="L136" s="16" t="s">
        <v>55</v>
      </c>
      <c r="M136" s="16" t="s">
        <v>56</v>
      </c>
      <c r="N136" s="16" t="s">
        <v>93</v>
      </c>
      <c r="O136" s="16" t="s">
        <v>294</v>
      </c>
      <c r="P136" s="9" t="s">
        <v>69</v>
      </c>
      <c r="Q136" s="9" t="s">
        <v>69</v>
      </c>
      <c r="R136" s="9" t="s">
        <v>70</v>
      </c>
      <c r="S136" s="9" t="s">
        <v>71</v>
      </c>
      <c r="T136" s="9" t="s">
        <v>72</v>
      </c>
      <c r="U136" s="16" t="s">
        <v>73</v>
      </c>
      <c r="V136" s="36" t="n">
        <v>21</v>
      </c>
      <c r="W136" s="9" t="n">
        <v>0.175</v>
      </c>
      <c r="X136" s="22" t="n">
        <v>100000</v>
      </c>
      <c r="Y136" s="9" t="n">
        <v>100000</v>
      </c>
      <c r="Z136" s="9" t="n">
        <v>100000</v>
      </c>
      <c r="AA136" s="9" t="n">
        <v>100000</v>
      </c>
      <c r="AB136" s="9" t="n">
        <v>100000</v>
      </c>
      <c r="AC136" s="9" t="n">
        <v>100000</v>
      </c>
      <c r="AD136" s="23" t="n">
        <v>100000</v>
      </c>
      <c r="AE136" s="9" t="n">
        <v>100000</v>
      </c>
      <c r="AF136" s="9" t="n">
        <v>100000</v>
      </c>
      <c r="AG136" s="9" t="n">
        <v>100000</v>
      </c>
      <c r="AH136" s="9" t="n">
        <v>100000</v>
      </c>
      <c r="AI136" s="9" t="n">
        <v>100000</v>
      </c>
      <c r="AJ136" s="9" t="n">
        <f aca="false">X136*$V136</f>
        <v>2100000</v>
      </c>
      <c r="AK136" s="9" t="n">
        <f aca="false">Y136*$V136</f>
        <v>2100000</v>
      </c>
      <c r="AL136" s="9" t="n">
        <f aca="false">Z136*$V136</f>
        <v>2100000</v>
      </c>
      <c r="AM136" s="9" t="n">
        <f aca="false">AA136*$V136</f>
        <v>2100000</v>
      </c>
      <c r="AN136" s="9" t="n">
        <f aca="false">AB136*$V136</f>
        <v>2100000</v>
      </c>
      <c r="AO136" s="9" t="n">
        <f aca="false">AC136*$V136</f>
        <v>2100000</v>
      </c>
      <c r="AP136" s="9" t="n">
        <f aca="false">AD136*$V136</f>
        <v>2100000</v>
      </c>
      <c r="AQ136" s="9" t="n">
        <f aca="false">AE136*$V136</f>
        <v>2100000</v>
      </c>
      <c r="AR136" s="9" t="n">
        <f aca="false">AF136*$V136</f>
        <v>2100000</v>
      </c>
      <c r="AS136" s="9" t="n">
        <f aca="false">AG136*$V136</f>
        <v>2100000</v>
      </c>
      <c r="AT136" s="9" t="n">
        <f aca="false">AH136*$V136</f>
        <v>2100000</v>
      </c>
      <c r="AU136" s="9" t="n">
        <f aca="false">AI136*$V136</f>
        <v>2100000</v>
      </c>
      <c r="AV136" s="9" t="n">
        <f aca="false">SUM(X136:AI136)/1000</f>
        <v>1200</v>
      </c>
      <c r="AW136" s="9" t="n">
        <f aca="false">SUM(AJ136:AU136)</f>
        <v>25200000</v>
      </c>
      <c r="AX136" s="9" t="n">
        <f aca="false">IF(D136="INR",AW136/88.24,AW136)/1000000</f>
        <v>0.28558476881233</v>
      </c>
    </row>
    <row r="137" s="2" customFormat="true" ht="16.4" hidden="false" customHeight="false" outlineLevel="0" collapsed="false">
      <c r="A137" s="35" t="s">
        <v>295</v>
      </c>
      <c r="B137" s="9" t="n">
        <v>5</v>
      </c>
      <c r="C137" s="15"/>
      <c r="D137" s="16" t="s">
        <v>50</v>
      </c>
      <c r="E137" s="16" t="s">
        <v>51</v>
      </c>
      <c r="F137" s="16" t="s">
        <v>52</v>
      </c>
      <c r="G137" s="16" t="s">
        <v>296</v>
      </c>
      <c r="H137" s="9" t="s">
        <v>297</v>
      </c>
      <c r="I137" s="16" t="s">
        <v>298</v>
      </c>
      <c r="J137" s="16" t="s">
        <v>299</v>
      </c>
      <c r="K137" s="9"/>
      <c r="L137" s="16" t="s">
        <v>298</v>
      </c>
      <c r="M137" s="16" t="s">
        <v>299</v>
      </c>
      <c r="N137" s="16" t="s">
        <v>67</v>
      </c>
      <c r="O137" s="16" t="s">
        <v>107</v>
      </c>
      <c r="P137" s="9" t="s">
        <v>80</v>
      </c>
      <c r="Q137" s="9" t="s">
        <v>80</v>
      </c>
      <c r="R137" s="9" t="s">
        <v>81</v>
      </c>
      <c r="S137" s="9" t="s">
        <v>82</v>
      </c>
      <c r="T137" s="9" t="s">
        <v>277</v>
      </c>
      <c r="U137" s="16" t="s">
        <v>73</v>
      </c>
      <c r="V137" s="36" t="n">
        <v>29.85</v>
      </c>
      <c r="W137" s="9" t="n">
        <v>26.37223</v>
      </c>
      <c r="X137" s="22" t="n">
        <v>70000</v>
      </c>
      <c r="Y137" s="9" t="n">
        <v>70000</v>
      </c>
      <c r="Z137" s="9" t="n">
        <v>70000</v>
      </c>
      <c r="AA137" s="9" t="n">
        <v>70000</v>
      </c>
      <c r="AB137" s="9" t="n">
        <v>70000</v>
      </c>
      <c r="AC137" s="9" t="n">
        <v>70000</v>
      </c>
      <c r="AD137" s="23" t="n">
        <v>70000</v>
      </c>
      <c r="AE137" s="9" t="n">
        <v>70000</v>
      </c>
      <c r="AF137" s="9" t="n">
        <v>70000</v>
      </c>
      <c r="AG137" s="9" t="n">
        <v>70000</v>
      </c>
      <c r="AH137" s="9" t="n">
        <v>70000</v>
      </c>
      <c r="AI137" s="9" t="n">
        <v>70000</v>
      </c>
      <c r="AJ137" s="9" t="n">
        <f aca="false">X137*$V137</f>
        <v>2089500</v>
      </c>
      <c r="AK137" s="9" t="n">
        <f aca="false">Y137*$V137</f>
        <v>2089500</v>
      </c>
      <c r="AL137" s="9" t="n">
        <f aca="false">Z137*$V137</f>
        <v>2089500</v>
      </c>
      <c r="AM137" s="9" t="n">
        <f aca="false">AA137*$V137</f>
        <v>2089500</v>
      </c>
      <c r="AN137" s="9" t="n">
        <f aca="false">AB137*$V137</f>
        <v>2089500</v>
      </c>
      <c r="AO137" s="9" t="n">
        <f aca="false">AC137*$V137</f>
        <v>2089500</v>
      </c>
      <c r="AP137" s="9" t="n">
        <f aca="false">AD137*$V137</f>
        <v>2089500</v>
      </c>
      <c r="AQ137" s="9" t="n">
        <f aca="false">AE137*$V137</f>
        <v>2089500</v>
      </c>
      <c r="AR137" s="9" t="n">
        <f aca="false">AF137*$V137</f>
        <v>2089500</v>
      </c>
      <c r="AS137" s="9" t="n">
        <f aca="false">AG137*$V137</f>
        <v>2089500</v>
      </c>
      <c r="AT137" s="9" t="n">
        <f aca="false">AH137*$V137</f>
        <v>2089500</v>
      </c>
      <c r="AU137" s="9" t="n">
        <f aca="false">AI137*$V137</f>
        <v>2089500</v>
      </c>
      <c r="AV137" s="9" t="n">
        <f aca="false">SUM(X137:AI137)/1000</f>
        <v>840</v>
      </c>
      <c r="AW137" s="9" t="n">
        <f aca="false">SUM(AJ137:AU137)</f>
        <v>25074000</v>
      </c>
      <c r="AX137" s="9" t="n">
        <f aca="false">IF(D137="INR",AW137/88.24,AW137)/1000000</f>
        <v>0.284156844968268</v>
      </c>
    </row>
    <row r="138" s="2" customFormat="true" ht="16.4" hidden="false" customHeight="false" outlineLevel="0" collapsed="false">
      <c r="A138" s="35" t="s">
        <v>300</v>
      </c>
      <c r="B138" s="9" t="n">
        <v>5</v>
      </c>
      <c r="C138" s="15"/>
      <c r="D138" s="16" t="s">
        <v>50</v>
      </c>
      <c r="E138" s="16" t="s">
        <v>51</v>
      </c>
      <c r="F138" s="16" t="s">
        <v>52</v>
      </c>
      <c r="G138" s="16" t="s">
        <v>301</v>
      </c>
      <c r="H138" s="9" t="s">
        <v>302</v>
      </c>
      <c r="I138" s="16" t="s">
        <v>303</v>
      </c>
      <c r="J138" s="16" t="s">
        <v>304</v>
      </c>
      <c r="K138" s="9"/>
      <c r="L138" s="16" t="s">
        <v>303</v>
      </c>
      <c r="M138" s="16" t="s">
        <v>304</v>
      </c>
      <c r="N138" s="16" t="s">
        <v>93</v>
      </c>
      <c r="O138" s="16" t="s">
        <v>107</v>
      </c>
      <c r="P138" s="9" t="s">
        <v>69</v>
      </c>
      <c r="Q138" s="16" t="s">
        <v>69</v>
      </c>
      <c r="R138" s="9" t="s">
        <v>70</v>
      </c>
      <c r="S138" s="9" t="s">
        <v>71</v>
      </c>
      <c r="T138" s="9" t="s">
        <v>305</v>
      </c>
      <c r="U138" s="16" t="s">
        <v>73</v>
      </c>
      <c r="V138" s="36" t="n">
        <v>41.5</v>
      </c>
      <c r="W138" s="9" t="n">
        <v>0.395</v>
      </c>
      <c r="X138" s="22" t="n">
        <v>50000</v>
      </c>
      <c r="Y138" s="9" t="n">
        <v>50000</v>
      </c>
      <c r="Z138" s="9" t="n">
        <v>50000</v>
      </c>
      <c r="AA138" s="9" t="n">
        <v>50000</v>
      </c>
      <c r="AB138" s="9" t="n">
        <v>50000</v>
      </c>
      <c r="AC138" s="9" t="n">
        <v>50000</v>
      </c>
      <c r="AD138" s="23" t="n">
        <v>50000</v>
      </c>
      <c r="AE138" s="9" t="n">
        <v>50000</v>
      </c>
      <c r="AF138" s="9" t="n">
        <v>50000</v>
      </c>
      <c r="AG138" s="9" t="n">
        <v>50000</v>
      </c>
      <c r="AH138" s="9" t="n">
        <v>50000</v>
      </c>
      <c r="AI138" s="9" t="n">
        <v>50000</v>
      </c>
      <c r="AJ138" s="9" t="n">
        <f aca="false">X138*$V138</f>
        <v>2075000</v>
      </c>
      <c r="AK138" s="9" t="n">
        <f aca="false">Y138*$V138</f>
        <v>2075000</v>
      </c>
      <c r="AL138" s="9" t="n">
        <f aca="false">Z138*$V138</f>
        <v>2075000</v>
      </c>
      <c r="AM138" s="9" t="n">
        <f aca="false">AA138*$V138</f>
        <v>2075000</v>
      </c>
      <c r="AN138" s="9" t="n">
        <f aca="false">AB138*$V138</f>
        <v>2075000</v>
      </c>
      <c r="AO138" s="9" t="n">
        <f aca="false">AC138*$V138</f>
        <v>2075000</v>
      </c>
      <c r="AP138" s="9" t="n">
        <f aca="false">AD138*$V138</f>
        <v>2075000</v>
      </c>
      <c r="AQ138" s="9" t="n">
        <f aca="false">AE138*$V138</f>
        <v>2075000</v>
      </c>
      <c r="AR138" s="9" t="n">
        <f aca="false">AF138*$V138</f>
        <v>2075000</v>
      </c>
      <c r="AS138" s="9" t="n">
        <f aca="false">AG138*$V138</f>
        <v>2075000</v>
      </c>
      <c r="AT138" s="9" t="n">
        <f aca="false">AH138*$V138</f>
        <v>2075000</v>
      </c>
      <c r="AU138" s="9" t="n">
        <f aca="false">AI138*$V138</f>
        <v>2075000</v>
      </c>
      <c r="AV138" s="9" t="n">
        <f aca="false">SUM(X138:AI138)/1000</f>
        <v>600</v>
      </c>
      <c r="AW138" s="9" t="n">
        <f aca="false">SUM(AJ138:AU138)</f>
        <v>24900000</v>
      </c>
      <c r="AX138" s="9" t="n">
        <f aca="false">IF(D138="INR",AW138/88.24,AW138)/1000000</f>
        <v>0.282184950135993</v>
      </c>
    </row>
    <row r="139" s="2" customFormat="true" ht="16.4" hidden="false" customHeight="false" outlineLevel="0" collapsed="false">
      <c r="A139" s="35" t="s">
        <v>306</v>
      </c>
      <c r="B139" s="9" t="n">
        <v>5</v>
      </c>
      <c r="C139" s="15"/>
      <c r="D139" s="16" t="s">
        <v>50</v>
      </c>
      <c r="E139" s="16" t="s">
        <v>51</v>
      </c>
      <c r="F139" s="16" t="s">
        <v>52</v>
      </c>
      <c r="G139" s="16" t="s">
        <v>91</v>
      </c>
      <c r="H139" s="9" t="s">
        <v>92</v>
      </c>
      <c r="I139" s="16" t="s">
        <v>55</v>
      </c>
      <c r="J139" s="16" t="s">
        <v>56</v>
      </c>
      <c r="K139" s="9"/>
      <c r="L139" s="16" t="s">
        <v>55</v>
      </c>
      <c r="M139" s="16" t="s">
        <v>56</v>
      </c>
      <c r="N139" s="16" t="s">
        <v>93</v>
      </c>
      <c r="O139" s="16" t="s">
        <v>94</v>
      </c>
      <c r="P139" s="9" t="s">
        <v>69</v>
      </c>
      <c r="Q139" s="16" t="s">
        <v>69</v>
      </c>
      <c r="R139" s="9" t="s">
        <v>70</v>
      </c>
      <c r="S139" s="9" t="s">
        <v>71</v>
      </c>
      <c r="T139" s="9" t="s">
        <v>72</v>
      </c>
      <c r="U139" s="16" t="s">
        <v>73</v>
      </c>
      <c r="V139" s="36" t="n">
        <v>19.52</v>
      </c>
      <c r="W139" s="9" t="n">
        <v>0.175</v>
      </c>
      <c r="X139" s="22" t="n">
        <v>100000</v>
      </c>
      <c r="Y139" s="9"/>
      <c r="Z139" s="9" t="n">
        <v>100000</v>
      </c>
      <c r="AA139" s="9"/>
      <c r="AB139" s="9" t="n">
        <v>100000</v>
      </c>
      <c r="AC139" s="9"/>
      <c r="AD139" s="23" t="n">
        <v>100000</v>
      </c>
      <c r="AE139" s="9"/>
      <c r="AF139" s="9"/>
      <c r="AG139" s="9" t="n">
        <v>100000</v>
      </c>
      <c r="AH139" s="9"/>
      <c r="AI139" s="9" t="n">
        <v>100000</v>
      </c>
      <c r="AJ139" s="9" t="n">
        <f aca="false">X139*$V139</f>
        <v>1952000</v>
      </c>
      <c r="AK139" s="9" t="n">
        <f aca="false">Y139*$V139</f>
        <v>0</v>
      </c>
      <c r="AL139" s="9" t="n">
        <f aca="false">Z139*$V139</f>
        <v>1952000</v>
      </c>
      <c r="AM139" s="9" t="n">
        <f aca="false">AA139*$V139</f>
        <v>0</v>
      </c>
      <c r="AN139" s="9" t="n">
        <f aca="false">AB139*$V139</f>
        <v>1952000</v>
      </c>
      <c r="AO139" s="9" t="n">
        <f aca="false">AC139*$V139</f>
        <v>0</v>
      </c>
      <c r="AP139" s="9" t="n">
        <f aca="false">AD139*$V139</f>
        <v>1952000</v>
      </c>
      <c r="AQ139" s="9" t="n">
        <f aca="false">AE139*$V139</f>
        <v>0</v>
      </c>
      <c r="AR139" s="9" t="n">
        <f aca="false">AF139*$V139</f>
        <v>0</v>
      </c>
      <c r="AS139" s="9" t="n">
        <f aca="false">AG139*$V139</f>
        <v>1952000</v>
      </c>
      <c r="AT139" s="9" t="n">
        <f aca="false">AH139*$V139</f>
        <v>0</v>
      </c>
      <c r="AU139" s="9" t="n">
        <f aca="false">AI139*$V139</f>
        <v>1952000</v>
      </c>
      <c r="AV139" s="9" t="n">
        <f aca="false">SUM(X139:AI139)/1000</f>
        <v>600</v>
      </c>
      <c r="AW139" s="9" t="n">
        <f aca="false">SUM(AJ139:AU139)</f>
        <v>11712000</v>
      </c>
      <c r="AX139" s="9" t="n">
        <f aca="false">IF(D139="INR",AW139/88.24,AW139)/1000000</f>
        <v>0.132728921124207</v>
      </c>
    </row>
    <row r="140" s="2" customFormat="true" ht="16.4" hidden="false" customHeight="false" outlineLevel="0" collapsed="false">
      <c r="A140" s="35" t="s">
        <v>307</v>
      </c>
      <c r="B140" s="9" t="n">
        <v>5</v>
      </c>
      <c r="C140" s="10"/>
      <c r="D140" s="9" t="s">
        <v>50</v>
      </c>
      <c r="E140" s="9" t="s">
        <v>51</v>
      </c>
      <c r="F140" s="9" t="s">
        <v>52</v>
      </c>
      <c r="G140" s="9" t="s">
        <v>65</v>
      </c>
      <c r="H140" s="9" t="s">
        <v>66</v>
      </c>
      <c r="I140" s="9" t="s">
        <v>55</v>
      </c>
      <c r="J140" s="9" t="s">
        <v>56</v>
      </c>
      <c r="K140" s="9"/>
      <c r="L140" s="9" t="s">
        <v>55</v>
      </c>
      <c r="M140" s="9" t="s">
        <v>56</v>
      </c>
      <c r="N140" s="9" t="s">
        <v>67</v>
      </c>
      <c r="O140" s="9" t="s">
        <v>68</v>
      </c>
      <c r="P140" s="9" t="s">
        <v>308</v>
      </c>
      <c r="Q140" s="9" t="s">
        <v>308</v>
      </c>
      <c r="R140" s="9" t="s">
        <v>309</v>
      </c>
      <c r="S140" s="9" t="s">
        <v>264</v>
      </c>
      <c r="T140" s="9" t="s">
        <v>310</v>
      </c>
      <c r="U140" s="9" t="s">
        <v>73</v>
      </c>
      <c r="V140" s="9" t="n">
        <v>3.5</v>
      </c>
      <c r="W140" s="9" t="n">
        <v>2.9</v>
      </c>
      <c r="X140" s="9" t="n">
        <v>500000</v>
      </c>
      <c r="Y140" s="9" t="n">
        <v>500000</v>
      </c>
      <c r="Z140" s="9" t="n">
        <v>500000</v>
      </c>
      <c r="AA140" s="9" t="n">
        <v>500000</v>
      </c>
      <c r="AB140" s="9" t="n">
        <v>500000</v>
      </c>
      <c r="AC140" s="9"/>
      <c r="AD140" s="9"/>
      <c r="AE140" s="9"/>
      <c r="AF140" s="9"/>
      <c r="AG140" s="9"/>
      <c r="AH140" s="9"/>
      <c r="AI140" s="9"/>
      <c r="AJ140" s="9" t="n">
        <f aca="false">X140*$V140</f>
        <v>1750000</v>
      </c>
      <c r="AK140" s="9" t="n">
        <f aca="false">Y140*$V140</f>
        <v>1750000</v>
      </c>
      <c r="AL140" s="9" t="n">
        <f aca="false">Z140*$V140</f>
        <v>1750000</v>
      </c>
      <c r="AM140" s="9" t="n">
        <f aca="false">AA140*$V140</f>
        <v>1750000</v>
      </c>
      <c r="AN140" s="9" t="n">
        <f aca="false">AB140*$V140</f>
        <v>1750000</v>
      </c>
      <c r="AO140" s="9" t="n">
        <f aca="false">AC140*$V140</f>
        <v>0</v>
      </c>
      <c r="AP140" s="9" t="n">
        <f aca="false">AD140*$V140</f>
        <v>0</v>
      </c>
      <c r="AQ140" s="9" t="n">
        <f aca="false">AE140*$V140</f>
        <v>0</v>
      </c>
      <c r="AR140" s="9" t="n">
        <f aca="false">AF140*$V140</f>
        <v>0</v>
      </c>
      <c r="AS140" s="9" t="n">
        <f aca="false">AG140*$V140</f>
        <v>0</v>
      </c>
      <c r="AT140" s="9" t="n">
        <f aca="false">AH140*$V140</f>
        <v>0</v>
      </c>
      <c r="AU140" s="9" t="n">
        <f aca="false">AI140*$V140</f>
        <v>0</v>
      </c>
      <c r="AV140" s="9" t="n">
        <f aca="false">SUM(X140:AI140)/1000</f>
        <v>2500</v>
      </c>
      <c r="AW140" s="9" t="n">
        <f aca="false">SUM(AJ140:AU140)</f>
        <v>8750000</v>
      </c>
      <c r="AX140" s="9" t="n">
        <f aca="false">IF(D140="INR",AW140/88.24,AW140)/1000000</f>
        <v>0.0991613780598368</v>
      </c>
    </row>
    <row r="141" s="2" customFormat="true" ht="16.4" hidden="false" customHeight="false" outlineLevel="0" collapsed="false">
      <c r="A141" s="35" t="s">
        <v>311</v>
      </c>
      <c r="B141" s="9" t="n">
        <v>5</v>
      </c>
      <c r="C141" s="15"/>
      <c r="D141" s="16" t="s">
        <v>50</v>
      </c>
      <c r="E141" s="16" t="s">
        <v>51</v>
      </c>
      <c r="F141" s="16" t="s">
        <v>312</v>
      </c>
      <c r="G141" s="16" t="s">
        <v>313</v>
      </c>
      <c r="H141" s="9" t="s">
        <v>314</v>
      </c>
      <c r="I141" s="16" t="s">
        <v>55</v>
      </c>
      <c r="J141" s="16" t="s">
        <v>56</v>
      </c>
      <c r="K141" s="9"/>
      <c r="L141" s="16" t="s">
        <v>55</v>
      </c>
      <c r="M141" s="16" t="s">
        <v>56</v>
      </c>
      <c r="N141" s="16" t="s">
        <v>57</v>
      </c>
      <c r="O141" s="16" t="s">
        <v>315</v>
      </c>
      <c r="P141" s="9" t="s">
        <v>69</v>
      </c>
      <c r="Q141" s="9" t="s">
        <v>69</v>
      </c>
      <c r="R141" s="9" t="s">
        <v>70</v>
      </c>
      <c r="S141" s="9" t="s">
        <v>71</v>
      </c>
      <c r="T141" s="9" t="s">
        <v>316</v>
      </c>
      <c r="U141" s="16" t="s">
        <v>73</v>
      </c>
      <c r="V141" s="36" t="n">
        <v>11.61</v>
      </c>
      <c r="W141" s="9" t="n">
        <v>0.078</v>
      </c>
      <c r="X141" s="22" t="n">
        <v>150000</v>
      </c>
      <c r="Y141" s="9" t="n">
        <v>100000</v>
      </c>
      <c r="Z141" s="9" t="n">
        <v>150000</v>
      </c>
      <c r="AA141" s="9" t="n">
        <v>80000</v>
      </c>
      <c r="AB141" s="9" t="n">
        <v>80000</v>
      </c>
      <c r="AC141" s="9" t="n">
        <v>100000</v>
      </c>
      <c r="AD141" s="23" t="n">
        <v>150000</v>
      </c>
      <c r="AE141" s="9" t="n">
        <v>100000</v>
      </c>
      <c r="AF141" s="9" t="n">
        <v>150000</v>
      </c>
      <c r="AG141" s="9" t="n">
        <v>100000</v>
      </c>
      <c r="AH141" s="9" t="n">
        <v>150000</v>
      </c>
      <c r="AI141" s="9" t="n">
        <v>100000</v>
      </c>
      <c r="AJ141" s="9" t="n">
        <f aca="false">X141*$V141</f>
        <v>1741500</v>
      </c>
      <c r="AK141" s="9" t="n">
        <f aca="false">Y141*$V141</f>
        <v>1161000</v>
      </c>
      <c r="AL141" s="9" t="n">
        <f aca="false">Z141*$V141</f>
        <v>1741500</v>
      </c>
      <c r="AM141" s="9" t="n">
        <f aca="false">AA141*$V141</f>
        <v>928800</v>
      </c>
      <c r="AN141" s="9" t="n">
        <f aca="false">AB141*$V141</f>
        <v>928800</v>
      </c>
      <c r="AO141" s="9" t="n">
        <f aca="false">AC141*$V141</f>
        <v>1161000</v>
      </c>
      <c r="AP141" s="9" t="n">
        <f aca="false">AD141*$V141</f>
        <v>1741500</v>
      </c>
      <c r="AQ141" s="9" t="n">
        <f aca="false">AE141*$V141</f>
        <v>1161000</v>
      </c>
      <c r="AR141" s="9" t="n">
        <f aca="false">AF141*$V141</f>
        <v>1741500</v>
      </c>
      <c r="AS141" s="9" t="n">
        <f aca="false">AG141*$V141</f>
        <v>1161000</v>
      </c>
      <c r="AT141" s="9" t="n">
        <f aca="false">AH141*$V141</f>
        <v>1741500</v>
      </c>
      <c r="AU141" s="9" t="n">
        <f aca="false">AI141*$V141</f>
        <v>1161000</v>
      </c>
      <c r="AV141" s="9" t="n">
        <f aca="false">SUM(X141:AI141)/1000</f>
        <v>1410</v>
      </c>
      <c r="AW141" s="9" t="n">
        <f aca="false">SUM(AJ141:AU141)</f>
        <v>16370100</v>
      </c>
      <c r="AX141" s="9" t="n">
        <f aca="false">IF(D141="INR",AW141/88.24,AW141)/1000000</f>
        <v>0.185517905711695</v>
      </c>
    </row>
    <row r="142" s="2" customFormat="true" ht="16.4" hidden="false" customHeight="false" outlineLevel="0" collapsed="false">
      <c r="A142" s="35" t="s">
        <v>317</v>
      </c>
      <c r="B142" s="9" t="n">
        <v>5</v>
      </c>
      <c r="C142" s="15"/>
      <c r="D142" s="16" t="s">
        <v>50</v>
      </c>
      <c r="E142" s="16" t="s">
        <v>51</v>
      </c>
      <c r="F142" s="16" t="s">
        <v>243</v>
      </c>
      <c r="G142" s="16" t="s">
        <v>318</v>
      </c>
      <c r="H142" s="9" t="s">
        <v>319</v>
      </c>
      <c r="I142" s="16" t="s">
        <v>55</v>
      </c>
      <c r="J142" s="16" t="s">
        <v>56</v>
      </c>
      <c r="K142" s="9"/>
      <c r="L142" s="16" t="s">
        <v>55</v>
      </c>
      <c r="M142" s="16" t="s">
        <v>56</v>
      </c>
      <c r="N142" s="16" t="s">
        <v>93</v>
      </c>
      <c r="O142" s="16" t="s">
        <v>68</v>
      </c>
      <c r="P142" s="9" t="s">
        <v>308</v>
      </c>
      <c r="Q142" s="9" t="s">
        <v>308</v>
      </c>
      <c r="R142" s="9" t="s">
        <v>309</v>
      </c>
      <c r="S142" s="9" t="s">
        <v>264</v>
      </c>
      <c r="T142" s="9" t="s">
        <v>320</v>
      </c>
      <c r="U142" s="16" t="s">
        <v>73</v>
      </c>
      <c r="V142" s="36" t="n">
        <v>0.68</v>
      </c>
      <c r="W142" s="9" t="n">
        <v>0.62</v>
      </c>
      <c r="X142" s="22" t="n">
        <v>2500000</v>
      </c>
      <c r="Y142" s="9" t="n">
        <v>2500000</v>
      </c>
      <c r="Z142" s="9" t="n">
        <v>2500000</v>
      </c>
      <c r="AA142" s="9" t="n">
        <v>2500000</v>
      </c>
      <c r="AB142" s="9" t="n">
        <v>3000000</v>
      </c>
      <c r="AC142" s="9" t="n">
        <v>3000000</v>
      </c>
      <c r="AD142" s="23" t="n">
        <v>3000000</v>
      </c>
      <c r="AE142" s="9" t="n">
        <v>3000000</v>
      </c>
      <c r="AF142" s="9" t="n">
        <v>3000000</v>
      </c>
      <c r="AG142" s="9" t="n">
        <v>3000000</v>
      </c>
      <c r="AH142" s="9" t="n">
        <v>3000000</v>
      </c>
      <c r="AI142" s="9" t="n">
        <v>3000000</v>
      </c>
      <c r="AJ142" s="9" t="n">
        <f aca="false">X142*$V142</f>
        <v>1700000</v>
      </c>
      <c r="AK142" s="9" t="n">
        <f aca="false">Y142*$V142</f>
        <v>1700000</v>
      </c>
      <c r="AL142" s="9" t="n">
        <f aca="false">Z142*$V142</f>
        <v>1700000</v>
      </c>
      <c r="AM142" s="9" t="n">
        <f aca="false">AA142*$V142</f>
        <v>1700000</v>
      </c>
      <c r="AN142" s="9" t="n">
        <f aca="false">AB142*$V142</f>
        <v>2040000</v>
      </c>
      <c r="AO142" s="9" t="n">
        <f aca="false">AC142*$V142</f>
        <v>2040000</v>
      </c>
      <c r="AP142" s="9" t="n">
        <f aca="false">AD142*$V142</f>
        <v>2040000</v>
      </c>
      <c r="AQ142" s="9" t="n">
        <f aca="false">AE142*$V142</f>
        <v>2040000</v>
      </c>
      <c r="AR142" s="9" t="n">
        <f aca="false">AF142*$V142</f>
        <v>2040000</v>
      </c>
      <c r="AS142" s="9" t="n">
        <f aca="false">AG142*$V142</f>
        <v>2040000</v>
      </c>
      <c r="AT142" s="9" t="n">
        <f aca="false">AH142*$V142</f>
        <v>2040000</v>
      </c>
      <c r="AU142" s="9" t="n">
        <f aca="false">AI142*$V142</f>
        <v>2040000</v>
      </c>
      <c r="AV142" s="9" t="n">
        <f aca="false">SUM(X142:AI142)/1000</f>
        <v>34000</v>
      </c>
      <c r="AW142" s="9" t="n">
        <f aca="false">SUM(AJ142:AU142)</f>
        <v>23120000</v>
      </c>
      <c r="AX142" s="9" t="n">
        <f aca="false">IF(D142="INR",AW142/88.24,AW142)/1000000</f>
        <v>0.262012692656392</v>
      </c>
    </row>
    <row r="143" s="2" customFormat="true" ht="14.25" hidden="false" customHeight="false" outlineLevel="0" collapsed="false">
      <c r="A143" s="28"/>
      <c r="B143" s="16" t="n">
        <v>5</v>
      </c>
      <c r="C143" s="16"/>
      <c r="D143" s="16" t="s">
        <v>50</v>
      </c>
      <c r="E143" s="16" t="s">
        <v>51</v>
      </c>
      <c r="F143" s="16" t="s">
        <v>52</v>
      </c>
      <c r="G143" s="16" t="s">
        <v>250</v>
      </c>
      <c r="H143" s="16" t="s">
        <v>251</v>
      </c>
      <c r="I143" s="16" t="s">
        <v>55</v>
      </c>
      <c r="J143" s="16" t="s">
        <v>100</v>
      </c>
      <c r="K143" s="16"/>
      <c r="L143" s="16" t="s">
        <v>55</v>
      </c>
      <c r="M143" s="16" t="s">
        <v>100</v>
      </c>
      <c r="N143" s="16" t="s">
        <v>93</v>
      </c>
      <c r="O143" s="16" t="s">
        <v>321</v>
      </c>
      <c r="P143" s="16" t="s">
        <v>59</v>
      </c>
      <c r="Q143" s="16" t="s">
        <v>59</v>
      </c>
      <c r="R143" s="16" t="s">
        <v>60</v>
      </c>
      <c r="S143" s="16" t="s">
        <v>61</v>
      </c>
      <c r="T143" s="16" t="s">
        <v>62</v>
      </c>
      <c r="U143" s="26" t="s">
        <v>63</v>
      </c>
      <c r="V143" s="16" t="n">
        <v>169</v>
      </c>
      <c r="W143" s="16" t="n">
        <v>169</v>
      </c>
      <c r="X143" s="16"/>
      <c r="Y143" s="16"/>
      <c r="Z143" s="16" t="n">
        <v>10000</v>
      </c>
      <c r="AA143" s="16"/>
      <c r="AB143" s="16"/>
      <c r="AC143" s="16" t="n">
        <v>10000</v>
      </c>
      <c r="AD143" s="16"/>
      <c r="AE143" s="16"/>
      <c r="AF143" s="16" t="n">
        <v>10000</v>
      </c>
      <c r="AG143" s="16"/>
      <c r="AH143" s="16"/>
      <c r="AI143" s="16" t="n">
        <v>10000</v>
      </c>
      <c r="AJ143" s="9" t="n">
        <f aca="false">X143*$V143</f>
        <v>0</v>
      </c>
      <c r="AK143" s="9" t="n">
        <f aca="false">Y143*$V143</f>
        <v>0</v>
      </c>
      <c r="AL143" s="9" t="n">
        <f aca="false">Z143*$V143</f>
        <v>1690000</v>
      </c>
      <c r="AM143" s="9" t="n">
        <f aca="false">AA143*$V143</f>
        <v>0</v>
      </c>
      <c r="AN143" s="9" t="n">
        <f aca="false">AB143*$V143</f>
        <v>0</v>
      </c>
      <c r="AO143" s="9" t="n">
        <f aca="false">AC143*$V143</f>
        <v>1690000</v>
      </c>
      <c r="AP143" s="9" t="n">
        <f aca="false">AD143*$V143</f>
        <v>0</v>
      </c>
      <c r="AQ143" s="9" t="n">
        <f aca="false">AE143*$V143</f>
        <v>0</v>
      </c>
      <c r="AR143" s="9" t="n">
        <f aca="false">AF143*$V143</f>
        <v>1690000</v>
      </c>
      <c r="AS143" s="9" t="n">
        <f aca="false">AG143*$V143</f>
        <v>0</v>
      </c>
      <c r="AT143" s="9" t="n">
        <f aca="false">AH143*$V143</f>
        <v>0</v>
      </c>
      <c r="AU143" s="9" t="n">
        <f aca="false">AI143*$V143</f>
        <v>1690000</v>
      </c>
      <c r="AV143" s="9" t="n">
        <f aca="false">SUM(X143:AI143)/1000</f>
        <v>40</v>
      </c>
      <c r="AW143" s="9" t="n">
        <f aca="false">SUM(AJ143:AU143)</f>
        <v>6760000</v>
      </c>
      <c r="AX143" s="9" t="n">
        <f aca="false">IF(D143="INR",AW143/88.24,AW143)/1000000</f>
        <v>0.0766092475067996</v>
      </c>
    </row>
    <row r="144" s="2" customFormat="true" ht="16.4" hidden="false" customHeight="false" outlineLevel="0" collapsed="false">
      <c r="A144" s="35" t="s">
        <v>322</v>
      </c>
      <c r="B144" s="9" t="n">
        <v>5</v>
      </c>
      <c r="C144" s="15"/>
      <c r="D144" s="16" t="s">
        <v>50</v>
      </c>
      <c r="E144" s="16" t="s">
        <v>51</v>
      </c>
      <c r="F144" s="16" t="s">
        <v>52</v>
      </c>
      <c r="G144" s="16" t="s">
        <v>323</v>
      </c>
      <c r="H144" s="9" t="s">
        <v>324</v>
      </c>
      <c r="I144" s="16" t="s">
        <v>77</v>
      </c>
      <c r="J144" s="16" t="s">
        <v>325</v>
      </c>
      <c r="K144" s="9"/>
      <c r="L144" s="16" t="s">
        <v>77</v>
      </c>
      <c r="M144" s="16" t="s">
        <v>325</v>
      </c>
      <c r="N144" s="16" t="s">
        <v>67</v>
      </c>
      <c r="O144" s="16" t="s">
        <v>68</v>
      </c>
      <c r="P144" s="9" t="s">
        <v>80</v>
      </c>
      <c r="Q144" s="9" t="s">
        <v>80</v>
      </c>
      <c r="R144" s="9" t="s">
        <v>81</v>
      </c>
      <c r="S144" s="9" t="s">
        <v>82</v>
      </c>
      <c r="T144" s="9" t="s">
        <v>326</v>
      </c>
      <c r="U144" s="16" t="s">
        <v>73</v>
      </c>
      <c r="V144" s="36" t="n">
        <v>27.83</v>
      </c>
      <c r="W144" s="9" t="n">
        <v>24.95228</v>
      </c>
      <c r="X144" s="22" t="n">
        <v>60000</v>
      </c>
      <c r="Y144" s="9" t="n">
        <v>60000</v>
      </c>
      <c r="Z144" s="9" t="n">
        <v>60000</v>
      </c>
      <c r="AA144" s="9" t="n">
        <v>60000</v>
      </c>
      <c r="AB144" s="9" t="n">
        <v>60000</v>
      </c>
      <c r="AC144" s="9" t="n">
        <v>60000</v>
      </c>
      <c r="AD144" s="23" t="n">
        <v>60000</v>
      </c>
      <c r="AE144" s="9" t="n">
        <v>60000</v>
      </c>
      <c r="AF144" s="9" t="n">
        <v>60000</v>
      </c>
      <c r="AG144" s="9" t="n">
        <v>60000</v>
      </c>
      <c r="AH144" s="9" t="n">
        <v>60000</v>
      </c>
      <c r="AI144" s="9" t="n">
        <v>60000</v>
      </c>
      <c r="AJ144" s="9" t="n">
        <f aca="false">X144*$V144</f>
        <v>1669800</v>
      </c>
      <c r="AK144" s="9" t="n">
        <f aca="false">Y144*$V144</f>
        <v>1669800</v>
      </c>
      <c r="AL144" s="9" t="n">
        <f aca="false">Z144*$V144</f>
        <v>1669800</v>
      </c>
      <c r="AM144" s="9" t="n">
        <f aca="false">AA144*$V144</f>
        <v>1669800</v>
      </c>
      <c r="AN144" s="9" t="n">
        <f aca="false">AB144*$V144</f>
        <v>1669800</v>
      </c>
      <c r="AO144" s="9" t="n">
        <f aca="false">AC144*$V144</f>
        <v>1669800</v>
      </c>
      <c r="AP144" s="9" t="n">
        <f aca="false">AD144*$V144</f>
        <v>1669800</v>
      </c>
      <c r="AQ144" s="9" t="n">
        <f aca="false">AE144*$V144</f>
        <v>1669800</v>
      </c>
      <c r="AR144" s="9" t="n">
        <f aca="false">AF144*$V144</f>
        <v>1669800</v>
      </c>
      <c r="AS144" s="9" t="n">
        <f aca="false">AG144*$V144</f>
        <v>1669800</v>
      </c>
      <c r="AT144" s="9" t="n">
        <f aca="false">AH144*$V144</f>
        <v>1669800</v>
      </c>
      <c r="AU144" s="9" t="n">
        <f aca="false">AI144*$V144</f>
        <v>1669800</v>
      </c>
      <c r="AV144" s="9" t="n">
        <f aca="false">SUM(X144:AI144)/1000</f>
        <v>720</v>
      </c>
      <c r="AW144" s="9" t="n">
        <f aca="false">SUM(AJ144:AU144)</f>
        <v>20037600</v>
      </c>
      <c r="AX144" s="9" t="n">
        <f aca="false">IF(D144="INR",AW144/88.24,AW144)/1000000</f>
        <v>0.227080689029918</v>
      </c>
    </row>
    <row r="145" s="2" customFormat="true" ht="14.25" hidden="false" customHeight="false" outlineLevel="0" collapsed="false">
      <c r="A145" s="35"/>
      <c r="B145" s="9" t="n">
        <v>1</v>
      </c>
      <c r="C145" s="15" t="n">
        <v>5</v>
      </c>
      <c r="D145" s="16" t="s">
        <v>50</v>
      </c>
      <c r="E145" s="16" t="s">
        <v>51</v>
      </c>
      <c r="F145" s="16" t="s">
        <v>52</v>
      </c>
      <c r="G145" s="16"/>
      <c r="H145" s="9" t="s">
        <v>327</v>
      </c>
      <c r="I145" s="16" t="s">
        <v>328</v>
      </c>
      <c r="J145" s="16" t="s">
        <v>303</v>
      </c>
      <c r="K145" s="9"/>
      <c r="L145" s="16"/>
      <c r="M145" s="16"/>
      <c r="N145" s="16" t="s">
        <v>57</v>
      </c>
      <c r="O145" s="16" t="s">
        <v>246</v>
      </c>
      <c r="P145" s="9" t="s">
        <v>329</v>
      </c>
      <c r="Q145" s="16" t="s">
        <v>329</v>
      </c>
      <c r="R145" s="9" t="s">
        <v>330</v>
      </c>
      <c r="S145" s="9" t="s">
        <v>272</v>
      </c>
      <c r="T145" s="9" t="s">
        <v>331</v>
      </c>
      <c r="U145" s="16" t="s">
        <v>63</v>
      </c>
      <c r="V145" s="36" t="n">
        <v>160</v>
      </c>
      <c r="W145" s="9" t="n">
        <v>0.84</v>
      </c>
      <c r="X145" s="22" t="n">
        <v>10000</v>
      </c>
      <c r="Y145" s="9" t="n">
        <v>10000</v>
      </c>
      <c r="Z145" s="9" t="n">
        <v>10000</v>
      </c>
      <c r="AA145" s="9" t="n">
        <v>10000</v>
      </c>
      <c r="AB145" s="9" t="n">
        <v>10000</v>
      </c>
      <c r="AC145" s="9" t="n">
        <v>10000</v>
      </c>
      <c r="AD145" s="23" t="n">
        <v>10000</v>
      </c>
      <c r="AE145" s="9"/>
      <c r="AF145" s="9" t="n">
        <v>10000</v>
      </c>
      <c r="AG145" s="9"/>
      <c r="AH145" s="9" t="n">
        <v>10000</v>
      </c>
      <c r="AI145" s="9" t="n">
        <v>10000</v>
      </c>
      <c r="AJ145" s="9" t="n">
        <f aca="false">X145*$V145</f>
        <v>1600000</v>
      </c>
      <c r="AK145" s="9" t="n">
        <f aca="false">Y145*$V145</f>
        <v>1600000</v>
      </c>
      <c r="AL145" s="9" t="n">
        <f aca="false">Z145*$V145</f>
        <v>1600000</v>
      </c>
      <c r="AM145" s="9" t="n">
        <f aca="false">AA145*$V145</f>
        <v>1600000</v>
      </c>
      <c r="AN145" s="9" t="n">
        <f aca="false">AB145*$V145</f>
        <v>1600000</v>
      </c>
      <c r="AO145" s="9" t="n">
        <f aca="false">AC145*$V145</f>
        <v>1600000</v>
      </c>
      <c r="AP145" s="9" t="n">
        <f aca="false">AD145*$V145</f>
        <v>1600000</v>
      </c>
      <c r="AQ145" s="9" t="n">
        <f aca="false">AE145*$V145</f>
        <v>0</v>
      </c>
      <c r="AR145" s="9" t="n">
        <f aca="false">AF145*$V145</f>
        <v>1600000</v>
      </c>
      <c r="AS145" s="9" t="n">
        <f aca="false">AG145*$V145</f>
        <v>0</v>
      </c>
      <c r="AT145" s="9" t="n">
        <f aca="false">AH145*$V145</f>
        <v>1600000</v>
      </c>
      <c r="AU145" s="9" t="n">
        <f aca="false">AI145*$V145</f>
        <v>1600000</v>
      </c>
      <c r="AV145" s="9" t="n">
        <f aca="false">SUM(X145:AI145)/1000</f>
        <v>100</v>
      </c>
      <c r="AW145" s="9" t="n">
        <f aca="false">SUM(AJ145:AU145)</f>
        <v>16000000</v>
      </c>
      <c r="AX145" s="9" t="n">
        <f aca="false">IF(D145="INR",AW145/88.24,AW145)/1000000</f>
        <v>0.181323662737987</v>
      </c>
    </row>
    <row r="146" s="2" customFormat="true" ht="16.4" hidden="false" customHeight="false" outlineLevel="0" collapsed="false">
      <c r="A146" s="35" t="s">
        <v>332</v>
      </c>
      <c r="B146" s="9" t="n">
        <v>5</v>
      </c>
      <c r="C146" s="15"/>
      <c r="D146" s="16" t="s">
        <v>50</v>
      </c>
      <c r="E146" s="16" t="s">
        <v>51</v>
      </c>
      <c r="F146" s="16" t="s">
        <v>52</v>
      </c>
      <c r="G146" s="16" t="s">
        <v>65</v>
      </c>
      <c r="H146" s="9" t="s">
        <v>66</v>
      </c>
      <c r="I146" s="16" t="s">
        <v>55</v>
      </c>
      <c r="J146" s="16" t="s">
        <v>56</v>
      </c>
      <c r="K146" s="9"/>
      <c r="L146" s="16" t="s">
        <v>55</v>
      </c>
      <c r="M146" s="16" t="s">
        <v>56</v>
      </c>
      <c r="N146" s="16" t="s">
        <v>67</v>
      </c>
      <c r="O146" s="16" t="s">
        <v>68</v>
      </c>
      <c r="P146" s="9" t="s">
        <v>85</v>
      </c>
      <c r="Q146" s="9" t="s">
        <v>85</v>
      </c>
      <c r="R146" s="9" t="s">
        <v>86</v>
      </c>
      <c r="S146" s="9" t="s">
        <v>87</v>
      </c>
      <c r="T146" s="9" t="s">
        <v>333</v>
      </c>
      <c r="U146" s="16" t="s">
        <v>73</v>
      </c>
      <c r="V146" s="36" t="n">
        <v>18</v>
      </c>
      <c r="W146" s="9" t="n">
        <v>0.173</v>
      </c>
      <c r="X146" s="22" t="n">
        <v>80000</v>
      </c>
      <c r="Y146" s="9" t="n">
        <v>80000</v>
      </c>
      <c r="Z146" s="9" t="n">
        <v>80000</v>
      </c>
      <c r="AA146" s="9" t="n">
        <v>80000</v>
      </c>
      <c r="AB146" s="9" t="n">
        <v>80000</v>
      </c>
      <c r="AC146" s="9" t="n">
        <v>80000</v>
      </c>
      <c r="AD146" s="23" t="n">
        <v>80000</v>
      </c>
      <c r="AE146" s="9" t="n">
        <v>80000</v>
      </c>
      <c r="AF146" s="9" t="n">
        <v>80000</v>
      </c>
      <c r="AG146" s="9" t="n">
        <v>80000</v>
      </c>
      <c r="AH146" s="9" t="n">
        <v>80000</v>
      </c>
      <c r="AI146" s="9" t="n">
        <v>80000</v>
      </c>
      <c r="AJ146" s="9" t="n">
        <f aca="false">X146*$V146</f>
        <v>1440000</v>
      </c>
      <c r="AK146" s="9" t="n">
        <f aca="false">Y146*$V146</f>
        <v>1440000</v>
      </c>
      <c r="AL146" s="9" t="n">
        <f aca="false">Z146*$V146</f>
        <v>1440000</v>
      </c>
      <c r="AM146" s="9" t="n">
        <f aca="false">AA146*$V146</f>
        <v>1440000</v>
      </c>
      <c r="AN146" s="9" t="n">
        <f aca="false">AB146*$V146</f>
        <v>1440000</v>
      </c>
      <c r="AO146" s="9" t="n">
        <f aca="false">AC146*$V146</f>
        <v>1440000</v>
      </c>
      <c r="AP146" s="9" t="n">
        <f aca="false">AD146*$V146</f>
        <v>1440000</v>
      </c>
      <c r="AQ146" s="9" t="n">
        <f aca="false">AE146*$V146</f>
        <v>1440000</v>
      </c>
      <c r="AR146" s="9" t="n">
        <f aca="false">AF146*$V146</f>
        <v>1440000</v>
      </c>
      <c r="AS146" s="9" t="n">
        <f aca="false">AG146*$V146</f>
        <v>1440000</v>
      </c>
      <c r="AT146" s="9" t="n">
        <f aca="false">AH146*$V146</f>
        <v>1440000</v>
      </c>
      <c r="AU146" s="9" t="n">
        <f aca="false">AI146*$V146</f>
        <v>1440000</v>
      </c>
      <c r="AV146" s="9" t="n">
        <f aca="false">SUM(X146:AI146)/1000</f>
        <v>960</v>
      </c>
      <c r="AW146" s="9" t="n">
        <f aca="false">SUM(AJ146:AU146)</f>
        <v>17280000</v>
      </c>
      <c r="AX146" s="9" t="n">
        <f aca="false">IF(D146="INR",AW146/88.24,AW146)/1000000</f>
        <v>0.195829555757026</v>
      </c>
    </row>
    <row r="147" s="2" customFormat="true" ht="16.4" hidden="false" customHeight="false" outlineLevel="0" collapsed="false">
      <c r="A147" s="35" t="s">
        <v>334</v>
      </c>
      <c r="B147" s="9" t="n">
        <v>5</v>
      </c>
      <c r="C147" s="15"/>
      <c r="D147" s="16" t="s">
        <v>50</v>
      </c>
      <c r="E147" s="16" t="s">
        <v>51</v>
      </c>
      <c r="F147" s="16" t="s">
        <v>243</v>
      </c>
      <c r="G147" s="16" t="s">
        <v>244</v>
      </c>
      <c r="H147" s="9" t="s">
        <v>245</v>
      </c>
      <c r="I147" s="16" t="s">
        <v>55</v>
      </c>
      <c r="J147" s="16" t="s">
        <v>56</v>
      </c>
      <c r="K147" s="9"/>
      <c r="L147" s="16" t="s">
        <v>55</v>
      </c>
      <c r="M147" s="16" t="s">
        <v>56</v>
      </c>
      <c r="N147" s="16" t="s">
        <v>93</v>
      </c>
      <c r="O147" s="16" t="s">
        <v>107</v>
      </c>
      <c r="P147" s="9" t="s">
        <v>69</v>
      </c>
      <c r="Q147" s="9" t="s">
        <v>69</v>
      </c>
      <c r="R147" s="9" t="s">
        <v>70</v>
      </c>
      <c r="S147" s="9" t="s">
        <v>71</v>
      </c>
      <c r="T147" s="9" t="s">
        <v>335</v>
      </c>
      <c r="U147" s="16" t="s">
        <v>73</v>
      </c>
      <c r="V147" s="36" t="n">
        <v>140</v>
      </c>
      <c r="W147" s="9" t="n">
        <v>0</v>
      </c>
      <c r="X147" s="22" t="n">
        <v>10000</v>
      </c>
      <c r="Y147" s="9" t="n">
        <v>10000</v>
      </c>
      <c r="Z147" s="9" t="n">
        <v>10000</v>
      </c>
      <c r="AA147" s="9" t="n">
        <v>5000</v>
      </c>
      <c r="AB147" s="9" t="n">
        <v>5000</v>
      </c>
      <c r="AC147" s="9" t="n">
        <v>5000</v>
      </c>
      <c r="AD147" s="23" t="n">
        <v>5000</v>
      </c>
      <c r="AE147" s="9" t="n">
        <v>5000</v>
      </c>
      <c r="AF147" s="9" t="n">
        <v>5000</v>
      </c>
      <c r="AG147" s="9" t="n">
        <v>5000</v>
      </c>
      <c r="AH147" s="9" t="n">
        <v>5000</v>
      </c>
      <c r="AI147" s="9" t="n">
        <v>5000</v>
      </c>
      <c r="AJ147" s="9" t="n">
        <f aca="false">X147*$V147</f>
        <v>1400000</v>
      </c>
      <c r="AK147" s="9" t="n">
        <f aca="false">Y147*$V147</f>
        <v>1400000</v>
      </c>
      <c r="AL147" s="9" t="n">
        <f aca="false">Z147*$V147</f>
        <v>1400000</v>
      </c>
      <c r="AM147" s="9" t="n">
        <f aca="false">AA147*$V147</f>
        <v>700000</v>
      </c>
      <c r="AN147" s="9" t="n">
        <f aca="false">AB147*$V147</f>
        <v>700000</v>
      </c>
      <c r="AO147" s="9" t="n">
        <f aca="false">AC147*$V147</f>
        <v>700000</v>
      </c>
      <c r="AP147" s="9" t="n">
        <f aca="false">AD147*$V147</f>
        <v>700000</v>
      </c>
      <c r="AQ147" s="9" t="n">
        <f aca="false">AE147*$V147</f>
        <v>700000</v>
      </c>
      <c r="AR147" s="9" t="n">
        <f aca="false">AF147*$V147</f>
        <v>700000</v>
      </c>
      <c r="AS147" s="9" t="n">
        <f aca="false">AG147*$V147</f>
        <v>700000</v>
      </c>
      <c r="AT147" s="9" t="n">
        <f aca="false">AH147*$V147</f>
        <v>700000</v>
      </c>
      <c r="AU147" s="9" t="n">
        <f aca="false">AI147*$V147</f>
        <v>700000</v>
      </c>
      <c r="AV147" s="9" t="n">
        <f aca="false">SUM(X147:AI147)/1000</f>
        <v>75</v>
      </c>
      <c r="AW147" s="9" t="n">
        <f aca="false">SUM(AJ147:AU147)</f>
        <v>10500000</v>
      </c>
      <c r="AX147" s="9" t="n">
        <f aca="false">IF(D147="INR",AW147/88.24,AW147)/1000000</f>
        <v>0.118993653671804</v>
      </c>
    </row>
    <row r="148" s="2" customFormat="true" ht="14.25" hidden="false" customHeight="false" outlineLevel="0" collapsed="false">
      <c r="A148" s="12"/>
      <c r="B148" s="16" t="n">
        <v>1</v>
      </c>
      <c r="C148" s="15"/>
      <c r="D148" s="16" t="s">
        <v>102</v>
      </c>
      <c r="E148" s="16" t="s">
        <v>51</v>
      </c>
      <c r="F148" s="16" t="s">
        <v>52</v>
      </c>
      <c r="G148" s="16"/>
      <c r="H148" s="16" t="s">
        <v>336</v>
      </c>
      <c r="I148" s="16"/>
      <c r="J148" s="16"/>
      <c r="K148" s="16"/>
      <c r="L148" s="16"/>
      <c r="M148" s="16"/>
      <c r="N148" s="16" t="s">
        <v>79</v>
      </c>
      <c r="O148" s="16"/>
      <c r="P148" s="16"/>
      <c r="Q148" s="16" t="s">
        <v>199</v>
      </c>
      <c r="R148" s="16"/>
      <c r="S148" s="16"/>
      <c r="T148" s="16" t="s">
        <v>337</v>
      </c>
      <c r="U148" s="16" t="s">
        <v>63</v>
      </c>
      <c r="V148" s="16" t="n">
        <v>0.0065</v>
      </c>
      <c r="W148" s="16"/>
      <c r="X148" s="22"/>
      <c r="Y148" s="22"/>
      <c r="Z148" s="22"/>
      <c r="AA148" s="22" t="n">
        <v>44000</v>
      </c>
      <c r="AB148" s="22"/>
      <c r="AC148" s="22"/>
      <c r="AD148" s="22"/>
      <c r="AE148" s="22"/>
      <c r="AF148" s="22"/>
      <c r="AG148" s="22"/>
      <c r="AH148" s="22"/>
      <c r="AI148" s="16"/>
      <c r="AJ148" s="9" t="n">
        <f aca="false">X148*$V148</f>
        <v>0</v>
      </c>
      <c r="AK148" s="9" t="n">
        <f aca="false">Y148*$V148</f>
        <v>0</v>
      </c>
      <c r="AL148" s="9" t="n">
        <f aca="false">Z148*$V148</f>
        <v>0</v>
      </c>
      <c r="AM148" s="9" t="n">
        <f aca="false">AA148*$V148</f>
        <v>286</v>
      </c>
      <c r="AN148" s="9" t="n">
        <f aca="false">AB148*$V148</f>
        <v>0</v>
      </c>
      <c r="AO148" s="9" t="n">
        <f aca="false">AC148*$V148</f>
        <v>0</v>
      </c>
      <c r="AP148" s="9" t="n">
        <f aca="false">AD148*$V148</f>
        <v>0</v>
      </c>
      <c r="AQ148" s="9" t="n">
        <f aca="false">AE148*$V148</f>
        <v>0</v>
      </c>
      <c r="AR148" s="9" t="n">
        <f aca="false">AF148*$V148</f>
        <v>0</v>
      </c>
      <c r="AS148" s="9" t="n">
        <f aca="false">AG148*$V148</f>
        <v>0</v>
      </c>
      <c r="AT148" s="9" t="n">
        <f aca="false">AH148*$V148</f>
        <v>0</v>
      </c>
      <c r="AU148" s="9" t="n">
        <f aca="false">AI148*$V148</f>
        <v>0</v>
      </c>
      <c r="AV148" s="9" t="n">
        <f aca="false">SUM(X148:AI148)/1000</f>
        <v>44</v>
      </c>
      <c r="AW148" s="9" t="n">
        <f aca="false">SUM(AJ148:AU148)</f>
        <v>286</v>
      </c>
      <c r="AX148" s="9" t="n">
        <f aca="false">IF(D148="INR",AW148/88.24,AW148)/1000000</f>
        <v>0.000286</v>
      </c>
    </row>
    <row r="149" s="2" customFormat="true" ht="16.4" hidden="false" customHeight="false" outlineLevel="0" collapsed="false">
      <c r="A149" s="35" t="s">
        <v>338</v>
      </c>
      <c r="B149" s="9" t="n">
        <v>5</v>
      </c>
      <c r="C149" s="15"/>
      <c r="D149" s="16" t="s">
        <v>50</v>
      </c>
      <c r="E149" s="16" t="s">
        <v>51</v>
      </c>
      <c r="F149" s="16" t="s">
        <v>52</v>
      </c>
      <c r="G149" s="16" t="s">
        <v>274</v>
      </c>
      <c r="H149" s="9" t="s">
        <v>275</v>
      </c>
      <c r="I149" s="16" t="s">
        <v>260</v>
      </c>
      <c r="J149" s="16" t="s">
        <v>276</v>
      </c>
      <c r="K149" s="9"/>
      <c r="L149" s="16" t="s">
        <v>260</v>
      </c>
      <c r="M149" s="16" t="s">
        <v>276</v>
      </c>
      <c r="N149" s="16" t="s">
        <v>79</v>
      </c>
      <c r="O149" s="16" t="s">
        <v>68</v>
      </c>
      <c r="P149" s="9" t="s">
        <v>80</v>
      </c>
      <c r="Q149" s="16" t="s">
        <v>80</v>
      </c>
      <c r="R149" s="9" t="s">
        <v>81</v>
      </c>
      <c r="S149" s="9" t="s">
        <v>82</v>
      </c>
      <c r="T149" s="9" t="s">
        <v>326</v>
      </c>
      <c r="U149" s="16" t="s">
        <v>73</v>
      </c>
      <c r="V149" s="36" t="n">
        <v>27.15</v>
      </c>
      <c r="W149" s="9" t="n">
        <v>24.95228</v>
      </c>
      <c r="X149" s="22" t="n">
        <v>50000</v>
      </c>
      <c r="Y149" s="9" t="n">
        <v>50000</v>
      </c>
      <c r="Z149" s="9" t="n">
        <v>50000</v>
      </c>
      <c r="AA149" s="9" t="n">
        <v>50000</v>
      </c>
      <c r="AB149" s="9" t="n">
        <v>50000</v>
      </c>
      <c r="AC149" s="9" t="n">
        <v>50000</v>
      </c>
      <c r="AD149" s="23" t="n">
        <v>50000</v>
      </c>
      <c r="AE149" s="9" t="n">
        <v>50000</v>
      </c>
      <c r="AF149" s="9" t="n">
        <v>50000</v>
      </c>
      <c r="AG149" s="9" t="n">
        <v>50000</v>
      </c>
      <c r="AH149" s="9" t="n">
        <v>50000</v>
      </c>
      <c r="AI149" s="9" t="n">
        <v>50000</v>
      </c>
      <c r="AJ149" s="9" t="n">
        <f aca="false">X149*$V149</f>
        <v>1357500</v>
      </c>
      <c r="AK149" s="9" t="n">
        <f aca="false">Y149*$V149</f>
        <v>1357500</v>
      </c>
      <c r="AL149" s="9" t="n">
        <f aca="false">Z149*$V149</f>
        <v>1357500</v>
      </c>
      <c r="AM149" s="9" t="n">
        <f aca="false">AA149*$V149</f>
        <v>1357500</v>
      </c>
      <c r="AN149" s="9" t="n">
        <f aca="false">AB149*$V149</f>
        <v>1357500</v>
      </c>
      <c r="AO149" s="9" t="n">
        <f aca="false">AC149*$V149</f>
        <v>1357500</v>
      </c>
      <c r="AP149" s="9" t="n">
        <f aca="false">AD149*$V149</f>
        <v>1357500</v>
      </c>
      <c r="AQ149" s="9" t="n">
        <f aca="false">AE149*$V149</f>
        <v>1357500</v>
      </c>
      <c r="AR149" s="9" t="n">
        <f aca="false">AF149*$V149</f>
        <v>1357500</v>
      </c>
      <c r="AS149" s="9" t="n">
        <f aca="false">AG149*$V149</f>
        <v>1357500</v>
      </c>
      <c r="AT149" s="9" t="n">
        <f aca="false">AH149*$V149</f>
        <v>1357500</v>
      </c>
      <c r="AU149" s="9" t="n">
        <f aca="false">AI149*$V149</f>
        <v>1357500</v>
      </c>
      <c r="AV149" s="9" t="n">
        <f aca="false">SUM(X149:AI149)/1000</f>
        <v>600</v>
      </c>
      <c r="AW149" s="9" t="n">
        <f aca="false">SUM(AJ149:AU149)</f>
        <v>16290000</v>
      </c>
      <c r="AX149" s="9" t="n">
        <f aca="false">IF(D149="INR",AW149/88.24,AW149)/1000000</f>
        <v>0.184610154125113</v>
      </c>
    </row>
    <row r="150" s="2" customFormat="true" ht="16.4" hidden="false" customHeight="false" outlineLevel="0" collapsed="false">
      <c r="A150" s="35" t="s">
        <v>339</v>
      </c>
      <c r="B150" s="9" t="n">
        <v>5</v>
      </c>
      <c r="C150" s="15"/>
      <c r="D150" s="16" t="s">
        <v>50</v>
      </c>
      <c r="E150" s="16" t="s">
        <v>51</v>
      </c>
      <c r="F150" s="16" t="s">
        <v>243</v>
      </c>
      <c r="G150" s="16" t="s">
        <v>340</v>
      </c>
      <c r="H150" s="9" t="s">
        <v>341</v>
      </c>
      <c r="I150" s="16" t="s">
        <v>55</v>
      </c>
      <c r="J150" s="16" t="s">
        <v>56</v>
      </c>
      <c r="K150" s="9"/>
      <c r="L150" s="16" t="s">
        <v>55</v>
      </c>
      <c r="M150" s="16" t="s">
        <v>56</v>
      </c>
      <c r="N150" s="16" t="s">
        <v>93</v>
      </c>
      <c r="O150" s="16" t="s">
        <v>58</v>
      </c>
      <c r="P150" s="9" t="s">
        <v>69</v>
      </c>
      <c r="Q150" s="16" t="s">
        <v>69</v>
      </c>
      <c r="R150" s="9" t="s">
        <v>70</v>
      </c>
      <c r="S150" s="9" t="s">
        <v>71</v>
      </c>
      <c r="T150" s="9" t="s">
        <v>249</v>
      </c>
      <c r="U150" s="16" t="s">
        <v>73</v>
      </c>
      <c r="V150" s="36" t="n">
        <v>9</v>
      </c>
      <c r="W150" s="9" t="n">
        <v>0.078</v>
      </c>
      <c r="X150" s="22" t="n">
        <v>150000</v>
      </c>
      <c r="Y150" s="9" t="n">
        <v>150000</v>
      </c>
      <c r="Z150" s="9" t="n">
        <v>150000</v>
      </c>
      <c r="AA150" s="9" t="n">
        <v>150000</v>
      </c>
      <c r="AB150" s="9" t="n">
        <v>150000</v>
      </c>
      <c r="AC150" s="9" t="n">
        <v>150000</v>
      </c>
      <c r="AD150" s="23" t="n">
        <v>150000</v>
      </c>
      <c r="AE150" s="9" t="n">
        <v>150000</v>
      </c>
      <c r="AF150" s="9" t="n">
        <v>150000</v>
      </c>
      <c r="AG150" s="9" t="n">
        <v>150000</v>
      </c>
      <c r="AH150" s="9" t="n">
        <v>150000</v>
      </c>
      <c r="AI150" s="9" t="n">
        <v>150000</v>
      </c>
      <c r="AJ150" s="9" t="n">
        <f aca="false">X150*$V150</f>
        <v>1350000</v>
      </c>
      <c r="AK150" s="9" t="n">
        <f aca="false">Y150*$V150</f>
        <v>1350000</v>
      </c>
      <c r="AL150" s="9" t="n">
        <f aca="false">Z150*$V150</f>
        <v>1350000</v>
      </c>
      <c r="AM150" s="9" t="n">
        <f aca="false">AA150*$V150</f>
        <v>1350000</v>
      </c>
      <c r="AN150" s="9" t="n">
        <f aca="false">AB150*$V150</f>
        <v>1350000</v>
      </c>
      <c r="AO150" s="9" t="n">
        <f aca="false">AC150*$V150</f>
        <v>1350000</v>
      </c>
      <c r="AP150" s="9" t="n">
        <f aca="false">AD150*$V150</f>
        <v>1350000</v>
      </c>
      <c r="AQ150" s="9" t="n">
        <f aca="false">AE150*$V150</f>
        <v>1350000</v>
      </c>
      <c r="AR150" s="9" t="n">
        <f aca="false">AF150*$V150</f>
        <v>1350000</v>
      </c>
      <c r="AS150" s="9" t="n">
        <f aca="false">AG150*$V150</f>
        <v>1350000</v>
      </c>
      <c r="AT150" s="9" t="n">
        <f aca="false">AH150*$V150</f>
        <v>1350000</v>
      </c>
      <c r="AU150" s="9" t="n">
        <f aca="false">AI150*$V150</f>
        <v>1350000</v>
      </c>
      <c r="AV150" s="9" t="n">
        <f aca="false">SUM(X150:AI150)/1000</f>
        <v>1800</v>
      </c>
      <c r="AW150" s="9" t="n">
        <f aca="false">SUM(AJ150:AU150)</f>
        <v>16200000</v>
      </c>
      <c r="AX150" s="9" t="n">
        <f aca="false">IF(D150="INR",AW150/88.24,AW150)/1000000</f>
        <v>0.183590208522212</v>
      </c>
    </row>
    <row r="151" s="2" customFormat="true" ht="14.25" hidden="false" customHeight="true" outlineLevel="0" collapsed="false">
      <c r="A151" s="35" t="s">
        <v>342</v>
      </c>
      <c r="B151" s="9" t="n">
        <v>5</v>
      </c>
      <c r="C151" s="15"/>
      <c r="D151" s="16" t="s">
        <v>50</v>
      </c>
      <c r="E151" s="16" t="s">
        <v>51</v>
      </c>
      <c r="F151" s="16" t="s">
        <v>52</v>
      </c>
      <c r="G151" s="16" t="s">
        <v>254</v>
      </c>
      <c r="H151" s="9" t="s">
        <v>255</v>
      </c>
      <c r="I151" s="16" t="s">
        <v>55</v>
      </c>
      <c r="J151" s="16" t="s">
        <v>256</v>
      </c>
      <c r="K151" s="9"/>
      <c r="L151" s="16" t="s">
        <v>55</v>
      </c>
      <c r="M151" s="16" t="s">
        <v>256</v>
      </c>
      <c r="N151" s="16" t="s">
        <v>67</v>
      </c>
      <c r="O151" s="16" t="s">
        <v>246</v>
      </c>
      <c r="P151" s="9" t="s">
        <v>69</v>
      </c>
      <c r="Q151" s="16" t="s">
        <v>69</v>
      </c>
      <c r="R151" s="9" t="s">
        <v>70</v>
      </c>
      <c r="S151" s="9" t="s">
        <v>71</v>
      </c>
      <c r="T151" s="9" t="s">
        <v>247</v>
      </c>
      <c r="U151" s="16" t="s">
        <v>73</v>
      </c>
      <c r="V151" s="36" t="n">
        <v>44</v>
      </c>
      <c r="W151" s="9" t="n">
        <v>0.38</v>
      </c>
      <c r="X151" s="22" t="n">
        <v>30000</v>
      </c>
      <c r="Y151" s="9" t="n">
        <v>30000</v>
      </c>
      <c r="Z151" s="9" t="n">
        <v>30000</v>
      </c>
      <c r="AA151" s="9" t="n">
        <v>30000</v>
      </c>
      <c r="AB151" s="9" t="n">
        <v>30000</v>
      </c>
      <c r="AC151" s="9" t="n">
        <v>30000</v>
      </c>
      <c r="AD151" s="23" t="n">
        <v>30000</v>
      </c>
      <c r="AE151" s="9" t="n">
        <v>30000</v>
      </c>
      <c r="AF151" s="9" t="n">
        <v>30000</v>
      </c>
      <c r="AG151" s="9" t="n">
        <v>30000</v>
      </c>
      <c r="AH151" s="9" t="n">
        <v>30000</v>
      </c>
      <c r="AI151" s="9" t="n">
        <v>30000</v>
      </c>
      <c r="AJ151" s="9" t="n">
        <f aca="false">X151*$V151</f>
        <v>1320000</v>
      </c>
      <c r="AK151" s="9" t="n">
        <f aca="false">Y151*$V151</f>
        <v>1320000</v>
      </c>
      <c r="AL151" s="9" t="n">
        <f aca="false">Z151*$V151</f>
        <v>1320000</v>
      </c>
      <c r="AM151" s="9" t="n">
        <f aca="false">AA151*$V151</f>
        <v>1320000</v>
      </c>
      <c r="AN151" s="9" t="n">
        <f aca="false">AB151*$V151</f>
        <v>1320000</v>
      </c>
      <c r="AO151" s="9" t="n">
        <f aca="false">AC151*$V151</f>
        <v>1320000</v>
      </c>
      <c r="AP151" s="9" t="n">
        <f aca="false">AD151*$V151</f>
        <v>1320000</v>
      </c>
      <c r="AQ151" s="9" t="n">
        <f aca="false">AE151*$V151</f>
        <v>1320000</v>
      </c>
      <c r="AR151" s="9" t="n">
        <f aca="false">AF151*$V151</f>
        <v>1320000</v>
      </c>
      <c r="AS151" s="9" t="n">
        <f aca="false">AG151*$V151</f>
        <v>1320000</v>
      </c>
      <c r="AT151" s="9" t="n">
        <f aca="false">AH151*$V151</f>
        <v>1320000</v>
      </c>
      <c r="AU151" s="9" t="n">
        <f aca="false">AI151*$V151</f>
        <v>1320000</v>
      </c>
      <c r="AV151" s="9" t="n">
        <f aca="false">SUM(X151:AI151)/1000</f>
        <v>360</v>
      </c>
      <c r="AW151" s="9" t="n">
        <f aca="false">SUM(AJ151:AU151)</f>
        <v>15840000</v>
      </c>
      <c r="AX151" s="9" t="n">
        <f aca="false">IF(D151="INR",AW151/88.24,AW151)/1000000</f>
        <v>0.179510426110607</v>
      </c>
    </row>
    <row r="152" s="2" customFormat="true" ht="14.25" hidden="false" customHeight="false" outlineLevel="0" collapsed="false">
      <c r="A152" s="28"/>
      <c r="B152" s="16" t="n">
        <v>1</v>
      </c>
      <c r="C152" s="16"/>
      <c r="D152" s="16" t="s">
        <v>102</v>
      </c>
      <c r="E152" s="16" t="s">
        <v>51</v>
      </c>
      <c r="F152" s="16" t="s">
        <v>52</v>
      </c>
      <c r="G152" s="16"/>
      <c r="H152" s="16" t="s">
        <v>336</v>
      </c>
      <c r="I152" s="16"/>
      <c r="J152" s="16"/>
      <c r="K152" s="16"/>
      <c r="L152" s="16"/>
      <c r="M152" s="16"/>
      <c r="N152" s="16" t="s">
        <v>79</v>
      </c>
      <c r="O152" s="16"/>
      <c r="P152" s="16"/>
      <c r="Q152" s="16" t="s">
        <v>199</v>
      </c>
      <c r="R152" s="16"/>
      <c r="S152" s="16"/>
      <c r="T152" s="16" t="s">
        <v>343</v>
      </c>
      <c r="U152" s="16" t="s">
        <v>63</v>
      </c>
      <c r="V152" s="16" t="n">
        <v>0.0037</v>
      </c>
      <c r="W152" s="16"/>
      <c r="X152" s="16"/>
      <c r="Y152" s="16"/>
      <c r="Z152" s="16"/>
      <c r="AA152" s="16" t="n">
        <v>20000</v>
      </c>
      <c r="AB152" s="16"/>
      <c r="AC152" s="16"/>
      <c r="AD152" s="16"/>
      <c r="AE152" s="16"/>
      <c r="AF152" s="16"/>
      <c r="AG152" s="16"/>
      <c r="AH152" s="16"/>
      <c r="AI152" s="16"/>
      <c r="AJ152" s="9" t="n">
        <f aca="false">X152*$V152</f>
        <v>0</v>
      </c>
      <c r="AK152" s="9" t="n">
        <f aca="false">Y152*$V152</f>
        <v>0</v>
      </c>
      <c r="AL152" s="9" t="n">
        <f aca="false">Z152*$V152</f>
        <v>0</v>
      </c>
      <c r="AM152" s="9" t="n">
        <f aca="false">AA152*$V152</f>
        <v>74</v>
      </c>
      <c r="AN152" s="9" t="n">
        <f aca="false">AB152*$V152</f>
        <v>0</v>
      </c>
      <c r="AO152" s="9" t="n">
        <f aca="false">AC152*$V152</f>
        <v>0</v>
      </c>
      <c r="AP152" s="9" t="n">
        <f aca="false">AD152*$V152</f>
        <v>0</v>
      </c>
      <c r="AQ152" s="9" t="n">
        <f aca="false">AE152*$V152</f>
        <v>0</v>
      </c>
      <c r="AR152" s="9" t="n">
        <f aca="false">AF152*$V152</f>
        <v>0</v>
      </c>
      <c r="AS152" s="9" t="n">
        <f aca="false">AG152*$V152</f>
        <v>0</v>
      </c>
      <c r="AT152" s="9" t="n">
        <f aca="false">AH152*$V152</f>
        <v>0</v>
      </c>
      <c r="AU152" s="9" t="n">
        <f aca="false">AI152*$V152</f>
        <v>0</v>
      </c>
      <c r="AV152" s="9" t="n">
        <f aca="false">SUM(X152:AI152)/1000</f>
        <v>20</v>
      </c>
      <c r="AW152" s="9" t="n">
        <f aca="false">SUM(AJ152:AU152)</f>
        <v>74</v>
      </c>
      <c r="AX152" s="9" t="n">
        <f aca="false">IF(D152="INR",AW152/88.24,AW152)/1000000</f>
        <v>7.4E-005</v>
      </c>
    </row>
    <row r="153" s="2" customFormat="true" ht="16.4" hidden="false" customHeight="false" outlineLevel="0" collapsed="false">
      <c r="A153" s="35" t="s">
        <v>344</v>
      </c>
      <c r="B153" s="9" t="n">
        <v>5</v>
      </c>
      <c r="C153" s="15"/>
      <c r="D153" s="16" t="s">
        <v>50</v>
      </c>
      <c r="E153" s="16" t="s">
        <v>51</v>
      </c>
      <c r="F153" s="16" t="s">
        <v>52</v>
      </c>
      <c r="G153" s="16" t="s">
        <v>345</v>
      </c>
      <c r="H153" s="9" t="s">
        <v>346</v>
      </c>
      <c r="I153" s="16" t="s">
        <v>55</v>
      </c>
      <c r="J153" s="16" t="s">
        <v>56</v>
      </c>
      <c r="K153" s="9"/>
      <c r="L153" s="16" t="s">
        <v>55</v>
      </c>
      <c r="M153" s="16" t="s">
        <v>56</v>
      </c>
      <c r="N153" s="16" t="s">
        <v>290</v>
      </c>
      <c r="O153" s="16" t="s">
        <v>94</v>
      </c>
      <c r="P153" s="9" t="s">
        <v>110</v>
      </c>
      <c r="Q153" s="9" t="s">
        <v>110</v>
      </c>
      <c r="R153" s="9" t="s">
        <v>137</v>
      </c>
      <c r="S153" s="9" t="s">
        <v>272</v>
      </c>
      <c r="T153" s="9" t="s">
        <v>347</v>
      </c>
      <c r="U153" s="16" t="s">
        <v>73</v>
      </c>
      <c r="V153" s="36" t="n">
        <v>130</v>
      </c>
      <c r="W153" s="9" t="n">
        <v>1.163</v>
      </c>
      <c r="X153" s="22"/>
      <c r="Y153" s="9" t="n">
        <v>10000</v>
      </c>
      <c r="Z153" s="9" t="n">
        <v>10000</v>
      </c>
      <c r="AA153" s="9" t="n">
        <v>10000</v>
      </c>
      <c r="AB153" s="9" t="n">
        <v>10000</v>
      </c>
      <c r="AC153" s="9" t="n">
        <v>10000</v>
      </c>
      <c r="AD153" s="23" t="n">
        <v>10000</v>
      </c>
      <c r="AE153" s="9" t="n">
        <v>10000</v>
      </c>
      <c r="AF153" s="9" t="n">
        <v>10000</v>
      </c>
      <c r="AG153" s="9" t="n">
        <v>10000</v>
      </c>
      <c r="AH153" s="9" t="n">
        <v>10000</v>
      </c>
      <c r="AI153" s="9" t="n">
        <v>10000</v>
      </c>
      <c r="AJ153" s="9" t="n">
        <f aca="false">X153*$V153</f>
        <v>0</v>
      </c>
      <c r="AK153" s="9" t="n">
        <f aca="false">Y153*$V153</f>
        <v>1300000</v>
      </c>
      <c r="AL153" s="9" t="n">
        <f aca="false">Z153*$V153</f>
        <v>1300000</v>
      </c>
      <c r="AM153" s="9" t="n">
        <f aca="false">AA153*$V153</f>
        <v>1300000</v>
      </c>
      <c r="AN153" s="9" t="n">
        <f aca="false">AB153*$V153</f>
        <v>1300000</v>
      </c>
      <c r="AO153" s="9" t="n">
        <f aca="false">AC153*$V153</f>
        <v>1300000</v>
      </c>
      <c r="AP153" s="9" t="n">
        <f aca="false">AD153*$V153</f>
        <v>1300000</v>
      </c>
      <c r="AQ153" s="9" t="n">
        <f aca="false">AE153*$V153</f>
        <v>1300000</v>
      </c>
      <c r="AR153" s="9" t="n">
        <f aca="false">AF153*$V153</f>
        <v>1300000</v>
      </c>
      <c r="AS153" s="9" t="n">
        <f aca="false">AG153*$V153</f>
        <v>1300000</v>
      </c>
      <c r="AT153" s="9" t="n">
        <f aca="false">AH153*$V153</f>
        <v>1300000</v>
      </c>
      <c r="AU153" s="9" t="n">
        <f aca="false">AI153*$V153</f>
        <v>1300000</v>
      </c>
      <c r="AV153" s="9" t="n">
        <f aca="false">SUM(X153:AI153)/1000</f>
        <v>110</v>
      </c>
      <c r="AW153" s="9" t="n">
        <f aca="false">SUM(AJ153:AU153)</f>
        <v>14300000</v>
      </c>
      <c r="AX153" s="9" t="n">
        <f aca="false">IF(D153="INR",AW153/88.24,AW153)/1000000</f>
        <v>0.162058023572076</v>
      </c>
    </row>
    <row r="154" s="2" customFormat="true" ht="14.25" hidden="false" customHeight="false" outlineLevel="0" collapsed="false">
      <c r="A154" s="35"/>
      <c r="B154" s="16" t="n">
        <v>1</v>
      </c>
      <c r="C154" s="9"/>
      <c r="D154" s="16" t="s">
        <v>102</v>
      </c>
      <c r="E154" s="16" t="s">
        <v>51</v>
      </c>
      <c r="F154" s="16" t="s">
        <v>52</v>
      </c>
      <c r="G154" s="9"/>
      <c r="H154" s="16" t="s">
        <v>336</v>
      </c>
      <c r="I154" s="9"/>
      <c r="J154" s="9"/>
      <c r="K154" s="9"/>
      <c r="L154" s="9"/>
      <c r="M154" s="9"/>
      <c r="N154" s="16" t="s">
        <v>79</v>
      </c>
      <c r="O154" s="9"/>
      <c r="P154" s="9"/>
      <c r="Q154" s="16" t="s">
        <v>348</v>
      </c>
      <c r="R154" s="9"/>
      <c r="S154" s="9"/>
      <c r="T154" s="9" t="s">
        <v>349</v>
      </c>
      <c r="U154" s="9" t="s">
        <v>63</v>
      </c>
      <c r="V154" s="16" t="n">
        <v>0.0335</v>
      </c>
      <c r="W154" s="9"/>
      <c r="X154" s="16"/>
      <c r="Y154" s="16"/>
      <c r="Z154" s="16"/>
      <c r="AA154" s="16" t="n">
        <v>12000</v>
      </c>
      <c r="AB154" s="16"/>
      <c r="AC154" s="16"/>
      <c r="AD154" s="16"/>
      <c r="AE154" s="16"/>
      <c r="AF154" s="16"/>
      <c r="AG154" s="16"/>
      <c r="AH154" s="16"/>
      <c r="AI154" s="16"/>
      <c r="AJ154" s="9" t="n">
        <f aca="false">X154*$V154</f>
        <v>0</v>
      </c>
      <c r="AK154" s="9" t="n">
        <f aca="false">Y154*$V154</f>
        <v>0</v>
      </c>
      <c r="AL154" s="9" t="n">
        <f aca="false">Z154*$V154</f>
        <v>0</v>
      </c>
      <c r="AM154" s="9" t="n">
        <f aca="false">AA154*$V154</f>
        <v>402</v>
      </c>
      <c r="AN154" s="9" t="n">
        <f aca="false">AB154*$V154</f>
        <v>0</v>
      </c>
      <c r="AO154" s="9" t="n">
        <f aca="false">AC154*$V154</f>
        <v>0</v>
      </c>
      <c r="AP154" s="9" t="n">
        <f aca="false">AD154*$V154</f>
        <v>0</v>
      </c>
      <c r="AQ154" s="9" t="n">
        <f aca="false">AE154*$V154</f>
        <v>0</v>
      </c>
      <c r="AR154" s="9" t="n">
        <f aca="false">AF154*$V154</f>
        <v>0</v>
      </c>
      <c r="AS154" s="9" t="n">
        <f aca="false">AG154*$V154</f>
        <v>0</v>
      </c>
      <c r="AT154" s="9" t="n">
        <f aca="false">AH154*$V154</f>
        <v>0</v>
      </c>
      <c r="AU154" s="9" t="n">
        <f aca="false">AI154*$V154</f>
        <v>0</v>
      </c>
      <c r="AV154" s="9" t="n">
        <f aca="false">SUM(X154:AI154)/1000</f>
        <v>12</v>
      </c>
      <c r="AW154" s="9" t="n">
        <f aca="false">SUM(AJ154:AU154)</f>
        <v>402</v>
      </c>
      <c r="AX154" s="9" t="n">
        <f aca="false">IF(D154="INR",AW154/88.24,AW154)/1000000</f>
        <v>0.000402</v>
      </c>
    </row>
    <row r="155" s="2" customFormat="true" ht="14.25" hidden="false" customHeight="true" outlineLevel="0" collapsed="false">
      <c r="A155" s="28"/>
      <c r="B155" s="16" t="n">
        <v>1</v>
      </c>
      <c r="C155" s="16"/>
      <c r="D155" s="16" t="s">
        <v>102</v>
      </c>
      <c r="E155" s="16" t="s">
        <v>51</v>
      </c>
      <c r="F155" s="16" t="s">
        <v>52</v>
      </c>
      <c r="G155" s="16"/>
      <c r="H155" s="16" t="s">
        <v>336</v>
      </c>
      <c r="I155" s="16"/>
      <c r="J155" s="16"/>
      <c r="K155" s="16"/>
      <c r="L155" s="16"/>
      <c r="M155" s="16"/>
      <c r="N155" s="16" t="s">
        <v>79</v>
      </c>
      <c r="O155" s="16"/>
      <c r="P155" s="16"/>
      <c r="Q155" s="16" t="s">
        <v>199</v>
      </c>
      <c r="R155" s="16"/>
      <c r="S155" s="16"/>
      <c r="T155" s="16" t="s">
        <v>350</v>
      </c>
      <c r="U155" s="16" t="s">
        <v>63</v>
      </c>
      <c r="V155" s="37" t="n">
        <v>0.004</v>
      </c>
      <c r="W155" s="16"/>
      <c r="X155" s="30"/>
      <c r="Y155" s="30"/>
      <c r="Z155" s="30"/>
      <c r="AA155" s="30" t="n">
        <v>12000</v>
      </c>
      <c r="AB155" s="30"/>
      <c r="AC155" s="30"/>
      <c r="AD155" s="30"/>
      <c r="AE155" s="30"/>
      <c r="AF155" s="30"/>
      <c r="AG155" s="30"/>
      <c r="AH155" s="30"/>
      <c r="AI155" s="30"/>
      <c r="AJ155" s="9" t="n">
        <f aca="false">X155*$V155</f>
        <v>0</v>
      </c>
      <c r="AK155" s="9" t="n">
        <f aca="false">Y155*$V155</f>
        <v>0</v>
      </c>
      <c r="AL155" s="9" t="n">
        <f aca="false">Z155*$V155</f>
        <v>0</v>
      </c>
      <c r="AM155" s="9" t="n">
        <f aca="false">AA155*$V155</f>
        <v>48</v>
      </c>
      <c r="AN155" s="9" t="n">
        <f aca="false">AB155*$V155</f>
        <v>0</v>
      </c>
      <c r="AO155" s="9" t="n">
        <f aca="false">AC155*$V155</f>
        <v>0</v>
      </c>
      <c r="AP155" s="9" t="n">
        <f aca="false">AD155*$V155</f>
        <v>0</v>
      </c>
      <c r="AQ155" s="9" t="n">
        <f aca="false">AE155*$V155</f>
        <v>0</v>
      </c>
      <c r="AR155" s="9" t="n">
        <f aca="false">AF155*$V155</f>
        <v>0</v>
      </c>
      <c r="AS155" s="9" t="n">
        <f aca="false">AG155*$V155</f>
        <v>0</v>
      </c>
      <c r="AT155" s="9" t="n">
        <f aca="false">AH155*$V155</f>
        <v>0</v>
      </c>
      <c r="AU155" s="9" t="n">
        <f aca="false">AI155*$V155</f>
        <v>0</v>
      </c>
      <c r="AV155" s="9" t="n">
        <f aca="false">SUM(X155:AI155)/1000</f>
        <v>12</v>
      </c>
      <c r="AW155" s="9" t="n">
        <f aca="false">SUM(AJ155:AU155)</f>
        <v>48</v>
      </c>
      <c r="AX155" s="9" t="n">
        <f aca="false">IF(D155="INR",AW155/88.24,AW155)/1000000</f>
        <v>4.8E-005</v>
      </c>
    </row>
    <row r="156" s="2" customFormat="true" ht="14.25" hidden="false" customHeight="false" outlineLevel="0" collapsed="false">
      <c r="A156" s="12"/>
      <c r="B156" s="16" t="n">
        <v>1</v>
      </c>
      <c r="C156" s="15"/>
      <c r="D156" s="16" t="s">
        <v>102</v>
      </c>
      <c r="E156" s="16" t="s">
        <v>51</v>
      </c>
      <c r="F156" s="16" t="s">
        <v>52</v>
      </c>
      <c r="G156" s="16"/>
      <c r="H156" s="16" t="s">
        <v>336</v>
      </c>
      <c r="I156" s="16"/>
      <c r="J156" s="16"/>
      <c r="K156" s="16"/>
      <c r="L156" s="16"/>
      <c r="M156" s="16"/>
      <c r="N156" s="16" t="s">
        <v>79</v>
      </c>
      <c r="O156" s="16"/>
      <c r="P156" s="16"/>
      <c r="Q156" s="16" t="s">
        <v>199</v>
      </c>
      <c r="R156" s="16"/>
      <c r="S156" s="16"/>
      <c r="T156" s="16" t="s">
        <v>351</v>
      </c>
      <c r="U156" s="16" t="s">
        <v>63</v>
      </c>
      <c r="V156" s="16" t="n">
        <v>0.4516</v>
      </c>
      <c r="W156" s="16"/>
      <c r="X156" s="22"/>
      <c r="Y156" s="22"/>
      <c r="Z156" s="22"/>
      <c r="AA156" s="22" t="n">
        <v>10000</v>
      </c>
      <c r="AB156" s="22"/>
      <c r="AC156" s="22"/>
      <c r="AD156" s="22"/>
      <c r="AE156" s="22"/>
      <c r="AF156" s="22"/>
      <c r="AG156" s="22"/>
      <c r="AH156" s="22"/>
      <c r="AI156" s="22"/>
      <c r="AJ156" s="9" t="n">
        <f aca="false">X156*$V156</f>
        <v>0</v>
      </c>
      <c r="AK156" s="9" t="n">
        <f aca="false">Y156*$V156</f>
        <v>0</v>
      </c>
      <c r="AL156" s="9" t="n">
        <f aca="false">Z156*$V156</f>
        <v>0</v>
      </c>
      <c r="AM156" s="9" t="n">
        <f aca="false">AA156*$V156</f>
        <v>4516</v>
      </c>
      <c r="AN156" s="9" t="n">
        <f aca="false">AB156*$V156</f>
        <v>0</v>
      </c>
      <c r="AO156" s="9" t="n">
        <f aca="false">AC156*$V156</f>
        <v>0</v>
      </c>
      <c r="AP156" s="9" t="n">
        <f aca="false">AD156*$V156</f>
        <v>0</v>
      </c>
      <c r="AQ156" s="9" t="n">
        <f aca="false">AE156*$V156</f>
        <v>0</v>
      </c>
      <c r="AR156" s="9" t="n">
        <f aca="false">AF156*$V156</f>
        <v>0</v>
      </c>
      <c r="AS156" s="9" t="n">
        <f aca="false">AG156*$V156</f>
        <v>0</v>
      </c>
      <c r="AT156" s="9" t="n">
        <f aca="false">AH156*$V156</f>
        <v>0</v>
      </c>
      <c r="AU156" s="9" t="n">
        <f aca="false">AI156*$V156</f>
        <v>0</v>
      </c>
      <c r="AV156" s="9" t="n">
        <f aca="false">SUM(X156:AI156)/1000</f>
        <v>10</v>
      </c>
      <c r="AW156" s="9" t="n">
        <f aca="false">SUM(AJ156:AU156)</f>
        <v>4516</v>
      </c>
      <c r="AX156" s="9" t="n">
        <f aca="false">IF(D156="INR",AW156/88.24,AW156)/1000000</f>
        <v>0.004516</v>
      </c>
    </row>
    <row r="157" s="2" customFormat="true" ht="14.25" hidden="false" customHeight="true" outlineLevel="0" collapsed="false">
      <c r="A157" s="28"/>
      <c r="B157" s="16" t="n">
        <v>1</v>
      </c>
      <c r="C157" s="16"/>
      <c r="D157" s="16" t="s">
        <v>102</v>
      </c>
      <c r="E157" s="16" t="s">
        <v>51</v>
      </c>
      <c r="F157" s="16" t="s">
        <v>52</v>
      </c>
      <c r="G157" s="16"/>
      <c r="H157" s="16" t="s">
        <v>336</v>
      </c>
      <c r="I157" s="16"/>
      <c r="J157" s="16"/>
      <c r="K157" s="16"/>
      <c r="L157" s="16"/>
      <c r="M157" s="16"/>
      <c r="N157" s="16" t="s">
        <v>79</v>
      </c>
      <c r="O157" s="16"/>
      <c r="P157" s="16"/>
      <c r="Q157" s="16" t="s">
        <v>199</v>
      </c>
      <c r="R157" s="16"/>
      <c r="S157" s="16"/>
      <c r="T157" s="26" t="s">
        <v>352</v>
      </c>
      <c r="U157" s="26" t="s">
        <v>63</v>
      </c>
      <c r="V157" s="26" t="n">
        <v>0.0053</v>
      </c>
      <c r="W157" s="26"/>
      <c r="X157" s="30"/>
      <c r="Y157" s="30"/>
      <c r="Z157" s="30"/>
      <c r="AA157" s="30" t="n">
        <v>10000</v>
      </c>
      <c r="AB157" s="30"/>
      <c r="AC157" s="30"/>
      <c r="AD157" s="30"/>
      <c r="AE157" s="30"/>
      <c r="AF157" s="30"/>
      <c r="AG157" s="30"/>
      <c r="AH157" s="30"/>
      <c r="AI157" s="30"/>
      <c r="AJ157" s="9" t="n">
        <f aca="false">X157*$V157</f>
        <v>0</v>
      </c>
      <c r="AK157" s="9" t="n">
        <f aca="false">Y157*$V157</f>
        <v>0</v>
      </c>
      <c r="AL157" s="9" t="n">
        <f aca="false">Z157*$V157</f>
        <v>0</v>
      </c>
      <c r="AM157" s="9" t="n">
        <f aca="false">AA157*$V157</f>
        <v>53</v>
      </c>
      <c r="AN157" s="9" t="n">
        <f aca="false">AB157*$V157</f>
        <v>0</v>
      </c>
      <c r="AO157" s="9" t="n">
        <f aca="false">AC157*$V157</f>
        <v>0</v>
      </c>
      <c r="AP157" s="9" t="n">
        <f aca="false">AD157*$V157</f>
        <v>0</v>
      </c>
      <c r="AQ157" s="9" t="n">
        <f aca="false">AE157*$V157</f>
        <v>0</v>
      </c>
      <c r="AR157" s="9" t="n">
        <f aca="false">AF157*$V157</f>
        <v>0</v>
      </c>
      <c r="AS157" s="9" t="n">
        <f aca="false">AG157*$V157</f>
        <v>0</v>
      </c>
      <c r="AT157" s="9" t="n">
        <f aca="false">AH157*$V157</f>
        <v>0</v>
      </c>
      <c r="AU157" s="9" t="n">
        <f aca="false">AI157*$V157</f>
        <v>0</v>
      </c>
      <c r="AV157" s="9" t="n">
        <f aca="false">SUM(X157:AI157)/1000</f>
        <v>10</v>
      </c>
      <c r="AW157" s="9" t="n">
        <f aca="false">SUM(AJ157:AU157)</f>
        <v>53</v>
      </c>
      <c r="AX157" s="9" t="n">
        <f aca="false">IF(D157="INR",AW157/88.24,AW157)/1000000</f>
        <v>5.3E-005</v>
      </c>
    </row>
    <row r="158" s="2" customFormat="true" ht="16.4" hidden="false" customHeight="false" outlineLevel="0" collapsed="false">
      <c r="A158" s="35" t="s">
        <v>353</v>
      </c>
      <c r="B158" s="9" t="n">
        <v>5</v>
      </c>
      <c r="C158" s="15"/>
      <c r="D158" s="16" t="s">
        <v>50</v>
      </c>
      <c r="E158" s="16" t="s">
        <v>51</v>
      </c>
      <c r="F158" s="16" t="s">
        <v>243</v>
      </c>
      <c r="G158" s="16" t="s">
        <v>244</v>
      </c>
      <c r="H158" s="9" t="s">
        <v>245</v>
      </c>
      <c r="I158" s="16" t="s">
        <v>55</v>
      </c>
      <c r="J158" s="16" t="s">
        <v>56</v>
      </c>
      <c r="K158" s="9"/>
      <c r="L158" s="16" t="s">
        <v>55</v>
      </c>
      <c r="M158" s="16" t="s">
        <v>56</v>
      </c>
      <c r="N158" s="16" t="s">
        <v>93</v>
      </c>
      <c r="O158" s="16" t="s">
        <v>246</v>
      </c>
      <c r="P158" s="9" t="s">
        <v>308</v>
      </c>
      <c r="Q158" s="16" t="s">
        <v>308</v>
      </c>
      <c r="R158" s="9" t="s">
        <v>309</v>
      </c>
      <c r="S158" s="9" t="s">
        <v>264</v>
      </c>
      <c r="T158" s="9" t="s">
        <v>354</v>
      </c>
      <c r="U158" s="16" t="s">
        <v>73</v>
      </c>
      <c r="V158" s="36" t="n">
        <v>6.9</v>
      </c>
      <c r="W158" s="9" t="n">
        <v>6.1</v>
      </c>
      <c r="X158" s="22" t="n">
        <v>150000</v>
      </c>
      <c r="Y158" s="9" t="n">
        <v>150000</v>
      </c>
      <c r="Z158" s="9" t="n">
        <v>150000</v>
      </c>
      <c r="AA158" s="9" t="n">
        <v>150000</v>
      </c>
      <c r="AB158" s="9" t="n">
        <v>150000</v>
      </c>
      <c r="AC158" s="9" t="n">
        <v>150000</v>
      </c>
      <c r="AD158" s="23" t="n">
        <v>150000</v>
      </c>
      <c r="AE158" s="9" t="n">
        <v>150000</v>
      </c>
      <c r="AF158" s="9" t="n">
        <v>150000</v>
      </c>
      <c r="AG158" s="9" t="n">
        <v>150000</v>
      </c>
      <c r="AH158" s="9" t="n">
        <v>150000</v>
      </c>
      <c r="AI158" s="9" t="n">
        <v>150000</v>
      </c>
      <c r="AJ158" s="9" t="n">
        <f aca="false">X158*$V158</f>
        <v>1035000</v>
      </c>
      <c r="AK158" s="9" t="n">
        <f aca="false">Y158*$V158</f>
        <v>1035000</v>
      </c>
      <c r="AL158" s="9" t="n">
        <f aca="false">Z158*$V158</f>
        <v>1035000</v>
      </c>
      <c r="AM158" s="9" t="n">
        <f aca="false">AA158*$V158</f>
        <v>1035000</v>
      </c>
      <c r="AN158" s="9" t="n">
        <f aca="false">AB158*$V158</f>
        <v>1035000</v>
      </c>
      <c r="AO158" s="9" t="n">
        <f aca="false">AC158*$V158</f>
        <v>1035000</v>
      </c>
      <c r="AP158" s="9" t="n">
        <f aca="false">AD158*$V158</f>
        <v>1035000</v>
      </c>
      <c r="AQ158" s="9" t="n">
        <f aca="false">AE158*$V158</f>
        <v>1035000</v>
      </c>
      <c r="AR158" s="9" t="n">
        <f aca="false">AF158*$V158</f>
        <v>1035000</v>
      </c>
      <c r="AS158" s="9" t="n">
        <f aca="false">AG158*$V158</f>
        <v>1035000</v>
      </c>
      <c r="AT158" s="9" t="n">
        <f aca="false">AH158*$V158</f>
        <v>1035000</v>
      </c>
      <c r="AU158" s="9" t="n">
        <f aca="false">AI158*$V158</f>
        <v>1035000</v>
      </c>
      <c r="AV158" s="9" t="n">
        <f aca="false">SUM(X158:AI158)/1000</f>
        <v>1800</v>
      </c>
      <c r="AW158" s="9" t="n">
        <f aca="false">SUM(AJ158:AU158)</f>
        <v>12420000</v>
      </c>
      <c r="AX158" s="9" t="n">
        <f aca="false">IF(D158="INR",AW158/88.24,AW158)/1000000</f>
        <v>0.140752493200363</v>
      </c>
    </row>
    <row r="159" s="2" customFormat="true" ht="16.4" hidden="false" customHeight="false" outlineLevel="0" collapsed="false">
      <c r="A159" s="35" t="s">
        <v>355</v>
      </c>
      <c r="B159" s="9" t="n">
        <v>5</v>
      </c>
      <c r="C159" s="15"/>
      <c r="D159" s="16" t="s">
        <v>50</v>
      </c>
      <c r="E159" s="16" t="s">
        <v>51</v>
      </c>
      <c r="F159" s="16" t="s">
        <v>356</v>
      </c>
      <c r="G159" s="16" t="s">
        <v>357</v>
      </c>
      <c r="H159" s="9" t="s">
        <v>358</v>
      </c>
      <c r="I159" s="16" t="s">
        <v>359</v>
      </c>
      <c r="J159" s="16" t="s">
        <v>360</v>
      </c>
      <c r="K159" s="9"/>
      <c r="L159" s="16" t="s">
        <v>359</v>
      </c>
      <c r="M159" s="16" t="s">
        <v>360</v>
      </c>
      <c r="N159" s="16" t="s">
        <v>57</v>
      </c>
      <c r="O159" s="16" t="s">
        <v>246</v>
      </c>
      <c r="P159" s="9" t="s">
        <v>361</v>
      </c>
      <c r="Q159" s="9" t="s">
        <v>361</v>
      </c>
      <c r="R159" s="9" t="s">
        <v>362</v>
      </c>
      <c r="S159" s="9" t="s">
        <v>363</v>
      </c>
      <c r="T159" s="9" t="s">
        <v>364</v>
      </c>
      <c r="U159" s="16" t="s">
        <v>73</v>
      </c>
      <c r="V159" s="36" t="n">
        <v>20583.33</v>
      </c>
      <c r="W159" s="9" t="n">
        <v>15833.33</v>
      </c>
      <c r="X159" s="22" t="n">
        <v>50</v>
      </c>
      <c r="Y159" s="9" t="n">
        <v>50</v>
      </c>
      <c r="Z159" s="9" t="n">
        <v>50</v>
      </c>
      <c r="AA159" s="9" t="n">
        <v>50</v>
      </c>
      <c r="AB159" s="9" t="n">
        <v>50</v>
      </c>
      <c r="AC159" s="9" t="n">
        <v>50</v>
      </c>
      <c r="AD159" s="23" t="n">
        <v>50</v>
      </c>
      <c r="AE159" s="9" t="n">
        <v>50</v>
      </c>
      <c r="AF159" s="9" t="n">
        <v>50</v>
      </c>
      <c r="AG159" s="9" t="n">
        <v>50</v>
      </c>
      <c r="AH159" s="9" t="n">
        <v>50</v>
      </c>
      <c r="AI159" s="9" t="n">
        <v>50</v>
      </c>
      <c r="AJ159" s="9" t="n">
        <f aca="false">X159*$V159</f>
        <v>1029166.5</v>
      </c>
      <c r="AK159" s="9" t="n">
        <f aca="false">Y159*$V159</f>
        <v>1029166.5</v>
      </c>
      <c r="AL159" s="9" t="n">
        <f aca="false">Z159*$V159</f>
        <v>1029166.5</v>
      </c>
      <c r="AM159" s="9" t="n">
        <f aca="false">AA159*$V159</f>
        <v>1029166.5</v>
      </c>
      <c r="AN159" s="9" t="n">
        <f aca="false">AB159*$V159</f>
        <v>1029166.5</v>
      </c>
      <c r="AO159" s="9" t="n">
        <f aca="false">AC159*$V159</f>
        <v>1029166.5</v>
      </c>
      <c r="AP159" s="9" t="n">
        <f aca="false">AD159*$V159</f>
        <v>1029166.5</v>
      </c>
      <c r="AQ159" s="9" t="n">
        <f aca="false">AE159*$V159</f>
        <v>1029166.5</v>
      </c>
      <c r="AR159" s="9" t="n">
        <f aca="false">AF159*$V159</f>
        <v>1029166.5</v>
      </c>
      <c r="AS159" s="9" t="n">
        <f aca="false">AG159*$V159</f>
        <v>1029166.5</v>
      </c>
      <c r="AT159" s="9" t="n">
        <f aca="false">AH159*$V159</f>
        <v>1029166.5</v>
      </c>
      <c r="AU159" s="9" t="n">
        <f aca="false">AI159*$V159</f>
        <v>1029166.5</v>
      </c>
      <c r="AV159" s="9" t="n">
        <f aca="false">SUM(X159:AI159)/1000</f>
        <v>0.6</v>
      </c>
      <c r="AW159" s="9" t="n">
        <f aca="false">SUM(AJ159:AU159)</f>
        <v>12349998</v>
      </c>
      <c r="AX159" s="9" t="n">
        <f aca="false">IF(D159="INR",AW159/88.24,AW159)/1000000</f>
        <v>0.139959179510426</v>
      </c>
    </row>
    <row r="160" s="2" customFormat="true" ht="14.25" hidden="false" customHeight="false" outlineLevel="0" collapsed="false">
      <c r="A160" s="28"/>
      <c r="B160" s="16" t="n">
        <v>1</v>
      </c>
      <c r="C160" s="16"/>
      <c r="D160" s="16" t="s">
        <v>50</v>
      </c>
      <c r="E160" s="16"/>
      <c r="F160" s="16" t="s">
        <v>52</v>
      </c>
      <c r="G160" s="16"/>
      <c r="H160" s="16" t="s">
        <v>92</v>
      </c>
      <c r="I160" s="16"/>
      <c r="J160" s="16"/>
      <c r="K160" s="16"/>
      <c r="L160" s="16"/>
      <c r="M160" s="16"/>
      <c r="N160" s="16" t="s">
        <v>93</v>
      </c>
      <c r="O160" s="16"/>
      <c r="P160" s="16"/>
      <c r="Q160" s="16" t="s">
        <v>69</v>
      </c>
      <c r="R160" s="16"/>
      <c r="S160" s="16"/>
      <c r="T160" s="16" t="s">
        <v>249</v>
      </c>
      <c r="U160" s="16" t="s">
        <v>73</v>
      </c>
      <c r="V160" s="16" t="n">
        <v>9.9</v>
      </c>
      <c r="W160" s="16" t="n">
        <v>0.8</v>
      </c>
      <c r="X160" s="16" t="n">
        <v>100000</v>
      </c>
      <c r="Y160" s="16"/>
      <c r="Z160" s="16" t="n">
        <v>100000</v>
      </c>
      <c r="AA160" s="16"/>
      <c r="AB160" s="16" t="n">
        <v>100000</v>
      </c>
      <c r="AC160" s="16"/>
      <c r="AD160" s="16" t="n">
        <v>100000</v>
      </c>
      <c r="AE160" s="16"/>
      <c r="AF160" s="16"/>
      <c r="AG160" s="16" t="n">
        <v>100000</v>
      </c>
      <c r="AH160" s="16"/>
      <c r="AI160" s="16" t="n">
        <v>100000</v>
      </c>
      <c r="AJ160" s="9" t="n">
        <f aca="false">X160*$V160</f>
        <v>990000</v>
      </c>
      <c r="AK160" s="9" t="n">
        <f aca="false">Y160*$V160</f>
        <v>0</v>
      </c>
      <c r="AL160" s="9" t="n">
        <f aca="false">Z160*$V160</f>
        <v>990000</v>
      </c>
      <c r="AM160" s="9" t="n">
        <f aca="false">AA160*$V160</f>
        <v>0</v>
      </c>
      <c r="AN160" s="9" t="n">
        <f aca="false">AB160*$V160</f>
        <v>990000</v>
      </c>
      <c r="AO160" s="9" t="n">
        <f aca="false">AC160*$V160</f>
        <v>0</v>
      </c>
      <c r="AP160" s="9" t="n">
        <f aca="false">AD160*$V160</f>
        <v>990000</v>
      </c>
      <c r="AQ160" s="9" t="n">
        <f aca="false">AE160*$V160</f>
        <v>0</v>
      </c>
      <c r="AR160" s="9" t="n">
        <f aca="false">AF160*$V160</f>
        <v>0</v>
      </c>
      <c r="AS160" s="9" t="n">
        <f aca="false">AG160*$V160</f>
        <v>990000</v>
      </c>
      <c r="AT160" s="9" t="n">
        <f aca="false">AH160*$V160</f>
        <v>0</v>
      </c>
      <c r="AU160" s="9" t="n">
        <f aca="false">AI160*$V160</f>
        <v>990000</v>
      </c>
      <c r="AV160" s="9" t="n">
        <f aca="false">SUM(X160:AI160)/1000</f>
        <v>600</v>
      </c>
      <c r="AW160" s="9" t="n">
        <f aca="false">SUM(AJ160:AU160)</f>
        <v>5940000</v>
      </c>
      <c r="AX160" s="9" t="n">
        <f aca="false">IF(D160="INR",AW160/88.24,AW160)/1000000</f>
        <v>0.0673164097914778</v>
      </c>
    </row>
    <row r="161" s="2" customFormat="true" ht="16.4" hidden="false" customHeight="false" outlineLevel="0" collapsed="false">
      <c r="A161" s="35" t="s">
        <v>365</v>
      </c>
      <c r="B161" s="9" t="n">
        <v>5</v>
      </c>
      <c r="C161" s="15"/>
      <c r="D161" s="16" t="s">
        <v>50</v>
      </c>
      <c r="E161" s="16" t="s">
        <v>51</v>
      </c>
      <c r="F161" s="16" t="s">
        <v>52</v>
      </c>
      <c r="G161" s="16" t="s">
        <v>366</v>
      </c>
      <c r="H161" s="9" t="s">
        <v>367</v>
      </c>
      <c r="I161" s="16" t="s">
        <v>105</v>
      </c>
      <c r="J161" s="16" t="s">
        <v>368</v>
      </c>
      <c r="K161" s="9"/>
      <c r="L161" s="16" t="s">
        <v>105</v>
      </c>
      <c r="M161" s="16" t="s">
        <v>368</v>
      </c>
      <c r="N161" s="16" t="s">
        <v>79</v>
      </c>
      <c r="O161" s="16" t="s">
        <v>107</v>
      </c>
      <c r="P161" s="9" t="s">
        <v>110</v>
      </c>
      <c r="Q161" s="9" t="s">
        <v>110</v>
      </c>
      <c r="R161" s="9" t="s">
        <v>137</v>
      </c>
      <c r="S161" s="9" t="s">
        <v>272</v>
      </c>
      <c r="T161" s="9" t="s">
        <v>369</v>
      </c>
      <c r="U161" s="16" t="s">
        <v>73</v>
      </c>
      <c r="V161" s="36" t="n">
        <v>23.5</v>
      </c>
      <c r="W161" s="9" t="n">
        <v>0</v>
      </c>
      <c r="X161" s="22" t="n">
        <v>40000</v>
      </c>
      <c r="Y161" s="9" t="n">
        <v>40000</v>
      </c>
      <c r="Z161" s="9" t="n">
        <v>40000</v>
      </c>
      <c r="AA161" s="9" t="n">
        <v>40000</v>
      </c>
      <c r="AB161" s="9" t="n">
        <v>40000</v>
      </c>
      <c r="AC161" s="9" t="n">
        <v>40000</v>
      </c>
      <c r="AD161" s="23" t="n">
        <v>40000</v>
      </c>
      <c r="AE161" s="9" t="n">
        <v>40000</v>
      </c>
      <c r="AF161" s="9" t="n">
        <v>40000</v>
      </c>
      <c r="AG161" s="9" t="n">
        <v>40000</v>
      </c>
      <c r="AH161" s="9" t="n">
        <v>40000</v>
      </c>
      <c r="AI161" s="9" t="n">
        <v>40000</v>
      </c>
      <c r="AJ161" s="9" t="n">
        <f aca="false">X161*$V161</f>
        <v>940000</v>
      </c>
      <c r="AK161" s="9" t="n">
        <f aca="false">Y161*$V161</f>
        <v>940000</v>
      </c>
      <c r="AL161" s="9" t="n">
        <f aca="false">Z161*$V161</f>
        <v>940000</v>
      </c>
      <c r="AM161" s="9" t="n">
        <f aca="false">AA161*$V161</f>
        <v>940000</v>
      </c>
      <c r="AN161" s="9" t="n">
        <f aca="false">AB161*$V161</f>
        <v>940000</v>
      </c>
      <c r="AO161" s="9" t="n">
        <f aca="false">AC161*$V161</f>
        <v>940000</v>
      </c>
      <c r="AP161" s="9" t="n">
        <f aca="false">AD161*$V161</f>
        <v>940000</v>
      </c>
      <c r="AQ161" s="9" t="n">
        <f aca="false">AE161*$V161</f>
        <v>940000</v>
      </c>
      <c r="AR161" s="9" t="n">
        <f aca="false">AF161*$V161</f>
        <v>940000</v>
      </c>
      <c r="AS161" s="9" t="n">
        <f aca="false">AG161*$V161</f>
        <v>940000</v>
      </c>
      <c r="AT161" s="9" t="n">
        <f aca="false">AH161*$V161</f>
        <v>940000</v>
      </c>
      <c r="AU161" s="9" t="n">
        <f aca="false">AI161*$V161</f>
        <v>940000</v>
      </c>
      <c r="AV161" s="9" t="n">
        <f aca="false">SUM(X161:AI161)/1000</f>
        <v>480</v>
      </c>
      <c r="AW161" s="9" t="n">
        <f aca="false">SUM(AJ161:AU161)</f>
        <v>11280000</v>
      </c>
      <c r="AX161" s="9" t="n">
        <f aca="false">IF(D161="INR",AW161/88.24,AW161)/1000000</f>
        <v>0.127833182230281</v>
      </c>
    </row>
    <row r="162" s="2" customFormat="true" ht="14.25" hidden="false" customHeight="false" outlineLevel="0" collapsed="false">
      <c r="A162" s="28"/>
      <c r="B162" s="16" t="n">
        <v>1</v>
      </c>
      <c r="C162" s="16"/>
      <c r="D162" s="16" t="s">
        <v>102</v>
      </c>
      <c r="E162" s="16" t="s">
        <v>51</v>
      </c>
      <c r="F162" s="16" t="s">
        <v>52</v>
      </c>
      <c r="G162" s="16"/>
      <c r="H162" s="16" t="s">
        <v>336</v>
      </c>
      <c r="I162" s="16"/>
      <c r="J162" s="16"/>
      <c r="K162" s="16"/>
      <c r="L162" s="16"/>
      <c r="M162" s="16"/>
      <c r="N162" s="16" t="s">
        <v>79</v>
      </c>
      <c r="O162" s="16"/>
      <c r="P162" s="16"/>
      <c r="Q162" s="16" t="s">
        <v>80</v>
      </c>
      <c r="R162" s="16"/>
      <c r="S162" s="16"/>
      <c r="T162" s="16" t="s">
        <v>370</v>
      </c>
      <c r="U162" s="16" t="s">
        <v>63</v>
      </c>
      <c r="V162" s="16" t="n">
        <v>0.013</v>
      </c>
      <c r="W162" s="16"/>
      <c r="X162" s="16"/>
      <c r="Y162" s="16"/>
      <c r="Z162" s="16"/>
      <c r="AA162" s="16" t="n">
        <v>8000</v>
      </c>
      <c r="AB162" s="16"/>
      <c r="AC162" s="16"/>
      <c r="AD162" s="16"/>
      <c r="AE162" s="16"/>
      <c r="AF162" s="16"/>
      <c r="AG162" s="16"/>
      <c r="AH162" s="16"/>
      <c r="AI162" s="16"/>
      <c r="AJ162" s="9" t="n">
        <f aca="false">X162*$V162</f>
        <v>0</v>
      </c>
      <c r="AK162" s="9" t="n">
        <f aca="false">Y162*$V162</f>
        <v>0</v>
      </c>
      <c r="AL162" s="9" t="n">
        <f aca="false">Z162*$V162</f>
        <v>0</v>
      </c>
      <c r="AM162" s="9" t="n">
        <f aca="false">AA162*$V162</f>
        <v>104</v>
      </c>
      <c r="AN162" s="9" t="n">
        <f aca="false">AB162*$V162</f>
        <v>0</v>
      </c>
      <c r="AO162" s="9" t="n">
        <f aca="false">AC162*$V162</f>
        <v>0</v>
      </c>
      <c r="AP162" s="9" t="n">
        <f aca="false">AD162*$V162</f>
        <v>0</v>
      </c>
      <c r="AQ162" s="9" t="n">
        <f aca="false">AE162*$V162</f>
        <v>0</v>
      </c>
      <c r="AR162" s="9" t="n">
        <f aca="false">AF162*$V162</f>
        <v>0</v>
      </c>
      <c r="AS162" s="9" t="n">
        <f aca="false">AG162*$V162</f>
        <v>0</v>
      </c>
      <c r="AT162" s="9" t="n">
        <f aca="false">AH162*$V162</f>
        <v>0</v>
      </c>
      <c r="AU162" s="9" t="n">
        <f aca="false">AI162*$V162</f>
        <v>0</v>
      </c>
      <c r="AV162" s="9" t="n">
        <f aca="false">SUM(X162:AI162)/1000</f>
        <v>8</v>
      </c>
      <c r="AW162" s="9" t="n">
        <f aca="false">SUM(AJ162:AU162)</f>
        <v>104</v>
      </c>
      <c r="AX162" s="9" t="n">
        <f aca="false">IF(D162="INR",AW162/88.24,AW162)/1000000</f>
        <v>0.000104</v>
      </c>
    </row>
    <row r="163" s="2" customFormat="true" ht="14.25" hidden="false" customHeight="false" outlineLevel="0" collapsed="false">
      <c r="A163" s="28"/>
      <c r="B163" s="16" t="n">
        <v>1</v>
      </c>
      <c r="C163" s="16"/>
      <c r="D163" s="16" t="s">
        <v>102</v>
      </c>
      <c r="E163" s="16" t="s">
        <v>51</v>
      </c>
      <c r="F163" s="16" t="s">
        <v>52</v>
      </c>
      <c r="G163" s="16"/>
      <c r="H163" s="16" t="s">
        <v>336</v>
      </c>
      <c r="I163" s="16"/>
      <c r="J163" s="16"/>
      <c r="K163" s="16"/>
      <c r="L163" s="16"/>
      <c r="M163" s="16"/>
      <c r="N163" s="16" t="s">
        <v>79</v>
      </c>
      <c r="O163" s="16"/>
      <c r="P163" s="16"/>
      <c r="Q163" s="16" t="s">
        <v>80</v>
      </c>
      <c r="R163" s="16"/>
      <c r="S163" s="16"/>
      <c r="T163" s="16" t="s">
        <v>371</v>
      </c>
      <c r="U163" s="16" t="s">
        <v>63</v>
      </c>
      <c r="V163" s="16" t="n">
        <v>0.0043</v>
      </c>
      <c r="W163" s="16"/>
      <c r="X163" s="16"/>
      <c r="Y163" s="16"/>
      <c r="Z163" s="16"/>
      <c r="AA163" s="16" t="n">
        <v>8000</v>
      </c>
      <c r="AB163" s="26"/>
      <c r="AC163" s="16"/>
      <c r="AD163" s="16"/>
      <c r="AE163" s="16"/>
      <c r="AF163" s="16"/>
      <c r="AG163" s="16"/>
      <c r="AH163" s="16"/>
      <c r="AI163" s="16"/>
      <c r="AJ163" s="9" t="n">
        <f aca="false">X163*$V163</f>
        <v>0</v>
      </c>
      <c r="AK163" s="9" t="n">
        <f aca="false">Y163*$V163</f>
        <v>0</v>
      </c>
      <c r="AL163" s="9" t="n">
        <f aca="false">Z163*$V163</f>
        <v>0</v>
      </c>
      <c r="AM163" s="9" t="n">
        <f aca="false">AA163*$V163</f>
        <v>34.4</v>
      </c>
      <c r="AN163" s="9" t="n">
        <f aca="false">AB163*$V163</f>
        <v>0</v>
      </c>
      <c r="AO163" s="9" t="n">
        <f aca="false">AC163*$V163</f>
        <v>0</v>
      </c>
      <c r="AP163" s="9" t="n">
        <f aca="false">AD163*$V163</f>
        <v>0</v>
      </c>
      <c r="AQ163" s="9" t="n">
        <f aca="false">AE163*$V163</f>
        <v>0</v>
      </c>
      <c r="AR163" s="9" t="n">
        <f aca="false">AF163*$V163</f>
        <v>0</v>
      </c>
      <c r="AS163" s="9" t="n">
        <f aca="false">AG163*$V163</f>
        <v>0</v>
      </c>
      <c r="AT163" s="9" t="n">
        <f aca="false">AH163*$V163</f>
        <v>0</v>
      </c>
      <c r="AU163" s="9" t="n">
        <f aca="false">AI163*$V163</f>
        <v>0</v>
      </c>
      <c r="AV163" s="9" t="n">
        <f aca="false">SUM(X163:AI163)/1000</f>
        <v>8</v>
      </c>
      <c r="AW163" s="9" t="n">
        <f aca="false">SUM(AJ163:AU163)</f>
        <v>34.4</v>
      </c>
      <c r="AX163" s="9" t="n">
        <f aca="false">IF(D163="INR",AW163/88.24,AW163)/1000000</f>
        <v>3.44E-005</v>
      </c>
    </row>
    <row r="164" s="2" customFormat="true" ht="14.25" hidden="false" customHeight="true" outlineLevel="0" collapsed="false">
      <c r="A164" s="28"/>
      <c r="B164" s="16" t="n">
        <v>1</v>
      </c>
      <c r="C164" s="16"/>
      <c r="D164" s="16" t="s">
        <v>102</v>
      </c>
      <c r="E164" s="16" t="s">
        <v>51</v>
      </c>
      <c r="F164" s="16" t="s">
        <v>52</v>
      </c>
      <c r="G164" s="16"/>
      <c r="H164" s="16" t="s">
        <v>336</v>
      </c>
      <c r="I164" s="16"/>
      <c r="J164" s="16"/>
      <c r="K164" s="16"/>
      <c r="L164" s="16"/>
      <c r="M164" s="16"/>
      <c r="N164" s="16" t="s">
        <v>79</v>
      </c>
      <c r="O164" s="16"/>
      <c r="P164" s="16"/>
      <c r="Q164" s="16" t="s">
        <v>80</v>
      </c>
      <c r="R164" s="16"/>
      <c r="S164" s="16"/>
      <c r="T164" s="16" t="s">
        <v>372</v>
      </c>
      <c r="U164" s="26" t="s">
        <v>63</v>
      </c>
      <c r="V164" s="26" t="n">
        <v>0.0265</v>
      </c>
      <c r="W164" s="16"/>
      <c r="X164" s="30"/>
      <c r="Y164" s="30"/>
      <c r="Z164" s="30"/>
      <c r="AA164" s="30" t="n">
        <v>6000</v>
      </c>
      <c r="AB164" s="30"/>
      <c r="AC164" s="30"/>
      <c r="AD164" s="30"/>
      <c r="AE164" s="30"/>
      <c r="AF164" s="30"/>
      <c r="AG164" s="30"/>
      <c r="AH164" s="30"/>
      <c r="AI164" s="30"/>
      <c r="AJ164" s="9" t="n">
        <f aca="false">X164*$V164</f>
        <v>0</v>
      </c>
      <c r="AK164" s="9" t="n">
        <f aca="false">Y164*$V164</f>
        <v>0</v>
      </c>
      <c r="AL164" s="9" t="n">
        <f aca="false">Z164*$V164</f>
        <v>0</v>
      </c>
      <c r="AM164" s="9" t="n">
        <f aca="false">AA164*$V164</f>
        <v>159</v>
      </c>
      <c r="AN164" s="9" t="n">
        <f aca="false">AB164*$V164</f>
        <v>0</v>
      </c>
      <c r="AO164" s="9" t="n">
        <f aca="false">AC164*$V164</f>
        <v>0</v>
      </c>
      <c r="AP164" s="9" t="n">
        <f aca="false">AD164*$V164</f>
        <v>0</v>
      </c>
      <c r="AQ164" s="9" t="n">
        <f aca="false">AE164*$V164</f>
        <v>0</v>
      </c>
      <c r="AR164" s="9" t="n">
        <f aca="false">AF164*$V164</f>
        <v>0</v>
      </c>
      <c r="AS164" s="9" t="n">
        <f aca="false">AG164*$V164</f>
        <v>0</v>
      </c>
      <c r="AT164" s="9" t="n">
        <f aca="false">AH164*$V164</f>
        <v>0</v>
      </c>
      <c r="AU164" s="9" t="n">
        <f aca="false">AI164*$V164</f>
        <v>0</v>
      </c>
      <c r="AV164" s="9" t="n">
        <f aca="false">SUM(X164:AI164)/1000</f>
        <v>6</v>
      </c>
      <c r="AW164" s="9" t="n">
        <f aca="false">SUM(AJ164:AU164)</f>
        <v>159</v>
      </c>
      <c r="AX164" s="9" t="n">
        <f aca="false">IF(D164="INR",AW164/88.24,AW164)/1000000</f>
        <v>0.000159</v>
      </c>
    </row>
    <row r="165" s="2" customFormat="true" ht="14.25" hidden="false" customHeight="false" outlineLevel="0" collapsed="false">
      <c r="A165" s="35"/>
      <c r="B165" s="9" t="n">
        <v>1</v>
      </c>
      <c r="C165" s="15"/>
      <c r="D165" s="16" t="s">
        <v>50</v>
      </c>
      <c r="E165" s="16" t="s">
        <v>51</v>
      </c>
      <c r="F165" s="16" t="s">
        <v>52</v>
      </c>
      <c r="G165" s="16" t="s">
        <v>373</v>
      </c>
      <c r="H165" s="9" t="s">
        <v>374</v>
      </c>
      <c r="I165" s="16" t="s">
        <v>55</v>
      </c>
      <c r="J165" s="16" t="s">
        <v>100</v>
      </c>
      <c r="K165" s="9"/>
      <c r="L165" s="16" t="s">
        <v>55</v>
      </c>
      <c r="M165" s="16" t="s">
        <v>100</v>
      </c>
      <c r="N165" s="16" t="s">
        <v>93</v>
      </c>
      <c r="O165" s="16" t="s">
        <v>246</v>
      </c>
      <c r="P165" s="9" t="s">
        <v>59</v>
      </c>
      <c r="Q165" s="9" t="s">
        <v>59</v>
      </c>
      <c r="R165" s="9" t="s">
        <v>60</v>
      </c>
      <c r="S165" s="9" t="s">
        <v>61</v>
      </c>
      <c r="T165" s="9" t="s">
        <v>62</v>
      </c>
      <c r="U165" s="16" t="s">
        <v>63</v>
      </c>
      <c r="V165" s="36" t="n">
        <v>187</v>
      </c>
      <c r="W165" s="9" t="n">
        <v>179</v>
      </c>
      <c r="X165" s="22" t="n">
        <v>5000</v>
      </c>
      <c r="Y165" s="9" t="n">
        <v>5000</v>
      </c>
      <c r="Z165" s="9" t="n">
        <v>5000</v>
      </c>
      <c r="AA165" s="9" t="n">
        <v>5000</v>
      </c>
      <c r="AB165" s="9" t="n">
        <v>5000</v>
      </c>
      <c r="AC165" s="9" t="n">
        <v>5000</v>
      </c>
      <c r="AD165" s="23" t="n">
        <v>5000</v>
      </c>
      <c r="AE165" s="9" t="n">
        <v>5000</v>
      </c>
      <c r="AF165" s="9" t="n">
        <v>5000</v>
      </c>
      <c r="AG165" s="9" t="n">
        <v>5000</v>
      </c>
      <c r="AH165" s="9" t="n">
        <v>5000</v>
      </c>
      <c r="AI165" s="9" t="n">
        <v>5000</v>
      </c>
      <c r="AJ165" s="9" t="n">
        <f aca="false">X165*$V165</f>
        <v>935000</v>
      </c>
      <c r="AK165" s="9" t="n">
        <f aca="false">Y165*$V165</f>
        <v>935000</v>
      </c>
      <c r="AL165" s="9" t="n">
        <f aca="false">Z165*$V165</f>
        <v>935000</v>
      </c>
      <c r="AM165" s="9" t="n">
        <f aca="false">AA165*$V165</f>
        <v>935000</v>
      </c>
      <c r="AN165" s="9" t="n">
        <f aca="false">AB165*$V165</f>
        <v>935000</v>
      </c>
      <c r="AO165" s="9" t="n">
        <f aca="false">AC165*$V165</f>
        <v>935000</v>
      </c>
      <c r="AP165" s="9" t="n">
        <f aca="false">AD165*$V165</f>
        <v>935000</v>
      </c>
      <c r="AQ165" s="9" t="n">
        <f aca="false">AE165*$V165</f>
        <v>935000</v>
      </c>
      <c r="AR165" s="9" t="n">
        <f aca="false">AF165*$V165</f>
        <v>935000</v>
      </c>
      <c r="AS165" s="9" t="n">
        <f aca="false">AG165*$V165</f>
        <v>935000</v>
      </c>
      <c r="AT165" s="9" t="n">
        <f aca="false">AH165*$V165</f>
        <v>935000</v>
      </c>
      <c r="AU165" s="9" t="n">
        <f aca="false">AI165*$V165</f>
        <v>935000</v>
      </c>
      <c r="AV165" s="9" t="n">
        <f aca="false">SUM(X165:AI165)/1000</f>
        <v>60</v>
      </c>
      <c r="AW165" s="9" t="n">
        <f aca="false">SUM(AJ165:AU165)</f>
        <v>11220000</v>
      </c>
      <c r="AX165" s="9" t="n">
        <f aca="false">IF(D165="INR",AW165/88.24,AW165)/1000000</f>
        <v>0.127153218495014</v>
      </c>
    </row>
    <row r="166" s="2" customFormat="true" ht="16.4" hidden="false" customHeight="false" outlineLevel="0" collapsed="false">
      <c r="A166" s="35" t="s">
        <v>375</v>
      </c>
      <c r="B166" s="9" t="n">
        <v>5</v>
      </c>
      <c r="C166" s="15"/>
      <c r="D166" s="16" t="s">
        <v>50</v>
      </c>
      <c r="E166" s="16" t="s">
        <v>51</v>
      </c>
      <c r="F166" s="16" t="s">
        <v>52</v>
      </c>
      <c r="G166" s="16" t="s">
        <v>65</v>
      </c>
      <c r="H166" s="9" t="s">
        <v>66</v>
      </c>
      <c r="I166" s="16" t="s">
        <v>55</v>
      </c>
      <c r="J166" s="16" t="s">
        <v>56</v>
      </c>
      <c r="K166" s="9"/>
      <c r="L166" s="16" t="s">
        <v>55</v>
      </c>
      <c r="M166" s="16" t="s">
        <v>56</v>
      </c>
      <c r="N166" s="16" t="s">
        <v>67</v>
      </c>
      <c r="O166" s="16" t="s">
        <v>68</v>
      </c>
      <c r="P166" s="9" t="s">
        <v>376</v>
      </c>
      <c r="Q166" s="9" t="s">
        <v>376</v>
      </c>
      <c r="R166" s="9" t="s">
        <v>377</v>
      </c>
      <c r="S166" s="9" t="s">
        <v>264</v>
      </c>
      <c r="T166" s="9" t="s">
        <v>378</v>
      </c>
      <c r="U166" s="16" t="s">
        <v>73</v>
      </c>
      <c r="V166" s="36" t="n">
        <v>1.8</v>
      </c>
      <c r="W166" s="9" t="n">
        <v>0.0145</v>
      </c>
      <c r="X166" s="22" t="n">
        <v>500000</v>
      </c>
      <c r="Y166" s="9" t="n">
        <v>500000</v>
      </c>
      <c r="Z166" s="9" t="n">
        <v>500000</v>
      </c>
      <c r="AA166" s="9" t="n">
        <v>500000</v>
      </c>
      <c r="AB166" s="9" t="n">
        <v>500000</v>
      </c>
      <c r="AC166" s="9" t="n">
        <v>500000</v>
      </c>
      <c r="AD166" s="23" t="n">
        <v>500000</v>
      </c>
      <c r="AE166" s="9" t="n">
        <v>500000</v>
      </c>
      <c r="AF166" s="9" t="n">
        <v>500000</v>
      </c>
      <c r="AG166" s="9" t="n">
        <v>500000</v>
      </c>
      <c r="AH166" s="9" t="n">
        <v>500000</v>
      </c>
      <c r="AI166" s="9" t="n">
        <v>500000</v>
      </c>
      <c r="AJ166" s="9" t="n">
        <f aca="false">X166*$V166</f>
        <v>900000</v>
      </c>
      <c r="AK166" s="9" t="n">
        <f aca="false">Y166*$V166</f>
        <v>900000</v>
      </c>
      <c r="AL166" s="9" t="n">
        <f aca="false">Z166*$V166</f>
        <v>900000</v>
      </c>
      <c r="AM166" s="9" t="n">
        <f aca="false">AA166*$V166</f>
        <v>900000</v>
      </c>
      <c r="AN166" s="9" t="n">
        <f aca="false">AB166*$V166</f>
        <v>900000</v>
      </c>
      <c r="AO166" s="9" t="n">
        <f aca="false">AC166*$V166</f>
        <v>900000</v>
      </c>
      <c r="AP166" s="9" t="n">
        <f aca="false">AD166*$V166</f>
        <v>900000</v>
      </c>
      <c r="AQ166" s="9" t="n">
        <f aca="false">AE166*$V166</f>
        <v>900000</v>
      </c>
      <c r="AR166" s="9" t="n">
        <f aca="false">AF166*$V166</f>
        <v>900000</v>
      </c>
      <c r="AS166" s="9" t="n">
        <f aca="false">AG166*$V166</f>
        <v>900000</v>
      </c>
      <c r="AT166" s="9" t="n">
        <f aca="false">AH166*$V166</f>
        <v>900000</v>
      </c>
      <c r="AU166" s="9" t="n">
        <f aca="false">AI166*$V166</f>
        <v>900000</v>
      </c>
      <c r="AV166" s="9" t="n">
        <f aca="false">SUM(X166:AI166)/1000</f>
        <v>6000</v>
      </c>
      <c r="AW166" s="9" t="n">
        <f aca="false">SUM(AJ166:AU166)</f>
        <v>10800000</v>
      </c>
      <c r="AX166" s="9" t="n">
        <f aca="false">IF(D166="INR",AW166/88.24,AW166)/1000000</f>
        <v>0.122393472348141</v>
      </c>
    </row>
    <row r="167" s="2" customFormat="true" ht="14.25" hidden="false" customHeight="false" outlineLevel="0" collapsed="false">
      <c r="A167" s="35"/>
      <c r="B167" s="9" t="n">
        <v>1</v>
      </c>
      <c r="C167" s="10"/>
      <c r="D167" s="9" t="s">
        <v>50</v>
      </c>
      <c r="E167" s="9" t="s">
        <v>51</v>
      </c>
      <c r="F167" s="9" t="s">
        <v>267</v>
      </c>
      <c r="G167" s="9"/>
      <c r="H167" s="9" t="s">
        <v>379</v>
      </c>
      <c r="I167" s="9"/>
      <c r="J167" s="9"/>
      <c r="K167" s="9"/>
      <c r="L167" s="9"/>
      <c r="M167" s="9"/>
      <c r="N167" s="9" t="s">
        <v>271</v>
      </c>
      <c r="O167" s="9"/>
      <c r="P167" s="9"/>
      <c r="Q167" s="9" t="s">
        <v>380</v>
      </c>
      <c r="R167" s="9"/>
      <c r="S167" s="9"/>
      <c r="T167" s="9" t="s">
        <v>381</v>
      </c>
      <c r="U167" s="9" t="s">
        <v>382</v>
      </c>
      <c r="V167" s="9" t="n">
        <v>180</v>
      </c>
      <c r="W167" s="9"/>
      <c r="X167" s="9"/>
      <c r="Y167" s="9"/>
      <c r="Z167" s="9" t="n">
        <v>5000</v>
      </c>
      <c r="AA167" s="9"/>
      <c r="AB167" s="9"/>
      <c r="AC167" s="9"/>
      <c r="AD167" s="9"/>
      <c r="AE167" s="9" t="n">
        <v>5000</v>
      </c>
      <c r="AF167" s="9"/>
      <c r="AG167" s="9"/>
      <c r="AH167" s="9"/>
      <c r="AI167" s="9"/>
      <c r="AJ167" s="9" t="n">
        <f aca="false">X167*$V167</f>
        <v>0</v>
      </c>
      <c r="AK167" s="9" t="n">
        <f aca="false">Y167*$V167</f>
        <v>0</v>
      </c>
      <c r="AL167" s="9" t="n">
        <f aca="false">Z167*$V167</f>
        <v>900000</v>
      </c>
      <c r="AM167" s="9" t="n">
        <f aca="false">AA167*$V167</f>
        <v>0</v>
      </c>
      <c r="AN167" s="9" t="n">
        <f aca="false">AB167*$V167</f>
        <v>0</v>
      </c>
      <c r="AO167" s="9" t="n">
        <f aca="false">AC167*$V167</f>
        <v>0</v>
      </c>
      <c r="AP167" s="9" t="n">
        <f aca="false">AD167*$V167</f>
        <v>0</v>
      </c>
      <c r="AQ167" s="9" t="n">
        <f aca="false">AE167*$V167</f>
        <v>900000</v>
      </c>
      <c r="AR167" s="9" t="n">
        <f aca="false">AF167*$V167</f>
        <v>0</v>
      </c>
      <c r="AS167" s="9" t="n">
        <f aca="false">AG167*$V167</f>
        <v>0</v>
      </c>
      <c r="AT167" s="9" t="n">
        <f aca="false">AH167*$V167</f>
        <v>0</v>
      </c>
      <c r="AU167" s="9" t="n">
        <f aca="false">AI167*$V167</f>
        <v>0</v>
      </c>
      <c r="AV167" s="9" t="n">
        <f aca="false">SUM(X167:AI167)/1000</f>
        <v>10</v>
      </c>
      <c r="AW167" s="9" t="n">
        <f aca="false">SUM(AJ167:AU167)</f>
        <v>1800000</v>
      </c>
      <c r="AX167" s="9" t="n">
        <f aca="false">IF(D167="INR",AW167/88.24,AW167)/1000000</f>
        <v>0.0203989120580236</v>
      </c>
    </row>
    <row r="168" s="2" customFormat="true" ht="16.4" hidden="false" customHeight="false" outlineLevel="0" collapsed="false">
      <c r="A168" s="35" t="s">
        <v>383</v>
      </c>
      <c r="B168" s="9"/>
      <c r="C168" s="15" t="n">
        <v>5</v>
      </c>
      <c r="D168" s="16" t="s">
        <v>50</v>
      </c>
      <c r="E168" s="16" t="s">
        <v>51</v>
      </c>
      <c r="F168" s="16" t="s">
        <v>52</v>
      </c>
      <c r="G168" s="16" t="s">
        <v>384</v>
      </c>
      <c r="H168" s="9" t="s">
        <v>385</v>
      </c>
      <c r="I168" s="16" t="s">
        <v>260</v>
      </c>
      <c r="J168" s="16" t="s">
        <v>289</v>
      </c>
      <c r="K168" s="9"/>
      <c r="L168" s="16" t="s">
        <v>260</v>
      </c>
      <c r="M168" s="16" t="s">
        <v>289</v>
      </c>
      <c r="N168" s="16" t="s">
        <v>290</v>
      </c>
      <c r="O168" s="16" t="s">
        <v>94</v>
      </c>
      <c r="P168" s="9" t="s">
        <v>80</v>
      </c>
      <c r="Q168" s="9" t="s">
        <v>80</v>
      </c>
      <c r="R168" s="9" t="s">
        <v>81</v>
      </c>
      <c r="S168" s="9" t="s">
        <v>82</v>
      </c>
      <c r="T168" s="9" t="s">
        <v>277</v>
      </c>
      <c r="U168" s="16" t="s">
        <v>73</v>
      </c>
      <c r="V168" s="36" t="n">
        <v>30.92</v>
      </c>
      <c r="W168" s="9" t="n">
        <v>26.37223</v>
      </c>
      <c r="X168" s="22" t="n">
        <v>28500</v>
      </c>
      <c r="Y168" s="9" t="n">
        <v>28500</v>
      </c>
      <c r="Z168" s="9" t="n">
        <v>28500</v>
      </c>
      <c r="AA168" s="9" t="n">
        <v>28500</v>
      </c>
      <c r="AB168" s="9" t="n">
        <v>28500</v>
      </c>
      <c r="AC168" s="9" t="n">
        <v>28500</v>
      </c>
      <c r="AD168" s="23" t="n">
        <v>28500</v>
      </c>
      <c r="AE168" s="9" t="n">
        <v>28500</v>
      </c>
      <c r="AF168" s="9" t="n">
        <v>28500</v>
      </c>
      <c r="AG168" s="9" t="n">
        <v>28500</v>
      </c>
      <c r="AH168" s="9" t="n">
        <v>28500</v>
      </c>
      <c r="AI168" s="9" t="n">
        <v>28500</v>
      </c>
      <c r="AJ168" s="9" t="n">
        <f aca="false">X168*$V168</f>
        <v>881220</v>
      </c>
      <c r="AK168" s="9" t="n">
        <f aca="false">Y168*$V168</f>
        <v>881220</v>
      </c>
      <c r="AL168" s="9" t="n">
        <f aca="false">Z168*$V168</f>
        <v>881220</v>
      </c>
      <c r="AM168" s="9" t="n">
        <f aca="false">AA168*$V168</f>
        <v>881220</v>
      </c>
      <c r="AN168" s="9" t="n">
        <f aca="false">AB168*$V168</f>
        <v>881220</v>
      </c>
      <c r="AO168" s="9" t="n">
        <f aca="false">AC168*$V168</f>
        <v>881220</v>
      </c>
      <c r="AP168" s="9" t="n">
        <f aca="false">AD168*$V168</f>
        <v>881220</v>
      </c>
      <c r="AQ168" s="9" t="n">
        <f aca="false">AE168*$V168</f>
        <v>881220</v>
      </c>
      <c r="AR168" s="9" t="n">
        <f aca="false">AF168*$V168</f>
        <v>881220</v>
      </c>
      <c r="AS168" s="9" t="n">
        <f aca="false">AG168*$V168</f>
        <v>881220</v>
      </c>
      <c r="AT168" s="9" t="n">
        <f aca="false">AH168*$V168</f>
        <v>881220</v>
      </c>
      <c r="AU168" s="9" t="n">
        <f aca="false">AI168*$V168</f>
        <v>881220</v>
      </c>
      <c r="AV168" s="9" t="n">
        <f aca="false">SUM(X168:AI168)/1000</f>
        <v>342</v>
      </c>
      <c r="AW168" s="9" t="n">
        <f aca="false">SUM(AJ168:AU168)</f>
        <v>10574640</v>
      </c>
      <c r="AX168" s="9" t="n">
        <f aca="false">IF(D168="INR",AW168/88.24,AW168)/1000000</f>
        <v>0.119839528558477</v>
      </c>
    </row>
    <row r="169" s="2" customFormat="true" ht="16.4" hidden="false" customHeight="false" outlineLevel="0" collapsed="false">
      <c r="A169" s="35" t="s">
        <v>386</v>
      </c>
      <c r="B169" s="9" t="n">
        <v>5</v>
      </c>
      <c r="C169" s="15"/>
      <c r="D169" s="16" t="s">
        <v>50</v>
      </c>
      <c r="E169" s="16" t="s">
        <v>51</v>
      </c>
      <c r="F169" s="16" t="s">
        <v>52</v>
      </c>
      <c r="G169" s="16" t="s">
        <v>53</v>
      </c>
      <c r="H169" s="9" t="s">
        <v>54</v>
      </c>
      <c r="I169" s="16" t="s">
        <v>55</v>
      </c>
      <c r="J169" s="16" t="s">
        <v>56</v>
      </c>
      <c r="K169" s="9" t="s">
        <v>54</v>
      </c>
      <c r="L169" s="16" t="s">
        <v>55</v>
      </c>
      <c r="M169" s="16" t="s">
        <v>56</v>
      </c>
      <c r="N169" s="16" t="s">
        <v>57</v>
      </c>
      <c r="O169" s="16" t="s">
        <v>58</v>
      </c>
      <c r="P169" s="9" t="s">
        <v>69</v>
      </c>
      <c r="Q169" s="9" t="s">
        <v>69</v>
      </c>
      <c r="R169" s="9" t="s">
        <v>70</v>
      </c>
      <c r="S169" s="9" t="s">
        <v>71</v>
      </c>
      <c r="T169" s="9" t="s">
        <v>249</v>
      </c>
      <c r="U169" s="16" t="s">
        <v>73</v>
      </c>
      <c r="V169" s="36" t="n">
        <v>8.8</v>
      </c>
      <c r="W169" s="9" t="n">
        <v>0.078</v>
      </c>
      <c r="X169" s="22" t="n">
        <v>100000</v>
      </c>
      <c r="Y169" s="9" t="n">
        <v>100000</v>
      </c>
      <c r="Z169" s="9" t="n">
        <v>100000</v>
      </c>
      <c r="AA169" s="9" t="n">
        <v>100000</v>
      </c>
      <c r="AB169" s="9" t="n">
        <v>100000</v>
      </c>
      <c r="AC169" s="9" t="n">
        <v>100000</v>
      </c>
      <c r="AD169" s="23" t="n">
        <v>100000</v>
      </c>
      <c r="AE169" s="9" t="n">
        <v>100000</v>
      </c>
      <c r="AF169" s="9" t="n">
        <v>100000</v>
      </c>
      <c r="AG169" s="9" t="n">
        <v>100000</v>
      </c>
      <c r="AH169" s="9" t="n">
        <v>100000</v>
      </c>
      <c r="AI169" s="9" t="n">
        <v>100000</v>
      </c>
      <c r="AJ169" s="9" t="n">
        <f aca="false">X169*$V169</f>
        <v>880000</v>
      </c>
      <c r="AK169" s="9" t="n">
        <f aca="false">Y169*$V169</f>
        <v>880000</v>
      </c>
      <c r="AL169" s="9" t="n">
        <f aca="false">Z169*$V169</f>
        <v>880000</v>
      </c>
      <c r="AM169" s="9" t="n">
        <f aca="false">AA169*$V169</f>
        <v>880000</v>
      </c>
      <c r="AN169" s="9" t="n">
        <f aca="false">AB169*$V169</f>
        <v>880000</v>
      </c>
      <c r="AO169" s="9" t="n">
        <f aca="false">AC169*$V169</f>
        <v>880000</v>
      </c>
      <c r="AP169" s="9" t="n">
        <f aca="false">AD169*$V169</f>
        <v>880000</v>
      </c>
      <c r="AQ169" s="9" t="n">
        <f aca="false">AE169*$V169</f>
        <v>880000</v>
      </c>
      <c r="AR169" s="9" t="n">
        <f aca="false">AF169*$V169</f>
        <v>880000</v>
      </c>
      <c r="AS169" s="9" t="n">
        <f aca="false">AG169*$V169</f>
        <v>880000</v>
      </c>
      <c r="AT169" s="9" t="n">
        <f aca="false">AH169*$V169</f>
        <v>880000</v>
      </c>
      <c r="AU169" s="9" t="n">
        <f aca="false">AI169*$V169</f>
        <v>880000</v>
      </c>
      <c r="AV169" s="9" t="n">
        <f aca="false">SUM(X169:AI169)/1000</f>
        <v>1200</v>
      </c>
      <c r="AW169" s="9" t="n">
        <f aca="false">SUM(AJ169:AU169)</f>
        <v>10560000</v>
      </c>
      <c r="AX169" s="9" t="n">
        <f aca="false">IF(D169="INR",AW169/88.24,AW169)/1000000</f>
        <v>0.119673617407072</v>
      </c>
    </row>
    <row r="170" s="2" customFormat="true" ht="16.4" hidden="false" customHeight="false" outlineLevel="0" collapsed="false">
      <c r="A170" s="35" t="s">
        <v>387</v>
      </c>
      <c r="B170" s="9" t="n">
        <v>5</v>
      </c>
      <c r="C170" s="15"/>
      <c r="D170" s="16" t="s">
        <v>50</v>
      </c>
      <c r="E170" s="16" t="s">
        <v>51</v>
      </c>
      <c r="F170" s="16" t="s">
        <v>52</v>
      </c>
      <c r="G170" s="16" t="s">
        <v>388</v>
      </c>
      <c r="H170" s="9" t="s">
        <v>389</v>
      </c>
      <c r="I170" s="16" t="s">
        <v>260</v>
      </c>
      <c r="J170" s="16" t="s">
        <v>276</v>
      </c>
      <c r="K170" s="9"/>
      <c r="L170" s="16" t="s">
        <v>260</v>
      </c>
      <c r="M170" s="16" t="s">
        <v>276</v>
      </c>
      <c r="N170" s="16" t="s">
        <v>93</v>
      </c>
      <c r="O170" s="16" t="s">
        <v>58</v>
      </c>
      <c r="P170" s="9" t="s">
        <v>80</v>
      </c>
      <c r="Q170" s="9" t="s">
        <v>80</v>
      </c>
      <c r="R170" s="9" t="s">
        <v>81</v>
      </c>
      <c r="S170" s="9" t="s">
        <v>82</v>
      </c>
      <c r="T170" s="9" t="s">
        <v>277</v>
      </c>
      <c r="U170" s="16" t="s">
        <v>73</v>
      </c>
      <c r="V170" s="36" t="n">
        <v>28.45</v>
      </c>
      <c r="W170" s="9" t="n">
        <v>24.95228</v>
      </c>
      <c r="X170" s="22" t="n">
        <v>30000</v>
      </c>
      <c r="Y170" s="9" t="n">
        <v>30000</v>
      </c>
      <c r="Z170" s="9" t="n">
        <v>30000</v>
      </c>
      <c r="AA170" s="9" t="n">
        <v>30000</v>
      </c>
      <c r="AB170" s="9" t="n">
        <v>30000</v>
      </c>
      <c r="AC170" s="9" t="n">
        <v>30000</v>
      </c>
      <c r="AD170" s="23" t="n">
        <v>30000</v>
      </c>
      <c r="AE170" s="9" t="n">
        <v>30000</v>
      </c>
      <c r="AF170" s="9" t="n">
        <v>30000</v>
      </c>
      <c r="AG170" s="9" t="n">
        <v>30000</v>
      </c>
      <c r="AH170" s="9" t="n">
        <v>30000</v>
      </c>
      <c r="AI170" s="9" t="n">
        <v>30000</v>
      </c>
      <c r="AJ170" s="9" t="n">
        <f aca="false">X170*$V170</f>
        <v>853500</v>
      </c>
      <c r="AK170" s="9" t="n">
        <f aca="false">Y170*$V170</f>
        <v>853500</v>
      </c>
      <c r="AL170" s="9" t="n">
        <f aca="false">Z170*$V170</f>
        <v>853500</v>
      </c>
      <c r="AM170" s="9" t="n">
        <f aca="false">AA170*$V170</f>
        <v>853500</v>
      </c>
      <c r="AN170" s="9" t="n">
        <f aca="false">AB170*$V170</f>
        <v>853500</v>
      </c>
      <c r="AO170" s="9" t="n">
        <f aca="false">AC170*$V170</f>
        <v>853500</v>
      </c>
      <c r="AP170" s="9" t="n">
        <f aca="false">AD170*$V170</f>
        <v>853500</v>
      </c>
      <c r="AQ170" s="9" t="n">
        <f aca="false">AE170*$V170</f>
        <v>853500</v>
      </c>
      <c r="AR170" s="9" t="n">
        <f aca="false">AF170*$V170</f>
        <v>853500</v>
      </c>
      <c r="AS170" s="9" t="n">
        <f aca="false">AG170*$V170</f>
        <v>853500</v>
      </c>
      <c r="AT170" s="9" t="n">
        <f aca="false">AH170*$V170</f>
        <v>853500</v>
      </c>
      <c r="AU170" s="9" t="n">
        <f aca="false">AI170*$V170</f>
        <v>853500</v>
      </c>
      <c r="AV170" s="9" t="n">
        <f aca="false">SUM(X170:AI170)/1000</f>
        <v>360</v>
      </c>
      <c r="AW170" s="9" t="n">
        <f aca="false">SUM(AJ170:AU170)</f>
        <v>10242000</v>
      </c>
      <c r="AX170" s="9" t="n">
        <f aca="false">IF(D170="INR",AW170/88.24,AW170)/1000000</f>
        <v>0.116069809610154</v>
      </c>
    </row>
    <row r="171" s="2" customFormat="true" ht="16.4" hidden="false" customHeight="false" outlineLevel="0" collapsed="false">
      <c r="A171" s="35" t="s">
        <v>390</v>
      </c>
      <c r="B171" s="9"/>
      <c r="C171" s="15"/>
      <c r="D171" s="16" t="s">
        <v>50</v>
      </c>
      <c r="E171" s="16" t="s">
        <v>51</v>
      </c>
      <c r="F171" s="16" t="s">
        <v>52</v>
      </c>
      <c r="G171" s="16" t="s">
        <v>391</v>
      </c>
      <c r="H171" s="9" t="s">
        <v>392</v>
      </c>
      <c r="I171" s="16" t="s">
        <v>260</v>
      </c>
      <c r="J171" s="16" t="s">
        <v>276</v>
      </c>
      <c r="K171" s="9"/>
      <c r="L171" s="16" t="s">
        <v>260</v>
      </c>
      <c r="M171" s="16" t="s">
        <v>276</v>
      </c>
      <c r="N171" s="16" t="s">
        <v>93</v>
      </c>
      <c r="O171" s="16" t="s">
        <v>58</v>
      </c>
      <c r="P171" s="9" t="s">
        <v>80</v>
      </c>
      <c r="Q171" s="9" t="s">
        <v>80</v>
      </c>
      <c r="R171" s="9" t="s">
        <v>81</v>
      </c>
      <c r="S171" s="9" t="s">
        <v>82</v>
      </c>
      <c r="T171" s="9" t="s">
        <v>326</v>
      </c>
      <c r="U171" s="16" t="s">
        <v>73</v>
      </c>
      <c r="V171" s="36" t="n">
        <v>28.45</v>
      </c>
      <c r="W171" s="9" t="n">
        <v>27.91</v>
      </c>
      <c r="X171" s="22" t="n">
        <v>30000</v>
      </c>
      <c r="Y171" s="9" t="n">
        <v>30000</v>
      </c>
      <c r="Z171" s="9" t="n">
        <v>30000</v>
      </c>
      <c r="AA171" s="9" t="n">
        <v>30000</v>
      </c>
      <c r="AB171" s="9" t="n">
        <v>30000</v>
      </c>
      <c r="AC171" s="9" t="n">
        <v>30000</v>
      </c>
      <c r="AD171" s="23" t="n">
        <v>30000</v>
      </c>
      <c r="AE171" s="9" t="n">
        <v>30000</v>
      </c>
      <c r="AF171" s="9" t="n">
        <v>30000</v>
      </c>
      <c r="AG171" s="9" t="n">
        <v>30000</v>
      </c>
      <c r="AH171" s="9" t="n">
        <v>30000</v>
      </c>
      <c r="AI171" s="9" t="n">
        <v>30000</v>
      </c>
      <c r="AJ171" s="9" t="n">
        <f aca="false">X171*$V171</f>
        <v>853500</v>
      </c>
      <c r="AK171" s="9" t="n">
        <f aca="false">Y171*$V171</f>
        <v>853500</v>
      </c>
      <c r="AL171" s="9" t="n">
        <f aca="false">Z171*$V171</f>
        <v>853500</v>
      </c>
      <c r="AM171" s="9" t="n">
        <f aca="false">AA171*$V171</f>
        <v>853500</v>
      </c>
      <c r="AN171" s="9" t="n">
        <f aca="false">AB171*$V171</f>
        <v>853500</v>
      </c>
      <c r="AO171" s="9" t="n">
        <f aca="false">AC171*$V171</f>
        <v>853500</v>
      </c>
      <c r="AP171" s="9" t="n">
        <f aca="false">AD171*$V171</f>
        <v>853500</v>
      </c>
      <c r="AQ171" s="9" t="n">
        <f aca="false">AE171*$V171</f>
        <v>853500</v>
      </c>
      <c r="AR171" s="9" t="n">
        <f aca="false">AF171*$V171</f>
        <v>853500</v>
      </c>
      <c r="AS171" s="9" t="n">
        <f aca="false">AG171*$V171</f>
        <v>853500</v>
      </c>
      <c r="AT171" s="9" t="n">
        <f aca="false">AH171*$V171</f>
        <v>853500</v>
      </c>
      <c r="AU171" s="9" t="n">
        <f aca="false">AI171*$V171</f>
        <v>853500</v>
      </c>
      <c r="AV171" s="9" t="n">
        <f aca="false">SUM(X171:AI171)/1000</f>
        <v>360</v>
      </c>
      <c r="AW171" s="9" t="n">
        <f aca="false">SUM(AJ171:AU171)</f>
        <v>10242000</v>
      </c>
      <c r="AX171" s="9" t="n">
        <f aca="false">IF(D171="INR",AW171/88.24,AW171)/1000000</f>
        <v>0.116069809610154</v>
      </c>
    </row>
    <row r="172" s="2" customFormat="true" ht="16.4" hidden="false" customHeight="false" outlineLevel="0" collapsed="false">
      <c r="A172" s="35" t="s">
        <v>393</v>
      </c>
      <c r="B172" s="9" t="n">
        <v>5</v>
      </c>
      <c r="C172" s="15"/>
      <c r="D172" s="16" t="s">
        <v>50</v>
      </c>
      <c r="E172" s="16" t="s">
        <v>51</v>
      </c>
      <c r="F172" s="16" t="s">
        <v>243</v>
      </c>
      <c r="G172" s="16" t="s">
        <v>318</v>
      </c>
      <c r="H172" s="9" t="s">
        <v>319</v>
      </c>
      <c r="I172" s="16" t="s">
        <v>55</v>
      </c>
      <c r="J172" s="16" t="s">
        <v>56</v>
      </c>
      <c r="K172" s="9"/>
      <c r="L172" s="16" t="s">
        <v>55</v>
      </c>
      <c r="M172" s="16" t="s">
        <v>56</v>
      </c>
      <c r="N172" s="16" t="s">
        <v>93</v>
      </c>
      <c r="O172" s="16" t="s">
        <v>68</v>
      </c>
      <c r="P172" s="9" t="s">
        <v>308</v>
      </c>
      <c r="Q172" s="9" t="s">
        <v>308</v>
      </c>
      <c r="R172" s="9" t="s">
        <v>309</v>
      </c>
      <c r="S172" s="9" t="s">
        <v>264</v>
      </c>
      <c r="T172" s="9" t="s">
        <v>394</v>
      </c>
      <c r="U172" s="16" t="s">
        <v>73</v>
      </c>
      <c r="V172" s="36" t="n">
        <v>1.04</v>
      </c>
      <c r="W172" s="9" t="n">
        <v>0.92</v>
      </c>
      <c r="X172" s="22" t="n">
        <v>800000</v>
      </c>
      <c r="Y172" s="9" t="n">
        <v>800000</v>
      </c>
      <c r="Z172" s="9" t="n">
        <v>800000</v>
      </c>
      <c r="AA172" s="9" t="n">
        <v>800000</v>
      </c>
      <c r="AB172" s="9" t="n">
        <v>800000</v>
      </c>
      <c r="AC172" s="9" t="n">
        <v>800000</v>
      </c>
      <c r="AD172" s="23" t="n">
        <v>800000</v>
      </c>
      <c r="AE172" s="9" t="n">
        <v>800000</v>
      </c>
      <c r="AF172" s="9" t="n">
        <v>800000</v>
      </c>
      <c r="AG172" s="9" t="n">
        <v>800000</v>
      </c>
      <c r="AH172" s="9" t="n">
        <v>800000</v>
      </c>
      <c r="AI172" s="9" t="n">
        <v>800000</v>
      </c>
      <c r="AJ172" s="9" t="n">
        <f aca="false">X172*$V172</f>
        <v>832000</v>
      </c>
      <c r="AK172" s="9" t="n">
        <f aca="false">Y172*$V172</f>
        <v>832000</v>
      </c>
      <c r="AL172" s="9" t="n">
        <f aca="false">Z172*$V172</f>
        <v>832000</v>
      </c>
      <c r="AM172" s="9" t="n">
        <f aca="false">AA172*$V172</f>
        <v>832000</v>
      </c>
      <c r="AN172" s="9" t="n">
        <f aca="false">AB172*$V172</f>
        <v>832000</v>
      </c>
      <c r="AO172" s="9" t="n">
        <f aca="false">AC172*$V172</f>
        <v>832000</v>
      </c>
      <c r="AP172" s="9" t="n">
        <f aca="false">AD172*$V172</f>
        <v>832000</v>
      </c>
      <c r="AQ172" s="9" t="n">
        <f aca="false">AE172*$V172</f>
        <v>832000</v>
      </c>
      <c r="AR172" s="9" t="n">
        <f aca="false">AF172*$V172</f>
        <v>832000</v>
      </c>
      <c r="AS172" s="9" t="n">
        <f aca="false">AG172*$V172</f>
        <v>832000</v>
      </c>
      <c r="AT172" s="9" t="n">
        <f aca="false">AH172*$V172</f>
        <v>832000</v>
      </c>
      <c r="AU172" s="9" t="n">
        <f aca="false">AI172*$V172</f>
        <v>832000</v>
      </c>
      <c r="AV172" s="9" t="n">
        <f aca="false">SUM(X172:AI172)/1000</f>
        <v>9600</v>
      </c>
      <c r="AW172" s="9" t="n">
        <f aca="false">SUM(AJ172:AU172)</f>
        <v>9984000</v>
      </c>
      <c r="AX172" s="9" t="n">
        <f aca="false">IF(D172="INR",AW172/88.24,AW172)/1000000</f>
        <v>0.113145965548504</v>
      </c>
    </row>
    <row r="173" s="2" customFormat="true" ht="16.4" hidden="false" customHeight="false" outlineLevel="0" collapsed="false">
      <c r="A173" s="35" t="s">
        <v>395</v>
      </c>
      <c r="B173" s="9" t="n">
        <v>5</v>
      </c>
      <c r="C173" s="15"/>
      <c r="D173" s="16" t="s">
        <v>50</v>
      </c>
      <c r="E173" s="16" t="s">
        <v>51</v>
      </c>
      <c r="F173" s="16" t="s">
        <v>243</v>
      </c>
      <c r="G173" s="16" t="s">
        <v>318</v>
      </c>
      <c r="H173" s="9" t="s">
        <v>319</v>
      </c>
      <c r="I173" s="16" t="s">
        <v>55</v>
      </c>
      <c r="J173" s="16" t="s">
        <v>56</v>
      </c>
      <c r="K173" s="9"/>
      <c r="L173" s="16" t="s">
        <v>55</v>
      </c>
      <c r="M173" s="16" t="s">
        <v>56</v>
      </c>
      <c r="N173" s="16" t="s">
        <v>93</v>
      </c>
      <c r="O173" s="16" t="s">
        <v>68</v>
      </c>
      <c r="P173" s="9" t="s">
        <v>308</v>
      </c>
      <c r="Q173" s="9" t="s">
        <v>308</v>
      </c>
      <c r="R173" s="9" t="s">
        <v>309</v>
      </c>
      <c r="S173" s="9" t="s">
        <v>264</v>
      </c>
      <c r="T173" s="9" t="s">
        <v>396</v>
      </c>
      <c r="U173" s="16" t="s">
        <v>73</v>
      </c>
      <c r="V173" s="36" t="n">
        <v>2.6</v>
      </c>
      <c r="W173" s="9" t="n">
        <v>2.4</v>
      </c>
      <c r="X173" s="22" t="n">
        <v>300000</v>
      </c>
      <c r="Y173" s="9" t="n">
        <v>300000</v>
      </c>
      <c r="Z173" s="9" t="n">
        <v>300000</v>
      </c>
      <c r="AA173" s="9" t="n">
        <v>300000</v>
      </c>
      <c r="AB173" s="9" t="n">
        <v>300000</v>
      </c>
      <c r="AC173" s="9" t="n">
        <v>300000</v>
      </c>
      <c r="AD173" s="9" t="n">
        <v>300000</v>
      </c>
      <c r="AE173" s="9" t="n">
        <v>300000</v>
      </c>
      <c r="AF173" s="9" t="n">
        <v>300000</v>
      </c>
      <c r="AG173" s="9" t="n">
        <v>300000</v>
      </c>
      <c r="AH173" s="9" t="n">
        <v>300000</v>
      </c>
      <c r="AI173" s="9" t="n">
        <v>300000</v>
      </c>
      <c r="AJ173" s="9" t="n">
        <f aca="false">X173*$V173</f>
        <v>780000</v>
      </c>
      <c r="AK173" s="9" t="n">
        <f aca="false">Y173*$V173</f>
        <v>780000</v>
      </c>
      <c r="AL173" s="9" t="n">
        <f aca="false">Z173*$V173</f>
        <v>780000</v>
      </c>
      <c r="AM173" s="9" t="n">
        <f aca="false">AA173*$V173</f>
        <v>780000</v>
      </c>
      <c r="AN173" s="9" t="n">
        <f aca="false">AB173*$V173</f>
        <v>780000</v>
      </c>
      <c r="AO173" s="9" t="n">
        <f aca="false">AC173*$V173</f>
        <v>780000</v>
      </c>
      <c r="AP173" s="9" t="n">
        <f aca="false">AD173*$V173</f>
        <v>780000</v>
      </c>
      <c r="AQ173" s="9" t="n">
        <f aca="false">AE173*$V173</f>
        <v>780000</v>
      </c>
      <c r="AR173" s="9" t="n">
        <f aca="false">AF173*$V173</f>
        <v>780000</v>
      </c>
      <c r="AS173" s="9" t="n">
        <f aca="false">AG173*$V173</f>
        <v>780000</v>
      </c>
      <c r="AT173" s="9" t="n">
        <f aca="false">AH173*$V173</f>
        <v>780000</v>
      </c>
      <c r="AU173" s="9" t="n">
        <f aca="false">AI173*$V173</f>
        <v>780000</v>
      </c>
      <c r="AV173" s="9" t="n">
        <f aca="false">SUM(X173:AI173)/1000</f>
        <v>3600</v>
      </c>
      <c r="AW173" s="9" t="n">
        <f aca="false">SUM(AJ173:AU173)</f>
        <v>9360000</v>
      </c>
      <c r="AX173" s="9" t="n">
        <f aca="false">IF(D173="INR",AW173/88.24,AW173)/1000000</f>
        <v>0.106074342701723</v>
      </c>
    </row>
    <row r="174" s="2" customFormat="true" ht="14.25" hidden="false" customHeight="false" outlineLevel="0" collapsed="false">
      <c r="A174" s="35"/>
      <c r="B174" s="9" t="n">
        <v>1</v>
      </c>
      <c r="C174" s="10"/>
      <c r="D174" s="9" t="s">
        <v>102</v>
      </c>
      <c r="E174" s="9" t="s">
        <v>51</v>
      </c>
      <c r="F174" s="9" t="s">
        <v>52</v>
      </c>
      <c r="G174" s="9"/>
      <c r="H174" s="9" t="s">
        <v>336</v>
      </c>
      <c r="I174" s="9"/>
      <c r="J174" s="9"/>
      <c r="K174" s="9"/>
      <c r="L174" s="9"/>
      <c r="M174" s="9"/>
      <c r="N174" s="16" t="s">
        <v>79</v>
      </c>
      <c r="O174" s="9"/>
      <c r="P174" s="9"/>
      <c r="Q174" s="9" t="s">
        <v>80</v>
      </c>
      <c r="R174" s="9"/>
      <c r="S174" s="9"/>
      <c r="T174" s="9" t="s">
        <v>397</v>
      </c>
      <c r="U174" s="9" t="s">
        <v>63</v>
      </c>
      <c r="V174" s="9" t="n">
        <v>0.4025</v>
      </c>
      <c r="W174" s="9"/>
      <c r="X174" s="9"/>
      <c r="Y174" s="9"/>
      <c r="Z174" s="9"/>
      <c r="AA174" s="9" t="n">
        <v>4000</v>
      </c>
      <c r="AB174" s="9"/>
      <c r="AC174" s="9"/>
      <c r="AD174" s="9"/>
      <c r="AE174" s="9"/>
      <c r="AF174" s="9"/>
      <c r="AG174" s="9"/>
      <c r="AH174" s="9"/>
      <c r="AI174" s="9"/>
      <c r="AJ174" s="9" t="n">
        <f aca="false">X174*$V174</f>
        <v>0</v>
      </c>
      <c r="AK174" s="9" t="n">
        <f aca="false">Y174*$V174</f>
        <v>0</v>
      </c>
      <c r="AL174" s="9" t="n">
        <f aca="false">Z174*$V174</f>
        <v>0</v>
      </c>
      <c r="AM174" s="9" t="n">
        <f aca="false">AA174*$V174</f>
        <v>1610</v>
      </c>
      <c r="AN174" s="9" t="n">
        <f aca="false">AB174*$V174</f>
        <v>0</v>
      </c>
      <c r="AO174" s="9" t="n">
        <f aca="false">AC174*$V174</f>
        <v>0</v>
      </c>
      <c r="AP174" s="9" t="n">
        <f aca="false">AD174*$V174</f>
        <v>0</v>
      </c>
      <c r="AQ174" s="9" t="n">
        <f aca="false">AE174*$V174</f>
        <v>0</v>
      </c>
      <c r="AR174" s="9" t="n">
        <f aca="false">AF174*$V174</f>
        <v>0</v>
      </c>
      <c r="AS174" s="9" t="n">
        <f aca="false">AG174*$V174</f>
        <v>0</v>
      </c>
      <c r="AT174" s="9" t="n">
        <f aca="false">AH174*$V174</f>
        <v>0</v>
      </c>
      <c r="AU174" s="9" t="n">
        <f aca="false">AI174*$V174</f>
        <v>0</v>
      </c>
      <c r="AV174" s="9" t="n">
        <f aca="false">SUM(X174:AI174)/1000</f>
        <v>4</v>
      </c>
      <c r="AW174" s="9" t="n">
        <f aca="false">SUM(AJ174:AU174)</f>
        <v>1610</v>
      </c>
      <c r="AX174" s="9" t="n">
        <f aca="false">IF(D174="INR",AW174/88.24,AW174)/1000000</f>
        <v>0.00161</v>
      </c>
    </row>
    <row r="175" s="2" customFormat="true" ht="14.25" hidden="false" customHeight="false" outlineLevel="0" collapsed="false">
      <c r="A175" s="12"/>
      <c r="B175" s="16" t="n">
        <v>1</v>
      </c>
      <c r="C175" s="15"/>
      <c r="D175" s="16" t="s">
        <v>102</v>
      </c>
      <c r="E175" s="16" t="s">
        <v>51</v>
      </c>
      <c r="F175" s="16" t="s">
        <v>52</v>
      </c>
      <c r="G175" s="16"/>
      <c r="H175" s="16" t="s">
        <v>336</v>
      </c>
      <c r="I175" s="16"/>
      <c r="J175" s="16"/>
      <c r="K175" s="16"/>
      <c r="L175" s="16"/>
      <c r="M175" s="16"/>
      <c r="N175" s="16" t="s">
        <v>79</v>
      </c>
      <c r="O175" s="16"/>
      <c r="P175" s="16"/>
      <c r="Q175" s="16" t="s">
        <v>80</v>
      </c>
      <c r="R175" s="16"/>
      <c r="S175" s="16"/>
      <c r="T175" s="16" t="s">
        <v>398</v>
      </c>
      <c r="U175" s="16" t="s">
        <v>63</v>
      </c>
      <c r="V175" s="16" t="n">
        <v>0.7671</v>
      </c>
      <c r="W175" s="16"/>
      <c r="X175" s="16"/>
      <c r="Y175" s="16"/>
      <c r="Z175" s="16"/>
      <c r="AA175" s="16" t="n">
        <v>3000</v>
      </c>
      <c r="AB175" s="16"/>
      <c r="AC175" s="26"/>
      <c r="AD175" s="16"/>
      <c r="AE175" s="16"/>
      <c r="AF175" s="26"/>
      <c r="AG175" s="16"/>
      <c r="AH175" s="16"/>
      <c r="AI175" s="16"/>
      <c r="AJ175" s="9" t="n">
        <f aca="false">X175*$V175</f>
        <v>0</v>
      </c>
      <c r="AK175" s="9" t="n">
        <f aca="false">Y175*$V175</f>
        <v>0</v>
      </c>
      <c r="AL175" s="9" t="n">
        <f aca="false">Z175*$V175</f>
        <v>0</v>
      </c>
      <c r="AM175" s="9" t="n">
        <f aca="false">AA175*$V175</f>
        <v>2301.3</v>
      </c>
      <c r="AN175" s="9" t="n">
        <f aca="false">AB175*$V175</f>
        <v>0</v>
      </c>
      <c r="AO175" s="9" t="n">
        <f aca="false">AC175*$V175</f>
        <v>0</v>
      </c>
      <c r="AP175" s="9" t="n">
        <f aca="false">AD175*$V175</f>
        <v>0</v>
      </c>
      <c r="AQ175" s="9" t="n">
        <f aca="false">AE175*$V175</f>
        <v>0</v>
      </c>
      <c r="AR175" s="9" t="n">
        <f aca="false">AF175*$V175</f>
        <v>0</v>
      </c>
      <c r="AS175" s="9" t="n">
        <f aca="false">AG175*$V175</f>
        <v>0</v>
      </c>
      <c r="AT175" s="9" t="n">
        <f aca="false">AH175*$V175</f>
        <v>0</v>
      </c>
      <c r="AU175" s="9" t="n">
        <f aca="false">AI175*$V175</f>
        <v>0</v>
      </c>
      <c r="AV175" s="9" t="n">
        <f aca="false">SUM(X175:AI175)/1000</f>
        <v>3</v>
      </c>
      <c r="AW175" s="9" t="n">
        <f aca="false">SUM(AJ175:AU175)</f>
        <v>2301.3</v>
      </c>
      <c r="AX175" s="9" t="n">
        <f aca="false">IF(D175="INR",AW175/88.24,AW175)/1000000</f>
        <v>0.0023013</v>
      </c>
    </row>
    <row r="176" s="2" customFormat="true" ht="14.25" hidden="false" customHeight="true" outlineLevel="0" collapsed="false">
      <c r="A176" s="28"/>
      <c r="B176" s="16" t="n">
        <v>1</v>
      </c>
      <c r="C176" s="16"/>
      <c r="D176" s="16" t="s">
        <v>102</v>
      </c>
      <c r="E176" s="16" t="s">
        <v>51</v>
      </c>
      <c r="F176" s="16" t="s">
        <v>52</v>
      </c>
      <c r="G176" s="16"/>
      <c r="H176" s="16" t="s">
        <v>336</v>
      </c>
      <c r="I176" s="16"/>
      <c r="J176" s="16"/>
      <c r="K176" s="16"/>
      <c r="L176" s="16"/>
      <c r="M176" s="16"/>
      <c r="N176" s="16" t="s">
        <v>79</v>
      </c>
      <c r="O176" s="16"/>
      <c r="P176" s="16"/>
      <c r="Q176" s="16" t="s">
        <v>80</v>
      </c>
      <c r="R176" s="16"/>
      <c r="S176" s="16"/>
      <c r="T176" s="16" t="s">
        <v>399</v>
      </c>
      <c r="U176" s="26" t="s">
        <v>63</v>
      </c>
      <c r="V176" s="16" t="n">
        <v>0.023</v>
      </c>
      <c r="W176" s="26"/>
      <c r="X176" s="30"/>
      <c r="Y176" s="30"/>
      <c r="Z176" s="30"/>
      <c r="AA176" s="30" t="n">
        <v>3000</v>
      </c>
      <c r="AB176" s="30"/>
      <c r="AC176" s="30"/>
      <c r="AD176" s="30"/>
      <c r="AE176" s="30"/>
      <c r="AF176" s="30"/>
      <c r="AG176" s="30"/>
      <c r="AH176" s="30"/>
      <c r="AI176" s="30"/>
      <c r="AJ176" s="9" t="n">
        <f aca="false">X176*$V176</f>
        <v>0</v>
      </c>
      <c r="AK176" s="9" t="n">
        <f aca="false">Y176*$V176</f>
        <v>0</v>
      </c>
      <c r="AL176" s="9" t="n">
        <f aca="false">Z176*$V176</f>
        <v>0</v>
      </c>
      <c r="AM176" s="9" t="n">
        <f aca="false">AA176*$V176</f>
        <v>69</v>
      </c>
      <c r="AN176" s="9" t="n">
        <f aca="false">AB176*$V176</f>
        <v>0</v>
      </c>
      <c r="AO176" s="9" t="n">
        <f aca="false">AC176*$V176</f>
        <v>0</v>
      </c>
      <c r="AP176" s="9" t="n">
        <f aca="false">AD176*$V176</f>
        <v>0</v>
      </c>
      <c r="AQ176" s="9" t="n">
        <f aca="false">AE176*$V176</f>
        <v>0</v>
      </c>
      <c r="AR176" s="9" t="n">
        <f aca="false">AF176*$V176</f>
        <v>0</v>
      </c>
      <c r="AS176" s="9" t="n">
        <f aca="false">AG176*$V176</f>
        <v>0</v>
      </c>
      <c r="AT176" s="9" t="n">
        <f aca="false">AH176*$V176</f>
        <v>0</v>
      </c>
      <c r="AU176" s="9" t="n">
        <f aca="false">AI176*$V176</f>
        <v>0</v>
      </c>
      <c r="AV176" s="9" t="n">
        <f aca="false">SUM(X176:AI176)/1000</f>
        <v>3</v>
      </c>
      <c r="AW176" s="9" t="n">
        <f aca="false">SUM(AJ176:AU176)</f>
        <v>69</v>
      </c>
      <c r="AX176" s="9" t="n">
        <f aca="false">IF(D176="INR",AW176/88.24,AW176)/1000000</f>
        <v>6.9E-005</v>
      </c>
    </row>
    <row r="177" s="2" customFormat="true" ht="14.25" hidden="false" customHeight="false" outlineLevel="0" collapsed="false">
      <c r="A177" s="28"/>
      <c r="B177" s="16" t="n">
        <v>1</v>
      </c>
      <c r="C177" s="16"/>
      <c r="D177" s="16" t="s">
        <v>102</v>
      </c>
      <c r="E177" s="16" t="s">
        <v>51</v>
      </c>
      <c r="F177" s="16" t="s">
        <v>52</v>
      </c>
      <c r="G177" s="16"/>
      <c r="H177" s="16" t="s">
        <v>336</v>
      </c>
      <c r="I177" s="16"/>
      <c r="J177" s="16"/>
      <c r="K177" s="16"/>
      <c r="L177" s="16"/>
      <c r="M177" s="16"/>
      <c r="N177" s="16" t="s">
        <v>79</v>
      </c>
      <c r="O177" s="16"/>
      <c r="P177" s="16"/>
      <c r="Q177" s="16" t="s">
        <v>80</v>
      </c>
      <c r="R177" s="16"/>
      <c r="S177" s="33"/>
      <c r="T177" s="16" t="s">
        <v>400</v>
      </c>
      <c r="U177" s="16" t="s">
        <v>63</v>
      </c>
      <c r="V177" s="16" t="n">
        <v>0.161</v>
      </c>
      <c r="W177" s="16"/>
      <c r="X177" s="16"/>
      <c r="Y177" s="16"/>
      <c r="Z177" s="16"/>
      <c r="AA177" s="16" t="n">
        <v>2500</v>
      </c>
      <c r="AB177" s="16"/>
      <c r="AC177" s="16"/>
      <c r="AD177" s="16"/>
      <c r="AE177" s="16"/>
      <c r="AF177" s="16"/>
      <c r="AG177" s="16"/>
      <c r="AH177" s="16"/>
      <c r="AI177" s="16"/>
      <c r="AJ177" s="9" t="n">
        <f aca="false">X177*$V177</f>
        <v>0</v>
      </c>
      <c r="AK177" s="9" t="n">
        <f aca="false">Y177*$V177</f>
        <v>0</v>
      </c>
      <c r="AL177" s="9" t="n">
        <f aca="false">Z177*$V177</f>
        <v>0</v>
      </c>
      <c r="AM177" s="9" t="n">
        <f aca="false">AA177*$V177</f>
        <v>402.5</v>
      </c>
      <c r="AN177" s="9" t="n">
        <f aca="false">AB177*$V177</f>
        <v>0</v>
      </c>
      <c r="AO177" s="9" t="n">
        <f aca="false">AC177*$V177</f>
        <v>0</v>
      </c>
      <c r="AP177" s="9" t="n">
        <f aca="false">AD177*$V177</f>
        <v>0</v>
      </c>
      <c r="AQ177" s="9" t="n">
        <f aca="false">AE177*$V177</f>
        <v>0</v>
      </c>
      <c r="AR177" s="9" t="n">
        <f aca="false">AF177*$V177</f>
        <v>0</v>
      </c>
      <c r="AS177" s="9" t="n">
        <f aca="false">AG177*$V177</f>
        <v>0</v>
      </c>
      <c r="AT177" s="9" t="n">
        <f aca="false">AH177*$V177</f>
        <v>0</v>
      </c>
      <c r="AU177" s="9" t="n">
        <f aca="false">AI177*$V177</f>
        <v>0</v>
      </c>
      <c r="AV177" s="9" t="n">
        <f aca="false">SUM(X177:AI177)/1000</f>
        <v>2.5</v>
      </c>
      <c r="AW177" s="9" t="n">
        <f aca="false">SUM(AJ177:AU177)</f>
        <v>402.5</v>
      </c>
      <c r="AX177" s="9" t="n">
        <f aca="false">IF(D177="INR",AW177/88.24,AW177)/1000000</f>
        <v>0.0004025</v>
      </c>
    </row>
    <row r="178" s="2" customFormat="true" ht="16.4" hidden="false" customHeight="false" outlineLevel="0" collapsed="false">
      <c r="A178" s="35" t="s">
        <v>401</v>
      </c>
      <c r="B178" s="9" t="n">
        <v>5</v>
      </c>
      <c r="C178" s="15"/>
      <c r="D178" s="16" t="s">
        <v>50</v>
      </c>
      <c r="E178" s="16" t="s">
        <v>51</v>
      </c>
      <c r="F178" s="16" t="s">
        <v>52</v>
      </c>
      <c r="G178" s="16" t="s">
        <v>53</v>
      </c>
      <c r="H178" s="9" t="s">
        <v>54</v>
      </c>
      <c r="I178" s="16" t="s">
        <v>55</v>
      </c>
      <c r="J178" s="16" t="s">
        <v>56</v>
      </c>
      <c r="K178" s="9" t="s">
        <v>54</v>
      </c>
      <c r="L178" s="16" t="s">
        <v>55</v>
      </c>
      <c r="M178" s="16" t="s">
        <v>56</v>
      </c>
      <c r="N178" s="16" t="s">
        <v>57</v>
      </c>
      <c r="O178" s="16" t="s">
        <v>58</v>
      </c>
      <c r="P178" s="9" t="s">
        <v>308</v>
      </c>
      <c r="Q178" s="9" t="s">
        <v>308</v>
      </c>
      <c r="R178" s="9" t="s">
        <v>309</v>
      </c>
      <c r="S178" s="9" t="s">
        <v>264</v>
      </c>
      <c r="T178" s="9" t="s">
        <v>402</v>
      </c>
      <c r="U178" s="16" t="s">
        <v>73</v>
      </c>
      <c r="V178" s="36" t="n">
        <v>1.55</v>
      </c>
      <c r="W178" s="9" t="n">
        <v>1.4</v>
      </c>
      <c r="X178" s="22" t="n">
        <v>500000</v>
      </c>
      <c r="Y178" s="9" t="n">
        <v>500000</v>
      </c>
      <c r="Z178" s="9" t="n">
        <v>500000</v>
      </c>
      <c r="AA178" s="9" t="n">
        <v>500000</v>
      </c>
      <c r="AB178" s="9" t="n">
        <v>500000</v>
      </c>
      <c r="AC178" s="9" t="n">
        <v>500000</v>
      </c>
      <c r="AD178" s="9" t="n">
        <v>500000</v>
      </c>
      <c r="AE178" s="9" t="n">
        <v>500000</v>
      </c>
      <c r="AF178" s="9" t="n">
        <v>500000</v>
      </c>
      <c r="AG178" s="9" t="n">
        <v>500000</v>
      </c>
      <c r="AH178" s="9" t="n">
        <v>500000</v>
      </c>
      <c r="AI178" s="9" t="n">
        <v>500000</v>
      </c>
      <c r="AJ178" s="9" t="n">
        <f aca="false">X178*$V178</f>
        <v>775000</v>
      </c>
      <c r="AK178" s="9" t="n">
        <f aca="false">Y178*$V178</f>
        <v>775000</v>
      </c>
      <c r="AL178" s="9" t="n">
        <f aca="false">Z178*$V178</f>
        <v>775000</v>
      </c>
      <c r="AM178" s="9" t="n">
        <f aca="false">AA178*$V178</f>
        <v>775000</v>
      </c>
      <c r="AN178" s="9" t="n">
        <f aca="false">AB178*$V178</f>
        <v>775000</v>
      </c>
      <c r="AO178" s="9" t="n">
        <f aca="false">AC178*$V178</f>
        <v>775000</v>
      </c>
      <c r="AP178" s="9" t="n">
        <f aca="false">AD178*$V178</f>
        <v>775000</v>
      </c>
      <c r="AQ178" s="9" t="n">
        <f aca="false">AE178*$V178</f>
        <v>775000</v>
      </c>
      <c r="AR178" s="9" t="n">
        <f aca="false">AF178*$V178</f>
        <v>775000</v>
      </c>
      <c r="AS178" s="9" t="n">
        <f aca="false">AG178*$V178</f>
        <v>775000</v>
      </c>
      <c r="AT178" s="9" t="n">
        <f aca="false">AH178*$V178</f>
        <v>775000</v>
      </c>
      <c r="AU178" s="9" t="n">
        <f aca="false">AI178*$V178</f>
        <v>775000</v>
      </c>
      <c r="AV178" s="9" t="n">
        <f aca="false">SUM(X178:AI178)/1000</f>
        <v>6000</v>
      </c>
      <c r="AW178" s="9" t="n">
        <f aca="false">SUM(AJ178:AU178)</f>
        <v>9300000</v>
      </c>
      <c r="AX178" s="9" t="n">
        <f aca="false">IF(D178="INR",AW178/88.24,AW178)/1000000</f>
        <v>0.105394378966455</v>
      </c>
    </row>
    <row r="179" s="2" customFormat="true" ht="16.4" hidden="false" customHeight="false" outlineLevel="0" collapsed="false">
      <c r="A179" s="35" t="s">
        <v>403</v>
      </c>
      <c r="B179" s="9" t="n">
        <v>5</v>
      </c>
      <c r="C179" s="10"/>
      <c r="D179" s="9" t="s">
        <v>50</v>
      </c>
      <c r="E179" s="9" t="s">
        <v>51</v>
      </c>
      <c r="F179" s="9" t="s">
        <v>404</v>
      </c>
      <c r="G179" s="9" t="s">
        <v>405</v>
      </c>
      <c r="H179" s="9" t="s">
        <v>406</v>
      </c>
      <c r="I179" s="9" t="s">
        <v>105</v>
      </c>
      <c r="J179" s="9" t="s">
        <v>368</v>
      </c>
      <c r="K179" s="9"/>
      <c r="L179" s="9" t="s">
        <v>105</v>
      </c>
      <c r="M179" s="9" t="s">
        <v>368</v>
      </c>
      <c r="N179" s="9" t="s">
        <v>271</v>
      </c>
      <c r="O179" s="9" t="s">
        <v>94</v>
      </c>
      <c r="P179" s="9" t="s">
        <v>110</v>
      </c>
      <c r="Q179" s="9" t="s">
        <v>110</v>
      </c>
      <c r="R179" s="9" t="s">
        <v>137</v>
      </c>
      <c r="S179" s="9" t="s">
        <v>272</v>
      </c>
      <c r="T179" s="9" t="s">
        <v>407</v>
      </c>
      <c r="U179" s="9" t="s">
        <v>73</v>
      </c>
      <c r="V179" s="9" t="n">
        <v>62.22</v>
      </c>
      <c r="W179" s="9" t="n">
        <v>0.515</v>
      </c>
      <c r="X179" s="9" t="n">
        <v>10000</v>
      </c>
      <c r="Y179" s="9" t="n">
        <v>10000</v>
      </c>
      <c r="Z179" s="9" t="n">
        <v>12000</v>
      </c>
      <c r="AA179" s="9" t="n">
        <v>10000</v>
      </c>
      <c r="AB179" s="9" t="n">
        <v>12000</v>
      </c>
      <c r="AC179" s="9" t="n">
        <v>10000</v>
      </c>
      <c r="AD179" s="9" t="n">
        <v>10000</v>
      </c>
      <c r="AE179" s="9" t="n">
        <v>12000</v>
      </c>
      <c r="AF179" s="9" t="n">
        <v>12000</v>
      </c>
      <c r="AG179" s="9" t="n">
        <v>12000</v>
      </c>
      <c r="AH179" s="9" t="n">
        <v>10000</v>
      </c>
      <c r="AI179" s="9" t="n">
        <v>12000</v>
      </c>
      <c r="AJ179" s="9" t="n">
        <f aca="false">X179*$V179</f>
        <v>622200</v>
      </c>
      <c r="AK179" s="9" t="n">
        <f aca="false">Y179*$V179</f>
        <v>622200</v>
      </c>
      <c r="AL179" s="9" t="n">
        <f aca="false">Z179*$V179</f>
        <v>746640</v>
      </c>
      <c r="AM179" s="9" t="n">
        <f aca="false">AA179*$V179</f>
        <v>622200</v>
      </c>
      <c r="AN179" s="9" t="n">
        <f aca="false">AB179*$V179</f>
        <v>746640</v>
      </c>
      <c r="AO179" s="9" t="n">
        <f aca="false">AC179*$V179</f>
        <v>622200</v>
      </c>
      <c r="AP179" s="9" t="n">
        <f aca="false">AD179*$V179</f>
        <v>622200</v>
      </c>
      <c r="AQ179" s="9" t="n">
        <f aca="false">AE179*$V179</f>
        <v>746640</v>
      </c>
      <c r="AR179" s="9" t="n">
        <f aca="false">AF179*$V179</f>
        <v>746640</v>
      </c>
      <c r="AS179" s="9" t="n">
        <f aca="false">AG179*$V179</f>
        <v>746640</v>
      </c>
      <c r="AT179" s="9" t="n">
        <f aca="false">AH179*$V179</f>
        <v>622200</v>
      </c>
      <c r="AU179" s="9" t="n">
        <f aca="false">AI179*$V179</f>
        <v>746640</v>
      </c>
      <c r="AV179" s="9" t="n">
        <f aca="false">SUM(X179:AI179)/1000</f>
        <v>132</v>
      </c>
      <c r="AW179" s="9" t="n">
        <f aca="false">SUM(AJ179:AU179)</f>
        <v>8213040</v>
      </c>
      <c r="AX179" s="9" t="n">
        <f aca="false">IF(D179="INR",AW179/88.24,AW179)/1000000</f>
        <v>0.09307615593835</v>
      </c>
    </row>
    <row r="180" s="2" customFormat="true" ht="16.4" hidden="false" customHeight="false" outlineLevel="0" collapsed="false">
      <c r="A180" s="35" t="s">
        <v>408</v>
      </c>
      <c r="B180" s="9" t="n">
        <v>5</v>
      </c>
      <c r="C180" s="15"/>
      <c r="D180" s="16" t="s">
        <v>50</v>
      </c>
      <c r="E180" s="16" t="s">
        <v>51</v>
      </c>
      <c r="F180" s="16" t="s">
        <v>52</v>
      </c>
      <c r="G180" s="16" t="s">
        <v>274</v>
      </c>
      <c r="H180" s="9" t="s">
        <v>275</v>
      </c>
      <c r="I180" s="16" t="s">
        <v>260</v>
      </c>
      <c r="J180" s="16" t="s">
        <v>276</v>
      </c>
      <c r="K180" s="9"/>
      <c r="L180" s="16" t="s">
        <v>260</v>
      </c>
      <c r="M180" s="16" t="s">
        <v>276</v>
      </c>
      <c r="N180" s="16" t="s">
        <v>79</v>
      </c>
      <c r="O180" s="16" t="s">
        <v>68</v>
      </c>
      <c r="P180" s="9" t="s">
        <v>308</v>
      </c>
      <c r="Q180" s="9" t="s">
        <v>308</v>
      </c>
      <c r="R180" s="9" t="s">
        <v>309</v>
      </c>
      <c r="S180" s="9" t="s">
        <v>264</v>
      </c>
      <c r="T180" s="9" t="s">
        <v>409</v>
      </c>
      <c r="U180" s="16" t="s">
        <v>73</v>
      </c>
      <c r="V180" s="36" t="n">
        <v>0.73</v>
      </c>
      <c r="W180" s="9" t="n">
        <v>0.65</v>
      </c>
      <c r="X180" s="22" t="n">
        <v>1000000</v>
      </c>
      <c r="Y180" s="9" t="n">
        <v>1000000</v>
      </c>
      <c r="Z180" s="9" t="n">
        <v>1000000</v>
      </c>
      <c r="AA180" s="9" t="n">
        <v>1000000</v>
      </c>
      <c r="AB180" s="9" t="n">
        <v>1000000</v>
      </c>
      <c r="AC180" s="9" t="n">
        <v>1000000</v>
      </c>
      <c r="AD180" s="9" t="n">
        <v>1000000</v>
      </c>
      <c r="AE180" s="9" t="n">
        <v>1000000</v>
      </c>
      <c r="AF180" s="9" t="n">
        <v>1000000</v>
      </c>
      <c r="AG180" s="9" t="n">
        <v>1000000</v>
      </c>
      <c r="AH180" s="9" t="n">
        <v>1000000</v>
      </c>
      <c r="AI180" s="9" t="n">
        <v>1000000</v>
      </c>
      <c r="AJ180" s="9" t="n">
        <f aca="false">X180*$V180</f>
        <v>730000</v>
      </c>
      <c r="AK180" s="9" t="n">
        <f aca="false">Y180*$V180</f>
        <v>730000</v>
      </c>
      <c r="AL180" s="9" t="n">
        <f aca="false">Z180*$V180</f>
        <v>730000</v>
      </c>
      <c r="AM180" s="9" t="n">
        <f aca="false">AA180*$V180</f>
        <v>730000</v>
      </c>
      <c r="AN180" s="9" t="n">
        <f aca="false">AB180*$V180</f>
        <v>730000</v>
      </c>
      <c r="AO180" s="9" t="n">
        <f aca="false">AC180*$V180</f>
        <v>730000</v>
      </c>
      <c r="AP180" s="9" t="n">
        <f aca="false">AD180*$V180</f>
        <v>730000</v>
      </c>
      <c r="AQ180" s="9" t="n">
        <f aca="false">AE180*$V180</f>
        <v>730000</v>
      </c>
      <c r="AR180" s="9" t="n">
        <f aca="false">AF180*$V180</f>
        <v>730000</v>
      </c>
      <c r="AS180" s="9" t="n">
        <f aca="false">AG180*$V180</f>
        <v>730000</v>
      </c>
      <c r="AT180" s="9" t="n">
        <f aca="false">AH180*$V180</f>
        <v>730000</v>
      </c>
      <c r="AU180" s="9" t="n">
        <f aca="false">AI180*$V180</f>
        <v>730000</v>
      </c>
      <c r="AV180" s="9" t="n">
        <f aca="false">SUM(X180:AI180)/1000</f>
        <v>12000</v>
      </c>
      <c r="AW180" s="9" t="n">
        <f aca="false">SUM(AJ180:AU180)</f>
        <v>8760000</v>
      </c>
      <c r="AX180" s="9" t="n">
        <f aca="false">IF(D180="INR",AW180/88.24,AW180)/1000000</f>
        <v>0.0992747053490481</v>
      </c>
    </row>
    <row r="181" s="2" customFormat="true" ht="14.25" hidden="false" customHeight="false" outlineLevel="0" collapsed="false">
      <c r="A181" s="35"/>
      <c r="B181" s="9" t="n">
        <v>1</v>
      </c>
      <c r="C181" s="10"/>
      <c r="D181" s="9" t="s">
        <v>50</v>
      </c>
      <c r="E181" s="9"/>
      <c r="F181" s="9" t="s">
        <v>52</v>
      </c>
      <c r="G181" s="9"/>
      <c r="H181" s="9" t="s">
        <v>410</v>
      </c>
      <c r="I181" s="9" t="s">
        <v>260</v>
      </c>
      <c r="J181" s="9" t="s">
        <v>411</v>
      </c>
      <c r="K181" s="9"/>
      <c r="L181" s="9" t="s">
        <v>260</v>
      </c>
      <c r="M181" s="9" t="s">
        <v>411</v>
      </c>
      <c r="N181" s="9" t="s">
        <v>79</v>
      </c>
      <c r="O181" s="9" t="s">
        <v>68</v>
      </c>
      <c r="P181" s="9"/>
      <c r="Q181" s="9" t="s">
        <v>110</v>
      </c>
      <c r="R181" s="9"/>
      <c r="S181" s="9"/>
      <c r="T181" s="9" t="s">
        <v>412</v>
      </c>
      <c r="U181" s="9" t="s">
        <v>63</v>
      </c>
      <c r="V181" s="9" t="n">
        <v>24</v>
      </c>
      <c r="W181" s="9"/>
      <c r="X181" s="9" t="n">
        <v>30000</v>
      </c>
      <c r="Y181" s="9" t="n">
        <v>30000</v>
      </c>
      <c r="Z181" s="9" t="n">
        <v>30000</v>
      </c>
      <c r="AA181" s="9" t="n">
        <v>30000</v>
      </c>
      <c r="AB181" s="9" t="n">
        <v>30000</v>
      </c>
      <c r="AC181" s="9" t="n">
        <v>30000</v>
      </c>
      <c r="AD181" s="9" t="n">
        <v>30000</v>
      </c>
      <c r="AE181" s="9" t="n">
        <v>30000</v>
      </c>
      <c r="AF181" s="9" t="n">
        <v>30000</v>
      </c>
      <c r="AG181" s="9" t="n">
        <v>30000</v>
      </c>
      <c r="AH181" s="9" t="n">
        <v>30000</v>
      </c>
      <c r="AI181" s="9" t="n">
        <v>30000</v>
      </c>
      <c r="AJ181" s="9" t="n">
        <f aca="false">X181*$V181</f>
        <v>720000</v>
      </c>
      <c r="AK181" s="9" t="n">
        <f aca="false">Y181*$V181</f>
        <v>720000</v>
      </c>
      <c r="AL181" s="9" t="n">
        <f aca="false">Z181*$V181</f>
        <v>720000</v>
      </c>
      <c r="AM181" s="9" t="n">
        <f aca="false">AA181*$V181</f>
        <v>720000</v>
      </c>
      <c r="AN181" s="9" t="n">
        <f aca="false">AB181*$V181</f>
        <v>720000</v>
      </c>
      <c r="AO181" s="9" t="n">
        <f aca="false">AC181*$V181</f>
        <v>720000</v>
      </c>
      <c r="AP181" s="9" t="n">
        <f aca="false">AD181*$V181</f>
        <v>720000</v>
      </c>
      <c r="AQ181" s="9" t="n">
        <f aca="false">AE181*$V181</f>
        <v>720000</v>
      </c>
      <c r="AR181" s="9" t="n">
        <f aca="false">AF181*$V181</f>
        <v>720000</v>
      </c>
      <c r="AS181" s="9" t="n">
        <f aca="false">AG181*$V181</f>
        <v>720000</v>
      </c>
      <c r="AT181" s="9" t="n">
        <f aca="false">AH181*$V181</f>
        <v>720000</v>
      </c>
      <c r="AU181" s="9" t="n">
        <f aca="false">AI181*$V181</f>
        <v>720000</v>
      </c>
      <c r="AV181" s="9" t="n">
        <f aca="false">SUM(X181:AI181)/1000</f>
        <v>360</v>
      </c>
      <c r="AW181" s="9" t="n">
        <f aca="false">SUM(AJ181:AU181)</f>
        <v>8640000</v>
      </c>
      <c r="AX181" s="9" t="n">
        <f aca="false">IF(D181="INR",AW181/88.24,AW181)/1000000</f>
        <v>0.0979147778785132</v>
      </c>
    </row>
    <row r="182" s="2" customFormat="true" ht="14.25" hidden="false" customHeight="true" outlineLevel="0" collapsed="false">
      <c r="A182" s="28"/>
      <c r="B182" s="16" t="n">
        <v>1</v>
      </c>
      <c r="C182" s="16"/>
      <c r="D182" s="16" t="s">
        <v>50</v>
      </c>
      <c r="E182" s="16" t="s">
        <v>51</v>
      </c>
      <c r="F182" s="16" t="s">
        <v>52</v>
      </c>
      <c r="G182" s="16"/>
      <c r="H182" s="16" t="s">
        <v>410</v>
      </c>
      <c r="I182" s="16" t="s">
        <v>260</v>
      </c>
      <c r="J182" s="16" t="s">
        <v>411</v>
      </c>
      <c r="K182" s="16"/>
      <c r="L182" s="16" t="s">
        <v>260</v>
      </c>
      <c r="M182" s="16" t="s">
        <v>411</v>
      </c>
      <c r="N182" s="16" t="s">
        <v>79</v>
      </c>
      <c r="O182" s="16" t="s">
        <v>68</v>
      </c>
      <c r="P182" s="16"/>
      <c r="Q182" s="38" t="s">
        <v>110</v>
      </c>
      <c r="R182" s="16"/>
      <c r="S182" s="16"/>
      <c r="T182" s="38" t="s">
        <v>412</v>
      </c>
      <c r="U182" s="16" t="s">
        <v>63</v>
      </c>
      <c r="V182" s="39" t="n">
        <v>24</v>
      </c>
      <c r="W182" s="16"/>
      <c r="X182" s="30" t="n">
        <v>30000</v>
      </c>
      <c r="Y182" s="30" t="n">
        <v>30000</v>
      </c>
      <c r="Z182" s="30" t="n">
        <v>30000</v>
      </c>
      <c r="AA182" s="30" t="n">
        <v>30000</v>
      </c>
      <c r="AB182" s="30" t="n">
        <v>30000</v>
      </c>
      <c r="AC182" s="30" t="n">
        <v>30000</v>
      </c>
      <c r="AD182" s="30" t="n">
        <v>30000</v>
      </c>
      <c r="AE182" s="30" t="n">
        <v>30000</v>
      </c>
      <c r="AF182" s="30" t="n">
        <v>30000</v>
      </c>
      <c r="AG182" s="30" t="n">
        <v>30000</v>
      </c>
      <c r="AH182" s="30" t="n">
        <v>30000</v>
      </c>
      <c r="AI182" s="30" t="n">
        <v>30000</v>
      </c>
      <c r="AJ182" s="9" t="n">
        <f aca="false">V182*X182</f>
        <v>720000</v>
      </c>
      <c r="AK182" s="9" t="n">
        <f aca="false">Y182*$V182</f>
        <v>720000</v>
      </c>
      <c r="AL182" s="9" t="n">
        <f aca="false">Z182*$V182</f>
        <v>720000</v>
      </c>
      <c r="AM182" s="9" t="n">
        <f aca="false">AA182*$V182</f>
        <v>720000</v>
      </c>
      <c r="AN182" s="9" t="n">
        <f aca="false">AB182*$V182</f>
        <v>720000</v>
      </c>
      <c r="AO182" s="9" t="n">
        <f aca="false">AC182*$V182</f>
        <v>720000</v>
      </c>
      <c r="AP182" s="9" t="n">
        <f aca="false">AD182*$V182</f>
        <v>720000</v>
      </c>
      <c r="AQ182" s="9" t="n">
        <f aca="false">AE182*$V182</f>
        <v>720000</v>
      </c>
      <c r="AR182" s="9" t="n">
        <f aca="false">AF182*$V182</f>
        <v>720000</v>
      </c>
      <c r="AS182" s="9" t="n">
        <f aca="false">AG182*$V182</f>
        <v>720000</v>
      </c>
      <c r="AT182" s="9" t="n">
        <f aca="false">AH182*$V182</f>
        <v>720000</v>
      </c>
      <c r="AU182" s="9" t="n">
        <f aca="false">AI182*$V182</f>
        <v>720000</v>
      </c>
      <c r="AV182" s="9" t="n">
        <f aca="false">SUM(X182:AI182)/1000</f>
        <v>360</v>
      </c>
      <c r="AW182" s="9" t="n">
        <f aca="false">SUM(AJ182:AU182)</f>
        <v>8640000</v>
      </c>
      <c r="AX182" s="9" t="n">
        <f aca="false">IF(D182="INR",AW182/88.24,AW182)/1000000</f>
        <v>0.0979147778785132</v>
      </c>
    </row>
    <row r="183" s="2" customFormat="true" ht="16.4" hidden="false" customHeight="false" outlineLevel="0" collapsed="false">
      <c r="A183" s="35" t="s">
        <v>413</v>
      </c>
      <c r="B183" s="9" t="n">
        <v>5</v>
      </c>
      <c r="C183" s="10"/>
      <c r="D183" s="9" t="s">
        <v>50</v>
      </c>
      <c r="E183" s="9" t="s">
        <v>51</v>
      </c>
      <c r="F183" s="9" t="s">
        <v>52</v>
      </c>
      <c r="G183" s="9" t="s">
        <v>391</v>
      </c>
      <c r="H183" s="9" t="s">
        <v>392</v>
      </c>
      <c r="I183" s="9" t="s">
        <v>260</v>
      </c>
      <c r="J183" s="9" t="s">
        <v>276</v>
      </c>
      <c r="K183" s="9"/>
      <c r="L183" s="9" t="s">
        <v>260</v>
      </c>
      <c r="M183" s="9" t="s">
        <v>276</v>
      </c>
      <c r="N183" s="9" t="s">
        <v>93</v>
      </c>
      <c r="O183" s="9" t="s">
        <v>58</v>
      </c>
      <c r="P183" s="9" t="s">
        <v>308</v>
      </c>
      <c r="Q183" s="9" t="s">
        <v>308</v>
      </c>
      <c r="R183" s="9" t="s">
        <v>309</v>
      </c>
      <c r="S183" s="9" t="s">
        <v>264</v>
      </c>
      <c r="T183" s="9" t="s">
        <v>414</v>
      </c>
      <c r="U183" s="9" t="s">
        <v>73</v>
      </c>
      <c r="V183" s="9" t="n">
        <v>28.07</v>
      </c>
      <c r="W183" s="9" t="n">
        <v>25.75</v>
      </c>
      <c r="X183" s="9" t="n">
        <v>25000</v>
      </c>
      <c r="Y183" s="9" t="n">
        <v>25000</v>
      </c>
      <c r="Z183" s="9" t="n">
        <v>25000</v>
      </c>
      <c r="AA183" s="9" t="n">
        <v>25000</v>
      </c>
      <c r="AB183" s="9" t="n">
        <v>25000</v>
      </c>
      <c r="AC183" s="9" t="n">
        <v>25000</v>
      </c>
      <c r="AD183" s="9" t="n">
        <v>25000</v>
      </c>
      <c r="AE183" s="9" t="n">
        <v>25000</v>
      </c>
      <c r="AF183" s="9" t="n">
        <v>25000</v>
      </c>
      <c r="AG183" s="9" t="n">
        <v>25000</v>
      </c>
      <c r="AH183" s="9" t="n">
        <v>25000</v>
      </c>
      <c r="AI183" s="9" t="n">
        <v>25000</v>
      </c>
      <c r="AJ183" s="9" t="n">
        <f aca="false">X183*$V183</f>
        <v>701750</v>
      </c>
      <c r="AK183" s="9" t="n">
        <f aca="false">Y183*$V183</f>
        <v>701750</v>
      </c>
      <c r="AL183" s="9" t="n">
        <f aca="false">Z183*$V183</f>
        <v>701750</v>
      </c>
      <c r="AM183" s="9" t="n">
        <f aca="false">AA183*$V183</f>
        <v>701750</v>
      </c>
      <c r="AN183" s="9" t="n">
        <f aca="false">AB183*$V183</f>
        <v>701750</v>
      </c>
      <c r="AO183" s="9" t="n">
        <f aca="false">AC183*$V183</f>
        <v>701750</v>
      </c>
      <c r="AP183" s="9" t="n">
        <f aca="false">AD183*$V183</f>
        <v>701750</v>
      </c>
      <c r="AQ183" s="9" t="n">
        <f aca="false">AE183*$V183</f>
        <v>701750</v>
      </c>
      <c r="AR183" s="9" t="n">
        <f aca="false">AF183*$V183</f>
        <v>701750</v>
      </c>
      <c r="AS183" s="9" t="n">
        <f aca="false">AG183*$V183</f>
        <v>701750</v>
      </c>
      <c r="AT183" s="9" t="n">
        <f aca="false">AH183*$V183</f>
        <v>701750</v>
      </c>
      <c r="AU183" s="9" t="n">
        <f aca="false">AI183*$V183</f>
        <v>701750</v>
      </c>
      <c r="AV183" s="9" t="n">
        <f aca="false">SUM(X183:AI183)/1000</f>
        <v>300</v>
      </c>
      <c r="AW183" s="9" t="n">
        <f aca="false">SUM(AJ183:AU183)</f>
        <v>8421000</v>
      </c>
      <c r="AX183" s="9" t="n">
        <f aca="false">IF(D183="INR",AW183/88.24,AW183)/1000000</f>
        <v>0.095432910244787</v>
      </c>
    </row>
    <row r="184" s="2" customFormat="true" ht="16.4" hidden="false" customHeight="false" outlineLevel="0" collapsed="false">
      <c r="A184" s="35" t="s">
        <v>415</v>
      </c>
      <c r="B184" s="9" t="n">
        <v>5</v>
      </c>
      <c r="C184" s="10"/>
      <c r="D184" s="16" t="s">
        <v>102</v>
      </c>
      <c r="E184" s="16" t="s">
        <v>51</v>
      </c>
      <c r="F184" s="16" t="s">
        <v>52</v>
      </c>
      <c r="G184" s="16" t="s">
        <v>53</v>
      </c>
      <c r="H184" s="9" t="s">
        <v>54</v>
      </c>
      <c r="I184" s="16" t="s">
        <v>55</v>
      </c>
      <c r="J184" s="16" t="s">
        <v>56</v>
      </c>
      <c r="K184" s="9" t="s">
        <v>54</v>
      </c>
      <c r="L184" s="16" t="s">
        <v>55</v>
      </c>
      <c r="M184" s="16" t="s">
        <v>56</v>
      </c>
      <c r="N184" s="16" t="s">
        <v>57</v>
      </c>
      <c r="O184" s="16" t="s">
        <v>58</v>
      </c>
      <c r="P184" s="9" t="s">
        <v>85</v>
      </c>
      <c r="Q184" s="9" t="s">
        <v>85</v>
      </c>
      <c r="R184" s="9" t="s">
        <v>86</v>
      </c>
      <c r="S184" s="9" t="s">
        <v>87</v>
      </c>
      <c r="T184" s="24" t="s">
        <v>416</v>
      </c>
      <c r="U184" s="16" t="s">
        <v>63</v>
      </c>
      <c r="V184" s="25" t="n">
        <v>0.198</v>
      </c>
      <c r="W184" s="40" t="n">
        <v>0.15</v>
      </c>
      <c r="X184" s="22" t="n">
        <v>300000</v>
      </c>
      <c r="Y184" s="9" t="n">
        <v>300000</v>
      </c>
      <c r="Z184" s="9" t="n">
        <v>300000</v>
      </c>
      <c r="AA184" s="9" t="n">
        <v>300000</v>
      </c>
      <c r="AB184" s="9" t="n">
        <v>300000</v>
      </c>
      <c r="AC184" s="9" t="n">
        <v>300000</v>
      </c>
      <c r="AD184" s="9" t="n">
        <v>300000</v>
      </c>
      <c r="AE184" s="9" t="n">
        <v>300000</v>
      </c>
      <c r="AF184" s="9" t="n">
        <v>300000</v>
      </c>
      <c r="AG184" s="9" t="n">
        <v>300000</v>
      </c>
      <c r="AH184" s="9" t="n">
        <v>300000</v>
      </c>
      <c r="AI184" s="9" t="n">
        <v>300000</v>
      </c>
      <c r="AJ184" s="9" t="n">
        <f aca="false">X184*$V184</f>
        <v>59400</v>
      </c>
      <c r="AK184" s="9" t="n">
        <f aca="false">Y184*$V184</f>
        <v>59400</v>
      </c>
      <c r="AL184" s="9" t="n">
        <f aca="false">Z184*$V184</f>
        <v>59400</v>
      </c>
      <c r="AM184" s="9" t="n">
        <f aca="false">AA184*$V184</f>
        <v>59400</v>
      </c>
      <c r="AN184" s="9" t="n">
        <f aca="false">AB184*$V184</f>
        <v>59400</v>
      </c>
      <c r="AO184" s="9" t="n">
        <f aca="false">AC184*$V184</f>
        <v>59400</v>
      </c>
      <c r="AP184" s="9" t="n">
        <f aca="false">AD184*$V184</f>
        <v>59400</v>
      </c>
      <c r="AQ184" s="9" t="n">
        <f aca="false">AE184*$V184</f>
        <v>59400</v>
      </c>
      <c r="AR184" s="9" t="n">
        <f aca="false">AF184*$V184</f>
        <v>59400</v>
      </c>
      <c r="AS184" s="9" t="n">
        <f aca="false">AG184*$V184</f>
        <v>59400</v>
      </c>
      <c r="AT184" s="9" t="n">
        <f aca="false">AH184*$V184</f>
        <v>59400</v>
      </c>
      <c r="AU184" s="9" t="n">
        <f aca="false">AI184*$V184</f>
        <v>59400</v>
      </c>
      <c r="AV184" s="9" t="n">
        <f aca="false">SUM(X184:AI184)/1000</f>
        <v>3600</v>
      </c>
      <c r="AW184" s="9" t="n">
        <f aca="false">SUM(AJ184:AU184)</f>
        <v>712800</v>
      </c>
      <c r="AX184" s="9" t="n">
        <f aca="false">IF(D184="INR",AW184/88.24,AW184)/1000000</f>
        <v>0.7128</v>
      </c>
    </row>
    <row r="185" s="2" customFormat="true" ht="16.4" hidden="false" customHeight="false" outlineLevel="0" collapsed="false">
      <c r="A185" s="35" t="s">
        <v>417</v>
      </c>
      <c r="B185" s="9" t="n">
        <v>5</v>
      </c>
      <c r="C185" s="15"/>
      <c r="D185" s="16" t="s">
        <v>102</v>
      </c>
      <c r="E185" s="16" t="s">
        <v>51</v>
      </c>
      <c r="F185" s="16" t="s">
        <v>52</v>
      </c>
      <c r="G185" s="16" t="s">
        <v>53</v>
      </c>
      <c r="H185" s="9" t="s">
        <v>54</v>
      </c>
      <c r="I185" s="16" t="s">
        <v>55</v>
      </c>
      <c r="J185" s="16" t="s">
        <v>56</v>
      </c>
      <c r="K185" s="9" t="s">
        <v>54</v>
      </c>
      <c r="L185" s="16" t="s">
        <v>55</v>
      </c>
      <c r="M185" s="16" t="s">
        <v>56</v>
      </c>
      <c r="N185" s="16" t="s">
        <v>57</v>
      </c>
      <c r="O185" s="16" t="s">
        <v>58</v>
      </c>
      <c r="P185" s="9" t="s">
        <v>85</v>
      </c>
      <c r="Q185" s="9" t="s">
        <v>85</v>
      </c>
      <c r="R185" s="9" t="s">
        <v>86</v>
      </c>
      <c r="S185" s="9" t="s">
        <v>87</v>
      </c>
      <c r="T185" s="9" t="s">
        <v>418</v>
      </c>
      <c r="U185" s="16" t="s">
        <v>73</v>
      </c>
      <c r="V185" s="36" t="n">
        <v>0.05</v>
      </c>
      <c r="W185" s="9" t="n">
        <v>0.045</v>
      </c>
      <c r="X185" s="22" t="n">
        <v>250000</v>
      </c>
      <c r="Y185" s="9" t="n">
        <v>250000</v>
      </c>
      <c r="Z185" s="9" t="n">
        <v>250000</v>
      </c>
      <c r="AA185" s="9" t="n">
        <v>250000</v>
      </c>
      <c r="AB185" s="9" t="n">
        <v>250000</v>
      </c>
      <c r="AC185" s="9" t="n">
        <v>250000</v>
      </c>
      <c r="AD185" s="23" t="n">
        <v>250000</v>
      </c>
      <c r="AE185" s="9" t="n">
        <v>250000</v>
      </c>
      <c r="AF185" s="9" t="n">
        <v>250000</v>
      </c>
      <c r="AG185" s="9" t="n">
        <v>250000</v>
      </c>
      <c r="AH185" s="9" t="n">
        <v>250000</v>
      </c>
      <c r="AI185" s="9" t="n">
        <v>250000</v>
      </c>
      <c r="AJ185" s="9" t="n">
        <f aca="false">X185*$V185</f>
        <v>12500</v>
      </c>
      <c r="AK185" s="9" t="n">
        <f aca="false">Y185*$V185</f>
        <v>12500</v>
      </c>
      <c r="AL185" s="9" t="n">
        <f aca="false">Z185*$V185</f>
        <v>12500</v>
      </c>
      <c r="AM185" s="9" t="n">
        <f aca="false">AA185*$V185</f>
        <v>12500</v>
      </c>
      <c r="AN185" s="9" t="n">
        <f aca="false">AB185*$V185</f>
        <v>12500</v>
      </c>
      <c r="AO185" s="9" t="n">
        <f aca="false">AC185*$V185</f>
        <v>12500</v>
      </c>
      <c r="AP185" s="9" t="n">
        <f aca="false">AD185*$V185</f>
        <v>12500</v>
      </c>
      <c r="AQ185" s="9" t="n">
        <f aca="false">AE185*$V185</f>
        <v>12500</v>
      </c>
      <c r="AR185" s="9" t="n">
        <f aca="false">AF185*$V185</f>
        <v>12500</v>
      </c>
      <c r="AS185" s="9" t="n">
        <f aca="false">AG185*$V185</f>
        <v>12500</v>
      </c>
      <c r="AT185" s="9" t="n">
        <f aca="false">AH185*$V185</f>
        <v>12500</v>
      </c>
      <c r="AU185" s="9" t="n">
        <f aca="false">AI185*$V185</f>
        <v>12500</v>
      </c>
      <c r="AV185" s="9" t="n">
        <f aca="false">SUM(X185:AI185)/1000</f>
        <v>3000</v>
      </c>
      <c r="AW185" s="9" t="n">
        <f aca="false">SUM(AJ185:AU185)</f>
        <v>150000</v>
      </c>
      <c r="AX185" s="9" t="n">
        <f aca="false">IF(D185="INR",AW185/88.24,AW185)/1000000</f>
        <v>0.15</v>
      </c>
    </row>
    <row r="186" s="2" customFormat="true" ht="16.4" hidden="false" customHeight="false" outlineLevel="0" collapsed="false">
      <c r="A186" s="35" t="s">
        <v>419</v>
      </c>
      <c r="B186" s="9" t="n">
        <v>5</v>
      </c>
      <c r="C186" s="10"/>
      <c r="D186" s="9" t="s">
        <v>50</v>
      </c>
      <c r="E186" s="9" t="s">
        <v>51</v>
      </c>
      <c r="F186" s="9" t="s">
        <v>52</v>
      </c>
      <c r="G186" s="9" t="s">
        <v>420</v>
      </c>
      <c r="H186" s="9" t="s">
        <v>421</v>
      </c>
      <c r="I186" s="9" t="s">
        <v>260</v>
      </c>
      <c r="J186" s="9" t="s">
        <v>276</v>
      </c>
      <c r="K186" s="9"/>
      <c r="L186" s="9" t="s">
        <v>260</v>
      </c>
      <c r="M186" s="9" t="s">
        <v>276</v>
      </c>
      <c r="N186" s="9" t="s">
        <v>79</v>
      </c>
      <c r="O186" s="9" t="s">
        <v>107</v>
      </c>
      <c r="P186" s="9" t="s">
        <v>80</v>
      </c>
      <c r="Q186" s="9" t="s">
        <v>80</v>
      </c>
      <c r="R186" s="9" t="s">
        <v>81</v>
      </c>
      <c r="S186" s="9" t="s">
        <v>82</v>
      </c>
      <c r="T186" s="9" t="s">
        <v>277</v>
      </c>
      <c r="U186" s="9" t="s">
        <v>73</v>
      </c>
      <c r="V186" s="10" t="n">
        <v>32.596</v>
      </c>
      <c r="W186" s="9" t="n">
        <v>26.70553</v>
      </c>
      <c r="X186" s="9" t="n">
        <v>20000</v>
      </c>
      <c r="Y186" s="9" t="n">
        <v>20000</v>
      </c>
      <c r="Z186" s="9" t="n">
        <v>20000</v>
      </c>
      <c r="AA186" s="9" t="n">
        <v>20000</v>
      </c>
      <c r="AB186" s="9" t="n">
        <v>20000</v>
      </c>
      <c r="AC186" s="9" t="n">
        <v>20000</v>
      </c>
      <c r="AD186" s="9" t="n">
        <v>20000</v>
      </c>
      <c r="AE186" s="9" t="n">
        <v>20000</v>
      </c>
      <c r="AF186" s="9" t="n">
        <v>20000</v>
      </c>
      <c r="AG186" s="9" t="n">
        <v>20000</v>
      </c>
      <c r="AH186" s="9" t="n">
        <v>20000</v>
      </c>
      <c r="AI186" s="9" t="n">
        <v>20000</v>
      </c>
      <c r="AJ186" s="9" t="n">
        <f aca="false">X186*$V186</f>
        <v>651920</v>
      </c>
      <c r="AK186" s="9" t="n">
        <f aca="false">Y186*$V186</f>
        <v>651920</v>
      </c>
      <c r="AL186" s="9" t="n">
        <f aca="false">Z186*$V186</f>
        <v>651920</v>
      </c>
      <c r="AM186" s="9" t="n">
        <f aca="false">AA186*$V186</f>
        <v>651920</v>
      </c>
      <c r="AN186" s="9" t="n">
        <f aca="false">AB186*$V186</f>
        <v>651920</v>
      </c>
      <c r="AO186" s="9" t="n">
        <f aca="false">AC186*$V186</f>
        <v>651920</v>
      </c>
      <c r="AP186" s="9" t="n">
        <f aca="false">AD186*$V186</f>
        <v>651920</v>
      </c>
      <c r="AQ186" s="9" t="n">
        <f aca="false">AE186*$V186</f>
        <v>651920</v>
      </c>
      <c r="AR186" s="9" t="n">
        <f aca="false">AF186*$V186</f>
        <v>651920</v>
      </c>
      <c r="AS186" s="9" t="n">
        <f aca="false">AG186*$V186</f>
        <v>651920</v>
      </c>
      <c r="AT186" s="9" t="n">
        <f aca="false">AH186*$V186</f>
        <v>651920</v>
      </c>
      <c r="AU186" s="9" t="n">
        <f aca="false">AI186*$V186</f>
        <v>651920</v>
      </c>
      <c r="AV186" s="9" t="n">
        <f aca="false">SUM(X186:AI186)/1000</f>
        <v>240</v>
      </c>
      <c r="AW186" s="9" t="n">
        <f aca="false">SUM(AJ186:AU186)</f>
        <v>7823040</v>
      </c>
      <c r="AX186" s="9" t="n">
        <f aca="false">IF(D186="INR",AW186/88.24,AW186)/1000000</f>
        <v>0.0886563916591115</v>
      </c>
    </row>
    <row r="187" s="2" customFormat="true" ht="16.4" hidden="false" customHeight="false" outlineLevel="0" collapsed="false">
      <c r="A187" s="35" t="s">
        <v>422</v>
      </c>
      <c r="B187" s="9"/>
      <c r="C187" s="10"/>
      <c r="D187" s="9" t="s">
        <v>102</v>
      </c>
      <c r="E187" s="9" t="s">
        <v>51</v>
      </c>
      <c r="F187" s="9" t="s">
        <v>52</v>
      </c>
      <c r="G187" s="9" t="s">
        <v>53</v>
      </c>
      <c r="H187" s="9" t="s">
        <v>54</v>
      </c>
      <c r="I187" s="9" t="s">
        <v>55</v>
      </c>
      <c r="J187" s="9" t="s">
        <v>56</v>
      </c>
      <c r="K187" s="9" t="s">
        <v>54</v>
      </c>
      <c r="L187" s="9" t="s">
        <v>55</v>
      </c>
      <c r="M187" s="9" t="s">
        <v>56</v>
      </c>
      <c r="N187" s="9" t="s">
        <v>57</v>
      </c>
      <c r="O187" s="9" t="s">
        <v>58</v>
      </c>
      <c r="P187" s="9" t="s">
        <v>110</v>
      </c>
      <c r="Q187" s="9" t="s">
        <v>110</v>
      </c>
      <c r="R187" s="9" t="s">
        <v>137</v>
      </c>
      <c r="S187" s="9" t="s">
        <v>272</v>
      </c>
      <c r="T187" s="9" t="s">
        <v>423</v>
      </c>
      <c r="U187" s="9" t="s">
        <v>73</v>
      </c>
      <c r="V187" s="9" t="n">
        <v>1.42</v>
      </c>
      <c r="W187" s="9" t="n">
        <v>1.14</v>
      </c>
      <c r="X187" s="9" t="n">
        <v>200000</v>
      </c>
      <c r="Y187" s="9" t="n">
        <v>200000</v>
      </c>
      <c r="Z187" s="9" t="n">
        <v>200000</v>
      </c>
      <c r="AA187" s="9" t="n">
        <v>200000</v>
      </c>
      <c r="AB187" s="9" t="n">
        <v>200000</v>
      </c>
      <c r="AC187" s="9" t="n">
        <v>200000</v>
      </c>
      <c r="AD187" s="9" t="n">
        <v>200000</v>
      </c>
      <c r="AE187" s="9" t="n">
        <v>200000</v>
      </c>
      <c r="AF187" s="9" t="n">
        <v>200000</v>
      </c>
      <c r="AG187" s="9" t="n">
        <v>200000</v>
      </c>
      <c r="AH187" s="9" t="n">
        <v>200000</v>
      </c>
      <c r="AI187" s="9" t="n">
        <v>200000</v>
      </c>
      <c r="AJ187" s="9" t="n">
        <f aca="false">X187*$V187</f>
        <v>284000</v>
      </c>
      <c r="AK187" s="9" t="n">
        <f aca="false">Y187*$V187</f>
        <v>284000</v>
      </c>
      <c r="AL187" s="9" t="n">
        <f aca="false">Z187*$V187</f>
        <v>284000</v>
      </c>
      <c r="AM187" s="9" t="n">
        <f aca="false">AA187*$V187</f>
        <v>284000</v>
      </c>
      <c r="AN187" s="9" t="n">
        <f aca="false">AB187*$V187</f>
        <v>284000</v>
      </c>
      <c r="AO187" s="9" t="n">
        <f aca="false">AC187*$V187</f>
        <v>284000</v>
      </c>
      <c r="AP187" s="9" t="n">
        <f aca="false">AD187*$V187</f>
        <v>284000</v>
      </c>
      <c r="AQ187" s="9" t="n">
        <f aca="false">AE187*$V187</f>
        <v>284000</v>
      </c>
      <c r="AR187" s="9" t="n">
        <f aca="false">AF187*$V187</f>
        <v>284000</v>
      </c>
      <c r="AS187" s="9" t="n">
        <f aca="false">AG187*$V187</f>
        <v>284000</v>
      </c>
      <c r="AT187" s="9" t="n">
        <f aca="false">AH187*$V187</f>
        <v>284000</v>
      </c>
      <c r="AU187" s="9" t="n">
        <f aca="false">AI187*$V187</f>
        <v>284000</v>
      </c>
      <c r="AV187" s="9" t="n">
        <f aca="false">SUM(X187:AI187)/1000</f>
        <v>2400</v>
      </c>
      <c r="AW187" s="9" t="n">
        <f aca="false">SUM(AJ187:AU187)</f>
        <v>3408000</v>
      </c>
      <c r="AX187" s="9" t="n">
        <f aca="false">IF(D187="INR",AW187/88.24,AW187)/1000000</f>
        <v>3.408</v>
      </c>
    </row>
    <row r="188" s="2" customFormat="true" ht="16.4" hidden="false" customHeight="false" outlineLevel="0" collapsed="false">
      <c r="A188" s="35" t="s">
        <v>424</v>
      </c>
      <c r="B188" s="9" t="n">
        <v>5</v>
      </c>
      <c r="C188" s="10"/>
      <c r="D188" s="9" t="s">
        <v>102</v>
      </c>
      <c r="E188" s="9" t="s">
        <v>51</v>
      </c>
      <c r="F188" s="9" t="s">
        <v>52</v>
      </c>
      <c r="G188" s="9" t="s">
        <v>53</v>
      </c>
      <c r="H188" s="9" t="s">
        <v>54</v>
      </c>
      <c r="I188" s="9" t="s">
        <v>55</v>
      </c>
      <c r="J188" s="9" t="s">
        <v>56</v>
      </c>
      <c r="K188" s="9" t="s">
        <v>54</v>
      </c>
      <c r="L188" s="9" t="s">
        <v>55</v>
      </c>
      <c r="M188" s="9" t="s">
        <v>56</v>
      </c>
      <c r="N188" s="9" t="s">
        <v>57</v>
      </c>
      <c r="O188" s="9" t="s">
        <v>58</v>
      </c>
      <c r="P188" s="9" t="s">
        <v>110</v>
      </c>
      <c r="Q188" s="9" t="s">
        <v>110</v>
      </c>
      <c r="R188" s="9" t="s">
        <v>137</v>
      </c>
      <c r="S188" s="9" t="s">
        <v>272</v>
      </c>
      <c r="T188" s="9" t="s">
        <v>425</v>
      </c>
      <c r="U188" s="9" t="s">
        <v>73</v>
      </c>
      <c r="V188" s="9" t="n">
        <v>1.34</v>
      </c>
      <c r="W188" s="9" t="n">
        <v>1.056</v>
      </c>
      <c r="X188" s="9" t="n">
        <v>200000</v>
      </c>
      <c r="Y188" s="9" t="n">
        <v>200000</v>
      </c>
      <c r="Z188" s="9" t="n">
        <v>200000</v>
      </c>
      <c r="AA188" s="9" t="n">
        <v>200000</v>
      </c>
      <c r="AB188" s="9" t="n">
        <v>200000</v>
      </c>
      <c r="AC188" s="9" t="n">
        <v>200000</v>
      </c>
      <c r="AD188" s="9" t="n">
        <v>200000</v>
      </c>
      <c r="AE188" s="9" t="n">
        <v>200000</v>
      </c>
      <c r="AF188" s="9" t="n">
        <v>200000</v>
      </c>
      <c r="AG188" s="9" t="n">
        <v>200000</v>
      </c>
      <c r="AH188" s="9" t="n">
        <v>200000</v>
      </c>
      <c r="AI188" s="9" t="n">
        <v>200000</v>
      </c>
      <c r="AJ188" s="9" t="n">
        <f aca="false">X188*$V188</f>
        <v>268000</v>
      </c>
      <c r="AK188" s="9" t="n">
        <f aca="false">Y188*$V188</f>
        <v>268000</v>
      </c>
      <c r="AL188" s="9" t="n">
        <f aca="false">Z188*$V188</f>
        <v>268000</v>
      </c>
      <c r="AM188" s="9" t="n">
        <f aca="false">AA188*$V188</f>
        <v>268000</v>
      </c>
      <c r="AN188" s="9" t="n">
        <f aca="false">AB188*$V188</f>
        <v>268000</v>
      </c>
      <c r="AO188" s="9" t="n">
        <f aca="false">AC188*$V188</f>
        <v>268000</v>
      </c>
      <c r="AP188" s="9" t="n">
        <f aca="false">AD188*$V188</f>
        <v>268000</v>
      </c>
      <c r="AQ188" s="9" t="n">
        <f aca="false">AE188*$V188</f>
        <v>268000</v>
      </c>
      <c r="AR188" s="9" t="n">
        <f aca="false">AF188*$V188</f>
        <v>268000</v>
      </c>
      <c r="AS188" s="9" t="n">
        <f aca="false">AG188*$V188</f>
        <v>268000</v>
      </c>
      <c r="AT188" s="9" t="n">
        <f aca="false">AH188*$V188</f>
        <v>268000</v>
      </c>
      <c r="AU188" s="9" t="n">
        <f aca="false">AI188*$V188</f>
        <v>268000</v>
      </c>
      <c r="AV188" s="9" t="n">
        <f aca="false">SUM(X188:AI188)/1000</f>
        <v>2400</v>
      </c>
      <c r="AW188" s="9" t="n">
        <f aca="false">SUM(AJ188:AU188)</f>
        <v>3216000</v>
      </c>
      <c r="AX188" s="9" t="n">
        <f aca="false">IF(D188="INR",AW188/88.24,AW188)/1000000</f>
        <v>3.216</v>
      </c>
    </row>
    <row r="189" s="2" customFormat="true" ht="16.4" hidden="false" customHeight="false" outlineLevel="0" collapsed="false">
      <c r="A189" s="35" t="s">
        <v>426</v>
      </c>
      <c r="B189" s="9" t="n">
        <v>5</v>
      </c>
      <c r="C189" s="15"/>
      <c r="D189" s="16" t="s">
        <v>102</v>
      </c>
      <c r="E189" s="16" t="s">
        <v>51</v>
      </c>
      <c r="F189" s="16" t="s">
        <v>52</v>
      </c>
      <c r="G189" s="16" t="s">
        <v>53</v>
      </c>
      <c r="H189" s="9" t="s">
        <v>54</v>
      </c>
      <c r="I189" s="16" t="s">
        <v>55</v>
      </c>
      <c r="J189" s="16" t="s">
        <v>56</v>
      </c>
      <c r="K189" s="9" t="s">
        <v>54</v>
      </c>
      <c r="L189" s="16" t="s">
        <v>55</v>
      </c>
      <c r="M189" s="16" t="s">
        <v>56</v>
      </c>
      <c r="N189" s="16" t="s">
        <v>57</v>
      </c>
      <c r="O189" s="16" t="s">
        <v>58</v>
      </c>
      <c r="P189" s="9" t="s">
        <v>85</v>
      </c>
      <c r="Q189" s="9" t="s">
        <v>85</v>
      </c>
      <c r="R189" s="9" t="s">
        <v>86</v>
      </c>
      <c r="S189" s="9" t="s">
        <v>87</v>
      </c>
      <c r="T189" s="9" t="s">
        <v>427</v>
      </c>
      <c r="U189" s="16" t="s">
        <v>63</v>
      </c>
      <c r="V189" s="36" t="n">
        <v>0.13</v>
      </c>
      <c r="W189" s="9" t="n">
        <v>0.15</v>
      </c>
      <c r="X189" s="22" t="n">
        <v>200000</v>
      </c>
      <c r="Y189" s="9" t="n">
        <v>200000</v>
      </c>
      <c r="Z189" s="9" t="n">
        <v>200000</v>
      </c>
      <c r="AA189" s="9" t="n">
        <v>200000</v>
      </c>
      <c r="AB189" s="9" t="n">
        <v>200000</v>
      </c>
      <c r="AC189" s="9" t="n">
        <v>200000</v>
      </c>
      <c r="AD189" s="23" t="n">
        <v>200000</v>
      </c>
      <c r="AE189" s="9" t="n">
        <v>200000</v>
      </c>
      <c r="AF189" s="9" t="n">
        <v>200000</v>
      </c>
      <c r="AG189" s="9" t="n">
        <v>200000</v>
      </c>
      <c r="AH189" s="9" t="n">
        <v>200000</v>
      </c>
      <c r="AI189" s="9" t="n">
        <v>200000</v>
      </c>
      <c r="AJ189" s="9" t="n">
        <f aca="false">X189*$V189</f>
        <v>26000</v>
      </c>
      <c r="AK189" s="9" t="n">
        <f aca="false">Y189*$V189</f>
        <v>26000</v>
      </c>
      <c r="AL189" s="9" t="n">
        <f aca="false">Z189*$V189</f>
        <v>26000</v>
      </c>
      <c r="AM189" s="9" t="n">
        <f aca="false">AA189*$V189</f>
        <v>26000</v>
      </c>
      <c r="AN189" s="9" t="n">
        <f aca="false">AB189*$V189</f>
        <v>26000</v>
      </c>
      <c r="AO189" s="9" t="n">
        <f aca="false">AC189*$V189</f>
        <v>26000</v>
      </c>
      <c r="AP189" s="9" t="n">
        <f aca="false">AD189*$V189</f>
        <v>26000</v>
      </c>
      <c r="AQ189" s="9" t="n">
        <f aca="false">AE189*$V189</f>
        <v>26000</v>
      </c>
      <c r="AR189" s="9" t="n">
        <f aca="false">AF189*$V189</f>
        <v>26000</v>
      </c>
      <c r="AS189" s="9" t="n">
        <f aca="false">AG189*$V189</f>
        <v>26000</v>
      </c>
      <c r="AT189" s="9" t="n">
        <f aca="false">AH189*$V189</f>
        <v>26000</v>
      </c>
      <c r="AU189" s="9" t="n">
        <f aca="false">AI189*$V189</f>
        <v>26000</v>
      </c>
      <c r="AV189" s="9" t="n">
        <f aca="false">SUM(X189:AI189)/1000</f>
        <v>2400</v>
      </c>
      <c r="AW189" s="9" t="n">
        <f aca="false">SUM(AJ189:AU189)</f>
        <v>312000</v>
      </c>
      <c r="AX189" s="9" t="n">
        <f aca="false">IF(D189="INR",AW189/88.24,AW189)/1000000</f>
        <v>0.312</v>
      </c>
    </row>
    <row r="190" s="2" customFormat="true" ht="16.4" hidden="false" customHeight="false" outlineLevel="0" collapsed="false">
      <c r="A190" s="35" t="s">
        <v>428</v>
      </c>
      <c r="B190" s="9" t="n">
        <v>5</v>
      </c>
      <c r="C190" s="10"/>
      <c r="D190" s="9" t="s">
        <v>50</v>
      </c>
      <c r="E190" s="9" t="s">
        <v>51</v>
      </c>
      <c r="F190" s="9" t="s">
        <v>52</v>
      </c>
      <c r="G190" s="9" t="s">
        <v>429</v>
      </c>
      <c r="H190" s="9" t="s">
        <v>410</v>
      </c>
      <c r="I190" s="9" t="s">
        <v>260</v>
      </c>
      <c r="J190" s="9" t="s">
        <v>411</v>
      </c>
      <c r="K190" s="9"/>
      <c r="L190" s="9" t="s">
        <v>260</v>
      </c>
      <c r="M190" s="9" t="s">
        <v>411</v>
      </c>
      <c r="N190" s="9" t="s">
        <v>79</v>
      </c>
      <c r="O190" s="9" t="s">
        <v>58</v>
      </c>
      <c r="P190" s="9" t="s">
        <v>110</v>
      </c>
      <c r="Q190" s="9" t="s">
        <v>110</v>
      </c>
      <c r="R190" s="9" t="s">
        <v>137</v>
      </c>
      <c r="S190" s="9" t="s">
        <v>272</v>
      </c>
      <c r="T190" s="9" t="s">
        <v>430</v>
      </c>
      <c r="U190" s="9" t="s">
        <v>73</v>
      </c>
      <c r="V190" s="9" t="n">
        <v>21.5</v>
      </c>
      <c r="W190" s="9" t="n">
        <v>0.194</v>
      </c>
      <c r="X190" s="9" t="n">
        <v>30000</v>
      </c>
      <c r="Y190" s="9" t="n">
        <v>30000</v>
      </c>
      <c r="Z190" s="9" t="n">
        <v>30000</v>
      </c>
      <c r="AA190" s="9" t="n">
        <v>30000</v>
      </c>
      <c r="AB190" s="9" t="n">
        <v>30000</v>
      </c>
      <c r="AC190" s="9" t="n">
        <v>30000</v>
      </c>
      <c r="AD190" s="9" t="n">
        <v>30000</v>
      </c>
      <c r="AE190" s="9" t="n">
        <v>30000</v>
      </c>
      <c r="AF190" s="9" t="n">
        <v>30000</v>
      </c>
      <c r="AG190" s="9" t="n">
        <v>30000</v>
      </c>
      <c r="AH190" s="9" t="n">
        <v>30000</v>
      </c>
      <c r="AI190" s="9" t="n">
        <v>30000</v>
      </c>
      <c r="AJ190" s="9" t="n">
        <f aca="false">X190*$V190</f>
        <v>645000</v>
      </c>
      <c r="AK190" s="9" t="n">
        <f aca="false">Y190*$V190</f>
        <v>645000</v>
      </c>
      <c r="AL190" s="9" t="n">
        <f aca="false">Z190*$V190</f>
        <v>645000</v>
      </c>
      <c r="AM190" s="9" t="n">
        <f aca="false">AA190*$V190</f>
        <v>645000</v>
      </c>
      <c r="AN190" s="9" t="n">
        <f aca="false">AB190*$V190</f>
        <v>645000</v>
      </c>
      <c r="AO190" s="9" t="n">
        <f aca="false">AC190*$V190</f>
        <v>645000</v>
      </c>
      <c r="AP190" s="9" t="n">
        <f aca="false">AD190*$V190</f>
        <v>645000</v>
      </c>
      <c r="AQ190" s="9" t="n">
        <f aca="false">AE190*$V190</f>
        <v>645000</v>
      </c>
      <c r="AR190" s="9" t="n">
        <f aca="false">AF190*$V190</f>
        <v>645000</v>
      </c>
      <c r="AS190" s="9" t="n">
        <f aca="false">AG190*$V190</f>
        <v>645000</v>
      </c>
      <c r="AT190" s="9" t="n">
        <f aca="false">AH190*$V190</f>
        <v>645000</v>
      </c>
      <c r="AU190" s="9" t="n">
        <f aca="false">AI190*$V190</f>
        <v>645000</v>
      </c>
      <c r="AV190" s="9" t="n">
        <f aca="false">SUM(X190:AI190)/1000</f>
        <v>360</v>
      </c>
      <c r="AW190" s="9" t="n">
        <f aca="false">SUM(AJ190:AU190)</f>
        <v>7740000</v>
      </c>
      <c r="AX190" s="9" t="n">
        <f aca="false">IF(D190="INR",AW190/88.24,AW190)/1000000</f>
        <v>0.0877153218495014</v>
      </c>
    </row>
    <row r="191" s="2" customFormat="true" ht="14.25" hidden="false" customHeight="true" outlineLevel="0" collapsed="false">
      <c r="A191" s="16" t="s">
        <v>428</v>
      </c>
      <c r="B191" s="16" t="n">
        <v>5</v>
      </c>
      <c r="C191" s="16"/>
      <c r="D191" s="16" t="s">
        <v>50</v>
      </c>
      <c r="E191" s="16" t="s">
        <v>51</v>
      </c>
      <c r="F191" s="16" t="s">
        <v>52</v>
      </c>
      <c r="G191" s="16" t="s">
        <v>429</v>
      </c>
      <c r="H191" s="16" t="s">
        <v>410</v>
      </c>
      <c r="I191" s="16" t="s">
        <v>260</v>
      </c>
      <c r="J191" s="16" t="s">
        <v>411</v>
      </c>
      <c r="K191" s="16"/>
      <c r="L191" s="16" t="s">
        <v>260</v>
      </c>
      <c r="M191" s="16" t="s">
        <v>411</v>
      </c>
      <c r="N191" s="16" t="s">
        <v>79</v>
      </c>
      <c r="O191" s="16" t="s">
        <v>58</v>
      </c>
      <c r="P191" s="16" t="s">
        <v>110</v>
      </c>
      <c r="Q191" s="16" t="s">
        <v>110</v>
      </c>
      <c r="R191" s="16" t="s">
        <v>137</v>
      </c>
      <c r="S191" s="16" t="s">
        <v>272</v>
      </c>
      <c r="T191" s="26" t="s">
        <v>430</v>
      </c>
      <c r="U191" s="26" t="s">
        <v>73</v>
      </c>
      <c r="V191" s="16" t="n">
        <v>21.5</v>
      </c>
      <c r="W191" s="26" t="n">
        <v>0.194</v>
      </c>
      <c r="X191" s="30" t="n">
        <v>30000</v>
      </c>
      <c r="Y191" s="30" t="n">
        <v>30000</v>
      </c>
      <c r="Z191" s="30" t="n">
        <v>30000</v>
      </c>
      <c r="AA191" s="30" t="n">
        <v>30000</v>
      </c>
      <c r="AB191" s="30" t="n">
        <v>30000</v>
      </c>
      <c r="AC191" s="30" t="n">
        <v>30000</v>
      </c>
      <c r="AD191" s="30" t="n">
        <v>30000</v>
      </c>
      <c r="AE191" s="30" t="n">
        <v>30000</v>
      </c>
      <c r="AF191" s="30" t="n">
        <v>30000</v>
      </c>
      <c r="AG191" s="30" t="n">
        <v>30000</v>
      </c>
      <c r="AH191" s="30" t="n">
        <v>30000</v>
      </c>
      <c r="AI191" s="30" t="n">
        <v>30000</v>
      </c>
      <c r="AJ191" s="9" t="n">
        <f aca="false">V191*X191</f>
        <v>645000</v>
      </c>
      <c r="AK191" s="9" t="n">
        <f aca="false">Y191*$V191</f>
        <v>645000</v>
      </c>
      <c r="AL191" s="9" t="n">
        <f aca="false">Z191*$V191</f>
        <v>645000</v>
      </c>
      <c r="AM191" s="9" t="n">
        <f aca="false">AA191*$V191</f>
        <v>645000</v>
      </c>
      <c r="AN191" s="9" t="n">
        <f aca="false">AB191*$V191</f>
        <v>645000</v>
      </c>
      <c r="AO191" s="9" t="n">
        <f aca="false">AC191*$V191</f>
        <v>645000</v>
      </c>
      <c r="AP191" s="9" t="n">
        <f aca="false">AD191*$V191</f>
        <v>645000</v>
      </c>
      <c r="AQ191" s="9" t="n">
        <f aca="false">AE191*$V191</f>
        <v>645000</v>
      </c>
      <c r="AR191" s="9" t="n">
        <f aca="false">AF191*$V191</f>
        <v>645000</v>
      </c>
      <c r="AS191" s="9" t="n">
        <f aca="false">AG191*$V191</f>
        <v>645000</v>
      </c>
      <c r="AT191" s="9" t="n">
        <f aca="false">AH191*$V191</f>
        <v>645000</v>
      </c>
      <c r="AU191" s="9" t="n">
        <f aca="false">AI191*$V191</f>
        <v>645000</v>
      </c>
      <c r="AV191" s="9" t="n">
        <f aca="false">SUM(X191:AI191)/1000</f>
        <v>360</v>
      </c>
      <c r="AW191" s="9" t="n">
        <f aca="false">SUM(AJ191:AU191)</f>
        <v>7740000</v>
      </c>
      <c r="AX191" s="9" t="n">
        <f aca="false">IF(D191="INR",AW191/88.24,AW191)/1000000</f>
        <v>0.0877153218495014</v>
      </c>
    </row>
    <row r="192" s="2" customFormat="true" ht="16.4" hidden="false" customHeight="false" outlineLevel="0" collapsed="false">
      <c r="A192" s="16" t="s">
        <v>431</v>
      </c>
      <c r="B192" s="16" t="n">
        <v>5</v>
      </c>
      <c r="C192" s="16"/>
      <c r="D192" s="16" t="s">
        <v>50</v>
      </c>
      <c r="E192" s="16" t="s">
        <v>51</v>
      </c>
      <c r="F192" s="16" t="s">
        <v>404</v>
      </c>
      <c r="G192" s="16" t="s">
        <v>405</v>
      </c>
      <c r="H192" s="16" t="s">
        <v>406</v>
      </c>
      <c r="I192" s="16" t="s">
        <v>105</v>
      </c>
      <c r="J192" s="16" t="s">
        <v>368</v>
      </c>
      <c r="K192" s="16"/>
      <c r="L192" s="16" t="s">
        <v>105</v>
      </c>
      <c r="M192" s="16" t="s">
        <v>368</v>
      </c>
      <c r="N192" s="16" t="s">
        <v>271</v>
      </c>
      <c r="O192" s="16" t="s">
        <v>94</v>
      </c>
      <c r="P192" s="16" t="s">
        <v>308</v>
      </c>
      <c r="Q192" s="16" t="s">
        <v>308</v>
      </c>
      <c r="R192" s="16" t="s">
        <v>309</v>
      </c>
      <c r="S192" s="16" t="s">
        <v>264</v>
      </c>
      <c r="T192" s="26" t="s">
        <v>432</v>
      </c>
      <c r="U192" s="26" t="s">
        <v>73</v>
      </c>
      <c r="V192" s="16" t="n">
        <v>2.05</v>
      </c>
      <c r="W192" s="16" t="n">
        <v>1.77</v>
      </c>
      <c r="X192" s="16" t="n">
        <v>300000</v>
      </c>
      <c r="Y192" s="16" t="n">
        <v>300000</v>
      </c>
      <c r="Z192" s="16" t="n">
        <v>300000</v>
      </c>
      <c r="AA192" s="16" t="n">
        <v>200000</v>
      </c>
      <c r="AB192" s="16" t="n">
        <v>200000</v>
      </c>
      <c r="AC192" s="16" t="n">
        <v>200000</v>
      </c>
      <c r="AD192" s="16" t="n">
        <v>200000</v>
      </c>
      <c r="AE192" s="16"/>
      <c r="AF192" s="16" t="n">
        <v>200000</v>
      </c>
      <c r="AG192" s="16" t="n">
        <v>300000</v>
      </c>
      <c r="AH192" s="16" t="n">
        <v>200000</v>
      </c>
      <c r="AI192" s="16" t="n">
        <v>300000</v>
      </c>
      <c r="AJ192" s="9" t="n">
        <f aca="false">X192*$V192</f>
        <v>615000</v>
      </c>
      <c r="AK192" s="9" t="n">
        <f aca="false">Y192*$V192</f>
        <v>615000</v>
      </c>
      <c r="AL192" s="9" t="n">
        <f aca="false">Z192*$V192</f>
        <v>615000</v>
      </c>
      <c r="AM192" s="9" t="n">
        <f aca="false">AA192*$V192</f>
        <v>410000</v>
      </c>
      <c r="AN192" s="9" t="n">
        <f aca="false">AB192*$V192</f>
        <v>410000</v>
      </c>
      <c r="AO192" s="9" t="n">
        <f aca="false">AC192*$V192</f>
        <v>410000</v>
      </c>
      <c r="AP192" s="9" t="n">
        <f aca="false">AD192*$V192</f>
        <v>410000</v>
      </c>
      <c r="AQ192" s="9" t="n">
        <f aca="false">AE192*$V192</f>
        <v>0</v>
      </c>
      <c r="AR192" s="9" t="n">
        <f aca="false">AF192*$V192</f>
        <v>410000</v>
      </c>
      <c r="AS192" s="9" t="n">
        <f aca="false">AG192*$V192</f>
        <v>615000</v>
      </c>
      <c r="AT192" s="9" t="n">
        <f aca="false">AH192*$V192</f>
        <v>410000</v>
      </c>
      <c r="AU192" s="9" t="n">
        <f aca="false">AI192*$V192</f>
        <v>615000</v>
      </c>
      <c r="AV192" s="9" t="n">
        <f aca="false">SUM(X192:AI192)/1000</f>
        <v>2700</v>
      </c>
      <c r="AW192" s="9" t="n">
        <f aca="false">SUM(AJ192:AU192)</f>
        <v>5535000</v>
      </c>
      <c r="AX192" s="9" t="n">
        <f aca="false">IF(D192="INR",AW192/88.24,AW192)/1000000</f>
        <v>0.0627266545784225</v>
      </c>
    </row>
    <row r="193" s="2" customFormat="true" ht="16.4" hidden="false" customHeight="false" outlineLevel="0" collapsed="false">
      <c r="A193" s="35" t="s">
        <v>433</v>
      </c>
      <c r="B193" s="9" t="n">
        <v>5</v>
      </c>
      <c r="C193" s="10"/>
      <c r="D193" s="9" t="s">
        <v>50</v>
      </c>
      <c r="E193" s="9" t="s">
        <v>51</v>
      </c>
      <c r="F193" s="9" t="s">
        <v>52</v>
      </c>
      <c r="G193" s="9" t="s">
        <v>65</v>
      </c>
      <c r="H193" s="9" t="s">
        <v>66</v>
      </c>
      <c r="I193" s="9" t="s">
        <v>55</v>
      </c>
      <c r="J193" s="9" t="s">
        <v>56</v>
      </c>
      <c r="K193" s="9"/>
      <c r="L193" s="9" t="s">
        <v>55</v>
      </c>
      <c r="M193" s="9" t="s">
        <v>56</v>
      </c>
      <c r="N193" s="9" t="s">
        <v>67</v>
      </c>
      <c r="O193" s="9" t="s">
        <v>68</v>
      </c>
      <c r="P193" s="9" t="s">
        <v>434</v>
      </c>
      <c r="Q193" s="9" t="s">
        <v>434</v>
      </c>
      <c r="R193" s="9" t="s">
        <v>137</v>
      </c>
      <c r="S193" s="9" t="s">
        <v>272</v>
      </c>
      <c r="T193" s="9" t="s">
        <v>435</v>
      </c>
      <c r="U193" s="9" t="s">
        <v>73</v>
      </c>
      <c r="V193" s="9" t="n">
        <v>12.19</v>
      </c>
      <c r="W193" s="9" t="n">
        <v>0.118</v>
      </c>
      <c r="X193" s="9" t="n">
        <v>50000</v>
      </c>
      <c r="Y193" s="9" t="n">
        <v>50000</v>
      </c>
      <c r="Z193" s="9" t="n">
        <v>50000</v>
      </c>
      <c r="AA193" s="9" t="n">
        <v>50000</v>
      </c>
      <c r="AB193" s="9" t="n">
        <v>50000</v>
      </c>
      <c r="AC193" s="9" t="n">
        <v>50000</v>
      </c>
      <c r="AD193" s="9" t="n">
        <v>50000</v>
      </c>
      <c r="AE193" s="9" t="n">
        <v>50000</v>
      </c>
      <c r="AF193" s="9" t="n">
        <v>50000</v>
      </c>
      <c r="AG193" s="9" t="n">
        <v>50000</v>
      </c>
      <c r="AH193" s="9" t="n">
        <v>50000</v>
      </c>
      <c r="AI193" s="9" t="n">
        <v>50000</v>
      </c>
      <c r="AJ193" s="9" t="n">
        <f aca="false">X193*$V193</f>
        <v>609500</v>
      </c>
      <c r="AK193" s="9" t="n">
        <f aca="false">Y193*$V193</f>
        <v>609500</v>
      </c>
      <c r="AL193" s="9" t="n">
        <f aca="false">Z193*$V193</f>
        <v>609500</v>
      </c>
      <c r="AM193" s="9" t="n">
        <f aca="false">AA193*$V193</f>
        <v>609500</v>
      </c>
      <c r="AN193" s="9" t="n">
        <f aca="false">AB193*$V193</f>
        <v>609500</v>
      </c>
      <c r="AO193" s="9" t="n">
        <f aca="false">AC193*$V193</f>
        <v>609500</v>
      </c>
      <c r="AP193" s="9" t="n">
        <f aca="false">AD193*$V193</f>
        <v>609500</v>
      </c>
      <c r="AQ193" s="9" t="n">
        <f aca="false">AE193*$V193</f>
        <v>609500</v>
      </c>
      <c r="AR193" s="9" t="n">
        <f aca="false">AF193*$V193</f>
        <v>609500</v>
      </c>
      <c r="AS193" s="9" t="n">
        <f aca="false">AG193*$V193</f>
        <v>609500</v>
      </c>
      <c r="AT193" s="9" t="n">
        <f aca="false">AH193*$V193</f>
        <v>609500</v>
      </c>
      <c r="AU193" s="9" t="n">
        <f aca="false">AI193*$V193</f>
        <v>609500</v>
      </c>
      <c r="AV193" s="9" t="n">
        <f aca="false">SUM(X193:AI193)/1000</f>
        <v>600</v>
      </c>
      <c r="AW193" s="9" t="n">
        <f aca="false">SUM(AJ193:AU193)</f>
        <v>7314000</v>
      </c>
      <c r="AX193" s="9" t="n">
        <f aca="false">IF(D193="INR",AW193/88.24,AW193)/1000000</f>
        <v>0.0828875793291024</v>
      </c>
    </row>
    <row r="194" s="2" customFormat="true" ht="16.4" hidden="false" customHeight="false" outlineLevel="0" collapsed="false">
      <c r="A194" s="35" t="s">
        <v>436</v>
      </c>
      <c r="B194" s="9" t="n">
        <v>5</v>
      </c>
      <c r="C194" s="15"/>
      <c r="D194" s="16" t="s">
        <v>102</v>
      </c>
      <c r="E194" s="16" t="s">
        <v>51</v>
      </c>
      <c r="F194" s="16" t="s">
        <v>52</v>
      </c>
      <c r="G194" s="16" t="s">
        <v>53</v>
      </c>
      <c r="H194" s="9" t="s">
        <v>54</v>
      </c>
      <c r="I194" s="16" t="s">
        <v>55</v>
      </c>
      <c r="J194" s="16" t="s">
        <v>56</v>
      </c>
      <c r="K194" s="9" t="s">
        <v>54</v>
      </c>
      <c r="L194" s="16" t="s">
        <v>55</v>
      </c>
      <c r="M194" s="16" t="s">
        <v>56</v>
      </c>
      <c r="N194" s="16" t="s">
        <v>57</v>
      </c>
      <c r="O194" s="16" t="s">
        <v>58</v>
      </c>
      <c r="P194" s="9" t="s">
        <v>69</v>
      </c>
      <c r="Q194" s="9" t="s">
        <v>69</v>
      </c>
      <c r="R194" s="9" t="s">
        <v>70</v>
      </c>
      <c r="S194" s="9" t="s">
        <v>71</v>
      </c>
      <c r="T194" s="9" t="s">
        <v>437</v>
      </c>
      <c r="U194" s="16" t="s">
        <v>73</v>
      </c>
      <c r="V194" s="36" t="n">
        <v>0.385</v>
      </c>
      <c r="W194" s="9" t="n">
        <v>0.367</v>
      </c>
      <c r="X194" s="22" t="n">
        <v>100000</v>
      </c>
      <c r="Y194" s="9" t="n">
        <v>100000</v>
      </c>
      <c r="Z194" s="9" t="n">
        <v>100000</v>
      </c>
      <c r="AA194" s="9" t="n">
        <v>100000</v>
      </c>
      <c r="AB194" s="9" t="n">
        <v>100000</v>
      </c>
      <c r="AC194" s="9" t="n">
        <v>100000</v>
      </c>
      <c r="AD194" s="23" t="n">
        <v>100000</v>
      </c>
      <c r="AE194" s="9" t="n">
        <v>100000</v>
      </c>
      <c r="AF194" s="9" t="n">
        <v>100000</v>
      </c>
      <c r="AG194" s="9" t="n">
        <v>100000</v>
      </c>
      <c r="AH194" s="9" t="n">
        <v>100000</v>
      </c>
      <c r="AI194" s="9" t="n">
        <v>100000</v>
      </c>
      <c r="AJ194" s="9" t="n">
        <f aca="false">X194*$V194</f>
        <v>38500</v>
      </c>
      <c r="AK194" s="9" t="n">
        <f aca="false">Y194*$V194</f>
        <v>38500</v>
      </c>
      <c r="AL194" s="9" t="n">
        <f aca="false">Z194*$V194</f>
        <v>38500</v>
      </c>
      <c r="AM194" s="9" t="n">
        <f aca="false">AA194*$V194</f>
        <v>38500</v>
      </c>
      <c r="AN194" s="9" t="n">
        <f aca="false">AB194*$V194</f>
        <v>38500</v>
      </c>
      <c r="AO194" s="9" t="n">
        <f aca="false">AC194*$V194</f>
        <v>38500</v>
      </c>
      <c r="AP194" s="9" t="n">
        <f aca="false">AD194*$V194</f>
        <v>38500</v>
      </c>
      <c r="AQ194" s="9" t="n">
        <f aca="false">AE194*$V194</f>
        <v>38500</v>
      </c>
      <c r="AR194" s="9" t="n">
        <f aca="false">AF194*$V194</f>
        <v>38500</v>
      </c>
      <c r="AS194" s="9" t="n">
        <f aca="false">AG194*$V194</f>
        <v>38500</v>
      </c>
      <c r="AT194" s="9" t="n">
        <f aca="false">AH194*$V194</f>
        <v>38500</v>
      </c>
      <c r="AU194" s="9" t="n">
        <f aca="false">AI194*$V194</f>
        <v>38500</v>
      </c>
      <c r="AV194" s="9" t="n">
        <f aca="false">SUM(X194:AI194)/1000</f>
        <v>1200</v>
      </c>
      <c r="AW194" s="9" t="n">
        <f aca="false">SUM(AJ194:AU194)</f>
        <v>462000</v>
      </c>
      <c r="AX194" s="9" t="n">
        <f aca="false">IF(D194="INR",AW194/88.24,AW194)/1000000</f>
        <v>0.462</v>
      </c>
    </row>
    <row r="195" s="2" customFormat="true" ht="16.4" hidden="false" customHeight="false" outlineLevel="0" collapsed="false">
      <c r="A195" s="35" t="s">
        <v>438</v>
      </c>
      <c r="B195" s="9" t="n">
        <v>5</v>
      </c>
      <c r="C195" s="10"/>
      <c r="D195" s="9" t="s">
        <v>50</v>
      </c>
      <c r="E195" s="9" t="s">
        <v>51</v>
      </c>
      <c r="F195" s="9" t="s">
        <v>52</v>
      </c>
      <c r="G195" s="9" t="s">
        <v>439</v>
      </c>
      <c r="H195" s="9" t="s">
        <v>440</v>
      </c>
      <c r="I195" s="9" t="s">
        <v>260</v>
      </c>
      <c r="J195" s="9" t="s">
        <v>261</v>
      </c>
      <c r="K195" s="9"/>
      <c r="L195" s="9" t="s">
        <v>260</v>
      </c>
      <c r="M195" s="9" t="s">
        <v>261</v>
      </c>
      <c r="N195" s="9" t="s">
        <v>67</v>
      </c>
      <c r="O195" s="9" t="s">
        <v>58</v>
      </c>
      <c r="P195" s="9" t="s">
        <v>80</v>
      </c>
      <c r="Q195" s="9" t="s">
        <v>80</v>
      </c>
      <c r="R195" s="9" t="s">
        <v>81</v>
      </c>
      <c r="S195" s="9" t="s">
        <v>82</v>
      </c>
      <c r="T195" s="9" t="s">
        <v>277</v>
      </c>
      <c r="U195" s="9" t="s">
        <v>73</v>
      </c>
      <c r="V195" s="9" t="n">
        <v>30.31</v>
      </c>
      <c r="W195" s="9" t="n">
        <v>27.04844</v>
      </c>
      <c r="X195" s="9" t="n">
        <v>20000</v>
      </c>
      <c r="Y195" s="9" t="n">
        <v>20000</v>
      </c>
      <c r="Z195" s="9" t="n">
        <v>20000</v>
      </c>
      <c r="AA195" s="9" t="n">
        <v>20000</v>
      </c>
      <c r="AB195" s="9" t="n">
        <v>20000</v>
      </c>
      <c r="AC195" s="9" t="n">
        <v>20000</v>
      </c>
      <c r="AD195" s="9" t="n">
        <v>20000</v>
      </c>
      <c r="AE195" s="9" t="n">
        <v>20000</v>
      </c>
      <c r="AF195" s="9" t="n">
        <v>20000</v>
      </c>
      <c r="AG195" s="9" t="n">
        <v>20000</v>
      </c>
      <c r="AH195" s="9" t="n">
        <v>20000</v>
      </c>
      <c r="AI195" s="9" t="n">
        <v>20000</v>
      </c>
      <c r="AJ195" s="9" t="n">
        <f aca="false">X195*$V195</f>
        <v>606200</v>
      </c>
      <c r="AK195" s="9" t="n">
        <f aca="false">Y195*$V195</f>
        <v>606200</v>
      </c>
      <c r="AL195" s="9" t="n">
        <f aca="false">Z195*$V195</f>
        <v>606200</v>
      </c>
      <c r="AM195" s="9" t="n">
        <f aca="false">AA195*$V195</f>
        <v>606200</v>
      </c>
      <c r="AN195" s="9" t="n">
        <f aca="false">AB195*$V195</f>
        <v>606200</v>
      </c>
      <c r="AO195" s="9" t="n">
        <f aca="false">AC195*$V195</f>
        <v>606200</v>
      </c>
      <c r="AP195" s="9" t="n">
        <f aca="false">AD195*$V195</f>
        <v>606200</v>
      </c>
      <c r="AQ195" s="9" t="n">
        <f aca="false">AE195*$V195</f>
        <v>606200</v>
      </c>
      <c r="AR195" s="9" t="n">
        <f aca="false">AF195*$V195</f>
        <v>606200</v>
      </c>
      <c r="AS195" s="9" t="n">
        <f aca="false">AG195*$V195</f>
        <v>606200</v>
      </c>
      <c r="AT195" s="9" t="n">
        <f aca="false">AH195*$V195</f>
        <v>606200</v>
      </c>
      <c r="AU195" s="9" t="n">
        <f aca="false">AI195*$V195</f>
        <v>606200</v>
      </c>
      <c r="AV195" s="9" t="n">
        <f aca="false">SUM(X195:AI195)/1000</f>
        <v>240</v>
      </c>
      <c r="AW195" s="9" t="n">
        <f aca="false">SUM(AJ195:AU195)</f>
        <v>7274400</v>
      </c>
      <c r="AX195" s="9" t="n">
        <f aca="false">IF(D195="INR",AW195/88.24,AW195)/1000000</f>
        <v>0.0824388032638259</v>
      </c>
    </row>
    <row r="196" s="2" customFormat="true" ht="16.4" hidden="false" customHeight="false" outlineLevel="0" collapsed="false">
      <c r="A196" s="35" t="s">
        <v>441</v>
      </c>
      <c r="B196" s="9" t="n">
        <v>5</v>
      </c>
      <c r="C196" s="15"/>
      <c r="D196" s="16" t="s">
        <v>102</v>
      </c>
      <c r="E196" s="16" t="s">
        <v>51</v>
      </c>
      <c r="F196" s="16" t="s">
        <v>52</v>
      </c>
      <c r="G196" s="16" t="s">
        <v>53</v>
      </c>
      <c r="H196" s="9" t="s">
        <v>54</v>
      </c>
      <c r="I196" s="16" t="s">
        <v>55</v>
      </c>
      <c r="J196" s="16" t="s">
        <v>56</v>
      </c>
      <c r="K196" s="9" t="s">
        <v>54</v>
      </c>
      <c r="L196" s="16" t="s">
        <v>55</v>
      </c>
      <c r="M196" s="16" t="s">
        <v>56</v>
      </c>
      <c r="N196" s="16" t="s">
        <v>57</v>
      </c>
      <c r="O196" s="16" t="s">
        <v>58</v>
      </c>
      <c r="P196" s="9" t="s">
        <v>380</v>
      </c>
      <c r="Q196" s="9" t="s">
        <v>380</v>
      </c>
      <c r="R196" s="9" t="s">
        <v>442</v>
      </c>
      <c r="S196" s="9" t="s">
        <v>443</v>
      </c>
      <c r="T196" s="9" t="s">
        <v>444</v>
      </c>
      <c r="U196" s="16" t="s">
        <v>73</v>
      </c>
      <c r="V196" s="36" t="n">
        <v>0.24</v>
      </c>
      <c r="W196" s="9" t="n">
        <v>0.22</v>
      </c>
      <c r="X196" s="22" t="n">
        <v>100000</v>
      </c>
      <c r="Y196" s="9" t="n">
        <v>100000</v>
      </c>
      <c r="Z196" s="9"/>
      <c r="AA196" s="9" t="n">
        <v>100000</v>
      </c>
      <c r="AB196" s="9" t="n">
        <v>100000</v>
      </c>
      <c r="AC196" s="9"/>
      <c r="AD196" s="23" t="n">
        <v>100000</v>
      </c>
      <c r="AE196" s="9" t="n">
        <v>100000</v>
      </c>
      <c r="AF196" s="9"/>
      <c r="AG196" s="9" t="n">
        <v>100000</v>
      </c>
      <c r="AH196" s="9" t="n">
        <v>100000</v>
      </c>
      <c r="AI196" s="9" t="n">
        <v>100000</v>
      </c>
      <c r="AJ196" s="9" t="n">
        <f aca="false">X196*$V196</f>
        <v>24000</v>
      </c>
      <c r="AK196" s="9" t="n">
        <f aca="false">Y196*$V196</f>
        <v>24000</v>
      </c>
      <c r="AL196" s="9" t="n">
        <f aca="false">Z196*$V196</f>
        <v>0</v>
      </c>
      <c r="AM196" s="9" t="n">
        <f aca="false">AA196*$V196</f>
        <v>24000</v>
      </c>
      <c r="AN196" s="9" t="n">
        <f aca="false">AB196*$V196</f>
        <v>24000</v>
      </c>
      <c r="AO196" s="9" t="n">
        <f aca="false">AC196*$V196</f>
        <v>0</v>
      </c>
      <c r="AP196" s="9" t="n">
        <f aca="false">AD196*$V196</f>
        <v>24000</v>
      </c>
      <c r="AQ196" s="9" t="n">
        <f aca="false">AE196*$V196</f>
        <v>24000</v>
      </c>
      <c r="AR196" s="9" t="n">
        <f aca="false">AF196*$V196</f>
        <v>0</v>
      </c>
      <c r="AS196" s="9" t="n">
        <f aca="false">AG196*$V196</f>
        <v>24000</v>
      </c>
      <c r="AT196" s="9" t="n">
        <f aca="false">AH196*$V196</f>
        <v>24000</v>
      </c>
      <c r="AU196" s="9" t="n">
        <f aca="false">AI196*$V196</f>
        <v>24000</v>
      </c>
      <c r="AV196" s="9" t="n">
        <f aca="false">SUM(X196:AI196)/1000</f>
        <v>900</v>
      </c>
      <c r="AW196" s="9" t="n">
        <f aca="false">SUM(AJ196:AU196)</f>
        <v>216000</v>
      </c>
      <c r="AX196" s="9" t="n">
        <f aca="false">IF(D196="INR",AW196/88.24,AW196)/1000000</f>
        <v>0.216</v>
      </c>
    </row>
    <row r="197" s="2" customFormat="true" ht="14.25" hidden="false" customHeight="false" outlineLevel="0" collapsed="false">
      <c r="A197" s="12" t="s">
        <v>445</v>
      </c>
      <c r="B197" s="13" t="n">
        <v>5</v>
      </c>
      <c r="C197" s="14"/>
      <c r="D197" s="16" t="s">
        <v>102</v>
      </c>
      <c r="E197" s="16" t="s">
        <v>51</v>
      </c>
      <c r="F197" s="16" t="s">
        <v>52</v>
      </c>
      <c r="G197" s="16" t="s">
        <v>53</v>
      </c>
      <c r="H197" s="16" t="s">
        <v>54</v>
      </c>
      <c r="I197" s="16" t="s">
        <v>55</v>
      </c>
      <c r="J197" s="16" t="s">
        <v>56</v>
      </c>
      <c r="K197" s="16" t="s">
        <v>54</v>
      </c>
      <c r="L197" s="16" t="s">
        <v>55</v>
      </c>
      <c r="M197" s="16" t="s">
        <v>56</v>
      </c>
      <c r="N197" s="16" t="s">
        <v>57</v>
      </c>
      <c r="O197" s="16" t="s">
        <v>58</v>
      </c>
      <c r="P197" s="16" t="s">
        <v>59</v>
      </c>
      <c r="Q197" s="16" t="s">
        <v>59</v>
      </c>
      <c r="R197" s="16" t="s">
        <v>60</v>
      </c>
      <c r="S197" s="16" t="s">
        <v>61</v>
      </c>
      <c r="T197" s="16" t="s">
        <v>446</v>
      </c>
      <c r="U197" s="16" t="s">
        <v>73</v>
      </c>
      <c r="V197" s="26" t="n">
        <v>3.69</v>
      </c>
      <c r="W197" s="16" t="n">
        <v>3.54</v>
      </c>
      <c r="X197" s="16" t="n">
        <v>50000</v>
      </c>
      <c r="Y197" s="16" t="n">
        <v>50000</v>
      </c>
      <c r="Z197" s="16" t="n">
        <v>50000</v>
      </c>
      <c r="AA197" s="16" t="n">
        <v>50000</v>
      </c>
      <c r="AB197" s="16" t="n">
        <v>50000</v>
      </c>
      <c r="AC197" s="16" t="n">
        <v>50000</v>
      </c>
      <c r="AD197" s="16" t="n">
        <v>50000</v>
      </c>
      <c r="AE197" s="16" t="n">
        <v>50000</v>
      </c>
      <c r="AF197" s="16" t="n">
        <v>50000</v>
      </c>
      <c r="AG197" s="16" t="n">
        <v>50000</v>
      </c>
      <c r="AH197" s="16" t="n">
        <v>50000</v>
      </c>
      <c r="AI197" s="16" t="n">
        <v>50000</v>
      </c>
      <c r="AJ197" s="9" t="n">
        <f aca="false">X197*$V197</f>
        <v>184500</v>
      </c>
      <c r="AK197" s="9" t="n">
        <f aca="false">Y197*$V197</f>
        <v>184500</v>
      </c>
      <c r="AL197" s="9" t="n">
        <f aca="false">Z197*$V197</f>
        <v>184500</v>
      </c>
      <c r="AM197" s="9" t="n">
        <f aca="false">AA197*$V197</f>
        <v>184500</v>
      </c>
      <c r="AN197" s="9" t="n">
        <f aca="false">AB197*$V197</f>
        <v>184500</v>
      </c>
      <c r="AO197" s="9" t="n">
        <f aca="false">AC197*$V197</f>
        <v>184500</v>
      </c>
      <c r="AP197" s="9" t="n">
        <f aca="false">AD197*$V197</f>
        <v>184500</v>
      </c>
      <c r="AQ197" s="9" t="n">
        <f aca="false">AE197*$V197</f>
        <v>184500</v>
      </c>
      <c r="AR197" s="9" t="n">
        <f aca="false">AF197*$V197</f>
        <v>184500</v>
      </c>
      <c r="AS197" s="9" t="n">
        <f aca="false">AG197*$V197</f>
        <v>184500</v>
      </c>
      <c r="AT197" s="9" t="n">
        <f aca="false">AH197*$V197</f>
        <v>184500</v>
      </c>
      <c r="AU197" s="9" t="n">
        <f aca="false">AI197*$V197</f>
        <v>184500</v>
      </c>
      <c r="AV197" s="9" t="n">
        <f aca="false">SUM(X197:AI197)/1000</f>
        <v>600</v>
      </c>
      <c r="AW197" s="9" t="n">
        <f aca="false">SUM(AJ197:AU197)</f>
        <v>2214000</v>
      </c>
      <c r="AX197" s="9" t="n">
        <f aca="false">IF(D197="INR",AW197/88.24,AW197)/1000000</f>
        <v>2.214</v>
      </c>
    </row>
    <row r="198" s="2" customFormat="true" ht="14.25" hidden="false" customHeight="false" outlineLevel="0" collapsed="false">
      <c r="A198" s="12" t="s">
        <v>447</v>
      </c>
      <c r="B198" s="16" t="n">
        <v>5</v>
      </c>
      <c r="C198" s="15"/>
      <c r="D198" s="16" t="s">
        <v>102</v>
      </c>
      <c r="E198" s="16" t="s">
        <v>51</v>
      </c>
      <c r="F198" s="16" t="s">
        <v>52</v>
      </c>
      <c r="G198" s="16" t="s">
        <v>53</v>
      </c>
      <c r="H198" s="16" t="s">
        <v>54</v>
      </c>
      <c r="I198" s="16" t="s">
        <v>55</v>
      </c>
      <c r="J198" s="16" t="s">
        <v>56</v>
      </c>
      <c r="K198" s="16" t="s">
        <v>54</v>
      </c>
      <c r="L198" s="16" t="s">
        <v>55</v>
      </c>
      <c r="M198" s="16" t="s">
        <v>56</v>
      </c>
      <c r="N198" s="16" t="s">
        <v>57</v>
      </c>
      <c r="O198" s="16" t="s">
        <v>58</v>
      </c>
      <c r="P198" s="16" t="s">
        <v>85</v>
      </c>
      <c r="Q198" s="16" t="s">
        <v>85</v>
      </c>
      <c r="R198" s="16" t="s">
        <v>86</v>
      </c>
      <c r="S198" s="16" t="s">
        <v>87</v>
      </c>
      <c r="T198" s="16" t="s">
        <v>448</v>
      </c>
      <c r="U198" s="16" t="s">
        <v>73</v>
      </c>
      <c r="V198" s="16" t="n">
        <v>0.0575</v>
      </c>
      <c r="W198" s="16" t="n">
        <v>0.053</v>
      </c>
      <c r="X198" s="16"/>
      <c r="Y198" s="16"/>
      <c r="Z198" s="16" t="n">
        <v>150000</v>
      </c>
      <c r="AA198" s="16"/>
      <c r="AB198" s="16"/>
      <c r="AC198" s="16" t="n">
        <v>150000</v>
      </c>
      <c r="AD198" s="16"/>
      <c r="AE198" s="16"/>
      <c r="AF198" s="16" t="n">
        <v>150000</v>
      </c>
      <c r="AG198" s="16"/>
      <c r="AH198" s="16"/>
      <c r="AI198" s="16" t="n">
        <v>150000</v>
      </c>
      <c r="AJ198" s="9" t="n">
        <f aca="false">X198*$V198</f>
        <v>0</v>
      </c>
      <c r="AK198" s="9" t="n">
        <f aca="false">Y198*$V198</f>
        <v>0</v>
      </c>
      <c r="AL198" s="9" t="n">
        <f aca="false">Z198*$V198</f>
        <v>8625</v>
      </c>
      <c r="AM198" s="9" t="n">
        <f aca="false">AA198*$V198</f>
        <v>0</v>
      </c>
      <c r="AN198" s="9" t="n">
        <f aca="false">AB198*$V198</f>
        <v>0</v>
      </c>
      <c r="AO198" s="9" t="n">
        <f aca="false">AC198*$V198</f>
        <v>8625</v>
      </c>
      <c r="AP198" s="9" t="n">
        <f aca="false">AD198*$V198</f>
        <v>0</v>
      </c>
      <c r="AQ198" s="9" t="n">
        <f aca="false">AE198*$V198</f>
        <v>0</v>
      </c>
      <c r="AR198" s="9" t="n">
        <f aca="false">AF198*$V198</f>
        <v>8625</v>
      </c>
      <c r="AS198" s="9" t="n">
        <f aca="false">AG198*$V198</f>
        <v>0</v>
      </c>
      <c r="AT198" s="9" t="n">
        <f aca="false">AH198*$V198</f>
        <v>0</v>
      </c>
      <c r="AU198" s="9" t="n">
        <f aca="false">AI198*$V198</f>
        <v>8625</v>
      </c>
      <c r="AV198" s="9" t="n">
        <f aca="false">SUM(X198:AI198)/1000</f>
        <v>600</v>
      </c>
      <c r="AW198" s="9" t="n">
        <f aca="false">SUM(AJ198:AU198)</f>
        <v>34500</v>
      </c>
      <c r="AX198" s="9" t="n">
        <f aca="false">IF(D198="INR",AW198/88.24,AW198)/1000000</f>
        <v>0.0345</v>
      </c>
    </row>
    <row r="199" s="2" customFormat="true" ht="16.4" hidden="false" customHeight="false" outlineLevel="0" collapsed="false">
      <c r="A199" s="35" t="s">
        <v>449</v>
      </c>
      <c r="B199" s="9" t="n">
        <v>5</v>
      </c>
      <c r="C199" s="10"/>
      <c r="D199" s="9" t="s">
        <v>50</v>
      </c>
      <c r="E199" s="9" t="s">
        <v>51</v>
      </c>
      <c r="F199" s="9" t="s">
        <v>52</v>
      </c>
      <c r="G199" s="9" t="s">
        <v>391</v>
      </c>
      <c r="H199" s="9" t="s">
        <v>392</v>
      </c>
      <c r="I199" s="9" t="s">
        <v>260</v>
      </c>
      <c r="J199" s="9" t="s">
        <v>276</v>
      </c>
      <c r="K199" s="9"/>
      <c r="L199" s="9" t="s">
        <v>260</v>
      </c>
      <c r="M199" s="9" t="s">
        <v>276</v>
      </c>
      <c r="N199" s="9" t="s">
        <v>93</v>
      </c>
      <c r="O199" s="9" t="s">
        <v>58</v>
      </c>
      <c r="P199" s="9" t="s">
        <v>80</v>
      </c>
      <c r="Q199" s="9" t="s">
        <v>80</v>
      </c>
      <c r="R199" s="9" t="s">
        <v>81</v>
      </c>
      <c r="S199" s="9" t="s">
        <v>82</v>
      </c>
      <c r="T199" s="9" t="s">
        <v>450</v>
      </c>
      <c r="U199" s="9" t="s">
        <v>73</v>
      </c>
      <c r="V199" s="9" t="n">
        <v>33.14</v>
      </c>
      <c r="W199" s="9" t="n">
        <v>25.69402</v>
      </c>
      <c r="X199" s="9" t="n">
        <v>18000</v>
      </c>
      <c r="Y199" s="9" t="n">
        <v>18000</v>
      </c>
      <c r="Z199" s="9" t="n">
        <v>18000</v>
      </c>
      <c r="AA199" s="9" t="n">
        <v>18000</v>
      </c>
      <c r="AB199" s="9" t="n">
        <v>18000</v>
      </c>
      <c r="AC199" s="9" t="n">
        <v>18000</v>
      </c>
      <c r="AD199" s="9" t="n">
        <v>18000</v>
      </c>
      <c r="AE199" s="9" t="n">
        <v>18000</v>
      </c>
      <c r="AF199" s="9" t="n">
        <v>18000</v>
      </c>
      <c r="AG199" s="9" t="n">
        <v>18000</v>
      </c>
      <c r="AH199" s="9" t="n">
        <v>18000</v>
      </c>
      <c r="AI199" s="9" t="n">
        <v>18000</v>
      </c>
      <c r="AJ199" s="9" t="n">
        <f aca="false">X199*$V199</f>
        <v>596520</v>
      </c>
      <c r="AK199" s="9" t="n">
        <f aca="false">Y199*$V199</f>
        <v>596520</v>
      </c>
      <c r="AL199" s="9" t="n">
        <f aca="false">Z199*$V199</f>
        <v>596520</v>
      </c>
      <c r="AM199" s="9" t="n">
        <f aca="false">AA199*$V199</f>
        <v>596520</v>
      </c>
      <c r="AN199" s="9" t="n">
        <f aca="false">AB199*$V199</f>
        <v>596520</v>
      </c>
      <c r="AO199" s="9" t="n">
        <f aca="false">AC199*$V199</f>
        <v>596520</v>
      </c>
      <c r="AP199" s="9" t="n">
        <f aca="false">AD199*$V199</f>
        <v>596520</v>
      </c>
      <c r="AQ199" s="9" t="n">
        <f aca="false">AE199*$V199</f>
        <v>596520</v>
      </c>
      <c r="AR199" s="9" t="n">
        <f aca="false">AF199*$V199</f>
        <v>596520</v>
      </c>
      <c r="AS199" s="9" t="n">
        <f aca="false">AG199*$V199</f>
        <v>596520</v>
      </c>
      <c r="AT199" s="9" t="n">
        <f aca="false">AH199*$V199</f>
        <v>596520</v>
      </c>
      <c r="AU199" s="9" t="n">
        <f aca="false">AI199*$V199</f>
        <v>596520</v>
      </c>
      <c r="AV199" s="9" t="n">
        <f aca="false">SUM(X199:AI199)/1000</f>
        <v>216</v>
      </c>
      <c r="AW199" s="9" t="n">
        <f aca="false">SUM(AJ199:AU199)</f>
        <v>7158240</v>
      </c>
      <c r="AX199" s="9" t="n">
        <f aca="false">IF(D199="INR",AW199/88.24,AW199)/1000000</f>
        <v>0.0811223934723482</v>
      </c>
    </row>
    <row r="200" s="2" customFormat="true" ht="16.4" hidden="false" customHeight="false" outlineLevel="0" collapsed="false">
      <c r="A200" s="16" t="s">
        <v>451</v>
      </c>
      <c r="B200" s="16"/>
      <c r="C200" s="16"/>
      <c r="D200" s="16" t="s">
        <v>50</v>
      </c>
      <c r="E200" s="16" t="s">
        <v>51</v>
      </c>
      <c r="F200" s="16" t="s">
        <v>52</v>
      </c>
      <c r="G200" s="16" t="s">
        <v>452</v>
      </c>
      <c r="H200" s="16" t="s">
        <v>453</v>
      </c>
      <c r="I200" s="16" t="s">
        <v>260</v>
      </c>
      <c r="J200" s="16" t="s">
        <v>276</v>
      </c>
      <c r="K200" s="16"/>
      <c r="L200" s="16" t="s">
        <v>260</v>
      </c>
      <c r="M200" s="16" t="s">
        <v>276</v>
      </c>
      <c r="N200" s="16" t="s">
        <v>67</v>
      </c>
      <c r="O200" s="16" t="s">
        <v>107</v>
      </c>
      <c r="P200" s="16" t="s">
        <v>308</v>
      </c>
      <c r="Q200" s="16" t="s">
        <v>308</v>
      </c>
      <c r="R200" s="16" t="s">
        <v>309</v>
      </c>
      <c r="S200" s="16" t="s">
        <v>264</v>
      </c>
      <c r="T200" s="16" t="s">
        <v>454</v>
      </c>
      <c r="U200" s="16" t="s">
        <v>73</v>
      </c>
      <c r="V200" s="16" t="n">
        <v>1.37</v>
      </c>
      <c r="W200" s="16" t="n">
        <v>1.24</v>
      </c>
      <c r="X200" s="16" t="n">
        <v>428000</v>
      </c>
      <c r="Y200" s="16" t="n">
        <v>428000</v>
      </c>
      <c r="Z200" s="16" t="n">
        <v>428000</v>
      </c>
      <c r="AA200" s="16" t="n">
        <v>428000</v>
      </c>
      <c r="AB200" s="16" t="n">
        <v>428000</v>
      </c>
      <c r="AC200" s="16" t="n">
        <v>428000</v>
      </c>
      <c r="AD200" s="16"/>
      <c r="AE200" s="16" t="n">
        <v>428000</v>
      </c>
      <c r="AF200" s="16" t="n">
        <v>428000</v>
      </c>
      <c r="AG200" s="16" t="n">
        <v>428000</v>
      </c>
      <c r="AH200" s="16" t="n">
        <v>428000</v>
      </c>
      <c r="AI200" s="16" t="n">
        <v>428000</v>
      </c>
      <c r="AJ200" s="9" t="n">
        <f aca="false">X200*$V200</f>
        <v>586360</v>
      </c>
      <c r="AK200" s="9" t="n">
        <f aca="false">Y200*$V200</f>
        <v>586360</v>
      </c>
      <c r="AL200" s="9" t="n">
        <f aca="false">Z200*$V200</f>
        <v>586360</v>
      </c>
      <c r="AM200" s="9" t="n">
        <f aca="false">AA200*$V200</f>
        <v>586360</v>
      </c>
      <c r="AN200" s="9" t="n">
        <f aca="false">AB200*$V200</f>
        <v>586360</v>
      </c>
      <c r="AO200" s="9" t="n">
        <f aca="false">AC200*$V200</f>
        <v>586360</v>
      </c>
      <c r="AP200" s="9" t="n">
        <f aca="false">AD200*$V200</f>
        <v>0</v>
      </c>
      <c r="AQ200" s="9" t="n">
        <f aca="false">AE200*$V200</f>
        <v>586360</v>
      </c>
      <c r="AR200" s="9" t="n">
        <f aca="false">AF200*$V200</f>
        <v>586360</v>
      </c>
      <c r="AS200" s="9" t="n">
        <f aca="false">AG200*$V200</f>
        <v>586360</v>
      </c>
      <c r="AT200" s="9" t="n">
        <f aca="false">AH200*$V200</f>
        <v>586360</v>
      </c>
      <c r="AU200" s="9" t="n">
        <f aca="false">AI200*$V200</f>
        <v>586360</v>
      </c>
      <c r="AV200" s="9" t="n">
        <f aca="false">SUM(X200:AI200)/1000</f>
        <v>4708</v>
      </c>
      <c r="AW200" s="9" t="n">
        <f aca="false">SUM(AJ200:AU200)</f>
        <v>6449960</v>
      </c>
      <c r="AX200" s="9" t="n">
        <f aca="false">IF(D200="INR",AW200/88.24,AW200)/1000000</f>
        <v>0.0730956482320943</v>
      </c>
    </row>
    <row r="201" s="2" customFormat="true" ht="14.25" hidden="false" customHeight="false" outlineLevel="0" collapsed="false">
      <c r="A201" s="41"/>
      <c r="B201" s="15" t="n">
        <v>1</v>
      </c>
      <c r="C201" s="15"/>
      <c r="D201" s="15" t="s">
        <v>50</v>
      </c>
      <c r="E201" s="16" t="s">
        <v>51</v>
      </c>
      <c r="F201" s="16" t="s">
        <v>404</v>
      </c>
      <c r="G201" s="16" t="s">
        <v>455</v>
      </c>
      <c r="H201" s="15" t="s">
        <v>456</v>
      </c>
      <c r="I201" s="16" t="s">
        <v>105</v>
      </c>
      <c r="J201" s="16" t="s">
        <v>457</v>
      </c>
      <c r="K201" s="16"/>
      <c r="L201" s="16" t="s">
        <v>105</v>
      </c>
      <c r="M201" s="16" t="s">
        <v>457</v>
      </c>
      <c r="N201" s="15" t="s">
        <v>271</v>
      </c>
      <c r="O201" s="15" t="s">
        <v>94</v>
      </c>
      <c r="P201" s="16" t="s">
        <v>85</v>
      </c>
      <c r="Q201" s="15" t="s">
        <v>85</v>
      </c>
      <c r="R201" s="16" t="s">
        <v>86</v>
      </c>
      <c r="S201" s="16" t="s">
        <v>87</v>
      </c>
      <c r="T201" s="15" t="s">
        <v>458</v>
      </c>
      <c r="U201" s="15" t="s">
        <v>63</v>
      </c>
      <c r="V201" s="15" t="n">
        <v>291</v>
      </c>
      <c r="W201" s="15"/>
      <c r="X201" s="15" t="n">
        <v>2000</v>
      </c>
      <c r="Y201" s="15"/>
      <c r="Z201" s="15" t="n">
        <v>2000</v>
      </c>
      <c r="AA201" s="15" t="n">
        <v>2000</v>
      </c>
      <c r="AB201" s="15" t="n">
        <v>2000</v>
      </c>
      <c r="AC201" s="15" t="n">
        <v>2000</v>
      </c>
      <c r="AD201" s="15" t="n">
        <v>2000</v>
      </c>
      <c r="AE201" s="15" t="n">
        <v>2000</v>
      </c>
      <c r="AF201" s="15" t="n">
        <v>2000</v>
      </c>
      <c r="AG201" s="15" t="n">
        <v>2000</v>
      </c>
      <c r="AH201" s="15" t="n">
        <v>2000</v>
      </c>
      <c r="AI201" s="15" t="n">
        <v>2000</v>
      </c>
      <c r="AJ201" s="9" t="n">
        <f aca="false">X201*$V201</f>
        <v>582000</v>
      </c>
      <c r="AK201" s="9" t="n">
        <f aca="false">Y201*$V201</f>
        <v>0</v>
      </c>
      <c r="AL201" s="9" t="n">
        <f aca="false">Z201*$V201</f>
        <v>582000</v>
      </c>
      <c r="AM201" s="9" t="n">
        <f aca="false">AA201*$V201</f>
        <v>582000</v>
      </c>
      <c r="AN201" s="9" t="n">
        <f aca="false">AB201*$V201</f>
        <v>582000</v>
      </c>
      <c r="AO201" s="9" t="n">
        <f aca="false">AC201*$V201</f>
        <v>582000</v>
      </c>
      <c r="AP201" s="9" t="n">
        <f aca="false">AD201*$V201</f>
        <v>582000</v>
      </c>
      <c r="AQ201" s="9" t="n">
        <f aca="false">AE201*$V201</f>
        <v>582000</v>
      </c>
      <c r="AR201" s="9" t="n">
        <f aca="false">AF201*$V201</f>
        <v>582000</v>
      </c>
      <c r="AS201" s="9" t="n">
        <f aca="false">AG201*$V201</f>
        <v>582000</v>
      </c>
      <c r="AT201" s="9" t="n">
        <f aca="false">AH201*$V201</f>
        <v>582000</v>
      </c>
      <c r="AU201" s="9" t="n">
        <f aca="false">AI201*$V201</f>
        <v>582000</v>
      </c>
      <c r="AV201" s="9" t="n">
        <f aca="false">SUM(X201:AI201)/1000</f>
        <v>22</v>
      </c>
      <c r="AW201" s="9" t="n">
        <f aca="false">SUM(AJ201:AU201)</f>
        <v>6402000</v>
      </c>
      <c r="AX201" s="9" t="n">
        <f aca="false">IF(D201="INR",AW201/88.24,AW201)/1000000</f>
        <v>0.0725521305530372</v>
      </c>
    </row>
    <row r="202" s="2" customFormat="true" ht="14.25" hidden="false" customHeight="false" outlineLevel="0" collapsed="false">
      <c r="A202" s="12" t="s">
        <v>459</v>
      </c>
      <c r="B202" s="16" t="n">
        <v>5</v>
      </c>
      <c r="C202" s="15"/>
      <c r="D202" s="16" t="s">
        <v>102</v>
      </c>
      <c r="E202" s="16" t="s">
        <v>51</v>
      </c>
      <c r="F202" s="16" t="s">
        <v>52</v>
      </c>
      <c r="G202" s="16" t="s">
        <v>53</v>
      </c>
      <c r="H202" s="16" t="s">
        <v>54</v>
      </c>
      <c r="I202" s="16" t="s">
        <v>55</v>
      </c>
      <c r="J202" s="16" t="s">
        <v>56</v>
      </c>
      <c r="K202" s="16" t="s">
        <v>54</v>
      </c>
      <c r="L202" s="16" t="s">
        <v>55</v>
      </c>
      <c r="M202" s="16" t="s">
        <v>56</v>
      </c>
      <c r="N202" s="16" t="s">
        <v>57</v>
      </c>
      <c r="O202" s="16" t="s">
        <v>58</v>
      </c>
      <c r="P202" s="16" t="s">
        <v>460</v>
      </c>
      <c r="Q202" s="16" t="s">
        <v>460</v>
      </c>
      <c r="R202" s="16" t="s">
        <v>137</v>
      </c>
      <c r="S202" s="16" t="s">
        <v>272</v>
      </c>
      <c r="T202" s="16" t="s">
        <v>461</v>
      </c>
      <c r="U202" s="16" t="s">
        <v>73</v>
      </c>
      <c r="V202" s="17" t="n">
        <v>0.11</v>
      </c>
      <c r="W202" s="16" t="n">
        <v>0.106</v>
      </c>
      <c r="X202" s="16" t="n">
        <v>50000</v>
      </c>
      <c r="Y202" s="16"/>
      <c r="Z202" s="16"/>
      <c r="AA202" s="16"/>
      <c r="AB202" s="16" t="n">
        <v>50000</v>
      </c>
      <c r="AC202" s="16"/>
      <c r="AD202" s="16"/>
      <c r="AE202" s="16" t="n">
        <v>50000</v>
      </c>
      <c r="AF202" s="16"/>
      <c r="AG202" s="16" t="n">
        <v>50000</v>
      </c>
      <c r="AH202" s="16"/>
      <c r="AI202" s="16"/>
      <c r="AJ202" s="9" t="n">
        <f aca="false">X202*$V202</f>
        <v>5500</v>
      </c>
      <c r="AK202" s="9" t="n">
        <f aca="false">Y202*$V202</f>
        <v>0</v>
      </c>
      <c r="AL202" s="9" t="n">
        <f aca="false">Z202*$V202</f>
        <v>0</v>
      </c>
      <c r="AM202" s="9" t="n">
        <f aca="false">AA202*$V202</f>
        <v>0</v>
      </c>
      <c r="AN202" s="9" t="n">
        <f aca="false">AB202*$V202</f>
        <v>5500</v>
      </c>
      <c r="AO202" s="9" t="n">
        <f aca="false">AC202*$V202</f>
        <v>0</v>
      </c>
      <c r="AP202" s="9" t="n">
        <f aca="false">AD202*$V202</f>
        <v>0</v>
      </c>
      <c r="AQ202" s="9" t="n">
        <f aca="false">AE202*$V202</f>
        <v>5500</v>
      </c>
      <c r="AR202" s="9" t="n">
        <f aca="false">AF202*$V202</f>
        <v>0</v>
      </c>
      <c r="AS202" s="9" t="n">
        <f aca="false">AG202*$V202</f>
        <v>5500</v>
      </c>
      <c r="AT202" s="9" t="n">
        <f aca="false">AH202*$V202</f>
        <v>0</v>
      </c>
      <c r="AU202" s="9" t="n">
        <f aca="false">AI202*$V202</f>
        <v>0</v>
      </c>
      <c r="AV202" s="9" t="n">
        <f aca="false">SUM(X202:AI202)/1000</f>
        <v>200</v>
      </c>
      <c r="AW202" s="9" t="n">
        <f aca="false">SUM(AJ202:AU202)</f>
        <v>22000</v>
      </c>
      <c r="AX202" s="9" t="n">
        <f aca="false">IF(D202="INR",AW202/88.24,AW202)/1000000</f>
        <v>0.022</v>
      </c>
    </row>
    <row r="203" s="2" customFormat="true" ht="16.4" hidden="false" customHeight="false" outlineLevel="0" collapsed="false">
      <c r="A203" s="35" t="s">
        <v>462</v>
      </c>
      <c r="B203" s="9" t="n">
        <v>5</v>
      </c>
      <c r="C203" s="10"/>
      <c r="D203" s="9" t="s">
        <v>50</v>
      </c>
      <c r="E203" s="9" t="s">
        <v>51</v>
      </c>
      <c r="F203" s="9" t="s">
        <v>52</v>
      </c>
      <c r="G203" s="9" t="s">
        <v>65</v>
      </c>
      <c r="H203" s="9" t="s">
        <v>66</v>
      </c>
      <c r="I203" s="9" t="s">
        <v>55</v>
      </c>
      <c r="J203" s="9" t="s">
        <v>56</v>
      </c>
      <c r="K203" s="9"/>
      <c r="L203" s="9" t="s">
        <v>55</v>
      </c>
      <c r="M203" s="9" t="s">
        <v>56</v>
      </c>
      <c r="N203" s="16" t="s">
        <v>67</v>
      </c>
      <c r="O203" s="9" t="s">
        <v>68</v>
      </c>
      <c r="P203" s="9" t="s">
        <v>308</v>
      </c>
      <c r="Q203" s="9" t="s">
        <v>308</v>
      </c>
      <c r="R203" s="9" t="s">
        <v>309</v>
      </c>
      <c r="S203" s="9" t="s">
        <v>264</v>
      </c>
      <c r="T203" s="9" t="s">
        <v>463</v>
      </c>
      <c r="U203" s="9" t="s">
        <v>73</v>
      </c>
      <c r="V203" s="9" t="n">
        <v>1.44</v>
      </c>
      <c r="W203" s="9" t="n">
        <v>1.31</v>
      </c>
      <c r="X203" s="9" t="n">
        <v>400000</v>
      </c>
      <c r="Y203" s="9" t="n">
        <v>400000</v>
      </c>
      <c r="Z203" s="9" t="n">
        <v>400000</v>
      </c>
      <c r="AA203" s="9" t="n">
        <v>400000</v>
      </c>
      <c r="AB203" s="9" t="n">
        <v>400000</v>
      </c>
      <c r="AC203" s="9" t="n">
        <v>200000</v>
      </c>
      <c r="AD203" s="9" t="n">
        <v>200000</v>
      </c>
      <c r="AE203" s="9" t="n">
        <v>200000</v>
      </c>
      <c r="AF203" s="9" t="n">
        <v>200000</v>
      </c>
      <c r="AG203" s="9" t="n">
        <v>100000</v>
      </c>
      <c r="AH203" s="9" t="n">
        <v>100000</v>
      </c>
      <c r="AI203" s="9" t="n">
        <v>100000</v>
      </c>
      <c r="AJ203" s="9" t="n">
        <f aca="false">X203*$V203</f>
        <v>576000</v>
      </c>
      <c r="AK203" s="9" t="n">
        <f aca="false">Y203*$V203</f>
        <v>576000</v>
      </c>
      <c r="AL203" s="9" t="n">
        <f aca="false">Z203*$V203</f>
        <v>576000</v>
      </c>
      <c r="AM203" s="9" t="n">
        <f aca="false">AA203*$V203</f>
        <v>576000</v>
      </c>
      <c r="AN203" s="9" t="n">
        <f aca="false">AB203*$V203</f>
        <v>576000</v>
      </c>
      <c r="AO203" s="9" t="n">
        <f aca="false">AC203*$V203</f>
        <v>288000</v>
      </c>
      <c r="AP203" s="9" t="n">
        <f aca="false">AD203*$V203</f>
        <v>288000</v>
      </c>
      <c r="AQ203" s="9" t="n">
        <f aca="false">AE203*$V203</f>
        <v>288000</v>
      </c>
      <c r="AR203" s="9" t="n">
        <f aca="false">AF203*$V203</f>
        <v>288000</v>
      </c>
      <c r="AS203" s="9" t="n">
        <f aca="false">AG203*$V203</f>
        <v>144000</v>
      </c>
      <c r="AT203" s="9" t="n">
        <f aca="false">AH203*$V203</f>
        <v>144000</v>
      </c>
      <c r="AU203" s="9" t="n">
        <f aca="false">AI203*$V203</f>
        <v>144000</v>
      </c>
      <c r="AV203" s="9" t="n">
        <f aca="false">SUM(X203:AI203)/1000</f>
        <v>3100</v>
      </c>
      <c r="AW203" s="9" t="n">
        <f aca="false">SUM(AJ203:AU203)</f>
        <v>4464000</v>
      </c>
      <c r="AX203" s="9" t="n">
        <f aca="false">IF(D203="INR",AW203/88.24,AW203)/1000000</f>
        <v>0.0505893019038985</v>
      </c>
    </row>
    <row r="204" s="2" customFormat="true" ht="14.25" hidden="false" customHeight="false" outlineLevel="0" collapsed="false">
      <c r="A204" s="12"/>
      <c r="B204" s="16" t="n">
        <v>1</v>
      </c>
      <c r="C204" s="15"/>
      <c r="D204" s="16" t="s">
        <v>50</v>
      </c>
      <c r="E204" s="16" t="s">
        <v>51</v>
      </c>
      <c r="F204" s="16" t="s">
        <v>404</v>
      </c>
      <c r="G204" s="16" t="s">
        <v>464</v>
      </c>
      <c r="H204" s="16" t="s">
        <v>465</v>
      </c>
      <c r="I204" s="16"/>
      <c r="J204" s="16"/>
      <c r="K204" s="16"/>
      <c r="L204" s="16"/>
      <c r="M204" s="16"/>
      <c r="N204" s="16" t="s">
        <v>271</v>
      </c>
      <c r="O204" s="16" t="s">
        <v>94</v>
      </c>
      <c r="P204" s="16" t="s">
        <v>85</v>
      </c>
      <c r="Q204" s="16" t="s">
        <v>85</v>
      </c>
      <c r="R204" s="16" t="s">
        <v>86</v>
      </c>
      <c r="S204" s="16" t="s">
        <v>87</v>
      </c>
      <c r="T204" s="16" t="s">
        <v>466</v>
      </c>
      <c r="U204" s="16"/>
      <c r="V204" s="16" t="n">
        <v>285</v>
      </c>
      <c r="W204" s="16"/>
      <c r="X204" s="16" t="n">
        <v>0</v>
      </c>
      <c r="Y204" s="16" t="n">
        <v>0</v>
      </c>
      <c r="Z204" s="16" t="n">
        <v>2000</v>
      </c>
      <c r="AA204" s="16" t="n">
        <v>0</v>
      </c>
      <c r="AB204" s="16" t="n">
        <v>0</v>
      </c>
      <c r="AC204" s="16" t="n">
        <v>2000</v>
      </c>
      <c r="AD204" s="16" t="n">
        <v>0</v>
      </c>
      <c r="AE204" s="16" t="n">
        <v>0</v>
      </c>
      <c r="AF204" s="16" t="n">
        <v>1000</v>
      </c>
      <c r="AG204" s="16" t="n">
        <v>0</v>
      </c>
      <c r="AH204" s="16" t="n">
        <v>0</v>
      </c>
      <c r="AI204" s="16" t="n">
        <v>2000</v>
      </c>
      <c r="AJ204" s="9" t="n">
        <f aca="false">X204*$V204</f>
        <v>0</v>
      </c>
      <c r="AK204" s="9" t="n">
        <f aca="false">Y204*$V204</f>
        <v>0</v>
      </c>
      <c r="AL204" s="9" t="n">
        <f aca="false">Z204*$V204</f>
        <v>570000</v>
      </c>
      <c r="AM204" s="9" t="n">
        <f aca="false">AA204*$V204</f>
        <v>0</v>
      </c>
      <c r="AN204" s="9" t="n">
        <f aca="false">AB204*$V204</f>
        <v>0</v>
      </c>
      <c r="AO204" s="9" t="n">
        <f aca="false">AC204*$V204</f>
        <v>570000</v>
      </c>
      <c r="AP204" s="9" t="n">
        <f aca="false">AD204*$V204</f>
        <v>0</v>
      </c>
      <c r="AQ204" s="9" t="n">
        <f aca="false">AE204*$V204</f>
        <v>0</v>
      </c>
      <c r="AR204" s="9" t="n">
        <f aca="false">AF204*$V204</f>
        <v>285000</v>
      </c>
      <c r="AS204" s="9" t="n">
        <f aca="false">AG204*$V204</f>
        <v>0</v>
      </c>
      <c r="AT204" s="9" t="n">
        <f aca="false">AH204*$V204</f>
        <v>0</v>
      </c>
      <c r="AU204" s="9" t="n">
        <f aca="false">AI204*$V204</f>
        <v>570000</v>
      </c>
      <c r="AV204" s="9" t="n">
        <f aca="false">SUM(X204:AI204)/1000</f>
        <v>7</v>
      </c>
      <c r="AW204" s="9" t="n">
        <f aca="false">SUM(AJ204:AU204)</f>
        <v>1995000</v>
      </c>
      <c r="AX204" s="9" t="n">
        <f aca="false">IF(D204="INR",AW204/88.24,AW204)/1000000</f>
        <v>0.0226087941976428</v>
      </c>
    </row>
    <row r="205" s="2" customFormat="true" ht="16.4" hidden="false" customHeight="false" outlineLevel="0" collapsed="false">
      <c r="A205" s="35" t="s">
        <v>467</v>
      </c>
      <c r="B205" s="16" t="n">
        <v>5</v>
      </c>
      <c r="C205" s="15"/>
      <c r="D205" s="16" t="s">
        <v>102</v>
      </c>
      <c r="E205" s="16" t="s">
        <v>51</v>
      </c>
      <c r="F205" s="16" t="s">
        <v>52</v>
      </c>
      <c r="G205" s="16" t="s">
        <v>53</v>
      </c>
      <c r="H205" s="16" t="s">
        <v>54</v>
      </c>
      <c r="I205" s="16" t="s">
        <v>55</v>
      </c>
      <c r="J205" s="16" t="s">
        <v>56</v>
      </c>
      <c r="K205" s="16" t="s">
        <v>54</v>
      </c>
      <c r="L205" s="16" t="s">
        <v>55</v>
      </c>
      <c r="M205" s="16" t="s">
        <v>56</v>
      </c>
      <c r="N205" s="16" t="s">
        <v>57</v>
      </c>
      <c r="O205" s="16" t="s">
        <v>58</v>
      </c>
      <c r="P205" s="16" t="s">
        <v>380</v>
      </c>
      <c r="Q205" s="16" t="s">
        <v>380</v>
      </c>
      <c r="R205" s="16" t="s">
        <v>442</v>
      </c>
      <c r="S205" s="16" t="s">
        <v>443</v>
      </c>
      <c r="T205" s="16" t="s">
        <v>468</v>
      </c>
      <c r="U205" s="16" t="s">
        <v>73</v>
      </c>
      <c r="V205" s="16" t="n">
        <v>0.295</v>
      </c>
      <c r="W205" s="16" t="n">
        <v>0.293</v>
      </c>
      <c r="X205" s="16"/>
      <c r="Y205" s="29"/>
      <c r="Z205" s="16" t="n">
        <v>20000</v>
      </c>
      <c r="AA205" s="16"/>
      <c r="AB205" s="16"/>
      <c r="AC205" s="16" t="n">
        <v>20000</v>
      </c>
      <c r="AD205" s="16"/>
      <c r="AE205" s="16"/>
      <c r="AF205" s="16" t="n">
        <v>20000</v>
      </c>
      <c r="AG205" s="16"/>
      <c r="AH205" s="16"/>
      <c r="AI205" s="16" t="n">
        <v>20000</v>
      </c>
      <c r="AJ205" s="9" t="n">
        <f aca="false">X205*$V205</f>
        <v>0</v>
      </c>
      <c r="AK205" s="9" t="n">
        <f aca="false">Y205*$V205</f>
        <v>0</v>
      </c>
      <c r="AL205" s="9" t="n">
        <f aca="false">Z205*$V205</f>
        <v>5900</v>
      </c>
      <c r="AM205" s="9" t="n">
        <f aca="false">AA205*$V205</f>
        <v>0</v>
      </c>
      <c r="AN205" s="9" t="n">
        <f aca="false">AB205*$V205</f>
        <v>0</v>
      </c>
      <c r="AO205" s="9" t="n">
        <f aca="false">AC205*$V205</f>
        <v>5900</v>
      </c>
      <c r="AP205" s="9" t="n">
        <f aca="false">AD205*$V205</f>
        <v>0</v>
      </c>
      <c r="AQ205" s="9" t="n">
        <f aca="false">AE205*$V205</f>
        <v>0</v>
      </c>
      <c r="AR205" s="9" t="n">
        <f aca="false">AF205*$V205</f>
        <v>5900</v>
      </c>
      <c r="AS205" s="9" t="n">
        <f aca="false">AG205*$V205</f>
        <v>0</v>
      </c>
      <c r="AT205" s="9" t="n">
        <f aca="false">AH205*$V205</f>
        <v>0</v>
      </c>
      <c r="AU205" s="9" t="n">
        <f aca="false">AI205*$V205</f>
        <v>5900</v>
      </c>
      <c r="AV205" s="9" t="n">
        <f aca="false">SUM(X205:AI205)/1000</f>
        <v>80</v>
      </c>
      <c r="AW205" s="9" t="n">
        <f aca="false">SUM(AJ205:AU205)</f>
        <v>23600</v>
      </c>
      <c r="AX205" s="9" t="n">
        <f aca="false">IF(D205="INR",AW205/88.24,AW205)/1000000</f>
        <v>0.0236</v>
      </c>
    </row>
    <row r="206" s="2" customFormat="true" ht="16.4" hidden="false" customHeight="false" outlineLevel="0" collapsed="false">
      <c r="A206" s="35" t="s">
        <v>469</v>
      </c>
      <c r="B206" s="9" t="n">
        <v>5</v>
      </c>
      <c r="C206" s="10"/>
      <c r="D206" s="9" t="s">
        <v>50</v>
      </c>
      <c r="E206" s="9" t="s">
        <v>51</v>
      </c>
      <c r="F206" s="9" t="s">
        <v>243</v>
      </c>
      <c r="G206" s="9" t="s">
        <v>470</v>
      </c>
      <c r="H206" s="9" t="s">
        <v>471</v>
      </c>
      <c r="I206" s="9" t="s">
        <v>55</v>
      </c>
      <c r="J206" s="9" t="s">
        <v>100</v>
      </c>
      <c r="K206" s="9"/>
      <c r="L206" s="9" t="s">
        <v>55</v>
      </c>
      <c r="M206" s="9" t="s">
        <v>100</v>
      </c>
      <c r="N206" s="9" t="s">
        <v>93</v>
      </c>
      <c r="O206" s="9" t="s">
        <v>246</v>
      </c>
      <c r="P206" s="9" t="s">
        <v>110</v>
      </c>
      <c r="Q206" s="9" t="s">
        <v>110</v>
      </c>
      <c r="R206" s="9" t="s">
        <v>137</v>
      </c>
      <c r="S206" s="9" t="s">
        <v>272</v>
      </c>
      <c r="T206" s="9" t="s">
        <v>472</v>
      </c>
      <c r="U206" s="9" t="s">
        <v>73</v>
      </c>
      <c r="V206" s="10" t="n">
        <v>88</v>
      </c>
      <c r="W206" s="9" t="n">
        <v>0.66</v>
      </c>
      <c r="X206" s="9" t="n">
        <v>2000</v>
      </c>
      <c r="Y206" s="9" t="n">
        <v>2000</v>
      </c>
      <c r="Z206" s="9" t="n">
        <v>6000</v>
      </c>
      <c r="AA206" s="9" t="n">
        <v>2000</v>
      </c>
      <c r="AB206" s="9" t="n">
        <v>2000</v>
      </c>
      <c r="AC206" s="9" t="n">
        <v>6000</v>
      </c>
      <c r="AD206" s="9" t="n">
        <v>5000</v>
      </c>
      <c r="AE206" s="9" t="n">
        <v>5000</v>
      </c>
      <c r="AF206" s="9" t="n">
        <v>10000</v>
      </c>
      <c r="AG206" s="9" t="n">
        <v>5000</v>
      </c>
      <c r="AH206" s="9" t="n">
        <v>5000</v>
      </c>
      <c r="AI206" s="9" t="n">
        <v>10000</v>
      </c>
      <c r="AJ206" s="9" t="n">
        <f aca="false">X206*$V206</f>
        <v>176000</v>
      </c>
      <c r="AK206" s="9" t="n">
        <f aca="false">Y206*$V206</f>
        <v>176000</v>
      </c>
      <c r="AL206" s="9" t="n">
        <f aca="false">Z206*$V206</f>
        <v>528000</v>
      </c>
      <c r="AM206" s="9" t="n">
        <f aca="false">AA206*$V206</f>
        <v>176000</v>
      </c>
      <c r="AN206" s="9" t="n">
        <f aca="false">AB206*$V206</f>
        <v>176000</v>
      </c>
      <c r="AO206" s="9" t="n">
        <f aca="false">AC206*$V206</f>
        <v>528000</v>
      </c>
      <c r="AP206" s="9" t="n">
        <f aca="false">AD206*$V206</f>
        <v>440000</v>
      </c>
      <c r="AQ206" s="9" t="n">
        <f aca="false">AE206*$V206</f>
        <v>440000</v>
      </c>
      <c r="AR206" s="9" t="n">
        <f aca="false">AF206*$V206</f>
        <v>880000</v>
      </c>
      <c r="AS206" s="9" t="n">
        <f aca="false">AG206*$V206</f>
        <v>440000</v>
      </c>
      <c r="AT206" s="9" t="n">
        <f aca="false">AH206*$V206</f>
        <v>440000</v>
      </c>
      <c r="AU206" s="9" t="n">
        <f aca="false">AI206*$V206</f>
        <v>880000</v>
      </c>
      <c r="AV206" s="9" t="n">
        <f aca="false">SUM(X206:AI206)/1000</f>
        <v>60</v>
      </c>
      <c r="AW206" s="9" t="n">
        <f aca="false">SUM(AJ206:AU206)</f>
        <v>5280000</v>
      </c>
      <c r="AX206" s="9" t="n">
        <f aca="false">IF(D206="INR",AW206/88.24,AW206)/1000000</f>
        <v>0.0598368087035358</v>
      </c>
    </row>
    <row r="207" s="2" customFormat="true" ht="16.4" hidden="false" customHeight="false" outlineLevel="0" collapsed="false">
      <c r="A207" s="35" t="s">
        <v>473</v>
      </c>
      <c r="B207" s="9" t="n">
        <v>5</v>
      </c>
      <c r="C207" s="10"/>
      <c r="D207" s="9" t="s">
        <v>50</v>
      </c>
      <c r="E207" s="9" t="s">
        <v>51</v>
      </c>
      <c r="F207" s="9" t="s">
        <v>404</v>
      </c>
      <c r="G207" s="9" t="s">
        <v>405</v>
      </c>
      <c r="H207" s="9" t="s">
        <v>406</v>
      </c>
      <c r="I207" s="9" t="s">
        <v>105</v>
      </c>
      <c r="J207" s="9" t="s">
        <v>368</v>
      </c>
      <c r="K207" s="9"/>
      <c r="L207" s="9" t="s">
        <v>105</v>
      </c>
      <c r="M207" s="9" t="s">
        <v>368</v>
      </c>
      <c r="N207" s="9" t="s">
        <v>271</v>
      </c>
      <c r="O207" s="9" t="s">
        <v>94</v>
      </c>
      <c r="P207" s="9" t="s">
        <v>308</v>
      </c>
      <c r="Q207" s="9" t="s">
        <v>308</v>
      </c>
      <c r="R207" s="9" t="s">
        <v>309</v>
      </c>
      <c r="S207" s="9" t="s">
        <v>264</v>
      </c>
      <c r="T207" s="9" t="s">
        <v>474</v>
      </c>
      <c r="U207" s="9" t="s">
        <v>73</v>
      </c>
      <c r="V207" s="9" t="n">
        <v>1.01</v>
      </c>
      <c r="W207" s="9" t="n">
        <v>0</v>
      </c>
      <c r="X207" s="9" t="n">
        <v>500000</v>
      </c>
      <c r="Y207" s="9" t="n">
        <v>500000</v>
      </c>
      <c r="Z207" s="9" t="n">
        <v>500000</v>
      </c>
      <c r="AA207" s="9" t="n">
        <v>150000</v>
      </c>
      <c r="AB207" s="9" t="n">
        <v>150000</v>
      </c>
      <c r="AC207" s="9" t="n">
        <v>500000</v>
      </c>
      <c r="AD207" s="9" t="n">
        <v>500000</v>
      </c>
      <c r="AE207" s="9"/>
      <c r="AF207" s="9" t="n">
        <v>150000</v>
      </c>
      <c r="AG207" s="9" t="n">
        <v>150000</v>
      </c>
      <c r="AH207" s="9" t="n">
        <v>500000</v>
      </c>
      <c r="AI207" s="9" t="n">
        <v>150000</v>
      </c>
      <c r="AJ207" s="9" t="n">
        <f aca="false">X207*$V207</f>
        <v>505000</v>
      </c>
      <c r="AK207" s="9" t="n">
        <f aca="false">Y207*$V207</f>
        <v>505000</v>
      </c>
      <c r="AL207" s="9" t="n">
        <f aca="false">Z207*$V207</f>
        <v>505000</v>
      </c>
      <c r="AM207" s="9" t="n">
        <f aca="false">AA207*$V207</f>
        <v>151500</v>
      </c>
      <c r="AN207" s="9" t="n">
        <f aca="false">AB207*$V207</f>
        <v>151500</v>
      </c>
      <c r="AO207" s="9" t="n">
        <f aca="false">AC207*$V207</f>
        <v>505000</v>
      </c>
      <c r="AP207" s="9" t="n">
        <f aca="false">AD207*$V207</f>
        <v>505000</v>
      </c>
      <c r="AQ207" s="9" t="n">
        <f aca="false">AE207*$V207</f>
        <v>0</v>
      </c>
      <c r="AR207" s="9" t="n">
        <f aca="false">AF207*$V207</f>
        <v>151500</v>
      </c>
      <c r="AS207" s="9" t="n">
        <f aca="false">AG207*$V207</f>
        <v>151500</v>
      </c>
      <c r="AT207" s="9" t="n">
        <f aca="false">AH207*$V207</f>
        <v>505000</v>
      </c>
      <c r="AU207" s="9" t="n">
        <f aca="false">AI207*$V207</f>
        <v>151500</v>
      </c>
      <c r="AV207" s="9" t="n">
        <f aca="false">SUM(X207:AI207)/1000</f>
        <v>3750</v>
      </c>
      <c r="AW207" s="9" t="n">
        <f aca="false">SUM(AJ207:AU207)</f>
        <v>3787500</v>
      </c>
      <c r="AX207" s="9" t="n">
        <f aca="false">IF(D207="INR",AW207/88.24,AW207)/1000000</f>
        <v>0.0429227107887579</v>
      </c>
    </row>
    <row r="208" s="2" customFormat="true" ht="14.25" hidden="false" customHeight="false" outlineLevel="0" collapsed="false">
      <c r="A208" s="12" t="s">
        <v>475</v>
      </c>
      <c r="B208" s="16" t="n">
        <v>5</v>
      </c>
      <c r="C208" s="15"/>
      <c r="D208" s="16" t="s">
        <v>50</v>
      </c>
      <c r="E208" s="16" t="s">
        <v>51</v>
      </c>
      <c r="F208" s="16" t="s">
        <v>52</v>
      </c>
      <c r="G208" s="16" t="s">
        <v>476</v>
      </c>
      <c r="H208" s="16" t="s">
        <v>477</v>
      </c>
      <c r="I208" s="16" t="s">
        <v>105</v>
      </c>
      <c r="J208" s="16" t="s">
        <v>478</v>
      </c>
      <c r="K208" s="16"/>
      <c r="L208" s="16" t="s">
        <v>105</v>
      </c>
      <c r="M208" s="16" t="s">
        <v>478</v>
      </c>
      <c r="N208" s="16" t="s">
        <v>93</v>
      </c>
      <c r="O208" s="16" t="s">
        <v>315</v>
      </c>
      <c r="P208" s="16" t="s">
        <v>460</v>
      </c>
      <c r="Q208" s="16" t="s">
        <v>460</v>
      </c>
      <c r="R208" s="16" t="s">
        <v>137</v>
      </c>
      <c r="S208" s="16" t="s">
        <v>272</v>
      </c>
      <c r="T208" s="16" t="s">
        <v>479</v>
      </c>
      <c r="U208" s="16" t="s">
        <v>73</v>
      </c>
      <c r="V208" s="16" t="n">
        <v>250</v>
      </c>
      <c r="W208" s="16" t="n">
        <v>1.55</v>
      </c>
      <c r="X208" s="16"/>
      <c r="Y208" s="16"/>
      <c r="Z208" s="16" t="n">
        <v>2000</v>
      </c>
      <c r="AA208" s="16"/>
      <c r="AB208" s="16"/>
      <c r="AC208" s="16" t="n">
        <v>2000</v>
      </c>
      <c r="AD208" s="16"/>
      <c r="AE208" s="16"/>
      <c r="AF208" s="16" t="n">
        <v>2000</v>
      </c>
      <c r="AG208" s="16"/>
      <c r="AH208" s="16"/>
      <c r="AI208" s="16" t="n">
        <v>2000</v>
      </c>
      <c r="AJ208" s="9" t="n">
        <f aca="false">X208*$V208</f>
        <v>0</v>
      </c>
      <c r="AK208" s="9" t="n">
        <f aca="false">Y208*$V208</f>
        <v>0</v>
      </c>
      <c r="AL208" s="9" t="n">
        <f aca="false">Z208*$V208</f>
        <v>500000</v>
      </c>
      <c r="AM208" s="9" t="n">
        <f aca="false">AA208*$V208</f>
        <v>0</v>
      </c>
      <c r="AN208" s="9" t="n">
        <f aca="false">AB208*$V208</f>
        <v>0</v>
      </c>
      <c r="AO208" s="9" t="n">
        <f aca="false">AC208*$V208</f>
        <v>500000</v>
      </c>
      <c r="AP208" s="9" t="n">
        <f aca="false">AD208*$V208</f>
        <v>0</v>
      </c>
      <c r="AQ208" s="9" t="n">
        <f aca="false">AE208*$V208</f>
        <v>0</v>
      </c>
      <c r="AR208" s="9" t="n">
        <f aca="false">AF208*$V208</f>
        <v>500000</v>
      </c>
      <c r="AS208" s="9" t="n">
        <f aca="false">AG208*$V208</f>
        <v>0</v>
      </c>
      <c r="AT208" s="9" t="n">
        <f aca="false">AH208*$V208</f>
        <v>0</v>
      </c>
      <c r="AU208" s="9" t="n">
        <f aca="false">AI208*$V208</f>
        <v>500000</v>
      </c>
      <c r="AV208" s="9" t="n">
        <f aca="false">SUM(X208:AI208)/1000</f>
        <v>8</v>
      </c>
      <c r="AW208" s="9" t="n">
        <f aca="false">SUM(AJ208:AU208)</f>
        <v>2000000</v>
      </c>
      <c r="AX208" s="9" t="n">
        <f aca="false">IF(D208="INR",AW208/88.24,AW208)/1000000</f>
        <v>0.0226654578422484</v>
      </c>
    </row>
    <row r="209" s="2" customFormat="true" ht="16.4" hidden="false" customHeight="false" outlineLevel="0" collapsed="false">
      <c r="A209" s="16" t="s">
        <v>480</v>
      </c>
      <c r="B209" s="16"/>
      <c r="C209" s="16"/>
      <c r="D209" s="16" t="s">
        <v>50</v>
      </c>
      <c r="E209" s="16" t="s">
        <v>51</v>
      </c>
      <c r="F209" s="16" t="s">
        <v>52</v>
      </c>
      <c r="G209" s="16" t="s">
        <v>274</v>
      </c>
      <c r="H209" s="16" t="s">
        <v>275</v>
      </c>
      <c r="I209" s="16" t="s">
        <v>260</v>
      </c>
      <c r="J209" s="16" t="s">
        <v>276</v>
      </c>
      <c r="K209" s="16"/>
      <c r="L209" s="16" t="s">
        <v>260</v>
      </c>
      <c r="M209" s="16" t="s">
        <v>276</v>
      </c>
      <c r="N209" s="16" t="s">
        <v>79</v>
      </c>
      <c r="O209" s="16" t="s">
        <v>68</v>
      </c>
      <c r="P209" s="16" t="s">
        <v>80</v>
      </c>
      <c r="Q209" s="16" t="s">
        <v>80</v>
      </c>
      <c r="R209" s="16" t="s">
        <v>81</v>
      </c>
      <c r="S209" s="16" t="s">
        <v>82</v>
      </c>
      <c r="T209" s="16" t="s">
        <v>481</v>
      </c>
      <c r="U209" s="16" t="s">
        <v>73</v>
      </c>
      <c r="V209" s="16" t="n">
        <v>6.66</v>
      </c>
      <c r="W209" s="16" t="n">
        <v>5.76177</v>
      </c>
      <c r="X209" s="16" t="n">
        <v>70000</v>
      </c>
      <c r="Y209" s="16" t="n">
        <v>70000</v>
      </c>
      <c r="Z209" s="16" t="n">
        <v>70000</v>
      </c>
      <c r="AA209" s="16" t="n">
        <v>70000</v>
      </c>
      <c r="AB209" s="16" t="n">
        <v>70000</v>
      </c>
      <c r="AC209" s="16" t="n">
        <v>70000</v>
      </c>
      <c r="AD209" s="16" t="n">
        <v>70000</v>
      </c>
      <c r="AE209" s="16" t="n">
        <v>70000</v>
      </c>
      <c r="AF209" s="16" t="n">
        <v>70000</v>
      </c>
      <c r="AG209" s="16" t="n">
        <v>70000</v>
      </c>
      <c r="AH209" s="16" t="n">
        <v>70000</v>
      </c>
      <c r="AI209" s="16" t="n">
        <v>70000</v>
      </c>
      <c r="AJ209" s="9" t="n">
        <f aca="false">X209*$V209</f>
        <v>466200</v>
      </c>
      <c r="AK209" s="9" t="n">
        <f aca="false">Y209*$V209</f>
        <v>466200</v>
      </c>
      <c r="AL209" s="9" t="n">
        <f aca="false">Z209*$V209</f>
        <v>466200</v>
      </c>
      <c r="AM209" s="9" t="n">
        <f aca="false">AA209*$V209</f>
        <v>466200</v>
      </c>
      <c r="AN209" s="9" t="n">
        <f aca="false">AB209*$V209</f>
        <v>466200</v>
      </c>
      <c r="AO209" s="9" t="n">
        <f aca="false">AC209*$V209</f>
        <v>466200</v>
      </c>
      <c r="AP209" s="9" t="n">
        <f aca="false">AD209*$V209</f>
        <v>466200</v>
      </c>
      <c r="AQ209" s="9" t="n">
        <f aca="false">AE209*$V209</f>
        <v>466200</v>
      </c>
      <c r="AR209" s="9" t="n">
        <f aca="false">AF209*$V209</f>
        <v>466200</v>
      </c>
      <c r="AS209" s="9" t="n">
        <f aca="false">AG209*$V209</f>
        <v>466200</v>
      </c>
      <c r="AT209" s="9" t="n">
        <f aca="false">AH209*$V209</f>
        <v>466200</v>
      </c>
      <c r="AU209" s="9" t="n">
        <f aca="false">AI209*$V209</f>
        <v>466200</v>
      </c>
      <c r="AV209" s="9" t="n">
        <f aca="false">SUM(X209:AI209)/1000</f>
        <v>840</v>
      </c>
      <c r="AW209" s="9" t="n">
        <f aca="false">SUM(AJ209:AU209)</f>
        <v>5594400</v>
      </c>
      <c r="AX209" s="9" t="n">
        <f aca="false">IF(D209="INR",AW209/88.24,AW209)/1000000</f>
        <v>0.0633998186763373</v>
      </c>
    </row>
    <row r="210" s="2" customFormat="true" ht="14.25" hidden="false" customHeight="false" outlineLevel="0" collapsed="false">
      <c r="A210" s="12" t="s">
        <v>482</v>
      </c>
      <c r="B210" s="16" t="n">
        <v>5</v>
      </c>
      <c r="C210" s="15"/>
      <c r="D210" s="16" t="s">
        <v>50</v>
      </c>
      <c r="E210" s="16" t="s">
        <v>51</v>
      </c>
      <c r="F210" s="16" t="s">
        <v>52</v>
      </c>
      <c r="G210" s="16" t="s">
        <v>391</v>
      </c>
      <c r="H210" s="16" t="s">
        <v>392</v>
      </c>
      <c r="I210" s="16" t="s">
        <v>260</v>
      </c>
      <c r="J210" s="16" t="s">
        <v>276</v>
      </c>
      <c r="K210" s="16"/>
      <c r="L210" s="16" t="s">
        <v>260</v>
      </c>
      <c r="M210" s="16" t="s">
        <v>276</v>
      </c>
      <c r="N210" s="16" t="s">
        <v>93</v>
      </c>
      <c r="O210" s="16" t="s">
        <v>58</v>
      </c>
      <c r="P210" s="16" t="s">
        <v>80</v>
      </c>
      <c r="Q210" s="16" t="s">
        <v>80</v>
      </c>
      <c r="R210" s="16" t="s">
        <v>81</v>
      </c>
      <c r="S210" s="16" t="s">
        <v>82</v>
      </c>
      <c r="T210" s="16" t="s">
        <v>483</v>
      </c>
      <c r="U210" s="16" t="s">
        <v>73</v>
      </c>
      <c r="V210" s="16" t="n">
        <v>15.45</v>
      </c>
      <c r="W210" s="16" t="n">
        <v>13.90634</v>
      </c>
      <c r="X210" s="16" t="n">
        <v>30000</v>
      </c>
      <c r="Y210" s="16"/>
      <c r="Z210" s="16" t="n">
        <v>30000</v>
      </c>
      <c r="AA210" s="16"/>
      <c r="AB210" s="16" t="n">
        <v>30000</v>
      </c>
      <c r="AC210" s="16"/>
      <c r="AD210" s="16" t="n">
        <v>30000</v>
      </c>
      <c r="AE210" s="16"/>
      <c r="AF210" s="16" t="n">
        <v>30000</v>
      </c>
      <c r="AG210" s="16"/>
      <c r="AH210" s="16" t="n">
        <v>30000</v>
      </c>
      <c r="AI210" s="16"/>
      <c r="AJ210" s="9" t="n">
        <f aca="false">X210*$V210</f>
        <v>463500</v>
      </c>
      <c r="AK210" s="9" t="n">
        <f aca="false">Y210*$V210</f>
        <v>0</v>
      </c>
      <c r="AL210" s="9" t="n">
        <f aca="false">Z210*$V210</f>
        <v>463500</v>
      </c>
      <c r="AM210" s="9" t="n">
        <f aca="false">AA210*$V210</f>
        <v>0</v>
      </c>
      <c r="AN210" s="9" t="n">
        <f aca="false">AB210*$V210</f>
        <v>463500</v>
      </c>
      <c r="AO210" s="9" t="n">
        <f aca="false">AC210*$V210</f>
        <v>0</v>
      </c>
      <c r="AP210" s="9" t="n">
        <f aca="false">AD210*$V210</f>
        <v>463500</v>
      </c>
      <c r="AQ210" s="9" t="n">
        <f aca="false">AE210*$V210</f>
        <v>0</v>
      </c>
      <c r="AR210" s="9" t="n">
        <f aca="false">AF210*$V210</f>
        <v>463500</v>
      </c>
      <c r="AS210" s="9" t="n">
        <f aca="false">AG210*$V210</f>
        <v>0</v>
      </c>
      <c r="AT210" s="9" t="n">
        <f aca="false">AH210*$V210</f>
        <v>463500</v>
      </c>
      <c r="AU210" s="9" t="n">
        <f aca="false">AI210*$V210</f>
        <v>0</v>
      </c>
      <c r="AV210" s="9" t="n">
        <f aca="false">SUM(X210:AI210)/1000</f>
        <v>180</v>
      </c>
      <c r="AW210" s="9" t="n">
        <f aca="false">SUM(AJ210:AU210)</f>
        <v>2781000</v>
      </c>
      <c r="AX210" s="9" t="n">
        <f aca="false">IF(D210="INR",AW210/88.24,AW210)/1000000</f>
        <v>0.0315163191296464</v>
      </c>
    </row>
    <row r="211" s="2" customFormat="true" ht="16.4" hidden="false" customHeight="false" outlineLevel="0" collapsed="false">
      <c r="A211" s="16" t="s">
        <v>484</v>
      </c>
      <c r="B211" s="16" t="n">
        <v>5</v>
      </c>
      <c r="C211" s="16"/>
      <c r="D211" s="16" t="s">
        <v>50</v>
      </c>
      <c r="E211" s="16" t="s">
        <v>51</v>
      </c>
      <c r="F211" s="16" t="s">
        <v>243</v>
      </c>
      <c r="G211" s="16" t="s">
        <v>485</v>
      </c>
      <c r="H211" s="16" t="s">
        <v>486</v>
      </c>
      <c r="I211" s="16" t="s">
        <v>55</v>
      </c>
      <c r="J211" s="16" t="s">
        <v>56</v>
      </c>
      <c r="K211" s="16"/>
      <c r="L211" s="16" t="s">
        <v>55</v>
      </c>
      <c r="M211" s="16" t="s">
        <v>56</v>
      </c>
      <c r="N211" s="16" t="s">
        <v>93</v>
      </c>
      <c r="O211" s="16" t="s">
        <v>68</v>
      </c>
      <c r="P211" s="16" t="s">
        <v>308</v>
      </c>
      <c r="Q211" s="16" t="s">
        <v>308</v>
      </c>
      <c r="R211" s="16" t="s">
        <v>309</v>
      </c>
      <c r="S211" s="16" t="s">
        <v>264</v>
      </c>
      <c r="T211" s="16" t="s">
        <v>487</v>
      </c>
      <c r="U211" s="16" t="s">
        <v>73</v>
      </c>
      <c r="V211" s="16" t="n">
        <v>0.57</v>
      </c>
      <c r="W211" s="16" t="n">
        <v>0.51</v>
      </c>
      <c r="X211" s="16" t="n">
        <v>800000</v>
      </c>
      <c r="Y211" s="16" t="n">
        <v>800000</v>
      </c>
      <c r="Z211" s="16" t="n">
        <v>800000</v>
      </c>
      <c r="AA211" s="16" t="n">
        <v>830000</v>
      </c>
      <c r="AB211" s="16" t="n">
        <v>830000</v>
      </c>
      <c r="AC211" s="16" t="n">
        <v>800000</v>
      </c>
      <c r="AD211" s="16" t="n">
        <v>800000</v>
      </c>
      <c r="AE211" s="16" t="n">
        <v>800000</v>
      </c>
      <c r="AF211" s="16" t="n">
        <v>800000</v>
      </c>
      <c r="AG211" s="16" t="n">
        <v>800000</v>
      </c>
      <c r="AH211" s="16" t="n">
        <v>800000</v>
      </c>
      <c r="AI211" s="16" t="n">
        <v>800000</v>
      </c>
      <c r="AJ211" s="9" t="n">
        <f aca="false">X211*$V211</f>
        <v>456000</v>
      </c>
      <c r="AK211" s="9" t="n">
        <f aca="false">Y211*$V211</f>
        <v>456000</v>
      </c>
      <c r="AL211" s="9" t="n">
        <f aca="false">Z211*$V211</f>
        <v>456000</v>
      </c>
      <c r="AM211" s="9" t="n">
        <f aca="false">AA211*$V211</f>
        <v>473100</v>
      </c>
      <c r="AN211" s="9" t="n">
        <f aca="false">AB211*$V211</f>
        <v>473100</v>
      </c>
      <c r="AO211" s="9" t="n">
        <f aca="false">AC211*$V211</f>
        <v>456000</v>
      </c>
      <c r="AP211" s="9" t="n">
        <f aca="false">AD211*$V211</f>
        <v>456000</v>
      </c>
      <c r="AQ211" s="9" t="n">
        <f aca="false">AE211*$V211</f>
        <v>456000</v>
      </c>
      <c r="AR211" s="9" t="n">
        <f aca="false">AF211*$V211</f>
        <v>456000</v>
      </c>
      <c r="AS211" s="9" t="n">
        <f aca="false">AG211*$V211</f>
        <v>456000</v>
      </c>
      <c r="AT211" s="9" t="n">
        <f aca="false">AH211*$V211</f>
        <v>456000</v>
      </c>
      <c r="AU211" s="9" t="n">
        <f aca="false">AI211*$V211</f>
        <v>456000</v>
      </c>
      <c r="AV211" s="9" t="n">
        <f aca="false">SUM(X211:AI211)/1000</f>
        <v>9660</v>
      </c>
      <c r="AW211" s="9" t="n">
        <f aca="false">SUM(AJ211:AU211)</f>
        <v>5506200</v>
      </c>
      <c r="AX211" s="9" t="n">
        <f aca="false">IF(D211="INR",AW211/88.24,AW211)/1000000</f>
        <v>0.0624002719854941</v>
      </c>
    </row>
    <row r="212" s="2" customFormat="true" ht="14.25" hidden="false" customHeight="false" outlineLevel="0" collapsed="false">
      <c r="A212" s="12" t="s">
        <v>488</v>
      </c>
      <c r="B212" s="16" t="n">
        <v>5</v>
      </c>
      <c r="C212" s="15"/>
      <c r="D212" s="16" t="s">
        <v>50</v>
      </c>
      <c r="E212" s="16" t="s">
        <v>51</v>
      </c>
      <c r="F212" s="16" t="s">
        <v>52</v>
      </c>
      <c r="G212" s="16" t="s">
        <v>489</v>
      </c>
      <c r="H212" s="16" t="s">
        <v>490</v>
      </c>
      <c r="I212" s="16" t="s">
        <v>55</v>
      </c>
      <c r="J212" s="16" t="s">
        <v>56</v>
      </c>
      <c r="K212" s="16"/>
      <c r="L212" s="16" t="s">
        <v>55</v>
      </c>
      <c r="M212" s="16" t="s">
        <v>56</v>
      </c>
      <c r="N212" s="16" t="s">
        <v>93</v>
      </c>
      <c r="O212" s="16" t="s">
        <v>315</v>
      </c>
      <c r="P212" s="16" t="s">
        <v>380</v>
      </c>
      <c r="Q212" s="16" t="s">
        <v>380</v>
      </c>
      <c r="R212" s="16" t="s">
        <v>442</v>
      </c>
      <c r="S212" s="16" t="s">
        <v>443</v>
      </c>
      <c r="T212" s="16" t="s">
        <v>491</v>
      </c>
      <c r="U212" s="16" t="s">
        <v>73</v>
      </c>
      <c r="V212" s="16" t="n">
        <v>45</v>
      </c>
      <c r="W212" s="16" t="n">
        <v>29.2</v>
      </c>
      <c r="X212" s="16" t="n">
        <v>1000</v>
      </c>
      <c r="Y212" s="16"/>
      <c r="Z212" s="16" t="n">
        <v>10000</v>
      </c>
      <c r="AA212" s="16"/>
      <c r="AB212" s="16"/>
      <c r="AC212" s="16" t="n">
        <v>1000</v>
      </c>
      <c r="AD212" s="16"/>
      <c r="AE212" s="16"/>
      <c r="AF212" s="16" t="n">
        <v>1000</v>
      </c>
      <c r="AG212" s="16"/>
      <c r="AH212" s="16"/>
      <c r="AI212" s="16"/>
      <c r="AJ212" s="9" t="n">
        <f aca="false">X212*$V212</f>
        <v>45000</v>
      </c>
      <c r="AK212" s="9" t="n">
        <f aca="false">Y212*$V212</f>
        <v>0</v>
      </c>
      <c r="AL212" s="9" t="n">
        <f aca="false">Z212*$V212</f>
        <v>450000</v>
      </c>
      <c r="AM212" s="9" t="n">
        <f aca="false">AA212*$V212</f>
        <v>0</v>
      </c>
      <c r="AN212" s="9" t="n">
        <f aca="false">AB212*$V212</f>
        <v>0</v>
      </c>
      <c r="AO212" s="9" t="n">
        <f aca="false">AC212*$V212</f>
        <v>45000</v>
      </c>
      <c r="AP212" s="9" t="n">
        <f aca="false">AD212*$V212</f>
        <v>0</v>
      </c>
      <c r="AQ212" s="9" t="n">
        <f aca="false">AE212*$V212</f>
        <v>0</v>
      </c>
      <c r="AR212" s="9" t="n">
        <f aca="false">AF212*$V212</f>
        <v>45000</v>
      </c>
      <c r="AS212" s="9" t="n">
        <f aca="false">AG212*$V212</f>
        <v>0</v>
      </c>
      <c r="AT212" s="9" t="n">
        <f aca="false">AH212*$V212</f>
        <v>0</v>
      </c>
      <c r="AU212" s="9" t="n">
        <f aca="false">AI212*$V212</f>
        <v>0</v>
      </c>
      <c r="AV212" s="9" t="n">
        <f aca="false">SUM(X212:AI212)/1000</f>
        <v>13</v>
      </c>
      <c r="AW212" s="9" t="n">
        <f aca="false">SUM(AJ212:AU212)</f>
        <v>585000</v>
      </c>
      <c r="AX212" s="9" t="n">
        <f aca="false">IF(D212="INR",AW212/88.24,AW212)/1000000</f>
        <v>0.00662964641885766</v>
      </c>
    </row>
    <row r="213" s="2" customFormat="true" ht="14.25" hidden="false" customHeight="false" outlineLevel="0" collapsed="false">
      <c r="A213" s="35"/>
      <c r="B213" s="9" t="n">
        <v>5</v>
      </c>
      <c r="C213" s="10"/>
      <c r="D213" s="9" t="s">
        <v>50</v>
      </c>
      <c r="E213" s="9" t="s">
        <v>51</v>
      </c>
      <c r="F213" s="16" t="s">
        <v>404</v>
      </c>
      <c r="G213" s="9" t="s">
        <v>455</v>
      </c>
      <c r="H213" s="9" t="s">
        <v>456</v>
      </c>
      <c r="I213" s="9" t="s">
        <v>105</v>
      </c>
      <c r="J213" s="9" t="s">
        <v>457</v>
      </c>
      <c r="K213" s="9"/>
      <c r="L213" s="9" t="s">
        <v>105</v>
      </c>
      <c r="M213" s="9" t="s">
        <v>457</v>
      </c>
      <c r="N213" s="16" t="s">
        <v>271</v>
      </c>
      <c r="O213" s="9" t="s">
        <v>94</v>
      </c>
      <c r="P213" s="9" t="s">
        <v>85</v>
      </c>
      <c r="Q213" s="9" t="s">
        <v>85</v>
      </c>
      <c r="R213" s="9" t="s">
        <v>86</v>
      </c>
      <c r="S213" s="9" t="s">
        <v>87</v>
      </c>
      <c r="T213" s="9" t="s">
        <v>492</v>
      </c>
      <c r="U213" s="9" t="s">
        <v>63</v>
      </c>
      <c r="V213" s="9" t="n">
        <v>225</v>
      </c>
      <c r="W213" s="9" t="n">
        <v>2.23</v>
      </c>
      <c r="X213" s="9" t="n">
        <v>2000</v>
      </c>
      <c r="Y213" s="9" t="n">
        <v>2000</v>
      </c>
      <c r="Z213" s="9" t="n">
        <v>2000</v>
      </c>
      <c r="AA213" s="9"/>
      <c r="AB213" s="9" t="n">
        <v>2000</v>
      </c>
      <c r="AC213" s="9" t="n">
        <v>2000</v>
      </c>
      <c r="AD213" s="9"/>
      <c r="AE213" s="9" t="n">
        <v>2000</v>
      </c>
      <c r="AF213" s="9" t="n">
        <v>2000</v>
      </c>
      <c r="AG213" s="9" t="n">
        <v>2000</v>
      </c>
      <c r="AH213" s="9"/>
      <c r="AI213" s="9" t="n">
        <v>2000</v>
      </c>
      <c r="AJ213" s="9" t="n">
        <f aca="false">X213*$V213</f>
        <v>450000</v>
      </c>
      <c r="AK213" s="9" t="n">
        <f aca="false">Y213*$V213</f>
        <v>450000</v>
      </c>
      <c r="AL213" s="9" t="n">
        <f aca="false">Z213*$V213</f>
        <v>450000</v>
      </c>
      <c r="AM213" s="9" t="n">
        <f aca="false">AA213*$V213</f>
        <v>0</v>
      </c>
      <c r="AN213" s="9" t="n">
        <f aca="false">AB213*$V213</f>
        <v>450000</v>
      </c>
      <c r="AO213" s="9" t="n">
        <f aca="false">AC213*$V213</f>
        <v>450000</v>
      </c>
      <c r="AP213" s="9" t="n">
        <f aca="false">AD213*$V213</f>
        <v>0</v>
      </c>
      <c r="AQ213" s="9" t="n">
        <f aca="false">AE213*$V213</f>
        <v>450000</v>
      </c>
      <c r="AR213" s="9" t="n">
        <f aca="false">AF213*$V213</f>
        <v>450000</v>
      </c>
      <c r="AS213" s="9" t="n">
        <f aca="false">AG213*$V213</f>
        <v>450000</v>
      </c>
      <c r="AT213" s="9" t="n">
        <f aca="false">AH213*$V213</f>
        <v>0</v>
      </c>
      <c r="AU213" s="9" t="n">
        <f aca="false">AI213*$V213</f>
        <v>450000</v>
      </c>
      <c r="AV213" s="9" t="n">
        <f aca="false">SUM(X213:AI213)/1000</f>
        <v>18</v>
      </c>
      <c r="AW213" s="9" t="n">
        <f aca="false">SUM(AJ213:AU213)</f>
        <v>4050000</v>
      </c>
      <c r="AX213" s="9" t="n">
        <f aca="false">IF(D213="INR",AW213/88.24,AW213)/1000000</f>
        <v>0.045897552130553</v>
      </c>
    </row>
    <row r="214" s="2" customFormat="true" ht="16.4" hidden="false" customHeight="false" outlineLevel="0" collapsed="false">
      <c r="A214" s="16" t="s">
        <v>493</v>
      </c>
      <c r="B214" s="16" t="n">
        <v>5</v>
      </c>
      <c r="C214" s="16"/>
      <c r="D214" s="16" t="s">
        <v>50</v>
      </c>
      <c r="E214" s="16" t="s">
        <v>51</v>
      </c>
      <c r="F214" s="16" t="s">
        <v>52</v>
      </c>
      <c r="G214" s="16" t="s">
        <v>494</v>
      </c>
      <c r="H214" s="16" t="s">
        <v>495</v>
      </c>
      <c r="I214" s="16" t="s">
        <v>77</v>
      </c>
      <c r="J214" s="16" t="s">
        <v>496</v>
      </c>
      <c r="K214" s="16" t="s">
        <v>495</v>
      </c>
      <c r="L214" s="16" t="s">
        <v>77</v>
      </c>
      <c r="M214" s="16" t="s">
        <v>496</v>
      </c>
      <c r="N214" s="16" t="s">
        <v>57</v>
      </c>
      <c r="O214" s="16" t="s">
        <v>94</v>
      </c>
      <c r="P214" s="16" t="s">
        <v>308</v>
      </c>
      <c r="Q214" s="16" t="s">
        <v>308</v>
      </c>
      <c r="R214" s="16" t="s">
        <v>309</v>
      </c>
      <c r="S214" s="16" t="s">
        <v>264</v>
      </c>
      <c r="T214" s="16" t="s">
        <v>497</v>
      </c>
      <c r="U214" s="16" t="s">
        <v>73</v>
      </c>
      <c r="V214" s="16" t="n">
        <v>27.95</v>
      </c>
      <c r="W214" s="26" t="n">
        <v>25.14</v>
      </c>
      <c r="X214" s="16" t="n">
        <v>16000</v>
      </c>
      <c r="Y214" s="16" t="n">
        <v>16000</v>
      </c>
      <c r="Z214" s="16" t="n">
        <v>16000</v>
      </c>
      <c r="AA214" s="16" t="n">
        <v>16000</v>
      </c>
      <c r="AB214" s="16" t="n">
        <v>16000</v>
      </c>
      <c r="AC214" s="16" t="n">
        <v>16000</v>
      </c>
      <c r="AD214" s="16" t="n">
        <v>16000</v>
      </c>
      <c r="AE214" s="16" t="n">
        <v>16000</v>
      </c>
      <c r="AF214" s="16" t="n">
        <v>16000</v>
      </c>
      <c r="AG214" s="16" t="n">
        <v>16000</v>
      </c>
      <c r="AH214" s="16" t="n">
        <v>16000</v>
      </c>
      <c r="AI214" s="16" t="n">
        <v>16000</v>
      </c>
      <c r="AJ214" s="9" t="n">
        <f aca="false">X214*$V214</f>
        <v>447200</v>
      </c>
      <c r="AK214" s="9" t="n">
        <f aca="false">Y214*$V214</f>
        <v>447200</v>
      </c>
      <c r="AL214" s="9" t="n">
        <f aca="false">Z214*$V214</f>
        <v>447200</v>
      </c>
      <c r="AM214" s="9" t="n">
        <f aca="false">AA214*$V214</f>
        <v>447200</v>
      </c>
      <c r="AN214" s="9" t="n">
        <f aca="false">AB214*$V214</f>
        <v>447200</v>
      </c>
      <c r="AO214" s="9" t="n">
        <f aca="false">AC214*$V214</f>
        <v>447200</v>
      </c>
      <c r="AP214" s="9" t="n">
        <f aca="false">AD214*$V214</f>
        <v>447200</v>
      </c>
      <c r="AQ214" s="9" t="n">
        <f aca="false">AE214*$V214</f>
        <v>447200</v>
      </c>
      <c r="AR214" s="9" t="n">
        <f aca="false">AF214*$V214</f>
        <v>447200</v>
      </c>
      <c r="AS214" s="9" t="n">
        <f aca="false">AG214*$V214</f>
        <v>447200</v>
      </c>
      <c r="AT214" s="9" t="n">
        <f aca="false">AH214*$V214</f>
        <v>447200</v>
      </c>
      <c r="AU214" s="9" t="n">
        <f aca="false">AI214*$V214</f>
        <v>447200</v>
      </c>
      <c r="AV214" s="9" t="n">
        <f aca="false">SUM(X214:AI214)/1000</f>
        <v>192</v>
      </c>
      <c r="AW214" s="9" t="n">
        <f aca="false">SUM(AJ214:AU214)</f>
        <v>5366400</v>
      </c>
      <c r="AX214" s="9" t="n">
        <f aca="false">IF(D214="INR",AW214/88.24,AW214)/1000000</f>
        <v>0.0608159564823209</v>
      </c>
    </row>
    <row r="215" s="2" customFormat="true" ht="16.4" hidden="false" customHeight="false" outlineLevel="0" collapsed="false">
      <c r="A215" s="16" t="s">
        <v>498</v>
      </c>
      <c r="B215" s="16" t="n">
        <v>5</v>
      </c>
      <c r="C215" s="16"/>
      <c r="D215" s="16" t="s">
        <v>50</v>
      </c>
      <c r="E215" s="16" t="s">
        <v>51</v>
      </c>
      <c r="F215" s="16" t="s">
        <v>243</v>
      </c>
      <c r="G215" s="16" t="s">
        <v>499</v>
      </c>
      <c r="H215" s="16" t="s">
        <v>500</v>
      </c>
      <c r="I215" s="16" t="s">
        <v>55</v>
      </c>
      <c r="J215" s="16" t="s">
        <v>100</v>
      </c>
      <c r="K215" s="16"/>
      <c r="L215" s="16" t="s">
        <v>55</v>
      </c>
      <c r="M215" s="16" t="s">
        <v>100</v>
      </c>
      <c r="N215" s="16" t="s">
        <v>93</v>
      </c>
      <c r="O215" s="16" t="s">
        <v>107</v>
      </c>
      <c r="P215" s="16" t="s">
        <v>283</v>
      </c>
      <c r="Q215" s="16" t="s">
        <v>283</v>
      </c>
      <c r="R215" s="16" t="s">
        <v>81</v>
      </c>
      <c r="S215" s="16" t="s">
        <v>264</v>
      </c>
      <c r="T215" s="26" t="s">
        <v>501</v>
      </c>
      <c r="U215" s="16" t="s">
        <v>73</v>
      </c>
      <c r="V215" s="16" t="n">
        <v>4.45</v>
      </c>
      <c r="W215" s="16" t="n">
        <v>4.04</v>
      </c>
      <c r="X215" s="16" t="n">
        <v>100000</v>
      </c>
      <c r="Y215" s="16" t="n">
        <v>100000</v>
      </c>
      <c r="Z215" s="16" t="n">
        <v>100000</v>
      </c>
      <c r="AA215" s="16" t="n">
        <v>100000</v>
      </c>
      <c r="AB215" s="16" t="n">
        <v>100000</v>
      </c>
      <c r="AC215" s="16" t="n">
        <v>100000</v>
      </c>
      <c r="AD215" s="16" t="n">
        <v>100000</v>
      </c>
      <c r="AE215" s="16" t="n">
        <v>100000</v>
      </c>
      <c r="AF215" s="16" t="n">
        <v>100000</v>
      </c>
      <c r="AG215" s="16" t="n">
        <v>100000</v>
      </c>
      <c r="AH215" s="16" t="n">
        <v>100000</v>
      </c>
      <c r="AI215" s="16" t="n">
        <v>100000</v>
      </c>
      <c r="AJ215" s="9" t="n">
        <f aca="false">X215*$V215</f>
        <v>445000</v>
      </c>
      <c r="AK215" s="9" t="n">
        <f aca="false">Y215*$V215</f>
        <v>445000</v>
      </c>
      <c r="AL215" s="9" t="n">
        <f aca="false">Z215*$V215</f>
        <v>445000</v>
      </c>
      <c r="AM215" s="9" t="n">
        <f aca="false">AA215*$V215</f>
        <v>445000</v>
      </c>
      <c r="AN215" s="9" t="n">
        <f aca="false">AB215*$V215</f>
        <v>445000</v>
      </c>
      <c r="AO215" s="9" t="n">
        <f aca="false">AC215*$V215</f>
        <v>445000</v>
      </c>
      <c r="AP215" s="9" t="n">
        <f aca="false">AD215*$V215</f>
        <v>445000</v>
      </c>
      <c r="AQ215" s="9" t="n">
        <f aca="false">AE215*$V215</f>
        <v>445000</v>
      </c>
      <c r="AR215" s="9" t="n">
        <f aca="false">AF215*$V215</f>
        <v>445000</v>
      </c>
      <c r="AS215" s="9" t="n">
        <f aca="false">AG215*$V215</f>
        <v>445000</v>
      </c>
      <c r="AT215" s="9" t="n">
        <f aca="false">AH215*$V215</f>
        <v>445000</v>
      </c>
      <c r="AU215" s="9" t="n">
        <f aca="false">AI215*$V215</f>
        <v>445000</v>
      </c>
      <c r="AV215" s="9" t="n">
        <f aca="false">SUM(X215:AI215)/1000</f>
        <v>1200</v>
      </c>
      <c r="AW215" s="9" t="n">
        <f aca="false">SUM(AJ215:AU215)</f>
        <v>5340000</v>
      </c>
      <c r="AX215" s="9" t="n">
        <f aca="false">IF(D215="INR",AW215/88.24,AW215)/1000000</f>
        <v>0.0605167724388033</v>
      </c>
    </row>
    <row r="216" s="2" customFormat="true" ht="16.4" hidden="false" customHeight="false" outlineLevel="0" collapsed="false">
      <c r="A216" s="35" t="s">
        <v>502</v>
      </c>
      <c r="B216" s="9" t="n">
        <v>5</v>
      </c>
      <c r="C216" s="10"/>
      <c r="D216" s="9" t="s">
        <v>50</v>
      </c>
      <c r="E216" s="9" t="s">
        <v>51</v>
      </c>
      <c r="F216" s="9" t="s">
        <v>404</v>
      </c>
      <c r="G216" s="9" t="s">
        <v>405</v>
      </c>
      <c r="H216" s="9" t="s">
        <v>406</v>
      </c>
      <c r="I216" s="9" t="s">
        <v>105</v>
      </c>
      <c r="J216" s="9" t="s">
        <v>368</v>
      </c>
      <c r="K216" s="9"/>
      <c r="L216" s="9" t="s">
        <v>105</v>
      </c>
      <c r="M216" s="9" t="s">
        <v>368</v>
      </c>
      <c r="N216" s="9" t="s">
        <v>271</v>
      </c>
      <c r="O216" s="9" t="s">
        <v>94</v>
      </c>
      <c r="P216" s="9" t="s">
        <v>308</v>
      </c>
      <c r="Q216" s="9" t="s">
        <v>308</v>
      </c>
      <c r="R216" s="9" t="s">
        <v>309</v>
      </c>
      <c r="S216" s="9" t="s">
        <v>264</v>
      </c>
      <c r="T216" s="9" t="s">
        <v>503</v>
      </c>
      <c r="U216" s="9" t="s">
        <v>73</v>
      </c>
      <c r="V216" s="9" t="n">
        <v>1.48</v>
      </c>
      <c r="W216" s="9" t="n">
        <v>1.31</v>
      </c>
      <c r="X216" s="9" t="n">
        <v>300000</v>
      </c>
      <c r="Y216" s="9" t="n">
        <v>300000</v>
      </c>
      <c r="Z216" s="9" t="n">
        <v>300000</v>
      </c>
      <c r="AA216" s="9" t="n">
        <v>200000</v>
      </c>
      <c r="AB216" s="9" t="n">
        <v>300000</v>
      </c>
      <c r="AC216" s="9" t="n">
        <v>125000</v>
      </c>
      <c r="AD216" s="9" t="n">
        <v>200000</v>
      </c>
      <c r="AE216" s="9"/>
      <c r="AF216" s="9" t="n">
        <v>125000</v>
      </c>
      <c r="AG216" s="9" t="n">
        <v>125000</v>
      </c>
      <c r="AH216" s="9" t="n">
        <v>200000</v>
      </c>
      <c r="AI216" s="9" t="n">
        <v>300000</v>
      </c>
      <c r="AJ216" s="9" t="n">
        <f aca="false">X216*$V216</f>
        <v>444000</v>
      </c>
      <c r="AK216" s="9" t="n">
        <f aca="false">Y216*$V216</f>
        <v>444000</v>
      </c>
      <c r="AL216" s="9" t="n">
        <f aca="false">Z216*$V216</f>
        <v>444000</v>
      </c>
      <c r="AM216" s="9" t="n">
        <f aca="false">AA216*$V216</f>
        <v>296000</v>
      </c>
      <c r="AN216" s="9" t="n">
        <f aca="false">AB216*$V216</f>
        <v>444000</v>
      </c>
      <c r="AO216" s="9" t="n">
        <f aca="false">AC216*$V216</f>
        <v>185000</v>
      </c>
      <c r="AP216" s="9" t="n">
        <f aca="false">AD216*$V216</f>
        <v>296000</v>
      </c>
      <c r="AQ216" s="9" t="n">
        <f aca="false">AE216*$V216</f>
        <v>0</v>
      </c>
      <c r="AR216" s="9" t="n">
        <f aca="false">AF216*$V216</f>
        <v>185000</v>
      </c>
      <c r="AS216" s="9" t="n">
        <f aca="false">AG216*$V216</f>
        <v>185000</v>
      </c>
      <c r="AT216" s="9" t="n">
        <f aca="false">AH216*$V216</f>
        <v>296000</v>
      </c>
      <c r="AU216" s="9" t="n">
        <f aca="false">AI216*$V216</f>
        <v>444000</v>
      </c>
      <c r="AV216" s="9" t="n">
        <f aca="false">SUM(X216:AI216)/1000</f>
        <v>2475</v>
      </c>
      <c r="AW216" s="9" t="n">
        <f aca="false">SUM(AJ216:AU216)</f>
        <v>3663000</v>
      </c>
      <c r="AX216" s="9" t="n">
        <f aca="false">IF(D216="INR",AW216/88.24,AW216)/1000000</f>
        <v>0.041511786038078</v>
      </c>
    </row>
    <row r="217" s="2" customFormat="true" ht="16.4" hidden="false" customHeight="false" outlineLevel="0" collapsed="false">
      <c r="A217" s="35" t="s">
        <v>504</v>
      </c>
      <c r="B217" s="9"/>
      <c r="C217" s="10"/>
      <c r="D217" s="9" t="s">
        <v>50</v>
      </c>
      <c r="E217" s="9" t="s">
        <v>51</v>
      </c>
      <c r="F217" s="9" t="s">
        <v>52</v>
      </c>
      <c r="G217" s="9" t="s">
        <v>301</v>
      </c>
      <c r="H217" s="9" t="s">
        <v>302</v>
      </c>
      <c r="I217" s="9" t="s">
        <v>303</v>
      </c>
      <c r="J217" s="9" t="s">
        <v>304</v>
      </c>
      <c r="K217" s="9"/>
      <c r="L217" s="9" t="s">
        <v>303</v>
      </c>
      <c r="M217" s="9" t="s">
        <v>304</v>
      </c>
      <c r="N217" s="9" t="s">
        <v>93</v>
      </c>
      <c r="O217" s="9" t="s">
        <v>107</v>
      </c>
      <c r="P217" s="9" t="s">
        <v>69</v>
      </c>
      <c r="Q217" s="9" t="s">
        <v>69</v>
      </c>
      <c r="R217" s="9" t="s">
        <v>70</v>
      </c>
      <c r="S217" s="9" t="s">
        <v>71</v>
      </c>
      <c r="T217" s="9" t="s">
        <v>249</v>
      </c>
      <c r="U217" s="9" t="s">
        <v>73</v>
      </c>
      <c r="V217" s="9" t="n">
        <v>8.5</v>
      </c>
      <c r="W217" s="9" t="n">
        <v>0.08</v>
      </c>
      <c r="X217" s="9" t="n">
        <v>50000</v>
      </c>
      <c r="Y217" s="9" t="n">
        <v>50000</v>
      </c>
      <c r="Z217" s="9" t="n">
        <v>50000</v>
      </c>
      <c r="AA217" s="9" t="n">
        <v>50000</v>
      </c>
      <c r="AB217" s="9" t="n">
        <v>50000</v>
      </c>
      <c r="AC217" s="9" t="n">
        <v>50000</v>
      </c>
      <c r="AD217" s="9" t="n">
        <v>50000</v>
      </c>
      <c r="AE217" s="9" t="n">
        <v>50000</v>
      </c>
      <c r="AF217" s="9" t="n">
        <v>50000</v>
      </c>
      <c r="AG217" s="9" t="n">
        <v>50000</v>
      </c>
      <c r="AH217" s="9" t="n">
        <v>50000</v>
      </c>
      <c r="AI217" s="9" t="n">
        <v>50000</v>
      </c>
      <c r="AJ217" s="9" t="n">
        <f aca="false">X217*$V217</f>
        <v>425000</v>
      </c>
      <c r="AK217" s="9" t="n">
        <f aca="false">Y217*$V217</f>
        <v>425000</v>
      </c>
      <c r="AL217" s="9" t="n">
        <f aca="false">Z217*$V217</f>
        <v>425000</v>
      </c>
      <c r="AM217" s="9" t="n">
        <f aca="false">AA217*$V217</f>
        <v>425000</v>
      </c>
      <c r="AN217" s="9" t="n">
        <f aca="false">AB217*$V217</f>
        <v>425000</v>
      </c>
      <c r="AO217" s="9" t="n">
        <f aca="false">AC217*$V217</f>
        <v>425000</v>
      </c>
      <c r="AP217" s="9" t="n">
        <f aca="false">AD217*$V217</f>
        <v>425000</v>
      </c>
      <c r="AQ217" s="9" t="n">
        <f aca="false">AE217*$V217</f>
        <v>425000</v>
      </c>
      <c r="AR217" s="9" t="n">
        <f aca="false">AF217*$V217</f>
        <v>425000</v>
      </c>
      <c r="AS217" s="9" t="n">
        <f aca="false">AG217*$V217</f>
        <v>425000</v>
      </c>
      <c r="AT217" s="9" t="n">
        <f aca="false">AH217*$V217</f>
        <v>425000</v>
      </c>
      <c r="AU217" s="9" t="n">
        <f aca="false">AI217*$V217</f>
        <v>425000</v>
      </c>
      <c r="AV217" s="9" t="n">
        <f aca="false">SUM(X217:AI217)/1000</f>
        <v>600</v>
      </c>
      <c r="AW217" s="9" t="n">
        <f aca="false">SUM(AJ217:AU217)</f>
        <v>5100000</v>
      </c>
      <c r="AX217" s="9" t="n">
        <f aca="false">IF(D217="INR",AW217/88.24,AW217)/1000000</f>
        <v>0.0577969174977335</v>
      </c>
    </row>
    <row r="218" s="2" customFormat="true" ht="14.25" hidden="false" customHeight="false" outlineLevel="0" collapsed="false">
      <c r="A218" s="12" t="s">
        <v>505</v>
      </c>
      <c r="B218" s="16" t="n">
        <v>5</v>
      </c>
      <c r="C218" s="15"/>
      <c r="D218" s="16" t="s">
        <v>50</v>
      </c>
      <c r="E218" s="16" t="s">
        <v>51</v>
      </c>
      <c r="F218" s="16" t="s">
        <v>52</v>
      </c>
      <c r="G218" s="16" t="s">
        <v>506</v>
      </c>
      <c r="H218" s="16" t="s">
        <v>507</v>
      </c>
      <c r="I218" s="16" t="s">
        <v>77</v>
      </c>
      <c r="J218" s="16" t="s">
        <v>325</v>
      </c>
      <c r="K218" s="16"/>
      <c r="L218" s="16" t="s">
        <v>77</v>
      </c>
      <c r="M218" s="16" t="s">
        <v>325</v>
      </c>
      <c r="N218" s="16" t="s">
        <v>79</v>
      </c>
      <c r="O218" s="16" t="s">
        <v>68</v>
      </c>
      <c r="P218" s="9" t="s">
        <v>308</v>
      </c>
      <c r="Q218" s="16" t="s">
        <v>308</v>
      </c>
      <c r="R218" s="16" t="s">
        <v>309</v>
      </c>
      <c r="S218" s="16" t="s">
        <v>264</v>
      </c>
      <c r="T218" s="16" t="s">
        <v>508</v>
      </c>
      <c r="U218" s="16" t="s">
        <v>73</v>
      </c>
      <c r="V218" s="16" t="n">
        <v>7.01</v>
      </c>
      <c r="W218" s="16" t="n">
        <v>6.36</v>
      </c>
      <c r="X218" s="16" t="n">
        <v>60000</v>
      </c>
      <c r="Y218" s="16" t="n">
        <v>60000</v>
      </c>
      <c r="Z218" s="16" t="n">
        <v>60000</v>
      </c>
      <c r="AA218" s="16" t="n">
        <v>60000</v>
      </c>
      <c r="AB218" s="16" t="n">
        <v>60000</v>
      </c>
      <c r="AC218" s="16" t="n">
        <v>60000</v>
      </c>
      <c r="AD218" s="16" t="n">
        <v>60000</v>
      </c>
      <c r="AE218" s="16" t="n">
        <v>60000</v>
      </c>
      <c r="AF218" s="16" t="n">
        <v>60000</v>
      </c>
      <c r="AG218" s="16" t="n">
        <v>60000</v>
      </c>
      <c r="AH218" s="16" t="n">
        <v>60000</v>
      </c>
      <c r="AI218" s="16" t="n">
        <v>60000</v>
      </c>
      <c r="AJ218" s="9" t="n">
        <f aca="false">X218*$V218</f>
        <v>420600</v>
      </c>
      <c r="AK218" s="9" t="n">
        <f aca="false">Y218*$V218</f>
        <v>420600</v>
      </c>
      <c r="AL218" s="9" t="n">
        <f aca="false">Z218*$V218</f>
        <v>420600</v>
      </c>
      <c r="AM218" s="9" t="n">
        <f aca="false">AA218*$V218</f>
        <v>420600</v>
      </c>
      <c r="AN218" s="9" t="n">
        <f aca="false">AB218*$V218</f>
        <v>420600</v>
      </c>
      <c r="AO218" s="9" t="n">
        <f aca="false">AC218*$V218</f>
        <v>420600</v>
      </c>
      <c r="AP218" s="9" t="n">
        <f aca="false">AD218*$V218</f>
        <v>420600</v>
      </c>
      <c r="AQ218" s="9" t="n">
        <f aca="false">AE218*$V218</f>
        <v>420600</v>
      </c>
      <c r="AR218" s="9" t="n">
        <f aca="false">AF218*$V218</f>
        <v>420600</v>
      </c>
      <c r="AS218" s="9" t="n">
        <f aca="false">AG218*$V218</f>
        <v>420600</v>
      </c>
      <c r="AT218" s="9" t="n">
        <f aca="false">AH218*$V218</f>
        <v>420600</v>
      </c>
      <c r="AU218" s="9" t="n">
        <f aca="false">AI218*$V218</f>
        <v>420600</v>
      </c>
      <c r="AV218" s="9" t="n">
        <f aca="false">SUM(X218:AI218)/1000</f>
        <v>720</v>
      </c>
      <c r="AW218" s="9" t="n">
        <f aca="false">SUM(AJ218:AU218)</f>
        <v>5047200</v>
      </c>
      <c r="AX218" s="9" t="n">
        <f aca="false">IF(D218="INR",AW218/88.24,AW218)/1000000</f>
        <v>0.0571985494106981</v>
      </c>
    </row>
    <row r="219" s="2" customFormat="true" ht="16.4" hidden="false" customHeight="false" outlineLevel="0" collapsed="false">
      <c r="A219" s="35" t="s">
        <v>509</v>
      </c>
      <c r="B219" s="9"/>
      <c r="C219" s="10"/>
      <c r="D219" s="9" t="s">
        <v>50</v>
      </c>
      <c r="E219" s="9" t="s">
        <v>51</v>
      </c>
      <c r="F219" s="9" t="s">
        <v>243</v>
      </c>
      <c r="G219" s="9" t="s">
        <v>485</v>
      </c>
      <c r="H219" s="9" t="s">
        <v>486</v>
      </c>
      <c r="I219" s="9" t="s">
        <v>55</v>
      </c>
      <c r="J219" s="9" t="s">
        <v>56</v>
      </c>
      <c r="K219" s="9"/>
      <c r="L219" s="9" t="s">
        <v>55</v>
      </c>
      <c r="M219" s="9" t="s">
        <v>56</v>
      </c>
      <c r="N219" s="16" t="s">
        <v>93</v>
      </c>
      <c r="O219" s="9" t="s">
        <v>68</v>
      </c>
      <c r="P219" s="9" t="s">
        <v>308</v>
      </c>
      <c r="Q219" s="9" t="s">
        <v>308</v>
      </c>
      <c r="R219" s="9" t="s">
        <v>309</v>
      </c>
      <c r="S219" s="9" t="s">
        <v>264</v>
      </c>
      <c r="T219" s="9" t="s">
        <v>320</v>
      </c>
      <c r="U219" s="9" t="s">
        <v>73</v>
      </c>
      <c r="V219" s="9" t="n">
        <v>0.68</v>
      </c>
      <c r="W219" s="9" t="n">
        <v>0.62</v>
      </c>
      <c r="X219" s="9" t="n">
        <v>600000</v>
      </c>
      <c r="Y219" s="9" t="n">
        <v>600000</v>
      </c>
      <c r="Z219" s="9" t="n">
        <v>600000</v>
      </c>
      <c r="AA219" s="9" t="n">
        <v>600000</v>
      </c>
      <c r="AB219" s="9" t="n">
        <v>600000</v>
      </c>
      <c r="AC219" s="9" t="n">
        <v>600000</v>
      </c>
      <c r="AD219" s="9" t="n">
        <v>600000</v>
      </c>
      <c r="AE219" s="9" t="n">
        <v>600000</v>
      </c>
      <c r="AF219" s="9" t="n">
        <v>600000</v>
      </c>
      <c r="AG219" s="9" t="n">
        <v>600000</v>
      </c>
      <c r="AH219" s="9" t="n">
        <v>600000</v>
      </c>
      <c r="AI219" s="9" t="n">
        <v>600000</v>
      </c>
      <c r="AJ219" s="9" t="n">
        <f aca="false">X219*$V219</f>
        <v>408000</v>
      </c>
      <c r="AK219" s="9" t="n">
        <f aca="false">Y219*$V219</f>
        <v>408000</v>
      </c>
      <c r="AL219" s="9" t="n">
        <f aca="false">Z219*$V219</f>
        <v>408000</v>
      </c>
      <c r="AM219" s="9" t="n">
        <f aca="false">AA219*$V219</f>
        <v>408000</v>
      </c>
      <c r="AN219" s="9" t="n">
        <f aca="false">AB219*$V219</f>
        <v>408000</v>
      </c>
      <c r="AO219" s="9" t="n">
        <f aca="false">AC219*$V219</f>
        <v>408000</v>
      </c>
      <c r="AP219" s="9" t="n">
        <f aca="false">AD219*$V219</f>
        <v>408000</v>
      </c>
      <c r="AQ219" s="9" t="n">
        <f aca="false">AE219*$V219</f>
        <v>408000</v>
      </c>
      <c r="AR219" s="9" t="n">
        <f aca="false">AF219*$V219</f>
        <v>408000</v>
      </c>
      <c r="AS219" s="9" t="n">
        <f aca="false">AG219*$V219</f>
        <v>408000</v>
      </c>
      <c r="AT219" s="9" t="n">
        <f aca="false">AH219*$V219</f>
        <v>408000</v>
      </c>
      <c r="AU219" s="9" t="n">
        <f aca="false">AI219*$V219</f>
        <v>408000</v>
      </c>
      <c r="AV219" s="9" t="n">
        <f aca="false">SUM(X219:AI219)/1000</f>
        <v>7200</v>
      </c>
      <c r="AW219" s="9" t="n">
        <f aca="false">SUM(AJ219:AU219)</f>
        <v>4896000</v>
      </c>
      <c r="AX219" s="9" t="n">
        <f aca="false">IF(D219="INR",AW219/88.24,AW219)/1000000</f>
        <v>0.0554850407978241</v>
      </c>
    </row>
    <row r="220" s="2" customFormat="true" ht="16.4" hidden="false" customHeight="false" outlineLevel="0" collapsed="false">
      <c r="A220" s="35" t="s">
        <v>510</v>
      </c>
      <c r="B220" s="9" t="n">
        <v>5</v>
      </c>
      <c r="C220" s="10"/>
      <c r="D220" s="9" t="s">
        <v>50</v>
      </c>
      <c r="E220" s="9" t="s">
        <v>51</v>
      </c>
      <c r="F220" s="9" t="s">
        <v>243</v>
      </c>
      <c r="G220" s="9" t="s">
        <v>318</v>
      </c>
      <c r="H220" s="9" t="s">
        <v>319</v>
      </c>
      <c r="I220" s="9" t="s">
        <v>55</v>
      </c>
      <c r="J220" s="9" t="s">
        <v>56</v>
      </c>
      <c r="K220" s="9"/>
      <c r="L220" s="9" t="s">
        <v>55</v>
      </c>
      <c r="M220" s="9" t="s">
        <v>56</v>
      </c>
      <c r="N220" s="16" t="s">
        <v>93</v>
      </c>
      <c r="O220" s="9" t="s">
        <v>68</v>
      </c>
      <c r="P220" s="9" t="s">
        <v>308</v>
      </c>
      <c r="Q220" s="9" t="s">
        <v>308</v>
      </c>
      <c r="R220" s="9" t="s">
        <v>309</v>
      </c>
      <c r="S220" s="9" t="s">
        <v>264</v>
      </c>
      <c r="T220" s="9" t="s">
        <v>511</v>
      </c>
      <c r="U220" s="9" t="s">
        <v>73</v>
      </c>
      <c r="V220" s="9" t="n">
        <v>0.8</v>
      </c>
      <c r="W220" s="9" t="n">
        <v>0.72</v>
      </c>
      <c r="X220" s="9" t="n">
        <v>500000</v>
      </c>
      <c r="Y220" s="9" t="n">
        <v>500000</v>
      </c>
      <c r="Z220" s="9" t="n">
        <v>500000</v>
      </c>
      <c r="AA220" s="9" t="n">
        <v>500000</v>
      </c>
      <c r="AB220" s="9" t="n">
        <v>500000</v>
      </c>
      <c r="AC220" s="9" t="n">
        <v>500000</v>
      </c>
      <c r="AD220" s="9" t="n">
        <v>500000</v>
      </c>
      <c r="AE220" s="9" t="n">
        <v>500000</v>
      </c>
      <c r="AF220" s="9" t="n">
        <v>500000</v>
      </c>
      <c r="AG220" s="9" t="n">
        <v>500000</v>
      </c>
      <c r="AH220" s="9" t="n">
        <v>500000</v>
      </c>
      <c r="AI220" s="9" t="n">
        <v>500000</v>
      </c>
      <c r="AJ220" s="9" t="n">
        <f aca="false">X220*$V220</f>
        <v>400000</v>
      </c>
      <c r="AK220" s="9" t="n">
        <f aca="false">Y220*$V220</f>
        <v>400000</v>
      </c>
      <c r="AL220" s="9" t="n">
        <f aca="false">Z220*$V220</f>
        <v>400000</v>
      </c>
      <c r="AM220" s="9" t="n">
        <f aca="false">AA220*$V220</f>
        <v>400000</v>
      </c>
      <c r="AN220" s="9" t="n">
        <f aca="false">AB220*$V220</f>
        <v>400000</v>
      </c>
      <c r="AO220" s="9" t="n">
        <f aca="false">AC220*$V220</f>
        <v>400000</v>
      </c>
      <c r="AP220" s="9" t="n">
        <f aca="false">AD220*$V220</f>
        <v>400000</v>
      </c>
      <c r="AQ220" s="9" t="n">
        <f aca="false">AE220*$V220</f>
        <v>400000</v>
      </c>
      <c r="AR220" s="9" t="n">
        <f aca="false">AF220*$V220</f>
        <v>400000</v>
      </c>
      <c r="AS220" s="9" t="n">
        <f aca="false">AG220*$V220</f>
        <v>400000</v>
      </c>
      <c r="AT220" s="9" t="n">
        <f aca="false">AH220*$V220</f>
        <v>400000</v>
      </c>
      <c r="AU220" s="9" t="n">
        <f aca="false">AI220*$V220</f>
        <v>400000</v>
      </c>
      <c r="AV220" s="9" t="n">
        <f aca="false">SUM(X220:AI220)/1000</f>
        <v>6000</v>
      </c>
      <c r="AW220" s="9" t="n">
        <f aca="false">SUM(AJ220:AU220)</f>
        <v>4800000</v>
      </c>
      <c r="AX220" s="9" t="n">
        <f aca="false">IF(D220="INR",AW220/88.24,AW220)/1000000</f>
        <v>0.0543970988213962</v>
      </c>
    </row>
    <row r="221" s="2" customFormat="true" ht="16.4" hidden="false" customHeight="false" outlineLevel="0" collapsed="false">
      <c r="A221" s="35" t="s">
        <v>512</v>
      </c>
      <c r="B221" s="9" t="n">
        <v>5</v>
      </c>
      <c r="C221" s="10"/>
      <c r="D221" s="9" t="s">
        <v>50</v>
      </c>
      <c r="E221" s="9" t="s">
        <v>51</v>
      </c>
      <c r="F221" s="9" t="s">
        <v>52</v>
      </c>
      <c r="G221" s="9" t="s">
        <v>506</v>
      </c>
      <c r="H221" s="9" t="s">
        <v>507</v>
      </c>
      <c r="I221" s="9" t="s">
        <v>77</v>
      </c>
      <c r="J221" s="9" t="s">
        <v>325</v>
      </c>
      <c r="K221" s="9"/>
      <c r="L221" s="9" t="s">
        <v>77</v>
      </c>
      <c r="M221" s="9" t="s">
        <v>325</v>
      </c>
      <c r="N221" s="16" t="s">
        <v>79</v>
      </c>
      <c r="O221" s="9" t="s">
        <v>68</v>
      </c>
      <c r="P221" s="9" t="s">
        <v>308</v>
      </c>
      <c r="Q221" s="9" t="s">
        <v>308</v>
      </c>
      <c r="R221" s="9" t="s">
        <v>309</v>
      </c>
      <c r="S221" s="9" t="s">
        <v>264</v>
      </c>
      <c r="T221" s="9" t="s">
        <v>513</v>
      </c>
      <c r="U221" s="9" t="s">
        <v>73</v>
      </c>
      <c r="V221" s="9" t="n">
        <v>0.46</v>
      </c>
      <c r="W221" s="9" t="n">
        <v>0.39</v>
      </c>
      <c r="X221" s="9" t="n">
        <v>850000</v>
      </c>
      <c r="Y221" s="9" t="n">
        <v>850000</v>
      </c>
      <c r="Z221" s="9" t="n">
        <v>850000</v>
      </c>
      <c r="AA221" s="9" t="n">
        <v>850000</v>
      </c>
      <c r="AB221" s="9" t="n">
        <v>850000</v>
      </c>
      <c r="AC221" s="9" t="n">
        <v>850000</v>
      </c>
      <c r="AD221" s="9" t="n">
        <v>850000</v>
      </c>
      <c r="AE221" s="9" t="n">
        <v>850000</v>
      </c>
      <c r="AF221" s="9" t="n">
        <v>850000</v>
      </c>
      <c r="AG221" s="9" t="n">
        <v>850000</v>
      </c>
      <c r="AH221" s="9" t="n">
        <v>850000</v>
      </c>
      <c r="AI221" s="9" t="n">
        <v>850000</v>
      </c>
      <c r="AJ221" s="9" t="n">
        <f aca="false">X221*$V221</f>
        <v>391000</v>
      </c>
      <c r="AK221" s="9" t="n">
        <f aca="false">Y221*$V221</f>
        <v>391000</v>
      </c>
      <c r="AL221" s="9" t="n">
        <f aca="false">Z221*$V221</f>
        <v>391000</v>
      </c>
      <c r="AM221" s="9" t="n">
        <f aca="false">AA221*$V221</f>
        <v>391000</v>
      </c>
      <c r="AN221" s="9" t="n">
        <f aca="false">AB221*$V221</f>
        <v>391000</v>
      </c>
      <c r="AO221" s="9" t="n">
        <f aca="false">AC221*$V221</f>
        <v>391000</v>
      </c>
      <c r="AP221" s="9" t="n">
        <f aca="false">AD221*$V221</f>
        <v>391000</v>
      </c>
      <c r="AQ221" s="9" t="n">
        <f aca="false">AE221*$V221</f>
        <v>391000</v>
      </c>
      <c r="AR221" s="9" t="n">
        <f aca="false">AF221*$V221</f>
        <v>391000</v>
      </c>
      <c r="AS221" s="9" t="n">
        <f aca="false">AG221*$V221</f>
        <v>391000</v>
      </c>
      <c r="AT221" s="9" t="n">
        <f aca="false">AH221*$V221</f>
        <v>391000</v>
      </c>
      <c r="AU221" s="9" t="n">
        <f aca="false">AI221*$V221</f>
        <v>391000</v>
      </c>
      <c r="AV221" s="9" t="n">
        <f aca="false">SUM(X221:AI221)/1000</f>
        <v>10200</v>
      </c>
      <c r="AW221" s="9" t="n">
        <f aca="false">SUM(AJ221:AU221)</f>
        <v>4692000</v>
      </c>
      <c r="AX221" s="9" t="n">
        <f aca="false">IF(D221="INR",AW221/88.24,AW221)/1000000</f>
        <v>0.0531731640979148</v>
      </c>
    </row>
    <row r="222" s="2" customFormat="true" ht="16.4" hidden="false" customHeight="false" outlineLevel="0" collapsed="false">
      <c r="A222" s="35" t="s">
        <v>514</v>
      </c>
      <c r="B222" s="9" t="n">
        <v>5</v>
      </c>
      <c r="C222" s="10"/>
      <c r="D222" s="9" t="s">
        <v>50</v>
      </c>
      <c r="E222" s="9" t="s">
        <v>51</v>
      </c>
      <c r="F222" s="9" t="s">
        <v>52</v>
      </c>
      <c r="G222" s="9" t="s">
        <v>515</v>
      </c>
      <c r="H222" s="9" t="s">
        <v>516</v>
      </c>
      <c r="I222" s="9" t="s">
        <v>517</v>
      </c>
      <c r="J222" s="9" t="s">
        <v>78</v>
      </c>
      <c r="K222" s="9"/>
      <c r="L222" s="9" t="s">
        <v>517</v>
      </c>
      <c r="M222" s="9" t="s">
        <v>78</v>
      </c>
      <c r="N222" s="16" t="s">
        <v>67</v>
      </c>
      <c r="O222" s="9" t="s">
        <v>246</v>
      </c>
      <c r="P222" s="9" t="s">
        <v>85</v>
      </c>
      <c r="Q222" s="9" t="s">
        <v>85</v>
      </c>
      <c r="R222" s="9" t="s">
        <v>86</v>
      </c>
      <c r="S222" s="9" t="s">
        <v>87</v>
      </c>
      <c r="T222" s="9" t="s">
        <v>518</v>
      </c>
      <c r="U222" s="9" t="s">
        <v>73</v>
      </c>
      <c r="V222" s="9" t="n">
        <v>192</v>
      </c>
      <c r="W222" s="9" t="n">
        <v>2.16</v>
      </c>
      <c r="X222" s="9" t="n">
        <v>2000</v>
      </c>
      <c r="Y222" s="9" t="n">
        <v>2000</v>
      </c>
      <c r="Z222" s="9" t="n">
        <v>2000</v>
      </c>
      <c r="AA222" s="9" t="n">
        <v>2000</v>
      </c>
      <c r="AB222" s="9" t="n">
        <v>2000</v>
      </c>
      <c r="AC222" s="9" t="n">
        <v>2000</v>
      </c>
      <c r="AD222" s="9" t="n">
        <v>2000</v>
      </c>
      <c r="AE222" s="9" t="n">
        <v>2000</v>
      </c>
      <c r="AF222" s="9" t="n">
        <v>2000</v>
      </c>
      <c r="AG222" s="9" t="n">
        <v>2000</v>
      </c>
      <c r="AH222" s="9" t="n">
        <v>2000</v>
      </c>
      <c r="AI222" s="9" t="n">
        <v>2000</v>
      </c>
      <c r="AJ222" s="9" t="n">
        <f aca="false">X222*$V222</f>
        <v>384000</v>
      </c>
      <c r="AK222" s="9" t="n">
        <f aca="false">Y222*$V222</f>
        <v>384000</v>
      </c>
      <c r="AL222" s="9" t="n">
        <f aca="false">Z222*$V222</f>
        <v>384000</v>
      </c>
      <c r="AM222" s="9" t="n">
        <f aca="false">AA222*$V222</f>
        <v>384000</v>
      </c>
      <c r="AN222" s="9" t="n">
        <f aca="false">AB222*$V222</f>
        <v>384000</v>
      </c>
      <c r="AO222" s="9" t="n">
        <f aca="false">AC222*$V222</f>
        <v>384000</v>
      </c>
      <c r="AP222" s="9" t="n">
        <f aca="false">AD222*$V222</f>
        <v>384000</v>
      </c>
      <c r="AQ222" s="9" t="n">
        <f aca="false">AE222*$V222</f>
        <v>384000</v>
      </c>
      <c r="AR222" s="9" t="n">
        <f aca="false">AF222*$V222</f>
        <v>384000</v>
      </c>
      <c r="AS222" s="9" t="n">
        <f aca="false">AG222*$V222</f>
        <v>384000</v>
      </c>
      <c r="AT222" s="9" t="n">
        <f aca="false">AH222*$V222</f>
        <v>384000</v>
      </c>
      <c r="AU222" s="9" t="n">
        <f aca="false">AI222*$V222</f>
        <v>384000</v>
      </c>
      <c r="AV222" s="9" t="n">
        <f aca="false">SUM(X222:AI222)/1000</f>
        <v>24</v>
      </c>
      <c r="AW222" s="9" t="n">
        <f aca="false">SUM(AJ222:AU222)</f>
        <v>4608000</v>
      </c>
      <c r="AX222" s="9" t="n">
        <f aca="false">IF(D222="INR",AW222/88.24,AW222)/1000000</f>
        <v>0.0522212148685403</v>
      </c>
    </row>
    <row r="223" s="2" customFormat="true" ht="14.25" hidden="false" customHeight="false" outlineLevel="0" collapsed="false">
      <c r="A223" s="12" t="s">
        <v>519</v>
      </c>
      <c r="B223" s="16" t="n">
        <v>5</v>
      </c>
      <c r="C223" s="15"/>
      <c r="D223" s="16" t="s">
        <v>102</v>
      </c>
      <c r="E223" s="16" t="s">
        <v>51</v>
      </c>
      <c r="F223" s="16" t="s">
        <v>52</v>
      </c>
      <c r="G223" s="16" t="s">
        <v>494</v>
      </c>
      <c r="H223" s="16" t="s">
        <v>495</v>
      </c>
      <c r="I223" s="16" t="s">
        <v>260</v>
      </c>
      <c r="J223" s="16" t="s">
        <v>520</v>
      </c>
      <c r="K223" s="16" t="s">
        <v>495</v>
      </c>
      <c r="L223" s="16" t="s">
        <v>260</v>
      </c>
      <c r="M223" s="16" t="s">
        <v>520</v>
      </c>
      <c r="N223" s="16" t="s">
        <v>57</v>
      </c>
      <c r="O223" s="16" t="s">
        <v>94</v>
      </c>
      <c r="P223" s="16" t="str">
        <f aca="false">Q223</f>
        <v>YAGEO</v>
      </c>
      <c r="Q223" s="16" t="s">
        <v>197</v>
      </c>
      <c r="R223" s="16" t="s">
        <v>86</v>
      </c>
      <c r="S223" s="16" t="s">
        <v>521</v>
      </c>
      <c r="T223" s="16" t="s">
        <v>522</v>
      </c>
      <c r="U223" s="16" t="s">
        <v>73</v>
      </c>
      <c r="V223" s="16" t="n">
        <v>0.002</v>
      </c>
      <c r="W223" s="16" t="n">
        <v>0</v>
      </c>
      <c r="X223" s="22" t="n">
        <v>200000</v>
      </c>
      <c r="Y223" s="22" t="n">
        <v>200000</v>
      </c>
      <c r="Z223" s="22" t="n">
        <v>200000</v>
      </c>
      <c r="AA223" s="22" t="n">
        <v>200000</v>
      </c>
      <c r="AB223" s="22" t="n">
        <v>200000</v>
      </c>
      <c r="AC223" s="22" t="n">
        <v>200000</v>
      </c>
      <c r="AD223" s="22" t="n">
        <v>200000</v>
      </c>
      <c r="AE223" s="22" t="n">
        <v>200000</v>
      </c>
      <c r="AF223" s="22" t="n">
        <v>200000</v>
      </c>
      <c r="AG223" s="22" t="n">
        <v>200000</v>
      </c>
      <c r="AH223" s="22" t="n">
        <v>200000</v>
      </c>
      <c r="AI223" s="22" t="n">
        <v>200000</v>
      </c>
      <c r="AJ223" s="9" t="n">
        <f aca="false">X223*$V223</f>
        <v>400</v>
      </c>
      <c r="AK223" s="9" t="n">
        <f aca="false">Y223*$V223</f>
        <v>400</v>
      </c>
      <c r="AL223" s="9" t="n">
        <f aca="false">Z223*$V223</f>
        <v>400</v>
      </c>
      <c r="AM223" s="9" t="n">
        <f aca="false">AA223*$V223</f>
        <v>400</v>
      </c>
      <c r="AN223" s="9" t="n">
        <f aca="false">AB223*$V223</f>
        <v>400</v>
      </c>
      <c r="AO223" s="9" t="n">
        <f aca="false">AC223*$V223</f>
        <v>400</v>
      </c>
      <c r="AP223" s="9" t="n">
        <f aca="false">AD223*$V223</f>
        <v>400</v>
      </c>
      <c r="AQ223" s="9" t="n">
        <f aca="false">AE223*$V223</f>
        <v>400</v>
      </c>
      <c r="AR223" s="9" t="n">
        <f aca="false">AF223*$V223</f>
        <v>400</v>
      </c>
      <c r="AS223" s="9" t="n">
        <f aca="false">AG223*$V223</f>
        <v>400</v>
      </c>
      <c r="AT223" s="9" t="n">
        <f aca="false">AH223*$V223</f>
        <v>400</v>
      </c>
      <c r="AU223" s="9" t="n">
        <f aca="false">AI223*$V223</f>
        <v>400</v>
      </c>
      <c r="AV223" s="9" t="n">
        <f aca="false">SUM(X223:AI223)/1000</f>
        <v>2400</v>
      </c>
      <c r="AW223" s="9" t="n">
        <f aca="false">SUM(AJ223:AU223)</f>
        <v>4800</v>
      </c>
      <c r="AX223" s="9" t="n">
        <f aca="false">IF(D223="INR",AW223/88.24,AW223)/1000000</f>
        <v>0.0048</v>
      </c>
    </row>
    <row r="224" s="2" customFormat="true" ht="16.4" hidden="false" customHeight="false" outlineLevel="0" collapsed="false">
      <c r="A224" s="35" t="s">
        <v>523</v>
      </c>
      <c r="B224" s="9" t="n">
        <v>5</v>
      </c>
      <c r="C224" s="10"/>
      <c r="D224" s="9" t="s">
        <v>102</v>
      </c>
      <c r="E224" s="9" t="s">
        <v>51</v>
      </c>
      <c r="F224" s="9" t="s">
        <v>52</v>
      </c>
      <c r="G224" s="16" t="s">
        <v>494</v>
      </c>
      <c r="H224" s="16" t="s">
        <v>495</v>
      </c>
      <c r="I224" s="9" t="s">
        <v>260</v>
      </c>
      <c r="J224" s="9" t="s">
        <v>520</v>
      </c>
      <c r="K224" s="9" t="s">
        <v>495</v>
      </c>
      <c r="L224" s="9" t="s">
        <v>260</v>
      </c>
      <c r="M224" s="9" t="s">
        <v>520</v>
      </c>
      <c r="N224" s="16" t="s">
        <v>57</v>
      </c>
      <c r="O224" s="9" t="s">
        <v>94</v>
      </c>
      <c r="P224" s="9" t="s">
        <v>197</v>
      </c>
      <c r="Q224" s="9" t="s">
        <v>197</v>
      </c>
      <c r="R224" s="9" t="s">
        <v>86</v>
      </c>
      <c r="S224" s="9" t="s">
        <v>521</v>
      </c>
      <c r="T224" s="9" t="s">
        <v>524</v>
      </c>
      <c r="U224" s="9" t="s">
        <v>73</v>
      </c>
      <c r="V224" s="9" t="n">
        <v>0.00073</v>
      </c>
      <c r="W224" s="9" t="n">
        <v>0.00051</v>
      </c>
      <c r="X224" s="9" t="n">
        <v>128000</v>
      </c>
      <c r="Y224" s="9" t="n">
        <v>128000</v>
      </c>
      <c r="Z224" s="9" t="n">
        <v>128000</v>
      </c>
      <c r="AA224" s="9" t="n">
        <v>128000</v>
      </c>
      <c r="AB224" s="9" t="n">
        <v>128000</v>
      </c>
      <c r="AC224" s="9" t="n">
        <v>128000</v>
      </c>
      <c r="AD224" s="9" t="n">
        <v>128000</v>
      </c>
      <c r="AE224" s="9" t="n">
        <v>128000</v>
      </c>
      <c r="AF224" s="9" t="n">
        <v>128000</v>
      </c>
      <c r="AG224" s="9" t="n">
        <v>128000</v>
      </c>
      <c r="AH224" s="9" t="n">
        <v>128000</v>
      </c>
      <c r="AI224" s="9" t="n">
        <v>128000</v>
      </c>
      <c r="AJ224" s="9" t="n">
        <f aca="false">X224*$V224</f>
        <v>93.44</v>
      </c>
      <c r="AK224" s="9" t="n">
        <f aca="false">Y224*$V224</f>
        <v>93.44</v>
      </c>
      <c r="AL224" s="9" t="n">
        <f aca="false">Z224*$V224</f>
        <v>93.44</v>
      </c>
      <c r="AM224" s="9" t="n">
        <f aca="false">AA224*$V224</f>
        <v>93.44</v>
      </c>
      <c r="AN224" s="9" t="n">
        <f aca="false">AB224*$V224</f>
        <v>93.44</v>
      </c>
      <c r="AO224" s="9" t="n">
        <f aca="false">AC224*$V224</f>
        <v>93.44</v>
      </c>
      <c r="AP224" s="9" t="n">
        <f aca="false">AD224*$V224</f>
        <v>93.44</v>
      </c>
      <c r="AQ224" s="9" t="n">
        <f aca="false">AE224*$V224</f>
        <v>93.44</v>
      </c>
      <c r="AR224" s="9" t="n">
        <f aca="false">AF224*$V224</f>
        <v>93.44</v>
      </c>
      <c r="AS224" s="9" t="n">
        <f aca="false">AG224*$V224</f>
        <v>93.44</v>
      </c>
      <c r="AT224" s="9" t="n">
        <f aca="false">AH224*$V224</f>
        <v>93.44</v>
      </c>
      <c r="AU224" s="9" t="n">
        <f aca="false">AI224*$V224</f>
        <v>93.44</v>
      </c>
      <c r="AV224" s="9" t="n">
        <f aca="false">SUM(X224:AI224)/1000</f>
        <v>1536</v>
      </c>
      <c r="AW224" s="9" t="n">
        <f aca="false">SUM(AJ224:AU224)</f>
        <v>1121.28</v>
      </c>
      <c r="AX224" s="9" t="n">
        <f aca="false">IF(D224="INR",AW224/88.24,AW224)/1000000</f>
        <v>0.00112128</v>
      </c>
    </row>
    <row r="225" s="2" customFormat="true" ht="16.4" hidden="false" customHeight="false" outlineLevel="0" collapsed="false">
      <c r="A225" s="16" t="s">
        <v>525</v>
      </c>
      <c r="B225" s="16" t="n">
        <v>5</v>
      </c>
      <c r="C225" s="16"/>
      <c r="D225" s="16" t="s">
        <v>102</v>
      </c>
      <c r="E225" s="16" t="s">
        <v>51</v>
      </c>
      <c r="F225" s="16" t="s">
        <v>52</v>
      </c>
      <c r="G225" s="16" t="s">
        <v>494</v>
      </c>
      <c r="H225" s="16" t="s">
        <v>495</v>
      </c>
      <c r="I225" s="16" t="s">
        <v>260</v>
      </c>
      <c r="J225" s="16" t="s">
        <v>520</v>
      </c>
      <c r="K225" s="16" t="s">
        <v>495</v>
      </c>
      <c r="L225" s="16" t="s">
        <v>260</v>
      </c>
      <c r="M225" s="16" t="s">
        <v>520</v>
      </c>
      <c r="N225" s="16" t="s">
        <v>57</v>
      </c>
      <c r="O225" s="16" t="s">
        <v>94</v>
      </c>
      <c r="P225" s="16" t="s">
        <v>199</v>
      </c>
      <c r="Q225" s="16" t="s">
        <v>199</v>
      </c>
      <c r="R225" s="16" t="s">
        <v>377</v>
      </c>
      <c r="S225" s="16"/>
      <c r="T225" s="26" t="s">
        <v>526</v>
      </c>
      <c r="U225" s="16" t="s">
        <v>73</v>
      </c>
      <c r="V225" s="16" t="n">
        <v>0.0788</v>
      </c>
      <c r="W225" s="16" t="n">
        <v>0.07161</v>
      </c>
      <c r="X225" s="16" t="n">
        <v>72000</v>
      </c>
      <c r="Y225" s="16" t="n">
        <v>72000</v>
      </c>
      <c r="Z225" s="16" t="n">
        <v>72000</v>
      </c>
      <c r="AA225" s="16" t="n">
        <v>72000</v>
      </c>
      <c r="AB225" s="16" t="n">
        <v>72000</v>
      </c>
      <c r="AC225" s="16" t="n">
        <v>72000</v>
      </c>
      <c r="AD225" s="16" t="n">
        <v>72000</v>
      </c>
      <c r="AE225" s="16" t="n">
        <v>72000</v>
      </c>
      <c r="AF225" s="16" t="n">
        <v>72000</v>
      </c>
      <c r="AG225" s="16" t="n">
        <v>72000</v>
      </c>
      <c r="AH225" s="16" t="n">
        <v>72000</v>
      </c>
      <c r="AI225" s="16" t="n">
        <v>72000</v>
      </c>
      <c r="AJ225" s="9" t="n">
        <f aca="false">X225*$V225</f>
        <v>5673.6</v>
      </c>
      <c r="AK225" s="9" t="n">
        <f aca="false">Y225*$V225</f>
        <v>5673.6</v>
      </c>
      <c r="AL225" s="9" t="n">
        <f aca="false">Z225*$V225</f>
        <v>5673.6</v>
      </c>
      <c r="AM225" s="9" t="n">
        <f aca="false">AA225*$V225</f>
        <v>5673.6</v>
      </c>
      <c r="AN225" s="9" t="n">
        <f aca="false">AB225*$V225</f>
        <v>5673.6</v>
      </c>
      <c r="AO225" s="9" t="n">
        <f aca="false">AC225*$V225</f>
        <v>5673.6</v>
      </c>
      <c r="AP225" s="9" t="n">
        <f aca="false">AD225*$V225</f>
        <v>5673.6</v>
      </c>
      <c r="AQ225" s="9" t="n">
        <f aca="false">AE225*$V225</f>
        <v>5673.6</v>
      </c>
      <c r="AR225" s="9" t="n">
        <f aca="false">AF225*$V225</f>
        <v>5673.6</v>
      </c>
      <c r="AS225" s="9" t="n">
        <f aca="false">AG225*$V225</f>
        <v>5673.6</v>
      </c>
      <c r="AT225" s="9" t="n">
        <f aca="false">AH225*$V225</f>
        <v>5673.6</v>
      </c>
      <c r="AU225" s="9" t="n">
        <f aca="false">AI225*$V225</f>
        <v>5673.6</v>
      </c>
      <c r="AV225" s="9" t="n">
        <f aca="false">SUM(X225:AI225)/1000</f>
        <v>864</v>
      </c>
      <c r="AW225" s="9" t="n">
        <f aca="false">SUM(AJ225:AU225)</f>
        <v>68083.2</v>
      </c>
      <c r="AX225" s="9" t="n">
        <f aca="false">IF(D225="INR",AW225/88.24,AW225)/1000000</f>
        <v>0.0680832</v>
      </c>
    </row>
    <row r="226" s="2" customFormat="true" ht="16.4" hidden="false" customHeight="false" outlineLevel="0" collapsed="false">
      <c r="A226" s="35" t="s">
        <v>527</v>
      </c>
      <c r="B226" s="9"/>
      <c r="C226" s="10"/>
      <c r="D226" s="9" t="s">
        <v>102</v>
      </c>
      <c r="E226" s="9" t="s">
        <v>51</v>
      </c>
      <c r="F226" s="9" t="s">
        <v>52</v>
      </c>
      <c r="G226" s="9" t="s">
        <v>494</v>
      </c>
      <c r="H226" s="9" t="s">
        <v>495</v>
      </c>
      <c r="I226" s="9" t="s">
        <v>260</v>
      </c>
      <c r="J226" s="9" t="s">
        <v>520</v>
      </c>
      <c r="K226" s="9" t="s">
        <v>495</v>
      </c>
      <c r="L226" s="9" t="s">
        <v>260</v>
      </c>
      <c r="M226" s="9" t="s">
        <v>520</v>
      </c>
      <c r="N226" s="16" t="s">
        <v>57</v>
      </c>
      <c r="O226" s="9" t="s">
        <v>94</v>
      </c>
      <c r="P226" s="9" t="s">
        <v>199</v>
      </c>
      <c r="Q226" s="9" t="s">
        <v>199</v>
      </c>
      <c r="R226" s="9" t="s">
        <v>377</v>
      </c>
      <c r="S226" s="9" t="s">
        <v>528</v>
      </c>
      <c r="T226" s="9" t="s">
        <v>529</v>
      </c>
      <c r="U226" s="9" t="s">
        <v>73</v>
      </c>
      <c r="V226" s="9" t="n">
        <v>0.065</v>
      </c>
      <c r="W226" s="9" t="n">
        <v>0.045</v>
      </c>
      <c r="X226" s="9" t="n">
        <v>72000</v>
      </c>
      <c r="Y226" s="9" t="n">
        <v>72000</v>
      </c>
      <c r="Z226" s="9" t="n">
        <v>72000</v>
      </c>
      <c r="AA226" s="9" t="n">
        <v>72000</v>
      </c>
      <c r="AB226" s="9" t="n">
        <v>72000</v>
      </c>
      <c r="AC226" s="9" t="n">
        <v>72000</v>
      </c>
      <c r="AD226" s="9" t="n">
        <v>72000</v>
      </c>
      <c r="AE226" s="9" t="n">
        <v>72000</v>
      </c>
      <c r="AF226" s="9" t="n">
        <v>72000</v>
      </c>
      <c r="AG226" s="9" t="n">
        <v>72000</v>
      </c>
      <c r="AH226" s="9" t="n">
        <v>72000</v>
      </c>
      <c r="AI226" s="9" t="n">
        <v>72000</v>
      </c>
      <c r="AJ226" s="9" t="n">
        <f aca="false">X226*$V226</f>
        <v>4680</v>
      </c>
      <c r="AK226" s="9" t="n">
        <f aca="false">Y226*$V226</f>
        <v>4680</v>
      </c>
      <c r="AL226" s="9" t="n">
        <f aca="false">Z226*$V226</f>
        <v>4680</v>
      </c>
      <c r="AM226" s="9" t="n">
        <f aca="false">AA226*$V226</f>
        <v>4680</v>
      </c>
      <c r="AN226" s="9" t="n">
        <f aca="false">AB226*$V226</f>
        <v>4680</v>
      </c>
      <c r="AO226" s="9" t="n">
        <f aca="false">AC226*$V226</f>
        <v>4680</v>
      </c>
      <c r="AP226" s="9" t="n">
        <f aca="false">AD226*$V226</f>
        <v>4680</v>
      </c>
      <c r="AQ226" s="9" t="n">
        <f aca="false">AE226*$V226</f>
        <v>4680</v>
      </c>
      <c r="AR226" s="9" t="n">
        <f aca="false">AF226*$V226</f>
        <v>4680</v>
      </c>
      <c r="AS226" s="9" t="n">
        <f aca="false">AG226*$V226</f>
        <v>4680</v>
      </c>
      <c r="AT226" s="9" t="n">
        <f aca="false">AH226*$V226</f>
        <v>4680</v>
      </c>
      <c r="AU226" s="9" t="n">
        <f aca="false">AI226*$V226</f>
        <v>4680</v>
      </c>
      <c r="AV226" s="9" t="n">
        <f aca="false">SUM(X226:AI226)/1000</f>
        <v>864</v>
      </c>
      <c r="AW226" s="9" t="n">
        <f aca="false">SUM(AJ226:AU226)</f>
        <v>56160</v>
      </c>
      <c r="AX226" s="9" t="n">
        <f aca="false">IF(D226="INR",AW226/88.24,AW226)/1000000</f>
        <v>0.05616</v>
      </c>
    </row>
    <row r="227" s="2" customFormat="true" ht="14.25" hidden="false" customHeight="false" outlineLevel="0" collapsed="false">
      <c r="A227" s="12" t="s">
        <v>530</v>
      </c>
      <c r="B227" s="16" t="n">
        <v>5</v>
      </c>
      <c r="C227" s="15"/>
      <c r="D227" s="16" t="s">
        <v>102</v>
      </c>
      <c r="E227" s="16" t="s">
        <v>51</v>
      </c>
      <c r="F227" s="16" t="s">
        <v>52</v>
      </c>
      <c r="G227" s="16" t="s">
        <v>494</v>
      </c>
      <c r="H227" s="16" t="s">
        <v>495</v>
      </c>
      <c r="I227" s="16" t="s">
        <v>260</v>
      </c>
      <c r="J227" s="16" t="s">
        <v>520</v>
      </c>
      <c r="K227" s="16" t="s">
        <v>495</v>
      </c>
      <c r="L227" s="16" t="s">
        <v>260</v>
      </c>
      <c r="M227" s="16" t="s">
        <v>520</v>
      </c>
      <c r="N227" s="16" t="s">
        <v>57</v>
      </c>
      <c r="O227" s="16" t="s">
        <v>94</v>
      </c>
      <c r="P227" s="16" t="s">
        <v>197</v>
      </c>
      <c r="Q227" s="16" t="s">
        <v>197</v>
      </c>
      <c r="R227" s="16" t="s">
        <v>86</v>
      </c>
      <c r="S227" s="16" t="s">
        <v>521</v>
      </c>
      <c r="T227" s="16" t="s">
        <v>531</v>
      </c>
      <c r="U227" s="16" t="s">
        <v>73</v>
      </c>
      <c r="V227" s="16" t="n">
        <v>0.00568</v>
      </c>
      <c r="W227" s="16" t="n">
        <v>0.00512</v>
      </c>
      <c r="X227" s="22" t="n">
        <v>48000</v>
      </c>
      <c r="Y227" s="22" t="n">
        <v>48000</v>
      </c>
      <c r="Z227" s="22" t="n">
        <v>48000</v>
      </c>
      <c r="AA227" s="22" t="n">
        <v>48000</v>
      </c>
      <c r="AB227" s="22" t="n">
        <v>48000</v>
      </c>
      <c r="AC227" s="22" t="n">
        <v>48000</v>
      </c>
      <c r="AD227" s="22" t="n">
        <v>48000</v>
      </c>
      <c r="AE227" s="22" t="n">
        <v>48000</v>
      </c>
      <c r="AF227" s="22" t="n">
        <v>48000</v>
      </c>
      <c r="AG227" s="22" t="n">
        <v>48000</v>
      </c>
      <c r="AH227" s="22" t="n">
        <v>48000</v>
      </c>
      <c r="AI227" s="22" t="n">
        <v>48000</v>
      </c>
      <c r="AJ227" s="9" t="n">
        <f aca="false">X227*$V227</f>
        <v>272.64</v>
      </c>
      <c r="AK227" s="9" t="n">
        <f aca="false">Y227*$V227</f>
        <v>272.64</v>
      </c>
      <c r="AL227" s="9" t="n">
        <f aca="false">Z227*$V227</f>
        <v>272.64</v>
      </c>
      <c r="AM227" s="9" t="n">
        <f aca="false">AA227*$V227</f>
        <v>272.64</v>
      </c>
      <c r="AN227" s="9" t="n">
        <f aca="false">AB227*$V227</f>
        <v>272.64</v>
      </c>
      <c r="AO227" s="9" t="n">
        <f aca="false">AC227*$V227</f>
        <v>272.64</v>
      </c>
      <c r="AP227" s="9" t="n">
        <f aca="false">AD227*$V227</f>
        <v>272.64</v>
      </c>
      <c r="AQ227" s="9" t="n">
        <f aca="false">AE227*$V227</f>
        <v>272.64</v>
      </c>
      <c r="AR227" s="9" t="n">
        <f aca="false">AF227*$V227</f>
        <v>272.64</v>
      </c>
      <c r="AS227" s="9" t="n">
        <f aca="false">AG227*$V227</f>
        <v>272.64</v>
      </c>
      <c r="AT227" s="9" t="n">
        <f aca="false">AH227*$V227</f>
        <v>272.64</v>
      </c>
      <c r="AU227" s="9" t="n">
        <f aca="false">AI227*$V227</f>
        <v>272.64</v>
      </c>
      <c r="AV227" s="9" t="n">
        <f aca="false">SUM(X227:AI227)/1000</f>
        <v>576</v>
      </c>
      <c r="AW227" s="9" t="n">
        <f aca="false">SUM(AJ227:AU227)</f>
        <v>3271.68</v>
      </c>
      <c r="AX227" s="9" t="n">
        <f aca="false">IF(D227="INR",AW227/88.24,AW227)/1000000</f>
        <v>0.00327168</v>
      </c>
    </row>
    <row r="228" s="2" customFormat="true" ht="16.4" hidden="false" customHeight="false" outlineLevel="0" collapsed="false">
      <c r="A228" s="35" t="s">
        <v>532</v>
      </c>
      <c r="B228" s="9" t="n">
        <v>5</v>
      </c>
      <c r="C228" s="10"/>
      <c r="D228" s="9" t="s">
        <v>50</v>
      </c>
      <c r="E228" s="9" t="s">
        <v>51</v>
      </c>
      <c r="F228" s="9" t="s">
        <v>52</v>
      </c>
      <c r="G228" s="9" t="s">
        <v>391</v>
      </c>
      <c r="H228" s="9" t="s">
        <v>392</v>
      </c>
      <c r="I228" s="9" t="s">
        <v>260</v>
      </c>
      <c r="J228" s="9" t="s">
        <v>276</v>
      </c>
      <c r="K228" s="9"/>
      <c r="L228" s="9" t="s">
        <v>260</v>
      </c>
      <c r="M228" s="9" t="s">
        <v>276</v>
      </c>
      <c r="N228" s="16" t="s">
        <v>93</v>
      </c>
      <c r="O228" s="9" t="s">
        <v>246</v>
      </c>
      <c r="P228" s="9" t="s">
        <v>80</v>
      </c>
      <c r="Q228" s="9" t="s">
        <v>80</v>
      </c>
      <c r="R228" s="9" t="s">
        <v>81</v>
      </c>
      <c r="S228" s="9" t="s">
        <v>82</v>
      </c>
      <c r="T228" s="9" t="s">
        <v>533</v>
      </c>
      <c r="U228" s="9" t="s">
        <v>73</v>
      </c>
      <c r="V228" s="9" t="n">
        <v>25.53</v>
      </c>
      <c r="W228" s="9" t="n">
        <v>0</v>
      </c>
      <c r="X228" s="9" t="n">
        <v>15000</v>
      </c>
      <c r="Y228" s="9" t="n">
        <v>15000</v>
      </c>
      <c r="Z228" s="9" t="n">
        <v>15000</v>
      </c>
      <c r="AA228" s="9" t="n">
        <v>15000</v>
      </c>
      <c r="AB228" s="9" t="n">
        <v>15000</v>
      </c>
      <c r="AC228" s="9" t="n">
        <v>15000</v>
      </c>
      <c r="AD228" s="9" t="n">
        <v>15000</v>
      </c>
      <c r="AE228" s="9" t="n">
        <v>15000</v>
      </c>
      <c r="AF228" s="9" t="n">
        <v>15000</v>
      </c>
      <c r="AG228" s="9" t="n">
        <v>15000</v>
      </c>
      <c r="AH228" s="9" t="n">
        <v>15000</v>
      </c>
      <c r="AI228" s="9" t="n">
        <v>15000</v>
      </c>
      <c r="AJ228" s="9" t="n">
        <f aca="false">X228*$V228</f>
        <v>382950</v>
      </c>
      <c r="AK228" s="9" t="n">
        <f aca="false">Y228*$V228</f>
        <v>382950</v>
      </c>
      <c r="AL228" s="9" t="n">
        <f aca="false">Z228*$V228</f>
        <v>382950</v>
      </c>
      <c r="AM228" s="9" t="n">
        <f aca="false">AA228*$V228</f>
        <v>382950</v>
      </c>
      <c r="AN228" s="9" t="n">
        <f aca="false">AB228*$V228</f>
        <v>382950</v>
      </c>
      <c r="AO228" s="9" t="n">
        <f aca="false">AC228*$V228</f>
        <v>382950</v>
      </c>
      <c r="AP228" s="9" t="n">
        <f aca="false">AD228*$V228</f>
        <v>382950</v>
      </c>
      <c r="AQ228" s="9" t="n">
        <f aca="false">AE228*$V228</f>
        <v>382950</v>
      </c>
      <c r="AR228" s="9" t="n">
        <f aca="false">AF228*$V228</f>
        <v>382950</v>
      </c>
      <c r="AS228" s="9" t="n">
        <f aca="false">AG228*$V228</f>
        <v>382950</v>
      </c>
      <c r="AT228" s="9" t="n">
        <f aca="false">AH228*$V228</f>
        <v>382950</v>
      </c>
      <c r="AU228" s="9" t="n">
        <f aca="false">AI228*$V228</f>
        <v>382950</v>
      </c>
      <c r="AV228" s="9" t="n">
        <f aca="false">SUM(X228:AI228)/1000</f>
        <v>180</v>
      </c>
      <c r="AW228" s="9" t="n">
        <f aca="false">SUM(AJ228:AU228)</f>
        <v>4595400</v>
      </c>
      <c r="AX228" s="9" t="n">
        <f aca="false">IF(D228="INR",AW228/88.24,AW228)/1000000</f>
        <v>0.0520784224841342</v>
      </c>
    </row>
    <row r="229" s="2" customFormat="true" ht="16.4" hidden="false" customHeight="false" outlineLevel="0" collapsed="false">
      <c r="A229" s="35" t="s">
        <v>534</v>
      </c>
      <c r="B229" s="9"/>
      <c r="C229" s="10"/>
      <c r="D229" s="9" t="s">
        <v>50</v>
      </c>
      <c r="E229" s="9" t="s">
        <v>51</v>
      </c>
      <c r="F229" s="9" t="s">
        <v>52</v>
      </c>
      <c r="G229" s="9" t="s">
        <v>391</v>
      </c>
      <c r="H229" s="9" t="s">
        <v>392</v>
      </c>
      <c r="I229" s="9" t="s">
        <v>260</v>
      </c>
      <c r="J229" s="9" t="s">
        <v>276</v>
      </c>
      <c r="K229" s="9"/>
      <c r="L229" s="9" t="s">
        <v>260</v>
      </c>
      <c r="M229" s="9" t="s">
        <v>276</v>
      </c>
      <c r="N229" s="16" t="s">
        <v>93</v>
      </c>
      <c r="O229" s="9" t="s">
        <v>58</v>
      </c>
      <c r="P229" s="9" t="s">
        <v>80</v>
      </c>
      <c r="Q229" s="9" t="s">
        <v>80</v>
      </c>
      <c r="R229" s="9" t="s">
        <v>81</v>
      </c>
      <c r="S229" s="9" t="s">
        <v>82</v>
      </c>
      <c r="T229" s="9" t="s">
        <v>535</v>
      </c>
      <c r="U229" s="9" t="s">
        <v>73</v>
      </c>
      <c r="V229" s="9" t="n">
        <v>25.5</v>
      </c>
      <c r="W229" s="9" t="n">
        <v>21.96</v>
      </c>
      <c r="X229" s="9" t="n">
        <v>15000</v>
      </c>
      <c r="Y229" s="9" t="n">
        <v>15000</v>
      </c>
      <c r="Z229" s="9" t="n">
        <v>15000</v>
      </c>
      <c r="AA229" s="9" t="n">
        <v>20000</v>
      </c>
      <c r="AB229" s="9" t="n">
        <v>15000</v>
      </c>
      <c r="AC229" s="9" t="n">
        <v>15000</v>
      </c>
      <c r="AD229" s="9" t="n">
        <v>15000</v>
      </c>
      <c r="AE229" s="9" t="n">
        <v>15000</v>
      </c>
      <c r="AF229" s="9" t="n">
        <v>15000</v>
      </c>
      <c r="AG229" s="9" t="n">
        <v>10000</v>
      </c>
      <c r="AH229" s="9" t="n">
        <v>15000</v>
      </c>
      <c r="AI229" s="9" t="n">
        <v>15000</v>
      </c>
      <c r="AJ229" s="9" t="n">
        <f aca="false">X229*$V229</f>
        <v>382500</v>
      </c>
      <c r="AK229" s="9" t="n">
        <f aca="false">Y229*$V229</f>
        <v>382500</v>
      </c>
      <c r="AL229" s="9" t="n">
        <f aca="false">Z229*$V229</f>
        <v>382500</v>
      </c>
      <c r="AM229" s="9" t="n">
        <f aca="false">AA229*$V229</f>
        <v>510000</v>
      </c>
      <c r="AN229" s="9" t="n">
        <f aca="false">AB229*$V229</f>
        <v>382500</v>
      </c>
      <c r="AO229" s="9" t="n">
        <f aca="false">AC229*$V229</f>
        <v>382500</v>
      </c>
      <c r="AP229" s="9" t="n">
        <f aca="false">AD229*$V229</f>
        <v>382500</v>
      </c>
      <c r="AQ229" s="9" t="n">
        <f aca="false">AE229*$V229</f>
        <v>382500</v>
      </c>
      <c r="AR229" s="9" t="n">
        <f aca="false">AF229*$V229</f>
        <v>382500</v>
      </c>
      <c r="AS229" s="9" t="n">
        <f aca="false">AG229*$V229</f>
        <v>255000</v>
      </c>
      <c r="AT229" s="9" t="n">
        <f aca="false">AH229*$V229</f>
        <v>382500</v>
      </c>
      <c r="AU229" s="9" t="n">
        <f aca="false">AI229*$V229</f>
        <v>382500</v>
      </c>
      <c r="AV229" s="9" t="n">
        <f aca="false">SUM(X229:AI229)/1000</f>
        <v>180</v>
      </c>
      <c r="AW229" s="9" t="n">
        <f aca="false">SUM(AJ229:AU229)</f>
        <v>4590000</v>
      </c>
      <c r="AX229" s="9" t="n">
        <f aca="false">IF(D229="INR",AW229/88.24,AW229)/1000000</f>
        <v>0.0520172257479601</v>
      </c>
    </row>
    <row r="230" s="2" customFormat="true" ht="16.4" hidden="false" customHeight="false" outlineLevel="0" collapsed="false">
      <c r="A230" s="16" t="s">
        <v>536</v>
      </c>
      <c r="B230" s="16" t="n">
        <v>5</v>
      </c>
      <c r="C230" s="16"/>
      <c r="D230" s="16" t="s">
        <v>102</v>
      </c>
      <c r="E230" s="16" t="s">
        <v>51</v>
      </c>
      <c r="F230" s="16" t="s">
        <v>52</v>
      </c>
      <c r="G230" s="16" t="s">
        <v>494</v>
      </c>
      <c r="H230" s="16" t="s">
        <v>495</v>
      </c>
      <c r="I230" s="16" t="s">
        <v>260</v>
      </c>
      <c r="J230" s="16" t="s">
        <v>520</v>
      </c>
      <c r="K230" s="16" t="s">
        <v>495</v>
      </c>
      <c r="L230" s="16" t="s">
        <v>260</v>
      </c>
      <c r="M230" s="16" t="s">
        <v>520</v>
      </c>
      <c r="N230" s="16" t="s">
        <v>57</v>
      </c>
      <c r="O230" s="16" t="s">
        <v>94</v>
      </c>
      <c r="P230" s="16" t="s">
        <v>197</v>
      </c>
      <c r="Q230" s="16" t="s">
        <v>197</v>
      </c>
      <c r="R230" s="16" t="s">
        <v>86</v>
      </c>
      <c r="S230" s="16" t="s">
        <v>521</v>
      </c>
      <c r="T230" s="16" t="s">
        <v>537</v>
      </c>
      <c r="U230" s="16" t="s">
        <v>73</v>
      </c>
      <c r="V230" s="26" t="n">
        <v>0.00294</v>
      </c>
      <c r="W230" s="16" t="n">
        <v>0.00265</v>
      </c>
      <c r="X230" s="16" t="n">
        <v>40000</v>
      </c>
      <c r="Y230" s="16" t="n">
        <v>40000</v>
      </c>
      <c r="Z230" s="16" t="n">
        <v>40000</v>
      </c>
      <c r="AA230" s="16" t="n">
        <v>40000</v>
      </c>
      <c r="AB230" s="16" t="n">
        <v>40000</v>
      </c>
      <c r="AC230" s="16" t="n">
        <v>40000</v>
      </c>
      <c r="AD230" s="16" t="n">
        <v>40000</v>
      </c>
      <c r="AE230" s="16" t="n">
        <v>40000</v>
      </c>
      <c r="AF230" s="16" t="n">
        <v>40000</v>
      </c>
      <c r="AG230" s="16" t="n">
        <v>40000</v>
      </c>
      <c r="AH230" s="16" t="n">
        <v>40000</v>
      </c>
      <c r="AI230" s="16" t="n">
        <v>40000</v>
      </c>
      <c r="AJ230" s="9" t="n">
        <f aca="false">X230*$V230</f>
        <v>117.6</v>
      </c>
      <c r="AK230" s="9" t="n">
        <f aca="false">Y230*$V230</f>
        <v>117.6</v>
      </c>
      <c r="AL230" s="9" t="n">
        <f aca="false">Z230*$V230</f>
        <v>117.6</v>
      </c>
      <c r="AM230" s="9" t="n">
        <f aca="false">AA230*$V230</f>
        <v>117.6</v>
      </c>
      <c r="AN230" s="9" t="n">
        <f aca="false">AB230*$V230</f>
        <v>117.6</v>
      </c>
      <c r="AO230" s="9" t="n">
        <f aca="false">AC230*$V230</f>
        <v>117.6</v>
      </c>
      <c r="AP230" s="9" t="n">
        <f aca="false">AD230*$V230</f>
        <v>117.6</v>
      </c>
      <c r="AQ230" s="9" t="n">
        <f aca="false">AE230*$V230</f>
        <v>117.6</v>
      </c>
      <c r="AR230" s="9" t="n">
        <f aca="false">AF230*$V230</f>
        <v>117.6</v>
      </c>
      <c r="AS230" s="9" t="n">
        <f aca="false">AG230*$V230</f>
        <v>117.6</v>
      </c>
      <c r="AT230" s="9" t="n">
        <f aca="false">AH230*$V230</f>
        <v>117.6</v>
      </c>
      <c r="AU230" s="9" t="n">
        <f aca="false">AI230*$V230</f>
        <v>117.6</v>
      </c>
      <c r="AV230" s="9" t="n">
        <f aca="false">SUM(X230:AI230)/1000</f>
        <v>480</v>
      </c>
      <c r="AW230" s="9" t="n">
        <f aca="false">SUM(AJ230:AU230)</f>
        <v>1411.2</v>
      </c>
      <c r="AX230" s="9" t="n">
        <f aca="false">IF(D230="INR",AW230/88.24,AW230)/1000000</f>
        <v>0.0014112</v>
      </c>
    </row>
    <row r="231" s="2" customFormat="true" ht="16.4" hidden="false" customHeight="false" outlineLevel="0" collapsed="false">
      <c r="A231" s="16" t="s">
        <v>538</v>
      </c>
      <c r="B231" s="16" t="n">
        <v>5</v>
      </c>
      <c r="C231" s="16"/>
      <c r="D231" s="16" t="s">
        <v>102</v>
      </c>
      <c r="E231" s="16" t="s">
        <v>51</v>
      </c>
      <c r="F231" s="16" t="s">
        <v>52</v>
      </c>
      <c r="G231" s="16" t="s">
        <v>494</v>
      </c>
      <c r="H231" s="16" t="s">
        <v>495</v>
      </c>
      <c r="I231" s="16" t="s">
        <v>260</v>
      </c>
      <c r="J231" s="16" t="s">
        <v>520</v>
      </c>
      <c r="K231" s="16" t="s">
        <v>495</v>
      </c>
      <c r="L231" s="16" t="s">
        <v>260</v>
      </c>
      <c r="M231" s="16" t="s">
        <v>520</v>
      </c>
      <c r="N231" s="16" t="s">
        <v>57</v>
      </c>
      <c r="O231" s="16" t="s">
        <v>94</v>
      </c>
      <c r="P231" s="16" t="s">
        <v>197</v>
      </c>
      <c r="Q231" s="16" t="s">
        <v>197</v>
      </c>
      <c r="R231" s="16" t="s">
        <v>86</v>
      </c>
      <c r="S231" s="16" t="s">
        <v>521</v>
      </c>
      <c r="T231" s="26" t="s">
        <v>539</v>
      </c>
      <c r="U231" s="16" t="s">
        <v>73</v>
      </c>
      <c r="V231" s="16" t="n">
        <v>0.00098</v>
      </c>
      <c r="W231" s="16" t="n">
        <v>0.00088</v>
      </c>
      <c r="X231" s="16" t="n">
        <v>40000</v>
      </c>
      <c r="Y231" s="16" t="n">
        <v>40000</v>
      </c>
      <c r="Z231" s="16" t="n">
        <v>40000</v>
      </c>
      <c r="AA231" s="16" t="n">
        <v>40000</v>
      </c>
      <c r="AB231" s="16" t="n">
        <v>40000</v>
      </c>
      <c r="AC231" s="16" t="n">
        <v>40000</v>
      </c>
      <c r="AD231" s="16" t="n">
        <v>40000</v>
      </c>
      <c r="AE231" s="16" t="n">
        <v>40000</v>
      </c>
      <c r="AF231" s="16" t="n">
        <v>40000</v>
      </c>
      <c r="AG231" s="16" t="n">
        <v>40000</v>
      </c>
      <c r="AH231" s="16" t="n">
        <v>40000</v>
      </c>
      <c r="AI231" s="16" t="n">
        <v>40000</v>
      </c>
      <c r="AJ231" s="9" t="n">
        <f aca="false">X231*$V231</f>
        <v>39.2</v>
      </c>
      <c r="AK231" s="9" t="n">
        <f aca="false">Y231*$V231</f>
        <v>39.2</v>
      </c>
      <c r="AL231" s="9" t="n">
        <f aca="false">Z231*$V231</f>
        <v>39.2</v>
      </c>
      <c r="AM231" s="9" t="n">
        <f aca="false">AA231*$V231</f>
        <v>39.2</v>
      </c>
      <c r="AN231" s="9" t="n">
        <f aca="false">AB231*$V231</f>
        <v>39.2</v>
      </c>
      <c r="AO231" s="9" t="n">
        <f aca="false">AC231*$V231</f>
        <v>39.2</v>
      </c>
      <c r="AP231" s="9" t="n">
        <f aca="false">AD231*$V231</f>
        <v>39.2</v>
      </c>
      <c r="AQ231" s="9" t="n">
        <f aca="false">AE231*$V231</f>
        <v>39.2</v>
      </c>
      <c r="AR231" s="9" t="n">
        <f aca="false">AF231*$V231</f>
        <v>39.2</v>
      </c>
      <c r="AS231" s="9" t="n">
        <f aca="false">AG231*$V231</f>
        <v>39.2</v>
      </c>
      <c r="AT231" s="9" t="n">
        <f aca="false">AH231*$V231</f>
        <v>39.2</v>
      </c>
      <c r="AU231" s="9" t="n">
        <f aca="false">AI231*$V231</f>
        <v>39.2</v>
      </c>
      <c r="AV231" s="9" t="n">
        <f aca="false">SUM(X231:AI231)/1000</f>
        <v>480</v>
      </c>
      <c r="AW231" s="9" t="n">
        <f aca="false">SUM(AJ231:AU231)</f>
        <v>470.4</v>
      </c>
      <c r="AX231" s="9" t="n">
        <f aca="false">IF(D231="INR",AW231/88.24,AW231)/1000000</f>
        <v>0.0004704</v>
      </c>
    </row>
    <row r="232" s="2" customFormat="true" ht="16.4" hidden="false" customHeight="false" outlineLevel="0" collapsed="false">
      <c r="A232" s="16" t="s">
        <v>540</v>
      </c>
      <c r="B232" s="16" t="n">
        <v>5</v>
      </c>
      <c r="C232" s="16"/>
      <c r="D232" s="16" t="s">
        <v>102</v>
      </c>
      <c r="E232" s="16" t="s">
        <v>51</v>
      </c>
      <c r="F232" s="16" t="s">
        <v>52</v>
      </c>
      <c r="G232" s="16" t="s">
        <v>494</v>
      </c>
      <c r="H232" s="16" t="s">
        <v>495</v>
      </c>
      <c r="I232" s="16" t="s">
        <v>260</v>
      </c>
      <c r="J232" s="16" t="s">
        <v>520</v>
      </c>
      <c r="K232" s="16" t="s">
        <v>495</v>
      </c>
      <c r="L232" s="16" t="s">
        <v>260</v>
      </c>
      <c r="M232" s="16" t="s">
        <v>520</v>
      </c>
      <c r="N232" s="16" t="s">
        <v>57</v>
      </c>
      <c r="O232" s="16" t="s">
        <v>94</v>
      </c>
      <c r="P232" s="16" t="s">
        <v>197</v>
      </c>
      <c r="Q232" s="16" t="s">
        <v>197</v>
      </c>
      <c r="R232" s="16" t="s">
        <v>86</v>
      </c>
      <c r="S232" s="16" t="s">
        <v>521</v>
      </c>
      <c r="T232" s="16" t="s">
        <v>541</v>
      </c>
      <c r="U232" s="16" t="s">
        <v>73</v>
      </c>
      <c r="V232" s="16" t="n">
        <v>0.00098</v>
      </c>
      <c r="W232" s="16" t="n">
        <v>0.00149</v>
      </c>
      <c r="X232" s="16" t="n">
        <v>40000</v>
      </c>
      <c r="Y232" s="16" t="n">
        <v>40000</v>
      </c>
      <c r="Z232" s="16" t="n">
        <v>40000</v>
      </c>
      <c r="AA232" s="16" t="n">
        <v>40000</v>
      </c>
      <c r="AB232" s="16" t="n">
        <v>40000</v>
      </c>
      <c r="AC232" s="16" t="n">
        <v>40000</v>
      </c>
      <c r="AD232" s="16" t="n">
        <v>40000</v>
      </c>
      <c r="AE232" s="16" t="n">
        <v>40000</v>
      </c>
      <c r="AF232" s="16" t="n">
        <v>40000</v>
      </c>
      <c r="AG232" s="16" t="n">
        <v>40000</v>
      </c>
      <c r="AH232" s="16" t="n">
        <v>40000</v>
      </c>
      <c r="AI232" s="16" t="n">
        <v>40000</v>
      </c>
      <c r="AJ232" s="9" t="n">
        <f aca="false">X232*$V232</f>
        <v>39.2</v>
      </c>
      <c r="AK232" s="9" t="n">
        <f aca="false">Y232*$V232</f>
        <v>39.2</v>
      </c>
      <c r="AL232" s="9" t="n">
        <f aca="false">Z232*$V232</f>
        <v>39.2</v>
      </c>
      <c r="AM232" s="9" t="n">
        <f aca="false">AA232*$V232</f>
        <v>39.2</v>
      </c>
      <c r="AN232" s="9" t="n">
        <f aca="false">AB232*$V232</f>
        <v>39.2</v>
      </c>
      <c r="AO232" s="9" t="n">
        <f aca="false">AC232*$V232</f>
        <v>39.2</v>
      </c>
      <c r="AP232" s="9" t="n">
        <f aca="false">AD232*$V232</f>
        <v>39.2</v>
      </c>
      <c r="AQ232" s="9" t="n">
        <f aca="false">AE232*$V232</f>
        <v>39.2</v>
      </c>
      <c r="AR232" s="9" t="n">
        <f aca="false">AF232*$V232</f>
        <v>39.2</v>
      </c>
      <c r="AS232" s="9" t="n">
        <f aca="false">AG232*$V232</f>
        <v>39.2</v>
      </c>
      <c r="AT232" s="9" t="n">
        <f aca="false">AH232*$V232</f>
        <v>39.2</v>
      </c>
      <c r="AU232" s="9" t="n">
        <f aca="false">AI232*$V232</f>
        <v>39.2</v>
      </c>
      <c r="AV232" s="9" t="n">
        <f aca="false">SUM(X232:AI232)/1000</f>
        <v>480</v>
      </c>
      <c r="AW232" s="9" t="n">
        <f aca="false">SUM(AJ232:AU232)</f>
        <v>470.4</v>
      </c>
      <c r="AX232" s="9" t="n">
        <f aca="false">IF(D232="INR",AW232/88.24,AW232)/1000000</f>
        <v>0.0004704</v>
      </c>
    </row>
    <row r="233" s="2" customFormat="true" ht="16.4" hidden="false" customHeight="false" outlineLevel="0" collapsed="false">
      <c r="A233" s="16" t="s">
        <v>542</v>
      </c>
      <c r="B233" s="16" t="n">
        <v>5</v>
      </c>
      <c r="C233" s="16"/>
      <c r="D233" s="16" t="s">
        <v>102</v>
      </c>
      <c r="E233" s="16" t="s">
        <v>51</v>
      </c>
      <c r="F233" s="16" t="s">
        <v>52</v>
      </c>
      <c r="G233" s="16" t="s">
        <v>494</v>
      </c>
      <c r="H233" s="16" t="s">
        <v>495</v>
      </c>
      <c r="I233" s="16" t="s">
        <v>260</v>
      </c>
      <c r="J233" s="16" t="s">
        <v>520</v>
      </c>
      <c r="K233" s="16" t="s">
        <v>495</v>
      </c>
      <c r="L233" s="16" t="s">
        <v>260</v>
      </c>
      <c r="M233" s="16" t="s">
        <v>520</v>
      </c>
      <c r="N233" s="16" t="s">
        <v>57</v>
      </c>
      <c r="O233" s="16" t="s">
        <v>94</v>
      </c>
      <c r="P233" s="16" t="s">
        <v>197</v>
      </c>
      <c r="Q233" s="16" t="s">
        <v>197</v>
      </c>
      <c r="R233" s="16" t="s">
        <v>86</v>
      </c>
      <c r="S233" s="16" t="s">
        <v>521</v>
      </c>
      <c r="T233" s="26" t="s">
        <v>543</v>
      </c>
      <c r="U233" s="16" t="s">
        <v>73</v>
      </c>
      <c r="V233" s="16" t="n">
        <v>0.00098</v>
      </c>
      <c r="W233" s="26" t="n">
        <v>0.00149</v>
      </c>
      <c r="X233" s="16" t="n">
        <v>40000</v>
      </c>
      <c r="Y233" s="16" t="n">
        <v>40000</v>
      </c>
      <c r="Z233" s="16" t="n">
        <v>40000</v>
      </c>
      <c r="AA233" s="16" t="n">
        <v>40000</v>
      </c>
      <c r="AB233" s="16" t="n">
        <v>40000</v>
      </c>
      <c r="AC233" s="16" t="n">
        <v>40000</v>
      </c>
      <c r="AD233" s="16" t="n">
        <v>40000</v>
      </c>
      <c r="AE233" s="16" t="n">
        <v>40000</v>
      </c>
      <c r="AF233" s="16" t="n">
        <v>40000</v>
      </c>
      <c r="AG233" s="16" t="n">
        <v>40000</v>
      </c>
      <c r="AH233" s="16" t="n">
        <v>40000</v>
      </c>
      <c r="AI233" s="16" t="n">
        <v>40000</v>
      </c>
      <c r="AJ233" s="9" t="n">
        <f aca="false">X233*$V233</f>
        <v>39.2</v>
      </c>
      <c r="AK233" s="9" t="n">
        <f aca="false">Y233*$V233</f>
        <v>39.2</v>
      </c>
      <c r="AL233" s="9" t="n">
        <f aca="false">Z233*$V233</f>
        <v>39.2</v>
      </c>
      <c r="AM233" s="9" t="n">
        <f aca="false">AA233*$V233</f>
        <v>39.2</v>
      </c>
      <c r="AN233" s="9" t="n">
        <f aca="false">AB233*$V233</f>
        <v>39.2</v>
      </c>
      <c r="AO233" s="9" t="n">
        <f aca="false">AC233*$V233</f>
        <v>39.2</v>
      </c>
      <c r="AP233" s="9" t="n">
        <f aca="false">AD233*$V233</f>
        <v>39.2</v>
      </c>
      <c r="AQ233" s="9" t="n">
        <f aca="false">AE233*$V233</f>
        <v>39.2</v>
      </c>
      <c r="AR233" s="9" t="n">
        <f aca="false">AF233*$V233</f>
        <v>39.2</v>
      </c>
      <c r="AS233" s="9" t="n">
        <f aca="false">AG233*$V233</f>
        <v>39.2</v>
      </c>
      <c r="AT233" s="9" t="n">
        <f aca="false">AH233*$V233</f>
        <v>39.2</v>
      </c>
      <c r="AU233" s="9" t="n">
        <f aca="false">AI233*$V233</f>
        <v>39.2</v>
      </c>
      <c r="AV233" s="9" t="n">
        <f aca="false">SUM(X233:AI233)/1000</f>
        <v>480</v>
      </c>
      <c r="AW233" s="9" t="n">
        <f aca="false">SUM(AJ233:AU233)</f>
        <v>470.4</v>
      </c>
      <c r="AX233" s="9" t="n">
        <f aca="false">IF(D233="INR",AW233/88.24,AW233)/1000000</f>
        <v>0.0004704</v>
      </c>
    </row>
    <row r="234" s="2" customFormat="true" ht="16.4" hidden="false" customHeight="false" outlineLevel="0" collapsed="false">
      <c r="A234" s="16" t="s">
        <v>544</v>
      </c>
      <c r="B234" s="16" t="n">
        <v>5</v>
      </c>
      <c r="C234" s="16"/>
      <c r="D234" s="16" t="s">
        <v>102</v>
      </c>
      <c r="E234" s="16" t="s">
        <v>51</v>
      </c>
      <c r="F234" s="16" t="s">
        <v>52</v>
      </c>
      <c r="G234" s="16" t="s">
        <v>494</v>
      </c>
      <c r="H234" s="16" t="s">
        <v>495</v>
      </c>
      <c r="I234" s="16" t="s">
        <v>260</v>
      </c>
      <c r="J234" s="16" t="s">
        <v>520</v>
      </c>
      <c r="K234" s="16" t="s">
        <v>495</v>
      </c>
      <c r="L234" s="16" t="s">
        <v>260</v>
      </c>
      <c r="M234" s="16" t="s">
        <v>520</v>
      </c>
      <c r="N234" s="16" t="s">
        <v>57</v>
      </c>
      <c r="O234" s="16" t="s">
        <v>94</v>
      </c>
      <c r="P234" s="16" t="s">
        <v>197</v>
      </c>
      <c r="Q234" s="16" t="s">
        <v>197</v>
      </c>
      <c r="R234" s="16" t="s">
        <v>86</v>
      </c>
      <c r="S234" s="33" t="s">
        <v>521</v>
      </c>
      <c r="T234" s="16" t="s">
        <v>545</v>
      </c>
      <c r="U234" s="16" t="s">
        <v>73</v>
      </c>
      <c r="V234" s="16" t="n">
        <v>0.00087</v>
      </c>
      <c r="W234" s="16" t="n">
        <v>0.00078</v>
      </c>
      <c r="X234" s="16" t="n">
        <v>40000</v>
      </c>
      <c r="Y234" s="16" t="n">
        <v>40000</v>
      </c>
      <c r="Z234" s="16" t="n">
        <v>40000</v>
      </c>
      <c r="AA234" s="16" t="n">
        <v>40000</v>
      </c>
      <c r="AB234" s="16" t="n">
        <v>40000</v>
      </c>
      <c r="AC234" s="16" t="n">
        <v>40000</v>
      </c>
      <c r="AD234" s="16" t="n">
        <v>40000</v>
      </c>
      <c r="AE234" s="16" t="n">
        <v>40000</v>
      </c>
      <c r="AF234" s="16" t="n">
        <v>40000</v>
      </c>
      <c r="AG234" s="16" t="n">
        <v>40000</v>
      </c>
      <c r="AH234" s="16" t="n">
        <v>40000</v>
      </c>
      <c r="AI234" s="16" t="n">
        <v>40000</v>
      </c>
      <c r="AJ234" s="9" t="n">
        <f aca="false">X234*$V234</f>
        <v>34.8</v>
      </c>
      <c r="AK234" s="9" t="n">
        <f aca="false">Y234*$V234</f>
        <v>34.8</v>
      </c>
      <c r="AL234" s="9" t="n">
        <f aca="false">Z234*$V234</f>
        <v>34.8</v>
      </c>
      <c r="AM234" s="9" t="n">
        <f aca="false">AA234*$V234</f>
        <v>34.8</v>
      </c>
      <c r="AN234" s="9" t="n">
        <f aca="false">AB234*$V234</f>
        <v>34.8</v>
      </c>
      <c r="AO234" s="9" t="n">
        <f aca="false">AC234*$V234</f>
        <v>34.8</v>
      </c>
      <c r="AP234" s="9" t="n">
        <f aca="false">AD234*$V234</f>
        <v>34.8</v>
      </c>
      <c r="AQ234" s="9" t="n">
        <f aca="false">AE234*$V234</f>
        <v>34.8</v>
      </c>
      <c r="AR234" s="9" t="n">
        <f aca="false">AF234*$V234</f>
        <v>34.8</v>
      </c>
      <c r="AS234" s="9" t="n">
        <f aca="false">AG234*$V234</f>
        <v>34.8</v>
      </c>
      <c r="AT234" s="9" t="n">
        <f aca="false">AH234*$V234</f>
        <v>34.8</v>
      </c>
      <c r="AU234" s="9" t="n">
        <f aca="false">AI234*$V234</f>
        <v>34.8</v>
      </c>
      <c r="AV234" s="9" t="n">
        <f aca="false">SUM(X234:AI234)/1000</f>
        <v>480</v>
      </c>
      <c r="AW234" s="9" t="n">
        <f aca="false">SUM(AJ234:AU234)</f>
        <v>417.6</v>
      </c>
      <c r="AX234" s="9" t="n">
        <f aca="false">IF(D234="INR",AW234/88.24,AW234)/1000000</f>
        <v>0.0004176</v>
      </c>
    </row>
    <row r="235" s="2" customFormat="true" ht="16.4" hidden="false" customHeight="false" outlineLevel="0" collapsed="false">
      <c r="A235" s="35" t="s">
        <v>546</v>
      </c>
      <c r="B235" s="16" t="n">
        <v>5</v>
      </c>
      <c r="C235" s="9"/>
      <c r="D235" s="16" t="s">
        <v>102</v>
      </c>
      <c r="E235" s="9" t="s">
        <v>51</v>
      </c>
      <c r="F235" s="16" t="s">
        <v>52</v>
      </c>
      <c r="G235" s="16" t="s">
        <v>494</v>
      </c>
      <c r="H235" s="16" t="s">
        <v>495</v>
      </c>
      <c r="I235" s="9" t="s">
        <v>260</v>
      </c>
      <c r="J235" s="9" t="s">
        <v>520</v>
      </c>
      <c r="K235" s="9" t="s">
        <v>495</v>
      </c>
      <c r="L235" s="9" t="s">
        <v>260</v>
      </c>
      <c r="M235" s="9" t="s">
        <v>520</v>
      </c>
      <c r="N235" s="16" t="s">
        <v>57</v>
      </c>
      <c r="O235" s="9" t="s">
        <v>94</v>
      </c>
      <c r="P235" s="9" t="s">
        <v>85</v>
      </c>
      <c r="Q235" s="9" t="s">
        <v>85</v>
      </c>
      <c r="R235" s="9" t="s">
        <v>86</v>
      </c>
      <c r="S235" s="9" t="s">
        <v>87</v>
      </c>
      <c r="T235" s="42" t="s">
        <v>547</v>
      </c>
      <c r="U235" s="16" t="s">
        <v>73</v>
      </c>
      <c r="V235" s="16" t="n">
        <v>0.17</v>
      </c>
      <c r="W235" s="9" t="n">
        <v>0.159</v>
      </c>
      <c r="X235" s="9" t="n">
        <v>32000</v>
      </c>
      <c r="Y235" s="9" t="n">
        <v>32000</v>
      </c>
      <c r="Z235" s="9" t="n">
        <v>32000</v>
      </c>
      <c r="AA235" s="9" t="n">
        <v>32000</v>
      </c>
      <c r="AB235" s="9" t="n">
        <v>32000</v>
      </c>
      <c r="AC235" s="9" t="n">
        <v>32000</v>
      </c>
      <c r="AD235" s="9" t="n">
        <v>32000</v>
      </c>
      <c r="AE235" s="9" t="n">
        <v>32000</v>
      </c>
      <c r="AF235" s="9" t="n">
        <v>32000</v>
      </c>
      <c r="AG235" s="9" t="n">
        <v>32000</v>
      </c>
      <c r="AH235" s="9" t="n">
        <v>32000</v>
      </c>
      <c r="AI235" s="9" t="n">
        <v>32000</v>
      </c>
      <c r="AJ235" s="9" t="n">
        <f aca="false">X235*$V235</f>
        <v>5440</v>
      </c>
      <c r="AK235" s="9" t="n">
        <f aca="false">Y235*$V235</f>
        <v>5440</v>
      </c>
      <c r="AL235" s="9" t="n">
        <f aca="false">Z235*$V235</f>
        <v>5440</v>
      </c>
      <c r="AM235" s="9" t="n">
        <f aca="false">AA235*$V235</f>
        <v>5440</v>
      </c>
      <c r="AN235" s="9" t="n">
        <f aca="false">AB235*$V235</f>
        <v>5440</v>
      </c>
      <c r="AO235" s="9" t="n">
        <f aca="false">AC235*$V235</f>
        <v>5440</v>
      </c>
      <c r="AP235" s="9" t="n">
        <f aca="false">AD235*$V235</f>
        <v>5440</v>
      </c>
      <c r="AQ235" s="9" t="n">
        <f aca="false">AE235*$V235</f>
        <v>5440</v>
      </c>
      <c r="AR235" s="9" t="n">
        <f aca="false">AF235*$V235</f>
        <v>5440</v>
      </c>
      <c r="AS235" s="9" t="n">
        <f aca="false">AG235*$V235</f>
        <v>5440</v>
      </c>
      <c r="AT235" s="9" t="n">
        <f aca="false">AH235*$V235</f>
        <v>5440</v>
      </c>
      <c r="AU235" s="9" t="n">
        <f aca="false">AI235*$V235</f>
        <v>5440</v>
      </c>
      <c r="AV235" s="9" t="n">
        <f aca="false">SUM(X235:AI235)/1000</f>
        <v>384</v>
      </c>
      <c r="AW235" s="9" t="n">
        <f aca="false">SUM(AJ235:AU235)</f>
        <v>65280</v>
      </c>
      <c r="AX235" s="9" t="n">
        <f aca="false">IF(D235="INR",AW235/88.24,AW235)/1000000</f>
        <v>0.06528</v>
      </c>
    </row>
    <row r="236" s="2" customFormat="true" ht="14.25" hidden="false" customHeight="false" outlineLevel="0" collapsed="false">
      <c r="A236" s="12" t="s">
        <v>548</v>
      </c>
      <c r="B236" s="16" t="n">
        <v>5</v>
      </c>
      <c r="C236" s="15"/>
      <c r="D236" s="16" t="s">
        <v>102</v>
      </c>
      <c r="E236" s="16" t="s">
        <v>51</v>
      </c>
      <c r="F236" s="16" t="s">
        <v>52</v>
      </c>
      <c r="G236" s="16" t="s">
        <v>494</v>
      </c>
      <c r="H236" s="16" t="s">
        <v>495</v>
      </c>
      <c r="I236" s="16" t="s">
        <v>260</v>
      </c>
      <c r="J236" s="16" t="s">
        <v>520</v>
      </c>
      <c r="K236" s="16" t="s">
        <v>495</v>
      </c>
      <c r="L236" s="16" t="s">
        <v>260</v>
      </c>
      <c r="M236" s="16" t="s">
        <v>520</v>
      </c>
      <c r="N236" s="16" t="s">
        <v>57</v>
      </c>
      <c r="O236" s="16" t="s">
        <v>94</v>
      </c>
      <c r="P236" s="16" t="s">
        <v>549</v>
      </c>
      <c r="Q236" s="16" t="s">
        <v>188</v>
      </c>
      <c r="R236" s="16" t="s">
        <v>550</v>
      </c>
      <c r="S236" s="16" t="s">
        <v>528</v>
      </c>
      <c r="T236" s="16" t="s">
        <v>551</v>
      </c>
      <c r="U236" s="16" t="s">
        <v>73</v>
      </c>
      <c r="V236" s="16" t="n">
        <v>0.035</v>
      </c>
      <c r="W236" s="16" t="n">
        <v>0.0313</v>
      </c>
      <c r="X236" s="16" t="n">
        <v>32000</v>
      </c>
      <c r="Y236" s="16" t="n">
        <v>32000</v>
      </c>
      <c r="Z236" s="16" t="n">
        <v>32000</v>
      </c>
      <c r="AA236" s="16" t="n">
        <v>32000</v>
      </c>
      <c r="AB236" s="16" t="n">
        <v>32000</v>
      </c>
      <c r="AC236" s="16" t="n">
        <v>32000</v>
      </c>
      <c r="AD236" s="16" t="n">
        <v>32000</v>
      </c>
      <c r="AE236" s="16" t="n">
        <v>32000</v>
      </c>
      <c r="AF236" s="16" t="n">
        <v>32000</v>
      </c>
      <c r="AG236" s="16" t="n">
        <v>32000</v>
      </c>
      <c r="AH236" s="16" t="n">
        <v>32000</v>
      </c>
      <c r="AI236" s="16" t="n">
        <v>32000</v>
      </c>
      <c r="AJ236" s="9" t="n">
        <f aca="false">X236*$V236</f>
        <v>1120</v>
      </c>
      <c r="AK236" s="9" t="n">
        <f aca="false">Y236*$V236</f>
        <v>1120</v>
      </c>
      <c r="AL236" s="9" t="n">
        <f aca="false">Z236*$V236</f>
        <v>1120</v>
      </c>
      <c r="AM236" s="9" t="n">
        <f aca="false">AA236*$V236</f>
        <v>1120</v>
      </c>
      <c r="AN236" s="9" t="n">
        <f aca="false">AB236*$V236</f>
        <v>1120</v>
      </c>
      <c r="AO236" s="9" t="n">
        <f aca="false">AC236*$V236</f>
        <v>1120</v>
      </c>
      <c r="AP236" s="9" t="n">
        <f aca="false">AD236*$V236</f>
        <v>1120</v>
      </c>
      <c r="AQ236" s="9" t="n">
        <f aca="false">AE236*$V236</f>
        <v>1120</v>
      </c>
      <c r="AR236" s="9" t="n">
        <f aca="false">AF236*$V236</f>
        <v>1120</v>
      </c>
      <c r="AS236" s="9" t="n">
        <f aca="false">AG236*$V236</f>
        <v>1120</v>
      </c>
      <c r="AT236" s="9" t="n">
        <f aca="false">AH236*$V236</f>
        <v>1120</v>
      </c>
      <c r="AU236" s="9" t="n">
        <f aca="false">AI236*$V236</f>
        <v>1120</v>
      </c>
      <c r="AV236" s="9" t="n">
        <f aca="false">SUM(X236:AI236)/1000</f>
        <v>384</v>
      </c>
      <c r="AW236" s="9" t="n">
        <f aca="false">SUM(AJ236:AU236)</f>
        <v>13440</v>
      </c>
      <c r="AX236" s="9" t="n">
        <f aca="false">IF(D236="INR",AW236/88.24,AW236)/1000000</f>
        <v>0.01344</v>
      </c>
    </row>
    <row r="237" s="2" customFormat="true" ht="16.4" hidden="false" customHeight="false" outlineLevel="0" collapsed="false">
      <c r="A237" s="35" t="s">
        <v>552</v>
      </c>
      <c r="B237" s="9"/>
      <c r="C237" s="10"/>
      <c r="D237" s="9" t="s">
        <v>50</v>
      </c>
      <c r="E237" s="9" t="s">
        <v>51</v>
      </c>
      <c r="F237" s="9" t="s">
        <v>52</v>
      </c>
      <c r="G237" s="9" t="s">
        <v>391</v>
      </c>
      <c r="H237" s="9" t="s">
        <v>392</v>
      </c>
      <c r="I237" s="9" t="s">
        <v>260</v>
      </c>
      <c r="J237" s="9" t="s">
        <v>276</v>
      </c>
      <c r="K237" s="9"/>
      <c r="L237" s="9" t="s">
        <v>260</v>
      </c>
      <c r="M237" s="9" t="s">
        <v>276</v>
      </c>
      <c r="N237" s="16" t="s">
        <v>93</v>
      </c>
      <c r="O237" s="9" t="s">
        <v>58</v>
      </c>
      <c r="P237" s="9" t="s">
        <v>262</v>
      </c>
      <c r="Q237" s="9" t="s">
        <v>262</v>
      </c>
      <c r="R237" s="9" t="s">
        <v>263</v>
      </c>
      <c r="S237" s="9" t="s">
        <v>264</v>
      </c>
      <c r="T237" s="9" t="s">
        <v>553</v>
      </c>
      <c r="U237" s="9" t="s">
        <v>73</v>
      </c>
      <c r="V237" s="9" t="n">
        <v>4.22</v>
      </c>
      <c r="W237" s="9" t="n">
        <v>0</v>
      </c>
      <c r="X237" s="9" t="n">
        <v>90000</v>
      </c>
      <c r="Y237" s="9" t="n">
        <v>90000</v>
      </c>
      <c r="Z237" s="9" t="n">
        <v>90000</v>
      </c>
      <c r="AA237" s="9" t="n">
        <v>90000</v>
      </c>
      <c r="AB237" s="9" t="n">
        <v>90000</v>
      </c>
      <c r="AC237" s="9" t="n">
        <v>90000</v>
      </c>
      <c r="AD237" s="9" t="n">
        <v>90000</v>
      </c>
      <c r="AE237" s="9" t="n">
        <v>90000</v>
      </c>
      <c r="AF237" s="9" t="n">
        <v>90000</v>
      </c>
      <c r="AG237" s="9" t="n">
        <v>90000</v>
      </c>
      <c r="AH237" s="9" t="n">
        <v>90000</v>
      </c>
      <c r="AI237" s="9" t="n">
        <v>90000</v>
      </c>
      <c r="AJ237" s="9" t="n">
        <f aca="false">X237*$V237</f>
        <v>379800</v>
      </c>
      <c r="AK237" s="9" t="n">
        <f aca="false">Y237*$V237</f>
        <v>379800</v>
      </c>
      <c r="AL237" s="9" t="n">
        <f aca="false">Z237*$V237</f>
        <v>379800</v>
      </c>
      <c r="AM237" s="9" t="n">
        <f aca="false">AA237*$V237</f>
        <v>379800</v>
      </c>
      <c r="AN237" s="9" t="n">
        <f aca="false">AB237*$V237</f>
        <v>379800</v>
      </c>
      <c r="AO237" s="9" t="n">
        <f aca="false">AC237*$V237</f>
        <v>379800</v>
      </c>
      <c r="AP237" s="9" t="n">
        <f aca="false">AD237*$V237</f>
        <v>379800</v>
      </c>
      <c r="AQ237" s="9" t="n">
        <f aca="false">AE237*$V237</f>
        <v>379800</v>
      </c>
      <c r="AR237" s="9" t="n">
        <f aca="false">AF237*$V237</f>
        <v>379800</v>
      </c>
      <c r="AS237" s="9" t="n">
        <f aca="false">AG237*$V237</f>
        <v>379800</v>
      </c>
      <c r="AT237" s="9" t="n">
        <f aca="false">AH237*$V237</f>
        <v>379800</v>
      </c>
      <c r="AU237" s="9" t="n">
        <f aca="false">AI237*$V237</f>
        <v>379800</v>
      </c>
      <c r="AV237" s="9" t="n">
        <f aca="false">SUM(X237:AI237)/1000</f>
        <v>1080</v>
      </c>
      <c r="AW237" s="9" t="n">
        <f aca="false">SUM(AJ237:AU237)</f>
        <v>4557600</v>
      </c>
      <c r="AX237" s="9" t="n">
        <f aca="false">IF(D237="INR",AW237/88.24,AW237)/1000000</f>
        <v>0.0516500453309157</v>
      </c>
    </row>
    <row r="238" s="2" customFormat="true" ht="14.25" hidden="false" customHeight="false" outlineLevel="0" collapsed="false">
      <c r="A238" s="12" t="s">
        <v>554</v>
      </c>
      <c r="B238" s="16" t="n">
        <v>5</v>
      </c>
      <c r="C238" s="15"/>
      <c r="D238" s="16" t="s">
        <v>102</v>
      </c>
      <c r="E238" s="16" t="s">
        <v>51</v>
      </c>
      <c r="F238" s="16" t="s">
        <v>52</v>
      </c>
      <c r="G238" s="16" t="s">
        <v>494</v>
      </c>
      <c r="H238" s="16" t="s">
        <v>495</v>
      </c>
      <c r="I238" s="16" t="s">
        <v>260</v>
      </c>
      <c r="J238" s="16" t="s">
        <v>520</v>
      </c>
      <c r="K238" s="16" t="s">
        <v>495</v>
      </c>
      <c r="L238" s="16" t="s">
        <v>260</v>
      </c>
      <c r="M238" s="16" t="s">
        <v>520</v>
      </c>
      <c r="N238" s="16" t="s">
        <v>57</v>
      </c>
      <c r="O238" s="16" t="s">
        <v>94</v>
      </c>
      <c r="P238" s="16" t="s">
        <v>197</v>
      </c>
      <c r="Q238" s="16" t="s">
        <v>197</v>
      </c>
      <c r="R238" s="16" t="s">
        <v>86</v>
      </c>
      <c r="S238" s="16" t="s">
        <v>521</v>
      </c>
      <c r="T238" s="16" t="s">
        <v>555</v>
      </c>
      <c r="U238" s="16" t="s">
        <v>73</v>
      </c>
      <c r="V238" s="16" t="n">
        <v>0.02031</v>
      </c>
      <c r="W238" s="16" t="n">
        <v>0.0175</v>
      </c>
      <c r="X238" s="16" t="n">
        <v>32000</v>
      </c>
      <c r="Y238" s="16" t="n">
        <v>32000</v>
      </c>
      <c r="Z238" s="16" t="n">
        <v>32000</v>
      </c>
      <c r="AA238" s="16" t="n">
        <v>32000</v>
      </c>
      <c r="AB238" s="16" t="n">
        <v>32000</v>
      </c>
      <c r="AC238" s="16" t="n">
        <v>32000</v>
      </c>
      <c r="AD238" s="16" t="n">
        <v>32000</v>
      </c>
      <c r="AE238" s="16" t="n">
        <v>32000</v>
      </c>
      <c r="AF238" s="16" t="n">
        <v>32000</v>
      </c>
      <c r="AG238" s="16" t="n">
        <v>32000</v>
      </c>
      <c r="AH238" s="16" t="n">
        <v>32000</v>
      </c>
      <c r="AI238" s="16" t="n">
        <v>32000</v>
      </c>
      <c r="AJ238" s="9" t="n">
        <f aca="false">X238*$V238</f>
        <v>649.92</v>
      </c>
      <c r="AK238" s="9" t="n">
        <f aca="false">Y238*$V238</f>
        <v>649.92</v>
      </c>
      <c r="AL238" s="9" t="n">
        <f aca="false">Z238*$V238</f>
        <v>649.92</v>
      </c>
      <c r="AM238" s="9" t="n">
        <f aca="false">AA238*$V238</f>
        <v>649.92</v>
      </c>
      <c r="AN238" s="9" t="n">
        <f aca="false">AB238*$V238</f>
        <v>649.92</v>
      </c>
      <c r="AO238" s="9" t="n">
        <f aca="false">AC238*$V238</f>
        <v>649.92</v>
      </c>
      <c r="AP238" s="9" t="n">
        <f aca="false">AD238*$V238</f>
        <v>649.92</v>
      </c>
      <c r="AQ238" s="9" t="n">
        <f aca="false">AE238*$V238</f>
        <v>649.92</v>
      </c>
      <c r="AR238" s="9" t="n">
        <f aca="false">AF238*$V238</f>
        <v>649.92</v>
      </c>
      <c r="AS238" s="9" t="n">
        <f aca="false">AG238*$V238</f>
        <v>649.92</v>
      </c>
      <c r="AT238" s="9" t="n">
        <f aca="false">AH238*$V238</f>
        <v>649.92</v>
      </c>
      <c r="AU238" s="9" t="n">
        <f aca="false">AI238*$V238</f>
        <v>649.92</v>
      </c>
      <c r="AV238" s="9" t="n">
        <f aca="false">SUM(X238:AI238)/1000</f>
        <v>384</v>
      </c>
      <c r="AW238" s="9" t="n">
        <f aca="false">SUM(AJ238:AU238)</f>
        <v>7799.04</v>
      </c>
      <c r="AX238" s="9" t="n">
        <f aca="false">IF(D238="INR",AW238/88.24,AW238)/1000000</f>
        <v>0.00779904</v>
      </c>
    </row>
    <row r="239" s="2" customFormat="true" ht="16.4" hidden="false" customHeight="false" outlineLevel="0" collapsed="false">
      <c r="A239" s="16" t="s">
        <v>556</v>
      </c>
      <c r="B239" s="16" t="n">
        <v>5</v>
      </c>
      <c r="C239" s="16"/>
      <c r="D239" s="16" t="s">
        <v>102</v>
      </c>
      <c r="E239" s="16" t="s">
        <v>51</v>
      </c>
      <c r="F239" s="16" t="s">
        <v>52</v>
      </c>
      <c r="G239" s="16" t="s">
        <v>494</v>
      </c>
      <c r="H239" s="16" t="s">
        <v>495</v>
      </c>
      <c r="I239" s="16" t="s">
        <v>260</v>
      </c>
      <c r="J239" s="16" t="s">
        <v>520</v>
      </c>
      <c r="K239" s="16" t="s">
        <v>495</v>
      </c>
      <c r="L239" s="16" t="s">
        <v>260</v>
      </c>
      <c r="M239" s="16" t="s">
        <v>520</v>
      </c>
      <c r="N239" s="16" t="s">
        <v>57</v>
      </c>
      <c r="O239" s="16" t="s">
        <v>94</v>
      </c>
      <c r="P239" s="16" t="s">
        <v>197</v>
      </c>
      <c r="Q239" s="16" t="s">
        <v>197</v>
      </c>
      <c r="R239" s="16" t="s">
        <v>86</v>
      </c>
      <c r="S239" s="16" t="s">
        <v>521</v>
      </c>
      <c r="T239" s="16" t="s">
        <v>557</v>
      </c>
      <c r="U239" s="26" t="s">
        <v>73</v>
      </c>
      <c r="V239" s="16" t="n">
        <v>0.00118</v>
      </c>
      <c r="W239" s="16" t="n">
        <v>0.00106</v>
      </c>
      <c r="X239" s="16" t="n">
        <v>32000</v>
      </c>
      <c r="Y239" s="16" t="n">
        <v>32000</v>
      </c>
      <c r="Z239" s="16" t="n">
        <v>32000</v>
      </c>
      <c r="AA239" s="16" t="n">
        <v>32000</v>
      </c>
      <c r="AB239" s="16" t="n">
        <v>32000</v>
      </c>
      <c r="AC239" s="16" t="n">
        <v>32000</v>
      </c>
      <c r="AD239" s="26" t="n">
        <v>32000</v>
      </c>
      <c r="AE239" s="16" t="n">
        <v>32000</v>
      </c>
      <c r="AF239" s="16" t="n">
        <v>32000</v>
      </c>
      <c r="AG239" s="16" t="n">
        <v>32000</v>
      </c>
      <c r="AH239" s="16" t="n">
        <v>32000</v>
      </c>
      <c r="AI239" s="16" t="n">
        <v>32000</v>
      </c>
      <c r="AJ239" s="9" t="n">
        <f aca="false">X239*$V239</f>
        <v>37.76</v>
      </c>
      <c r="AK239" s="9" t="n">
        <f aca="false">Y239*$V239</f>
        <v>37.76</v>
      </c>
      <c r="AL239" s="9" t="n">
        <f aca="false">Z239*$V239</f>
        <v>37.76</v>
      </c>
      <c r="AM239" s="9" t="n">
        <f aca="false">AA239*$V239</f>
        <v>37.76</v>
      </c>
      <c r="AN239" s="9" t="n">
        <f aca="false">AB239*$V239</f>
        <v>37.76</v>
      </c>
      <c r="AO239" s="9" t="n">
        <f aca="false">AC239*$V239</f>
        <v>37.76</v>
      </c>
      <c r="AP239" s="9" t="n">
        <f aca="false">AD239*$V239</f>
        <v>37.76</v>
      </c>
      <c r="AQ239" s="9" t="n">
        <f aca="false">AE239*$V239</f>
        <v>37.76</v>
      </c>
      <c r="AR239" s="9" t="n">
        <f aca="false">AF239*$V239</f>
        <v>37.76</v>
      </c>
      <c r="AS239" s="9" t="n">
        <f aca="false">AG239*$V239</f>
        <v>37.76</v>
      </c>
      <c r="AT239" s="9" t="n">
        <f aca="false">AH239*$V239</f>
        <v>37.76</v>
      </c>
      <c r="AU239" s="9" t="n">
        <f aca="false">AI239*$V239</f>
        <v>37.76</v>
      </c>
      <c r="AV239" s="9" t="n">
        <f aca="false">SUM(X239:AI239)/1000</f>
        <v>384</v>
      </c>
      <c r="AW239" s="9" t="n">
        <f aca="false">SUM(AJ239:AU239)</f>
        <v>453.12</v>
      </c>
      <c r="AX239" s="9" t="n">
        <f aca="false">IF(D239="INR",AW239/88.24,AW239)/1000000</f>
        <v>0.00045312</v>
      </c>
    </row>
    <row r="240" s="2" customFormat="true" ht="16.4" hidden="false" customHeight="false" outlineLevel="0" collapsed="false">
      <c r="A240" s="16" t="s">
        <v>558</v>
      </c>
      <c r="B240" s="16" t="n">
        <v>5</v>
      </c>
      <c r="C240" s="16"/>
      <c r="D240" s="16" t="s">
        <v>102</v>
      </c>
      <c r="E240" s="16" t="s">
        <v>51</v>
      </c>
      <c r="F240" s="16" t="s">
        <v>52</v>
      </c>
      <c r="G240" s="16" t="s">
        <v>494</v>
      </c>
      <c r="H240" s="16" t="s">
        <v>495</v>
      </c>
      <c r="I240" s="16" t="s">
        <v>260</v>
      </c>
      <c r="J240" s="16" t="s">
        <v>520</v>
      </c>
      <c r="K240" s="16" t="s">
        <v>495</v>
      </c>
      <c r="L240" s="16" t="s">
        <v>260</v>
      </c>
      <c r="M240" s="16" t="s">
        <v>520</v>
      </c>
      <c r="N240" s="16" t="s">
        <v>57</v>
      </c>
      <c r="O240" s="16" t="s">
        <v>94</v>
      </c>
      <c r="P240" s="16" t="s">
        <v>197</v>
      </c>
      <c r="Q240" s="16" t="s">
        <v>197</v>
      </c>
      <c r="R240" s="26" t="s">
        <v>86</v>
      </c>
      <c r="S240" s="16" t="s">
        <v>521</v>
      </c>
      <c r="T240" s="16" t="s">
        <v>559</v>
      </c>
      <c r="U240" s="16" t="s">
        <v>73</v>
      </c>
      <c r="V240" s="16" t="n">
        <v>0.00098</v>
      </c>
      <c r="W240" s="16" t="n">
        <v>0.00149</v>
      </c>
      <c r="X240" s="16" t="n">
        <v>32000</v>
      </c>
      <c r="Y240" s="16" t="n">
        <v>32000</v>
      </c>
      <c r="Z240" s="16" t="n">
        <v>32000</v>
      </c>
      <c r="AA240" s="16" t="n">
        <v>32000</v>
      </c>
      <c r="AB240" s="16" t="n">
        <v>32000</v>
      </c>
      <c r="AC240" s="16" t="n">
        <v>32000</v>
      </c>
      <c r="AD240" s="16" t="n">
        <v>32000</v>
      </c>
      <c r="AE240" s="16" t="n">
        <v>32000</v>
      </c>
      <c r="AF240" s="16" t="n">
        <v>32000</v>
      </c>
      <c r="AG240" s="16" t="n">
        <v>32000</v>
      </c>
      <c r="AH240" s="16" t="n">
        <v>32000</v>
      </c>
      <c r="AI240" s="16" t="n">
        <v>32000</v>
      </c>
      <c r="AJ240" s="9" t="n">
        <f aca="false">X240*$V240</f>
        <v>31.36</v>
      </c>
      <c r="AK240" s="9" t="n">
        <f aca="false">Y240*$V240</f>
        <v>31.36</v>
      </c>
      <c r="AL240" s="9" t="n">
        <f aca="false">Z240*$V240</f>
        <v>31.36</v>
      </c>
      <c r="AM240" s="9" t="n">
        <f aca="false">AA240*$V240</f>
        <v>31.36</v>
      </c>
      <c r="AN240" s="9" t="n">
        <f aca="false">AB240*$V240</f>
        <v>31.36</v>
      </c>
      <c r="AO240" s="9" t="n">
        <f aca="false">AC240*$V240</f>
        <v>31.36</v>
      </c>
      <c r="AP240" s="9" t="n">
        <f aca="false">AD240*$V240</f>
        <v>31.36</v>
      </c>
      <c r="AQ240" s="9" t="n">
        <f aca="false">AE240*$V240</f>
        <v>31.36</v>
      </c>
      <c r="AR240" s="9" t="n">
        <f aca="false">AF240*$V240</f>
        <v>31.36</v>
      </c>
      <c r="AS240" s="9" t="n">
        <f aca="false">AG240*$V240</f>
        <v>31.36</v>
      </c>
      <c r="AT240" s="9" t="n">
        <f aca="false">AH240*$V240</f>
        <v>31.36</v>
      </c>
      <c r="AU240" s="9" t="n">
        <f aca="false">AI240*$V240</f>
        <v>31.36</v>
      </c>
      <c r="AV240" s="9" t="n">
        <f aca="false">SUM(X240:AI240)/1000</f>
        <v>384</v>
      </c>
      <c r="AW240" s="9" t="n">
        <f aca="false">SUM(AJ240:AU240)</f>
        <v>376.32</v>
      </c>
      <c r="AX240" s="9" t="n">
        <f aca="false">IF(D240="INR",AW240/88.24,AW240)/1000000</f>
        <v>0.00037632</v>
      </c>
    </row>
    <row r="241" s="2" customFormat="true" ht="16.4" hidden="false" customHeight="false" outlineLevel="0" collapsed="false">
      <c r="A241" s="16" t="s">
        <v>560</v>
      </c>
      <c r="B241" s="16" t="n">
        <v>5</v>
      </c>
      <c r="C241" s="16"/>
      <c r="D241" s="16" t="s">
        <v>102</v>
      </c>
      <c r="E241" s="16" t="s">
        <v>51</v>
      </c>
      <c r="F241" s="16" t="s">
        <v>52</v>
      </c>
      <c r="G241" s="16" t="s">
        <v>494</v>
      </c>
      <c r="H241" s="16" t="s">
        <v>495</v>
      </c>
      <c r="I241" s="16" t="s">
        <v>260</v>
      </c>
      <c r="J241" s="16" t="s">
        <v>520</v>
      </c>
      <c r="K241" s="16" t="s">
        <v>495</v>
      </c>
      <c r="L241" s="16" t="s">
        <v>260</v>
      </c>
      <c r="M241" s="16" t="s">
        <v>520</v>
      </c>
      <c r="N241" s="16" t="s">
        <v>57</v>
      </c>
      <c r="O241" s="16" t="s">
        <v>94</v>
      </c>
      <c r="P241" s="16" t="s">
        <v>197</v>
      </c>
      <c r="Q241" s="16" t="s">
        <v>197</v>
      </c>
      <c r="R241" s="16" t="s">
        <v>86</v>
      </c>
      <c r="S241" s="26" t="s">
        <v>521</v>
      </c>
      <c r="T241" s="16" t="s">
        <v>561</v>
      </c>
      <c r="U241" s="16" t="s">
        <v>73</v>
      </c>
      <c r="V241" s="16" t="n">
        <v>0.00087</v>
      </c>
      <c r="W241" s="16" t="n">
        <v>0.00078</v>
      </c>
      <c r="X241" s="16" t="n">
        <v>32000</v>
      </c>
      <c r="Y241" s="16" t="n">
        <v>32000</v>
      </c>
      <c r="Z241" s="16" t="n">
        <v>32000</v>
      </c>
      <c r="AA241" s="16" t="n">
        <v>32000</v>
      </c>
      <c r="AB241" s="16" t="n">
        <v>32000</v>
      </c>
      <c r="AC241" s="16" t="n">
        <v>32000</v>
      </c>
      <c r="AD241" s="16" t="n">
        <v>32000</v>
      </c>
      <c r="AE241" s="16" t="n">
        <v>32000</v>
      </c>
      <c r="AF241" s="16" t="n">
        <v>32000</v>
      </c>
      <c r="AG241" s="16" t="n">
        <v>32000</v>
      </c>
      <c r="AH241" s="16" t="n">
        <v>32000</v>
      </c>
      <c r="AI241" s="16" t="n">
        <v>32000</v>
      </c>
      <c r="AJ241" s="9" t="n">
        <f aca="false">X241*$V241</f>
        <v>27.84</v>
      </c>
      <c r="AK241" s="9" t="n">
        <f aca="false">Y241*$V241</f>
        <v>27.84</v>
      </c>
      <c r="AL241" s="9" t="n">
        <f aca="false">Z241*$V241</f>
        <v>27.84</v>
      </c>
      <c r="AM241" s="9" t="n">
        <f aca="false">AA241*$V241</f>
        <v>27.84</v>
      </c>
      <c r="AN241" s="9" t="n">
        <f aca="false">AB241*$V241</f>
        <v>27.84</v>
      </c>
      <c r="AO241" s="9" t="n">
        <f aca="false">AC241*$V241</f>
        <v>27.84</v>
      </c>
      <c r="AP241" s="9" t="n">
        <f aca="false">AD241*$V241</f>
        <v>27.84</v>
      </c>
      <c r="AQ241" s="9" t="n">
        <f aca="false">AE241*$V241</f>
        <v>27.84</v>
      </c>
      <c r="AR241" s="9" t="n">
        <f aca="false">AF241*$V241</f>
        <v>27.84</v>
      </c>
      <c r="AS241" s="9" t="n">
        <f aca="false">AG241*$V241</f>
        <v>27.84</v>
      </c>
      <c r="AT241" s="9" t="n">
        <f aca="false">AH241*$V241</f>
        <v>27.84</v>
      </c>
      <c r="AU241" s="9" t="n">
        <f aca="false">AI241*$V241</f>
        <v>27.84</v>
      </c>
      <c r="AV241" s="9" t="n">
        <f aca="false">SUM(X241:AI241)/1000</f>
        <v>384</v>
      </c>
      <c r="AW241" s="9" t="n">
        <f aca="false">SUM(AJ241:AU241)</f>
        <v>334.08</v>
      </c>
      <c r="AX241" s="9" t="n">
        <f aca="false">IF(D241="INR",AW241/88.24,AW241)/1000000</f>
        <v>0.00033408</v>
      </c>
    </row>
    <row r="242" s="2" customFormat="true" ht="16.4" hidden="false" customHeight="false" outlineLevel="0" collapsed="false">
      <c r="A242" s="16" t="s">
        <v>562</v>
      </c>
      <c r="B242" s="16" t="n">
        <v>5</v>
      </c>
      <c r="C242" s="16"/>
      <c r="D242" s="16" t="s">
        <v>102</v>
      </c>
      <c r="E242" s="16" t="s">
        <v>51</v>
      </c>
      <c r="F242" s="16" t="s">
        <v>52</v>
      </c>
      <c r="G242" s="16" t="s">
        <v>494</v>
      </c>
      <c r="H242" s="16" t="s">
        <v>495</v>
      </c>
      <c r="I242" s="16" t="s">
        <v>260</v>
      </c>
      <c r="J242" s="16" t="s">
        <v>520</v>
      </c>
      <c r="K242" s="16" t="s">
        <v>495</v>
      </c>
      <c r="L242" s="16" t="s">
        <v>260</v>
      </c>
      <c r="M242" s="16" t="s">
        <v>520</v>
      </c>
      <c r="N242" s="16" t="s">
        <v>57</v>
      </c>
      <c r="O242" s="16" t="s">
        <v>94</v>
      </c>
      <c r="P242" s="16" t="s">
        <v>197</v>
      </c>
      <c r="Q242" s="16" t="s">
        <v>197</v>
      </c>
      <c r="R242" s="16" t="s">
        <v>86</v>
      </c>
      <c r="S242" s="26" t="s">
        <v>521</v>
      </c>
      <c r="T242" s="16" t="s">
        <v>563</v>
      </c>
      <c r="U242" s="16" t="s">
        <v>73</v>
      </c>
      <c r="V242" s="16" t="n">
        <v>0.00087</v>
      </c>
      <c r="W242" s="16" t="n">
        <v>0.00078</v>
      </c>
      <c r="X242" s="16" t="n">
        <v>32000</v>
      </c>
      <c r="Y242" s="16" t="n">
        <v>32000</v>
      </c>
      <c r="Z242" s="16" t="n">
        <v>32000</v>
      </c>
      <c r="AA242" s="16" t="n">
        <v>32000</v>
      </c>
      <c r="AB242" s="16" t="n">
        <v>32000</v>
      </c>
      <c r="AC242" s="16" t="n">
        <v>32000</v>
      </c>
      <c r="AD242" s="16" t="n">
        <v>32000</v>
      </c>
      <c r="AE242" s="16" t="n">
        <v>32000</v>
      </c>
      <c r="AF242" s="16" t="n">
        <v>32000</v>
      </c>
      <c r="AG242" s="16" t="n">
        <v>32000</v>
      </c>
      <c r="AH242" s="16" t="n">
        <v>32000</v>
      </c>
      <c r="AI242" s="16" t="n">
        <v>32000</v>
      </c>
      <c r="AJ242" s="9" t="n">
        <f aca="false">X242*$V242</f>
        <v>27.84</v>
      </c>
      <c r="AK242" s="9" t="n">
        <f aca="false">Y242*$V242</f>
        <v>27.84</v>
      </c>
      <c r="AL242" s="9" t="n">
        <f aca="false">Z242*$V242</f>
        <v>27.84</v>
      </c>
      <c r="AM242" s="9" t="n">
        <f aca="false">AA242*$V242</f>
        <v>27.84</v>
      </c>
      <c r="AN242" s="9" t="n">
        <f aca="false">AB242*$V242</f>
        <v>27.84</v>
      </c>
      <c r="AO242" s="9" t="n">
        <f aca="false">AC242*$V242</f>
        <v>27.84</v>
      </c>
      <c r="AP242" s="9" t="n">
        <f aca="false">AD242*$V242</f>
        <v>27.84</v>
      </c>
      <c r="AQ242" s="9" t="n">
        <f aca="false">AE242*$V242</f>
        <v>27.84</v>
      </c>
      <c r="AR242" s="9" t="n">
        <f aca="false">AF242*$V242</f>
        <v>27.84</v>
      </c>
      <c r="AS242" s="9" t="n">
        <f aca="false">AG242*$V242</f>
        <v>27.84</v>
      </c>
      <c r="AT242" s="9" t="n">
        <f aca="false">AH242*$V242</f>
        <v>27.84</v>
      </c>
      <c r="AU242" s="9" t="n">
        <f aca="false">AI242*$V242</f>
        <v>27.84</v>
      </c>
      <c r="AV242" s="9" t="n">
        <f aca="false">SUM(X242:AI242)/1000</f>
        <v>384</v>
      </c>
      <c r="AW242" s="9" t="n">
        <f aca="false">SUM(AJ242:AU242)</f>
        <v>334.08</v>
      </c>
      <c r="AX242" s="9" t="n">
        <f aca="false">IF(D242="INR",AW242/88.24,AW242)/1000000</f>
        <v>0.00033408</v>
      </c>
    </row>
    <row r="243" s="2" customFormat="true" ht="14.25" hidden="false" customHeight="false" outlineLevel="0" collapsed="false">
      <c r="A243" s="12" t="s">
        <v>564</v>
      </c>
      <c r="B243" s="16" t="n">
        <v>5</v>
      </c>
      <c r="C243" s="15"/>
      <c r="D243" s="16" t="s">
        <v>102</v>
      </c>
      <c r="E243" s="16" t="s">
        <v>51</v>
      </c>
      <c r="F243" s="16" t="s">
        <v>52</v>
      </c>
      <c r="G243" s="16" t="s">
        <v>494</v>
      </c>
      <c r="H243" s="16" t="s">
        <v>495</v>
      </c>
      <c r="I243" s="16" t="s">
        <v>260</v>
      </c>
      <c r="J243" s="16" t="s">
        <v>520</v>
      </c>
      <c r="K243" s="16" t="s">
        <v>495</v>
      </c>
      <c r="L243" s="16" t="s">
        <v>260</v>
      </c>
      <c r="M243" s="16" t="s">
        <v>520</v>
      </c>
      <c r="N243" s="16" t="s">
        <v>57</v>
      </c>
      <c r="O243" s="16" t="s">
        <v>94</v>
      </c>
      <c r="P243" s="9" t="s">
        <v>197</v>
      </c>
      <c r="Q243" s="16" t="s">
        <v>197</v>
      </c>
      <c r="R243" s="16" t="s">
        <v>86</v>
      </c>
      <c r="S243" s="16" t="s">
        <v>521</v>
      </c>
      <c r="T243" s="16" t="s">
        <v>565</v>
      </c>
      <c r="U243" s="16" t="s">
        <v>73</v>
      </c>
      <c r="V243" s="16" t="n">
        <v>0.06059</v>
      </c>
      <c r="W243" s="16" t="n">
        <v>0.05453</v>
      </c>
      <c r="X243" s="16" t="n">
        <v>24000</v>
      </c>
      <c r="Y243" s="16" t="n">
        <v>24000</v>
      </c>
      <c r="Z243" s="16" t="n">
        <v>24000</v>
      </c>
      <c r="AA243" s="16" t="n">
        <v>24000</v>
      </c>
      <c r="AB243" s="16" t="n">
        <v>24000</v>
      </c>
      <c r="AC243" s="16" t="n">
        <v>24000</v>
      </c>
      <c r="AD243" s="16" t="n">
        <v>24000</v>
      </c>
      <c r="AE243" s="16" t="n">
        <v>24000</v>
      </c>
      <c r="AF243" s="16" t="n">
        <v>24000</v>
      </c>
      <c r="AG243" s="16" t="n">
        <v>24000</v>
      </c>
      <c r="AH243" s="16" t="n">
        <v>24000</v>
      </c>
      <c r="AI243" s="16" t="n">
        <v>24000</v>
      </c>
      <c r="AJ243" s="9" t="n">
        <f aca="false">X243*$V243</f>
        <v>1454.16</v>
      </c>
      <c r="AK243" s="9" t="n">
        <f aca="false">Y243*$V243</f>
        <v>1454.16</v>
      </c>
      <c r="AL243" s="9" t="n">
        <f aca="false">Z243*$V243</f>
        <v>1454.16</v>
      </c>
      <c r="AM243" s="9" t="n">
        <f aca="false">AA243*$V243</f>
        <v>1454.16</v>
      </c>
      <c r="AN243" s="9" t="n">
        <f aca="false">AB243*$V243</f>
        <v>1454.16</v>
      </c>
      <c r="AO243" s="9" t="n">
        <f aca="false">AC243*$V243</f>
        <v>1454.16</v>
      </c>
      <c r="AP243" s="9" t="n">
        <f aca="false">AD243*$V243</f>
        <v>1454.16</v>
      </c>
      <c r="AQ243" s="9" t="n">
        <f aca="false">AE243*$V243</f>
        <v>1454.16</v>
      </c>
      <c r="AR243" s="9" t="n">
        <f aca="false">AF243*$V243</f>
        <v>1454.16</v>
      </c>
      <c r="AS243" s="9" t="n">
        <f aca="false">AG243*$V243</f>
        <v>1454.16</v>
      </c>
      <c r="AT243" s="9" t="n">
        <f aca="false">AH243*$V243</f>
        <v>1454.16</v>
      </c>
      <c r="AU243" s="9" t="n">
        <f aca="false">AI243*$V243</f>
        <v>1454.16</v>
      </c>
      <c r="AV243" s="9" t="n">
        <f aca="false">SUM(X243:AI243)/1000</f>
        <v>288</v>
      </c>
      <c r="AW243" s="9" t="n">
        <f aca="false">SUM(AJ243:AU243)</f>
        <v>17449.92</v>
      </c>
      <c r="AX243" s="9" t="n">
        <f aca="false">IF(D243="INR",AW243/88.24,AW243)/1000000</f>
        <v>0.01744992</v>
      </c>
    </row>
    <row r="244" s="2" customFormat="true" ht="14.25" hidden="false" customHeight="false" outlineLevel="0" collapsed="false">
      <c r="A244" s="12" t="s">
        <v>566</v>
      </c>
      <c r="B244" s="16" t="n">
        <v>5</v>
      </c>
      <c r="C244" s="15"/>
      <c r="D244" s="16" t="s">
        <v>102</v>
      </c>
      <c r="E244" s="16" t="s">
        <v>51</v>
      </c>
      <c r="F244" s="16" t="s">
        <v>52</v>
      </c>
      <c r="G244" s="16" t="s">
        <v>494</v>
      </c>
      <c r="H244" s="16" t="s">
        <v>495</v>
      </c>
      <c r="I244" s="16" t="s">
        <v>260</v>
      </c>
      <c r="J244" s="16" t="s">
        <v>520</v>
      </c>
      <c r="K244" s="16" t="s">
        <v>495</v>
      </c>
      <c r="L244" s="16" t="s">
        <v>260</v>
      </c>
      <c r="M244" s="16" t="s">
        <v>520</v>
      </c>
      <c r="N244" s="16" t="s">
        <v>57</v>
      </c>
      <c r="O244" s="16" t="s">
        <v>94</v>
      </c>
      <c r="P244" s="16" t="s">
        <v>197</v>
      </c>
      <c r="Q244" s="16" t="s">
        <v>197</v>
      </c>
      <c r="R244" s="16" t="s">
        <v>86</v>
      </c>
      <c r="S244" s="16" t="s">
        <v>521</v>
      </c>
      <c r="T244" s="16" t="s">
        <v>567</v>
      </c>
      <c r="U244" s="16" t="s">
        <v>73</v>
      </c>
      <c r="V244" s="16" t="n">
        <v>0.00434</v>
      </c>
      <c r="W244" s="16" t="n">
        <v>0.00165</v>
      </c>
      <c r="X244" s="16" t="n">
        <v>24000</v>
      </c>
      <c r="Y244" s="16" t="n">
        <v>24000</v>
      </c>
      <c r="Z244" s="16" t="n">
        <v>24000</v>
      </c>
      <c r="AA244" s="16" t="n">
        <v>24000</v>
      </c>
      <c r="AB244" s="16" t="n">
        <v>24000</v>
      </c>
      <c r="AC244" s="16" t="n">
        <v>24000</v>
      </c>
      <c r="AD244" s="16" t="n">
        <v>24000</v>
      </c>
      <c r="AE244" s="16" t="n">
        <v>24000</v>
      </c>
      <c r="AF244" s="16" t="n">
        <v>24000</v>
      </c>
      <c r="AG244" s="16" t="n">
        <v>24000</v>
      </c>
      <c r="AH244" s="16" t="n">
        <v>24000</v>
      </c>
      <c r="AI244" s="16" t="n">
        <v>24000</v>
      </c>
      <c r="AJ244" s="9" t="n">
        <f aca="false">X244*$V244</f>
        <v>104.16</v>
      </c>
      <c r="AK244" s="9" t="n">
        <f aca="false">Y244*$V244</f>
        <v>104.16</v>
      </c>
      <c r="AL244" s="9" t="n">
        <f aca="false">Z244*$V244</f>
        <v>104.16</v>
      </c>
      <c r="AM244" s="9" t="n">
        <f aca="false">AA244*$V244</f>
        <v>104.16</v>
      </c>
      <c r="AN244" s="9" t="n">
        <f aca="false">AB244*$V244</f>
        <v>104.16</v>
      </c>
      <c r="AO244" s="9" t="n">
        <f aca="false">AC244*$V244</f>
        <v>104.16</v>
      </c>
      <c r="AP244" s="9" t="n">
        <f aca="false">AD244*$V244</f>
        <v>104.16</v>
      </c>
      <c r="AQ244" s="9" t="n">
        <f aca="false">AE244*$V244</f>
        <v>104.16</v>
      </c>
      <c r="AR244" s="9" t="n">
        <f aca="false">AF244*$V244</f>
        <v>104.16</v>
      </c>
      <c r="AS244" s="9" t="n">
        <f aca="false">AG244*$V244</f>
        <v>104.16</v>
      </c>
      <c r="AT244" s="9" t="n">
        <f aca="false">AH244*$V244</f>
        <v>104.16</v>
      </c>
      <c r="AU244" s="9" t="n">
        <f aca="false">AI244*$V244</f>
        <v>104.16</v>
      </c>
      <c r="AV244" s="9" t="n">
        <f aca="false">SUM(X244:AI244)/1000</f>
        <v>288</v>
      </c>
      <c r="AW244" s="9" t="n">
        <f aca="false">SUM(AJ244:AU244)</f>
        <v>1249.92</v>
      </c>
      <c r="AX244" s="9" t="n">
        <f aca="false">IF(D244="INR",AW244/88.24,AW244)/1000000</f>
        <v>0.00124992</v>
      </c>
    </row>
    <row r="245" s="2" customFormat="true" ht="14.25" hidden="false" customHeight="false" outlineLevel="0" collapsed="false">
      <c r="A245" s="12" t="s">
        <v>568</v>
      </c>
      <c r="B245" s="16" t="n">
        <v>5</v>
      </c>
      <c r="C245" s="15"/>
      <c r="D245" s="16" t="s">
        <v>102</v>
      </c>
      <c r="E245" s="16" t="s">
        <v>51</v>
      </c>
      <c r="F245" s="16" t="s">
        <v>52</v>
      </c>
      <c r="G245" s="16" t="s">
        <v>494</v>
      </c>
      <c r="H245" s="16" t="s">
        <v>495</v>
      </c>
      <c r="I245" s="16" t="s">
        <v>260</v>
      </c>
      <c r="J245" s="16" t="s">
        <v>520</v>
      </c>
      <c r="K245" s="16" t="s">
        <v>495</v>
      </c>
      <c r="L245" s="16" t="s">
        <v>260</v>
      </c>
      <c r="M245" s="16" t="s">
        <v>520</v>
      </c>
      <c r="N245" s="16" t="s">
        <v>57</v>
      </c>
      <c r="O245" s="16" t="s">
        <v>94</v>
      </c>
      <c r="P245" s="16" t="s">
        <v>197</v>
      </c>
      <c r="Q245" s="16" t="s">
        <v>197</v>
      </c>
      <c r="R245" s="16" t="s">
        <v>86</v>
      </c>
      <c r="S245" s="16" t="s">
        <v>521</v>
      </c>
      <c r="T245" s="16" t="s">
        <v>569</v>
      </c>
      <c r="U245" s="16" t="s">
        <v>73</v>
      </c>
      <c r="V245" s="16" t="n">
        <v>0.00398</v>
      </c>
      <c r="W245" s="16" t="n">
        <v>0.00358</v>
      </c>
      <c r="X245" s="16" t="n">
        <v>24000</v>
      </c>
      <c r="Y245" s="16" t="n">
        <v>24000</v>
      </c>
      <c r="Z245" s="16" t="n">
        <v>24000</v>
      </c>
      <c r="AA245" s="16" t="n">
        <v>24000</v>
      </c>
      <c r="AB245" s="16" t="n">
        <v>24000</v>
      </c>
      <c r="AC245" s="16" t="n">
        <v>24000</v>
      </c>
      <c r="AD245" s="16" t="n">
        <v>24000</v>
      </c>
      <c r="AE245" s="16" t="n">
        <v>24000</v>
      </c>
      <c r="AF245" s="16" t="n">
        <v>24000</v>
      </c>
      <c r="AG245" s="16" t="n">
        <v>24000</v>
      </c>
      <c r="AH245" s="16" t="n">
        <v>24000</v>
      </c>
      <c r="AI245" s="16" t="n">
        <v>24000</v>
      </c>
      <c r="AJ245" s="9" t="n">
        <f aca="false">X245*$V245</f>
        <v>95.52</v>
      </c>
      <c r="AK245" s="9" t="n">
        <f aca="false">Y245*$V245</f>
        <v>95.52</v>
      </c>
      <c r="AL245" s="9" t="n">
        <f aca="false">Z245*$V245</f>
        <v>95.52</v>
      </c>
      <c r="AM245" s="9" t="n">
        <f aca="false">AA245*$V245</f>
        <v>95.52</v>
      </c>
      <c r="AN245" s="9" t="n">
        <f aca="false">AB245*$V245</f>
        <v>95.52</v>
      </c>
      <c r="AO245" s="9" t="n">
        <f aca="false">AC245*$V245</f>
        <v>95.52</v>
      </c>
      <c r="AP245" s="9" t="n">
        <f aca="false">AD245*$V245</f>
        <v>95.52</v>
      </c>
      <c r="AQ245" s="9" t="n">
        <f aca="false">AE245*$V245</f>
        <v>95.52</v>
      </c>
      <c r="AR245" s="9" t="n">
        <f aca="false">AF245*$V245</f>
        <v>95.52</v>
      </c>
      <c r="AS245" s="9" t="n">
        <f aca="false">AG245*$V245</f>
        <v>95.52</v>
      </c>
      <c r="AT245" s="9" t="n">
        <f aca="false">AH245*$V245</f>
        <v>95.52</v>
      </c>
      <c r="AU245" s="9" t="n">
        <f aca="false">AI245*$V245</f>
        <v>95.52</v>
      </c>
      <c r="AV245" s="9" t="n">
        <f aca="false">SUM(X245:AI245)/1000</f>
        <v>288</v>
      </c>
      <c r="AW245" s="9" t="n">
        <f aca="false">SUM(AJ245:AU245)</f>
        <v>1146.24</v>
      </c>
      <c r="AX245" s="9" t="n">
        <f aca="false">IF(D245="INR",AW245/88.24,AW245)/1000000</f>
        <v>0.00114624</v>
      </c>
    </row>
    <row r="246" s="2" customFormat="true" ht="16.4" hidden="false" customHeight="false" outlineLevel="0" collapsed="false">
      <c r="A246" s="35" t="s">
        <v>570</v>
      </c>
      <c r="B246" s="9" t="n">
        <v>5</v>
      </c>
      <c r="C246" s="10"/>
      <c r="D246" s="9" t="s">
        <v>102</v>
      </c>
      <c r="E246" s="9" t="s">
        <v>51</v>
      </c>
      <c r="F246" s="9" t="s">
        <v>52</v>
      </c>
      <c r="G246" s="9" t="s">
        <v>494</v>
      </c>
      <c r="H246" s="9" t="s">
        <v>495</v>
      </c>
      <c r="I246" s="9" t="s">
        <v>260</v>
      </c>
      <c r="J246" s="9" t="s">
        <v>520</v>
      </c>
      <c r="K246" s="9" t="s">
        <v>495</v>
      </c>
      <c r="L246" s="9" t="s">
        <v>260</v>
      </c>
      <c r="M246" s="9" t="s">
        <v>520</v>
      </c>
      <c r="N246" s="9" t="s">
        <v>57</v>
      </c>
      <c r="O246" s="9" t="s">
        <v>94</v>
      </c>
      <c r="P246" s="9" t="s">
        <v>197</v>
      </c>
      <c r="Q246" s="9" t="s">
        <v>197</v>
      </c>
      <c r="R246" s="9" t="s">
        <v>86</v>
      </c>
      <c r="S246" s="9" t="s">
        <v>521</v>
      </c>
      <c r="T246" s="9" t="s">
        <v>571</v>
      </c>
      <c r="U246" s="9" t="s">
        <v>73</v>
      </c>
      <c r="V246" s="9" t="n">
        <v>0.00206</v>
      </c>
      <c r="W246" s="9" t="n">
        <v>0.00185</v>
      </c>
      <c r="X246" s="9" t="n">
        <v>24000</v>
      </c>
      <c r="Y246" s="9" t="n">
        <v>24000</v>
      </c>
      <c r="Z246" s="9" t="n">
        <v>24000</v>
      </c>
      <c r="AA246" s="9" t="n">
        <v>24000</v>
      </c>
      <c r="AB246" s="9" t="n">
        <v>24000</v>
      </c>
      <c r="AC246" s="9" t="n">
        <v>24000</v>
      </c>
      <c r="AD246" s="9" t="n">
        <v>24000</v>
      </c>
      <c r="AE246" s="9" t="n">
        <v>24000</v>
      </c>
      <c r="AF246" s="9" t="n">
        <v>24000</v>
      </c>
      <c r="AG246" s="9" t="n">
        <v>24000</v>
      </c>
      <c r="AH246" s="9" t="n">
        <v>24000</v>
      </c>
      <c r="AI246" s="9" t="n">
        <v>24000</v>
      </c>
      <c r="AJ246" s="9" t="n">
        <f aca="false">X246*$V246</f>
        <v>49.44</v>
      </c>
      <c r="AK246" s="9" t="n">
        <f aca="false">Y246*$V246</f>
        <v>49.44</v>
      </c>
      <c r="AL246" s="9" t="n">
        <f aca="false">Z246*$V246</f>
        <v>49.44</v>
      </c>
      <c r="AM246" s="9" t="n">
        <f aca="false">AA246*$V246</f>
        <v>49.44</v>
      </c>
      <c r="AN246" s="9" t="n">
        <f aca="false">AB246*$V246</f>
        <v>49.44</v>
      </c>
      <c r="AO246" s="9" t="n">
        <f aca="false">AC246*$V246</f>
        <v>49.44</v>
      </c>
      <c r="AP246" s="9" t="n">
        <f aca="false">AD246*$V246</f>
        <v>49.44</v>
      </c>
      <c r="AQ246" s="9" t="n">
        <f aca="false">AE246*$V246</f>
        <v>49.44</v>
      </c>
      <c r="AR246" s="9" t="n">
        <f aca="false">AF246*$V246</f>
        <v>49.44</v>
      </c>
      <c r="AS246" s="9" t="n">
        <f aca="false">AG246*$V246</f>
        <v>49.44</v>
      </c>
      <c r="AT246" s="9" t="n">
        <f aca="false">AH246*$V246</f>
        <v>49.44</v>
      </c>
      <c r="AU246" s="9" t="n">
        <f aca="false">AI246*$V246</f>
        <v>49.44</v>
      </c>
      <c r="AV246" s="9" t="n">
        <f aca="false">SUM(X246:AI246)/1000</f>
        <v>288</v>
      </c>
      <c r="AW246" s="9" t="n">
        <f aca="false">SUM(AJ246:AU246)</f>
        <v>593.28</v>
      </c>
      <c r="AX246" s="9" t="n">
        <f aca="false">IF(D246="INR",AW246/88.24,AW246)/1000000</f>
        <v>0.00059328</v>
      </c>
    </row>
    <row r="247" s="2" customFormat="true" ht="16.4" hidden="false" customHeight="false" outlineLevel="0" collapsed="false">
      <c r="A247" s="35" t="s">
        <v>572</v>
      </c>
      <c r="B247" s="9" t="n">
        <v>5</v>
      </c>
      <c r="C247" s="10"/>
      <c r="D247" s="9" t="s">
        <v>102</v>
      </c>
      <c r="E247" s="9" t="s">
        <v>51</v>
      </c>
      <c r="F247" s="9" t="s">
        <v>52</v>
      </c>
      <c r="G247" s="9" t="s">
        <v>494</v>
      </c>
      <c r="H247" s="9" t="s">
        <v>495</v>
      </c>
      <c r="I247" s="9" t="s">
        <v>260</v>
      </c>
      <c r="J247" s="9" t="s">
        <v>520</v>
      </c>
      <c r="K247" s="9" t="s">
        <v>495</v>
      </c>
      <c r="L247" s="9" t="s">
        <v>260</v>
      </c>
      <c r="M247" s="9" t="s">
        <v>520</v>
      </c>
      <c r="N247" s="9" t="s">
        <v>57</v>
      </c>
      <c r="O247" s="9" t="s">
        <v>94</v>
      </c>
      <c r="P247" s="9" t="s">
        <v>197</v>
      </c>
      <c r="Q247" s="9" t="s">
        <v>197</v>
      </c>
      <c r="R247" s="9" t="s">
        <v>86</v>
      </c>
      <c r="S247" s="9" t="s">
        <v>521</v>
      </c>
      <c r="T247" s="9" t="s">
        <v>573</v>
      </c>
      <c r="U247" s="9" t="s">
        <v>73</v>
      </c>
      <c r="V247" s="9" t="n">
        <v>0.00196</v>
      </c>
      <c r="W247" s="9" t="n">
        <v>0.00308</v>
      </c>
      <c r="X247" s="9" t="n">
        <v>24000</v>
      </c>
      <c r="Y247" s="9" t="n">
        <v>24000</v>
      </c>
      <c r="Z247" s="9" t="n">
        <v>24000</v>
      </c>
      <c r="AA247" s="9" t="n">
        <v>24000</v>
      </c>
      <c r="AB247" s="9" t="n">
        <v>24000</v>
      </c>
      <c r="AC247" s="9" t="n">
        <v>24000</v>
      </c>
      <c r="AD247" s="9" t="n">
        <v>24000</v>
      </c>
      <c r="AE247" s="9" t="n">
        <v>24000</v>
      </c>
      <c r="AF247" s="9" t="n">
        <v>24000</v>
      </c>
      <c r="AG247" s="9" t="n">
        <v>24000</v>
      </c>
      <c r="AH247" s="9" t="n">
        <v>24000</v>
      </c>
      <c r="AI247" s="9" t="n">
        <v>24000</v>
      </c>
      <c r="AJ247" s="9" t="n">
        <f aca="false">X247*$V247</f>
        <v>47.04</v>
      </c>
      <c r="AK247" s="9" t="n">
        <f aca="false">Y247*$V247</f>
        <v>47.04</v>
      </c>
      <c r="AL247" s="9" t="n">
        <f aca="false">Z247*$V247</f>
        <v>47.04</v>
      </c>
      <c r="AM247" s="9" t="n">
        <f aca="false">AA247*$V247</f>
        <v>47.04</v>
      </c>
      <c r="AN247" s="9" t="n">
        <f aca="false">AB247*$V247</f>
        <v>47.04</v>
      </c>
      <c r="AO247" s="9" t="n">
        <f aca="false">AC247*$V247</f>
        <v>47.04</v>
      </c>
      <c r="AP247" s="9" t="n">
        <f aca="false">AD247*$V247</f>
        <v>47.04</v>
      </c>
      <c r="AQ247" s="9" t="n">
        <f aca="false">AE247*$V247</f>
        <v>47.04</v>
      </c>
      <c r="AR247" s="9" t="n">
        <f aca="false">AF247*$V247</f>
        <v>47.04</v>
      </c>
      <c r="AS247" s="9" t="n">
        <f aca="false">AG247*$V247</f>
        <v>47.04</v>
      </c>
      <c r="AT247" s="9" t="n">
        <f aca="false">AH247*$V247</f>
        <v>47.04</v>
      </c>
      <c r="AU247" s="9" t="n">
        <f aca="false">AI247*$V247</f>
        <v>47.04</v>
      </c>
      <c r="AV247" s="9" t="n">
        <f aca="false">SUM(X247:AI247)/1000</f>
        <v>288</v>
      </c>
      <c r="AW247" s="9" t="n">
        <f aca="false">SUM(AJ247:AU247)</f>
        <v>564.48</v>
      </c>
      <c r="AX247" s="9" t="n">
        <f aca="false">IF(D247="INR",AW247/88.24,AW247)/1000000</f>
        <v>0.00056448</v>
      </c>
    </row>
    <row r="248" s="2" customFormat="true" ht="16.4" hidden="false" customHeight="false" outlineLevel="0" collapsed="false">
      <c r="A248" s="16" t="s">
        <v>574</v>
      </c>
      <c r="B248" s="16" t="n">
        <v>5</v>
      </c>
      <c r="C248" s="16"/>
      <c r="D248" s="16" t="s">
        <v>102</v>
      </c>
      <c r="E248" s="16" t="s">
        <v>51</v>
      </c>
      <c r="F248" s="16" t="s">
        <v>52</v>
      </c>
      <c r="G248" s="16" t="s">
        <v>494</v>
      </c>
      <c r="H248" s="16" t="s">
        <v>495</v>
      </c>
      <c r="I248" s="16" t="s">
        <v>260</v>
      </c>
      <c r="J248" s="16" t="s">
        <v>520</v>
      </c>
      <c r="K248" s="16" t="s">
        <v>495</v>
      </c>
      <c r="L248" s="16" t="s">
        <v>260</v>
      </c>
      <c r="M248" s="16" t="s">
        <v>520</v>
      </c>
      <c r="N248" s="16" t="s">
        <v>57</v>
      </c>
      <c r="O248" s="16" t="s">
        <v>94</v>
      </c>
      <c r="P248" s="16" t="s">
        <v>197</v>
      </c>
      <c r="Q248" s="16" t="s">
        <v>197</v>
      </c>
      <c r="R248" s="16" t="s">
        <v>86</v>
      </c>
      <c r="S248" s="16" t="s">
        <v>521</v>
      </c>
      <c r="T248" s="16" t="s">
        <v>575</v>
      </c>
      <c r="U248" s="16" t="s">
        <v>73</v>
      </c>
      <c r="V248" s="16" t="n">
        <v>0.00118</v>
      </c>
      <c r="W248" s="26" t="n">
        <v>0.00106</v>
      </c>
      <c r="X248" s="16" t="n">
        <v>24000</v>
      </c>
      <c r="Y248" s="16" t="n">
        <v>24000</v>
      </c>
      <c r="Z248" s="16" t="n">
        <v>24000</v>
      </c>
      <c r="AA248" s="16" t="n">
        <v>24000</v>
      </c>
      <c r="AB248" s="16" t="n">
        <v>24000</v>
      </c>
      <c r="AC248" s="16" t="n">
        <v>24000</v>
      </c>
      <c r="AD248" s="16" t="n">
        <v>24000</v>
      </c>
      <c r="AE248" s="16" t="n">
        <v>24000</v>
      </c>
      <c r="AF248" s="16" t="n">
        <v>24000</v>
      </c>
      <c r="AG248" s="16" t="n">
        <v>24000</v>
      </c>
      <c r="AH248" s="16" t="n">
        <v>24000</v>
      </c>
      <c r="AI248" s="16" t="n">
        <v>24000</v>
      </c>
      <c r="AJ248" s="9" t="n">
        <f aca="false">X248*$V248</f>
        <v>28.32</v>
      </c>
      <c r="AK248" s="9" t="n">
        <f aca="false">Y248*$V248</f>
        <v>28.32</v>
      </c>
      <c r="AL248" s="9" t="n">
        <f aca="false">Z248*$V248</f>
        <v>28.32</v>
      </c>
      <c r="AM248" s="9" t="n">
        <f aca="false">AA248*$V248</f>
        <v>28.32</v>
      </c>
      <c r="AN248" s="9" t="n">
        <f aca="false">AB248*$V248</f>
        <v>28.32</v>
      </c>
      <c r="AO248" s="9" t="n">
        <f aca="false">AC248*$V248</f>
        <v>28.32</v>
      </c>
      <c r="AP248" s="9" t="n">
        <f aca="false">AD248*$V248</f>
        <v>28.32</v>
      </c>
      <c r="AQ248" s="9" t="n">
        <f aca="false">AE248*$V248</f>
        <v>28.32</v>
      </c>
      <c r="AR248" s="9" t="n">
        <f aca="false">AF248*$V248</f>
        <v>28.32</v>
      </c>
      <c r="AS248" s="9" t="n">
        <f aca="false">AG248*$V248</f>
        <v>28.32</v>
      </c>
      <c r="AT248" s="9" t="n">
        <f aca="false">AH248*$V248</f>
        <v>28.32</v>
      </c>
      <c r="AU248" s="9" t="n">
        <f aca="false">AI248*$V248</f>
        <v>28.32</v>
      </c>
      <c r="AV248" s="9" t="n">
        <f aca="false">SUM(X248:AI248)/1000</f>
        <v>288</v>
      </c>
      <c r="AW248" s="9" t="n">
        <f aca="false">SUM(AJ248:AU248)</f>
        <v>339.84</v>
      </c>
      <c r="AX248" s="9" t="n">
        <f aca="false">IF(D248="INR",AW248/88.24,AW248)/1000000</f>
        <v>0.00033984</v>
      </c>
    </row>
    <row r="249" s="2" customFormat="true" ht="16.4" hidden="false" customHeight="false" outlineLevel="0" collapsed="false">
      <c r="A249" s="16" t="s">
        <v>576</v>
      </c>
      <c r="B249" s="16" t="n">
        <v>5</v>
      </c>
      <c r="C249" s="15"/>
      <c r="D249" s="16" t="s">
        <v>102</v>
      </c>
      <c r="E249" s="16" t="s">
        <v>51</v>
      </c>
      <c r="F249" s="16" t="s">
        <v>52</v>
      </c>
      <c r="G249" s="16" t="s">
        <v>494</v>
      </c>
      <c r="H249" s="16" t="s">
        <v>495</v>
      </c>
      <c r="I249" s="16" t="s">
        <v>260</v>
      </c>
      <c r="J249" s="16" t="s">
        <v>520</v>
      </c>
      <c r="K249" s="16" t="s">
        <v>495</v>
      </c>
      <c r="L249" s="16" t="s">
        <v>260</v>
      </c>
      <c r="M249" s="16" t="s">
        <v>520</v>
      </c>
      <c r="N249" s="16" t="s">
        <v>57</v>
      </c>
      <c r="O249" s="16" t="s">
        <v>94</v>
      </c>
      <c r="P249" s="16" t="s">
        <v>197</v>
      </c>
      <c r="Q249" s="16" t="s">
        <v>197</v>
      </c>
      <c r="R249" s="16" t="s">
        <v>86</v>
      </c>
      <c r="S249" s="16" t="s">
        <v>521</v>
      </c>
      <c r="T249" s="16" t="s">
        <v>577</v>
      </c>
      <c r="U249" s="16" t="s">
        <v>73</v>
      </c>
      <c r="V249" s="16" t="n">
        <v>0.000868</v>
      </c>
      <c r="W249" s="16" t="n">
        <v>0.00055</v>
      </c>
      <c r="X249" s="16" t="n">
        <v>24000</v>
      </c>
      <c r="Y249" s="16" t="n">
        <v>24000</v>
      </c>
      <c r="Z249" s="16" t="n">
        <v>24000</v>
      </c>
      <c r="AA249" s="16" t="n">
        <v>24000</v>
      </c>
      <c r="AB249" s="16" t="n">
        <v>24000</v>
      </c>
      <c r="AC249" s="16" t="n">
        <v>24000</v>
      </c>
      <c r="AD249" s="16" t="n">
        <v>24000</v>
      </c>
      <c r="AE249" s="16" t="n">
        <v>24000</v>
      </c>
      <c r="AF249" s="16" t="n">
        <v>24000</v>
      </c>
      <c r="AG249" s="16" t="n">
        <v>24000</v>
      </c>
      <c r="AH249" s="16" t="n">
        <v>24000</v>
      </c>
      <c r="AI249" s="16" t="n">
        <v>24000</v>
      </c>
      <c r="AJ249" s="9" t="n">
        <f aca="false">X249*$V249</f>
        <v>20.832</v>
      </c>
      <c r="AK249" s="9" t="n">
        <f aca="false">Y249*$V249</f>
        <v>20.832</v>
      </c>
      <c r="AL249" s="9" t="n">
        <f aca="false">Z249*$V249</f>
        <v>20.832</v>
      </c>
      <c r="AM249" s="9" t="n">
        <f aca="false">AA249*$V249</f>
        <v>20.832</v>
      </c>
      <c r="AN249" s="9" t="n">
        <f aca="false">AB249*$V249</f>
        <v>20.832</v>
      </c>
      <c r="AO249" s="9" t="n">
        <f aca="false">AC249*$V249</f>
        <v>20.832</v>
      </c>
      <c r="AP249" s="9" t="n">
        <f aca="false">AD249*$V249</f>
        <v>20.832</v>
      </c>
      <c r="AQ249" s="9" t="n">
        <f aca="false">AE249*$V249</f>
        <v>20.832</v>
      </c>
      <c r="AR249" s="9" t="n">
        <f aca="false">AF249*$V249</f>
        <v>20.832</v>
      </c>
      <c r="AS249" s="9" t="n">
        <f aca="false">AG249*$V249</f>
        <v>20.832</v>
      </c>
      <c r="AT249" s="9" t="n">
        <f aca="false">AH249*$V249</f>
        <v>20.832</v>
      </c>
      <c r="AU249" s="9" t="n">
        <f aca="false">AI249*$V249</f>
        <v>20.832</v>
      </c>
      <c r="AV249" s="9" t="n">
        <f aca="false">SUM(X249:AI249)/1000</f>
        <v>288</v>
      </c>
      <c r="AW249" s="9" t="n">
        <f aca="false">SUM(AJ249:AU249)</f>
        <v>249.984</v>
      </c>
      <c r="AX249" s="9" t="n">
        <f aca="false">IF(D249="INR",AW249/88.24,AW249)/1000000</f>
        <v>0.000249984</v>
      </c>
    </row>
    <row r="250" s="2" customFormat="true" ht="16.4" hidden="false" customHeight="false" outlineLevel="0" collapsed="false">
      <c r="A250" s="35" t="s">
        <v>578</v>
      </c>
      <c r="B250" s="9" t="n">
        <v>5</v>
      </c>
      <c r="C250" s="15"/>
      <c r="D250" s="16" t="s">
        <v>102</v>
      </c>
      <c r="E250" s="16" t="s">
        <v>51</v>
      </c>
      <c r="F250" s="16" t="s">
        <v>52</v>
      </c>
      <c r="G250" s="16" t="s">
        <v>494</v>
      </c>
      <c r="H250" s="9" t="s">
        <v>495</v>
      </c>
      <c r="I250" s="16" t="s">
        <v>260</v>
      </c>
      <c r="J250" s="16" t="s">
        <v>520</v>
      </c>
      <c r="K250" s="9" t="s">
        <v>495</v>
      </c>
      <c r="L250" s="16" t="s">
        <v>260</v>
      </c>
      <c r="M250" s="16" t="s">
        <v>520</v>
      </c>
      <c r="N250" s="16" t="s">
        <v>57</v>
      </c>
      <c r="O250" s="16" t="s">
        <v>94</v>
      </c>
      <c r="P250" s="9" t="s">
        <v>110</v>
      </c>
      <c r="Q250" s="9" t="s">
        <v>188</v>
      </c>
      <c r="R250" s="9" t="s">
        <v>550</v>
      </c>
      <c r="S250" s="9" t="s">
        <v>528</v>
      </c>
      <c r="T250" s="9" t="s">
        <v>579</v>
      </c>
      <c r="U250" s="16" t="s">
        <v>73</v>
      </c>
      <c r="V250" s="36" t="n">
        <v>0.66</v>
      </c>
      <c r="W250" s="9" t="n">
        <v>0.6</v>
      </c>
      <c r="X250" s="22" t="n">
        <v>16000</v>
      </c>
      <c r="Y250" s="9" t="n">
        <v>16000</v>
      </c>
      <c r="Z250" s="9" t="n">
        <v>16000</v>
      </c>
      <c r="AA250" s="9" t="n">
        <v>16000</v>
      </c>
      <c r="AB250" s="9" t="n">
        <v>16000</v>
      </c>
      <c r="AC250" s="9" t="n">
        <v>16000</v>
      </c>
      <c r="AD250" s="23" t="n">
        <v>16000</v>
      </c>
      <c r="AE250" s="9" t="n">
        <v>16000</v>
      </c>
      <c r="AF250" s="9" t="n">
        <v>16000</v>
      </c>
      <c r="AG250" s="9" t="n">
        <v>16000</v>
      </c>
      <c r="AH250" s="9" t="n">
        <v>16000</v>
      </c>
      <c r="AI250" s="9" t="n">
        <v>16000</v>
      </c>
      <c r="AJ250" s="9" t="n">
        <f aca="false">X250*$V250</f>
        <v>10560</v>
      </c>
      <c r="AK250" s="9" t="n">
        <f aca="false">Y250*$V250</f>
        <v>10560</v>
      </c>
      <c r="AL250" s="9" t="n">
        <f aca="false">Z250*$V250</f>
        <v>10560</v>
      </c>
      <c r="AM250" s="9" t="n">
        <f aca="false">AA250*$V250</f>
        <v>10560</v>
      </c>
      <c r="AN250" s="9" t="n">
        <f aca="false">AB250*$V250</f>
        <v>10560</v>
      </c>
      <c r="AO250" s="9" t="n">
        <f aca="false">AC250*$V250</f>
        <v>10560</v>
      </c>
      <c r="AP250" s="9" t="n">
        <f aca="false">AD250*$V250</f>
        <v>10560</v>
      </c>
      <c r="AQ250" s="9" t="n">
        <f aca="false">AE250*$V250</f>
        <v>10560</v>
      </c>
      <c r="AR250" s="9" t="n">
        <f aca="false">AF250*$V250</f>
        <v>10560</v>
      </c>
      <c r="AS250" s="9" t="n">
        <f aca="false">AG250*$V250</f>
        <v>10560</v>
      </c>
      <c r="AT250" s="9" t="n">
        <f aca="false">AH250*$V250</f>
        <v>10560</v>
      </c>
      <c r="AU250" s="9" t="n">
        <f aca="false">AI250*$V250</f>
        <v>10560</v>
      </c>
      <c r="AV250" s="9" t="n">
        <f aca="false">SUM(X250:AI250)/1000</f>
        <v>192</v>
      </c>
      <c r="AW250" s="9" t="n">
        <f aca="false">SUM(AJ250:AU250)</f>
        <v>126720</v>
      </c>
      <c r="AX250" s="9" t="n">
        <f aca="false">IF(D250="INR",AW250/88.24,AW250)/1000000</f>
        <v>0.12672</v>
      </c>
    </row>
    <row r="251" s="2" customFormat="true" ht="16.4" hidden="false" customHeight="false" outlineLevel="0" collapsed="false">
      <c r="A251" s="35" t="s">
        <v>580</v>
      </c>
      <c r="B251" s="9" t="n">
        <v>5</v>
      </c>
      <c r="C251" s="15"/>
      <c r="D251" s="16" t="s">
        <v>102</v>
      </c>
      <c r="E251" s="16" t="s">
        <v>51</v>
      </c>
      <c r="F251" s="16" t="s">
        <v>52</v>
      </c>
      <c r="G251" s="16" t="s">
        <v>494</v>
      </c>
      <c r="H251" s="9" t="s">
        <v>495</v>
      </c>
      <c r="I251" s="16" t="s">
        <v>260</v>
      </c>
      <c r="J251" s="16" t="s">
        <v>520</v>
      </c>
      <c r="K251" s="9" t="s">
        <v>495</v>
      </c>
      <c r="L251" s="16" t="s">
        <v>260</v>
      </c>
      <c r="M251" s="16" t="s">
        <v>520</v>
      </c>
      <c r="N251" s="16" t="s">
        <v>57</v>
      </c>
      <c r="O251" s="16" t="s">
        <v>94</v>
      </c>
      <c r="P251" s="9" t="s">
        <v>110</v>
      </c>
      <c r="Q251" s="16" t="s">
        <v>188</v>
      </c>
      <c r="R251" s="9" t="s">
        <v>550</v>
      </c>
      <c r="S251" s="9" t="s">
        <v>528</v>
      </c>
      <c r="T251" s="9" t="s">
        <v>581</v>
      </c>
      <c r="U251" s="16" t="s">
        <v>73</v>
      </c>
      <c r="V251" s="36" t="n">
        <v>0.66</v>
      </c>
      <c r="W251" s="9" t="n">
        <v>0.6</v>
      </c>
      <c r="X251" s="22" t="n">
        <v>16000</v>
      </c>
      <c r="Y251" s="9" t="n">
        <v>16000</v>
      </c>
      <c r="Z251" s="9" t="n">
        <v>16000</v>
      </c>
      <c r="AA251" s="9" t="n">
        <v>16000</v>
      </c>
      <c r="AB251" s="9" t="n">
        <v>16000</v>
      </c>
      <c r="AC251" s="9" t="n">
        <v>16000</v>
      </c>
      <c r="AD251" s="23" t="n">
        <v>16000</v>
      </c>
      <c r="AE251" s="9" t="n">
        <v>16000</v>
      </c>
      <c r="AF251" s="9" t="n">
        <v>16000</v>
      </c>
      <c r="AG251" s="9" t="n">
        <v>16000</v>
      </c>
      <c r="AH251" s="9" t="n">
        <v>16000</v>
      </c>
      <c r="AI251" s="9" t="n">
        <v>16000</v>
      </c>
      <c r="AJ251" s="9" t="n">
        <f aca="false">X251*$V251</f>
        <v>10560</v>
      </c>
      <c r="AK251" s="9" t="n">
        <f aca="false">Y251*$V251</f>
        <v>10560</v>
      </c>
      <c r="AL251" s="9" t="n">
        <f aca="false">Z251*$V251</f>
        <v>10560</v>
      </c>
      <c r="AM251" s="9" t="n">
        <f aca="false">AA251*$V251</f>
        <v>10560</v>
      </c>
      <c r="AN251" s="9" t="n">
        <f aca="false">AB251*$V251</f>
        <v>10560</v>
      </c>
      <c r="AO251" s="9" t="n">
        <f aca="false">AC251*$V251</f>
        <v>10560</v>
      </c>
      <c r="AP251" s="9" t="n">
        <f aca="false">AD251*$V251</f>
        <v>10560</v>
      </c>
      <c r="AQ251" s="9" t="n">
        <f aca="false">AE251*$V251</f>
        <v>10560</v>
      </c>
      <c r="AR251" s="9" t="n">
        <f aca="false">AF251*$V251</f>
        <v>10560</v>
      </c>
      <c r="AS251" s="9" t="n">
        <f aca="false">AG251*$V251</f>
        <v>10560</v>
      </c>
      <c r="AT251" s="9" t="n">
        <f aca="false">AH251*$V251</f>
        <v>10560</v>
      </c>
      <c r="AU251" s="9" t="n">
        <f aca="false">AI251*$V251</f>
        <v>10560</v>
      </c>
      <c r="AV251" s="9" t="n">
        <f aca="false">SUM(X251:AI251)/1000</f>
        <v>192</v>
      </c>
      <c r="AW251" s="9" t="n">
        <f aca="false">SUM(AJ251:AU251)</f>
        <v>126720</v>
      </c>
      <c r="AX251" s="9" t="n">
        <f aca="false">IF(D251="INR",AW251/88.24,AW251)/1000000</f>
        <v>0.12672</v>
      </c>
    </row>
    <row r="252" s="2" customFormat="true" ht="16.4" hidden="false" customHeight="false" outlineLevel="0" collapsed="false">
      <c r="A252" s="35" t="s">
        <v>582</v>
      </c>
      <c r="B252" s="9" t="n">
        <v>5</v>
      </c>
      <c r="C252" s="10"/>
      <c r="D252" s="9" t="s">
        <v>50</v>
      </c>
      <c r="E252" s="9" t="s">
        <v>51</v>
      </c>
      <c r="F252" s="9" t="s">
        <v>52</v>
      </c>
      <c r="G252" s="9" t="s">
        <v>388</v>
      </c>
      <c r="H252" s="9" t="s">
        <v>389</v>
      </c>
      <c r="I252" s="9" t="s">
        <v>260</v>
      </c>
      <c r="J252" s="9" t="s">
        <v>276</v>
      </c>
      <c r="K252" s="9"/>
      <c r="L252" s="9" t="s">
        <v>260</v>
      </c>
      <c r="M252" s="9" t="s">
        <v>276</v>
      </c>
      <c r="N252" s="16" t="s">
        <v>93</v>
      </c>
      <c r="O252" s="9" t="s">
        <v>58</v>
      </c>
      <c r="P252" s="9" t="s">
        <v>80</v>
      </c>
      <c r="Q252" s="9" t="s">
        <v>80</v>
      </c>
      <c r="R252" s="9" t="s">
        <v>81</v>
      </c>
      <c r="S252" s="9" t="s">
        <v>82</v>
      </c>
      <c r="T252" s="9" t="s">
        <v>535</v>
      </c>
      <c r="U252" s="9" t="s">
        <v>73</v>
      </c>
      <c r="V252" s="9" t="n">
        <v>25.02</v>
      </c>
      <c r="W252" s="9" t="n">
        <v>22.52641</v>
      </c>
      <c r="X252" s="9" t="n">
        <v>15000</v>
      </c>
      <c r="Y252" s="9" t="n">
        <v>15000</v>
      </c>
      <c r="Z252" s="9" t="n">
        <v>15000</v>
      </c>
      <c r="AA252" s="9" t="n">
        <v>20000</v>
      </c>
      <c r="AB252" s="9" t="n">
        <v>15000</v>
      </c>
      <c r="AC252" s="9" t="n">
        <v>15000</v>
      </c>
      <c r="AD252" s="9" t="n">
        <v>15000</v>
      </c>
      <c r="AE252" s="9" t="n">
        <v>15000</v>
      </c>
      <c r="AF252" s="9" t="n">
        <v>15000</v>
      </c>
      <c r="AG252" s="9" t="n">
        <v>10000</v>
      </c>
      <c r="AH252" s="9" t="n">
        <v>15000</v>
      </c>
      <c r="AI252" s="9" t="n">
        <v>15000</v>
      </c>
      <c r="AJ252" s="9" t="n">
        <f aca="false">X252*$V252</f>
        <v>375300</v>
      </c>
      <c r="AK252" s="9" t="n">
        <f aca="false">Y252*$V252</f>
        <v>375300</v>
      </c>
      <c r="AL252" s="9" t="n">
        <f aca="false">Z252*$V252</f>
        <v>375300</v>
      </c>
      <c r="AM252" s="9" t="n">
        <f aca="false">AA252*$V252</f>
        <v>500400</v>
      </c>
      <c r="AN252" s="9" t="n">
        <f aca="false">AB252*$V252</f>
        <v>375300</v>
      </c>
      <c r="AO252" s="9" t="n">
        <f aca="false">AC252*$V252</f>
        <v>375300</v>
      </c>
      <c r="AP252" s="9" t="n">
        <f aca="false">AD252*$V252</f>
        <v>375300</v>
      </c>
      <c r="AQ252" s="9" t="n">
        <f aca="false">AE252*$V252</f>
        <v>375300</v>
      </c>
      <c r="AR252" s="9" t="n">
        <f aca="false">AF252*$V252</f>
        <v>375300</v>
      </c>
      <c r="AS252" s="9" t="n">
        <f aca="false">AG252*$V252</f>
        <v>250200</v>
      </c>
      <c r="AT252" s="9" t="n">
        <f aca="false">AH252*$V252</f>
        <v>375300</v>
      </c>
      <c r="AU252" s="9" t="n">
        <f aca="false">AI252*$V252</f>
        <v>375300</v>
      </c>
      <c r="AV252" s="9" t="n">
        <f aca="false">SUM(X252:AI252)/1000</f>
        <v>180</v>
      </c>
      <c r="AW252" s="9" t="n">
        <f aca="false">SUM(AJ252:AU252)</f>
        <v>4503600</v>
      </c>
      <c r="AX252" s="9" t="n">
        <f aca="false">IF(D252="INR",AW252/88.24,AW252)/1000000</f>
        <v>0.051038077969175</v>
      </c>
    </row>
    <row r="253" s="2" customFormat="true" ht="14.25" hidden="false" customHeight="false" outlineLevel="0" collapsed="false">
      <c r="A253" s="12" t="s">
        <v>583</v>
      </c>
      <c r="B253" s="13" t="n">
        <v>5</v>
      </c>
      <c r="C253" s="14"/>
      <c r="D253" s="16" t="s">
        <v>102</v>
      </c>
      <c r="E253" s="16" t="s">
        <v>51</v>
      </c>
      <c r="F253" s="16" t="s">
        <v>52</v>
      </c>
      <c r="G253" s="16" t="s">
        <v>494</v>
      </c>
      <c r="H253" s="16" t="s">
        <v>495</v>
      </c>
      <c r="I253" s="16" t="s">
        <v>260</v>
      </c>
      <c r="J253" s="16" t="s">
        <v>520</v>
      </c>
      <c r="K253" s="16" t="s">
        <v>495</v>
      </c>
      <c r="L253" s="16" t="s">
        <v>260</v>
      </c>
      <c r="M253" s="16" t="s">
        <v>520</v>
      </c>
      <c r="N253" s="16" t="s">
        <v>57</v>
      </c>
      <c r="O253" s="16" t="s">
        <v>94</v>
      </c>
      <c r="P253" s="16" t="s">
        <v>197</v>
      </c>
      <c r="Q253" s="16" t="s">
        <v>197</v>
      </c>
      <c r="R253" s="16" t="s">
        <v>86</v>
      </c>
      <c r="S253" s="16" t="s">
        <v>521</v>
      </c>
      <c r="T253" s="16" t="s">
        <v>584</v>
      </c>
      <c r="U253" s="16" t="s">
        <v>73</v>
      </c>
      <c r="V253" s="16" t="n">
        <v>0.138</v>
      </c>
      <c r="W253" s="16" t="n">
        <v>0.1284</v>
      </c>
      <c r="X253" s="16" t="n">
        <v>16000</v>
      </c>
      <c r="Y253" s="16" t="n">
        <v>16000</v>
      </c>
      <c r="Z253" s="16" t="n">
        <v>16000</v>
      </c>
      <c r="AA253" s="16" t="n">
        <v>16000</v>
      </c>
      <c r="AB253" s="16" t="n">
        <v>16000</v>
      </c>
      <c r="AC253" s="16" t="n">
        <v>16000</v>
      </c>
      <c r="AD253" s="16" t="n">
        <v>16000</v>
      </c>
      <c r="AE253" s="16" t="n">
        <v>16000</v>
      </c>
      <c r="AF253" s="16" t="n">
        <v>16000</v>
      </c>
      <c r="AG253" s="16" t="n">
        <v>16000</v>
      </c>
      <c r="AH253" s="16" t="n">
        <v>16000</v>
      </c>
      <c r="AI253" s="16" t="n">
        <v>16000</v>
      </c>
      <c r="AJ253" s="9" t="n">
        <f aca="false">X253*$V253</f>
        <v>2208</v>
      </c>
      <c r="AK253" s="9" t="n">
        <f aca="false">Y253*$V253</f>
        <v>2208</v>
      </c>
      <c r="AL253" s="9" t="n">
        <f aca="false">Z253*$V253</f>
        <v>2208</v>
      </c>
      <c r="AM253" s="9" t="n">
        <f aca="false">AA253*$V253</f>
        <v>2208</v>
      </c>
      <c r="AN253" s="9" t="n">
        <f aca="false">AB253*$V253</f>
        <v>2208</v>
      </c>
      <c r="AO253" s="9" t="n">
        <f aca="false">AC253*$V253</f>
        <v>2208</v>
      </c>
      <c r="AP253" s="9" t="n">
        <f aca="false">AD253*$V253</f>
        <v>2208</v>
      </c>
      <c r="AQ253" s="9" t="n">
        <f aca="false">AE253*$V253</f>
        <v>2208</v>
      </c>
      <c r="AR253" s="9" t="n">
        <f aca="false">AF253*$V253</f>
        <v>2208</v>
      </c>
      <c r="AS253" s="9" t="n">
        <f aca="false">AG253*$V253</f>
        <v>2208</v>
      </c>
      <c r="AT253" s="9" t="n">
        <f aca="false">AH253*$V253</f>
        <v>2208</v>
      </c>
      <c r="AU253" s="9" t="n">
        <f aca="false">AI253*$V253</f>
        <v>2208</v>
      </c>
      <c r="AV253" s="9" t="n">
        <f aca="false">SUM(X253:AI253)/1000</f>
        <v>192</v>
      </c>
      <c r="AW253" s="9" t="n">
        <f aca="false">SUM(AJ253:AU253)</f>
        <v>26496</v>
      </c>
      <c r="AX253" s="9" t="n">
        <f aca="false">IF(D253="INR",AW253/88.24,AW253)/1000000</f>
        <v>0.026496</v>
      </c>
    </row>
    <row r="254" s="2" customFormat="true" ht="16.4" hidden="false" customHeight="false" outlineLevel="0" collapsed="false">
      <c r="A254" s="35" t="s">
        <v>585</v>
      </c>
      <c r="B254" s="9" t="n">
        <v>5</v>
      </c>
      <c r="C254" s="10"/>
      <c r="D254" s="9" t="s">
        <v>50</v>
      </c>
      <c r="E254" s="9" t="s">
        <v>51</v>
      </c>
      <c r="F254" s="9" t="s">
        <v>52</v>
      </c>
      <c r="G254" s="9" t="s">
        <v>274</v>
      </c>
      <c r="H254" s="9" t="s">
        <v>275</v>
      </c>
      <c r="I254" s="9" t="s">
        <v>260</v>
      </c>
      <c r="J254" s="9" t="s">
        <v>276</v>
      </c>
      <c r="K254" s="9"/>
      <c r="L254" s="9" t="s">
        <v>260</v>
      </c>
      <c r="M254" s="9" t="s">
        <v>276</v>
      </c>
      <c r="N254" s="16" t="s">
        <v>79</v>
      </c>
      <c r="O254" s="9" t="s">
        <v>68</v>
      </c>
      <c r="P254" s="9" t="s">
        <v>80</v>
      </c>
      <c r="Q254" s="9" t="s">
        <v>80</v>
      </c>
      <c r="R254" s="9" t="s">
        <v>81</v>
      </c>
      <c r="S254" s="9" t="s">
        <v>82</v>
      </c>
      <c r="T254" s="9" t="s">
        <v>586</v>
      </c>
      <c r="U254" s="9" t="s">
        <v>73</v>
      </c>
      <c r="V254" s="9" t="n">
        <v>6.21</v>
      </c>
      <c r="W254" s="9" t="n">
        <v>5.62</v>
      </c>
      <c r="X254" s="9" t="n">
        <v>60000</v>
      </c>
      <c r="Y254" s="9" t="n">
        <v>60000</v>
      </c>
      <c r="Z254" s="9" t="n">
        <v>60000</v>
      </c>
      <c r="AA254" s="9" t="n">
        <v>60000</v>
      </c>
      <c r="AB254" s="9" t="n">
        <v>60000</v>
      </c>
      <c r="AC254" s="9" t="n">
        <v>60000</v>
      </c>
      <c r="AD254" s="9" t="n">
        <v>60000</v>
      </c>
      <c r="AE254" s="9" t="n">
        <v>60000</v>
      </c>
      <c r="AF254" s="9" t="n">
        <v>60000</v>
      </c>
      <c r="AG254" s="9" t="n">
        <v>60000</v>
      </c>
      <c r="AH254" s="9" t="n">
        <v>60000</v>
      </c>
      <c r="AI254" s="9" t="n">
        <v>60000</v>
      </c>
      <c r="AJ254" s="9" t="n">
        <f aca="false">X254*$V254</f>
        <v>372600</v>
      </c>
      <c r="AK254" s="9" t="n">
        <f aca="false">Y254*$V254</f>
        <v>372600</v>
      </c>
      <c r="AL254" s="9" t="n">
        <f aca="false">Z254*$V254</f>
        <v>372600</v>
      </c>
      <c r="AM254" s="9" t="n">
        <f aca="false">AA254*$V254</f>
        <v>372600</v>
      </c>
      <c r="AN254" s="9" t="n">
        <f aca="false">AB254*$V254</f>
        <v>372600</v>
      </c>
      <c r="AO254" s="9" t="n">
        <f aca="false">AC254*$V254</f>
        <v>372600</v>
      </c>
      <c r="AP254" s="9" t="n">
        <f aca="false">AD254*$V254</f>
        <v>372600</v>
      </c>
      <c r="AQ254" s="9" t="n">
        <f aca="false">AE254*$V254</f>
        <v>372600</v>
      </c>
      <c r="AR254" s="9" t="n">
        <f aca="false">AF254*$V254</f>
        <v>372600</v>
      </c>
      <c r="AS254" s="9" t="n">
        <f aca="false">AG254*$V254</f>
        <v>372600</v>
      </c>
      <c r="AT254" s="9" t="n">
        <f aca="false">AH254*$V254</f>
        <v>372600</v>
      </c>
      <c r="AU254" s="9" t="n">
        <f aca="false">AI254*$V254</f>
        <v>372600</v>
      </c>
      <c r="AV254" s="9" t="n">
        <f aca="false">SUM(X254:AI254)/1000</f>
        <v>720</v>
      </c>
      <c r="AW254" s="9" t="n">
        <f aca="false">SUM(AJ254:AU254)</f>
        <v>4471200</v>
      </c>
      <c r="AX254" s="9" t="n">
        <f aca="false">IF(D254="INR",AW254/88.24,AW254)/1000000</f>
        <v>0.0506708975521306</v>
      </c>
    </row>
    <row r="255" s="2" customFormat="true" ht="16.4" hidden="false" customHeight="false" outlineLevel="0" collapsed="false">
      <c r="A255" s="35" t="s">
        <v>587</v>
      </c>
      <c r="B255" s="9" t="n">
        <v>5</v>
      </c>
      <c r="C255" s="10"/>
      <c r="D255" s="9" t="s">
        <v>50</v>
      </c>
      <c r="E255" s="9" t="s">
        <v>51</v>
      </c>
      <c r="F255" s="9" t="s">
        <v>267</v>
      </c>
      <c r="G255" s="9" t="s">
        <v>588</v>
      </c>
      <c r="H255" s="9" t="s">
        <v>379</v>
      </c>
      <c r="I255" s="9" t="s">
        <v>55</v>
      </c>
      <c r="J255" s="9" t="s">
        <v>100</v>
      </c>
      <c r="K255" s="9"/>
      <c r="L255" s="9" t="s">
        <v>55</v>
      </c>
      <c r="M255" s="9" t="s">
        <v>100</v>
      </c>
      <c r="N255" s="9" t="s">
        <v>271</v>
      </c>
      <c r="O255" s="9" t="s">
        <v>94</v>
      </c>
      <c r="P255" s="9" t="s">
        <v>110</v>
      </c>
      <c r="Q255" s="9" t="s">
        <v>110</v>
      </c>
      <c r="R255" s="9" t="s">
        <v>137</v>
      </c>
      <c r="S255" s="9" t="s">
        <v>272</v>
      </c>
      <c r="T255" s="9" t="s">
        <v>472</v>
      </c>
      <c r="U255" s="9" t="s">
        <v>73</v>
      </c>
      <c r="V255" s="9" t="n">
        <v>91</v>
      </c>
      <c r="W255" s="9" t="n">
        <v>0.827</v>
      </c>
      <c r="X255" s="9"/>
      <c r="Y255" s="9"/>
      <c r="Z255" s="9" t="n">
        <v>4000</v>
      </c>
      <c r="AA255" s="9" t="n">
        <v>4000</v>
      </c>
      <c r="AB255" s="9" t="n">
        <v>4000</v>
      </c>
      <c r="AC255" s="9" t="n">
        <v>4000</v>
      </c>
      <c r="AD255" s="9" t="n">
        <v>4000</v>
      </c>
      <c r="AE255" s="9" t="n">
        <v>4000</v>
      </c>
      <c r="AF255" s="9" t="n">
        <v>4000</v>
      </c>
      <c r="AG255" s="9" t="n">
        <v>4000</v>
      </c>
      <c r="AH255" s="9" t="n">
        <v>4000</v>
      </c>
      <c r="AI255" s="9" t="n">
        <v>4000</v>
      </c>
      <c r="AJ255" s="9" t="n">
        <f aca="false">X255*$V255</f>
        <v>0</v>
      </c>
      <c r="AK255" s="9" t="n">
        <f aca="false">Y255*$V255</f>
        <v>0</v>
      </c>
      <c r="AL255" s="9" t="n">
        <f aca="false">Z255*$V255</f>
        <v>364000</v>
      </c>
      <c r="AM255" s="9" t="n">
        <f aca="false">AA255*$V255</f>
        <v>364000</v>
      </c>
      <c r="AN255" s="9" t="n">
        <f aca="false">AB255*$V255</f>
        <v>364000</v>
      </c>
      <c r="AO255" s="9" t="n">
        <f aca="false">AC255*$V255</f>
        <v>364000</v>
      </c>
      <c r="AP255" s="9" t="n">
        <f aca="false">AD255*$V255</f>
        <v>364000</v>
      </c>
      <c r="AQ255" s="9" t="n">
        <f aca="false">AE255*$V255</f>
        <v>364000</v>
      </c>
      <c r="AR255" s="9" t="n">
        <f aca="false">AF255*$V255</f>
        <v>364000</v>
      </c>
      <c r="AS255" s="9" t="n">
        <f aca="false">AG255*$V255</f>
        <v>364000</v>
      </c>
      <c r="AT255" s="9" t="n">
        <f aca="false">AH255*$V255</f>
        <v>364000</v>
      </c>
      <c r="AU255" s="9" t="n">
        <f aca="false">AI255*$V255</f>
        <v>364000</v>
      </c>
      <c r="AV255" s="9" t="n">
        <f aca="false">SUM(X255:AI255)/1000</f>
        <v>40</v>
      </c>
      <c r="AW255" s="9" t="n">
        <f aca="false">SUM(AJ255:AU255)</f>
        <v>3640000</v>
      </c>
      <c r="AX255" s="9" t="n">
        <f aca="false">IF(D255="INR",AW255/88.24,AW255)/1000000</f>
        <v>0.0412511332728921</v>
      </c>
    </row>
    <row r="256" s="2" customFormat="true" ht="14.25" hidden="false" customHeight="false" outlineLevel="0" collapsed="false">
      <c r="A256" s="28"/>
      <c r="B256" s="16" t="n">
        <v>1</v>
      </c>
      <c r="C256" s="16"/>
      <c r="D256" s="16" t="s">
        <v>50</v>
      </c>
      <c r="E256" s="16" t="s">
        <v>51</v>
      </c>
      <c r="F256" s="16" t="s">
        <v>52</v>
      </c>
      <c r="G256" s="16"/>
      <c r="H256" s="16" t="s">
        <v>346</v>
      </c>
      <c r="I256" s="16"/>
      <c r="J256" s="16"/>
      <c r="K256" s="16"/>
      <c r="L256" s="16"/>
      <c r="M256" s="16"/>
      <c r="N256" s="16" t="s">
        <v>290</v>
      </c>
      <c r="O256" s="16"/>
      <c r="P256" s="16"/>
      <c r="Q256" s="16" t="s">
        <v>589</v>
      </c>
      <c r="R256" s="16"/>
      <c r="S256" s="16"/>
      <c r="T256" s="16" t="s">
        <v>590</v>
      </c>
      <c r="U256" s="16"/>
      <c r="V256" s="16" t="n">
        <v>36</v>
      </c>
      <c r="W256" s="16"/>
      <c r="X256" s="16"/>
      <c r="Y256" s="16" t="n">
        <v>10000</v>
      </c>
      <c r="Z256" s="16" t="n">
        <v>10000</v>
      </c>
      <c r="AA256" s="16" t="n">
        <v>10000</v>
      </c>
      <c r="AB256" s="16" t="n">
        <v>10000</v>
      </c>
      <c r="AC256" s="16" t="n">
        <v>10000</v>
      </c>
      <c r="AD256" s="16" t="n">
        <v>10000</v>
      </c>
      <c r="AE256" s="16" t="n">
        <v>10000</v>
      </c>
      <c r="AF256" s="16" t="n">
        <v>10000</v>
      </c>
      <c r="AG256" s="16" t="n">
        <v>10000</v>
      </c>
      <c r="AH256" s="16" t="n">
        <v>10000</v>
      </c>
      <c r="AI256" s="16" t="n">
        <v>10000</v>
      </c>
      <c r="AJ256" s="9" t="n">
        <f aca="false">X256*$V256</f>
        <v>0</v>
      </c>
      <c r="AK256" s="9" t="n">
        <f aca="false">Y256*$V256</f>
        <v>360000</v>
      </c>
      <c r="AL256" s="9" t="n">
        <f aca="false">Z256*$V256</f>
        <v>360000</v>
      </c>
      <c r="AM256" s="9" t="n">
        <f aca="false">AA256*$V256</f>
        <v>360000</v>
      </c>
      <c r="AN256" s="9" t="n">
        <f aca="false">AB256*$V256</f>
        <v>360000</v>
      </c>
      <c r="AO256" s="9" t="n">
        <f aca="false">AC256*$V256</f>
        <v>360000</v>
      </c>
      <c r="AP256" s="9" t="n">
        <f aca="false">AD256*$V256</f>
        <v>360000</v>
      </c>
      <c r="AQ256" s="9" t="n">
        <f aca="false">AE256*$V256</f>
        <v>360000</v>
      </c>
      <c r="AR256" s="9" t="n">
        <f aca="false">AF256*$V256</f>
        <v>360000</v>
      </c>
      <c r="AS256" s="9" t="n">
        <f aca="false">AG256*$V256</f>
        <v>360000</v>
      </c>
      <c r="AT256" s="9" t="n">
        <f aca="false">AH256*$V256</f>
        <v>360000</v>
      </c>
      <c r="AU256" s="9" t="n">
        <f aca="false">AI256*$V256</f>
        <v>360000</v>
      </c>
      <c r="AV256" s="9" t="n">
        <f aca="false">SUM(X256:AI256)/1000</f>
        <v>110</v>
      </c>
      <c r="AW256" s="9" t="n">
        <f aca="false">SUM(AJ256:AU256)</f>
        <v>3960000</v>
      </c>
      <c r="AX256" s="9" t="n">
        <f aca="false">IF(D256="INR",AW256/88.24,AW256)/1000000</f>
        <v>0.0448776065276519</v>
      </c>
    </row>
    <row r="257" s="2" customFormat="true" ht="16.4" hidden="false" customHeight="false" outlineLevel="0" collapsed="false">
      <c r="A257" s="28" t="s">
        <v>591</v>
      </c>
      <c r="B257" s="16" t="n">
        <v>5</v>
      </c>
      <c r="C257" s="16"/>
      <c r="D257" s="16" t="s">
        <v>102</v>
      </c>
      <c r="E257" s="16" t="s">
        <v>51</v>
      </c>
      <c r="F257" s="16" t="s">
        <v>52</v>
      </c>
      <c r="G257" s="16" t="s">
        <v>494</v>
      </c>
      <c r="H257" s="16" t="s">
        <v>495</v>
      </c>
      <c r="I257" s="16" t="s">
        <v>260</v>
      </c>
      <c r="J257" s="16" t="s">
        <v>520</v>
      </c>
      <c r="K257" s="16" t="s">
        <v>495</v>
      </c>
      <c r="L257" s="16" t="s">
        <v>260</v>
      </c>
      <c r="M257" s="16" t="s">
        <v>520</v>
      </c>
      <c r="N257" s="16" t="s">
        <v>57</v>
      </c>
      <c r="O257" s="16" t="s">
        <v>94</v>
      </c>
      <c r="P257" s="16" t="s">
        <v>197</v>
      </c>
      <c r="Q257" s="16" t="s">
        <v>197</v>
      </c>
      <c r="R257" s="16" t="s">
        <v>86</v>
      </c>
      <c r="S257" s="16" t="s">
        <v>521</v>
      </c>
      <c r="T257" s="16" t="s">
        <v>592</v>
      </c>
      <c r="U257" s="16" t="s">
        <v>73</v>
      </c>
      <c r="V257" s="16" t="n">
        <v>0.004342</v>
      </c>
      <c r="W257" s="16" t="n">
        <v>0.00391</v>
      </c>
      <c r="X257" s="16" t="n">
        <v>16000</v>
      </c>
      <c r="Y257" s="16" t="n">
        <v>16000</v>
      </c>
      <c r="Z257" s="16" t="n">
        <v>16000</v>
      </c>
      <c r="AA257" s="16" t="n">
        <v>16000</v>
      </c>
      <c r="AB257" s="16" t="n">
        <v>16000</v>
      </c>
      <c r="AC257" s="16" t="n">
        <v>16000</v>
      </c>
      <c r="AD257" s="16" t="n">
        <v>16000</v>
      </c>
      <c r="AE257" s="16" t="n">
        <v>16000</v>
      </c>
      <c r="AF257" s="16" t="n">
        <v>16000</v>
      </c>
      <c r="AG257" s="16" t="n">
        <v>16000</v>
      </c>
      <c r="AH257" s="16" t="n">
        <v>16000</v>
      </c>
      <c r="AI257" s="16" t="n">
        <v>16000</v>
      </c>
      <c r="AJ257" s="9" t="n">
        <f aca="false">X257*$V257</f>
        <v>69.472</v>
      </c>
      <c r="AK257" s="9" t="n">
        <f aca="false">Y257*$V257</f>
        <v>69.472</v>
      </c>
      <c r="AL257" s="9" t="n">
        <f aca="false">Z257*$V257</f>
        <v>69.472</v>
      </c>
      <c r="AM257" s="9" t="n">
        <f aca="false">AA257*$V257</f>
        <v>69.472</v>
      </c>
      <c r="AN257" s="9" t="n">
        <f aca="false">AB257*$V257</f>
        <v>69.472</v>
      </c>
      <c r="AO257" s="9" t="n">
        <f aca="false">AC257*$V257</f>
        <v>69.472</v>
      </c>
      <c r="AP257" s="9" t="n">
        <f aca="false">AD257*$V257</f>
        <v>69.472</v>
      </c>
      <c r="AQ257" s="9" t="n">
        <f aca="false">AE257*$V257</f>
        <v>69.472</v>
      </c>
      <c r="AR257" s="9" t="n">
        <f aca="false">AF257*$V257</f>
        <v>69.472</v>
      </c>
      <c r="AS257" s="9" t="n">
        <f aca="false">AG257*$V257</f>
        <v>69.472</v>
      </c>
      <c r="AT257" s="9" t="n">
        <f aca="false">AH257*$V257</f>
        <v>69.472</v>
      </c>
      <c r="AU257" s="9" t="n">
        <f aca="false">AI257*$V257</f>
        <v>69.472</v>
      </c>
      <c r="AV257" s="9" t="n">
        <f aca="false">SUM(X257:AI257)/1000</f>
        <v>192</v>
      </c>
      <c r="AW257" s="9" t="n">
        <f aca="false">SUM(AJ257:AU257)</f>
        <v>833.664</v>
      </c>
      <c r="AX257" s="9" t="n">
        <f aca="false">IF(D257="INR",AW257/88.24,AW257)/1000000</f>
        <v>0.000833664</v>
      </c>
    </row>
    <row r="258" s="2" customFormat="true" ht="16.4" hidden="false" customHeight="false" outlineLevel="0" collapsed="false">
      <c r="A258" s="35" t="s">
        <v>593</v>
      </c>
      <c r="B258" s="9" t="n">
        <v>5</v>
      </c>
      <c r="C258" s="10"/>
      <c r="D258" s="9" t="s">
        <v>102</v>
      </c>
      <c r="E258" s="9" t="s">
        <v>51</v>
      </c>
      <c r="F258" s="9" t="s">
        <v>52</v>
      </c>
      <c r="G258" s="9" t="s">
        <v>494</v>
      </c>
      <c r="H258" s="9" t="s">
        <v>495</v>
      </c>
      <c r="I258" s="9" t="s">
        <v>260</v>
      </c>
      <c r="J258" s="9" t="s">
        <v>520</v>
      </c>
      <c r="K258" s="9" t="s">
        <v>495</v>
      </c>
      <c r="L258" s="9" t="s">
        <v>260</v>
      </c>
      <c r="M258" s="9" t="s">
        <v>520</v>
      </c>
      <c r="N258" s="9" t="s">
        <v>57</v>
      </c>
      <c r="O258" s="9" t="s">
        <v>94</v>
      </c>
      <c r="P258" s="9" t="s">
        <v>197</v>
      </c>
      <c r="Q258" s="9" t="s">
        <v>197</v>
      </c>
      <c r="R258" s="9" t="s">
        <v>86</v>
      </c>
      <c r="S258" s="9" t="s">
        <v>521</v>
      </c>
      <c r="T258" s="9" t="s">
        <v>594</v>
      </c>
      <c r="U258" s="9" t="s">
        <v>73</v>
      </c>
      <c r="V258" s="9" t="n">
        <v>0.00382</v>
      </c>
      <c r="W258" s="9" t="n">
        <v>0.00344</v>
      </c>
      <c r="X258" s="9" t="n">
        <v>16000</v>
      </c>
      <c r="Y258" s="9" t="n">
        <v>16000</v>
      </c>
      <c r="Z258" s="9" t="n">
        <v>16000</v>
      </c>
      <c r="AA258" s="9" t="n">
        <v>16000</v>
      </c>
      <c r="AB258" s="9" t="n">
        <v>16000</v>
      </c>
      <c r="AC258" s="9" t="n">
        <v>16000</v>
      </c>
      <c r="AD258" s="9" t="n">
        <v>16000</v>
      </c>
      <c r="AE258" s="9" t="n">
        <v>16000</v>
      </c>
      <c r="AF258" s="9" t="n">
        <v>16000</v>
      </c>
      <c r="AG258" s="9" t="n">
        <v>16000</v>
      </c>
      <c r="AH258" s="9" t="n">
        <v>16000</v>
      </c>
      <c r="AI258" s="9" t="n">
        <v>16000</v>
      </c>
      <c r="AJ258" s="9" t="n">
        <f aca="false">X258*$V258</f>
        <v>61.12</v>
      </c>
      <c r="AK258" s="9" t="n">
        <f aca="false">Y258*$V258</f>
        <v>61.12</v>
      </c>
      <c r="AL258" s="9" t="n">
        <f aca="false">Z258*$V258</f>
        <v>61.12</v>
      </c>
      <c r="AM258" s="9" t="n">
        <f aca="false">AA258*$V258</f>
        <v>61.12</v>
      </c>
      <c r="AN258" s="9" t="n">
        <f aca="false">AB258*$V258</f>
        <v>61.12</v>
      </c>
      <c r="AO258" s="9" t="n">
        <f aca="false">AC258*$V258</f>
        <v>61.12</v>
      </c>
      <c r="AP258" s="9" t="n">
        <f aca="false">AD258*$V258</f>
        <v>61.12</v>
      </c>
      <c r="AQ258" s="9" t="n">
        <f aca="false">AE258*$V258</f>
        <v>61.12</v>
      </c>
      <c r="AR258" s="9" t="n">
        <f aca="false">AF258*$V258</f>
        <v>61.12</v>
      </c>
      <c r="AS258" s="9" t="n">
        <f aca="false">AG258*$V258</f>
        <v>61.12</v>
      </c>
      <c r="AT258" s="9" t="n">
        <f aca="false">AH258*$V258</f>
        <v>61.12</v>
      </c>
      <c r="AU258" s="9" t="n">
        <f aca="false">AI258*$V258</f>
        <v>61.12</v>
      </c>
      <c r="AV258" s="9" t="n">
        <f aca="false">SUM(X258:AI258)/1000</f>
        <v>192</v>
      </c>
      <c r="AW258" s="9" t="n">
        <f aca="false">SUM(AJ258:AU258)</f>
        <v>733.44</v>
      </c>
      <c r="AX258" s="9" t="n">
        <f aca="false">IF(D258="INR",AW258/88.24,AW258)/1000000</f>
        <v>0.00073344</v>
      </c>
    </row>
    <row r="259" s="2" customFormat="true" ht="16.4" hidden="false" customHeight="false" outlineLevel="0" collapsed="false">
      <c r="A259" s="35" t="s">
        <v>595</v>
      </c>
      <c r="B259" s="9" t="n">
        <v>5</v>
      </c>
      <c r="C259" s="10"/>
      <c r="D259" s="9" t="s">
        <v>102</v>
      </c>
      <c r="E259" s="9" t="s">
        <v>51</v>
      </c>
      <c r="F259" s="9" t="s">
        <v>52</v>
      </c>
      <c r="G259" s="9" t="s">
        <v>494</v>
      </c>
      <c r="H259" s="9" t="s">
        <v>495</v>
      </c>
      <c r="I259" s="9" t="s">
        <v>260</v>
      </c>
      <c r="J259" s="9" t="s">
        <v>520</v>
      </c>
      <c r="K259" s="9" t="s">
        <v>495</v>
      </c>
      <c r="L259" s="9" t="s">
        <v>260</v>
      </c>
      <c r="M259" s="9" t="s">
        <v>520</v>
      </c>
      <c r="N259" s="9" t="s">
        <v>57</v>
      </c>
      <c r="O259" s="9" t="s">
        <v>94</v>
      </c>
      <c r="P259" s="9" t="s">
        <v>197</v>
      </c>
      <c r="Q259" s="9" t="s">
        <v>197</v>
      </c>
      <c r="R259" s="9" t="s">
        <v>86</v>
      </c>
      <c r="S259" s="9" t="s">
        <v>521</v>
      </c>
      <c r="T259" s="9" t="s">
        <v>596</v>
      </c>
      <c r="U259" s="9" t="s">
        <v>73</v>
      </c>
      <c r="V259" s="9" t="n">
        <v>0.003614</v>
      </c>
      <c r="W259" s="9" t="n">
        <v>0.00325</v>
      </c>
      <c r="X259" s="9" t="n">
        <v>16000</v>
      </c>
      <c r="Y259" s="9" t="n">
        <v>16000</v>
      </c>
      <c r="Z259" s="9" t="n">
        <v>16000</v>
      </c>
      <c r="AA259" s="9" t="n">
        <v>16000</v>
      </c>
      <c r="AB259" s="9" t="n">
        <v>16000</v>
      </c>
      <c r="AC259" s="9" t="n">
        <v>16000</v>
      </c>
      <c r="AD259" s="9" t="n">
        <v>16000</v>
      </c>
      <c r="AE259" s="9" t="n">
        <v>16000</v>
      </c>
      <c r="AF259" s="9" t="n">
        <v>16000</v>
      </c>
      <c r="AG259" s="9" t="n">
        <v>16000</v>
      </c>
      <c r="AH259" s="9" t="n">
        <v>16000</v>
      </c>
      <c r="AI259" s="9" t="n">
        <v>16000</v>
      </c>
      <c r="AJ259" s="9" t="n">
        <f aca="false">X259*$V259</f>
        <v>57.824</v>
      </c>
      <c r="AK259" s="9" t="n">
        <f aca="false">Y259*$V259</f>
        <v>57.824</v>
      </c>
      <c r="AL259" s="9" t="n">
        <f aca="false">Z259*$V259</f>
        <v>57.824</v>
      </c>
      <c r="AM259" s="9" t="n">
        <f aca="false">AA259*$V259</f>
        <v>57.824</v>
      </c>
      <c r="AN259" s="9" t="n">
        <f aca="false">AB259*$V259</f>
        <v>57.824</v>
      </c>
      <c r="AO259" s="9" t="n">
        <f aca="false">AC259*$V259</f>
        <v>57.824</v>
      </c>
      <c r="AP259" s="9" t="n">
        <f aca="false">AD259*$V259</f>
        <v>57.824</v>
      </c>
      <c r="AQ259" s="9" t="n">
        <f aca="false">AE259*$V259</f>
        <v>57.824</v>
      </c>
      <c r="AR259" s="9" t="n">
        <f aca="false">AF259*$V259</f>
        <v>57.824</v>
      </c>
      <c r="AS259" s="9" t="n">
        <f aca="false">AG259*$V259</f>
        <v>57.824</v>
      </c>
      <c r="AT259" s="9" t="n">
        <f aca="false">AH259*$V259</f>
        <v>57.824</v>
      </c>
      <c r="AU259" s="9" t="n">
        <f aca="false">AI259*$V259</f>
        <v>57.824</v>
      </c>
      <c r="AV259" s="9" t="n">
        <f aca="false">SUM(X259:AI259)/1000</f>
        <v>192</v>
      </c>
      <c r="AW259" s="9" t="n">
        <f aca="false">SUM(AJ259:AU259)</f>
        <v>693.888</v>
      </c>
      <c r="AX259" s="9" t="n">
        <f aca="false">IF(D259="INR",AW259/88.24,AW259)/1000000</f>
        <v>0.000693888</v>
      </c>
    </row>
    <row r="260" s="2" customFormat="true" ht="14.25" hidden="false" customHeight="true" outlineLevel="0" collapsed="false">
      <c r="A260" s="16" t="s">
        <v>597</v>
      </c>
      <c r="B260" s="16" t="n">
        <v>5</v>
      </c>
      <c r="C260" s="16"/>
      <c r="D260" s="16" t="s">
        <v>102</v>
      </c>
      <c r="E260" s="16" t="s">
        <v>51</v>
      </c>
      <c r="F260" s="16" t="s">
        <v>52</v>
      </c>
      <c r="G260" s="16" t="s">
        <v>494</v>
      </c>
      <c r="H260" s="16" t="s">
        <v>495</v>
      </c>
      <c r="I260" s="16" t="s">
        <v>260</v>
      </c>
      <c r="J260" s="16" t="s">
        <v>520</v>
      </c>
      <c r="K260" s="16" t="s">
        <v>495</v>
      </c>
      <c r="L260" s="16" t="s">
        <v>260</v>
      </c>
      <c r="M260" s="16" t="s">
        <v>520</v>
      </c>
      <c r="N260" s="16" t="s">
        <v>57</v>
      </c>
      <c r="O260" s="16" t="s">
        <v>94</v>
      </c>
      <c r="P260" s="16" t="s">
        <v>197</v>
      </c>
      <c r="Q260" s="16" t="s">
        <v>197</v>
      </c>
      <c r="R260" s="16" t="s">
        <v>86</v>
      </c>
      <c r="S260" s="16" t="s">
        <v>521</v>
      </c>
      <c r="T260" s="16" t="s">
        <v>598</v>
      </c>
      <c r="U260" s="16" t="s">
        <v>73</v>
      </c>
      <c r="V260" s="16" t="n">
        <v>0.00206</v>
      </c>
      <c r="W260" s="16" t="n">
        <v>0.00185</v>
      </c>
      <c r="X260" s="16" t="n">
        <v>16000</v>
      </c>
      <c r="Y260" s="16" t="n">
        <v>16000</v>
      </c>
      <c r="Z260" s="16" t="n">
        <v>16000</v>
      </c>
      <c r="AA260" s="16" t="n">
        <v>16000</v>
      </c>
      <c r="AB260" s="16" t="n">
        <v>16000</v>
      </c>
      <c r="AC260" s="16" t="n">
        <v>16000</v>
      </c>
      <c r="AD260" s="16" t="n">
        <v>16000</v>
      </c>
      <c r="AE260" s="16" t="n">
        <v>16000</v>
      </c>
      <c r="AF260" s="16" t="n">
        <v>16000</v>
      </c>
      <c r="AG260" s="16" t="n">
        <v>16000</v>
      </c>
      <c r="AH260" s="16" t="n">
        <v>16000</v>
      </c>
      <c r="AI260" s="16" t="n">
        <v>16000</v>
      </c>
      <c r="AJ260" s="9" t="n">
        <f aca="false">X260*$V260</f>
        <v>32.96</v>
      </c>
      <c r="AK260" s="9" t="n">
        <f aca="false">Y260*$V260</f>
        <v>32.96</v>
      </c>
      <c r="AL260" s="9" t="n">
        <f aca="false">Z260*$V260</f>
        <v>32.96</v>
      </c>
      <c r="AM260" s="9" t="n">
        <f aca="false">AA260*$V260</f>
        <v>32.96</v>
      </c>
      <c r="AN260" s="9" t="n">
        <f aca="false">AB260*$V260</f>
        <v>32.96</v>
      </c>
      <c r="AO260" s="9" t="n">
        <f aca="false">AC260*$V260</f>
        <v>32.96</v>
      </c>
      <c r="AP260" s="9" t="n">
        <f aca="false">AD260*$V260</f>
        <v>32.96</v>
      </c>
      <c r="AQ260" s="9" t="n">
        <f aca="false">AE260*$V260</f>
        <v>32.96</v>
      </c>
      <c r="AR260" s="9" t="n">
        <f aca="false">AF260*$V260</f>
        <v>32.96</v>
      </c>
      <c r="AS260" s="9" t="n">
        <f aca="false">AG260*$V260</f>
        <v>32.96</v>
      </c>
      <c r="AT260" s="9" t="n">
        <f aca="false">AH260*$V260</f>
        <v>32.96</v>
      </c>
      <c r="AU260" s="9" t="n">
        <f aca="false">AI260*$V260</f>
        <v>32.96</v>
      </c>
      <c r="AV260" s="9" t="n">
        <f aca="false">SUM(X260:AI260)/1000</f>
        <v>192</v>
      </c>
      <c r="AW260" s="9" t="n">
        <f aca="false">SUM(AJ260:AU260)</f>
        <v>395.52</v>
      </c>
      <c r="AX260" s="9" t="n">
        <f aca="false">IF(D260="INR",AW260/88.24,AW260)/1000000</f>
        <v>0.00039552</v>
      </c>
    </row>
    <row r="261" s="2" customFormat="true" ht="16.4" hidden="false" customHeight="false" outlineLevel="0" collapsed="false">
      <c r="A261" s="16" t="s">
        <v>599</v>
      </c>
      <c r="B261" s="16" t="n">
        <v>5</v>
      </c>
      <c r="C261" s="16"/>
      <c r="D261" s="16" t="s">
        <v>102</v>
      </c>
      <c r="E261" s="16" t="s">
        <v>51</v>
      </c>
      <c r="F261" s="16" t="s">
        <v>52</v>
      </c>
      <c r="G261" s="16" t="s">
        <v>494</v>
      </c>
      <c r="H261" s="16" t="s">
        <v>495</v>
      </c>
      <c r="I261" s="16" t="s">
        <v>260</v>
      </c>
      <c r="J261" s="16" t="s">
        <v>520</v>
      </c>
      <c r="K261" s="16" t="s">
        <v>495</v>
      </c>
      <c r="L261" s="16" t="s">
        <v>260</v>
      </c>
      <c r="M261" s="16" t="s">
        <v>520</v>
      </c>
      <c r="N261" s="16" t="s">
        <v>57</v>
      </c>
      <c r="O261" s="16" t="s">
        <v>94</v>
      </c>
      <c r="P261" s="16" t="s">
        <v>197</v>
      </c>
      <c r="Q261" s="16" t="s">
        <v>197</v>
      </c>
      <c r="R261" s="16" t="s">
        <v>86</v>
      </c>
      <c r="S261" s="16" t="s">
        <v>521</v>
      </c>
      <c r="T261" s="16" t="s">
        <v>600</v>
      </c>
      <c r="U261" s="16" t="s">
        <v>73</v>
      </c>
      <c r="V261" s="15" t="n">
        <v>0.00206</v>
      </c>
      <c r="W261" s="16" t="n">
        <v>0.00185</v>
      </c>
      <c r="X261" s="16" t="n">
        <v>16000</v>
      </c>
      <c r="Y261" s="16" t="n">
        <v>16000</v>
      </c>
      <c r="Z261" s="16" t="n">
        <v>16000</v>
      </c>
      <c r="AA261" s="16" t="n">
        <v>16000</v>
      </c>
      <c r="AB261" s="16" t="n">
        <v>16000</v>
      </c>
      <c r="AC261" s="16" t="n">
        <v>16000</v>
      </c>
      <c r="AD261" s="16" t="n">
        <v>16000</v>
      </c>
      <c r="AE261" s="16" t="n">
        <v>16000</v>
      </c>
      <c r="AF261" s="16" t="n">
        <v>16000</v>
      </c>
      <c r="AG261" s="16" t="n">
        <v>16000</v>
      </c>
      <c r="AH261" s="16" t="n">
        <v>16000</v>
      </c>
      <c r="AI261" s="16" t="n">
        <v>16000</v>
      </c>
      <c r="AJ261" s="9" t="n">
        <f aca="false">X261*$V261</f>
        <v>32.96</v>
      </c>
      <c r="AK261" s="9" t="n">
        <f aca="false">Y261*$V261</f>
        <v>32.96</v>
      </c>
      <c r="AL261" s="9" t="n">
        <f aca="false">Z261*$V261</f>
        <v>32.96</v>
      </c>
      <c r="AM261" s="9" t="n">
        <f aca="false">AA261*$V261</f>
        <v>32.96</v>
      </c>
      <c r="AN261" s="9" t="n">
        <f aca="false">AB261*$V261</f>
        <v>32.96</v>
      </c>
      <c r="AO261" s="9" t="n">
        <f aca="false">AC261*$V261</f>
        <v>32.96</v>
      </c>
      <c r="AP261" s="9" t="n">
        <f aca="false">AD261*$V261</f>
        <v>32.96</v>
      </c>
      <c r="AQ261" s="9" t="n">
        <f aca="false">AE261*$V261</f>
        <v>32.96</v>
      </c>
      <c r="AR261" s="9" t="n">
        <f aca="false">AF261*$V261</f>
        <v>32.96</v>
      </c>
      <c r="AS261" s="9" t="n">
        <f aca="false">AG261*$V261</f>
        <v>32.96</v>
      </c>
      <c r="AT261" s="9" t="n">
        <f aca="false">AH261*$V261</f>
        <v>32.96</v>
      </c>
      <c r="AU261" s="9" t="n">
        <f aca="false">AI261*$V261</f>
        <v>32.96</v>
      </c>
      <c r="AV261" s="9" t="n">
        <f aca="false">SUM(X261:AI261)/1000</f>
        <v>192</v>
      </c>
      <c r="AW261" s="9" t="n">
        <f aca="false">SUM(AJ261:AU261)</f>
        <v>395.52</v>
      </c>
      <c r="AX261" s="9" t="n">
        <f aca="false">IF(D261="INR",AW261/88.24,AW261)/1000000</f>
        <v>0.00039552</v>
      </c>
    </row>
    <row r="262" s="2" customFormat="true" ht="16.4" hidden="false" customHeight="false" outlineLevel="0" collapsed="false">
      <c r="A262" s="35" t="s">
        <v>601</v>
      </c>
      <c r="B262" s="16" t="n">
        <v>5</v>
      </c>
      <c r="C262" s="9"/>
      <c r="D262" s="16" t="s">
        <v>102</v>
      </c>
      <c r="E262" s="16" t="s">
        <v>51</v>
      </c>
      <c r="F262" s="16" t="s">
        <v>52</v>
      </c>
      <c r="G262" s="9" t="s">
        <v>494</v>
      </c>
      <c r="H262" s="16" t="s">
        <v>495</v>
      </c>
      <c r="I262" s="9" t="s">
        <v>260</v>
      </c>
      <c r="J262" s="9" t="s">
        <v>520</v>
      </c>
      <c r="K262" s="9" t="s">
        <v>495</v>
      </c>
      <c r="L262" s="9" t="s">
        <v>260</v>
      </c>
      <c r="M262" s="9" t="s">
        <v>520</v>
      </c>
      <c r="N262" s="16" t="s">
        <v>57</v>
      </c>
      <c r="O262" s="9" t="s">
        <v>94</v>
      </c>
      <c r="P262" s="9" t="s">
        <v>197</v>
      </c>
      <c r="Q262" s="16" t="s">
        <v>197</v>
      </c>
      <c r="R262" s="9" t="s">
        <v>86</v>
      </c>
      <c r="S262" s="9" t="s">
        <v>521</v>
      </c>
      <c r="T262" s="9" t="s">
        <v>602</v>
      </c>
      <c r="U262" s="9" t="s">
        <v>73</v>
      </c>
      <c r="V262" s="16" t="n">
        <v>0.002059</v>
      </c>
      <c r="W262" s="9" t="n">
        <v>0.00185</v>
      </c>
      <c r="X262" s="9" t="n">
        <v>16000</v>
      </c>
      <c r="Y262" s="9" t="n">
        <v>16000</v>
      </c>
      <c r="Z262" s="9" t="n">
        <v>16000</v>
      </c>
      <c r="AA262" s="9" t="n">
        <v>16000</v>
      </c>
      <c r="AB262" s="9" t="n">
        <v>16000</v>
      </c>
      <c r="AC262" s="9" t="n">
        <v>16000</v>
      </c>
      <c r="AD262" s="9" t="n">
        <v>16000</v>
      </c>
      <c r="AE262" s="9" t="n">
        <v>16000</v>
      </c>
      <c r="AF262" s="9" t="n">
        <v>16000</v>
      </c>
      <c r="AG262" s="9" t="n">
        <v>16000</v>
      </c>
      <c r="AH262" s="9" t="n">
        <v>16000</v>
      </c>
      <c r="AI262" s="9" t="n">
        <v>16000</v>
      </c>
      <c r="AJ262" s="9" t="n">
        <f aca="false">X262*$V262</f>
        <v>32.944</v>
      </c>
      <c r="AK262" s="9" t="n">
        <f aca="false">Y262*$V262</f>
        <v>32.944</v>
      </c>
      <c r="AL262" s="9" t="n">
        <f aca="false">Z262*$V262</f>
        <v>32.944</v>
      </c>
      <c r="AM262" s="9" t="n">
        <f aca="false">AA262*$V262</f>
        <v>32.944</v>
      </c>
      <c r="AN262" s="9" t="n">
        <f aca="false">AB262*$V262</f>
        <v>32.944</v>
      </c>
      <c r="AO262" s="9" t="n">
        <f aca="false">AC262*$V262</f>
        <v>32.944</v>
      </c>
      <c r="AP262" s="9" t="n">
        <f aca="false">AD262*$V262</f>
        <v>32.944</v>
      </c>
      <c r="AQ262" s="9" t="n">
        <f aca="false">AE262*$V262</f>
        <v>32.944</v>
      </c>
      <c r="AR262" s="9" t="n">
        <f aca="false">AF262*$V262</f>
        <v>32.944</v>
      </c>
      <c r="AS262" s="9" t="n">
        <f aca="false">AG262*$V262</f>
        <v>32.944</v>
      </c>
      <c r="AT262" s="9" t="n">
        <f aca="false">AH262*$V262</f>
        <v>32.944</v>
      </c>
      <c r="AU262" s="9" t="n">
        <f aca="false">AI262*$V262</f>
        <v>32.944</v>
      </c>
      <c r="AV262" s="9" t="n">
        <f aca="false">SUM(X262:AI262)/1000</f>
        <v>192</v>
      </c>
      <c r="AW262" s="9" t="n">
        <f aca="false">SUM(AJ262:AU262)</f>
        <v>395.328</v>
      </c>
      <c r="AX262" s="9" t="n">
        <f aca="false">IF(D262="INR",AW262/88.24,AW262)/1000000</f>
        <v>0.000395328</v>
      </c>
    </row>
    <row r="263" s="2" customFormat="true" ht="16.4" hidden="false" customHeight="false" outlineLevel="0" collapsed="false">
      <c r="A263" s="16" t="s">
        <v>603</v>
      </c>
      <c r="B263" s="16" t="n">
        <v>5</v>
      </c>
      <c r="C263" s="16"/>
      <c r="D263" s="16" t="s">
        <v>102</v>
      </c>
      <c r="E263" s="16" t="s">
        <v>51</v>
      </c>
      <c r="F263" s="16" t="s">
        <v>52</v>
      </c>
      <c r="G263" s="16" t="s">
        <v>494</v>
      </c>
      <c r="H263" s="16" t="s">
        <v>495</v>
      </c>
      <c r="I263" s="16" t="s">
        <v>260</v>
      </c>
      <c r="J263" s="16" t="s">
        <v>520</v>
      </c>
      <c r="K263" s="16" t="s">
        <v>495</v>
      </c>
      <c r="L263" s="16" t="s">
        <v>260</v>
      </c>
      <c r="M263" s="16" t="s">
        <v>520</v>
      </c>
      <c r="N263" s="16" t="s">
        <v>57</v>
      </c>
      <c r="O263" s="16" t="s">
        <v>94</v>
      </c>
      <c r="P263" s="16" t="s">
        <v>197</v>
      </c>
      <c r="Q263" s="16" t="s">
        <v>197</v>
      </c>
      <c r="R263" s="16" t="s">
        <v>86</v>
      </c>
      <c r="S263" s="16" t="s">
        <v>521</v>
      </c>
      <c r="T263" s="16" t="s">
        <v>604</v>
      </c>
      <c r="U263" s="16" t="s">
        <v>73</v>
      </c>
      <c r="V263" s="16" t="n">
        <v>0.002059</v>
      </c>
      <c r="W263" s="16" t="n">
        <v>0.00185</v>
      </c>
      <c r="X263" s="16" t="n">
        <v>16000</v>
      </c>
      <c r="Y263" s="16" t="n">
        <v>16000</v>
      </c>
      <c r="Z263" s="16" t="n">
        <v>16000</v>
      </c>
      <c r="AA263" s="16" t="n">
        <v>16000</v>
      </c>
      <c r="AB263" s="16" t="n">
        <v>16000</v>
      </c>
      <c r="AC263" s="16" t="n">
        <v>16000</v>
      </c>
      <c r="AD263" s="16" t="n">
        <v>16000</v>
      </c>
      <c r="AE263" s="16" t="n">
        <v>16000</v>
      </c>
      <c r="AF263" s="16" t="n">
        <v>16000</v>
      </c>
      <c r="AG263" s="16" t="n">
        <v>16000</v>
      </c>
      <c r="AH263" s="16" t="n">
        <v>16000</v>
      </c>
      <c r="AI263" s="16" t="n">
        <v>16000</v>
      </c>
      <c r="AJ263" s="9" t="n">
        <f aca="false">X263*$V263</f>
        <v>32.944</v>
      </c>
      <c r="AK263" s="9" t="n">
        <f aca="false">Y263*$V263</f>
        <v>32.944</v>
      </c>
      <c r="AL263" s="9" t="n">
        <f aca="false">Z263*$V263</f>
        <v>32.944</v>
      </c>
      <c r="AM263" s="9" t="n">
        <f aca="false">AA263*$V263</f>
        <v>32.944</v>
      </c>
      <c r="AN263" s="9" t="n">
        <f aca="false">AB263*$V263</f>
        <v>32.944</v>
      </c>
      <c r="AO263" s="9" t="n">
        <f aca="false">AC263*$V263</f>
        <v>32.944</v>
      </c>
      <c r="AP263" s="9" t="n">
        <f aca="false">AD263*$V263</f>
        <v>32.944</v>
      </c>
      <c r="AQ263" s="9" t="n">
        <f aca="false">AE263*$V263</f>
        <v>32.944</v>
      </c>
      <c r="AR263" s="9" t="n">
        <f aca="false">AF263*$V263</f>
        <v>32.944</v>
      </c>
      <c r="AS263" s="9" t="n">
        <f aca="false">AG263*$V263</f>
        <v>32.944</v>
      </c>
      <c r="AT263" s="9" t="n">
        <f aca="false">AH263*$V263</f>
        <v>32.944</v>
      </c>
      <c r="AU263" s="9" t="n">
        <f aca="false">AI263*$V263</f>
        <v>32.944</v>
      </c>
      <c r="AV263" s="9" t="n">
        <f aca="false">SUM(X263:AI263)/1000</f>
        <v>192</v>
      </c>
      <c r="AW263" s="9" t="n">
        <f aca="false">SUM(AJ263:AU263)</f>
        <v>395.328</v>
      </c>
      <c r="AX263" s="9" t="n">
        <f aca="false">IF(D263="INR",AW263/88.24,AW263)/1000000</f>
        <v>0.000395328</v>
      </c>
    </row>
    <row r="264" s="2" customFormat="true" ht="16.4" hidden="false" customHeight="false" outlineLevel="0" collapsed="false">
      <c r="A264" s="35" t="s">
        <v>605</v>
      </c>
      <c r="B264" s="16" t="n">
        <v>5</v>
      </c>
      <c r="C264" s="9"/>
      <c r="D264" s="16" t="s">
        <v>102</v>
      </c>
      <c r="E264" s="16" t="s">
        <v>51</v>
      </c>
      <c r="F264" s="16" t="s">
        <v>52</v>
      </c>
      <c r="G264" s="9" t="s">
        <v>494</v>
      </c>
      <c r="H264" s="16" t="s">
        <v>495</v>
      </c>
      <c r="I264" s="9" t="s">
        <v>260</v>
      </c>
      <c r="J264" s="9" t="s">
        <v>520</v>
      </c>
      <c r="K264" s="9" t="s">
        <v>495</v>
      </c>
      <c r="L264" s="9" t="s">
        <v>260</v>
      </c>
      <c r="M264" s="9" t="s">
        <v>520</v>
      </c>
      <c r="N264" s="16" t="s">
        <v>57</v>
      </c>
      <c r="O264" s="9" t="s">
        <v>94</v>
      </c>
      <c r="P264" s="9" t="s">
        <v>197</v>
      </c>
      <c r="Q264" s="16" t="s">
        <v>197</v>
      </c>
      <c r="R264" s="9" t="s">
        <v>86</v>
      </c>
      <c r="S264" s="9" t="s">
        <v>521</v>
      </c>
      <c r="T264" s="9" t="s">
        <v>606</v>
      </c>
      <c r="U264" s="9" t="s">
        <v>73</v>
      </c>
      <c r="V264" s="16" t="n">
        <v>0.00196</v>
      </c>
      <c r="W264" s="9" t="n">
        <v>0.00176</v>
      </c>
      <c r="X264" s="9" t="n">
        <v>16000</v>
      </c>
      <c r="Y264" s="9" t="n">
        <v>16000</v>
      </c>
      <c r="Z264" s="9" t="n">
        <v>16000</v>
      </c>
      <c r="AA264" s="9" t="n">
        <v>16000</v>
      </c>
      <c r="AB264" s="9" t="n">
        <v>16000</v>
      </c>
      <c r="AC264" s="9" t="n">
        <v>16000</v>
      </c>
      <c r="AD264" s="9" t="n">
        <v>16000</v>
      </c>
      <c r="AE264" s="9" t="n">
        <v>16000</v>
      </c>
      <c r="AF264" s="9" t="n">
        <v>16000</v>
      </c>
      <c r="AG264" s="9" t="n">
        <v>16000</v>
      </c>
      <c r="AH264" s="9" t="n">
        <v>16000</v>
      </c>
      <c r="AI264" s="9" t="n">
        <v>16000</v>
      </c>
      <c r="AJ264" s="9" t="n">
        <f aca="false">X264*$V264</f>
        <v>31.36</v>
      </c>
      <c r="AK264" s="9" t="n">
        <f aca="false">Y264*$V264</f>
        <v>31.36</v>
      </c>
      <c r="AL264" s="9" t="n">
        <f aca="false">Z264*$V264</f>
        <v>31.36</v>
      </c>
      <c r="AM264" s="9" t="n">
        <f aca="false">AA264*$V264</f>
        <v>31.36</v>
      </c>
      <c r="AN264" s="9" t="n">
        <f aca="false">AB264*$V264</f>
        <v>31.36</v>
      </c>
      <c r="AO264" s="9" t="n">
        <f aca="false">AC264*$V264</f>
        <v>31.36</v>
      </c>
      <c r="AP264" s="9" t="n">
        <f aca="false">AD264*$V264</f>
        <v>31.36</v>
      </c>
      <c r="AQ264" s="9" t="n">
        <f aca="false">AE264*$V264</f>
        <v>31.36</v>
      </c>
      <c r="AR264" s="9" t="n">
        <f aca="false">AF264*$V264</f>
        <v>31.36</v>
      </c>
      <c r="AS264" s="9" t="n">
        <f aca="false">AG264*$V264</f>
        <v>31.36</v>
      </c>
      <c r="AT264" s="9" t="n">
        <f aca="false">AH264*$V264</f>
        <v>31.36</v>
      </c>
      <c r="AU264" s="9" t="n">
        <f aca="false">AI264*$V264</f>
        <v>31.36</v>
      </c>
      <c r="AV264" s="9" t="n">
        <f aca="false">SUM(X264:AI264)/1000</f>
        <v>192</v>
      </c>
      <c r="AW264" s="9" t="n">
        <f aca="false">SUM(AJ264:AU264)</f>
        <v>376.32</v>
      </c>
      <c r="AX264" s="9" t="n">
        <f aca="false">IF(D264="INR",AW264/88.24,AW264)/1000000</f>
        <v>0.00037632</v>
      </c>
    </row>
    <row r="265" s="2" customFormat="true" ht="16.4" hidden="false" customHeight="false" outlineLevel="0" collapsed="false">
      <c r="A265" s="16" t="s">
        <v>607</v>
      </c>
      <c r="B265" s="16" t="n">
        <v>5</v>
      </c>
      <c r="C265" s="15"/>
      <c r="D265" s="16" t="s">
        <v>102</v>
      </c>
      <c r="E265" s="16" t="s">
        <v>51</v>
      </c>
      <c r="F265" s="16" t="s">
        <v>52</v>
      </c>
      <c r="G265" s="16" t="s">
        <v>494</v>
      </c>
      <c r="H265" s="16" t="s">
        <v>495</v>
      </c>
      <c r="I265" s="16" t="s">
        <v>260</v>
      </c>
      <c r="J265" s="16" t="s">
        <v>520</v>
      </c>
      <c r="K265" s="16" t="s">
        <v>495</v>
      </c>
      <c r="L265" s="16" t="s">
        <v>260</v>
      </c>
      <c r="M265" s="16" t="s">
        <v>520</v>
      </c>
      <c r="N265" s="16" t="s">
        <v>57</v>
      </c>
      <c r="O265" s="16" t="s">
        <v>94</v>
      </c>
      <c r="P265" s="16" t="s">
        <v>197</v>
      </c>
      <c r="Q265" s="16" t="s">
        <v>197</v>
      </c>
      <c r="R265" s="16" t="s">
        <v>86</v>
      </c>
      <c r="S265" s="16" t="s">
        <v>521</v>
      </c>
      <c r="T265" s="16" t="s">
        <v>608</v>
      </c>
      <c r="U265" s="16" t="s">
        <v>73</v>
      </c>
      <c r="V265" s="16" t="n">
        <v>0.00118</v>
      </c>
      <c r="W265" s="16" t="n">
        <v>0.00106</v>
      </c>
      <c r="X265" s="16" t="n">
        <v>16000</v>
      </c>
      <c r="Y265" s="16" t="n">
        <v>16000</v>
      </c>
      <c r="Z265" s="16" t="n">
        <v>16000</v>
      </c>
      <c r="AA265" s="16" t="n">
        <v>16000</v>
      </c>
      <c r="AB265" s="16" t="n">
        <v>16000</v>
      </c>
      <c r="AC265" s="16" t="n">
        <v>16000</v>
      </c>
      <c r="AD265" s="16" t="n">
        <v>16000</v>
      </c>
      <c r="AE265" s="16" t="n">
        <v>16000</v>
      </c>
      <c r="AF265" s="16" t="n">
        <v>16000</v>
      </c>
      <c r="AG265" s="16" t="n">
        <v>16000</v>
      </c>
      <c r="AH265" s="16" t="n">
        <v>16000</v>
      </c>
      <c r="AI265" s="16" t="n">
        <v>16000</v>
      </c>
      <c r="AJ265" s="9" t="n">
        <f aca="false">X265*$V265</f>
        <v>18.88</v>
      </c>
      <c r="AK265" s="9" t="n">
        <f aca="false">Y265*$V265</f>
        <v>18.88</v>
      </c>
      <c r="AL265" s="9" t="n">
        <f aca="false">Z265*$V265</f>
        <v>18.88</v>
      </c>
      <c r="AM265" s="9" t="n">
        <f aca="false">AA265*$V265</f>
        <v>18.88</v>
      </c>
      <c r="AN265" s="9" t="n">
        <f aca="false">AB265*$V265</f>
        <v>18.88</v>
      </c>
      <c r="AO265" s="9" t="n">
        <f aca="false">AC265*$V265</f>
        <v>18.88</v>
      </c>
      <c r="AP265" s="9" t="n">
        <f aca="false">AD265*$V265</f>
        <v>18.88</v>
      </c>
      <c r="AQ265" s="9" t="n">
        <f aca="false">AE265*$V265</f>
        <v>18.88</v>
      </c>
      <c r="AR265" s="9" t="n">
        <f aca="false">AF265*$V265</f>
        <v>18.88</v>
      </c>
      <c r="AS265" s="9" t="n">
        <f aca="false">AG265*$V265</f>
        <v>18.88</v>
      </c>
      <c r="AT265" s="9" t="n">
        <f aca="false">AH265*$V265</f>
        <v>18.88</v>
      </c>
      <c r="AU265" s="9" t="n">
        <f aca="false">AI265*$V265</f>
        <v>18.88</v>
      </c>
      <c r="AV265" s="9" t="n">
        <f aca="false">SUM(X265:AI265)/1000</f>
        <v>192</v>
      </c>
      <c r="AW265" s="9" t="n">
        <f aca="false">SUM(AJ265:AU265)</f>
        <v>226.56</v>
      </c>
      <c r="AX265" s="9" t="n">
        <f aca="false">IF(D265="INR",AW265/88.24,AW265)/1000000</f>
        <v>0.00022656</v>
      </c>
    </row>
    <row r="266" s="2" customFormat="true" ht="16.4" hidden="false" customHeight="false" outlineLevel="0" collapsed="false">
      <c r="A266" s="16" t="s">
        <v>609</v>
      </c>
      <c r="B266" s="16" t="n">
        <v>5</v>
      </c>
      <c r="C266" s="15"/>
      <c r="D266" s="16" t="s">
        <v>102</v>
      </c>
      <c r="E266" s="16" t="s">
        <v>51</v>
      </c>
      <c r="F266" s="16" t="s">
        <v>52</v>
      </c>
      <c r="G266" s="16" t="s">
        <v>494</v>
      </c>
      <c r="H266" s="16" t="s">
        <v>495</v>
      </c>
      <c r="I266" s="16" t="s">
        <v>260</v>
      </c>
      <c r="J266" s="16" t="s">
        <v>520</v>
      </c>
      <c r="K266" s="16" t="s">
        <v>495</v>
      </c>
      <c r="L266" s="16" t="s">
        <v>260</v>
      </c>
      <c r="M266" s="16" t="s">
        <v>520</v>
      </c>
      <c r="N266" s="16" t="s">
        <v>57</v>
      </c>
      <c r="O266" s="16" t="s">
        <v>94</v>
      </c>
      <c r="P266" s="16" t="s">
        <v>197</v>
      </c>
      <c r="Q266" s="16" t="s">
        <v>197</v>
      </c>
      <c r="R266" s="16" t="s">
        <v>86</v>
      </c>
      <c r="S266" s="16" t="s">
        <v>521</v>
      </c>
      <c r="T266" s="16" t="s">
        <v>610</v>
      </c>
      <c r="U266" s="16" t="s">
        <v>73</v>
      </c>
      <c r="V266" s="16" t="n">
        <v>0.001176</v>
      </c>
      <c r="W266" s="16" t="n">
        <v>0.00106</v>
      </c>
      <c r="X266" s="16" t="n">
        <v>16000</v>
      </c>
      <c r="Y266" s="16" t="n">
        <v>16000</v>
      </c>
      <c r="Z266" s="16" t="n">
        <v>16000</v>
      </c>
      <c r="AA266" s="16" t="n">
        <v>16000</v>
      </c>
      <c r="AB266" s="16" t="n">
        <v>16000</v>
      </c>
      <c r="AC266" s="16" t="n">
        <v>16000</v>
      </c>
      <c r="AD266" s="16" t="n">
        <v>16000</v>
      </c>
      <c r="AE266" s="16" t="n">
        <v>16000</v>
      </c>
      <c r="AF266" s="16" t="n">
        <v>16000</v>
      </c>
      <c r="AG266" s="16" t="n">
        <v>16000</v>
      </c>
      <c r="AH266" s="16" t="n">
        <v>16000</v>
      </c>
      <c r="AI266" s="16" t="n">
        <v>16000</v>
      </c>
      <c r="AJ266" s="9" t="n">
        <f aca="false">X266*$V266</f>
        <v>18.816</v>
      </c>
      <c r="AK266" s="9" t="n">
        <f aca="false">Y266*$V266</f>
        <v>18.816</v>
      </c>
      <c r="AL266" s="9" t="n">
        <f aca="false">Z266*$V266</f>
        <v>18.816</v>
      </c>
      <c r="AM266" s="9" t="n">
        <f aca="false">AA266*$V266</f>
        <v>18.816</v>
      </c>
      <c r="AN266" s="9" t="n">
        <f aca="false">AB266*$V266</f>
        <v>18.816</v>
      </c>
      <c r="AO266" s="9" t="n">
        <f aca="false">AC266*$V266</f>
        <v>18.816</v>
      </c>
      <c r="AP266" s="9" t="n">
        <f aca="false">AD266*$V266</f>
        <v>18.816</v>
      </c>
      <c r="AQ266" s="9" t="n">
        <f aca="false">AE266*$V266</f>
        <v>18.816</v>
      </c>
      <c r="AR266" s="9" t="n">
        <f aca="false">AF266*$V266</f>
        <v>18.816</v>
      </c>
      <c r="AS266" s="9" t="n">
        <f aca="false">AG266*$V266</f>
        <v>18.816</v>
      </c>
      <c r="AT266" s="9" t="n">
        <f aca="false">AH266*$V266</f>
        <v>18.816</v>
      </c>
      <c r="AU266" s="9" t="n">
        <f aca="false">AI266*$V266</f>
        <v>18.816</v>
      </c>
      <c r="AV266" s="9" t="n">
        <f aca="false">SUM(X266:AI266)/1000</f>
        <v>192</v>
      </c>
      <c r="AW266" s="9" t="n">
        <f aca="false">SUM(AJ266:AU266)</f>
        <v>225.792</v>
      </c>
      <c r="AX266" s="9" t="n">
        <f aca="false">IF(D266="INR",AW266/88.24,AW266)/1000000</f>
        <v>0.000225792</v>
      </c>
    </row>
    <row r="267" s="2" customFormat="true" ht="16.4" hidden="false" customHeight="false" outlineLevel="0" collapsed="false">
      <c r="A267" s="16" t="s">
        <v>611</v>
      </c>
      <c r="B267" s="16" t="n">
        <v>5</v>
      </c>
      <c r="C267" s="16"/>
      <c r="D267" s="16" t="s">
        <v>102</v>
      </c>
      <c r="E267" s="16" t="s">
        <v>51</v>
      </c>
      <c r="F267" s="16" t="s">
        <v>52</v>
      </c>
      <c r="G267" s="16" t="s">
        <v>494</v>
      </c>
      <c r="H267" s="16" t="s">
        <v>495</v>
      </c>
      <c r="I267" s="16" t="s">
        <v>260</v>
      </c>
      <c r="J267" s="16" t="s">
        <v>520</v>
      </c>
      <c r="K267" s="16" t="s">
        <v>495</v>
      </c>
      <c r="L267" s="16" t="s">
        <v>260</v>
      </c>
      <c r="M267" s="16" t="s">
        <v>520</v>
      </c>
      <c r="N267" s="16" t="s">
        <v>57</v>
      </c>
      <c r="O267" s="16" t="s">
        <v>94</v>
      </c>
      <c r="P267" s="16" t="s">
        <v>197</v>
      </c>
      <c r="Q267" s="16" t="s">
        <v>197</v>
      </c>
      <c r="R267" s="16" t="s">
        <v>86</v>
      </c>
      <c r="S267" s="16" t="s">
        <v>521</v>
      </c>
      <c r="T267" s="16" t="s">
        <v>612</v>
      </c>
      <c r="U267" s="16" t="s">
        <v>73</v>
      </c>
      <c r="V267" s="16" t="n">
        <v>0.00098</v>
      </c>
      <c r="W267" s="26" t="n">
        <v>0.00088</v>
      </c>
      <c r="X267" s="16" t="n">
        <v>16000</v>
      </c>
      <c r="Y267" s="16" t="n">
        <v>16000</v>
      </c>
      <c r="Z267" s="16" t="n">
        <v>16000</v>
      </c>
      <c r="AA267" s="16" t="n">
        <v>16000</v>
      </c>
      <c r="AB267" s="16" t="n">
        <v>16000</v>
      </c>
      <c r="AC267" s="16" t="n">
        <v>16000</v>
      </c>
      <c r="AD267" s="16" t="n">
        <v>16000</v>
      </c>
      <c r="AE267" s="16" t="n">
        <v>16000</v>
      </c>
      <c r="AF267" s="16" t="n">
        <v>16000</v>
      </c>
      <c r="AG267" s="16" t="n">
        <v>16000</v>
      </c>
      <c r="AH267" s="16" t="n">
        <v>16000</v>
      </c>
      <c r="AI267" s="16" t="n">
        <v>16000</v>
      </c>
      <c r="AJ267" s="9" t="n">
        <f aca="false">X267*$V267</f>
        <v>15.68</v>
      </c>
      <c r="AK267" s="9" t="n">
        <f aca="false">Y267*$V267</f>
        <v>15.68</v>
      </c>
      <c r="AL267" s="9" t="n">
        <f aca="false">Z267*$V267</f>
        <v>15.68</v>
      </c>
      <c r="AM267" s="9" t="n">
        <f aca="false">AA267*$V267</f>
        <v>15.68</v>
      </c>
      <c r="AN267" s="9" t="n">
        <f aca="false">AB267*$V267</f>
        <v>15.68</v>
      </c>
      <c r="AO267" s="9" t="n">
        <f aca="false">AC267*$V267</f>
        <v>15.68</v>
      </c>
      <c r="AP267" s="9" t="n">
        <f aca="false">AD267*$V267</f>
        <v>15.68</v>
      </c>
      <c r="AQ267" s="9" t="n">
        <f aca="false">AE267*$V267</f>
        <v>15.68</v>
      </c>
      <c r="AR267" s="9" t="n">
        <f aca="false">AF267*$V267</f>
        <v>15.68</v>
      </c>
      <c r="AS267" s="9" t="n">
        <f aca="false">AG267*$V267</f>
        <v>15.68</v>
      </c>
      <c r="AT267" s="9" t="n">
        <f aca="false">AH267*$V267</f>
        <v>15.68</v>
      </c>
      <c r="AU267" s="9" t="n">
        <f aca="false">AI267*$V267</f>
        <v>15.68</v>
      </c>
      <c r="AV267" s="9" t="n">
        <f aca="false">SUM(X267:AI267)/1000</f>
        <v>192</v>
      </c>
      <c r="AW267" s="9" t="n">
        <f aca="false">SUM(AJ267:AU267)</f>
        <v>188.16</v>
      </c>
      <c r="AX267" s="9" t="n">
        <f aca="false">IF(D267="INR",AW267/88.24,AW267)/1000000</f>
        <v>0.00018816</v>
      </c>
    </row>
    <row r="268" s="2" customFormat="true" ht="16.4" hidden="false" customHeight="false" outlineLevel="0" collapsed="false">
      <c r="A268" s="16" t="s">
        <v>613</v>
      </c>
      <c r="B268" s="16" t="n">
        <v>5</v>
      </c>
      <c r="C268" s="16"/>
      <c r="D268" s="16" t="s">
        <v>102</v>
      </c>
      <c r="E268" s="16" t="s">
        <v>51</v>
      </c>
      <c r="F268" s="16" t="s">
        <v>52</v>
      </c>
      <c r="G268" s="16" t="s">
        <v>494</v>
      </c>
      <c r="H268" s="16" t="s">
        <v>495</v>
      </c>
      <c r="I268" s="16" t="s">
        <v>260</v>
      </c>
      <c r="J268" s="16" t="s">
        <v>520</v>
      </c>
      <c r="K268" s="16" t="s">
        <v>495</v>
      </c>
      <c r="L268" s="16" t="s">
        <v>260</v>
      </c>
      <c r="M268" s="16" t="s">
        <v>520</v>
      </c>
      <c r="N268" s="16" t="s">
        <v>57</v>
      </c>
      <c r="O268" s="16" t="s">
        <v>94</v>
      </c>
      <c r="P268" s="16" t="s">
        <v>197</v>
      </c>
      <c r="Q268" s="16" t="s">
        <v>197</v>
      </c>
      <c r="R268" s="16" t="s">
        <v>86</v>
      </c>
      <c r="S268" s="16" t="s">
        <v>521</v>
      </c>
      <c r="T268" s="16" t="s">
        <v>614</v>
      </c>
      <c r="U268" s="16" t="s">
        <v>73</v>
      </c>
      <c r="V268" s="26" t="n">
        <v>0.00087</v>
      </c>
      <c r="W268" s="16" t="n">
        <v>0.00078</v>
      </c>
      <c r="X268" s="16" t="n">
        <v>16000</v>
      </c>
      <c r="Y268" s="16" t="n">
        <v>16000</v>
      </c>
      <c r="Z268" s="16" t="n">
        <v>16000</v>
      </c>
      <c r="AA268" s="16" t="n">
        <v>16000</v>
      </c>
      <c r="AB268" s="16" t="n">
        <v>16000</v>
      </c>
      <c r="AC268" s="16" t="n">
        <v>16000</v>
      </c>
      <c r="AD268" s="16" t="n">
        <v>16000</v>
      </c>
      <c r="AE268" s="16" t="n">
        <v>16000</v>
      </c>
      <c r="AF268" s="16" t="n">
        <v>16000</v>
      </c>
      <c r="AG268" s="16" t="n">
        <v>16000</v>
      </c>
      <c r="AH268" s="16" t="n">
        <v>16000</v>
      </c>
      <c r="AI268" s="16" t="n">
        <v>16000</v>
      </c>
      <c r="AJ268" s="9" t="n">
        <f aca="false">X268*$V268</f>
        <v>13.92</v>
      </c>
      <c r="AK268" s="9" t="n">
        <f aca="false">Y268*$V268</f>
        <v>13.92</v>
      </c>
      <c r="AL268" s="9" t="n">
        <f aca="false">Z268*$V268</f>
        <v>13.92</v>
      </c>
      <c r="AM268" s="9" t="n">
        <f aca="false">AA268*$V268</f>
        <v>13.92</v>
      </c>
      <c r="AN268" s="9" t="n">
        <f aca="false">AB268*$V268</f>
        <v>13.92</v>
      </c>
      <c r="AO268" s="9" t="n">
        <f aca="false">AC268*$V268</f>
        <v>13.92</v>
      </c>
      <c r="AP268" s="9" t="n">
        <f aca="false">AD268*$V268</f>
        <v>13.92</v>
      </c>
      <c r="AQ268" s="9" t="n">
        <f aca="false">AE268*$V268</f>
        <v>13.92</v>
      </c>
      <c r="AR268" s="9" t="n">
        <f aca="false">AF268*$V268</f>
        <v>13.92</v>
      </c>
      <c r="AS268" s="9" t="n">
        <f aca="false">AG268*$V268</f>
        <v>13.92</v>
      </c>
      <c r="AT268" s="9" t="n">
        <f aca="false">AH268*$V268</f>
        <v>13.92</v>
      </c>
      <c r="AU268" s="9" t="n">
        <f aca="false">AI268*$V268</f>
        <v>13.92</v>
      </c>
      <c r="AV268" s="9" t="n">
        <f aca="false">SUM(X268:AI268)/1000</f>
        <v>192</v>
      </c>
      <c r="AW268" s="9" t="n">
        <f aca="false">SUM(AJ268:AU268)</f>
        <v>167.04</v>
      </c>
      <c r="AX268" s="9" t="n">
        <f aca="false">IF(D268="INR",AW268/88.24,AW268)/1000000</f>
        <v>0.00016704</v>
      </c>
    </row>
    <row r="269" s="2" customFormat="true" ht="16.4" hidden="false" customHeight="false" outlineLevel="0" collapsed="false">
      <c r="A269" s="16" t="s">
        <v>615</v>
      </c>
      <c r="B269" s="16" t="n">
        <v>5</v>
      </c>
      <c r="C269" s="16"/>
      <c r="D269" s="16" t="s">
        <v>102</v>
      </c>
      <c r="E269" s="16" t="s">
        <v>51</v>
      </c>
      <c r="F269" s="16" t="s">
        <v>52</v>
      </c>
      <c r="G269" s="16" t="s">
        <v>494</v>
      </c>
      <c r="H269" s="16" t="s">
        <v>495</v>
      </c>
      <c r="I269" s="16" t="s">
        <v>260</v>
      </c>
      <c r="J269" s="16" t="s">
        <v>520</v>
      </c>
      <c r="K269" s="16" t="s">
        <v>495</v>
      </c>
      <c r="L269" s="16" t="s">
        <v>260</v>
      </c>
      <c r="M269" s="16" t="s">
        <v>520</v>
      </c>
      <c r="N269" s="16" t="s">
        <v>57</v>
      </c>
      <c r="O269" s="16" t="s">
        <v>94</v>
      </c>
      <c r="P269" s="16" t="s">
        <v>197</v>
      </c>
      <c r="Q269" s="16" t="s">
        <v>197</v>
      </c>
      <c r="R269" s="16" t="s">
        <v>86</v>
      </c>
      <c r="S269" s="16" t="s">
        <v>521</v>
      </c>
      <c r="T269" s="16" t="s">
        <v>616</v>
      </c>
      <c r="U269" s="16" t="s">
        <v>73</v>
      </c>
      <c r="V269" s="26" t="n">
        <v>0.00087</v>
      </c>
      <c r="W269" s="16" t="n">
        <v>0.00078</v>
      </c>
      <c r="X269" s="16" t="n">
        <v>16000</v>
      </c>
      <c r="Y269" s="16" t="n">
        <v>16000</v>
      </c>
      <c r="Z269" s="16" t="n">
        <v>16000</v>
      </c>
      <c r="AA269" s="16" t="n">
        <v>16000</v>
      </c>
      <c r="AB269" s="16" t="n">
        <v>16000</v>
      </c>
      <c r="AC269" s="16" t="n">
        <v>16000</v>
      </c>
      <c r="AD269" s="16" t="n">
        <v>16000</v>
      </c>
      <c r="AE269" s="16" t="n">
        <v>16000</v>
      </c>
      <c r="AF269" s="16" t="n">
        <v>16000</v>
      </c>
      <c r="AG269" s="16" t="n">
        <v>16000</v>
      </c>
      <c r="AH269" s="16" t="n">
        <v>16000</v>
      </c>
      <c r="AI269" s="16" t="n">
        <v>16000</v>
      </c>
      <c r="AJ269" s="9" t="n">
        <f aca="false">X269*$V269</f>
        <v>13.92</v>
      </c>
      <c r="AK269" s="9" t="n">
        <f aca="false">Y269*$V269</f>
        <v>13.92</v>
      </c>
      <c r="AL269" s="9" t="n">
        <f aca="false">Z269*$V269</f>
        <v>13.92</v>
      </c>
      <c r="AM269" s="9" t="n">
        <f aca="false">AA269*$V269</f>
        <v>13.92</v>
      </c>
      <c r="AN269" s="9" t="n">
        <f aca="false">AB269*$V269</f>
        <v>13.92</v>
      </c>
      <c r="AO269" s="9" t="n">
        <f aca="false">AC269*$V269</f>
        <v>13.92</v>
      </c>
      <c r="AP269" s="9" t="n">
        <f aca="false">AD269*$V269</f>
        <v>13.92</v>
      </c>
      <c r="AQ269" s="9" t="n">
        <f aca="false">AE269*$V269</f>
        <v>13.92</v>
      </c>
      <c r="AR269" s="9" t="n">
        <f aca="false">AF269*$V269</f>
        <v>13.92</v>
      </c>
      <c r="AS269" s="9" t="n">
        <f aca="false">AG269*$V269</f>
        <v>13.92</v>
      </c>
      <c r="AT269" s="9" t="n">
        <f aca="false">AH269*$V269</f>
        <v>13.92</v>
      </c>
      <c r="AU269" s="9" t="n">
        <f aca="false">AI269*$V269</f>
        <v>13.92</v>
      </c>
      <c r="AV269" s="9" t="n">
        <f aca="false">SUM(X269:AI269)/1000</f>
        <v>192</v>
      </c>
      <c r="AW269" s="9" t="n">
        <f aca="false">SUM(AJ269:AU269)</f>
        <v>167.04</v>
      </c>
      <c r="AX269" s="9" t="n">
        <f aca="false">IF(D269="INR",AW269/88.24,AW269)/1000000</f>
        <v>0.00016704</v>
      </c>
    </row>
    <row r="270" s="2" customFormat="true" ht="16.4" hidden="false" customHeight="false" outlineLevel="0" collapsed="false">
      <c r="A270" s="16" t="s">
        <v>617</v>
      </c>
      <c r="B270" s="16" t="n">
        <v>5</v>
      </c>
      <c r="C270" s="16"/>
      <c r="D270" s="16" t="s">
        <v>102</v>
      </c>
      <c r="E270" s="16" t="s">
        <v>51</v>
      </c>
      <c r="F270" s="16" t="s">
        <v>52</v>
      </c>
      <c r="G270" s="16" t="s">
        <v>494</v>
      </c>
      <c r="H270" s="16" t="s">
        <v>495</v>
      </c>
      <c r="I270" s="16" t="s">
        <v>260</v>
      </c>
      <c r="J270" s="16" t="s">
        <v>520</v>
      </c>
      <c r="K270" s="16" t="s">
        <v>495</v>
      </c>
      <c r="L270" s="16" t="s">
        <v>260</v>
      </c>
      <c r="M270" s="16" t="s">
        <v>520</v>
      </c>
      <c r="N270" s="16" t="s">
        <v>57</v>
      </c>
      <c r="O270" s="16" t="s">
        <v>94</v>
      </c>
      <c r="P270" s="16" t="s">
        <v>197</v>
      </c>
      <c r="Q270" s="16" t="s">
        <v>197</v>
      </c>
      <c r="R270" s="16" t="s">
        <v>86</v>
      </c>
      <c r="S270" s="16" t="s">
        <v>521</v>
      </c>
      <c r="T270" s="16" t="s">
        <v>618</v>
      </c>
      <c r="U270" s="16" t="s">
        <v>73</v>
      </c>
      <c r="V270" s="16" t="n">
        <v>0.00087</v>
      </c>
      <c r="W270" s="16" t="n">
        <v>0.00078</v>
      </c>
      <c r="X270" s="16" t="n">
        <v>16000</v>
      </c>
      <c r="Y270" s="16" t="n">
        <v>16000</v>
      </c>
      <c r="Z270" s="16" t="n">
        <v>16000</v>
      </c>
      <c r="AA270" s="16" t="n">
        <v>16000</v>
      </c>
      <c r="AB270" s="16" t="n">
        <v>16000</v>
      </c>
      <c r="AC270" s="16" t="n">
        <v>16000</v>
      </c>
      <c r="AD270" s="16" t="n">
        <v>16000</v>
      </c>
      <c r="AE270" s="16" t="n">
        <v>16000</v>
      </c>
      <c r="AF270" s="16" t="n">
        <v>16000</v>
      </c>
      <c r="AG270" s="16" t="n">
        <v>16000</v>
      </c>
      <c r="AH270" s="16" t="n">
        <v>16000</v>
      </c>
      <c r="AI270" s="16" t="n">
        <v>16000</v>
      </c>
      <c r="AJ270" s="9" t="n">
        <f aca="false">X270*$V270</f>
        <v>13.92</v>
      </c>
      <c r="AK270" s="9" t="n">
        <f aca="false">Y270*$V270</f>
        <v>13.92</v>
      </c>
      <c r="AL270" s="9" t="n">
        <f aca="false">Z270*$V270</f>
        <v>13.92</v>
      </c>
      <c r="AM270" s="9" t="n">
        <f aca="false">AA270*$V270</f>
        <v>13.92</v>
      </c>
      <c r="AN270" s="9" t="n">
        <f aca="false">AB270*$V270</f>
        <v>13.92</v>
      </c>
      <c r="AO270" s="9" t="n">
        <f aca="false">AC270*$V270</f>
        <v>13.92</v>
      </c>
      <c r="AP270" s="9" t="n">
        <f aca="false">AD270*$V270</f>
        <v>13.92</v>
      </c>
      <c r="AQ270" s="9" t="n">
        <f aca="false">AE270*$V270</f>
        <v>13.92</v>
      </c>
      <c r="AR270" s="9" t="n">
        <f aca="false">AF270*$V270</f>
        <v>13.92</v>
      </c>
      <c r="AS270" s="9" t="n">
        <f aca="false">AG270*$V270</f>
        <v>13.92</v>
      </c>
      <c r="AT270" s="9" t="n">
        <f aca="false">AH270*$V270</f>
        <v>13.92</v>
      </c>
      <c r="AU270" s="9" t="n">
        <f aca="false">AI270*$V270</f>
        <v>13.92</v>
      </c>
      <c r="AV270" s="9" t="n">
        <f aca="false">SUM(X270:AI270)/1000</f>
        <v>192</v>
      </c>
      <c r="AW270" s="9" t="n">
        <f aca="false">SUM(AJ270:AU270)</f>
        <v>167.04</v>
      </c>
      <c r="AX270" s="9" t="n">
        <f aca="false">IF(D270="INR",AW270/88.24,AW270)/1000000</f>
        <v>0.00016704</v>
      </c>
    </row>
    <row r="271" s="2" customFormat="true" ht="16.4" hidden="false" customHeight="false" outlineLevel="0" collapsed="false">
      <c r="A271" s="16" t="s">
        <v>619</v>
      </c>
      <c r="B271" s="16" t="n">
        <v>5</v>
      </c>
      <c r="C271" s="16"/>
      <c r="D271" s="16" t="s">
        <v>102</v>
      </c>
      <c r="E271" s="16" t="s">
        <v>51</v>
      </c>
      <c r="F271" s="16" t="s">
        <v>52</v>
      </c>
      <c r="G271" s="16" t="s">
        <v>494</v>
      </c>
      <c r="H271" s="16" t="s">
        <v>495</v>
      </c>
      <c r="I271" s="16" t="s">
        <v>260</v>
      </c>
      <c r="J271" s="16" t="s">
        <v>520</v>
      </c>
      <c r="K271" s="16" t="s">
        <v>495</v>
      </c>
      <c r="L271" s="16" t="s">
        <v>260</v>
      </c>
      <c r="M271" s="16" t="s">
        <v>520</v>
      </c>
      <c r="N271" s="16" t="s">
        <v>57</v>
      </c>
      <c r="O271" s="16" t="s">
        <v>94</v>
      </c>
      <c r="P271" s="16" t="s">
        <v>197</v>
      </c>
      <c r="Q271" s="16" t="s">
        <v>197</v>
      </c>
      <c r="R271" s="16" t="s">
        <v>86</v>
      </c>
      <c r="S271" s="26" t="s">
        <v>521</v>
      </c>
      <c r="T271" s="16" t="s">
        <v>620</v>
      </c>
      <c r="U271" s="16" t="s">
        <v>73</v>
      </c>
      <c r="V271" s="26" t="n">
        <v>0.00073</v>
      </c>
      <c r="W271" s="16" t="n">
        <v>0.00066</v>
      </c>
      <c r="X271" s="16" t="n">
        <v>16000</v>
      </c>
      <c r="Y271" s="16" t="n">
        <v>16000</v>
      </c>
      <c r="Z271" s="16" t="n">
        <v>16000</v>
      </c>
      <c r="AA271" s="16" t="n">
        <v>16000</v>
      </c>
      <c r="AB271" s="16" t="n">
        <v>16000</v>
      </c>
      <c r="AC271" s="16" t="n">
        <v>16000</v>
      </c>
      <c r="AD271" s="16" t="n">
        <v>16000</v>
      </c>
      <c r="AE271" s="16" t="n">
        <v>16000</v>
      </c>
      <c r="AF271" s="16" t="n">
        <v>16000</v>
      </c>
      <c r="AG271" s="16" t="n">
        <v>16000</v>
      </c>
      <c r="AH271" s="16" t="n">
        <v>16000</v>
      </c>
      <c r="AI271" s="16" t="n">
        <v>16000</v>
      </c>
      <c r="AJ271" s="9" t="n">
        <f aca="false">X271*$V271</f>
        <v>11.68</v>
      </c>
      <c r="AK271" s="9" t="n">
        <f aca="false">Y271*$V271</f>
        <v>11.68</v>
      </c>
      <c r="AL271" s="9" t="n">
        <f aca="false">Z271*$V271</f>
        <v>11.68</v>
      </c>
      <c r="AM271" s="9" t="n">
        <f aca="false">AA271*$V271</f>
        <v>11.68</v>
      </c>
      <c r="AN271" s="9" t="n">
        <f aca="false">AB271*$V271</f>
        <v>11.68</v>
      </c>
      <c r="AO271" s="9" t="n">
        <f aca="false">AC271*$V271</f>
        <v>11.68</v>
      </c>
      <c r="AP271" s="9" t="n">
        <f aca="false">AD271*$V271</f>
        <v>11.68</v>
      </c>
      <c r="AQ271" s="9" t="n">
        <f aca="false">AE271*$V271</f>
        <v>11.68</v>
      </c>
      <c r="AR271" s="9" t="n">
        <f aca="false">AF271*$V271</f>
        <v>11.68</v>
      </c>
      <c r="AS271" s="9" t="n">
        <f aca="false">AG271*$V271</f>
        <v>11.68</v>
      </c>
      <c r="AT271" s="9" t="n">
        <f aca="false">AH271*$V271</f>
        <v>11.68</v>
      </c>
      <c r="AU271" s="9" t="n">
        <f aca="false">AI271*$V271</f>
        <v>11.68</v>
      </c>
      <c r="AV271" s="9" t="n">
        <f aca="false">SUM(X271:AI271)/1000</f>
        <v>192</v>
      </c>
      <c r="AW271" s="9" t="n">
        <f aca="false">SUM(AJ271:AU271)</f>
        <v>140.16</v>
      </c>
      <c r="AX271" s="9" t="n">
        <f aca="false">IF(D271="INR",AW271/88.24,AW271)/1000000</f>
        <v>0.00014016</v>
      </c>
    </row>
    <row r="272" s="2" customFormat="true" ht="16.4" hidden="false" customHeight="false" outlineLevel="0" collapsed="false">
      <c r="A272" s="16" t="s">
        <v>621</v>
      </c>
      <c r="B272" s="16" t="n">
        <v>5</v>
      </c>
      <c r="C272" s="16"/>
      <c r="D272" s="16" t="s">
        <v>102</v>
      </c>
      <c r="E272" s="16" t="s">
        <v>51</v>
      </c>
      <c r="F272" s="16" t="s">
        <v>52</v>
      </c>
      <c r="G272" s="16" t="s">
        <v>494</v>
      </c>
      <c r="H272" s="16" t="s">
        <v>495</v>
      </c>
      <c r="I272" s="16" t="s">
        <v>260</v>
      </c>
      <c r="J272" s="16" t="s">
        <v>520</v>
      </c>
      <c r="K272" s="16" t="s">
        <v>495</v>
      </c>
      <c r="L272" s="16" t="s">
        <v>260</v>
      </c>
      <c r="M272" s="16" t="s">
        <v>520</v>
      </c>
      <c r="N272" s="16" t="s">
        <v>57</v>
      </c>
      <c r="O272" s="16" t="s">
        <v>94</v>
      </c>
      <c r="P272" s="16" t="s">
        <v>197</v>
      </c>
      <c r="Q272" s="16" t="s">
        <v>197</v>
      </c>
      <c r="R272" s="16" t="s">
        <v>86</v>
      </c>
      <c r="S272" s="16" t="s">
        <v>521</v>
      </c>
      <c r="T272" s="16" t="s">
        <v>622</v>
      </c>
      <c r="U272" s="16" t="s">
        <v>73</v>
      </c>
      <c r="V272" s="16" t="n">
        <v>0.00073</v>
      </c>
      <c r="W272" s="16" t="n">
        <v>0.00066</v>
      </c>
      <c r="X272" s="16" t="n">
        <v>16000</v>
      </c>
      <c r="Y272" s="16" t="n">
        <v>16000</v>
      </c>
      <c r="Z272" s="16" t="n">
        <v>16000</v>
      </c>
      <c r="AA272" s="16" t="n">
        <v>16000</v>
      </c>
      <c r="AB272" s="16" t="n">
        <v>16000</v>
      </c>
      <c r="AC272" s="16" t="n">
        <v>16000</v>
      </c>
      <c r="AD272" s="16" t="n">
        <v>16000</v>
      </c>
      <c r="AE272" s="16" t="n">
        <v>16000</v>
      </c>
      <c r="AF272" s="16" t="n">
        <v>16000</v>
      </c>
      <c r="AG272" s="16" t="n">
        <v>16000</v>
      </c>
      <c r="AH272" s="16" t="n">
        <v>16000</v>
      </c>
      <c r="AI272" s="16" t="n">
        <v>16000</v>
      </c>
      <c r="AJ272" s="9" t="n">
        <f aca="false">X272*$V272</f>
        <v>11.68</v>
      </c>
      <c r="AK272" s="9" t="n">
        <f aca="false">Y272*$V272</f>
        <v>11.68</v>
      </c>
      <c r="AL272" s="9" t="n">
        <f aca="false">Z272*$V272</f>
        <v>11.68</v>
      </c>
      <c r="AM272" s="9" t="n">
        <f aca="false">AA272*$V272</f>
        <v>11.68</v>
      </c>
      <c r="AN272" s="9" t="n">
        <f aca="false">AB272*$V272</f>
        <v>11.68</v>
      </c>
      <c r="AO272" s="9" t="n">
        <f aca="false">AC272*$V272</f>
        <v>11.68</v>
      </c>
      <c r="AP272" s="9" t="n">
        <f aca="false">AD272*$V272</f>
        <v>11.68</v>
      </c>
      <c r="AQ272" s="9" t="n">
        <f aca="false">AE272*$V272</f>
        <v>11.68</v>
      </c>
      <c r="AR272" s="9" t="n">
        <f aca="false">AF272*$V272</f>
        <v>11.68</v>
      </c>
      <c r="AS272" s="9" t="n">
        <f aca="false">AG272*$V272</f>
        <v>11.68</v>
      </c>
      <c r="AT272" s="9" t="n">
        <f aca="false">AH272*$V272</f>
        <v>11.68</v>
      </c>
      <c r="AU272" s="9" t="n">
        <f aca="false">AI272*$V272</f>
        <v>11.68</v>
      </c>
      <c r="AV272" s="9" t="n">
        <f aca="false">SUM(X272:AI272)/1000</f>
        <v>192</v>
      </c>
      <c r="AW272" s="9" t="n">
        <f aca="false">SUM(AJ272:AU272)</f>
        <v>140.16</v>
      </c>
      <c r="AX272" s="9" t="n">
        <f aca="false">IF(D272="INR",AW272/88.24,AW272)/1000000</f>
        <v>0.00014016</v>
      </c>
    </row>
    <row r="273" s="2" customFormat="true" ht="14.25" hidden="false" customHeight="false" outlineLevel="0" collapsed="false">
      <c r="A273" s="12" t="s">
        <v>623</v>
      </c>
      <c r="B273" s="16" t="n">
        <v>5</v>
      </c>
      <c r="C273" s="15"/>
      <c r="D273" s="16" t="s">
        <v>50</v>
      </c>
      <c r="E273" s="16" t="s">
        <v>51</v>
      </c>
      <c r="F273" s="16" t="s">
        <v>404</v>
      </c>
      <c r="G273" s="16" t="s">
        <v>405</v>
      </c>
      <c r="H273" s="16" t="s">
        <v>406</v>
      </c>
      <c r="I273" s="16" t="s">
        <v>105</v>
      </c>
      <c r="J273" s="16" t="s">
        <v>368</v>
      </c>
      <c r="K273" s="16"/>
      <c r="L273" s="16" t="s">
        <v>105</v>
      </c>
      <c r="M273" s="16" t="s">
        <v>368</v>
      </c>
      <c r="N273" s="16" t="s">
        <v>271</v>
      </c>
      <c r="O273" s="16" t="s">
        <v>94</v>
      </c>
      <c r="P273" s="9" t="s">
        <v>110</v>
      </c>
      <c r="Q273" s="16" t="s">
        <v>110</v>
      </c>
      <c r="R273" s="16" t="s">
        <v>137</v>
      </c>
      <c r="S273" s="16" t="s">
        <v>272</v>
      </c>
      <c r="T273" s="16" t="s">
        <v>624</v>
      </c>
      <c r="U273" s="16" t="s">
        <v>73</v>
      </c>
      <c r="V273" s="16" t="n">
        <v>117</v>
      </c>
      <c r="W273" s="16" t="n">
        <v>0.7</v>
      </c>
      <c r="X273" s="16" t="n">
        <v>3000</v>
      </c>
      <c r="Y273" s="16" t="n">
        <v>5000</v>
      </c>
      <c r="Z273" s="16" t="n">
        <v>3000</v>
      </c>
      <c r="AA273" s="16"/>
      <c r="AB273" s="16" t="n">
        <v>5000</v>
      </c>
      <c r="AC273" s="16" t="n">
        <v>3000</v>
      </c>
      <c r="AD273" s="16" t="n">
        <v>3000</v>
      </c>
      <c r="AE273" s="16" t="n">
        <v>5000</v>
      </c>
      <c r="AF273" s="16" t="n">
        <v>3000</v>
      </c>
      <c r="AG273" s="16" t="n">
        <v>5000</v>
      </c>
      <c r="AH273" s="16" t="n">
        <v>3000</v>
      </c>
      <c r="AI273" s="16" t="n">
        <v>5000</v>
      </c>
      <c r="AJ273" s="9" t="n">
        <f aca="false">X273*$V273</f>
        <v>351000</v>
      </c>
      <c r="AK273" s="9" t="n">
        <f aca="false">Y273*$V273</f>
        <v>585000</v>
      </c>
      <c r="AL273" s="9" t="n">
        <f aca="false">Z273*$V273</f>
        <v>351000</v>
      </c>
      <c r="AM273" s="9" t="n">
        <f aca="false">AA273*$V273</f>
        <v>0</v>
      </c>
      <c r="AN273" s="9" t="n">
        <f aca="false">AB273*$V273</f>
        <v>585000</v>
      </c>
      <c r="AO273" s="9" t="n">
        <f aca="false">AC273*$V273</f>
        <v>351000</v>
      </c>
      <c r="AP273" s="9" t="n">
        <f aca="false">AD273*$V273</f>
        <v>351000</v>
      </c>
      <c r="AQ273" s="9" t="n">
        <f aca="false">AE273*$V273</f>
        <v>585000</v>
      </c>
      <c r="AR273" s="9" t="n">
        <f aca="false">AF273*$V273</f>
        <v>351000</v>
      </c>
      <c r="AS273" s="9" t="n">
        <f aca="false">AG273*$V273</f>
        <v>585000</v>
      </c>
      <c r="AT273" s="9" t="n">
        <f aca="false">AH273*$V273</f>
        <v>351000</v>
      </c>
      <c r="AU273" s="9" t="n">
        <f aca="false">AI273*$V273</f>
        <v>585000</v>
      </c>
      <c r="AV273" s="9" t="n">
        <f aca="false">SUM(X273:AI273)/1000</f>
        <v>43</v>
      </c>
      <c r="AW273" s="9" t="n">
        <f aca="false">SUM(AJ273:AU273)</f>
        <v>5031000</v>
      </c>
      <c r="AX273" s="9" t="n">
        <f aca="false">IF(D273="INR",AW273/88.24,AW273)/1000000</f>
        <v>0.0570149592021759</v>
      </c>
    </row>
    <row r="274" s="2" customFormat="true" ht="14.25" hidden="false" customHeight="false" outlineLevel="0" collapsed="false">
      <c r="A274" s="12" t="s">
        <v>625</v>
      </c>
      <c r="B274" s="16"/>
      <c r="C274" s="15"/>
      <c r="D274" s="16" t="s">
        <v>102</v>
      </c>
      <c r="E274" s="16" t="s">
        <v>51</v>
      </c>
      <c r="F274" s="16" t="s">
        <v>52</v>
      </c>
      <c r="G274" s="16" t="s">
        <v>494</v>
      </c>
      <c r="H274" s="16" t="s">
        <v>495</v>
      </c>
      <c r="I274" s="16" t="s">
        <v>260</v>
      </c>
      <c r="J274" s="16" t="s">
        <v>520</v>
      </c>
      <c r="K274" s="16" t="s">
        <v>495</v>
      </c>
      <c r="L274" s="16" t="s">
        <v>260</v>
      </c>
      <c r="M274" s="16" t="s">
        <v>520</v>
      </c>
      <c r="N274" s="16" t="s">
        <v>57</v>
      </c>
      <c r="O274" s="16" t="s">
        <v>94</v>
      </c>
      <c r="P274" s="16" t="str">
        <f aca="false">Q274</f>
        <v>TDK</v>
      </c>
      <c r="Q274" s="16" t="s">
        <v>199</v>
      </c>
      <c r="R274" s="16" t="s">
        <v>377</v>
      </c>
      <c r="S274" s="16" t="s">
        <v>528</v>
      </c>
      <c r="T274" s="16" t="s">
        <v>626</v>
      </c>
      <c r="U274" s="16" t="s">
        <v>73</v>
      </c>
      <c r="V274" s="16" t="n">
        <v>0.068</v>
      </c>
      <c r="W274" s="16" t="n">
        <v>0</v>
      </c>
      <c r="X274" s="16" t="n">
        <v>10000</v>
      </c>
      <c r="Y274" s="16" t="n">
        <v>10000</v>
      </c>
      <c r="Z274" s="16" t="n">
        <v>10000</v>
      </c>
      <c r="AA274" s="16" t="n">
        <v>10000</v>
      </c>
      <c r="AB274" s="16" t="n">
        <v>10000</v>
      </c>
      <c r="AC274" s="26" t="n">
        <v>10000</v>
      </c>
      <c r="AD274" s="16" t="n">
        <v>10000</v>
      </c>
      <c r="AE274" s="16" t="n">
        <v>10000</v>
      </c>
      <c r="AF274" s="16" t="n">
        <v>10000</v>
      </c>
      <c r="AG274" s="16" t="n">
        <v>10000</v>
      </c>
      <c r="AH274" s="16" t="n">
        <v>10000</v>
      </c>
      <c r="AI274" s="16" t="n">
        <v>10000</v>
      </c>
      <c r="AJ274" s="9" t="n">
        <f aca="false">X274*$V274</f>
        <v>680</v>
      </c>
      <c r="AK274" s="9" t="n">
        <f aca="false">Y274*$V274</f>
        <v>680</v>
      </c>
      <c r="AL274" s="9" t="n">
        <f aca="false">Z274*$V274</f>
        <v>680</v>
      </c>
      <c r="AM274" s="9" t="n">
        <f aca="false">AA274*$V274</f>
        <v>680</v>
      </c>
      <c r="AN274" s="9" t="n">
        <f aca="false">AB274*$V274</f>
        <v>680</v>
      </c>
      <c r="AO274" s="9" t="n">
        <f aca="false">AC274*$V274</f>
        <v>680</v>
      </c>
      <c r="AP274" s="9" t="n">
        <f aca="false">AD274*$V274</f>
        <v>680</v>
      </c>
      <c r="AQ274" s="9" t="n">
        <f aca="false">AE274*$V274</f>
        <v>680</v>
      </c>
      <c r="AR274" s="9" t="n">
        <f aca="false">AF274*$V274</f>
        <v>680</v>
      </c>
      <c r="AS274" s="9" t="n">
        <f aca="false">AG274*$V274</f>
        <v>680</v>
      </c>
      <c r="AT274" s="9" t="n">
        <f aca="false">AH274*$V274</f>
        <v>680</v>
      </c>
      <c r="AU274" s="9" t="n">
        <f aca="false">AI274*$V274</f>
        <v>680</v>
      </c>
      <c r="AV274" s="9" t="n">
        <f aca="false">SUM(X274:AI274)/1000</f>
        <v>120</v>
      </c>
      <c r="AW274" s="9" t="n">
        <f aca="false">SUM(AJ274:AU274)</f>
        <v>8160</v>
      </c>
      <c r="AX274" s="9" t="n">
        <f aca="false">IF(D274="INR",AW274/88.24,AW274)/1000000</f>
        <v>0.00816</v>
      </c>
    </row>
    <row r="275" s="2" customFormat="true" ht="16.4" hidden="false" customHeight="false" outlineLevel="0" collapsed="false">
      <c r="A275" s="35" t="s">
        <v>627</v>
      </c>
      <c r="B275" s="9"/>
      <c r="C275" s="15"/>
      <c r="D275" s="16" t="s">
        <v>102</v>
      </c>
      <c r="E275" s="16" t="s">
        <v>51</v>
      </c>
      <c r="F275" s="16" t="s">
        <v>52</v>
      </c>
      <c r="G275" s="16" t="s">
        <v>494</v>
      </c>
      <c r="H275" s="9" t="s">
        <v>495</v>
      </c>
      <c r="I275" s="16" t="s">
        <v>260</v>
      </c>
      <c r="J275" s="16" t="s">
        <v>520</v>
      </c>
      <c r="K275" s="9" t="s">
        <v>495</v>
      </c>
      <c r="L275" s="16" t="s">
        <v>260</v>
      </c>
      <c r="M275" s="16" t="s">
        <v>520</v>
      </c>
      <c r="N275" s="16" t="s">
        <v>57</v>
      </c>
      <c r="O275" s="16" t="s">
        <v>94</v>
      </c>
      <c r="P275" s="9" t="s">
        <v>110</v>
      </c>
      <c r="Q275" s="9" t="s">
        <v>110</v>
      </c>
      <c r="R275" s="9" t="s">
        <v>137</v>
      </c>
      <c r="S275" s="9" t="s">
        <v>272</v>
      </c>
      <c r="T275" s="9" t="s">
        <v>628</v>
      </c>
      <c r="U275" s="16" t="s">
        <v>73</v>
      </c>
      <c r="V275" s="36" t="n">
        <v>1.18</v>
      </c>
      <c r="W275" s="9" t="n">
        <v>1.086</v>
      </c>
      <c r="X275" s="22" t="n">
        <v>8000</v>
      </c>
      <c r="Y275" s="9" t="n">
        <v>8000</v>
      </c>
      <c r="Z275" s="9" t="n">
        <v>8000</v>
      </c>
      <c r="AA275" s="9" t="n">
        <v>8000</v>
      </c>
      <c r="AB275" s="9" t="n">
        <v>8000</v>
      </c>
      <c r="AC275" s="9" t="n">
        <v>8000</v>
      </c>
      <c r="AD275" s="9" t="n">
        <v>8000</v>
      </c>
      <c r="AE275" s="9" t="n">
        <v>8000</v>
      </c>
      <c r="AF275" s="9" t="n">
        <v>8000</v>
      </c>
      <c r="AG275" s="9" t="n">
        <v>8000</v>
      </c>
      <c r="AH275" s="9" t="n">
        <v>8000</v>
      </c>
      <c r="AI275" s="9" t="n">
        <v>8000</v>
      </c>
      <c r="AJ275" s="9" t="n">
        <f aca="false">X275*$V275</f>
        <v>9440</v>
      </c>
      <c r="AK275" s="9" t="n">
        <f aca="false">Y275*$V275</f>
        <v>9440</v>
      </c>
      <c r="AL275" s="9" t="n">
        <f aca="false">Z275*$V275</f>
        <v>9440</v>
      </c>
      <c r="AM275" s="9" t="n">
        <f aca="false">AA275*$V275</f>
        <v>9440</v>
      </c>
      <c r="AN275" s="9" t="n">
        <f aca="false">AB275*$V275</f>
        <v>9440</v>
      </c>
      <c r="AO275" s="9" t="n">
        <f aca="false">AC275*$V275</f>
        <v>9440</v>
      </c>
      <c r="AP275" s="9" t="n">
        <f aca="false">AD275*$V275</f>
        <v>9440</v>
      </c>
      <c r="AQ275" s="9" t="n">
        <f aca="false">AE275*$V275</f>
        <v>9440</v>
      </c>
      <c r="AR275" s="9" t="n">
        <f aca="false">AF275*$V275</f>
        <v>9440</v>
      </c>
      <c r="AS275" s="9" t="n">
        <f aca="false">AG275*$V275</f>
        <v>9440</v>
      </c>
      <c r="AT275" s="9" t="n">
        <f aca="false">AH275*$V275</f>
        <v>9440</v>
      </c>
      <c r="AU275" s="9" t="n">
        <f aca="false">AI275*$V275</f>
        <v>9440</v>
      </c>
      <c r="AV275" s="9" t="n">
        <f aca="false">SUM(X275:AI275)/1000</f>
        <v>96</v>
      </c>
      <c r="AW275" s="9" t="n">
        <f aca="false">SUM(AJ275:AU275)</f>
        <v>113280</v>
      </c>
      <c r="AX275" s="9" t="n">
        <f aca="false">IF(D275="INR",AW275/88.24,AW275)/1000000</f>
        <v>0.11328</v>
      </c>
    </row>
    <row r="276" s="2" customFormat="true" ht="16.4" hidden="false" customHeight="false" outlineLevel="0" collapsed="false">
      <c r="A276" s="35" t="s">
        <v>629</v>
      </c>
      <c r="B276" s="9" t="n">
        <v>5</v>
      </c>
      <c r="C276" s="10"/>
      <c r="D276" s="9" t="s">
        <v>102</v>
      </c>
      <c r="E276" s="9" t="s">
        <v>51</v>
      </c>
      <c r="F276" s="9" t="s">
        <v>52</v>
      </c>
      <c r="G276" s="9" t="s">
        <v>494</v>
      </c>
      <c r="H276" s="9" t="s">
        <v>495</v>
      </c>
      <c r="I276" s="9" t="s">
        <v>260</v>
      </c>
      <c r="J276" s="9" t="s">
        <v>520</v>
      </c>
      <c r="K276" s="9" t="s">
        <v>495</v>
      </c>
      <c r="L276" s="9" t="s">
        <v>260</v>
      </c>
      <c r="M276" s="9" t="s">
        <v>520</v>
      </c>
      <c r="N276" s="9" t="s">
        <v>57</v>
      </c>
      <c r="O276" s="9" t="s">
        <v>94</v>
      </c>
      <c r="P276" s="9" t="str">
        <f aca="false">Q276</f>
        <v>NICHICON</v>
      </c>
      <c r="Q276" s="9" t="s">
        <v>85</v>
      </c>
      <c r="R276" s="9" t="s">
        <v>86</v>
      </c>
      <c r="S276" s="9" t="s">
        <v>87</v>
      </c>
      <c r="T276" s="9" t="s">
        <v>630</v>
      </c>
      <c r="U276" s="9" t="s">
        <v>73</v>
      </c>
      <c r="V276" s="9" t="n">
        <v>1.1</v>
      </c>
      <c r="W276" s="9" t="n">
        <v>1</v>
      </c>
      <c r="X276" s="9" t="n">
        <v>8000</v>
      </c>
      <c r="Y276" s="9" t="n">
        <v>8000</v>
      </c>
      <c r="Z276" s="9" t="n">
        <v>8000</v>
      </c>
      <c r="AA276" s="9" t="n">
        <v>8000</v>
      </c>
      <c r="AB276" s="9" t="n">
        <v>8000</v>
      </c>
      <c r="AC276" s="9" t="n">
        <v>8000</v>
      </c>
      <c r="AD276" s="9" t="n">
        <v>8000</v>
      </c>
      <c r="AE276" s="9" t="n">
        <v>8000</v>
      </c>
      <c r="AF276" s="9" t="n">
        <v>8000</v>
      </c>
      <c r="AG276" s="9" t="n">
        <v>8000</v>
      </c>
      <c r="AH276" s="9" t="n">
        <v>8000</v>
      </c>
      <c r="AI276" s="9" t="n">
        <v>8000</v>
      </c>
      <c r="AJ276" s="9" t="n">
        <f aca="false">X276*$V276</f>
        <v>8800</v>
      </c>
      <c r="AK276" s="9" t="n">
        <f aca="false">Y276*$V276</f>
        <v>8800</v>
      </c>
      <c r="AL276" s="9" t="n">
        <f aca="false">Z276*$V276</f>
        <v>8800</v>
      </c>
      <c r="AM276" s="9" t="n">
        <f aca="false">AA276*$V276</f>
        <v>8800</v>
      </c>
      <c r="AN276" s="9" t="n">
        <f aca="false">AB276*$V276</f>
        <v>8800</v>
      </c>
      <c r="AO276" s="9" t="n">
        <f aca="false">AC276*$V276</f>
        <v>8800</v>
      </c>
      <c r="AP276" s="9" t="n">
        <f aca="false">AD276*$V276</f>
        <v>8800</v>
      </c>
      <c r="AQ276" s="9" t="n">
        <f aca="false">AE276*$V276</f>
        <v>8800</v>
      </c>
      <c r="AR276" s="9" t="n">
        <f aca="false">AF276*$V276</f>
        <v>8800</v>
      </c>
      <c r="AS276" s="9" t="n">
        <f aca="false">AG276*$V276</f>
        <v>8800</v>
      </c>
      <c r="AT276" s="9" t="n">
        <f aca="false">AH276*$V276</f>
        <v>8800</v>
      </c>
      <c r="AU276" s="9" t="n">
        <f aca="false">AI276*$V276</f>
        <v>8800</v>
      </c>
      <c r="AV276" s="9" t="n">
        <f aca="false">SUM(X276:AI276)/1000</f>
        <v>96</v>
      </c>
      <c r="AW276" s="9" t="n">
        <f aca="false">SUM(AJ276:AU276)</f>
        <v>105600</v>
      </c>
      <c r="AX276" s="9" t="n">
        <f aca="false">IF(D276="INR",AW276/88.24,AW276)/1000000</f>
        <v>0.1056</v>
      </c>
    </row>
    <row r="277" s="2" customFormat="true" ht="16.4" hidden="false" customHeight="false" outlineLevel="0" collapsed="false">
      <c r="A277" s="35" t="s">
        <v>631</v>
      </c>
      <c r="B277" s="9" t="n">
        <v>5</v>
      </c>
      <c r="C277" s="10"/>
      <c r="D277" s="9" t="s">
        <v>102</v>
      </c>
      <c r="E277" s="9" t="s">
        <v>51</v>
      </c>
      <c r="F277" s="9" t="s">
        <v>52</v>
      </c>
      <c r="G277" s="9" t="s">
        <v>494</v>
      </c>
      <c r="H277" s="9" t="s">
        <v>495</v>
      </c>
      <c r="I277" s="9" t="s">
        <v>260</v>
      </c>
      <c r="J277" s="9" t="s">
        <v>520</v>
      </c>
      <c r="K277" s="9" t="s">
        <v>495</v>
      </c>
      <c r="L277" s="9" t="s">
        <v>260</v>
      </c>
      <c r="M277" s="9" t="s">
        <v>520</v>
      </c>
      <c r="N277" s="9" t="s">
        <v>57</v>
      </c>
      <c r="O277" s="9" t="s">
        <v>94</v>
      </c>
      <c r="P277" s="9" t="s">
        <v>117</v>
      </c>
      <c r="Q277" s="9" t="s">
        <v>188</v>
      </c>
      <c r="R277" s="9" t="s">
        <v>550</v>
      </c>
      <c r="S277" s="9" t="s">
        <v>528</v>
      </c>
      <c r="T277" s="9" t="s">
        <v>632</v>
      </c>
      <c r="U277" s="9" t="s">
        <v>73</v>
      </c>
      <c r="V277" s="10" t="n">
        <v>0.92</v>
      </c>
      <c r="W277" s="9" t="n">
        <v>0.801</v>
      </c>
      <c r="X277" s="9" t="n">
        <v>8000</v>
      </c>
      <c r="Y277" s="9" t="n">
        <v>8000</v>
      </c>
      <c r="Z277" s="9" t="n">
        <v>8000</v>
      </c>
      <c r="AA277" s="9" t="n">
        <v>8000</v>
      </c>
      <c r="AB277" s="9" t="n">
        <v>8000</v>
      </c>
      <c r="AC277" s="9" t="n">
        <v>8000</v>
      </c>
      <c r="AD277" s="9" t="n">
        <v>8000</v>
      </c>
      <c r="AE277" s="9" t="n">
        <v>8000</v>
      </c>
      <c r="AF277" s="9" t="n">
        <v>8000</v>
      </c>
      <c r="AG277" s="9" t="n">
        <v>8000</v>
      </c>
      <c r="AH277" s="9" t="n">
        <v>8000</v>
      </c>
      <c r="AI277" s="9" t="n">
        <v>8000</v>
      </c>
      <c r="AJ277" s="9" t="n">
        <f aca="false">X277*$V277</f>
        <v>7360</v>
      </c>
      <c r="AK277" s="9" t="n">
        <f aca="false">Y277*$V277</f>
        <v>7360</v>
      </c>
      <c r="AL277" s="9" t="n">
        <f aca="false">Z277*$V277</f>
        <v>7360</v>
      </c>
      <c r="AM277" s="9" t="n">
        <f aca="false">AA277*$V277</f>
        <v>7360</v>
      </c>
      <c r="AN277" s="9" t="n">
        <f aca="false">AB277*$V277</f>
        <v>7360</v>
      </c>
      <c r="AO277" s="9" t="n">
        <f aca="false">AC277*$V277</f>
        <v>7360</v>
      </c>
      <c r="AP277" s="9" t="n">
        <f aca="false">AD277*$V277</f>
        <v>7360</v>
      </c>
      <c r="AQ277" s="9" t="n">
        <f aca="false">AE277*$V277</f>
        <v>7360</v>
      </c>
      <c r="AR277" s="9" t="n">
        <f aca="false">AF277*$V277</f>
        <v>7360</v>
      </c>
      <c r="AS277" s="9" t="n">
        <f aca="false">AG277*$V277</f>
        <v>7360</v>
      </c>
      <c r="AT277" s="9" t="n">
        <f aca="false">AH277*$V277</f>
        <v>7360</v>
      </c>
      <c r="AU277" s="9" t="n">
        <f aca="false">AI277*$V277</f>
        <v>7360</v>
      </c>
      <c r="AV277" s="9" t="n">
        <f aca="false">SUM(X277:AI277)/1000</f>
        <v>96</v>
      </c>
      <c r="AW277" s="9" t="n">
        <f aca="false">SUM(AJ277:AU277)</f>
        <v>88320</v>
      </c>
      <c r="AX277" s="9" t="n">
        <f aca="false">IF(D277="INR",AW277/88.24,AW277)/1000000</f>
        <v>0.08832</v>
      </c>
    </row>
    <row r="278" s="2" customFormat="true" ht="16.4" hidden="false" customHeight="false" outlineLevel="0" collapsed="false">
      <c r="A278" s="16" t="s">
        <v>633</v>
      </c>
      <c r="B278" s="16" t="n">
        <v>5</v>
      </c>
      <c r="C278" s="16"/>
      <c r="D278" s="16" t="s">
        <v>102</v>
      </c>
      <c r="E278" s="16" t="s">
        <v>51</v>
      </c>
      <c r="F278" s="16" t="s">
        <v>52</v>
      </c>
      <c r="G278" s="16" t="s">
        <v>494</v>
      </c>
      <c r="H278" s="16" t="s">
        <v>495</v>
      </c>
      <c r="I278" s="16" t="s">
        <v>260</v>
      </c>
      <c r="J278" s="16" t="s">
        <v>520</v>
      </c>
      <c r="K278" s="16" t="s">
        <v>495</v>
      </c>
      <c r="L278" s="16" t="s">
        <v>260</v>
      </c>
      <c r="M278" s="16" t="s">
        <v>520</v>
      </c>
      <c r="N278" s="16" t="s">
        <v>57</v>
      </c>
      <c r="O278" s="16" t="s">
        <v>94</v>
      </c>
      <c r="P278" s="16" t="s">
        <v>110</v>
      </c>
      <c r="Q278" s="16" t="s">
        <v>188</v>
      </c>
      <c r="R278" s="16" t="s">
        <v>550</v>
      </c>
      <c r="S278" s="16" t="s">
        <v>528</v>
      </c>
      <c r="T278" s="16" t="s">
        <v>634</v>
      </c>
      <c r="U278" s="16" t="s">
        <v>73</v>
      </c>
      <c r="V278" s="16" t="n">
        <v>0.708</v>
      </c>
      <c r="W278" s="16" t="n">
        <v>0.665</v>
      </c>
      <c r="X278" s="16" t="n">
        <v>8000</v>
      </c>
      <c r="Y278" s="16" t="n">
        <v>8000</v>
      </c>
      <c r="Z278" s="16" t="n">
        <v>8000</v>
      </c>
      <c r="AA278" s="16" t="n">
        <v>8000</v>
      </c>
      <c r="AB278" s="16" t="n">
        <v>8000</v>
      </c>
      <c r="AC278" s="16" t="n">
        <v>8000</v>
      </c>
      <c r="AD278" s="16" t="n">
        <v>8000</v>
      </c>
      <c r="AE278" s="16" t="n">
        <v>8000</v>
      </c>
      <c r="AF278" s="16" t="n">
        <v>8000</v>
      </c>
      <c r="AG278" s="16" t="n">
        <v>8000</v>
      </c>
      <c r="AH278" s="16" t="n">
        <v>8000</v>
      </c>
      <c r="AI278" s="16" t="n">
        <v>8000</v>
      </c>
      <c r="AJ278" s="9" t="n">
        <f aca="false">X278*$V278</f>
        <v>5664</v>
      </c>
      <c r="AK278" s="9" t="n">
        <f aca="false">Y278*$V278</f>
        <v>5664</v>
      </c>
      <c r="AL278" s="9" t="n">
        <f aca="false">Z278*$V278</f>
        <v>5664</v>
      </c>
      <c r="AM278" s="9" t="n">
        <f aca="false">AA278*$V278</f>
        <v>5664</v>
      </c>
      <c r="AN278" s="9" t="n">
        <f aca="false">AB278*$V278</f>
        <v>5664</v>
      </c>
      <c r="AO278" s="9" t="n">
        <f aca="false">AC278*$V278</f>
        <v>5664</v>
      </c>
      <c r="AP278" s="9" t="n">
        <f aca="false">AD278*$V278</f>
        <v>5664</v>
      </c>
      <c r="AQ278" s="9" t="n">
        <f aca="false">AE278*$V278</f>
        <v>5664</v>
      </c>
      <c r="AR278" s="9" t="n">
        <f aca="false">AF278*$V278</f>
        <v>5664</v>
      </c>
      <c r="AS278" s="9" t="n">
        <f aca="false">AG278*$V278</f>
        <v>5664</v>
      </c>
      <c r="AT278" s="9" t="n">
        <f aca="false">AH278*$V278</f>
        <v>5664</v>
      </c>
      <c r="AU278" s="9" t="n">
        <f aca="false">AI278*$V278</f>
        <v>5664</v>
      </c>
      <c r="AV278" s="9" t="n">
        <f aca="false">SUM(X278:AI278)/1000</f>
        <v>96</v>
      </c>
      <c r="AW278" s="9" t="n">
        <f aca="false">SUM(AJ278:AU278)</f>
        <v>67968</v>
      </c>
      <c r="AX278" s="9" t="n">
        <f aca="false">IF(D278="INR",AW278/88.24,AW278)/1000000</f>
        <v>0.067968</v>
      </c>
    </row>
    <row r="279" s="2" customFormat="true" ht="14.25" hidden="false" customHeight="false" outlineLevel="0" collapsed="false">
      <c r="A279" s="12" t="s">
        <v>635</v>
      </c>
      <c r="B279" s="13" t="n">
        <v>5</v>
      </c>
      <c r="C279" s="14"/>
      <c r="D279" s="16" t="s">
        <v>102</v>
      </c>
      <c r="E279" s="16" t="s">
        <v>51</v>
      </c>
      <c r="F279" s="16" t="s">
        <v>52</v>
      </c>
      <c r="G279" s="16" t="s">
        <v>494</v>
      </c>
      <c r="H279" s="16" t="s">
        <v>495</v>
      </c>
      <c r="I279" s="16" t="s">
        <v>260</v>
      </c>
      <c r="J279" s="16" t="s">
        <v>520</v>
      </c>
      <c r="K279" s="16" t="s">
        <v>495</v>
      </c>
      <c r="L279" s="16" t="s">
        <v>260</v>
      </c>
      <c r="M279" s="16" t="s">
        <v>520</v>
      </c>
      <c r="N279" s="16" t="s">
        <v>57</v>
      </c>
      <c r="O279" s="16" t="s">
        <v>94</v>
      </c>
      <c r="P279" s="16" t="s">
        <v>208</v>
      </c>
      <c r="Q279" s="16" t="s">
        <v>208</v>
      </c>
      <c r="R279" s="16" t="s">
        <v>309</v>
      </c>
      <c r="S279" s="16" t="s">
        <v>87</v>
      </c>
      <c r="T279" s="16" t="s">
        <v>636</v>
      </c>
      <c r="U279" s="16" t="s">
        <v>73</v>
      </c>
      <c r="V279" s="16" t="n">
        <v>0.28</v>
      </c>
      <c r="W279" s="16" t="n">
        <v>0.2134</v>
      </c>
      <c r="X279" s="16" t="n">
        <v>8000</v>
      </c>
      <c r="Y279" s="16" t="n">
        <v>8000</v>
      </c>
      <c r="Z279" s="16" t="n">
        <v>8000</v>
      </c>
      <c r="AA279" s="16" t="n">
        <v>8000</v>
      </c>
      <c r="AB279" s="16" t="n">
        <v>8000</v>
      </c>
      <c r="AC279" s="16" t="n">
        <v>8000</v>
      </c>
      <c r="AD279" s="16" t="n">
        <v>8000</v>
      </c>
      <c r="AE279" s="16" t="n">
        <v>8000</v>
      </c>
      <c r="AF279" s="16" t="n">
        <v>8000</v>
      </c>
      <c r="AG279" s="16" t="n">
        <v>8000</v>
      </c>
      <c r="AH279" s="16" t="n">
        <v>8000</v>
      </c>
      <c r="AI279" s="16" t="n">
        <v>8000</v>
      </c>
      <c r="AJ279" s="9" t="n">
        <f aca="false">X279*$V279</f>
        <v>2240</v>
      </c>
      <c r="AK279" s="9" t="n">
        <f aca="false">Y279*$V279</f>
        <v>2240</v>
      </c>
      <c r="AL279" s="9" t="n">
        <f aca="false">Z279*$V279</f>
        <v>2240</v>
      </c>
      <c r="AM279" s="9" t="n">
        <f aca="false">AA279*$V279</f>
        <v>2240</v>
      </c>
      <c r="AN279" s="9" t="n">
        <f aca="false">AB279*$V279</f>
        <v>2240</v>
      </c>
      <c r="AO279" s="9" t="n">
        <f aca="false">AC279*$V279</f>
        <v>2240</v>
      </c>
      <c r="AP279" s="9" t="n">
        <f aca="false">AD279*$V279</f>
        <v>2240</v>
      </c>
      <c r="AQ279" s="9" t="n">
        <f aca="false">AE279*$V279</f>
        <v>2240</v>
      </c>
      <c r="AR279" s="9" t="n">
        <f aca="false">AF279*$V279</f>
        <v>2240</v>
      </c>
      <c r="AS279" s="9" t="n">
        <f aca="false">AG279*$V279</f>
        <v>2240</v>
      </c>
      <c r="AT279" s="9" t="n">
        <f aca="false">AH279*$V279</f>
        <v>2240</v>
      </c>
      <c r="AU279" s="9" t="n">
        <f aca="false">AI279*$V279</f>
        <v>2240</v>
      </c>
      <c r="AV279" s="9" t="n">
        <f aca="false">SUM(X279:AI279)/1000</f>
        <v>96</v>
      </c>
      <c r="AW279" s="9" t="n">
        <f aca="false">SUM(AJ279:AU279)</f>
        <v>26880</v>
      </c>
      <c r="AX279" s="9" t="n">
        <f aca="false">IF(D279="INR",AW279/88.24,AW279)/1000000</f>
        <v>0.02688</v>
      </c>
    </row>
    <row r="280" s="2" customFormat="true" ht="16.4" hidden="false" customHeight="false" outlineLevel="0" collapsed="false">
      <c r="A280" s="35" t="s">
        <v>637</v>
      </c>
      <c r="B280" s="9" t="n">
        <v>5</v>
      </c>
      <c r="C280" s="10"/>
      <c r="D280" s="9" t="s">
        <v>50</v>
      </c>
      <c r="E280" s="9" t="s">
        <v>51</v>
      </c>
      <c r="F280" s="9" t="s">
        <v>52</v>
      </c>
      <c r="G280" s="9" t="s">
        <v>638</v>
      </c>
      <c r="H280" s="9" t="s">
        <v>639</v>
      </c>
      <c r="I280" s="9" t="s">
        <v>77</v>
      </c>
      <c r="J280" s="9" t="s">
        <v>496</v>
      </c>
      <c r="K280" s="9"/>
      <c r="L280" s="9" t="s">
        <v>77</v>
      </c>
      <c r="M280" s="9" t="s">
        <v>496</v>
      </c>
      <c r="N280" s="16" t="s">
        <v>67</v>
      </c>
      <c r="O280" s="9" t="s">
        <v>58</v>
      </c>
      <c r="P280" s="9" t="s">
        <v>110</v>
      </c>
      <c r="Q280" s="9" t="s">
        <v>110</v>
      </c>
      <c r="R280" s="9" t="s">
        <v>137</v>
      </c>
      <c r="S280" s="9" t="s">
        <v>272</v>
      </c>
      <c r="T280" s="9" t="s">
        <v>640</v>
      </c>
      <c r="U280" s="9" t="s">
        <v>73</v>
      </c>
      <c r="V280" s="9" t="n">
        <v>171</v>
      </c>
      <c r="W280" s="9" t="n">
        <v>1.6</v>
      </c>
      <c r="X280" s="9" t="n">
        <v>2000</v>
      </c>
      <c r="Y280" s="9" t="n">
        <v>2000</v>
      </c>
      <c r="Z280" s="9" t="n">
        <v>2000</v>
      </c>
      <c r="AA280" s="9" t="n">
        <v>2000</v>
      </c>
      <c r="AB280" s="9" t="n">
        <v>2000</v>
      </c>
      <c r="AC280" s="9" t="n">
        <v>2000</v>
      </c>
      <c r="AD280" s="9" t="n">
        <v>2000</v>
      </c>
      <c r="AE280" s="9" t="n">
        <v>2000</v>
      </c>
      <c r="AF280" s="9" t="n">
        <v>2000</v>
      </c>
      <c r="AG280" s="9" t="n">
        <v>2000</v>
      </c>
      <c r="AH280" s="9" t="n">
        <v>2000</v>
      </c>
      <c r="AI280" s="9" t="n">
        <v>2000</v>
      </c>
      <c r="AJ280" s="9" t="n">
        <f aca="false">X280*$V280</f>
        <v>342000</v>
      </c>
      <c r="AK280" s="9" t="n">
        <f aca="false">Y280*$V280</f>
        <v>342000</v>
      </c>
      <c r="AL280" s="9" t="n">
        <f aca="false">Z280*$V280</f>
        <v>342000</v>
      </c>
      <c r="AM280" s="9" t="n">
        <f aca="false">AA280*$V280</f>
        <v>342000</v>
      </c>
      <c r="AN280" s="9" t="n">
        <f aca="false">AB280*$V280</f>
        <v>342000</v>
      </c>
      <c r="AO280" s="9" t="n">
        <f aca="false">AC280*$V280</f>
        <v>342000</v>
      </c>
      <c r="AP280" s="9" t="n">
        <f aca="false">AD280*$V280</f>
        <v>342000</v>
      </c>
      <c r="AQ280" s="9" t="n">
        <f aca="false">AE280*$V280</f>
        <v>342000</v>
      </c>
      <c r="AR280" s="9" t="n">
        <f aca="false">AF280*$V280</f>
        <v>342000</v>
      </c>
      <c r="AS280" s="9" t="n">
        <f aca="false">AG280*$V280</f>
        <v>342000</v>
      </c>
      <c r="AT280" s="9" t="n">
        <f aca="false">AH280*$V280</f>
        <v>342000</v>
      </c>
      <c r="AU280" s="9" t="n">
        <f aca="false">AI280*$V280</f>
        <v>342000</v>
      </c>
      <c r="AV280" s="9" t="n">
        <f aca="false">SUM(X280:AI280)/1000</f>
        <v>24</v>
      </c>
      <c r="AW280" s="9" t="n">
        <f aca="false">SUM(AJ280:AU280)</f>
        <v>4104000</v>
      </c>
      <c r="AX280" s="9" t="n">
        <f aca="false">IF(D280="INR",AW280/88.24,AW280)/1000000</f>
        <v>0.0465095194922938</v>
      </c>
    </row>
    <row r="281" s="2" customFormat="true" ht="16.4" hidden="false" customHeight="false" outlineLevel="0" collapsed="false">
      <c r="A281" s="35" t="s">
        <v>641</v>
      </c>
      <c r="B281" s="9" t="n">
        <v>5</v>
      </c>
      <c r="C281" s="10"/>
      <c r="D281" s="9" t="s">
        <v>102</v>
      </c>
      <c r="E281" s="9" t="s">
        <v>51</v>
      </c>
      <c r="F281" s="9" t="s">
        <v>52</v>
      </c>
      <c r="G281" s="9" t="s">
        <v>494</v>
      </c>
      <c r="H281" s="9" t="s">
        <v>495</v>
      </c>
      <c r="I281" s="9" t="s">
        <v>260</v>
      </c>
      <c r="J281" s="9" t="s">
        <v>520</v>
      </c>
      <c r="K281" s="9" t="s">
        <v>495</v>
      </c>
      <c r="L281" s="9" t="s">
        <v>260</v>
      </c>
      <c r="M281" s="9" t="s">
        <v>520</v>
      </c>
      <c r="N281" s="9" t="s">
        <v>57</v>
      </c>
      <c r="O281" s="9" t="s">
        <v>94</v>
      </c>
      <c r="P281" s="9" t="s">
        <v>110</v>
      </c>
      <c r="Q281" s="9" t="s">
        <v>188</v>
      </c>
      <c r="R281" s="9" t="s">
        <v>550</v>
      </c>
      <c r="S281" s="9" t="s">
        <v>528</v>
      </c>
      <c r="T281" s="9" t="s">
        <v>642</v>
      </c>
      <c r="U281" s="9" t="s">
        <v>73</v>
      </c>
      <c r="V281" s="9" t="n">
        <v>0.22</v>
      </c>
      <c r="W281" s="9" t="n">
        <v>0.205</v>
      </c>
      <c r="X281" s="9" t="n">
        <v>8000</v>
      </c>
      <c r="Y281" s="9" t="n">
        <v>8000</v>
      </c>
      <c r="Z281" s="9" t="n">
        <v>8000</v>
      </c>
      <c r="AA281" s="9" t="n">
        <v>8000</v>
      </c>
      <c r="AB281" s="9" t="n">
        <v>8000</v>
      </c>
      <c r="AC281" s="9" t="n">
        <v>8000</v>
      </c>
      <c r="AD281" s="9" t="n">
        <v>8000</v>
      </c>
      <c r="AE281" s="9" t="n">
        <v>8000</v>
      </c>
      <c r="AF281" s="9" t="n">
        <v>8000</v>
      </c>
      <c r="AG281" s="9" t="n">
        <v>8000</v>
      </c>
      <c r="AH281" s="9" t="n">
        <v>8000</v>
      </c>
      <c r="AI281" s="9" t="n">
        <v>8000</v>
      </c>
      <c r="AJ281" s="9" t="n">
        <f aca="false">X281*$V281</f>
        <v>1760</v>
      </c>
      <c r="AK281" s="9" t="n">
        <f aca="false">Y281*$V281</f>
        <v>1760</v>
      </c>
      <c r="AL281" s="9" t="n">
        <f aca="false">Z281*$V281</f>
        <v>1760</v>
      </c>
      <c r="AM281" s="9" t="n">
        <f aca="false">AA281*$V281</f>
        <v>1760</v>
      </c>
      <c r="AN281" s="9" t="n">
        <f aca="false">AB281*$V281</f>
        <v>1760</v>
      </c>
      <c r="AO281" s="9" t="n">
        <f aca="false">AC281*$V281</f>
        <v>1760</v>
      </c>
      <c r="AP281" s="9" t="n">
        <f aca="false">AD281*$V281</f>
        <v>1760</v>
      </c>
      <c r="AQ281" s="9" t="n">
        <f aca="false">AE281*$V281</f>
        <v>1760</v>
      </c>
      <c r="AR281" s="9" t="n">
        <f aca="false">AF281*$V281</f>
        <v>1760</v>
      </c>
      <c r="AS281" s="9" t="n">
        <f aca="false">AG281*$V281</f>
        <v>1760</v>
      </c>
      <c r="AT281" s="9" t="n">
        <f aca="false">AH281*$V281</f>
        <v>1760</v>
      </c>
      <c r="AU281" s="9" t="n">
        <f aca="false">AI281*$V281</f>
        <v>1760</v>
      </c>
      <c r="AV281" s="9" t="n">
        <f aca="false">SUM(X281:AI281)/1000</f>
        <v>96</v>
      </c>
      <c r="AW281" s="9" t="n">
        <f aca="false">SUM(AJ281:AU281)</f>
        <v>21120</v>
      </c>
      <c r="AX281" s="9" t="n">
        <f aca="false">IF(D281="INR",AW281/88.24,AW281)/1000000</f>
        <v>0.02112</v>
      </c>
    </row>
    <row r="282" s="2" customFormat="true" ht="16.4" hidden="false" customHeight="false" outlineLevel="0" collapsed="false">
      <c r="A282" s="35" t="s">
        <v>643</v>
      </c>
      <c r="B282" s="9" t="n">
        <v>5</v>
      </c>
      <c r="C282" s="10"/>
      <c r="D282" s="9" t="s">
        <v>102</v>
      </c>
      <c r="E282" s="9" t="s">
        <v>51</v>
      </c>
      <c r="F282" s="9" t="s">
        <v>52</v>
      </c>
      <c r="G282" s="9" t="s">
        <v>494</v>
      </c>
      <c r="H282" s="9" t="s">
        <v>495</v>
      </c>
      <c r="I282" s="9" t="s">
        <v>260</v>
      </c>
      <c r="J282" s="9" t="s">
        <v>520</v>
      </c>
      <c r="K282" s="9" t="s">
        <v>495</v>
      </c>
      <c r="L282" s="9" t="s">
        <v>260</v>
      </c>
      <c r="M282" s="9" t="s">
        <v>520</v>
      </c>
      <c r="N282" s="9" t="s">
        <v>57</v>
      </c>
      <c r="O282" s="9" t="s">
        <v>94</v>
      </c>
      <c r="P282" s="9" t="s">
        <v>110</v>
      </c>
      <c r="Q282" s="9" t="s">
        <v>188</v>
      </c>
      <c r="R282" s="9" t="s">
        <v>550</v>
      </c>
      <c r="S282" s="9" t="s">
        <v>528</v>
      </c>
      <c r="T282" s="9" t="s">
        <v>644</v>
      </c>
      <c r="U282" s="9" t="s">
        <v>73</v>
      </c>
      <c r="V282" s="9" t="n">
        <v>0.2</v>
      </c>
      <c r="W282" s="9" t="n">
        <v>0.181</v>
      </c>
      <c r="X282" s="9" t="n">
        <v>8000</v>
      </c>
      <c r="Y282" s="9" t="n">
        <v>8000</v>
      </c>
      <c r="Z282" s="9" t="n">
        <v>8000</v>
      </c>
      <c r="AA282" s="9" t="n">
        <v>8000</v>
      </c>
      <c r="AB282" s="9" t="n">
        <v>8000</v>
      </c>
      <c r="AC282" s="9" t="n">
        <v>8000</v>
      </c>
      <c r="AD282" s="9" t="n">
        <v>8000</v>
      </c>
      <c r="AE282" s="9" t="n">
        <v>8000</v>
      </c>
      <c r="AF282" s="9" t="n">
        <v>8000</v>
      </c>
      <c r="AG282" s="9" t="n">
        <v>8000</v>
      </c>
      <c r="AH282" s="9" t="n">
        <v>8000</v>
      </c>
      <c r="AI282" s="9" t="n">
        <v>8000</v>
      </c>
      <c r="AJ282" s="9" t="n">
        <f aca="false">X282*$V282</f>
        <v>1600</v>
      </c>
      <c r="AK282" s="9" t="n">
        <f aca="false">Y282*$V282</f>
        <v>1600</v>
      </c>
      <c r="AL282" s="9" t="n">
        <f aca="false">Z282*$V282</f>
        <v>1600</v>
      </c>
      <c r="AM282" s="9" t="n">
        <f aca="false">AA282*$V282</f>
        <v>1600</v>
      </c>
      <c r="AN282" s="9" t="n">
        <f aca="false">AB282*$V282</f>
        <v>1600</v>
      </c>
      <c r="AO282" s="9" t="n">
        <f aca="false">AC282*$V282</f>
        <v>1600</v>
      </c>
      <c r="AP282" s="9" t="n">
        <f aca="false">AD282*$V282</f>
        <v>1600</v>
      </c>
      <c r="AQ282" s="9" t="n">
        <f aca="false">AE282*$V282</f>
        <v>1600</v>
      </c>
      <c r="AR282" s="9" t="n">
        <f aca="false">AF282*$V282</f>
        <v>1600</v>
      </c>
      <c r="AS282" s="9" t="n">
        <f aca="false">AG282*$V282</f>
        <v>1600</v>
      </c>
      <c r="AT282" s="9" t="n">
        <f aca="false">AH282*$V282</f>
        <v>1600</v>
      </c>
      <c r="AU282" s="9" t="n">
        <f aca="false">AI282*$V282</f>
        <v>1600</v>
      </c>
      <c r="AV282" s="9" t="n">
        <f aca="false">SUM(X282:AI282)/1000</f>
        <v>96</v>
      </c>
      <c r="AW282" s="9" t="n">
        <f aca="false">SUM(AJ282:AU282)</f>
        <v>19200</v>
      </c>
      <c r="AX282" s="9" t="n">
        <f aca="false">IF(D282="INR",AW282/88.24,AW282)/1000000</f>
        <v>0.0192</v>
      </c>
    </row>
    <row r="283" s="2" customFormat="true" ht="16.4" hidden="false" customHeight="false" outlineLevel="0" collapsed="false">
      <c r="A283" s="35" t="s">
        <v>645</v>
      </c>
      <c r="B283" s="9" t="n">
        <v>5</v>
      </c>
      <c r="C283" s="10"/>
      <c r="D283" s="9" t="s">
        <v>50</v>
      </c>
      <c r="E283" s="9" t="s">
        <v>51</v>
      </c>
      <c r="F283" s="9" t="s">
        <v>52</v>
      </c>
      <c r="G283" s="9" t="s">
        <v>301</v>
      </c>
      <c r="H283" s="9" t="s">
        <v>302</v>
      </c>
      <c r="I283" s="9" t="s">
        <v>303</v>
      </c>
      <c r="J283" s="9" t="s">
        <v>304</v>
      </c>
      <c r="K283" s="9"/>
      <c r="L283" s="9" t="s">
        <v>303</v>
      </c>
      <c r="M283" s="9" t="s">
        <v>304</v>
      </c>
      <c r="N283" s="16" t="s">
        <v>93</v>
      </c>
      <c r="O283" s="9" t="s">
        <v>107</v>
      </c>
      <c r="P283" s="9" t="s">
        <v>308</v>
      </c>
      <c r="Q283" s="9" t="s">
        <v>308</v>
      </c>
      <c r="R283" s="9" t="s">
        <v>309</v>
      </c>
      <c r="S283" s="9" t="s">
        <v>264</v>
      </c>
      <c r="T283" s="9" t="s">
        <v>646</v>
      </c>
      <c r="U283" s="9" t="s">
        <v>73</v>
      </c>
      <c r="V283" s="9" t="n">
        <v>3.35</v>
      </c>
      <c r="W283" s="9" t="n">
        <v>2.87</v>
      </c>
      <c r="X283" s="9" t="n">
        <v>100000</v>
      </c>
      <c r="Y283" s="9" t="n">
        <v>100000</v>
      </c>
      <c r="Z283" s="9" t="n">
        <v>100000</v>
      </c>
      <c r="AA283" s="9" t="n">
        <v>100000</v>
      </c>
      <c r="AB283" s="9" t="n">
        <v>100000</v>
      </c>
      <c r="AC283" s="9" t="n">
        <v>100000</v>
      </c>
      <c r="AD283" s="9" t="n">
        <v>100000</v>
      </c>
      <c r="AE283" s="9" t="n">
        <v>100000</v>
      </c>
      <c r="AF283" s="9" t="n">
        <v>100000</v>
      </c>
      <c r="AG283" s="9" t="n">
        <v>100000</v>
      </c>
      <c r="AH283" s="9" t="n">
        <v>100000</v>
      </c>
      <c r="AI283" s="9" t="n">
        <v>100000</v>
      </c>
      <c r="AJ283" s="9" t="n">
        <f aca="false">X283*$V283</f>
        <v>335000</v>
      </c>
      <c r="AK283" s="9" t="n">
        <f aca="false">Y283*$V283</f>
        <v>335000</v>
      </c>
      <c r="AL283" s="9" t="n">
        <f aca="false">Z283*$V283</f>
        <v>335000</v>
      </c>
      <c r="AM283" s="9" t="n">
        <f aca="false">AA283*$V283</f>
        <v>335000</v>
      </c>
      <c r="AN283" s="9" t="n">
        <f aca="false">AB283*$V283</f>
        <v>335000</v>
      </c>
      <c r="AO283" s="9" t="n">
        <f aca="false">AC283*$V283</f>
        <v>335000</v>
      </c>
      <c r="AP283" s="9" t="n">
        <f aca="false">AD283*$V283</f>
        <v>335000</v>
      </c>
      <c r="AQ283" s="9" t="n">
        <f aca="false">AE283*$V283</f>
        <v>335000</v>
      </c>
      <c r="AR283" s="9" t="n">
        <f aca="false">AF283*$V283</f>
        <v>335000</v>
      </c>
      <c r="AS283" s="9" t="n">
        <f aca="false">AG283*$V283</f>
        <v>335000</v>
      </c>
      <c r="AT283" s="9" t="n">
        <f aca="false">AH283*$V283</f>
        <v>335000</v>
      </c>
      <c r="AU283" s="9" t="n">
        <f aca="false">AI283*$V283</f>
        <v>335000</v>
      </c>
      <c r="AV283" s="9" t="n">
        <f aca="false">SUM(X283:AI283)/1000</f>
        <v>1200</v>
      </c>
      <c r="AW283" s="9" t="n">
        <f aca="false">SUM(AJ283:AU283)</f>
        <v>4020000</v>
      </c>
      <c r="AX283" s="9" t="n">
        <f aca="false">IF(D283="INR",AW283/88.24,AW283)/1000000</f>
        <v>0.0455575702629193</v>
      </c>
    </row>
    <row r="284" s="2" customFormat="true" ht="16.4" hidden="false" customHeight="false" outlineLevel="0" collapsed="false">
      <c r="A284" s="35" t="s">
        <v>647</v>
      </c>
      <c r="B284" s="9" t="n">
        <v>5</v>
      </c>
      <c r="C284" s="10"/>
      <c r="D284" s="9" t="s">
        <v>102</v>
      </c>
      <c r="E284" s="9" t="s">
        <v>51</v>
      </c>
      <c r="F284" s="9" t="s">
        <v>52</v>
      </c>
      <c r="G284" s="9" t="s">
        <v>494</v>
      </c>
      <c r="H284" s="9" t="s">
        <v>495</v>
      </c>
      <c r="I284" s="9" t="s">
        <v>260</v>
      </c>
      <c r="J284" s="9" t="s">
        <v>520</v>
      </c>
      <c r="K284" s="9" t="s">
        <v>495</v>
      </c>
      <c r="L284" s="9" t="s">
        <v>260</v>
      </c>
      <c r="M284" s="9" t="s">
        <v>520</v>
      </c>
      <c r="N284" s="9" t="s">
        <v>57</v>
      </c>
      <c r="O284" s="9" t="s">
        <v>94</v>
      </c>
      <c r="P284" s="9" t="s">
        <v>199</v>
      </c>
      <c r="Q284" s="9" t="s">
        <v>199</v>
      </c>
      <c r="R284" s="9" t="s">
        <v>377</v>
      </c>
      <c r="S284" s="9" t="s">
        <v>528</v>
      </c>
      <c r="T284" s="9" t="s">
        <v>648</v>
      </c>
      <c r="U284" s="9" t="s">
        <v>73</v>
      </c>
      <c r="V284" s="9" t="n">
        <v>0.189</v>
      </c>
      <c r="W284" s="9" t="n">
        <v>0.16</v>
      </c>
      <c r="X284" s="9" t="n">
        <v>8000</v>
      </c>
      <c r="Y284" s="9" t="n">
        <v>8000</v>
      </c>
      <c r="Z284" s="9" t="n">
        <v>8000</v>
      </c>
      <c r="AA284" s="9" t="n">
        <v>8000</v>
      </c>
      <c r="AB284" s="9" t="n">
        <v>8000</v>
      </c>
      <c r="AC284" s="9" t="n">
        <v>8000</v>
      </c>
      <c r="AD284" s="9" t="n">
        <v>8000</v>
      </c>
      <c r="AE284" s="9" t="n">
        <v>8000</v>
      </c>
      <c r="AF284" s="9" t="n">
        <v>8000</v>
      </c>
      <c r="AG284" s="9" t="n">
        <v>8000</v>
      </c>
      <c r="AH284" s="9" t="n">
        <v>8000</v>
      </c>
      <c r="AI284" s="9" t="n">
        <v>8000</v>
      </c>
      <c r="AJ284" s="9" t="n">
        <f aca="false">X284*$V284</f>
        <v>1512</v>
      </c>
      <c r="AK284" s="9" t="n">
        <f aca="false">Y284*$V284</f>
        <v>1512</v>
      </c>
      <c r="AL284" s="9" t="n">
        <f aca="false">Z284*$V284</f>
        <v>1512</v>
      </c>
      <c r="AM284" s="9" t="n">
        <f aca="false">AA284*$V284</f>
        <v>1512</v>
      </c>
      <c r="AN284" s="9" t="n">
        <f aca="false">AB284*$V284</f>
        <v>1512</v>
      </c>
      <c r="AO284" s="9" t="n">
        <f aca="false">AC284*$V284</f>
        <v>1512</v>
      </c>
      <c r="AP284" s="9" t="n">
        <f aca="false">AD284*$V284</f>
        <v>1512</v>
      </c>
      <c r="AQ284" s="9" t="n">
        <f aca="false">AE284*$V284</f>
        <v>1512</v>
      </c>
      <c r="AR284" s="9" t="n">
        <f aca="false">AF284*$V284</f>
        <v>1512</v>
      </c>
      <c r="AS284" s="9" t="n">
        <f aca="false">AG284*$V284</f>
        <v>1512</v>
      </c>
      <c r="AT284" s="9" t="n">
        <f aca="false">AH284*$V284</f>
        <v>1512</v>
      </c>
      <c r="AU284" s="9" t="n">
        <f aca="false">AI284*$V284</f>
        <v>1512</v>
      </c>
      <c r="AV284" s="9" t="n">
        <f aca="false">SUM(X284:AI284)/1000</f>
        <v>96</v>
      </c>
      <c r="AW284" s="9" t="n">
        <f aca="false">SUM(AJ284:AU284)</f>
        <v>18144</v>
      </c>
      <c r="AX284" s="9" t="n">
        <f aca="false">IF(D284="INR",AW284/88.24,AW284)/1000000</f>
        <v>0.018144</v>
      </c>
    </row>
    <row r="285" s="2" customFormat="true" ht="16.4" hidden="false" customHeight="false" outlineLevel="0" collapsed="false">
      <c r="A285" s="35" t="s">
        <v>649</v>
      </c>
      <c r="B285" s="9" t="n">
        <v>5</v>
      </c>
      <c r="C285" s="10"/>
      <c r="D285" s="9" t="s">
        <v>50</v>
      </c>
      <c r="E285" s="9" t="s">
        <v>51</v>
      </c>
      <c r="F285" s="9" t="s">
        <v>404</v>
      </c>
      <c r="G285" s="9" t="s">
        <v>650</v>
      </c>
      <c r="H285" s="9" t="s">
        <v>651</v>
      </c>
      <c r="I285" s="9" t="s">
        <v>105</v>
      </c>
      <c r="J285" s="9" t="s">
        <v>368</v>
      </c>
      <c r="K285" s="9"/>
      <c r="L285" s="9" t="s">
        <v>105</v>
      </c>
      <c r="M285" s="9" t="s">
        <v>368</v>
      </c>
      <c r="N285" s="16" t="s">
        <v>271</v>
      </c>
      <c r="O285" s="9" t="s">
        <v>94</v>
      </c>
      <c r="P285" s="9" t="s">
        <v>85</v>
      </c>
      <c r="Q285" s="9" t="s">
        <v>85</v>
      </c>
      <c r="R285" s="9" t="s">
        <v>86</v>
      </c>
      <c r="S285" s="9" t="s">
        <v>87</v>
      </c>
      <c r="T285" s="9" t="s">
        <v>652</v>
      </c>
      <c r="U285" s="9" t="s">
        <v>73</v>
      </c>
      <c r="V285" s="9" t="n">
        <v>165</v>
      </c>
      <c r="W285" s="9" t="n">
        <v>1.58</v>
      </c>
      <c r="X285" s="9" t="n">
        <v>2000</v>
      </c>
      <c r="Y285" s="9" t="n">
        <v>2000</v>
      </c>
      <c r="Z285" s="9" t="n">
        <v>2000</v>
      </c>
      <c r="AA285" s="9" t="n">
        <v>3000</v>
      </c>
      <c r="AB285" s="9" t="n">
        <v>3000</v>
      </c>
      <c r="AC285" s="9"/>
      <c r="AD285" s="9" t="n">
        <v>3000</v>
      </c>
      <c r="AE285" s="9" t="n">
        <v>3000</v>
      </c>
      <c r="AF285" s="9" t="n">
        <v>2000</v>
      </c>
      <c r="AG285" s="9" t="n">
        <v>3000</v>
      </c>
      <c r="AH285" s="9"/>
      <c r="AI285" s="9" t="n">
        <v>3000</v>
      </c>
      <c r="AJ285" s="9" t="n">
        <f aca="false">X285*$V285</f>
        <v>330000</v>
      </c>
      <c r="AK285" s="9" t="n">
        <f aca="false">Y285*$V285</f>
        <v>330000</v>
      </c>
      <c r="AL285" s="9" t="n">
        <f aca="false">Z285*$V285</f>
        <v>330000</v>
      </c>
      <c r="AM285" s="9" t="n">
        <f aca="false">AA285*$V285</f>
        <v>495000</v>
      </c>
      <c r="AN285" s="9" t="n">
        <f aca="false">AB285*$V285</f>
        <v>495000</v>
      </c>
      <c r="AO285" s="9" t="n">
        <f aca="false">AC285*$V285</f>
        <v>0</v>
      </c>
      <c r="AP285" s="9" t="n">
        <f aca="false">AD285*$V285</f>
        <v>495000</v>
      </c>
      <c r="AQ285" s="9" t="n">
        <f aca="false">AE285*$V285</f>
        <v>495000</v>
      </c>
      <c r="AR285" s="9" t="n">
        <f aca="false">AF285*$V285</f>
        <v>330000</v>
      </c>
      <c r="AS285" s="9" t="n">
        <f aca="false">AG285*$V285</f>
        <v>495000</v>
      </c>
      <c r="AT285" s="9" t="n">
        <f aca="false">AH285*$V285</f>
        <v>0</v>
      </c>
      <c r="AU285" s="9" t="n">
        <f aca="false">AI285*$V285</f>
        <v>495000</v>
      </c>
      <c r="AV285" s="9" t="n">
        <f aca="false">SUM(X285:AI285)/1000</f>
        <v>26</v>
      </c>
      <c r="AW285" s="9" t="n">
        <f aca="false">SUM(AJ285:AU285)</f>
        <v>4290000</v>
      </c>
      <c r="AX285" s="9" t="n">
        <f aca="false">IF(D285="INR",AW285/88.24,AW285)/1000000</f>
        <v>0.0486174070716229</v>
      </c>
    </row>
    <row r="286" s="2" customFormat="true" ht="14.25" hidden="false" customHeight="false" outlineLevel="0" collapsed="false">
      <c r="A286" s="12" t="s">
        <v>653</v>
      </c>
      <c r="B286" s="16" t="n">
        <v>5</v>
      </c>
      <c r="C286" s="15"/>
      <c r="D286" s="16" t="s">
        <v>102</v>
      </c>
      <c r="E286" s="16" t="s">
        <v>51</v>
      </c>
      <c r="F286" s="16" t="s">
        <v>52</v>
      </c>
      <c r="G286" s="16" t="s">
        <v>494</v>
      </c>
      <c r="H286" s="16" t="s">
        <v>495</v>
      </c>
      <c r="I286" s="16" t="s">
        <v>260</v>
      </c>
      <c r="J286" s="16" t="s">
        <v>520</v>
      </c>
      <c r="K286" s="16" t="s">
        <v>495</v>
      </c>
      <c r="L286" s="16" t="s">
        <v>260</v>
      </c>
      <c r="M286" s="16" t="s">
        <v>520</v>
      </c>
      <c r="N286" s="16" t="s">
        <v>57</v>
      </c>
      <c r="O286" s="16" t="s">
        <v>94</v>
      </c>
      <c r="P286" s="16" t="s">
        <v>110</v>
      </c>
      <c r="Q286" s="16" t="s">
        <v>188</v>
      </c>
      <c r="R286" s="16" t="s">
        <v>550</v>
      </c>
      <c r="S286" s="16" t="s">
        <v>528</v>
      </c>
      <c r="T286" s="16" t="s">
        <v>654</v>
      </c>
      <c r="U286" s="16" t="s">
        <v>73</v>
      </c>
      <c r="V286" s="16" t="n">
        <v>0.158</v>
      </c>
      <c r="W286" s="16" t="n">
        <v>0.145</v>
      </c>
      <c r="X286" s="16" t="n">
        <v>8000</v>
      </c>
      <c r="Y286" s="16" t="n">
        <v>8000</v>
      </c>
      <c r="Z286" s="16" t="n">
        <v>8000</v>
      </c>
      <c r="AA286" s="16" t="n">
        <v>8000</v>
      </c>
      <c r="AB286" s="16" t="n">
        <v>8000</v>
      </c>
      <c r="AC286" s="16" t="n">
        <v>8000</v>
      </c>
      <c r="AD286" s="16" t="n">
        <v>8000</v>
      </c>
      <c r="AE286" s="16" t="n">
        <v>8000</v>
      </c>
      <c r="AF286" s="16" t="n">
        <v>8000</v>
      </c>
      <c r="AG286" s="16" t="n">
        <v>8000</v>
      </c>
      <c r="AH286" s="16" t="n">
        <v>8000</v>
      </c>
      <c r="AI286" s="16" t="n">
        <v>8000</v>
      </c>
      <c r="AJ286" s="9" t="n">
        <f aca="false">X286*$V286</f>
        <v>1264</v>
      </c>
      <c r="AK286" s="9" t="n">
        <f aca="false">Y286*$V286</f>
        <v>1264</v>
      </c>
      <c r="AL286" s="9" t="n">
        <f aca="false">Z286*$V286</f>
        <v>1264</v>
      </c>
      <c r="AM286" s="9" t="n">
        <f aca="false">AA286*$V286</f>
        <v>1264</v>
      </c>
      <c r="AN286" s="9" t="n">
        <f aca="false">AB286*$V286</f>
        <v>1264</v>
      </c>
      <c r="AO286" s="9" t="n">
        <f aca="false">AC286*$V286</f>
        <v>1264</v>
      </c>
      <c r="AP286" s="9" t="n">
        <f aca="false">AD286*$V286</f>
        <v>1264</v>
      </c>
      <c r="AQ286" s="9" t="n">
        <f aca="false">AE286*$V286</f>
        <v>1264</v>
      </c>
      <c r="AR286" s="9" t="n">
        <f aca="false">AF286*$V286</f>
        <v>1264</v>
      </c>
      <c r="AS286" s="9" t="n">
        <f aca="false">AG286*$V286</f>
        <v>1264</v>
      </c>
      <c r="AT286" s="9" t="n">
        <f aca="false">AH286*$V286</f>
        <v>1264</v>
      </c>
      <c r="AU286" s="9" t="n">
        <f aca="false">AI286*$V286</f>
        <v>1264</v>
      </c>
      <c r="AV286" s="9" t="n">
        <f aca="false">SUM(X286:AI286)/1000</f>
        <v>96</v>
      </c>
      <c r="AW286" s="9" t="n">
        <f aca="false">SUM(AJ286:AU286)</f>
        <v>15168</v>
      </c>
      <c r="AX286" s="9" t="n">
        <f aca="false">IF(D286="INR",AW286/88.24,AW286)/1000000</f>
        <v>0.015168</v>
      </c>
    </row>
    <row r="287" s="2" customFormat="true" ht="14.25" hidden="false" customHeight="false" outlineLevel="0" collapsed="false">
      <c r="A287" s="12" t="s">
        <v>655</v>
      </c>
      <c r="B287" s="16" t="n">
        <v>5</v>
      </c>
      <c r="C287" s="15"/>
      <c r="D287" s="16" t="s">
        <v>102</v>
      </c>
      <c r="E287" s="16" t="s">
        <v>51</v>
      </c>
      <c r="F287" s="16" t="s">
        <v>52</v>
      </c>
      <c r="G287" s="16" t="s">
        <v>494</v>
      </c>
      <c r="H287" s="16" t="s">
        <v>495</v>
      </c>
      <c r="I287" s="16" t="s">
        <v>260</v>
      </c>
      <c r="J287" s="16" t="s">
        <v>520</v>
      </c>
      <c r="K287" s="16" t="s">
        <v>495</v>
      </c>
      <c r="L287" s="16" t="s">
        <v>260</v>
      </c>
      <c r="M287" s="16" t="s">
        <v>520</v>
      </c>
      <c r="N287" s="16" t="s">
        <v>57</v>
      </c>
      <c r="O287" s="16" t="s">
        <v>94</v>
      </c>
      <c r="P287" s="16" t="s">
        <v>188</v>
      </c>
      <c r="Q287" s="16" t="s">
        <v>188</v>
      </c>
      <c r="R287" s="16" t="s">
        <v>550</v>
      </c>
      <c r="S287" s="16" t="s">
        <v>528</v>
      </c>
      <c r="T287" s="16" t="s">
        <v>654</v>
      </c>
      <c r="U287" s="16" t="s">
        <v>73</v>
      </c>
      <c r="V287" s="16" t="n">
        <v>0.158</v>
      </c>
      <c r="W287" s="16" t="n">
        <v>0.145</v>
      </c>
      <c r="X287" s="16" t="n">
        <v>8000</v>
      </c>
      <c r="Y287" s="16" t="n">
        <v>8000</v>
      </c>
      <c r="Z287" s="16" t="n">
        <v>8000</v>
      </c>
      <c r="AA287" s="16" t="n">
        <v>8000</v>
      </c>
      <c r="AB287" s="16" t="n">
        <v>8000</v>
      </c>
      <c r="AC287" s="26" t="n">
        <v>8000</v>
      </c>
      <c r="AD287" s="16" t="n">
        <v>8000</v>
      </c>
      <c r="AE287" s="16" t="n">
        <v>8000</v>
      </c>
      <c r="AF287" s="16" t="n">
        <v>8000</v>
      </c>
      <c r="AG287" s="16" t="n">
        <v>8000</v>
      </c>
      <c r="AH287" s="16" t="n">
        <v>8000</v>
      </c>
      <c r="AI287" s="16" t="n">
        <v>8000</v>
      </c>
      <c r="AJ287" s="9" t="n">
        <f aca="false">X287*$V287</f>
        <v>1264</v>
      </c>
      <c r="AK287" s="9" t="n">
        <f aca="false">Y287*$V287</f>
        <v>1264</v>
      </c>
      <c r="AL287" s="9" t="n">
        <f aca="false">Z287*$V287</f>
        <v>1264</v>
      </c>
      <c r="AM287" s="9" t="n">
        <f aca="false">AA287*$V287</f>
        <v>1264</v>
      </c>
      <c r="AN287" s="9" t="n">
        <f aca="false">AB287*$V287</f>
        <v>1264</v>
      </c>
      <c r="AO287" s="9" t="n">
        <f aca="false">AC287*$V287</f>
        <v>1264</v>
      </c>
      <c r="AP287" s="9" t="n">
        <f aca="false">AD287*$V287</f>
        <v>1264</v>
      </c>
      <c r="AQ287" s="9" t="n">
        <f aca="false">AE287*$V287</f>
        <v>1264</v>
      </c>
      <c r="AR287" s="9" t="n">
        <f aca="false">AF287*$V287</f>
        <v>1264</v>
      </c>
      <c r="AS287" s="9" t="n">
        <f aca="false">AG287*$V287</f>
        <v>1264</v>
      </c>
      <c r="AT287" s="9" t="n">
        <f aca="false">AH287*$V287</f>
        <v>1264</v>
      </c>
      <c r="AU287" s="9" t="n">
        <f aca="false">AI287*$V287</f>
        <v>1264</v>
      </c>
      <c r="AV287" s="9" t="n">
        <f aca="false">SUM(X287:AI287)/1000</f>
        <v>96</v>
      </c>
      <c r="AW287" s="9" t="n">
        <f aca="false">SUM(AJ287:AU287)</f>
        <v>15168</v>
      </c>
      <c r="AX287" s="9" t="n">
        <f aca="false">IF(D287="INR",AW287/88.24,AW287)/1000000</f>
        <v>0.015168</v>
      </c>
    </row>
    <row r="288" s="2" customFormat="true" ht="14.25" hidden="false" customHeight="false" outlineLevel="0" collapsed="false">
      <c r="A288" s="12"/>
      <c r="B288" s="16" t="n">
        <v>1</v>
      </c>
      <c r="C288" s="15"/>
      <c r="D288" s="16" t="s">
        <v>50</v>
      </c>
      <c r="E288" s="16"/>
      <c r="F288" s="16" t="s">
        <v>52</v>
      </c>
      <c r="G288" s="16"/>
      <c r="H288" s="16" t="s">
        <v>656</v>
      </c>
      <c r="I288" s="16"/>
      <c r="J288" s="16"/>
      <c r="K288" s="16"/>
      <c r="L288" s="16"/>
      <c r="M288" s="16"/>
      <c r="N288" s="16" t="s">
        <v>290</v>
      </c>
      <c r="O288" s="16" t="s">
        <v>58</v>
      </c>
      <c r="P288" s="16"/>
      <c r="Q288" s="16" t="s">
        <v>657</v>
      </c>
      <c r="R288" s="16" t="s">
        <v>658</v>
      </c>
      <c r="S288" s="16" t="n">
        <v>16.2</v>
      </c>
      <c r="T288" s="16" t="s">
        <v>658</v>
      </c>
      <c r="U288" s="16"/>
      <c r="V288" s="16" t="n">
        <v>16.2</v>
      </c>
      <c r="W288" s="16"/>
      <c r="X288" s="16"/>
      <c r="Y288" s="16"/>
      <c r="Z288" s="16" t="n">
        <v>20000</v>
      </c>
      <c r="AA288" s="16"/>
      <c r="AB288" s="16"/>
      <c r="AC288" s="16" t="n">
        <v>20000</v>
      </c>
      <c r="AD288" s="16"/>
      <c r="AE288" s="16"/>
      <c r="AF288" s="16" t="n">
        <v>20000</v>
      </c>
      <c r="AG288" s="16"/>
      <c r="AH288" s="16"/>
      <c r="AI288" s="16" t="n">
        <v>20000</v>
      </c>
      <c r="AJ288" s="9" t="n">
        <f aca="false">X288*$V288</f>
        <v>0</v>
      </c>
      <c r="AK288" s="9" t="n">
        <f aca="false">Y288*$V288</f>
        <v>0</v>
      </c>
      <c r="AL288" s="9" t="n">
        <f aca="false">Z288*$V288</f>
        <v>324000</v>
      </c>
      <c r="AM288" s="9" t="n">
        <f aca="false">AA288*$V288</f>
        <v>0</v>
      </c>
      <c r="AN288" s="9" t="n">
        <f aca="false">AB288*$V288</f>
        <v>0</v>
      </c>
      <c r="AO288" s="9" t="n">
        <f aca="false">AC288*$V288</f>
        <v>324000</v>
      </c>
      <c r="AP288" s="9" t="n">
        <f aca="false">AD288*$V288</f>
        <v>0</v>
      </c>
      <c r="AQ288" s="9" t="n">
        <f aca="false">AE288*$V288</f>
        <v>0</v>
      </c>
      <c r="AR288" s="9" t="n">
        <f aca="false">AF288*$V288</f>
        <v>324000</v>
      </c>
      <c r="AS288" s="9" t="n">
        <f aca="false">AG288*$V288</f>
        <v>0</v>
      </c>
      <c r="AT288" s="9" t="n">
        <f aca="false">AH288*$V288</f>
        <v>0</v>
      </c>
      <c r="AU288" s="9" t="n">
        <f aca="false">AI288*$V288</f>
        <v>324000</v>
      </c>
      <c r="AV288" s="9" t="n">
        <f aca="false">SUM(X288:AI288)/1000</f>
        <v>80</v>
      </c>
      <c r="AW288" s="9" t="n">
        <f aca="false">SUM(AJ288:AU288)</f>
        <v>1296000</v>
      </c>
      <c r="AX288" s="9" t="n">
        <f aca="false">IF(D288="INR",AW288/88.24,AW288)/1000000</f>
        <v>0.014687216681777</v>
      </c>
    </row>
    <row r="289" s="2" customFormat="true" ht="14.25" hidden="false" customHeight="false" outlineLevel="0" collapsed="false">
      <c r="A289" s="12" t="s">
        <v>659</v>
      </c>
      <c r="B289" s="16" t="n">
        <v>5</v>
      </c>
      <c r="C289" s="15"/>
      <c r="D289" s="16" t="s">
        <v>102</v>
      </c>
      <c r="E289" s="16" t="s">
        <v>51</v>
      </c>
      <c r="F289" s="16" t="s">
        <v>52</v>
      </c>
      <c r="G289" s="16" t="s">
        <v>494</v>
      </c>
      <c r="H289" s="16" t="s">
        <v>495</v>
      </c>
      <c r="I289" s="16" t="s">
        <v>260</v>
      </c>
      <c r="J289" s="16" t="s">
        <v>520</v>
      </c>
      <c r="K289" s="16" t="s">
        <v>495</v>
      </c>
      <c r="L289" s="16" t="s">
        <v>260</v>
      </c>
      <c r="M289" s="16" t="s">
        <v>520</v>
      </c>
      <c r="N289" s="16" t="s">
        <v>57</v>
      </c>
      <c r="O289" s="16" t="s">
        <v>94</v>
      </c>
      <c r="P289" s="16" t="s">
        <v>85</v>
      </c>
      <c r="Q289" s="16" t="s">
        <v>85</v>
      </c>
      <c r="R289" s="16" t="s">
        <v>86</v>
      </c>
      <c r="S289" s="16" t="s">
        <v>87</v>
      </c>
      <c r="T289" s="16" t="s">
        <v>660</v>
      </c>
      <c r="U289" s="16" t="s">
        <v>73</v>
      </c>
      <c r="V289" s="16" t="n">
        <v>0.062</v>
      </c>
      <c r="W289" s="16" t="n">
        <v>0.056</v>
      </c>
      <c r="X289" s="22" t="n">
        <v>8000</v>
      </c>
      <c r="Y289" s="22" t="n">
        <v>8000</v>
      </c>
      <c r="Z289" s="22" t="n">
        <v>8000</v>
      </c>
      <c r="AA289" s="22" t="n">
        <v>8000</v>
      </c>
      <c r="AB289" s="22" t="n">
        <v>8000</v>
      </c>
      <c r="AC289" s="22" t="n">
        <v>8000</v>
      </c>
      <c r="AD289" s="22" t="n">
        <v>8000</v>
      </c>
      <c r="AE289" s="22" t="n">
        <v>8000</v>
      </c>
      <c r="AF289" s="22" t="n">
        <v>8000</v>
      </c>
      <c r="AG289" s="22" t="n">
        <v>8000</v>
      </c>
      <c r="AH289" s="22" t="n">
        <v>8000</v>
      </c>
      <c r="AI289" s="22" t="n">
        <v>8000</v>
      </c>
      <c r="AJ289" s="9" t="n">
        <f aca="false">X289*$V289</f>
        <v>496</v>
      </c>
      <c r="AK289" s="9" t="n">
        <f aca="false">Y289*$V289</f>
        <v>496</v>
      </c>
      <c r="AL289" s="9" t="n">
        <f aca="false">Z289*$V289</f>
        <v>496</v>
      </c>
      <c r="AM289" s="9" t="n">
        <f aca="false">AA289*$V289</f>
        <v>496</v>
      </c>
      <c r="AN289" s="9" t="n">
        <f aca="false">AB289*$V289</f>
        <v>496</v>
      </c>
      <c r="AO289" s="9" t="n">
        <f aca="false">AC289*$V289</f>
        <v>496</v>
      </c>
      <c r="AP289" s="9" t="n">
        <f aca="false">AD289*$V289</f>
        <v>496</v>
      </c>
      <c r="AQ289" s="9" t="n">
        <f aca="false">AE289*$V289</f>
        <v>496</v>
      </c>
      <c r="AR289" s="9" t="n">
        <f aca="false">AF289*$V289</f>
        <v>496</v>
      </c>
      <c r="AS289" s="9" t="n">
        <f aca="false">AG289*$V289</f>
        <v>496</v>
      </c>
      <c r="AT289" s="9" t="n">
        <f aca="false">AH289*$V289</f>
        <v>496</v>
      </c>
      <c r="AU289" s="9" t="n">
        <f aca="false">AI289*$V289</f>
        <v>496</v>
      </c>
      <c r="AV289" s="9" t="n">
        <f aca="false">SUM(X289:AI289)/1000</f>
        <v>96</v>
      </c>
      <c r="AW289" s="9" t="n">
        <f aca="false">SUM(AJ289:AU289)</f>
        <v>5952</v>
      </c>
      <c r="AX289" s="9" t="n">
        <f aca="false">IF(D289="INR",AW289/88.24,AW289)/1000000</f>
        <v>0.005952</v>
      </c>
    </row>
    <row r="290" s="2" customFormat="true" ht="14.25" hidden="false" customHeight="false" outlineLevel="0" collapsed="false">
      <c r="A290" s="12" t="s">
        <v>661</v>
      </c>
      <c r="B290" s="16"/>
      <c r="C290" s="15" t="n">
        <v>5</v>
      </c>
      <c r="D290" s="16" t="s">
        <v>50</v>
      </c>
      <c r="E290" s="16" t="s">
        <v>51</v>
      </c>
      <c r="F290" s="16" t="s">
        <v>243</v>
      </c>
      <c r="G290" s="16" t="s">
        <v>662</v>
      </c>
      <c r="H290" s="16" t="s">
        <v>663</v>
      </c>
      <c r="I290" s="16" t="s">
        <v>298</v>
      </c>
      <c r="J290" s="16" t="s">
        <v>664</v>
      </c>
      <c r="K290" s="16"/>
      <c r="L290" s="16" t="s">
        <v>298</v>
      </c>
      <c r="M290" s="16" t="s">
        <v>664</v>
      </c>
      <c r="N290" s="16" t="s">
        <v>290</v>
      </c>
      <c r="O290" s="16" t="s">
        <v>107</v>
      </c>
      <c r="P290" s="16" t="s">
        <v>665</v>
      </c>
      <c r="Q290" s="16" t="s">
        <v>665</v>
      </c>
      <c r="R290" s="16" t="s">
        <v>666</v>
      </c>
      <c r="S290" s="16" t="s">
        <v>667</v>
      </c>
      <c r="T290" s="16" t="s">
        <v>668</v>
      </c>
      <c r="U290" s="16" t="s">
        <v>73</v>
      </c>
      <c r="V290" s="16" t="n">
        <v>16050</v>
      </c>
      <c r="W290" s="16" t="n">
        <v>121</v>
      </c>
      <c r="X290" s="16"/>
      <c r="Y290" s="16"/>
      <c r="Z290" s="16" t="n">
        <v>20</v>
      </c>
      <c r="AA290" s="16"/>
      <c r="AB290" s="16"/>
      <c r="AC290" s="16" t="n">
        <v>20</v>
      </c>
      <c r="AD290" s="16"/>
      <c r="AE290" s="16"/>
      <c r="AF290" s="16" t="n">
        <v>20</v>
      </c>
      <c r="AG290" s="16"/>
      <c r="AH290" s="16"/>
      <c r="AI290" s="16"/>
      <c r="AJ290" s="9" t="n">
        <f aca="false">X290*$V290</f>
        <v>0</v>
      </c>
      <c r="AK290" s="9" t="n">
        <f aca="false">Y290*$V290</f>
        <v>0</v>
      </c>
      <c r="AL290" s="9" t="n">
        <f aca="false">Z290*$V290</f>
        <v>321000</v>
      </c>
      <c r="AM290" s="9" t="n">
        <f aca="false">AA290*$V290</f>
        <v>0</v>
      </c>
      <c r="AN290" s="9" t="n">
        <f aca="false">AB290*$V290</f>
        <v>0</v>
      </c>
      <c r="AO290" s="9" t="n">
        <f aca="false">AC290*$V290</f>
        <v>321000</v>
      </c>
      <c r="AP290" s="9" t="n">
        <f aca="false">AD290*$V290</f>
        <v>0</v>
      </c>
      <c r="AQ290" s="9" t="n">
        <f aca="false">AE290*$V290</f>
        <v>0</v>
      </c>
      <c r="AR290" s="9" t="n">
        <f aca="false">AF290*$V290</f>
        <v>321000</v>
      </c>
      <c r="AS290" s="9" t="n">
        <f aca="false">AG290*$V290</f>
        <v>0</v>
      </c>
      <c r="AT290" s="9" t="n">
        <f aca="false">AH290*$V290</f>
        <v>0</v>
      </c>
      <c r="AU290" s="9" t="n">
        <f aca="false">AI290*$V290</f>
        <v>0</v>
      </c>
      <c r="AV290" s="9" t="n">
        <f aca="false">SUM(X290:AI290)/1000</f>
        <v>0.06</v>
      </c>
      <c r="AW290" s="9" t="n">
        <f aca="false">SUM(AJ290:AU290)</f>
        <v>963000</v>
      </c>
      <c r="AX290" s="9" t="n">
        <f aca="false">IF(D290="INR",AW290/88.24,AW290)/1000000</f>
        <v>0.0109134179510426</v>
      </c>
    </row>
    <row r="291" s="2" customFormat="true" ht="16.4" hidden="false" customHeight="false" outlineLevel="0" collapsed="false">
      <c r="A291" s="35" t="s">
        <v>669</v>
      </c>
      <c r="B291" s="9" t="n">
        <v>5</v>
      </c>
      <c r="C291" s="10"/>
      <c r="D291" s="9" t="s">
        <v>50</v>
      </c>
      <c r="E291" s="9" t="s">
        <v>51</v>
      </c>
      <c r="F291" s="9" t="s">
        <v>52</v>
      </c>
      <c r="G291" s="9" t="s">
        <v>274</v>
      </c>
      <c r="H291" s="9" t="s">
        <v>275</v>
      </c>
      <c r="I291" s="9" t="s">
        <v>260</v>
      </c>
      <c r="J291" s="9" t="s">
        <v>276</v>
      </c>
      <c r="K291" s="9"/>
      <c r="L291" s="9" t="s">
        <v>260</v>
      </c>
      <c r="M291" s="9" t="s">
        <v>276</v>
      </c>
      <c r="N291" s="9" t="s">
        <v>79</v>
      </c>
      <c r="O291" s="9" t="s">
        <v>68</v>
      </c>
      <c r="P291" s="9" t="s">
        <v>308</v>
      </c>
      <c r="Q291" s="9" t="s">
        <v>308</v>
      </c>
      <c r="R291" s="9" t="s">
        <v>309</v>
      </c>
      <c r="S291" s="9" t="s">
        <v>264</v>
      </c>
      <c r="T291" s="9" t="s">
        <v>670</v>
      </c>
      <c r="U291" s="9" t="s">
        <v>73</v>
      </c>
      <c r="V291" s="9" t="n">
        <v>1.56</v>
      </c>
      <c r="W291" s="9" t="n">
        <v>1.35</v>
      </c>
      <c r="X291" s="9" t="n">
        <v>200000</v>
      </c>
      <c r="Y291" s="9" t="n">
        <v>200000</v>
      </c>
      <c r="Z291" s="9" t="n">
        <v>200000</v>
      </c>
      <c r="AA291" s="9" t="n">
        <v>200000</v>
      </c>
      <c r="AB291" s="9" t="n">
        <v>200000</v>
      </c>
      <c r="AC291" s="9" t="n">
        <v>200000</v>
      </c>
      <c r="AD291" s="9" t="n">
        <v>200000</v>
      </c>
      <c r="AE291" s="9" t="n">
        <v>200000</v>
      </c>
      <c r="AF291" s="9" t="n">
        <v>200000</v>
      </c>
      <c r="AG291" s="9" t="n">
        <v>200000</v>
      </c>
      <c r="AH291" s="9" t="n">
        <v>200000</v>
      </c>
      <c r="AI291" s="9" t="n">
        <v>200000</v>
      </c>
      <c r="AJ291" s="9" t="n">
        <f aca="false">X291*$V291</f>
        <v>312000</v>
      </c>
      <c r="AK291" s="9" t="n">
        <f aca="false">Y291*$V291</f>
        <v>312000</v>
      </c>
      <c r="AL291" s="9" t="n">
        <f aca="false">Z291*$V291</f>
        <v>312000</v>
      </c>
      <c r="AM291" s="9" t="n">
        <f aca="false">AA291*$V291</f>
        <v>312000</v>
      </c>
      <c r="AN291" s="9" t="n">
        <f aca="false">AB291*$V291</f>
        <v>312000</v>
      </c>
      <c r="AO291" s="9" t="n">
        <f aca="false">AC291*$V291</f>
        <v>312000</v>
      </c>
      <c r="AP291" s="9" t="n">
        <f aca="false">AD291*$V291</f>
        <v>312000</v>
      </c>
      <c r="AQ291" s="9" t="n">
        <f aca="false">AE291*$V291</f>
        <v>312000</v>
      </c>
      <c r="AR291" s="9" t="n">
        <f aca="false">AF291*$V291</f>
        <v>312000</v>
      </c>
      <c r="AS291" s="9" t="n">
        <f aca="false">AG291*$V291</f>
        <v>312000</v>
      </c>
      <c r="AT291" s="9" t="n">
        <f aca="false">AH291*$V291</f>
        <v>312000</v>
      </c>
      <c r="AU291" s="9" t="n">
        <f aca="false">AI291*$V291</f>
        <v>312000</v>
      </c>
      <c r="AV291" s="9" t="n">
        <f aca="false">SUM(X291:AI291)/1000</f>
        <v>2400</v>
      </c>
      <c r="AW291" s="9" t="n">
        <f aca="false">SUM(AJ291:AU291)</f>
        <v>3744000</v>
      </c>
      <c r="AX291" s="9" t="n">
        <f aca="false">IF(D291="INR",AW291/88.24,AW291)/1000000</f>
        <v>0.042429737080689</v>
      </c>
    </row>
    <row r="292" s="2" customFormat="true" ht="14.25" hidden="false" customHeight="false" outlineLevel="0" collapsed="false">
      <c r="A292" s="12" t="s">
        <v>671</v>
      </c>
      <c r="B292" s="16" t="n">
        <v>5</v>
      </c>
      <c r="C292" s="15"/>
      <c r="D292" s="16" t="s">
        <v>102</v>
      </c>
      <c r="E292" s="16" t="s">
        <v>51</v>
      </c>
      <c r="F292" s="16" t="s">
        <v>52</v>
      </c>
      <c r="G292" s="16" t="s">
        <v>494</v>
      </c>
      <c r="H292" s="16" t="s">
        <v>495</v>
      </c>
      <c r="I292" s="16" t="s">
        <v>260</v>
      </c>
      <c r="J292" s="16" t="s">
        <v>520</v>
      </c>
      <c r="K292" s="16" t="s">
        <v>495</v>
      </c>
      <c r="L292" s="16" t="s">
        <v>260</v>
      </c>
      <c r="M292" s="16" t="s">
        <v>520</v>
      </c>
      <c r="N292" s="16" t="s">
        <v>57</v>
      </c>
      <c r="O292" s="16" t="s">
        <v>94</v>
      </c>
      <c r="P292" s="16" t="s">
        <v>199</v>
      </c>
      <c r="Q292" s="16" t="s">
        <v>199</v>
      </c>
      <c r="R292" s="16" t="s">
        <v>377</v>
      </c>
      <c r="S292" s="16" t="s">
        <v>528</v>
      </c>
      <c r="T292" s="16" t="s">
        <v>672</v>
      </c>
      <c r="U292" s="16" t="s">
        <v>73</v>
      </c>
      <c r="V292" s="16" t="n">
        <v>0.0495</v>
      </c>
      <c r="W292" s="16" t="n">
        <v>0.0439</v>
      </c>
      <c r="X292" s="22" t="n">
        <v>8000</v>
      </c>
      <c r="Y292" s="22" t="n">
        <v>8000</v>
      </c>
      <c r="Z292" s="22" t="n">
        <v>8000</v>
      </c>
      <c r="AA292" s="22" t="n">
        <v>8000</v>
      </c>
      <c r="AB292" s="22" t="n">
        <v>8000</v>
      </c>
      <c r="AC292" s="22" t="n">
        <v>8000</v>
      </c>
      <c r="AD292" s="22" t="n">
        <v>8000</v>
      </c>
      <c r="AE292" s="22" t="n">
        <v>8000</v>
      </c>
      <c r="AF292" s="22" t="n">
        <v>8000</v>
      </c>
      <c r="AG292" s="22" t="n">
        <v>8000</v>
      </c>
      <c r="AH292" s="22" t="n">
        <v>8000</v>
      </c>
      <c r="AI292" s="22" t="n">
        <v>8000</v>
      </c>
      <c r="AJ292" s="9" t="n">
        <f aca="false">X292*$V292</f>
        <v>396</v>
      </c>
      <c r="AK292" s="9" t="n">
        <f aca="false">Y292*$V292</f>
        <v>396</v>
      </c>
      <c r="AL292" s="9" t="n">
        <f aca="false">Z292*$V292</f>
        <v>396</v>
      </c>
      <c r="AM292" s="9" t="n">
        <f aca="false">AA292*$V292</f>
        <v>396</v>
      </c>
      <c r="AN292" s="9" t="n">
        <f aca="false">AB292*$V292</f>
        <v>396</v>
      </c>
      <c r="AO292" s="9" t="n">
        <f aca="false">AC292*$V292</f>
        <v>396</v>
      </c>
      <c r="AP292" s="9" t="n">
        <f aca="false">AD292*$V292</f>
        <v>396</v>
      </c>
      <c r="AQ292" s="9" t="n">
        <f aca="false">AE292*$V292</f>
        <v>396</v>
      </c>
      <c r="AR292" s="9" t="n">
        <f aca="false">AF292*$V292</f>
        <v>396</v>
      </c>
      <c r="AS292" s="9" t="n">
        <f aca="false">AG292*$V292</f>
        <v>396</v>
      </c>
      <c r="AT292" s="9" t="n">
        <f aca="false">AH292*$V292</f>
        <v>396</v>
      </c>
      <c r="AU292" s="9" t="n">
        <f aca="false">AI292*$V292</f>
        <v>396</v>
      </c>
      <c r="AV292" s="9" t="n">
        <f aca="false">SUM(X292:AI292)/1000</f>
        <v>96</v>
      </c>
      <c r="AW292" s="9" t="n">
        <f aca="false">SUM(AJ292:AU292)</f>
        <v>4752</v>
      </c>
      <c r="AX292" s="9" t="n">
        <f aca="false">IF(D292="INR",AW292/88.24,AW292)/1000000</f>
        <v>0.004752</v>
      </c>
    </row>
    <row r="293" s="2" customFormat="true" ht="14.25" hidden="false" customHeight="false" outlineLevel="0" collapsed="false">
      <c r="A293" s="12"/>
      <c r="B293" s="16" t="n">
        <v>1</v>
      </c>
      <c r="C293" s="15"/>
      <c r="D293" s="16" t="s">
        <v>50</v>
      </c>
      <c r="E293" s="16" t="s">
        <v>51</v>
      </c>
      <c r="F293" s="16" t="s">
        <v>52</v>
      </c>
      <c r="G293" s="16"/>
      <c r="H293" s="16" t="s">
        <v>673</v>
      </c>
      <c r="I293" s="16"/>
      <c r="J293" s="16"/>
      <c r="K293" s="16"/>
      <c r="L293" s="16"/>
      <c r="M293" s="16"/>
      <c r="N293" s="16" t="s">
        <v>79</v>
      </c>
      <c r="O293" s="16"/>
      <c r="P293" s="16"/>
      <c r="Q293" s="9" t="s">
        <v>674</v>
      </c>
      <c r="R293" s="16"/>
      <c r="S293" s="16"/>
      <c r="T293" s="16" t="s">
        <v>675</v>
      </c>
      <c r="U293" s="16" t="s">
        <v>63</v>
      </c>
      <c r="V293" s="16" t="n">
        <v>145</v>
      </c>
      <c r="W293" s="16"/>
      <c r="X293" s="16"/>
      <c r="Y293" s="16"/>
      <c r="Z293" s="16" t="n">
        <v>2000</v>
      </c>
      <c r="AA293" s="16"/>
      <c r="AB293" s="16"/>
      <c r="AC293" s="16" t="n">
        <v>2000</v>
      </c>
      <c r="AD293" s="16"/>
      <c r="AE293" s="16"/>
      <c r="AF293" s="16" t="n">
        <v>2000</v>
      </c>
      <c r="AG293" s="16"/>
      <c r="AH293" s="16"/>
      <c r="AI293" s="16" t="n">
        <v>2000</v>
      </c>
      <c r="AJ293" s="9" t="n">
        <f aca="false">X293*$V293</f>
        <v>0</v>
      </c>
      <c r="AK293" s="9" t="n">
        <f aca="false">Y293*$V293</f>
        <v>0</v>
      </c>
      <c r="AL293" s="9" t="n">
        <f aca="false">Z293*$V293</f>
        <v>290000</v>
      </c>
      <c r="AM293" s="9" t="n">
        <f aca="false">AA293*$V293</f>
        <v>0</v>
      </c>
      <c r="AN293" s="9" t="n">
        <f aca="false">AB293*$V293</f>
        <v>0</v>
      </c>
      <c r="AO293" s="9" t="n">
        <f aca="false">AC293*$V293</f>
        <v>290000</v>
      </c>
      <c r="AP293" s="9" t="n">
        <f aca="false">AD293*$V293</f>
        <v>0</v>
      </c>
      <c r="AQ293" s="9" t="n">
        <f aca="false">AE293*$V293</f>
        <v>0</v>
      </c>
      <c r="AR293" s="9" t="n">
        <f aca="false">AF293*$V293</f>
        <v>290000</v>
      </c>
      <c r="AS293" s="9" t="n">
        <f aca="false">AG293*$V293</f>
        <v>0</v>
      </c>
      <c r="AT293" s="9" t="n">
        <f aca="false">AH293*$V293</f>
        <v>0</v>
      </c>
      <c r="AU293" s="9" t="n">
        <f aca="false">AI293*$V293</f>
        <v>290000</v>
      </c>
      <c r="AV293" s="9" t="n">
        <f aca="false">SUM(X293:AI293)/1000</f>
        <v>8</v>
      </c>
      <c r="AW293" s="9" t="n">
        <f aca="false">SUM(AJ293:AU293)</f>
        <v>1160000</v>
      </c>
      <c r="AX293" s="9" t="n">
        <f aca="false">IF(D293="INR",AW293/88.24,AW293)/1000000</f>
        <v>0.0131459655485041</v>
      </c>
    </row>
    <row r="294" s="2" customFormat="true" ht="14.25" hidden="false" customHeight="false" outlineLevel="0" collapsed="false">
      <c r="A294" s="12" t="s">
        <v>676</v>
      </c>
      <c r="B294" s="16"/>
      <c r="C294" s="15"/>
      <c r="D294" s="16" t="s">
        <v>50</v>
      </c>
      <c r="E294" s="16" t="s">
        <v>51</v>
      </c>
      <c r="F294" s="16" t="s">
        <v>243</v>
      </c>
      <c r="G294" s="16" t="s">
        <v>318</v>
      </c>
      <c r="H294" s="16" t="s">
        <v>319</v>
      </c>
      <c r="I294" s="16" t="s">
        <v>55</v>
      </c>
      <c r="J294" s="16" t="s">
        <v>56</v>
      </c>
      <c r="K294" s="16"/>
      <c r="L294" s="16" t="s">
        <v>55</v>
      </c>
      <c r="M294" s="16" t="s">
        <v>56</v>
      </c>
      <c r="N294" s="16" t="s">
        <v>93</v>
      </c>
      <c r="O294" s="16" t="s">
        <v>68</v>
      </c>
      <c r="P294" s="16" t="s">
        <v>308</v>
      </c>
      <c r="Q294" s="16" t="s">
        <v>308</v>
      </c>
      <c r="R294" s="16" t="s">
        <v>309</v>
      </c>
      <c r="S294" s="16" t="s">
        <v>264</v>
      </c>
      <c r="T294" s="16" t="s">
        <v>487</v>
      </c>
      <c r="U294" s="16" t="s">
        <v>73</v>
      </c>
      <c r="V294" s="16" t="n">
        <v>0.57</v>
      </c>
      <c r="W294" s="16" t="n">
        <v>0.51</v>
      </c>
      <c r="X294" s="16" t="n">
        <v>500000</v>
      </c>
      <c r="Y294" s="16" t="n">
        <v>500000</v>
      </c>
      <c r="Z294" s="16" t="n">
        <v>500000</v>
      </c>
      <c r="AA294" s="16" t="n">
        <v>500000</v>
      </c>
      <c r="AB294" s="16" t="n">
        <v>500000</v>
      </c>
      <c r="AC294" s="16" t="n">
        <v>500000</v>
      </c>
      <c r="AD294" s="16" t="n">
        <v>500000</v>
      </c>
      <c r="AE294" s="16" t="n">
        <v>500000</v>
      </c>
      <c r="AF294" s="16" t="n">
        <v>500000</v>
      </c>
      <c r="AG294" s="16" t="n">
        <v>500000</v>
      </c>
      <c r="AH294" s="16" t="n">
        <v>500000</v>
      </c>
      <c r="AI294" s="16" t="n">
        <v>500000</v>
      </c>
      <c r="AJ294" s="9" t="n">
        <f aca="false">X294*$V294</f>
        <v>285000</v>
      </c>
      <c r="AK294" s="9" t="n">
        <f aca="false">Y294*$V294</f>
        <v>285000</v>
      </c>
      <c r="AL294" s="9" t="n">
        <f aca="false">Z294*$V294</f>
        <v>285000</v>
      </c>
      <c r="AM294" s="9" t="n">
        <f aca="false">AA294*$V294</f>
        <v>285000</v>
      </c>
      <c r="AN294" s="9" t="n">
        <f aca="false">AB294*$V294</f>
        <v>285000</v>
      </c>
      <c r="AO294" s="9" t="n">
        <f aca="false">AC294*$V294</f>
        <v>285000</v>
      </c>
      <c r="AP294" s="9" t="n">
        <f aca="false">AD294*$V294</f>
        <v>285000</v>
      </c>
      <c r="AQ294" s="9" t="n">
        <f aca="false">AE294*$V294</f>
        <v>285000</v>
      </c>
      <c r="AR294" s="9" t="n">
        <f aca="false">AF294*$V294</f>
        <v>285000</v>
      </c>
      <c r="AS294" s="9" t="n">
        <f aca="false">AG294*$V294</f>
        <v>285000</v>
      </c>
      <c r="AT294" s="9" t="n">
        <f aca="false">AH294*$V294</f>
        <v>285000</v>
      </c>
      <c r="AU294" s="9" t="n">
        <f aca="false">AI294*$V294</f>
        <v>285000</v>
      </c>
      <c r="AV294" s="9" t="n">
        <f aca="false">SUM(X294:AI294)/1000</f>
        <v>6000</v>
      </c>
      <c r="AW294" s="9" t="n">
        <f aca="false">SUM(AJ294:AU294)</f>
        <v>3420000</v>
      </c>
      <c r="AX294" s="9" t="n">
        <f aca="false">IF(D294="INR",AW294/88.24,AW294)/1000000</f>
        <v>0.0387579329102448</v>
      </c>
    </row>
    <row r="295" s="2" customFormat="true" ht="16.4" hidden="false" customHeight="false" outlineLevel="0" collapsed="false">
      <c r="A295" s="35" t="s">
        <v>677</v>
      </c>
      <c r="B295" s="9" t="n">
        <v>5</v>
      </c>
      <c r="C295" s="15"/>
      <c r="D295" s="16" t="s">
        <v>102</v>
      </c>
      <c r="E295" s="16" t="s">
        <v>51</v>
      </c>
      <c r="F295" s="16" t="s">
        <v>52</v>
      </c>
      <c r="G295" s="16" t="s">
        <v>494</v>
      </c>
      <c r="H295" s="16" t="s">
        <v>495</v>
      </c>
      <c r="I295" s="16" t="s">
        <v>260</v>
      </c>
      <c r="J295" s="16" t="s">
        <v>520</v>
      </c>
      <c r="K295" s="16" t="s">
        <v>495</v>
      </c>
      <c r="L295" s="16" t="s">
        <v>260</v>
      </c>
      <c r="M295" s="16" t="s">
        <v>520</v>
      </c>
      <c r="N295" s="16" t="s">
        <v>57</v>
      </c>
      <c r="O295" s="16" t="s">
        <v>94</v>
      </c>
      <c r="P295" s="9" t="s">
        <v>208</v>
      </c>
      <c r="Q295" s="9" t="s">
        <v>208</v>
      </c>
      <c r="R295" s="9" t="s">
        <v>309</v>
      </c>
      <c r="S295" s="9" t="s">
        <v>87</v>
      </c>
      <c r="T295" s="9" t="s">
        <v>678</v>
      </c>
      <c r="U295" s="9" t="s">
        <v>73</v>
      </c>
      <c r="V295" s="9" t="n">
        <v>0.028</v>
      </c>
      <c r="W295" s="9" t="n">
        <v>0.0192</v>
      </c>
      <c r="X295" s="22" t="n">
        <v>8000</v>
      </c>
      <c r="Y295" s="9" t="n">
        <v>8000</v>
      </c>
      <c r="Z295" s="9" t="n">
        <v>8000</v>
      </c>
      <c r="AA295" s="9" t="n">
        <v>8000</v>
      </c>
      <c r="AB295" s="9" t="n">
        <v>8000</v>
      </c>
      <c r="AC295" s="9" t="n">
        <v>8000</v>
      </c>
      <c r="AD295" s="9" t="n">
        <v>8000</v>
      </c>
      <c r="AE295" s="9" t="n">
        <v>8000</v>
      </c>
      <c r="AF295" s="9" t="n">
        <v>8000</v>
      </c>
      <c r="AG295" s="9" t="n">
        <v>8000</v>
      </c>
      <c r="AH295" s="9" t="n">
        <v>8000</v>
      </c>
      <c r="AI295" s="9" t="n">
        <v>8000</v>
      </c>
      <c r="AJ295" s="9" t="n">
        <f aca="false">X295*$V295</f>
        <v>224</v>
      </c>
      <c r="AK295" s="9" t="n">
        <f aca="false">Y295*$V295</f>
        <v>224</v>
      </c>
      <c r="AL295" s="9" t="n">
        <f aca="false">Z295*$V295</f>
        <v>224</v>
      </c>
      <c r="AM295" s="9" t="n">
        <f aca="false">AA295*$V295</f>
        <v>224</v>
      </c>
      <c r="AN295" s="9" t="n">
        <f aca="false">AB295*$V295</f>
        <v>224</v>
      </c>
      <c r="AO295" s="9" t="n">
        <f aca="false">AC295*$V295</f>
        <v>224</v>
      </c>
      <c r="AP295" s="9" t="n">
        <f aca="false">AD295*$V295</f>
        <v>224</v>
      </c>
      <c r="AQ295" s="9" t="n">
        <f aca="false">AE295*$V295</f>
        <v>224</v>
      </c>
      <c r="AR295" s="9" t="n">
        <f aca="false">AF295*$V295</f>
        <v>224</v>
      </c>
      <c r="AS295" s="9" t="n">
        <f aca="false">AG295*$V295</f>
        <v>224</v>
      </c>
      <c r="AT295" s="9" t="n">
        <f aca="false">AH295*$V295</f>
        <v>224</v>
      </c>
      <c r="AU295" s="9" t="n">
        <f aca="false">AI295*$V295</f>
        <v>224</v>
      </c>
      <c r="AV295" s="9" t="n">
        <f aca="false">SUM(X295:AI295)/1000</f>
        <v>96</v>
      </c>
      <c r="AW295" s="9" t="n">
        <f aca="false">SUM(AJ295:AU295)</f>
        <v>2688</v>
      </c>
      <c r="AX295" s="9" t="n">
        <f aca="false">IF(D295="INR",AW295/88.24,AW295)/1000000</f>
        <v>0.002688</v>
      </c>
    </row>
    <row r="296" s="2" customFormat="true" ht="14.25" hidden="false" customHeight="false" outlineLevel="0" collapsed="false">
      <c r="A296" s="12" t="s">
        <v>679</v>
      </c>
      <c r="B296" s="16" t="n">
        <v>5</v>
      </c>
      <c r="C296" s="15"/>
      <c r="D296" s="16" t="s">
        <v>50</v>
      </c>
      <c r="E296" s="16" t="s">
        <v>51</v>
      </c>
      <c r="F296" s="16" t="s">
        <v>243</v>
      </c>
      <c r="G296" s="16" t="s">
        <v>318</v>
      </c>
      <c r="H296" s="16" t="s">
        <v>319</v>
      </c>
      <c r="I296" s="16" t="s">
        <v>55</v>
      </c>
      <c r="J296" s="16" t="s">
        <v>56</v>
      </c>
      <c r="K296" s="16"/>
      <c r="L296" s="16" t="s">
        <v>55</v>
      </c>
      <c r="M296" s="16" t="s">
        <v>56</v>
      </c>
      <c r="N296" s="16" t="s">
        <v>93</v>
      </c>
      <c r="O296" s="16" t="s">
        <v>68</v>
      </c>
      <c r="P296" s="16" t="s">
        <v>308</v>
      </c>
      <c r="Q296" s="16" t="s">
        <v>308</v>
      </c>
      <c r="R296" s="16" t="s">
        <v>309</v>
      </c>
      <c r="S296" s="16" t="s">
        <v>264</v>
      </c>
      <c r="T296" s="16" t="s">
        <v>402</v>
      </c>
      <c r="U296" s="16" t="s">
        <v>73</v>
      </c>
      <c r="V296" s="16" t="n">
        <v>1.42</v>
      </c>
      <c r="W296" s="16" t="n">
        <v>1.3</v>
      </c>
      <c r="X296" s="16" t="n">
        <v>200000</v>
      </c>
      <c r="Y296" s="16" t="n">
        <v>100000</v>
      </c>
      <c r="Z296" s="16" t="n">
        <v>200000</v>
      </c>
      <c r="AA296" s="16" t="n">
        <v>200000</v>
      </c>
      <c r="AB296" s="16" t="n">
        <v>200000</v>
      </c>
      <c r="AC296" s="16" t="n">
        <v>200000</v>
      </c>
      <c r="AD296" s="16" t="n">
        <v>200000</v>
      </c>
      <c r="AE296" s="16" t="n">
        <v>200000</v>
      </c>
      <c r="AF296" s="16" t="n">
        <v>150000</v>
      </c>
      <c r="AG296" s="16" t="n">
        <v>200000</v>
      </c>
      <c r="AH296" s="16" t="n">
        <v>200000</v>
      </c>
      <c r="AI296" s="16" t="n">
        <v>200000</v>
      </c>
      <c r="AJ296" s="9" t="n">
        <f aca="false">X296*$V296</f>
        <v>284000</v>
      </c>
      <c r="AK296" s="9" t="n">
        <f aca="false">Y296*$V296</f>
        <v>142000</v>
      </c>
      <c r="AL296" s="9" t="n">
        <f aca="false">Z296*$V296</f>
        <v>284000</v>
      </c>
      <c r="AM296" s="9" t="n">
        <f aca="false">AA296*$V296</f>
        <v>284000</v>
      </c>
      <c r="AN296" s="9" t="n">
        <f aca="false">AB296*$V296</f>
        <v>284000</v>
      </c>
      <c r="AO296" s="9" t="n">
        <f aca="false">AC296*$V296</f>
        <v>284000</v>
      </c>
      <c r="AP296" s="9" t="n">
        <f aca="false">AD296*$V296</f>
        <v>284000</v>
      </c>
      <c r="AQ296" s="9" t="n">
        <f aca="false">AE296*$V296</f>
        <v>284000</v>
      </c>
      <c r="AR296" s="9" t="n">
        <f aca="false">AF296*$V296</f>
        <v>213000</v>
      </c>
      <c r="AS296" s="9" t="n">
        <f aca="false">AG296*$V296</f>
        <v>284000</v>
      </c>
      <c r="AT296" s="9" t="n">
        <f aca="false">AH296*$V296</f>
        <v>284000</v>
      </c>
      <c r="AU296" s="9" t="n">
        <f aca="false">AI296*$V296</f>
        <v>284000</v>
      </c>
      <c r="AV296" s="9" t="n">
        <f aca="false">SUM(X296:AI296)/1000</f>
        <v>2250</v>
      </c>
      <c r="AW296" s="9" t="n">
        <f aca="false">SUM(AJ296:AU296)</f>
        <v>3195000</v>
      </c>
      <c r="AX296" s="9" t="n">
        <f aca="false">IF(D296="INR",AW296/88.24,AW296)/1000000</f>
        <v>0.0362080689029918</v>
      </c>
    </row>
    <row r="297" s="2" customFormat="true" ht="14.25" hidden="false" customHeight="false" outlineLevel="0" collapsed="false">
      <c r="A297" s="12" t="s">
        <v>680</v>
      </c>
      <c r="B297" s="16" t="n">
        <v>5</v>
      </c>
      <c r="C297" s="15"/>
      <c r="D297" s="16" t="s">
        <v>102</v>
      </c>
      <c r="E297" s="16" t="s">
        <v>51</v>
      </c>
      <c r="F297" s="16" t="s">
        <v>52</v>
      </c>
      <c r="G297" s="16" t="s">
        <v>494</v>
      </c>
      <c r="H297" s="16" t="s">
        <v>495</v>
      </c>
      <c r="I297" s="16" t="s">
        <v>260</v>
      </c>
      <c r="J297" s="16" t="s">
        <v>520</v>
      </c>
      <c r="K297" s="16" t="s">
        <v>495</v>
      </c>
      <c r="L297" s="16" t="s">
        <v>260</v>
      </c>
      <c r="M297" s="16" t="s">
        <v>520</v>
      </c>
      <c r="N297" s="16" t="s">
        <v>57</v>
      </c>
      <c r="O297" s="16" t="s">
        <v>94</v>
      </c>
      <c r="P297" s="16" t="s">
        <v>197</v>
      </c>
      <c r="Q297" s="16" t="s">
        <v>197</v>
      </c>
      <c r="R297" s="16" t="s">
        <v>86</v>
      </c>
      <c r="S297" s="16" t="s">
        <v>521</v>
      </c>
      <c r="T297" s="16" t="s">
        <v>681</v>
      </c>
      <c r="U297" s="16" t="s">
        <v>73</v>
      </c>
      <c r="V297" s="16" t="n">
        <v>0.0197</v>
      </c>
      <c r="W297" s="16" t="n">
        <v>0.01773</v>
      </c>
      <c r="X297" s="22" t="n">
        <v>8000</v>
      </c>
      <c r="Y297" s="16" t="n">
        <v>8000</v>
      </c>
      <c r="Z297" s="16" t="n">
        <v>8000</v>
      </c>
      <c r="AA297" s="16" t="n">
        <v>8000</v>
      </c>
      <c r="AB297" s="16" t="n">
        <v>8000</v>
      </c>
      <c r="AC297" s="16" t="n">
        <v>8000</v>
      </c>
      <c r="AD297" s="16" t="n">
        <v>8000</v>
      </c>
      <c r="AE297" s="16" t="n">
        <v>8000</v>
      </c>
      <c r="AF297" s="16" t="n">
        <v>8000</v>
      </c>
      <c r="AG297" s="16" t="n">
        <v>8000</v>
      </c>
      <c r="AH297" s="16" t="n">
        <v>8000</v>
      </c>
      <c r="AI297" s="16" t="n">
        <v>8000</v>
      </c>
      <c r="AJ297" s="9" t="n">
        <f aca="false">X297*$V297</f>
        <v>157.6</v>
      </c>
      <c r="AK297" s="9" t="n">
        <f aca="false">Y297*$V297</f>
        <v>157.6</v>
      </c>
      <c r="AL297" s="9" t="n">
        <f aca="false">Z297*$V297</f>
        <v>157.6</v>
      </c>
      <c r="AM297" s="9" t="n">
        <f aca="false">AA297*$V297</f>
        <v>157.6</v>
      </c>
      <c r="AN297" s="9" t="n">
        <f aca="false">AB297*$V297</f>
        <v>157.6</v>
      </c>
      <c r="AO297" s="9" t="n">
        <f aca="false">AC297*$V297</f>
        <v>157.6</v>
      </c>
      <c r="AP297" s="9" t="n">
        <f aca="false">AD297*$V297</f>
        <v>157.6</v>
      </c>
      <c r="AQ297" s="9" t="n">
        <f aca="false">AE297*$V297</f>
        <v>157.6</v>
      </c>
      <c r="AR297" s="9" t="n">
        <f aca="false">AF297*$V297</f>
        <v>157.6</v>
      </c>
      <c r="AS297" s="9" t="n">
        <f aca="false">AG297*$V297</f>
        <v>157.6</v>
      </c>
      <c r="AT297" s="9" t="n">
        <f aca="false">AH297*$V297</f>
        <v>157.6</v>
      </c>
      <c r="AU297" s="9" t="n">
        <f aca="false">AI297*$V297</f>
        <v>157.6</v>
      </c>
      <c r="AV297" s="9" t="n">
        <f aca="false">SUM(X297:AI297)/1000</f>
        <v>96</v>
      </c>
      <c r="AW297" s="9" t="n">
        <f aca="false">SUM(AJ297:AU297)</f>
        <v>1891.2</v>
      </c>
      <c r="AX297" s="9" t="n">
        <f aca="false">IF(D297="INR",AW297/88.24,AW297)/1000000</f>
        <v>0.0018912</v>
      </c>
    </row>
    <row r="298" s="2" customFormat="true" ht="14.25" hidden="false" customHeight="false" outlineLevel="0" collapsed="false">
      <c r="A298" s="12" t="s">
        <v>682</v>
      </c>
      <c r="B298" s="16"/>
      <c r="C298" s="15"/>
      <c r="D298" s="16" t="s">
        <v>50</v>
      </c>
      <c r="E298" s="16" t="s">
        <v>51</v>
      </c>
      <c r="F298" s="16" t="s">
        <v>52</v>
      </c>
      <c r="G298" s="16" t="s">
        <v>274</v>
      </c>
      <c r="H298" s="16" t="s">
        <v>275</v>
      </c>
      <c r="I298" s="16" t="s">
        <v>260</v>
      </c>
      <c r="J298" s="16" t="s">
        <v>276</v>
      </c>
      <c r="K298" s="16"/>
      <c r="L298" s="16" t="s">
        <v>260</v>
      </c>
      <c r="M298" s="16" t="s">
        <v>276</v>
      </c>
      <c r="N298" s="16" t="s">
        <v>79</v>
      </c>
      <c r="O298" s="16" t="s">
        <v>68</v>
      </c>
      <c r="P298" s="16" t="s">
        <v>308</v>
      </c>
      <c r="Q298" s="16" t="s">
        <v>308</v>
      </c>
      <c r="R298" s="16" t="s">
        <v>309</v>
      </c>
      <c r="S298" s="16" t="s">
        <v>264</v>
      </c>
      <c r="T298" s="16" t="s">
        <v>683</v>
      </c>
      <c r="U298" s="16" t="s">
        <v>73</v>
      </c>
      <c r="V298" s="16" t="n">
        <v>4.62</v>
      </c>
      <c r="W298" s="16" t="n">
        <v>3.92</v>
      </c>
      <c r="X298" s="16" t="n">
        <v>60000</v>
      </c>
      <c r="Y298" s="16" t="n">
        <v>60000</v>
      </c>
      <c r="Z298" s="16" t="n">
        <v>60000</v>
      </c>
      <c r="AA298" s="16" t="n">
        <v>60000</v>
      </c>
      <c r="AB298" s="16" t="n">
        <v>60000</v>
      </c>
      <c r="AC298" s="16" t="n">
        <v>60000</v>
      </c>
      <c r="AD298" s="16" t="n">
        <v>60000</v>
      </c>
      <c r="AE298" s="16" t="n">
        <v>60000</v>
      </c>
      <c r="AF298" s="16" t="n">
        <v>60000</v>
      </c>
      <c r="AG298" s="16" t="n">
        <v>60000</v>
      </c>
      <c r="AH298" s="16" t="n">
        <v>60000</v>
      </c>
      <c r="AI298" s="16" t="n">
        <v>60000</v>
      </c>
      <c r="AJ298" s="9" t="n">
        <f aca="false">X298*$V298</f>
        <v>277200</v>
      </c>
      <c r="AK298" s="9" t="n">
        <f aca="false">Y298*$V298</f>
        <v>277200</v>
      </c>
      <c r="AL298" s="9" t="n">
        <f aca="false">Z298*$V298</f>
        <v>277200</v>
      </c>
      <c r="AM298" s="9" t="n">
        <f aca="false">AA298*$V298</f>
        <v>277200</v>
      </c>
      <c r="AN298" s="9" t="n">
        <f aca="false">AB298*$V298</f>
        <v>277200</v>
      </c>
      <c r="AO298" s="9" t="n">
        <f aca="false">AC298*$V298</f>
        <v>277200</v>
      </c>
      <c r="AP298" s="9" t="n">
        <f aca="false">AD298*$V298</f>
        <v>277200</v>
      </c>
      <c r="AQ298" s="9" t="n">
        <f aca="false">AE298*$V298</f>
        <v>277200</v>
      </c>
      <c r="AR298" s="9" t="n">
        <f aca="false">AF298*$V298</f>
        <v>277200</v>
      </c>
      <c r="AS298" s="9" t="n">
        <f aca="false">AG298*$V298</f>
        <v>277200</v>
      </c>
      <c r="AT298" s="9" t="n">
        <f aca="false">AH298*$V298</f>
        <v>277200</v>
      </c>
      <c r="AU298" s="9" t="n">
        <f aca="false">AI298*$V298</f>
        <v>277200</v>
      </c>
      <c r="AV298" s="9" t="n">
        <f aca="false">SUM(X298:AI298)/1000</f>
        <v>720</v>
      </c>
      <c r="AW298" s="9" t="n">
        <f aca="false">SUM(AJ298:AU298)</f>
        <v>3326400</v>
      </c>
      <c r="AX298" s="9" t="n">
        <f aca="false">IF(D298="INR",AW298/88.24,AW298)/1000000</f>
        <v>0.0376971894832276</v>
      </c>
    </row>
    <row r="299" s="2" customFormat="true" ht="14.25" hidden="false" customHeight="false" outlineLevel="0" collapsed="false">
      <c r="A299" s="12" t="s">
        <v>684</v>
      </c>
      <c r="B299" s="16"/>
      <c r="C299" s="15"/>
      <c r="D299" s="16" t="s">
        <v>50</v>
      </c>
      <c r="E299" s="16" t="s">
        <v>51</v>
      </c>
      <c r="F299" s="16" t="s">
        <v>52</v>
      </c>
      <c r="G299" s="16" t="s">
        <v>391</v>
      </c>
      <c r="H299" s="16" t="s">
        <v>392</v>
      </c>
      <c r="I299" s="16" t="s">
        <v>260</v>
      </c>
      <c r="J299" s="16" t="s">
        <v>276</v>
      </c>
      <c r="K299" s="16"/>
      <c r="L299" s="16" t="s">
        <v>260</v>
      </c>
      <c r="M299" s="16" t="s">
        <v>276</v>
      </c>
      <c r="N299" s="16" t="s">
        <v>93</v>
      </c>
      <c r="O299" s="16" t="s">
        <v>58</v>
      </c>
      <c r="P299" s="16" t="s">
        <v>80</v>
      </c>
      <c r="Q299" s="16" t="s">
        <v>80</v>
      </c>
      <c r="R299" s="16" t="s">
        <v>81</v>
      </c>
      <c r="S299" s="16" t="s">
        <v>82</v>
      </c>
      <c r="T299" s="16" t="s">
        <v>685</v>
      </c>
      <c r="U299" s="16" t="s">
        <v>73</v>
      </c>
      <c r="V299" s="16" t="n">
        <v>27.25</v>
      </c>
      <c r="W299" s="16" t="n">
        <v>25.06</v>
      </c>
      <c r="X299" s="16" t="n">
        <v>10000</v>
      </c>
      <c r="Y299" s="16" t="n">
        <v>10000</v>
      </c>
      <c r="Z299" s="16" t="n">
        <v>10000</v>
      </c>
      <c r="AA299" s="16" t="n">
        <v>10000</v>
      </c>
      <c r="AB299" s="16" t="n">
        <v>10000</v>
      </c>
      <c r="AC299" s="16" t="n">
        <v>10000</v>
      </c>
      <c r="AD299" s="16" t="n">
        <v>10000</v>
      </c>
      <c r="AE299" s="16" t="n">
        <v>10000</v>
      </c>
      <c r="AF299" s="16" t="n">
        <v>10000</v>
      </c>
      <c r="AG299" s="16" t="n">
        <v>10000</v>
      </c>
      <c r="AH299" s="16" t="n">
        <v>10000</v>
      </c>
      <c r="AI299" s="16" t="n">
        <v>10000</v>
      </c>
      <c r="AJ299" s="9" t="n">
        <f aca="false">X299*$V299</f>
        <v>272500</v>
      </c>
      <c r="AK299" s="9" t="n">
        <f aca="false">Y299*$V299</f>
        <v>272500</v>
      </c>
      <c r="AL299" s="9" t="n">
        <f aca="false">Z299*$V299</f>
        <v>272500</v>
      </c>
      <c r="AM299" s="9" t="n">
        <f aca="false">AA299*$V299</f>
        <v>272500</v>
      </c>
      <c r="AN299" s="9" t="n">
        <f aca="false">AB299*$V299</f>
        <v>272500</v>
      </c>
      <c r="AO299" s="9" t="n">
        <f aca="false">AC299*$V299</f>
        <v>272500</v>
      </c>
      <c r="AP299" s="9" t="n">
        <f aca="false">AD299*$V299</f>
        <v>272500</v>
      </c>
      <c r="AQ299" s="9" t="n">
        <f aca="false">AE299*$V299</f>
        <v>272500</v>
      </c>
      <c r="AR299" s="9" t="n">
        <f aca="false">AF299*$V299</f>
        <v>272500</v>
      </c>
      <c r="AS299" s="9" t="n">
        <f aca="false">AG299*$V299</f>
        <v>272500</v>
      </c>
      <c r="AT299" s="9" t="n">
        <f aca="false">AH299*$V299</f>
        <v>272500</v>
      </c>
      <c r="AU299" s="9" t="n">
        <f aca="false">AI299*$V299</f>
        <v>272500</v>
      </c>
      <c r="AV299" s="9" t="n">
        <f aca="false">SUM(X299:AI299)/1000</f>
        <v>120</v>
      </c>
      <c r="AW299" s="9" t="n">
        <f aca="false">SUM(AJ299:AU299)</f>
        <v>3270000</v>
      </c>
      <c r="AX299" s="9" t="n">
        <f aca="false">IF(D299="INR",AW299/88.24,AW299)/1000000</f>
        <v>0.0370580235720762</v>
      </c>
    </row>
    <row r="300" s="2" customFormat="true" ht="14.25" hidden="false" customHeight="false" outlineLevel="0" collapsed="false">
      <c r="A300" s="12" t="s">
        <v>686</v>
      </c>
      <c r="B300" s="16" t="n">
        <v>5</v>
      </c>
      <c r="C300" s="15"/>
      <c r="D300" s="16" t="s">
        <v>102</v>
      </c>
      <c r="E300" s="16" t="s">
        <v>51</v>
      </c>
      <c r="F300" s="16" t="s">
        <v>52</v>
      </c>
      <c r="G300" s="16" t="s">
        <v>494</v>
      </c>
      <c r="H300" s="16" t="s">
        <v>495</v>
      </c>
      <c r="I300" s="16" t="s">
        <v>260</v>
      </c>
      <c r="J300" s="16" t="s">
        <v>520</v>
      </c>
      <c r="K300" s="16" t="s">
        <v>495</v>
      </c>
      <c r="L300" s="16" t="s">
        <v>260</v>
      </c>
      <c r="M300" s="16" t="s">
        <v>520</v>
      </c>
      <c r="N300" s="16" t="s">
        <v>57</v>
      </c>
      <c r="O300" s="16" t="s">
        <v>94</v>
      </c>
      <c r="P300" s="16" t="s">
        <v>197</v>
      </c>
      <c r="Q300" s="16" t="s">
        <v>197</v>
      </c>
      <c r="R300" s="16" t="s">
        <v>86</v>
      </c>
      <c r="S300" s="16" t="s">
        <v>521</v>
      </c>
      <c r="T300" s="16" t="s">
        <v>687</v>
      </c>
      <c r="U300" s="16" t="s">
        <v>73</v>
      </c>
      <c r="V300" s="16" t="n">
        <v>0.01525</v>
      </c>
      <c r="W300" s="16" t="n">
        <v>0.0127</v>
      </c>
      <c r="X300" s="16" t="n">
        <v>8000</v>
      </c>
      <c r="Y300" s="16" t="n">
        <v>8000</v>
      </c>
      <c r="Z300" s="16" t="n">
        <v>8000</v>
      </c>
      <c r="AA300" s="16" t="n">
        <v>8000</v>
      </c>
      <c r="AB300" s="16" t="n">
        <v>8000</v>
      </c>
      <c r="AC300" s="16" t="n">
        <v>8000</v>
      </c>
      <c r="AD300" s="16" t="n">
        <v>8000</v>
      </c>
      <c r="AE300" s="16" t="n">
        <v>8000</v>
      </c>
      <c r="AF300" s="16" t="n">
        <v>8000</v>
      </c>
      <c r="AG300" s="16" t="n">
        <v>8000</v>
      </c>
      <c r="AH300" s="16" t="n">
        <v>8000</v>
      </c>
      <c r="AI300" s="16" t="n">
        <v>8000</v>
      </c>
      <c r="AJ300" s="9" t="n">
        <f aca="false">X300*$V300</f>
        <v>122</v>
      </c>
      <c r="AK300" s="9" t="n">
        <f aca="false">Y300*$V300</f>
        <v>122</v>
      </c>
      <c r="AL300" s="9" t="n">
        <f aca="false">Z300*$V300</f>
        <v>122</v>
      </c>
      <c r="AM300" s="9" t="n">
        <f aca="false">AA300*$V300</f>
        <v>122</v>
      </c>
      <c r="AN300" s="9" t="n">
        <f aca="false">AB300*$V300</f>
        <v>122</v>
      </c>
      <c r="AO300" s="9" t="n">
        <f aca="false">AC300*$V300</f>
        <v>122</v>
      </c>
      <c r="AP300" s="9" t="n">
        <f aca="false">AD300*$V300</f>
        <v>122</v>
      </c>
      <c r="AQ300" s="9" t="n">
        <f aca="false">AE300*$V300</f>
        <v>122</v>
      </c>
      <c r="AR300" s="9" t="n">
        <f aca="false">AF300*$V300</f>
        <v>122</v>
      </c>
      <c r="AS300" s="9" t="n">
        <f aca="false">AG300*$V300</f>
        <v>122</v>
      </c>
      <c r="AT300" s="9" t="n">
        <f aca="false">AH300*$V300</f>
        <v>122</v>
      </c>
      <c r="AU300" s="9" t="n">
        <f aca="false">AI300*$V300</f>
        <v>122</v>
      </c>
      <c r="AV300" s="9" t="n">
        <f aca="false">SUM(X300:AI300)/1000</f>
        <v>96</v>
      </c>
      <c r="AW300" s="9" t="n">
        <f aca="false">SUM(AJ300:AU300)</f>
        <v>1464</v>
      </c>
      <c r="AX300" s="9" t="n">
        <f aca="false">IF(D300="INR",AW300/88.24,AW300)/1000000</f>
        <v>0.001464</v>
      </c>
    </row>
    <row r="301" s="2" customFormat="true" ht="14.25" hidden="false" customHeight="false" outlineLevel="0" collapsed="false">
      <c r="A301" s="12" t="s">
        <v>688</v>
      </c>
      <c r="B301" s="16" t="n">
        <v>5</v>
      </c>
      <c r="C301" s="15"/>
      <c r="D301" s="16" t="s">
        <v>50</v>
      </c>
      <c r="E301" s="16" t="s">
        <v>51</v>
      </c>
      <c r="F301" s="16" t="s">
        <v>52</v>
      </c>
      <c r="G301" s="16" t="s">
        <v>274</v>
      </c>
      <c r="H301" s="16" t="s">
        <v>275</v>
      </c>
      <c r="I301" s="16" t="s">
        <v>260</v>
      </c>
      <c r="J301" s="16" t="s">
        <v>276</v>
      </c>
      <c r="K301" s="16"/>
      <c r="L301" s="16" t="s">
        <v>260</v>
      </c>
      <c r="M301" s="16" t="s">
        <v>276</v>
      </c>
      <c r="N301" s="16" t="s">
        <v>79</v>
      </c>
      <c r="O301" s="16" t="s">
        <v>68</v>
      </c>
      <c r="P301" s="16" t="s">
        <v>308</v>
      </c>
      <c r="Q301" s="16" t="s">
        <v>308</v>
      </c>
      <c r="R301" s="16" t="s">
        <v>309</v>
      </c>
      <c r="S301" s="16" t="s">
        <v>264</v>
      </c>
      <c r="T301" s="16" t="s">
        <v>689</v>
      </c>
      <c r="U301" s="16" t="s">
        <v>73</v>
      </c>
      <c r="V301" s="16" t="n">
        <v>1.36</v>
      </c>
      <c r="W301" s="16" t="n">
        <v>1.16</v>
      </c>
      <c r="X301" s="16" t="n">
        <v>200000</v>
      </c>
      <c r="Y301" s="16" t="n">
        <v>200000</v>
      </c>
      <c r="Z301" s="16" t="n">
        <v>200000</v>
      </c>
      <c r="AA301" s="16" t="n">
        <v>200000</v>
      </c>
      <c r="AB301" s="16" t="n">
        <v>200000</v>
      </c>
      <c r="AC301" s="16" t="n">
        <v>200000</v>
      </c>
      <c r="AD301" s="16" t="n">
        <v>200000</v>
      </c>
      <c r="AE301" s="16" t="n">
        <v>200000</v>
      </c>
      <c r="AF301" s="16" t="n">
        <v>200000</v>
      </c>
      <c r="AG301" s="16" t="n">
        <v>200000</v>
      </c>
      <c r="AH301" s="16" t="n">
        <v>200000</v>
      </c>
      <c r="AI301" s="16" t="n">
        <v>200000</v>
      </c>
      <c r="AJ301" s="9" t="n">
        <f aca="false">X301*$V301</f>
        <v>272000</v>
      </c>
      <c r="AK301" s="9" t="n">
        <f aca="false">Y301*$V301</f>
        <v>272000</v>
      </c>
      <c r="AL301" s="9" t="n">
        <f aca="false">Z301*$V301</f>
        <v>272000</v>
      </c>
      <c r="AM301" s="9" t="n">
        <f aca="false">AA301*$V301</f>
        <v>272000</v>
      </c>
      <c r="AN301" s="9" t="n">
        <f aca="false">AB301*$V301</f>
        <v>272000</v>
      </c>
      <c r="AO301" s="9" t="n">
        <f aca="false">AC301*$V301</f>
        <v>272000</v>
      </c>
      <c r="AP301" s="9" t="n">
        <f aca="false">AD301*$V301</f>
        <v>272000</v>
      </c>
      <c r="AQ301" s="9" t="n">
        <f aca="false">AE301*$V301</f>
        <v>272000</v>
      </c>
      <c r="AR301" s="9" t="n">
        <f aca="false">AF301*$V301</f>
        <v>272000</v>
      </c>
      <c r="AS301" s="9" t="n">
        <f aca="false">AG301*$V301</f>
        <v>272000</v>
      </c>
      <c r="AT301" s="9" t="n">
        <f aca="false">AH301*$V301</f>
        <v>272000</v>
      </c>
      <c r="AU301" s="9" t="n">
        <f aca="false">AI301*$V301</f>
        <v>272000</v>
      </c>
      <c r="AV301" s="9" t="n">
        <f aca="false">SUM(X301:AI301)/1000</f>
        <v>2400</v>
      </c>
      <c r="AW301" s="9" t="n">
        <f aca="false">SUM(AJ301:AU301)</f>
        <v>3264000</v>
      </c>
      <c r="AX301" s="9" t="n">
        <f aca="false">IF(D301="INR",AW301/88.24,AW301)/1000000</f>
        <v>0.0369900271985494</v>
      </c>
    </row>
    <row r="302" s="2" customFormat="true" ht="16.4" hidden="false" customHeight="false" outlineLevel="0" collapsed="false">
      <c r="A302" s="35" t="s">
        <v>690</v>
      </c>
      <c r="B302" s="9" t="n">
        <v>5</v>
      </c>
      <c r="C302" s="15"/>
      <c r="D302" s="9" t="s">
        <v>102</v>
      </c>
      <c r="E302" s="9" t="s">
        <v>51</v>
      </c>
      <c r="F302" s="9" t="s">
        <v>52</v>
      </c>
      <c r="G302" s="9" t="s">
        <v>494</v>
      </c>
      <c r="H302" s="9" t="s">
        <v>495</v>
      </c>
      <c r="I302" s="9" t="s">
        <v>260</v>
      </c>
      <c r="J302" s="9" t="s">
        <v>520</v>
      </c>
      <c r="K302" s="9" t="s">
        <v>495</v>
      </c>
      <c r="L302" s="9" t="s">
        <v>260</v>
      </c>
      <c r="M302" s="9" t="s">
        <v>520</v>
      </c>
      <c r="N302" s="16" t="s">
        <v>57</v>
      </c>
      <c r="O302" s="9" t="s">
        <v>94</v>
      </c>
      <c r="P302" s="9" t="s">
        <v>197</v>
      </c>
      <c r="Q302" s="9" t="s">
        <v>197</v>
      </c>
      <c r="R302" s="9" t="s">
        <v>86</v>
      </c>
      <c r="S302" s="9" t="s">
        <v>521</v>
      </c>
      <c r="T302" s="9" t="s">
        <v>691</v>
      </c>
      <c r="U302" s="9" t="s">
        <v>73</v>
      </c>
      <c r="V302" s="9" t="n">
        <v>0.01045</v>
      </c>
      <c r="W302" s="9" t="n">
        <v>0.00941</v>
      </c>
      <c r="X302" s="22" t="n">
        <v>8000</v>
      </c>
      <c r="Y302" s="9" t="n">
        <v>8000</v>
      </c>
      <c r="Z302" s="9" t="n">
        <v>8000</v>
      </c>
      <c r="AA302" s="9" t="n">
        <v>8000</v>
      </c>
      <c r="AB302" s="9" t="n">
        <v>8000</v>
      </c>
      <c r="AC302" s="9" t="n">
        <v>8000</v>
      </c>
      <c r="AD302" s="9" t="n">
        <v>8000</v>
      </c>
      <c r="AE302" s="9" t="n">
        <v>8000</v>
      </c>
      <c r="AF302" s="9" t="n">
        <v>8000</v>
      </c>
      <c r="AG302" s="9" t="n">
        <v>8000</v>
      </c>
      <c r="AH302" s="9" t="n">
        <v>8000</v>
      </c>
      <c r="AI302" s="9" t="n">
        <v>8000</v>
      </c>
      <c r="AJ302" s="9" t="n">
        <f aca="false">X302*$V302</f>
        <v>83.6</v>
      </c>
      <c r="AK302" s="9" t="n">
        <f aca="false">Y302*$V302</f>
        <v>83.6</v>
      </c>
      <c r="AL302" s="9" t="n">
        <f aca="false">Z302*$V302</f>
        <v>83.6</v>
      </c>
      <c r="AM302" s="9" t="n">
        <f aca="false">AA302*$V302</f>
        <v>83.6</v>
      </c>
      <c r="AN302" s="9" t="n">
        <f aca="false">AB302*$V302</f>
        <v>83.6</v>
      </c>
      <c r="AO302" s="9" t="n">
        <f aca="false">AC302*$V302</f>
        <v>83.6</v>
      </c>
      <c r="AP302" s="9" t="n">
        <f aca="false">AD302*$V302</f>
        <v>83.6</v>
      </c>
      <c r="AQ302" s="9" t="n">
        <f aca="false">AE302*$V302</f>
        <v>83.6</v>
      </c>
      <c r="AR302" s="9" t="n">
        <f aca="false">AF302*$V302</f>
        <v>83.6</v>
      </c>
      <c r="AS302" s="9" t="n">
        <f aca="false">AG302*$V302</f>
        <v>83.6</v>
      </c>
      <c r="AT302" s="9" t="n">
        <f aca="false">AH302*$V302</f>
        <v>83.6</v>
      </c>
      <c r="AU302" s="9" t="n">
        <f aca="false">AI302*$V302</f>
        <v>83.6</v>
      </c>
      <c r="AV302" s="9" t="n">
        <f aca="false">SUM(X302:AI302)/1000</f>
        <v>96</v>
      </c>
      <c r="AW302" s="9" t="n">
        <f aca="false">SUM(AJ302:AU302)</f>
        <v>1003.2</v>
      </c>
      <c r="AX302" s="9" t="n">
        <f aca="false">IF(D302="INR",AW302/88.24,AW302)/1000000</f>
        <v>0.0010032</v>
      </c>
    </row>
    <row r="303" s="2" customFormat="true" ht="14.25" hidden="false" customHeight="false" outlineLevel="0" collapsed="false">
      <c r="A303" s="12" t="s">
        <v>692</v>
      </c>
      <c r="B303" s="16" t="n">
        <v>5</v>
      </c>
      <c r="C303" s="15"/>
      <c r="D303" s="16" t="s">
        <v>50</v>
      </c>
      <c r="E303" s="16" t="s">
        <v>51</v>
      </c>
      <c r="F303" s="16" t="s">
        <v>52</v>
      </c>
      <c r="G303" s="16" t="s">
        <v>254</v>
      </c>
      <c r="H303" s="16" t="s">
        <v>255</v>
      </c>
      <c r="I303" s="16" t="s">
        <v>55</v>
      </c>
      <c r="J303" s="16" t="s">
        <v>256</v>
      </c>
      <c r="K303" s="16"/>
      <c r="L303" s="16" t="s">
        <v>55</v>
      </c>
      <c r="M303" s="16" t="s">
        <v>256</v>
      </c>
      <c r="N303" s="16" t="s">
        <v>67</v>
      </c>
      <c r="O303" s="16" t="s">
        <v>58</v>
      </c>
      <c r="P303" s="16" t="s">
        <v>85</v>
      </c>
      <c r="Q303" s="16" t="s">
        <v>85</v>
      </c>
      <c r="R303" s="16" t="s">
        <v>86</v>
      </c>
      <c r="S303" s="16" t="s">
        <v>87</v>
      </c>
      <c r="T303" s="16" t="s">
        <v>693</v>
      </c>
      <c r="U303" s="16" t="s">
        <v>73</v>
      </c>
      <c r="V303" s="16" t="n">
        <v>13.5</v>
      </c>
      <c r="W303" s="16" t="n">
        <v>0.13</v>
      </c>
      <c r="X303" s="16" t="n">
        <v>20000</v>
      </c>
      <c r="Y303" s="16" t="n">
        <v>20000</v>
      </c>
      <c r="Z303" s="16" t="n">
        <v>20000</v>
      </c>
      <c r="AA303" s="16" t="n">
        <v>20000</v>
      </c>
      <c r="AB303" s="16" t="n">
        <v>20000</v>
      </c>
      <c r="AC303" s="16" t="n">
        <v>20000</v>
      </c>
      <c r="AD303" s="16" t="n">
        <v>20000</v>
      </c>
      <c r="AE303" s="16" t="n">
        <v>20000</v>
      </c>
      <c r="AF303" s="16" t="n">
        <v>20000</v>
      </c>
      <c r="AG303" s="16" t="n">
        <v>20000</v>
      </c>
      <c r="AH303" s="16" t="n">
        <v>20000</v>
      </c>
      <c r="AI303" s="16" t="n">
        <v>20000</v>
      </c>
      <c r="AJ303" s="9" t="n">
        <f aca="false">X303*$V303</f>
        <v>270000</v>
      </c>
      <c r="AK303" s="9" t="n">
        <f aca="false">Y303*$V303</f>
        <v>270000</v>
      </c>
      <c r="AL303" s="9" t="n">
        <f aca="false">Z303*$V303</f>
        <v>270000</v>
      </c>
      <c r="AM303" s="9" t="n">
        <f aca="false">AA303*$V303</f>
        <v>270000</v>
      </c>
      <c r="AN303" s="9" t="n">
        <f aca="false">AB303*$V303</f>
        <v>270000</v>
      </c>
      <c r="AO303" s="9" t="n">
        <f aca="false">AC303*$V303</f>
        <v>270000</v>
      </c>
      <c r="AP303" s="9" t="n">
        <f aca="false">AD303*$V303</f>
        <v>270000</v>
      </c>
      <c r="AQ303" s="9" t="n">
        <f aca="false">AE303*$V303</f>
        <v>270000</v>
      </c>
      <c r="AR303" s="9" t="n">
        <f aca="false">AF303*$V303</f>
        <v>270000</v>
      </c>
      <c r="AS303" s="9" t="n">
        <f aca="false">AG303*$V303</f>
        <v>270000</v>
      </c>
      <c r="AT303" s="9" t="n">
        <f aca="false">AH303*$V303</f>
        <v>270000</v>
      </c>
      <c r="AU303" s="9" t="n">
        <f aca="false">AI303*$V303</f>
        <v>270000</v>
      </c>
      <c r="AV303" s="9" t="n">
        <f aca="false">SUM(X303:AI303)/1000</f>
        <v>240</v>
      </c>
      <c r="AW303" s="9" t="n">
        <f aca="false">SUM(AJ303:AU303)</f>
        <v>3240000</v>
      </c>
      <c r="AX303" s="9" t="n">
        <f aca="false">IF(D303="INR",AW303/88.24,AW303)/1000000</f>
        <v>0.0367180417044424</v>
      </c>
    </row>
    <row r="304" s="2" customFormat="true" ht="14.25" hidden="false" customHeight="false" outlineLevel="0" collapsed="false">
      <c r="A304" s="12" t="s">
        <v>694</v>
      </c>
      <c r="B304" s="16" t="n">
        <v>5</v>
      </c>
      <c r="C304" s="15"/>
      <c r="D304" s="16" t="s">
        <v>50</v>
      </c>
      <c r="E304" s="16" t="s">
        <v>51</v>
      </c>
      <c r="F304" s="16" t="s">
        <v>52</v>
      </c>
      <c r="G304" s="16" t="s">
        <v>301</v>
      </c>
      <c r="H304" s="16" t="s">
        <v>302</v>
      </c>
      <c r="I304" s="16" t="s">
        <v>303</v>
      </c>
      <c r="J304" s="16" t="s">
        <v>304</v>
      </c>
      <c r="K304" s="16"/>
      <c r="L304" s="16" t="s">
        <v>303</v>
      </c>
      <c r="M304" s="16" t="s">
        <v>304</v>
      </c>
      <c r="N304" s="16" t="s">
        <v>93</v>
      </c>
      <c r="O304" s="16" t="s">
        <v>107</v>
      </c>
      <c r="P304" s="16" t="s">
        <v>695</v>
      </c>
      <c r="Q304" s="16" t="s">
        <v>695</v>
      </c>
      <c r="R304" s="16" t="s">
        <v>330</v>
      </c>
      <c r="S304" s="16" t="s">
        <v>521</v>
      </c>
      <c r="T304" s="16" t="s">
        <v>696</v>
      </c>
      <c r="U304" s="16" t="s">
        <v>73</v>
      </c>
      <c r="V304" s="16" t="n">
        <v>179</v>
      </c>
      <c r="W304" s="16" t="n">
        <v>159.37</v>
      </c>
      <c r="X304" s="16" t="n">
        <v>1500</v>
      </c>
      <c r="Y304" s="16" t="n">
        <v>1500</v>
      </c>
      <c r="Z304" s="16" t="n">
        <v>1500</v>
      </c>
      <c r="AA304" s="16" t="n">
        <v>1500</v>
      </c>
      <c r="AB304" s="16" t="n">
        <v>1500</v>
      </c>
      <c r="AC304" s="16" t="n">
        <v>1500</v>
      </c>
      <c r="AD304" s="16" t="n">
        <v>1500</v>
      </c>
      <c r="AE304" s="16" t="n">
        <v>1500</v>
      </c>
      <c r="AF304" s="16" t="n">
        <v>1500</v>
      </c>
      <c r="AG304" s="16" t="n">
        <v>1500</v>
      </c>
      <c r="AH304" s="16" t="n">
        <v>1500</v>
      </c>
      <c r="AI304" s="16" t="n">
        <v>1500</v>
      </c>
      <c r="AJ304" s="9" t="n">
        <f aca="false">X304*$V304</f>
        <v>268500</v>
      </c>
      <c r="AK304" s="9" t="n">
        <f aca="false">Y304*$V304</f>
        <v>268500</v>
      </c>
      <c r="AL304" s="9" t="n">
        <f aca="false">Z304*$V304</f>
        <v>268500</v>
      </c>
      <c r="AM304" s="9" t="n">
        <f aca="false">AA304*$V304</f>
        <v>268500</v>
      </c>
      <c r="AN304" s="9" t="n">
        <f aca="false">AB304*$V304</f>
        <v>268500</v>
      </c>
      <c r="AO304" s="9" t="n">
        <f aca="false">AC304*$V304</f>
        <v>268500</v>
      </c>
      <c r="AP304" s="9" t="n">
        <f aca="false">AD304*$V304</f>
        <v>268500</v>
      </c>
      <c r="AQ304" s="9" t="n">
        <f aca="false">AE304*$V304</f>
        <v>268500</v>
      </c>
      <c r="AR304" s="9" t="n">
        <f aca="false">AF304*$V304</f>
        <v>268500</v>
      </c>
      <c r="AS304" s="9" t="n">
        <f aca="false">AG304*$V304</f>
        <v>268500</v>
      </c>
      <c r="AT304" s="9" t="n">
        <f aca="false">AH304*$V304</f>
        <v>268500</v>
      </c>
      <c r="AU304" s="9" t="n">
        <f aca="false">AI304*$V304</f>
        <v>268500</v>
      </c>
      <c r="AV304" s="9" t="n">
        <f aca="false">SUM(X304:AI304)/1000</f>
        <v>18</v>
      </c>
      <c r="AW304" s="9" t="n">
        <f aca="false">SUM(AJ304:AU304)</f>
        <v>3222000</v>
      </c>
      <c r="AX304" s="9" t="n">
        <f aca="false">IF(D304="INR",AW304/88.24,AW304)/1000000</f>
        <v>0.0365140525838622</v>
      </c>
    </row>
    <row r="305" s="2" customFormat="true" ht="14.25" hidden="false" customHeight="false" outlineLevel="0" collapsed="false">
      <c r="A305" s="12" t="s">
        <v>697</v>
      </c>
      <c r="B305" s="9" t="n">
        <v>5</v>
      </c>
      <c r="C305" s="10"/>
      <c r="D305" s="9" t="s">
        <v>102</v>
      </c>
      <c r="E305" s="9" t="s">
        <v>51</v>
      </c>
      <c r="F305" s="9" t="s">
        <v>52</v>
      </c>
      <c r="G305" s="9" t="s">
        <v>494</v>
      </c>
      <c r="H305" s="9" t="s">
        <v>495</v>
      </c>
      <c r="I305" s="9" t="s">
        <v>260</v>
      </c>
      <c r="J305" s="9" t="s">
        <v>520</v>
      </c>
      <c r="K305" s="9" t="s">
        <v>495</v>
      </c>
      <c r="L305" s="9" t="s">
        <v>260</v>
      </c>
      <c r="M305" s="9" t="s">
        <v>520</v>
      </c>
      <c r="N305" s="9" t="s">
        <v>57</v>
      </c>
      <c r="O305" s="9" t="s">
        <v>94</v>
      </c>
      <c r="P305" s="9" t="s">
        <v>197</v>
      </c>
      <c r="Q305" s="9" t="s">
        <v>197</v>
      </c>
      <c r="R305" s="9" t="s">
        <v>86</v>
      </c>
      <c r="S305" s="9" t="s">
        <v>521</v>
      </c>
      <c r="T305" s="9" t="s">
        <v>698</v>
      </c>
      <c r="U305" s="9" t="s">
        <v>73</v>
      </c>
      <c r="V305" s="9" t="n">
        <v>0.00909</v>
      </c>
      <c r="W305" s="9" t="n">
        <v>0.0076</v>
      </c>
      <c r="X305" s="9" t="n">
        <v>8000</v>
      </c>
      <c r="Y305" s="9" t="n">
        <v>8000</v>
      </c>
      <c r="Z305" s="9" t="n">
        <v>8000</v>
      </c>
      <c r="AA305" s="9" t="n">
        <v>8000</v>
      </c>
      <c r="AB305" s="9" t="n">
        <v>8000</v>
      </c>
      <c r="AC305" s="9" t="n">
        <v>8000</v>
      </c>
      <c r="AD305" s="9" t="n">
        <v>8000</v>
      </c>
      <c r="AE305" s="9" t="n">
        <v>8000</v>
      </c>
      <c r="AF305" s="9" t="n">
        <v>8000</v>
      </c>
      <c r="AG305" s="9" t="n">
        <v>8000</v>
      </c>
      <c r="AH305" s="9" t="n">
        <v>8000</v>
      </c>
      <c r="AI305" s="9" t="n">
        <v>8000</v>
      </c>
      <c r="AJ305" s="9" t="n">
        <f aca="false">X305*$V305</f>
        <v>72.72</v>
      </c>
      <c r="AK305" s="9" t="n">
        <f aca="false">Y305*$V305</f>
        <v>72.72</v>
      </c>
      <c r="AL305" s="9" t="n">
        <f aca="false">Z305*$V305</f>
        <v>72.72</v>
      </c>
      <c r="AM305" s="9" t="n">
        <f aca="false">AA305*$V305</f>
        <v>72.72</v>
      </c>
      <c r="AN305" s="9" t="n">
        <f aca="false">AB305*$V305</f>
        <v>72.72</v>
      </c>
      <c r="AO305" s="9" t="n">
        <f aca="false">AC305*$V305</f>
        <v>72.72</v>
      </c>
      <c r="AP305" s="9" t="n">
        <f aca="false">AD305*$V305</f>
        <v>72.72</v>
      </c>
      <c r="AQ305" s="9" t="n">
        <f aca="false">AE305*$V305</f>
        <v>72.72</v>
      </c>
      <c r="AR305" s="9" t="n">
        <f aca="false">AF305*$V305</f>
        <v>72.72</v>
      </c>
      <c r="AS305" s="9" t="n">
        <f aca="false">AG305*$V305</f>
        <v>72.72</v>
      </c>
      <c r="AT305" s="9" t="n">
        <f aca="false">AH305*$V305</f>
        <v>72.72</v>
      </c>
      <c r="AU305" s="9" t="n">
        <f aca="false">AI305*$V305</f>
        <v>72.72</v>
      </c>
      <c r="AV305" s="9" t="n">
        <f aca="false">SUM(X305:AI305)/1000</f>
        <v>96</v>
      </c>
      <c r="AW305" s="9" t="n">
        <f aca="false">SUM(AJ305:AU305)</f>
        <v>872.64</v>
      </c>
      <c r="AX305" s="9" t="n">
        <f aca="false">IF(D305="INR",AW305/88.24,AW305)/1000000</f>
        <v>0.00087264</v>
      </c>
    </row>
    <row r="306" s="2" customFormat="true" ht="14.25" hidden="false" customHeight="false" outlineLevel="0" collapsed="false">
      <c r="A306" s="12"/>
      <c r="B306" s="16" t="n">
        <v>1</v>
      </c>
      <c r="C306" s="15"/>
      <c r="D306" s="16" t="s">
        <v>50</v>
      </c>
      <c r="E306" s="16"/>
      <c r="F306" s="16" t="s">
        <v>52</v>
      </c>
      <c r="G306" s="16"/>
      <c r="H306" s="16" t="s">
        <v>392</v>
      </c>
      <c r="I306" s="16" t="s">
        <v>260</v>
      </c>
      <c r="J306" s="16" t="s">
        <v>276</v>
      </c>
      <c r="K306" s="16"/>
      <c r="L306" s="16" t="s">
        <v>260</v>
      </c>
      <c r="M306" s="16" t="s">
        <v>276</v>
      </c>
      <c r="N306" s="16" t="s">
        <v>93</v>
      </c>
      <c r="O306" s="16" t="s">
        <v>58</v>
      </c>
      <c r="P306" s="16"/>
      <c r="Q306" s="16" t="s">
        <v>699</v>
      </c>
      <c r="R306" s="16"/>
      <c r="S306" s="16"/>
      <c r="T306" s="16" t="s">
        <v>700</v>
      </c>
      <c r="U306" s="16" t="s">
        <v>63</v>
      </c>
      <c r="V306" s="16" t="n">
        <v>6.6</v>
      </c>
      <c r="W306" s="16"/>
      <c r="X306" s="16" t="n">
        <v>40000</v>
      </c>
      <c r="Y306" s="16" t="n">
        <v>40000</v>
      </c>
      <c r="Z306" s="16" t="n">
        <v>40000</v>
      </c>
      <c r="AA306" s="16" t="n">
        <v>40000</v>
      </c>
      <c r="AB306" s="16" t="n">
        <v>40000</v>
      </c>
      <c r="AC306" s="26"/>
      <c r="AD306" s="16"/>
      <c r="AE306" s="26"/>
      <c r="AF306" s="16"/>
      <c r="AG306" s="16"/>
      <c r="AH306" s="16"/>
      <c r="AI306" s="16"/>
      <c r="AJ306" s="9" t="n">
        <f aca="false">X306*$V306</f>
        <v>264000</v>
      </c>
      <c r="AK306" s="9" t="n">
        <f aca="false">Y306*$V306</f>
        <v>264000</v>
      </c>
      <c r="AL306" s="9" t="n">
        <f aca="false">Z306*$V306</f>
        <v>264000</v>
      </c>
      <c r="AM306" s="9" t="n">
        <f aca="false">AA306*$V306</f>
        <v>264000</v>
      </c>
      <c r="AN306" s="9" t="n">
        <f aca="false">AB306*$V306</f>
        <v>264000</v>
      </c>
      <c r="AO306" s="9" t="n">
        <f aca="false">AC306*$V306</f>
        <v>0</v>
      </c>
      <c r="AP306" s="9" t="n">
        <f aca="false">AD306*$V306</f>
        <v>0</v>
      </c>
      <c r="AQ306" s="9" t="n">
        <f aca="false">AE306*$V306</f>
        <v>0</v>
      </c>
      <c r="AR306" s="9" t="n">
        <f aca="false">AF306*$V306</f>
        <v>0</v>
      </c>
      <c r="AS306" s="9" t="n">
        <f aca="false">AG306*$V306</f>
        <v>0</v>
      </c>
      <c r="AT306" s="9" t="n">
        <f aca="false">AH306*$V306</f>
        <v>0</v>
      </c>
      <c r="AU306" s="9" t="n">
        <f aca="false">AI306*$V306</f>
        <v>0</v>
      </c>
      <c r="AV306" s="9" t="n">
        <f aca="false">SUM(X306:AI306)/1000</f>
        <v>200</v>
      </c>
      <c r="AW306" s="9" t="n">
        <f aca="false">SUM(AJ306:AU306)</f>
        <v>1320000</v>
      </c>
      <c r="AX306" s="9" t="n">
        <f aca="false">IF(D306="INR",AW306/88.24,AW306)/1000000</f>
        <v>0.014959202175884</v>
      </c>
    </row>
    <row r="307" s="2" customFormat="true" ht="14.25" hidden="false" customHeight="false" outlineLevel="0" collapsed="false">
      <c r="A307" s="12"/>
      <c r="B307" s="16" t="n">
        <v>1</v>
      </c>
      <c r="C307" s="15"/>
      <c r="D307" s="16" t="s">
        <v>50</v>
      </c>
      <c r="E307" s="16" t="s">
        <v>51</v>
      </c>
      <c r="F307" s="16" t="s">
        <v>404</v>
      </c>
      <c r="G307" s="16" t="s">
        <v>405</v>
      </c>
      <c r="H307" s="16" t="s">
        <v>406</v>
      </c>
      <c r="I307" s="16" t="s">
        <v>105</v>
      </c>
      <c r="J307" s="16" t="s">
        <v>368</v>
      </c>
      <c r="K307" s="16"/>
      <c r="L307" s="16" t="s">
        <v>105</v>
      </c>
      <c r="M307" s="16" t="s">
        <v>368</v>
      </c>
      <c r="N307" s="16" t="s">
        <v>271</v>
      </c>
      <c r="O307" s="16"/>
      <c r="P307" s="16"/>
      <c r="Q307" s="16" t="s">
        <v>308</v>
      </c>
      <c r="R307" s="16"/>
      <c r="S307" s="16"/>
      <c r="T307" s="16" t="s">
        <v>701</v>
      </c>
      <c r="U307" s="16" t="s">
        <v>63</v>
      </c>
      <c r="V307" s="16" t="n">
        <v>0.52</v>
      </c>
      <c r="W307" s="33"/>
      <c r="X307" s="16" t="n">
        <v>500000</v>
      </c>
      <c r="Y307" s="16" t="n">
        <v>500000</v>
      </c>
      <c r="Z307" s="16" t="n">
        <v>500000</v>
      </c>
      <c r="AA307" s="16" t="n">
        <v>200000</v>
      </c>
      <c r="AB307" s="16" t="n">
        <v>300000</v>
      </c>
      <c r="AC307" s="16" t="n">
        <v>500000</v>
      </c>
      <c r="AD307" s="16" t="n">
        <v>200000</v>
      </c>
      <c r="AE307" s="16" t="n">
        <v>500000</v>
      </c>
      <c r="AF307" s="16" t="n">
        <v>200000</v>
      </c>
      <c r="AG307" s="16" t="n">
        <v>500000</v>
      </c>
      <c r="AH307" s="16" t="n">
        <v>200000</v>
      </c>
      <c r="AI307" s="16" t="n">
        <v>500000</v>
      </c>
      <c r="AJ307" s="9" t="n">
        <f aca="false">X307*$V307</f>
        <v>260000</v>
      </c>
      <c r="AK307" s="9" t="n">
        <f aca="false">Y307*$V307</f>
        <v>260000</v>
      </c>
      <c r="AL307" s="9" t="n">
        <f aca="false">Z307*$V307</f>
        <v>260000</v>
      </c>
      <c r="AM307" s="9" t="n">
        <f aca="false">AA307*$V307</f>
        <v>104000</v>
      </c>
      <c r="AN307" s="9" t="n">
        <f aca="false">AB307*$V307</f>
        <v>156000</v>
      </c>
      <c r="AO307" s="9" t="n">
        <f aca="false">AC307*$V307</f>
        <v>260000</v>
      </c>
      <c r="AP307" s="9" t="n">
        <f aca="false">AD307*$V307</f>
        <v>104000</v>
      </c>
      <c r="AQ307" s="9" t="n">
        <f aca="false">AE307*$V307</f>
        <v>260000</v>
      </c>
      <c r="AR307" s="9" t="n">
        <f aca="false">AF307*$V307</f>
        <v>104000</v>
      </c>
      <c r="AS307" s="9" t="n">
        <f aca="false">AG307*$V307</f>
        <v>260000</v>
      </c>
      <c r="AT307" s="9" t="n">
        <f aca="false">AH307*$V307</f>
        <v>104000</v>
      </c>
      <c r="AU307" s="9" t="n">
        <f aca="false">AI307*$V307</f>
        <v>260000</v>
      </c>
      <c r="AV307" s="9" t="n">
        <f aca="false">SUM(X307:AI307)/1000</f>
        <v>4600</v>
      </c>
      <c r="AW307" s="9" t="n">
        <f aca="false">SUM(AJ307:AU307)</f>
        <v>2392000</v>
      </c>
      <c r="AX307" s="9" t="n">
        <f aca="false">IF(D307="INR",AW307/88.24,AW307)/1000000</f>
        <v>0.0271078875793291</v>
      </c>
    </row>
    <row r="308" s="2" customFormat="true" ht="16.4" hidden="false" customHeight="false" outlineLevel="0" collapsed="false">
      <c r="A308" s="35" t="s">
        <v>702</v>
      </c>
      <c r="B308" s="9" t="n">
        <v>5</v>
      </c>
      <c r="C308" s="10"/>
      <c r="D308" s="9" t="s">
        <v>102</v>
      </c>
      <c r="E308" s="9" t="s">
        <v>51</v>
      </c>
      <c r="F308" s="9" t="s">
        <v>52</v>
      </c>
      <c r="G308" s="9" t="s">
        <v>494</v>
      </c>
      <c r="H308" s="9" t="s">
        <v>495</v>
      </c>
      <c r="I308" s="9" t="s">
        <v>260</v>
      </c>
      <c r="J308" s="9" t="s">
        <v>520</v>
      </c>
      <c r="K308" s="9" t="s">
        <v>495</v>
      </c>
      <c r="L308" s="9" t="s">
        <v>260</v>
      </c>
      <c r="M308" s="9" t="s">
        <v>520</v>
      </c>
      <c r="N308" s="9" t="s">
        <v>57</v>
      </c>
      <c r="O308" s="9" t="s">
        <v>94</v>
      </c>
      <c r="P308" s="9" t="s">
        <v>197</v>
      </c>
      <c r="Q308" s="9" t="s">
        <v>197</v>
      </c>
      <c r="R308" s="9" t="s">
        <v>86</v>
      </c>
      <c r="S308" s="9" t="s">
        <v>521</v>
      </c>
      <c r="T308" s="9" t="s">
        <v>703</v>
      </c>
      <c r="U308" s="9" t="s">
        <v>73</v>
      </c>
      <c r="V308" s="10" t="n">
        <v>0.0051</v>
      </c>
      <c r="W308" s="9" t="n">
        <v>0.00459</v>
      </c>
      <c r="X308" s="9" t="n">
        <v>8000</v>
      </c>
      <c r="Y308" s="9" t="n">
        <v>8000</v>
      </c>
      <c r="Z308" s="9" t="n">
        <v>8000</v>
      </c>
      <c r="AA308" s="9" t="n">
        <v>8000</v>
      </c>
      <c r="AB308" s="9" t="n">
        <v>8000</v>
      </c>
      <c r="AC308" s="9" t="n">
        <v>8000</v>
      </c>
      <c r="AD308" s="9" t="n">
        <v>8000</v>
      </c>
      <c r="AE308" s="9" t="n">
        <v>8000</v>
      </c>
      <c r="AF308" s="9" t="n">
        <v>8000</v>
      </c>
      <c r="AG308" s="9" t="n">
        <v>8000</v>
      </c>
      <c r="AH308" s="9" t="n">
        <v>8000</v>
      </c>
      <c r="AI308" s="9" t="n">
        <v>8000</v>
      </c>
      <c r="AJ308" s="9" t="n">
        <f aca="false">X308*$V308</f>
        <v>40.8</v>
      </c>
      <c r="AK308" s="9" t="n">
        <f aca="false">Y308*$V308</f>
        <v>40.8</v>
      </c>
      <c r="AL308" s="9" t="n">
        <f aca="false">Z308*$V308</f>
        <v>40.8</v>
      </c>
      <c r="AM308" s="9" t="n">
        <f aca="false">AA308*$V308</f>
        <v>40.8</v>
      </c>
      <c r="AN308" s="9" t="n">
        <f aca="false">AB308*$V308</f>
        <v>40.8</v>
      </c>
      <c r="AO308" s="9" t="n">
        <f aca="false">AC308*$V308</f>
        <v>40.8</v>
      </c>
      <c r="AP308" s="9" t="n">
        <f aca="false">AD308*$V308</f>
        <v>40.8</v>
      </c>
      <c r="AQ308" s="9" t="n">
        <f aca="false">AE308*$V308</f>
        <v>40.8</v>
      </c>
      <c r="AR308" s="9" t="n">
        <f aca="false">AF308*$V308</f>
        <v>40.8</v>
      </c>
      <c r="AS308" s="9" t="n">
        <f aca="false">AG308*$V308</f>
        <v>40.8</v>
      </c>
      <c r="AT308" s="9" t="n">
        <f aca="false">AH308*$V308</f>
        <v>40.8</v>
      </c>
      <c r="AU308" s="9" t="n">
        <f aca="false">AI308*$V308</f>
        <v>40.8</v>
      </c>
      <c r="AV308" s="9" t="n">
        <f aca="false">SUM(X308:AI308)/1000</f>
        <v>96</v>
      </c>
      <c r="AW308" s="9" t="n">
        <f aca="false">SUM(AJ308:AU308)</f>
        <v>489.6</v>
      </c>
      <c r="AX308" s="9" t="n">
        <f aca="false">IF(D308="INR",AW308/88.24,AW308)/1000000</f>
        <v>0.0004896</v>
      </c>
    </row>
    <row r="309" s="2" customFormat="true" ht="16.4" hidden="false" customHeight="false" outlineLevel="0" collapsed="false">
      <c r="A309" s="35" t="s">
        <v>704</v>
      </c>
      <c r="B309" s="9" t="n">
        <v>5</v>
      </c>
      <c r="C309" s="10"/>
      <c r="D309" s="9" t="s">
        <v>102</v>
      </c>
      <c r="E309" s="9" t="s">
        <v>51</v>
      </c>
      <c r="F309" s="9" t="s">
        <v>52</v>
      </c>
      <c r="G309" s="9" t="s">
        <v>494</v>
      </c>
      <c r="H309" s="9" t="s">
        <v>495</v>
      </c>
      <c r="I309" s="9" t="s">
        <v>260</v>
      </c>
      <c r="J309" s="9" t="s">
        <v>520</v>
      </c>
      <c r="K309" s="9" t="s">
        <v>495</v>
      </c>
      <c r="L309" s="9" t="s">
        <v>260</v>
      </c>
      <c r="M309" s="9" t="s">
        <v>520</v>
      </c>
      <c r="N309" s="9" t="s">
        <v>57</v>
      </c>
      <c r="O309" s="9" t="s">
        <v>94</v>
      </c>
      <c r="P309" s="9" t="s">
        <v>197</v>
      </c>
      <c r="Q309" s="9" t="s">
        <v>197</v>
      </c>
      <c r="R309" s="9" t="s">
        <v>86</v>
      </c>
      <c r="S309" s="9" t="s">
        <v>521</v>
      </c>
      <c r="T309" s="9" t="s">
        <v>705</v>
      </c>
      <c r="U309" s="9" t="s">
        <v>73</v>
      </c>
      <c r="V309" s="9" t="n">
        <v>0.0051</v>
      </c>
      <c r="W309" s="9" t="n">
        <v>0.00459</v>
      </c>
      <c r="X309" s="9" t="n">
        <v>8000</v>
      </c>
      <c r="Y309" s="9" t="n">
        <v>8000</v>
      </c>
      <c r="Z309" s="9" t="n">
        <v>8000</v>
      </c>
      <c r="AA309" s="9" t="n">
        <v>8000</v>
      </c>
      <c r="AB309" s="9" t="n">
        <v>8000</v>
      </c>
      <c r="AC309" s="9" t="n">
        <v>8000</v>
      </c>
      <c r="AD309" s="9" t="n">
        <v>8000</v>
      </c>
      <c r="AE309" s="9" t="n">
        <v>8000</v>
      </c>
      <c r="AF309" s="9" t="n">
        <v>8000</v>
      </c>
      <c r="AG309" s="9" t="n">
        <v>8000</v>
      </c>
      <c r="AH309" s="9" t="n">
        <v>8000</v>
      </c>
      <c r="AI309" s="9" t="n">
        <v>8000</v>
      </c>
      <c r="AJ309" s="9" t="n">
        <f aca="false">X309*$V309</f>
        <v>40.8</v>
      </c>
      <c r="AK309" s="9" t="n">
        <f aca="false">Y309*$V309</f>
        <v>40.8</v>
      </c>
      <c r="AL309" s="9" t="n">
        <f aca="false">Z309*$V309</f>
        <v>40.8</v>
      </c>
      <c r="AM309" s="9" t="n">
        <f aca="false">AA309*$V309</f>
        <v>40.8</v>
      </c>
      <c r="AN309" s="9" t="n">
        <f aca="false">AB309*$V309</f>
        <v>40.8</v>
      </c>
      <c r="AO309" s="9" t="n">
        <f aca="false">AC309*$V309</f>
        <v>40.8</v>
      </c>
      <c r="AP309" s="9" t="n">
        <f aca="false">AD309*$V309</f>
        <v>40.8</v>
      </c>
      <c r="AQ309" s="9" t="n">
        <f aca="false">AE309*$V309</f>
        <v>40.8</v>
      </c>
      <c r="AR309" s="9" t="n">
        <f aca="false">AF309*$V309</f>
        <v>40.8</v>
      </c>
      <c r="AS309" s="9" t="n">
        <f aca="false">AG309*$V309</f>
        <v>40.8</v>
      </c>
      <c r="AT309" s="9" t="n">
        <f aca="false">AH309*$V309</f>
        <v>40.8</v>
      </c>
      <c r="AU309" s="9" t="n">
        <f aca="false">AI309*$V309</f>
        <v>40.8</v>
      </c>
      <c r="AV309" s="9" t="n">
        <f aca="false">SUM(X309:AI309)/1000</f>
        <v>96</v>
      </c>
      <c r="AW309" s="9" t="n">
        <f aca="false">SUM(AJ309:AU309)</f>
        <v>489.6</v>
      </c>
      <c r="AX309" s="9" t="n">
        <f aca="false">IF(D309="INR",AW309/88.24,AW309)/1000000</f>
        <v>0.0004896</v>
      </c>
    </row>
    <row r="310" s="2" customFormat="true" ht="16.4" hidden="false" customHeight="false" outlineLevel="0" collapsed="false">
      <c r="A310" s="16" t="s">
        <v>706</v>
      </c>
      <c r="B310" s="16" t="n">
        <v>5</v>
      </c>
      <c r="C310" s="16"/>
      <c r="D310" s="16" t="s">
        <v>102</v>
      </c>
      <c r="E310" s="16" t="s">
        <v>51</v>
      </c>
      <c r="F310" s="16" t="s">
        <v>52</v>
      </c>
      <c r="G310" s="16" t="s">
        <v>494</v>
      </c>
      <c r="H310" s="16" t="s">
        <v>495</v>
      </c>
      <c r="I310" s="16" t="s">
        <v>260</v>
      </c>
      <c r="J310" s="16" t="s">
        <v>520</v>
      </c>
      <c r="K310" s="16" t="s">
        <v>495</v>
      </c>
      <c r="L310" s="16" t="s">
        <v>260</v>
      </c>
      <c r="M310" s="16" t="s">
        <v>520</v>
      </c>
      <c r="N310" s="16" t="s">
        <v>57</v>
      </c>
      <c r="O310" s="16" t="s">
        <v>94</v>
      </c>
      <c r="P310" s="16" t="s">
        <v>197</v>
      </c>
      <c r="Q310" s="16" t="s">
        <v>197</v>
      </c>
      <c r="R310" s="16" t="s">
        <v>86</v>
      </c>
      <c r="S310" s="16" t="s">
        <v>521</v>
      </c>
      <c r="T310" s="16" t="s">
        <v>707</v>
      </c>
      <c r="U310" s="16" t="s">
        <v>73</v>
      </c>
      <c r="V310" s="16" t="n">
        <v>0.00403</v>
      </c>
      <c r="W310" s="16" t="n">
        <v>0.00363</v>
      </c>
      <c r="X310" s="16" t="n">
        <v>8000</v>
      </c>
      <c r="Y310" s="16" t="n">
        <v>8000</v>
      </c>
      <c r="Z310" s="16" t="n">
        <v>8000</v>
      </c>
      <c r="AA310" s="16" t="n">
        <v>8000</v>
      </c>
      <c r="AB310" s="16" t="n">
        <v>8000</v>
      </c>
      <c r="AC310" s="16" t="n">
        <v>8000</v>
      </c>
      <c r="AD310" s="16" t="n">
        <v>8000</v>
      </c>
      <c r="AE310" s="16" t="n">
        <v>8000</v>
      </c>
      <c r="AF310" s="16" t="n">
        <v>8000</v>
      </c>
      <c r="AG310" s="16" t="n">
        <v>8000</v>
      </c>
      <c r="AH310" s="16" t="n">
        <v>8000</v>
      </c>
      <c r="AI310" s="16" t="n">
        <v>8000</v>
      </c>
      <c r="AJ310" s="9" t="n">
        <f aca="false">X310*$V310</f>
        <v>32.24</v>
      </c>
      <c r="AK310" s="9" t="n">
        <f aca="false">Y310*$V310</f>
        <v>32.24</v>
      </c>
      <c r="AL310" s="9" t="n">
        <f aca="false">Z310*$V310</f>
        <v>32.24</v>
      </c>
      <c r="AM310" s="9" t="n">
        <f aca="false">AA310*$V310</f>
        <v>32.24</v>
      </c>
      <c r="AN310" s="9" t="n">
        <f aca="false">AB310*$V310</f>
        <v>32.24</v>
      </c>
      <c r="AO310" s="9" t="n">
        <f aca="false">AC310*$V310</f>
        <v>32.24</v>
      </c>
      <c r="AP310" s="9" t="n">
        <f aca="false">AD310*$V310</f>
        <v>32.24</v>
      </c>
      <c r="AQ310" s="9" t="n">
        <f aca="false">AE310*$V310</f>
        <v>32.24</v>
      </c>
      <c r="AR310" s="9" t="n">
        <f aca="false">AF310*$V310</f>
        <v>32.24</v>
      </c>
      <c r="AS310" s="9" t="n">
        <f aca="false">AG310*$V310</f>
        <v>32.24</v>
      </c>
      <c r="AT310" s="9" t="n">
        <f aca="false">AH310*$V310</f>
        <v>32.24</v>
      </c>
      <c r="AU310" s="9" t="n">
        <f aca="false">AI310*$V310</f>
        <v>32.24</v>
      </c>
      <c r="AV310" s="9" t="n">
        <f aca="false">SUM(X310:AI310)/1000</f>
        <v>96</v>
      </c>
      <c r="AW310" s="9" t="n">
        <f aca="false">SUM(AJ310:AU310)</f>
        <v>386.88</v>
      </c>
      <c r="AX310" s="9" t="n">
        <f aca="false">IF(D310="INR",AW310/88.24,AW310)/1000000</f>
        <v>0.00038688</v>
      </c>
    </row>
    <row r="311" s="2" customFormat="true" ht="16.4" hidden="false" customHeight="false" outlineLevel="0" collapsed="false">
      <c r="A311" s="35" t="s">
        <v>708</v>
      </c>
      <c r="B311" s="9" t="n">
        <v>5</v>
      </c>
      <c r="C311" s="10"/>
      <c r="D311" s="9" t="s">
        <v>102</v>
      </c>
      <c r="E311" s="9" t="s">
        <v>51</v>
      </c>
      <c r="F311" s="9" t="s">
        <v>52</v>
      </c>
      <c r="G311" s="9" t="s">
        <v>494</v>
      </c>
      <c r="H311" s="9" t="s">
        <v>495</v>
      </c>
      <c r="I311" s="9" t="s">
        <v>260</v>
      </c>
      <c r="J311" s="9" t="s">
        <v>520</v>
      </c>
      <c r="K311" s="9" t="s">
        <v>495</v>
      </c>
      <c r="L311" s="9" t="s">
        <v>260</v>
      </c>
      <c r="M311" s="9" t="s">
        <v>520</v>
      </c>
      <c r="N311" s="9" t="s">
        <v>57</v>
      </c>
      <c r="O311" s="9" t="s">
        <v>94</v>
      </c>
      <c r="P311" s="9" t="s">
        <v>197</v>
      </c>
      <c r="Q311" s="9" t="s">
        <v>197</v>
      </c>
      <c r="R311" s="9" t="s">
        <v>86</v>
      </c>
      <c r="S311" s="9" t="s">
        <v>521</v>
      </c>
      <c r="T311" s="9" t="s">
        <v>709</v>
      </c>
      <c r="U311" s="9" t="s">
        <v>73</v>
      </c>
      <c r="V311" s="9" t="n">
        <v>0.00294</v>
      </c>
      <c r="W311" s="9" t="n">
        <v>0.00265</v>
      </c>
      <c r="X311" s="9" t="n">
        <v>8000</v>
      </c>
      <c r="Y311" s="9" t="n">
        <v>8000</v>
      </c>
      <c r="Z311" s="9" t="n">
        <v>8000</v>
      </c>
      <c r="AA311" s="9" t="n">
        <v>8000</v>
      </c>
      <c r="AB311" s="9" t="n">
        <v>8000</v>
      </c>
      <c r="AC311" s="9" t="n">
        <v>8000</v>
      </c>
      <c r="AD311" s="9" t="n">
        <v>8000</v>
      </c>
      <c r="AE311" s="9" t="n">
        <v>8000</v>
      </c>
      <c r="AF311" s="9" t="n">
        <v>8000</v>
      </c>
      <c r="AG311" s="9" t="n">
        <v>8000</v>
      </c>
      <c r="AH311" s="9" t="n">
        <v>8000</v>
      </c>
      <c r="AI311" s="9" t="n">
        <v>8000</v>
      </c>
      <c r="AJ311" s="9" t="n">
        <f aca="false">X311*$V311</f>
        <v>23.52</v>
      </c>
      <c r="AK311" s="9" t="n">
        <f aca="false">Y311*$V311</f>
        <v>23.52</v>
      </c>
      <c r="AL311" s="9" t="n">
        <f aca="false">Z311*$V311</f>
        <v>23.52</v>
      </c>
      <c r="AM311" s="9" t="n">
        <f aca="false">AA311*$V311</f>
        <v>23.52</v>
      </c>
      <c r="AN311" s="9" t="n">
        <f aca="false">AB311*$V311</f>
        <v>23.52</v>
      </c>
      <c r="AO311" s="9" t="n">
        <f aca="false">AC311*$V311</f>
        <v>23.52</v>
      </c>
      <c r="AP311" s="9" t="n">
        <f aca="false">AD311*$V311</f>
        <v>23.52</v>
      </c>
      <c r="AQ311" s="9" t="n">
        <f aca="false">AE311*$V311</f>
        <v>23.52</v>
      </c>
      <c r="AR311" s="9" t="n">
        <f aca="false">AF311*$V311</f>
        <v>23.52</v>
      </c>
      <c r="AS311" s="9" t="n">
        <f aca="false">AG311*$V311</f>
        <v>23.52</v>
      </c>
      <c r="AT311" s="9" t="n">
        <f aca="false">AH311*$V311</f>
        <v>23.52</v>
      </c>
      <c r="AU311" s="9" t="n">
        <f aca="false">AI311*$V311</f>
        <v>23.52</v>
      </c>
      <c r="AV311" s="9" t="n">
        <f aca="false">SUM(X311:AI311)/1000</f>
        <v>96</v>
      </c>
      <c r="AW311" s="9" t="n">
        <f aca="false">SUM(AJ311:AU311)</f>
        <v>282.24</v>
      </c>
      <c r="AX311" s="9" t="n">
        <f aca="false">IF(D311="INR",AW311/88.24,AW311)/1000000</f>
        <v>0.00028224</v>
      </c>
    </row>
    <row r="312" s="2" customFormat="true" ht="16.4" hidden="false" customHeight="false" outlineLevel="0" collapsed="false">
      <c r="A312" s="16" t="s">
        <v>710</v>
      </c>
      <c r="B312" s="16" t="n">
        <v>5</v>
      </c>
      <c r="C312" s="15"/>
      <c r="D312" s="16" t="s">
        <v>102</v>
      </c>
      <c r="E312" s="16" t="s">
        <v>51</v>
      </c>
      <c r="F312" s="16" t="s">
        <v>52</v>
      </c>
      <c r="G312" s="16" t="s">
        <v>494</v>
      </c>
      <c r="H312" s="16" t="s">
        <v>495</v>
      </c>
      <c r="I312" s="16" t="s">
        <v>260</v>
      </c>
      <c r="J312" s="16" t="s">
        <v>520</v>
      </c>
      <c r="K312" s="16" t="s">
        <v>495</v>
      </c>
      <c r="L312" s="16" t="s">
        <v>260</v>
      </c>
      <c r="M312" s="16" t="s">
        <v>520</v>
      </c>
      <c r="N312" s="16" t="s">
        <v>57</v>
      </c>
      <c r="O312" s="16" t="s">
        <v>94</v>
      </c>
      <c r="P312" s="16" t="s">
        <v>197</v>
      </c>
      <c r="Q312" s="16" t="s">
        <v>197</v>
      </c>
      <c r="R312" s="16" t="s">
        <v>86</v>
      </c>
      <c r="S312" s="16" t="s">
        <v>521</v>
      </c>
      <c r="T312" s="16" t="s">
        <v>711</v>
      </c>
      <c r="U312" s="16" t="s">
        <v>73</v>
      </c>
      <c r="V312" s="16" t="n">
        <v>0.00235</v>
      </c>
      <c r="W312" s="16" t="n">
        <v>0.00212</v>
      </c>
      <c r="X312" s="16" t="n">
        <v>8000</v>
      </c>
      <c r="Y312" s="16" t="n">
        <v>8000</v>
      </c>
      <c r="Z312" s="16" t="n">
        <v>8000</v>
      </c>
      <c r="AA312" s="16" t="n">
        <v>8000</v>
      </c>
      <c r="AB312" s="16" t="n">
        <v>8000</v>
      </c>
      <c r="AC312" s="16" t="n">
        <v>8000</v>
      </c>
      <c r="AD312" s="16" t="n">
        <v>8000</v>
      </c>
      <c r="AE312" s="16" t="n">
        <v>8000</v>
      </c>
      <c r="AF312" s="16" t="n">
        <v>8000</v>
      </c>
      <c r="AG312" s="16" t="n">
        <v>8000</v>
      </c>
      <c r="AH312" s="16" t="n">
        <v>8000</v>
      </c>
      <c r="AI312" s="16" t="n">
        <v>8000</v>
      </c>
      <c r="AJ312" s="9" t="n">
        <f aca="false">X312*$V312</f>
        <v>18.8</v>
      </c>
      <c r="AK312" s="9" t="n">
        <f aca="false">Y312*$V312</f>
        <v>18.8</v>
      </c>
      <c r="AL312" s="9" t="n">
        <f aca="false">Z312*$V312</f>
        <v>18.8</v>
      </c>
      <c r="AM312" s="9" t="n">
        <f aca="false">AA312*$V312</f>
        <v>18.8</v>
      </c>
      <c r="AN312" s="9" t="n">
        <f aca="false">AB312*$V312</f>
        <v>18.8</v>
      </c>
      <c r="AO312" s="9" t="n">
        <f aca="false">AC312*$V312</f>
        <v>18.8</v>
      </c>
      <c r="AP312" s="9" t="n">
        <f aca="false">AD312*$V312</f>
        <v>18.8</v>
      </c>
      <c r="AQ312" s="9" t="n">
        <f aca="false">AE312*$V312</f>
        <v>18.8</v>
      </c>
      <c r="AR312" s="9" t="n">
        <f aca="false">AF312*$V312</f>
        <v>18.8</v>
      </c>
      <c r="AS312" s="9" t="n">
        <f aca="false">AG312*$V312</f>
        <v>18.8</v>
      </c>
      <c r="AT312" s="9" t="n">
        <f aca="false">AH312*$V312</f>
        <v>18.8</v>
      </c>
      <c r="AU312" s="9" t="n">
        <f aca="false">AI312*$V312</f>
        <v>18.8</v>
      </c>
      <c r="AV312" s="9" t="n">
        <f aca="false">SUM(X312:AI312)/1000</f>
        <v>96</v>
      </c>
      <c r="AW312" s="9" t="n">
        <f aca="false">SUM(AJ312:AU312)</f>
        <v>225.6</v>
      </c>
      <c r="AX312" s="9" t="n">
        <f aca="false">IF(D312="INR",AW312/88.24,AW312)/1000000</f>
        <v>0.0002256</v>
      </c>
    </row>
    <row r="313" s="2" customFormat="true" ht="16.4" hidden="false" customHeight="false" outlineLevel="0" collapsed="false">
      <c r="A313" s="16" t="s">
        <v>712</v>
      </c>
      <c r="B313" s="16" t="n">
        <v>5</v>
      </c>
      <c r="C313" s="15"/>
      <c r="D313" s="16" t="s">
        <v>102</v>
      </c>
      <c r="E313" s="16" t="s">
        <v>51</v>
      </c>
      <c r="F313" s="16" t="s">
        <v>52</v>
      </c>
      <c r="G313" s="16" t="s">
        <v>494</v>
      </c>
      <c r="H313" s="16" t="s">
        <v>495</v>
      </c>
      <c r="I313" s="16" t="s">
        <v>260</v>
      </c>
      <c r="J313" s="16" t="s">
        <v>520</v>
      </c>
      <c r="K313" s="16" t="s">
        <v>495</v>
      </c>
      <c r="L313" s="16" t="s">
        <v>260</v>
      </c>
      <c r="M313" s="16" t="s">
        <v>520</v>
      </c>
      <c r="N313" s="16" t="s">
        <v>57</v>
      </c>
      <c r="O313" s="16" t="s">
        <v>94</v>
      </c>
      <c r="P313" s="16" t="s">
        <v>197</v>
      </c>
      <c r="Q313" s="16" t="s">
        <v>197</v>
      </c>
      <c r="R313" s="16" t="s">
        <v>86</v>
      </c>
      <c r="S313" s="16" t="s">
        <v>521</v>
      </c>
      <c r="T313" s="16" t="s">
        <v>713</v>
      </c>
      <c r="U313" s="16" t="s">
        <v>73</v>
      </c>
      <c r="V313" s="16" t="n">
        <v>0.00233</v>
      </c>
      <c r="W313" s="16" t="n">
        <v>0.0021</v>
      </c>
      <c r="X313" s="16" t="n">
        <v>8000</v>
      </c>
      <c r="Y313" s="16" t="n">
        <v>8000</v>
      </c>
      <c r="Z313" s="16" t="n">
        <v>8000</v>
      </c>
      <c r="AA313" s="16" t="n">
        <v>8000</v>
      </c>
      <c r="AB313" s="16" t="n">
        <v>8000</v>
      </c>
      <c r="AC313" s="16" t="n">
        <v>8000</v>
      </c>
      <c r="AD313" s="16" t="n">
        <v>8000</v>
      </c>
      <c r="AE313" s="16" t="n">
        <v>8000</v>
      </c>
      <c r="AF313" s="16" t="n">
        <v>8000</v>
      </c>
      <c r="AG313" s="16" t="n">
        <v>8000</v>
      </c>
      <c r="AH313" s="16" t="n">
        <v>8000</v>
      </c>
      <c r="AI313" s="16" t="n">
        <v>8000</v>
      </c>
      <c r="AJ313" s="9" t="n">
        <f aca="false">X313*$V313</f>
        <v>18.64</v>
      </c>
      <c r="AK313" s="9" t="n">
        <f aca="false">Y313*$V313</f>
        <v>18.64</v>
      </c>
      <c r="AL313" s="9" t="n">
        <f aca="false">Z313*$V313</f>
        <v>18.64</v>
      </c>
      <c r="AM313" s="9" t="n">
        <f aca="false">AA313*$V313</f>
        <v>18.64</v>
      </c>
      <c r="AN313" s="9" t="n">
        <f aca="false">AB313*$V313</f>
        <v>18.64</v>
      </c>
      <c r="AO313" s="9" t="n">
        <f aca="false">AC313*$V313</f>
        <v>18.64</v>
      </c>
      <c r="AP313" s="9" t="n">
        <f aca="false">AD313*$V313</f>
        <v>18.64</v>
      </c>
      <c r="AQ313" s="9" t="n">
        <f aca="false">AE313*$V313</f>
        <v>18.64</v>
      </c>
      <c r="AR313" s="9" t="n">
        <f aca="false">AF313*$V313</f>
        <v>18.64</v>
      </c>
      <c r="AS313" s="9" t="n">
        <f aca="false">AG313*$V313</f>
        <v>18.64</v>
      </c>
      <c r="AT313" s="9" t="n">
        <f aca="false">AH313*$V313</f>
        <v>18.64</v>
      </c>
      <c r="AU313" s="9" t="n">
        <f aca="false">AI313*$V313</f>
        <v>18.64</v>
      </c>
      <c r="AV313" s="9" t="n">
        <f aca="false">SUM(X313:AI313)/1000</f>
        <v>96</v>
      </c>
      <c r="AW313" s="9" t="n">
        <f aca="false">SUM(AJ313:AU313)</f>
        <v>223.68</v>
      </c>
      <c r="AX313" s="9" t="n">
        <f aca="false">IF(D313="INR",AW313/88.24,AW313)/1000000</f>
        <v>0.00022368</v>
      </c>
    </row>
    <row r="314" s="2" customFormat="true" ht="16.4" hidden="false" customHeight="false" outlineLevel="0" collapsed="false">
      <c r="A314" s="35" t="s">
        <v>714</v>
      </c>
      <c r="B314" s="9" t="n">
        <v>5</v>
      </c>
      <c r="C314" s="10"/>
      <c r="D314" s="9" t="s">
        <v>102</v>
      </c>
      <c r="E314" s="9" t="s">
        <v>51</v>
      </c>
      <c r="F314" s="9" t="s">
        <v>52</v>
      </c>
      <c r="G314" s="9" t="s">
        <v>494</v>
      </c>
      <c r="H314" s="9" t="s">
        <v>495</v>
      </c>
      <c r="I314" s="9" t="s">
        <v>260</v>
      </c>
      <c r="J314" s="9" t="s">
        <v>520</v>
      </c>
      <c r="K314" s="9" t="s">
        <v>495</v>
      </c>
      <c r="L314" s="9" t="s">
        <v>260</v>
      </c>
      <c r="M314" s="9" t="s">
        <v>520</v>
      </c>
      <c r="N314" s="9" t="s">
        <v>57</v>
      </c>
      <c r="O314" s="9" t="s">
        <v>94</v>
      </c>
      <c r="P314" s="9" t="s">
        <v>197</v>
      </c>
      <c r="Q314" s="9" t="s">
        <v>197</v>
      </c>
      <c r="R314" s="9" t="s">
        <v>86</v>
      </c>
      <c r="S314" s="9" t="s">
        <v>521</v>
      </c>
      <c r="T314" s="9" t="s">
        <v>715</v>
      </c>
      <c r="U314" s="9" t="s">
        <v>73</v>
      </c>
      <c r="V314" s="9" t="n">
        <v>0.00217</v>
      </c>
      <c r="W314" s="9" t="n">
        <v>0.00195</v>
      </c>
      <c r="X314" s="9" t="n">
        <v>8000</v>
      </c>
      <c r="Y314" s="9" t="n">
        <v>8000</v>
      </c>
      <c r="Z314" s="9" t="n">
        <v>8000</v>
      </c>
      <c r="AA314" s="9" t="n">
        <v>8000</v>
      </c>
      <c r="AB314" s="9" t="n">
        <v>8000</v>
      </c>
      <c r="AC314" s="9" t="n">
        <v>8000</v>
      </c>
      <c r="AD314" s="9" t="n">
        <v>8000</v>
      </c>
      <c r="AE314" s="9" t="n">
        <v>8000</v>
      </c>
      <c r="AF314" s="9" t="n">
        <v>8000</v>
      </c>
      <c r="AG314" s="9" t="n">
        <v>8000</v>
      </c>
      <c r="AH314" s="9" t="n">
        <v>8000</v>
      </c>
      <c r="AI314" s="9" t="n">
        <v>8000</v>
      </c>
      <c r="AJ314" s="9" t="n">
        <f aca="false">X314*$V314</f>
        <v>17.36</v>
      </c>
      <c r="AK314" s="9" t="n">
        <f aca="false">Y314*$V314</f>
        <v>17.36</v>
      </c>
      <c r="AL314" s="9" t="n">
        <f aca="false">Z314*$V314</f>
        <v>17.36</v>
      </c>
      <c r="AM314" s="9" t="n">
        <f aca="false">AA314*$V314</f>
        <v>17.36</v>
      </c>
      <c r="AN314" s="9" t="n">
        <f aca="false">AB314*$V314</f>
        <v>17.36</v>
      </c>
      <c r="AO314" s="9" t="n">
        <f aca="false">AC314*$V314</f>
        <v>17.36</v>
      </c>
      <c r="AP314" s="9" t="n">
        <f aca="false">AD314*$V314</f>
        <v>17.36</v>
      </c>
      <c r="AQ314" s="9" t="n">
        <f aca="false">AE314*$V314</f>
        <v>17.36</v>
      </c>
      <c r="AR314" s="9" t="n">
        <f aca="false">AF314*$V314</f>
        <v>17.36</v>
      </c>
      <c r="AS314" s="9" t="n">
        <f aca="false">AG314*$V314</f>
        <v>17.36</v>
      </c>
      <c r="AT314" s="9" t="n">
        <f aca="false">AH314*$V314</f>
        <v>17.36</v>
      </c>
      <c r="AU314" s="9" t="n">
        <f aca="false">AI314*$V314</f>
        <v>17.36</v>
      </c>
      <c r="AV314" s="9" t="n">
        <f aca="false">SUM(X314:AI314)/1000</f>
        <v>96</v>
      </c>
      <c r="AW314" s="9" t="n">
        <f aca="false">SUM(AJ314:AU314)</f>
        <v>208.32</v>
      </c>
      <c r="AX314" s="9" t="n">
        <f aca="false">IF(D314="INR",AW314/88.24,AW314)/1000000</f>
        <v>0.00020832</v>
      </c>
    </row>
    <row r="315" s="2" customFormat="true" ht="14.25" hidden="false" customHeight="true" outlineLevel="0" collapsed="false">
      <c r="A315" s="16" t="s">
        <v>716</v>
      </c>
      <c r="B315" s="16" t="n">
        <v>5</v>
      </c>
      <c r="C315" s="16"/>
      <c r="D315" s="16" t="s">
        <v>102</v>
      </c>
      <c r="E315" s="16" t="s">
        <v>51</v>
      </c>
      <c r="F315" s="16" t="s">
        <v>52</v>
      </c>
      <c r="G315" s="16" t="s">
        <v>494</v>
      </c>
      <c r="H315" s="16" t="s">
        <v>495</v>
      </c>
      <c r="I315" s="16" t="s">
        <v>260</v>
      </c>
      <c r="J315" s="16" t="s">
        <v>520</v>
      </c>
      <c r="K315" s="16" t="s">
        <v>495</v>
      </c>
      <c r="L315" s="16" t="s">
        <v>260</v>
      </c>
      <c r="M315" s="16" t="s">
        <v>520</v>
      </c>
      <c r="N315" s="16" t="s">
        <v>57</v>
      </c>
      <c r="O315" s="16" t="s">
        <v>94</v>
      </c>
      <c r="P315" s="16" t="s">
        <v>197</v>
      </c>
      <c r="Q315" s="16" t="s">
        <v>197</v>
      </c>
      <c r="R315" s="16" t="s">
        <v>86</v>
      </c>
      <c r="S315" s="16" t="s">
        <v>521</v>
      </c>
      <c r="T315" s="26" t="s">
        <v>717</v>
      </c>
      <c r="U315" s="16" t="s">
        <v>73</v>
      </c>
      <c r="V315" s="26" t="n">
        <v>0.002156</v>
      </c>
      <c r="W315" s="16" t="n">
        <v>0.00194</v>
      </c>
      <c r="X315" s="30" t="n">
        <v>8000</v>
      </c>
      <c r="Y315" s="30" t="n">
        <v>8000</v>
      </c>
      <c r="Z315" s="30" t="n">
        <v>8000</v>
      </c>
      <c r="AA315" s="30" t="n">
        <v>8000</v>
      </c>
      <c r="AB315" s="30" t="n">
        <v>8000</v>
      </c>
      <c r="AC315" s="30" t="n">
        <v>8000</v>
      </c>
      <c r="AD315" s="30" t="n">
        <v>8000</v>
      </c>
      <c r="AE315" s="30" t="n">
        <v>8000</v>
      </c>
      <c r="AF315" s="30" t="n">
        <v>8000</v>
      </c>
      <c r="AG315" s="30" t="n">
        <v>8000</v>
      </c>
      <c r="AH315" s="30" t="n">
        <v>8000</v>
      </c>
      <c r="AI315" s="30" t="n">
        <v>8000</v>
      </c>
      <c r="AJ315" s="9" t="n">
        <f aca="false">X315*$V315</f>
        <v>17.248</v>
      </c>
      <c r="AK315" s="9" t="n">
        <f aca="false">Y315*$V315</f>
        <v>17.248</v>
      </c>
      <c r="AL315" s="9" t="n">
        <f aca="false">Z315*$V315</f>
        <v>17.248</v>
      </c>
      <c r="AM315" s="9" t="n">
        <f aca="false">AA315*$V315</f>
        <v>17.248</v>
      </c>
      <c r="AN315" s="9" t="n">
        <f aca="false">AB315*$V315</f>
        <v>17.248</v>
      </c>
      <c r="AO315" s="9" t="n">
        <f aca="false">AC315*$V315</f>
        <v>17.248</v>
      </c>
      <c r="AP315" s="9" t="n">
        <f aca="false">AD315*$V315</f>
        <v>17.248</v>
      </c>
      <c r="AQ315" s="9" t="n">
        <f aca="false">AE315*$V315</f>
        <v>17.248</v>
      </c>
      <c r="AR315" s="9" t="n">
        <f aca="false">AF315*$V315</f>
        <v>17.248</v>
      </c>
      <c r="AS315" s="9" t="n">
        <f aca="false">AG315*$V315</f>
        <v>17.248</v>
      </c>
      <c r="AT315" s="9" t="n">
        <f aca="false">AH315*$V315</f>
        <v>17.248</v>
      </c>
      <c r="AU315" s="9" t="n">
        <f aca="false">AI315*$V315</f>
        <v>17.248</v>
      </c>
      <c r="AV315" s="9" t="n">
        <f aca="false">SUM(X315:AI315)/1000</f>
        <v>96</v>
      </c>
      <c r="AW315" s="9" t="n">
        <f aca="false">SUM(AJ315:AU315)</f>
        <v>206.976</v>
      </c>
      <c r="AX315" s="9" t="n">
        <f aca="false">IF(D315="INR",AW315/88.24,AW315)/1000000</f>
        <v>0.000206976</v>
      </c>
    </row>
    <row r="316" s="2" customFormat="true" ht="16.4" hidden="false" customHeight="false" outlineLevel="0" collapsed="false">
      <c r="A316" s="16" t="s">
        <v>718</v>
      </c>
      <c r="B316" s="16" t="n">
        <v>5</v>
      </c>
      <c r="C316" s="16"/>
      <c r="D316" s="16" t="s">
        <v>102</v>
      </c>
      <c r="E316" s="16" t="s">
        <v>51</v>
      </c>
      <c r="F316" s="16" t="s">
        <v>52</v>
      </c>
      <c r="G316" s="16" t="s">
        <v>494</v>
      </c>
      <c r="H316" s="16" t="s">
        <v>495</v>
      </c>
      <c r="I316" s="16" t="s">
        <v>260</v>
      </c>
      <c r="J316" s="16" t="s">
        <v>520</v>
      </c>
      <c r="K316" s="16" t="s">
        <v>495</v>
      </c>
      <c r="L316" s="16" t="s">
        <v>260</v>
      </c>
      <c r="M316" s="16" t="s">
        <v>520</v>
      </c>
      <c r="N316" s="16" t="s">
        <v>57</v>
      </c>
      <c r="O316" s="16" t="s">
        <v>94</v>
      </c>
      <c r="P316" s="16" t="s">
        <v>197</v>
      </c>
      <c r="Q316" s="16" t="s">
        <v>197</v>
      </c>
      <c r="R316" s="26" t="s">
        <v>86</v>
      </c>
      <c r="S316" s="16" t="s">
        <v>521</v>
      </c>
      <c r="T316" s="16" t="s">
        <v>719</v>
      </c>
      <c r="U316" s="16" t="s">
        <v>73</v>
      </c>
      <c r="V316" s="16" t="n">
        <v>0.00196</v>
      </c>
      <c r="W316" s="16" t="n">
        <v>0.00176</v>
      </c>
      <c r="X316" s="16" t="n">
        <v>8000</v>
      </c>
      <c r="Y316" s="16" t="n">
        <v>8000</v>
      </c>
      <c r="Z316" s="16" t="n">
        <v>8000</v>
      </c>
      <c r="AA316" s="16" t="n">
        <v>8000</v>
      </c>
      <c r="AB316" s="16" t="n">
        <v>8000</v>
      </c>
      <c r="AC316" s="16" t="n">
        <v>8000</v>
      </c>
      <c r="AD316" s="16" t="n">
        <v>8000</v>
      </c>
      <c r="AE316" s="16" t="n">
        <v>8000</v>
      </c>
      <c r="AF316" s="16" t="n">
        <v>8000</v>
      </c>
      <c r="AG316" s="16" t="n">
        <v>8000</v>
      </c>
      <c r="AH316" s="16" t="n">
        <v>8000</v>
      </c>
      <c r="AI316" s="16" t="n">
        <v>8000</v>
      </c>
      <c r="AJ316" s="9" t="n">
        <f aca="false">X316*$V316</f>
        <v>15.68</v>
      </c>
      <c r="AK316" s="9" t="n">
        <f aca="false">Y316*$V316</f>
        <v>15.68</v>
      </c>
      <c r="AL316" s="9" t="n">
        <f aca="false">Z316*$V316</f>
        <v>15.68</v>
      </c>
      <c r="AM316" s="9" t="n">
        <f aca="false">AA316*$V316</f>
        <v>15.68</v>
      </c>
      <c r="AN316" s="9" t="n">
        <f aca="false">AB316*$V316</f>
        <v>15.68</v>
      </c>
      <c r="AO316" s="9" t="n">
        <f aca="false">AC316*$V316</f>
        <v>15.68</v>
      </c>
      <c r="AP316" s="9" t="n">
        <f aca="false">AD316*$V316</f>
        <v>15.68</v>
      </c>
      <c r="AQ316" s="9" t="n">
        <f aca="false">AE316*$V316</f>
        <v>15.68</v>
      </c>
      <c r="AR316" s="9" t="n">
        <f aca="false">AF316*$V316</f>
        <v>15.68</v>
      </c>
      <c r="AS316" s="9" t="n">
        <f aca="false">AG316*$V316</f>
        <v>15.68</v>
      </c>
      <c r="AT316" s="9" t="n">
        <f aca="false">AH316*$V316</f>
        <v>15.68</v>
      </c>
      <c r="AU316" s="9" t="n">
        <f aca="false">AI316*$V316</f>
        <v>15.68</v>
      </c>
      <c r="AV316" s="9" t="n">
        <f aca="false">SUM(X316:AI316)/1000</f>
        <v>96</v>
      </c>
      <c r="AW316" s="9" t="n">
        <f aca="false">SUM(AJ316:AU316)</f>
        <v>188.16</v>
      </c>
      <c r="AX316" s="9" t="n">
        <f aca="false">IF(D316="INR",AW316/88.24,AW316)/1000000</f>
        <v>0.00018816</v>
      </c>
    </row>
    <row r="317" s="2" customFormat="true" ht="16.4" hidden="false" customHeight="false" outlineLevel="0" collapsed="false">
      <c r="A317" s="16" t="s">
        <v>720</v>
      </c>
      <c r="B317" s="16" t="n">
        <v>5</v>
      </c>
      <c r="C317" s="16"/>
      <c r="D317" s="16" t="s">
        <v>102</v>
      </c>
      <c r="E317" s="16" t="s">
        <v>51</v>
      </c>
      <c r="F317" s="16" t="s">
        <v>52</v>
      </c>
      <c r="G317" s="16" t="s">
        <v>494</v>
      </c>
      <c r="H317" s="16" t="s">
        <v>495</v>
      </c>
      <c r="I317" s="16" t="s">
        <v>260</v>
      </c>
      <c r="J317" s="16" t="s">
        <v>520</v>
      </c>
      <c r="K317" s="16" t="s">
        <v>495</v>
      </c>
      <c r="L317" s="16" t="s">
        <v>260</v>
      </c>
      <c r="M317" s="16" t="s">
        <v>520</v>
      </c>
      <c r="N317" s="16" t="s">
        <v>57</v>
      </c>
      <c r="O317" s="16" t="s">
        <v>94</v>
      </c>
      <c r="P317" s="16" t="s">
        <v>197</v>
      </c>
      <c r="Q317" s="16" t="s">
        <v>197</v>
      </c>
      <c r="R317" s="16" t="s">
        <v>86</v>
      </c>
      <c r="S317" s="26" t="s">
        <v>521</v>
      </c>
      <c r="T317" s="16" t="s">
        <v>721</v>
      </c>
      <c r="U317" s="16" t="s">
        <v>73</v>
      </c>
      <c r="V317" s="26" t="n">
        <v>0.00196</v>
      </c>
      <c r="W317" s="16" t="n">
        <v>0.00176</v>
      </c>
      <c r="X317" s="16" t="n">
        <v>8000</v>
      </c>
      <c r="Y317" s="16" t="n">
        <v>8000</v>
      </c>
      <c r="Z317" s="16" t="n">
        <v>8000</v>
      </c>
      <c r="AA317" s="16" t="n">
        <v>8000</v>
      </c>
      <c r="AB317" s="16" t="n">
        <v>8000</v>
      </c>
      <c r="AC317" s="16" t="n">
        <v>8000</v>
      </c>
      <c r="AD317" s="16" t="n">
        <v>8000</v>
      </c>
      <c r="AE317" s="16" t="n">
        <v>8000</v>
      </c>
      <c r="AF317" s="16" t="n">
        <v>8000</v>
      </c>
      <c r="AG317" s="16" t="n">
        <v>8000</v>
      </c>
      <c r="AH317" s="16" t="n">
        <v>8000</v>
      </c>
      <c r="AI317" s="16" t="n">
        <v>8000</v>
      </c>
      <c r="AJ317" s="9" t="n">
        <f aca="false">X317*$V317</f>
        <v>15.68</v>
      </c>
      <c r="AK317" s="9" t="n">
        <f aca="false">Y317*$V317</f>
        <v>15.68</v>
      </c>
      <c r="AL317" s="9" t="n">
        <f aca="false">Z317*$V317</f>
        <v>15.68</v>
      </c>
      <c r="AM317" s="9" t="n">
        <f aca="false">AA317*$V317</f>
        <v>15.68</v>
      </c>
      <c r="AN317" s="9" t="n">
        <f aca="false">AB317*$V317</f>
        <v>15.68</v>
      </c>
      <c r="AO317" s="9" t="n">
        <f aca="false">AC317*$V317</f>
        <v>15.68</v>
      </c>
      <c r="AP317" s="9" t="n">
        <f aca="false">AD317*$V317</f>
        <v>15.68</v>
      </c>
      <c r="AQ317" s="9" t="n">
        <f aca="false">AE317*$V317</f>
        <v>15.68</v>
      </c>
      <c r="AR317" s="9" t="n">
        <f aca="false">AF317*$V317</f>
        <v>15.68</v>
      </c>
      <c r="AS317" s="9" t="n">
        <f aca="false">AG317*$V317</f>
        <v>15.68</v>
      </c>
      <c r="AT317" s="9" t="n">
        <f aca="false">AH317*$V317</f>
        <v>15.68</v>
      </c>
      <c r="AU317" s="9" t="n">
        <f aca="false">AI317*$V317</f>
        <v>15.68</v>
      </c>
      <c r="AV317" s="9" t="n">
        <f aca="false">SUM(X317:AI317)/1000</f>
        <v>96</v>
      </c>
      <c r="AW317" s="9" t="n">
        <f aca="false">SUM(AJ317:AU317)</f>
        <v>188.16</v>
      </c>
      <c r="AX317" s="9" t="n">
        <f aca="false">IF(D317="INR",AW317/88.24,AW317)/1000000</f>
        <v>0.00018816</v>
      </c>
    </row>
    <row r="318" s="2" customFormat="true" ht="16.4" hidden="false" customHeight="false" outlineLevel="0" collapsed="false">
      <c r="A318" s="16" t="s">
        <v>722</v>
      </c>
      <c r="B318" s="16" t="n">
        <v>5</v>
      </c>
      <c r="C318" s="16"/>
      <c r="D318" s="16" t="s">
        <v>102</v>
      </c>
      <c r="E318" s="16" t="s">
        <v>51</v>
      </c>
      <c r="F318" s="16" t="s">
        <v>52</v>
      </c>
      <c r="G318" s="16" t="s">
        <v>494</v>
      </c>
      <c r="H318" s="16" t="s">
        <v>495</v>
      </c>
      <c r="I318" s="16" t="s">
        <v>260</v>
      </c>
      <c r="J318" s="16" t="s">
        <v>520</v>
      </c>
      <c r="K318" s="16" t="s">
        <v>495</v>
      </c>
      <c r="L318" s="16" t="s">
        <v>260</v>
      </c>
      <c r="M318" s="16" t="s">
        <v>520</v>
      </c>
      <c r="N318" s="16" t="s">
        <v>57</v>
      </c>
      <c r="O318" s="16" t="s">
        <v>94</v>
      </c>
      <c r="P318" s="16" t="s">
        <v>197</v>
      </c>
      <c r="Q318" s="16" t="s">
        <v>197</v>
      </c>
      <c r="R318" s="16" t="s">
        <v>86</v>
      </c>
      <c r="S318" s="16" t="s">
        <v>521</v>
      </c>
      <c r="T318" s="16" t="s">
        <v>723</v>
      </c>
      <c r="U318" s="16" t="s">
        <v>73</v>
      </c>
      <c r="V318" s="16" t="n">
        <v>0.00147</v>
      </c>
      <c r="W318" s="16" t="n">
        <v>0.00132</v>
      </c>
      <c r="X318" s="16" t="n">
        <v>8000</v>
      </c>
      <c r="Y318" s="16" t="n">
        <v>8000</v>
      </c>
      <c r="Z318" s="16" t="n">
        <v>8000</v>
      </c>
      <c r="AA318" s="16" t="n">
        <v>8000</v>
      </c>
      <c r="AB318" s="16" t="n">
        <v>8000</v>
      </c>
      <c r="AC318" s="16" t="n">
        <v>8000</v>
      </c>
      <c r="AD318" s="16" t="n">
        <v>8000</v>
      </c>
      <c r="AE318" s="16" t="n">
        <v>8000</v>
      </c>
      <c r="AF318" s="16" t="n">
        <v>8000</v>
      </c>
      <c r="AG318" s="16" t="n">
        <v>8000</v>
      </c>
      <c r="AH318" s="16" t="n">
        <v>8000</v>
      </c>
      <c r="AI318" s="16" t="n">
        <v>8000</v>
      </c>
      <c r="AJ318" s="9" t="n">
        <f aca="false">X318*$V318</f>
        <v>11.76</v>
      </c>
      <c r="AK318" s="9" t="n">
        <f aca="false">Y318*$V318</f>
        <v>11.76</v>
      </c>
      <c r="AL318" s="9" t="n">
        <f aca="false">Z318*$V318</f>
        <v>11.76</v>
      </c>
      <c r="AM318" s="9" t="n">
        <f aca="false">AA318*$V318</f>
        <v>11.76</v>
      </c>
      <c r="AN318" s="9" t="n">
        <f aca="false">AB318*$V318</f>
        <v>11.76</v>
      </c>
      <c r="AO318" s="9" t="n">
        <f aca="false">AC318*$V318</f>
        <v>11.76</v>
      </c>
      <c r="AP318" s="9" t="n">
        <f aca="false">AD318*$V318</f>
        <v>11.76</v>
      </c>
      <c r="AQ318" s="9" t="n">
        <f aca="false">AE318*$V318</f>
        <v>11.76</v>
      </c>
      <c r="AR318" s="9" t="n">
        <f aca="false">AF318*$V318</f>
        <v>11.76</v>
      </c>
      <c r="AS318" s="9" t="n">
        <f aca="false">AG318*$V318</f>
        <v>11.76</v>
      </c>
      <c r="AT318" s="9" t="n">
        <f aca="false">AH318*$V318</f>
        <v>11.76</v>
      </c>
      <c r="AU318" s="9" t="n">
        <f aca="false">AI318*$V318</f>
        <v>11.76</v>
      </c>
      <c r="AV318" s="9" t="n">
        <f aca="false">SUM(X318:AI318)/1000</f>
        <v>96</v>
      </c>
      <c r="AW318" s="9" t="n">
        <f aca="false">SUM(AJ318:AU318)</f>
        <v>141.12</v>
      </c>
      <c r="AX318" s="9" t="n">
        <f aca="false">IF(D318="INR",AW318/88.24,AW318)/1000000</f>
        <v>0.00014112</v>
      </c>
    </row>
    <row r="319" s="2" customFormat="true" ht="16.4" hidden="false" customHeight="false" outlineLevel="0" collapsed="false">
      <c r="A319" s="16" t="s">
        <v>724</v>
      </c>
      <c r="B319" s="16" t="n">
        <v>5</v>
      </c>
      <c r="C319" s="16"/>
      <c r="D319" s="16" t="s">
        <v>102</v>
      </c>
      <c r="E319" s="16" t="s">
        <v>51</v>
      </c>
      <c r="F319" s="16" t="s">
        <v>52</v>
      </c>
      <c r="G319" s="16" t="s">
        <v>494</v>
      </c>
      <c r="H319" s="16" t="s">
        <v>495</v>
      </c>
      <c r="I319" s="16" t="s">
        <v>260</v>
      </c>
      <c r="J319" s="16" t="s">
        <v>520</v>
      </c>
      <c r="K319" s="16" t="s">
        <v>495</v>
      </c>
      <c r="L319" s="16" t="s">
        <v>260</v>
      </c>
      <c r="M319" s="16" t="s">
        <v>520</v>
      </c>
      <c r="N319" s="16" t="s">
        <v>57</v>
      </c>
      <c r="O319" s="16" t="s">
        <v>94</v>
      </c>
      <c r="P319" s="16" t="s">
        <v>197</v>
      </c>
      <c r="Q319" s="16" t="s">
        <v>197</v>
      </c>
      <c r="R319" s="16" t="s">
        <v>86</v>
      </c>
      <c r="S319" s="16" t="s">
        <v>521</v>
      </c>
      <c r="T319" s="16" t="s">
        <v>725</v>
      </c>
      <c r="U319" s="16" t="s">
        <v>73</v>
      </c>
      <c r="V319" s="16" t="n">
        <v>0.00118</v>
      </c>
      <c r="W319" s="16" t="n">
        <v>0.00106</v>
      </c>
      <c r="X319" s="16" t="n">
        <v>8000</v>
      </c>
      <c r="Y319" s="16" t="n">
        <v>8000</v>
      </c>
      <c r="Z319" s="16" t="n">
        <v>8000</v>
      </c>
      <c r="AA319" s="16" t="n">
        <v>8000</v>
      </c>
      <c r="AB319" s="16" t="n">
        <v>8000</v>
      </c>
      <c r="AC319" s="16" t="n">
        <v>8000</v>
      </c>
      <c r="AD319" s="16" t="n">
        <v>8000</v>
      </c>
      <c r="AE319" s="16" t="n">
        <v>8000</v>
      </c>
      <c r="AF319" s="16" t="n">
        <v>8000</v>
      </c>
      <c r="AG319" s="16" t="n">
        <v>8000</v>
      </c>
      <c r="AH319" s="16" t="n">
        <v>8000</v>
      </c>
      <c r="AI319" s="16" t="n">
        <v>8000</v>
      </c>
      <c r="AJ319" s="9" t="n">
        <f aca="false">X319*$V319</f>
        <v>9.44</v>
      </c>
      <c r="AK319" s="9" t="n">
        <f aca="false">Y319*$V319</f>
        <v>9.44</v>
      </c>
      <c r="AL319" s="9" t="n">
        <f aca="false">Z319*$V319</f>
        <v>9.44</v>
      </c>
      <c r="AM319" s="9" t="n">
        <f aca="false">AA319*$V319</f>
        <v>9.44</v>
      </c>
      <c r="AN319" s="9" t="n">
        <f aca="false">AB319*$V319</f>
        <v>9.44</v>
      </c>
      <c r="AO319" s="9" t="n">
        <f aca="false">AC319*$V319</f>
        <v>9.44</v>
      </c>
      <c r="AP319" s="9" t="n">
        <f aca="false">AD319*$V319</f>
        <v>9.44</v>
      </c>
      <c r="AQ319" s="9" t="n">
        <f aca="false">AE319*$V319</f>
        <v>9.44</v>
      </c>
      <c r="AR319" s="9" t="n">
        <f aca="false">AF319*$V319</f>
        <v>9.44</v>
      </c>
      <c r="AS319" s="9" t="n">
        <f aca="false">AG319*$V319</f>
        <v>9.44</v>
      </c>
      <c r="AT319" s="9" t="n">
        <f aca="false">AH319*$V319</f>
        <v>9.44</v>
      </c>
      <c r="AU319" s="9" t="n">
        <f aca="false">AI319*$V319</f>
        <v>9.44</v>
      </c>
      <c r="AV319" s="9" t="n">
        <f aca="false">SUM(X319:AI319)/1000</f>
        <v>96</v>
      </c>
      <c r="AW319" s="9" t="n">
        <f aca="false">SUM(AJ319:AU319)</f>
        <v>113.28</v>
      </c>
      <c r="AX319" s="9" t="n">
        <f aca="false">IF(D319="INR",AW319/88.24,AW319)/1000000</f>
        <v>0.00011328</v>
      </c>
    </row>
    <row r="320" s="2" customFormat="true" ht="16.4" hidden="false" customHeight="false" outlineLevel="0" collapsed="false">
      <c r="A320" s="16" t="s">
        <v>726</v>
      </c>
      <c r="B320" s="16" t="n">
        <v>5</v>
      </c>
      <c r="C320" s="16"/>
      <c r="D320" s="16" t="s">
        <v>102</v>
      </c>
      <c r="E320" s="16" t="s">
        <v>51</v>
      </c>
      <c r="F320" s="16" t="s">
        <v>52</v>
      </c>
      <c r="G320" s="16" t="s">
        <v>494</v>
      </c>
      <c r="H320" s="16" t="s">
        <v>495</v>
      </c>
      <c r="I320" s="16" t="s">
        <v>260</v>
      </c>
      <c r="J320" s="16" t="s">
        <v>520</v>
      </c>
      <c r="K320" s="16" t="s">
        <v>495</v>
      </c>
      <c r="L320" s="16" t="s">
        <v>260</v>
      </c>
      <c r="M320" s="16" t="s">
        <v>520</v>
      </c>
      <c r="N320" s="16" t="s">
        <v>57</v>
      </c>
      <c r="O320" s="16" t="s">
        <v>94</v>
      </c>
      <c r="P320" s="16" t="s">
        <v>197</v>
      </c>
      <c r="Q320" s="16" t="s">
        <v>197</v>
      </c>
      <c r="R320" s="16" t="s">
        <v>86</v>
      </c>
      <c r="S320" s="16" t="s">
        <v>521</v>
      </c>
      <c r="T320" s="16" t="s">
        <v>727</v>
      </c>
      <c r="U320" s="16" t="s">
        <v>73</v>
      </c>
      <c r="V320" s="16" t="n">
        <v>0.00118</v>
      </c>
      <c r="W320" s="16" t="n">
        <v>0.00106</v>
      </c>
      <c r="X320" s="16" t="n">
        <v>8000</v>
      </c>
      <c r="Y320" s="16" t="n">
        <v>8000</v>
      </c>
      <c r="Z320" s="16" t="n">
        <v>8000</v>
      </c>
      <c r="AA320" s="16" t="n">
        <v>8000</v>
      </c>
      <c r="AB320" s="16" t="n">
        <v>8000</v>
      </c>
      <c r="AC320" s="16" t="n">
        <v>8000</v>
      </c>
      <c r="AD320" s="16" t="n">
        <v>8000</v>
      </c>
      <c r="AE320" s="16" t="n">
        <v>8000</v>
      </c>
      <c r="AF320" s="16" t="n">
        <v>8000</v>
      </c>
      <c r="AG320" s="16" t="n">
        <v>8000</v>
      </c>
      <c r="AH320" s="16" t="n">
        <v>8000</v>
      </c>
      <c r="AI320" s="16" t="n">
        <v>8000</v>
      </c>
      <c r="AJ320" s="9" t="n">
        <f aca="false">X320*$V320</f>
        <v>9.44</v>
      </c>
      <c r="AK320" s="9" t="n">
        <f aca="false">Y320*$V320</f>
        <v>9.44</v>
      </c>
      <c r="AL320" s="9" t="n">
        <f aca="false">Z320*$V320</f>
        <v>9.44</v>
      </c>
      <c r="AM320" s="9" t="n">
        <f aca="false">AA320*$V320</f>
        <v>9.44</v>
      </c>
      <c r="AN320" s="9" t="n">
        <f aca="false">AB320*$V320</f>
        <v>9.44</v>
      </c>
      <c r="AO320" s="9" t="n">
        <f aca="false">AC320*$V320</f>
        <v>9.44</v>
      </c>
      <c r="AP320" s="9" t="n">
        <f aca="false">AD320*$V320</f>
        <v>9.44</v>
      </c>
      <c r="AQ320" s="9" t="n">
        <f aca="false">AE320*$V320</f>
        <v>9.44</v>
      </c>
      <c r="AR320" s="9" t="n">
        <f aca="false">AF320*$V320</f>
        <v>9.44</v>
      </c>
      <c r="AS320" s="9" t="n">
        <f aca="false">AG320*$V320</f>
        <v>9.44</v>
      </c>
      <c r="AT320" s="9" t="n">
        <f aca="false">AH320*$V320</f>
        <v>9.44</v>
      </c>
      <c r="AU320" s="9" t="n">
        <f aca="false">AI320*$V320</f>
        <v>9.44</v>
      </c>
      <c r="AV320" s="9" t="n">
        <f aca="false">SUM(X320:AI320)/1000</f>
        <v>96</v>
      </c>
      <c r="AW320" s="9" t="n">
        <f aca="false">SUM(AJ320:AU320)</f>
        <v>113.28</v>
      </c>
      <c r="AX320" s="9" t="n">
        <f aca="false">IF(D320="INR",AW320/88.24,AW320)/1000000</f>
        <v>0.00011328</v>
      </c>
    </row>
    <row r="321" s="2" customFormat="true" ht="16.4" hidden="false" customHeight="false" outlineLevel="0" collapsed="false">
      <c r="A321" s="16" t="s">
        <v>728</v>
      </c>
      <c r="B321" s="16" t="n">
        <v>5</v>
      </c>
      <c r="C321" s="16"/>
      <c r="D321" s="16" t="s">
        <v>102</v>
      </c>
      <c r="E321" s="16" t="s">
        <v>51</v>
      </c>
      <c r="F321" s="16" t="s">
        <v>52</v>
      </c>
      <c r="G321" s="16" t="s">
        <v>494</v>
      </c>
      <c r="H321" s="16" t="s">
        <v>495</v>
      </c>
      <c r="I321" s="16" t="s">
        <v>260</v>
      </c>
      <c r="J321" s="16" t="s">
        <v>520</v>
      </c>
      <c r="K321" s="16" t="s">
        <v>495</v>
      </c>
      <c r="L321" s="16" t="s">
        <v>260</v>
      </c>
      <c r="M321" s="16" t="s">
        <v>520</v>
      </c>
      <c r="N321" s="16" t="s">
        <v>57</v>
      </c>
      <c r="O321" s="16" t="s">
        <v>94</v>
      </c>
      <c r="P321" s="16" t="s">
        <v>197</v>
      </c>
      <c r="Q321" s="16" t="s">
        <v>197</v>
      </c>
      <c r="R321" s="16" t="s">
        <v>86</v>
      </c>
      <c r="S321" s="16" t="s">
        <v>521</v>
      </c>
      <c r="T321" s="16" t="s">
        <v>729</v>
      </c>
      <c r="U321" s="16" t="s">
        <v>73</v>
      </c>
      <c r="V321" s="16" t="n">
        <v>0.00118</v>
      </c>
      <c r="W321" s="16" t="n">
        <v>0.00106</v>
      </c>
      <c r="X321" s="16" t="n">
        <v>8000</v>
      </c>
      <c r="Y321" s="16" t="n">
        <v>8000</v>
      </c>
      <c r="Z321" s="16" t="n">
        <v>8000</v>
      </c>
      <c r="AA321" s="16" t="n">
        <v>8000</v>
      </c>
      <c r="AB321" s="16" t="n">
        <v>8000</v>
      </c>
      <c r="AC321" s="16" t="n">
        <v>8000</v>
      </c>
      <c r="AD321" s="16" t="n">
        <v>8000</v>
      </c>
      <c r="AE321" s="16" t="n">
        <v>8000</v>
      </c>
      <c r="AF321" s="16" t="n">
        <v>8000</v>
      </c>
      <c r="AG321" s="16" t="n">
        <v>8000</v>
      </c>
      <c r="AH321" s="16" t="n">
        <v>8000</v>
      </c>
      <c r="AI321" s="16" t="n">
        <v>8000</v>
      </c>
      <c r="AJ321" s="9" t="n">
        <f aca="false">X321*$V321</f>
        <v>9.44</v>
      </c>
      <c r="AK321" s="9" t="n">
        <f aca="false">Y321*$V321</f>
        <v>9.44</v>
      </c>
      <c r="AL321" s="9" t="n">
        <f aca="false">Z321*$V321</f>
        <v>9.44</v>
      </c>
      <c r="AM321" s="9" t="n">
        <f aca="false">AA321*$V321</f>
        <v>9.44</v>
      </c>
      <c r="AN321" s="9" t="n">
        <f aca="false">AB321*$V321</f>
        <v>9.44</v>
      </c>
      <c r="AO321" s="9" t="n">
        <f aca="false">AC321*$V321</f>
        <v>9.44</v>
      </c>
      <c r="AP321" s="9" t="n">
        <f aca="false">AD321*$V321</f>
        <v>9.44</v>
      </c>
      <c r="AQ321" s="9" t="n">
        <f aca="false">AE321*$V321</f>
        <v>9.44</v>
      </c>
      <c r="AR321" s="9" t="n">
        <f aca="false">AF321*$V321</f>
        <v>9.44</v>
      </c>
      <c r="AS321" s="9" t="n">
        <f aca="false">AG321*$V321</f>
        <v>9.44</v>
      </c>
      <c r="AT321" s="9" t="n">
        <f aca="false">AH321*$V321</f>
        <v>9.44</v>
      </c>
      <c r="AU321" s="9" t="n">
        <f aca="false">AI321*$V321</f>
        <v>9.44</v>
      </c>
      <c r="AV321" s="9" t="n">
        <f aca="false">SUM(X321:AI321)/1000</f>
        <v>96</v>
      </c>
      <c r="AW321" s="9" t="n">
        <f aca="false">SUM(AJ321:AU321)</f>
        <v>113.28</v>
      </c>
      <c r="AX321" s="9" t="n">
        <f aca="false">IF(D321="INR",AW321/88.24,AW321)/1000000</f>
        <v>0.00011328</v>
      </c>
    </row>
    <row r="322" s="2" customFormat="true" ht="16.4" hidden="false" customHeight="false" outlineLevel="0" collapsed="false">
      <c r="A322" s="16" t="s">
        <v>730</v>
      </c>
      <c r="B322" s="16" t="n">
        <v>5</v>
      </c>
      <c r="C322" s="16"/>
      <c r="D322" s="16" t="s">
        <v>102</v>
      </c>
      <c r="E322" s="16" t="s">
        <v>51</v>
      </c>
      <c r="F322" s="16" t="s">
        <v>52</v>
      </c>
      <c r="G322" s="16" t="s">
        <v>494</v>
      </c>
      <c r="H322" s="16" t="s">
        <v>495</v>
      </c>
      <c r="I322" s="16" t="s">
        <v>260</v>
      </c>
      <c r="J322" s="16" t="s">
        <v>520</v>
      </c>
      <c r="K322" s="16" t="s">
        <v>495</v>
      </c>
      <c r="L322" s="16" t="s">
        <v>260</v>
      </c>
      <c r="M322" s="16" t="s">
        <v>520</v>
      </c>
      <c r="N322" s="16" t="s">
        <v>57</v>
      </c>
      <c r="O322" s="16" t="s">
        <v>94</v>
      </c>
      <c r="P322" s="16" t="s">
        <v>197</v>
      </c>
      <c r="Q322" s="16" t="s">
        <v>197</v>
      </c>
      <c r="R322" s="16" t="s">
        <v>86</v>
      </c>
      <c r="S322" s="16" t="s">
        <v>521</v>
      </c>
      <c r="T322" s="16" t="s">
        <v>731</v>
      </c>
      <c r="U322" s="16" t="s">
        <v>73</v>
      </c>
      <c r="V322" s="16" t="n">
        <v>0.00118</v>
      </c>
      <c r="W322" s="16" t="n">
        <v>0.00106</v>
      </c>
      <c r="X322" s="16" t="n">
        <v>8000</v>
      </c>
      <c r="Y322" s="16" t="n">
        <v>8000</v>
      </c>
      <c r="Z322" s="16" t="n">
        <v>8000</v>
      </c>
      <c r="AA322" s="16" t="n">
        <v>8000</v>
      </c>
      <c r="AB322" s="16" t="n">
        <v>8000</v>
      </c>
      <c r="AC322" s="16" t="n">
        <v>8000</v>
      </c>
      <c r="AD322" s="16" t="n">
        <v>8000</v>
      </c>
      <c r="AE322" s="16" t="n">
        <v>8000</v>
      </c>
      <c r="AF322" s="16" t="n">
        <v>8000</v>
      </c>
      <c r="AG322" s="16" t="n">
        <v>8000</v>
      </c>
      <c r="AH322" s="16" t="n">
        <v>8000</v>
      </c>
      <c r="AI322" s="16" t="n">
        <v>8000</v>
      </c>
      <c r="AJ322" s="9" t="n">
        <f aca="false">X322*$V322</f>
        <v>9.44</v>
      </c>
      <c r="AK322" s="9" t="n">
        <f aca="false">Y322*$V322</f>
        <v>9.44</v>
      </c>
      <c r="AL322" s="9" t="n">
        <f aca="false">Z322*$V322</f>
        <v>9.44</v>
      </c>
      <c r="AM322" s="9" t="n">
        <f aca="false">AA322*$V322</f>
        <v>9.44</v>
      </c>
      <c r="AN322" s="9" t="n">
        <f aca="false">AB322*$V322</f>
        <v>9.44</v>
      </c>
      <c r="AO322" s="9" t="n">
        <f aca="false">AC322*$V322</f>
        <v>9.44</v>
      </c>
      <c r="AP322" s="9" t="n">
        <f aca="false">AD322*$V322</f>
        <v>9.44</v>
      </c>
      <c r="AQ322" s="9" t="n">
        <f aca="false">AE322*$V322</f>
        <v>9.44</v>
      </c>
      <c r="AR322" s="9" t="n">
        <f aca="false">AF322*$V322</f>
        <v>9.44</v>
      </c>
      <c r="AS322" s="9" t="n">
        <f aca="false">AG322*$V322</f>
        <v>9.44</v>
      </c>
      <c r="AT322" s="9" t="n">
        <f aca="false">AH322*$V322</f>
        <v>9.44</v>
      </c>
      <c r="AU322" s="9" t="n">
        <f aca="false">AI322*$V322</f>
        <v>9.44</v>
      </c>
      <c r="AV322" s="9" t="n">
        <f aca="false">SUM(X322:AI322)/1000</f>
        <v>96</v>
      </c>
      <c r="AW322" s="9" t="n">
        <f aca="false">SUM(AJ322:AU322)</f>
        <v>113.28</v>
      </c>
      <c r="AX322" s="9" t="n">
        <f aca="false">IF(D322="INR",AW322/88.24,AW322)/1000000</f>
        <v>0.00011328</v>
      </c>
    </row>
    <row r="323" s="2" customFormat="true" ht="16.4" hidden="false" customHeight="false" outlineLevel="0" collapsed="false">
      <c r="A323" s="16" t="s">
        <v>732</v>
      </c>
      <c r="B323" s="16" t="n">
        <v>5</v>
      </c>
      <c r="C323" s="16"/>
      <c r="D323" s="16" t="s">
        <v>102</v>
      </c>
      <c r="E323" s="16" t="s">
        <v>51</v>
      </c>
      <c r="F323" s="16" t="s">
        <v>52</v>
      </c>
      <c r="G323" s="16" t="s">
        <v>494</v>
      </c>
      <c r="H323" s="16" t="s">
        <v>495</v>
      </c>
      <c r="I323" s="16" t="s">
        <v>260</v>
      </c>
      <c r="J323" s="16" t="s">
        <v>520</v>
      </c>
      <c r="K323" s="16" t="s">
        <v>495</v>
      </c>
      <c r="L323" s="16" t="s">
        <v>260</v>
      </c>
      <c r="M323" s="16" t="s">
        <v>520</v>
      </c>
      <c r="N323" s="16" t="s">
        <v>57</v>
      </c>
      <c r="O323" s="16" t="s">
        <v>94</v>
      </c>
      <c r="P323" s="16" t="s">
        <v>197</v>
      </c>
      <c r="Q323" s="9" t="s">
        <v>197</v>
      </c>
      <c r="R323" s="16" t="s">
        <v>86</v>
      </c>
      <c r="S323" s="16" t="s">
        <v>521</v>
      </c>
      <c r="T323" s="16" t="s">
        <v>733</v>
      </c>
      <c r="U323" s="16" t="s">
        <v>73</v>
      </c>
      <c r="V323" s="16" t="n">
        <v>0.00098</v>
      </c>
      <c r="W323" s="26" t="n">
        <v>0.00088</v>
      </c>
      <c r="X323" s="16" t="n">
        <v>8000</v>
      </c>
      <c r="Y323" s="16" t="n">
        <v>8000</v>
      </c>
      <c r="Z323" s="16" t="n">
        <v>8000</v>
      </c>
      <c r="AA323" s="16" t="n">
        <v>8000</v>
      </c>
      <c r="AB323" s="16" t="n">
        <v>8000</v>
      </c>
      <c r="AC323" s="16" t="n">
        <v>8000</v>
      </c>
      <c r="AD323" s="16" t="n">
        <v>8000</v>
      </c>
      <c r="AE323" s="16" t="n">
        <v>8000</v>
      </c>
      <c r="AF323" s="16" t="n">
        <v>8000</v>
      </c>
      <c r="AG323" s="16" t="n">
        <v>8000</v>
      </c>
      <c r="AH323" s="16" t="n">
        <v>8000</v>
      </c>
      <c r="AI323" s="16" t="n">
        <v>8000</v>
      </c>
      <c r="AJ323" s="9" t="n">
        <f aca="false">X323*$V323</f>
        <v>7.84</v>
      </c>
      <c r="AK323" s="9" t="n">
        <f aca="false">Y323*$V323</f>
        <v>7.84</v>
      </c>
      <c r="AL323" s="9" t="n">
        <f aca="false">Z323*$V323</f>
        <v>7.84</v>
      </c>
      <c r="AM323" s="9" t="n">
        <f aca="false">AA323*$V323</f>
        <v>7.84</v>
      </c>
      <c r="AN323" s="9" t="n">
        <f aca="false">AB323*$V323</f>
        <v>7.84</v>
      </c>
      <c r="AO323" s="9" t="n">
        <f aca="false">AC323*$V323</f>
        <v>7.84</v>
      </c>
      <c r="AP323" s="9" t="n">
        <f aca="false">AD323*$V323</f>
        <v>7.84</v>
      </c>
      <c r="AQ323" s="9" t="n">
        <f aca="false">AE323*$V323</f>
        <v>7.84</v>
      </c>
      <c r="AR323" s="9" t="n">
        <f aca="false">AF323*$V323</f>
        <v>7.84</v>
      </c>
      <c r="AS323" s="9" t="n">
        <f aca="false">AG323*$V323</f>
        <v>7.84</v>
      </c>
      <c r="AT323" s="9" t="n">
        <f aca="false">AH323*$V323</f>
        <v>7.84</v>
      </c>
      <c r="AU323" s="9" t="n">
        <f aca="false">AI323*$V323</f>
        <v>7.84</v>
      </c>
      <c r="AV323" s="9" t="n">
        <f aca="false">SUM(X323:AI323)/1000</f>
        <v>96</v>
      </c>
      <c r="AW323" s="9" t="n">
        <f aca="false">SUM(AJ323:AU323)</f>
        <v>94.08</v>
      </c>
      <c r="AX323" s="9" t="n">
        <f aca="false">IF(D323="INR",AW323/88.24,AW323)/1000000</f>
        <v>9.408E-005</v>
      </c>
    </row>
    <row r="324" s="2" customFormat="true" ht="16.4" hidden="false" customHeight="false" outlineLevel="0" collapsed="false">
      <c r="A324" s="16" t="s">
        <v>734</v>
      </c>
      <c r="B324" s="16" t="n">
        <v>5</v>
      </c>
      <c r="C324" s="16"/>
      <c r="D324" s="16" t="s">
        <v>102</v>
      </c>
      <c r="E324" s="16" t="s">
        <v>51</v>
      </c>
      <c r="F324" s="16" t="s">
        <v>52</v>
      </c>
      <c r="G324" s="16" t="s">
        <v>494</v>
      </c>
      <c r="H324" s="16" t="s">
        <v>495</v>
      </c>
      <c r="I324" s="16" t="s">
        <v>260</v>
      </c>
      <c r="J324" s="16" t="s">
        <v>520</v>
      </c>
      <c r="K324" s="16" t="s">
        <v>495</v>
      </c>
      <c r="L324" s="16" t="s">
        <v>260</v>
      </c>
      <c r="M324" s="16" t="s">
        <v>520</v>
      </c>
      <c r="N324" s="16" t="s">
        <v>57</v>
      </c>
      <c r="O324" s="16" t="s">
        <v>94</v>
      </c>
      <c r="P324" s="16" t="s">
        <v>197</v>
      </c>
      <c r="Q324" s="9" t="s">
        <v>197</v>
      </c>
      <c r="R324" s="16" t="s">
        <v>86</v>
      </c>
      <c r="S324" s="16" t="s">
        <v>521</v>
      </c>
      <c r="T324" s="16" t="s">
        <v>735</v>
      </c>
      <c r="U324" s="16" t="s">
        <v>73</v>
      </c>
      <c r="V324" s="16" t="n">
        <v>0.00098</v>
      </c>
      <c r="W324" s="16" t="n">
        <v>0.00088</v>
      </c>
      <c r="X324" s="16" t="n">
        <v>8000</v>
      </c>
      <c r="Y324" s="16" t="n">
        <v>8000</v>
      </c>
      <c r="Z324" s="16" t="n">
        <v>8000</v>
      </c>
      <c r="AA324" s="16" t="n">
        <v>8000</v>
      </c>
      <c r="AB324" s="16" t="n">
        <v>8000</v>
      </c>
      <c r="AC324" s="16" t="n">
        <v>8000</v>
      </c>
      <c r="AD324" s="16" t="n">
        <v>8000</v>
      </c>
      <c r="AE324" s="16" t="n">
        <v>8000</v>
      </c>
      <c r="AF324" s="16" t="n">
        <v>8000</v>
      </c>
      <c r="AG324" s="16" t="n">
        <v>8000</v>
      </c>
      <c r="AH324" s="16" t="n">
        <v>8000</v>
      </c>
      <c r="AI324" s="16" t="n">
        <v>8000</v>
      </c>
      <c r="AJ324" s="9" t="n">
        <f aca="false">X324*$V324</f>
        <v>7.84</v>
      </c>
      <c r="AK324" s="9" t="n">
        <f aca="false">Y324*$V324</f>
        <v>7.84</v>
      </c>
      <c r="AL324" s="9" t="n">
        <f aca="false">Z324*$V324</f>
        <v>7.84</v>
      </c>
      <c r="AM324" s="9" t="n">
        <f aca="false">AA324*$V324</f>
        <v>7.84</v>
      </c>
      <c r="AN324" s="9" t="n">
        <f aca="false">AB324*$V324</f>
        <v>7.84</v>
      </c>
      <c r="AO324" s="9" t="n">
        <f aca="false">AC324*$V324</f>
        <v>7.84</v>
      </c>
      <c r="AP324" s="9" t="n">
        <f aca="false">AD324*$V324</f>
        <v>7.84</v>
      </c>
      <c r="AQ324" s="9" t="n">
        <f aca="false">AE324*$V324</f>
        <v>7.84</v>
      </c>
      <c r="AR324" s="9" t="n">
        <f aca="false">AF324*$V324</f>
        <v>7.84</v>
      </c>
      <c r="AS324" s="9" t="n">
        <f aca="false">AG324*$V324</f>
        <v>7.84</v>
      </c>
      <c r="AT324" s="9" t="n">
        <f aca="false">AH324*$V324</f>
        <v>7.84</v>
      </c>
      <c r="AU324" s="9" t="n">
        <f aca="false">AI324*$V324</f>
        <v>7.84</v>
      </c>
      <c r="AV324" s="9" t="n">
        <f aca="false">SUM(X324:AI324)/1000</f>
        <v>96</v>
      </c>
      <c r="AW324" s="9" t="n">
        <f aca="false">SUM(AJ324:AU324)</f>
        <v>94.08</v>
      </c>
      <c r="AX324" s="9" t="n">
        <f aca="false">IF(D324="INR",AW324/88.24,AW324)/1000000</f>
        <v>9.408E-005</v>
      </c>
    </row>
    <row r="325" s="2" customFormat="true" ht="16.4" hidden="false" customHeight="false" outlineLevel="0" collapsed="false">
      <c r="A325" s="16" t="s">
        <v>736</v>
      </c>
      <c r="B325" s="16" t="n">
        <v>5</v>
      </c>
      <c r="C325" s="16"/>
      <c r="D325" s="16" t="s">
        <v>102</v>
      </c>
      <c r="E325" s="16" t="s">
        <v>51</v>
      </c>
      <c r="F325" s="16" t="s">
        <v>52</v>
      </c>
      <c r="G325" s="16" t="s">
        <v>494</v>
      </c>
      <c r="H325" s="16" t="s">
        <v>495</v>
      </c>
      <c r="I325" s="16" t="s">
        <v>260</v>
      </c>
      <c r="J325" s="16" t="s">
        <v>520</v>
      </c>
      <c r="K325" s="16" t="s">
        <v>495</v>
      </c>
      <c r="L325" s="16" t="s">
        <v>260</v>
      </c>
      <c r="M325" s="16" t="s">
        <v>520</v>
      </c>
      <c r="N325" s="16" t="s">
        <v>57</v>
      </c>
      <c r="O325" s="16" t="s">
        <v>94</v>
      </c>
      <c r="P325" s="16" t="s">
        <v>197</v>
      </c>
      <c r="Q325" s="16" t="s">
        <v>197</v>
      </c>
      <c r="R325" s="16" t="s">
        <v>86</v>
      </c>
      <c r="S325" s="16" t="s">
        <v>521</v>
      </c>
      <c r="T325" s="16" t="s">
        <v>737</v>
      </c>
      <c r="U325" s="16" t="s">
        <v>73</v>
      </c>
      <c r="V325" s="16" t="n">
        <v>0.00087</v>
      </c>
      <c r="W325" s="16" t="n">
        <v>0.00078</v>
      </c>
      <c r="X325" s="16" t="n">
        <v>8000</v>
      </c>
      <c r="Y325" s="16" t="n">
        <v>8000</v>
      </c>
      <c r="Z325" s="16" t="n">
        <v>8000</v>
      </c>
      <c r="AA325" s="26" t="n">
        <v>8000</v>
      </c>
      <c r="AB325" s="26" t="n">
        <v>8000</v>
      </c>
      <c r="AC325" s="16" t="n">
        <v>8000</v>
      </c>
      <c r="AD325" s="16" t="n">
        <v>8000</v>
      </c>
      <c r="AE325" s="16" t="n">
        <v>8000</v>
      </c>
      <c r="AF325" s="16" t="n">
        <v>8000</v>
      </c>
      <c r="AG325" s="16" t="n">
        <v>8000</v>
      </c>
      <c r="AH325" s="16" t="n">
        <v>8000</v>
      </c>
      <c r="AI325" s="16" t="n">
        <v>8000</v>
      </c>
      <c r="AJ325" s="9" t="n">
        <f aca="false">X325*$V325</f>
        <v>6.96</v>
      </c>
      <c r="AK325" s="9" t="n">
        <f aca="false">Y325*$V325</f>
        <v>6.96</v>
      </c>
      <c r="AL325" s="9" t="n">
        <f aca="false">Z325*$V325</f>
        <v>6.96</v>
      </c>
      <c r="AM325" s="9" t="n">
        <f aca="false">AA325*$V325</f>
        <v>6.96</v>
      </c>
      <c r="AN325" s="9" t="n">
        <f aca="false">AB325*$V325</f>
        <v>6.96</v>
      </c>
      <c r="AO325" s="9" t="n">
        <f aca="false">AC325*$V325</f>
        <v>6.96</v>
      </c>
      <c r="AP325" s="9" t="n">
        <f aca="false">AD325*$V325</f>
        <v>6.96</v>
      </c>
      <c r="AQ325" s="9" t="n">
        <f aca="false">AE325*$V325</f>
        <v>6.96</v>
      </c>
      <c r="AR325" s="9" t="n">
        <f aca="false">AF325*$V325</f>
        <v>6.96</v>
      </c>
      <c r="AS325" s="9" t="n">
        <f aca="false">AG325*$V325</f>
        <v>6.96</v>
      </c>
      <c r="AT325" s="9" t="n">
        <f aca="false">AH325*$V325</f>
        <v>6.96</v>
      </c>
      <c r="AU325" s="9" t="n">
        <f aca="false">AI325*$V325</f>
        <v>6.96</v>
      </c>
      <c r="AV325" s="9" t="n">
        <f aca="false">SUM(X325:AI325)/1000</f>
        <v>96</v>
      </c>
      <c r="AW325" s="9" t="n">
        <f aca="false">SUM(AJ325:AU325)</f>
        <v>83.52</v>
      </c>
      <c r="AX325" s="9" t="n">
        <f aca="false">IF(D325="INR",AW325/88.24,AW325)/1000000</f>
        <v>8.352E-005</v>
      </c>
    </row>
    <row r="326" s="2" customFormat="true" ht="14.25" hidden="false" customHeight="false" outlineLevel="0" collapsed="false">
      <c r="A326" s="16"/>
      <c r="B326" s="16" t="n">
        <v>1</v>
      </c>
      <c r="C326" s="16"/>
      <c r="D326" s="16" t="s">
        <v>102</v>
      </c>
      <c r="E326" s="16" t="s">
        <v>51</v>
      </c>
      <c r="F326" s="16" t="s">
        <v>52</v>
      </c>
      <c r="G326" s="16" t="s">
        <v>494</v>
      </c>
      <c r="H326" s="16" t="s">
        <v>495</v>
      </c>
      <c r="I326" s="16" t="s">
        <v>260</v>
      </c>
      <c r="J326" s="16" t="s">
        <v>520</v>
      </c>
      <c r="K326" s="16" t="s">
        <v>495</v>
      </c>
      <c r="L326" s="16" t="s">
        <v>260</v>
      </c>
      <c r="M326" s="16" t="s">
        <v>520</v>
      </c>
      <c r="N326" s="16" t="s">
        <v>57</v>
      </c>
      <c r="O326" s="16" t="s">
        <v>94</v>
      </c>
      <c r="P326" s="16" t="str">
        <f aca="false">Q326</f>
        <v>YAGEO</v>
      </c>
      <c r="Q326" s="16" t="s">
        <v>197</v>
      </c>
      <c r="R326" s="16" t="s">
        <v>86</v>
      </c>
      <c r="S326" s="16" t="s">
        <v>521</v>
      </c>
      <c r="T326" s="16" t="s">
        <v>738</v>
      </c>
      <c r="U326" s="26" t="s">
        <v>63</v>
      </c>
      <c r="V326" s="16" t="n">
        <v>0.000868</v>
      </c>
      <c r="W326" s="16"/>
      <c r="X326" s="16" t="n">
        <v>8000</v>
      </c>
      <c r="Y326" s="16" t="n">
        <v>8000</v>
      </c>
      <c r="Z326" s="16" t="n">
        <v>8000</v>
      </c>
      <c r="AA326" s="16" t="n">
        <v>8000</v>
      </c>
      <c r="AB326" s="16" t="n">
        <v>8000</v>
      </c>
      <c r="AC326" s="16" t="n">
        <v>8000</v>
      </c>
      <c r="AD326" s="16" t="n">
        <v>8000</v>
      </c>
      <c r="AE326" s="16" t="n">
        <v>8000</v>
      </c>
      <c r="AF326" s="16" t="n">
        <v>8000</v>
      </c>
      <c r="AG326" s="16" t="n">
        <v>8000</v>
      </c>
      <c r="AH326" s="16" t="n">
        <v>8000</v>
      </c>
      <c r="AI326" s="16" t="n">
        <v>8000</v>
      </c>
      <c r="AJ326" s="9" t="n">
        <f aca="false">X326*$V326</f>
        <v>6.944</v>
      </c>
      <c r="AK326" s="9" t="n">
        <f aca="false">Y326*$V326</f>
        <v>6.944</v>
      </c>
      <c r="AL326" s="9" t="n">
        <f aca="false">Z326*$V326</f>
        <v>6.944</v>
      </c>
      <c r="AM326" s="9" t="n">
        <f aca="false">AA326*$V326</f>
        <v>6.944</v>
      </c>
      <c r="AN326" s="9" t="n">
        <f aca="false">AB326*$V326</f>
        <v>6.944</v>
      </c>
      <c r="AO326" s="9" t="n">
        <f aca="false">AC326*$V326</f>
        <v>6.944</v>
      </c>
      <c r="AP326" s="9" t="n">
        <f aca="false">AD326*$V326</f>
        <v>6.944</v>
      </c>
      <c r="AQ326" s="9" t="n">
        <f aca="false">AE326*$V326</f>
        <v>6.944</v>
      </c>
      <c r="AR326" s="9" t="n">
        <f aca="false">AF326*$V326</f>
        <v>6.944</v>
      </c>
      <c r="AS326" s="9" t="n">
        <f aca="false">AG326*$V326</f>
        <v>6.944</v>
      </c>
      <c r="AT326" s="9" t="n">
        <f aca="false">AH326*$V326</f>
        <v>6.944</v>
      </c>
      <c r="AU326" s="9" t="n">
        <f aca="false">AI326*$V326</f>
        <v>6.944</v>
      </c>
      <c r="AV326" s="9" t="n">
        <f aca="false">SUM(X326:AI326)/1000</f>
        <v>96</v>
      </c>
      <c r="AW326" s="9" t="n">
        <f aca="false">SUM(AJ326:AU326)</f>
        <v>83.328</v>
      </c>
      <c r="AX326" s="9" t="n">
        <f aca="false">IF(D326="INR",AW326/88.24,AW326)/1000000</f>
        <v>8.3328E-005</v>
      </c>
    </row>
    <row r="327" s="2" customFormat="true" ht="16.4" hidden="false" customHeight="false" outlineLevel="0" collapsed="false">
      <c r="A327" s="16" t="s">
        <v>739</v>
      </c>
      <c r="B327" s="16" t="n">
        <v>5</v>
      </c>
      <c r="C327" s="16"/>
      <c r="D327" s="16" t="s">
        <v>102</v>
      </c>
      <c r="E327" s="16" t="s">
        <v>51</v>
      </c>
      <c r="F327" s="16" t="s">
        <v>52</v>
      </c>
      <c r="G327" s="16" t="s">
        <v>494</v>
      </c>
      <c r="H327" s="16" t="s">
        <v>495</v>
      </c>
      <c r="I327" s="16" t="s">
        <v>260</v>
      </c>
      <c r="J327" s="16" t="s">
        <v>520</v>
      </c>
      <c r="K327" s="16" t="s">
        <v>495</v>
      </c>
      <c r="L327" s="16" t="s">
        <v>260</v>
      </c>
      <c r="M327" s="16" t="s">
        <v>520</v>
      </c>
      <c r="N327" s="16" t="s">
        <v>57</v>
      </c>
      <c r="O327" s="16" t="s">
        <v>94</v>
      </c>
      <c r="P327" s="16" t="s">
        <v>197</v>
      </c>
      <c r="Q327" s="16" t="s">
        <v>197</v>
      </c>
      <c r="R327" s="16" t="s">
        <v>86</v>
      </c>
      <c r="S327" s="33" t="s">
        <v>521</v>
      </c>
      <c r="T327" s="16" t="s">
        <v>740</v>
      </c>
      <c r="U327" s="16" t="s">
        <v>73</v>
      </c>
      <c r="V327" s="16" t="n">
        <v>0.000868</v>
      </c>
      <c r="W327" s="16" t="n">
        <v>0.00055</v>
      </c>
      <c r="X327" s="16" t="n">
        <v>8000</v>
      </c>
      <c r="Y327" s="16" t="n">
        <v>8000</v>
      </c>
      <c r="Z327" s="16" t="n">
        <v>8000</v>
      </c>
      <c r="AA327" s="16" t="n">
        <v>8000</v>
      </c>
      <c r="AB327" s="16" t="n">
        <v>8000</v>
      </c>
      <c r="AC327" s="16" t="n">
        <v>8000</v>
      </c>
      <c r="AD327" s="16" t="n">
        <v>8000</v>
      </c>
      <c r="AE327" s="16" t="n">
        <v>8000</v>
      </c>
      <c r="AF327" s="16" t="n">
        <v>8000</v>
      </c>
      <c r="AG327" s="16" t="n">
        <v>8000</v>
      </c>
      <c r="AH327" s="16" t="n">
        <v>8000</v>
      </c>
      <c r="AI327" s="16" t="n">
        <v>8000</v>
      </c>
      <c r="AJ327" s="9" t="n">
        <f aca="false">X327*$V327</f>
        <v>6.944</v>
      </c>
      <c r="AK327" s="9" t="n">
        <f aca="false">Y327*$V327</f>
        <v>6.944</v>
      </c>
      <c r="AL327" s="9" t="n">
        <f aca="false">Z327*$V327</f>
        <v>6.944</v>
      </c>
      <c r="AM327" s="9" t="n">
        <f aca="false">AA327*$V327</f>
        <v>6.944</v>
      </c>
      <c r="AN327" s="9" t="n">
        <f aca="false">AB327*$V327</f>
        <v>6.944</v>
      </c>
      <c r="AO327" s="9" t="n">
        <f aca="false">AC327*$V327</f>
        <v>6.944</v>
      </c>
      <c r="AP327" s="9" t="n">
        <f aca="false">AD327*$V327</f>
        <v>6.944</v>
      </c>
      <c r="AQ327" s="9" t="n">
        <f aca="false">AE327*$V327</f>
        <v>6.944</v>
      </c>
      <c r="AR327" s="9" t="n">
        <f aca="false">AF327*$V327</f>
        <v>6.944</v>
      </c>
      <c r="AS327" s="9" t="n">
        <f aca="false">AG327*$V327</f>
        <v>6.944</v>
      </c>
      <c r="AT327" s="9" t="n">
        <f aca="false">AH327*$V327</f>
        <v>6.944</v>
      </c>
      <c r="AU327" s="9" t="n">
        <f aca="false">AI327*$V327</f>
        <v>6.944</v>
      </c>
      <c r="AV327" s="9" t="n">
        <f aca="false">SUM(X327:AI327)/1000</f>
        <v>96</v>
      </c>
      <c r="AW327" s="9" t="n">
        <f aca="false">SUM(AJ327:AU327)</f>
        <v>83.328</v>
      </c>
      <c r="AX327" s="9" t="n">
        <f aca="false">IF(D327="INR",AW327/88.24,AW327)/1000000</f>
        <v>8.3328E-005</v>
      </c>
    </row>
    <row r="328" s="2" customFormat="true" ht="16.4" hidden="false" customHeight="false" outlineLevel="0" collapsed="false">
      <c r="A328" s="16" t="s">
        <v>741</v>
      </c>
      <c r="B328" s="16" t="n">
        <v>5</v>
      </c>
      <c r="C328" s="16"/>
      <c r="D328" s="16" t="s">
        <v>102</v>
      </c>
      <c r="E328" s="16" t="s">
        <v>51</v>
      </c>
      <c r="F328" s="16" t="s">
        <v>52</v>
      </c>
      <c r="G328" s="16" t="s">
        <v>494</v>
      </c>
      <c r="H328" s="16" t="s">
        <v>495</v>
      </c>
      <c r="I328" s="16" t="s">
        <v>260</v>
      </c>
      <c r="J328" s="16" t="s">
        <v>520</v>
      </c>
      <c r="K328" s="16" t="s">
        <v>495</v>
      </c>
      <c r="L328" s="16" t="s">
        <v>260</v>
      </c>
      <c r="M328" s="16" t="s">
        <v>520</v>
      </c>
      <c r="N328" s="16" t="s">
        <v>57</v>
      </c>
      <c r="O328" s="16" t="s">
        <v>94</v>
      </c>
      <c r="P328" s="9" t="s">
        <v>197</v>
      </c>
      <c r="Q328" s="16" t="s">
        <v>197</v>
      </c>
      <c r="R328" s="9" t="s">
        <v>86</v>
      </c>
      <c r="S328" s="9" t="s">
        <v>521</v>
      </c>
      <c r="T328" s="9" t="s">
        <v>742</v>
      </c>
      <c r="U328" s="9" t="s">
        <v>73</v>
      </c>
      <c r="V328" s="9" t="n">
        <v>0.000868</v>
      </c>
      <c r="W328" s="9" t="n">
        <v>0.00055</v>
      </c>
      <c r="X328" s="16" t="n">
        <v>8000</v>
      </c>
      <c r="Y328" s="16" t="n">
        <v>8000</v>
      </c>
      <c r="Z328" s="16" t="n">
        <v>8000</v>
      </c>
      <c r="AA328" s="16" t="n">
        <v>8000</v>
      </c>
      <c r="AB328" s="16" t="n">
        <v>8000</v>
      </c>
      <c r="AC328" s="16" t="n">
        <v>8000</v>
      </c>
      <c r="AD328" s="16" t="n">
        <v>8000</v>
      </c>
      <c r="AE328" s="16" t="n">
        <v>8000</v>
      </c>
      <c r="AF328" s="16" t="n">
        <v>8000</v>
      </c>
      <c r="AG328" s="16" t="n">
        <v>8000</v>
      </c>
      <c r="AH328" s="16" t="n">
        <v>8000</v>
      </c>
      <c r="AI328" s="16" t="n">
        <v>8000</v>
      </c>
      <c r="AJ328" s="9" t="n">
        <f aca="false">X328*$V328</f>
        <v>6.944</v>
      </c>
      <c r="AK328" s="9" t="n">
        <f aca="false">Y328*$V328</f>
        <v>6.944</v>
      </c>
      <c r="AL328" s="9" t="n">
        <f aca="false">Z328*$V328</f>
        <v>6.944</v>
      </c>
      <c r="AM328" s="9" t="n">
        <f aca="false">AA328*$V328</f>
        <v>6.944</v>
      </c>
      <c r="AN328" s="9" t="n">
        <f aca="false">AB328*$V328</f>
        <v>6.944</v>
      </c>
      <c r="AO328" s="9" t="n">
        <f aca="false">AC328*$V328</f>
        <v>6.944</v>
      </c>
      <c r="AP328" s="9" t="n">
        <f aca="false">AD328*$V328</f>
        <v>6.944</v>
      </c>
      <c r="AQ328" s="9" t="n">
        <f aca="false">AE328*$V328</f>
        <v>6.944</v>
      </c>
      <c r="AR328" s="9" t="n">
        <f aca="false">AF328*$V328</f>
        <v>6.944</v>
      </c>
      <c r="AS328" s="9" t="n">
        <f aca="false">AG328*$V328</f>
        <v>6.944</v>
      </c>
      <c r="AT328" s="9" t="n">
        <f aca="false">AH328*$V328</f>
        <v>6.944</v>
      </c>
      <c r="AU328" s="9" t="n">
        <f aca="false">AI328*$V328</f>
        <v>6.944</v>
      </c>
      <c r="AV328" s="9" t="n">
        <f aca="false">SUM(X328:AI328)/1000</f>
        <v>96</v>
      </c>
      <c r="AW328" s="9" t="n">
        <f aca="false">SUM(AJ328:AU328)</f>
        <v>83.328</v>
      </c>
      <c r="AX328" s="9" t="n">
        <f aca="false">IF(D328="INR",AW328/88.24,AW328)/1000000</f>
        <v>8.3328E-005</v>
      </c>
    </row>
    <row r="329" s="2" customFormat="true" ht="14.25" hidden="false" customHeight="true" outlineLevel="0" collapsed="false">
      <c r="A329" s="16" t="s">
        <v>743</v>
      </c>
      <c r="B329" s="16" t="n">
        <v>5</v>
      </c>
      <c r="C329" s="16"/>
      <c r="D329" s="16" t="s">
        <v>102</v>
      </c>
      <c r="E329" s="16" t="s">
        <v>51</v>
      </c>
      <c r="F329" s="16" t="s">
        <v>52</v>
      </c>
      <c r="G329" s="16" t="s">
        <v>494</v>
      </c>
      <c r="H329" s="16" t="s">
        <v>495</v>
      </c>
      <c r="I329" s="16" t="s">
        <v>260</v>
      </c>
      <c r="J329" s="16" t="s">
        <v>520</v>
      </c>
      <c r="K329" s="16" t="s">
        <v>495</v>
      </c>
      <c r="L329" s="16" t="s">
        <v>260</v>
      </c>
      <c r="M329" s="16" t="s">
        <v>520</v>
      </c>
      <c r="N329" s="16" t="s">
        <v>57</v>
      </c>
      <c r="O329" s="16" t="s">
        <v>94</v>
      </c>
      <c r="P329" s="16" t="s">
        <v>197</v>
      </c>
      <c r="Q329" s="16" t="s">
        <v>197</v>
      </c>
      <c r="R329" s="16" t="s">
        <v>86</v>
      </c>
      <c r="S329" s="16" t="s">
        <v>521</v>
      </c>
      <c r="T329" s="16" t="s">
        <v>744</v>
      </c>
      <c r="U329" s="16" t="s">
        <v>73</v>
      </c>
      <c r="V329" s="16" t="n">
        <v>0.000728</v>
      </c>
      <c r="W329" s="26" t="n">
        <v>0.00051</v>
      </c>
      <c r="X329" s="30" t="n">
        <v>8000</v>
      </c>
      <c r="Y329" s="30" t="n">
        <v>8000</v>
      </c>
      <c r="Z329" s="30" t="n">
        <v>8000</v>
      </c>
      <c r="AA329" s="30" t="n">
        <v>8000</v>
      </c>
      <c r="AB329" s="30" t="n">
        <v>8000</v>
      </c>
      <c r="AC329" s="30" t="n">
        <v>8000</v>
      </c>
      <c r="AD329" s="30" t="n">
        <v>8000</v>
      </c>
      <c r="AE329" s="30" t="n">
        <v>8000</v>
      </c>
      <c r="AF329" s="30" t="n">
        <v>8000</v>
      </c>
      <c r="AG329" s="30" t="n">
        <v>8000</v>
      </c>
      <c r="AH329" s="30" t="n">
        <v>8000</v>
      </c>
      <c r="AI329" s="30" t="n">
        <v>8000</v>
      </c>
      <c r="AJ329" s="9" t="n">
        <f aca="false">X329*$V329</f>
        <v>5.824</v>
      </c>
      <c r="AK329" s="9" t="n">
        <f aca="false">Y329*$V329</f>
        <v>5.824</v>
      </c>
      <c r="AL329" s="9" t="n">
        <f aca="false">Z329*$V329</f>
        <v>5.824</v>
      </c>
      <c r="AM329" s="9" t="n">
        <f aca="false">AA329*$V329</f>
        <v>5.824</v>
      </c>
      <c r="AN329" s="9" t="n">
        <f aca="false">AB329*$V329</f>
        <v>5.824</v>
      </c>
      <c r="AO329" s="9" t="n">
        <f aca="false">AC329*$V329</f>
        <v>5.824</v>
      </c>
      <c r="AP329" s="9" t="n">
        <f aca="false">AD329*$V329</f>
        <v>5.824</v>
      </c>
      <c r="AQ329" s="9" t="n">
        <f aca="false">AE329*$V329</f>
        <v>5.824</v>
      </c>
      <c r="AR329" s="9" t="n">
        <f aca="false">AF329*$V329</f>
        <v>5.824</v>
      </c>
      <c r="AS329" s="9" t="n">
        <f aca="false">AG329*$V329</f>
        <v>5.824</v>
      </c>
      <c r="AT329" s="9" t="n">
        <f aca="false">AH329*$V329</f>
        <v>5.824</v>
      </c>
      <c r="AU329" s="9" t="n">
        <f aca="false">AI329*$V329</f>
        <v>5.824</v>
      </c>
      <c r="AV329" s="9" t="n">
        <f aca="false">SUM(X329:AI329)/1000</f>
        <v>96</v>
      </c>
      <c r="AW329" s="9" t="n">
        <f aca="false">SUM(AJ329:AU329)</f>
        <v>69.888</v>
      </c>
      <c r="AX329" s="9" t="n">
        <f aca="false">IF(D329="INR",AW329/88.24,AW329)/1000000</f>
        <v>6.9888E-005</v>
      </c>
    </row>
    <row r="330" s="2" customFormat="true" ht="14.25" hidden="false" customHeight="false" outlineLevel="0" collapsed="false">
      <c r="A330" s="16"/>
      <c r="B330" s="16" t="n">
        <v>1</v>
      </c>
      <c r="C330" s="16"/>
      <c r="D330" s="16" t="s">
        <v>102</v>
      </c>
      <c r="E330" s="16" t="s">
        <v>51</v>
      </c>
      <c r="F330" s="16" t="s">
        <v>52</v>
      </c>
      <c r="G330" s="16" t="s">
        <v>494</v>
      </c>
      <c r="H330" s="16" t="s">
        <v>495</v>
      </c>
      <c r="I330" s="16" t="s">
        <v>260</v>
      </c>
      <c r="J330" s="16" t="s">
        <v>520</v>
      </c>
      <c r="K330" s="16" t="s">
        <v>495</v>
      </c>
      <c r="L330" s="16" t="s">
        <v>260</v>
      </c>
      <c r="M330" s="16" t="s">
        <v>520</v>
      </c>
      <c r="N330" s="16" t="s">
        <v>57</v>
      </c>
      <c r="O330" s="16" t="s">
        <v>94</v>
      </c>
      <c r="P330" s="16" t="str">
        <f aca="false">Q330</f>
        <v>YAGEO</v>
      </c>
      <c r="Q330" s="16" t="s">
        <v>197</v>
      </c>
      <c r="R330" s="16" t="s">
        <v>86</v>
      </c>
      <c r="S330" s="16" t="s">
        <v>521</v>
      </c>
      <c r="T330" s="16" t="s">
        <v>745</v>
      </c>
      <c r="U330" s="16" t="s">
        <v>63</v>
      </c>
      <c r="V330" s="16" t="n">
        <v>0.000728</v>
      </c>
      <c r="W330" s="26"/>
      <c r="X330" s="16" t="n">
        <v>8000</v>
      </c>
      <c r="Y330" s="16" t="n">
        <v>8000</v>
      </c>
      <c r="Z330" s="16" t="n">
        <v>8000</v>
      </c>
      <c r="AA330" s="16" t="n">
        <v>8000</v>
      </c>
      <c r="AB330" s="16" t="n">
        <v>8000</v>
      </c>
      <c r="AC330" s="16" t="n">
        <v>8000</v>
      </c>
      <c r="AD330" s="16" t="n">
        <v>8000</v>
      </c>
      <c r="AE330" s="16" t="n">
        <v>8000</v>
      </c>
      <c r="AF330" s="16" t="n">
        <v>8000</v>
      </c>
      <c r="AG330" s="16" t="n">
        <v>8000</v>
      </c>
      <c r="AH330" s="16" t="n">
        <v>8000</v>
      </c>
      <c r="AI330" s="16" t="n">
        <v>8000</v>
      </c>
      <c r="AJ330" s="9" t="n">
        <f aca="false">X330*$V330</f>
        <v>5.824</v>
      </c>
      <c r="AK330" s="9" t="n">
        <f aca="false">Y330*$V330</f>
        <v>5.824</v>
      </c>
      <c r="AL330" s="9" t="n">
        <f aca="false">Z330*$V330</f>
        <v>5.824</v>
      </c>
      <c r="AM330" s="9" t="n">
        <f aca="false">AA330*$V330</f>
        <v>5.824</v>
      </c>
      <c r="AN330" s="9" t="n">
        <f aca="false">AB330*$V330</f>
        <v>5.824</v>
      </c>
      <c r="AO330" s="9" t="n">
        <f aca="false">AC330*$V330</f>
        <v>5.824</v>
      </c>
      <c r="AP330" s="9" t="n">
        <f aca="false">AD330*$V330</f>
        <v>5.824</v>
      </c>
      <c r="AQ330" s="9" t="n">
        <f aca="false">AE330*$V330</f>
        <v>5.824</v>
      </c>
      <c r="AR330" s="9" t="n">
        <f aca="false">AF330*$V330</f>
        <v>5.824</v>
      </c>
      <c r="AS330" s="9" t="n">
        <f aca="false">AG330*$V330</f>
        <v>5.824</v>
      </c>
      <c r="AT330" s="9" t="n">
        <f aca="false">AH330*$V330</f>
        <v>5.824</v>
      </c>
      <c r="AU330" s="9" t="n">
        <f aca="false">AI330*$V330</f>
        <v>5.824</v>
      </c>
      <c r="AV330" s="9" t="n">
        <f aca="false">SUM(X330:AI330)/1000</f>
        <v>96</v>
      </c>
      <c r="AW330" s="9" t="n">
        <f aca="false">SUM(AJ330:AU330)</f>
        <v>69.888</v>
      </c>
      <c r="AX330" s="9" t="n">
        <f aca="false">IF(D330="INR",AW330/88.24,AW330)/1000000</f>
        <v>6.9888E-005</v>
      </c>
    </row>
    <row r="331" s="2" customFormat="true" ht="16.4" hidden="false" customHeight="false" outlineLevel="0" collapsed="false">
      <c r="A331" s="16" t="s">
        <v>746</v>
      </c>
      <c r="B331" s="16" t="n">
        <v>5</v>
      </c>
      <c r="C331" s="16"/>
      <c r="D331" s="16" t="s">
        <v>102</v>
      </c>
      <c r="E331" s="16" t="s">
        <v>51</v>
      </c>
      <c r="F331" s="16" t="s">
        <v>52</v>
      </c>
      <c r="G331" s="16" t="s">
        <v>494</v>
      </c>
      <c r="H331" s="16" t="s">
        <v>495</v>
      </c>
      <c r="I331" s="16" t="s">
        <v>260</v>
      </c>
      <c r="J331" s="16" t="s">
        <v>520</v>
      </c>
      <c r="K331" s="16" t="s">
        <v>495</v>
      </c>
      <c r="L331" s="16" t="s">
        <v>260</v>
      </c>
      <c r="M331" s="16" t="s">
        <v>520</v>
      </c>
      <c r="N331" s="16" t="s">
        <v>57</v>
      </c>
      <c r="O331" s="16" t="s">
        <v>94</v>
      </c>
      <c r="P331" s="16" t="s">
        <v>197</v>
      </c>
      <c r="Q331" s="16" t="s">
        <v>197</v>
      </c>
      <c r="R331" s="16" t="s">
        <v>86</v>
      </c>
      <c r="S331" s="16" t="s">
        <v>521</v>
      </c>
      <c r="T331" s="16" t="s">
        <v>747</v>
      </c>
      <c r="U331" s="16" t="s">
        <v>73</v>
      </c>
      <c r="V331" s="16" t="n">
        <v>0.000675</v>
      </c>
      <c r="W331" s="16" t="n">
        <v>0.00051</v>
      </c>
      <c r="X331" s="16" t="n">
        <v>8000</v>
      </c>
      <c r="Y331" s="16" t="n">
        <v>8000</v>
      </c>
      <c r="Z331" s="16" t="n">
        <v>8000</v>
      </c>
      <c r="AA331" s="16" t="n">
        <v>8000</v>
      </c>
      <c r="AB331" s="16" t="n">
        <v>8000</v>
      </c>
      <c r="AC331" s="16" t="n">
        <v>8000</v>
      </c>
      <c r="AD331" s="16" t="n">
        <v>8000</v>
      </c>
      <c r="AE331" s="16" t="n">
        <v>8000</v>
      </c>
      <c r="AF331" s="16" t="n">
        <v>8000</v>
      </c>
      <c r="AG331" s="16" t="n">
        <v>8000</v>
      </c>
      <c r="AH331" s="16" t="n">
        <v>8000</v>
      </c>
      <c r="AI331" s="16" t="n">
        <v>8000</v>
      </c>
      <c r="AJ331" s="9" t="n">
        <f aca="false">X331*$V331</f>
        <v>5.4</v>
      </c>
      <c r="AK331" s="9" t="n">
        <f aca="false">Y331*$V331</f>
        <v>5.4</v>
      </c>
      <c r="AL331" s="9" t="n">
        <f aca="false">Z331*$V331</f>
        <v>5.4</v>
      </c>
      <c r="AM331" s="9" t="n">
        <f aca="false">AA331*$V331</f>
        <v>5.4</v>
      </c>
      <c r="AN331" s="9" t="n">
        <f aca="false">AB331*$V331</f>
        <v>5.4</v>
      </c>
      <c r="AO331" s="9" t="n">
        <f aca="false">AC331*$V331</f>
        <v>5.4</v>
      </c>
      <c r="AP331" s="9" t="n">
        <f aca="false">AD331*$V331</f>
        <v>5.4</v>
      </c>
      <c r="AQ331" s="9" t="n">
        <f aca="false">AE331*$V331</f>
        <v>5.4</v>
      </c>
      <c r="AR331" s="9" t="n">
        <f aca="false">AF331*$V331</f>
        <v>5.4</v>
      </c>
      <c r="AS331" s="9" t="n">
        <f aca="false">AG331*$V331</f>
        <v>5.4</v>
      </c>
      <c r="AT331" s="9" t="n">
        <f aca="false">AH331*$V331</f>
        <v>5.4</v>
      </c>
      <c r="AU331" s="9" t="n">
        <f aca="false">AI331*$V331</f>
        <v>5.4</v>
      </c>
      <c r="AV331" s="9" t="n">
        <f aca="false">SUM(X331:AI331)/1000</f>
        <v>96</v>
      </c>
      <c r="AW331" s="9" t="n">
        <f aca="false">SUM(AJ331:AU331)</f>
        <v>64.8</v>
      </c>
      <c r="AX331" s="9" t="n">
        <f aca="false">IF(D331="INR",AW331/88.24,AW331)/1000000</f>
        <v>6.48E-005</v>
      </c>
    </row>
    <row r="332" s="2" customFormat="true" ht="16.4" hidden="false" customHeight="false" outlineLevel="0" collapsed="false">
      <c r="A332" s="35" t="s">
        <v>748</v>
      </c>
      <c r="B332" s="9" t="n">
        <v>5</v>
      </c>
      <c r="C332" s="15"/>
      <c r="D332" s="16" t="s">
        <v>102</v>
      </c>
      <c r="E332" s="16" t="s">
        <v>51</v>
      </c>
      <c r="F332" s="16" t="s">
        <v>52</v>
      </c>
      <c r="G332" s="16" t="s">
        <v>494</v>
      </c>
      <c r="H332" s="16" t="s">
        <v>495</v>
      </c>
      <c r="I332" s="16" t="s">
        <v>260</v>
      </c>
      <c r="J332" s="16" t="s">
        <v>520</v>
      </c>
      <c r="K332" s="16" t="s">
        <v>495</v>
      </c>
      <c r="L332" s="16" t="s">
        <v>260</v>
      </c>
      <c r="M332" s="16" t="s">
        <v>520</v>
      </c>
      <c r="N332" s="16" t="s">
        <v>57</v>
      </c>
      <c r="O332" s="16" t="s">
        <v>94</v>
      </c>
      <c r="P332" s="9" t="s">
        <v>188</v>
      </c>
      <c r="Q332" s="9" t="s">
        <v>188</v>
      </c>
      <c r="R332" s="16" t="s">
        <v>550</v>
      </c>
      <c r="S332" s="16" t="s">
        <v>528</v>
      </c>
      <c r="T332" s="9" t="s">
        <v>749</v>
      </c>
      <c r="U332" s="9" t="s">
        <v>73</v>
      </c>
      <c r="V332" s="9" t="n">
        <v>0.6</v>
      </c>
      <c r="W332" s="9" t="n">
        <v>0.57</v>
      </c>
      <c r="X332" s="22"/>
      <c r="Y332" s="9"/>
      <c r="Z332" s="9" t="n">
        <v>1000</v>
      </c>
      <c r="AA332" s="9"/>
      <c r="AB332" s="9"/>
      <c r="AC332" s="9"/>
      <c r="AD332" s="9" t="n">
        <v>1000</v>
      </c>
      <c r="AE332" s="9"/>
      <c r="AF332" s="9" t="n">
        <v>1000</v>
      </c>
      <c r="AG332" s="9"/>
      <c r="AH332" s="9" t="n">
        <v>1000</v>
      </c>
      <c r="AI332" s="9" t="n">
        <v>1000</v>
      </c>
      <c r="AJ332" s="9" t="n">
        <f aca="false">X332*$V332</f>
        <v>0</v>
      </c>
      <c r="AK332" s="9" t="n">
        <f aca="false">Y332*$V332</f>
        <v>0</v>
      </c>
      <c r="AL332" s="9" t="n">
        <f aca="false">Z332*$V332</f>
        <v>600</v>
      </c>
      <c r="AM332" s="9" t="n">
        <f aca="false">AA332*$V332</f>
        <v>0</v>
      </c>
      <c r="AN332" s="9" t="n">
        <f aca="false">AB332*$V332</f>
        <v>0</v>
      </c>
      <c r="AO332" s="9" t="n">
        <f aca="false">AC332*$V332</f>
        <v>0</v>
      </c>
      <c r="AP332" s="9" t="n">
        <f aca="false">AD332*$V332</f>
        <v>600</v>
      </c>
      <c r="AQ332" s="9" t="n">
        <f aca="false">AE332*$V332</f>
        <v>0</v>
      </c>
      <c r="AR332" s="9" t="n">
        <f aca="false">AF332*$V332</f>
        <v>600</v>
      </c>
      <c r="AS332" s="9" t="n">
        <f aca="false">AG332*$V332</f>
        <v>0</v>
      </c>
      <c r="AT332" s="9" t="n">
        <f aca="false">AH332*$V332</f>
        <v>600</v>
      </c>
      <c r="AU332" s="9" t="n">
        <f aca="false">AI332*$V332</f>
        <v>600</v>
      </c>
      <c r="AV332" s="9" t="n">
        <f aca="false">SUM(X332:AI332)/1000</f>
        <v>5</v>
      </c>
      <c r="AW332" s="9" t="n">
        <f aca="false">SUM(AJ332:AU332)</f>
        <v>3000</v>
      </c>
      <c r="AX332" s="9" t="n">
        <f aca="false">IF(D332="INR",AW332/88.24,AW332)/1000000</f>
        <v>0.003</v>
      </c>
    </row>
    <row r="333" s="2" customFormat="true" ht="14.25" hidden="false" customHeight="false" outlineLevel="0" collapsed="false">
      <c r="A333" s="12" t="s">
        <v>750</v>
      </c>
      <c r="B333" s="16" t="n">
        <v>5</v>
      </c>
      <c r="C333" s="15"/>
      <c r="D333" s="16" t="s">
        <v>50</v>
      </c>
      <c r="E333" s="16" t="s">
        <v>51</v>
      </c>
      <c r="F333" s="16" t="s">
        <v>52</v>
      </c>
      <c r="G333" s="16" t="s">
        <v>274</v>
      </c>
      <c r="H333" s="16" t="s">
        <v>275</v>
      </c>
      <c r="I333" s="16" t="s">
        <v>260</v>
      </c>
      <c r="J333" s="16" t="s">
        <v>276</v>
      </c>
      <c r="K333" s="16"/>
      <c r="L333" s="16" t="s">
        <v>260</v>
      </c>
      <c r="M333" s="16" t="s">
        <v>276</v>
      </c>
      <c r="N333" s="16" t="s">
        <v>79</v>
      </c>
      <c r="O333" s="16" t="s">
        <v>68</v>
      </c>
      <c r="P333" s="16" t="s">
        <v>80</v>
      </c>
      <c r="Q333" s="16" t="s">
        <v>80</v>
      </c>
      <c r="R333" s="16" t="s">
        <v>81</v>
      </c>
      <c r="S333" s="16" t="s">
        <v>82</v>
      </c>
      <c r="T333" s="16" t="s">
        <v>751</v>
      </c>
      <c r="U333" s="16" t="s">
        <v>73</v>
      </c>
      <c r="V333" s="26" t="n">
        <v>25.945</v>
      </c>
      <c r="W333" s="26" t="n">
        <v>21.34714</v>
      </c>
      <c r="X333" s="16" t="n">
        <v>10000</v>
      </c>
      <c r="Y333" s="16" t="n">
        <v>10000</v>
      </c>
      <c r="Z333" s="16" t="n">
        <v>10000</v>
      </c>
      <c r="AA333" s="16"/>
      <c r="AB333" s="16"/>
      <c r="AC333" s="16"/>
      <c r="AD333" s="16"/>
      <c r="AE333" s="16"/>
      <c r="AF333" s="16" t="n">
        <v>10000</v>
      </c>
      <c r="AG333" s="16" t="n">
        <v>10000</v>
      </c>
      <c r="AH333" s="16" t="n">
        <v>10000</v>
      </c>
      <c r="AI333" s="16" t="n">
        <v>10000</v>
      </c>
      <c r="AJ333" s="9" t="n">
        <f aca="false">X333*$V333</f>
        <v>259450</v>
      </c>
      <c r="AK333" s="9" t="n">
        <f aca="false">Y333*$V333</f>
        <v>259450</v>
      </c>
      <c r="AL333" s="9" t="n">
        <f aca="false">Z333*$V333</f>
        <v>259450</v>
      </c>
      <c r="AM333" s="9" t="n">
        <f aca="false">AA333*$V333</f>
        <v>0</v>
      </c>
      <c r="AN333" s="9" t="n">
        <f aca="false">AB333*$V333</f>
        <v>0</v>
      </c>
      <c r="AO333" s="9" t="n">
        <f aca="false">AC333*$V333</f>
        <v>0</v>
      </c>
      <c r="AP333" s="9" t="n">
        <f aca="false">AD333*$V333</f>
        <v>0</v>
      </c>
      <c r="AQ333" s="9" t="n">
        <f aca="false">AE333*$V333</f>
        <v>0</v>
      </c>
      <c r="AR333" s="9" t="n">
        <f aca="false">AF333*$V333</f>
        <v>259450</v>
      </c>
      <c r="AS333" s="9" t="n">
        <f aca="false">AG333*$V333</f>
        <v>259450</v>
      </c>
      <c r="AT333" s="9" t="n">
        <f aca="false">AH333*$V333</f>
        <v>259450</v>
      </c>
      <c r="AU333" s="9" t="n">
        <f aca="false">AI333*$V333</f>
        <v>259450</v>
      </c>
      <c r="AV333" s="9" t="n">
        <f aca="false">SUM(X333:AI333)/1000</f>
        <v>70</v>
      </c>
      <c r="AW333" s="9" t="n">
        <f aca="false">SUM(AJ333:AU333)</f>
        <v>1816150</v>
      </c>
      <c r="AX333" s="9" t="n">
        <f aca="false">IF(D333="INR",AW333/88.24,AW333)/1000000</f>
        <v>0.0205819356300997</v>
      </c>
    </row>
    <row r="334" s="2" customFormat="true" ht="14.25" hidden="false" customHeight="false" outlineLevel="0" collapsed="false">
      <c r="A334" s="12" t="s">
        <v>752</v>
      </c>
      <c r="B334" s="16"/>
      <c r="C334" s="15"/>
      <c r="D334" s="16" t="s">
        <v>50</v>
      </c>
      <c r="E334" s="16" t="s">
        <v>51</v>
      </c>
      <c r="F334" s="16" t="s">
        <v>52</v>
      </c>
      <c r="G334" s="16" t="s">
        <v>323</v>
      </c>
      <c r="H334" s="16" t="s">
        <v>324</v>
      </c>
      <c r="I334" s="16" t="s">
        <v>77</v>
      </c>
      <c r="J334" s="16" t="s">
        <v>325</v>
      </c>
      <c r="K334" s="16"/>
      <c r="L334" s="16" t="s">
        <v>77</v>
      </c>
      <c r="M334" s="16" t="s">
        <v>325</v>
      </c>
      <c r="N334" s="16" t="s">
        <v>67</v>
      </c>
      <c r="O334" s="16" t="s">
        <v>68</v>
      </c>
      <c r="P334" s="16" t="s">
        <v>308</v>
      </c>
      <c r="Q334" s="16" t="s">
        <v>308</v>
      </c>
      <c r="R334" s="16" t="s">
        <v>309</v>
      </c>
      <c r="S334" s="16" t="s">
        <v>264</v>
      </c>
      <c r="T334" s="16" t="s">
        <v>753</v>
      </c>
      <c r="U334" s="16" t="s">
        <v>73</v>
      </c>
      <c r="V334" s="16" t="n">
        <v>2.45</v>
      </c>
      <c r="W334" s="16" t="n">
        <v>2.28</v>
      </c>
      <c r="X334" s="16"/>
      <c r="Y334" s="16" t="n">
        <v>100000</v>
      </c>
      <c r="Z334" s="16" t="n">
        <v>100000</v>
      </c>
      <c r="AA334" s="26" t="n">
        <v>100000</v>
      </c>
      <c r="AB334" s="16" t="n">
        <v>100000</v>
      </c>
      <c r="AC334" s="16" t="n">
        <v>100000</v>
      </c>
      <c r="AD334" s="16" t="n">
        <v>100000</v>
      </c>
      <c r="AE334" s="26" t="n">
        <v>100000</v>
      </c>
      <c r="AF334" s="16" t="n">
        <v>100000</v>
      </c>
      <c r="AG334" s="16" t="n">
        <v>100000</v>
      </c>
      <c r="AH334" s="16" t="n">
        <v>100000</v>
      </c>
      <c r="AI334" s="16" t="n">
        <v>100000</v>
      </c>
      <c r="AJ334" s="9" t="n">
        <f aca="false">X334*$V334</f>
        <v>0</v>
      </c>
      <c r="AK334" s="9" t="n">
        <f aca="false">Y334*$V334</f>
        <v>245000</v>
      </c>
      <c r="AL334" s="9" t="n">
        <f aca="false">Z334*$V334</f>
        <v>245000</v>
      </c>
      <c r="AM334" s="9" t="n">
        <f aca="false">AA334*$V334</f>
        <v>245000</v>
      </c>
      <c r="AN334" s="9" t="n">
        <f aca="false">AB334*$V334</f>
        <v>245000</v>
      </c>
      <c r="AO334" s="9" t="n">
        <f aca="false">AC334*$V334</f>
        <v>245000</v>
      </c>
      <c r="AP334" s="9" t="n">
        <f aca="false">AD334*$V334</f>
        <v>245000</v>
      </c>
      <c r="AQ334" s="9" t="n">
        <f aca="false">AE334*$V334</f>
        <v>245000</v>
      </c>
      <c r="AR334" s="9" t="n">
        <f aca="false">AF334*$V334</f>
        <v>245000</v>
      </c>
      <c r="AS334" s="9" t="n">
        <f aca="false">AG334*$V334</f>
        <v>245000</v>
      </c>
      <c r="AT334" s="9" t="n">
        <f aca="false">AH334*$V334</f>
        <v>245000</v>
      </c>
      <c r="AU334" s="9" t="n">
        <f aca="false">AI334*$V334</f>
        <v>245000</v>
      </c>
      <c r="AV334" s="9" t="n">
        <f aca="false">SUM(X334:AI334)/1000</f>
        <v>1100</v>
      </c>
      <c r="AW334" s="9" t="n">
        <f aca="false">SUM(AJ334:AU334)</f>
        <v>2695000</v>
      </c>
      <c r="AX334" s="9" t="n">
        <f aca="false">IF(D334="INR",AW334/88.24,AW334)/1000000</f>
        <v>0.0305417044424297</v>
      </c>
    </row>
    <row r="335" s="2" customFormat="true" ht="14.25" hidden="false" customHeight="false" outlineLevel="0" collapsed="false">
      <c r="A335" s="12"/>
      <c r="B335" s="16" t="n">
        <v>1</v>
      </c>
      <c r="C335" s="15"/>
      <c r="D335" s="16" t="s">
        <v>50</v>
      </c>
      <c r="E335" s="16" t="s">
        <v>51</v>
      </c>
      <c r="F335" s="16" t="s">
        <v>52</v>
      </c>
      <c r="G335" s="16" t="s">
        <v>53</v>
      </c>
      <c r="H335" s="16" t="s">
        <v>54</v>
      </c>
      <c r="I335" s="16" t="s">
        <v>55</v>
      </c>
      <c r="J335" s="16" t="s">
        <v>56</v>
      </c>
      <c r="K335" s="16" t="s">
        <v>54</v>
      </c>
      <c r="L335" s="16" t="s">
        <v>55</v>
      </c>
      <c r="M335" s="16" t="s">
        <v>56</v>
      </c>
      <c r="N335" s="16" t="s">
        <v>57</v>
      </c>
      <c r="O335" s="16" t="s">
        <v>58</v>
      </c>
      <c r="P335" s="9" t="s">
        <v>59</v>
      </c>
      <c r="Q335" s="16" t="s">
        <v>59</v>
      </c>
      <c r="R335" s="16" t="s">
        <v>60</v>
      </c>
      <c r="S335" s="16" t="s">
        <v>61</v>
      </c>
      <c r="T335" s="16" t="s">
        <v>754</v>
      </c>
      <c r="U335" s="16" t="s">
        <v>63</v>
      </c>
      <c r="V335" s="16" t="n">
        <v>12</v>
      </c>
      <c r="W335" s="16"/>
      <c r="X335" s="16"/>
      <c r="Y335" s="16"/>
      <c r="Z335" s="16" t="n">
        <v>20000</v>
      </c>
      <c r="AA335" s="16"/>
      <c r="AB335" s="16"/>
      <c r="AC335" s="16" t="n">
        <v>20000</v>
      </c>
      <c r="AD335" s="16"/>
      <c r="AE335" s="16"/>
      <c r="AF335" s="16" t="n">
        <v>20000</v>
      </c>
      <c r="AG335" s="16"/>
      <c r="AH335" s="16"/>
      <c r="AI335" s="16" t="n">
        <v>20000</v>
      </c>
      <c r="AJ335" s="9" t="n">
        <f aca="false">X335*$V335</f>
        <v>0</v>
      </c>
      <c r="AK335" s="9" t="n">
        <f aca="false">Y335*$V335</f>
        <v>0</v>
      </c>
      <c r="AL335" s="9" t="n">
        <f aca="false">Z335*$V335</f>
        <v>240000</v>
      </c>
      <c r="AM335" s="9" t="n">
        <f aca="false">AA335*$V335</f>
        <v>0</v>
      </c>
      <c r="AN335" s="9" t="n">
        <f aca="false">AB335*$V335</f>
        <v>0</v>
      </c>
      <c r="AO335" s="9" t="n">
        <f aca="false">AC335*$V335</f>
        <v>240000</v>
      </c>
      <c r="AP335" s="9" t="n">
        <f aca="false">AD335*$V335</f>
        <v>0</v>
      </c>
      <c r="AQ335" s="9" t="n">
        <f aca="false">AE335*$V335</f>
        <v>0</v>
      </c>
      <c r="AR335" s="9" t="n">
        <f aca="false">AF335*$V335</f>
        <v>240000</v>
      </c>
      <c r="AS335" s="9" t="n">
        <f aca="false">AG335*$V335</f>
        <v>0</v>
      </c>
      <c r="AT335" s="9" t="n">
        <f aca="false">AH335*$V335</f>
        <v>0</v>
      </c>
      <c r="AU335" s="9" t="n">
        <f aca="false">AI335*$V335</f>
        <v>240000</v>
      </c>
      <c r="AV335" s="9" t="n">
        <f aca="false">SUM(X335:AI335)/1000</f>
        <v>80</v>
      </c>
      <c r="AW335" s="9" t="n">
        <f aca="false">SUM(AJ335:AU335)</f>
        <v>960000</v>
      </c>
      <c r="AX335" s="9" t="n">
        <f aca="false">IF(D335="INR",AW335/88.24,AW335)/1000000</f>
        <v>0.0108794197642792</v>
      </c>
    </row>
    <row r="336" s="2" customFormat="true" ht="14.25" hidden="false" customHeight="false" outlineLevel="0" collapsed="false">
      <c r="A336" s="12" t="s">
        <v>755</v>
      </c>
      <c r="B336" s="16" t="n">
        <v>5</v>
      </c>
      <c r="C336" s="15"/>
      <c r="D336" s="16" t="s">
        <v>50</v>
      </c>
      <c r="E336" s="16" t="s">
        <v>51</v>
      </c>
      <c r="F336" s="16" t="s">
        <v>52</v>
      </c>
      <c r="G336" s="16" t="s">
        <v>301</v>
      </c>
      <c r="H336" s="16" t="s">
        <v>302</v>
      </c>
      <c r="I336" s="16" t="s">
        <v>303</v>
      </c>
      <c r="J336" s="16" t="s">
        <v>304</v>
      </c>
      <c r="K336" s="16"/>
      <c r="L336" s="16" t="s">
        <v>303</v>
      </c>
      <c r="M336" s="16" t="s">
        <v>304</v>
      </c>
      <c r="N336" s="16" t="s">
        <v>93</v>
      </c>
      <c r="O336" s="16" t="s">
        <v>107</v>
      </c>
      <c r="P336" s="16" t="s">
        <v>308</v>
      </c>
      <c r="Q336" s="16" t="s">
        <v>308</v>
      </c>
      <c r="R336" s="16" t="s">
        <v>309</v>
      </c>
      <c r="S336" s="16" t="s">
        <v>264</v>
      </c>
      <c r="T336" s="16" t="s">
        <v>670</v>
      </c>
      <c r="U336" s="16" t="s">
        <v>73</v>
      </c>
      <c r="V336" s="16" t="n">
        <v>1.55</v>
      </c>
      <c r="W336" s="16" t="n">
        <v>1.35</v>
      </c>
      <c r="X336" s="16" t="n">
        <v>150000</v>
      </c>
      <c r="Y336" s="16" t="n">
        <v>150000</v>
      </c>
      <c r="Z336" s="16" t="n">
        <v>150000</v>
      </c>
      <c r="AA336" s="16" t="n">
        <v>150000</v>
      </c>
      <c r="AB336" s="16" t="n">
        <v>150000</v>
      </c>
      <c r="AC336" s="16" t="n">
        <v>150000</v>
      </c>
      <c r="AD336" s="16" t="n">
        <v>150000</v>
      </c>
      <c r="AE336" s="16" t="n">
        <v>150000</v>
      </c>
      <c r="AF336" s="16" t="n">
        <v>150000</v>
      </c>
      <c r="AG336" s="16" t="n">
        <v>150000</v>
      </c>
      <c r="AH336" s="16" t="n">
        <v>150000</v>
      </c>
      <c r="AI336" s="16" t="n">
        <v>150000</v>
      </c>
      <c r="AJ336" s="9" t="n">
        <f aca="false">X336*$V336</f>
        <v>232500</v>
      </c>
      <c r="AK336" s="9" t="n">
        <f aca="false">Y336*$V336</f>
        <v>232500</v>
      </c>
      <c r="AL336" s="9" t="n">
        <f aca="false">Z336*$V336</f>
        <v>232500</v>
      </c>
      <c r="AM336" s="9" t="n">
        <f aca="false">AA336*$V336</f>
        <v>232500</v>
      </c>
      <c r="AN336" s="9" t="n">
        <f aca="false">AB336*$V336</f>
        <v>232500</v>
      </c>
      <c r="AO336" s="9" t="n">
        <f aca="false">AC336*$V336</f>
        <v>232500</v>
      </c>
      <c r="AP336" s="9" t="n">
        <f aca="false">AD336*$V336</f>
        <v>232500</v>
      </c>
      <c r="AQ336" s="9" t="n">
        <f aca="false">AE336*$V336</f>
        <v>232500</v>
      </c>
      <c r="AR336" s="9" t="n">
        <f aca="false">AF336*$V336</f>
        <v>232500</v>
      </c>
      <c r="AS336" s="9" t="n">
        <f aca="false">AG336*$V336</f>
        <v>232500</v>
      </c>
      <c r="AT336" s="9" t="n">
        <f aca="false">AH336*$V336</f>
        <v>232500</v>
      </c>
      <c r="AU336" s="9" t="n">
        <f aca="false">AI336*$V336</f>
        <v>232500</v>
      </c>
      <c r="AV336" s="9" t="n">
        <f aca="false">SUM(X336:AI336)/1000</f>
        <v>1800</v>
      </c>
      <c r="AW336" s="9" t="n">
        <f aca="false">SUM(AJ336:AU336)</f>
        <v>2790000</v>
      </c>
      <c r="AX336" s="9" t="n">
        <f aca="false">IF(D336="INR",AW336/88.24,AW336)/1000000</f>
        <v>0.0316183136899365</v>
      </c>
    </row>
    <row r="337" s="2" customFormat="true" ht="14.25" hidden="false" customHeight="false" outlineLevel="0" collapsed="false">
      <c r="A337" s="12" t="s">
        <v>756</v>
      </c>
      <c r="B337" s="16" t="n">
        <v>5</v>
      </c>
      <c r="C337" s="15"/>
      <c r="D337" s="16" t="s">
        <v>50</v>
      </c>
      <c r="E337" s="16" t="s">
        <v>51</v>
      </c>
      <c r="F337" s="16" t="s">
        <v>404</v>
      </c>
      <c r="G337" s="16" t="s">
        <v>405</v>
      </c>
      <c r="H337" s="16" t="s">
        <v>406</v>
      </c>
      <c r="I337" s="16" t="s">
        <v>105</v>
      </c>
      <c r="J337" s="16" t="s">
        <v>368</v>
      </c>
      <c r="K337" s="16"/>
      <c r="L337" s="16" t="s">
        <v>105</v>
      </c>
      <c r="M337" s="16" t="s">
        <v>368</v>
      </c>
      <c r="N337" s="16" t="s">
        <v>271</v>
      </c>
      <c r="O337" s="16" t="s">
        <v>94</v>
      </c>
      <c r="P337" s="16" t="s">
        <v>110</v>
      </c>
      <c r="Q337" s="16" t="s">
        <v>110</v>
      </c>
      <c r="R337" s="16" t="s">
        <v>137</v>
      </c>
      <c r="S337" s="16" t="s">
        <v>272</v>
      </c>
      <c r="T337" s="16" t="s">
        <v>757</v>
      </c>
      <c r="U337" s="16" t="s">
        <v>73</v>
      </c>
      <c r="V337" s="16" t="n">
        <v>29</v>
      </c>
      <c r="W337" s="16" t="n">
        <v>0.21</v>
      </c>
      <c r="X337" s="16" t="n">
        <v>8000</v>
      </c>
      <c r="Y337" s="16" t="n">
        <v>0</v>
      </c>
      <c r="Z337" s="16" t="n">
        <v>8000</v>
      </c>
      <c r="AA337" s="16" t="n">
        <v>0</v>
      </c>
      <c r="AB337" s="16" t="n">
        <v>5000</v>
      </c>
      <c r="AC337" s="16" t="n">
        <v>0</v>
      </c>
      <c r="AD337" s="16" t="n">
        <v>5000</v>
      </c>
      <c r="AE337" s="16" t="n">
        <v>5000</v>
      </c>
      <c r="AF337" s="16" t="n">
        <v>0</v>
      </c>
      <c r="AG337" s="16" t="n">
        <v>2500</v>
      </c>
      <c r="AH337" s="16" t="n">
        <v>0</v>
      </c>
      <c r="AI337" s="16" t="n">
        <v>2500</v>
      </c>
      <c r="AJ337" s="9" t="n">
        <f aca="false">X337*$V337</f>
        <v>232000</v>
      </c>
      <c r="AK337" s="9" t="n">
        <f aca="false">Y337*$V337</f>
        <v>0</v>
      </c>
      <c r="AL337" s="9" t="n">
        <f aca="false">Z337*$V337</f>
        <v>232000</v>
      </c>
      <c r="AM337" s="9" t="n">
        <f aca="false">AA337*$V337</f>
        <v>0</v>
      </c>
      <c r="AN337" s="9" t="n">
        <f aca="false">AB337*$V337</f>
        <v>145000</v>
      </c>
      <c r="AO337" s="9" t="n">
        <f aca="false">AC337*$V337</f>
        <v>0</v>
      </c>
      <c r="AP337" s="9" t="n">
        <f aca="false">AD337*$V337</f>
        <v>145000</v>
      </c>
      <c r="AQ337" s="9" t="n">
        <f aca="false">AE337*$V337</f>
        <v>145000</v>
      </c>
      <c r="AR337" s="9" t="n">
        <f aca="false">AF337*$V337</f>
        <v>0</v>
      </c>
      <c r="AS337" s="9" t="n">
        <f aca="false">AG337*$V337</f>
        <v>72500</v>
      </c>
      <c r="AT337" s="9" t="n">
        <f aca="false">AH337*$V337</f>
        <v>0</v>
      </c>
      <c r="AU337" s="9" t="n">
        <f aca="false">AI337*$V337</f>
        <v>72500</v>
      </c>
      <c r="AV337" s="9" t="n">
        <f aca="false">SUM(X337:AI337)/1000</f>
        <v>36</v>
      </c>
      <c r="AW337" s="9" t="n">
        <f aca="false">SUM(AJ337:AU337)</f>
        <v>1044000</v>
      </c>
      <c r="AX337" s="9" t="n">
        <f aca="false">IF(D337="INR",AW337/88.24,AW337)/1000000</f>
        <v>0.0118313689936537</v>
      </c>
    </row>
    <row r="338" s="2" customFormat="true" ht="14.25" hidden="false" customHeight="false" outlineLevel="0" collapsed="false">
      <c r="A338" s="12" t="s">
        <v>758</v>
      </c>
      <c r="B338" s="16"/>
      <c r="C338" s="15"/>
      <c r="D338" s="16" t="s">
        <v>50</v>
      </c>
      <c r="E338" s="16" t="s">
        <v>51</v>
      </c>
      <c r="F338" s="16" t="s">
        <v>52</v>
      </c>
      <c r="G338" s="16" t="s">
        <v>53</v>
      </c>
      <c r="H338" s="16" t="s">
        <v>54</v>
      </c>
      <c r="I338" s="16" t="s">
        <v>55</v>
      </c>
      <c r="J338" s="16" t="s">
        <v>56</v>
      </c>
      <c r="K338" s="16" t="s">
        <v>54</v>
      </c>
      <c r="L338" s="16" t="s">
        <v>55</v>
      </c>
      <c r="M338" s="16" t="s">
        <v>56</v>
      </c>
      <c r="N338" s="16" t="s">
        <v>57</v>
      </c>
      <c r="O338" s="16" t="s">
        <v>58</v>
      </c>
      <c r="P338" s="16" t="s">
        <v>308</v>
      </c>
      <c r="Q338" s="16" t="s">
        <v>308</v>
      </c>
      <c r="R338" s="16" t="s">
        <v>309</v>
      </c>
      <c r="S338" s="16" t="s">
        <v>264</v>
      </c>
      <c r="T338" s="16" t="s">
        <v>759</v>
      </c>
      <c r="U338" s="16" t="s">
        <v>73</v>
      </c>
      <c r="V338" s="16" t="n">
        <v>3.76</v>
      </c>
      <c r="W338" s="16" t="n">
        <v>3.26</v>
      </c>
      <c r="X338" s="16"/>
      <c r="Y338" s="16"/>
      <c r="Z338" s="16" t="n">
        <v>60000</v>
      </c>
      <c r="AA338" s="16"/>
      <c r="AB338" s="16"/>
      <c r="AC338" s="16" t="n">
        <v>60000</v>
      </c>
      <c r="AD338" s="16"/>
      <c r="AE338" s="16"/>
      <c r="AF338" s="16" t="n">
        <v>60000</v>
      </c>
      <c r="AG338" s="16"/>
      <c r="AH338" s="16"/>
      <c r="AI338" s="16" t="n">
        <v>60000</v>
      </c>
      <c r="AJ338" s="9" t="n">
        <f aca="false">X338*$V338</f>
        <v>0</v>
      </c>
      <c r="AK338" s="9" t="n">
        <f aca="false">Y338*$V338</f>
        <v>0</v>
      </c>
      <c r="AL338" s="9" t="n">
        <f aca="false">Z338*$V338</f>
        <v>225600</v>
      </c>
      <c r="AM338" s="9" t="n">
        <f aca="false">AA338*$V338</f>
        <v>0</v>
      </c>
      <c r="AN338" s="9" t="n">
        <f aca="false">AB338*$V338</f>
        <v>0</v>
      </c>
      <c r="AO338" s="9" t="n">
        <f aca="false">AC338*$V338</f>
        <v>225600</v>
      </c>
      <c r="AP338" s="9" t="n">
        <f aca="false">AD338*$V338</f>
        <v>0</v>
      </c>
      <c r="AQ338" s="9" t="n">
        <f aca="false">AE338*$V338</f>
        <v>0</v>
      </c>
      <c r="AR338" s="9" t="n">
        <f aca="false">AF338*$V338</f>
        <v>225600</v>
      </c>
      <c r="AS338" s="9" t="n">
        <f aca="false">AG338*$V338</f>
        <v>0</v>
      </c>
      <c r="AT338" s="9" t="n">
        <f aca="false">AH338*$V338</f>
        <v>0</v>
      </c>
      <c r="AU338" s="9" t="n">
        <f aca="false">AI338*$V338</f>
        <v>225600</v>
      </c>
      <c r="AV338" s="9" t="n">
        <f aca="false">SUM(X338:AI338)/1000</f>
        <v>240</v>
      </c>
      <c r="AW338" s="9" t="n">
        <f aca="false">SUM(AJ338:AU338)</f>
        <v>902400</v>
      </c>
      <c r="AX338" s="9" t="n">
        <f aca="false">IF(D338="INR",AW338/88.24,AW338)/1000000</f>
        <v>0.0102266545784225</v>
      </c>
    </row>
    <row r="339" s="2" customFormat="true" ht="14.25" hidden="false" customHeight="false" outlineLevel="0" collapsed="false">
      <c r="A339" s="12"/>
      <c r="B339" s="16" t="n">
        <v>1</v>
      </c>
      <c r="C339" s="15"/>
      <c r="D339" s="16" t="s">
        <v>50</v>
      </c>
      <c r="E339" s="16"/>
      <c r="F339" s="16" t="s">
        <v>52</v>
      </c>
      <c r="G339" s="16" t="s">
        <v>254</v>
      </c>
      <c r="H339" s="16" t="s">
        <v>255</v>
      </c>
      <c r="I339" s="16"/>
      <c r="J339" s="16"/>
      <c r="K339" s="16"/>
      <c r="L339" s="16"/>
      <c r="M339" s="16"/>
      <c r="N339" s="16" t="s">
        <v>67</v>
      </c>
      <c r="O339" s="16" t="s">
        <v>246</v>
      </c>
      <c r="P339" s="16"/>
      <c r="Q339" s="16" t="s">
        <v>760</v>
      </c>
      <c r="R339" s="16"/>
      <c r="S339" s="16"/>
      <c r="T339" s="16" t="s">
        <v>761</v>
      </c>
      <c r="U339" s="16" t="s">
        <v>63</v>
      </c>
      <c r="V339" s="16" t="n">
        <v>7.5</v>
      </c>
      <c r="W339" s="16"/>
      <c r="X339" s="16" t="n">
        <v>30000</v>
      </c>
      <c r="Y339" s="16" t="n">
        <v>30000</v>
      </c>
      <c r="Z339" s="16" t="n">
        <v>30000</v>
      </c>
      <c r="AA339" s="16" t="n">
        <v>30000</v>
      </c>
      <c r="AB339" s="16" t="n">
        <v>30000</v>
      </c>
      <c r="AC339" s="16" t="n">
        <v>30000</v>
      </c>
      <c r="AD339" s="16" t="n">
        <v>30000</v>
      </c>
      <c r="AE339" s="16" t="n">
        <v>30000</v>
      </c>
      <c r="AF339" s="16" t="n">
        <v>30000</v>
      </c>
      <c r="AG339" s="16" t="n">
        <v>30000</v>
      </c>
      <c r="AH339" s="16" t="n">
        <v>30000</v>
      </c>
      <c r="AI339" s="16" t="n">
        <v>30000</v>
      </c>
      <c r="AJ339" s="9" t="n">
        <f aca="false">X339*$V339</f>
        <v>225000</v>
      </c>
      <c r="AK339" s="9" t="n">
        <f aca="false">Y339*$V339</f>
        <v>225000</v>
      </c>
      <c r="AL339" s="9" t="n">
        <f aca="false">Z339*$V339</f>
        <v>225000</v>
      </c>
      <c r="AM339" s="9" t="n">
        <f aca="false">AA339*$V339</f>
        <v>225000</v>
      </c>
      <c r="AN339" s="9" t="n">
        <f aca="false">AB339*$V339</f>
        <v>225000</v>
      </c>
      <c r="AO339" s="9" t="n">
        <f aca="false">AC339*$V339</f>
        <v>225000</v>
      </c>
      <c r="AP339" s="9" t="n">
        <f aca="false">AD339*$V339</f>
        <v>225000</v>
      </c>
      <c r="AQ339" s="9" t="n">
        <f aca="false">AE339*$V339</f>
        <v>225000</v>
      </c>
      <c r="AR339" s="9" t="n">
        <f aca="false">AF339*$V339</f>
        <v>225000</v>
      </c>
      <c r="AS339" s="9" t="n">
        <f aca="false">AG339*$V339</f>
        <v>225000</v>
      </c>
      <c r="AT339" s="9" t="n">
        <f aca="false">AH339*$V339</f>
        <v>225000</v>
      </c>
      <c r="AU339" s="9" t="n">
        <f aca="false">AI339*$V339</f>
        <v>225000</v>
      </c>
      <c r="AV339" s="9" t="n">
        <f aca="false">SUM(X339:AI339)/1000</f>
        <v>360</v>
      </c>
      <c r="AW339" s="9" t="n">
        <f aca="false">SUM(AJ339:AU339)</f>
        <v>2700000</v>
      </c>
      <c r="AX339" s="9" t="n">
        <f aca="false">IF(D339="INR",AW339/88.24,AW339)/1000000</f>
        <v>0.0305983680870354</v>
      </c>
    </row>
    <row r="340" s="2" customFormat="true" ht="14.25" hidden="false" customHeight="true" outlineLevel="0" collapsed="false">
      <c r="A340" s="12" t="s">
        <v>762</v>
      </c>
      <c r="B340" s="16" t="n">
        <v>5</v>
      </c>
      <c r="C340" s="15"/>
      <c r="D340" s="16" t="s">
        <v>50</v>
      </c>
      <c r="E340" s="16" t="s">
        <v>51</v>
      </c>
      <c r="F340" s="16" t="s">
        <v>243</v>
      </c>
      <c r="G340" s="16" t="s">
        <v>470</v>
      </c>
      <c r="H340" s="16" t="s">
        <v>471</v>
      </c>
      <c r="I340" s="16" t="s">
        <v>55</v>
      </c>
      <c r="J340" s="16" t="s">
        <v>100</v>
      </c>
      <c r="K340" s="16"/>
      <c r="L340" s="16" t="s">
        <v>55</v>
      </c>
      <c r="M340" s="16" t="s">
        <v>100</v>
      </c>
      <c r="N340" s="16" t="s">
        <v>93</v>
      </c>
      <c r="O340" s="16" t="s">
        <v>246</v>
      </c>
      <c r="P340" s="16" t="s">
        <v>380</v>
      </c>
      <c r="Q340" s="16" t="s">
        <v>380</v>
      </c>
      <c r="R340" s="16" t="s">
        <v>442</v>
      </c>
      <c r="S340" s="16" t="s">
        <v>443</v>
      </c>
      <c r="T340" s="16" t="s">
        <v>491</v>
      </c>
      <c r="U340" s="16" t="s">
        <v>73</v>
      </c>
      <c r="V340" s="16" t="n">
        <v>43</v>
      </c>
      <c r="W340" s="16" t="n">
        <v>0.295</v>
      </c>
      <c r="X340" s="16"/>
      <c r="Y340" s="16"/>
      <c r="Z340" s="16" t="n">
        <v>5000</v>
      </c>
      <c r="AA340" s="16"/>
      <c r="AB340" s="16"/>
      <c r="AC340" s="16" t="n">
        <v>5000</v>
      </c>
      <c r="AD340" s="16"/>
      <c r="AE340" s="16"/>
      <c r="AF340" s="16" t="n">
        <v>5000</v>
      </c>
      <c r="AG340" s="16"/>
      <c r="AH340" s="16"/>
      <c r="AI340" s="16" t="n">
        <v>5000</v>
      </c>
      <c r="AJ340" s="9" t="n">
        <f aca="false">X340*$V340</f>
        <v>0</v>
      </c>
      <c r="AK340" s="9" t="n">
        <f aca="false">Y340*$V340</f>
        <v>0</v>
      </c>
      <c r="AL340" s="9" t="n">
        <f aca="false">Z340*$V340</f>
        <v>215000</v>
      </c>
      <c r="AM340" s="9" t="n">
        <f aca="false">AA340*$V340</f>
        <v>0</v>
      </c>
      <c r="AN340" s="9" t="n">
        <f aca="false">AB340*$V340</f>
        <v>0</v>
      </c>
      <c r="AO340" s="9" t="n">
        <f aca="false">AC340*$V340</f>
        <v>215000</v>
      </c>
      <c r="AP340" s="9" t="n">
        <f aca="false">AD340*$V340</f>
        <v>0</v>
      </c>
      <c r="AQ340" s="9" t="n">
        <f aca="false">AE340*$V340</f>
        <v>0</v>
      </c>
      <c r="AR340" s="9" t="n">
        <f aca="false">AF340*$V340</f>
        <v>215000</v>
      </c>
      <c r="AS340" s="9" t="n">
        <f aca="false">AG340*$V340</f>
        <v>0</v>
      </c>
      <c r="AT340" s="9" t="n">
        <f aca="false">AH340*$V340</f>
        <v>0</v>
      </c>
      <c r="AU340" s="9" t="n">
        <f aca="false">AI340*$V340</f>
        <v>215000</v>
      </c>
      <c r="AV340" s="9" t="n">
        <f aca="false">SUM(X340:AI340)/1000</f>
        <v>20</v>
      </c>
      <c r="AW340" s="9" t="n">
        <f aca="false">SUM(AJ340:AU340)</f>
        <v>860000</v>
      </c>
      <c r="AX340" s="9" t="n">
        <f aca="false">IF(D340="INR",AW340/88.24,AW340)/1000000</f>
        <v>0.00974614687216682</v>
      </c>
    </row>
    <row r="341" s="2" customFormat="true" ht="14.25" hidden="false" customHeight="true" outlineLevel="0" collapsed="false">
      <c r="A341" s="12" t="s">
        <v>763</v>
      </c>
      <c r="B341" s="16" t="n">
        <v>5</v>
      </c>
      <c r="C341" s="15"/>
      <c r="D341" s="16" t="s">
        <v>50</v>
      </c>
      <c r="E341" s="16" t="s">
        <v>51</v>
      </c>
      <c r="F341" s="16" t="s">
        <v>97</v>
      </c>
      <c r="G341" s="16" t="s">
        <v>764</v>
      </c>
      <c r="H341" s="16" t="s">
        <v>765</v>
      </c>
      <c r="I341" s="16" t="s">
        <v>105</v>
      </c>
      <c r="J341" s="16" t="s">
        <v>766</v>
      </c>
      <c r="K341" s="16"/>
      <c r="L341" s="16" t="s">
        <v>105</v>
      </c>
      <c r="M341" s="16" t="s">
        <v>766</v>
      </c>
      <c r="N341" s="16" t="s">
        <v>79</v>
      </c>
      <c r="O341" s="16" t="s">
        <v>107</v>
      </c>
      <c r="P341" s="16" t="s">
        <v>110</v>
      </c>
      <c r="Q341" s="16" t="s">
        <v>110</v>
      </c>
      <c r="R341" s="16" t="s">
        <v>137</v>
      </c>
      <c r="S341" s="16" t="s">
        <v>272</v>
      </c>
      <c r="T341" s="16" t="s">
        <v>767</v>
      </c>
      <c r="U341" s="16" t="s">
        <v>73</v>
      </c>
      <c r="V341" s="16" t="n">
        <v>525.76</v>
      </c>
      <c r="W341" s="33" t="n">
        <v>4.104</v>
      </c>
      <c r="X341" s="16" t="n">
        <v>400</v>
      </c>
      <c r="Y341" s="16" t="n">
        <v>400</v>
      </c>
      <c r="Z341" s="16" t="n">
        <v>400</v>
      </c>
      <c r="AA341" s="16" t="n">
        <v>400</v>
      </c>
      <c r="AB341" s="16" t="n">
        <v>400</v>
      </c>
      <c r="AC341" s="16" t="n">
        <v>400</v>
      </c>
      <c r="AD341" s="16" t="n">
        <v>400</v>
      </c>
      <c r="AE341" s="16" t="n">
        <v>400</v>
      </c>
      <c r="AF341" s="16" t="n">
        <v>400</v>
      </c>
      <c r="AG341" s="16" t="n">
        <v>400</v>
      </c>
      <c r="AH341" s="16" t="n">
        <v>400</v>
      </c>
      <c r="AI341" s="16"/>
      <c r="AJ341" s="9" t="n">
        <f aca="false">X341*$V341</f>
        <v>210304</v>
      </c>
      <c r="AK341" s="9" t="n">
        <f aca="false">Y341*$V341</f>
        <v>210304</v>
      </c>
      <c r="AL341" s="9" t="n">
        <f aca="false">Z341*$V341</f>
        <v>210304</v>
      </c>
      <c r="AM341" s="9" t="n">
        <f aca="false">AA341*$V341</f>
        <v>210304</v>
      </c>
      <c r="AN341" s="9" t="n">
        <f aca="false">AB341*$V341</f>
        <v>210304</v>
      </c>
      <c r="AO341" s="9" t="n">
        <f aca="false">AC341*$V341</f>
        <v>210304</v>
      </c>
      <c r="AP341" s="9" t="n">
        <f aca="false">AD341*$V341</f>
        <v>210304</v>
      </c>
      <c r="AQ341" s="9" t="n">
        <f aca="false">AE341*$V341</f>
        <v>210304</v>
      </c>
      <c r="AR341" s="9" t="n">
        <f aca="false">AF341*$V341</f>
        <v>210304</v>
      </c>
      <c r="AS341" s="9" t="n">
        <f aca="false">AG341*$V341</f>
        <v>210304</v>
      </c>
      <c r="AT341" s="9" t="n">
        <f aca="false">AH341*$V341</f>
        <v>210304</v>
      </c>
      <c r="AU341" s="9" t="n">
        <f aca="false">AI341*$V341</f>
        <v>0</v>
      </c>
      <c r="AV341" s="9" t="n">
        <f aca="false">SUM(X341:AI341)/1000</f>
        <v>4.4</v>
      </c>
      <c r="AW341" s="9" t="n">
        <f aca="false">SUM(AJ341:AU341)</f>
        <v>2313344</v>
      </c>
      <c r="AX341" s="9" t="n">
        <f aca="false">IF(D341="INR",AW341/88.24,AW341)/1000000</f>
        <v>0.0262165004533092</v>
      </c>
    </row>
    <row r="342" s="2" customFormat="true" ht="16.4" hidden="false" customHeight="false" outlineLevel="0" collapsed="false">
      <c r="A342" s="35" t="s">
        <v>768</v>
      </c>
      <c r="B342" s="9"/>
      <c r="C342" s="10"/>
      <c r="D342" s="9" t="s">
        <v>50</v>
      </c>
      <c r="E342" s="9" t="s">
        <v>51</v>
      </c>
      <c r="F342" s="9" t="s">
        <v>356</v>
      </c>
      <c r="G342" s="9" t="s">
        <v>357</v>
      </c>
      <c r="H342" s="9" t="s">
        <v>358</v>
      </c>
      <c r="I342" s="9" t="s">
        <v>359</v>
      </c>
      <c r="J342" s="9" t="s">
        <v>360</v>
      </c>
      <c r="K342" s="9"/>
      <c r="L342" s="9" t="s">
        <v>359</v>
      </c>
      <c r="M342" s="9" t="s">
        <v>360</v>
      </c>
      <c r="N342" s="9" t="s">
        <v>57</v>
      </c>
      <c r="O342" s="9" t="s">
        <v>246</v>
      </c>
      <c r="P342" s="9" t="s">
        <v>361</v>
      </c>
      <c r="Q342" s="9" t="s">
        <v>361</v>
      </c>
      <c r="R342" s="9" t="s">
        <v>362</v>
      </c>
      <c r="S342" s="9" t="s">
        <v>363</v>
      </c>
      <c r="T342" s="9" t="s">
        <v>769</v>
      </c>
      <c r="U342" s="9" t="s">
        <v>73</v>
      </c>
      <c r="V342" s="10" t="n">
        <v>1016</v>
      </c>
      <c r="W342" s="9" t="n">
        <v>800</v>
      </c>
      <c r="X342" s="9" t="n">
        <v>200</v>
      </c>
      <c r="Y342" s="9" t="n">
        <v>200</v>
      </c>
      <c r="Z342" s="9" t="n">
        <v>200</v>
      </c>
      <c r="AA342" s="9" t="n">
        <v>200</v>
      </c>
      <c r="AB342" s="9" t="n">
        <v>200</v>
      </c>
      <c r="AC342" s="9" t="n">
        <v>200</v>
      </c>
      <c r="AD342" s="9" t="n">
        <v>200</v>
      </c>
      <c r="AE342" s="9"/>
      <c r="AF342" s="9"/>
      <c r="AG342" s="9" t="n">
        <v>200</v>
      </c>
      <c r="AH342" s="9"/>
      <c r="AI342" s="9"/>
      <c r="AJ342" s="9" t="n">
        <f aca="false">X342*$V342</f>
        <v>203200</v>
      </c>
      <c r="AK342" s="9" t="n">
        <f aca="false">Y342*$V342</f>
        <v>203200</v>
      </c>
      <c r="AL342" s="9" t="n">
        <f aca="false">Z342*$V342</f>
        <v>203200</v>
      </c>
      <c r="AM342" s="9" t="n">
        <f aca="false">AA342*$V342</f>
        <v>203200</v>
      </c>
      <c r="AN342" s="9" t="n">
        <f aca="false">AB342*$V342</f>
        <v>203200</v>
      </c>
      <c r="AO342" s="9" t="n">
        <f aca="false">AC342*$V342</f>
        <v>203200</v>
      </c>
      <c r="AP342" s="9" t="n">
        <f aca="false">AD342*$V342</f>
        <v>203200</v>
      </c>
      <c r="AQ342" s="9" t="n">
        <f aca="false">AE342*$V342</f>
        <v>0</v>
      </c>
      <c r="AR342" s="9" t="n">
        <f aca="false">AF342*$V342</f>
        <v>0</v>
      </c>
      <c r="AS342" s="9" t="n">
        <f aca="false">AG342*$V342</f>
        <v>203200</v>
      </c>
      <c r="AT342" s="9" t="n">
        <f aca="false">AH342*$V342</f>
        <v>0</v>
      </c>
      <c r="AU342" s="9" t="n">
        <f aca="false">AI342*$V342</f>
        <v>0</v>
      </c>
      <c r="AV342" s="9" t="n">
        <f aca="false">SUM(X342:AI342)/1000</f>
        <v>1.6</v>
      </c>
      <c r="AW342" s="9" t="n">
        <f aca="false">SUM(AJ342:AU342)</f>
        <v>1625600</v>
      </c>
      <c r="AX342" s="9" t="n">
        <f aca="false">IF(D342="INR",AW342/88.24,AW342)/1000000</f>
        <v>0.0184224841341795</v>
      </c>
    </row>
    <row r="343" s="2" customFormat="true" ht="14.25" hidden="false" customHeight="false" outlineLevel="0" collapsed="false">
      <c r="A343" s="35"/>
      <c r="B343" s="9" t="n">
        <v>5</v>
      </c>
      <c r="C343" s="10"/>
      <c r="D343" s="9" t="s">
        <v>50</v>
      </c>
      <c r="E343" s="9" t="s">
        <v>51</v>
      </c>
      <c r="F343" s="9" t="s">
        <v>404</v>
      </c>
      <c r="G343" s="9"/>
      <c r="H343" s="9" t="s">
        <v>770</v>
      </c>
      <c r="I343" s="9" t="s">
        <v>105</v>
      </c>
      <c r="J343" s="9"/>
      <c r="K343" s="9"/>
      <c r="L343" s="9"/>
      <c r="M343" s="9"/>
      <c r="N343" s="9" t="s">
        <v>271</v>
      </c>
      <c r="O343" s="9"/>
      <c r="P343" s="9" t="s">
        <v>110</v>
      </c>
      <c r="Q343" s="9" t="s">
        <v>110</v>
      </c>
      <c r="R343" s="9"/>
      <c r="S343" s="9"/>
      <c r="T343" s="9" t="s">
        <v>771</v>
      </c>
      <c r="U343" s="9"/>
      <c r="V343" s="9" t="n">
        <v>19.5</v>
      </c>
      <c r="W343" s="9"/>
      <c r="X343" s="9" t="n">
        <v>5000</v>
      </c>
      <c r="Y343" s="9" t="n">
        <v>5000</v>
      </c>
      <c r="Z343" s="9" t="n">
        <v>10000</v>
      </c>
      <c r="AA343" s="9" t="n">
        <v>5000</v>
      </c>
      <c r="AB343" s="9" t="n">
        <v>5000</v>
      </c>
      <c r="AC343" s="9" t="n">
        <v>5000</v>
      </c>
      <c r="AD343" s="9" t="n">
        <v>10000</v>
      </c>
      <c r="AE343" s="9" t="n">
        <v>5000</v>
      </c>
      <c r="AF343" s="9" t="n">
        <v>5000</v>
      </c>
      <c r="AG343" s="9" t="n">
        <v>5000</v>
      </c>
      <c r="AH343" s="9" t="n">
        <v>10000</v>
      </c>
      <c r="AI343" s="9" t="n">
        <v>5000</v>
      </c>
      <c r="AJ343" s="9" t="n">
        <f aca="false">X343*$V343</f>
        <v>97500</v>
      </c>
      <c r="AK343" s="9" t="n">
        <f aca="false">Y343*$V343</f>
        <v>97500</v>
      </c>
      <c r="AL343" s="9" t="n">
        <f aca="false">Z343*$V343</f>
        <v>195000</v>
      </c>
      <c r="AM343" s="9" t="n">
        <f aca="false">AA343*$V343</f>
        <v>97500</v>
      </c>
      <c r="AN343" s="9" t="n">
        <f aca="false">AB343*$V343</f>
        <v>97500</v>
      </c>
      <c r="AO343" s="9" t="n">
        <f aca="false">AC343*$V343</f>
        <v>97500</v>
      </c>
      <c r="AP343" s="9" t="n">
        <f aca="false">AD343*$V343</f>
        <v>195000</v>
      </c>
      <c r="AQ343" s="9" t="n">
        <f aca="false">AE343*$V343</f>
        <v>97500</v>
      </c>
      <c r="AR343" s="9" t="n">
        <f aca="false">AF343*$V343</f>
        <v>97500</v>
      </c>
      <c r="AS343" s="9" t="n">
        <f aca="false">AG343*$V343</f>
        <v>97500</v>
      </c>
      <c r="AT343" s="9" t="n">
        <f aca="false">AH343*$V343</f>
        <v>195000</v>
      </c>
      <c r="AU343" s="9" t="n">
        <f aca="false">AI343*$V343</f>
        <v>97500</v>
      </c>
      <c r="AV343" s="9" t="n">
        <f aca="false">SUM(X343:AI343)/1000</f>
        <v>75</v>
      </c>
      <c r="AW343" s="9" t="n">
        <f aca="false">SUM(AJ343:AU343)</f>
        <v>1462500</v>
      </c>
      <c r="AX343" s="9" t="n">
        <f aca="false">IF(D343="INR",AW343/88.24,AW343)/1000000</f>
        <v>0.0165741160471442</v>
      </c>
    </row>
    <row r="344" s="2" customFormat="true" ht="14.25" hidden="false" customHeight="false" outlineLevel="0" collapsed="false">
      <c r="A344" s="12" t="s">
        <v>772</v>
      </c>
      <c r="B344" s="16" t="n">
        <v>5</v>
      </c>
      <c r="C344" s="15"/>
      <c r="D344" s="16" t="s">
        <v>50</v>
      </c>
      <c r="E344" s="16" t="s">
        <v>51</v>
      </c>
      <c r="F344" s="16" t="s">
        <v>52</v>
      </c>
      <c r="G344" s="16" t="s">
        <v>773</v>
      </c>
      <c r="H344" s="16" t="s">
        <v>774</v>
      </c>
      <c r="I344" s="16" t="s">
        <v>105</v>
      </c>
      <c r="J344" s="16" t="s">
        <v>368</v>
      </c>
      <c r="K344" s="16"/>
      <c r="L344" s="16" t="s">
        <v>105</v>
      </c>
      <c r="M344" s="16" t="s">
        <v>368</v>
      </c>
      <c r="N344" s="16" t="s">
        <v>57</v>
      </c>
      <c r="O344" s="16" t="s">
        <v>107</v>
      </c>
      <c r="P344" s="16" t="s">
        <v>85</v>
      </c>
      <c r="Q344" s="16" t="s">
        <v>85</v>
      </c>
      <c r="R344" s="16" t="s">
        <v>86</v>
      </c>
      <c r="S344" s="16" t="s">
        <v>87</v>
      </c>
      <c r="T344" s="16" t="s">
        <v>775</v>
      </c>
      <c r="U344" s="16" t="s">
        <v>73</v>
      </c>
      <c r="V344" s="16" t="n">
        <v>97</v>
      </c>
      <c r="W344" s="16" t="n">
        <v>0.87</v>
      </c>
      <c r="X344" s="16" t="n">
        <v>2000</v>
      </c>
      <c r="Y344" s="16" t="n">
        <v>2000</v>
      </c>
      <c r="Z344" s="16" t="n">
        <v>2000</v>
      </c>
      <c r="AA344" s="16" t="n">
        <v>2000</v>
      </c>
      <c r="AB344" s="16" t="n">
        <v>2000</v>
      </c>
      <c r="AC344" s="16" t="n">
        <v>2000</v>
      </c>
      <c r="AD344" s="16" t="n">
        <v>2000</v>
      </c>
      <c r="AE344" s="16" t="n">
        <v>2000</v>
      </c>
      <c r="AF344" s="16" t="n">
        <v>2000</v>
      </c>
      <c r="AG344" s="16" t="n">
        <v>2000</v>
      </c>
      <c r="AH344" s="16" t="n">
        <v>2000</v>
      </c>
      <c r="AI344" s="16" t="n">
        <v>2000</v>
      </c>
      <c r="AJ344" s="9" t="n">
        <f aca="false">X344*$V344</f>
        <v>194000</v>
      </c>
      <c r="AK344" s="9" t="n">
        <f aca="false">Y344*$V344</f>
        <v>194000</v>
      </c>
      <c r="AL344" s="9" t="n">
        <f aca="false">Z344*$V344</f>
        <v>194000</v>
      </c>
      <c r="AM344" s="9" t="n">
        <f aca="false">AA344*$V344</f>
        <v>194000</v>
      </c>
      <c r="AN344" s="9" t="n">
        <f aca="false">AB344*$V344</f>
        <v>194000</v>
      </c>
      <c r="AO344" s="9" t="n">
        <f aca="false">AC344*$V344</f>
        <v>194000</v>
      </c>
      <c r="AP344" s="9" t="n">
        <f aca="false">AD344*$V344</f>
        <v>194000</v>
      </c>
      <c r="AQ344" s="9" t="n">
        <f aca="false">AE344*$V344</f>
        <v>194000</v>
      </c>
      <c r="AR344" s="9" t="n">
        <f aca="false">AF344*$V344</f>
        <v>194000</v>
      </c>
      <c r="AS344" s="9" t="n">
        <f aca="false">AG344*$V344</f>
        <v>194000</v>
      </c>
      <c r="AT344" s="9" t="n">
        <f aca="false">AH344*$V344</f>
        <v>194000</v>
      </c>
      <c r="AU344" s="9" t="n">
        <f aca="false">AI344*$V344</f>
        <v>194000</v>
      </c>
      <c r="AV344" s="9" t="n">
        <f aca="false">SUM(X344:AI344)/1000</f>
        <v>24</v>
      </c>
      <c r="AW344" s="9" t="n">
        <f aca="false">SUM(AJ344:AU344)</f>
        <v>2328000</v>
      </c>
      <c r="AX344" s="9" t="n">
        <f aca="false">IF(D344="INR",AW344/88.24,AW344)/1000000</f>
        <v>0.0263825929283772</v>
      </c>
    </row>
    <row r="345" s="2" customFormat="true" ht="14.25" hidden="false" customHeight="false" outlineLevel="0" collapsed="false">
      <c r="A345" s="12"/>
      <c r="B345" s="16" t="n">
        <v>1</v>
      </c>
      <c r="C345" s="15"/>
      <c r="D345" s="16" t="s">
        <v>50</v>
      </c>
      <c r="E345" s="16" t="s">
        <v>51</v>
      </c>
      <c r="F345" s="16" t="s">
        <v>52</v>
      </c>
      <c r="G345" s="16"/>
      <c r="H345" s="16" t="s">
        <v>346</v>
      </c>
      <c r="I345" s="16"/>
      <c r="J345" s="16"/>
      <c r="K345" s="16"/>
      <c r="L345" s="16"/>
      <c r="M345" s="16"/>
      <c r="N345" s="16" t="s">
        <v>290</v>
      </c>
      <c r="O345" s="16"/>
      <c r="P345" s="16"/>
      <c r="Q345" s="16" t="s">
        <v>69</v>
      </c>
      <c r="R345" s="16"/>
      <c r="S345" s="16"/>
      <c r="T345" s="16" t="s">
        <v>72</v>
      </c>
      <c r="U345" s="16"/>
      <c r="V345" s="16" t="n">
        <v>19</v>
      </c>
      <c r="W345" s="16"/>
      <c r="X345" s="16"/>
      <c r="Y345" s="16" t="n">
        <v>10000</v>
      </c>
      <c r="Z345" s="16" t="n">
        <v>10000</v>
      </c>
      <c r="AA345" s="16" t="n">
        <v>10000</v>
      </c>
      <c r="AB345" s="16" t="n">
        <v>10000</v>
      </c>
      <c r="AC345" s="16" t="n">
        <v>10000</v>
      </c>
      <c r="AD345" s="16" t="n">
        <v>10000</v>
      </c>
      <c r="AE345" s="16" t="n">
        <v>10000</v>
      </c>
      <c r="AF345" s="16" t="n">
        <v>10000</v>
      </c>
      <c r="AG345" s="16" t="n">
        <v>10000</v>
      </c>
      <c r="AH345" s="16" t="n">
        <v>10000</v>
      </c>
      <c r="AI345" s="16" t="n">
        <v>10000</v>
      </c>
      <c r="AJ345" s="9" t="n">
        <f aca="false">X345*$V345</f>
        <v>0</v>
      </c>
      <c r="AK345" s="9" t="n">
        <f aca="false">Y345*$V345</f>
        <v>190000</v>
      </c>
      <c r="AL345" s="9" t="n">
        <f aca="false">Z345*$V345</f>
        <v>190000</v>
      </c>
      <c r="AM345" s="9" t="n">
        <f aca="false">AA345*$V345</f>
        <v>190000</v>
      </c>
      <c r="AN345" s="9" t="n">
        <f aca="false">AB345*$V345</f>
        <v>190000</v>
      </c>
      <c r="AO345" s="9" t="n">
        <f aca="false">AC345*$V345</f>
        <v>190000</v>
      </c>
      <c r="AP345" s="9" t="n">
        <f aca="false">AD345*$V345</f>
        <v>190000</v>
      </c>
      <c r="AQ345" s="9" t="n">
        <f aca="false">AE345*$V345</f>
        <v>190000</v>
      </c>
      <c r="AR345" s="9" t="n">
        <f aca="false">AF345*$V345</f>
        <v>190000</v>
      </c>
      <c r="AS345" s="9" t="n">
        <f aca="false">AG345*$V345</f>
        <v>190000</v>
      </c>
      <c r="AT345" s="9" t="n">
        <f aca="false">AH345*$V345</f>
        <v>190000</v>
      </c>
      <c r="AU345" s="9" t="n">
        <f aca="false">AI345*$V345</f>
        <v>190000</v>
      </c>
      <c r="AV345" s="9" t="n">
        <f aca="false">SUM(X345:AI345)/1000</f>
        <v>110</v>
      </c>
      <c r="AW345" s="9" t="n">
        <f aca="false">SUM(AJ345:AU345)</f>
        <v>2090000</v>
      </c>
      <c r="AX345" s="9" t="n">
        <f aca="false">IF(D345="INR",AW345/88.24,AW345)/1000000</f>
        <v>0.0236854034451496</v>
      </c>
    </row>
    <row r="346" s="2" customFormat="true" ht="14.25" hidden="false" customHeight="false" outlineLevel="0" collapsed="false">
      <c r="A346" s="12" t="s">
        <v>776</v>
      </c>
      <c r="B346" s="13" t="n">
        <v>5</v>
      </c>
      <c r="C346" s="14"/>
      <c r="D346" s="16" t="s">
        <v>50</v>
      </c>
      <c r="E346" s="16" t="s">
        <v>51</v>
      </c>
      <c r="F346" s="16" t="s">
        <v>243</v>
      </c>
      <c r="G346" s="16" t="s">
        <v>318</v>
      </c>
      <c r="H346" s="16" t="s">
        <v>319</v>
      </c>
      <c r="I346" s="16" t="s">
        <v>55</v>
      </c>
      <c r="J346" s="16" t="s">
        <v>56</v>
      </c>
      <c r="K346" s="16"/>
      <c r="L346" s="16" t="s">
        <v>55</v>
      </c>
      <c r="M346" s="16" t="s">
        <v>56</v>
      </c>
      <c r="N346" s="16" t="s">
        <v>93</v>
      </c>
      <c r="O346" s="16" t="s">
        <v>68</v>
      </c>
      <c r="P346" s="16" t="s">
        <v>308</v>
      </c>
      <c r="Q346" s="16" t="s">
        <v>308</v>
      </c>
      <c r="R346" s="16" t="s">
        <v>309</v>
      </c>
      <c r="S346" s="16" t="s">
        <v>264</v>
      </c>
      <c r="T346" s="16" t="s">
        <v>777</v>
      </c>
      <c r="U346" s="16" t="s">
        <v>73</v>
      </c>
      <c r="V346" s="16" t="n">
        <v>0.9</v>
      </c>
      <c r="W346" s="16" t="n">
        <v>0.81</v>
      </c>
      <c r="X346" s="16" t="n">
        <v>208000</v>
      </c>
      <c r="Y346" s="16" t="n">
        <v>208000</v>
      </c>
      <c r="Z346" s="16" t="n">
        <v>208000</v>
      </c>
      <c r="AA346" s="16" t="n">
        <v>208000</v>
      </c>
      <c r="AB346" s="16" t="n">
        <v>208000</v>
      </c>
      <c r="AC346" s="16" t="n">
        <v>208000</v>
      </c>
      <c r="AD346" s="16" t="n">
        <v>208000</v>
      </c>
      <c r="AE346" s="16" t="n">
        <v>208000</v>
      </c>
      <c r="AF346" s="16" t="n">
        <v>208000</v>
      </c>
      <c r="AG346" s="16" t="n">
        <v>208000</v>
      </c>
      <c r="AH346" s="16" t="n">
        <v>208000</v>
      </c>
      <c r="AI346" s="16" t="n">
        <v>208000</v>
      </c>
      <c r="AJ346" s="9" t="n">
        <f aca="false">X346*$V346</f>
        <v>187200</v>
      </c>
      <c r="AK346" s="9" t="n">
        <f aca="false">Y346*$V346</f>
        <v>187200</v>
      </c>
      <c r="AL346" s="9" t="n">
        <f aca="false">Z346*$V346</f>
        <v>187200</v>
      </c>
      <c r="AM346" s="9" t="n">
        <f aca="false">AA346*$V346</f>
        <v>187200</v>
      </c>
      <c r="AN346" s="9" t="n">
        <f aca="false">AB346*$V346</f>
        <v>187200</v>
      </c>
      <c r="AO346" s="9" t="n">
        <f aca="false">AC346*$V346</f>
        <v>187200</v>
      </c>
      <c r="AP346" s="9" t="n">
        <f aca="false">AD346*$V346</f>
        <v>187200</v>
      </c>
      <c r="AQ346" s="9" t="n">
        <f aca="false">AE346*$V346</f>
        <v>187200</v>
      </c>
      <c r="AR346" s="9" t="n">
        <f aca="false">AF346*$V346</f>
        <v>187200</v>
      </c>
      <c r="AS346" s="9" t="n">
        <f aca="false">AG346*$V346</f>
        <v>187200</v>
      </c>
      <c r="AT346" s="9" t="n">
        <f aca="false">AH346*$V346</f>
        <v>187200</v>
      </c>
      <c r="AU346" s="9" t="n">
        <f aca="false">AI346*$V346</f>
        <v>187200</v>
      </c>
      <c r="AV346" s="9" t="n">
        <f aca="false">SUM(X346:AI346)/1000</f>
        <v>2496</v>
      </c>
      <c r="AW346" s="9" t="n">
        <f aca="false">SUM(AJ346:AU346)</f>
        <v>2246400</v>
      </c>
      <c r="AX346" s="9" t="n">
        <f aca="false">IF(D346="INR",AW346/88.24,AW346)/1000000</f>
        <v>0.0254578422484134</v>
      </c>
    </row>
    <row r="347" s="2" customFormat="true" ht="16.4" hidden="false" customHeight="false" outlineLevel="0" collapsed="false">
      <c r="A347" s="35" t="s">
        <v>778</v>
      </c>
      <c r="B347" s="9"/>
      <c r="C347" s="10"/>
      <c r="D347" s="9" t="s">
        <v>102</v>
      </c>
      <c r="E347" s="9" t="s">
        <v>51</v>
      </c>
      <c r="F347" s="9" t="s">
        <v>52</v>
      </c>
      <c r="G347" s="9" t="s">
        <v>494</v>
      </c>
      <c r="H347" s="9" t="s">
        <v>495</v>
      </c>
      <c r="I347" s="9" t="s">
        <v>260</v>
      </c>
      <c r="J347" s="9" t="s">
        <v>520</v>
      </c>
      <c r="K347" s="9" t="s">
        <v>495</v>
      </c>
      <c r="L347" s="9" t="s">
        <v>260</v>
      </c>
      <c r="M347" s="9" t="s">
        <v>520</v>
      </c>
      <c r="N347" s="9" t="s">
        <v>57</v>
      </c>
      <c r="O347" s="9" t="s">
        <v>94</v>
      </c>
      <c r="P347" s="9" t="s">
        <v>779</v>
      </c>
      <c r="Q347" s="9" t="s">
        <v>779</v>
      </c>
      <c r="R347" s="9" t="s">
        <v>330</v>
      </c>
      <c r="S347" s="9" t="s">
        <v>521</v>
      </c>
      <c r="T347" s="9" t="s">
        <v>780</v>
      </c>
      <c r="U347" s="9" t="s">
        <v>63</v>
      </c>
      <c r="V347" s="10" t="n">
        <v>0.193</v>
      </c>
      <c r="W347" s="9" t="n">
        <v>0.166</v>
      </c>
      <c r="X347" s="9"/>
      <c r="Y347" s="9"/>
      <c r="Z347" s="9"/>
      <c r="AA347" s="9"/>
      <c r="AB347" s="9"/>
      <c r="AC347" s="9"/>
      <c r="AD347" s="9"/>
      <c r="AE347" s="9"/>
      <c r="AF347" s="9" t="n">
        <v>1000</v>
      </c>
      <c r="AG347" s="9"/>
      <c r="AH347" s="9" t="n">
        <v>1000</v>
      </c>
      <c r="AI347" s="9" t="n">
        <v>1000</v>
      </c>
      <c r="AJ347" s="9" t="n">
        <f aca="false">X347*$V347</f>
        <v>0</v>
      </c>
      <c r="AK347" s="9" t="n">
        <f aca="false">Y347*$V347</f>
        <v>0</v>
      </c>
      <c r="AL347" s="9" t="n">
        <f aca="false">Z347*$V347</f>
        <v>0</v>
      </c>
      <c r="AM347" s="9" t="n">
        <f aca="false">AA347*$V347</f>
        <v>0</v>
      </c>
      <c r="AN347" s="9" t="n">
        <f aca="false">AB347*$V347</f>
        <v>0</v>
      </c>
      <c r="AO347" s="9" t="n">
        <f aca="false">AC347*$V347</f>
        <v>0</v>
      </c>
      <c r="AP347" s="9" t="n">
        <f aca="false">AD347*$V347</f>
        <v>0</v>
      </c>
      <c r="AQ347" s="9" t="n">
        <f aca="false">AE347*$V347</f>
        <v>0</v>
      </c>
      <c r="AR347" s="9" t="n">
        <f aca="false">AF347*$V347</f>
        <v>193</v>
      </c>
      <c r="AS347" s="9" t="n">
        <f aca="false">AG347*$V347</f>
        <v>0</v>
      </c>
      <c r="AT347" s="9" t="n">
        <f aca="false">AH347*$V347</f>
        <v>193</v>
      </c>
      <c r="AU347" s="9" t="n">
        <f aca="false">AI347*$V347</f>
        <v>193</v>
      </c>
      <c r="AV347" s="9" t="n">
        <f aca="false">SUM(X347:AI347)/1000</f>
        <v>3</v>
      </c>
      <c r="AW347" s="9" t="n">
        <f aca="false">SUM(AJ347:AU347)</f>
        <v>579</v>
      </c>
      <c r="AX347" s="9" t="n">
        <f aca="false">IF(D347="INR",AW347/88.24,AW347)/1000000</f>
        <v>0.000579</v>
      </c>
    </row>
    <row r="348" s="2" customFormat="true" ht="14.25" hidden="false" customHeight="false" outlineLevel="0" collapsed="false">
      <c r="A348" s="12"/>
      <c r="B348" s="16" t="n">
        <v>1</v>
      </c>
      <c r="C348" s="15"/>
      <c r="D348" s="16" t="s">
        <v>102</v>
      </c>
      <c r="E348" s="16" t="s">
        <v>51</v>
      </c>
      <c r="F348" s="16" t="s">
        <v>52</v>
      </c>
      <c r="G348" s="16" t="s">
        <v>781</v>
      </c>
      <c r="H348" s="16" t="s">
        <v>782</v>
      </c>
      <c r="I348" s="16" t="s">
        <v>77</v>
      </c>
      <c r="J348" s="16" t="s">
        <v>496</v>
      </c>
      <c r="K348" s="16" t="s">
        <v>495</v>
      </c>
      <c r="L348" s="16" t="s">
        <v>77</v>
      </c>
      <c r="M348" s="16" t="s">
        <v>496</v>
      </c>
      <c r="N348" s="16" t="s">
        <v>57</v>
      </c>
      <c r="O348" s="16" t="s">
        <v>94</v>
      </c>
      <c r="P348" s="16" t="s">
        <v>188</v>
      </c>
      <c r="Q348" s="16" t="s">
        <v>188</v>
      </c>
      <c r="R348" s="16" t="s">
        <v>550</v>
      </c>
      <c r="S348" s="16" t="s">
        <v>528</v>
      </c>
      <c r="T348" s="16" t="s">
        <v>783</v>
      </c>
      <c r="U348" s="16" t="s">
        <v>63</v>
      </c>
      <c r="V348" s="16" t="n">
        <v>2.197</v>
      </c>
      <c r="W348" s="16"/>
      <c r="X348" s="16"/>
      <c r="Y348" s="16"/>
      <c r="Z348" s="16" t="n">
        <v>1000</v>
      </c>
      <c r="AA348" s="16"/>
      <c r="AB348" s="16"/>
      <c r="AC348" s="16"/>
      <c r="AD348" s="16" t="n">
        <v>1000</v>
      </c>
      <c r="AE348" s="16"/>
      <c r="AF348" s="16" t="n">
        <v>1000</v>
      </c>
      <c r="AG348" s="16"/>
      <c r="AH348" s="16" t="n">
        <v>1000</v>
      </c>
      <c r="AI348" s="16" t="n">
        <v>1000</v>
      </c>
      <c r="AJ348" s="9" t="n">
        <f aca="false">X348*$V348</f>
        <v>0</v>
      </c>
      <c r="AK348" s="9" t="n">
        <f aca="false">Y348*$V348</f>
        <v>0</v>
      </c>
      <c r="AL348" s="9" t="n">
        <f aca="false">Z348*$V348</f>
        <v>2197</v>
      </c>
      <c r="AM348" s="9" t="n">
        <f aca="false">AA348*$V348</f>
        <v>0</v>
      </c>
      <c r="AN348" s="9" t="n">
        <f aca="false">AB348*$V348</f>
        <v>0</v>
      </c>
      <c r="AO348" s="9" t="n">
        <f aca="false">AC348*$V348</f>
        <v>0</v>
      </c>
      <c r="AP348" s="9" t="n">
        <f aca="false">AD348*$V348</f>
        <v>2197</v>
      </c>
      <c r="AQ348" s="9" t="n">
        <f aca="false">AE348*$V348</f>
        <v>0</v>
      </c>
      <c r="AR348" s="9" t="n">
        <f aca="false">AF348*$V348</f>
        <v>2197</v>
      </c>
      <c r="AS348" s="9" t="n">
        <f aca="false">AG348*$V348</f>
        <v>0</v>
      </c>
      <c r="AT348" s="9" t="n">
        <f aca="false">AH348*$V348</f>
        <v>2197</v>
      </c>
      <c r="AU348" s="9" t="n">
        <f aca="false">AI348*$V348</f>
        <v>2197</v>
      </c>
      <c r="AV348" s="9" t="n">
        <f aca="false">SUM(X348:AI348)/1000</f>
        <v>5</v>
      </c>
      <c r="AW348" s="9" t="n">
        <f aca="false">SUM(AJ348:AU348)</f>
        <v>10985</v>
      </c>
      <c r="AX348" s="9" t="n">
        <f aca="false">IF(D348="INR",AW348/88.24,AW348)/1000000</f>
        <v>0.010985</v>
      </c>
    </row>
    <row r="349" s="2" customFormat="true" ht="14.25" hidden="false" customHeight="false" outlineLevel="0" collapsed="false">
      <c r="A349" s="12"/>
      <c r="B349" s="16" t="n">
        <v>1</v>
      </c>
      <c r="C349" s="15"/>
      <c r="D349" s="16" t="s">
        <v>102</v>
      </c>
      <c r="E349" s="16" t="s">
        <v>51</v>
      </c>
      <c r="F349" s="16" t="s">
        <v>52</v>
      </c>
      <c r="G349" s="16" t="s">
        <v>781</v>
      </c>
      <c r="H349" s="16" t="s">
        <v>782</v>
      </c>
      <c r="I349" s="16" t="s">
        <v>77</v>
      </c>
      <c r="J349" s="16" t="s">
        <v>496</v>
      </c>
      <c r="K349" s="16" t="s">
        <v>495</v>
      </c>
      <c r="L349" s="16" t="s">
        <v>77</v>
      </c>
      <c r="M349" s="16" t="s">
        <v>496</v>
      </c>
      <c r="N349" s="16" t="s">
        <v>57</v>
      </c>
      <c r="O349" s="16" t="s">
        <v>94</v>
      </c>
      <c r="P349" s="16" t="s">
        <v>110</v>
      </c>
      <c r="Q349" s="16" t="s">
        <v>110</v>
      </c>
      <c r="R349" s="16"/>
      <c r="S349" s="16"/>
      <c r="T349" s="16" t="s">
        <v>784</v>
      </c>
      <c r="U349" s="16"/>
      <c r="V349" s="16" t="n">
        <v>0.3</v>
      </c>
      <c r="W349" s="16"/>
      <c r="X349" s="16"/>
      <c r="Y349" s="16"/>
      <c r="Z349" s="16" t="n">
        <v>1000</v>
      </c>
      <c r="AA349" s="16"/>
      <c r="AB349" s="16"/>
      <c r="AC349" s="16"/>
      <c r="AD349" s="16" t="n">
        <v>1000</v>
      </c>
      <c r="AE349" s="16"/>
      <c r="AF349" s="16" t="n">
        <v>1000</v>
      </c>
      <c r="AG349" s="16"/>
      <c r="AH349" s="16" t="n">
        <v>1000</v>
      </c>
      <c r="AI349" s="16" t="n">
        <v>1000</v>
      </c>
      <c r="AJ349" s="9" t="n">
        <f aca="false">X349*$V349</f>
        <v>0</v>
      </c>
      <c r="AK349" s="9" t="n">
        <f aca="false">Y349*$V349</f>
        <v>0</v>
      </c>
      <c r="AL349" s="9" t="n">
        <f aca="false">Z349*$V349</f>
        <v>300</v>
      </c>
      <c r="AM349" s="9" t="n">
        <f aca="false">AA349*$V349</f>
        <v>0</v>
      </c>
      <c r="AN349" s="9" t="n">
        <f aca="false">AB349*$V349</f>
        <v>0</v>
      </c>
      <c r="AO349" s="9" t="n">
        <f aca="false">AC349*$V349</f>
        <v>0</v>
      </c>
      <c r="AP349" s="9" t="n">
        <f aca="false">AD349*$V349</f>
        <v>300</v>
      </c>
      <c r="AQ349" s="9" t="n">
        <f aca="false">AE349*$V349</f>
        <v>0</v>
      </c>
      <c r="AR349" s="9" t="n">
        <f aca="false">AF349*$V349</f>
        <v>300</v>
      </c>
      <c r="AS349" s="9" t="n">
        <f aca="false">AG349*$V349</f>
        <v>0</v>
      </c>
      <c r="AT349" s="9" t="n">
        <f aca="false">AH349*$V349</f>
        <v>300</v>
      </c>
      <c r="AU349" s="9" t="n">
        <f aca="false">AI349*$V349</f>
        <v>300</v>
      </c>
      <c r="AV349" s="9" t="n">
        <f aca="false">SUM(X349:AI349)/1000</f>
        <v>5</v>
      </c>
      <c r="AW349" s="9" t="n">
        <f aca="false">SUM(AJ349:AU349)</f>
        <v>1500</v>
      </c>
      <c r="AX349" s="9" t="n">
        <f aca="false">IF(D349="INR",AW349/88.24,AW349)/1000000</f>
        <v>0.0015</v>
      </c>
    </row>
    <row r="350" s="2" customFormat="true" ht="14.25" hidden="false" customHeight="false" outlineLevel="0" collapsed="false">
      <c r="A350" s="12" t="s">
        <v>785</v>
      </c>
      <c r="B350" s="13"/>
      <c r="C350" s="14" t="n">
        <v>5</v>
      </c>
      <c r="D350" s="16" t="s">
        <v>50</v>
      </c>
      <c r="E350" s="16" t="s">
        <v>51</v>
      </c>
      <c r="F350" s="16" t="s">
        <v>52</v>
      </c>
      <c r="G350" s="16" t="s">
        <v>287</v>
      </c>
      <c r="H350" s="16" t="s">
        <v>288</v>
      </c>
      <c r="I350" s="16" t="s">
        <v>260</v>
      </c>
      <c r="J350" s="16" t="s">
        <v>289</v>
      </c>
      <c r="K350" s="16"/>
      <c r="L350" s="16" t="s">
        <v>260</v>
      </c>
      <c r="M350" s="16" t="s">
        <v>289</v>
      </c>
      <c r="N350" s="16" t="s">
        <v>290</v>
      </c>
      <c r="O350" s="16" t="s">
        <v>94</v>
      </c>
      <c r="P350" s="16" t="s">
        <v>308</v>
      </c>
      <c r="Q350" s="16" t="s">
        <v>308</v>
      </c>
      <c r="R350" s="16" t="s">
        <v>309</v>
      </c>
      <c r="S350" s="16" t="s">
        <v>264</v>
      </c>
      <c r="T350" s="16" t="s">
        <v>786</v>
      </c>
      <c r="U350" s="16" t="s">
        <v>73</v>
      </c>
      <c r="V350" s="16" t="n">
        <v>6.11</v>
      </c>
      <c r="W350" s="16" t="n">
        <v>4.7</v>
      </c>
      <c r="X350" s="16" t="n">
        <v>30000</v>
      </c>
      <c r="Y350" s="16" t="n">
        <v>30000</v>
      </c>
      <c r="Z350" s="16" t="n">
        <v>30000</v>
      </c>
      <c r="AA350" s="16" t="n">
        <v>30000</v>
      </c>
      <c r="AB350" s="16" t="n">
        <v>30000</v>
      </c>
      <c r="AC350" s="16" t="n">
        <v>30000</v>
      </c>
      <c r="AD350" s="16" t="n">
        <v>30000</v>
      </c>
      <c r="AE350" s="16" t="n">
        <v>30000</v>
      </c>
      <c r="AF350" s="16" t="n">
        <v>30000</v>
      </c>
      <c r="AG350" s="16" t="n">
        <v>30000</v>
      </c>
      <c r="AH350" s="16" t="n">
        <v>30000</v>
      </c>
      <c r="AI350" s="16" t="n">
        <v>30000</v>
      </c>
      <c r="AJ350" s="9" t="n">
        <f aca="false">X350*$V350</f>
        <v>183300</v>
      </c>
      <c r="AK350" s="9" t="n">
        <f aca="false">Y350*$V350</f>
        <v>183300</v>
      </c>
      <c r="AL350" s="9" t="n">
        <f aca="false">Z350*$V350</f>
        <v>183300</v>
      </c>
      <c r="AM350" s="9" t="n">
        <f aca="false">AA350*$V350</f>
        <v>183300</v>
      </c>
      <c r="AN350" s="9" t="n">
        <f aca="false">AB350*$V350</f>
        <v>183300</v>
      </c>
      <c r="AO350" s="9" t="n">
        <f aca="false">AC350*$V350</f>
        <v>183300</v>
      </c>
      <c r="AP350" s="9" t="n">
        <f aca="false">AD350*$V350</f>
        <v>183300</v>
      </c>
      <c r="AQ350" s="9" t="n">
        <f aca="false">AE350*$V350</f>
        <v>183300</v>
      </c>
      <c r="AR350" s="9" t="n">
        <f aca="false">AF350*$V350</f>
        <v>183300</v>
      </c>
      <c r="AS350" s="9" t="n">
        <f aca="false">AG350*$V350</f>
        <v>183300</v>
      </c>
      <c r="AT350" s="9" t="n">
        <f aca="false">AH350*$V350</f>
        <v>183300</v>
      </c>
      <c r="AU350" s="9" t="n">
        <f aca="false">AI350*$V350</f>
        <v>183300</v>
      </c>
      <c r="AV350" s="9" t="n">
        <f aca="false">SUM(X350:AI350)/1000</f>
        <v>360</v>
      </c>
      <c r="AW350" s="9" t="n">
        <f aca="false">SUM(AJ350:AU350)</f>
        <v>2199600</v>
      </c>
      <c r="AX350" s="9" t="n">
        <f aca="false">IF(D350="INR",AW350/88.24,AW350)/1000000</f>
        <v>0.0249274705349048</v>
      </c>
    </row>
    <row r="351" s="2" customFormat="true" ht="14.25" hidden="false" customHeight="false" outlineLevel="0" collapsed="false">
      <c r="A351" s="16"/>
      <c r="B351" s="16" t="n">
        <v>1</v>
      </c>
      <c r="C351" s="16"/>
      <c r="D351" s="16" t="s">
        <v>102</v>
      </c>
      <c r="E351" s="16" t="s">
        <v>51</v>
      </c>
      <c r="F351" s="16" t="s">
        <v>52</v>
      </c>
      <c r="G351" s="16" t="s">
        <v>781</v>
      </c>
      <c r="H351" s="16" t="s">
        <v>782</v>
      </c>
      <c r="I351" s="16" t="s">
        <v>77</v>
      </c>
      <c r="J351" s="16" t="s">
        <v>496</v>
      </c>
      <c r="K351" s="16" t="s">
        <v>495</v>
      </c>
      <c r="L351" s="16" t="s">
        <v>77</v>
      </c>
      <c r="M351" s="16" t="s">
        <v>496</v>
      </c>
      <c r="N351" s="16" t="s">
        <v>57</v>
      </c>
      <c r="O351" s="16" t="s">
        <v>94</v>
      </c>
      <c r="P351" s="16" t="s">
        <v>188</v>
      </c>
      <c r="Q351" s="16" t="s">
        <v>188</v>
      </c>
      <c r="R351" s="16" t="s">
        <v>550</v>
      </c>
      <c r="S351" s="16" t="s">
        <v>528</v>
      </c>
      <c r="T351" s="26" t="s">
        <v>787</v>
      </c>
      <c r="U351" s="16" t="s">
        <v>63</v>
      </c>
      <c r="V351" s="16" t="n">
        <v>0.167</v>
      </c>
      <c r="W351" s="16"/>
      <c r="X351" s="16"/>
      <c r="Y351" s="16"/>
      <c r="Z351" s="16" t="n">
        <v>1000</v>
      </c>
      <c r="AA351" s="16"/>
      <c r="AB351" s="16"/>
      <c r="AC351" s="16"/>
      <c r="AD351" s="16" t="n">
        <v>1000</v>
      </c>
      <c r="AE351" s="16"/>
      <c r="AF351" s="16" t="n">
        <v>1000</v>
      </c>
      <c r="AG351" s="16"/>
      <c r="AH351" s="16" t="n">
        <v>1000</v>
      </c>
      <c r="AI351" s="16" t="n">
        <v>1000</v>
      </c>
      <c r="AJ351" s="9" t="n">
        <f aca="false">X351*$V351</f>
        <v>0</v>
      </c>
      <c r="AK351" s="9" t="n">
        <f aca="false">Y351*$V351</f>
        <v>0</v>
      </c>
      <c r="AL351" s="9" t="n">
        <f aca="false">Z351*$V351</f>
        <v>167</v>
      </c>
      <c r="AM351" s="9" t="n">
        <f aca="false">AA351*$V351</f>
        <v>0</v>
      </c>
      <c r="AN351" s="9" t="n">
        <f aca="false">AB351*$V351</f>
        <v>0</v>
      </c>
      <c r="AO351" s="9" t="n">
        <f aca="false">AC351*$V351</f>
        <v>0</v>
      </c>
      <c r="AP351" s="9" t="n">
        <f aca="false">AD351*$V351</f>
        <v>167</v>
      </c>
      <c r="AQ351" s="9" t="n">
        <f aca="false">AE351*$V351</f>
        <v>0</v>
      </c>
      <c r="AR351" s="9" t="n">
        <f aca="false">AF351*$V351</f>
        <v>167</v>
      </c>
      <c r="AS351" s="9" t="n">
        <f aca="false">AG351*$V351</f>
        <v>0</v>
      </c>
      <c r="AT351" s="9" t="n">
        <f aca="false">AH351*$V351</f>
        <v>167</v>
      </c>
      <c r="AU351" s="9" t="n">
        <f aca="false">AI351*$V351</f>
        <v>167</v>
      </c>
      <c r="AV351" s="9" t="n">
        <f aca="false">SUM(X351:AI351)/1000</f>
        <v>5</v>
      </c>
      <c r="AW351" s="9" t="n">
        <f aca="false">SUM(AJ351:AU351)</f>
        <v>835</v>
      </c>
      <c r="AX351" s="9" t="n">
        <f aca="false">IF(D351="INR",AW351/88.24,AW351)/1000000</f>
        <v>0.000835</v>
      </c>
    </row>
    <row r="352" s="2" customFormat="true" ht="14.25" hidden="false" customHeight="false" outlineLevel="0" collapsed="false">
      <c r="A352" s="16"/>
      <c r="B352" s="16" t="n">
        <v>1</v>
      </c>
      <c r="C352" s="16"/>
      <c r="D352" s="16" t="s">
        <v>102</v>
      </c>
      <c r="E352" s="16" t="s">
        <v>51</v>
      </c>
      <c r="F352" s="16" t="s">
        <v>52</v>
      </c>
      <c r="G352" s="16" t="s">
        <v>781</v>
      </c>
      <c r="H352" s="16" t="s">
        <v>782</v>
      </c>
      <c r="I352" s="16" t="s">
        <v>77</v>
      </c>
      <c r="J352" s="16" t="s">
        <v>496</v>
      </c>
      <c r="K352" s="16" t="s">
        <v>495</v>
      </c>
      <c r="L352" s="16" t="s">
        <v>77</v>
      </c>
      <c r="M352" s="16" t="s">
        <v>496</v>
      </c>
      <c r="N352" s="16" t="s">
        <v>57</v>
      </c>
      <c r="O352" s="16" t="s">
        <v>94</v>
      </c>
      <c r="P352" s="16" t="s">
        <v>188</v>
      </c>
      <c r="Q352" s="16" t="s">
        <v>188</v>
      </c>
      <c r="R352" s="16" t="s">
        <v>550</v>
      </c>
      <c r="S352" s="16" t="s">
        <v>528</v>
      </c>
      <c r="T352" s="16" t="s">
        <v>788</v>
      </c>
      <c r="U352" s="16" t="s">
        <v>63</v>
      </c>
      <c r="V352" s="26" t="n">
        <v>0.166</v>
      </c>
      <c r="W352" s="16"/>
      <c r="X352" s="16"/>
      <c r="Y352" s="16"/>
      <c r="Z352" s="16" t="n">
        <v>1000</v>
      </c>
      <c r="AA352" s="16"/>
      <c r="AB352" s="16"/>
      <c r="AC352" s="16"/>
      <c r="AD352" s="16" t="n">
        <v>1000</v>
      </c>
      <c r="AE352" s="16"/>
      <c r="AF352" s="16" t="n">
        <v>1000</v>
      </c>
      <c r="AG352" s="16"/>
      <c r="AH352" s="16" t="n">
        <v>1000</v>
      </c>
      <c r="AI352" s="16" t="n">
        <v>1000</v>
      </c>
      <c r="AJ352" s="9" t="n">
        <f aca="false">X352*$V352</f>
        <v>0</v>
      </c>
      <c r="AK352" s="9" t="n">
        <f aca="false">Y352*$V352</f>
        <v>0</v>
      </c>
      <c r="AL352" s="9" t="n">
        <f aca="false">Z352*$V352</f>
        <v>166</v>
      </c>
      <c r="AM352" s="9" t="n">
        <f aca="false">AA352*$V352</f>
        <v>0</v>
      </c>
      <c r="AN352" s="9" t="n">
        <f aca="false">AB352*$V352</f>
        <v>0</v>
      </c>
      <c r="AO352" s="9" t="n">
        <f aca="false">AC352*$V352</f>
        <v>0</v>
      </c>
      <c r="AP352" s="9" t="n">
        <f aca="false">AD352*$V352</f>
        <v>166</v>
      </c>
      <c r="AQ352" s="9" t="n">
        <f aca="false">AE352*$V352</f>
        <v>0</v>
      </c>
      <c r="AR352" s="9" t="n">
        <f aca="false">AF352*$V352</f>
        <v>166</v>
      </c>
      <c r="AS352" s="9" t="n">
        <f aca="false">AG352*$V352</f>
        <v>0</v>
      </c>
      <c r="AT352" s="9" t="n">
        <f aca="false">AH352*$V352</f>
        <v>166</v>
      </c>
      <c r="AU352" s="9" t="n">
        <f aca="false">AI352*$V352</f>
        <v>166</v>
      </c>
      <c r="AV352" s="9" t="n">
        <f aca="false">SUM(X352:AI352)/1000</f>
        <v>5</v>
      </c>
      <c r="AW352" s="9" t="n">
        <f aca="false">SUM(AJ352:AU352)</f>
        <v>830</v>
      </c>
      <c r="AX352" s="9" t="n">
        <f aca="false">IF(D352="INR",AW352/88.24,AW352)/1000000</f>
        <v>0.00083</v>
      </c>
    </row>
    <row r="353" s="2" customFormat="true" ht="14.25" hidden="false" customHeight="false" outlineLevel="0" collapsed="false">
      <c r="A353" s="35"/>
      <c r="B353" s="9" t="n">
        <v>1</v>
      </c>
      <c r="C353" s="10"/>
      <c r="D353" s="9" t="s">
        <v>102</v>
      </c>
      <c r="E353" s="9" t="s">
        <v>51</v>
      </c>
      <c r="F353" s="9" t="s">
        <v>52</v>
      </c>
      <c r="G353" s="9" t="s">
        <v>781</v>
      </c>
      <c r="H353" s="9" t="s">
        <v>782</v>
      </c>
      <c r="I353" s="9" t="s">
        <v>77</v>
      </c>
      <c r="J353" s="9" t="s">
        <v>496</v>
      </c>
      <c r="K353" s="9" t="s">
        <v>495</v>
      </c>
      <c r="L353" s="9" t="s">
        <v>77</v>
      </c>
      <c r="M353" s="9" t="s">
        <v>496</v>
      </c>
      <c r="N353" s="9" t="s">
        <v>57</v>
      </c>
      <c r="O353" s="9" t="s">
        <v>94</v>
      </c>
      <c r="P353" s="9" t="s">
        <v>789</v>
      </c>
      <c r="Q353" s="9" t="s">
        <v>789</v>
      </c>
      <c r="R353" s="9" t="s">
        <v>377</v>
      </c>
      <c r="S353" s="9" t="s">
        <v>528</v>
      </c>
      <c r="T353" s="9" t="s">
        <v>790</v>
      </c>
      <c r="U353" s="9"/>
      <c r="V353" s="9" t="n">
        <v>0.117</v>
      </c>
      <c r="W353" s="9"/>
      <c r="X353" s="9"/>
      <c r="Y353" s="9"/>
      <c r="Z353" s="9" t="n">
        <v>1000</v>
      </c>
      <c r="AA353" s="9"/>
      <c r="AB353" s="9"/>
      <c r="AC353" s="9"/>
      <c r="AD353" s="9" t="n">
        <v>1000</v>
      </c>
      <c r="AE353" s="9"/>
      <c r="AF353" s="9" t="n">
        <v>1000</v>
      </c>
      <c r="AG353" s="9"/>
      <c r="AH353" s="9" t="n">
        <v>1000</v>
      </c>
      <c r="AI353" s="9" t="n">
        <v>1000</v>
      </c>
      <c r="AJ353" s="9" t="n">
        <f aca="false">X353*$V353</f>
        <v>0</v>
      </c>
      <c r="AK353" s="9" t="n">
        <f aca="false">Y353*$V353</f>
        <v>0</v>
      </c>
      <c r="AL353" s="9" t="n">
        <f aca="false">Z353*$V353</f>
        <v>117</v>
      </c>
      <c r="AM353" s="9" t="n">
        <f aca="false">AA353*$V353</f>
        <v>0</v>
      </c>
      <c r="AN353" s="9" t="n">
        <f aca="false">AB353*$V353</f>
        <v>0</v>
      </c>
      <c r="AO353" s="9" t="n">
        <f aca="false">AC353*$V353</f>
        <v>0</v>
      </c>
      <c r="AP353" s="9" t="n">
        <f aca="false">AD353*$V353</f>
        <v>117</v>
      </c>
      <c r="AQ353" s="9" t="n">
        <f aca="false">AE353*$V353</f>
        <v>0</v>
      </c>
      <c r="AR353" s="9" t="n">
        <f aca="false">AF353*$V353</f>
        <v>117</v>
      </c>
      <c r="AS353" s="9" t="n">
        <f aca="false">AG353*$V353</f>
        <v>0</v>
      </c>
      <c r="AT353" s="9" t="n">
        <f aca="false">AH353*$V353</f>
        <v>117</v>
      </c>
      <c r="AU353" s="9" t="n">
        <f aca="false">AI353*$V353</f>
        <v>117</v>
      </c>
      <c r="AV353" s="9" t="n">
        <f aca="false">SUM(X353:AI353)/1000</f>
        <v>5</v>
      </c>
      <c r="AW353" s="9" t="n">
        <f aca="false">SUM(AJ353:AU353)</f>
        <v>585</v>
      </c>
      <c r="AX353" s="9" t="n">
        <f aca="false">IF(D353="INR",AW353/88.24,AW353)/1000000</f>
        <v>0.000585</v>
      </c>
    </row>
    <row r="354" s="2" customFormat="true" ht="14.25" hidden="false" customHeight="false" outlineLevel="0" collapsed="false">
      <c r="A354" s="35"/>
      <c r="B354" s="9" t="n">
        <v>1</v>
      </c>
      <c r="C354" s="10"/>
      <c r="D354" s="9" t="s">
        <v>102</v>
      </c>
      <c r="E354" s="9" t="s">
        <v>51</v>
      </c>
      <c r="F354" s="9" t="s">
        <v>52</v>
      </c>
      <c r="G354" s="9" t="s">
        <v>781</v>
      </c>
      <c r="H354" s="9" t="s">
        <v>782</v>
      </c>
      <c r="I354" s="9" t="s">
        <v>77</v>
      </c>
      <c r="J354" s="9" t="s">
        <v>496</v>
      </c>
      <c r="K354" s="9" t="s">
        <v>495</v>
      </c>
      <c r="L354" s="9" t="s">
        <v>77</v>
      </c>
      <c r="M354" s="9" t="s">
        <v>496</v>
      </c>
      <c r="N354" s="9" t="s">
        <v>57</v>
      </c>
      <c r="O354" s="9" t="s">
        <v>94</v>
      </c>
      <c r="P354" s="9" t="s">
        <v>791</v>
      </c>
      <c r="Q354" s="9" t="s">
        <v>791</v>
      </c>
      <c r="R354" s="9" t="s">
        <v>792</v>
      </c>
      <c r="S354" s="9" t="s">
        <v>264</v>
      </c>
      <c r="T354" s="9" t="s">
        <v>793</v>
      </c>
      <c r="U354" s="9" t="s">
        <v>63</v>
      </c>
      <c r="V354" s="9" t="n">
        <v>0.113</v>
      </c>
      <c r="W354" s="9"/>
      <c r="X354" s="9"/>
      <c r="Y354" s="9"/>
      <c r="Z354" s="9" t="n">
        <v>1000</v>
      </c>
      <c r="AA354" s="9"/>
      <c r="AB354" s="9"/>
      <c r="AC354" s="9"/>
      <c r="AD354" s="9" t="n">
        <v>1000</v>
      </c>
      <c r="AE354" s="9"/>
      <c r="AF354" s="9" t="n">
        <v>1000</v>
      </c>
      <c r="AG354" s="9"/>
      <c r="AH354" s="9" t="n">
        <v>1000</v>
      </c>
      <c r="AI354" s="9" t="n">
        <v>1000</v>
      </c>
      <c r="AJ354" s="9" t="n">
        <f aca="false">X354*$V354</f>
        <v>0</v>
      </c>
      <c r="AK354" s="9" t="n">
        <f aca="false">Y354*$V354</f>
        <v>0</v>
      </c>
      <c r="AL354" s="9" t="n">
        <f aca="false">Z354*$V354</f>
        <v>113</v>
      </c>
      <c r="AM354" s="9" t="n">
        <f aca="false">AA354*$V354</f>
        <v>0</v>
      </c>
      <c r="AN354" s="9" t="n">
        <f aca="false">AB354*$V354</f>
        <v>0</v>
      </c>
      <c r="AO354" s="9" t="n">
        <f aca="false">AC354*$V354</f>
        <v>0</v>
      </c>
      <c r="AP354" s="9" t="n">
        <f aca="false">AD354*$V354</f>
        <v>113</v>
      </c>
      <c r="AQ354" s="9" t="n">
        <f aca="false">AE354*$V354</f>
        <v>0</v>
      </c>
      <c r="AR354" s="9" t="n">
        <f aca="false">AF354*$V354</f>
        <v>113</v>
      </c>
      <c r="AS354" s="9" t="n">
        <f aca="false">AG354*$V354</f>
        <v>0</v>
      </c>
      <c r="AT354" s="9" t="n">
        <f aca="false">AH354*$V354</f>
        <v>113</v>
      </c>
      <c r="AU354" s="9" t="n">
        <f aca="false">AI354*$V354</f>
        <v>113</v>
      </c>
      <c r="AV354" s="9" t="n">
        <f aca="false">SUM(X354:AI354)/1000</f>
        <v>5</v>
      </c>
      <c r="AW354" s="9" t="n">
        <f aca="false">SUM(AJ354:AU354)</f>
        <v>565</v>
      </c>
      <c r="AX354" s="9" t="n">
        <f aca="false">IF(D354="INR",AW354/88.24,AW354)/1000000</f>
        <v>0.000565</v>
      </c>
    </row>
    <row r="355" s="2" customFormat="true" ht="14.25" hidden="false" customHeight="false" outlineLevel="0" collapsed="false">
      <c r="A355" s="35"/>
      <c r="B355" s="9" t="n">
        <v>1</v>
      </c>
      <c r="C355" s="10"/>
      <c r="D355" s="9" t="s">
        <v>102</v>
      </c>
      <c r="E355" s="9" t="s">
        <v>51</v>
      </c>
      <c r="F355" s="9" t="s">
        <v>52</v>
      </c>
      <c r="G355" s="9" t="s">
        <v>781</v>
      </c>
      <c r="H355" s="9" t="s">
        <v>782</v>
      </c>
      <c r="I355" s="9" t="s">
        <v>77</v>
      </c>
      <c r="J355" s="9" t="s">
        <v>496</v>
      </c>
      <c r="K355" s="9" t="s">
        <v>495</v>
      </c>
      <c r="L355" s="9" t="s">
        <v>77</v>
      </c>
      <c r="M355" s="9" t="s">
        <v>496</v>
      </c>
      <c r="N355" s="9" t="s">
        <v>57</v>
      </c>
      <c r="O355" s="9" t="s">
        <v>94</v>
      </c>
      <c r="P355" s="9" t="s">
        <v>791</v>
      </c>
      <c r="Q355" s="9" t="s">
        <v>791</v>
      </c>
      <c r="R355" s="9" t="s">
        <v>792</v>
      </c>
      <c r="S355" s="9" t="s">
        <v>264</v>
      </c>
      <c r="T355" s="9" t="s">
        <v>794</v>
      </c>
      <c r="U355" s="9" t="s">
        <v>63</v>
      </c>
      <c r="V355" s="9" t="n">
        <v>0.112</v>
      </c>
      <c r="W355" s="9"/>
      <c r="X355" s="9"/>
      <c r="Y355" s="9"/>
      <c r="Z355" s="9" t="n">
        <v>1000</v>
      </c>
      <c r="AA355" s="9"/>
      <c r="AB355" s="9"/>
      <c r="AC355" s="9"/>
      <c r="AD355" s="9" t="n">
        <v>1000</v>
      </c>
      <c r="AE355" s="9"/>
      <c r="AF355" s="9" t="n">
        <v>1000</v>
      </c>
      <c r="AG355" s="9"/>
      <c r="AH355" s="9" t="n">
        <v>1000</v>
      </c>
      <c r="AI355" s="9" t="n">
        <v>1000</v>
      </c>
      <c r="AJ355" s="9" t="n">
        <f aca="false">X355*$V355</f>
        <v>0</v>
      </c>
      <c r="AK355" s="9" t="n">
        <f aca="false">Y355*$V355</f>
        <v>0</v>
      </c>
      <c r="AL355" s="9" t="n">
        <f aca="false">Z355*$V355</f>
        <v>112</v>
      </c>
      <c r="AM355" s="9" t="n">
        <f aca="false">AA355*$V355</f>
        <v>0</v>
      </c>
      <c r="AN355" s="9" t="n">
        <f aca="false">AB355*$V355</f>
        <v>0</v>
      </c>
      <c r="AO355" s="9" t="n">
        <f aca="false">AC355*$V355</f>
        <v>0</v>
      </c>
      <c r="AP355" s="9" t="n">
        <f aca="false">AD355*$V355</f>
        <v>112</v>
      </c>
      <c r="AQ355" s="9" t="n">
        <f aca="false">AE355*$V355</f>
        <v>0</v>
      </c>
      <c r="AR355" s="9" t="n">
        <f aca="false">AF355*$V355</f>
        <v>112</v>
      </c>
      <c r="AS355" s="9" t="n">
        <f aca="false">AG355*$V355</f>
        <v>0</v>
      </c>
      <c r="AT355" s="9" t="n">
        <f aca="false">AH355*$V355</f>
        <v>112</v>
      </c>
      <c r="AU355" s="9" t="n">
        <f aca="false">AI355*$V355</f>
        <v>112</v>
      </c>
      <c r="AV355" s="9" t="n">
        <f aca="false">SUM(X355:AI355)/1000</f>
        <v>5</v>
      </c>
      <c r="AW355" s="9" t="n">
        <f aca="false">SUM(AJ355:AU355)</f>
        <v>560</v>
      </c>
      <c r="AX355" s="9" t="n">
        <f aca="false">IF(D355="INR",AW355/88.24,AW355)/1000000</f>
        <v>0.00056</v>
      </c>
    </row>
    <row r="356" s="2" customFormat="true" ht="14.25" hidden="false" customHeight="false" outlineLevel="0" collapsed="false">
      <c r="A356" s="16"/>
      <c r="B356" s="16" t="n">
        <v>1</v>
      </c>
      <c r="C356" s="16"/>
      <c r="D356" s="16" t="s">
        <v>102</v>
      </c>
      <c r="E356" s="16" t="s">
        <v>51</v>
      </c>
      <c r="F356" s="16" t="s">
        <v>52</v>
      </c>
      <c r="G356" s="16" t="s">
        <v>781</v>
      </c>
      <c r="H356" s="16" t="s">
        <v>782</v>
      </c>
      <c r="I356" s="16" t="s">
        <v>77</v>
      </c>
      <c r="J356" s="16" t="s">
        <v>496</v>
      </c>
      <c r="K356" s="16" t="s">
        <v>495</v>
      </c>
      <c r="L356" s="16" t="s">
        <v>77</v>
      </c>
      <c r="M356" s="16" t="s">
        <v>496</v>
      </c>
      <c r="N356" s="16" t="s">
        <v>57</v>
      </c>
      <c r="O356" s="16" t="s">
        <v>94</v>
      </c>
      <c r="P356" s="16" t="s">
        <v>188</v>
      </c>
      <c r="Q356" s="16" t="s">
        <v>188</v>
      </c>
      <c r="R356" s="16" t="s">
        <v>550</v>
      </c>
      <c r="S356" s="16" t="s">
        <v>528</v>
      </c>
      <c r="T356" s="16" t="s">
        <v>795</v>
      </c>
      <c r="U356" s="16" t="s">
        <v>63</v>
      </c>
      <c r="V356" s="16" t="n">
        <v>0.039</v>
      </c>
      <c r="W356" s="16"/>
      <c r="X356" s="16"/>
      <c r="Y356" s="16"/>
      <c r="Z356" s="16" t="n">
        <v>1000</v>
      </c>
      <c r="AA356" s="16"/>
      <c r="AB356" s="16"/>
      <c r="AC356" s="16"/>
      <c r="AD356" s="16" t="n">
        <v>1000</v>
      </c>
      <c r="AE356" s="16"/>
      <c r="AF356" s="16" t="n">
        <v>1000</v>
      </c>
      <c r="AG356" s="16"/>
      <c r="AH356" s="16" t="n">
        <v>1000</v>
      </c>
      <c r="AI356" s="16" t="n">
        <v>1000</v>
      </c>
      <c r="AJ356" s="9" t="n">
        <f aca="false">X356*$V356</f>
        <v>0</v>
      </c>
      <c r="AK356" s="9" t="n">
        <f aca="false">Y356*$V356</f>
        <v>0</v>
      </c>
      <c r="AL356" s="9" t="n">
        <f aca="false">Z356*$V356</f>
        <v>39</v>
      </c>
      <c r="AM356" s="9" t="n">
        <f aca="false">AA356*$V356</f>
        <v>0</v>
      </c>
      <c r="AN356" s="9" t="n">
        <f aca="false">AB356*$V356</f>
        <v>0</v>
      </c>
      <c r="AO356" s="9" t="n">
        <f aca="false">AC356*$V356</f>
        <v>0</v>
      </c>
      <c r="AP356" s="9" t="n">
        <f aca="false">AD356*$V356</f>
        <v>39</v>
      </c>
      <c r="AQ356" s="9" t="n">
        <f aca="false">AE356*$V356</f>
        <v>0</v>
      </c>
      <c r="AR356" s="9" t="n">
        <f aca="false">AF356*$V356</f>
        <v>39</v>
      </c>
      <c r="AS356" s="9" t="n">
        <f aca="false">AG356*$V356</f>
        <v>0</v>
      </c>
      <c r="AT356" s="9" t="n">
        <f aca="false">AH356*$V356</f>
        <v>39</v>
      </c>
      <c r="AU356" s="9" t="n">
        <f aca="false">AI356*$V356</f>
        <v>39</v>
      </c>
      <c r="AV356" s="9" t="n">
        <f aca="false">SUM(X356:AI356)/1000</f>
        <v>5</v>
      </c>
      <c r="AW356" s="9" t="n">
        <f aca="false">SUM(AJ356:AU356)</f>
        <v>195</v>
      </c>
      <c r="AX356" s="9" t="n">
        <f aca="false">IF(D356="INR",AW356/88.24,AW356)/1000000</f>
        <v>0.000195</v>
      </c>
    </row>
    <row r="357" s="2" customFormat="true" ht="14.25" hidden="false" customHeight="true" outlineLevel="0" collapsed="false">
      <c r="A357" s="16"/>
      <c r="B357" s="16" t="n">
        <v>1</v>
      </c>
      <c r="C357" s="16"/>
      <c r="D357" s="16" t="s">
        <v>102</v>
      </c>
      <c r="E357" s="16" t="s">
        <v>51</v>
      </c>
      <c r="F357" s="16" t="s">
        <v>52</v>
      </c>
      <c r="G357" s="16" t="s">
        <v>781</v>
      </c>
      <c r="H357" s="16" t="s">
        <v>782</v>
      </c>
      <c r="I357" s="16" t="s">
        <v>77</v>
      </c>
      <c r="J357" s="16" t="s">
        <v>496</v>
      </c>
      <c r="K357" s="16" t="s">
        <v>495</v>
      </c>
      <c r="L357" s="16" t="s">
        <v>77</v>
      </c>
      <c r="M357" s="16" t="s">
        <v>496</v>
      </c>
      <c r="N357" s="16" t="s">
        <v>57</v>
      </c>
      <c r="O357" s="16" t="s">
        <v>94</v>
      </c>
      <c r="P357" s="16" t="s">
        <v>188</v>
      </c>
      <c r="Q357" s="16" t="s">
        <v>188</v>
      </c>
      <c r="R357" s="16" t="s">
        <v>550</v>
      </c>
      <c r="S357" s="16" t="s">
        <v>528</v>
      </c>
      <c r="T357" s="26" t="s">
        <v>796</v>
      </c>
      <c r="U357" s="16" t="s">
        <v>63</v>
      </c>
      <c r="V357" s="16" t="n">
        <v>0.0131</v>
      </c>
      <c r="W357" s="16"/>
      <c r="X357" s="30"/>
      <c r="Y357" s="30"/>
      <c r="Z357" s="30" t="n">
        <v>1000</v>
      </c>
      <c r="AA357" s="30"/>
      <c r="AB357" s="30"/>
      <c r="AC357" s="30"/>
      <c r="AD357" s="30" t="n">
        <v>1000</v>
      </c>
      <c r="AE357" s="30"/>
      <c r="AF357" s="30" t="n">
        <v>1000</v>
      </c>
      <c r="AG357" s="30"/>
      <c r="AH357" s="30" t="n">
        <v>1000</v>
      </c>
      <c r="AI357" s="30" t="n">
        <v>1000</v>
      </c>
      <c r="AJ357" s="9" t="n">
        <f aca="false">X357*$V357</f>
        <v>0</v>
      </c>
      <c r="AK357" s="9" t="n">
        <f aca="false">Y357*$V357</f>
        <v>0</v>
      </c>
      <c r="AL357" s="9" t="n">
        <f aca="false">Z357*$V357</f>
        <v>13.1</v>
      </c>
      <c r="AM357" s="9" t="n">
        <f aca="false">AA357*$V357</f>
        <v>0</v>
      </c>
      <c r="AN357" s="9" t="n">
        <f aca="false">AB357*$V357</f>
        <v>0</v>
      </c>
      <c r="AO357" s="9" t="n">
        <f aca="false">AC357*$V357</f>
        <v>0</v>
      </c>
      <c r="AP357" s="9" t="n">
        <f aca="false">AD357*$V357</f>
        <v>13.1</v>
      </c>
      <c r="AQ357" s="9" t="n">
        <f aca="false">AE357*$V357</f>
        <v>0</v>
      </c>
      <c r="AR357" s="9" t="n">
        <f aca="false">AF357*$V357</f>
        <v>13.1</v>
      </c>
      <c r="AS357" s="9" t="n">
        <f aca="false">AG357*$V357</f>
        <v>0</v>
      </c>
      <c r="AT357" s="9" t="n">
        <f aca="false">AH357*$V357</f>
        <v>13.1</v>
      </c>
      <c r="AU357" s="9" t="n">
        <f aca="false">AI357*$V357</f>
        <v>13.1</v>
      </c>
      <c r="AV357" s="9" t="n">
        <f aca="false">SUM(X357:AI357)/1000</f>
        <v>5</v>
      </c>
      <c r="AW357" s="9" t="n">
        <f aca="false">SUM(AJ357:AU357)</f>
        <v>65.5</v>
      </c>
      <c r="AX357" s="9" t="n">
        <f aca="false">IF(D357="INR",AW357/88.24,AW357)/1000000</f>
        <v>6.55E-005</v>
      </c>
    </row>
    <row r="358" s="2" customFormat="true" ht="14.25" hidden="false" customHeight="false" outlineLevel="0" collapsed="false">
      <c r="A358" s="12" t="s">
        <v>797</v>
      </c>
      <c r="B358" s="13" t="n">
        <v>5</v>
      </c>
      <c r="C358" s="14"/>
      <c r="D358" s="16" t="s">
        <v>50</v>
      </c>
      <c r="E358" s="16" t="s">
        <v>51</v>
      </c>
      <c r="F358" s="16" t="s">
        <v>52</v>
      </c>
      <c r="G358" s="16" t="s">
        <v>391</v>
      </c>
      <c r="H358" s="16" t="s">
        <v>392</v>
      </c>
      <c r="I358" s="16" t="s">
        <v>260</v>
      </c>
      <c r="J358" s="16" t="s">
        <v>276</v>
      </c>
      <c r="K358" s="16"/>
      <c r="L358" s="16" t="s">
        <v>260</v>
      </c>
      <c r="M358" s="16" t="s">
        <v>276</v>
      </c>
      <c r="N358" s="16" t="s">
        <v>93</v>
      </c>
      <c r="O358" s="16" t="s">
        <v>58</v>
      </c>
      <c r="P358" s="16" t="s">
        <v>80</v>
      </c>
      <c r="Q358" s="16" t="s">
        <v>80</v>
      </c>
      <c r="R358" s="16" t="s">
        <v>81</v>
      </c>
      <c r="S358" s="16" t="s">
        <v>82</v>
      </c>
      <c r="T358" s="16" t="s">
        <v>798</v>
      </c>
      <c r="U358" s="16" t="s">
        <v>73</v>
      </c>
      <c r="V358" s="16" t="n">
        <v>30.47</v>
      </c>
      <c r="W358" s="16" t="n">
        <v>26.18978</v>
      </c>
      <c r="X358" s="16" t="n">
        <v>6000</v>
      </c>
      <c r="Y358" s="16" t="n">
        <v>6000</v>
      </c>
      <c r="Z358" s="16" t="n">
        <v>6000</v>
      </c>
      <c r="AA358" s="16" t="n">
        <v>6000</v>
      </c>
      <c r="AB358" s="16" t="n">
        <v>6000</v>
      </c>
      <c r="AC358" s="16" t="n">
        <v>6000</v>
      </c>
      <c r="AD358" s="16" t="n">
        <v>6000</v>
      </c>
      <c r="AE358" s="16" t="n">
        <v>6000</v>
      </c>
      <c r="AF358" s="16" t="n">
        <v>6000</v>
      </c>
      <c r="AG358" s="16" t="n">
        <v>6000</v>
      </c>
      <c r="AH358" s="16" t="n">
        <v>6000</v>
      </c>
      <c r="AI358" s="16" t="n">
        <v>6000</v>
      </c>
      <c r="AJ358" s="9" t="n">
        <f aca="false">X358*$V358</f>
        <v>182820</v>
      </c>
      <c r="AK358" s="9" t="n">
        <f aca="false">Y358*$V358</f>
        <v>182820</v>
      </c>
      <c r="AL358" s="9" t="n">
        <f aca="false">Z358*$V358</f>
        <v>182820</v>
      </c>
      <c r="AM358" s="9" t="n">
        <f aca="false">AA358*$V358</f>
        <v>182820</v>
      </c>
      <c r="AN358" s="9" t="n">
        <f aca="false">AB358*$V358</f>
        <v>182820</v>
      </c>
      <c r="AO358" s="9" t="n">
        <f aca="false">AC358*$V358</f>
        <v>182820</v>
      </c>
      <c r="AP358" s="9" t="n">
        <f aca="false">AD358*$V358</f>
        <v>182820</v>
      </c>
      <c r="AQ358" s="9" t="n">
        <f aca="false">AE358*$V358</f>
        <v>182820</v>
      </c>
      <c r="AR358" s="9" t="n">
        <f aca="false">AF358*$V358</f>
        <v>182820</v>
      </c>
      <c r="AS358" s="9" t="n">
        <f aca="false">AG358*$V358</f>
        <v>182820</v>
      </c>
      <c r="AT358" s="9" t="n">
        <f aca="false">AH358*$V358</f>
        <v>182820</v>
      </c>
      <c r="AU358" s="9" t="n">
        <f aca="false">AI358*$V358</f>
        <v>182820</v>
      </c>
      <c r="AV358" s="9" t="n">
        <f aca="false">SUM(X358:AI358)/1000</f>
        <v>72</v>
      </c>
      <c r="AW358" s="9" t="n">
        <f aca="false">SUM(AJ358:AU358)</f>
        <v>2193840</v>
      </c>
      <c r="AX358" s="9" t="n">
        <f aca="false">IF(D358="INR",AW358/88.24,AW358)/1000000</f>
        <v>0.0248621940163191</v>
      </c>
    </row>
    <row r="359" s="2" customFormat="true" ht="14.25" hidden="false" customHeight="false" outlineLevel="0" collapsed="false">
      <c r="A359" s="12" t="s">
        <v>799</v>
      </c>
      <c r="B359" s="16"/>
      <c r="C359" s="15"/>
      <c r="D359" s="16" t="s">
        <v>50</v>
      </c>
      <c r="E359" s="16" t="s">
        <v>51</v>
      </c>
      <c r="F359" s="16" t="s">
        <v>52</v>
      </c>
      <c r="G359" s="16" t="s">
        <v>515</v>
      </c>
      <c r="H359" s="16" t="s">
        <v>516</v>
      </c>
      <c r="I359" s="16" t="s">
        <v>517</v>
      </c>
      <c r="J359" s="16" t="s">
        <v>78</v>
      </c>
      <c r="K359" s="16" t="s">
        <v>516</v>
      </c>
      <c r="L359" s="16" t="s">
        <v>517</v>
      </c>
      <c r="M359" s="16" t="s">
        <v>78</v>
      </c>
      <c r="N359" s="16" t="s">
        <v>67</v>
      </c>
      <c r="O359" s="16" t="s">
        <v>246</v>
      </c>
      <c r="P359" s="16" t="s">
        <v>348</v>
      </c>
      <c r="Q359" s="16" t="s">
        <v>348</v>
      </c>
      <c r="R359" s="16" t="s">
        <v>800</v>
      </c>
      <c r="S359" s="16" t="s">
        <v>87</v>
      </c>
      <c r="T359" s="16" t="s">
        <v>801</v>
      </c>
      <c r="U359" s="16" t="s">
        <v>73</v>
      </c>
      <c r="V359" s="16" t="n">
        <v>3.58</v>
      </c>
      <c r="W359" s="16" t="n">
        <v>0.0265</v>
      </c>
      <c r="X359" s="16"/>
      <c r="Y359" s="16"/>
      <c r="Z359" s="16" t="n">
        <v>51000</v>
      </c>
      <c r="AA359" s="16"/>
      <c r="AB359" s="16" t="n">
        <v>51000</v>
      </c>
      <c r="AC359" s="16"/>
      <c r="AD359" s="16" t="n">
        <v>51000</v>
      </c>
      <c r="AE359" s="16"/>
      <c r="AF359" s="16" t="n">
        <v>51000</v>
      </c>
      <c r="AG359" s="16"/>
      <c r="AH359" s="16"/>
      <c r="AI359" s="16" t="n">
        <v>51000</v>
      </c>
      <c r="AJ359" s="9" t="n">
        <f aca="false">X359*$V359</f>
        <v>0</v>
      </c>
      <c r="AK359" s="9" t="n">
        <f aca="false">Y359*$V359</f>
        <v>0</v>
      </c>
      <c r="AL359" s="9" t="n">
        <f aca="false">Z359*$V359</f>
        <v>182580</v>
      </c>
      <c r="AM359" s="9" t="n">
        <f aca="false">AA359*$V359</f>
        <v>0</v>
      </c>
      <c r="AN359" s="9" t="n">
        <f aca="false">AB359*$V359</f>
        <v>182580</v>
      </c>
      <c r="AO359" s="9" t="n">
        <f aca="false">AC359*$V359</f>
        <v>0</v>
      </c>
      <c r="AP359" s="9" t="n">
        <f aca="false">AD359*$V359</f>
        <v>182580</v>
      </c>
      <c r="AQ359" s="9" t="n">
        <f aca="false">AE359*$V359</f>
        <v>0</v>
      </c>
      <c r="AR359" s="9" t="n">
        <f aca="false">AF359*$V359</f>
        <v>182580</v>
      </c>
      <c r="AS359" s="9" t="n">
        <f aca="false">AG359*$V359</f>
        <v>0</v>
      </c>
      <c r="AT359" s="9" t="n">
        <f aca="false">AH359*$V359</f>
        <v>0</v>
      </c>
      <c r="AU359" s="9" t="n">
        <f aca="false">AI359*$V359</f>
        <v>182580</v>
      </c>
      <c r="AV359" s="9" t="n">
        <f aca="false">SUM(X359:AI359)/1000</f>
        <v>255</v>
      </c>
      <c r="AW359" s="9" t="n">
        <f aca="false">SUM(AJ359:AU359)</f>
        <v>912900</v>
      </c>
      <c r="AX359" s="9" t="n">
        <f aca="false">IF(D359="INR",AW359/88.24,AW359)/1000000</f>
        <v>0.0103456482320943</v>
      </c>
    </row>
    <row r="360" s="2" customFormat="true" ht="14.25" hidden="false" customHeight="false" outlineLevel="0" collapsed="false">
      <c r="A360" s="12" t="s">
        <v>802</v>
      </c>
      <c r="B360" s="16"/>
      <c r="C360" s="15"/>
      <c r="D360" s="16" t="s">
        <v>50</v>
      </c>
      <c r="E360" s="16" t="s">
        <v>51</v>
      </c>
      <c r="F360" s="16" t="s">
        <v>243</v>
      </c>
      <c r="G360" s="16" t="s">
        <v>803</v>
      </c>
      <c r="H360" s="16" t="s">
        <v>804</v>
      </c>
      <c r="I360" s="16" t="s">
        <v>55</v>
      </c>
      <c r="J360" s="16" t="s">
        <v>56</v>
      </c>
      <c r="K360" s="16"/>
      <c r="L360" s="16" t="s">
        <v>55</v>
      </c>
      <c r="M360" s="16" t="s">
        <v>56</v>
      </c>
      <c r="N360" s="16" t="s">
        <v>93</v>
      </c>
      <c r="O360" s="16" t="s">
        <v>246</v>
      </c>
      <c r="P360" s="16" t="s">
        <v>69</v>
      </c>
      <c r="Q360" s="16" t="s">
        <v>69</v>
      </c>
      <c r="R360" s="16" t="s">
        <v>70</v>
      </c>
      <c r="S360" s="16" t="s">
        <v>71</v>
      </c>
      <c r="T360" s="16" t="s">
        <v>249</v>
      </c>
      <c r="U360" s="16" t="s">
        <v>73</v>
      </c>
      <c r="V360" s="16" t="n">
        <v>9</v>
      </c>
      <c r="W360" s="16" t="n">
        <v>0.08</v>
      </c>
      <c r="X360" s="16" t="n">
        <v>20000</v>
      </c>
      <c r="Y360" s="16" t="n">
        <v>20000</v>
      </c>
      <c r="Z360" s="16" t="n">
        <v>20000</v>
      </c>
      <c r="AA360" s="16" t="n">
        <v>20000</v>
      </c>
      <c r="AB360" s="16" t="n">
        <v>20000</v>
      </c>
      <c r="AC360" s="16" t="n">
        <v>20000</v>
      </c>
      <c r="AD360" s="16" t="n">
        <v>20000</v>
      </c>
      <c r="AE360" s="16" t="n">
        <v>20000</v>
      </c>
      <c r="AF360" s="16" t="n">
        <v>20000</v>
      </c>
      <c r="AG360" s="16" t="n">
        <v>20000</v>
      </c>
      <c r="AH360" s="16" t="n">
        <v>20000</v>
      </c>
      <c r="AI360" s="16" t="n">
        <v>20000</v>
      </c>
      <c r="AJ360" s="9" t="n">
        <f aca="false">X360*$V360</f>
        <v>180000</v>
      </c>
      <c r="AK360" s="9" t="n">
        <f aca="false">Y360*$V360</f>
        <v>180000</v>
      </c>
      <c r="AL360" s="9" t="n">
        <f aca="false">Z360*$V360</f>
        <v>180000</v>
      </c>
      <c r="AM360" s="9" t="n">
        <f aca="false">AA360*$V360</f>
        <v>180000</v>
      </c>
      <c r="AN360" s="9" t="n">
        <f aca="false">AB360*$V360</f>
        <v>180000</v>
      </c>
      <c r="AO360" s="9" t="n">
        <f aca="false">AC360*$V360</f>
        <v>180000</v>
      </c>
      <c r="AP360" s="9" t="n">
        <f aca="false">AD360*$V360</f>
        <v>180000</v>
      </c>
      <c r="AQ360" s="9" t="n">
        <f aca="false">AE360*$V360</f>
        <v>180000</v>
      </c>
      <c r="AR360" s="9" t="n">
        <f aca="false">AF360*$V360</f>
        <v>180000</v>
      </c>
      <c r="AS360" s="9" t="n">
        <f aca="false">AG360*$V360</f>
        <v>180000</v>
      </c>
      <c r="AT360" s="9" t="n">
        <f aca="false">AH360*$V360</f>
        <v>180000</v>
      </c>
      <c r="AU360" s="9" t="n">
        <f aca="false">AI360*$V360</f>
        <v>180000</v>
      </c>
      <c r="AV360" s="9" t="n">
        <f aca="false">SUM(X360:AI360)/1000</f>
        <v>240</v>
      </c>
      <c r="AW360" s="9" t="n">
        <f aca="false">SUM(AJ360:AU360)</f>
        <v>2160000</v>
      </c>
      <c r="AX360" s="9" t="n">
        <f aca="false">IF(D360="INR",AW360/88.24,AW360)/1000000</f>
        <v>0.0244786944696283</v>
      </c>
    </row>
    <row r="361" s="2" customFormat="true" ht="16.4" hidden="false" customHeight="false" outlineLevel="0" collapsed="false">
      <c r="A361" s="35" t="s">
        <v>805</v>
      </c>
      <c r="B361" s="9" t="n">
        <v>5</v>
      </c>
      <c r="C361" s="15"/>
      <c r="D361" s="16" t="s">
        <v>102</v>
      </c>
      <c r="E361" s="16" t="s">
        <v>51</v>
      </c>
      <c r="F361" s="16" t="s">
        <v>97</v>
      </c>
      <c r="G361" s="16" t="s">
        <v>98</v>
      </c>
      <c r="H361" s="9" t="s">
        <v>99</v>
      </c>
      <c r="I361" s="16" t="s">
        <v>105</v>
      </c>
      <c r="J361" s="16" t="s">
        <v>806</v>
      </c>
      <c r="K361" s="9"/>
      <c r="L361" s="16" t="s">
        <v>105</v>
      </c>
      <c r="M361" s="16" t="s">
        <v>806</v>
      </c>
      <c r="N361" s="16" t="s">
        <v>79</v>
      </c>
      <c r="O361" s="16" t="s">
        <v>58</v>
      </c>
      <c r="P361" s="9" t="s">
        <v>85</v>
      </c>
      <c r="Q361" s="9" t="s">
        <v>85</v>
      </c>
      <c r="R361" s="9" t="s">
        <v>86</v>
      </c>
      <c r="S361" s="9" t="s">
        <v>87</v>
      </c>
      <c r="T361" s="9" t="s">
        <v>807</v>
      </c>
      <c r="U361" s="16" t="s">
        <v>73</v>
      </c>
      <c r="V361" s="36" t="n">
        <v>0.17</v>
      </c>
      <c r="W361" s="9" t="n">
        <v>0.153</v>
      </c>
      <c r="X361" s="22" t="n">
        <v>60000</v>
      </c>
      <c r="Y361" s="9" t="n">
        <v>60000</v>
      </c>
      <c r="Z361" s="9" t="n">
        <v>60000</v>
      </c>
      <c r="AA361" s="9" t="n">
        <v>60000</v>
      </c>
      <c r="AB361" s="9" t="n">
        <v>60000</v>
      </c>
      <c r="AC361" s="9" t="n">
        <v>60000</v>
      </c>
      <c r="AD361" s="23" t="n">
        <v>60000</v>
      </c>
      <c r="AE361" s="9" t="n">
        <v>60000</v>
      </c>
      <c r="AF361" s="9" t="n">
        <v>60000</v>
      </c>
      <c r="AG361" s="9" t="n">
        <v>60000</v>
      </c>
      <c r="AH361" s="9" t="n">
        <v>60000</v>
      </c>
      <c r="AI361" s="9" t="n">
        <v>60000</v>
      </c>
      <c r="AJ361" s="9" t="n">
        <f aca="false">X361*$V361</f>
        <v>10200</v>
      </c>
      <c r="AK361" s="9" t="n">
        <f aca="false">Y361*$V361</f>
        <v>10200</v>
      </c>
      <c r="AL361" s="9" t="n">
        <f aca="false">Z361*$V361</f>
        <v>10200</v>
      </c>
      <c r="AM361" s="9" t="n">
        <f aca="false">AA361*$V361</f>
        <v>10200</v>
      </c>
      <c r="AN361" s="9" t="n">
        <f aca="false">AB361*$V361</f>
        <v>10200</v>
      </c>
      <c r="AO361" s="9" t="n">
        <f aca="false">AC361*$V361</f>
        <v>10200</v>
      </c>
      <c r="AP361" s="9" t="n">
        <f aca="false">AD361*$V361</f>
        <v>10200</v>
      </c>
      <c r="AQ361" s="9" t="n">
        <f aca="false">AE361*$V361</f>
        <v>10200</v>
      </c>
      <c r="AR361" s="9" t="n">
        <f aca="false">AF361*$V361</f>
        <v>10200</v>
      </c>
      <c r="AS361" s="9" t="n">
        <f aca="false">AG361*$V361</f>
        <v>10200</v>
      </c>
      <c r="AT361" s="9" t="n">
        <f aca="false">AH361*$V361</f>
        <v>10200</v>
      </c>
      <c r="AU361" s="9" t="n">
        <f aca="false">AI361*$V361</f>
        <v>10200</v>
      </c>
      <c r="AV361" s="9" t="n">
        <f aca="false">SUM(X361:AI361)/1000</f>
        <v>720</v>
      </c>
      <c r="AW361" s="9" t="n">
        <f aca="false">SUM(AJ361:AU361)</f>
        <v>122400</v>
      </c>
      <c r="AX361" s="9" t="n">
        <f aca="false">IF(D361="INR",AW361/88.24,AW361)/1000000</f>
        <v>0.1224</v>
      </c>
    </row>
    <row r="362" s="2" customFormat="true" ht="14.25" hidden="false" customHeight="false" outlineLevel="0" collapsed="false">
      <c r="A362" s="12" t="s">
        <v>808</v>
      </c>
      <c r="B362" s="16" t="n">
        <v>5</v>
      </c>
      <c r="C362" s="15"/>
      <c r="D362" s="16" t="s">
        <v>50</v>
      </c>
      <c r="E362" s="16" t="s">
        <v>51</v>
      </c>
      <c r="F362" s="16" t="s">
        <v>52</v>
      </c>
      <c r="G362" s="16" t="s">
        <v>391</v>
      </c>
      <c r="H362" s="16" t="s">
        <v>392</v>
      </c>
      <c r="I362" s="16" t="s">
        <v>260</v>
      </c>
      <c r="J362" s="16" t="s">
        <v>276</v>
      </c>
      <c r="K362" s="16"/>
      <c r="L362" s="16" t="s">
        <v>260</v>
      </c>
      <c r="M362" s="16" t="s">
        <v>276</v>
      </c>
      <c r="N362" s="16" t="s">
        <v>93</v>
      </c>
      <c r="O362" s="16" t="s">
        <v>58</v>
      </c>
      <c r="P362" s="16" t="s">
        <v>308</v>
      </c>
      <c r="Q362" s="16" t="s">
        <v>308</v>
      </c>
      <c r="R362" s="16" t="s">
        <v>309</v>
      </c>
      <c r="S362" s="16"/>
      <c r="T362" s="16" t="s">
        <v>809</v>
      </c>
      <c r="U362" s="16" t="s">
        <v>73</v>
      </c>
      <c r="V362" s="26" t="n">
        <v>4.45</v>
      </c>
      <c r="W362" s="16" t="n">
        <v>0</v>
      </c>
      <c r="X362" s="16" t="n">
        <v>40000</v>
      </c>
      <c r="Y362" s="16" t="n">
        <v>40000</v>
      </c>
      <c r="Z362" s="16" t="n">
        <v>40000</v>
      </c>
      <c r="AA362" s="16" t="n">
        <v>40000</v>
      </c>
      <c r="AB362" s="16" t="n">
        <v>40000</v>
      </c>
      <c r="AC362" s="16" t="n">
        <v>40000</v>
      </c>
      <c r="AD362" s="16" t="n">
        <v>40000</v>
      </c>
      <c r="AE362" s="16" t="n">
        <v>40000</v>
      </c>
      <c r="AF362" s="16" t="n">
        <v>40000</v>
      </c>
      <c r="AG362" s="16" t="n">
        <v>40000</v>
      </c>
      <c r="AH362" s="16" t="n">
        <v>40000</v>
      </c>
      <c r="AI362" s="16" t="n">
        <v>40000</v>
      </c>
      <c r="AJ362" s="9" t="n">
        <f aca="false">X362*$V362</f>
        <v>178000</v>
      </c>
      <c r="AK362" s="9" t="n">
        <f aca="false">Y362*$V362</f>
        <v>178000</v>
      </c>
      <c r="AL362" s="9" t="n">
        <f aca="false">Z362*$V362</f>
        <v>178000</v>
      </c>
      <c r="AM362" s="9" t="n">
        <f aca="false">AA362*$V362</f>
        <v>178000</v>
      </c>
      <c r="AN362" s="9" t="n">
        <f aca="false">AB362*$V362</f>
        <v>178000</v>
      </c>
      <c r="AO362" s="9" t="n">
        <f aca="false">AC362*$V362</f>
        <v>178000</v>
      </c>
      <c r="AP362" s="9" t="n">
        <f aca="false">AD362*$V362</f>
        <v>178000</v>
      </c>
      <c r="AQ362" s="9" t="n">
        <f aca="false">AE362*$V362</f>
        <v>178000</v>
      </c>
      <c r="AR362" s="9" t="n">
        <f aca="false">AF362*$V362</f>
        <v>178000</v>
      </c>
      <c r="AS362" s="9" t="n">
        <f aca="false">AG362*$V362</f>
        <v>178000</v>
      </c>
      <c r="AT362" s="9" t="n">
        <f aca="false">AH362*$V362</f>
        <v>178000</v>
      </c>
      <c r="AU362" s="9" t="n">
        <f aca="false">AI362*$V362</f>
        <v>178000</v>
      </c>
      <c r="AV362" s="9" t="n">
        <f aca="false">SUM(X362:AI362)/1000</f>
        <v>480</v>
      </c>
      <c r="AW362" s="9" t="n">
        <f aca="false">SUM(AJ362:AU362)</f>
        <v>2136000</v>
      </c>
      <c r="AX362" s="9" t="n">
        <f aca="false">IF(D362="INR",AW362/88.24,AW362)/1000000</f>
        <v>0.0242067089755213</v>
      </c>
    </row>
    <row r="363" s="2" customFormat="true" ht="14.25" hidden="false" customHeight="false" outlineLevel="0" collapsed="false">
      <c r="A363" s="12" t="s">
        <v>810</v>
      </c>
      <c r="B363" s="16" t="n">
        <v>5</v>
      </c>
      <c r="C363" s="15"/>
      <c r="D363" s="16" t="s">
        <v>50</v>
      </c>
      <c r="E363" s="16" t="s">
        <v>51</v>
      </c>
      <c r="F363" s="16" t="s">
        <v>243</v>
      </c>
      <c r="G363" s="16" t="s">
        <v>470</v>
      </c>
      <c r="H363" s="16" t="s">
        <v>471</v>
      </c>
      <c r="I363" s="16" t="s">
        <v>55</v>
      </c>
      <c r="J363" s="16" t="s">
        <v>100</v>
      </c>
      <c r="K363" s="16"/>
      <c r="L363" s="16" t="s">
        <v>55</v>
      </c>
      <c r="M363" s="16" t="s">
        <v>100</v>
      </c>
      <c r="N363" s="16" t="s">
        <v>93</v>
      </c>
      <c r="O363" s="16" t="s">
        <v>246</v>
      </c>
      <c r="P363" s="16" t="s">
        <v>380</v>
      </c>
      <c r="Q363" s="16" t="s">
        <v>380</v>
      </c>
      <c r="R363" s="16" t="s">
        <v>442</v>
      </c>
      <c r="S363" s="16" t="s">
        <v>443</v>
      </c>
      <c r="T363" s="16" t="s">
        <v>590</v>
      </c>
      <c r="U363" s="16" t="s">
        <v>73</v>
      </c>
      <c r="V363" s="16" t="n">
        <v>35</v>
      </c>
      <c r="W363" s="16" t="n">
        <v>0.28</v>
      </c>
      <c r="X363" s="16" t="n">
        <v>5000</v>
      </c>
      <c r="Y363" s="16" t="n">
        <v>5000</v>
      </c>
      <c r="Z363" s="16" t="n">
        <v>5000</v>
      </c>
      <c r="AA363" s="16" t="n">
        <v>5000</v>
      </c>
      <c r="AB363" s="16" t="n">
        <v>5000</v>
      </c>
      <c r="AC363" s="16" t="n">
        <v>5000</v>
      </c>
      <c r="AD363" s="16" t="n">
        <v>5000</v>
      </c>
      <c r="AE363" s="16" t="n">
        <v>5000</v>
      </c>
      <c r="AF363" s="16" t="n">
        <v>5000</v>
      </c>
      <c r="AG363" s="16" t="n">
        <v>5000</v>
      </c>
      <c r="AH363" s="16" t="n">
        <v>5000</v>
      </c>
      <c r="AI363" s="16" t="n">
        <v>5000</v>
      </c>
      <c r="AJ363" s="9" t="n">
        <f aca="false">X363*$V363</f>
        <v>175000</v>
      </c>
      <c r="AK363" s="9" t="n">
        <f aca="false">Y363*$V363</f>
        <v>175000</v>
      </c>
      <c r="AL363" s="9" t="n">
        <f aca="false">Z363*$V363</f>
        <v>175000</v>
      </c>
      <c r="AM363" s="9" t="n">
        <f aca="false">AA363*$V363</f>
        <v>175000</v>
      </c>
      <c r="AN363" s="9" t="n">
        <f aca="false">AB363*$V363</f>
        <v>175000</v>
      </c>
      <c r="AO363" s="9" t="n">
        <f aca="false">AC363*$V363</f>
        <v>175000</v>
      </c>
      <c r="AP363" s="9" t="n">
        <f aca="false">AD363*$V363</f>
        <v>175000</v>
      </c>
      <c r="AQ363" s="9" t="n">
        <f aca="false">AE363*$V363</f>
        <v>175000</v>
      </c>
      <c r="AR363" s="9" t="n">
        <f aca="false">AF363*$V363</f>
        <v>175000</v>
      </c>
      <c r="AS363" s="9" t="n">
        <f aca="false">AG363*$V363</f>
        <v>175000</v>
      </c>
      <c r="AT363" s="9" t="n">
        <f aca="false">AH363*$V363</f>
        <v>175000</v>
      </c>
      <c r="AU363" s="9" t="n">
        <f aca="false">AI363*$V363</f>
        <v>175000</v>
      </c>
      <c r="AV363" s="9" t="n">
        <f aca="false">SUM(X363:AI363)/1000</f>
        <v>60</v>
      </c>
      <c r="AW363" s="9" t="n">
        <f aca="false">SUM(AJ363:AU363)</f>
        <v>2100000</v>
      </c>
      <c r="AX363" s="9" t="n">
        <f aca="false">IF(D363="INR",AW363/88.24,AW363)/1000000</f>
        <v>0.0237987307343608</v>
      </c>
    </row>
    <row r="364" s="2" customFormat="true" ht="16.4" hidden="false" customHeight="false" outlineLevel="0" collapsed="false">
      <c r="A364" s="35" t="s">
        <v>811</v>
      </c>
      <c r="B364" s="9" t="n">
        <v>5</v>
      </c>
      <c r="C364" s="15"/>
      <c r="D364" s="16" t="s">
        <v>102</v>
      </c>
      <c r="E364" s="16" t="s">
        <v>51</v>
      </c>
      <c r="F364" s="16" t="s">
        <v>97</v>
      </c>
      <c r="G364" s="16" t="s">
        <v>98</v>
      </c>
      <c r="H364" s="9" t="s">
        <v>99</v>
      </c>
      <c r="I364" s="16" t="s">
        <v>105</v>
      </c>
      <c r="J364" s="16" t="s">
        <v>806</v>
      </c>
      <c r="K364" s="9" t="s">
        <v>99</v>
      </c>
      <c r="L364" s="16" t="s">
        <v>105</v>
      </c>
      <c r="M364" s="16" t="s">
        <v>806</v>
      </c>
      <c r="N364" s="16" t="s">
        <v>79</v>
      </c>
      <c r="O364" s="16" t="s">
        <v>58</v>
      </c>
      <c r="P364" s="9" t="s">
        <v>110</v>
      </c>
      <c r="Q364" s="9" t="s">
        <v>110</v>
      </c>
      <c r="R364" s="9" t="s">
        <v>137</v>
      </c>
      <c r="S364" s="9" t="s">
        <v>272</v>
      </c>
      <c r="T364" s="9" t="s">
        <v>624</v>
      </c>
      <c r="U364" s="16" t="s">
        <v>73</v>
      </c>
      <c r="V364" s="36" t="n">
        <v>0.81</v>
      </c>
      <c r="W364" s="9" t="n">
        <v>0.749</v>
      </c>
      <c r="X364" s="22" t="n">
        <v>30000</v>
      </c>
      <c r="Y364" s="9" t="n">
        <v>30000</v>
      </c>
      <c r="Z364" s="9" t="n">
        <v>30000</v>
      </c>
      <c r="AA364" s="9" t="n">
        <v>30000</v>
      </c>
      <c r="AB364" s="9" t="n">
        <v>30000</v>
      </c>
      <c r="AC364" s="9" t="n">
        <v>30000</v>
      </c>
      <c r="AD364" s="23" t="n">
        <v>30000</v>
      </c>
      <c r="AE364" s="9" t="n">
        <v>30000</v>
      </c>
      <c r="AF364" s="9" t="n">
        <v>30000</v>
      </c>
      <c r="AG364" s="9" t="n">
        <v>30000</v>
      </c>
      <c r="AH364" s="9" t="n">
        <v>30000</v>
      </c>
      <c r="AI364" s="9" t="n">
        <v>30000</v>
      </c>
      <c r="AJ364" s="9" t="n">
        <f aca="false">X364*$V364</f>
        <v>24300</v>
      </c>
      <c r="AK364" s="9" t="n">
        <f aca="false">Y364*$V364</f>
        <v>24300</v>
      </c>
      <c r="AL364" s="9" t="n">
        <f aca="false">Z364*$V364</f>
        <v>24300</v>
      </c>
      <c r="AM364" s="9" t="n">
        <f aca="false">AA364*$V364</f>
        <v>24300</v>
      </c>
      <c r="AN364" s="9" t="n">
        <f aca="false">AB364*$V364</f>
        <v>24300</v>
      </c>
      <c r="AO364" s="9" t="n">
        <f aca="false">AC364*$V364</f>
        <v>24300</v>
      </c>
      <c r="AP364" s="9" t="n">
        <f aca="false">AD364*$V364</f>
        <v>24300</v>
      </c>
      <c r="AQ364" s="9" t="n">
        <f aca="false">AE364*$V364</f>
        <v>24300</v>
      </c>
      <c r="AR364" s="9" t="n">
        <f aca="false">AF364*$V364</f>
        <v>24300</v>
      </c>
      <c r="AS364" s="9" t="n">
        <f aca="false">AG364*$V364</f>
        <v>24300</v>
      </c>
      <c r="AT364" s="9" t="n">
        <f aca="false">AH364*$V364</f>
        <v>24300</v>
      </c>
      <c r="AU364" s="9" t="n">
        <f aca="false">AI364*$V364</f>
        <v>24300</v>
      </c>
      <c r="AV364" s="9" t="n">
        <f aca="false">SUM(X364:AI364)/1000</f>
        <v>360</v>
      </c>
      <c r="AW364" s="9" t="n">
        <f aca="false">SUM(AJ364:AU364)</f>
        <v>291600</v>
      </c>
      <c r="AX364" s="9" t="n">
        <f aca="false">IF(D364="INR",AW364/88.24,AW364)/1000000</f>
        <v>0.2916</v>
      </c>
    </row>
    <row r="365" s="2" customFormat="true" ht="16.4" hidden="false" customHeight="false" outlineLevel="0" collapsed="false">
      <c r="A365" s="35" t="s">
        <v>812</v>
      </c>
      <c r="B365" s="9" t="n">
        <v>5</v>
      </c>
      <c r="C365" s="15"/>
      <c r="D365" s="16" t="s">
        <v>813</v>
      </c>
      <c r="E365" s="16" t="s">
        <v>51</v>
      </c>
      <c r="F365" s="16" t="s">
        <v>97</v>
      </c>
      <c r="G365" s="16" t="s">
        <v>98</v>
      </c>
      <c r="H365" s="9" t="s">
        <v>99</v>
      </c>
      <c r="I365" s="16"/>
      <c r="J365" s="16"/>
      <c r="K365" s="9"/>
      <c r="L365" s="16"/>
      <c r="M365" s="16"/>
      <c r="N365" s="16" t="s">
        <v>79</v>
      </c>
      <c r="O365" s="16" t="s">
        <v>58</v>
      </c>
      <c r="P365" s="9" t="s">
        <v>380</v>
      </c>
      <c r="Q365" s="9" t="s">
        <v>380</v>
      </c>
      <c r="R365" s="9" t="s">
        <v>442</v>
      </c>
      <c r="S365" s="9" t="s">
        <v>443</v>
      </c>
      <c r="T365" s="9" t="s">
        <v>814</v>
      </c>
      <c r="U365" s="16" t="s">
        <v>73</v>
      </c>
      <c r="V365" s="36" t="n">
        <v>0.336</v>
      </c>
      <c r="W365" s="9" t="n">
        <v>0.3192</v>
      </c>
      <c r="X365" s="22" t="n">
        <v>30000</v>
      </c>
      <c r="Y365" s="9" t="n">
        <v>30000</v>
      </c>
      <c r="Z365" s="9" t="n">
        <v>30000</v>
      </c>
      <c r="AA365" s="9" t="n">
        <v>30000</v>
      </c>
      <c r="AB365" s="9" t="n">
        <v>30000</v>
      </c>
      <c r="AC365" s="9" t="n">
        <v>30000</v>
      </c>
      <c r="AD365" s="23" t="n">
        <v>30000</v>
      </c>
      <c r="AE365" s="9" t="n">
        <v>30000</v>
      </c>
      <c r="AF365" s="9" t="n">
        <v>30000</v>
      </c>
      <c r="AG365" s="9" t="n">
        <v>30000</v>
      </c>
      <c r="AH365" s="9" t="n">
        <v>30000</v>
      </c>
      <c r="AI365" s="9" t="n">
        <v>30000</v>
      </c>
      <c r="AJ365" s="9" t="n">
        <f aca="false">X365*$V365</f>
        <v>10080</v>
      </c>
      <c r="AK365" s="9" t="n">
        <f aca="false">Y365*$V365</f>
        <v>10080</v>
      </c>
      <c r="AL365" s="9" t="n">
        <f aca="false">Z365*$V365</f>
        <v>10080</v>
      </c>
      <c r="AM365" s="9" t="n">
        <f aca="false">AA365*$V365</f>
        <v>10080</v>
      </c>
      <c r="AN365" s="9" t="n">
        <f aca="false">AB365*$V365</f>
        <v>10080</v>
      </c>
      <c r="AO365" s="9" t="n">
        <f aca="false">AC365*$V365</f>
        <v>10080</v>
      </c>
      <c r="AP365" s="9" t="n">
        <f aca="false">AD365*$V365</f>
        <v>10080</v>
      </c>
      <c r="AQ365" s="9" t="n">
        <f aca="false">AE365*$V365</f>
        <v>10080</v>
      </c>
      <c r="AR365" s="9" t="n">
        <f aca="false">AF365*$V365</f>
        <v>10080</v>
      </c>
      <c r="AS365" s="9" t="n">
        <f aca="false">AG365*$V365</f>
        <v>10080</v>
      </c>
      <c r="AT365" s="9" t="n">
        <f aca="false">AH365*$V365</f>
        <v>10080</v>
      </c>
      <c r="AU365" s="9" t="n">
        <f aca="false">AI365*$V365</f>
        <v>10080</v>
      </c>
      <c r="AV365" s="9" t="n">
        <f aca="false">SUM(X365:AI365)/1000</f>
        <v>360</v>
      </c>
      <c r="AW365" s="9" t="n">
        <f aca="false">SUM(AJ365:AU365)</f>
        <v>120960</v>
      </c>
      <c r="AX365" s="9" t="n">
        <f aca="false">IF(D365="INR",AW365/88.24,AW365)/1000000</f>
        <v>0.12096</v>
      </c>
    </row>
    <row r="366" s="2" customFormat="true" ht="14.25" hidden="false" customHeight="false" outlineLevel="0" collapsed="false">
      <c r="A366" s="12" t="s">
        <v>815</v>
      </c>
      <c r="B366" s="16" t="n">
        <v>5</v>
      </c>
      <c r="C366" s="15"/>
      <c r="D366" s="16" t="s">
        <v>102</v>
      </c>
      <c r="E366" s="16" t="s">
        <v>51</v>
      </c>
      <c r="F366" s="16" t="s">
        <v>97</v>
      </c>
      <c r="G366" s="16" t="s">
        <v>98</v>
      </c>
      <c r="H366" s="16" t="s">
        <v>99</v>
      </c>
      <c r="I366" s="16" t="s">
        <v>105</v>
      </c>
      <c r="J366" s="16" t="s">
        <v>806</v>
      </c>
      <c r="K366" s="16"/>
      <c r="L366" s="16" t="s">
        <v>105</v>
      </c>
      <c r="M366" s="16" t="s">
        <v>806</v>
      </c>
      <c r="N366" s="16" t="s">
        <v>79</v>
      </c>
      <c r="O366" s="16" t="s">
        <v>58</v>
      </c>
      <c r="P366" s="16" t="s">
        <v>85</v>
      </c>
      <c r="Q366" s="16" t="s">
        <v>85</v>
      </c>
      <c r="R366" s="16" t="s">
        <v>86</v>
      </c>
      <c r="S366" s="16" t="s">
        <v>87</v>
      </c>
      <c r="T366" s="16" t="s">
        <v>816</v>
      </c>
      <c r="U366" s="16" t="s">
        <v>73</v>
      </c>
      <c r="V366" s="16" t="n">
        <v>0.07</v>
      </c>
      <c r="W366" s="16" t="n">
        <v>0.063</v>
      </c>
      <c r="X366" s="16" t="n">
        <v>30000</v>
      </c>
      <c r="Y366" s="16" t="n">
        <v>30000</v>
      </c>
      <c r="Z366" s="16" t="n">
        <v>30000</v>
      </c>
      <c r="AA366" s="16" t="n">
        <v>30000</v>
      </c>
      <c r="AB366" s="16" t="n">
        <v>30000</v>
      </c>
      <c r="AC366" s="16" t="n">
        <v>30000</v>
      </c>
      <c r="AD366" s="16" t="n">
        <v>30000</v>
      </c>
      <c r="AE366" s="16" t="n">
        <v>30000</v>
      </c>
      <c r="AF366" s="16" t="n">
        <v>30000</v>
      </c>
      <c r="AG366" s="16" t="n">
        <v>30000</v>
      </c>
      <c r="AH366" s="16" t="n">
        <v>30000</v>
      </c>
      <c r="AI366" s="16" t="n">
        <v>30000</v>
      </c>
      <c r="AJ366" s="9" t="n">
        <f aca="false">X366*$V366</f>
        <v>2100</v>
      </c>
      <c r="AK366" s="9" t="n">
        <f aca="false">Y366*$V366</f>
        <v>2100</v>
      </c>
      <c r="AL366" s="9" t="n">
        <f aca="false">Z366*$V366</f>
        <v>2100</v>
      </c>
      <c r="AM366" s="9" t="n">
        <f aca="false">AA366*$V366</f>
        <v>2100</v>
      </c>
      <c r="AN366" s="9" t="n">
        <f aca="false">AB366*$V366</f>
        <v>2100</v>
      </c>
      <c r="AO366" s="9" t="n">
        <f aca="false">AC366*$V366</f>
        <v>2100</v>
      </c>
      <c r="AP366" s="9" t="n">
        <f aca="false">AD366*$V366</f>
        <v>2100</v>
      </c>
      <c r="AQ366" s="9" t="n">
        <f aca="false">AE366*$V366</f>
        <v>2100</v>
      </c>
      <c r="AR366" s="9" t="n">
        <f aca="false">AF366*$V366</f>
        <v>2100</v>
      </c>
      <c r="AS366" s="9" t="n">
        <f aca="false">AG366*$V366</f>
        <v>2100</v>
      </c>
      <c r="AT366" s="9" t="n">
        <f aca="false">AH366*$V366</f>
        <v>2100</v>
      </c>
      <c r="AU366" s="9" t="n">
        <f aca="false">AI366*$V366</f>
        <v>2100</v>
      </c>
      <c r="AV366" s="9" t="n">
        <f aca="false">SUM(X366:AI366)/1000</f>
        <v>360</v>
      </c>
      <c r="AW366" s="9" t="n">
        <f aca="false">SUM(AJ366:AU366)</f>
        <v>25200</v>
      </c>
      <c r="AX366" s="9" t="n">
        <f aca="false">IF(D366="INR",AW366/88.24,AW366)/1000000</f>
        <v>0.0252</v>
      </c>
    </row>
    <row r="367" s="2" customFormat="true" ht="14.25" hidden="false" customHeight="false" outlineLevel="0" collapsed="false">
      <c r="A367" s="12"/>
      <c r="B367" s="16" t="n">
        <v>1</v>
      </c>
      <c r="C367" s="15"/>
      <c r="D367" s="16" t="s">
        <v>102</v>
      </c>
      <c r="E367" s="16"/>
      <c r="F367" s="16" t="s">
        <v>97</v>
      </c>
      <c r="G367" s="16" t="s">
        <v>98</v>
      </c>
      <c r="H367" s="16" t="s">
        <v>99</v>
      </c>
      <c r="I367" s="16"/>
      <c r="J367" s="16"/>
      <c r="K367" s="16"/>
      <c r="L367" s="16"/>
      <c r="M367" s="16"/>
      <c r="N367" s="16" t="s">
        <v>79</v>
      </c>
      <c r="O367" s="16" t="s">
        <v>58</v>
      </c>
      <c r="P367" s="16" t="s">
        <v>817</v>
      </c>
      <c r="Q367" s="16" t="s">
        <v>818</v>
      </c>
      <c r="R367" s="16"/>
      <c r="S367" s="16"/>
      <c r="T367" s="16" t="s">
        <v>819</v>
      </c>
      <c r="U367" s="16" t="s">
        <v>63</v>
      </c>
      <c r="V367" s="16" t="n">
        <v>0.041</v>
      </c>
      <c r="W367" s="16"/>
      <c r="X367" s="16" t="n">
        <v>30000</v>
      </c>
      <c r="Y367" s="16" t="n">
        <v>30000</v>
      </c>
      <c r="Z367" s="16" t="n">
        <v>30000</v>
      </c>
      <c r="AA367" s="16" t="n">
        <v>30000</v>
      </c>
      <c r="AB367" s="16" t="n">
        <v>30000</v>
      </c>
      <c r="AC367" s="16" t="n">
        <v>30000</v>
      </c>
      <c r="AD367" s="16" t="n">
        <v>30000</v>
      </c>
      <c r="AE367" s="16" t="n">
        <v>30000</v>
      </c>
      <c r="AF367" s="16" t="n">
        <v>30000</v>
      </c>
      <c r="AG367" s="16" t="n">
        <v>30000</v>
      </c>
      <c r="AH367" s="16" t="n">
        <v>30000</v>
      </c>
      <c r="AI367" s="16" t="n">
        <v>30000</v>
      </c>
      <c r="AJ367" s="9" t="n">
        <f aca="false">X367*$V367</f>
        <v>1230</v>
      </c>
      <c r="AK367" s="9" t="n">
        <f aca="false">Y367*$V367</f>
        <v>1230</v>
      </c>
      <c r="AL367" s="9" t="n">
        <f aca="false">Z367*$V367</f>
        <v>1230</v>
      </c>
      <c r="AM367" s="9" t="n">
        <f aca="false">AA367*$V367</f>
        <v>1230</v>
      </c>
      <c r="AN367" s="9" t="n">
        <f aca="false">AB367*$V367</f>
        <v>1230</v>
      </c>
      <c r="AO367" s="9" t="n">
        <f aca="false">AC367*$V367</f>
        <v>1230</v>
      </c>
      <c r="AP367" s="9" t="n">
        <f aca="false">AD367*$V367</f>
        <v>1230</v>
      </c>
      <c r="AQ367" s="9" t="n">
        <f aca="false">AE367*$V367</f>
        <v>1230</v>
      </c>
      <c r="AR367" s="9" t="n">
        <f aca="false">AF367*$V367</f>
        <v>1230</v>
      </c>
      <c r="AS367" s="9" t="n">
        <f aca="false">AG367*$V367</f>
        <v>1230</v>
      </c>
      <c r="AT367" s="9" t="n">
        <f aca="false">AH367*$V367</f>
        <v>1230</v>
      </c>
      <c r="AU367" s="9" t="n">
        <f aca="false">AI367*$V367</f>
        <v>1230</v>
      </c>
      <c r="AV367" s="9" t="n">
        <f aca="false">SUM(X367:AI367)/1000</f>
        <v>360</v>
      </c>
      <c r="AW367" s="9" t="n">
        <f aca="false">SUM(AJ367:AU367)</f>
        <v>14760</v>
      </c>
      <c r="AX367" s="9" t="n">
        <f aca="false">IF(D367="INR",AW367/88.24,AW367)/1000000</f>
        <v>0.01476</v>
      </c>
    </row>
    <row r="368" s="2" customFormat="true" ht="16.4" hidden="false" customHeight="false" outlineLevel="0" collapsed="false">
      <c r="A368" s="35" t="s">
        <v>820</v>
      </c>
      <c r="B368" s="9" t="n">
        <v>5</v>
      </c>
      <c r="C368" s="10"/>
      <c r="D368" s="9" t="s">
        <v>102</v>
      </c>
      <c r="E368" s="9" t="s">
        <v>51</v>
      </c>
      <c r="F368" s="9" t="s">
        <v>97</v>
      </c>
      <c r="G368" s="9" t="s">
        <v>98</v>
      </c>
      <c r="H368" s="9" t="s">
        <v>99</v>
      </c>
      <c r="I368" s="9" t="s">
        <v>105</v>
      </c>
      <c r="J368" s="9" t="s">
        <v>806</v>
      </c>
      <c r="K368" s="9"/>
      <c r="L368" s="9" t="s">
        <v>105</v>
      </c>
      <c r="M368" s="9" t="s">
        <v>806</v>
      </c>
      <c r="N368" s="16" t="s">
        <v>79</v>
      </c>
      <c r="O368" s="9" t="s">
        <v>58</v>
      </c>
      <c r="P368" s="9" t="s">
        <v>59</v>
      </c>
      <c r="Q368" s="9" t="s">
        <v>59</v>
      </c>
      <c r="R368" s="9" t="s">
        <v>60</v>
      </c>
      <c r="S368" s="9" t="s">
        <v>61</v>
      </c>
      <c r="T368" s="9" t="s">
        <v>821</v>
      </c>
      <c r="U368" s="9" t="s">
        <v>73</v>
      </c>
      <c r="V368" s="9" t="n">
        <v>0.21</v>
      </c>
      <c r="W368" s="9" t="n">
        <v>0.2</v>
      </c>
      <c r="X368" s="9" t="n">
        <v>30000</v>
      </c>
      <c r="Y368" s="9" t="n">
        <v>30000</v>
      </c>
      <c r="Z368" s="9" t="n">
        <v>15000</v>
      </c>
      <c r="AA368" s="9" t="n">
        <v>30000</v>
      </c>
      <c r="AB368" s="9" t="n">
        <v>15000</v>
      </c>
      <c r="AC368" s="9" t="n">
        <v>30000</v>
      </c>
      <c r="AD368" s="9" t="n">
        <v>15000</v>
      </c>
      <c r="AE368" s="9" t="n">
        <v>30000</v>
      </c>
      <c r="AF368" s="9" t="n">
        <v>15000</v>
      </c>
      <c r="AG368" s="9" t="n">
        <v>15000</v>
      </c>
      <c r="AH368" s="9" t="n">
        <v>15000</v>
      </c>
      <c r="AI368" s="9" t="n">
        <v>15000</v>
      </c>
      <c r="AJ368" s="9" t="n">
        <f aca="false">X368*$V368</f>
        <v>6300</v>
      </c>
      <c r="AK368" s="9" t="n">
        <f aca="false">Y368*$V368</f>
        <v>6300</v>
      </c>
      <c r="AL368" s="9" t="n">
        <f aca="false">Z368*$V368</f>
        <v>3150</v>
      </c>
      <c r="AM368" s="9" t="n">
        <f aca="false">AA368*$V368</f>
        <v>6300</v>
      </c>
      <c r="AN368" s="9" t="n">
        <f aca="false">AB368*$V368</f>
        <v>3150</v>
      </c>
      <c r="AO368" s="9" t="n">
        <f aca="false">AC368*$V368</f>
        <v>6300</v>
      </c>
      <c r="AP368" s="9" t="n">
        <f aca="false">AD368*$V368</f>
        <v>3150</v>
      </c>
      <c r="AQ368" s="9" t="n">
        <f aca="false">AE368*$V368</f>
        <v>6300</v>
      </c>
      <c r="AR368" s="9" t="n">
        <f aca="false">AF368*$V368</f>
        <v>3150</v>
      </c>
      <c r="AS368" s="9" t="n">
        <f aca="false">AG368*$V368</f>
        <v>3150</v>
      </c>
      <c r="AT368" s="9" t="n">
        <f aca="false">AH368*$V368</f>
        <v>3150</v>
      </c>
      <c r="AU368" s="9" t="n">
        <f aca="false">AI368*$V368</f>
        <v>3150</v>
      </c>
      <c r="AV368" s="9" t="n">
        <f aca="false">SUM(X368:AI368)/1000</f>
        <v>255</v>
      </c>
      <c r="AW368" s="9" t="n">
        <f aca="false">SUM(AJ368:AU368)</f>
        <v>53550</v>
      </c>
      <c r="AX368" s="9" t="n">
        <f aca="false">IF(D368="INR",AW368/88.24,AW368)/1000000</f>
        <v>0.05355</v>
      </c>
    </row>
    <row r="369" s="2" customFormat="true" ht="16.4" hidden="false" customHeight="false" outlineLevel="0" collapsed="false">
      <c r="A369" s="35" t="s">
        <v>822</v>
      </c>
      <c r="B369" s="9" t="n">
        <v>5</v>
      </c>
      <c r="C369" s="10"/>
      <c r="D369" s="9" t="s">
        <v>102</v>
      </c>
      <c r="E369" s="9" t="s">
        <v>51</v>
      </c>
      <c r="F369" s="9" t="s">
        <v>97</v>
      </c>
      <c r="G369" s="9" t="s">
        <v>98</v>
      </c>
      <c r="H369" s="9" t="s">
        <v>99</v>
      </c>
      <c r="I369" s="9" t="s">
        <v>105</v>
      </c>
      <c r="J369" s="9" t="s">
        <v>806</v>
      </c>
      <c r="K369" s="9"/>
      <c r="L369" s="9" t="s">
        <v>105</v>
      </c>
      <c r="M369" s="9" t="s">
        <v>806</v>
      </c>
      <c r="N369" s="9" t="s">
        <v>79</v>
      </c>
      <c r="O369" s="9" t="s">
        <v>58</v>
      </c>
      <c r="P369" s="9" t="s">
        <v>85</v>
      </c>
      <c r="Q369" s="9" t="s">
        <v>85</v>
      </c>
      <c r="R369" s="9" t="s">
        <v>86</v>
      </c>
      <c r="S369" s="9" t="s">
        <v>87</v>
      </c>
      <c r="T369" s="9" t="s">
        <v>448</v>
      </c>
      <c r="U369" s="9" t="s">
        <v>73</v>
      </c>
      <c r="V369" s="9" t="n">
        <v>0.073</v>
      </c>
      <c r="W369" s="9" t="n">
        <v>0.053</v>
      </c>
      <c r="X369" s="9" t="n">
        <v>30000</v>
      </c>
      <c r="Y369" s="9" t="n">
        <v>30000</v>
      </c>
      <c r="Z369" s="9" t="n">
        <v>15000</v>
      </c>
      <c r="AA369" s="9" t="n">
        <v>30000</v>
      </c>
      <c r="AB369" s="9" t="n">
        <v>15000</v>
      </c>
      <c r="AC369" s="9" t="n">
        <v>30000</v>
      </c>
      <c r="AD369" s="9" t="n">
        <v>15000</v>
      </c>
      <c r="AE369" s="9" t="n">
        <v>30000</v>
      </c>
      <c r="AF369" s="9" t="n">
        <v>15000</v>
      </c>
      <c r="AG369" s="9" t="n">
        <v>15000</v>
      </c>
      <c r="AH369" s="9" t="n">
        <v>15000</v>
      </c>
      <c r="AI369" s="9" t="n">
        <v>15000</v>
      </c>
      <c r="AJ369" s="9" t="n">
        <f aca="false">X369*$V369</f>
        <v>2190</v>
      </c>
      <c r="AK369" s="9" t="n">
        <f aca="false">Y369*$V369</f>
        <v>2190</v>
      </c>
      <c r="AL369" s="9" t="n">
        <f aca="false">Z369*$V369</f>
        <v>1095</v>
      </c>
      <c r="AM369" s="9" t="n">
        <f aca="false">AA369*$V369</f>
        <v>2190</v>
      </c>
      <c r="AN369" s="9" t="n">
        <f aca="false">AB369*$V369</f>
        <v>1095</v>
      </c>
      <c r="AO369" s="9" t="n">
        <f aca="false">AC369*$V369</f>
        <v>2190</v>
      </c>
      <c r="AP369" s="9" t="n">
        <f aca="false">AD369*$V369</f>
        <v>1095</v>
      </c>
      <c r="AQ369" s="9" t="n">
        <f aca="false">AE369*$V369</f>
        <v>2190</v>
      </c>
      <c r="AR369" s="9" t="n">
        <f aca="false">AF369*$V369</f>
        <v>1095</v>
      </c>
      <c r="AS369" s="9" t="n">
        <f aca="false">AG369*$V369</f>
        <v>1095</v>
      </c>
      <c r="AT369" s="9" t="n">
        <f aca="false">AH369*$V369</f>
        <v>1095</v>
      </c>
      <c r="AU369" s="9" t="n">
        <f aca="false">AI369*$V369</f>
        <v>1095</v>
      </c>
      <c r="AV369" s="9" t="n">
        <f aca="false">SUM(X369:AI369)/1000</f>
        <v>255</v>
      </c>
      <c r="AW369" s="9" t="n">
        <f aca="false">SUM(AJ369:AU369)</f>
        <v>18615</v>
      </c>
      <c r="AX369" s="9" t="n">
        <f aca="false">IF(D369="INR",AW369/88.24,AW369)/1000000</f>
        <v>0.018615</v>
      </c>
    </row>
    <row r="370" s="2" customFormat="true" ht="14.25" hidden="false" customHeight="false" outlineLevel="0" collapsed="false">
      <c r="A370" s="12" t="s">
        <v>823</v>
      </c>
      <c r="B370" s="16"/>
      <c r="C370" s="15" t="n">
        <v>5</v>
      </c>
      <c r="D370" s="16" t="s">
        <v>50</v>
      </c>
      <c r="E370" s="16" t="s">
        <v>51</v>
      </c>
      <c r="F370" s="16" t="s">
        <v>52</v>
      </c>
      <c r="G370" s="16" t="s">
        <v>384</v>
      </c>
      <c r="H370" s="16" t="s">
        <v>385</v>
      </c>
      <c r="I370" s="16" t="s">
        <v>260</v>
      </c>
      <c r="J370" s="16" t="s">
        <v>289</v>
      </c>
      <c r="K370" s="16"/>
      <c r="L370" s="16" t="s">
        <v>260</v>
      </c>
      <c r="M370" s="16" t="s">
        <v>289</v>
      </c>
      <c r="N370" s="16" t="s">
        <v>290</v>
      </c>
      <c r="O370" s="16" t="s">
        <v>94</v>
      </c>
      <c r="P370" s="16" t="s">
        <v>308</v>
      </c>
      <c r="Q370" s="16" t="s">
        <v>308</v>
      </c>
      <c r="R370" s="16" t="s">
        <v>309</v>
      </c>
      <c r="S370" s="16" t="s">
        <v>264</v>
      </c>
      <c r="T370" s="16" t="s">
        <v>824</v>
      </c>
      <c r="U370" s="16" t="s">
        <v>73</v>
      </c>
      <c r="V370" s="16" t="n">
        <v>4.58</v>
      </c>
      <c r="W370" s="16" t="n">
        <v>3.78</v>
      </c>
      <c r="X370" s="16" t="n">
        <v>38000</v>
      </c>
      <c r="Y370" s="16" t="n">
        <v>38000</v>
      </c>
      <c r="Z370" s="16" t="n">
        <v>38000</v>
      </c>
      <c r="AA370" s="16" t="n">
        <v>38000</v>
      </c>
      <c r="AB370" s="16" t="n">
        <v>38000</v>
      </c>
      <c r="AC370" s="16" t="n">
        <v>38000</v>
      </c>
      <c r="AD370" s="16" t="n">
        <v>38000</v>
      </c>
      <c r="AE370" s="16" t="n">
        <v>38000</v>
      </c>
      <c r="AF370" s="16" t="n">
        <v>38000</v>
      </c>
      <c r="AG370" s="16" t="n">
        <v>38000</v>
      </c>
      <c r="AH370" s="16" t="n">
        <v>38000</v>
      </c>
      <c r="AI370" s="16" t="n">
        <v>38000</v>
      </c>
      <c r="AJ370" s="9" t="n">
        <f aca="false">X370*$V370</f>
        <v>174040</v>
      </c>
      <c r="AK370" s="9" t="n">
        <f aca="false">Y370*$V370</f>
        <v>174040</v>
      </c>
      <c r="AL370" s="9" t="n">
        <f aca="false">Z370*$V370</f>
        <v>174040</v>
      </c>
      <c r="AM370" s="9" t="n">
        <f aca="false">AA370*$V370</f>
        <v>174040</v>
      </c>
      <c r="AN370" s="9" t="n">
        <f aca="false">AB370*$V370</f>
        <v>174040</v>
      </c>
      <c r="AO370" s="9" t="n">
        <f aca="false">AC370*$V370</f>
        <v>174040</v>
      </c>
      <c r="AP370" s="9" t="n">
        <f aca="false">AD370*$V370</f>
        <v>174040</v>
      </c>
      <c r="AQ370" s="9" t="n">
        <f aca="false">AE370*$V370</f>
        <v>174040</v>
      </c>
      <c r="AR370" s="9" t="n">
        <f aca="false">AF370*$V370</f>
        <v>174040</v>
      </c>
      <c r="AS370" s="9" t="n">
        <f aca="false">AG370*$V370</f>
        <v>174040</v>
      </c>
      <c r="AT370" s="9" t="n">
        <f aca="false">AH370*$V370</f>
        <v>174040</v>
      </c>
      <c r="AU370" s="9" t="n">
        <f aca="false">AI370*$V370</f>
        <v>174040</v>
      </c>
      <c r="AV370" s="9" t="n">
        <f aca="false">SUM(X370:AI370)/1000</f>
        <v>456</v>
      </c>
      <c r="AW370" s="9" t="n">
        <f aca="false">SUM(AJ370:AU370)</f>
        <v>2088480</v>
      </c>
      <c r="AX370" s="9" t="n">
        <f aca="false">IF(D370="INR",AW370/88.24,AW370)/1000000</f>
        <v>0.0236681776971895</v>
      </c>
    </row>
    <row r="371" s="2" customFormat="true" ht="14.25" hidden="false" customHeight="false" outlineLevel="0" collapsed="false">
      <c r="A371" s="12" t="s">
        <v>825</v>
      </c>
      <c r="B371" s="16" t="n">
        <v>5</v>
      </c>
      <c r="C371" s="15"/>
      <c r="D371" s="16" t="s">
        <v>50</v>
      </c>
      <c r="E371" s="16" t="s">
        <v>51</v>
      </c>
      <c r="F371" s="16" t="s">
        <v>52</v>
      </c>
      <c r="G371" s="16" t="s">
        <v>506</v>
      </c>
      <c r="H371" s="16" t="s">
        <v>507</v>
      </c>
      <c r="I371" s="16" t="s">
        <v>77</v>
      </c>
      <c r="J371" s="16" t="s">
        <v>325</v>
      </c>
      <c r="K371" s="16"/>
      <c r="L371" s="16" t="s">
        <v>77</v>
      </c>
      <c r="M371" s="16" t="s">
        <v>325</v>
      </c>
      <c r="N371" s="16" t="s">
        <v>79</v>
      </c>
      <c r="O371" s="16" t="s">
        <v>68</v>
      </c>
      <c r="P371" s="16" t="s">
        <v>308</v>
      </c>
      <c r="Q371" s="16" t="s">
        <v>308</v>
      </c>
      <c r="R371" s="16" t="s">
        <v>309</v>
      </c>
      <c r="S371" s="16" t="s">
        <v>264</v>
      </c>
      <c r="T371" s="16" t="s">
        <v>826</v>
      </c>
      <c r="U371" s="16" t="s">
        <v>73</v>
      </c>
      <c r="V371" s="16" t="n">
        <v>4.84</v>
      </c>
      <c r="W371" s="16" t="n">
        <v>4.21</v>
      </c>
      <c r="X371" s="16" t="n">
        <v>35000</v>
      </c>
      <c r="Y371" s="16" t="n">
        <v>35000</v>
      </c>
      <c r="Z371" s="16" t="n">
        <v>35000</v>
      </c>
      <c r="AA371" s="16" t="n">
        <v>35000</v>
      </c>
      <c r="AB371" s="16" t="n">
        <v>35000</v>
      </c>
      <c r="AC371" s="16" t="n">
        <v>35000</v>
      </c>
      <c r="AD371" s="16" t="n">
        <v>35000</v>
      </c>
      <c r="AE371" s="16" t="n">
        <v>35000</v>
      </c>
      <c r="AF371" s="16" t="n">
        <v>35000</v>
      </c>
      <c r="AG371" s="16" t="n">
        <v>35000</v>
      </c>
      <c r="AH371" s="16" t="n">
        <v>35000</v>
      </c>
      <c r="AI371" s="16" t="n">
        <v>35000</v>
      </c>
      <c r="AJ371" s="9" t="n">
        <f aca="false">X371*$V371</f>
        <v>169400</v>
      </c>
      <c r="AK371" s="9" t="n">
        <f aca="false">Y371*$V371</f>
        <v>169400</v>
      </c>
      <c r="AL371" s="9" t="n">
        <f aca="false">Z371*$V371</f>
        <v>169400</v>
      </c>
      <c r="AM371" s="9" t="n">
        <f aca="false">AA371*$V371</f>
        <v>169400</v>
      </c>
      <c r="AN371" s="9" t="n">
        <f aca="false">AB371*$V371</f>
        <v>169400</v>
      </c>
      <c r="AO371" s="9" t="n">
        <f aca="false">AC371*$V371</f>
        <v>169400</v>
      </c>
      <c r="AP371" s="9" t="n">
        <f aca="false">AD371*$V371</f>
        <v>169400</v>
      </c>
      <c r="AQ371" s="9" t="n">
        <f aca="false">AE371*$V371</f>
        <v>169400</v>
      </c>
      <c r="AR371" s="9" t="n">
        <f aca="false">AF371*$V371</f>
        <v>169400</v>
      </c>
      <c r="AS371" s="9" t="n">
        <f aca="false">AG371*$V371</f>
        <v>169400</v>
      </c>
      <c r="AT371" s="9" t="n">
        <f aca="false">AH371*$V371</f>
        <v>169400</v>
      </c>
      <c r="AU371" s="9" t="n">
        <f aca="false">AI371*$V371</f>
        <v>169400</v>
      </c>
      <c r="AV371" s="9" t="n">
        <f aca="false">SUM(X371:AI371)/1000</f>
        <v>420</v>
      </c>
      <c r="AW371" s="9" t="n">
        <f aca="false">SUM(AJ371:AU371)</f>
        <v>2032800</v>
      </c>
      <c r="AX371" s="9" t="n">
        <f aca="false">IF(D371="INR",AW371/88.24,AW371)/1000000</f>
        <v>0.0230371713508613</v>
      </c>
    </row>
    <row r="372" s="2" customFormat="true" ht="14.25" hidden="false" customHeight="false" outlineLevel="0" collapsed="false">
      <c r="A372" s="12" t="s">
        <v>827</v>
      </c>
      <c r="B372" s="16" t="n">
        <v>5</v>
      </c>
      <c r="C372" s="15"/>
      <c r="D372" s="16" t="s">
        <v>102</v>
      </c>
      <c r="E372" s="16" t="s">
        <v>51</v>
      </c>
      <c r="F372" s="16" t="s">
        <v>97</v>
      </c>
      <c r="G372" s="16" t="s">
        <v>98</v>
      </c>
      <c r="H372" s="16" t="s">
        <v>99</v>
      </c>
      <c r="I372" s="16" t="s">
        <v>105</v>
      </c>
      <c r="J372" s="16" t="s">
        <v>806</v>
      </c>
      <c r="K372" s="16"/>
      <c r="L372" s="16"/>
      <c r="M372" s="16"/>
      <c r="N372" s="16" t="s">
        <v>79</v>
      </c>
      <c r="O372" s="16" t="s">
        <v>58</v>
      </c>
      <c r="P372" s="16" t="str">
        <f aca="false">Q372</f>
        <v>AOS</v>
      </c>
      <c r="Q372" s="16" t="s">
        <v>208</v>
      </c>
      <c r="R372" s="16" t="s">
        <v>309</v>
      </c>
      <c r="S372" s="16" t="s">
        <v>87</v>
      </c>
      <c r="T372" s="16" t="s">
        <v>828</v>
      </c>
      <c r="U372" s="16" t="s">
        <v>73</v>
      </c>
      <c r="V372" s="16" t="n">
        <v>0.0304</v>
      </c>
      <c r="W372" s="16" t="n">
        <v>0</v>
      </c>
      <c r="X372" s="22" t="n">
        <v>10000</v>
      </c>
      <c r="Y372" s="16" t="n">
        <v>10000</v>
      </c>
      <c r="Z372" s="16" t="n">
        <v>10000</v>
      </c>
      <c r="AA372" s="16" t="n">
        <v>10000</v>
      </c>
      <c r="AB372" s="16" t="n">
        <v>10000</v>
      </c>
      <c r="AC372" s="16" t="n">
        <v>10000</v>
      </c>
      <c r="AD372" s="16" t="n">
        <v>10000</v>
      </c>
      <c r="AE372" s="16" t="n">
        <v>10000</v>
      </c>
      <c r="AF372" s="16" t="n">
        <v>10000</v>
      </c>
      <c r="AG372" s="16" t="n">
        <v>10000</v>
      </c>
      <c r="AH372" s="16" t="n">
        <v>10000</v>
      </c>
      <c r="AI372" s="16" t="n">
        <v>10000</v>
      </c>
      <c r="AJ372" s="9" t="n">
        <f aca="false">X372*$V372</f>
        <v>304</v>
      </c>
      <c r="AK372" s="9" t="n">
        <f aca="false">Y372*$V372</f>
        <v>304</v>
      </c>
      <c r="AL372" s="9" t="n">
        <f aca="false">Z372*$V372</f>
        <v>304</v>
      </c>
      <c r="AM372" s="9" t="n">
        <f aca="false">AA372*$V372</f>
        <v>304</v>
      </c>
      <c r="AN372" s="9" t="n">
        <f aca="false">AB372*$V372</f>
        <v>304</v>
      </c>
      <c r="AO372" s="9" t="n">
        <f aca="false">AC372*$V372</f>
        <v>304</v>
      </c>
      <c r="AP372" s="9" t="n">
        <f aca="false">AD372*$V372</f>
        <v>304</v>
      </c>
      <c r="AQ372" s="9" t="n">
        <f aca="false">AE372*$V372</f>
        <v>304</v>
      </c>
      <c r="AR372" s="9" t="n">
        <f aca="false">AF372*$V372</f>
        <v>304</v>
      </c>
      <c r="AS372" s="9" t="n">
        <f aca="false">AG372*$V372</f>
        <v>304</v>
      </c>
      <c r="AT372" s="9" t="n">
        <f aca="false">AH372*$V372</f>
        <v>304</v>
      </c>
      <c r="AU372" s="9" t="n">
        <f aca="false">AI372*$V372</f>
        <v>304</v>
      </c>
      <c r="AV372" s="9" t="n">
        <f aca="false">SUM(X372:AI372)/1000</f>
        <v>120</v>
      </c>
      <c r="AW372" s="9" t="n">
        <f aca="false">SUM(AJ372:AU372)</f>
        <v>3648</v>
      </c>
      <c r="AX372" s="9" t="n">
        <f aca="false">IF(D372="INR",AW372/88.24,AW372)/1000000</f>
        <v>0.003648</v>
      </c>
    </row>
    <row r="373" s="2" customFormat="true" ht="16.4" hidden="false" customHeight="false" outlineLevel="0" collapsed="false">
      <c r="A373" s="35" t="s">
        <v>829</v>
      </c>
      <c r="B373" s="9" t="n">
        <v>5</v>
      </c>
      <c r="C373" s="10"/>
      <c r="D373" s="9" t="s">
        <v>813</v>
      </c>
      <c r="E373" s="9" t="s">
        <v>51</v>
      </c>
      <c r="F373" s="9" t="s">
        <v>97</v>
      </c>
      <c r="G373" s="9" t="s">
        <v>98</v>
      </c>
      <c r="H373" s="9" t="s">
        <v>99</v>
      </c>
      <c r="I373" s="9"/>
      <c r="J373" s="9"/>
      <c r="K373" s="9"/>
      <c r="L373" s="9"/>
      <c r="M373" s="9"/>
      <c r="N373" s="9" t="s">
        <v>79</v>
      </c>
      <c r="O373" s="9" t="s">
        <v>58</v>
      </c>
      <c r="P373" s="9" t="s">
        <v>380</v>
      </c>
      <c r="Q373" s="9" t="s">
        <v>380</v>
      </c>
      <c r="R373" s="9" t="s">
        <v>442</v>
      </c>
      <c r="S373" s="9" t="s">
        <v>443</v>
      </c>
      <c r="T373" s="9" t="s">
        <v>830</v>
      </c>
      <c r="U373" s="9" t="s">
        <v>73</v>
      </c>
      <c r="V373" s="9" t="n">
        <v>0.35</v>
      </c>
      <c r="W373" s="9" t="n">
        <v>0.28975</v>
      </c>
      <c r="X373" s="9" t="n">
        <v>5000</v>
      </c>
      <c r="Y373" s="9" t="n">
        <v>5000</v>
      </c>
      <c r="Z373" s="9" t="n">
        <v>5000</v>
      </c>
      <c r="AA373" s="9" t="n">
        <v>5000</v>
      </c>
      <c r="AB373" s="9" t="n">
        <v>5000</v>
      </c>
      <c r="AC373" s="9" t="n">
        <v>5000</v>
      </c>
      <c r="AD373" s="9" t="n">
        <v>5000</v>
      </c>
      <c r="AE373" s="9" t="n">
        <v>5000</v>
      </c>
      <c r="AF373" s="9" t="n">
        <v>5000</v>
      </c>
      <c r="AG373" s="9" t="n">
        <v>5000</v>
      </c>
      <c r="AH373" s="9" t="n">
        <v>5000</v>
      </c>
      <c r="AI373" s="9" t="n">
        <v>5000</v>
      </c>
      <c r="AJ373" s="9" t="n">
        <f aca="false">X373*$V373</f>
        <v>1750</v>
      </c>
      <c r="AK373" s="9" t="n">
        <f aca="false">Y373*$V373</f>
        <v>1750</v>
      </c>
      <c r="AL373" s="9" t="n">
        <f aca="false">Z373*$V373</f>
        <v>1750</v>
      </c>
      <c r="AM373" s="9" t="n">
        <f aca="false">AA373*$V373</f>
        <v>1750</v>
      </c>
      <c r="AN373" s="9" t="n">
        <f aca="false">AB373*$V373</f>
        <v>1750</v>
      </c>
      <c r="AO373" s="9" t="n">
        <f aca="false">AC373*$V373</f>
        <v>1750</v>
      </c>
      <c r="AP373" s="9" t="n">
        <f aca="false">AD373*$V373</f>
        <v>1750</v>
      </c>
      <c r="AQ373" s="9" t="n">
        <f aca="false">AE373*$V373</f>
        <v>1750</v>
      </c>
      <c r="AR373" s="9" t="n">
        <f aca="false">AF373*$V373</f>
        <v>1750</v>
      </c>
      <c r="AS373" s="9" t="n">
        <f aca="false">AG373*$V373</f>
        <v>1750</v>
      </c>
      <c r="AT373" s="9" t="n">
        <f aca="false">AH373*$V373</f>
        <v>1750</v>
      </c>
      <c r="AU373" s="9" t="n">
        <f aca="false">AI373*$V373</f>
        <v>1750</v>
      </c>
      <c r="AV373" s="9" t="n">
        <f aca="false">SUM(X373:AI373)/1000</f>
        <v>60</v>
      </c>
      <c r="AW373" s="9" t="n">
        <f aca="false">SUM(AJ373:AU373)</f>
        <v>21000</v>
      </c>
      <c r="AX373" s="9" t="n">
        <f aca="false">IF(D373="INR",AW373/88.24,AW373)/1000000</f>
        <v>0.021</v>
      </c>
    </row>
    <row r="374" s="2" customFormat="true" ht="14.25" hidden="false" customHeight="false" outlineLevel="0" collapsed="false">
      <c r="A374" s="12"/>
      <c r="B374" s="16" t="n">
        <v>1</v>
      </c>
      <c r="C374" s="15"/>
      <c r="D374" s="16" t="s">
        <v>102</v>
      </c>
      <c r="E374" s="16" t="s">
        <v>51</v>
      </c>
      <c r="F374" s="16" t="s">
        <v>97</v>
      </c>
      <c r="G374" s="16" t="s">
        <v>98</v>
      </c>
      <c r="H374" s="16" t="s">
        <v>99</v>
      </c>
      <c r="I374" s="16" t="s">
        <v>67</v>
      </c>
      <c r="J374" s="16" t="s">
        <v>58</v>
      </c>
      <c r="K374" s="16"/>
      <c r="L374" s="16"/>
      <c r="M374" s="16"/>
      <c r="N374" s="16" t="s">
        <v>79</v>
      </c>
      <c r="O374" s="16" t="s">
        <v>58</v>
      </c>
      <c r="P374" s="16" t="s">
        <v>69</v>
      </c>
      <c r="Q374" s="16" t="s">
        <v>69</v>
      </c>
      <c r="R374" s="16"/>
      <c r="S374" s="16"/>
      <c r="T374" s="16" t="s">
        <v>831</v>
      </c>
      <c r="U374" s="16" t="s">
        <v>63</v>
      </c>
      <c r="V374" s="16" t="n">
        <v>0.4</v>
      </c>
      <c r="W374" s="16"/>
      <c r="X374" s="16"/>
      <c r="Y374" s="16"/>
      <c r="Z374" s="16"/>
      <c r="AA374" s="16"/>
      <c r="AB374" s="16"/>
      <c r="AC374" s="16"/>
      <c r="AD374" s="16" t="n">
        <v>20000</v>
      </c>
      <c r="AE374" s="16"/>
      <c r="AF374" s="16"/>
      <c r="AG374" s="16"/>
      <c r="AH374" s="16"/>
      <c r="AI374" s="16"/>
      <c r="AJ374" s="9" t="n">
        <f aca="false">X374*$V374</f>
        <v>0</v>
      </c>
      <c r="AK374" s="9" t="n">
        <f aca="false">Y374*$V374</f>
        <v>0</v>
      </c>
      <c r="AL374" s="9" t="n">
        <f aca="false">Z374*$V374</f>
        <v>0</v>
      </c>
      <c r="AM374" s="9" t="n">
        <f aca="false">AA374*$V374</f>
        <v>0</v>
      </c>
      <c r="AN374" s="9" t="n">
        <f aca="false">AB374*$V374</f>
        <v>0</v>
      </c>
      <c r="AO374" s="9" t="n">
        <f aca="false">AC374*$V374</f>
        <v>0</v>
      </c>
      <c r="AP374" s="9" t="n">
        <f aca="false">AD374*$V374</f>
        <v>8000</v>
      </c>
      <c r="AQ374" s="9" t="n">
        <f aca="false">AE374*$V374</f>
        <v>0</v>
      </c>
      <c r="AR374" s="9" t="n">
        <f aca="false">AF374*$V374</f>
        <v>0</v>
      </c>
      <c r="AS374" s="9" t="n">
        <f aca="false">AG374*$V374</f>
        <v>0</v>
      </c>
      <c r="AT374" s="9" t="n">
        <f aca="false">AH374*$V374</f>
        <v>0</v>
      </c>
      <c r="AU374" s="9" t="n">
        <f aca="false">AI374*$V374</f>
        <v>0</v>
      </c>
      <c r="AV374" s="9" t="n">
        <f aca="false">SUM(X374:AI374)/1000</f>
        <v>20</v>
      </c>
      <c r="AW374" s="9" t="n">
        <f aca="false">SUM(AJ374:AU374)</f>
        <v>8000</v>
      </c>
      <c r="AX374" s="9" t="n">
        <f aca="false">IF(D374="INR",AW374/88.24,AW374)/1000000</f>
        <v>0.008</v>
      </c>
    </row>
    <row r="375" s="2" customFormat="true" ht="14.25" hidden="false" customHeight="false" outlineLevel="0" collapsed="false">
      <c r="A375" s="12"/>
      <c r="B375" s="16" t="n">
        <v>1</v>
      </c>
      <c r="C375" s="15"/>
      <c r="D375" s="16" t="s">
        <v>102</v>
      </c>
      <c r="E375" s="16" t="s">
        <v>51</v>
      </c>
      <c r="F375" s="16" t="s">
        <v>97</v>
      </c>
      <c r="G375" s="16" t="s">
        <v>98</v>
      </c>
      <c r="H375" s="16" t="s">
        <v>99</v>
      </c>
      <c r="I375" s="16" t="s">
        <v>67</v>
      </c>
      <c r="J375" s="16" t="s">
        <v>58</v>
      </c>
      <c r="K375" s="16"/>
      <c r="L375" s="16"/>
      <c r="M375" s="16"/>
      <c r="N375" s="16" t="s">
        <v>79</v>
      </c>
      <c r="O375" s="16" t="s">
        <v>58</v>
      </c>
      <c r="P375" s="16" t="s">
        <v>69</v>
      </c>
      <c r="Q375" s="16" t="s">
        <v>69</v>
      </c>
      <c r="R375" s="16"/>
      <c r="S375" s="16"/>
      <c r="T375" s="16" t="s">
        <v>831</v>
      </c>
      <c r="U375" s="16" t="s">
        <v>63</v>
      </c>
      <c r="V375" s="16" t="n">
        <v>0.4</v>
      </c>
      <c r="W375" s="16"/>
      <c r="X375" s="16"/>
      <c r="Y375" s="16"/>
      <c r="Z375" s="16"/>
      <c r="AA375" s="16"/>
      <c r="AB375" s="16"/>
      <c r="AC375" s="16"/>
      <c r="AD375" s="16" t="n">
        <v>20000</v>
      </c>
      <c r="AE375" s="16"/>
      <c r="AF375" s="16"/>
      <c r="AG375" s="16"/>
      <c r="AH375" s="16"/>
      <c r="AI375" s="16"/>
      <c r="AJ375" s="9" t="n">
        <f aca="false">X375*$V375</f>
        <v>0</v>
      </c>
      <c r="AK375" s="9" t="n">
        <f aca="false">Y375*$V375</f>
        <v>0</v>
      </c>
      <c r="AL375" s="9" t="n">
        <f aca="false">Z375*$V375</f>
        <v>0</v>
      </c>
      <c r="AM375" s="9" t="n">
        <f aca="false">AA375*$V375</f>
        <v>0</v>
      </c>
      <c r="AN375" s="9" t="n">
        <f aca="false">AB375*$V375</f>
        <v>0</v>
      </c>
      <c r="AO375" s="9" t="n">
        <f aca="false">AC375*$V375</f>
        <v>0</v>
      </c>
      <c r="AP375" s="9" t="n">
        <f aca="false">AD375*$V375</f>
        <v>8000</v>
      </c>
      <c r="AQ375" s="9" t="n">
        <f aca="false">AE375*$V375</f>
        <v>0</v>
      </c>
      <c r="AR375" s="9" t="n">
        <f aca="false">AF375*$V375</f>
        <v>0</v>
      </c>
      <c r="AS375" s="9" t="n">
        <f aca="false">AG375*$V375</f>
        <v>0</v>
      </c>
      <c r="AT375" s="9" t="n">
        <f aca="false">AH375*$V375</f>
        <v>0</v>
      </c>
      <c r="AU375" s="9" t="n">
        <f aca="false">AI375*$V375</f>
        <v>0</v>
      </c>
      <c r="AV375" s="9" t="n">
        <f aca="false">SUM(X375:AI375)/1000</f>
        <v>20</v>
      </c>
      <c r="AW375" s="9" t="n">
        <f aca="false">SUM(AJ375:AU375)</f>
        <v>8000</v>
      </c>
      <c r="AX375" s="9" t="n">
        <f aca="false">IF(D375="INR",AW375/88.24,AW375)/1000000</f>
        <v>0.008</v>
      </c>
    </row>
    <row r="376" s="2" customFormat="true" ht="14.25" hidden="false" customHeight="false" outlineLevel="0" collapsed="false">
      <c r="A376" s="12"/>
      <c r="B376" s="16" t="n">
        <v>1</v>
      </c>
      <c r="C376" s="15"/>
      <c r="D376" s="16" t="s">
        <v>813</v>
      </c>
      <c r="E376" s="16"/>
      <c r="F376" s="16" t="s">
        <v>97</v>
      </c>
      <c r="G376" s="16" t="s">
        <v>98</v>
      </c>
      <c r="H376" s="16" t="s">
        <v>99</v>
      </c>
      <c r="I376" s="16"/>
      <c r="J376" s="16"/>
      <c r="K376" s="16"/>
      <c r="L376" s="16"/>
      <c r="M376" s="16"/>
      <c r="N376" s="16" t="s">
        <v>79</v>
      </c>
      <c r="O376" s="16" t="s">
        <v>58</v>
      </c>
      <c r="P376" s="16" t="s">
        <v>380</v>
      </c>
      <c r="Q376" s="16" t="s">
        <v>380</v>
      </c>
      <c r="R376" s="16"/>
      <c r="S376" s="16"/>
      <c r="T376" s="16" t="s">
        <v>832</v>
      </c>
      <c r="U376" s="16" t="s">
        <v>63</v>
      </c>
      <c r="V376" s="16" t="n">
        <v>0.35</v>
      </c>
      <c r="W376" s="16"/>
      <c r="X376" s="22"/>
      <c r="Y376" s="16"/>
      <c r="Z376" s="16"/>
      <c r="AA376" s="16"/>
      <c r="AB376" s="16"/>
      <c r="AC376" s="16" t="n">
        <v>10000</v>
      </c>
      <c r="AD376" s="16"/>
      <c r="AE376" s="16"/>
      <c r="AF376" s="16"/>
      <c r="AG376" s="16"/>
      <c r="AH376" s="16"/>
      <c r="AI376" s="16"/>
      <c r="AJ376" s="9" t="n">
        <f aca="false">X376*$V376</f>
        <v>0</v>
      </c>
      <c r="AK376" s="9" t="n">
        <f aca="false">Y376*$V376</f>
        <v>0</v>
      </c>
      <c r="AL376" s="9" t="n">
        <f aca="false">Z376*$V376</f>
        <v>0</v>
      </c>
      <c r="AM376" s="9" t="n">
        <f aca="false">AA376*$V376</f>
        <v>0</v>
      </c>
      <c r="AN376" s="9" t="n">
        <f aca="false">AB376*$V376</f>
        <v>0</v>
      </c>
      <c r="AO376" s="9" t="n">
        <f aca="false">AC376*$V376</f>
        <v>3500</v>
      </c>
      <c r="AP376" s="9" t="n">
        <f aca="false">AD376*$V376</f>
        <v>0</v>
      </c>
      <c r="AQ376" s="9" t="n">
        <f aca="false">AE376*$V376</f>
        <v>0</v>
      </c>
      <c r="AR376" s="9" t="n">
        <f aca="false">AF376*$V376</f>
        <v>0</v>
      </c>
      <c r="AS376" s="9" t="n">
        <f aca="false">AG376*$V376</f>
        <v>0</v>
      </c>
      <c r="AT376" s="9" t="n">
        <f aca="false">AH376*$V376</f>
        <v>0</v>
      </c>
      <c r="AU376" s="9" t="n">
        <f aca="false">AI376*$V376</f>
        <v>0</v>
      </c>
      <c r="AV376" s="9" t="n">
        <f aca="false">SUM(X376:AI376)/1000</f>
        <v>10</v>
      </c>
      <c r="AW376" s="9" t="n">
        <f aca="false">SUM(AJ376:AU376)</f>
        <v>3500</v>
      </c>
      <c r="AX376" s="9" t="n">
        <f aca="false">IF(D376="INR",AW376/88.24,AW376)/1000000</f>
        <v>0.0035</v>
      </c>
    </row>
    <row r="377" s="2" customFormat="true" ht="14.25" hidden="false" customHeight="false" outlineLevel="0" collapsed="false">
      <c r="A377" s="35"/>
      <c r="B377" s="9" t="n">
        <v>1</v>
      </c>
      <c r="C377" s="15"/>
      <c r="D377" s="16" t="s">
        <v>813</v>
      </c>
      <c r="E377" s="16"/>
      <c r="F377" s="16" t="s">
        <v>97</v>
      </c>
      <c r="G377" s="16" t="s">
        <v>98</v>
      </c>
      <c r="H377" s="16" t="s">
        <v>99</v>
      </c>
      <c r="I377" s="16"/>
      <c r="J377" s="16"/>
      <c r="K377" s="16"/>
      <c r="L377" s="16"/>
      <c r="M377" s="16"/>
      <c r="N377" s="16" t="s">
        <v>79</v>
      </c>
      <c r="O377" s="16" t="s">
        <v>58</v>
      </c>
      <c r="P377" s="9" t="s">
        <v>380</v>
      </c>
      <c r="Q377" s="9" t="s">
        <v>380</v>
      </c>
      <c r="R377" s="9"/>
      <c r="S377" s="9"/>
      <c r="T377" s="9" t="s">
        <v>590</v>
      </c>
      <c r="U377" s="9" t="s">
        <v>63</v>
      </c>
      <c r="V377" s="9" t="n">
        <v>0.295</v>
      </c>
      <c r="W377" s="9"/>
      <c r="X377" s="22"/>
      <c r="Y377" s="9"/>
      <c r="Z377" s="9" t="n">
        <v>10000</v>
      </c>
      <c r="AA377" s="9"/>
      <c r="AB377" s="9"/>
      <c r="AC377" s="9"/>
      <c r="AD377" s="9"/>
      <c r="AE377" s="9"/>
      <c r="AF377" s="9"/>
      <c r="AG377" s="9"/>
      <c r="AH377" s="9"/>
      <c r="AI377" s="9"/>
      <c r="AJ377" s="9" t="n">
        <f aca="false">X377*$V377</f>
        <v>0</v>
      </c>
      <c r="AK377" s="9" t="n">
        <f aca="false">Y377*$V377</f>
        <v>0</v>
      </c>
      <c r="AL377" s="9" t="n">
        <f aca="false">Z377*$V377</f>
        <v>2950</v>
      </c>
      <c r="AM377" s="9" t="n">
        <f aca="false">AA377*$V377</f>
        <v>0</v>
      </c>
      <c r="AN377" s="9" t="n">
        <f aca="false">AB377*$V377</f>
        <v>0</v>
      </c>
      <c r="AO377" s="9" t="n">
        <f aca="false">AC377*$V377</f>
        <v>0</v>
      </c>
      <c r="AP377" s="9" t="n">
        <f aca="false">AD377*$V377</f>
        <v>0</v>
      </c>
      <c r="AQ377" s="9" t="n">
        <f aca="false">AE377*$V377</f>
        <v>0</v>
      </c>
      <c r="AR377" s="9" t="n">
        <f aca="false">AF377*$V377</f>
        <v>0</v>
      </c>
      <c r="AS377" s="9" t="n">
        <f aca="false">AG377*$V377</f>
        <v>0</v>
      </c>
      <c r="AT377" s="9" t="n">
        <f aca="false">AH377*$V377</f>
        <v>0</v>
      </c>
      <c r="AU377" s="9" t="n">
        <f aca="false">AI377*$V377</f>
        <v>0</v>
      </c>
      <c r="AV377" s="9" t="n">
        <f aca="false">SUM(X377:AI377)/1000</f>
        <v>10</v>
      </c>
      <c r="AW377" s="9" t="n">
        <f aca="false">SUM(AJ377:AU377)</f>
        <v>2950</v>
      </c>
      <c r="AX377" s="9" t="n">
        <f aca="false">IF(D377="INR",AW377/88.24,AW377)/1000000</f>
        <v>0.00295</v>
      </c>
    </row>
    <row r="378" s="2" customFormat="true" ht="14.25" hidden="false" customHeight="false" outlineLevel="0" collapsed="false">
      <c r="A378" s="12"/>
      <c r="B378" s="16" t="n">
        <v>1</v>
      </c>
      <c r="C378" s="15"/>
      <c r="D378" s="16" t="s">
        <v>813</v>
      </c>
      <c r="E378" s="16"/>
      <c r="F378" s="16" t="s">
        <v>97</v>
      </c>
      <c r="G378" s="16" t="s">
        <v>98</v>
      </c>
      <c r="H378" s="16" t="s">
        <v>99</v>
      </c>
      <c r="I378" s="16"/>
      <c r="J378" s="16"/>
      <c r="K378" s="16"/>
      <c r="L378" s="16"/>
      <c r="M378" s="16"/>
      <c r="N378" s="16" t="s">
        <v>79</v>
      </c>
      <c r="O378" s="16" t="s">
        <v>58</v>
      </c>
      <c r="P378" s="16" t="s">
        <v>380</v>
      </c>
      <c r="Q378" s="16" t="s">
        <v>380</v>
      </c>
      <c r="R378" s="16"/>
      <c r="S378" s="16"/>
      <c r="T378" s="16" t="s">
        <v>833</v>
      </c>
      <c r="U378" s="16" t="s">
        <v>63</v>
      </c>
      <c r="V378" s="16" t="n">
        <v>0.305</v>
      </c>
      <c r="W378" s="16"/>
      <c r="X378" s="16" t="n">
        <v>1000</v>
      </c>
      <c r="Y378" s="16" t="n">
        <v>1000</v>
      </c>
      <c r="Z378" s="16" t="n">
        <v>1000</v>
      </c>
      <c r="AA378" s="16" t="n">
        <v>1000</v>
      </c>
      <c r="AB378" s="16" t="n">
        <v>1000</v>
      </c>
      <c r="AC378" s="16" t="n">
        <v>1000</v>
      </c>
      <c r="AD378" s="16" t="n">
        <v>1000</v>
      </c>
      <c r="AE378" s="26" t="n">
        <v>1000</v>
      </c>
      <c r="AF378" s="16" t="n">
        <v>1000</v>
      </c>
      <c r="AG378" s="16"/>
      <c r="AH378" s="16"/>
      <c r="AI378" s="16"/>
      <c r="AJ378" s="9" t="n">
        <f aca="false">X378*$V378</f>
        <v>305</v>
      </c>
      <c r="AK378" s="9" t="n">
        <f aca="false">Y378*$V378</f>
        <v>305</v>
      </c>
      <c r="AL378" s="9" t="n">
        <f aca="false">Z378*$V378</f>
        <v>305</v>
      </c>
      <c r="AM378" s="9" t="n">
        <f aca="false">AA378*$V378</f>
        <v>305</v>
      </c>
      <c r="AN378" s="9" t="n">
        <f aca="false">AB378*$V378</f>
        <v>305</v>
      </c>
      <c r="AO378" s="9" t="n">
        <f aca="false">AC378*$V378</f>
        <v>305</v>
      </c>
      <c r="AP378" s="9" t="n">
        <f aca="false">AD378*$V378</f>
        <v>305</v>
      </c>
      <c r="AQ378" s="9" t="n">
        <f aca="false">AE378*$V378</f>
        <v>305</v>
      </c>
      <c r="AR378" s="9" t="n">
        <f aca="false">AF378*$V378</f>
        <v>305</v>
      </c>
      <c r="AS378" s="9" t="n">
        <f aca="false">AG378*$V378</f>
        <v>0</v>
      </c>
      <c r="AT378" s="9" t="n">
        <f aca="false">AH378*$V378</f>
        <v>0</v>
      </c>
      <c r="AU378" s="9" t="n">
        <f aca="false">AI378*$V378</f>
        <v>0</v>
      </c>
      <c r="AV378" s="9" t="n">
        <f aca="false">SUM(X378:AI378)/1000</f>
        <v>9</v>
      </c>
      <c r="AW378" s="9" t="n">
        <f aca="false">SUM(AJ378:AU378)</f>
        <v>2745</v>
      </c>
      <c r="AX378" s="9" t="n">
        <f aca="false">IF(D378="INR",AW378/88.24,AW378)/1000000</f>
        <v>0.002745</v>
      </c>
    </row>
    <row r="379" s="2" customFormat="true" ht="14.25" hidden="false" customHeight="false" outlineLevel="0" collapsed="false">
      <c r="A379" s="12" t="s">
        <v>834</v>
      </c>
      <c r="B379" s="16" t="n">
        <v>5</v>
      </c>
      <c r="C379" s="15"/>
      <c r="D379" s="16" t="s">
        <v>50</v>
      </c>
      <c r="E379" s="16" t="s">
        <v>51</v>
      </c>
      <c r="F379" s="16" t="s">
        <v>52</v>
      </c>
      <c r="G379" s="16" t="s">
        <v>254</v>
      </c>
      <c r="H379" s="16" t="s">
        <v>255</v>
      </c>
      <c r="I379" s="16" t="s">
        <v>55</v>
      </c>
      <c r="J379" s="16" t="s">
        <v>256</v>
      </c>
      <c r="K379" s="16"/>
      <c r="L379" s="16" t="s">
        <v>55</v>
      </c>
      <c r="M379" s="16" t="s">
        <v>256</v>
      </c>
      <c r="N379" s="16" t="s">
        <v>67</v>
      </c>
      <c r="O379" s="16" t="s">
        <v>246</v>
      </c>
      <c r="P379" s="16" t="s">
        <v>308</v>
      </c>
      <c r="Q379" s="16" t="s">
        <v>308</v>
      </c>
      <c r="R379" s="16" t="s">
        <v>309</v>
      </c>
      <c r="S379" s="16" t="s">
        <v>264</v>
      </c>
      <c r="T379" s="16" t="s">
        <v>701</v>
      </c>
      <c r="U379" s="16" t="s">
        <v>73</v>
      </c>
      <c r="V379" s="16" t="n">
        <v>0.55</v>
      </c>
      <c r="W379" s="16" t="n">
        <v>0.48</v>
      </c>
      <c r="X379" s="16" t="n">
        <v>300000</v>
      </c>
      <c r="Y379" s="16" t="n">
        <v>300000</v>
      </c>
      <c r="Z379" s="16" t="n">
        <v>300000</v>
      </c>
      <c r="AA379" s="16" t="n">
        <v>300000</v>
      </c>
      <c r="AB379" s="16" t="n">
        <v>300000</v>
      </c>
      <c r="AC379" s="16" t="n">
        <v>300000</v>
      </c>
      <c r="AD379" s="16" t="n">
        <v>300000</v>
      </c>
      <c r="AE379" s="16" t="n">
        <v>300000</v>
      </c>
      <c r="AF379" s="16" t="n">
        <v>300000</v>
      </c>
      <c r="AG379" s="16" t="n">
        <v>300000</v>
      </c>
      <c r="AH379" s="16" t="n">
        <v>300000</v>
      </c>
      <c r="AI379" s="16" t="n">
        <v>300000</v>
      </c>
      <c r="AJ379" s="9" t="n">
        <f aca="false">X379*$V379</f>
        <v>165000</v>
      </c>
      <c r="AK379" s="9" t="n">
        <f aca="false">Y379*$V379</f>
        <v>165000</v>
      </c>
      <c r="AL379" s="9" t="n">
        <f aca="false">Z379*$V379</f>
        <v>165000</v>
      </c>
      <c r="AM379" s="9" t="n">
        <f aca="false">AA379*$V379</f>
        <v>165000</v>
      </c>
      <c r="AN379" s="9" t="n">
        <f aca="false">AB379*$V379</f>
        <v>165000</v>
      </c>
      <c r="AO379" s="9" t="n">
        <f aca="false">AC379*$V379</f>
        <v>165000</v>
      </c>
      <c r="AP379" s="9" t="n">
        <f aca="false">AD379*$V379</f>
        <v>165000</v>
      </c>
      <c r="AQ379" s="9" t="n">
        <f aca="false">AE379*$V379</f>
        <v>165000</v>
      </c>
      <c r="AR379" s="9" t="n">
        <f aca="false">AF379*$V379</f>
        <v>165000</v>
      </c>
      <c r="AS379" s="9" t="n">
        <f aca="false">AG379*$V379</f>
        <v>165000</v>
      </c>
      <c r="AT379" s="9" t="n">
        <f aca="false">AH379*$V379</f>
        <v>165000</v>
      </c>
      <c r="AU379" s="9" t="n">
        <f aca="false">AI379*$V379</f>
        <v>165000</v>
      </c>
      <c r="AV379" s="9" t="n">
        <f aca="false">SUM(X379:AI379)/1000</f>
        <v>3600</v>
      </c>
      <c r="AW379" s="9" t="n">
        <f aca="false">SUM(AJ379:AU379)</f>
        <v>1980000</v>
      </c>
      <c r="AX379" s="9" t="n">
        <f aca="false">IF(D379="INR",AW379/88.24,AW379)/1000000</f>
        <v>0.0224388032638259</v>
      </c>
    </row>
    <row r="380" s="2" customFormat="true" ht="14.25" hidden="false" customHeight="false" outlineLevel="0" collapsed="false">
      <c r="A380" s="12" t="s">
        <v>835</v>
      </c>
      <c r="B380" s="16" t="n">
        <v>5</v>
      </c>
      <c r="C380" s="15"/>
      <c r="D380" s="16" t="s">
        <v>50</v>
      </c>
      <c r="E380" s="16" t="s">
        <v>51</v>
      </c>
      <c r="F380" s="16" t="s">
        <v>267</v>
      </c>
      <c r="G380" s="16" t="s">
        <v>836</v>
      </c>
      <c r="H380" s="16" t="s">
        <v>837</v>
      </c>
      <c r="I380" s="16" t="s">
        <v>298</v>
      </c>
      <c r="J380" s="16" t="s">
        <v>664</v>
      </c>
      <c r="K380" s="16"/>
      <c r="L380" s="16" t="s">
        <v>298</v>
      </c>
      <c r="M380" s="16" t="s">
        <v>664</v>
      </c>
      <c r="N380" s="16" t="s">
        <v>271</v>
      </c>
      <c r="O380" s="16" t="s">
        <v>94</v>
      </c>
      <c r="P380" s="16" t="s">
        <v>59</v>
      </c>
      <c r="Q380" s="16" t="s">
        <v>59</v>
      </c>
      <c r="R380" s="16" t="s">
        <v>60</v>
      </c>
      <c r="S380" s="16" t="s">
        <v>61</v>
      </c>
      <c r="T380" s="16" t="s">
        <v>838</v>
      </c>
      <c r="U380" s="16" t="s">
        <v>63</v>
      </c>
      <c r="V380" s="16" t="n">
        <v>655</v>
      </c>
      <c r="W380" s="16" t="n">
        <v>5.2</v>
      </c>
      <c r="X380" s="22"/>
      <c r="Y380" s="22"/>
      <c r="Z380" s="22" t="n">
        <v>250</v>
      </c>
      <c r="AA380" s="22"/>
      <c r="AB380" s="22"/>
      <c r="AC380" s="22" t="n">
        <v>250</v>
      </c>
      <c r="AD380" s="22"/>
      <c r="AE380" s="22"/>
      <c r="AF380" s="22"/>
      <c r="AG380" s="22" t="n">
        <v>250</v>
      </c>
      <c r="AH380" s="22"/>
      <c r="AI380" s="22"/>
      <c r="AJ380" s="9" t="n">
        <f aca="false">X380*$V380</f>
        <v>0</v>
      </c>
      <c r="AK380" s="9" t="n">
        <f aca="false">Y380*$V380</f>
        <v>0</v>
      </c>
      <c r="AL380" s="9" t="n">
        <f aca="false">Z380*$V380</f>
        <v>163750</v>
      </c>
      <c r="AM380" s="9" t="n">
        <f aca="false">AA380*$V380</f>
        <v>0</v>
      </c>
      <c r="AN380" s="9" t="n">
        <f aca="false">AB380*$V380</f>
        <v>0</v>
      </c>
      <c r="AO380" s="9" t="n">
        <f aca="false">AC380*$V380</f>
        <v>163750</v>
      </c>
      <c r="AP380" s="9" t="n">
        <f aca="false">AD380*$V380</f>
        <v>0</v>
      </c>
      <c r="AQ380" s="9" t="n">
        <f aca="false">AE380*$V380</f>
        <v>0</v>
      </c>
      <c r="AR380" s="9" t="n">
        <f aca="false">AF380*$V380</f>
        <v>0</v>
      </c>
      <c r="AS380" s="9" t="n">
        <f aca="false">AG380*$V380</f>
        <v>163750</v>
      </c>
      <c r="AT380" s="9" t="n">
        <f aca="false">AH380*$V380</f>
        <v>0</v>
      </c>
      <c r="AU380" s="9" t="n">
        <f aca="false">AI380*$V380</f>
        <v>0</v>
      </c>
      <c r="AV380" s="9" t="n">
        <f aca="false">SUM(X380:AI380)/1000</f>
        <v>0.75</v>
      </c>
      <c r="AW380" s="9" t="n">
        <f aca="false">SUM(AJ380:AU380)</f>
        <v>491250</v>
      </c>
      <c r="AX380" s="9" t="n">
        <f aca="false">IF(D380="INR",AW380/88.24,AW380)/1000000</f>
        <v>0.00556720308250227</v>
      </c>
    </row>
    <row r="381" s="2" customFormat="true" ht="14.25" hidden="false" customHeight="false" outlineLevel="0" collapsed="false">
      <c r="A381" s="12" t="s">
        <v>839</v>
      </c>
      <c r="B381" s="16" t="n">
        <v>5</v>
      </c>
      <c r="C381" s="15"/>
      <c r="D381" s="16" t="s">
        <v>50</v>
      </c>
      <c r="E381" s="16" t="s">
        <v>51</v>
      </c>
      <c r="F381" s="16" t="s">
        <v>404</v>
      </c>
      <c r="G381" s="16" t="s">
        <v>405</v>
      </c>
      <c r="H381" s="16" t="s">
        <v>406</v>
      </c>
      <c r="I381" s="16" t="s">
        <v>105</v>
      </c>
      <c r="J381" s="16" t="s">
        <v>368</v>
      </c>
      <c r="K381" s="16"/>
      <c r="L381" s="16" t="s">
        <v>105</v>
      </c>
      <c r="M381" s="16" t="s">
        <v>368</v>
      </c>
      <c r="N381" s="16" t="s">
        <v>271</v>
      </c>
      <c r="O381" s="16" t="s">
        <v>94</v>
      </c>
      <c r="P381" s="16" t="s">
        <v>110</v>
      </c>
      <c r="Q381" s="16" t="s">
        <v>110</v>
      </c>
      <c r="R381" s="16" t="s">
        <v>137</v>
      </c>
      <c r="S381" s="16" t="s">
        <v>272</v>
      </c>
      <c r="T381" s="16" t="s">
        <v>840</v>
      </c>
      <c r="U381" s="16" t="s">
        <v>73</v>
      </c>
      <c r="V381" s="16" t="n">
        <v>172</v>
      </c>
      <c r="W381" s="16" t="n">
        <v>0.993</v>
      </c>
      <c r="X381" s="16"/>
      <c r="Y381" s="16"/>
      <c r="Z381" s="16" t="n">
        <v>952</v>
      </c>
      <c r="AA381" s="16"/>
      <c r="AB381" s="16"/>
      <c r="AC381" s="16" t="n">
        <v>952</v>
      </c>
      <c r="AD381" s="16"/>
      <c r="AE381" s="16"/>
      <c r="AF381" s="16" t="n">
        <v>952</v>
      </c>
      <c r="AG381" s="16"/>
      <c r="AH381" s="16" t="n">
        <v>952</v>
      </c>
      <c r="AI381" s="16"/>
      <c r="AJ381" s="9" t="n">
        <f aca="false">X381*$V381</f>
        <v>0</v>
      </c>
      <c r="AK381" s="9" t="n">
        <f aca="false">Y381*$V381</f>
        <v>0</v>
      </c>
      <c r="AL381" s="9" t="n">
        <f aca="false">Z381*$V381</f>
        <v>163744</v>
      </c>
      <c r="AM381" s="9" t="n">
        <f aca="false">AA381*$V381</f>
        <v>0</v>
      </c>
      <c r="AN381" s="9" t="n">
        <f aca="false">AB381*$V381</f>
        <v>0</v>
      </c>
      <c r="AO381" s="9" t="n">
        <f aca="false">AC381*$V381</f>
        <v>163744</v>
      </c>
      <c r="AP381" s="9" t="n">
        <f aca="false">AD381*$V381</f>
        <v>0</v>
      </c>
      <c r="AQ381" s="9" t="n">
        <f aca="false">AE381*$V381</f>
        <v>0</v>
      </c>
      <c r="AR381" s="9" t="n">
        <f aca="false">AF381*$V381</f>
        <v>163744</v>
      </c>
      <c r="AS381" s="9" t="n">
        <f aca="false">AG381*$V381</f>
        <v>0</v>
      </c>
      <c r="AT381" s="9" t="n">
        <f aca="false">AH381*$V381</f>
        <v>163744</v>
      </c>
      <c r="AU381" s="9" t="n">
        <f aca="false">AI381*$V381</f>
        <v>0</v>
      </c>
      <c r="AV381" s="9" t="n">
        <f aca="false">SUM(X381:AI381)/1000</f>
        <v>3.808</v>
      </c>
      <c r="AW381" s="9" t="n">
        <f aca="false">SUM(AJ381:AU381)</f>
        <v>654976</v>
      </c>
      <c r="AX381" s="9" t="n">
        <f aca="false">IF(D381="INR",AW381/88.24,AW381)/1000000</f>
        <v>0.00742266545784225</v>
      </c>
    </row>
    <row r="382" s="2" customFormat="true" ht="14.25" hidden="false" customHeight="false" outlineLevel="0" collapsed="false">
      <c r="A382" s="12" t="s">
        <v>841</v>
      </c>
      <c r="B382" s="16" t="n">
        <v>5</v>
      </c>
      <c r="C382" s="15"/>
      <c r="D382" s="16" t="s">
        <v>50</v>
      </c>
      <c r="E382" s="16" t="s">
        <v>51</v>
      </c>
      <c r="F382" s="16" t="s">
        <v>52</v>
      </c>
      <c r="G382" s="16" t="s">
        <v>638</v>
      </c>
      <c r="H382" s="16" t="s">
        <v>639</v>
      </c>
      <c r="I382" s="16" t="s">
        <v>77</v>
      </c>
      <c r="J382" s="16" t="s">
        <v>496</v>
      </c>
      <c r="K382" s="16"/>
      <c r="L382" s="16" t="s">
        <v>77</v>
      </c>
      <c r="M382" s="16" t="s">
        <v>496</v>
      </c>
      <c r="N382" s="16" t="s">
        <v>67</v>
      </c>
      <c r="O382" s="16" t="s">
        <v>107</v>
      </c>
      <c r="P382" s="16" t="s">
        <v>110</v>
      </c>
      <c r="Q382" s="16" t="s">
        <v>110</v>
      </c>
      <c r="R382" s="16" t="s">
        <v>137</v>
      </c>
      <c r="S382" s="16" t="s">
        <v>272</v>
      </c>
      <c r="T382" s="16" t="s">
        <v>842</v>
      </c>
      <c r="U382" s="16" t="s">
        <v>73</v>
      </c>
      <c r="V382" s="16" t="n">
        <v>65</v>
      </c>
      <c r="W382" s="16" t="n">
        <v>0.6</v>
      </c>
      <c r="X382" s="16" t="n">
        <v>2500</v>
      </c>
      <c r="Y382" s="16" t="n">
        <v>2500</v>
      </c>
      <c r="Z382" s="16" t="n">
        <v>2500</v>
      </c>
      <c r="AA382" s="16" t="n">
        <v>2500</v>
      </c>
      <c r="AB382" s="16" t="n">
        <v>2500</v>
      </c>
      <c r="AC382" s="16" t="n">
        <v>2500</v>
      </c>
      <c r="AD382" s="16" t="n">
        <v>2500</v>
      </c>
      <c r="AE382" s="16" t="n">
        <v>2500</v>
      </c>
      <c r="AF382" s="16" t="n">
        <v>2500</v>
      </c>
      <c r="AG382" s="16" t="n">
        <v>2500</v>
      </c>
      <c r="AH382" s="16" t="n">
        <v>2500</v>
      </c>
      <c r="AI382" s="16" t="n">
        <v>2500</v>
      </c>
      <c r="AJ382" s="9" t="n">
        <f aca="false">X382*$V382</f>
        <v>162500</v>
      </c>
      <c r="AK382" s="9" t="n">
        <f aca="false">Y382*$V382</f>
        <v>162500</v>
      </c>
      <c r="AL382" s="9" t="n">
        <f aca="false">Z382*$V382</f>
        <v>162500</v>
      </c>
      <c r="AM382" s="9" t="n">
        <f aca="false">AA382*$V382</f>
        <v>162500</v>
      </c>
      <c r="AN382" s="9" t="n">
        <f aca="false">AB382*$V382</f>
        <v>162500</v>
      </c>
      <c r="AO382" s="9" t="n">
        <f aca="false">AC382*$V382</f>
        <v>162500</v>
      </c>
      <c r="AP382" s="9" t="n">
        <f aca="false">AD382*$V382</f>
        <v>162500</v>
      </c>
      <c r="AQ382" s="9" t="n">
        <f aca="false">AE382*$V382</f>
        <v>162500</v>
      </c>
      <c r="AR382" s="9" t="n">
        <f aca="false">AF382*$V382</f>
        <v>162500</v>
      </c>
      <c r="AS382" s="9" t="n">
        <f aca="false">AG382*$V382</f>
        <v>162500</v>
      </c>
      <c r="AT382" s="9" t="n">
        <f aca="false">AH382*$V382</f>
        <v>162500</v>
      </c>
      <c r="AU382" s="9" t="n">
        <f aca="false">AI382*$V382</f>
        <v>162500</v>
      </c>
      <c r="AV382" s="9" t="n">
        <f aca="false">SUM(X382:AI382)/1000</f>
        <v>30</v>
      </c>
      <c r="AW382" s="9" t="n">
        <f aca="false">SUM(AJ382:AU382)</f>
        <v>1950000</v>
      </c>
      <c r="AX382" s="9" t="n">
        <f aca="false">IF(D382="INR",AW382/88.24,AW382)/1000000</f>
        <v>0.0220988213961922</v>
      </c>
    </row>
    <row r="383" s="2" customFormat="true" ht="14.25" hidden="false" customHeight="false" outlineLevel="0" collapsed="false">
      <c r="A383" s="12" t="s">
        <v>843</v>
      </c>
      <c r="B383" s="16" t="n">
        <v>5</v>
      </c>
      <c r="C383" s="15"/>
      <c r="D383" s="16" t="s">
        <v>50</v>
      </c>
      <c r="E383" s="16" t="s">
        <v>51</v>
      </c>
      <c r="F383" s="16" t="s">
        <v>52</v>
      </c>
      <c r="G383" s="16" t="s">
        <v>274</v>
      </c>
      <c r="H383" s="16" t="s">
        <v>275</v>
      </c>
      <c r="I383" s="16" t="s">
        <v>260</v>
      </c>
      <c r="J383" s="16" t="s">
        <v>276</v>
      </c>
      <c r="K383" s="16"/>
      <c r="L383" s="16" t="s">
        <v>260</v>
      </c>
      <c r="M383" s="16" t="s">
        <v>276</v>
      </c>
      <c r="N383" s="16" t="s">
        <v>79</v>
      </c>
      <c r="O383" s="16" t="s">
        <v>68</v>
      </c>
      <c r="P383" s="16" t="s">
        <v>80</v>
      </c>
      <c r="Q383" s="16" t="s">
        <v>80</v>
      </c>
      <c r="R383" s="16" t="s">
        <v>81</v>
      </c>
      <c r="S383" s="16" t="s">
        <v>82</v>
      </c>
      <c r="T383" s="16" t="s">
        <v>844</v>
      </c>
      <c r="U383" s="16" t="s">
        <v>73</v>
      </c>
      <c r="V383" s="16" t="n">
        <v>32.38</v>
      </c>
      <c r="W383" s="16" t="n">
        <v>27.6722</v>
      </c>
      <c r="X383" s="16" t="n">
        <v>5000</v>
      </c>
      <c r="Y383" s="16" t="n">
        <v>5000</v>
      </c>
      <c r="Z383" s="16" t="n">
        <v>5000</v>
      </c>
      <c r="AA383" s="16"/>
      <c r="AB383" s="16"/>
      <c r="AC383" s="16"/>
      <c r="AD383" s="16"/>
      <c r="AE383" s="16"/>
      <c r="AF383" s="16" t="n">
        <v>5000</v>
      </c>
      <c r="AG383" s="16" t="n">
        <v>5000</v>
      </c>
      <c r="AH383" s="16" t="n">
        <v>5000</v>
      </c>
      <c r="AI383" s="16" t="n">
        <v>5000</v>
      </c>
      <c r="AJ383" s="9" t="n">
        <f aca="false">X383*$V383</f>
        <v>161900</v>
      </c>
      <c r="AK383" s="9" t="n">
        <f aca="false">Y383*$V383</f>
        <v>161900</v>
      </c>
      <c r="AL383" s="9" t="n">
        <f aca="false">Z383*$V383</f>
        <v>161900</v>
      </c>
      <c r="AM383" s="9" t="n">
        <f aca="false">AA383*$V383</f>
        <v>0</v>
      </c>
      <c r="AN383" s="9" t="n">
        <f aca="false">AB383*$V383</f>
        <v>0</v>
      </c>
      <c r="AO383" s="9" t="n">
        <f aca="false">AC383*$V383</f>
        <v>0</v>
      </c>
      <c r="AP383" s="9" t="n">
        <f aca="false">AD383*$V383</f>
        <v>0</v>
      </c>
      <c r="AQ383" s="9" t="n">
        <f aca="false">AE383*$V383</f>
        <v>0</v>
      </c>
      <c r="AR383" s="9" t="n">
        <f aca="false">AF383*$V383</f>
        <v>161900</v>
      </c>
      <c r="AS383" s="9" t="n">
        <f aca="false">AG383*$V383</f>
        <v>161900</v>
      </c>
      <c r="AT383" s="9" t="n">
        <f aca="false">AH383*$V383</f>
        <v>161900</v>
      </c>
      <c r="AU383" s="9" t="n">
        <f aca="false">AI383*$V383</f>
        <v>161900</v>
      </c>
      <c r="AV383" s="9" t="n">
        <f aca="false">SUM(X383:AI383)/1000</f>
        <v>35</v>
      </c>
      <c r="AW383" s="9" t="n">
        <f aca="false">SUM(AJ383:AU383)</f>
        <v>1133300</v>
      </c>
      <c r="AX383" s="9" t="n">
        <f aca="false">IF(D383="INR",AW383/88.24,AW383)/1000000</f>
        <v>0.0128433816863101</v>
      </c>
    </row>
    <row r="384" s="2" customFormat="true" ht="14.25" hidden="false" customHeight="false" outlineLevel="0" collapsed="false">
      <c r="A384" s="12" t="s">
        <v>845</v>
      </c>
      <c r="B384" s="16" t="n">
        <v>5</v>
      </c>
      <c r="C384" s="15"/>
      <c r="D384" s="16" t="s">
        <v>50</v>
      </c>
      <c r="E384" s="16" t="s">
        <v>51</v>
      </c>
      <c r="F384" s="16" t="s">
        <v>267</v>
      </c>
      <c r="G384" s="16" t="s">
        <v>846</v>
      </c>
      <c r="H384" s="16" t="s">
        <v>847</v>
      </c>
      <c r="I384" s="16" t="s">
        <v>848</v>
      </c>
      <c r="J384" s="16" t="s">
        <v>304</v>
      </c>
      <c r="K384" s="16"/>
      <c r="L384" s="16" t="s">
        <v>848</v>
      </c>
      <c r="M384" s="16" t="s">
        <v>304</v>
      </c>
      <c r="N384" s="16" t="s">
        <v>271</v>
      </c>
      <c r="O384" s="16" t="s">
        <v>94</v>
      </c>
      <c r="P384" s="16" t="s">
        <v>110</v>
      </c>
      <c r="Q384" s="16" t="s">
        <v>110</v>
      </c>
      <c r="R384" s="16" t="s">
        <v>137</v>
      </c>
      <c r="S384" s="16" t="s">
        <v>272</v>
      </c>
      <c r="T384" s="16" t="s">
        <v>849</v>
      </c>
      <c r="U384" s="16" t="s">
        <v>73</v>
      </c>
      <c r="V384" s="16" t="n">
        <v>32</v>
      </c>
      <c r="W384" s="16" t="n">
        <v>0</v>
      </c>
      <c r="X384" s="16" t="n">
        <v>5000</v>
      </c>
      <c r="Y384" s="16" t="n">
        <v>5000</v>
      </c>
      <c r="Z384" s="16" t="n">
        <v>5000</v>
      </c>
      <c r="AA384" s="16" t="n">
        <v>5000</v>
      </c>
      <c r="AB384" s="16" t="n">
        <v>5000</v>
      </c>
      <c r="AC384" s="16" t="n">
        <v>5000</v>
      </c>
      <c r="AD384" s="16" t="n">
        <v>5000</v>
      </c>
      <c r="AE384" s="16" t="n">
        <v>5000</v>
      </c>
      <c r="AF384" s="16" t="n">
        <v>5000</v>
      </c>
      <c r="AG384" s="16" t="n">
        <v>5000</v>
      </c>
      <c r="AH384" s="16" t="n">
        <v>5000</v>
      </c>
      <c r="AI384" s="16" t="n">
        <v>5000</v>
      </c>
      <c r="AJ384" s="9" t="n">
        <f aca="false">X384*$V384</f>
        <v>160000</v>
      </c>
      <c r="AK384" s="9" t="n">
        <f aca="false">Y384*$V384</f>
        <v>160000</v>
      </c>
      <c r="AL384" s="9" t="n">
        <f aca="false">Z384*$V384</f>
        <v>160000</v>
      </c>
      <c r="AM384" s="9" t="n">
        <f aca="false">AA384*$V384</f>
        <v>160000</v>
      </c>
      <c r="AN384" s="9" t="n">
        <f aca="false">AB384*$V384</f>
        <v>160000</v>
      </c>
      <c r="AO384" s="9" t="n">
        <f aca="false">AC384*$V384</f>
        <v>160000</v>
      </c>
      <c r="AP384" s="9" t="n">
        <f aca="false">AD384*$V384</f>
        <v>160000</v>
      </c>
      <c r="AQ384" s="9" t="n">
        <f aca="false">AE384*$V384</f>
        <v>160000</v>
      </c>
      <c r="AR384" s="9" t="n">
        <f aca="false">AF384*$V384</f>
        <v>160000</v>
      </c>
      <c r="AS384" s="9" t="n">
        <f aca="false">AG384*$V384</f>
        <v>160000</v>
      </c>
      <c r="AT384" s="9" t="n">
        <f aca="false">AH384*$V384</f>
        <v>160000</v>
      </c>
      <c r="AU384" s="9" t="n">
        <f aca="false">AI384*$V384</f>
        <v>160000</v>
      </c>
      <c r="AV384" s="9" t="n">
        <f aca="false">SUM(X384:AI384)/1000</f>
        <v>60</v>
      </c>
      <c r="AW384" s="9" t="n">
        <f aca="false">SUM(AJ384:AU384)</f>
        <v>1920000</v>
      </c>
      <c r="AX384" s="9" t="n">
        <f aca="false">IF(D384="INR",AW384/88.24,AW384)/1000000</f>
        <v>0.0217588395285585</v>
      </c>
    </row>
    <row r="385" s="2" customFormat="true" ht="14.25" hidden="false" customHeight="false" outlineLevel="0" collapsed="false">
      <c r="A385" s="12"/>
      <c r="B385" s="16" t="n">
        <v>1</v>
      </c>
      <c r="C385" s="15"/>
      <c r="D385" s="16" t="s">
        <v>102</v>
      </c>
      <c r="E385" s="16" t="s">
        <v>51</v>
      </c>
      <c r="F385" s="16" t="s">
        <v>97</v>
      </c>
      <c r="G385" s="16"/>
      <c r="H385" s="16" t="s">
        <v>850</v>
      </c>
      <c r="I385" s="16"/>
      <c r="J385" s="16"/>
      <c r="K385" s="16"/>
      <c r="L385" s="16"/>
      <c r="M385" s="16"/>
      <c r="N385" s="16" t="s">
        <v>79</v>
      </c>
      <c r="O385" s="16"/>
      <c r="P385" s="16"/>
      <c r="Q385" s="9" t="s">
        <v>851</v>
      </c>
      <c r="R385" s="16"/>
      <c r="S385" s="16"/>
      <c r="T385" s="16" t="s">
        <v>852</v>
      </c>
      <c r="U385" s="16" t="s">
        <v>63</v>
      </c>
      <c r="V385" s="16" t="n">
        <v>0.44</v>
      </c>
      <c r="W385" s="16"/>
      <c r="X385" s="22"/>
      <c r="Y385" s="16"/>
      <c r="Z385" s="16" t="n">
        <v>1000</v>
      </c>
      <c r="AA385" s="16" t="n">
        <v>1000</v>
      </c>
      <c r="AB385" s="16" t="n">
        <v>1000</v>
      </c>
      <c r="AC385" s="16"/>
      <c r="AD385" s="16" t="n">
        <v>1000</v>
      </c>
      <c r="AE385" s="16" t="n">
        <v>1000</v>
      </c>
      <c r="AF385" s="16"/>
      <c r="AG385" s="16" t="n">
        <v>1000</v>
      </c>
      <c r="AH385" s="16"/>
      <c r="AI385" s="16" t="n">
        <v>1000</v>
      </c>
      <c r="AJ385" s="9" t="n">
        <f aca="false">X385*$V385</f>
        <v>0</v>
      </c>
      <c r="AK385" s="9" t="n">
        <f aca="false">Y385*$V385</f>
        <v>0</v>
      </c>
      <c r="AL385" s="9" t="n">
        <f aca="false">Z385*$V385</f>
        <v>440</v>
      </c>
      <c r="AM385" s="9" t="n">
        <f aca="false">AA385*$V385</f>
        <v>440</v>
      </c>
      <c r="AN385" s="9" t="n">
        <f aca="false">AB385*$V385</f>
        <v>440</v>
      </c>
      <c r="AO385" s="9" t="n">
        <f aca="false">AC385*$V385</f>
        <v>0</v>
      </c>
      <c r="AP385" s="9" t="n">
        <f aca="false">AD385*$V385</f>
        <v>440</v>
      </c>
      <c r="AQ385" s="9" t="n">
        <f aca="false">AE385*$V385</f>
        <v>440</v>
      </c>
      <c r="AR385" s="9" t="n">
        <f aca="false">AF385*$V385</f>
        <v>0</v>
      </c>
      <c r="AS385" s="9" t="n">
        <f aca="false">AG385*$V385</f>
        <v>440</v>
      </c>
      <c r="AT385" s="9" t="n">
        <f aca="false">AH385*$V385</f>
        <v>0</v>
      </c>
      <c r="AU385" s="9" t="n">
        <f aca="false">AI385*$V385</f>
        <v>440</v>
      </c>
      <c r="AV385" s="9" t="n">
        <f aca="false">SUM(X385:AI385)/1000</f>
        <v>7</v>
      </c>
      <c r="AW385" s="9" t="n">
        <f aca="false">SUM(AJ385:AU385)</f>
        <v>3080</v>
      </c>
      <c r="AX385" s="9" t="n">
        <f aca="false">IF(D385="INR",AW385/88.24,AW385)/1000000</f>
        <v>0.00308</v>
      </c>
    </row>
    <row r="386" s="2" customFormat="true" ht="14.25" hidden="false" customHeight="false" outlineLevel="0" collapsed="false">
      <c r="A386" s="35"/>
      <c r="B386" s="9" t="n">
        <v>1</v>
      </c>
      <c r="C386" s="15"/>
      <c r="D386" s="16" t="s">
        <v>102</v>
      </c>
      <c r="E386" s="16" t="s">
        <v>51</v>
      </c>
      <c r="F386" s="16" t="s">
        <v>97</v>
      </c>
      <c r="G386" s="16"/>
      <c r="H386" s="9" t="s">
        <v>850</v>
      </c>
      <c r="I386" s="16"/>
      <c r="J386" s="16"/>
      <c r="K386" s="9"/>
      <c r="L386" s="16"/>
      <c r="M386" s="16"/>
      <c r="N386" s="16" t="s">
        <v>79</v>
      </c>
      <c r="O386" s="16"/>
      <c r="P386" s="9"/>
      <c r="Q386" s="9" t="s">
        <v>853</v>
      </c>
      <c r="R386" s="9"/>
      <c r="S386" s="9"/>
      <c r="T386" s="9" t="s">
        <v>854</v>
      </c>
      <c r="U386" s="16" t="s">
        <v>63</v>
      </c>
      <c r="V386" s="36" t="n">
        <v>38.18</v>
      </c>
      <c r="W386" s="9"/>
      <c r="X386" s="22"/>
      <c r="Y386" s="9"/>
      <c r="Z386" s="9"/>
      <c r="AA386" s="9"/>
      <c r="AB386" s="9" t="n">
        <v>1000</v>
      </c>
      <c r="AC386" s="9"/>
      <c r="AD386" s="23" t="n">
        <v>1000</v>
      </c>
      <c r="AE386" s="9"/>
      <c r="AF386" s="9"/>
      <c r="AG386" s="9" t="n">
        <v>1000</v>
      </c>
      <c r="AH386" s="9"/>
      <c r="AI386" s="9"/>
      <c r="AJ386" s="9" t="n">
        <f aca="false">X386*$V386</f>
        <v>0</v>
      </c>
      <c r="AK386" s="9" t="n">
        <f aca="false">Y386*$V386</f>
        <v>0</v>
      </c>
      <c r="AL386" s="9" t="n">
        <f aca="false">Z386*$V386</f>
        <v>0</v>
      </c>
      <c r="AM386" s="9" t="n">
        <f aca="false">AA386*$V386</f>
        <v>0</v>
      </c>
      <c r="AN386" s="9" t="n">
        <f aca="false">AB386*$V386</f>
        <v>38180</v>
      </c>
      <c r="AO386" s="9" t="n">
        <f aca="false">AC386*$V386</f>
        <v>0</v>
      </c>
      <c r="AP386" s="9" t="n">
        <f aca="false">AD386*$V386</f>
        <v>38180</v>
      </c>
      <c r="AQ386" s="9" t="n">
        <f aca="false">AE386*$V386</f>
        <v>0</v>
      </c>
      <c r="AR386" s="9" t="n">
        <f aca="false">AF386*$V386</f>
        <v>0</v>
      </c>
      <c r="AS386" s="9" t="n">
        <f aca="false">AG386*$V386</f>
        <v>38180</v>
      </c>
      <c r="AT386" s="9" t="n">
        <f aca="false">AH386*$V386</f>
        <v>0</v>
      </c>
      <c r="AU386" s="9" t="n">
        <f aca="false">AI386*$V386</f>
        <v>0</v>
      </c>
      <c r="AV386" s="9" t="n">
        <f aca="false">SUM(X386:AI386)/1000</f>
        <v>3</v>
      </c>
      <c r="AW386" s="9" t="n">
        <f aca="false">SUM(AJ386:AU386)</f>
        <v>114540</v>
      </c>
      <c r="AX386" s="9" t="n">
        <f aca="false">IF(D386="INR",AW386/88.24,AW386)/1000000</f>
        <v>0.11454</v>
      </c>
    </row>
    <row r="387" s="2" customFormat="true" ht="14.25" hidden="false" customHeight="false" outlineLevel="0" collapsed="false">
      <c r="A387" s="12" t="s">
        <v>855</v>
      </c>
      <c r="B387" s="16"/>
      <c r="C387" s="15"/>
      <c r="D387" s="16" t="s">
        <v>50</v>
      </c>
      <c r="E387" s="16" t="s">
        <v>51</v>
      </c>
      <c r="F387" s="16" t="s">
        <v>52</v>
      </c>
      <c r="G387" s="16" t="s">
        <v>258</v>
      </c>
      <c r="H387" s="16" t="s">
        <v>259</v>
      </c>
      <c r="I387" s="16" t="s">
        <v>260</v>
      </c>
      <c r="J387" s="16" t="s">
        <v>261</v>
      </c>
      <c r="K387" s="16"/>
      <c r="L387" s="16" t="s">
        <v>260</v>
      </c>
      <c r="M387" s="16" t="s">
        <v>261</v>
      </c>
      <c r="N387" s="16" t="s">
        <v>67</v>
      </c>
      <c r="O387" s="16" t="s">
        <v>107</v>
      </c>
      <c r="P387" s="16" t="s">
        <v>80</v>
      </c>
      <c r="Q387" s="16" t="s">
        <v>80</v>
      </c>
      <c r="R387" s="16" t="s">
        <v>81</v>
      </c>
      <c r="S387" s="16" t="s">
        <v>82</v>
      </c>
      <c r="T387" s="16" t="s">
        <v>856</v>
      </c>
      <c r="U387" s="16" t="s">
        <v>63</v>
      </c>
      <c r="V387" s="16" t="n">
        <v>3.17</v>
      </c>
      <c r="W387" s="16" t="n">
        <v>0</v>
      </c>
      <c r="X387" s="16" t="n">
        <v>50000</v>
      </c>
      <c r="Y387" s="16" t="n">
        <v>50000</v>
      </c>
      <c r="Z387" s="16" t="n">
        <v>50000</v>
      </c>
      <c r="AA387" s="16" t="n">
        <v>50000</v>
      </c>
      <c r="AB387" s="16" t="n">
        <v>50000</v>
      </c>
      <c r="AC387" s="16" t="n">
        <v>50000</v>
      </c>
      <c r="AD387" s="16" t="n">
        <v>50000</v>
      </c>
      <c r="AE387" s="16" t="n">
        <v>50000</v>
      </c>
      <c r="AF387" s="16" t="n">
        <v>50000</v>
      </c>
      <c r="AG387" s="16" t="n">
        <v>50000</v>
      </c>
      <c r="AH387" s="16" t="n">
        <v>50000</v>
      </c>
      <c r="AI387" s="16" t="n">
        <v>50000</v>
      </c>
      <c r="AJ387" s="9" t="n">
        <f aca="false">X387*$V387</f>
        <v>158500</v>
      </c>
      <c r="AK387" s="9" t="n">
        <f aca="false">Y387*$V387</f>
        <v>158500</v>
      </c>
      <c r="AL387" s="9" t="n">
        <f aca="false">Z387*$V387</f>
        <v>158500</v>
      </c>
      <c r="AM387" s="9" t="n">
        <f aca="false">AA387*$V387</f>
        <v>158500</v>
      </c>
      <c r="AN387" s="9" t="n">
        <f aca="false">AB387*$V387</f>
        <v>158500</v>
      </c>
      <c r="AO387" s="9" t="n">
        <f aca="false">AC387*$V387</f>
        <v>158500</v>
      </c>
      <c r="AP387" s="9" t="n">
        <f aca="false">AD387*$V387</f>
        <v>158500</v>
      </c>
      <c r="AQ387" s="9" t="n">
        <f aca="false">AE387*$V387</f>
        <v>158500</v>
      </c>
      <c r="AR387" s="9" t="n">
        <f aca="false">AF387*$V387</f>
        <v>158500</v>
      </c>
      <c r="AS387" s="9" t="n">
        <f aca="false">AG387*$V387</f>
        <v>158500</v>
      </c>
      <c r="AT387" s="9" t="n">
        <f aca="false">AH387*$V387</f>
        <v>158500</v>
      </c>
      <c r="AU387" s="9" t="n">
        <f aca="false">AI387*$V387</f>
        <v>158500</v>
      </c>
      <c r="AV387" s="9" t="n">
        <f aca="false">SUM(X387:AI387)/1000</f>
        <v>600</v>
      </c>
      <c r="AW387" s="9" t="n">
        <f aca="false">SUM(AJ387:AU387)</f>
        <v>1902000</v>
      </c>
      <c r="AX387" s="9" t="n">
        <f aca="false">IF(D387="INR",AW387/88.24,AW387)/1000000</f>
        <v>0.0215548504079782</v>
      </c>
    </row>
    <row r="388" s="2" customFormat="true" ht="14.25" hidden="false" customHeight="false" outlineLevel="0" collapsed="false">
      <c r="A388" s="35"/>
      <c r="B388" s="13"/>
      <c r="C388" s="15"/>
      <c r="D388" s="16" t="s">
        <v>50</v>
      </c>
      <c r="E388" s="16"/>
      <c r="F388" s="16" t="s">
        <v>52</v>
      </c>
      <c r="G388" s="16" t="s">
        <v>857</v>
      </c>
      <c r="H388" s="16" t="s">
        <v>858</v>
      </c>
      <c r="I388" s="16"/>
      <c r="J388" s="16"/>
      <c r="K388" s="16"/>
      <c r="L388" s="16"/>
      <c r="M388" s="16"/>
      <c r="N388" s="16" t="s">
        <v>79</v>
      </c>
      <c r="O388" s="16" t="s">
        <v>294</v>
      </c>
      <c r="P388" s="16"/>
      <c r="Q388" s="16" t="s">
        <v>859</v>
      </c>
      <c r="R388" s="16"/>
      <c r="S388" s="16"/>
      <c r="T388" s="16" t="s">
        <v>860</v>
      </c>
      <c r="U388" s="16" t="s">
        <v>63</v>
      </c>
      <c r="V388" s="16" t="n">
        <v>78</v>
      </c>
      <c r="W388" s="9"/>
      <c r="X388" s="22" t="n">
        <v>2000</v>
      </c>
      <c r="Y388" s="9" t="n">
        <v>2000</v>
      </c>
      <c r="Z388" s="9" t="n">
        <v>2000</v>
      </c>
      <c r="AA388" s="9" t="n">
        <v>2000</v>
      </c>
      <c r="AB388" s="9" t="n">
        <v>2000</v>
      </c>
      <c r="AC388" s="9" t="n">
        <v>2000</v>
      </c>
      <c r="AD388" s="9" t="n">
        <v>2000</v>
      </c>
      <c r="AE388" s="9" t="n">
        <v>2000</v>
      </c>
      <c r="AF388" s="9" t="n">
        <v>2000</v>
      </c>
      <c r="AG388" s="9" t="n">
        <v>2000</v>
      </c>
      <c r="AH388" s="9" t="n">
        <v>2000</v>
      </c>
      <c r="AI388" s="9" t="n">
        <v>2000</v>
      </c>
      <c r="AJ388" s="9" t="n">
        <f aca="false">X388*$V388</f>
        <v>156000</v>
      </c>
      <c r="AK388" s="9" t="n">
        <f aca="false">Y388*$V388</f>
        <v>156000</v>
      </c>
      <c r="AL388" s="9" t="n">
        <f aca="false">Z388*$V388</f>
        <v>156000</v>
      </c>
      <c r="AM388" s="9" t="n">
        <f aca="false">AA388*$V388</f>
        <v>156000</v>
      </c>
      <c r="AN388" s="9" t="n">
        <f aca="false">AB388*$V388</f>
        <v>156000</v>
      </c>
      <c r="AO388" s="9" t="n">
        <f aca="false">AC388*$V388</f>
        <v>156000</v>
      </c>
      <c r="AP388" s="9" t="n">
        <f aca="false">AD388*$V388</f>
        <v>156000</v>
      </c>
      <c r="AQ388" s="9" t="n">
        <f aca="false">AE388*$V388</f>
        <v>156000</v>
      </c>
      <c r="AR388" s="9" t="n">
        <f aca="false">AF388*$V388</f>
        <v>156000</v>
      </c>
      <c r="AS388" s="9" t="n">
        <f aca="false">AG388*$V388</f>
        <v>156000</v>
      </c>
      <c r="AT388" s="9" t="n">
        <f aca="false">AH388*$V388</f>
        <v>156000</v>
      </c>
      <c r="AU388" s="9" t="n">
        <f aca="false">AI388*$V388</f>
        <v>156000</v>
      </c>
      <c r="AV388" s="9" t="n">
        <f aca="false">SUM(X388:AI388)/1000</f>
        <v>24</v>
      </c>
      <c r="AW388" s="9" t="n">
        <f aca="false">SUM(AJ388:AU388)</f>
        <v>1872000</v>
      </c>
      <c r="AX388" s="9" t="n">
        <f aca="false">IF(D388="INR",AW388/88.24,AW388)/1000000</f>
        <v>0.0212148685403445</v>
      </c>
    </row>
    <row r="389" s="2" customFormat="true" ht="14.25" hidden="false" customHeight="false" outlineLevel="0" collapsed="false">
      <c r="A389" s="12" t="s">
        <v>861</v>
      </c>
      <c r="B389" s="16"/>
      <c r="C389" s="15"/>
      <c r="D389" s="16" t="s">
        <v>50</v>
      </c>
      <c r="E389" s="16" t="s">
        <v>51</v>
      </c>
      <c r="F389" s="16" t="s">
        <v>97</v>
      </c>
      <c r="G389" s="16" t="s">
        <v>764</v>
      </c>
      <c r="H389" s="16" t="s">
        <v>765</v>
      </c>
      <c r="I389" s="16" t="s">
        <v>105</v>
      </c>
      <c r="J389" s="16" t="s">
        <v>766</v>
      </c>
      <c r="K389" s="16"/>
      <c r="L389" s="16" t="s">
        <v>105</v>
      </c>
      <c r="M389" s="16" t="s">
        <v>766</v>
      </c>
      <c r="N389" s="16" t="s">
        <v>79</v>
      </c>
      <c r="O389" s="16" t="s">
        <v>58</v>
      </c>
      <c r="P389" s="9" t="s">
        <v>110</v>
      </c>
      <c r="Q389" s="16" t="s">
        <v>110</v>
      </c>
      <c r="R389" s="16" t="s">
        <v>137</v>
      </c>
      <c r="S389" s="16" t="s">
        <v>272</v>
      </c>
      <c r="T389" s="16" t="s">
        <v>862</v>
      </c>
      <c r="U389" s="16" t="s">
        <v>73</v>
      </c>
      <c r="V389" s="16" t="n">
        <v>621.86</v>
      </c>
      <c r="W389" s="16" t="n">
        <v>0</v>
      </c>
      <c r="X389" s="16"/>
      <c r="Y389" s="16"/>
      <c r="Z389" s="16" t="n">
        <v>250</v>
      </c>
      <c r="AA389" s="16" t="n">
        <v>250</v>
      </c>
      <c r="AB389" s="16" t="n">
        <v>250</v>
      </c>
      <c r="AC389" s="16" t="n">
        <v>250</v>
      </c>
      <c r="AD389" s="16" t="n">
        <v>250</v>
      </c>
      <c r="AE389" s="16" t="n">
        <v>250</v>
      </c>
      <c r="AF389" s="16"/>
      <c r="AG389" s="16"/>
      <c r="AH389" s="16"/>
      <c r="AI389" s="16"/>
      <c r="AJ389" s="9" t="n">
        <f aca="false">X389*$V389</f>
        <v>0</v>
      </c>
      <c r="AK389" s="9" t="n">
        <f aca="false">Y389*$V389</f>
        <v>0</v>
      </c>
      <c r="AL389" s="9" t="n">
        <f aca="false">Z389*$V389</f>
        <v>155465</v>
      </c>
      <c r="AM389" s="9" t="n">
        <f aca="false">AA389*$V389</f>
        <v>155465</v>
      </c>
      <c r="AN389" s="9" t="n">
        <f aca="false">AB389*$V389</f>
        <v>155465</v>
      </c>
      <c r="AO389" s="9" t="n">
        <f aca="false">AC389*$V389</f>
        <v>155465</v>
      </c>
      <c r="AP389" s="9" t="n">
        <f aca="false">AD389*$V389</f>
        <v>155465</v>
      </c>
      <c r="AQ389" s="9" t="n">
        <f aca="false">AE389*$V389</f>
        <v>155465</v>
      </c>
      <c r="AR389" s="9" t="n">
        <f aca="false">AF389*$V389</f>
        <v>0</v>
      </c>
      <c r="AS389" s="9" t="n">
        <f aca="false">AG389*$V389</f>
        <v>0</v>
      </c>
      <c r="AT389" s="9" t="n">
        <f aca="false">AH389*$V389</f>
        <v>0</v>
      </c>
      <c r="AU389" s="9" t="n">
        <f aca="false">AI389*$V389</f>
        <v>0</v>
      </c>
      <c r="AV389" s="9" t="n">
        <f aca="false">SUM(X389:AI389)/1000</f>
        <v>1.5</v>
      </c>
      <c r="AW389" s="9" t="n">
        <f aca="false">SUM(AJ389:AU389)</f>
        <v>932790</v>
      </c>
      <c r="AX389" s="9" t="n">
        <f aca="false">IF(D389="INR",AW389/88.24,AW389)/1000000</f>
        <v>0.0105710562103355</v>
      </c>
    </row>
    <row r="390" s="2" customFormat="true" ht="16.4" hidden="false" customHeight="false" outlineLevel="0" collapsed="false">
      <c r="A390" s="35" t="s">
        <v>863</v>
      </c>
      <c r="B390" s="13" t="n">
        <v>5</v>
      </c>
      <c r="C390" s="15"/>
      <c r="D390" s="16" t="s">
        <v>50</v>
      </c>
      <c r="E390" s="16" t="s">
        <v>51</v>
      </c>
      <c r="F390" s="16" t="s">
        <v>52</v>
      </c>
      <c r="G390" s="16" t="s">
        <v>506</v>
      </c>
      <c r="H390" s="16" t="s">
        <v>507</v>
      </c>
      <c r="I390" s="16" t="s">
        <v>77</v>
      </c>
      <c r="J390" s="16" t="s">
        <v>325</v>
      </c>
      <c r="K390" s="16"/>
      <c r="L390" s="16" t="s">
        <v>77</v>
      </c>
      <c r="M390" s="16" t="s">
        <v>325</v>
      </c>
      <c r="N390" s="16" t="s">
        <v>79</v>
      </c>
      <c r="O390" s="16" t="s">
        <v>68</v>
      </c>
      <c r="P390" s="16" t="s">
        <v>308</v>
      </c>
      <c r="Q390" s="16" t="s">
        <v>308</v>
      </c>
      <c r="R390" s="9" t="s">
        <v>309</v>
      </c>
      <c r="S390" s="16" t="s">
        <v>264</v>
      </c>
      <c r="T390" s="9" t="s">
        <v>864</v>
      </c>
      <c r="U390" s="16" t="s">
        <v>73</v>
      </c>
      <c r="V390" s="36" t="n">
        <v>1.03</v>
      </c>
      <c r="W390" s="9" t="n">
        <v>0.87</v>
      </c>
      <c r="X390" s="22" t="n">
        <v>150000</v>
      </c>
      <c r="Y390" s="9" t="n">
        <v>150000</v>
      </c>
      <c r="Z390" s="9" t="n">
        <v>150000</v>
      </c>
      <c r="AA390" s="9" t="n">
        <v>150000</v>
      </c>
      <c r="AB390" s="9" t="n">
        <v>150000</v>
      </c>
      <c r="AC390" s="9" t="n">
        <v>150000</v>
      </c>
      <c r="AD390" s="9" t="n">
        <v>150000</v>
      </c>
      <c r="AE390" s="9" t="n">
        <v>150000</v>
      </c>
      <c r="AF390" s="9" t="n">
        <v>150000</v>
      </c>
      <c r="AG390" s="9" t="n">
        <v>150000</v>
      </c>
      <c r="AH390" s="9" t="n">
        <v>150000</v>
      </c>
      <c r="AI390" s="9" t="n">
        <v>150000</v>
      </c>
      <c r="AJ390" s="9" t="n">
        <f aca="false">X390*$V390</f>
        <v>154500</v>
      </c>
      <c r="AK390" s="9" t="n">
        <f aca="false">Y390*$V390</f>
        <v>154500</v>
      </c>
      <c r="AL390" s="9" t="n">
        <f aca="false">Z390*$V390</f>
        <v>154500</v>
      </c>
      <c r="AM390" s="9" t="n">
        <f aca="false">AA390*$V390</f>
        <v>154500</v>
      </c>
      <c r="AN390" s="9" t="n">
        <f aca="false">AB390*$V390</f>
        <v>154500</v>
      </c>
      <c r="AO390" s="9" t="n">
        <f aca="false">AC390*$V390</f>
        <v>154500</v>
      </c>
      <c r="AP390" s="9" t="n">
        <f aca="false">AD390*$V390</f>
        <v>154500</v>
      </c>
      <c r="AQ390" s="9" t="n">
        <f aca="false">AE390*$V390</f>
        <v>154500</v>
      </c>
      <c r="AR390" s="9" t="n">
        <f aca="false">AF390*$V390</f>
        <v>154500</v>
      </c>
      <c r="AS390" s="9" t="n">
        <f aca="false">AG390*$V390</f>
        <v>154500</v>
      </c>
      <c r="AT390" s="9" t="n">
        <f aca="false">AH390*$V390</f>
        <v>154500</v>
      </c>
      <c r="AU390" s="9" t="n">
        <f aca="false">AI390*$V390</f>
        <v>154500</v>
      </c>
      <c r="AV390" s="9" t="n">
        <f aca="false">SUM(X390:AI390)/1000</f>
        <v>1800</v>
      </c>
      <c r="AW390" s="9" t="n">
        <f aca="false">SUM(AJ390:AU390)</f>
        <v>1854000</v>
      </c>
      <c r="AX390" s="9" t="n">
        <f aca="false">IF(D390="INR",AW390/88.24,AW390)/1000000</f>
        <v>0.0210108794197643</v>
      </c>
    </row>
    <row r="391" s="2" customFormat="true" ht="16.4" hidden="false" customHeight="false" outlineLevel="0" collapsed="false">
      <c r="A391" s="35" t="s">
        <v>865</v>
      </c>
      <c r="B391" s="9"/>
      <c r="C391" s="10"/>
      <c r="D391" s="9" t="s">
        <v>50</v>
      </c>
      <c r="E391" s="9" t="s">
        <v>51</v>
      </c>
      <c r="F391" s="9" t="s">
        <v>52</v>
      </c>
      <c r="G391" s="9" t="s">
        <v>53</v>
      </c>
      <c r="H391" s="9" t="s">
        <v>54</v>
      </c>
      <c r="I391" s="9" t="s">
        <v>55</v>
      </c>
      <c r="J391" s="9" t="s">
        <v>56</v>
      </c>
      <c r="K391" s="9" t="s">
        <v>54</v>
      </c>
      <c r="L391" s="9" t="s">
        <v>55</v>
      </c>
      <c r="M391" s="9" t="s">
        <v>56</v>
      </c>
      <c r="N391" s="9" t="s">
        <v>57</v>
      </c>
      <c r="O391" s="9" t="s">
        <v>58</v>
      </c>
      <c r="P391" s="9" t="s">
        <v>308</v>
      </c>
      <c r="Q391" s="9" t="s">
        <v>308</v>
      </c>
      <c r="R391" s="9" t="s">
        <v>309</v>
      </c>
      <c r="S391" s="9" t="s">
        <v>264</v>
      </c>
      <c r="T391" s="9" t="s">
        <v>394</v>
      </c>
      <c r="U391" s="9" t="s">
        <v>73</v>
      </c>
      <c r="V391" s="9" t="n">
        <v>0.75</v>
      </c>
      <c r="W391" s="9" t="n">
        <v>0.68</v>
      </c>
      <c r="X391" s="9" t="n">
        <v>200000</v>
      </c>
      <c r="Y391" s="9" t="n">
        <v>200000</v>
      </c>
      <c r="Z391" s="9" t="n">
        <v>200000</v>
      </c>
      <c r="AA391" s="9" t="n">
        <v>200000</v>
      </c>
      <c r="AB391" s="9" t="n">
        <v>200000</v>
      </c>
      <c r="AC391" s="9" t="n">
        <v>200000</v>
      </c>
      <c r="AD391" s="9" t="n">
        <v>200000</v>
      </c>
      <c r="AE391" s="9" t="n">
        <v>200000</v>
      </c>
      <c r="AF391" s="9" t="n">
        <v>200000</v>
      </c>
      <c r="AG391" s="9" t="n">
        <v>200000</v>
      </c>
      <c r="AH391" s="9" t="n">
        <v>200000</v>
      </c>
      <c r="AI391" s="9" t="n">
        <v>200000</v>
      </c>
      <c r="AJ391" s="9" t="n">
        <f aca="false">X391*$V391</f>
        <v>150000</v>
      </c>
      <c r="AK391" s="9" t="n">
        <f aca="false">Y391*$V391</f>
        <v>150000</v>
      </c>
      <c r="AL391" s="9" t="n">
        <f aca="false">Z391*$V391</f>
        <v>150000</v>
      </c>
      <c r="AM391" s="9" t="n">
        <f aca="false">AA391*$V391</f>
        <v>150000</v>
      </c>
      <c r="AN391" s="9" t="n">
        <f aca="false">AB391*$V391</f>
        <v>150000</v>
      </c>
      <c r="AO391" s="9" t="n">
        <f aca="false">AC391*$V391</f>
        <v>150000</v>
      </c>
      <c r="AP391" s="9" t="n">
        <f aca="false">AD391*$V391</f>
        <v>150000</v>
      </c>
      <c r="AQ391" s="9" t="n">
        <f aca="false">AE391*$V391</f>
        <v>150000</v>
      </c>
      <c r="AR391" s="9" t="n">
        <f aca="false">AF391*$V391</f>
        <v>150000</v>
      </c>
      <c r="AS391" s="9" t="n">
        <f aca="false">AG391*$V391</f>
        <v>150000</v>
      </c>
      <c r="AT391" s="9" t="n">
        <f aca="false">AH391*$V391</f>
        <v>150000</v>
      </c>
      <c r="AU391" s="9" t="n">
        <f aca="false">AI391*$V391</f>
        <v>150000</v>
      </c>
      <c r="AV391" s="9" t="n">
        <f aca="false">SUM(X391:AI391)/1000</f>
        <v>2400</v>
      </c>
      <c r="AW391" s="9" t="n">
        <f aca="false">SUM(AJ391:AU391)</f>
        <v>1800000</v>
      </c>
      <c r="AX391" s="9" t="n">
        <f aca="false">IF(D391="INR",AW391/88.24,AW391)/1000000</f>
        <v>0.0203989120580236</v>
      </c>
    </row>
    <row r="392" s="2" customFormat="true" ht="14.25" hidden="false" customHeight="false" outlineLevel="0" collapsed="false">
      <c r="A392" s="12" t="s">
        <v>866</v>
      </c>
      <c r="B392" s="16" t="n">
        <v>5</v>
      </c>
      <c r="C392" s="15"/>
      <c r="D392" s="16" t="s">
        <v>50</v>
      </c>
      <c r="E392" s="16" t="s">
        <v>51</v>
      </c>
      <c r="F392" s="16" t="s">
        <v>267</v>
      </c>
      <c r="G392" s="16" t="s">
        <v>836</v>
      </c>
      <c r="H392" s="16" t="s">
        <v>837</v>
      </c>
      <c r="I392" s="16" t="s">
        <v>298</v>
      </c>
      <c r="J392" s="16" t="s">
        <v>664</v>
      </c>
      <c r="K392" s="16"/>
      <c r="L392" s="16" t="s">
        <v>298</v>
      </c>
      <c r="M392" s="16" t="s">
        <v>664</v>
      </c>
      <c r="N392" s="16" t="s">
        <v>271</v>
      </c>
      <c r="O392" s="16" t="s">
        <v>94</v>
      </c>
      <c r="P392" s="16" t="s">
        <v>59</v>
      </c>
      <c r="Q392" s="16" t="s">
        <v>59</v>
      </c>
      <c r="R392" s="16" t="s">
        <v>60</v>
      </c>
      <c r="S392" s="16" t="s">
        <v>61</v>
      </c>
      <c r="T392" s="16" t="s">
        <v>867</v>
      </c>
      <c r="U392" s="16" t="s">
        <v>63</v>
      </c>
      <c r="V392" s="16" t="n">
        <v>598</v>
      </c>
      <c r="W392" s="16" t="n">
        <v>4.75</v>
      </c>
      <c r="X392" s="22"/>
      <c r="Y392" s="22"/>
      <c r="Z392" s="22" t="n">
        <v>250</v>
      </c>
      <c r="AA392" s="22"/>
      <c r="AB392" s="22"/>
      <c r="AC392" s="22" t="n">
        <v>250</v>
      </c>
      <c r="AD392" s="22"/>
      <c r="AE392" s="22"/>
      <c r="AF392" s="22"/>
      <c r="AG392" s="22" t="n">
        <v>250</v>
      </c>
      <c r="AH392" s="22"/>
      <c r="AI392" s="22"/>
      <c r="AJ392" s="9" t="n">
        <f aca="false">X392*$V392</f>
        <v>0</v>
      </c>
      <c r="AK392" s="9" t="n">
        <f aca="false">Y392*$V392</f>
        <v>0</v>
      </c>
      <c r="AL392" s="9" t="n">
        <f aca="false">Z392*$V392</f>
        <v>149500</v>
      </c>
      <c r="AM392" s="9" t="n">
        <f aca="false">AA392*$V392</f>
        <v>0</v>
      </c>
      <c r="AN392" s="9" t="n">
        <f aca="false">AB392*$V392</f>
        <v>0</v>
      </c>
      <c r="AO392" s="9" t="n">
        <f aca="false">AC392*$V392</f>
        <v>149500</v>
      </c>
      <c r="AP392" s="9" t="n">
        <f aca="false">AD392*$V392</f>
        <v>0</v>
      </c>
      <c r="AQ392" s="9" t="n">
        <f aca="false">AE392*$V392</f>
        <v>0</v>
      </c>
      <c r="AR392" s="9" t="n">
        <f aca="false">AF392*$V392</f>
        <v>0</v>
      </c>
      <c r="AS392" s="9" t="n">
        <f aca="false">AG392*$V392</f>
        <v>149500</v>
      </c>
      <c r="AT392" s="9" t="n">
        <f aca="false">AH392*$V392</f>
        <v>0</v>
      </c>
      <c r="AU392" s="9" t="n">
        <f aca="false">AI392*$V392</f>
        <v>0</v>
      </c>
      <c r="AV392" s="9" t="n">
        <f aca="false">SUM(X392:AI392)/1000</f>
        <v>0.75</v>
      </c>
      <c r="AW392" s="9" t="n">
        <f aca="false">SUM(AJ392:AU392)</f>
        <v>448500</v>
      </c>
      <c r="AX392" s="9" t="n">
        <f aca="false">IF(D392="INR",AW392/88.24,AW392)/1000000</f>
        <v>0.00508272892112421</v>
      </c>
    </row>
    <row r="393" s="2" customFormat="true" ht="16.4" hidden="false" customHeight="false" outlineLevel="0" collapsed="false">
      <c r="A393" s="35" t="s">
        <v>868</v>
      </c>
      <c r="B393" s="9"/>
      <c r="C393" s="10"/>
      <c r="D393" s="9" t="s">
        <v>50</v>
      </c>
      <c r="E393" s="9" t="s">
        <v>51</v>
      </c>
      <c r="F393" s="9" t="s">
        <v>52</v>
      </c>
      <c r="G393" s="9" t="s">
        <v>258</v>
      </c>
      <c r="H393" s="9" t="s">
        <v>259</v>
      </c>
      <c r="I393" s="9" t="s">
        <v>260</v>
      </c>
      <c r="J393" s="9" t="s">
        <v>261</v>
      </c>
      <c r="K393" s="9"/>
      <c r="L393" s="9" t="s">
        <v>260</v>
      </c>
      <c r="M393" s="9" t="s">
        <v>261</v>
      </c>
      <c r="N393" s="16" t="s">
        <v>67</v>
      </c>
      <c r="O393" s="9" t="s">
        <v>107</v>
      </c>
      <c r="P393" s="9" t="s">
        <v>80</v>
      </c>
      <c r="Q393" s="9" t="s">
        <v>80</v>
      </c>
      <c r="R393" s="9" t="s">
        <v>81</v>
      </c>
      <c r="S393" s="9" t="s">
        <v>82</v>
      </c>
      <c r="T393" s="9" t="s">
        <v>869</v>
      </c>
      <c r="U393" s="9" t="s">
        <v>63</v>
      </c>
      <c r="V393" s="9" t="n">
        <v>2.97</v>
      </c>
      <c r="W393" s="9" t="n">
        <v>0</v>
      </c>
      <c r="X393" s="9" t="n">
        <v>50000</v>
      </c>
      <c r="Y393" s="9" t="n">
        <v>50000</v>
      </c>
      <c r="Z393" s="9" t="n">
        <v>50000</v>
      </c>
      <c r="AA393" s="9" t="n">
        <v>50000</v>
      </c>
      <c r="AB393" s="9" t="n">
        <v>50000</v>
      </c>
      <c r="AC393" s="9" t="n">
        <v>50000</v>
      </c>
      <c r="AD393" s="9" t="n">
        <v>50000</v>
      </c>
      <c r="AE393" s="9" t="n">
        <v>50000</v>
      </c>
      <c r="AF393" s="9" t="n">
        <v>50000</v>
      </c>
      <c r="AG393" s="9" t="n">
        <v>50000</v>
      </c>
      <c r="AH393" s="9" t="n">
        <v>50000</v>
      </c>
      <c r="AI393" s="9" t="n">
        <v>50000</v>
      </c>
      <c r="AJ393" s="9" t="n">
        <f aca="false">X393*$V393</f>
        <v>148500</v>
      </c>
      <c r="AK393" s="9" t="n">
        <f aca="false">Y393*$V393</f>
        <v>148500</v>
      </c>
      <c r="AL393" s="9" t="n">
        <f aca="false">Z393*$V393</f>
        <v>148500</v>
      </c>
      <c r="AM393" s="9" t="n">
        <f aca="false">AA393*$V393</f>
        <v>148500</v>
      </c>
      <c r="AN393" s="9" t="n">
        <f aca="false">AB393*$V393</f>
        <v>148500</v>
      </c>
      <c r="AO393" s="9" t="n">
        <f aca="false">AC393*$V393</f>
        <v>148500</v>
      </c>
      <c r="AP393" s="9" t="n">
        <f aca="false">AD393*$V393</f>
        <v>148500</v>
      </c>
      <c r="AQ393" s="9" t="n">
        <f aca="false">AE393*$V393</f>
        <v>148500</v>
      </c>
      <c r="AR393" s="9" t="n">
        <f aca="false">AF393*$V393</f>
        <v>148500</v>
      </c>
      <c r="AS393" s="9" t="n">
        <f aca="false">AG393*$V393</f>
        <v>148500</v>
      </c>
      <c r="AT393" s="9" t="n">
        <f aca="false">AH393*$V393</f>
        <v>148500</v>
      </c>
      <c r="AU393" s="9" t="n">
        <f aca="false">AI393*$V393</f>
        <v>148500</v>
      </c>
      <c r="AV393" s="9" t="n">
        <f aca="false">SUM(X393:AI393)/1000</f>
        <v>600</v>
      </c>
      <c r="AW393" s="9" t="n">
        <f aca="false">SUM(AJ393:AU393)</f>
        <v>1782000</v>
      </c>
      <c r="AX393" s="9" t="n">
        <f aca="false">IF(D393="INR",AW393/88.24,AW393)/1000000</f>
        <v>0.0201949229374433</v>
      </c>
    </row>
    <row r="394" s="2" customFormat="true" ht="14.25" hidden="false" customHeight="false" outlineLevel="0" collapsed="false">
      <c r="A394" s="35"/>
      <c r="B394" s="9" t="n">
        <v>1</v>
      </c>
      <c r="C394" s="10"/>
      <c r="D394" s="9" t="s">
        <v>50</v>
      </c>
      <c r="E394" s="9"/>
      <c r="F394" s="9" t="s">
        <v>52</v>
      </c>
      <c r="G394" s="9"/>
      <c r="H394" s="9" t="s">
        <v>410</v>
      </c>
      <c r="I394" s="9" t="s">
        <v>260</v>
      </c>
      <c r="J394" s="9" t="s">
        <v>411</v>
      </c>
      <c r="K394" s="9"/>
      <c r="L394" s="9" t="s">
        <v>260</v>
      </c>
      <c r="M394" s="9" t="s">
        <v>411</v>
      </c>
      <c r="N394" s="9" t="s">
        <v>79</v>
      </c>
      <c r="O394" s="9" t="s">
        <v>68</v>
      </c>
      <c r="P394" s="9"/>
      <c r="Q394" s="9" t="s">
        <v>85</v>
      </c>
      <c r="R394" s="9"/>
      <c r="S394" s="9"/>
      <c r="T394" s="9" t="s">
        <v>870</v>
      </c>
      <c r="U394" s="9" t="s">
        <v>63</v>
      </c>
      <c r="V394" s="9" t="n">
        <v>14.8</v>
      </c>
      <c r="W394" s="9"/>
      <c r="X394" s="9"/>
      <c r="Y394" s="9" t="n">
        <v>10000</v>
      </c>
      <c r="Z394" s="9" t="n">
        <v>10000</v>
      </c>
      <c r="AA394" s="9" t="n">
        <v>10000</v>
      </c>
      <c r="AB394" s="9" t="n">
        <v>10000</v>
      </c>
      <c r="AC394" s="9" t="n">
        <v>10000</v>
      </c>
      <c r="AD394" s="9" t="n">
        <v>10000</v>
      </c>
      <c r="AE394" s="9" t="n">
        <v>10000</v>
      </c>
      <c r="AF394" s="9" t="n">
        <v>10000</v>
      </c>
      <c r="AG394" s="9" t="n">
        <v>10000</v>
      </c>
      <c r="AH394" s="9" t="n">
        <v>10000</v>
      </c>
      <c r="AI394" s="9" t="n">
        <v>10000</v>
      </c>
      <c r="AJ394" s="9" t="n">
        <f aca="false">X394*$V394</f>
        <v>0</v>
      </c>
      <c r="AK394" s="9" t="n">
        <f aca="false">Y394*$V394</f>
        <v>148000</v>
      </c>
      <c r="AL394" s="9" t="n">
        <f aca="false">Z394*$V394</f>
        <v>148000</v>
      </c>
      <c r="AM394" s="9" t="n">
        <f aca="false">AA394*$V394</f>
        <v>148000</v>
      </c>
      <c r="AN394" s="9" t="n">
        <f aca="false">AB394*$V394</f>
        <v>148000</v>
      </c>
      <c r="AO394" s="9" t="n">
        <f aca="false">AC394*$V394</f>
        <v>148000</v>
      </c>
      <c r="AP394" s="9" t="n">
        <f aca="false">AD394*$V394</f>
        <v>148000</v>
      </c>
      <c r="AQ394" s="9" t="n">
        <f aca="false">AE394*$V394</f>
        <v>148000</v>
      </c>
      <c r="AR394" s="9" t="n">
        <f aca="false">AF394*$V394</f>
        <v>148000</v>
      </c>
      <c r="AS394" s="9" t="n">
        <f aca="false">AG394*$V394</f>
        <v>148000</v>
      </c>
      <c r="AT394" s="9" t="n">
        <f aca="false">AH394*$V394</f>
        <v>148000</v>
      </c>
      <c r="AU394" s="9" t="n">
        <f aca="false">AI394*$V394</f>
        <v>148000</v>
      </c>
      <c r="AV394" s="9" t="n">
        <f aca="false">SUM(X394:AI394)/1000</f>
        <v>110</v>
      </c>
      <c r="AW394" s="9" t="n">
        <f aca="false">SUM(AJ394:AU394)</f>
        <v>1628000</v>
      </c>
      <c r="AX394" s="9" t="n">
        <f aca="false">IF(D394="INR",AW394/88.24,AW394)/1000000</f>
        <v>0.0184496826835902</v>
      </c>
    </row>
    <row r="395" s="2" customFormat="true" ht="16.4" hidden="false" customHeight="false" outlineLevel="0" collapsed="false">
      <c r="A395" s="16" t="s">
        <v>871</v>
      </c>
      <c r="B395" s="16" t="n">
        <v>5</v>
      </c>
      <c r="C395" s="16"/>
      <c r="D395" s="16" t="s">
        <v>102</v>
      </c>
      <c r="E395" s="16" t="s">
        <v>51</v>
      </c>
      <c r="F395" s="16" t="s">
        <v>52</v>
      </c>
      <c r="G395" s="16" t="s">
        <v>254</v>
      </c>
      <c r="H395" s="16" t="s">
        <v>255</v>
      </c>
      <c r="I395" s="16" t="s">
        <v>105</v>
      </c>
      <c r="J395" s="16" t="s">
        <v>270</v>
      </c>
      <c r="K395" s="16"/>
      <c r="L395" s="16" t="s">
        <v>105</v>
      </c>
      <c r="M395" s="16" t="s">
        <v>270</v>
      </c>
      <c r="N395" s="16" t="s">
        <v>67</v>
      </c>
      <c r="O395" s="16" t="s">
        <v>246</v>
      </c>
      <c r="P395" s="16" t="s">
        <v>380</v>
      </c>
      <c r="Q395" s="16" t="s">
        <v>380</v>
      </c>
      <c r="R395" s="16" t="s">
        <v>442</v>
      </c>
      <c r="S395" s="16" t="s">
        <v>443</v>
      </c>
      <c r="T395" s="16" t="s">
        <v>872</v>
      </c>
      <c r="U395" s="26" t="s">
        <v>73</v>
      </c>
      <c r="V395" s="16" t="n">
        <v>0.275</v>
      </c>
      <c r="W395" s="16" t="n">
        <v>0.247</v>
      </c>
      <c r="X395" s="16" t="n">
        <v>30000</v>
      </c>
      <c r="Y395" s="16" t="n">
        <v>30000</v>
      </c>
      <c r="Z395" s="16" t="n">
        <v>30000</v>
      </c>
      <c r="AA395" s="16" t="n">
        <v>30000</v>
      </c>
      <c r="AB395" s="16" t="n">
        <v>30000</v>
      </c>
      <c r="AC395" s="16" t="n">
        <v>30000</v>
      </c>
      <c r="AD395" s="16" t="n">
        <v>10000</v>
      </c>
      <c r="AE395" s="16" t="n">
        <v>10000</v>
      </c>
      <c r="AF395" s="16" t="n">
        <v>10000</v>
      </c>
      <c r="AG395" s="16" t="n">
        <v>10000</v>
      </c>
      <c r="AH395" s="16" t="n">
        <v>10000</v>
      </c>
      <c r="AI395" s="16" t="n">
        <v>10000</v>
      </c>
      <c r="AJ395" s="9" t="n">
        <f aca="false">X395*$V395</f>
        <v>8250</v>
      </c>
      <c r="AK395" s="9" t="n">
        <f aca="false">Y395*$V395</f>
        <v>8250</v>
      </c>
      <c r="AL395" s="9" t="n">
        <f aca="false">Z395*$V395</f>
        <v>8250</v>
      </c>
      <c r="AM395" s="9" t="n">
        <f aca="false">AA395*$V395</f>
        <v>8250</v>
      </c>
      <c r="AN395" s="9" t="n">
        <f aca="false">AB395*$V395</f>
        <v>8250</v>
      </c>
      <c r="AO395" s="9" t="n">
        <f aca="false">AC395*$V395</f>
        <v>8250</v>
      </c>
      <c r="AP395" s="9" t="n">
        <f aca="false">AD395*$V395</f>
        <v>2750</v>
      </c>
      <c r="AQ395" s="9" t="n">
        <f aca="false">AE395*$V395</f>
        <v>2750</v>
      </c>
      <c r="AR395" s="9" t="n">
        <f aca="false">AF395*$V395</f>
        <v>2750</v>
      </c>
      <c r="AS395" s="9" t="n">
        <f aca="false">AG395*$V395</f>
        <v>2750</v>
      </c>
      <c r="AT395" s="9" t="n">
        <f aca="false">AH395*$V395</f>
        <v>2750</v>
      </c>
      <c r="AU395" s="9" t="n">
        <f aca="false">AI395*$V395</f>
        <v>2750</v>
      </c>
      <c r="AV395" s="9" t="n">
        <f aca="false">SUM(X395:AI395)/1000</f>
        <v>240</v>
      </c>
      <c r="AW395" s="9" t="n">
        <f aca="false">SUM(AJ395:AU395)</f>
        <v>66000</v>
      </c>
      <c r="AX395" s="9" t="n">
        <f aca="false">IF(D395="INR",AW395/88.24,AW395)/1000000</f>
        <v>0.066</v>
      </c>
    </row>
    <row r="396" s="2" customFormat="true" ht="14.25" hidden="false" customHeight="true" outlineLevel="0" collapsed="false">
      <c r="A396" s="16"/>
      <c r="B396" s="16" t="n">
        <v>1</v>
      </c>
      <c r="C396" s="16"/>
      <c r="D396" s="16" t="s">
        <v>50</v>
      </c>
      <c r="E396" s="16" t="s">
        <v>51</v>
      </c>
      <c r="F396" s="16" t="s">
        <v>52</v>
      </c>
      <c r="G396" s="16"/>
      <c r="H396" s="16" t="s">
        <v>410</v>
      </c>
      <c r="I396" s="16" t="s">
        <v>260</v>
      </c>
      <c r="J396" s="16" t="s">
        <v>411</v>
      </c>
      <c r="K396" s="16"/>
      <c r="L396" s="16" t="s">
        <v>260</v>
      </c>
      <c r="M396" s="16" t="s">
        <v>411</v>
      </c>
      <c r="N396" s="16" t="s">
        <v>79</v>
      </c>
      <c r="O396" s="16" t="s">
        <v>68</v>
      </c>
      <c r="P396" s="16"/>
      <c r="Q396" s="38" t="s">
        <v>85</v>
      </c>
      <c r="R396" s="16"/>
      <c r="S396" s="16"/>
      <c r="T396" s="38" t="s">
        <v>870</v>
      </c>
      <c r="U396" s="16" t="s">
        <v>63</v>
      </c>
      <c r="V396" s="43" t="n">
        <v>14.8</v>
      </c>
      <c r="W396" s="16"/>
      <c r="X396" s="30"/>
      <c r="Y396" s="30" t="n">
        <v>10000</v>
      </c>
      <c r="Z396" s="30" t="n">
        <v>10000</v>
      </c>
      <c r="AA396" s="30" t="n">
        <v>10000</v>
      </c>
      <c r="AB396" s="30" t="n">
        <v>10000</v>
      </c>
      <c r="AC396" s="30" t="n">
        <v>10000</v>
      </c>
      <c r="AD396" s="30" t="n">
        <v>10000</v>
      </c>
      <c r="AE396" s="30" t="n">
        <v>10000</v>
      </c>
      <c r="AF396" s="30" t="n">
        <v>10000</v>
      </c>
      <c r="AG396" s="30" t="n">
        <v>10000</v>
      </c>
      <c r="AH396" s="30" t="n">
        <v>10000</v>
      </c>
      <c r="AI396" s="30" t="n">
        <v>10000</v>
      </c>
      <c r="AJ396" s="9" t="n">
        <f aca="false">V396*X396</f>
        <v>0</v>
      </c>
      <c r="AK396" s="9" t="n">
        <f aca="false">Y396*$V396</f>
        <v>148000</v>
      </c>
      <c r="AL396" s="9" t="n">
        <f aca="false">Z396*$V396</f>
        <v>148000</v>
      </c>
      <c r="AM396" s="9" t="n">
        <f aca="false">AA396*$V396</f>
        <v>148000</v>
      </c>
      <c r="AN396" s="9" t="n">
        <f aca="false">AB396*$V396</f>
        <v>148000</v>
      </c>
      <c r="AO396" s="9" t="n">
        <f aca="false">AC396*$V396</f>
        <v>148000</v>
      </c>
      <c r="AP396" s="9" t="n">
        <f aca="false">AD396*$V396</f>
        <v>148000</v>
      </c>
      <c r="AQ396" s="9" t="n">
        <f aca="false">AE396*$V396</f>
        <v>148000</v>
      </c>
      <c r="AR396" s="9" t="n">
        <f aca="false">AF396*$V396</f>
        <v>148000</v>
      </c>
      <c r="AS396" s="9" t="n">
        <f aca="false">AG396*$V396</f>
        <v>148000</v>
      </c>
      <c r="AT396" s="9" t="n">
        <f aca="false">AH396*$V396</f>
        <v>148000</v>
      </c>
      <c r="AU396" s="9" t="n">
        <f aca="false">AI396*$V396</f>
        <v>148000</v>
      </c>
      <c r="AV396" s="9" t="n">
        <f aca="false">SUM(X396:AI396)/1000</f>
        <v>110</v>
      </c>
      <c r="AW396" s="9" t="n">
        <f aca="false">SUM(AJ396:AU396)</f>
        <v>1628000</v>
      </c>
      <c r="AX396" s="9" t="n">
        <f aca="false">IF(D396="INR",AW396/88.24,AW396)/1000000</f>
        <v>0.0184496826835902</v>
      </c>
    </row>
    <row r="397" s="2" customFormat="true" ht="14.25" hidden="false" customHeight="false" outlineLevel="0" collapsed="false">
      <c r="A397" s="12" t="s">
        <v>873</v>
      </c>
      <c r="B397" s="16" t="n">
        <v>5</v>
      </c>
      <c r="C397" s="15"/>
      <c r="D397" s="16" t="s">
        <v>102</v>
      </c>
      <c r="E397" s="16" t="s">
        <v>51</v>
      </c>
      <c r="F397" s="16" t="s">
        <v>52</v>
      </c>
      <c r="G397" s="16" t="s">
        <v>254</v>
      </c>
      <c r="H397" s="16" t="s">
        <v>255</v>
      </c>
      <c r="I397" s="16" t="s">
        <v>105</v>
      </c>
      <c r="J397" s="16" t="s">
        <v>270</v>
      </c>
      <c r="K397" s="16"/>
      <c r="L397" s="16" t="s">
        <v>105</v>
      </c>
      <c r="M397" s="16" t="s">
        <v>270</v>
      </c>
      <c r="N397" s="16" t="s">
        <v>67</v>
      </c>
      <c r="O397" s="16" t="s">
        <v>246</v>
      </c>
      <c r="P397" s="16" t="s">
        <v>874</v>
      </c>
      <c r="Q397" s="16" t="s">
        <v>874</v>
      </c>
      <c r="R397" s="16" t="s">
        <v>875</v>
      </c>
      <c r="S397" s="16" t="s">
        <v>61</v>
      </c>
      <c r="T397" s="16" t="s">
        <v>876</v>
      </c>
      <c r="U397" s="16" t="s">
        <v>73</v>
      </c>
      <c r="V397" s="16" t="n">
        <v>0.253</v>
      </c>
      <c r="W397" s="16" t="n">
        <v>0.2352</v>
      </c>
      <c r="X397" s="16" t="n">
        <v>20000</v>
      </c>
      <c r="Y397" s="16" t="n">
        <v>20000</v>
      </c>
      <c r="Z397" s="16" t="n">
        <v>20000</v>
      </c>
      <c r="AA397" s="16" t="n">
        <v>20000</v>
      </c>
      <c r="AB397" s="16" t="n">
        <v>20000</v>
      </c>
      <c r="AC397" s="16" t="n">
        <v>10000</v>
      </c>
      <c r="AD397" s="16" t="n">
        <v>10000</v>
      </c>
      <c r="AE397" s="16" t="n">
        <v>10000</v>
      </c>
      <c r="AF397" s="16" t="n">
        <v>10000</v>
      </c>
      <c r="AG397" s="16" t="n">
        <v>10000</v>
      </c>
      <c r="AH397" s="16" t="n">
        <v>10000</v>
      </c>
      <c r="AI397" s="16" t="n">
        <v>10000</v>
      </c>
      <c r="AJ397" s="9" t="n">
        <f aca="false">X397*$V397</f>
        <v>5060</v>
      </c>
      <c r="AK397" s="9" t="n">
        <f aca="false">Y397*$V397</f>
        <v>5060</v>
      </c>
      <c r="AL397" s="9" t="n">
        <f aca="false">Z397*$V397</f>
        <v>5060</v>
      </c>
      <c r="AM397" s="9" t="n">
        <f aca="false">AA397*$V397</f>
        <v>5060</v>
      </c>
      <c r="AN397" s="9" t="n">
        <f aca="false">AB397*$V397</f>
        <v>5060</v>
      </c>
      <c r="AO397" s="9" t="n">
        <f aca="false">AC397*$V397</f>
        <v>2530</v>
      </c>
      <c r="AP397" s="9" t="n">
        <f aca="false">AD397*$V397</f>
        <v>2530</v>
      </c>
      <c r="AQ397" s="9" t="n">
        <f aca="false">AE397*$V397</f>
        <v>2530</v>
      </c>
      <c r="AR397" s="9" t="n">
        <f aca="false">AF397*$V397</f>
        <v>2530</v>
      </c>
      <c r="AS397" s="9" t="n">
        <f aca="false">AG397*$V397</f>
        <v>2530</v>
      </c>
      <c r="AT397" s="9" t="n">
        <f aca="false">AH397*$V397</f>
        <v>2530</v>
      </c>
      <c r="AU397" s="9" t="n">
        <f aca="false">AI397*$V397</f>
        <v>2530</v>
      </c>
      <c r="AV397" s="9" t="n">
        <f aca="false">SUM(X397:AI397)/1000</f>
        <v>170</v>
      </c>
      <c r="AW397" s="9" t="n">
        <f aca="false">SUM(AJ397:AU397)</f>
        <v>43010</v>
      </c>
      <c r="AX397" s="9" t="n">
        <f aca="false">IF(D397="INR",AW397/88.24,AW397)/1000000</f>
        <v>0.04301</v>
      </c>
    </row>
    <row r="398" s="2" customFormat="true" ht="14.25" hidden="false" customHeight="false" outlineLevel="0" collapsed="false">
      <c r="A398" s="12" t="s">
        <v>877</v>
      </c>
      <c r="B398" s="16"/>
      <c r="C398" s="15"/>
      <c r="D398" s="16" t="s">
        <v>50</v>
      </c>
      <c r="E398" s="16" t="s">
        <v>51</v>
      </c>
      <c r="F398" s="16" t="s">
        <v>52</v>
      </c>
      <c r="G398" s="16" t="s">
        <v>274</v>
      </c>
      <c r="H398" s="16" t="s">
        <v>275</v>
      </c>
      <c r="I398" s="16" t="s">
        <v>260</v>
      </c>
      <c r="J398" s="16" t="s">
        <v>276</v>
      </c>
      <c r="K398" s="16"/>
      <c r="L398" s="16" t="s">
        <v>260</v>
      </c>
      <c r="M398" s="16" t="s">
        <v>276</v>
      </c>
      <c r="N398" s="16" t="s">
        <v>79</v>
      </c>
      <c r="O398" s="16" t="s">
        <v>68</v>
      </c>
      <c r="P398" s="16" t="s">
        <v>80</v>
      </c>
      <c r="Q398" s="16" t="s">
        <v>80</v>
      </c>
      <c r="R398" s="16" t="s">
        <v>81</v>
      </c>
      <c r="S398" s="16" t="s">
        <v>82</v>
      </c>
      <c r="T398" s="16" t="s">
        <v>878</v>
      </c>
      <c r="U398" s="16" t="s">
        <v>73</v>
      </c>
      <c r="V398" s="16" t="n">
        <v>29.2571428571429</v>
      </c>
      <c r="W398" s="16" t="n">
        <v>26.18978</v>
      </c>
      <c r="X398" s="16" t="n">
        <v>5000</v>
      </c>
      <c r="Y398" s="16" t="n">
        <v>5000</v>
      </c>
      <c r="Z398" s="16" t="n">
        <v>5000</v>
      </c>
      <c r="AA398" s="16"/>
      <c r="AB398" s="16"/>
      <c r="AC398" s="16"/>
      <c r="AD398" s="16"/>
      <c r="AE398" s="16"/>
      <c r="AF398" s="16"/>
      <c r="AG398" s="16" t="n">
        <v>5000</v>
      </c>
      <c r="AH398" s="16" t="n">
        <v>5000</v>
      </c>
      <c r="AI398" s="16" t="n">
        <v>5000</v>
      </c>
      <c r="AJ398" s="9" t="n">
        <f aca="false">X398*$V398</f>
        <v>146285.714285714</v>
      </c>
      <c r="AK398" s="9" t="n">
        <f aca="false">Y398*$V398</f>
        <v>146285.714285714</v>
      </c>
      <c r="AL398" s="9" t="n">
        <f aca="false">Z398*$V398</f>
        <v>146285.714285714</v>
      </c>
      <c r="AM398" s="9" t="n">
        <f aca="false">AA398*$V398</f>
        <v>0</v>
      </c>
      <c r="AN398" s="9" t="n">
        <f aca="false">AB398*$V398</f>
        <v>0</v>
      </c>
      <c r="AO398" s="9" t="n">
        <f aca="false">AC398*$V398</f>
        <v>0</v>
      </c>
      <c r="AP398" s="9" t="n">
        <f aca="false">AD398*$V398</f>
        <v>0</v>
      </c>
      <c r="AQ398" s="9" t="n">
        <f aca="false">AE398*$V398</f>
        <v>0</v>
      </c>
      <c r="AR398" s="9" t="n">
        <f aca="false">AF398*$V398</f>
        <v>0</v>
      </c>
      <c r="AS398" s="9" t="n">
        <f aca="false">AG398*$V398</f>
        <v>146285.714285714</v>
      </c>
      <c r="AT398" s="9" t="n">
        <f aca="false">AH398*$V398</f>
        <v>146285.714285714</v>
      </c>
      <c r="AU398" s="9" t="n">
        <f aca="false">AI398*$V398</f>
        <v>146285.714285714</v>
      </c>
      <c r="AV398" s="9" t="n">
        <f aca="false">SUM(X398:AI398)/1000</f>
        <v>30</v>
      </c>
      <c r="AW398" s="9" t="n">
        <f aca="false">SUM(AJ398:AU398)</f>
        <v>877714.285714286</v>
      </c>
      <c r="AX398" s="9" t="n">
        <f aca="false">IF(D398="INR",AW398/88.24,AW398)/1000000</f>
        <v>0.00994689807019816</v>
      </c>
    </row>
    <row r="399" s="2" customFormat="true" ht="16.4" hidden="false" customHeight="false" outlineLevel="0" collapsed="false">
      <c r="A399" s="35" t="s">
        <v>879</v>
      </c>
      <c r="B399" s="9" t="n">
        <v>5</v>
      </c>
      <c r="C399" s="10"/>
      <c r="D399" s="9" t="s">
        <v>50</v>
      </c>
      <c r="E399" s="9" t="s">
        <v>51</v>
      </c>
      <c r="F399" s="9" t="s">
        <v>52</v>
      </c>
      <c r="G399" s="9" t="s">
        <v>494</v>
      </c>
      <c r="H399" s="9" t="s">
        <v>495</v>
      </c>
      <c r="I399" s="9" t="s">
        <v>77</v>
      </c>
      <c r="J399" s="9" t="s">
        <v>496</v>
      </c>
      <c r="K399" s="9" t="s">
        <v>495</v>
      </c>
      <c r="L399" s="9" t="s">
        <v>77</v>
      </c>
      <c r="M399" s="9" t="s">
        <v>496</v>
      </c>
      <c r="N399" s="9" t="s">
        <v>57</v>
      </c>
      <c r="O399" s="9" t="s">
        <v>94</v>
      </c>
      <c r="P399" s="9" t="s">
        <v>308</v>
      </c>
      <c r="Q399" s="9" t="s">
        <v>308</v>
      </c>
      <c r="R399" s="9" t="s">
        <v>309</v>
      </c>
      <c r="S399" s="9" t="s">
        <v>264</v>
      </c>
      <c r="T399" s="9" t="s">
        <v>880</v>
      </c>
      <c r="U399" s="9" t="s">
        <v>73</v>
      </c>
      <c r="V399" s="9" t="n">
        <v>18.27</v>
      </c>
      <c r="W399" s="9" t="n">
        <v>16.09</v>
      </c>
      <c r="X399" s="9" t="n">
        <v>8000</v>
      </c>
      <c r="Y399" s="9" t="n">
        <v>8000</v>
      </c>
      <c r="Z399" s="9" t="n">
        <v>8000</v>
      </c>
      <c r="AA399" s="9" t="n">
        <v>8000</v>
      </c>
      <c r="AB399" s="9" t="n">
        <v>8000</v>
      </c>
      <c r="AC399" s="9" t="n">
        <v>8000</v>
      </c>
      <c r="AD399" s="9" t="n">
        <v>8000</v>
      </c>
      <c r="AE399" s="9" t="n">
        <v>8000</v>
      </c>
      <c r="AF399" s="9" t="n">
        <v>8000</v>
      </c>
      <c r="AG399" s="9" t="n">
        <v>8000</v>
      </c>
      <c r="AH399" s="9" t="n">
        <v>8000</v>
      </c>
      <c r="AI399" s="9" t="n">
        <v>8000</v>
      </c>
      <c r="AJ399" s="9" t="n">
        <f aca="false">X399*$V399</f>
        <v>146160</v>
      </c>
      <c r="AK399" s="9" t="n">
        <f aca="false">Y399*$V399</f>
        <v>146160</v>
      </c>
      <c r="AL399" s="9" t="n">
        <f aca="false">Z399*$V399</f>
        <v>146160</v>
      </c>
      <c r="AM399" s="9" t="n">
        <f aca="false">AA399*$V399</f>
        <v>146160</v>
      </c>
      <c r="AN399" s="9" t="n">
        <f aca="false">AB399*$V399</f>
        <v>146160</v>
      </c>
      <c r="AO399" s="9" t="n">
        <f aca="false">AC399*$V399</f>
        <v>146160</v>
      </c>
      <c r="AP399" s="9" t="n">
        <f aca="false">AD399*$V399</f>
        <v>146160</v>
      </c>
      <c r="AQ399" s="9" t="n">
        <f aca="false">AE399*$V399</f>
        <v>146160</v>
      </c>
      <c r="AR399" s="9" t="n">
        <f aca="false">AF399*$V399</f>
        <v>146160</v>
      </c>
      <c r="AS399" s="9" t="n">
        <f aca="false">AG399*$V399</f>
        <v>146160</v>
      </c>
      <c r="AT399" s="9" t="n">
        <f aca="false">AH399*$V399</f>
        <v>146160</v>
      </c>
      <c r="AU399" s="9" t="n">
        <f aca="false">AI399*$V399</f>
        <v>146160</v>
      </c>
      <c r="AV399" s="9" t="n">
        <f aca="false">SUM(X399:AI399)/1000</f>
        <v>96</v>
      </c>
      <c r="AW399" s="9" t="n">
        <f aca="false">SUM(AJ399:AU399)</f>
        <v>1753920</v>
      </c>
      <c r="AX399" s="9" t="n">
        <f aca="false">IF(D399="INR",AW399/88.24,AW399)/1000000</f>
        <v>0.0198766999093382</v>
      </c>
    </row>
    <row r="400" s="2" customFormat="true" ht="14.25" hidden="false" customHeight="false" outlineLevel="0" collapsed="false">
      <c r="A400" s="12" t="s">
        <v>881</v>
      </c>
      <c r="B400" s="16"/>
      <c r="C400" s="15"/>
      <c r="D400" s="16" t="s">
        <v>102</v>
      </c>
      <c r="E400" s="16" t="s">
        <v>51</v>
      </c>
      <c r="F400" s="16" t="s">
        <v>52</v>
      </c>
      <c r="G400" s="16" t="s">
        <v>254</v>
      </c>
      <c r="H400" s="16" t="s">
        <v>255</v>
      </c>
      <c r="I400" s="16" t="s">
        <v>105</v>
      </c>
      <c r="J400" s="16" t="s">
        <v>270</v>
      </c>
      <c r="K400" s="16"/>
      <c r="L400" s="16"/>
      <c r="M400" s="16"/>
      <c r="N400" s="16" t="s">
        <v>67</v>
      </c>
      <c r="O400" s="16" t="s">
        <v>246</v>
      </c>
      <c r="P400" s="16" t="s">
        <v>380</v>
      </c>
      <c r="Q400" s="16" t="s">
        <v>380</v>
      </c>
      <c r="R400" s="16" t="s">
        <v>442</v>
      </c>
      <c r="S400" s="16"/>
      <c r="T400" s="16" t="s">
        <v>882</v>
      </c>
      <c r="U400" s="16" t="s">
        <v>73</v>
      </c>
      <c r="V400" s="16" t="n">
        <v>0.35</v>
      </c>
      <c r="W400" s="33" t="n">
        <v>0</v>
      </c>
      <c r="X400" s="16"/>
      <c r="Y400" s="16"/>
      <c r="Z400" s="16"/>
      <c r="AA400" s="16" t="n">
        <v>5000</v>
      </c>
      <c r="AB400" s="16" t="n">
        <v>5000</v>
      </c>
      <c r="AC400" s="16" t="n">
        <v>5000</v>
      </c>
      <c r="AD400" s="16" t="n">
        <v>5000</v>
      </c>
      <c r="AE400" s="16" t="n">
        <v>5000</v>
      </c>
      <c r="AF400" s="16" t="n">
        <v>5000</v>
      </c>
      <c r="AG400" s="16" t="n">
        <v>5000</v>
      </c>
      <c r="AH400" s="16" t="n">
        <v>5000</v>
      </c>
      <c r="AI400" s="16" t="n">
        <v>5000</v>
      </c>
      <c r="AJ400" s="9" t="n">
        <f aca="false">X400*$V400</f>
        <v>0</v>
      </c>
      <c r="AK400" s="9" t="n">
        <f aca="false">Y400*$V400</f>
        <v>0</v>
      </c>
      <c r="AL400" s="9" t="n">
        <f aca="false">Z400*$V400</f>
        <v>0</v>
      </c>
      <c r="AM400" s="9" t="n">
        <f aca="false">AA400*$V400</f>
        <v>1750</v>
      </c>
      <c r="AN400" s="9" t="n">
        <f aca="false">AB400*$V400</f>
        <v>1750</v>
      </c>
      <c r="AO400" s="9" t="n">
        <f aca="false">AC400*$V400</f>
        <v>1750</v>
      </c>
      <c r="AP400" s="9" t="n">
        <f aca="false">AD400*$V400</f>
        <v>1750</v>
      </c>
      <c r="AQ400" s="9" t="n">
        <f aca="false">AE400*$V400</f>
        <v>1750</v>
      </c>
      <c r="AR400" s="9" t="n">
        <f aca="false">AF400*$V400</f>
        <v>1750</v>
      </c>
      <c r="AS400" s="9" t="n">
        <f aca="false">AG400*$V400</f>
        <v>1750</v>
      </c>
      <c r="AT400" s="9" t="n">
        <f aca="false">AH400*$V400</f>
        <v>1750</v>
      </c>
      <c r="AU400" s="9" t="n">
        <f aca="false">AI400*$V400</f>
        <v>1750</v>
      </c>
      <c r="AV400" s="9" t="n">
        <f aca="false">SUM(X400:AI400)/1000</f>
        <v>45</v>
      </c>
      <c r="AW400" s="9" t="n">
        <f aca="false">SUM(AJ400:AU400)</f>
        <v>15750</v>
      </c>
      <c r="AX400" s="9" t="n">
        <f aca="false">IF(D400="INR",AW400/88.24,AW400)/1000000</f>
        <v>0.01575</v>
      </c>
    </row>
    <row r="401" s="2" customFormat="true" ht="16.4" hidden="false" customHeight="false" outlineLevel="0" collapsed="false">
      <c r="A401" s="35" t="s">
        <v>883</v>
      </c>
      <c r="B401" s="9" t="n">
        <v>5</v>
      </c>
      <c r="C401" s="10"/>
      <c r="D401" s="9" t="s">
        <v>50</v>
      </c>
      <c r="E401" s="9" t="s">
        <v>51</v>
      </c>
      <c r="F401" s="9" t="s">
        <v>52</v>
      </c>
      <c r="G401" s="9" t="s">
        <v>391</v>
      </c>
      <c r="H401" s="9" t="s">
        <v>392</v>
      </c>
      <c r="I401" s="9" t="s">
        <v>260</v>
      </c>
      <c r="J401" s="9" t="s">
        <v>276</v>
      </c>
      <c r="K401" s="9"/>
      <c r="L401" s="9" t="s">
        <v>260</v>
      </c>
      <c r="M401" s="9" t="s">
        <v>276</v>
      </c>
      <c r="N401" s="9" t="s">
        <v>93</v>
      </c>
      <c r="O401" s="9" t="s">
        <v>58</v>
      </c>
      <c r="P401" s="9" t="s">
        <v>308</v>
      </c>
      <c r="Q401" s="9" t="s">
        <v>308</v>
      </c>
      <c r="R401" s="9" t="s">
        <v>309</v>
      </c>
      <c r="S401" s="9" t="s">
        <v>264</v>
      </c>
      <c r="T401" s="9" t="s">
        <v>409</v>
      </c>
      <c r="U401" s="9" t="s">
        <v>73</v>
      </c>
      <c r="V401" s="9" t="n">
        <v>0.72</v>
      </c>
      <c r="W401" s="9" t="n">
        <v>0.65</v>
      </c>
      <c r="X401" s="9" t="n">
        <v>200000</v>
      </c>
      <c r="Y401" s="9" t="n">
        <v>200000</v>
      </c>
      <c r="Z401" s="9" t="n">
        <v>200000</v>
      </c>
      <c r="AA401" s="9" t="n">
        <v>200000</v>
      </c>
      <c r="AB401" s="9" t="n">
        <v>200000</v>
      </c>
      <c r="AC401" s="9" t="n">
        <v>200000</v>
      </c>
      <c r="AD401" s="9" t="n">
        <v>200000</v>
      </c>
      <c r="AE401" s="9" t="n">
        <v>200000</v>
      </c>
      <c r="AF401" s="9" t="n">
        <v>200000</v>
      </c>
      <c r="AG401" s="9" t="n">
        <v>200000</v>
      </c>
      <c r="AH401" s="9" t="n">
        <v>200000</v>
      </c>
      <c r="AI401" s="9" t="n">
        <v>200000</v>
      </c>
      <c r="AJ401" s="9" t="n">
        <f aca="false">X401*$V401</f>
        <v>144000</v>
      </c>
      <c r="AK401" s="9" t="n">
        <f aca="false">Y401*$V401</f>
        <v>144000</v>
      </c>
      <c r="AL401" s="9" t="n">
        <f aca="false">Z401*$V401</f>
        <v>144000</v>
      </c>
      <c r="AM401" s="9" t="n">
        <f aca="false">AA401*$V401</f>
        <v>144000</v>
      </c>
      <c r="AN401" s="9" t="n">
        <f aca="false">AB401*$V401</f>
        <v>144000</v>
      </c>
      <c r="AO401" s="9" t="n">
        <f aca="false">AC401*$V401</f>
        <v>144000</v>
      </c>
      <c r="AP401" s="9" t="n">
        <f aca="false">AD401*$V401</f>
        <v>144000</v>
      </c>
      <c r="AQ401" s="9" t="n">
        <f aca="false">AE401*$V401</f>
        <v>144000</v>
      </c>
      <c r="AR401" s="9" t="n">
        <f aca="false">AF401*$V401</f>
        <v>144000</v>
      </c>
      <c r="AS401" s="9" t="n">
        <f aca="false">AG401*$V401</f>
        <v>144000</v>
      </c>
      <c r="AT401" s="9" t="n">
        <f aca="false">AH401*$V401</f>
        <v>144000</v>
      </c>
      <c r="AU401" s="9" t="n">
        <f aca="false">AI401*$V401</f>
        <v>144000</v>
      </c>
      <c r="AV401" s="9" t="n">
        <f aca="false">SUM(X401:AI401)/1000</f>
        <v>2400</v>
      </c>
      <c r="AW401" s="9" t="n">
        <f aca="false">SUM(AJ401:AU401)</f>
        <v>1728000</v>
      </c>
      <c r="AX401" s="9" t="n">
        <f aca="false">IF(D401="INR",AW401/88.24,AW401)/1000000</f>
        <v>0.0195829555757026</v>
      </c>
    </row>
    <row r="402" s="2" customFormat="true" ht="14.25" hidden="false" customHeight="false" outlineLevel="0" collapsed="false">
      <c r="A402" s="35"/>
      <c r="B402" s="9" t="n">
        <v>5</v>
      </c>
      <c r="C402" s="10"/>
      <c r="D402" s="9" t="s">
        <v>50</v>
      </c>
      <c r="E402" s="9" t="s">
        <v>51</v>
      </c>
      <c r="F402" s="9" t="s">
        <v>404</v>
      </c>
      <c r="G402" s="9"/>
      <c r="H402" s="9" t="s">
        <v>770</v>
      </c>
      <c r="I402" s="9" t="s">
        <v>105</v>
      </c>
      <c r="J402" s="9"/>
      <c r="K402" s="9"/>
      <c r="L402" s="9"/>
      <c r="M402" s="9"/>
      <c r="N402" s="9" t="s">
        <v>271</v>
      </c>
      <c r="O402" s="9"/>
      <c r="P402" s="9" t="s">
        <v>85</v>
      </c>
      <c r="Q402" s="9" t="s">
        <v>85</v>
      </c>
      <c r="R402" s="9"/>
      <c r="S402" s="9"/>
      <c r="T402" s="9" t="s">
        <v>884</v>
      </c>
      <c r="U402" s="9"/>
      <c r="V402" s="9" t="n">
        <v>71</v>
      </c>
      <c r="W402" s="9"/>
      <c r="X402" s="9" t="n">
        <v>2000</v>
      </c>
      <c r="Y402" s="9" t="n">
        <v>2000</v>
      </c>
      <c r="Z402" s="9" t="n">
        <v>2000</v>
      </c>
      <c r="AA402" s="9" t="n">
        <v>2000</v>
      </c>
      <c r="AB402" s="9" t="n">
        <v>2000</v>
      </c>
      <c r="AC402" s="9" t="n">
        <v>2000</v>
      </c>
      <c r="AD402" s="9" t="n">
        <v>2000</v>
      </c>
      <c r="AE402" s="9" t="n">
        <v>2000</v>
      </c>
      <c r="AF402" s="9" t="n">
        <v>2000</v>
      </c>
      <c r="AG402" s="9"/>
      <c r="AH402" s="9" t="n">
        <v>2000</v>
      </c>
      <c r="AI402" s="9" t="n">
        <v>2000</v>
      </c>
      <c r="AJ402" s="9" t="n">
        <f aca="false">X402*$V402</f>
        <v>142000</v>
      </c>
      <c r="AK402" s="9" t="n">
        <f aca="false">Y402*$V402</f>
        <v>142000</v>
      </c>
      <c r="AL402" s="9" t="n">
        <f aca="false">Z402*$V402</f>
        <v>142000</v>
      </c>
      <c r="AM402" s="9" t="n">
        <f aca="false">AA402*$V402</f>
        <v>142000</v>
      </c>
      <c r="AN402" s="9" t="n">
        <f aca="false">AB402*$V402</f>
        <v>142000</v>
      </c>
      <c r="AO402" s="9" t="n">
        <f aca="false">AC402*$V402</f>
        <v>142000</v>
      </c>
      <c r="AP402" s="9" t="n">
        <f aca="false">AD402*$V402</f>
        <v>142000</v>
      </c>
      <c r="AQ402" s="9" t="n">
        <f aca="false">AE402*$V402</f>
        <v>142000</v>
      </c>
      <c r="AR402" s="9" t="n">
        <f aca="false">AF402*$V402</f>
        <v>142000</v>
      </c>
      <c r="AS402" s="9" t="n">
        <f aca="false">AG402*$V402</f>
        <v>0</v>
      </c>
      <c r="AT402" s="9" t="n">
        <f aca="false">AH402*$V402</f>
        <v>142000</v>
      </c>
      <c r="AU402" s="9" t="n">
        <f aca="false">AI402*$V402</f>
        <v>142000</v>
      </c>
      <c r="AV402" s="9" t="n">
        <f aca="false">SUM(X402:AI402)/1000</f>
        <v>22</v>
      </c>
      <c r="AW402" s="9" t="n">
        <f aca="false">SUM(AJ402:AU402)</f>
        <v>1562000</v>
      </c>
      <c r="AX402" s="9" t="n">
        <f aca="false">IF(D402="INR",AW402/88.24,AW402)/1000000</f>
        <v>0.017701722574796</v>
      </c>
    </row>
    <row r="403" s="2" customFormat="true" ht="16.4" hidden="false" customHeight="false" outlineLevel="0" collapsed="false">
      <c r="A403" s="35" t="s">
        <v>885</v>
      </c>
      <c r="B403" s="9"/>
      <c r="C403" s="15"/>
      <c r="D403" s="16" t="s">
        <v>102</v>
      </c>
      <c r="E403" s="16" t="s">
        <v>51</v>
      </c>
      <c r="F403" s="16" t="s">
        <v>52</v>
      </c>
      <c r="G403" s="16" t="s">
        <v>254</v>
      </c>
      <c r="H403" s="16" t="s">
        <v>255</v>
      </c>
      <c r="I403" s="16" t="s">
        <v>105</v>
      </c>
      <c r="J403" s="16" t="s">
        <v>270</v>
      </c>
      <c r="K403" s="16"/>
      <c r="L403" s="16" t="s">
        <v>105</v>
      </c>
      <c r="M403" s="16" t="s">
        <v>270</v>
      </c>
      <c r="N403" s="16" t="s">
        <v>67</v>
      </c>
      <c r="O403" s="16" t="s">
        <v>246</v>
      </c>
      <c r="P403" s="9" t="s">
        <v>380</v>
      </c>
      <c r="Q403" s="9" t="s">
        <v>380</v>
      </c>
      <c r="R403" s="9" t="s">
        <v>442</v>
      </c>
      <c r="S403" s="9" t="s">
        <v>443</v>
      </c>
      <c r="T403" s="9" t="s">
        <v>872</v>
      </c>
      <c r="U403" s="9" t="s">
        <v>73</v>
      </c>
      <c r="V403" s="9" t="n">
        <v>0.275</v>
      </c>
      <c r="W403" s="9" t="n">
        <v>0.247</v>
      </c>
      <c r="X403" s="23"/>
      <c r="Y403" s="23"/>
      <c r="Z403" s="23"/>
      <c r="AA403" s="23" t="n">
        <v>10000</v>
      </c>
      <c r="AB403" s="23"/>
      <c r="AC403" s="23"/>
      <c r="AD403" s="23"/>
      <c r="AE403" s="23"/>
      <c r="AF403" s="23"/>
      <c r="AG403" s="23"/>
      <c r="AH403" s="23"/>
      <c r="AI403" s="23"/>
      <c r="AJ403" s="9" t="n">
        <f aca="false">X403*$V403</f>
        <v>0</v>
      </c>
      <c r="AK403" s="9" t="n">
        <f aca="false">Y403*$V403</f>
        <v>0</v>
      </c>
      <c r="AL403" s="9" t="n">
        <f aca="false">Z403*$V403</f>
        <v>0</v>
      </c>
      <c r="AM403" s="9" t="n">
        <f aca="false">AA403*$V403</f>
        <v>2750</v>
      </c>
      <c r="AN403" s="9" t="n">
        <f aca="false">AB403*$V403</f>
        <v>0</v>
      </c>
      <c r="AO403" s="9" t="n">
        <f aca="false">AC403*$V403</f>
        <v>0</v>
      </c>
      <c r="AP403" s="9" t="n">
        <f aca="false">AD403*$V403</f>
        <v>0</v>
      </c>
      <c r="AQ403" s="9" t="n">
        <f aca="false">AE403*$V403</f>
        <v>0</v>
      </c>
      <c r="AR403" s="9" t="n">
        <f aca="false">AF403*$V403</f>
        <v>0</v>
      </c>
      <c r="AS403" s="9" t="n">
        <f aca="false">AG403*$V403</f>
        <v>0</v>
      </c>
      <c r="AT403" s="9" t="n">
        <f aca="false">AH403*$V403</f>
        <v>0</v>
      </c>
      <c r="AU403" s="9" t="n">
        <f aca="false">AI403*$V403</f>
        <v>0</v>
      </c>
      <c r="AV403" s="9" t="n">
        <f aca="false">SUM(X403:AI403)/1000</f>
        <v>10</v>
      </c>
      <c r="AW403" s="9" t="n">
        <f aca="false">SUM(AJ403:AU403)</f>
        <v>2750</v>
      </c>
      <c r="AX403" s="9" t="n">
        <f aca="false">IF(D403="INR",AW403/88.24,AW403)/1000000</f>
        <v>0.00275</v>
      </c>
    </row>
    <row r="404" s="2" customFormat="true" ht="14.25" hidden="false" customHeight="false" outlineLevel="0" collapsed="false">
      <c r="A404" s="12" t="s">
        <v>886</v>
      </c>
      <c r="B404" s="16" t="n">
        <v>5</v>
      </c>
      <c r="C404" s="15"/>
      <c r="D404" s="16" t="s">
        <v>50</v>
      </c>
      <c r="E404" s="16" t="s">
        <v>51</v>
      </c>
      <c r="F404" s="16" t="s">
        <v>404</v>
      </c>
      <c r="G404" s="16" t="s">
        <v>405</v>
      </c>
      <c r="H404" s="16" t="s">
        <v>406</v>
      </c>
      <c r="I404" s="16" t="s">
        <v>105</v>
      </c>
      <c r="J404" s="16" t="s">
        <v>368</v>
      </c>
      <c r="K404" s="16"/>
      <c r="L404" s="16" t="s">
        <v>105</v>
      </c>
      <c r="M404" s="16" t="s">
        <v>368</v>
      </c>
      <c r="N404" s="16" t="s">
        <v>271</v>
      </c>
      <c r="O404" s="16" t="s">
        <v>94</v>
      </c>
      <c r="P404" s="16" t="s">
        <v>308</v>
      </c>
      <c r="Q404" s="16" t="s">
        <v>308</v>
      </c>
      <c r="R404" s="16" t="s">
        <v>309</v>
      </c>
      <c r="S404" s="16" t="s">
        <v>264</v>
      </c>
      <c r="T404" s="16" t="s">
        <v>887</v>
      </c>
      <c r="U404" s="16" t="s">
        <v>73</v>
      </c>
      <c r="V404" s="16" t="n">
        <v>9.3</v>
      </c>
      <c r="W404" s="16" t="n">
        <v>8.04</v>
      </c>
      <c r="X404" s="16"/>
      <c r="Y404" s="16" t="n">
        <v>15000</v>
      </c>
      <c r="Z404" s="16" t="n">
        <v>15000</v>
      </c>
      <c r="AA404" s="16"/>
      <c r="AB404" s="16"/>
      <c r="AC404" s="16" t="n">
        <v>15000</v>
      </c>
      <c r="AD404" s="16" t="n">
        <v>15000</v>
      </c>
      <c r="AE404" s="16"/>
      <c r="AF404" s="16" t="n">
        <v>15000</v>
      </c>
      <c r="AG404" s="16"/>
      <c r="AH404" s="16" t="n">
        <v>15000</v>
      </c>
      <c r="AI404" s="16"/>
      <c r="AJ404" s="9" t="n">
        <f aca="false">X404*$V404</f>
        <v>0</v>
      </c>
      <c r="AK404" s="9" t="n">
        <f aca="false">Y404*$V404</f>
        <v>139500</v>
      </c>
      <c r="AL404" s="9" t="n">
        <f aca="false">Z404*$V404</f>
        <v>139500</v>
      </c>
      <c r="AM404" s="9" t="n">
        <f aca="false">AA404*$V404</f>
        <v>0</v>
      </c>
      <c r="AN404" s="9" t="n">
        <f aca="false">AB404*$V404</f>
        <v>0</v>
      </c>
      <c r="AO404" s="9" t="n">
        <f aca="false">AC404*$V404</f>
        <v>139500</v>
      </c>
      <c r="AP404" s="9" t="n">
        <f aca="false">AD404*$V404</f>
        <v>139500</v>
      </c>
      <c r="AQ404" s="9" t="n">
        <f aca="false">AE404*$V404</f>
        <v>0</v>
      </c>
      <c r="AR404" s="9" t="n">
        <f aca="false">AF404*$V404</f>
        <v>139500</v>
      </c>
      <c r="AS404" s="9" t="n">
        <f aca="false">AG404*$V404</f>
        <v>0</v>
      </c>
      <c r="AT404" s="9" t="n">
        <f aca="false">AH404*$V404</f>
        <v>139500</v>
      </c>
      <c r="AU404" s="9" t="n">
        <f aca="false">AI404*$V404</f>
        <v>0</v>
      </c>
      <c r="AV404" s="9" t="n">
        <f aca="false">SUM(X404:AI404)/1000</f>
        <v>90</v>
      </c>
      <c r="AW404" s="9" t="n">
        <f aca="false">SUM(AJ404:AU404)</f>
        <v>837000</v>
      </c>
      <c r="AX404" s="9" t="n">
        <f aca="false">IF(D404="INR",AW404/88.24,AW404)/1000000</f>
        <v>0.00948549410698096</v>
      </c>
    </row>
    <row r="405" s="2" customFormat="true" ht="14.25" hidden="false" customHeight="false" outlineLevel="0" collapsed="false">
      <c r="A405" s="12" t="s">
        <v>888</v>
      </c>
      <c r="B405" s="16"/>
      <c r="C405" s="15" t="n">
        <v>5</v>
      </c>
      <c r="D405" s="16" t="s">
        <v>102</v>
      </c>
      <c r="E405" s="16" t="s">
        <v>51</v>
      </c>
      <c r="F405" s="16" t="s">
        <v>356</v>
      </c>
      <c r="G405" s="16" t="s">
        <v>889</v>
      </c>
      <c r="H405" s="16" t="s">
        <v>890</v>
      </c>
      <c r="I405" s="16" t="s">
        <v>105</v>
      </c>
      <c r="J405" s="16" t="s">
        <v>891</v>
      </c>
      <c r="K405" s="16"/>
      <c r="L405" s="16" t="s">
        <v>105</v>
      </c>
      <c r="M405" s="16" t="s">
        <v>891</v>
      </c>
      <c r="N405" s="16" t="s">
        <v>79</v>
      </c>
      <c r="O405" s="16" t="s">
        <v>246</v>
      </c>
      <c r="P405" s="16" t="s">
        <v>851</v>
      </c>
      <c r="Q405" s="16" t="s">
        <v>851</v>
      </c>
      <c r="R405" s="16" t="s">
        <v>892</v>
      </c>
      <c r="S405" s="16" t="s">
        <v>363</v>
      </c>
      <c r="T405" s="16" t="s">
        <v>854</v>
      </c>
      <c r="U405" s="16" t="s">
        <v>73</v>
      </c>
      <c r="V405" s="16" t="n">
        <v>38.18</v>
      </c>
      <c r="W405" s="16" t="n">
        <v>31.82</v>
      </c>
      <c r="X405" s="22" t="n">
        <v>0</v>
      </c>
      <c r="Y405" s="22"/>
      <c r="Z405" s="22"/>
      <c r="AA405" s="22"/>
      <c r="AB405" s="22" t="n">
        <v>100</v>
      </c>
      <c r="AC405" s="22"/>
      <c r="AD405" s="22"/>
      <c r="AE405" s="22"/>
      <c r="AF405" s="22"/>
      <c r="AG405" s="22"/>
      <c r="AH405" s="22"/>
      <c r="AI405" s="22"/>
      <c r="AJ405" s="9" t="n">
        <f aca="false">X405*$V405</f>
        <v>0</v>
      </c>
      <c r="AK405" s="9" t="n">
        <f aca="false">Y405*$V405</f>
        <v>0</v>
      </c>
      <c r="AL405" s="9" t="n">
        <f aca="false">Z405*$V405</f>
        <v>0</v>
      </c>
      <c r="AM405" s="9" t="n">
        <f aca="false">AA405*$V405</f>
        <v>0</v>
      </c>
      <c r="AN405" s="9" t="n">
        <f aca="false">AB405*$V405</f>
        <v>3818</v>
      </c>
      <c r="AO405" s="9" t="n">
        <f aca="false">AC405*$V405</f>
        <v>0</v>
      </c>
      <c r="AP405" s="9" t="n">
        <f aca="false">AD405*$V405</f>
        <v>0</v>
      </c>
      <c r="AQ405" s="9" t="n">
        <f aca="false">AE405*$V405</f>
        <v>0</v>
      </c>
      <c r="AR405" s="9" t="n">
        <f aca="false">AF405*$V405</f>
        <v>0</v>
      </c>
      <c r="AS405" s="9" t="n">
        <f aca="false">AG405*$V405</f>
        <v>0</v>
      </c>
      <c r="AT405" s="9" t="n">
        <f aca="false">AH405*$V405</f>
        <v>0</v>
      </c>
      <c r="AU405" s="9" t="n">
        <f aca="false">AI405*$V405</f>
        <v>0</v>
      </c>
      <c r="AV405" s="9" t="n">
        <f aca="false">SUM(X405:AI405)/1000</f>
        <v>0.1</v>
      </c>
      <c r="AW405" s="9" t="n">
        <f aca="false">SUM(AJ405:AU405)</f>
        <v>3818</v>
      </c>
      <c r="AX405" s="9" t="n">
        <f aca="false">IF(D405="INR",AW405/88.24,AW405)/1000000</f>
        <v>0.003818</v>
      </c>
    </row>
    <row r="406" s="2" customFormat="true" ht="14.25" hidden="false" customHeight="false" outlineLevel="0" collapsed="false">
      <c r="A406" s="9" t="s">
        <v>893</v>
      </c>
      <c r="B406" s="9"/>
      <c r="C406" s="10"/>
      <c r="D406" s="9" t="s">
        <v>50</v>
      </c>
      <c r="E406" s="9" t="s">
        <v>51</v>
      </c>
      <c r="F406" s="9" t="s">
        <v>52</v>
      </c>
      <c r="G406" s="9" t="s">
        <v>258</v>
      </c>
      <c r="H406" s="9" t="s">
        <v>259</v>
      </c>
      <c r="I406" s="9" t="s">
        <v>260</v>
      </c>
      <c r="J406" s="9" t="s">
        <v>261</v>
      </c>
      <c r="K406" s="9"/>
      <c r="L406" s="9" t="s">
        <v>260</v>
      </c>
      <c r="M406" s="9" t="s">
        <v>261</v>
      </c>
      <c r="N406" s="16" t="s">
        <v>67</v>
      </c>
      <c r="O406" s="9" t="s">
        <v>107</v>
      </c>
      <c r="P406" s="9" t="s">
        <v>283</v>
      </c>
      <c r="Q406" s="9" t="s">
        <v>283</v>
      </c>
      <c r="R406" s="9" t="s">
        <v>81</v>
      </c>
      <c r="S406" s="9" t="s">
        <v>264</v>
      </c>
      <c r="T406" s="9" t="s">
        <v>894</v>
      </c>
      <c r="U406" s="9" t="s">
        <v>73</v>
      </c>
      <c r="V406" s="9" t="n">
        <v>8.65</v>
      </c>
      <c r="W406" s="9" t="n">
        <v>7.84</v>
      </c>
      <c r="X406" s="9" t="n">
        <v>16000</v>
      </c>
      <c r="Y406" s="9" t="n">
        <v>16000</v>
      </c>
      <c r="Z406" s="9" t="n">
        <v>16000</v>
      </c>
      <c r="AA406" s="9" t="n">
        <v>16000</v>
      </c>
      <c r="AB406" s="9" t="n">
        <v>16000</v>
      </c>
      <c r="AC406" s="9" t="n">
        <v>16000</v>
      </c>
      <c r="AD406" s="9" t="n">
        <v>16000</v>
      </c>
      <c r="AE406" s="9" t="n">
        <v>16000</v>
      </c>
      <c r="AF406" s="9" t="n">
        <v>16000</v>
      </c>
      <c r="AG406" s="9" t="n">
        <v>16000</v>
      </c>
      <c r="AH406" s="9" t="n">
        <v>16000</v>
      </c>
      <c r="AI406" s="9" t="n">
        <v>16000</v>
      </c>
      <c r="AJ406" s="9" t="n">
        <f aca="false">X406*$V406</f>
        <v>138400</v>
      </c>
      <c r="AK406" s="9" t="n">
        <f aca="false">Y406*$V406</f>
        <v>138400</v>
      </c>
      <c r="AL406" s="9" t="n">
        <f aca="false">Z406*$V406</f>
        <v>138400</v>
      </c>
      <c r="AM406" s="9" t="n">
        <f aca="false">AA406*$V406</f>
        <v>138400</v>
      </c>
      <c r="AN406" s="9" t="n">
        <f aca="false">AB406*$V406</f>
        <v>138400</v>
      </c>
      <c r="AO406" s="9" t="n">
        <f aca="false">AC406*$V406</f>
        <v>138400</v>
      </c>
      <c r="AP406" s="9" t="n">
        <f aca="false">AD406*$V406</f>
        <v>138400</v>
      </c>
      <c r="AQ406" s="9" t="n">
        <f aca="false">AE406*$V406</f>
        <v>138400</v>
      </c>
      <c r="AR406" s="9" t="n">
        <f aca="false">AF406*$V406</f>
        <v>138400</v>
      </c>
      <c r="AS406" s="9" t="n">
        <f aca="false">AG406*$V406</f>
        <v>138400</v>
      </c>
      <c r="AT406" s="9" t="n">
        <f aca="false">AH406*$V406</f>
        <v>138400</v>
      </c>
      <c r="AU406" s="9" t="n">
        <f aca="false">AI406*$V406</f>
        <v>138400</v>
      </c>
      <c r="AV406" s="9" t="n">
        <f aca="false">SUM(X406:AI406)/1000</f>
        <v>192</v>
      </c>
      <c r="AW406" s="9" t="n">
        <f aca="false">SUM(AJ406:AU406)</f>
        <v>1660800</v>
      </c>
      <c r="AX406" s="9" t="n">
        <f aca="false">IF(D406="INR",AW406/88.24,AW406)/1000000</f>
        <v>0.0188213961922031</v>
      </c>
    </row>
    <row r="407" s="2" customFormat="true" ht="14.25" hidden="false" customHeight="false" outlineLevel="0" collapsed="false">
      <c r="A407" s="9" t="s">
        <v>895</v>
      </c>
      <c r="B407" s="9" t="n">
        <v>5</v>
      </c>
      <c r="C407" s="10"/>
      <c r="D407" s="9" t="s">
        <v>50</v>
      </c>
      <c r="E407" s="9" t="s">
        <v>51</v>
      </c>
      <c r="F407" s="9" t="s">
        <v>52</v>
      </c>
      <c r="G407" s="9" t="s">
        <v>53</v>
      </c>
      <c r="H407" s="9" t="s">
        <v>54</v>
      </c>
      <c r="I407" s="9" t="s">
        <v>55</v>
      </c>
      <c r="J407" s="9" t="s">
        <v>56</v>
      </c>
      <c r="K407" s="9" t="s">
        <v>54</v>
      </c>
      <c r="L407" s="9" t="s">
        <v>55</v>
      </c>
      <c r="M407" s="9" t="s">
        <v>56</v>
      </c>
      <c r="N407" s="9" t="s">
        <v>57</v>
      </c>
      <c r="O407" s="9" t="s">
        <v>58</v>
      </c>
      <c r="P407" s="9" t="s">
        <v>308</v>
      </c>
      <c r="Q407" s="9" t="s">
        <v>308</v>
      </c>
      <c r="R407" s="9" t="s">
        <v>309</v>
      </c>
      <c r="S407" s="9" t="s">
        <v>264</v>
      </c>
      <c r="T407" s="9" t="s">
        <v>896</v>
      </c>
      <c r="U407" s="9" t="s">
        <v>73</v>
      </c>
      <c r="V407" s="9" t="n">
        <v>0.68</v>
      </c>
      <c r="W407" s="9" t="n">
        <v>0.62</v>
      </c>
      <c r="X407" s="9" t="n">
        <v>200000</v>
      </c>
      <c r="Y407" s="9" t="n">
        <v>200000</v>
      </c>
      <c r="Z407" s="9" t="n">
        <v>200000</v>
      </c>
      <c r="AA407" s="9" t="n">
        <v>200000</v>
      </c>
      <c r="AB407" s="9" t="n">
        <v>200000</v>
      </c>
      <c r="AC407" s="9" t="n">
        <v>200000</v>
      </c>
      <c r="AD407" s="9" t="n">
        <v>200000</v>
      </c>
      <c r="AE407" s="9" t="n">
        <v>200000</v>
      </c>
      <c r="AF407" s="9" t="n">
        <v>200000</v>
      </c>
      <c r="AG407" s="9" t="n">
        <v>200000</v>
      </c>
      <c r="AH407" s="9" t="n">
        <v>200000</v>
      </c>
      <c r="AI407" s="9" t="n">
        <v>200000</v>
      </c>
      <c r="AJ407" s="9" t="n">
        <f aca="false">X407*$V407</f>
        <v>136000</v>
      </c>
      <c r="AK407" s="9" t="n">
        <f aca="false">Y407*$V407</f>
        <v>136000</v>
      </c>
      <c r="AL407" s="9" t="n">
        <f aca="false">Z407*$V407</f>
        <v>136000</v>
      </c>
      <c r="AM407" s="9" t="n">
        <f aca="false">AA407*$V407</f>
        <v>136000</v>
      </c>
      <c r="AN407" s="9" t="n">
        <f aca="false">AB407*$V407</f>
        <v>136000</v>
      </c>
      <c r="AO407" s="9" t="n">
        <f aca="false">AC407*$V407</f>
        <v>136000</v>
      </c>
      <c r="AP407" s="9" t="n">
        <f aca="false">AD407*$V407</f>
        <v>136000</v>
      </c>
      <c r="AQ407" s="9" t="n">
        <f aca="false">AE407*$V407</f>
        <v>136000</v>
      </c>
      <c r="AR407" s="9" t="n">
        <f aca="false">AF407*$V407</f>
        <v>136000</v>
      </c>
      <c r="AS407" s="9" t="n">
        <f aca="false">AG407*$V407</f>
        <v>136000</v>
      </c>
      <c r="AT407" s="9" t="n">
        <f aca="false">AH407*$V407</f>
        <v>136000</v>
      </c>
      <c r="AU407" s="9" t="n">
        <f aca="false">AI407*$V407</f>
        <v>136000</v>
      </c>
      <c r="AV407" s="9" t="n">
        <f aca="false">SUM(X407:AI407)/1000</f>
        <v>2400</v>
      </c>
      <c r="AW407" s="9" t="n">
        <f aca="false">SUM(AJ407:AU407)</f>
        <v>1632000</v>
      </c>
      <c r="AX407" s="9" t="n">
        <f aca="false">IF(D407="INR",AW407/88.24,AW407)/1000000</f>
        <v>0.0184950135992747</v>
      </c>
    </row>
    <row r="408" s="2" customFormat="true" ht="14.25" hidden="false" customHeight="false" outlineLevel="0" collapsed="false">
      <c r="A408" s="12" t="s">
        <v>897</v>
      </c>
      <c r="B408" s="16" t="n">
        <v>5</v>
      </c>
      <c r="C408" s="15"/>
      <c r="D408" s="16" t="s">
        <v>50</v>
      </c>
      <c r="E408" s="16" t="s">
        <v>51</v>
      </c>
      <c r="F408" s="16" t="s">
        <v>267</v>
      </c>
      <c r="G408" s="16" t="s">
        <v>898</v>
      </c>
      <c r="H408" s="16" t="s">
        <v>899</v>
      </c>
      <c r="I408" s="16" t="s">
        <v>105</v>
      </c>
      <c r="J408" s="16" t="s">
        <v>900</v>
      </c>
      <c r="K408" s="16"/>
      <c r="L408" s="16" t="s">
        <v>105</v>
      </c>
      <c r="M408" s="16" t="s">
        <v>900</v>
      </c>
      <c r="N408" s="16" t="s">
        <v>271</v>
      </c>
      <c r="O408" s="16" t="s">
        <v>94</v>
      </c>
      <c r="P408" s="16" t="s">
        <v>59</v>
      </c>
      <c r="Q408" s="16" t="s">
        <v>59</v>
      </c>
      <c r="R408" s="16" t="s">
        <v>60</v>
      </c>
      <c r="S408" s="16" t="s">
        <v>61</v>
      </c>
      <c r="T408" s="16" t="s">
        <v>901</v>
      </c>
      <c r="U408" s="16" t="s">
        <v>73</v>
      </c>
      <c r="V408" s="16" t="n">
        <v>528</v>
      </c>
      <c r="W408" s="16" t="n">
        <v>0</v>
      </c>
      <c r="X408" s="16" t="n">
        <v>250</v>
      </c>
      <c r="Y408" s="16"/>
      <c r="Z408" s="16" t="n">
        <v>250</v>
      </c>
      <c r="AA408" s="16" t="n">
        <v>250</v>
      </c>
      <c r="AB408" s="16"/>
      <c r="AC408" s="16" t="n">
        <v>250</v>
      </c>
      <c r="AD408" s="16"/>
      <c r="AE408" s="16" t="n">
        <v>250</v>
      </c>
      <c r="AF408" s="16" t="n">
        <v>250</v>
      </c>
      <c r="AG408" s="16"/>
      <c r="AH408" s="16"/>
      <c r="AI408" s="16" t="n">
        <v>250</v>
      </c>
      <c r="AJ408" s="9" t="n">
        <f aca="false">X408*$V408</f>
        <v>132000</v>
      </c>
      <c r="AK408" s="9" t="n">
        <f aca="false">Y408*$V408</f>
        <v>0</v>
      </c>
      <c r="AL408" s="9" t="n">
        <f aca="false">Z408*$V408</f>
        <v>132000</v>
      </c>
      <c r="AM408" s="9" t="n">
        <f aca="false">AA408*$V408</f>
        <v>132000</v>
      </c>
      <c r="AN408" s="9" t="n">
        <f aca="false">AB408*$V408</f>
        <v>0</v>
      </c>
      <c r="AO408" s="9" t="n">
        <f aca="false">AC408*$V408</f>
        <v>132000</v>
      </c>
      <c r="AP408" s="9" t="n">
        <f aca="false">AD408*$V408</f>
        <v>0</v>
      </c>
      <c r="AQ408" s="9" t="n">
        <f aca="false">AE408*$V408</f>
        <v>132000</v>
      </c>
      <c r="AR408" s="9" t="n">
        <f aca="false">AF408*$V408</f>
        <v>132000</v>
      </c>
      <c r="AS408" s="9" t="n">
        <f aca="false">AG408*$V408</f>
        <v>0</v>
      </c>
      <c r="AT408" s="9" t="n">
        <f aca="false">AH408*$V408</f>
        <v>0</v>
      </c>
      <c r="AU408" s="9" t="n">
        <f aca="false">AI408*$V408</f>
        <v>132000</v>
      </c>
      <c r="AV408" s="9" t="n">
        <f aca="false">SUM(X408:AI408)/1000</f>
        <v>1.75</v>
      </c>
      <c r="AW408" s="9" t="n">
        <f aca="false">SUM(AJ408:AU408)</f>
        <v>924000</v>
      </c>
      <c r="AX408" s="9" t="n">
        <f aca="false">IF(D408="INR",AW408/88.24,AW408)/1000000</f>
        <v>0.0104714415231188</v>
      </c>
    </row>
    <row r="409" s="2" customFormat="true" ht="14.25" hidden="false" customHeight="false" outlineLevel="0" collapsed="false">
      <c r="A409" s="9"/>
      <c r="B409" s="9" t="n">
        <v>1</v>
      </c>
      <c r="C409" s="10"/>
      <c r="D409" s="9" t="s">
        <v>50</v>
      </c>
      <c r="E409" s="9"/>
      <c r="F409" s="9" t="s">
        <v>243</v>
      </c>
      <c r="G409" s="9"/>
      <c r="H409" s="9" t="s">
        <v>804</v>
      </c>
      <c r="I409" s="9"/>
      <c r="J409" s="9"/>
      <c r="K409" s="9"/>
      <c r="L409" s="9"/>
      <c r="M409" s="9"/>
      <c r="N409" s="9" t="s">
        <v>93</v>
      </c>
      <c r="O409" s="9" t="s">
        <v>246</v>
      </c>
      <c r="P409" s="9"/>
      <c r="Q409" s="9" t="s">
        <v>902</v>
      </c>
      <c r="R409" s="9"/>
      <c r="S409" s="9"/>
      <c r="T409" s="9" t="s">
        <v>501</v>
      </c>
      <c r="U409" s="9"/>
      <c r="V409" s="10" t="n">
        <v>4.4</v>
      </c>
      <c r="W409" s="9"/>
      <c r="X409" s="9" t="n">
        <v>30000</v>
      </c>
      <c r="Y409" s="9" t="n">
        <v>30000</v>
      </c>
      <c r="Z409" s="9" t="n">
        <v>30000</v>
      </c>
      <c r="AA409" s="9" t="n">
        <v>30000</v>
      </c>
      <c r="AB409" s="9" t="n">
        <v>30000</v>
      </c>
      <c r="AC409" s="9" t="n">
        <v>30000</v>
      </c>
      <c r="AD409" s="9" t="n">
        <v>30000</v>
      </c>
      <c r="AE409" s="9" t="n">
        <v>30000</v>
      </c>
      <c r="AF409" s="9" t="n">
        <v>30000</v>
      </c>
      <c r="AG409" s="9" t="n">
        <v>30000</v>
      </c>
      <c r="AH409" s="9" t="n">
        <v>30000</v>
      </c>
      <c r="AI409" s="9" t="n">
        <v>30000</v>
      </c>
      <c r="AJ409" s="9" t="n">
        <f aca="false">X409*$V409</f>
        <v>132000</v>
      </c>
      <c r="AK409" s="9" t="n">
        <f aca="false">Y409*$V409</f>
        <v>132000</v>
      </c>
      <c r="AL409" s="9" t="n">
        <f aca="false">Z409*$V409</f>
        <v>132000</v>
      </c>
      <c r="AM409" s="9" t="n">
        <f aca="false">AA409*$V409</f>
        <v>132000</v>
      </c>
      <c r="AN409" s="9" t="n">
        <f aca="false">AB409*$V409</f>
        <v>132000</v>
      </c>
      <c r="AO409" s="9" t="n">
        <f aca="false">AC409*$V409</f>
        <v>132000</v>
      </c>
      <c r="AP409" s="9" t="n">
        <f aca="false">AD409*$V409</f>
        <v>132000</v>
      </c>
      <c r="AQ409" s="9" t="n">
        <f aca="false">AE409*$V409</f>
        <v>132000</v>
      </c>
      <c r="AR409" s="9" t="n">
        <f aca="false">AF409*$V409</f>
        <v>132000</v>
      </c>
      <c r="AS409" s="9" t="n">
        <f aca="false">AG409*$V409</f>
        <v>132000</v>
      </c>
      <c r="AT409" s="9" t="n">
        <f aca="false">AH409*$V409</f>
        <v>132000</v>
      </c>
      <c r="AU409" s="9" t="n">
        <f aca="false">AI409*$V409</f>
        <v>132000</v>
      </c>
      <c r="AV409" s="9" t="n">
        <f aca="false">SUM(X409:AI409)/1000</f>
        <v>360</v>
      </c>
      <c r="AW409" s="9" t="n">
        <f aca="false">SUM(AJ409:AU409)</f>
        <v>1584000</v>
      </c>
      <c r="AX409" s="9" t="n">
        <f aca="false">IF(D409="INR",AW409/88.24,AW409)/1000000</f>
        <v>0.0179510426110607</v>
      </c>
    </row>
    <row r="410" s="2" customFormat="true" ht="14.25" hidden="false" customHeight="false" outlineLevel="0" collapsed="false">
      <c r="A410" s="9" t="s">
        <v>903</v>
      </c>
      <c r="B410" s="9" t="n">
        <v>5</v>
      </c>
      <c r="C410" s="10"/>
      <c r="D410" s="9" t="s">
        <v>50</v>
      </c>
      <c r="E410" s="9" t="s">
        <v>51</v>
      </c>
      <c r="F410" s="9" t="s">
        <v>52</v>
      </c>
      <c r="G410" s="9" t="s">
        <v>494</v>
      </c>
      <c r="H410" s="9" t="s">
        <v>495</v>
      </c>
      <c r="I410" s="9" t="s">
        <v>77</v>
      </c>
      <c r="J410" s="9" t="s">
        <v>496</v>
      </c>
      <c r="K410" s="9" t="s">
        <v>495</v>
      </c>
      <c r="L410" s="9" t="s">
        <v>77</v>
      </c>
      <c r="M410" s="9" t="s">
        <v>496</v>
      </c>
      <c r="N410" s="9" t="s">
        <v>57</v>
      </c>
      <c r="O410" s="9" t="s">
        <v>94</v>
      </c>
      <c r="P410" s="9" t="s">
        <v>789</v>
      </c>
      <c r="Q410" s="9" t="s">
        <v>789</v>
      </c>
      <c r="R410" s="9" t="s">
        <v>377</v>
      </c>
      <c r="S410" s="9" t="s">
        <v>528</v>
      </c>
      <c r="T410" s="9" t="s">
        <v>904</v>
      </c>
      <c r="U410" s="9" t="s">
        <v>73</v>
      </c>
      <c r="V410" s="9" t="n">
        <v>16.2</v>
      </c>
      <c r="W410" s="9" t="n">
        <v>0.14</v>
      </c>
      <c r="X410" s="9" t="n">
        <v>8000</v>
      </c>
      <c r="Y410" s="9" t="n">
        <v>8000</v>
      </c>
      <c r="Z410" s="9" t="n">
        <v>8000</v>
      </c>
      <c r="AA410" s="9" t="n">
        <v>8000</v>
      </c>
      <c r="AB410" s="9" t="n">
        <v>8000</v>
      </c>
      <c r="AC410" s="9" t="n">
        <v>8000</v>
      </c>
      <c r="AD410" s="9" t="n">
        <v>8000</v>
      </c>
      <c r="AE410" s="9" t="n">
        <v>8000</v>
      </c>
      <c r="AF410" s="9" t="n">
        <v>8000</v>
      </c>
      <c r="AG410" s="9" t="n">
        <v>8000</v>
      </c>
      <c r="AH410" s="9" t="n">
        <v>8000</v>
      </c>
      <c r="AI410" s="9" t="n">
        <v>8000</v>
      </c>
      <c r="AJ410" s="9" t="n">
        <f aca="false">X410*$V410</f>
        <v>129600</v>
      </c>
      <c r="AK410" s="9" t="n">
        <f aca="false">Y410*$V410</f>
        <v>129600</v>
      </c>
      <c r="AL410" s="9" t="n">
        <f aca="false">Z410*$V410</f>
        <v>129600</v>
      </c>
      <c r="AM410" s="9" t="n">
        <f aca="false">AA410*$V410</f>
        <v>129600</v>
      </c>
      <c r="AN410" s="9" t="n">
        <f aca="false">AB410*$V410</f>
        <v>129600</v>
      </c>
      <c r="AO410" s="9" t="n">
        <f aca="false">AC410*$V410</f>
        <v>129600</v>
      </c>
      <c r="AP410" s="9" t="n">
        <f aca="false">AD410*$V410</f>
        <v>129600</v>
      </c>
      <c r="AQ410" s="9" t="n">
        <f aca="false">AE410*$V410</f>
        <v>129600</v>
      </c>
      <c r="AR410" s="9" t="n">
        <f aca="false">AF410*$V410</f>
        <v>129600</v>
      </c>
      <c r="AS410" s="9" t="n">
        <f aca="false">AG410*$V410</f>
        <v>129600</v>
      </c>
      <c r="AT410" s="9" t="n">
        <f aca="false">AH410*$V410</f>
        <v>129600</v>
      </c>
      <c r="AU410" s="9" t="n">
        <f aca="false">AI410*$V410</f>
        <v>129600</v>
      </c>
      <c r="AV410" s="9" t="n">
        <f aca="false">SUM(X410:AI410)/1000</f>
        <v>96</v>
      </c>
      <c r="AW410" s="9" t="n">
        <f aca="false">SUM(AJ410:AU410)</f>
        <v>1555200</v>
      </c>
      <c r="AX410" s="9" t="n">
        <f aca="false">IF(D410="INR",AW410/88.24,AW410)/1000000</f>
        <v>0.0176246600181324</v>
      </c>
    </row>
    <row r="411" s="2" customFormat="true" ht="14.25" hidden="false" customHeight="false" outlineLevel="0" collapsed="false">
      <c r="A411" s="12"/>
      <c r="B411" s="16" t="n">
        <v>1</v>
      </c>
      <c r="C411" s="15"/>
      <c r="D411" s="16" t="s">
        <v>50</v>
      </c>
      <c r="E411" s="16"/>
      <c r="F411" s="16" t="s">
        <v>52</v>
      </c>
      <c r="G411" s="16"/>
      <c r="H411" s="16" t="s">
        <v>905</v>
      </c>
      <c r="I411" s="16"/>
      <c r="J411" s="16"/>
      <c r="K411" s="16"/>
      <c r="L411" s="16"/>
      <c r="M411" s="16"/>
      <c r="N411" s="16" t="s">
        <v>67</v>
      </c>
      <c r="O411" s="16"/>
      <c r="P411" s="16" t="s">
        <v>906</v>
      </c>
      <c r="Q411" s="16" t="s">
        <v>906</v>
      </c>
      <c r="R411" s="16"/>
      <c r="S411" s="16"/>
      <c r="T411" s="16" t="s">
        <v>907</v>
      </c>
      <c r="U411" s="16" t="s">
        <v>63</v>
      </c>
      <c r="V411" s="16" t="n">
        <v>6.12</v>
      </c>
      <c r="W411" s="16"/>
      <c r="X411" s="22"/>
      <c r="Y411" s="22"/>
      <c r="Z411" s="22" t="n">
        <v>21000</v>
      </c>
      <c r="AA411" s="22"/>
      <c r="AB411" s="22"/>
      <c r="AC411" s="22" t="n">
        <v>21000</v>
      </c>
      <c r="AD411" s="22"/>
      <c r="AE411" s="22"/>
      <c r="AF411" s="22" t="n">
        <v>21000</v>
      </c>
      <c r="AG411" s="22"/>
      <c r="AH411" s="22"/>
      <c r="AI411" s="22" t="n">
        <v>21000</v>
      </c>
      <c r="AJ411" s="9" t="n">
        <f aca="false">X411*$V411</f>
        <v>0</v>
      </c>
      <c r="AK411" s="9" t="n">
        <f aca="false">Y411*$V411</f>
        <v>0</v>
      </c>
      <c r="AL411" s="9" t="n">
        <f aca="false">Z411*$V411</f>
        <v>128520</v>
      </c>
      <c r="AM411" s="9" t="n">
        <f aca="false">AA411*$V411</f>
        <v>0</v>
      </c>
      <c r="AN411" s="9" t="n">
        <f aca="false">AB411*$V411</f>
        <v>0</v>
      </c>
      <c r="AO411" s="9" t="n">
        <f aca="false">AC411*$V411</f>
        <v>128520</v>
      </c>
      <c r="AP411" s="9" t="n">
        <f aca="false">AD411*$V411</f>
        <v>0</v>
      </c>
      <c r="AQ411" s="9" t="n">
        <f aca="false">AE411*$V411</f>
        <v>0</v>
      </c>
      <c r="AR411" s="9" t="n">
        <f aca="false">AF411*$V411</f>
        <v>128520</v>
      </c>
      <c r="AS411" s="9" t="n">
        <f aca="false">AG411*$V411</f>
        <v>0</v>
      </c>
      <c r="AT411" s="9" t="n">
        <f aca="false">AH411*$V411</f>
        <v>0</v>
      </c>
      <c r="AU411" s="9" t="n">
        <f aca="false">AI411*$V411</f>
        <v>128520</v>
      </c>
      <c r="AV411" s="9" t="n">
        <f aca="false">SUM(X411:AI411)/1000</f>
        <v>84</v>
      </c>
      <c r="AW411" s="9" t="n">
        <f aca="false">SUM(AJ411:AU411)</f>
        <v>514080</v>
      </c>
      <c r="AX411" s="9" t="n">
        <f aca="false">IF(D411="INR",AW411/88.24,AW411)/1000000</f>
        <v>0.00582592928377153</v>
      </c>
    </row>
    <row r="412" s="2" customFormat="true" ht="14.25" hidden="false" customHeight="false" outlineLevel="0" collapsed="false">
      <c r="A412" s="9"/>
      <c r="B412" s="9" t="n">
        <v>5</v>
      </c>
      <c r="C412" s="15"/>
      <c r="D412" s="16" t="s">
        <v>102</v>
      </c>
      <c r="E412" s="16" t="s">
        <v>51</v>
      </c>
      <c r="F412" s="16" t="s">
        <v>52</v>
      </c>
      <c r="G412" s="16" t="s">
        <v>908</v>
      </c>
      <c r="H412" s="9" t="s">
        <v>909</v>
      </c>
      <c r="I412" s="16" t="s">
        <v>105</v>
      </c>
      <c r="J412" s="16" t="s">
        <v>806</v>
      </c>
      <c r="K412" s="9"/>
      <c r="L412" s="16"/>
      <c r="M412" s="16"/>
      <c r="N412" s="16" t="s">
        <v>93</v>
      </c>
      <c r="O412" s="16" t="s">
        <v>94</v>
      </c>
      <c r="P412" s="9" t="str">
        <f aca="false">Q412</f>
        <v>TIANMA</v>
      </c>
      <c r="Q412" s="9" t="s">
        <v>380</v>
      </c>
      <c r="R412" s="9" t="s">
        <v>442</v>
      </c>
      <c r="S412" s="9" t="s">
        <v>443</v>
      </c>
      <c r="T412" s="9" t="s">
        <v>910</v>
      </c>
      <c r="U412" s="16" t="s">
        <v>63</v>
      </c>
      <c r="V412" s="36" t="n">
        <v>0.51</v>
      </c>
      <c r="W412" s="9" t="n">
        <v>0.44</v>
      </c>
      <c r="X412" s="22" t="n">
        <v>50000</v>
      </c>
      <c r="Y412" s="9" t="n">
        <v>50000</v>
      </c>
      <c r="Z412" s="9" t="n">
        <v>50000</v>
      </c>
      <c r="AA412" s="9" t="n">
        <v>50000</v>
      </c>
      <c r="AB412" s="9" t="n">
        <v>50000</v>
      </c>
      <c r="AC412" s="9" t="n">
        <v>50000</v>
      </c>
      <c r="AD412" s="23" t="n">
        <v>50000</v>
      </c>
      <c r="AE412" s="9" t="n">
        <v>50000</v>
      </c>
      <c r="AF412" s="9" t="n">
        <v>50000</v>
      </c>
      <c r="AG412" s="9" t="n">
        <v>50000</v>
      </c>
      <c r="AH412" s="9" t="n">
        <v>50000</v>
      </c>
      <c r="AI412" s="9" t="n">
        <v>50000</v>
      </c>
      <c r="AJ412" s="9" t="n">
        <f aca="false">X412*$V412</f>
        <v>25500</v>
      </c>
      <c r="AK412" s="9" t="n">
        <f aca="false">Y412*$V412</f>
        <v>25500</v>
      </c>
      <c r="AL412" s="9" t="n">
        <f aca="false">Z412*$V412</f>
        <v>25500</v>
      </c>
      <c r="AM412" s="9" t="n">
        <f aca="false">AA412*$V412</f>
        <v>25500</v>
      </c>
      <c r="AN412" s="9" t="n">
        <f aca="false">AB412*$V412</f>
        <v>25500</v>
      </c>
      <c r="AO412" s="9" t="n">
        <f aca="false">AC412*$V412</f>
        <v>25500</v>
      </c>
      <c r="AP412" s="9" t="n">
        <f aca="false">AD412*$V412</f>
        <v>25500</v>
      </c>
      <c r="AQ412" s="9" t="n">
        <f aca="false">AE412*$V412</f>
        <v>25500</v>
      </c>
      <c r="AR412" s="9" t="n">
        <f aca="false">AF412*$V412</f>
        <v>25500</v>
      </c>
      <c r="AS412" s="9" t="n">
        <f aca="false">AG412*$V412</f>
        <v>25500</v>
      </c>
      <c r="AT412" s="9" t="n">
        <f aca="false">AH412*$V412</f>
        <v>25500</v>
      </c>
      <c r="AU412" s="9" t="n">
        <f aca="false">AI412*$V412</f>
        <v>25500</v>
      </c>
      <c r="AV412" s="9" t="n">
        <f aca="false">SUM(X412:AI412)/1000</f>
        <v>600</v>
      </c>
      <c r="AW412" s="9" t="n">
        <f aca="false">SUM(AJ412:AU412)</f>
        <v>306000</v>
      </c>
      <c r="AX412" s="9" t="n">
        <f aca="false">IF(D412="INR",AW412/88.24,AW412)/1000000</f>
        <v>0.306</v>
      </c>
    </row>
    <row r="413" s="2" customFormat="true" ht="14.25" hidden="false" customHeight="false" outlineLevel="0" collapsed="false">
      <c r="A413" s="9" t="s">
        <v>911</v>
      </c>
      <c r="B413" s="9" t="n">
        <v>5</v>
      </c>
      <c r="C413" s="15"/>
      <c r="D413" s="16" t="s">
        <v>102</v>
      </c>
      <c r="E413" s="16" t="s">
        <v>51</v>
      </c>
      <c r="F413" s="16" t="s">
        <v>52</v>
      </c>
      <c r="G413" s="16" t="s">
        <v>908</v>
      </c>
      <c r="H413" s="9" t="s">
        <v>909</v>
      </c>
      <c r="I413" s="16" t="s">
        <v>105</v>
      </c>
      <c r="J413" s="16" t="s">
        <v>806</v>
      </c>
      <c r="K413" s="9"/>
      <c r="L413" s="16" t="s">
        <v>105</v>
      </c>
      <c r="M413" s="16" t="s">
        <v>806</v>
      </c>
      <c r="N413" s="16" t="s">
        <v>93</v>
      </c>
      <c r="O413" s="16" t="s">
        <v>94</v>
      </c>
      <c r="P413" s="9" t="s">
        <v>380</v>
      </c>
      <c r="Q413" s="9" t="s">
        <v>380</v>
      </c>
      <c r="R413" s="9" t="s">
        <v>442</v>
      </c>
      <c r="S413" s="9" t="s">
        <v>443</v>
      </c>
      <c r="T413" s="9" t="s">
        <v>912</v>
      </c>
      <c r="U413" s="16" t="s">
        <v>73</v>
      </c>
      <c r="V413" s="36" t="n">
        <v>0.26</v>
      </c>
      <c r="W413" s="9" t="n">
        <v>0.214</v>
      </c>
      <c r="X413" s="22"/>
      <c r="Y413" s="9" t="n">
        <v>50000</v>
      </c>
      <c r="Z413" s="9" t="n">
        <v>50000</v>
      </c>
      <c r="AA413" s="9" t="n">
        <v>50000</v>
      </c>
      <c r="AB413" s="9" t="n">
        <v>50000</v>
      </c>
      <c r="AC413" s="9" t="n">
        <v>50000</v>
      </c>
      <c r="AD413" s="23" t="n">
        <v>50000</v>
      </c>
      <c r="AE413" s="9" t="n">
        <v>50000</v>
      </c>
      <c r="AF413" s="9" t="n">
        <v>50000</v>
      </c>
      <c r="AG413" s="9" t="n">
        <v>50000</v>
      </c>
      <c r="AH413" s="9" t="n">
        <v>50000</v>
      </c>
      <c r="AI413" s="9" t="n">
        <v>50000</v>
      </c>
      <c r="AJ413" s="9" t="n">
        <f aca="false">X413*$V413</f>
        <v>0</v>
      </c>
      <c r="AK413" s="9" t="n">
        <f aca="false">Y413*$V413</f>
        <v>13000</v>
      </c>
      <c r="AL413" s="9" t="n">
        <f aca="false">Z413*$V413</f>
        <v>13000</v>
      </c>
      <c r="AM413" s="9" t="n">
        <f aca="false">AA413*$V413</f>
        <v>13000</v>
      </c>
      <c r="AN413" s="9" t="n">
        <f aca="false">AB413*$V413</f>
        <v>13000</v>
      </c>
      <c r="AO413" s="9" t="n">
        <f aca="false">AC413*$V413</f>
        <v>13000</v>
      </c>
      <c r="AP413" s="9" t="n">
        <f aca="false">AD413*$V413</f>
        <v>13000</v>
      </c>
      <c r="AQ413" s="9" t="n">
        <f aca="false">AE413*$V413</f>
        <v>13000</v>
      </c>
      <c r="AR413" s="9" t="n">
        <f aca="false">AF413*$V413</f>
        <v>13000</v>
      </c>
      <c r="AS413" s="9" t="n">
        <f aca="false">AG413*$V413</f>
        <v>13000</v>
      </c>
      <c r="AT413" s="9" t="n">
        <f aca="false">AH413*$V413</f>
        <v>13000</v>
      </c>
      <c r="AU413" s="9" t="n">
        <f aca="false">AI413*$V413</f>
        <v>13000</v>
      </c>
      <c r="AV413" s="9" t="n">
        <f aca="false">SUM(X413:AI413)/1000</f>
        <v>550</v>
      </c>
      <c r="AW413" s="9" t="n">
        <f aca="false">SUM(AJ413:AU413)</f>
        <v>143000</v>
      </c>
      <c r="AX413" s="9" t="n">
        <f aca="false">IF(D413="INR",AW413/88.24,AW413)/1000000</f>
        <v>0.143</v>
      </c>
    </row>
    <row r="414" s="2" customFormat="true" ht="14.25" hidden="false" customHeight="false" outlineLevel="0" collapsed="false">
      <c r="A414" s="12"/>
      <c r="B414" s="16" t="n">
        <v>1</v>
      </c>
      <c r="C414" s="15"/>
      <c r="D414" s="16" t="s">
        <v>102</v>
      </c>
      <c r="E414" s="16"/>
      <c r="F414" s="16" t="s">
        <v>52</v>
      </c>
      <c r="G414" s="16"/>
      <c r="H414" s="16" t="s">
        <v>909</v>
      </c>
      <c r="I414" s="16"/>
      <c r="J414" s="16"/>
      <c r="K414" s="16"/>
      <c r="L414" s="16"/>
      <c r="M414" s="16"/>
      <c r="N414" s="16" t="s">
        <v>93</v>
      </c>
      <c r="O414" s="16"/>
      <c r="P414" s="16"/>
      <c r="Q414" s="16" t="s">
        <v>182</v>
      </c>
      <c r="R414" s="16"/>
      <c r="S414" s="16"/>
      <c r="T414" s="16" t="s">
        <v>913</v>
      </c>
      <c r="U414" s="16"/>
      <c r="V414" s="16" t="n">
        <v>0.03</v>
      </c>
      <c r="W414" s="33"/>
      <c r="X414" s="16"/>
      <c r="Y414" s="16"/>
      <c r="Z414" s="16" t="n">
        <v>50000</v>
      </c>
      <c r="AA414" s="16" t="n">
        <v>50000</v>
      </c>
      <c r="AB414" s="16" t="n">
        <v>50000</v>
      </c>
      <c r="AC414" s="16" t="n">
        <v>50000</v>
      </c>
      <c r="AD414" s="16" t="n">
        <v>50000</v>
      </c>
      <c r="AE414" s="16" t="n">
        <v>50000</v>
      </c>
      <c r="AF414" s="16" t="n">
        <v>50000</v>
      </c>
      <c r="AG414" s="16" t="n">
        <v>50000</v>
      </c>
      <c r="AH414" s="16" t="n">
        <v>50000</v>
      </c>
      <c r="AI414" s="16" t="n">
        <v>50000</v>
      </c>
      <c r="AJ414" s="9" t="n">
        <f aca="false">X414*$V414</f>
        <v>0</v>
      </c>
      <c r="AK414" s="9" t="n">
        <f aca="false">Y414*$V414</f>
        <v>0</v>
      </c>
      <c r="AL414" s="9" t="n">
        <f aca="false">Z414*$V414</f>
        <v>1500</v>
      </c>
      <c r="AM414" s="9" t="n">
        <f aca="false">AA414*$V414</f>
        <v>1500</v>
      </c>
      <c r="AN414" s="9" t="n">
        <f aca="false">AB414*$V414</f>
        <v>1500</v>
      </c>
      <c r="AO414" s="9" t="n">
        <f aca="false">AC414*$V414</f>
        <v>1500</v>
      </c>
      <c r="AP414" s="9" t="n">
        <f aca="false">AD414*$V414</f>
        <v>1500</v>
      </c>
      <c r="AQ414" s="9" t="n">
        <f aca="false">AE414*$V414</f>
        <v>1500</v>
      </c>
      <c r="AR414" s="9" t="n">
        <f aca="false">AF414*$V414</f>
        <v>1500</v>
      </c>
      <c r="AS414" s="9" t="n">
        <f aca="false">AG414*$V414</f>
        <v>1500</v>
      </c>
      <c r="AT414" s="9" t="n">
        <f aca="false">AH414*$V414</f>
        <v>1500</v>
      </c>
      <c r="AU414" s="9" t="n">
        <f aca="false">AI414*$V414</f>
        <v>1500</v>
      </c>
      <c r="AV414" s="9" t="n">
        <f aca="false">SUM(X414:AI414)/1000</f>
        <v>500</v>
      </c>
      <c r="AW414" s="9" t="n">
        <f aca="false">SUM(AJ414:AU414)</f>
        <v>15000</v>
      </c>
      <c r="AX414" s="9" t="n">
        <f aca="false">IF(D414="INR",AW414/88.24,AW414)/1000000</f>
        <v>0.015</v>
      </c>
    </row>
    <row r="415" s="2" customFormat="true" ht="14.25" hidden="false" customHeight="false" outlineLevel="0" collapsed="false">
      <c r="A415" s="16" t="s">
        <v>914</v>
      </c>
      <c r="B415" s="16" t="n">
        <v>5</v>
      </c>
      <c r="C415" s="16"/>
      <c r="D415" s="16" t="s">
        <v>102</v>
      </c>
      <c r="E415" s="16" t="s">
        <v>51</v>
      </c>
      <c r="F415" s="16" t="s">
        <v>52</v>
      </c>
      <c r="G415" s="16" t="s">
        <v>908</v>
      </c>
      <c r="H415" s="16" t="s">
        <v>909</v>
      </c>
      <c r="I415" s="16" t="s">
        <v>105</v>
      </c>
      <c r="J415" s="16" t="s">
        <v>806</v>
      </c>
      <c r="K415" s="16"/>
      <c r="L415" s="16" t="s">
        <v>105</v>
      </c>
      <c r="M415" s="16" t="s">
        <v>806</v>
      </c>
      <c r="N415" s="16" t="s">
        <v>93</v>
      </c>
      <c r="O415" s="16" t="s">
        <v>94</v>
      </c>
      <c r="P415" s="16" t="s">
        <v>85</v>
      </c>
      <c r="Q415" s="16" t="s">
        <v>85</v>
      </c>
      <c r="R415" s="16" t="s">
        <v>86</v>
      </c>
      <c r="S415" s="16" t="s">
        <v>87</v>
      </c>
      <c r="T415" s="26" t="s">
        <v>416</v>
      </c>
      <c r="U415" s="26" t="s">
        <v>73</v>
      </c>
      <c r="V415" s="16" t="n">
        <v>0.188</v>
      </c>
      <c r="W415" s="16" t="n">
        <v>0.177</v>
      </c>
      <c r="X415" s="16" t="n">
        <v>100000</v>
      </c>
      <c r="Y415" s="16"/>
      <c r="Z415" s="16" t="n">
        <v>100000</v>
      </c>
      <c r="AA415" s="16"/>
      <c r="AB415" s="16"/>
      <c r="AC415" s="16" t="n">
        <v>100000</v>
      </c>
      <c r="AD415" s="16"/>
      <c r="AE415" s="16"/>
      <c r="AF415" s="16"/>
      <c r="AG415" s="16" t="n">
        <v>100000</v>
      </c>
      <c r="AH415" s="16"/>
      <c r="AI415" s="16"/>
      <c r="AJ415" s="9" t="n">
        <f aca="false">X415*$V415</f>
        <v>18800</v>
      </c>
      <c r="AK415" s="9" t="n">
        <f aca="false">Y415*$V415</f>
        <v>0</v>
      </c>
      <c r="AL415" s="9" t="n">
        <f aca="false">Z415*$V415</f>
        <v>18800</v>
      </c>
      <c r="AM415" s="9" t="n">
        <f aca="false">AA415*$V415</f>
        <v>0</v>
      </c>
      <c r="AN415" s="9" t="n">
        <f aca="false">AB415*$V415</f>
        <v>0</v>
      </c>
      <c r="AO415" s="9" t="n">
        <f aca="false">AC415*$V415</f>
        <v>18800</v>
      </c>
      <c r="AP415" s="9" t="n">
        <f aca="false">AD415*$V415</f>
        <v>0</v>
      </c>
      <c r="AQ415" s="9" t="n">
        <f aca="false">AE415*$V415</f>
        <v>0</v>
      </c>
      <c r="AR415" s="9" t="n">
        <f aca="false">AF415*$V415</f>
        <v>0</v>
      </c>
      <c r="AS415" s="9" t="n">
        <f aca="false">AG415*$V415</f>
        <v>18800</v>
      </c>
      <c r="AT415" s="9" t="n">
        <f aca="false">AH415*$V415</f>
        <v>0</v>
      </c>
      <c r="AU415" s="9" t="n">
        <f aca="false">AI415*$V415</f>
        <v>0</v>
      </c>
      <c r="AV415" s="9" t="n">
        <f aca="false">SUM(X415:AI415)/1000</f>
        <v>400</v>
      </c>
      <c r="AW415" s="9" t="n">
        <f aca="false">SUM(AJ415:AU415)</f>
        <v>75200</v>
      </c>
      <c r="AX415" s="9" t="n">
        <f aca="false">IF(D415="INR",AW415/88.24,AW415)/1000000</f>
        <v>0.0752</v>
      </c>
    </row>
    <row r="416" s="2" customFormat="true" ht="14.25" hidden="false" customHeight="false" outlineLevel="0" collapsed="false">
      <c r="A416" s="12" t="s">
        <v>915</v>
      </c>
      <c r="B416" s="16" t="n">
        <v>5</v>
      </c>
      <c r="C416" s="15"/>
      <c r="D416" s="16" t="s">
        <v>102</v>
      </c>
      <c r="E416" s="16" t="s">
        <v>51</v>
      </c>
      <c r="F416" s="16" t="s">
        <v>52</v>
      </c>
      <c r="G416" s="16" t="s">
        <v>908</v>
      </c>
      <c r="H416" s="16" t="s">
        <v>909</v>
      </c>
      <c r="I416" s="16" t="s">
        <v>105</v>
      </c>
      <c r="J416" s="16" t="s">
        <v>806</v>
      </c>
      <c r="K416" s="16"/>
      <c r="L416" s="16" t="s">
        <v>105</v>
      </c>
      <c r="M416" s="16" t="s">
        <v>806</v>
      </c>
      <c r="N416" s="16" t="s">
        <v>93</v>
      </c>
      <c r="O416" s="16" t="s">
        <v>94</v>
      </c>
      <c r="P416" s="16" t="s">
        <v>85</v>
      </c>
      <c r="Q416" s="16" t="s">
        <v>85</v>
      </c>
      <c r="R416" s="16" t="s">
        <v>86</v>
      </c>
      <c r="S416" s="16" t="s">
        <v>87</v>
      </c>
      <c r="T416" s="16" t="s">
        <v>448</v>
      </c>
      <c r="U416" s="16" t="s">
        <v>73</v>
      </c>
      <c r="V416" s="16" t="n">
        <v>0.057</v>
      </c>
      <c r="W416" s="16" t="n">
        <v>0.053</v>
      </c>
      <c r="X416" s="16" t="n">
        <v>100000</v>
      </c>
      <c r="Y416" s="16"/>
      <c r="Z416" s="16" t="n">
        <v>100000</v>
      </c>
      <c r="AA416" s="16"/>
      <c r="AB416" s="16"/>
      <c r="AC416" s="16" t="n">
        <v>100000</v>
      </c>
      <c r="AD416" s="16"/>
      <c r="AE416" s="16"/>
      <c r="AF416" s="16"/>
      <c r="AG416" s="16" t="n">
        <v>100000</v>
      </c>
      <c r="AH416" s="16"/>
      <c r="AI416" s="16"/>
      <c r="AJ416" s="9" t="n">
        <f aca="false">X416*$V416</f>
        <v>5700</v>
      </c>
      <c r="AK416" s="9" t="n">
        <f aca="false">Y416*$V416</f>
        <v>0</v>
      </c>
      <c r="AL416" s="9" t="n">
        <f aca="false">Z416*$V416</f>
        <v>5700</v>
      </c>
      <c r="AM416" s="9" t="n">
        <f aca="false">AA416*$V416</f>
        <v>0</v>
      </c>
      <c r="AN416" s="9" t="n">
        <f aca="false">AB416*$V416</f>
        <v>0</v>
      </c>
      <c r="AO416" s="9" t="n">
        <f aca="false">AC416*$V416</f>
        <v>5700</v>
      </c>
      <c r="AP416" s="9" t="n">
        <f aca="false">AD416*$V416</f>
        <v>0</v>
      </c>
      <c r="AQ416" s="9" t="n">
        <f aca="false">AE416*$V416</f>
        <v>0</v>
      </c>
      <c r="AR416" s="9" t="n">
        <f aca="false">AF416*$V416</f>
        <v>0</v>
      </c>
      <c r="AS416" s="9" t="n">
        <f aca="false">AG416*$V416</f>
        <v>5700</v>
      </c>
      <c r="AT416" s="9" t="n">
        <f aca="false">AH416*$V416</f>
        <v>0</v>
      </c>
      <c r="AU416" s="9" t="n">
        <f aca="false">AI416*$V416</f>
        <v>0</v>
      </c>
      <c r="AV416" s="9" t="n">
        <f aca="false">SUM(X416:AI416)/1000</f>
        <v>400</v>
      </c>
      <c r="AW416" s="9" t="n">
        <f aca="false">SUM(AJ416:AU416)</f>
        <v>22800</v>
      </c>
      <c r="AX416" s="9" t="n">
        <f aca="false">IF(D416="INR",AW416/88.24,AW416)/1000000</f>
        <v>0.0228</v>
      </c>
    </row>
    <row r="417" s="2" customFormat="true" ht="14.25" hidden="false" customHeight="false" outlineLevel="0" collapsed="false">
      <c r="A417" s="12" t="s">
        <v>916</v>
      </c>
      <c r="B417" s="16" t="n">
        <v>5</v>
      </c>
      <c r="C417" s="15"/>
      <c r="D417" s="16" t="s">
        <v>102</v>
      </c>
      <c r="E417" s="16" t="s">
        <v>51</v>
      </c>
      <c r="F417" s="16" t="s">
        <v>52</v>
      </c>
      <c r="G417" s="16" t="s">
        <v>908</v>
      </c>
      <c r="H417" s="16" t="s">
        <v>909</v>
      </c>
      <c r="I417" s="16" t="s">
        <v>105</v>
      </c>
      <c r="J417" s="16" t="s">
        <v>806</v>
      </c>
      <c r="K417" s="16"/>
      <c r="L417" s="16" t="s">
        <v>105</v>
      </c>
      <c r="M417" s="16" t="s">
        <v>806</v>
      </c>
      <c r="N417" s="16" t="s">
        <v>93</v>
      </c>
      <c r="O417" s="16" t="s">
        <v>94</v>
      </c>
      <c r="P417" s="16" t="s">
        <v>85</v>
      </c>
      <c r="Q417" s="16" t="s">
        <v>85</v>
      </c>
      <c r="R417" s="16" t="s">
        <v>86</v>
      </c>
      <c r="S417" s="16" t="s">
        <v>87</v>
      </c>
      <c r="T417" s="16" t="s">
        <v>917</v>
      </c>
      <c r="U417" s="16" t="s">
        <v>73</v>
      </c>
      <c r="V417" s="16" t="n">
        <v>0.0425</v>
      </c>
      <c r="W417" s="16" t="n">
        <v>0.0395</v>
      </c>
      <c r="X417" s="16" t="n">
        <v>100000</v>
      </c>
      <c r="Y417" s="16"/>
      <c r="Z417" s="16" t="n">
        <v>100000</v>
      </c>
      <c r="AA417" s="16"/>
      <c r="AB417" s="16"/>
      <c r="AC417" s="16" t="n">
        <v>100000</v>
      </c>
      <c r="AD417" s="16"/>
      <c r="AE417" s="16"/>
      <c r="AF417" s="16"/>
      <c r="AG417" s="16" t="n">
        <v>100000</v>
      </c>
      <c r="AH417" s="16"/>
      <c r="AI417" s="16"/>
      <c r="AJ417" s="9" t="n">
        <f aca="false">X417*$V417</f>
        <v>4250</v>
      </c>
      <c r="AK417" s="9" t="n">
        <f aca="false">Y417*$V417</f>
        <v>0</v>
      </c>
      <c r="AL417" s="9" t="n">
        <f aca="false">Z417*$V417</f>
        <v>4250</v>
      </c>
      <c r="AM417" s="9" t="n">
        <f aca="false">AA417*$V417</f>
        <v>0</v>
      </c>
      <c r="AN417" s="9" t="n">
        <f aca="false">AB417*$V417</f>
        <v>0</v>
      </c>
      <c r="AO417" s="9" t="n">
        <f aca="false">AC417*$V417</f>
        <v>4250</v>
      </c>
      <c r="AP417" s="9" t="n">
        <f aca="false">AD417*$V417</f>
        <v>0</v>
      </c>
      <c r="AQ417" s="9" t="n">
        <f aca="false">AE417*$V417</f>
        <v>0</v>
      </c>
      <c r="AR417" s="9" t="n">
        <f aca="false">AF417*$V417</f>
        <v>0</v>
      </c>
      <c r="AS417" s="9" t="n">
        <f aca="false">AG417*$V417</f>
        <v>4250</v>
      </c>
      <c r="AT417" s="9" t="n">
        <f aca="false">AH417*$V417</f>
        <v>0</v>
      </c>
      <c r="AU417" s="9" t="n">
        <f aca="false">AI417*$V417</f>
        <v>0</v>
      </c>
      <c r="AV417" s="9" t="n">
        <f aca="false">SUM(X417:AI417)/1000</f>
        <v>400</v>
      </c>
      <c r="AW417" s="9" t="n">
        <f aca="false">SUM(AJ417:AU417)</f>
        <v>17000</v>
      </c>
      <c r="AX417" s="9" t="n">
        <f aca="false">IF(D417="INR",AW417/88.24,AW417)/1000000</f>
        <v>0.017</v>
      </c>
    </row>
    <row r="418" s="2" customFormat="true" ht="14.25" hidden="false" customHeight="false" outlineLevel="0" collapsed="false">
      <c r="A418" s="16" t="s">
        <v>918</v>
      </c>
      <c r="B418" s="16" t="n">
        <v>5</v>
      </c>
      <c r="C418" s="16"/>
      <c r="D418" s="16" t="s">
        <v>102</v>
      </c>
      <c r="E418" s="16" t="s">
        <v>51</v>
      </c>
      <c r="F418" s="16" t="s">
        <v>52</v>
      </c>
      <c r="G418" s="16" t="s">
        <v>908</v>
      </c>
      <c r="H418" s="16" t="s">
        <v>909</v>
      </c>
      <c r="I418" s="16" t="s">
        <v>105</v>
      </c>
      <c r="J418" s="16" t="s">
        <v>806</v>
      </c>
      <c r="K418" s="16"/>
      <c r="L418" s="16" t="s">
        <v>105</v>
      </c>
      <c r="M418" s="16" t="s">
        <v>806</v>
      </c>
      <c r="N418" s="16" t="s">
        <v>93</v>
      </c>
      <c r="O418" s="16" t="s">
        <v>94</v>
      </c>
      <c r="P418" s="16" t="s">
        <v>380</v>
      </c>
      <c r="Q418" s="16" t="s">
        <v>380</v>
      </c>
      <c r="R418" s="16" t="s">
        <v>442</v>
      </c>
      <c r="S418" s="16" t="s">
        <v>443</v>
      </c>
      <c r="T418" s="16" t="s">
        <v>919</v>
      </c>
      <c r="U418" s="16" t="s">
        <v>73</v>
      </c>
      <c r="V418" s="16" t="n">
        <v>0.26</v>
      </c>
      <c r="W418" s="16" t="n">
        <v>0.215</v>
      </c>
      <c r="X418" s="16" t="n">
        <v>50000</v>
      </c>
      <c r="Y418" s="16"/>
      <c r="Z418" s="16" t="n">
        <v>50000</v>
      </c>
      <c r="AA418" s="16"/>
      <c r="AB418" s="16" t="n">
        <v>50000</v>
      </c>
      <c r="AC418" s="16"/>
      <c r="AD418" s="16"/>
      <c r="AE418" s="16" t="n">
        <v>50000</v>
      </c>
      <c r="AF418" s="16"/>
      <c r="AG418" s="16"/>
      <c r="AH418" s="16" t="n">
        <v>50000</v>
      </c>
      <c r="AI418" s="16"/>
      <c r="AJ418" s="9" t="n">
        <f aca="false">X418*$V418</f>
        <v>13000</v>
      </c>
      <c r="AK418" s="9" t="n">
        <f aca="false">Y418*$V418</f>
        <v>0</v>
      </c>
      <c r="AL418" s="9" t="n">
        <f aca="false">Z418*$V418</f>
        <v>13000</v>
      </c>
      <c r="AM418" s="9" t="n">
        <f aca="false">AA418*$V418</f>
        <v>0</v>
      </c>
      <c r="AN418" s="9" t="n">
        <f aca="false">AB418*$V418</f>
        <v>13000</v>
      </c>
      <c r="AO418" s="9" t="n">
        <f aca="false">AC418*$V418</f>
        <v>0</v>
      </c>
      <c r="AP418" s="9" t="n">
        <f aca="false">AD418*$V418</f>
        <v>0</v>
      </c>
      <c r="AQ418" s="9" t="n">
        <f aca="false">AE418*$V418</f>
        <v>13000</v>
      </c>
      <c r="AR418" s="9" t="n">
        <f aca="false">AF418*$V418</f>
        <v>0</v>
      </c>
      <c r="AS418" s="9" t="n">
        <f aca="false">AG418*$V418</f>
        <v>0</v>
      </c>
      <c r="AT418" s="9" t="n">
        <f aca="false">AH418*$V418</f>
        <v>13000</v>
      </c>
      <c r="AU418" s="9" t="n">
        <f aca="false">AI418*$V418</f>
        <v>0</v>
      </c>
      <c r="AV418" s="9" t="n">
        <f aca="false">SUM(X418:AI418)/1000</f>
        <v>250</v>
      </c>
      <c r="AW418" s="9" t="n">
        <f aca="false">SUM(AJ418:AU418)</f>
        <v>65000</v>
      </c>
      <c r="AX418" s="9" t="n">
        <f aca="false">IF(D418="INR",AW418/88.24,AW418)/1000000</f>
        <v>0.065</v>
      </c>
    </row>
    <row r="419" s="2" customFormat="true" ht="14.25" hidden="false" customHeight="false" outlineLevel="0" collapsed="false">
      <c r="A419" s="9" t="s">
        <v>920</v>
      </c>
      <c r="B419" s="9" t="n">
        <v>5</v>
      </c>
      <c r="C419" s="10"/>
      <c r="D419" s="9" t="s">
        <v>102</v>
      </c>
      <c r="E419" s="9" t="s">
        <v>51</v>
      </c>
      <c r="F419" s="9" t="s">
        <v>52</v>
      </c>
      <c r="G419" s="9" t="s">
        <v>908</v>
      </c>
      <c r="H419" s="9" t="s">
        <v>909</v>
      </c>
      <c r="I419" s="9" t="s">
        <v>105</v>
      </c>
      <c r="J419" s="9" t="s">
        <v>806</v>
      </c>
      <c r="K419" s="9"/>
      <c r="L419" s="9" t="s">
        <v>105</v>
      </c>
      <c r="M419" s="9" t="s">
        <v>806</v>
      </c>
      <c r="N419" s="16" t="s">
        <v>93</v>
      </c>
      <c r="O419" s="9" t="s">
        <v>94</v>
      </c>
      <c r="P419" s="9" t="s">
        <v>380</v>
      </c>
      <c r="Q419" s="9" t="s">
        <v>380</v>
      </c>
      <c r="R419" s="9" t="s">
        <v>442</v>
      </c>
      <c r="S419" s="9" t="s">
        <v>443</v>
      </c>
      <c r="T419" s="9" t="s">
        <v>921</v>
      </c>
      <c r="U419" s="9" t="s">
        <v>73</v>
      </c>
      <c r="V419" s="9" t="n">
        <v>0.25</v>
      </c>
      <c r="W419" s="9" t="n">
        <v>0.209</v>
      </c>
      <c r="X419" s="9"/>
      <c r="Y419" s="9" t="n">
        <v>100000</v>
      </c>
      <c r="Z419" s="9"/>
      <c r="AA419" s="9"/>
      <c r="AB419" s="9"/>
      <c r="AC419" s="9"/>
      <c r="AD419" s="9"/>
      <c r="AE419" s="9" t="n">
        <v>100000</v>
      </c>
      <c r="AF419" s="9"/>
      <c r="AG419" s="9"/>
      <c r="AH419" s="9"/>
      <c r="AI419" s="9"/>
      <c r="AJ419" s="9" t="n">
        <f aca="false">X419*$V419</f>
        <v>0</v>
      </c>
      <c r="AK419" s="9" t="n">
        <f aca="false">Y419*$V419</f>
        <v>25000</v>
      </c>
      <c r="AL419" s="9" t="n">
        <f aca="false">Z419*$V419</f>
        <v>0</v>
      </c>
      <c r="AM419" s="9" t="n">
        <f aca="false">AA419*$V419</f>
        <v>0</v>
      </c>
      <c r="AN419" s="9" t="n">
        <f aca="false">AB419*$V419</f>
        <v>0</v>
      </c>
      <c r="AO419" s="9" t="n">
        <f aca="false">AC419*$V419</f>
        <v>0</v>
      </c>
      <c r="AP419" s="9" t="n">
        <f aca="false">AD419*$V419</f>
        <v>0</v>
      </c>
      <c r="AQ419" s="9" t="n">
        <f aca="false">AE419*$V419</f>
        <v>25000</v>
      </c>
      <c r="AR419" s="9" t="n">
        <f aca="false">AF419*$V419</f>
        <v>0</v>
      </c>
      <c r="AS419" s="9" t="n">
        <f aca="false">AG419*$V419</f>
        <v>0</v>
      </c>
      <c r="AT419" s="9" t="n">
        <f aca="false">AH419*$V419</f>
        <v>0</v>
      </c>
      <c r="AU419" s="9" t="n">
        <f aca="false">AI419*$V419</f>
        <v>0</v>
      </c>
      <c r="AV419" s="9" t="n">
        <f aca="false">SUM(X419:AI419)/1000</f>
        <v>200</v>
      </c>
      <c r="AW419" s="9" t="n">
        <f aca="false">SUM(AJ419:AU419)</f>
        <v>50000</v>
      </c>
      <c r="AX419" s="9" t="n">
        <f aca="false">IF(D419="INR",AW419/88.24,AW419)/1000000</f>
        <v>0.05</v>
      </c>
    </row>
    <row r="420" s="2" customFormat="true" ht="14.25" hidden="false" customHeight="false" outlineLevel="0" collapsed="false">
      <c r="A420" s="12"/>
      <c r="B420" s="16" t="n">
        <v>1</v>
      </c>
      <c r="C420" s="15"/>
      <c r="D420" s="16" t="s">
        <v>102</v>
      </c>
      <c r="E420" s="16"/>
      <c r="F420" s="16" t="s">
        <v>52</v>
      </c>
      <c r="G420" s="16"/>
      <c r="H420" s="16" t="s">
        <v>909</v>
      </c>
      <c r="I420" s="16"/>
      <c r="J420" s="16"/>
      <c r="K420" s="16"/>
      <c r="L420" s="16"/>
      <c r="M420" s="16"/>
      <c r="N420" s="16" t="s">
        <v>93</v>
      </c>
      <c r="O420" s="16"/>
      <c r="P420" s="16"/>
      <c r="Q420" s="16" t="s">
        <v>69</v>
      </c>
      <c r="R420" s="16"/>
      <c r="S420" s="16"/>
      <c r="T420" s="16" t="s">
        <v>922</v>
      </c>
      <c r="U420" s="16"/>
      <c r="V420" s="16" t="n">
        <v>5.5</v>
      </c>
      <c r="W420" s="16"/>
      <c r="X420" s="16"/>
      <c r="Y420" s="16"/>
      <c r="Z420" s="16"/>
      <c r="AA420" s="16"/>
      <c r="AB420" s="16"/>
      <c r="AC420" s="16" t="n">
        <v>2000</v>
      </c>
      <c r="AD420" s="16"/>
      <c r="AE420" s="16"/>
      <c r="AF420" s="16" t="n">
        <v>2000</v>
      </c>
      <c r="AG420" s="16"/>
      <c r="AH420" s="16"/>
      <c r="AI420" s="16"/>
      <c r="AJ420" s="9" t="n">
        <f aca="false">X420*$V420</f>
        <v>0</v>
      </c>
      <c r="AK420" s="9" t="n">
        <f aca="false">Y420*$V420</f>
        <v>0</v>
      </c>
      <c r="AL420" s="9" t="n">
        <f aca="false">Z420*$V420</f>
        <v>0</v>
      </c>
      <c r="AM420" s="9" t="n">
        <f aca="false">AA420*$V420</f>
        <v>0</v>
      </c>
      <c r="AN420" s="9" t="n">
        <f aca="false">AB420*$V420</f>
        <v>0</v>
      </c>
      <c r="AO420" s="9" t="n">
        <f aca="false">AC420*$V420</f>
        <v>11000</v>
      </c>
      <c r="AP420" s="9" t="n">
        <f aca="false">AD420*$V420</f>
        <v>0</v>
      </c>
      <c r="AQ420" s="9" t="n">
        <f aca="false">AE420*$V420</f>
        <v>0</v>
      </c>
      <c r="AR420" s="9" t="n">
        <f aca="false">AF420*$V420</f>
        <v>11000</v>
      </c>
      <c r="AS420" s="9" t="n">
        <f aca="false">AG420*$V420</f>
        <v>0</v>
      </c>
      <c r="AT420" s="9" t="n">
        <f aca="false">AH420*$V420</f>
        <v>0</v>
      </c>
      <c r="AU420" s="9" t="n">
        <f aca="false">AI420*$V420</f>
        <v>0</v>
      </c>
      <c r="AV420" s="9" t="n">
        <f aca="false">SUM(X420:AI420)/1000</f>
        <v>4</v>
      </c>
      <c r="AW420" s="9" t="n">
        <f aca="false">SUM(AJ420:AU420)</f>
        <v>22000</v>
      </c>
      <c r="AX420" s="9" t="n">
        <f aca="false">IF(D420="INR",AW420/88.24,AW420)/1000000</f>
        <v>0.022</v>
      </c>
    </row>
    <row r="421" s="2" customFormat="true" ht="14.25" hidden="false" customHeight="false" outlineLevel="0" collapsed="false">
      <c r="A421" s="12" t="s">
        <v>923</v>
      </c>
      <c r="B421" s="16" t="n">
        <v>5</v>
      </c>
      <c r="C421" s="15"/>
      <c r="D421" s="16" t="s">
        <v>50</v>
      </c>
      <c r="E421" s="16" t="s">
        <v>51</v>
      </c>
      <c r="F421" s="16" t="s">
        <v>52</v>
      </c>
      <c r="G421" s="16" t="s">
        <v>391</v>
      </c>
      <c r="H421" s="16" t="s">
        <v>392</v>
      </c>
      <c r="I421" s="16" t="s">
        <v>260</v>
      </c>
      <c r="J421" s="16" t="s">
        <v>276</v>
      </c>
      <c r="K421" s="16"/>
      <c r="L421" s="16" t="s">
        <v>260</v>
      </c>
      <c r="M421" s="16" t="s">
        <v>276</v>
      </c>
      <c r="N421" s="16" t="s">
        <v>93</v>
      </c>
      <c r="O421" s="16" t="s">
        <v>58</v>
      </c>
      <c r="P421" s="16" t="s">
        <v>80</v>
      </c>
      <c r="Q421" s="16" t="s">
        <v>80</v>
      </c>
      <c r="R421" s="16" t="s">
        <v>81</v>
      </c>
      <c r="S421" s="16" t="s">
        <v>82</v>
      </c>
      <c r="T421" s="16" t="s">
        <v>924</v>
      </c>
      <c r="U421" s="16" t="s">
        <v>73</v>
      </c>
      <c r="V421" s="16" t="n">
        <v>21.16</v>
      </c>
      <c r="W421" s="16" t="n">
        <v>20.75543</v>
      </c>
      <c r="X421" s="16" t="n">
        <v>6000</v>
      </c>
      <c r="Y421" s="26" t="n">
        <v>6000</v>
      </c>
      <c r="Z421" s="16" t="n">
        <v>6000</v>
      </c>
      <c r="AA421" s="16" t="n">
        <v>6000</v>
      </c>
      <c r="AB421" s="16"/>
      <c r="AC421" s="16" t="n">
        <v>6000</v>
      </c>
      <c r="AD421" s="16"/>
      <c r="AE421" s="16" t="n">
        <v>6000</v>
      </c>
      <c r="AF421" s="26"/>
      <c r="AG421" s="16"/>
      <c r="AH421" s="26"/>
      <c r="AI421" s="16"/>
      <c r="AJ421" s="9" t="n">
        <f aca="false">X421*$V421</f>
        <v>126960</v>
      </c>
      <c r="AK421" s="9" t="n">
        <f aca="false">Y421*$V421</f>
        <v>126960</v>
      </c>
      <c r="AL421" s="9" t="n">
        <f aca="false">Z421*$V421</f>
        <v>126960</v>
      </c>
      <c r="AM421" s="9" t="n">
        <f aca="false">AA421*$V421</f>
        <v>126960</v>
      </c>
      <c r="AN421" s="9" t="n">
        <f aca="false">AB421*$V421</f>
        <v>0</v>
      </c>
      <c r="AO421" s="9" t="n">
        <f aca="false">AC421*$V421</f>
        <v>126960</v>
      </c>
      <c r="AP421" s="9" t="n">
        <f aca="false">AD421*$V421</f>
        <v>0</v>
      </c>
      <c r="AQ421" s="9" t="n">
        <f aca="false">AE421*$V421</f>
        <v>126960</v>
      </c>
      <c r="AR421" s="9" t="n">
        <f aca="false">AF421*$V421</f>
        <v>0</v>
      </c>
      <c r="AS421" s="9" t="n">
        <f aca="false">AG421*$V421</f>
        <v>0</v>
      </c>
      <c r="AT421" s="9" t="n">
        <f aca="false">AH421*$V421</f>
        <v>0</v>
      </c>
      <c r="AU421" s="9" t="n">
        <f aca="false">AI421*$V421</f>
        <v>0</v>
      </c>
      <c r="AV421" s="9" t="n">
        <f aca="false">SUM(X421:AI421)/1000</f>
        <v>36</v>
      </c>
      <c r="AW421" s="9" t="n">
        <f aca="false">SUM(AJ421:AU421)</f>
        <v>761760</v>
      </c>
      <c r="AX421" s="9" t="n">
        <f aca="false">IF(D421="INR",AW421/88.24,AW421)/1000000</f>
        <v>0.00863281958295558</v>
      </c>
    </row>
    <row r="422" s="2" customFormat="true" ht="14.25" hidden="false" customHeight="false" outlineLevel="0" collapsed="false">
      <c r="A422" s="12" t="s">
        <v>925</v>
      </c>
      <c r="B422" s="16"/>
      <c r="C422" s="15"/>
      <c r="D422" s="16" t="s">
        <v>50</v>
      </c>
      <c r="E422" s="16" t="s">
        <v>51</v>
      </c>
      <c r="F422" s="16" t="s">
        <v>52</v>
      </c>
      <c r="G422" s="16" t="s">
        <v>274</v>
      </c>
      <c r="H422" s="16" t="s">
        <v>275</v>
      </c>
      <c r="I422" s="16" t="s">
        <v>260</v>
      </c>
      <c r="J422" s="16" t="s">
        <v>276</v>
      </c>
      <c r="K422" s="16"/>
      <c r="L422" s="16" t="s">
        <v>260</v>
      </c>
      <c r="M422" s="16" t="s">
        <v>276</v>
      </c>
      <c r="N422" s="16" t="s">
        <v>79</v>
      </c>
      <c r="O422" s="16" t="s">
        <v>68</v>
      </c>
      <c r="P422" s="16" t="s">
        <v>308</v>
      </c>
      <c r="Q422" s="16" t="s">
        <v>308</v>
      </c>
      <c r="R422" s="16" t="s">
        <v>309</v>
      </c>
      <c r="S422" s="16" t="s">
        <v>264</v>
      </c>
      <c r="T422" s="16" t="s">
        <v>926</v>
      </c>
      <c r="U422" s="16" t="s">
        <v>73</v>
      </c>
      <c r="V422" s="16" t="n">
        <v>4.18</v>
      </c>
      <c r="W422" s="16" t="n">
        <v>3.61</v>
      </c>
      <c r="X422" s="16" t="n">
        <v>30000</v>
      </c>
      <c r="Y422" s="16" t="n">
        <v>30000</v>
      </c>
      <c r="Z422" s="16" t="n">
        <v>30000</v>
      </c>
      <c r="AA422" s="16" t="n">
        <v>30000</v>
      </c>
      <c r="AB422" s="16"/>
      <c r="AC422" s="26" t="n">
        <v>30000</v>
      </c>
      <c r="AD422" s="16" t="n">
        <v>30000</v>
      </c>
      <c r="AE422" s="16"/>
      <c r="AF422" s="16" t="n">
        <v>30000</v>
      </c>
      <c r="AG422" s="16" t="n">
        <v>30000</v>
      </c>
      <c r="AH422" s="16" t="n">
        <v>30000</v>
      </c>
      <c r="AI422" s="16" t="n">
        <v>30000</v>
      </c>
      <c r="AJ422" s="9" t="n">
        <f aca="false">X422*$V422</f>
        <v>125400</v>
      </c>
      <c r="AK422" s="9" t="n">
        <f aca="false">Y422*$V422</f>
        <v>125400</v>
      </c>
      <c r="AL422" s="9" t="n">
        <f aca="false">Z422*$V422</f>
        <v>125400</v>
      </c>
      <c r="AM422" s="9" t="n">
        <f aca="false">AA422*$V422</f>
        <v>125400</v>
      </c>
      <c r="AN422" s="9" t="n">
        <f aca="false">AB422*$V422</f>
        <v>0</v>
      </c>
      <c r="AO422" s="9" t="n">
        <f aca="false">AC422*$V422</f>
        <v>125400</v>
      </c>
      <c r="AP422" s="9" t="n">
        <f aca="false">AD422*$V422</f>
        <v>125400</v>
      </c>
      <c r="AQ422" s="9" t="n">
        <f aca="false">AE422*$V422</f>
        <v>0</v>
      </c>
      <c r="AR422" s="9" t="n">
        <f aca="false">AF422*$V422</f>
        <v>125400</v>
      </c>
      <c r="AS422" s="9" t="n">
        <f aca="false">AG422*$V422</f>
        <v>125400</v>
      </c>
      <c r="AT422" s="9" t="n">
        <f aca="false">AH422*$V422</f>
        <v>125400</v>
      </c>
      <c r="AU422" s="9" t="n">
        <f aca="false">AI422*$V422</f>
        <v>125400</v>
      </c>
      <c r="AV422" s="9" t="n">
        <f aca="false">SUM(X422:AI422)/1000</f>
        <v>300</v>
      </c>
      <c r="AW422" s="9" t="n">
        <f aca="false">SUM(AJ422:AU422)</f>
        <v>1254000</v>
      </c>
      <c r="AX422" s="9" t="n">
        <f aca="false">IF(D422="INR",AW422/88.24,AW422)/1000000</f>
        <v>0.0142112420670898</v>
      </c>
    </row>
    <row r="423" s="2" customFormat="true" ht="14.25" hidden="false" customHeight="false" outlineLevel="0" collapsed="false">
      <c r="A423" s="9"/>
      <c r="B423" s="9" t="n">
        <v>1</v>
      </c>
      <c r="C423" s="10"/>
      <c r="D423" s="9" t="s">
        <v>50</v>
      </c>
      <c r="E423" s="9"/>
      <c r="F423" s="9" t="s">
        <v>52</v>
      </c>
      <c r="G423" s="9" t="s">
        <v>258</v>
      </c>
      <c r="H423" s="9" t="s">
        <v>259</v>
      </c>
      <c r="I423" s="9"/>
      <c r="J423" s="9"/>
      <c r="K423" s="9"/>
      <c r="L423" s="9"/>
      <c r="M423" s="9"/>
      <c r="N423" s="16" t="s">
        <v>67</v>
      </c>
      <c r="O423" s="9" t="s">
        <v>107</v>
      </c>
      <c r="P423" s="9"/>
      <c r="Q423" s="9" t="s">
        <v>902</v>
      </c>
      <c r="R423" s="9"/>
      <c r="S423" s="9"/>
      <c r="T423" s="9" t="s">
        <v>927</v>
      </c>
      <c r="U423" s="9" t="s">
        <v>63</v>
      </c>
      <c r="V423" s="9" t="n">
        <v>7.82</v>
      </c>
      <c r="W423" s="9"/>
      <c r="X423" s="9" t="n">
        <v>16000</v>
      </c>
      <c r="Y423" s="9" t="n">
        <v>16000</v>
      </c>
      <c r="Z423" s="9" t="n">
        <v>16000</v>
      </c>
      <c r="AA423" s="9" t="n">
        <v>16000</v>
      </c>
      <c r="AB423" s="9" t="n">
        <v>16000</v>
      </c>
      <c r="AC423" s="9" t="n">
        <v>16000</v>
      </c>
      <c r="AD423" s="9" t="n">
        <v>16000</v>
      </c>
      <c r="AE423" s="9" t="n">
        <v>16000</v>
      </c>
      <c r="AF423" s="9" t="n">
        <v>16000</v>
      </c>
      <c r="AG423" s="9" t="n">
        <v>16000</v>
      </c>
      <c r="AH423" s="9" t="n">
        <v>16000</v>
      </c>
      <c r="AI423" s="9" t="n">
        <v>16000</v>
      </c>
      <c r="AJ423" s="9" t="n">
        <f aca="false">X423*$V423</f>
        <v>125120</v>
      </c>
      <c r="AK423" s="9" t="n">
        <f aca="false">Y423*$V423</f>
        <v>125120</v>
      </c>
      <c r="AL423" s="9" t="n">
        <f aca="false">Z423*$V423</f>
        <v>125120</v>
      </c>
      <c r="AM423" s="9" t="n">
        <f aca="false">AA423*$V423</f>
        <v>125120</v>
      </c>
      <c r="AN423" s="9" t="n">
        <f aca="false">AB423*$V423</f>
        <v>125120</v>
      </c>
      <c r="AO423" s="9" t="n">
        <f aca="false">AC423*$V423</f>
        <v>125120</v>
      </c>
      <c r="AP423" s="9" t="n">
        <f aca="false">AD423*$V423</f>
        <v>125120</v>
      </c>
      <c r="AQ423" s="9" t="n">
        <f aca="false">AE423*$V423</f>
        <v>125120</v>
      </c>
      <c r="AR423" s="9" t="n">
        <f aca="false">AF423*$V423</f>
        <v>125120</v>
      </c>
      <c r="AS423" s="9" t="n">
        <f aca="false">AG423*$V423</f>
        <v>125120</v>
      </c>
      <c r="AT423" s="9" t="n">
        <f aca="false">AH423*$V423</f>
        <v>125120</v>
      </c>
      <c r="AU423" s="9" t="n">
        <f aca="false">AI423*$V423</f>
        <v>125120</v>
      </c>
      <c r="AV423" s="9" t="n">
        <f aca="false">SUM(X423:AI423)/1000</f>
        <v>192</v>
      </c>
      <c r="AW423" s="9" t="n">
        <f aca="false">SUM(AJ423:AU423)</f>
        <v>1501440</v>
      </c>
      <c r="AX423" s="9" t="n">
        <f aca="false">IF(D423="INR",AW423/88.24,AW423)/1000000</f>
        <v>0.0170154125113327</v>
      </c>
    </row>
    <row r="424" s="2" customFormat="true" ht="14.25" hidden="false" customHeight="false" outlineLevel="0" collapsed="false">
      <c r="A424" s="12" t="s">
        <v>928</v>
      </c>
      <c r="B424" s="16" t="n">
        <v>5</v>
      </c>
      <c r="C424" s="15"/>
      <c r="D424" s="16" t="s">
        <v>50</v>
      </c>
      <c r="E424" s="16" t="s">
        <v>51</v>
      </c>
      <c r="F424" s="16" t="s">
        <v>52</v>
      </c>
      <c r="G424" s="16" t="s">
        <v>929</v>
      </c>
      <c r="H424" s="16" t="s">
        <v>930</v>
      </c>
      <c r="I424" s="16" t="s">
        <v>105</v>
      </c>
      <c r="J424" s="16" t="s">
        <v>900</v>
      </c>
      <c r="K424" s="16"/>
      <c r="L424" s="16" t="s">
        <v>105</v>
      </c>
      <c r="M424" s="16" t="s">
        <v>900</v>
      </c>
      <c r="N424" s="16" t="s">
        <v>93</v>
      </c>
      <c r="O424" s="16" t="s">
        <v>294</v>
      </c>
      <c r="P424" s="16" t="s">
        <v>308</v>
      </c>
      <c r="Q424" s="16" t="s">
        <v>308</v>
      </c>
      <c r="R424" s="16" t="s">
        <v>309</v>
      </c>
      <c r="S424" s="16" t="s">
        <v>264</v>
      </c>
      <c r="T424" s="16" t="s">
        <v>931</v>
      </c>
      <c r="U424" s="16" t="s">
        <v>73</v>
      </c>
      <c r="V424" s="16" t="n">
        <v>1.25</v>
      </c>
      <c r="W424" s="16" t="n">
        <v>1.1</v>
      </c>
      <c r="X424" s="22" t="n">
        <v>100000</v>
      </c>
      <c r="Y424" s="22"/>
      <c r="Z424" s="22" t="n">
        <v>100000</v>
      </c>
      <c r="AA424" s="22"/>
      <c r="AB424" s="22" t="n">
        <v>100000</v>
      </c>
      <c r="AC424" s="22"/>
      <c r="AD424" s="22"/>
      <c r="AE424" s="22"/>
      <c r="AF424" s="22"/>
      <c r="AG424" s="22"/>
      <c r="AH424" s="22" t="n">
        <v>100000</v>
      </c>
      <c r="AI424" s="22"/>
      <c r="AJ424" s="9" t="n">
        <f aca="false">X424*$V424</f>
        <v>125000</v>
      </c>
      <c r="AK424" s="9" t="n">
        <f aca="false">Y424*$V424</f>
        <v>0</v>
      </c>
      <c r="AL424" s="9" t="n">
        <f aca="false">Z424*$V424</f>
        <v>125000</v>
      </c>
      <c r="AM424" s="9" t="n">
        <f aca="false">AA424*$V424</f>
        <v>0</v>
      </c>
      <c r="AN424" s="9" t="n">
        <f aca="false">AB424*$V424</f>
        <v>125000</v>
      </c>
      <c r="AO424" s="9" t="n">
        <f aca="false">AC424*$V424</f>
        <v>0</v>
      </c>
      <c r="AP424" s="9" t="n">
        <f aca="false">AD424*$V424</f>
        <v>0</v>
      </c>
      <c r="AQ424" s="9" t="n">
        <f aca="false">AE424*$V424</f>
        <v>0</v>
      </c>
      <c r="AR424" s="9" t="n">
        <f aca="false">AF424*$V424</f>
        <v>0</v>
      </c>
      <c r="AS424" s="9" t="n">
        <f aca="false">AG424*$V424</f>
        <v>0</v>
      </c>
      <c r="AT424" s="9" t="n">
        <f aca="false">AH424*$V424</f>
        <v>125000</v>
      </c>
      <c r="AU424" s="9" t="n">
        <f aca="false">AI424*$V424</f>
        <v>0</v>
      </c>
      <c r="AV424" s="9" t="n">
        <f aca="false">SUM(X424:AI424)/1000</f>
        <v>400</v>
      </c>
      <c r="AW424" s="9" t="n">
        <f aca="false">SUM(AJ424:AU424)</f>
        <v>500000</v>
      </c>
      <c r="AX424" s="9" t="n">
        <f aca="false">IF(D424="INR",AW424/88.24,AW424)/1000000</f>
        <v>0.0056663644605621</v>
      </c>
    </row>
    <row r="425" s="2" customFormat="true" ht="14.25" hidden="false" customHeight="false" outlineLevel="0" collapsed="false">
      <c r="A425" s="9" t="s">
        <v>932</v>
      </c>
      <c r="B425" s="9" t="n">
        <v>5</v>
      </c>
      <c r="C425" s="10"/>
      <c r="D425" s="9" t="s">
        <v>50</v>
      </c>
      <c r="E425" s="9" t="s">
        <v>51</v>
      </c>
      <c r="F425" s="9" t="s">
        <v>52</v>
      </c>
      <c r="G425" s="9" t="s">
        <v>494</v>
      </c>
      <c r="H425" s="9" t="s">
        <v>495</v>
      </c>
      <c r="I425" s="9" t="s">
        <v>77</v>
      </c>
      <c r="J425" s="9" t="s">
        <v>496</v>
      </c>
      <c r="K425" s="9" t="s">
        <v>495</v>
      </c>
      <c r="L425" s="9" t="s">
        <v>77</v>
      </c>
      <c r="M425" s="9" t="s">
        <v>496</v>
      </c>
      <c r="N425" s="9" t="s">
        <v>57</v>
      </c>
      <c r="O425" s="9" t="s">
        <v>94</v>
      </c>
      <c r="P425" s="9" t="s">
        <v>789</v>
      </c>
      <c r="Q425" s="9" t="s">
        <v>789</v>
      </c>
      <c r="R425" s="9" t="s">
        <v>377</v>
      </c>
      <c r="S425" s="9" t="s">
        <v>528</v>
      </c>
      <c r="T425" s="9" t="s">
        <v>933</v>
      </c>
      <c r="U425" s="9" t="s">
        <v>73</v>
      </c>
      <c r="V425" s="9" t="n">
        <v>15.53</v>
      </c>
      <c r="W425" s="9" t="n">
        <v>14</v>
      </c>
      <c r="X425" s="9" t="n">
        <v>8000</v>
      </c>
      <c r="Y425" s="9" t="n">
        <v>8000</v>
      </c>
      <c r="Z425" s="9" t="n">
        <v>8000</v>
      </c>
      <c r="AA425" s="9" t="n">
        <v>8000</v>
      </c>
      <c r="AB425" s="9" t="n">
        <v>8000</v>
      </c>
      <c r="AC425" s="9" t="n">
        <v>8000</v>
      </c>
      <c r="AD425" s="9" t="n">
        <v>8000</v>
      </c>
      <c r="AE425" s="9" t="n">
        <v>8000</v>
      </c>
      <c r="AF425" s="9" t="n">
        <v>8000</v>
      </c>
      <c r="AG425" s="9" t="n">
        <v>8000</v>
      </c>
      <c r="AH425" s="9" t="n">
        <v>8000</v>
      </c>
      <c r="AI425" s="9" t="n">
        <v>8000</v>
      </c>
      <c r="AJ425" s="9" t="n">
        <f aca="false">X425*$V425</f>
        <v>124240</v>
      </c>
      <c r="AK425" s="9" t="n">
        <f aca="false">Y425*$V425</f>
        <v>124240</v>
      </c>
      <c r="AL425" s="9" t="n">
        <f aca="false">Z425*$V425</f>
        <v>124240</v>
      </c>
      <c r="AM425" s="9" t="n">
        <f aca="false">AA425*$V425</f>
        <v>124240</v>
      </c>
      <c r="AN425" s="9" t="n">
        <f aca="false">AB425*$V425</f>
        <v>124240</v>
      </c>
      <c r="AO425" s="9" t="n">
        <f aca="false">AC425*$V425</f>
        <v>124240</v>
      </c>
      <c r="AP425" s="9" t="n">
        <f aca="false">AD425*$V425</f>
        <v>124240</v>
      </c>
      <c r="AQ425" s="9" t="n">
        <f aca="false">AE425*$V425</f>
        <v>124240</v>
      </c>
      <c r="AR425" s="9" t="n">
        <f aca="false">AF425*$V425</f>
        <v>124240</v>
      </c>
      <c r="AS425" s="9" t="n">
        <f aca="false">AG425*$V425</f>
        <v>124240</v>
      </c>
      <c r="AT425" s="9" t="n">
        <f aca="false">AH425*$V425</f>
        <v>124240</v>
      </c>
      <c r="AU425" s="9" t="n">
        <f aca="false">AI425*$V425</f>
        <v>124240</v>
      </c>
      <c r="AV425" s="9" t="n">
        <f aca="false">SUM(X425:AI425)/1000</f>
        <v>96</v>
      </c>
      <c r="AW425" s="9" t="n">
        <f aca="false">SUM(AJ425:AU425)</f>
        <v>1490880</v>
      </c>
      <c r="AX425" s="9" t="n">
        <f aca="false">IF(D425="INR",AW425/88.24,AW425)/1000000</f>
        <v>0.0168957388939257</v>
      </c>
    </row>
    <row r="426" s="2" customFormat="true" ht="14.25" hidden="false" customHeight="false" outlineLevel="0" collapsed="false">
      <c r="A426" s="9"/>
      <c r="B426" s="9" t="n">
        <v>1</v>
      </c>
      <c r="C426" s="10"/>
      <c r="D426" s="9" t="s">
        <v>102</v>
      </c>
      <c r="E426" s="9" t="s">
        <v>51</v>
      </c>
      <c r="F426" s="9" t="s">
        <v>97</v>
      </c>
      <c r="G426" s="9" t="s">
        <v>934</v>
      </c>
      <c r="H426" s="9" t="s">
        <v>935</v>
      </c>
      <c r="I426" s="9"/>
      <c r="J426" s="9"/>
      <c r="K426" s="9"/>
      <c r="L426" s="9"/>
      <c r="M426" s="9"/>
      <c r="N426" s="9" t="s">
        <v>79</v>
      </c>
      <c r="O426" s="9"/>
      <c r="P426" s="9"/>
      <c r="Q426" s="9" t="s">
        <v>208</v>
      </c>
      <c r="R426" s="9"/>
      <c r="S426" s="9"/>
      <c r="T426" s="9" t="s">
        <v>936</v>
      </c>
      <c r="U426" s="9" t="s">
        <v>63</v>
      </c>
      <c r="V426" s="9" t="n">
        <v>0.0437</v>
      </c>
      <c r="W426" s="9"/>
      <c r="X426" s="9"/>
      <c r="Y426" s="9"/>
      <c r="Z426" s="9" t="n">
        <v>5000</v>
      </c>
      <c r="AA426" s="9"/>
      <c r="AB426" s="9"/>
      <c r="AC426" s="9" t="n">
        <v>5000</v>
      </c>
      <c r="AD426" s="9"/>
      <c r="AE426" s="9"/>
      <c r="AF426" s="9" t="n">
        <v>5000</v>
      </c>
      <c r="AG426" s="9"/>
      <c r="AH426" s="9" t="n">
        <v>5000</v>
      </c>
      <c r="AI426" s="9" t="n">
        <v>5000</v>
      </c>
      <c r="AJ426" s="9" t="n">
        <f aca="false">X426*$V426</f>
        <v>0</v>
      </c>
      <c r="AK426" s="9" t="n">
        <f aca="false">Y426*$V426</f>
        <v>0</v>
      </c>
      <c r="AL426" s="9" t="n">
        <f aca="false">Z426*$V426</f>
        <v>218.5</v>
      </c>
      <c r="AM426" s="9" t="n">
        <f aca="false">AA426*$V426</f>
        <v>0</v>
      </c>
      <c r="AN426" s="9" t="n">
        <f aca="false">AB426*$V426</f>
        <v>0</v>
      </c>
      <c r="AO426" s="9" t="n">
        <f aca="false">AC426*$V426</f>
        <v>218.5</v>
      </c>
      <c r="AP426" s="9" t="n">
        <f aca="false">AD426*$V426</f>
        <v>0</v>
      </c>
      <c r="AQ426" s="9" t="n">
        <f aca="false">AE426*$V426</f>
        <v>0</v>
      </c>
      <c r="AR426" s="9" t="n">
        <f aca="false">AF426*$V426</f>
        <v>218.5</v>
      </c>
      <c r="AS426" s="9" t="n">
        <f aca="false">AG426*$V426</f>
        <v>0</v>
      </c>
      <c r="AT426" s="9" t="n">
        <f aca="false">AH426*$V426</f>
        <v>218.5</v>
      </c>
      <c r="AU426" s="9" t="n">
        <f aca="false">AI426*$V426</f>
        <v>218.5</v>
      </c>
      <c r="AV426" s="9" t="n">
        <f aca="false">SUM(X426:AI426)/1000</f>
        <v>25</v>
      </c>
      <c r="AW426" s="9" t="n">
        <f aca="false">SUM(AJ426:AU426)</f>
        <v>1092.5</v>
      </c>
      <c r="AX426" s="9" t="n">
        <f aca="false">IF(D426="INR",AW426/88.24,AW426)/1000000</f>
        <v>0.0010925</v>
      </c>
    </row>
    <row r="427" s="2" customFormat="true" ht="14.25" hidden="false" customHeight="false" outlineLevel="0" collapsed="false">
      <c r="A427" s="9"/>
      <c r="B427" s="9" t="n">
        <v>1</v>
      </c>
      <c r="C427" s="10"/>
      <c r="D427" s="9" t="s">
        <v>102</v>
      </c>
      <c r="E427" s="9" t="s">
        <v>51</v>
      </c>
      <c r="F427" s="9" t="s">
        <v>97</v>
      </c>
      <c r="G427" s="9" t="s">
        <v>934</v>
      </c>
      <c r="H427" s="9" t="s">
        <v>935</v>
      </c>
      <c r="I427" s="9"/>
      <c r="J427" s="9"/>
      <c r="K427" s="9"/>
      <c r="L427" s="9"/>
      <c r="M427" s="9"/>
      <c r="N427" s="16" t="s">
        <v>79</v>
      </c>
      <c r="O427" s="9"/>
      <c r="P427" s="9"/>
      <c r="Q427" s="9" t="s">
        <v>208</v>
      </c>
      <c r="R427" s="9"/>
      <c r="S427" s="9"/>
      <c r="T427" s="9" t="s">
        <v>937</v>
      </c>
      <c r="U427" s="9" t="s">
        <v>63</v>
      </c>
      <c r="V427" s="9" t="n">
        <v>0.06</v>
      </c>
      <c r="W427" s="9"/>
      <c r="X427" s="9"/>
      <c r="Y427" s="9"/>
      <c r="Z427" s="9"/>
      <c r="AA427" s="9"/>
      <c r="AB427" s="9"/>
      <c r="AC427" s="9"/>
      <c r="AD427" s="9"/>
      <c r="AE427" s="9" t="n">
        <v>5000</v>
      </c>
      <c r="AF427" s="9"/>
      <c r="AG427" s="9" t="n">
        <v>5000</v>
      </c>
      <c r="AH427" s="9"/>
      <c r="AI427" s="9" t="n">
        <v>5000</v>
      </c>
      <c r="AJ427" s="9" t="n">
        <f aca="false">X427*$V427</f>
        <v>0</v>
      </c>
      <c r="AK427" s="9" t="n">
        <f aca="false">Y427*$V427</f>
        <v>0</v>
      </c>
      <c r="AL427" s="9" t="n">
        <f aca="false">Z427*$V427</f>
        <v>0</v>
      </c>
      <c r="AM427" s="9" t="n">
        <f aca="false">AA427*$V427</f>
        <v>0</v>
      </c>
      <c r="AN427" s="9" t="n">
        <f aca="false">AB427*$V427</f>
        <v>0</v>
      </c>
      <c r="AO427" s="9" t="n">
        <f aca="false">AC427*$V427</f>
        <v>0</v>
      </c>
      <c r="AP427" s="9" t="n">
        <f aca="false">AD427*$V427</f>
        <v>0</v>
      </c>
      <c r="AQ427" s="9" t="n">
        <f aca="false">AE427*$V427</f>
        <v>300</v>
      </c>
      <c r="AR427" s="9" t="n">
        <f aca="false">AF427*$V427</f>
        <v>0</v>
      </c>
      <c r="AS427" s="9" t="n">
        <f aca="false">AG427*$V427</f>
        <v>300</v>
      </c>
      <c r="AT427" s="9" t="n">
        <f aca="false">AH427*$V427</f>
        <v>0</v>
      </c>
      <c r="AU427" s="9" t="n">
        <f aca="false">AI427*$V427</f>
        <v>300</v>
      </c>
      <c r="AV427" s="9" t="n">
        <f aca="false">SUM(X427:AI427)/1000</f>
        <v>15</v>
      </c>
      <c r="AW427" s="9" t="n">
        <f aca="false">SUM(AJ427:AU427)</f>
        <v>900</v>
      </c>
      <c r="AX427" s="9" t="n">
        <f aca="false">IF(D427="INR",AW427/88.24,AW427)/1000000</f>
        <v>0.0009</v>
      </c>
    </row>
    <row r="428" s="2" customFormat="true" ht="14.25" hidden="false" customHeight="false" outlineLevel="0" collapsed="false">
      <c r="A428" s="12"/>
      <c r="B428" s="16" t="n">
        <v>1</v>
      </c>
      <c r="C428" s="15"/>
      <c r="D428" s="16" t="s">
        <v>102</v>
      </c>
      <c r="E428" s="16" t="s">
        <v>51</v>
      </c>
      <c r="F428" s="16" t="s">
        <v>97</v>
      </c>
      <c r="G428" s="16" t="s">
        <v>934</v>
      </c>
      <c r="H428" s="16" t="s">
        <v>935</v>
      </c>
      <c r="I428" s="16"/>
      <c r="J428" s="16"/>
      <c r="K428" s="16"/>
      <c r="L428" s="16"/>
      <c r="M428" s="16"/>
      <c r="N428" s="16" t="s">
        <v>79</v>
      </c>
      <c r="O428" s="16"/>
      <c r="P428" s="16"/>
      <c r="Q428" s="16" t="s">
        <v>208</v>
      </c>
      <c r="R428" s="16"/>
      <c r="S428" s="16"/>
      <c r="T428" s="16" t="s">
        <v>938</v>
      </c>
      <c r="U428" s="16" t="s">
        <v>63</v>
      </c>
      <c r="V428" s="16" t="n">
        <v>0.2295</v>
      </c>
      <c r="W428" s="16"/>
      <c r="X428" s="16"/>
      <c r="Y428" s="26"/>
      <c r="Z428" s="16" t="n">
        <v>5000</v>
      </c>
      <c r="AA428" s="16"/>
      <c r="AB428" s="16"/>
      <c r="AC428" s="16"/>
      <c r="AD428" s="16"/>
      <c r="AE428" s="26" t="n">
        <v>5000</v>
      </c>
      <c r="AF428" s="16"/>
      <c r="AG428" s="16"/>
      <c r="AH428" s="16"/>
      <c r="AI428" s="16"/>
      <c r="AJ428" s="9" t="n">
        <f aca="false">X428*$V428</f>
        <v>0</v>
      </c>
      <c r="AK428" s="9" t="n">
        <f aca="false">Y428*$V428</f>
        <v>0</v>
      </c>
      <c r="AL428" s="9" t="n">
        <f aca="false">Z428*$V428</f>
        <v>1147.5</v>
      </c>
      <c r="AM428" s="9" t="n">
        <f aca="false">AA428*$V428</f>
        <v>0</v>
      </c>
      <c r="AN428" s="9" t="n">
        <f aca="false">AB428*$V428</f>
        <v>0</v>
      </c>
      <c r="AO428" s="9" t="n">
        <f aca="false">AC428*$V428</f>
        <v>0</v>
      </c>
      <c r="AP428" s="9" t="n">
        <f aca="false">AD428*$V428</f>
        <v>0</v>
      </c>
      <c r="AQ428" s="9" t="n">
        <f aca="false">AE428*$V428</f>
        <v>1147.5</v>
      </c>
      <c r="AR428" s="9" t="n">
        <f aca="false">AF428*$V428</f>
        <v>0</v>
      </c>
      <c r="AS428" s="9" t="n">
        <f aca="false">AG428*$V428</f>
        <v>0</v>
      </c>
      <c r="AT428" s="9" t="n">
        <f aca="false">AH428*$V428</f>
        <v>0</v>
      </c>
      <c r="AU428" s="9" t="n">
        <f aca="false">AI428*$V428</f>
        <v>0</v>
      </c>
      <c r="AV428" s="9" t="n">
        <f aca="false">SUM(X428:AI428)/1000</f>
        <v>10</v>
      </c>
      <c r="AW428" s="9" t="n">
        <f aca="false">SUM(AJ428:AU428)</f>
        <v>2295</v>
      </c>
      <c r="AX428" s="9" t="n">
        <f aca="false">IF(D428="INR",AW428/88.24,AW428)/1000000</f>
        <v>0.002295</v>
      </c>
    </row>
    <row r="429" s="2" customFormat="true" ht="14.25" hidden="false" customHeight="false" outlineLevel="0" collapsed="false">
      <c r="A429" s="12"/>
      <c r="B429" s="16" t="n">
        <v>1</v>
      </c>
      <c r="C429" s="15"/>
      <c r="D429" s="16" t="s">
        <v>102</v>
      </c>
      <c r="E429" s="16" t="s">
        <v>51</v>
      </c>
      <c r="F429" s="16" t="s">
        <v>97</v>
      </c>
      <c r="G429" s="16" t="s">
        <v>934</v>
      </c>
      <c r="H429" s="16" t="s">
        <v>935</v>
      </c>
      <c r="I429" s="16"/>
      <c r="J429" s="16"/>
      <c r="K429" s="16"/>
      <c r="L429" s="16"/>
      <c r="M429" s="16"/>
      <c r="N429" s="16" t="s">
        <v>79</v>
      </c>
      <c r="O429" s="16"/>
      <c r="P429" s="16"/>
      <c r="Q429" s="16" t="s">
        <v>199</v>
      </c>
      <c r="R429" s="16"/>
      <c r="S429" s="16"/>
      <c r="T429" s="16" t="s">
        <v>939</v>
      </c>
      <c r="U429" s="16" t="s">
        <v>63</v>
      </c>
      <c r="V429" s="16" t="n">
        <v>7.61</v>
      </c>
      <c r="W429" s="16"/>
      <c r="X429" s="16" t="n">
        <v>1000</v>
      </c>
      <c r="Y429" s="16"/>
      <c r="Z429" s="16"/>
      <c r="AA429" s="16"/>
      <c r="AB429" s="26"/>
      <c r="AC429" s="16" t="n">
        <v>1000</v>
      </c>
      <c r="AD429" s="16"/>
      <c r="AE429" s="26"/>
      <c r="AF429" s="16"/>
      <c r="AG429" s="16" t="n">
        <v>1000</v>
      </c>
      <c r="AH429" s="16"/>
      <c r="AI429" s="16" t="n">
        <v>1000</v>
      </c>
      <c r="AJ429" s="9" t="n">
        <f aca="false">X429*$V429</f>
        <v>7610</v>
      </c>
      <c r="AK429" s="9" t="n">
        <f aca="false">Y429*$V429</f>
        <v>0</v>
      </c>
      <c r="AL429" s="9" t="n">
        <f aca="false">Z429*$V429</f>
        <v>0</v>
      </c>
      <c r="AM429" s="9" t="n">
        <f aca="false">AA429*$V429</f>
        <v>0</v>
      </c>
      <c r="AN429" s="9" t="n">
        <f aca="false">AB429*$V429</f>
        <v>0</v>
      </c>
      <c r="AO429" s="9" t="n">
        <f aca="false">AC429*$V429</f>
        <v>7610</v>
      </c>
      <c r="AP429" s="9" t="n">
        <f aca="false">AD429*$V429</f>
        <v>0</v>
      </c>
      <c r="AQ429" s="9" t="n">
        <f aca="false">AE429*$V429</f>
        <v>0</v>
      </c>
      <c r="AR429" s="9" t="n">
        <f aca="false">AF429*$V429</f>
        <v>0</v>
      </c>
      <c r="AS429" s="9" t="n">
        <f aca="false">AG429*$V429</f>
        <v>7610</v>
      </c>
      <c r="AT429" s="9" t="n">
        <f aca="false">AH429*$V429</f>
        <v>0</v>
      </c>
      <c r="AU429" s="9" t="n">
        <f aca="false">AI429*$V429</f>
        <v>7610</v>
      </c>
      <c r="AV429" s="9" t="n">
        <f aca="false">SUM(X429:AI429)/1000</f>
        <v>4</v>
      </c>
      <c r="AW429" s="9" t="n">
        <f aca="false">SUM(AJ429:AU429)</f>
        <v>30440</v>
      </c>
      <c r="AX429" s="9" t="n">
        <f aca="false">IF(D429="INR",AW429/88.24,AW429)/1000000</f>
        <v>0.03044</v>
      </c>
    </row>
    <row r="430" s="2" customFormat="true" ht="14.25" hidden="false" customHeight="false" outlineLevel="0" collapsed="false">
      <c r="A430" s="12"/>
      <c r="B430" s="16" t="n">
        <v>1</v>
      </c>
      <c r="C430" s="15"/>
      <c r="D430" s="16" t="s">
        <v>102</v>
      </c>
      <c r="E430" s="16" t="s">
        <v>51</v>
      </c>
      <c r="F430" s="16" t="s">
        <v>97</v>
      </c>
      <c r="G430" s="16" t="s">
        <v>934</v>
      </c>
      <c r="H430" s="16" t="s">
        <v>935</v>
      </c>
      <c r="I430" s="16"/>
      <c r="J430" s="16"/>
      <c r="K430" s="16"/>
      <c r="L430" s="16"/>
      <c r="M430" s="16"/>
      <c r="N430" s="16" t="s">
        <v>79</v>
      </c>
      <c r="O430" s="16"/>
      <c r="P430" s="16"/>
      <c r="Q430" s="16" t="s">
        <v>199</v>
      </c>
      <c r="R430" s="16"/>
      <c r="S430" s="16"/>
      <c r="T430" s="16" t="s">
        <v>940</v>
      </c>
      <c r="U430" s="16" t="s">
        <v>63</v>
      </c>
      <c r="V430" s="16" t="n">
        <v>7.49</v>
      </c>
      <c r="W430" s="26"/>
      <c r="X430" s="16" t="n">
        <v>1000</v>
      </c>
      <c r="Y430" s="16"/>
      <c r="Z430" s="16"/>
      <c r="AA430" s="16"/>
      <c r="AB430" s="16"/>
      <c r="AC430" s="16" t="n">
        <v>1000</v>
      </c>
      <c r="AD430" s="26"/>
      <c r="AE430" s="16"/>
      <c r="AF430" s="16"/>
      <c r="AG430" s="16" t="n">
        <v>1000</v>
      </c>
      <c r="AH430" s="16"/>
      <c r="AI430" s="16" t="n">
        <v>1000</v>
      </c>
      <c r="AJ430" s="9" t="n">
        <f aca="false">X430*$V430</f>
        <v>7490</v>
      </c>
      <c r="AK430" s="9" t="n">
        <f aca="false">Y430*$V430</f>
        <v>0</v>
      </c>
      <c r="AL430" s="9" t="n">
        <f aca="false">Z430*$V430</f>
        <v>0</v>
      </c>
      <c r="AM430" s="9" t="n">
        <f aca="false">AA430*$V430</f>
        <v>0</v>
      </c>
      <c r="AN430" s="9" t="n">
        <f aca="false">AB430*$V430</f>
        <v>0</v>
      </c>
      <c r="AO430" s="9" t="n">
        <f aca="false">AC430*$V430</f>
        <v>7490</v>
      </c>
      <c r="AP430" s="9" t="n">
        <f aca="false">AD430*$V430</f>
        <v>0</v>
      </c>
      <c r="AQ430" s="9" t="n">
        <f aca="false">AE430*$V430</f>
        <v>0</v>
      </c>
      <c r="AR430" s="9" t="n">
        <f aca="false">AF430*$V430</f>
        <v>0</v>
      </c>
      <c r="AS430" s="9" t="n">
        <f aca="false">AG430*$V430</f>
        <v>7490</v>
      </c>
      <c r="AT430" s="9" t="n">
        <f aca="false">AH430*$V430</f>
        <v>0</v>
      </c>
      <c r="AU430" s="9" t="n">
        <f aca="false">AI430*$V430</f>
        <v>7490</v>
      </c>
      <c r="AV430" s="9" t="n">
        <f aca="false">SUM(X430:AI430)/1000</f>
        <v>4</v>
      </c>
      <c r="AW430" s="9" t="n">
        <f aca="false">SUM(AJ430:AU430)</f>
        <v>29960</v>
      </c>
      <c r="AX430" s="9" t="n">
        <f aca="false">IF(D430="INR",AW430/88.24,AW430)/1000000</f>
        <v>0.02996</v>
      </c>
    </row>
    <row r="431" s="2" customFormat="true" ht="14.25" hidden="false" customHeight="false" outlineLevel="0" collapsed="false">
      <c r="A431" s="12" t="s">
        <v>941</v>
      </c>
      <c r="B431" s="16" t="n">
        <v>5</v>
      </c>
      <c r="C431" s="15"/>
      <c r="D431" s="16" t="s">
        <v>50</v>
      </c>
      <c r="E431" s="16" t="s">
        <v>51</v>
      </c>
      <c r="F431" s="16" t="s">
        <v>404</v>
      </c>
      <c r="G431" s="16" t="s">
        <v>942</v>
      </c>
      <c r="H431" s="16" t="s">
        <v>943</v>
      </c>
      <c r="I431" s="16" t="s">
        <v>105</v>
      </c>
      <c r="J431" s="16" t="s">
        <v>368</v>
      </c>
      <c r="K431" s="16"/>
      <c r="L431" s="16" t="s">
        <v>105</v>
      </c>
      <c r="M431" s="16" t="s">
        <v>368</v>
      </c>
      <c r="N431" s="16" t="s">
        <v>271</v>
      </c>
      <c r="O431" s="16" t="s">
        <v>94</v>
      </c>
      <c r="P431" s="16" t="s">
        <v>110</v>
      </c>
      <c r="Q431" s="16" t="s">
        <v>110</v>
      </c>
      <c r="R431" s="16" t="s">
        <v>137</v>
      </c>
      <c r="S431" s="16" t="s">
        <v>272</v>
      </c>
      <c r="T431" s="16" t="s">
        <v>944</v>
      </c>
      <c r="U431" s="16" t="s">
        <v>73</v>
      </c>
      <c r="V431" s="16" t="n">
        <v>130</v>
      </c>
      <c r="W431" s="16" t="n">
        <v>1.2</v>
      </c>
      <c r="X431" s="16" t="n">
        <v>952</v>
      </c>
      <c r="Y431" s="16"/>
      <c r="Z431" s="16" t="n">
        <v>952</v>
      </c>
      <c r="AA431" s="16"/>
      <c r="AB431" s="16" t="n">
        <v>952</v>
      </c>
      <c r="AC431" s="16"/>
      <c r="AD431" s="16" t="n">
        <v>952</v>
      </c>
      <c r="AE431" s="16"/>
      <c r="AF431" s="16" t="n">
        <v>952</v>
      </c>
      <c r="AG431" s="16"/>
      <c r="AH431" s="16" t="n">
        <v>952</v>
      </c>
      <c r="AI431" s="16"/>
      <c r="AJ431" s="9" t="n">
        <f aca="false">X431*$V431</f>
        <v>123760</v>
      </c>
      <c r="AK431" s="9" t="n">
        <f aca="false">Y431*$V431</f>
        <v>0</v>
      </c>
      <c r="AL431" s="9" t="n">
        <f aca="false">Z431*$V431</f>
        <v>123760</v>
      </c>
      <c r="AM431" s="9" t="n">
        <f aca="false">AA431*$V431</f>
        <v>0</v>
      </c>
      <c r="AN431" s="9" t="n">
        <f aca="false">AB431*$V431</f>
        <v>123760</v>
      </c>
      <c r="AO431" s="9" t="n">
        <f aca="false">AC431*$V431</f>
        <v>0</v>
      </c>
      <c r="AP431" s="9" t="n">
        <f aca="false">AD431*$V431</f>
        <v>123760</v>
      </c>
      <c r="AQ431" s="9" t="n">
        <f aca="false">AE431*$V431</f>
        <v>0</v>
      </c>
      <c r="AR431" s="9" t="n">
        <f aca="false">AF431*$V431</f>
        <v>123760</v>
      </c>
      <c r="AS431" s="9" t="n">
        <f aca="false">AG431*$V431</f>
        <v>0</v>
      </c>
      <c r="AT431" s="9" t="n">
        <f aca="false">AH431*$V431</f>
        <v>123760</v>
      </c>
      <c r="AU431" s="9" t="n">
        <f aca="false">AI431*$V431</f>
        <v>0</v>
      </c>
      <c r="AV431" s="9" t="n">
        <f aca="false">SUM(X431:AI431)/1000</f>
        <v>5.712</v>
      </c>
      <c r="AW431" s="9" t="n">
        <f aca="false">SUM(AJ431:AU431)</f>
        <v>742560</v>
      </c>
      <c r="AX431" s="9" t="n">
        <f aca="false">IF(D431="INR",AW431/88.24,AW431)/1000000</f>
        <v>0.00841523118766999</v>
      </c>
    </row>
    <row r="432" s="2" customFormat="true" ht="14.25" hidden="false" customHeight="false" outlineLevel="0" collapsed="false">
      <c r="A432" s="12" t="s">
        <v>945</v>
      </c>
      <c r="B432" s="16" t="n">
        <v>5</v>
      </c>
      <c r="C432" s="15"/>
      <c r="D432" s="16" t="s">
        <v>50</v>
      </c>
      <c r="E432" s="16" t="s">
        <v>51</v>
      </c>
      <c r="F432" s="16" t="s">
        <v>52</v>
      </c>
      <c r="G432" s="16" t="s">
        <v>53</v>
      </c>
      <c r="H432" s="16" t="s">
        <v>54</v>
      </c>
      <c r="I432" s="16" t="s">
        <v>55</v>
      </c>
      <c r="J432" s="16" t="s">
        <v>56</v>
      </c>
      <c r="K432" s="16" t="s">
        <v>54</v>
      </c>
      <c r="L432" s="16" t="s">
        <v>55</v>
      </c>
      <c r="M432" s="16" t="s">
        <v>56</v>
      </c>
      <c r="N432" s="16" t="s">
        <v>57</v>
      </c>
      <c r="O432" s="16" t="s">
        <v>58</v>
      </c>
      <c r="P432" s="16" t="s">
        <v>308</v>
      </c>
      <c r="Q432" s="16" t="s">
        <v>308</v>
      </c>
      <c r="R432" s="16" t="s">
        <v>309</v>
      </c>
      <c r="S432" s="16" t="s">
        <v>264</v>
      </c>
      <c r="T432" s="16" t="s">
        <v>946</v>
      </c>
      <c r="U432" s="16" t="s">
        <v>73</v>
      </c>
      <c r="V432" s="16" t="n">
        <v>4.1</v>
      </c>
      <c r="W432" s="16" t="n">
        <v>3.76</v>
      </c>
      <c r="X432" s="22"/>
      <c r="Y432" s="22"/>
      <c r="Z432" s="22" t="n">
        <v>30000</v>
      </c>
      <c r="AA432" s="22"/>
      <c r="AB432" s="22"/>
      <c r="AC432" s="22" t="n">
        <v>30000</v>
      </c>
      <c r="AD432" s="22"/>
      <c r="AE432" s="22"/>
      <c r="AF432" s="22" t="n">
        <v>30000</v>
      </c>
      <c r="AG432" s="22"/>
      <c r="AH432" s="22"/>
      <c r="AI432" s="22" t="n">
        <v>30000</v>
      </c>
      <c r="AJ432" s="9" t="n">
        <f aca="false">X432*$V432</f>
        <v>0</v>
      </c>
      <c r="AK432" s="9" t="n">
        <f aca="false">Y432*$V432</f>
        <v>0</v>
      </c>
      <c r="AL432" s="9" t="n">
        <f aca="false">Z432*$V432</f>
        <v>123000</v>
      </c>
      <c r="AM432" s="9" t="n">
        <f aca="false">AA432*$V432</f>
        <v>0</v>
      </c>
      <c r="AN432" s="9" t="n">
        <f aca="false">AB432*$V432</f>
        <v>0</v>
      </c>
      <c r="AO432" s="9" t="n">
        <f aca="false">AC432*$V432</f>
        <v>123000</v>
      </c>
      <c r="AP432" s="9" t="n">
        <f aca="false">AD432*$V432</f>
        <v>0</v>
      </c>
      <c r="AQ432" s="9" t="n">
        <f aca="false">AE432*$V432</f>
        <v>0</v>
      </c>
      <c r="AR432" s="9" t="n">
        <f aca="false">AF432*$V432</f>
        <v>123000</v>
      </c>
      <c r="AS432" s="9" t="n">
        <f aca="false">AG432*$V432</f>
        <v>0</v>
      </c>
      <c r="AT432" s="9" t="n">
        <f aca="false">AH432*$V432</f>
        <v>0</v>
      </c>
      <c r="AU432" s="9" t="n">
        <f aca="false">AI432*$V432</f>
        <v>123000</v>
      </c>
      <c r="AV432" s="9" t="n">
        <f aca="false">SUM(X432:AI432)/1000</f>
        <v>120</v>
      </c>
      <c r="AW432" s="9" t="n">
        <f aca="false">SUM(AJ432:AU432)</f>
        <v>492000</v>
      </c>
      <c r="AX432" s="9" t="n">
        <f aca="false">IF(D432="INR",AW432/88.24,AW432)/1000000</f>
        <v>0.00557570262919311</v>
      </c>
    </row>
    <row r="433" s="2" customFormat="true" ht="14.25" hidden="false" customHeight="false" outlineLevel="0" collapsed="false">
      <c r="A433" s="12"/>
      <c r="B433" s="16" t="n">
        <v>1</v>
      </c>
      <c r="C433" s="15"/>
      <c r="D433" s="16" t="s">
        <v>50</v>
      </c>
      <c r="E433" s="16" t="s">
        <v>51</v>
      </c>
      <c r="F433" s="16" t="s">
        <v>52</v>
      </c>
      <c r="G433" s="16" t="s">
        <v>947</v>
      </c>
      <c r="H433" s="16" t="s">
        <v>948</v>
      </c>
      <c r="I433" s="16"/>
      <c r="J433" s="16"/>
      <c r="K433" s="16"/>
      <c r="L433" s="16"/>
      <c r="M433" s="16"/>
      <c r="N433" s="16" t="s">
        <v>79</v>
      </c>
      <c r="O433" s="16" t="s">
        <v>94</v>
      </c>
      <c r="P433" s="16"/>
      <c r="Q433" s="16" t="s">
        <v>85</v>
      </c>
      <c r="R433" s="16"/>
      <c r="S433" s="16"/>
      <c r="T433" s="16" t="s">
        <v>949</v>
      </c>
      <c r="U433" s="16" t="s">
        <v>73</v>
      </c>
      <c r="V433" s="16" t="n">
        <v>12.13</v>
      </c>
      <c r="W433" s="16"/>
      <c r="X433" s="22"/>
      <c r="Y433" s="22"/>
      <c r="Z433" s="22" t="n">
        <v>10000</v>
      </c>
      <c r="AA433" s="22"/>
      <c r="AB433" s="22"/>
      <c r="AC433" s="22"/>
      <c r="AD433" s="22"/>
      <c r="AE433" s="22"/>
      <c r="AF433" s="22" t="n">
        <v>10000</v>
      </c>
      <c r="AG433" s="22"/>
      <c r="AH433" s="22"/>
      <c r="AI433" s="22" t="n">
        <v>10000</v>
      </c>
      <c r="AJ433" s="9" t="n">
        <f aca="false">X433*$V433</f>
        <v>0</v>
      </c>
      <c r="AK433" s="9" t="n">
        <f aca="false">Y433*$V433</f>
        <v>0</v>
      </c>
      <c r="AL433" s="9" t="n">
        <f aca="false">Z433*$V433</f>
        <v>121300</v>
      </c>
      <c r="AM433" s="9" t="n">
        <f aca="false">AA433*$V433</f>
        <v>0</v>
      </c>
      <c r="AN433" s="9" t="n">
        <f aca="false">AB433*$V433</f>
        <v>0</v>
      </c>
      <c r="AO433" s="9" t="n">
        <f aca="false">AC433*$V433</f>
        <v>0</v>
      </c>
      <c r="AP433" s="9" t="n">
        <f aca="false">AD433*$V433</f>
        <v>0</v>
      </c>
      <c r="AQ433" s="9" t="n">
        <f aca="false">AE433*$V433</f>
        <v>0</v>
      </c>
      <c r="AR433" s="9" t="n">
        <f aca="false">AF433*$V433</f>
        <v>121300</v>
      </c>
      <c r="AS433" s="9" t="n">
        <f aca="false">AG433*$V433</f>
        <v>0</v>
      </c>
      <c r="AT433" s="9" t="n">
        <f aca="false">AH433*$V433</f>
        <v>0</v>
      </c>
      <c r="AU433" s="9" t="n">
        <f aca="false">AI433*$V433</f>
        <v>121300</v>
      </c>
      <c r="AV433" s="9" t="n">
        <f aca="false">SUM(X433:AI433)/1000</f>
        <v>30</v>
      </c>
      <c r="AW433" s="9" t="n">
        <f aca="false">SUM(AJ433:AU433)</f>
        <v>363900</v>
      </c>
      <c r="AX433" s="9" t="n">
        <f aca="false">IF(D433="INR",AW433/88.24,AW433)/1000000</f>
        <v>0.0041239800543971</v>
      </c>
    </row>
    <row r="434" s="2" customFormat="true" ht="16.4" hidden="false" customHeight="false" outlineLevel="0" collapsed="false">
      <c r="A434" s="9" t="s">
        <v>950</v>
      </c>
      <c r="B434" s="9"/>
      <c r="C434" s="10" t="n">
        <v>5</v>
      </c>
      <c r="D434" s="9" t="s">
        <v>50</v>
      </c>
      <c r="E434" s="9" t="s">
        <v>51</v>
      </c>
      <c r="F434" s="9" t="s">
        <v>52</v>
      </c>
      <c r="G434" s="9" t="s">
        <v>384</v>
      </c>
      <c r="H434" s="9" t="s">
        <v>385</v>
      </c>
      <c r="I434" s="9" t="s">
        <v>260</v>
      </c>
      <c r="J434" s="9" t="s">
        <v>289</v>
      </c>
      <c r="K434" s="9"/>
      <c r="L434" s="9" t="s">
        <v>260</v>
      </c>
      <c r="M434" s="9" t="s">
        <v>289</v>
      </c>
      <c r="N434" s="9" t="s">
        <v>290</v>
      </c>
      <c r="O434" s="9" t="s">
        <v>94</v>
      </c>
      <c r="P434" s="9" t="s">
        <v>85</v>
      </c>
      <c r="Q434" s="9" t="s">
        <v>85</v>
      </c>
      <c r="R434" s="9" t="s">
        <v>86</v>
      </c>
      <c r="S434" s="9" t="s">
        <v>87</v>
      </c>
      <c r="T434" s="9" t="s">
        <v>951</v>
      </c>
      <c r="U434" s="9" t="s">
        <v>73</v>
      </c>
      <c r="V434" s="9" t="n">
        <v>6.97</v>
      </c>
      <c r="W434" s="9" t="n">
        <v>0.07</v>
      </c>
      <c r="X434" s="9" t="n">
        <v>46500</v>
      </c>
      <c r="Y434" s="9" t="n">
        <v>16500</v>
      </c>
      <c r="Z434" s="9" t="n">
        <v>16500</v>
      </c>
      <c r="AA434" s="9" t="n">
        <v>16500</v>
      </c>
      <c r="AB434" s="9" t="n">
        <v>16500</v>
      </c>
      <c r="AC434" s="9" t="n">
        <v>16500</v>
      </c>
      <c r="AD434" s="9" t="n">
        <v>16500</v>
      </c>
      <c r="AE434" s="9" t="n">
        <v>16500</v>
      </c>
      <c r="AF434" s="9" t="n">
        <v>16500</v>
      </c>
      <c r="AG434" s="9" t="n">
        <v>16500</v>
      </c>
      <c r="AH434" s="9" t="n">
        <v>16500</v>
      </c>
      <c r="AI434" s="9" t="n">
        <v>16500</v>
      </c>
      <c r="AJ434" s="9" t="n">
        <f aca="false">X434*$V434</f>
        <v>324105</v>
      </c>
      <c r="AK434" s="9" t="n">
        <f aca="false">Y434*$V434</f>
        <v>115005</v>
      </c>
      <c r="AL434" s="9" t="n">
        <f aca="false">Z434*$V434</f>
        <v>115005</v>
      </c>
      <c r="AM434" s="9" t="n">
        <f aca="false">AA434*$V434</f>
        <v>115005</v>
      </c>
      <c r="AN434" s="9" t="n">
        <f aca="false">AB434*$V434</f>
        <v>115005</v>
      </c>
      <c r="AO434" s="9" t="n">
        <f aca="false">AC434*$V434</f>
        <v>115005</v>
      </c>
      <c r="AP434" s="9" t="n">
        <f aca="false">AD434*$V434</f>
        <v>115005</v>
      </c>
      <c r="AQ434" s="9" t="n">
        <f aca="false">AE434*$V434</f>
        <v>115005</v>
      </c>
      <c r="AR434" s="9" t="n">
        <f aca="false">AF434*$V434</f>
        <v>115005</v>
      </c>
      <c r="AS434" s="9" t="n">
        <f aca="false">AG434*$V434</f>
        <v>115005</v>
      </c>
      <c r="AT434" s="9" t="n">
        <f aca="false">AH434*$V434</f>
        <v>115005</v>
      </c>
      <c r="AU434" s="9" t="n">
        <f aca="false">AI434*$V434</f>
        <v>115005</v>
      </c>
      <c r="AV434" s="9" t="n">
        <f aca="false">SUM(X434:AI434)/1000</f>
        <v>228</v>
      </c>
      <c r="AW434" s="9" t="n">
        <f aca="false">SUM(AJ434:AU434)</f>
        <v>1589160</v>
      </c>
      <c r="AX434" s="9" t="n">
        <f aca="false">IF(D434="INR",AW434/88.24,AW434)/1000000</f>
        <v>0.0180095194922937</v>
      </c>
    </row>
    <row r="435" s="2" customFormat="true" ht="14.25" hidden="false" customHeight="false" outlineLevel="0" collapsed="false">
      <c r="A435" s="12" t="s">
        <v>952</v>
      </c>
      <c r="B435" s="16" t="n">
        <v>5</v>
      </c>
      <c r="C435" s="15"/>
      <c r="D435" s="16" t="s">
        <v>50</v>
      </c>
      <c r="E435" s="16" t="s">
        <v>51</v>
      </c>
      <c r="F435" s="16" t="s">
        <v>404</v>
      </c>
      <c r="G435" s="16" t="s">
        <v>953</v>
      </c>
      <c r="H435" s="16" t="s">
        <v>954</v>
      </c>
      <c r="I435" s="16" t="s">
        <v>105</v>
      </c>
      <c r="J435" s="16" t="s">
        <v>368</v>
      </c>
      <c r="K435" s="16"/>
      <c r="L435" s="16" t="s">
        <v>105</v>
      </c>
      <c r="M435" s="16" t="s">
        <v>368</v>
      </c>
      <c r="N435" s="16" t="s">
        <v>271</v>
      </c>
      <c r="O435" s="16" t="s">
        <v>94</v>
      </c>
      <c r="P435" s="16" t="s">
        <v>110</v>
      </c>
      <c r="Q435" s="16" t="s">
        <v>110</v>
      </c>
      <c r="R435" s="16" t="s">
        <v>137</v>
      </c>
      <c r="S435" s="16" t="s">
        <v>272</v>
      </c>
      <c r="T435" s="16" t="s">
        <v>849</v>
      </c>
      <c r="U435" s="16" t="s">
        <v>73</v>
      </c>
      <c r="V435" s="16" t="n">
        <v>46</v>
      </c>
      <c r="W435" s="16" t="n">
        <v>0.256</v>
      </c>
      <c r="X435" s="16" t="n">
        <v>2500</v>
      </c>
      <c r="Y435" s="16" t="n">
        <v>2500</v>
      </c>
      <c r="Z435" s="16" t="n">
        <v>2500</v>
      </c>
      <c r="AA435" s="16" t="n">
        <v>2500</v>
      </c>
      <c r="AB435" s="16" t="n">
        <v>2500</v>
      </c>
      <c r="AC435" s="16" t="n">
        <v>2500</v>
      </c>
      <c r="AD435" s="16" t="n">
        <v>2500</v>
      </c>
      <c r="AE435" s="16" t="n">
        <v>2500</v>
      </c>
      <c r="AF435" s="16" t="n">
        <v>2500</v>
      </c>
      <c r="AG435" s="16" t="n">
        <v>2500</v>
      </c>
      <c r="AH435" s="16" t="n">
        <v>2500</v>
      </c>
      <c r="AI435" s="16" t="n">
        <v>2500</v>
      </c>
      <c r="AJ435" s="9" t="n">
        <f aca="false">X435*$V435</f>
        <v>115000</v>
      </c>
      <c r="AK435" s="9" t="n">
        <f aca="false">Y435*$V435</f>
        <v>115000</v>
      </c>
      <c r="AL435" s="9" t="n">
        <f aca="false">Z435*$V435</f>
        <v>115000</v>
      </c>
      <c r="AM435" s="9" t="n">
        <f aca="false">AA435*$V435</f>
        <v>115000</v>
      </c>
      <c r="AN435" s="9" t="n">
        <f aca="false">AB435*$V435</f>
        <v>115000</v>
      </c>
      <c r="AO435" s="9" t="n">
        <f aca="false">AC435*$V435</f>
        <v>115000</v>
      </c>
      <c r="AP435" s="9" t="n">
        <f aca="false">AD435*$V435</f>
        <v>115000</v>
      </c>
      <c r="AQ435" s="9" t="n">
        <f aca="false">AE435*$V435</f>
        <v>115000</v>
      </c>
      <c r="AR435" s="9" t="n">
        <f aca="false">AF435*$V435</f>
        <v>115000</v>
      </c>
      <c r="AS435" s="9" t="n">
        <f aca="false">AG435*$V435</f>
        <v>115000</v>
      </c>
      <c r="AT435" s="9" t="n">
        <f aca="false">AH435*$V435</f>
        <v>115000</v>
      </c>
      <c r="AU435" s="9" t="n">
        <f aca="false">AI435*$V435</f>
        <v>115000</v>
      </c>
      <c r="AV435" s="9" t="n">
        <f aca="false">SUM(X435:AI435)/1000</f>
        <v>30</v>
      </c>
      <c r="AW435" s="9" t="n">
        <f aca="false">SUM(AJ435:AU435)</f>
        <v>1380000</v>
      </c>
      <c r="AX435" s="9" t="n">
        <f aca="false">IF(D435="INR",AW435/88.24,AW435)/1000000</f>
        <v>0.0156391659111514</v>
      </c>
    </row>
    <row r="436" s="2" customFormat="true" ht="14.25" hidden="false" customHeight="false" outlineLevel="0" collapsed="false">
      <c r="A436" s="12" t="s">
        <v>955</v>
      </c>
      <c r="B436" s="16"/>
      <c r="C436" s="15" t="n">
        <v>5</v>
      </c>
      <c r="D436" s="16" t="s">
        <v>50</v>
      </c>
      <c r="E436" s="16" t="s">
        <v>51</v>
      </c>
      <c r="F436" s="16" t="s">
        <v>52</v>
      </c>
      <c r="G436" s="16" t="s">
        <v>287</v>
      </c>
      <c r="H436" s="16" t="s">
        <v>288</v>
      </c>
      <c r="I436" s="16" t="s">
        <v>260</v>
      </c>
      <c r="J436" s="16" t="s">
        <v>289</v>
      </c>
      <c r="K436" s="16"/>
      <c r="L436" s="16" t="s">
        <v>260</v>
      </c>
      <c r="M436" s="16" t="s">
        <v>289</v>
      </c>
      <c r="N436" s="16" t="s">
        <v>290</v>
      </c>
      <c r="O436" s="16" t="s">
        <v>94</v>
      </c>
      <c r="P436" s="16" t="s">
        <v>308</v>
      </c>
      <c r="Q436" s="16" t="s">
        <v>308</v>
      </c>
      <c r="R436" s="16" t="s">
        <v>309</v>
      </c>
      <c r="S436" s="16" t="s">
        <v>264</v>
      </c>
      <c r="T436" s="16" t="s">
        <v>956</v>
      </c>
      <c r="U436" s="16" t="s">
        <v>73</v>
      </c>
      <c r="V436" s="16" t="n">
        <v>1.9</v>
      </c>
      <c r="W436" s="16" t="n">
        <v>1.58</v>
      </c>
      <c r="X436" s="16" t="n">
        <v>21000</v>
      </c>
      <c r="Y436" s="16" t="n">
        <v>21000</v>
      </c>
      <c r="Z436" s="16" t="n">
        <v>60000</v>
      </c>
      <c r="AA436" s="16" t="n">
        <v>60000</v>
      </c>
      <c r="AB436" s="16" t="n">
        <v>21000</v>
      </c>
      <c r="AC436" s="16" t="n">
        <v>21000</v>
      </c>
      <c r="AD436" s="16" t="n">
        <v>60000</v>
      </c>
      <c r="AE436" s="16" t="n">
        <v>60000</v>
      </c>
      <c r="AF436" s="16" t="n">
        <v>21000</v>
      </c>
      <c r="AG436" s="16" t="n">
        <v>21000</v>
      </c>
      <c r="AH436" s="16" t="n">
        <v>60000</v>
      </c>
      <c r="AI436" s="16" t="n">
        <v>60000</v>
      </c>
      <c r="AJ436" s="9" t="n">
        <f aca="false">X436*$V436</f>
        <v>39900</v>
      </c>
      <c r="AK436" s="9" t="n">
        <f aca="false">Y436*$V436</f>
        <v>39900</v>
      </c>
      <c r="AL436" s="9" t="n">
        <f aca="false">Z436*$V436</f>
        <v>114000</v>
      </c>
      <c r="AM436" s="9" t="n">
        <f aca="false">AA436*$V436</f>
        <v>114000</v>
      </c>
      <c r="AN436" s="9" t="n">
        <f aca="false">AB436*$V436</f>
        <v>39900</v>
      </c>
      <c r="AO436" s="9" t="n">
        <f aca="false">AC436*$V436</f>
        <v>39900</v>
      </c>
      <c r="AP436" s="9" t="n">
        <f aca="false">AD436*$V436</f>
        <v>114000</v>
      </c>
      <c r="AQ436" s="9" t="n">
        <f aca="false">AE436*$V436</f>
        <v>114000</v>
      </c>
      <c r="AR436" s="9" t="n">
        <f aca="false">AF436*$V436</f>
        <v>39900</v>
      </c>
      <c r="AS436" s="9" t="n">
        <f aca="false">AG436*$V436</f>
        <v>39900</v>
      </c>
      <c r="AT436" s="9" t="n">
        <f aca="false">AH436*$V436</f>
        <v>114000</v>
      </c>
      <c r="AU436" s="9" t="n">
        <f aca="false">AI436*$V436</f>
        <v>114000</v>
      </c>
      <c r="AV436" s="9" t="n">
        <f aca="false">SUM(X436:AI436)/1000</f>
        <v>486</v>
      </c>
      <c r="AW436" s="9" t="n">
        <f aca="false">SUM(AJ436:AU436)</f>
        <v>923400</v>
      </c>
      <c r="AX436" s="9" t="n">
        <f aca="false">IF(D436="INR",AW436/88.24,AW436)/1000000</f>
        <v>0.0104646418857661</v>
      </c>
    </row>
    <row r="437" s="2" customFormat="true" ht="14.25" hidden="false" customHeight="false" outlineLevel="0" collapsed="false">
      <c r="A437" s="12" t="s">
        <v>957</v>
      </c>
      <c r="B437" s="16"/>
      <c r="C437" s="15"/>
      <c r="D437" s="16" t="s">
        <v>50</v>
      </c>
      <c r="E437" s="16" t="s">
        <v>51</v>
      </c>
      <c r="F437" s="16" t="s">
        <v>267</v>
      </c>
      <c r="G437" s="16" t="s">
        <v>958</v>
      </c>
      <c r="H437" s="16" t="s">
        <v>959</v>
      </c>
      <c r="I437" s="16" t="s">
        <v>105</v>
      </c>
      <c r="J437" s="16" t="s">
        <v>900</v>
      </c>
      <c r="K437" s="16"/>
      <c r="L437" s="16" t="s">
        <v>105</v>
      </c>
      <c r="M437" s="16" t="s">
        <v>900</v>
      </c>
      <c r="N437" s="16" t="s">
        <v>271</v>
      </c>
      <c r="O437" s="16" t="s">
        <v>94</v>
      </c>
      <c r="P437" s="16" t="s">
        <v>69</v>
      </c>
      <c r="Q437" s="16" t="s">
        <v>69</v>
      </c>
      <c r="R437" s="16" t="s">
        <v>70</v>
      </c>
      <c r="S437" s="16" t="s">
        <v>71</v>
      </c>
      <c r="T437" s="16" t="s">
        <v>960</v>
      </c>
      <c r="U437" s="16" t="s">
        <v>73</v>
      </c>
      <c r="V437" s="16" t="n">
        <v>11.02</v>
      </c>
      <c r="W437" s="16" t="n">
        <v>0.085</v>
      </c>
      <c r="X437" s="22" t="n">
        <v>0</v>
      </c>
      <c r="Y437" s="22"/>
      <c r="Z437" s="22" t="n">
        <v>10000</v>
      </c>
      <c r="AA437" s="22"/>
      <c r="AB437" s="22"/>
      <c r="AC437" s="22" t="n">
        <v>10000</v>
      </c>
      <c r="AD437" s="22" t="n">
        <v>5000</v>
      </c>
      <c r="AE437" s="22"/>
      <c r="AF437" s="22"/>
      <c r="AG437" s="22"/>
      <c r="AH437" s="22" t="n">
        <v>10000</v>
      </c>
      <c r="AI437" s="22"/>
      <c r="AJ437" s="9" t="n">
        <f aca="false">X437*$V437</f>
        <v>0</v>
      </c>
      <c r="AK437" s="9" t="n">
        <f aca="false">Y437*$V437</f>
        <v>0</v>
      </c>
      <c r="AL437" s="9" t="n">
        <f aca="false">Z437*$V437</f>
        <v>110200</v>
      </c>
      <c r="AM437" s="9" t="n">
        <f aca="false">AA437*$V437</f>
        <v>0</v>
      </c>
      <c r="AN437" s="9" t="n">
        <f aca="false">AB437*$V437</f>
        <v>0</v>
      </c>
      <c r="AO437" s="9" t="n">
        <f aca="false">AC437*$V437</f>
        <v>110200</v>
      </c>
      <c r="AP437" s="9" t="n">
        <f aca="false">AD437*$V437</f>
        <v>55100</v>
      </c>
      <c r="AQ437" s="9" t="n">
        <f aca="false">AE437*$V437</f>
        <v>0</v>
      </c>
      <c r="AR437" s="9" t="n">
        <f aca="false">AF437*$V437</f>
        <v>0</v>
      </c>
      <c r="AS437" s="9" t="n">
        <f aca="false">AG437*$V437</f>
        <v>0</v>
      </c>
      <c r="AT437" s="9" t="n">
        <f aca="false">AH437*$V437</f>
        <v>110200</v>
      </c>
      <c r="AU437" s="9" t="n">
        <f aca="false">AI437*$V437</f>
        <v>0</v>
      </c>
      <c r="AV437" s="9" t="n">
        <f aca="false">SUM(X437:AI437)/1000</f>
        <v>35</v>
      </c>
      <c r="AW437" s="9" t="n">
        <f aca="false">SUM(AJ437:AU437)</f>
        <v>385700</v>
      </c>
      <c r="AX437" s="9" t="n">
        <f aca="false">IF(D437="INR",AW437/88.24,AW437)/1000000</f>
        <v>0.00437103354487761</v>
      </c>
    </row>
    <row r="438" s="2" customFormat="true" ht="14.25" hidden="false" customHeight="false" outlineLevel="0" collapsed="false">
      <c r="A438" s="12" t="s">
        <v>961</v>
      </c>
      <c r="B438" s="16" t="n">
        <v>5</v>
      </c>
      <c r="C438" s="15"/>
      <c r="D438" s="16" t="s">
        <v>50</v>
      </c>
      <c r="E438" s="16" t="s">
        <v>51</v>
      </c>
      <c r="F438" s="16" t="s">
        <v>404</v>
      </c>
      <c r="G438" s="16" t="s">
        <v>962</v>
      </c>
      <c r="H438" s="16" t="s">
        <v>963</v>
      </c>
      <c r="I438" s="16" t="s">
        <v>105</v>
      </c>
      <c r="J438" s="16" t="s">
        <v>368</v>
      </c>
      <c r="K438" s="16"/>
      <c r="L438" s="16" t="s">
        <v>105</v>
      </c>
      <c r="M438" s="16" t="s">
        <v>368</v>
      </c>
      <c r="N438" s="16" t="s">
        <v>271</v>
      </c>
      <c r="O438" s="16" t="s">
        <v>94</v>
      </c>
      <c r="P438" s="16" t="s">
        <v>110</v>
      </c>
      <c r="Q438" s="16" t="s">
        <v>110</v>
      </c>
      <c r="R438" s="16" t="s">
        <v>137</v>
      </c>
      <c r="S438" s="16" t="s">
        <v>272</v>
      </c>
      <c r="T438" s="16" t="s">
        <v>849</v>
      </c>
      <c r="U438" s="16" t="s">
        <v>73</v>
      </c>
      <c r="V438" s="16" t="n">
        <v>44</v>
      </c>
      <c r="W438" s="16" t="n">
        <v>0.256</v>
      </c>
      <c r="X438" s="16" t="n">
        <v>2500</v>
      </c>
      <c r="Y438" s="16" t="n">
        <v>2500</v>
      </c>
      <c r="Z438" s="16" t="n">
        <v>2500</v>
      </c>
      <c r="AA438" s="16" t="n">
        <v>2500</v>
      </c>
      <c r="AB438" s="16" t="n">
        <v>2500</v>
      </c>
      <c r="AC438" s="16" t="n">
        <v>2500</v>
      </c>
      <c r="AD438" s="16" t="n">
        <v>2500</v>
      </c>
      <c r="AE438" s="16" t="n">
        <v>2500</v>
      </c>
      <c r="AF438" s="16" t="n">
        <v>2500</v>
      </c>
      <c r="AG438" s="16" t="n">
        <v>2500</v>
      </c>
      <c r="AH438" s="16" t="n">
        <v>2500</v>
      </c>
      <c r="AI438" s="16" t="n">
        <v>2500</v>
      </c>
      <c r="AJ438" s="9" t="n">
        <f aca="false">X438*$V438</f>
        <v>110000</v>
      </c>
      <c r="AK438" s="9" t="n">
        <f aca="false">Y438*$V438</f>
        <v>110000</v>
      </c>
      <c r="AL438" s="9" t="n">
        <f aca="false">Z438*$V438</f>
        <v>110000</v>
      </c>
      <c r="AM438" s="9" t="n">
        <f aca="false">AA438*$V438</f>
        <v>110000</v>
      </c>
      <c r="AN438" s="9" t="n">
        <f aca="false">AB438*$V438</f>
        <v>110000</v>
      </c>
      <c r="AO438" s="9" t="n">
        <f aca="false">AC438*$V438</f>
        <v>110000</v>
      </c>
      <c r="AP438" s="9" t="n">
        <f aca="false">AD438*$V438</f>
        <v>110000</v>
      </c>
      <c r="AQ438" s="9" t="n">
        <f aca="false">AE438*$V438</f>
        <v>110000</v>
      </c>
      <c r="AR438" s="9" t="n">
        <f aca="false">AF438*$V438</f>
        <v>110000</v>
      </c>
      <c r="AS438" s="9" t="n">
        <f aca="false">AG438*$V438</f>
        <v>110000</v>
      </c>
      <c r="AT438" s="9" t="n">
        <f aca="false">AH438*$V438</f>
        <v>110000</v>
      </c>
      <c r="AU438" s="9" t="n">
        <f aca="false">AI438*$V438</f>
        <v>110000</v>
      </c>
      <c r="AV438" s="9" t="n">
        <f aca="false">SUM(X438:AI438)/1000</f>
        <v>30</v>
      </c>
      <c r="AW438" s="9" t="n">
        <f aca="false">SUM(AJ438:AU438)</f>
        <v>1320000</v>
      </c>
      <c r="AX438" s="9" t="n">
        <f aca="false">IF(D438="INR",AW438/88.24,AW438)/1000000</f>
        <v>0.014959202175884</v>
      </c>
    </row>
    <row r="439" s="2" customFormat="true" ht="14.25" hidden="false" customHeight="false" outlineLevel="0" collapsed="false">
      <c r="A439" s="12" t="s">
        <v>964</v>
      </c>
      <c r="B439" s="16" t="n">
        <v>5</v>
      </c>
      <c r="C439" s="15"/>
      <c r="D439" s="16" t="s">
        <v>50</v>
      </c>
      <c r="E439" s="16" t="s">
        <v>51</v>
      </c>
      <c r="F439" s="16" t="s">
        <v>52</v>
      </c>
      <c r="G439" s="16" t="s">
        <v>366</v>
      </c>
      <c r="H439" s="16" t="s">
        <v>367</v>
      </c>
      <c r="I439" s="16" t="s">
        <v>105</v>
      </c>
      <c r="J439" s="16" t="s">
        <v>368</v>
      </c>
      <c r="K439" s="16"/>
      <c r="L439" s="16" t="s">
        <v>105</v>
      </c>
      <c r="M439" s="16" t="s">
        <v>368</v>
      </c>
      <c r="N439" s="16" t="s">
        <v>79</v>
      </c>
      <c r="O439" s="16" t="s">
        <v>107</v>
      </c>
      <c r="P439" s="16" t="s">
        <v>110</v>
      </c>
      <c r="Q439" s="16" t="s">
        <v>110</v>
      </c>
      <c r="R439" s="16" t="s">
        <v>137</v>
      </c>
      <c r="S439" s="16" t="s">
        <v>272</v>
      </c>
      <c r="T439" s="16" t="s">
        <v>965</v>
      </c>
      <c r="U439" s="16" t="s">
        <v>73</v>
      </c>
      <c r="V439" s="16" t="n">
        <v>21.5</v>
      </c>
      <c r="W439" s="16" t="n">
        <v>0.2</v>
      </c>
      <c r="X439" s="16" t="n">
        <v>5000</v>
      </c>
      <c r="Y439" s="16" t="n">
        <v>5000</v>
      </c>
      <c r="Z439" s="16" t="n">
        <v>5000</v>
      </c>
      <c r="AA439" s="16" t="n">
        <v>5000</v>
      </c>
      <c r="AB439" s="16" t="n">
        <v>5000</v>
      </c>
      <c r="AC439" s="16" t="n">
        <v>5000</v>
      </c>
      <c r="AD439" s="16" t="n">
        <v>5000</v>
      </c>
      <c r="AE439" s="16" t="n">
        <v>5000</v>
      </c>
      <c r="AF439" s="26" t="n">
        <v>5000</v>
      </c>
      <c r="AG439" s="16" t="n">
        <v>5000</v>
      </c>
      <c r="AH439" s="16" t="n">
        <v>5000</v>
      </c>
      <c r="AI439" s="16" t="n">
        <v>5000</v>
      </c>
      <c r="AJ439" s="9" t="n">
        <f aca="false">X439*$V439</f>
        <v>107500</v>
      </c>
      <c r="AK439" s="9" t="n">
        <f aca="false">Y439*$V439</f>
        <v>107500</v>
      </c>
      <c r="AL439" s="9" t="n">
        <f aca="false">Z439*$V439</f>
        <v>107500</v>
      </c>
      <c r="AM439" s="9" t="n">
        <f aca="false">AA439*$V439</f>
        <v>107500</v>
      </c>
      <c r="AN439" s="9" t="n">
        <f aca="false">AB439*$V439</f>
        <v>107500</v>
      </c>
      <c r="AO439" s="9" t="n">
        <f aca="false">AC439*$V439</f>
        <v>107500</v>
      </c>
      <c r="AP439" s="9" t="n">
        <f aca="false">AD439*$V439</f>
        <v>107500</v>
      </c>
      <c r="AQ439" s="9" t="n">
        <f aca="false">AE439*$V439</f>
        <v>107500</v>
      </c>
      <c r="AR439" s="9" t="n">
        <f aca="false">AF439*$V439</f>
        <v>107500</v>
      </c>
      <c r="AS439" s="9" t="n">
        <f aca="false">AG439*$V439</f>
        <v>107500</v>
      </c>
      <c r="AT439" s="9" t="n">
        <f aca="false">AH439*$V439</f>
        <v>107500</v>
      </c>
      <c r="AU439" s="9" t="n">
        <f aca="false">AI439*$V439</f>
        <v>107500</v>
      </c>
      <c r="AV439" s="9" t="n">
        <f aca="false">SUM(X439:AI439)/1000</f>
        <v>60</v>
      </c>
      <c r="AW439" s="9" t="n">
        <f aca="false">SUM(AJ439:AU439)</f>
        <v>1290000</v>
      </c>
      <c r="AX439" s="9" t="n">
        <f aca="false">IF(D439="INR",AW439/88.24,AW439)/1000000</f>
        <v>0.0146192203082502</v>
      </c>
    </row>
    <row r="440" s="2" customFormat="true" ht="14.25" hidden="false" customHeight="false" outlineLevel="0" collapsed="false">
      <c r="A440" s="12" t="s">
        <v>966</v>
      </c>
      <c r="B440" s="16" t="n">
        <v>5</v>
      </c>
      <c r="C440" s="15"/>
      <c r="D440" s="16" t="s">
        <v>50</v>
      </c>
      <c r="E440" s="16" t="s">
        <v>51</v>
      </c>
      <c r="F440" s="16" t="s">
        <v>404</v>
      </c>
      <c r="G440" s="16" t="s">
        <v>942</v>
      </c>
      <c r="H440" s="16" t="s">
        <v>943</v>
      </c>
      <c r="I440" s="16" t="s">
        <v>105</v>
      </c>
      <c r="J440" s="16" t="s">
        <v>368</v>
      </c>
      <c r="K440" s="16" t="s">
        <v>943</v>
      </c>
      <c r="L440" s="16" t="s">
        <v>105</v>
      </c>
      <c r="M440" s="16" t="s">
        <v>368</v>
      </c>
      <c r="N440" s="16" t="s">
        <v>271</v>
      </c>
      <c r="O440" s="16" t="s">
        <v>94</v>
      </c>
      <c r="P440" s="16" t="s">
        <v>967</v>
      </c>
      <c r="Q440" s="16" t="s">
        <v>967</v>
      </c>
      <c r="R440" s="16" t="s">
        <v>800</v>
      </c>
      <c r="S440" s="16" t="s">
        <v>968</v>
      </c>
      <c r="T440" s="16" t="s">
        <v>969</v>
      </c>
      <c r="U440" s="16" t="s">
        <v>73</v>
      </c>
      <c r="V440" s="16" t="n">
        <v>21.4</v>
      </c>
      <c r="W440" s="16" t="n">
        <v>0.162</v>
      </c>
      <c r="X440" s="22"/>
      <c r="Y440" s="22"/>
      <c r="Z440" s="22" t="n">
        <v>5000</v>
      </c>
      <c r="AA440" s="22"/>
      <c r="AB440" s="22"/>
      <c r="AC440" s="22"/>
      <c r="AD440" s="22" t="n">
        <v>5000</v>
      </c>
      <c r="AE440" s="22"/>
      <c r="AF440" s="22"/>
      <c r="AG440" s="22"/>
      <c r="AH440" s="22" t="n">
        <v>5000</v>
      </c>
      <c r="AI440" s="22"/>
      <c r="AJ440" s="9" t="n">
        <f aca="false">X440*$V440</f>
        <v>0</v>
      </c>
      <c r="AK440" s="9" t="n">
        <f aca="false">Y440*$V440</f>
        <v>0</v>
      </c>
      <c r="AL440" s="9" t="n">
        <f aca="false">Z440*$V440</f>
        <v>107000</v>
      </c>
      <c r="AM440" s="9" t="n">
        <f aca="false">AA440*$V440</f>
        <v>0</v>
      </c>
      <c r="AN440" s="9" t="n">
        <f aca="false">AB440*$V440</f>
        <v>0</v>
      </c>
      <c r="AO440" s="9" t="n">
        <f aca="false">AC440*$V440</f>
        <v>0</v>
      </c>
      <c r="AP440" s="9" t="n">
        <f aca="false">AD440*$V440</f>
        <v>107000</v>
      </c>
      <c r="AQ440" s="9" t="n">
        <f aca="false">AE440*$V440</f>
        <v>0</v>
      </c>
      <c r="AR440" s="9" t="n">
        <f aca="false">AF440*$V440</f>
        <v>0</v>
      </c>
      <c r="AS440" s="9" t="n">
        <f aca="false">AG440*$V440</f>
        <v>0</v>
      </c>
      <c r="AT440" s="9" t="n">
        <f aca="false">AH440*$V440</f>
        <v>107000</v>
      </c>
      <c r="AU440" s="9" t="n">
        <f aca="false">AI440*$V440</f>
        <v>0</v>
      </c>
      <c r="AV440" s="9" t="n">
        <f aca="false">SUM(X440:AI440)/1000</f>
        <v>15</v>
      </c>
      <c r="AW440" s="9" t="n">
        <f aca="false">SUM(AJ440:AU440)</f>
        <v>321000</v>
      </c>
      <c r="AX440" s="9" t="n">
        <f aca="false">IF(D440="INR",AW440/88.24,AW440)/1000000</f>
        <v>0.00363780598368087</v>
      </c>
    </row>
    <row r="441" s="2" customFormat="true" ht="14.25" hidden="false" customHeight="false" outlineLevel="0" collapsed="false">
      <c r="A441" s="12" t="s">
        <v>970</v>
      </c>
      <c r="B441" s="16" t="n">
        <v>5</v>
      </c>
      <c r="C441" s="15"/>
      <c r="D441" s="16" t="s">
        <v>50</v>
      </c>
      <c r="E441" s="16" t="s">
        <v>51</v>
      </c>
      <c r="F441" s="16" t="s">
        <v>52</v>
      </c>
      <c r="G441" s="16" t="s">
        <v>971</v>
      </c>
      <c r="H441" s="16" t="s">
        <v>972</v>
      </c>
      <c r="I441" s="16" t="s">
        <v>77</v>
      </c>
      <c r="J441" s="16" t="s">
        <v>496</v>
      </c>
      <c r="K441" s="16"/>
      <c r="L441" s="16" t="s">
        <v>77</v>
      </c>
      <c r="M441" s="16" t="s">
        <v>496</v>
      </c>
      <c r="N441" s="16" t="s">
        <v>973</v>
      </c>
      <c r="O441" s="16" t="s">
        <v>107</v>
      </c>
      <c r="P441" s="16" t="s">
        <v>110</v>
      </c>
      <c r="Q441" s="16" t="s">
        <v>110</v>
      </c>
      <c r="R441" s="16" t="s">
        <v>137</v>
      </c>
      <c r="S441" s="16" t="s">
        <v>272</v>
      </c>
      <c r="T441" s="16" t="s">
        <v>974</v>
      </c>
      <c r="U441" s="16" t="s">
        <v>73</v>
      </c>
      <c r="V441" s="16" t="n">
        <v>53.1</v>
      </c>
      <c r="W441" s="16" t="n">
        <v>36</v>
      </c>
      <c r="X441" s="22" t="n">
        <v>2000</v>
      </c>
      <c r="Y441" s="22"/>
      <c r="Z441" s="22" t="n">
        <v>2000</v>
      </c>
      <c r="AA441" s="22"/>
      <c r="AB441" s="22"/>
      <c r="AC441" s="22" t="n">
        <v>2000</v>
      </c>
      <c r="AD441" s="22"/>
      <c r="AE441" s="22"/>
      <c r="AF441" s="22" t="n">
        <v>2000</v>
      </c>
      <c r="AG441" s="22"/>
      <c r="AH441" s="22" t="n">
        <v>2000</v>
      </c>
      <c r="AI441" s="22"/>
      <c r="AJ441" s="9" t="n">
        <f aca="false">X441*$V441</f>
        <v>106200</v>
      </c>
      <c r="AK441" s="9" t="n">
        <f aca="false">Y441*$V441</f>
        <v>0</v>
      </c>
      <c r="AL441" s="9" t="n">
        <f aca="false">Z441*$V441</f>
        <v>106200</v>
      </c>
      <c r="AM441" s="9" t="n">
        <f aca="false">AA441*$V441</f>
        <v>0</v>
      </c>
      <c r="AN441" s="9" t="n">
        <f aca="false">AB441*$V441</f>
        <v>0</v>
      </c>
      <c r="AO441" s="9" t="n">
        <f aca="false">AC441*$V441</f>
        <v>106200</v>
      </c>
      <c r="AP441" s="9" t="n">
        <f aca="false">AD441*$V441</f>
        <v>0</v>
      </c>
      <c r="AQ441" s="9" t="n">
        <f aca="false">AE441*$V441</f>
        <v>0</v>
      </c>
      <c r="AR441" s="9" t="n">
        <f aca="false">AF441*$V441</f>
        <v>106200</v>
      </c>
      <c r="AS441" s="9" t="n">
        <f aca="false">AG441*$V441</f>
        <v>0</v>
      </c>
      <c r="AT441" s="9" t="n">
        <f aca="false">AH441*$V441</f>
        <v>106200</v>
      </c>
      <c r="AU441" s="9" t="n">
        <f aca="false">AI441*$V441</f>
        <v>0</v>
      </c>
      <c r="AV441" s="9" t="n">
        <f aca="false">SUM(X441:AI441)/1000</f>
        <v>10</v>
      </c>
      <c r="AW441" s="9" t="n">
        <f aca="false">SUM(AJ441:AU441)</f>
        <v>531000</v>
      </c>
      <c r="AX441" s="9" t="n">
        <f aca="false">IF(D441="INR",AW441/88.24,AW441)/1000000</f>
        <v>0.00601767905711695</v>
      </c>
    </row>
    <row r="442" s="2" customFormat="true" ht="14.25" hidden="false" customHeight="false" outlineLevel="0" collapsed="false">
      <c r="A442" s="12" t="s">
        <v>975</v>
      </c>
      <c r="B442" s="16" t="n">
        <v>5</v>
      </c>
      <c r="C442" s="15"/>
      <c r="D442" s="16" t="s">
        <v>50</v>
      </c>
      <c r="E442" s="16" t="s">
        <v>51</v>
      </c>
      <c r="F442" s="16" t="s">
        <v>243</v>
      </c>
      <c r="G442" s="16" t="s">
        <v>485</v>
      </c>
      <c r="H442" s="16" t="s">
        <v>486</v>
      </c>
      <c r="I442" s="16" t="s">
        <v>55</v>
      </c>
      <c r="J442" s="16" t="s">
        <v>56</v>
      </c>
      <c r="K442" s="16"/>
      <c r="L442" s="16" t="s">
        <v>55</v>
      </c>
      <c r="M442" s="16" t="s">
        <v>56</v>
      </c>
      <c r="N442" s="16" t="s">
        <v>93</v>
      </c>
      <c r="O442" s="16" t="s">
        <v>68</v>
      </c>
      <c r="P442" s="16" t="s">
        <v>308</v>
      </c>
      <c r="Q442" s="16" t="s">
        <v>308</v>
      </c>
      <c r="R442" s="16" t="s">
        <v>309</v>
      </c>
      <c r="S442" s="16" t="s">
        <v>264</v>
      </c>
      <c r="T442" s="16" t="s">
        <v>976</v>
      </c>
      <c r="U442" s="16" t="s">
        <v>73</v>
      </c>
      <c r="V442" s="16" t="n">
        <v>2.65</v>
      </c>
      <c r="W442" s="16" t="n">
        <v>2.35</v>
      </c>
      <c r="X442" s="16" t="n">
        <v>40000</v>
      </c>
      <c r="Y442" s="16"/>
      <c r="Z442" s="16" t="n">
        <v>40000</v>
      </c>
      <c r="AA442" s="16"/>
      <c r="AB442" s="16" t="n">
        <v>40000</v>
      </c>
      <c r="AC442" s="16"/>
      <c r="AD442" s="16"/>
      <c r="AE442" s="16" t="n">
        <v>40000</v>
      </c>
      <c r="AF442" s="16"/>
      <c r="AG442" s="16" t="n">
        <v>40000</v>
      </c>
      <c r="AH442" s="16"/>
      <c r="AI442" s="16" t="n">
        <v>40000</v>
      </c>
      <c r="AJ442" s="9" t="n">
        <f aca="false">X442*$V442</f>
        <v>106000</v>
      </c>
      <c r="AK442" s="9" t="n">
        <f aca="false">Y442*$V442</f>
        <v>0</v>
      </c>
      <c r="AL442" s="9" t="n">
        <f aca="false">Z442*$V442</f>
        <v>106000</v>
      </c>
      <c r="AM442" s="9" t="n">
        <f aca="false">AA442*$V442</f>
        <v>0</v>
      </c>
      <c r="AN442" s="9" t="n">
        <f aca="false">AB442*$V442</f>
        <v>106000</v>
      </c>
      <c r="AO442" s="9" t="n">
        <f aca="false">AC442*$V442</f>
        <v>0</v>
      </c>
      <c r="AP442" s="9" t="n">
        <f aca="false">AD442*$V442</f>
        <v>0</v>
      </c>
      <c r="AQ442" s="9" t="n">
        <f aca="false">AE442*$V442</f>
        <v>106000</v>
      </c>
      <c r="AR442" s="9" t="n">
        <f aca="false">AF442*$V442</f>
        <v>0</v>
      </c>
      <c r="AS442" s="9" t="n">
        <f aca="false">AG442*$V442</f>
        <v>106000</v>
      </c>
      <c r="AT442" s="9" t="n">
        <f aca="false">AH442*$V442</f>
        <v>0</v>
      </c>
      <c r="AU442" s="9" t="n">
        <f aca="false">AI442*$V442</f>
        <v>106000</v>
      </c>
      <c r="AV442" s="9" t="n">
        <f aca="false">SUM(X442:AI442)/1000</f>
        <v>240</v>
      </c>
      <c r="AW442" s="9" t="n">
        <f aca="false">SUM(AJ442:AU442)</f>
        <v>636000</v>
      </c>
      <c r="AX442" s="9" t="n">
        <f aca="false">IF(D442="INR",AW442/88.24,AW442)/1000000</f>
        <v>0.007207615593835</v>
      </c>
    </row>
    <row r="443" s="2" customFormat="true" ht="14.25" hidden="false" customHeight="false" outlineLevel="0" collapsed="false">
      <c r="A443" s="12" t="s">
        <v>977</v>
      </c>
      <c r="B443" s="16" t="n">
        <v>5</v>
      </c>
      <c r="C443" s="15"/>
      <c r="D443" s="16" t="s">
        <v>50</v>
      </c>
      <c r="E443" s="16" t="s">
        <v>51</v>
      </c>
      <c r="F443" s="16" t="s">
        <v>97</v>
      </c>
      <c r="G443" s="16" t="s">
        <v>978</v>
      </c>
      <c r="H443" s="16" t="s">
        <v>979</v>
      </c>
      <c r="I443" s="16" t="s">
        <v>303</v>
      </c>
      <c r="J443" s="16" t="s">
        <v>276</v>
      </c>
      <c r="K443" s="16"/>
      <c r="L443" s="16" t="s">
        <v>303</v>
      </c>
      <c r="M443" s="16" t="s">
        <v>276</v>
      </c>
      <c r="N443" s="16" t="s">
        <v>79</v>
      </c>
      <c r="O443" s="16" t="s">
        <v>107</v>
      </c>
      <c r="P443" s="16" t="s">
        <v>110</v>
      </c>
      <c r="Q443" s="16" t="s">
        <v>110</v>
      </c>
      <c r="R443" s="16" t="s">
        <v>137</v>
      </c>
      <c r="S443" s="16" t="s">
        <v>272</v>
      </c>
      <c r="T443" s="16" t="s">
        <v>980</v>
      </c>
      <c r="U443" s="16" t="s">
        <v>73</v>
      </c>
      <c r="V443" s="16" t="n">
        <v>105.75</v>
      </c>
      <c r="W443" s="16" t="n">
        <v>0.972</v>
      </c>
      <c r="X443" s="16" t="n">
        <v>1000</v>
      </c>
      <c r="Y443" s="16" t="n">
        <v>1000</v>
      </c>
      <c r="Z443" s="16" t="n">
        <v>1000</v>
      </c>
      <c r="AA443" s="16" t="n">
        <v>1000</v>
      </c>
      <c r="AB443" s="16" t="n">
        <v>1000</v>
      </c>
      <c r="AC443" s="16" t="n">
        <v>1000</v>
      </c>
      <c r="AD443" s="16" t="n">
        <v>1000</v>
      </c>
      <c r="AE443" s="26" t="n">
        <v>1000</v>
      </c>
      <c r="AF443" s="26" t="n">
        <v>1000</v>
      </c>
      <c r="AG443" s="16" t="n">
        <v>1000</v>
      </c>
      <c r="AH443" s="16" t="n">
        <v>1000</v>
      </c>
      <c r="AI443" s="16" t="n">
        <v>1000</v>
      </c>
      <c r="AJ443" s="9" t="n">
        <f aca="false">X443*$V443</f>
        <v>105750</v>
      </c>
      <c r="AK443" s="9" t="n">
        <f aca="false">Y443*$V443</f>
        <v>105750</v>
      </c>
      <c r="AL443" s="9" t="n">
        <f aca="false">Z443*$V443</f>
        <v>105750</v>
      </c>
      <c r="AM443" s="9" t="n">
        <f aca="false">AA443*$V443</f>
        <v>105750</v>
      </c>
      <c r="AN443" s="9" t="n">
        <f aca="false">AB443*$V443</f>
        <v>105750</v>
      </c>
      <c r="AO443" s="9" t="n">
        <f aca="false">AC443*$V443</f>
        <v>105750</v>
      </c>
      <c r="AP443" s="9" t="n">
        <f aca="false">AD443*$V443</f>
        <v>105750</v>
      </c>
      <c r="AQ443" s="9" t="n">
        <f aca="false">AE443*$V443</f>
        <v>105750</v>
      </c>
      <c r="AR443" s="9" t="n">
        <f aca="false">AF443*$V443</f>
        <v>105750</v>
      </c>
      <c r="AS443" s="9" t="n">
        <f aca="false">AG443*$V443</f>
        <v>105750</v>
      </c>
      <c r="AT443" s="9" t="n">
        <f aca="false">AH443*$V443</f>
        <v>105750</v>
      </c>
      <c r="AU443" s="9" t="n">
        <f aca="false">AI443*$V443</f>
        <v>105750</v>
      </c>
      <c r="AV443" s="9" t="n">
        <f aca="false">SUM(X443:AI443)/1000</f>
        <v>12</v>
      </c>
      <c r="AW443" s="9" t="n">
        <f aca="false">SUM(AJ443:AU443)</f>
        <v>1269000</v>
      </c>
      <c r="AX443" s="9" t="n">
        <f aca="false">IF(D443="INR",AW443/88.24,AW443)/1000000</f>
        <v>0.0143812330009066</v>
      </c>
    </row>
    <row r="444" s="2" customFormat="true" ht="14.25" hidden="false" customHeight="false" outlineLevel="0" collapsed="false">
      <c r="A444" s="12" t="s">
        <v>981</v>
      </c>
      <c r="B444" s="16" t="n">
        <v>5</v>
      </c>
      <c r="C444" s="15"/>
      <c r="D444" s="16" t="s">
        <v>50</v>
      </c>
      <c r="E444" s="16" t="s">
        <v>51</v>
      </c>
      <c r="F444" s="16" t="s">
        <v>404</v>
      </c>
      <c r="G444" s="16" t="s">
        <v>982</v>
      </c>
      <c r="H444" s="16" t="s">
        <v>983</v>
      </c>
      <c r="I444" s="16" t="s">
        <v>105</v>
      </c>
      <c r="J444" s="16" t="s">
        <v>368</v>
      </c>
      <c r="K444" s="16"/>
      <c r="L444" s="16" t="s">
        <v>105</v>
      </c>
      <c r="M444" s="16" t="s">
        <v>368</v>
      </c>
      <c r="N444" s="16" t="s">
        <v>271</v>
      </c>
      <c r="O444" s="16" t="s">
        <v>94</v>
      </c>
      <c r="P444" s="16" t="s">
        <v>110</v>
      </c>
      <c r="Q444" s="16" t="s">
        <v>110</v>
      </c>
      <c r="R444" s="16" t="s">
        <v>137</v>
      </c>
      <c r="S444" s="16" t="s">
        <v>272</v>
      </c>
      <c r="T444" s="16" t="s">
        <v>849</v>
      </c>
      <c r="U444" s="16" t="s">
        <v>73</v>
      </c>
      <c r="V444" s="16" t="n">
        <v>42</v>
      </c>
      <c r="W444" s="16" t="n">
        <v>0.256</v>
      </c>
      <c r="X444" s="22" t="n">
        <v>2500</v>
      </c>
      <c r="Y444" s="22"/>
      <c r="Z444" s="22" t="n">
        <v>2500</v>
      </c>
      <c r="AA444" s="22"/>
      <c r="AB444" s="22"/>
      <c r="AC444" s="22"/>
      <c r="AD444" s="22"/>
      <c r="AE444" s="22" t="n">
        <v>2500</v>
      </c>
      <c r="AF444" s="22"/>
      <c r="AG444" s="22"/>
      <c r="AH444" s="22" t="n">
        <v>2500</v>
      </c>
      <c r="AI444" s="22"/>
      <c r="AJ444" s="9" t="n">
        <f aca="false">X444*$V444</f>
        <v>105000</v>
      </c>
      <c r="AK444" s="9" t="n">
        <f aca="false">Y444*$V444</f>
        <v>0</v>
      </c>
      <c r="AL444" s="9" t="n">
        <f aca="false">Z444*$V444</f>
        <v>105000</v>
      </c>
      <c r="AM444" s="9" t="n">
        <f aca="false">AA444*$V444</f>
        <v>0</v>
      </c>
      <c r="AN444" s="9" t="n">
        <f aca="false">AB444*$V444</f>
        <v>0</v>
      </c>
      <c r="AO444" s="9" t="n">
        <f aca="false">AC444*$V444</f>
        <v>0</v>
      </c>
      <c r="AP444" s="9" t="n">
        <f aca="false">AD444*$V444</f>
        <v>0</v>
      </c>
      <c r="AQ444" s="9" t="n">
        <f aca="false">AE444*$V444</f>
        <v>105000</v>
      </c>
      <c r="AR444" s="9" t="n">
        <f aca="false">AF444*$V444</f>
        <v>0</v>
      </c>
      <c r="AS444" s="9" t="n">
        <f aca="false">AG444*$V444</f>
        <v>0</v>
      </c>
      <c r="AT444" s="9" t="n">
        <f aca="false">AH444*$V444</f>
        <v>105000</v>
      </c>
      <c r="AU444" s="9" t="n">
        <f aca="false">AI444*$V444</f>
        <v>0</v>
      </c>
      <c r="AV444" s="9" t="n">
        <f aca="false">SUM(X444:AI444)/1000</f>
        <v>10</v>
      </c>
      <c r="AW444" s="9" t="n">
        <f aca="false">SUM(AJ444:AU444)</f>
        <v>420000</v>
      </c>
      <c r="AX444" s="9" t="n">
        <f aca="false">IF(D444="INR",AW444/88.24,AW444)/1000000</f>
        <v>0.00475974614687217</v>
      </c>
    </row>
    <row r="445" s="2" customFormat="true" ht="14.25" hidden="false" customHeight="false" outlineLevel="0" collapsed="false">
      <c r="A445" s="12" t="s">
        <v>984</v>
      </c>
      <c r="B445" s="16" t="n">
        <v>5</v>
      </c>
      <c r="C445" s="15"/>
      <c r="D445" s="16" t="s">
        <v>50</v>
      </c>
      <c r="E445" s="16" t="s">
        <v>51</v>
      </c>
      <c r="F445" s="16" t="s">
        <v>52</v>
      </c>
      <c r="G445" s="16" t="s">
        <v>985</v>
      </c>
      <c r="H445" s="16" t="s">
        <v>986</v>
      </c>
      <c r="I445" s="16" t="s">
        <v>260</v>
      </c>
      <c r="J445" s="16" t="s">
        <v>987</v>
      </c>
      <c r="K445" s="16"/>
      <c r="L445" s="16" t="s">
        <v>260</v>
      </c>
      <c r="M445" s="16" t="s">
        <v>987</v>
      </c>
      <c r="N445" s="16" t="s">
        <v>67</v>
      </c>
      <c r="O445" s="16" t="s">
        <v>246</v>
      </c>
      <c r="P445" s="16" t="s">
        <v>308</v>
      </c>
      <c r="Q445" s="16" t="s">
        <v>308</v>
      </c>
      <c r="R445" s="16" t="s">
        <v>309</v>
      </c>
      <c r="S445" s="16" t="s">
        <v>264</v>
      </c>
      <c r="T445" s="16" t="s">
        <v>988</v>
      </c>
      <c r="U445" s="16" t="s">
        <v>73</v>
      </c>
      <c r="V445" s="16" t="n">
        <v>0.99</v>
      </c>
      <c r="W445" s="16" t="n">
        <v>0.83</v>
      </c>
      <c r="X445" s="16" t="n">
        <v>104000</v>
      </c>
      <c r="Y445" s="16" t="n">
        <v>104000</v>
      </c>
      <c r="Z445" s="16" t="n">
        <v>104000</v>
      </c>
      <c r="AA445" s="16" t="n">
        <v>104000</v>
      </c>
      <c r="AB445" s="16" t="n">
        <v>104000</v>
      </c>
      <c r="AC445" s="16" t="n">
        <v>104000</v>
      </c>
      <c r="AD445" s="16" t="n">
        <v>104000</v>
      </c>
      <c r="AE445" s="16" t="n">
        <v>104000</v>
      </c>
      <c r="AF445" s="16" t="n">
        <v>104000</v>
      </c>
      <c r="AG445" s="16" t="n">
        <v>104000</v>
      </c>
      <c r="AH445" s="16" t="n">
        <v>104000</v>
      </c>
      <c r="AI445" s="16" t="n">
        <v>104000</v>
      </c>
      <c r="AJ445" s="9" t="n">
        <f aca="false">X445*$V445</f>
        <v>102960</v>
      </c>
      <c r="AK445" s="9" t="n">
        <f aca="false">Y445*$V445</f>
        <v>102960</v>
      </c>
      <c r="AL445" s="9" t="n">
        <f aca="false">Z445*$V445</f>
        <v>102960</v>
      </c>
      <c r="AM445" s="9" t="n">
        <f aca="false">AA445*$V445</f>
        <v>102960</v>
      </c>
      <c r="AN445" s="9" t="n">
        <f aca="false">AB445*$V445</f>
        <v>102960</v>
      </c>
      <c r="AO445" s="9" t="n">
        <f aca="false">AC445*$V445</f>
        <v>102960</v>
      </c>
      <c r="AP445" s="9" t="n">
        <f aca="false">AD445*$V445</f>
        <v>102960</v>
      </c>
      <c r="AQ445" s="9" t="n">
        <f aca="false">AE445*$V445</f>
        <v>102960</v>
      </c>
      <c r="AR445" s="9" t="n">
        <f aca="false">AF445*$V445</f>
        <v>102960</v>
      </c>
      <c r="AS445" s="9" t="n">
        <f aca="false">AG445*$V445</f>
        <v>102960</v>
      </c>
      <c r="AT445" s="9" t="n">
        <f aca="false">AH445*$V445</f>
        <v>102960</v>
      </c>
      <c r="AU445" s="9" t="n">
        <f aca="false">AI445*$V445</f>
        <v>102960</v>
      </c>
      <c r="AV445" s="9" t="n">
        <f aca="false">SUM(X445:AI445)/1000</f>
        <v>1248</v>
      </c>
      <c r="AW445" s="9" t="n">
        <f aca="false">SUM(AJ445:AU445)</f>
        <v>1235520</v>
      </c>
      <c r="AX445" s="9" t="n">
        <f aca="false">IF(D445="INR",AW445/88.24,AW445)/1000000</f>
        <v>0.0140018132366274</v>
      </c>
    </row>
    <row r="446" s="2" customFormat="true" ht="16.4" hidden="false" customHeight="false" outlineLevel="0" collapsed="false">
      <c r="A446" s="9" t="s">
        <v>989</v>
      </c>
      <c r="B446" s="9" t="n">
        <v>5</v>
      </c>
      <c r="C446" s="10"/>
      <c r="D446" s="9" t="s">
        <v>50</v>
      </c>
      <c r="E446" s="16" t="s">
        <v>51</v>
      </c>
      <c r="F446" s="9" t="s">
        <v>267</v>
      </c>
      <c r="G446" s="9" t="s">
        <v>990</v>
      </c>
      <c r="H446" s="9" t="s">
        <v>991</v>
      </c>
      <c r="I446" s="9" t="s">
        <v>992</v>
      </c>
      <c r="J446" s="9" t="s">
        <v>993</v>
      </c>
      <c r="K446" s="9"/>
      <c r="L446" s="9" t="s">
        <v>992</v>
      </c>
      <c r="M446" s="9" t="s">
        <v>993</v>
      </c>
      <c r="N446" s="16" t="s">
        <v>271</v>
      </c>
      <c r="O446" s="9" t="s">
        <v>94</v>
      </c>
      <c r="P446" s="16" t="s">
        <v>110</v>
      </c>
      <c r="Q446" s="16" t="s">
        <v>110</v>
      </c>
      <c r="R446" s="16" t="s">
        <v>137</v>
      </c>
      <c r="S446" s="16" t="s">
        <v>272</v>
      </c>
      <c r="T446" s="9" t="s">
        <v>849</v>
      </c>
      <c r="U446" s="16" t="s">
        <v>73</v>
      </c>
      <c r="V446" s="9" t="n">
        <v>41</v>
      </c>
      <c r="W446" s="9" t="n">
        <v>0.275</v>
      </c>
      <c r="X446" s="22"/>
      <c r="Y446" s="9"/>
      <c r="Z446" s="9" t="n">
        <v>2500</v>
      </c>
      <c r="AA446" s="9"/>
      <c r="AB446" s="9"/>
      <c r="AC446" s="9"/>
      <c r="AD446" s="9" t="n">
        <v>2500</v>
      </c>
      <c r="AE446" s="9"/>
      <c r="AF446" s="9"/>
      <c r="AG446" s="9"/>
      <c r="AH446" s="9"/>
      <c r="AI446" s="9"/>
      <c r="AJ446" s="9" t="n">
        <f aca="false">X446*$V446</f>
        <v>0</v>
      </c>
      <c r="AK446" s="9" t="n">
        <f aca="false">Y446*$V446</f>
        <v>0</v>
      </c>
      <c r="AL446" s="9" t="n">
        <f aca="false">Z446*$V446</f>
        <v>102500</v>
      </c>
      <c r="AM446" s="9" t="n">
        <f aca="false">AA446*$V446</f>
        <v>0</v>
      </c>
      <c r="AN446" s="9" t="n">
        <f aca="false">AB446*$V446</f>
        <v>0</v>
      </c>
      <c r="AO446" s="9" t="n">
        <f aca="false">AC446*$V446</f>
        <v>0</v>
      </c>
      <c r="AP446" s="9" t="n">
        <f aca="false">AD446*$V446</f>
        <v>102500</v>
      </c>
      <c r="AQ446" s="9" t="n">
        <f aca="false">AE446*$V446</f>
        <v>0</v>
      </c>
      <c r="AR446" s="9" t="n">
        <f aca="false">AF446*$V446</f>
        <v>0</v>
      </c>
      <c r="AS446" s="9" t="n">
        <f aca="false">AG446*$V446</f>
        <v>0</v>
      </c>
      <c r="AT446" s="9" t="n">
        <f aca="false">AH446*$V446</f>
        <v>0</v>
      </c>
      <c r="AU446" s="9" t="n">
        <f aca="false">AI446*$V446</f>
        <v>0</v>
      </c>
      <c r="AV446" s="9" t="n">
        <f aca="false">SUM(X446:AI446)/1000</f>
        <v>5</v>
      </c>
      <c r="AW446" s="9" t="n">
        <f aca="false">SUM(AJ446:AU446)</f>
        <v>205000</v>
      </c>
      <c r="AX446" s="9" t="n">
        <f aca="false">IF(D446="INR",AW446/88.24,AW446)/1000000</f>
        <v>0.00232320942883046</v>
      </c>
    </row>
    <row r="447" s="2" customFormat="true" ht="16.4" hidden="false" customHeight="false" outlineLevel="0" collapsed="false">
      <c r="A447" s="9" t="s">
        <v>994</v>
      </c>
      <c r="B447" s="9"/>
      <c r="C447" s="10"/>
      <c r="D447" s="16" t="s">
        <v>50</v>
      </c>
      <c r="E447" s="16" t="s">
        <v>51</v>
      </c>
      <c r="F447" s="16" t="s">
        <v>243</v>
      </c>
      <c r="G447" s="16" t="s">
        <v>340</v>
      </c>
      <c r="H447" s="16" t="s">
        <v>341</v>
      </c>
      <c r="I447" s="16" t="s">
        <v>55</v>
      </c>
      <c r="J447" s="16" t="s">
        <v>56</v>
      </c>
      <c r="K447" s="16"/>
      <c r="L447" s="16" t="s">
        <v>55</v>
      </c>
      <c r="M447" s="16" t="s">
        <v>56</v>
      </c>
      <c r="N447" s="16" t="s">
        <v>93</v>
      </c>
      <c r="O447" s="16" t="s">
        <v>246</v>
      </c>
      <c r="P447" s="9" t="s">
        <v>308</v>
      </c>
      <c r="Q447" s="9" t="s">
        <v>308</v>
      </c>
      <c r="R447" s="9" t="s">
        <v>309</v>
      </c>
      <c r="S447" s="9" t="s">
        <v>264</v>
      </c>
      <c r="T447" s="9" t="s">
        <v>995</v>
      </c>
      <c r="U447" s="9" t="s">
        <v>73</v>
      </c>
      <c r="V447" s="36" t="n">
        <v>1.02</v>
      </c>
      <c r="W447" s="9" t="n">
        <v>0.95</v>
      </c>
      <c r="X447" s="22" t="n">
        <v>100000</v>
      </c>
      <c r="Y447" s="9"/>
      <c r="Z447" s="9" t="n">
        <v>100000</v>
      </c>
      <c r="AA447" s="9"/>
      <c r="AB447" s="9"/>
      <c r="AC447" s="9" t="n">
        <v>100000</v>
      </c>
      <c r="AD447" s="9"/>
      <c r="AE447" s="9"/>
      <c r="AF447" s="9"/>
      <c r="AG447" s="9"/>
      <c r="AH447" s="9"/>
      <c r="AI447" s="9"/>
      <c r="AJ447" s="9" t="n">
        <f aca="false">X447*$V447</f>
        <v>102000</v>
      </c>
      <c r="AK447" s="9" t="n">
        <f aca="false">Y447*$V447</f>
        <v>0</v>
      </c>
      <c r="AL447" s="9" t="n">
        <f aca="false">Z447*$V447</f>
        <v>102000</v>
      </c>
      <c r="AM447" s="9" t="n">
        <f aca="false">AA447*$V447</f>
        <v>0</v>
      </c>
      <c r="AN447" s="9" t="n">
        <f aca="false">AB447*$V447</f>
        <v>0</v>
      </c>
      <c r="AO447" s="9" t="n">
        <f aca="false">AC447*$V447</f>
        <v>102000</v>
      </c>
      <c r="AP447" s="9" t="n">
        <f aca="false">AD447*$V447</f>
        <v>0</v>
      </c>
      <c r="AQ447" s="9" t="n">
        <f aca="false">AE447*$V447</f>
        <v>0</v>
      </c>
      <c r="AR447" s="9" t="n">
        <f aca="false">AF447*$V447</f>
        <v>0</v>
      </c>
      <c r="AS447" s="9" t="n">
        <f aca="false">AG447*$V447</f>
        <v>0</v>
      </c>
      <c r="AT447" s="9" t="n">
        <f aca="false">AH447*$V447</f>
        <v>0</v>
      </c>
      <c r="AU447" s="9" t="n">
        <f aca="false">AI447*$V447</f>
        <v>0</v>
      </c>
      <c r="AV447" s="9" t="n">
        <f aca="false">SUM(X447:AI447)/1000</f>
        <v>300</v>
      </c>
      <c r="AW447" s="9" t="n">
        <f aca="false">SUM(AJ447:AU447)</f>
        <v>306000</v>
      </c>
      <c r="AX447" s="9" t="n">
        <f aca="false">IF(D447="INR",AW447/88.24,AW447)/1000000</f>
        <v>0.00346781504986401</v>
      </c>
    </row>
    <row r="448" s="2" customFormat="true" ht="14.25" hidden="false" customHeight="false" outlineLevel="0" collapsed="false">
      <c r="A448" s="12"/>
      <c r="B448" s="16" t="n">
        <v>5</v>
      </c>
      <c r="C448" s="15"/>
      <c r="D448" s="16" t="s">
        <v>50</v>
      </c>
      <c r="E448" s="16" t="s">
        <v>51</v>
      </c>
      <c r="F448" s="16" t="s">
        <v>404</v>
      </c>
      <c r="G448" s="16"/>
      <c r="H448" s="16" t="s">
        <v>996</v>
      </c>
      <c r="I448" s="16"/>
      <c r="J448" s="16"/>
      <c r="K448" s="16"/>
      <c r="L448" s="16"/>
      <c r="M448" s="16"/>
      <c r="N448" s="16" t="s">
        <v>271</v>
      </c>
      <c r="O448" s="16" t="s">
        <v>94</v>
      </c>
      <c r="P448" s="16" t="s">
        <v>997</v>
      </c>
      <c r="Q448" s="16" t="s">
        <v>997</v>
      </c>
      <c r="R448" s="16"/>
      <c r="S448" s="16"/>
      <c r="T448" s="16" t="s">
        <v>998</v>
      </c>
      <c r="U448" s="16" t="s">
        <v>73</v>
      </c>
      <c r="V448" s="16" t="n">
        <v>50000</v>
      </c>
      <c r="W448" s="16"/>
      <c r="X448" s="22"/>
      <c r="Y448" s="16"/>
      <c r="Z448" s="16" t="n">
        <v>2</v>
      </c>
      <c r="AA448" s="16"/>
      <c r="AB448" s="16"/>
      <c r="AC448" s="16" t="n">
        <v>2</v>
      </c>
      <c r="AD448" s="16"/>
      <c r="AE448" s="16"/>
      <c r="AF448" s="16"/>
      <c r="AG448" s="16" t="n">
        <v>2</v>
      </c>
      <c r="AH448" s="16"/>
      <c r="AI448" s="16"/>
      <c r="AJ448" s="9" t="n">
        <f aca="false">X448*$V448</f>
        <v>0</v>
      </c>
      <c r="AK448" s="9" t="n">
        <f aca="false">Y448*$V448</f>
        <v>0</v>
      </c>
      <c r="AL448" s="9" t="n">
        <f aca="false">Z448*$V448</f>
        <v>100000</v>
      </c>
      <c r="AM448" s="9" t="n">
        <f aca="false">AA448*$V448</f>
        <v>0</v>
      </c>
      <c r="AN448" s="9" t="n">
        <f aca="false">AB448*$V448</f>
        <v>0</v>
      </c>
      <c r="AO448" s="9" t="n">
        <f aca="false">AC448*$V448</f>
        <v>100000</v>
      </c>
      <c r="AP448" s="9" t="n">
        <f aca="false">AD448*$V448</f>
        <v>0</v>
      </c>
      <c r="AQ448" s="9" t="n">
        <f aca="false">AE448*$V448</f>
        <v>0</v>
      </c>
      <c r="AR448" s="9" t="n">
        <f aca="false">AF448*$V448</f>
        <v>0</v>
      </c>
      <c r="AS448" s="9" t="n">
        <f aca="false">AG448*$V448</f>
        <v>100000</v>
      </c>
      <c r="AT448" s="9" t="n">
        <f aca="false">AH448*$V448</f>
        <v>0</v>
      </c>
      <c r="AU448" s="9" t="n">
        <f aca="false">AI448*$V448</f>
        <v>0</v>
      </c>
      <c r="AV448" s="9" t="n">
        <f aca="false">SUM(X448:AI448)/1000</f>
        <v>0.006</v>
      </c>
      <c r="AW448" s="9" t="n">
        <f aca="false">SUM(AJ448:AU448)</f>
        <v>300000</v>
      </c>
      <c r="AX448" s="9" t="n">
        <f aca="false">IF(D448="INR",AW448/88.24,AW448)/1000000</f>
        <v>0.00339981867633726</v>
      </c>
    </row>
    <row r="449" s="2" customFormat="true" ht="14.25" hidden="false" customHeight="false" outlineLevel="0" collapsed="false">
      <c r="A449" s="12"/>
      <c r="B449" s="16" t="n">
        <v>1</v>
      </c>
      <c r="C449" s="15"/>
      <c r="D449" s="16" t="s">
        <v>50</v>
      </c>
      <c r="E449" s="16" t="s">
        <v>51</v>
      </c>
      <c r="F449" s="16" t="s">
        <v>52</v>
      </c>
      <c r="G449" s="16"/>
      <c r="H449" s="16" t="s">
        <v>346</v>
      </c>
      <c r="I449" s="16"/>
      <c r="J449" s="16"/>
      <c r="K449" s="16"/>
      <c r="L449" s="16"/>
      <c r="M449" s="16"/>
      <c r="N449" s="16" t="s">
        <v>290</v>
      </c>
      <c r="O449" s="16"/>
      <c r="P449" s="16"/>
      <c r="Q449" s="16" t="s">
        <v>69</v>
      </c>
      <c r="R449" s="16"/>
      <c r="S449" s="16"/>
      <c r="T449" s="16" t="s">
        <v>249</v>
      </c>
      <c r="U449" s="16"/>
      <c r="V449" s="16" t="n">
        <v>10</v>
      </c>
      <c r="W449" s="16"/>
      <c r="X449" s="16"/>
      <c r="Y449" s="16" t="n">
        <v>10000</v>
      </c>
      <c r="Z449" s="16" t="n">
        <v>10000</v>
      </c>
      <c r="AA449" s="16" t="n">
        <v>10000</v>
      </c>
      <c r="AB449" s="16" t="n">
        <v>10000</v>
      </c>
      <c r="AC449" s="16" t="n">
        <v>10000</v>
      </c>
      <c r="AD449" s="16" t="n">
        <v>10000</v>
      </c>
      <c r="AE449" s="16" t="n">
        <v>10000</v>
      </c>
      <c r="AF449" s="16" t="n">
        <v>10000</v>
      </c>
      <c r="AG449" s="16" t="n">
        <v>10000</v>
      </c>
      <c r="AH449" s="16" t="n">
        <v>10000</v>
      </c>
      <c r="AI449" s="16" t="n">
        <v>10000</v>
      </c>
      <c r="AJ449" s="9" t="n">
        <f aca="false">X449*$V449</f>
        <v>0</v>
      </c>
      <c r="AK449" s="9" t="n">
        <f aca="false">Y449*$V449</f>
        <v>100000</v>
      </c>
      <c r="AL449" s="9" t="n">
        <f aca="false">Z449*$V449</f>
        <v>100000</v>
      </c>
      <c r="AM449" s="9" t="n">
        <f aca="false">AA449*$V449</f>
        <v>100000</v>
      </c>
      <c r="AN449" s="9" t="n">
        <f aca="false">AB449*$V449</f>
        <v>100000</v>
      </c>
      <c r="AO449" s="9" t="n">
        <f aca="false">AC449*$V449</f>
        <v>100000</v>
      </c>
      <c r="AP449" s="9" t="n">
        <f aca="false">AD449*$V449</f>
        <v>100000</v>
      </c>
      <c r="AQ449" s="9" t="n">
        <f aca="false">AE449*$V449</f>
        <v>100000</v>
      </c>
      <c r="AR449" s="9" t="n">
        <f aca="false">AF449*$V449</f>
        <v>100000</v>
      </c>
      <c r="AS449" s="9" t="n">
        <f aca="false">AG449*$V449</f>
        <v>100000</v>
      </c>
      <c r="AT449" s="9" t="n">
        <f aca="false">AH449*$V449</f>
        <v>100000</v>
      </c>
      <c r="AU449" s="9" t="n">
        <f aca="false">AI449*$V449</f>
        <v>100000</v>
      </c>
      <c r="AV449" s="9" t="n">
        <f aca="false">SUM(X449:AI449)/1000</f>
        <v>110</v>
      </c>
      <c r="AW449" s="9" t="n">
        <f aca="false">SUM(AJ449:AU449)</f>
        <v>1100000</v>
      </c>
      <c r="AX449" s="9" t="n">
        <f aca="false">IF(D449="INR",AW449/88.24,AW449)/1000000</f>
        <v>0.0124660018132366</v>
      </c>
    </row>
    <row r="450" s="2" customFormat="true" ht="14.25" hidden="false" customHeight="false" outlineLevel="0" collapsed="false">
      <c r="A450" s="12" t="s">
        <v>999</v>
      </c>
      <c r="B450" s="16" t="n">
        <v>5</v>
      </c>
      <c r="C450" s="15"/>
      <c r="D450" s="16" t="s">
        <v>50</v>
      </c>
      <c r="E450" s="16" t="s">
        <v>51</v>
      </c>
      <c r="F450" s="16" t="s">
        <v>404</v>
      </c>
      <c r="G450" s="16" t="s">
        <v>1000</v>
      </c>
      <c r="H450" s="16" t="s">
        <v>1001</v>
      </c>
      <c r="I450" s="16" t="s">
        <v>105</v>
      </c>
      <c r="J450" s="16" t="s">
        <v>368</v>
      </c>
      <c r="K450" s="16"/>
      <c r="L450" s="16" t="s">
        <v>105</v>
      </c>
      <c r="M450" s="16" t="s">
        <v>368</v>
      </c>
      <c r="N450" s="16" t="s">
        <v>271</v>
      </c>
      <c r="O450" s="16" t="s">
        <v>107</v>
      </c>
      <c r="P450" s="16" t="s">
        <v>110</v>
      </c>
      <c r="Q450" s="16" t="s">
        <v>110</v>
      </c>
      <c r="R450" s="16" t="s">
        <v>137</v>
      </c>
      <c r="S450" s="16" t="s">
        <v>272</v>
      </c>
      <c r="T450" s="16" t="s">
        <v>980</v>
      </c>
      <c r="U450" s="16" t="s">
        <v>73</v>
      </c>
      <c r="V450" s="16" t="n">
        <v>105</v>
      </c>
      <c r="W450" s="16" t="n">
        <v>0.97</v>
      </c>
      <c r="X450" s="22" t="n">
        <v>952</v>
      </c>
      <c r="Y450" s="22"/>
      <c r="Z450" s="22" t="n">
        <v>952</v>
      </c>
      <c r="AA450" s="22"/>
      <c r="AB450" s="22" t="n">
        <v>952</v>
      </c>
      <c r="AC450" s="22"/>
      <c r="AD450" s="22"/>
      <c r="AE450" s="22" t="n">
        <v>952</v>
      </c>
      <c r="AF450" s="22"/>
      <c r="AG450" s="22" t="n">
        <v>952</v>
      </c>
      <c r="AH450" s="22"/>
      <c r="AI450" s="22"/>
      <c r="AJ450" s="9" t="n">
        <f aca="false">X450*$V450</f>
        <v>99960</v>
      </c>
      <c r="AK450" s="9" t="n">
        <f aca="false">Y450*$V450</f>
        <v>0</v>
      </c>
      <c r="AL450" s="9" t="n">
        <f aca="false">Z450*$V450</f>
        <v>99960</v>
      </c>
      <c r="AM450" s="9" t="n">
        <f aca="false">AA450*$V450</f>
        <v>0</v>
      </c>
      <c r="AN450" s="9" t="n">
        <f aca="false">AB450*$V450</f>
        <v>99960</v>
      </c>
      <c r="AO450" s="9" t="n">
        <f aca="false">AC450*$V450</f>
        <v>0</v>
      </c>
      <c r="AP450" s="9" t="n">
        <f aca="false">AD450*$V450</f>
        <v>0</v>
      </c>
      <c r="AQ450" s="9" t="n">
        <f aca="false">AE450*$V450</f>
        <v>99960</v>
      </c>
      <c r="AR450" s="9" t="n">
        <f aca="false">AF450*$V450</f>
        <v>0</v>
      </c>
      <c r="AS450" s="9" t="n">
        <f aca="false">AG450*$V450</f>
        <v>99960</v>
      </c>
      <c r="AT450" s="9" t="n">
        <f aca="false">AH450*$V450</f>
        <v>0</v>
      </c>
      <c r="AU450" s="9" t="n">
        <f aca="false">AI450*$V450</f>
        <v>0</v>
      </c>
      <c r="AV450" s="9" t="n">
        <f aca="false">SUM(X450:AI450)/1000</f>
        <v>4.76</v>
      </c>
      <c r="AW450" s="9" t="n">
        <f aca="false">SUM(AJ450:AU450)</f>
        <v>499800</v>
      </c>
      <c r="AX450" s="9" t="n">
        <f aca="false">IF(D450="INR",AW450/88.24,AW450)/1000000</f>
        <v>0.00566409791477788</v>
      </c>
    </row>
    <row r="451" s="2" customFormat="true" ht="14.25" hidden="false" customHeight="false" outlineLevel="0" collapsed="false">
      <c r="A451" s="12" t="s">
        <v>1002</v>
      </c>
      <c r="B451" s="16" t="n">
        <v>5</v>
      </c>
      <c r="C451" s="15"/>
      <c r="D451" s="16" t="s">
        <v>50</v>
      </c>
      <c r="E451" s="16" t="s">
        <v>51</v>
      </c>
      <c r="F451" s="16" t="s">
        <v>52</v>
      </c>
      <c r="G451" s="16" t="s">
        <v>1003</v>
      </c>
      <c r="H451" s="16" t="s">
        <v>1004</v>
      </c>
      <c r="I451" s="16" t="s">
        <v>1005</v>
      </c>
      <c r="J451" s="16" t="s">
        <v>1006</v>
      </c>
      <c r="K451" s="16"/>
      <c r="L451" s="16" t="s">
        <v>1005</v>
      </c>
      <c r="M451" s="16" t="s">
        <v>1006</v>
      </c>
      <c r="N451" s="16" t="s">
        <v>67</v>
      </c>
      <c r="O451" s="16" t="s">
        <v>246</v>
      </c>
      <c r="P451" s="16" t="s">
        <v>695</v>
      </c>
      <c r="Q451" s="16" t="s">
        <v>695</v>
      </c>
      <c r="R451" s="16" t="s">
        <v>330</v>
      </c>
      <c r="S451" s="16" t="s">
        <v>521</v>
      </c>
      <c r="T451" s="16" t="s">
        <v>1007</v>
      </c>
      <c r="U451" s="16" t="s">
        <v>63</v>
      </c>
      <c r="V451" s="16" t="n">
        <v>99.21</v>
      </c>
      <c r="W451" s="16" t="n">
        <v>91</v>
      </c>
      <c r="X451" s="16" t="n">
        <v>1000</v>
      </c>
      <c r="Y451" s="16" t="n">
        <v>1000</v>
      </c>
      <c r="Z451" s="16" t="n">
        <v>1000</v>
      </c>
      <c r="AA451" s="16" t="n">
        <v>1000</v>
      </c>
      <c r="AB451" s="16" t="n">
        <v>1000</v>
      </c>
      <c r="AC451" s="16" t="n">
        <v>1000</v>
      </c>
      <c r="AD451" s="16" t="n">
        <v>1000</v>
      </c>
      <c r="AE451" s="16" t="n">
        <v>1000</v>
      </c>
      <c r="AF451" s="16" t="n">
        <v>1000</v>
      </c>
      <c r="AG451" s="16" t="n">
        <v>1000</v>
      </c>
      <c r="AH451" s="16" t="n">
        <v>1000</v>
      </c>
      <c r="AI451" s="16" t="n">
        <v>1000</v>
      </c>
      <c r="AJ451" s="9" t="n">
        <f aca="false">X451*$V451</f>
        <v>99210</v>
      </c>
      <c r="AK451" s="9" t="n">
        <f aca="false">Y451*$V451</f>
        <v>99210</v>
      </c>
      <c r="AL451" s="9" t="n">
        <f aca="false">Z451*$V451</f>
        <v>99210</v>
      </c>
      <c r="AM451" s="9" t="n">
        <f aca="false">AA451*$V451</f>
        <v>99210</v>
      </c>
      <c r="AN451" s="9" t="n">
        <f aca="false">AB451*$V451</f>
        <v>99210</v>
      </c>
      <c r="AO451" s="9" t="n">
        <f aca="false">AC451*$V451</f>
        <v>99210</v>
      </c>
      <c r="AP451" s="9" t="n">
        <f aca="false">AD451*$V451</f>
        <v>99210</v>
      </c>
      <c r="AQ451" s="9" t="n">
        <f aca="false">AE451*$V451</f>
        <v>99210</v>
      </c>
      <c r="AR451" s="9" t="n">
        <f aca="false">AF451*$V451</f>
        <v>99210</v>
      </c>
      <c r="AS451" s="9" t="n">
        <f aca="false">AG451*$V451</f>
        <v>99210</v>
      </c>
      <c r="AT451" s="9" t="n">
        <f aca="false">AH451*$V451</f>
        <v>99210</v>
      </c>
      <c r="AU451" s="9" t="n">
        <f aca="false">AI451*$V451</f>
        <v>99210</v>
      </c>
      <c r="AV451" s="9" t="n">
        <f aca="false">SUM(X451:AI451)/1000</f>
        <v>12</v>
      </c>
      <c r="AW451" s="9" t="n">
        <f aca="false">SUM(AJ451:AU451)</f>
        <v>1190520</v>
      </c>
      <c r="AX451" s="9" t="n">
        <f aca="false">IF(D451="INR",AW451/88.24,AW451)/1000000</f>
        <v>0.0134918404351768</v>
      </c>
    </row>
    <row r="452" s="2" customFormat="true" ht="14.25" hidden="false" customHeight="false" outlineLevel="0" collapsed="false">
      <c r="A452" s="12" t="s">
        <v>1008</v>
      </c>
      <c r="B452" s="16"/>
      <c r="C452" s="15" t="n">
        <v>5</v>
      </c>
      <c r="D452" s="16" t="s">
        <v>50</v>
      </c>
      <c r="E452" s="16" t="s">
        <v>51</v>
      </c>
      <c r="F452" s="16" t="s">
        <v>52</v>
      </c>
      <c r="G452" s="16" t="s">
        <v>1009</v>
      </c>
      <c r="H452" s="16" t="s">
        <v>1010</v>
      </c>
      <c r="I452" s="16" t="s">
        <v>105</v>
      </c>
      <c r="J452" s="16" t="s">
        <v>106</v>
      </c>
      <c r="K452" s="16"/>
      <c r="L452" s="16" t="s">
        <v>105</v>
      </c>
      <c r="M452" s="16" t="s">
        <v>106</v>
      </c>
      <c r="N452" s="16" t="s">
        <v>290</v>
      </c>
      <c r="O452" s="16" t="s">
        <v>246</v>
      </c>
      <c r="P452" s="16" t="s">
        <v>110</v>
      </c>
      <c r="Q452" s="16" t="s">
        <v>110</v>
      </c>
      <c r="R452" s="16" t="s">
        <v>137</v>
      </c>
      <c r="S452" s="16" t="s">
        <v>272</v>
      </c>
      <c r="T452" s="16" t="s">
        <v>1011</v>
      </c>
      <c r="U452" s="16" t="s">
        <v>73</v>
      </c>
      <c r="V452" s="16" t="n">
        <v>99</v>
      </c>
      <c r="W452" s="16" t="n">
        <v>0.535</v>
      </c>
      <c r="X452" s="22"/>
      <c r="Y452" s="16"/>
      <c r="Z452" s="16" t="n">
        <v>1000</v>
      </c>
      <c r="AA452" s="16"/>
      <c r="AB452" s="16"/>
      <c r="AC452" s="16" t="n">
        <v>2000</v>
      </c>
      <c r="AD452" s="16"/>
      <c r="AE452" s="16"/>
      <c r="AF452" s="16"/>
      <c r="AG452" s="16"/>
      <c r="AH452" s="16"/>
      <c r="AI452" s="16"/>
      <c r="AJ452" s="9" t="n">
        <f aca="false">X452*$V452</f>
        <v>0</v>
      </c>
      <c r="AK452" s="9" t="n">
        <f aca="false">Y452*$V452</f>
        <v>0</v>
      </c>
      <c r="AL452" s="9" t="n">
        <f aca="false">Z452*$V452</f>
        <v>99000</v>
      </c>
      <c r="AM452" s="9" t="n">
        <f aca="false">AA452*$V452</f>
        <v>0</v>
      </c>
      <c r="AN452" s="9" t="n">
        <f aca="false">AB452*$V452</f>
        <v>0</v>
      </c>
      <c r="AO452" s="9" t="n">
        <f aca="false">AC452*$V452</f>
        <v>198000</v>
      </c>
      <c r="AP452" s="9" t="n">
        <f aca="false">AD452*$V452</f>
        <v>0</v>
      </c>
      <c r="AQ452" s="9" t="n">
        <f aca="false">AE452*$V452</f>
        <v>0</v>
      </c>
      <c r="AR452" s="9" t="n">
        <f aca="false">AF452*$V452</f>
        <v>0</v>
      </c>
      <c r="AS452" s="9" t="n">
        <f aca="false">AG452*$V452</f>
        <v>0</v>
      </c>
      <c r="AT452" s="9" t="n">
        <f aca="false">AH452*$V452</f>
        <v>0</v>
      </c>
      <c r="AU452" s="9" t="n">
        <f aca="false">AI452*$V452</f>
        <v>0</v>
      </c>
      <c r="AV452" s="9" t="n">
        <f aca="false">SUM(X452:AI452)/1000</f>
        <v>3</v>
      </c>
      <c r="AW452" s="9" t="n">
        <f aca="false">SUM(AJ452:AU452)</f>
        <v>297000</v>
      </c>
      <c r="AX452" s="9" t="n">
        <f aca="false">IF(D452="INR",AW452/88.24,AW452)/1000000</f>
        <v>0.00336582048957389</v>
      </c>
    </row>
    <row r="453" s="2" customFormat="true" ht="14.25" hidden="false" customHeight="false" outlineLevel="0" collapsed="false">
      <c r="A453" s="12"/>
      <c r="B453" s="16" t="n">
        <v>1</v>
      </c>
      <c r="C453" s="15"/>
      <c r="D453" s="16" t="s">
        <v>50</v>
      </c>
      <c r="E453" s="16" t="s">
        <v>51</v>
      </c>
      <c r="F453" s="16" t="s">
        <v>52</v>
      </c>
      <c r="G453" s="16" t="s">
        <v>506</v>
      </c>
      <c r="H453" s="16" t="s">
        <v>507</v>
      </c>
      <c r="I453" s="16"/>
      <c r="J453" s="16"/>
      <c r="K453" s="16"/>
      <c r="L453" s="16" t="s">
        <v>77</v>
      </c>
      <c r="M453" s="16" t="s">
        <v>325</v>
      </c>
      <c r="N453" s="16" t="s">
        <v>79</v>
      </c>
      <c r="O453" s="16" t="s">
        <v>58</v>
      </c>
      <c r="P453" s="16"/>
      <c r="Q453" s="16" t="s">
        <v>1012</v>
      </c>
      <c r="R453" s="16"/>
      <c r="S453" s="16"/>
      <c r="T453" s="16" t="s">
        <v>1013</v>
      </c>
      <c r="U453" s="16" t="s">
        <v>73</v>
      </c>
      <c r="V453" s="16" t="n">
        <v>3.29</v>
      </c>
      <c r="W453" s="16"/>
      <c r="X453" s="16" t="n">
        <v>30000</v>
      </c>
      <c r="Y453" s="16" t="n">
        <v>30000</v>
      </c>
      <c r="Z453" s="16" t="n">
        <v>30000</v>
      </c>
      <c r="AA453" s="16" t="n">
        <v>30000</v>
      </c>
      <c r="AB453" s="16" t="n">
        <v>30000</v>
      </c>
      <c r="AC453" s="16" t="n">
        <v>30000</v>
      </c>
      <c r="AD453" s="16" t="n">
        <v>30000</v>
      </c>
      <c r="AE453" s="16" t="n">
        <v>30000</v>
      </c>
      <c r="AF453" s="16" t="n">
        <v>30000</v>
      </c>
      <c r="AG453" s="16" t="n">
        <v>30000</v>
      </c>
      <c r="AH453" s="16" t="n">
        <v>30000</v>
      </c>
      <c r="AI453" s="16" t="n">
        <v>30000</v>
      </c>
      <c r="AJ453" s="9" t="n">
        <f aca="false">X453*$V453</f>
        <v>98700</v>
      </c>
      <c r="AK453" s="9" t="n">
        <f aca="false">Y453*$V453</f>
        <v>98700</v>
      </c>
      <c r="AL453" s="9" t="n">
        <f aca="false">Z453*$V453</f>
        <v>98700</v>
      </c>
      <c r="AM453" s="9" t="n">
        <f aca="false">AA453*$V453</f>
        <v>98700</v>
      </c>
      <c r="AN453" s="9" t="n">
        <f aca="false">AB453*$V453</f>
        <v>98700</v>
      </c>
      <c r="AO453" s="9" t="n">
        <f aca="false">AC453*$V453</f>
        <v>98700</v>
      </c>
      <c r="AP453" s="9" t="n">
        <f aca="false">AD453*$V453</f>
        <v>98700</v>
      </c>
      <c r="AQ453" s="9" t="n">
        <f aca="false">AE453*$V453</f>
        <v>98700</v>
      </c>
      <c r="AR453" s="9" t="n">
        <f aca="false">AF453*$V453</f>
        <v>98700</v>
      </c>
      <c r="AS453" s="9" t="n">
        <f aca="false">AG453*$V453</f>
        <v>98700</v>
      </c>
      <c r="AT453" s="9" t="n">
        <f aca="false">AH453*$V453</f>
        <v>98700</v>
      </c>
      <c r="AU453" s="9" t="n">
        <f aca="false">AI453*$V453</f>
        <v>98700</v>
      </c>
      <c r="AV453" s="9" t="n">
        <f aca="false">SUM(X453:AI453)/1000</f>
        <v>360</v>
      </c>
      <c r="AW453" s="9" t="n">
        <f aca="false">SUM(AJ453:AU453)</f>
        <v>1184400</v>
      </c>
      <c r="AX453" s="9" t="n">
        <f aca="false">IF(D453="INR",AW453/88.24,AW453)/1000000</f>
        <v>0.0134224841341795</v>
      </c>
    </row>
    <row r="454" s="2" customFormat="true" ht="14.25" hidden="false" customHeight="false" outlineLevel="0" collapsed="false">
      <c r="A454" s="12" t="s">
        <v>1014</v>
      </c>
      <c r="B454" s="16"/>
      <c r="C454" s="15"/>
      <c r="D454" s="16" t="s">
        <v>50</v>
      </c>
      <c r="E454" s="16" t="s">
        <v>51</v>
      </c>
      <c r="F454" s="16" t="s">
        <v>404</v>
      </c>
      <c r="G454" s="16" t="s">
        <v>1015</v>
      </c>
      <c r="H454" s="16" t="s">
        <v>1016</v>
      </c>
      <c r="I454" s="16" t="s">
        <v>105</v>
      </c>
      <c r="J454" s="16" t="s">
        <v>368</v>
      </c>
      <c r="K454" s="16"/>
      <c r="L454" s="16" t="s">
        <v>105</v>
      </c>
      <c r="M454" s="16" t="s">
        <v>368</v>
      </c>
      <c r="N454" s="16" t="s">
        <v>271</v>
      </c>
      <c r="O454" s="16" t="s">
        <v>94</v>
      </c>
      <c r="P454" s="16" t="s">
        <v>110</v>
      </c>
      <c r="Q454" s="16" t="s">
        <v>110</v>
      </c>
      <c r="R454" s="16" t="s">
        <v>137</v>
      </c>
      <c r="S454" s="16" t="s">
        <v>272</v>
      </c>
      <c r="T454" s="16" t="s">
        <v>849</v>
      </c>
      <c r="U454" s="16" t="s">
        <v>73</v>
      </c>
      <c r="V454" s="16" t="n">
        <v>39.25</v>
      </c>
      <c r="W454" s="16" t="n">
        <v>0.275</v>
      </c>
      <c r="X454" s="16" t="n">
        <v>2500</v>
      </c>
      <c r="Y454" s="16" t="n">
        <v>2500</v>
      </c>
      <c r="Z454" s="16" t="n">
        <v>2500</v>
      </c>
      <c r="AA454" s="16" t="n">
        <v>2500</v>
      </c>
      <c r="AB454" s="16" t="n">
        <v>2500</v>
      </c>
      <c r="AC454" s="16" t="n">
        <v>2500</v>
      </c>
      <c r="AD454" s="16" t="n">
        <v>2500</v>
      </c>
      <c r="AE454" s="16" t="n">
        <v>2500</v>
      </c>
      <c r="AF454" s="16" t="n">
        <v>2500</v>
      </c>
      <c r="AG454" s="16" t="n">
        <v>2500</v>
      </c>
      <c r="AH454" s="16" t="n">
        <v>2500</v>
      </c>
      <c r="AI454" s="16" t="n">
        <v>2500</v>
      </c>
      <c r="AJ454" s="9" t="n">
        <f aca="false">X454*$V454</f>
        <v>98125</v>
      </c>
      <c r="AK454" s="9" t="n">
        <f aca="false">Y454*$V454</f>
        <v>98125</v>
      </c>
      <c r="AL454" s="9" t="n">
        <f aca="false">Z454*$V454</f>
        <v>98125</v>
      </c>
      <c r="AM454" s="9" t="n">
        <f aca="false">AA454*$V454</f>
        <v>98125</v>
      </c>
      <c r="AN454" s="9" t="n">
        <f aca="false">AB454*$V454</f>
        <v>98125</v>
      </c>
      <c r="AO454" s="9" t="n">
        <f aca="false">AC454*$V454</f>
        <v>98125</v>
      </c>
      <c r="AP454" s="9" t="n">
        <f aca="false">AD454*$V454</f>
        <v>98125</v>
      </c>
      <c r="AQ454" s="9" t="n">
        <f aca="false">AE454*$V454</f>
        <v>98125</v>
      </c>
      <c r="AR454" s="9" t="n">
        <f aca="false">AF454*$V454</f>
        <v>98125</v>
      </c>
      <c r="AS454" s="9" t="n">
        <f aca="false">AG454*$V454</f>
        <v>98125</v>
      </c>
      <c r="AT454" s="9" t="n">
        <f aca="false">AH454*$V454</f>
        <v>98125</v>
      </c>
      <c r="AU454" s="9" t="n">
        <f aca="false">AI454*$V454</f>
        <v>98125</v>
      </c>
      <c r="AV454" s="9" t="n">
        <f aca="false">SUM(X454:AI454)/1000</f>
        <v>30</v>
      </c>
      <c r="AW454" s="9" t="n">
        <f aca="false">SUM(AJ454:AU454)</f>
        <v>1177500</v>
      </c>
      <c r="AX454" s="9" t="n">
        <f aca="false">IF(D454="INR",AW454/88.24,AW454)/1000000</f>
        <v>0.0133442883046238</v>
      </c>
    </row>
    <row r="455" s="2" customFormat="true" ht="14.25" hidden="false" customHeight="false" outlineLevel="0" collapsed="false">
      <c r="A455" s="12" t="s">
        <v>1017</v>
      </c>
      <c r="B455" s="16" t="n">
        <v>5</v>
      </c>
      <c r="C455" s="15"/>
      <c r="D455" s="16" t="s">
        <v>50</v>
      </c>
      <c r="E455" s="16" t="s">
        <v>51</v>
      </c>
      <c r="F455" s="16" t="s">
        <v>243</v>
      </c>
      <c r="G455" s="16" t="s">
        <v>485</v>
      </c>
      <c r="H455" s="16" t="s">
        <v>486</v>
      </c>
      <c r="I455" s="16" t="s">
        <v>55</v>
      </c>
      <c r="J455" s="16" t="s">
        <v>56</v>
      </c>
      <c r="K455" s="16"/>
      <c r="L455" s="16" t="s">
        <v>55</v>
      </c>
      <c r="M455" s="16" t="s">
        <v>56</v>
      </c>
      <c r="N455" s="16" t="s">
        <v>93</v>
      </c>
      <c r="O455" s="16" t="s">
        <v>68</v>
      </c>
      <c r="P455" s="16" t="s">
        <v>308</v>
      </c>
      <c r="Q455" s="16" t="s">
        <v>308</v>
      </c>
      <c r="R455" s="16" t="s">
        <v>309</v>
      </c>
      <c r="S455" s="16" t="s">
        <v>264</v>
      </c>
      <c r="T455" s="16" t="s">
        <v>1018</v>
      </c>
      <c r="U455" s="16" t="s">
        <v>73</v>
      </c>
      <c r="V455" s="16" t="n">
        <v>0.98</v>
      </c>
      <c r="W455" s="16" t="n">
        <v>0.87</v>
      </c>
      <c r="X455" s="16" t="n">
        <v>100000</v>
      </c>
      <c r="Y455" s="16" t="n">
        <v>100000</v>
      </c>
      <c r="Z455" s="16" t="n">
        <v>100000</v>
      </c>
      <c r="AA455" s="16" t="n">
        <v>100000</v>
      </c>
      <c r="AB455" s="16" t="n">
        <v>100000</v>
      </c>
      <c r="AC455" s="16" t="n">
        <v>100000</v>
      </c>
      <c r="AD455" s="16" t="n">
        <v>100000</v>
      </c>
      <c r="AE455" s="16" t="n">
        <v>100000</v>
      </c>
      <c r="AF455" s="16" t="n">
        <v>100000</v>
      </c>
      <c r="AG455" s="16" t="n">
        <v>100000</v>
      </c>
      <c r="AH455" s="16" t="n">
        <v>100000</v>
      </c>
      <c r="AI455" s="16" t="n">
        <v>100000</v>
      </c>
      <c r="AJ455" s="9" t="n">
        <f aca="false">X455*$V455</f>
        <v>98000</v>
      </c>
      <c r="AK455" s="9" t="n">
        <f aca="false">Y455*$V455</f>
        <v>98000</v>
      </c>
      <c r="AL455" s="9" t="n">
        <f aca="false">Z455*$V455</f>
        <v>98000</v>
      </c>
      <c r="AM455" s="9" t="n">
        <f aca="false">AA455*$V455</f>
        <v>98000</v>
      </c>
      <c r="AN455" s="9" t="n">
        <f aca="false">AB455*$V455</f>
        <v>98000</v>
      </c>
      <c r="AO455" s="9" t="n">
        <f aca="false">AC455*$V455</f>
        <v>98000</v>
      </c>
      <c r="AP455" s="9" t="n">
        <f aca="false">AD455*$V455</f>
        <v>98000</v>
      </c>
      <c r="AQ455" s="9" t="n">
        <f aca="false">AE455*$V455</f>
        <v>98000</v>
      </c>
      <c r="AR455" s="9" t="n">
        <f aca="false">AF455*$V455</f>
        <v>98000</v>
      </c>
      <c r="AS455" s="9" t="n">
        <f aca="false">AG455*$V455</f>
        <v>98000</v>
      </c>
      <c r="AT455" s="9" t="n">
        <f aca="false">AH455*$V455</f>
        <v>98000</v>
      </c>
      <c r="AU455" s="9" t="n">
        <f aca="false">AI455*$V455</f>
        <v>98000</v>
      </c>
      <c r="AV455" s="9" t="n">
        <f aca="false">SUM(X455:AI455)/1000</f>
        <v>1200</v>
      </c>
      <c r="AW455" s="9" t="n">
        <f aca="false">SUM(AJ455:AU455)</f>
        <v>1176000</v>
      </c>
      <c r="AX455" s="9" t="n">
        <f aca="false">IF(D455="INR",AW455/88.24,AW455)/1000000</f>
        <v>0.0133272892112421</v>
      </c>
    </row>
    <row r="456" s="2" customFormat="true" ht="14.25" hidden="false" customHeight="false" outlineLevel="0" collapsed="false">
      <c r="A456" s="12" t="s">
        <v>1019</v>
      </c>
      <c r="B456" s="16"/>
      <c r="C456" s="15"/>
      <c r="D456" s="16" t="s">
        <v>50</v>
      </c>
      <c r="E456" s="16" t="s">
        <v>51</v>
      </c>
      <c r="F456" s="16" t="s">
        <v>52</v>
      </c>
      <c r="G456" s="16" t="s">
        <v>254</v>
      </c>
      <c r="H456" s="16" t="s">
        <v>255</v>
      </c>
      <c r="I456" s="16" t="s">
        <v>55</v>
      </c>
      <c r="J456" s="16" t="s">
        <v>256</v>
      </c>
      <c r="K456" s="16"/>
      <c r="L456" s="16" t="s">
        <v>55</v>
      </c>
      <c r="M456" s="16" t="s">
        <v>256</v>
      </c>
      <c r="N456" s="16" t="s">
        <v>67</v>
      </c>
      <c r="O456" s="16" t="s">
        <v>246</v>
      </c>
      <c r="P456" s="16" t="s">
        <v>69</v>
      </c>
      <c r="Q456" s="16" t="s">
        <v>69</v>
      </c>
      <c r="R456" s="16" t="s">
        <v>70</v>
      </c>
      <c r="S456" s="16" t="s">
        <v>71</v>
      </c>
      <c r="T456" s="16" t="s">
        <v>72</v>
      </c>
      <c r="U456" s="16" t="s">
        <v>73</v>
      </c>
      <c r="V456" s="16" t="n">
        <v>19.5</v>
      </c>
      <c r="W456" s="16" t="n">
        <v>0.186</v>
      </c>
      <c r="X456" s="22"/>
      <c r="Y456" s="22"/>
      <c r="Z456" s="22" t="n">
        <v>5000</v>
      </c>
      <c r="AA456" s="22"/>
      <c r="AB456" s="22"/>
      <c r="AC456" s="22" t="n">
        <v>5000</v>
      </c>
      <c r="AD456" s="22"/>
      <c r="AE456" s="22"/>
      <c r="AF456" s="22" t="n">
        <v>5000</v>
      </c>
      <c r="AG456" s="22"/>
      <c r="AH456" s="22"/>
      <c r="AI456" s="22" t="n">
        <v>5000</v>
      </c>
      <c r="AJ456" s="9" t="n">
        <f aca="false">X456*$V456</f>
        <v>0</v>
      </c>
      <c r="AK456" s="9" t="n">
        <f aca="false">Y456*$V456</f>
        <v>0</v>
      </c>
      <c r="AL456" s="9" t="n">
        <f aca="false">Z456*$V456</f>
        <v>97500</v>
      </c>
      <c r="AM456" s="9" t="n">
        <f aca="false">AA456*$V456</f>
        <v>0</v>
      </c>
      <c r="AN456" s="9" t="n">
        <f aca="false">AB456*$V456</f>
        <v>0</v>
      </c>
      <c r="AO456" s="9" t="n">
        <f aca="false">AC456*$V456</f>
        <v>97500</v>
      </c>
      <c r="AP456" s="9" t="n">
        <f aca="false">AD456*$V456</f>
        <v>0</v>
      </c>
      <c r="AQ456" s="9" t="n">
        <f aca="false">AE456*$V456</f>
        <v>0</v>
      </c>
      <c r="AR456" s="9" t="n">
        <f aca="false">AF456*$V456</f>
        <v>97500</v>
      </c>
      <c r="AS456" s="9" t="n">
        <f aca="false">AG456*$V456</f>
        <v>0</v>
      </c>
      <c r="AT456" s="9" t="n">
        <f aca="false">AH456*$V456</f>
        <v>0</v>
      </c>
      <c r="AU456" s="9" t="n">
        <f aca="false">AI456*$V456</f>
        <v>97500</v>
      </c>
      <c r="AV456" s="9" t="n">
        <f aca="false">SUM(X456:AI456)/1000</f>
        <v>20</v>
      </c>
      <c r="AW456" s="9" t="n">
        <f aca="false">SUM(AJ456:AU456)</f>
        <v>390000</v>
      </c>
      <c r="AX456" s="9" t="n">
        <f aca="false">IF(D456="INR",AW456/88.24,AW456)/1000000</f>
        <v>0.00441976427923844</v>
      </c>
    </row>
    <row r="457" s="2" customFormat="true" ht="14.25" hidden="false" customHeight="false" outlineLevel="0" collapsed="false">
      <c r="A457" s="12" t="s">
        <v>1020</v>
      </c>
      <c r="B457" s="16" t="n">
        <v>5</v>
      </c>
      <c r="C457" s="15"/>
      <c r="D457" s="16" t="s">
        <v>50</v>
      </c>
      <c r="E457" s="16" t="s">
        <v>51</v>
      </c>
      <c r="F457" s="16" t="s">
        <v>243</v>
      </c>
      <c r="G457" s="16" t="s">
        <v>470</v>
      </c>
      <c r="H457" s="16" t="s">
        <v>471</v>
      </c>
      <c r="I457" s="16" t="s">
        <v>55</v>
      </c>
      <c r="J457" s="16" t="s">
        <v>100</v>
      </c>
      <c r="K457" s="16"/>
      <c r="L457" s="16" t="s">
        <v>55</v>
      </c>
      <c r="M457" s="16" t="s">
        <v>100</v>
      </c>
      <c r="N457" s="16" t="s">
        <v>93</v>
      </c>
      <c r="O457" s="16" t="s">
        <v>246</v>
      </c>
      <c r="P457" s="16" t="s">
        <v>69</v>
      </c>
      <c r="Q457" s="16" t="s">
        <v>69</v>
      </c>
      <c r="R457" s="16" t="s">
        <v>70</v>
      </c>
      <c r="S457" s="16" t="s">
        <v>71</v>
      </c>
      <c r="T457" s="16" t="s">
        <v>249</v>
      </c>
      <c r="U457" s="16" t="s">
        <v>73</v>
      </c>
      <c r="V457" s="16" t="n">
        <v>9.7</v>
      </c>
      <c r="W457" s="16" t="n">
        <v>0.078</v>
      </c>
      <c r="X457" s="16"/>
      <c r="Y457" s="16"/>
      <c r="Z457" s="16" t="n">
        <v>10000</v>
      </c>
      <c r="AA457" s="16"/>
      <c r="AB457" s="16"/>
      <c r="AC457" s="16" t="n">
        <v>10000</v>
      </c>
      <c r="AD457" s="16"/>
      <c r="AE457" s="16"/>
      <c r="AF457" s="16" t="n">
        <v>20000</v>
      </c>
      <c r="AG457" s="16"/>
      <c r="AH457" s="16"/>
      <c r="AI457" s="16" t="n">
        <v>20000</v>
      </c>
      <c r="AJ457" s="9" t="n">
        <f aca="false">X457*$V457</f>
        <v>0</v>
      </c>
      <c r="AK457" s="9" t="n">
        <f aca="false">Y457*$V457</f>
        <v>0</v>
      </c>
      <c r="AL457" s="9" t="n">
        <f aca="false">Z457*$V457</f>
        <v>97000</v>
      </c>
      <c r="AM457" s="9" t="n">
        <f aca="false">AA457*$V457</f>
        <v>0</v>
      </c>
      <c r="AN457" s="9" t="n">
        <f aca="false">AB457*$V457</f>
        <v>0</v>
      </c>
      <c r="AO457" s="9" t="n">
        <f aca="false">AC457*$V457</f>
        <v>97000</v>
      </c>
      <c r="AP457" s="9" t="n">
        <f aca="false">AD457*$V457</f>
        <v>0</v>
      </c>
      <c r="AQ457" s="9" t="n">
        <f aca="false">AE457*$V457</f>
        <v>0</v>
      </c>
      <c r="AR457" s="9" t="n">
        <f aca="false">AF457*$V457</f>
        <v>194000</v>
      </c>
      <c r="AS457" s="9" t="n">
        <f aca="false">AG457*$V457</f>
        <v>0</v>
      </c>
      <c r="AT457" s="9" t="n">
        <f aca="false">AH457*$V457</f>
        <v>0</v>
      </c>
      <c r="AU457" s="9" t="n">
        <f aca="false">AI457*$V457</f>
        <v>194000</v>
      </c>
      <c r="AV457" s="9" t="n">
        <f aca="false">SUM(X457:AI457)/1000</f>
        <v>60</v>
      </c>
      <c r="AW457" s="9" t="n">
        <f aca="false">SUM(AJ457:AU457)</f>
        <v>582000</v>
      </c>
      <c r="AX457" s="9" t="n">
        <f aca="false">IF(D457="INR",AW457/88.24,AW457)/1000000</f>
        <v>0.00659564823209429</v>
      </c>
    </row>
    <row r="458" s="2" customFormat="true" ht="14.25" hidden="false" customHeight="false" outlineLevel="0" collapsed="false">
      <c r="A458" s="12" t="s">
        <v>1021</v>
      </c>
      <c r="B458" s="16" t="n">
        <v>5</v>
      </c>
      <c r="C458" s="15"/>
      <c r="D458" s="16" t="s">
        <v>50</v>
      </c>
      <c r="E458" s="16" t="s">
        <v>51</v>
      </c>
      <c r="F458" s="16" t="s">
        <v>52</v>
      </c>
      <c r="G458" s="16" t="s">
        <v>494</v>
      </c>
      <c r="H458" s="16" t="s">
        <v>495</v>
      </c>
      <c r="I458" s="16" t="s">
        <v>77</v>
      </c>
      <c r="J458" s="16" t="s">
        <v>496</v>
      </c>
      <c r="K458" s="16" t="s">
        <v>495</v>
      </c>
      <c r="L458" s="16" t="s">
        <v>77</v>
      </c>
      <c r="M458" s="16" t="s">
        <v>496</v>
      </c>
      <c r="N458" s="16" t="s">
        <v>57</v>
      </c>
      <c r="O458" s="16" t="s">
        <v>94</v>
      </c>
      <c r="P458" s="16" t="s">
        <v>791</v>
      </c>
      <c r="Q458" s="16" t="s">
        <v>791</v>
      </c>
      <c r="R458" s="16" t="s">
        <v>792</v>
      </c>
      <c r="S458" s="16" t="s">
        <v>264</v>
      </c>
      <c r="T458" s="16" t="s">
        <v>1022</v>
      </c>
      <c r="U458" s="16" t="s">
        <v>73</v>
      </c>
      <c r="V458" s="16" t="n">
        <v>2.4</v>
      </c>
      <c r="W458" s="16" t="n">
        <v>0.019</v>
      </c>
      <c r="X458" s="16" t="n">
        <v>40000</v>
      </c>
      <c r="Y458" s="16" t="n">
        <v>40000</v>
      </c>
      <c r="Z458" s="16" t="n">
        <v>40000</v>
      </c>
      <c r="AA458" s="16" t="n">
        <v>40000</v>
      </c>
      <c r="AB458" s="16" t="n">
        <v>40000</v>
      </c>
      <c r="AC458" s="16" t="n">
        <v>40000</v>
      </c>
      <c r="AD458" s="16" t="n">
        <v>40000</v>
      </c>
      <c r="AE458" s="16" t="n">
        <v>40000</v>
      </c>
      <c r="AF458" s="16" t="n">
        <v>40000</v>
      </c>
      <c r="AG458" s="16" t="n">
        <v>40000</v>
      </c>
      <c r="AH458" s="16" t="n">
        <v>40000</v>
      </c>
      <c r="AI458" s="16" t="n">
        <v>40000</v>
      </c>
      <c r="AJ458" s="9" t="n">
        <f aca="false">X458*$V458</f>
        <v>96000</v>
      </c>
      <c r="AK458" s="9" t="n">
        <f aca="false">Y458*$V458</f>
        <v>96000</v>
      </c>
      <c r="AL458" s="9" t="n">
        <f aca="false">Z458*$V458</f>
        <v>96000</v>
      </c>
      <c r="AM458" s="9" t="n">
        <f aca="false">AA458*$V458</f>
        <v>96000</v>
      </c>
      <c r="AN458" s="9" t="n">
        <f aca="false">AB458*$V458</f>
        <v>96000</v>
      </c>
      <c r="AO458" s="9" t="n">
        <f aca="false">AC458*$V458</f>
        <v>96000</v>
      </c>
      <c r="AP458" s="9" t="n">
        <f aca="false">AD458*$V458</f>
        <v>96000</v>
      </c>
      <c r="AQ458" s="9" t="n">
        <f aca="false">AE458*$V458</f>
        <v>96000</v>
      </c>
      <c r="AR458" s="9" t="n">
        <f aca="false">AF458*$V458</f>
        <v>96000</v>
      </c>
      <c r="AS458" s="9" t="n">
        <f aca="false">AG458*$V458</f>
        <v>96000</v>
      </c>
      <c r="AT458" s="9" t="n">
        <f aca="false">AH458*$V458</f>
        <v>96000</v>
      </c>
      <c r="AU458" s="9" t="n">
        <f aca="false">AI458*$V458</f>
        <v>96000</v>
      </c>
      <c r="AV458" s="9" t="n">
        <f aca="false">SUM(X458:AI458)/1000</f>
        <v>480</v>
      </c>
      <c r="AW458" s="9" t="n">
        <f aca="false">SUM(AJ458:AU458)</f>
        <v>1152000</v>
      </c>
      <c r="AX458" s="9" t="n">
        <f aca="false">IF(D458="INR",AW458/88.24,AW458)/1000000</f>
        <v>0.0130553037171351</v>
      </c>
    </row>
    <row r="459" s="2" customFormat="true" ht="14.25" hidden="false" customHeight="false" outlineLevel="0" collapsed="false">
      <c r="A459" s="12" t="s">
        <v>1023</v>
      </c>
      <c r="B459" s="16"/>
      <c r="C459" s="15"/>
      <c r="D459" s="16" t="s">
        <v>50</v>
      </c>
      <c r="E459" s="16" t="s">
        <v>51</v>
      </c>
      <c r="F459" s="16" t="s">
        <v>52</v>
      </c>
      <c r="G459" s="16" t="s">
        <v>476</v>
      </c>
      <c r="H459" s="16" t="s">
        <v>477</v>
      </c>
      <c r="I459" s="16" t="s">
        <v>105</v>
      </c>
      <c r="J459" s="16" t="s">
        <v>478</v>
      </c>
      <c r="K459" s="16"/>
      <c r="L459" s="16" t="s">
        <v>105</v>
      </c>
      <c r="M459" s="16" t="s">
        <v>478</v>
      </c>
      <c r="N459" s="16" t="s">
        <v>93</v>
      </c>
      <c r="O459" s="16" t="s">
        <v>58</v>
      </c>
      <c r="P459" s="16" t="s">
        <v>308</v>
      </c>
      <c r="Q459" s="16" t="s">
        <v>308</v>
      </c>
      <c r="R459" s="16" t="s">
        <v>309</v>
      </c>
      <c r="S459" s="16" t="s">
        <v>264</v>
      </c>
      <c r="T459" s="16" t="s">
        <v>1024</v>
      </c>
      <c r="U459" s="16" t="s">
        <v>73</v>
      </c>
      <c r="V459" s="16" t="n">
        <v>1.2</v>
      </c>
      <c r="W459" s="16" t="n">
        <v>0.9</v>
      </c>
      <c r="X459" s="22" t="n">
        <v>80000</v>
      </c>
      <c r="Y459" s="22" t="n">
        <v>80000</v>
      </c>
      <c r="Z459" s="22" t="n">
        <v>80000</v>
      </c>
      <c r="AA459" s="22" t="n">
        <v>80000</v>
      </c>
      <c r="AB459" s="22" t="n">
        <v>80000</v>
      </c>
      <c r="AC459" s="22" t="n">
        <v>40000</v>
      </c>
      <c r="AD459" s="22" t="n">
        <v>40000</v>
      </c>
      <c r="AE459" s="22" t="n">
        <v>40000</v>
      </c>
      <c r="AF459" s="22" t="n">
        <v>40000</v>
      </c>
      <c r="AG459" s="22" t="n">
        <v>40000</v>
      </c>
      <c r="AH459" s="22" t="n">
        <v>40000</v>
      </c>
      <c r="AI459" s="22" t="n">
        <v>40000</v>
      </c>
      <c r="AJ459" s="9" t="n">
        <f aca="false">X459*$V459</f>
        <v>96000</v>
      </c>
      <c r="AK459" s="9" t="n">
        <f aca="false">Y459*$V459</f>
        <v>96000</v>
      </c>
      <c r="AL459" s="9" t="n">
        <f aca="false">Z459*$V459</f>
        <v>96000</v>
      </c>
      <c r="AM459" s="9" t="n">
        <f aca="false">AA459*$V459</f>
        <v>96000</v>
      </c>
      <c r="AN459" s="9" t="n">
        <f aca="false">AB459*$V459</f>
        <v>96000</v>
      </c>
      <c r="AO459" s="9" t="n">
        <f aca="false">AC459*$V459</f>
        <v>48000</v>
      </c>
      <c r="AP459" s="9" t="n">
        <f aca="false">AD459*$V459</f>
        <v>48000</v>
      </c>
      <c r="AQ459" s="9" t="n">
        <f aca="false">AE459*$V459</f>
        <v>48000</v>
      </c>
      <c r="AR459" s="9" t="n">
        <f aca="false">AF459*$V459</f>
        <v>48000</v>
      </c>
      <c r="AS459" s="9" t="n">
        <f aca="false">AG459*$V459</f>
        <v>48000</v>
      </c>
      <c r="AT459" s="9" t="n">
        <f aca="false">AH459*$V459</f>
        <v>48000</v>
      </c>
      <c r="AU459" s="9" t="n">
        <f aca="false">AI459*$V459</f>
        <v>48000</v>
      </c>
      <c r="AV459" s="9" t="n">
        <f aca="false">SUM(X459:AI459)/1000</f>
        <v>680</v>
      </c>
      <c r="AW459" s="9" t="n">
        <f aca="false">SUM(AJ459:AU459)</f>
        <v>816000</v>
      </c>
      <c r="AX459" s="9" t="n">
        <f aca="false">IF(D459="INR",AW459/88.24,AW459)/1000000</f>
        <v>0.00924750679963735</v>
      </c>
    </row>
    <row r="460" s="2" customFormat="true" ht="14.25" hidden="false" customHeight="false" outlineLevel="0" collapsed="false">
      <c r="A460" s="12"/>
      <c r="B460" s="16" t="n">
        <v>5</v>
      </c>
      <c r="C460" s="15"/>
      <c r="D460" s="16" t="s">
        <v>50</v>
      </c>
      <c r="E460" s="16" t="s">
        <v>51</v>
      </c>
      <c r="F460" s="16" t="s">
        <v>404</v>
      </c>
      <c r="G460" s="16"/>
      <c r="H460" s="16" t="s">
        <v>770</v>
      </c>
      <c r="I460" s="16" t="s">
        <v>105</v>
      </c>
      <c r="J460" s="16"/>
      <c r="K460" s="16"/>
      <c r="L460" s="16"/>
      <c r="M460" s="16"/>
      <c r="N460" s="16" t="s">
        <v>271</v>
      </c>
      <c r="O460" s="16"/>
      <c r="P460" s="16" t="s">
        <v>85</v>
      </c>
      <c r="Q460" s="16" t="s">
        <v>85</v>
      </c>
      <c r="R460" s="16"/>
      <c r="S460" s="16"/>
      <c r="T460" s="16" t="s">
        <v>1025</v>
      </c>
      <c r="U460" s="16"/>
      <c r="V460" s="16" t="n">
        <v>19</v>
      </c>
      <c r="W460" s="16"/>
      <c r="X460" s="16" t="n">
        <v>5000</v>
      </c>
      <c r="Y460" s="16" t="n">
        <v>5000</v>
      </c>
      <c r="Z460" s="16" t="n">
        <v>5000</v>
      </c>
      <c r="AA460" s="16" t="n">
        <v>5000</v>
      </c>
      <c r="AB460" s="16"/>
      <c r="AC460" s="16" t="n">
        <v>5000</v>
      </c>
      <c r="AD460" s="16" t="n">
        <v>5000</v>
      </c>
      <c r="AE460" s="16" t="n">
        <v>5000</v>
      </c>
      <c r="AF460" s="16" t="n">
        <v>5000</v>
      </c>
      <c r="AG460" s="16"/>
      <c r="AH460" s="16" t="n">
        <v>5000</v>
      </c>
      <c r="AI460" s="16" t="n">
        <v>5000</v>
      </c>
      <c r="AJ460" s="9" t="n">
        <f aca="false">X460*$V460</f>
        <v>95000</v>
      </c>
      <c r="AK460" s="9" t="n">
        <f aca="false">Y460*$V460</f>
        <v>95000</v>
      </c>
      <c r="AL460" s="9" t="n">
        <f aca="false">Z460*$V460</f>
        <v>95000</v>
      </c>
      <c r="AM460" s="9" t="n">
        <f aca="false">AA460*$V460</f>
        <v>95000</v>
      </c>
      <c r="AN460" s="9" t="n">
        <f aca="false">AB460*$V460</f>
        <v>0</v>
      </c>
      <c r="AO460" s="9" t="n">
        <f aca="false">AC460*$V460</f>
        <v>95000</v>
      </c>
      <c r="AP460" s="9" t="n">
        <f aca="false">AD460*$V460</f>
        <v>95000</v>
      </c>
      <c r="AQ460" s="9" t="n">
        <f aca="false">AE460*$V460</f>
        <v>95000</v>
      </c>
      <c r="AR460" s="9" t="n">
        <f aca="false">AF460*$V460</f>
        <v>95000</v>
      </c>
      <c r="AS460" s="9" t="n">
        <f aca="false">AG460*$V460</f>
        <v>0</v>
      </c>
      <c r="AT460" s="9" t="n">
        <f aca="false">AH460*$V460</f>
        <v>95000</v>
      </c>
      <c r="AU460" s="9" t="n">
        <f aca="false">AI460*$V460</f>
        <v>95000</v>
      </c>
      <c r="AV460" s="9" t="n">
        <f aca="false">SUM(X460:AI460)/1000</f>
        <v>50</v>
      </c>
      <c r="AW460" s="9" t="n">
        <f aca="false">SUM(AJ460:AU460)</f>
        <v>950000</v>
      </c>
      <c r="AX460" s="9" t="n">
        <f aca="false">IF(D460="INR",AW460/88.24,AW460)/1000000</f>
        <v>0.010766092475068</v>
      </c>
    </row>
    <row r="461" s="2" customFormat="true" ht="14.25" hidden="false" customHeight="false" outlineLevel="0" collapsed="false">
      <c r="A461" s="12" t="s">
        <v>1026</v>
      </c>
      <c r="B461" s="16" t="n">
        <v>5</v>
      </c>
      <c r="C461" s="15"/>
      <c r="D461" s="16" t="s">
        <v>102</v>
      </c>
      <c r="E461" s="16" t="s">
        <v>51</v>
      </c>
      <c r="F461" s="16" t="s">
        <v>52</v>
      </c>
      <c r="G461" s="16" t="s">
        <v>1027</v>
      </c>
      <c r="H461" s="16" t="s">
        <v>1028</v>
      </c>
      <c r="I461" s="16" t="s">
        <v>105</v>
      </c>
      <c r="J461" s="16" t="s">
        <v>806</v>
      </c>
      <c r="K461" s="16" t="s">
        <v>1028</v>
      </c>
      <c r="L461" s="16" t="s">
        <v>105</v>
      </c>
      <c r="M461" s="16" t="s">
        <v>806</v>
      </c>
      <c r="N461" s="16" t="s">
        <v>93</v>
      </c>
      <c r="O461" s="16" t="s">
        <v>58</v>
      </c>
      <c r="P461" s="16" t="s">
        <v>110</v>
      </c>
      <c r="Q461" s="16" t="s">
        <v>110</v>
      </c>
      <c r="R461" s="16" t="s">
        <v>137</v>
      </c>
      <c r="S461" s="16" t="s">
        <v>272</v>
      </c>
      <c r="T461" s="16" t="s">
        <v>472</v>
      </c>
      <c r="U461" s="16" t="s">
        <v>73</v>
      </c>
      <c r="V461" s="16" t="n">
        <v>0.85</v>
      </c>
      <c r="W461" s="16" t="n">
        <v>0.791</v>
      </c>
      <c r="X461" s="16"/>
      <c r="Y461" s="16"/>
      <c r="Z461" s="16"/>
      <c r="AA461" s="16"/>
      <c r="AB461" s="26"/>
      <c r="AC461" s="16"/>
      <c r="AD461" s="16"/>
      <c r="AE461" s="16" t="n">
        <v>10000</v>
      </c>
      <c r="AF461" s="16"/>
      <c r="AG461" s="16"/>
      <c r="AH461" s="16"/>
      <c r="AI461" s="16"/>
      <c r="AJ461" s="9" t="n">
        <f aca="false">X461*$V461</f>
        <v>0</v>
      </c>
      <c r="AK461" s="9" t="n">
        <f aca="false">Y461*$V461</f>
        <v>0</v>
      </c>
      <c r="AL461" s="9" t="n">
        <f aca="false">Z461*$V461</f>
        <v>0</v>
      </c>
      <c r="AM461" s="9" t="n">
        <f aca="false">AA461*$V461</f>
        <v>0</v>
      </c>
      <c r="AN461" s="9" t="n">
        <f aca="false">AB461*$V461</f>
        <v>0</v>
      </c>
      <c r="AO461" s="9" t="n">
        <f aca="false">AC461*$V461</f>
        <v>0</v>
      </c>
      <c r="AP461" s="9" t="n">
        <f aca="false">AD461*$V461</f>
        <v>0</v>
      </c>
      <c r="AQ461" s="9" t="n">
        <f aca="false">AE461*$V461</f>
        <v>8500</v>
      </c>
      <c r="AR461" s="9" t="n">
        <f aca="false">AF461*$V461</f>
        <v>0</v>
      </c>
      <c r="AS461" s="9" t="n">
        <f aca="false">AG461*$V461</f>
        <v>0</v>
      </c>
      <c r="AT461" s="9" t="n">
        <f aca="false">AH461*$V461</f>
        <v>0</v>
      </c>
      <c r="AU461" s="9" t="n">
        <f aca="false">AI461*$V461</f>
        <v>0</v>
      </c>
      <c r="AV461" s="9" t="n">
        <f aca="false">SUM(X461:AI461)/1000</f>
        <v>10</v>
      </c>
      <c r="AW461" s="9" t="n">
        <f aca="false">SUM(AJ461:AU461)</f>
        <v>8500</v>
      </c>
      <c r="AX461" s="9" t="n">
        <f aca="false">IF(D461="INR",AW461/88.24,AW461)/1000000</f>
        <v>0.0085</v>
      </c>
    </row>
    <row r="462" s="2" customFormat="true" ht="14.25" hidden="false" customHeight="false" outlineLevel="0" collapsed="false">
      <c r="A462" s="12" t="s">
        <v>1029</v>
      </c>
      <c r="B462" s="16" t="n">
        <v>5</v>
      </c>
      <c r="C462" s="15"/>
      <c r="D462" s="16" t="s">
        <v>50</v>
      </c>
      <c r="E462" s="16" t="s">
        <v>51</v>
      </c>
      <c r="F462" s="16" t="s">
        <v>356</v>
      </c>
      <c r="G462" s="16" t="s">
        <v>1030</v>
      </c>
      <c r="H462" s="16" t="s">
        <v>1031</v>
      </c>
      <c r="I462" s="16" t="s">
        <v>298</v>
      </c>
      <c r="J462" s="16" t="s">
        <v>664</v>
      </c>
      <c r="K462" s="16"/>
      <c r="L462" s="16" t="s">
        <v>298</v>
      </c>
      <c r="M462" s="16" t="s">
        <v>664</v>
      </c>
      <c r="N462" s="16" t="s">
        <v>973</v>
      </c>
      <c r="O462" s="16" t="s">
        <v>94</v>
      </c>
      <c r="P462" s="16" t="s">
        <v>308</v>
      </c>
      <c r="Q462" s="16" t="s">
        <v>308</v>
      </c>
      <c r="R462" s="16" t="s">
        <v>309</v>
      </c>
      <c r="S462" s="16" t="s">
        <v>264</v>
      </c>
      <c r="T462" s="16" t="s">
        <v>1032</v>
      </c>
      <c r="U462" s="16" t="s">
        <v>73</v>
      </c>
      <c r="V462" s="16" t="n">
        <v>1.58</v>
      </c>
      <c r="W462" s="16" t="n">
        <v>1.24</v>
      </c>
      <c r="X462" s="16" t="n">
        <v>60000</v>
      </c>
      <c r="Y462" s="16" t="n">
        <v>60000</v>
      </c>
      <c r="Z462" s="16" t="n">
        <v>60000</v>
      </c>
      <c r="AA462" s="16" t="n">
        <v>10000</v>
      </c>
      <c r="AB462" s="16" t="n">
        <v>60000</v>
      </c>
      <c r="AC462" s="16" t="n">
        <v>60000</v>
      </c>
      <c r="AD462" s="16" t="n">
        <v>60000</v>
      </c>
      <c r="AE462" s="16" t="n">
        <v>60000</v>
      </c>
      <c r="AF462" s="16" t="n">
        <v>60000</v>
      </c>
      <c r="AG462" s="16" t="n">
        <v>60000</v>
      </c>
      <c r="AH462" s="16" t="n">
        <v>60000</v>
      </c>
      <c r="AI462" s="16" t="n">
        <v>60000</v>
      </c>
      <c r="AJ462" s="9" t="n">
        <f aca="false">X462*$V462</f>
        <v>94800</v>
      </c>
      <c r="AK462" s="9" t="n">
        <f aca="false">Y462*$V462</f>
        <v>94800</v>
      </c>
      <c r="AL462" s="9" t="n">
        <f aca="false">Z462*$V462</f>
        <v>94800</v>
      </c>
      <c r="AM462" s="9" t="n">
        <f aca="false">AA462*$V462</f>
        <v>15800</v>
      </c>
      <c r="AN462" s="9" t="n">
        <f aca="false">AB462*$V462</f>
        <v>94800</v>
      </c>
      <c r="AO462" s="9" t="n">
        <f aca="false">AC462*$V462</f>
        <v>94800</v>
      </c>
      <c r="AP462" s="9" t="n">
        <f aca="false">AD462*$V462</f>
        <v>94800</v>
      </c>
      <c r="AQ462" s="9" t="n">
        <f aca="false">AE462*$V462</f>
        <v>94800</v>
      </c>
      <c r="AR462" s="9" t="n">
        <f aca="false">AF462*$V462</f>
        <v>94800</v>
      </c>
      <c r="AS462" s="9" t="n">
        <f aca="false">AG462*$V462</f>
        <v>94800</v>
      </c>
      <c r="AT462" s="9" t="n">
        <f aca="false">AH462*$V462</f>
        <v>94800</v>
      </c>
      <c r="AU462" s="9" t="n">
        <f aca="false">AI462*$V462</f>
        <v>94800</v>
      </c>
      <c r="AV462" s="9" t="n">
        <f aca="false">SUM(X462:AI462)/1000</f>
        <v>670</v>
      </c>
      <c r="AW462" s="9" t="n">
        <f aca="false">SUM(AJ462:AU462)</f>
        <v>1058600</v>
      </c>
      <c r="AX462" s="9" t="n">
        <f aca="false">IF(D462="INR",AW462/88.24,AW462)/1000000</f>
        <v>0.0119968268359021</v>
      </c>
      <c r="AY462" s="44"/>
    </row>
    <row r="463" s="2" customFormat="true" ht="14.25" hidden="false" customHeight="false" outlineLevel="0" collapsed="false">
      <c r="A463" s="12" t="s">
        <v>1033</v>
      </c>
      <c r="B463" s="16"/>
      <c r="C463" s="15"/>
      <c r="D463" s="16" t="s">
        <v>50</v>
      </c>
      <c r="E463" s="16" t="s">
        <v>51</v>
      </c>
      <c r="F463" s="16" t="s">
        <v>243</v>
      </c>
      <c r="G463" s="16" t="s">
        <v>318</v>
      </c>
      <c r="H463" s="16" t="s">
        <v>319</v>
      </c>
      <c r="I463" s="16" t="s">
        <v>55</v>
      </c>
      <c r="J463" s="16" t="s">
        <v>56</v>
      </c>
      <c r="K463" s="16"/>
      <c r="L463" s="16" t="s">
        <v>55</v>
      </c>
      <c r="M463" s="16" t="s">
        <v>56</v>
      </c>
      <c r="N463" s="16" t="s">
        <v>93</v>
      </c>
      <c r="O463" s="16" t="s">
        <v>68</v>
      </c>
      <c r="P463" s="16" t="s">
        <v>308</v>
      </c>
      <c r="Q463" s="16" t="s">
        <v>308</v>
      </c>
      <c r="R463" s="16" t="s">
        <v>309</v>
      </c>
      <c r="S463" s="16" t="s">
        <v>264</v>
      </c>
      <c r="T463" s="16" t="s">
        <v>976</v>
      </c>
      <c r="U463" s="16" t="s">
        <v>73</v>
      </c>
      <c r="V463" s="16" t="n">
        <v>2.65</v>
      </c>
      <c r="W463" s="16" t="n">
        <v>2.35</v>
      </c>
      <c r="X463" s="16" t="n">
        <v>35000</v>
      </c>
      <c r="Y463" s="16" t="n">
        <v>35000</v>
      </c>
      <c r="Z463" s="16" t="n">
        <v>35000</v>
      </c>
      <c r="AA463" s="16" t="n">
        <v>35000</v>
      </c>
      <c r="AB463" s="16" t="n">
        <v>35000</v>
      </c>
      <c r="AC463" s="16" t="n">
        <v>35000</v>
      </c>
      <c r="AD463" s="16" t="n">
        <v>35000</v>
      </c>
      <c r="AE463" s="16" t="n">
        <v>35000</v>
      </c>
      <c r="AF463" s="16" t="n">
        <v>35000</v>
      </c>
      <c r="AG463" s="16" t="n">
        <v>35000</v>
      </c>
      <c r="AH463" s="16" t="n">
        <v>35000</v>
      </c>
      <c r="AI463" s="16" t="n">
        <v>35000</v>
      </c>
      <c r="AJ463" s="9" t="n">
        <f aca="false">X463*$V463</f>
        <v>92750</v>
      </c>
      <c r="AK463" s="9" t="n">
        <f aca="false">Y463*$V463</f>
        <v>92750</v>
      </c>
      <c r="AL463" s="9" t="n">
        <f aca="false">Z463*$V463</f>
        <v>92750</v>
      </c>
      <c r="AM463" s="9" t="n">
        <f aca="false">AA463*$V463</f>
        <v>92750</v>
      </c>
      <c r="AN463" s="9" t="n">
        <f aca="false">AB463*$V463</f>
        <v>92750</v>
      </c>
      <c r="AO463" s="9" t="n">
        <f aca="false">AC463*$V463</f>
        <v>92750</v>
      </c>
      <c r="AP463" s="9" t="n">
        <f aca="false">AD463*$V463</f>
        <v>92750</v>
      </c>
      <c r="AQ463" s="9" t="n">
        <f aca="false">AE463*$V463</f>
        <v>92750</v>
      </c>
      <c r="AR463" s="9" t="n">
        <f aca="false">AF463*$V463</f>
        <v>92750</v>
      </c>
      <c r="AS463" s="9" t="n">
        <f aca="false">AG463*$V463</f>
        <v>92750</v>
      </c>
      <c r="AT463" s="9" t="n">
        <f aca="false">AH463*$V463</f>
        <v>92750</v>
      </c>
      <c r="AU463" s="9" t="n">
        <f aca="false">AI463*$V463</f>
        <v>92750</v>
      </c>
      <c r="AV463" s="9" t="n">
        <f aca="false">SUM(X463:AI463)/1000</f>
        <v>420</v>
      </c>
      <c r="AW463" s="9" t="n">
        <f aca="false">SUM(AJ463:AU463)</f>
        <v>1113000</v>
      </c>
      <c r="AX463" s="9" t="n">
        <f aca="false">IF(D463="INR",AW463/88.24,AW463)/1000000</f>
        <v>0.0126133272892112</v>
      </c>
    </row>
    <row r="464" s="2" customFormat="true" ht="14.25" hidden="false" customHeight="false" outlineLevel="0" collapsed="false">
      <c r="A464" s="12" t="s">
        <v>1034</v>
      </c>
      <c r="B464" s="16" t="n">
        <v>5</v>
      </c>
      <c r="C464" s="15"/>
      <c r="D464" s="16" t="s">
        <v>50</v>
      </c>
      <c r="E464" s="16" t="s">
        <v>51</v>
      </c>
      <c r="F464" s="16" t="s">
        <v>52</v>
      </c>
      <c r="G464" s="16" t="s">
        <v>1035</v>
      </c>
      <c r="H464" s="16" t="s">
        <v>1036</v>
      </c>
      <c r="I464" s="16" t="s">
        <v>105</v>
      </c>
      <c r="J464" s="16" t="s">
        <v>900</v>
      </c>
      <c r="K464" s="16"/>
      <c r="L464" s="16" t="s">
        <v>105</v>
      </c>
      <c r="M464" s="16" t="s">
        <v>900</v>
      </c>
      <c r="N464" s="16" t="s">
        <v>57</v>
      </c>
      <c r="O464" s="16" t="s">
        <v>246</v>
      </c>
      <c r="P464" s="16" t="s">
        <v>110</v>
      </c>
      <c r="Q464" s="16" t="s">
        <v>110</v>
      </c>
      <c r="R464" s="16" t="s">
        <v>137</v>
      </c>
      <c r="S464" s="16" t="s">
        <v>272</v>
      </c>
      <c r="T464" s="16" t="s">
        <v>1037</v>
      </c>
      <c r="U464" s="16" t="s">
        <v>73</v>
      </c>
      <c r="V464" s="16" t="n">
        <v>30</v>
      </c>
      <c r="W464" s="16" t="n">
        <v>0.249</v>
      </c>
      <c r="X464" s="22" t="n">
        <v>3000</v>
      </c>
      <c r="Y464" s="22"/>
      <c r="Z464" s="22" t="n">
        <v>3000</v>
      </c>
      <c r="AA464" s="22"/>
      <c r="AB464" s="22" t="n">
        <v>3000</v>
      </c>
      <c r="AC464" s="22"/>
      <c r="AD464" s="22" t="n">
        <v>3000</v>
      </c>
      <c r="AE464" s="22"/>
      <c r="AF464" s="22" t="n">
        <v>3000</v>
      </c>
      <c r="AG464" s="22"/>
      <c r="AH464" s="22" t="n">
        <v>3000</v>
      </c>
      <c r="AI464" s="22"/>
      <c r="AJ464" s="9" t="n">
        <f aca="false">X464*$V464</f>
        <v>90000</v>
      </c>
      <c r="AK464" s="9" t="n">
        <f aca="false">Y464*$V464</f>
        <v>0</v>
      </c>
      <c r="AL464" s="9" t="n">
        <f aca="false">Z464*$V464</f>
        <v>90000</v>
      </c>
      <c r="AM464" s="9" t="n">
        <f aca="false">AA464*$V464</f>
        <v>0</v>
      </c>
      <c r="AN464" s="9" t="n">
        <f aca="false">AB464*$V464</f>
        <v>90000</v>
      </c>
      <c r="AO464" s="9" t="n">
        <f aca="false">AC464*$V464</f>
        <v>0</v>
      </c>
      <c r="AP464" s="9" t="n">
        <f aca="false">AD464*$V464</f>
        <v>90000</v>
      </c>
      <c r="AQ464" s="9" t="n">
        <f aca="false">AE464*$V464</f>
        <v>0</v>
      </c>
      <c r="AR464" s="9" t="n">
        <f aca="false">AF464*$V464</f>
        <v>90000</v>
      </c>
      <c r="AS464" s="9" t="n">
        <f aca="false">AG464*$V464</f>
        <v>0</v>
      </c>
      <c r="AT464" s="9" t="n">
        <f aca="false">AH464*$V464</f>
        <v>90000</v>
      </c>
      <c r="AU464" s="9" t="n">
        <f aca="false">AI464*$V464</f>
        <v>0</v>
      </c>
      <c r="AV464" s="9" t="n">
        <f aca="false">SUM(X464:AI464)/1000</f>
        <v>18</v>
      </c>
      <c r="AW464" s="9" t="n">
        <f aca="false">SUM(AJ464:AU464)</f>
        <v>540000</v>
      </c>
      <c r="AX464" s="9" t="n">
        <f aca="false">IF(D464="INR",AW464/88.24,AW464)/1000000</f>
        <v>0.00611967361740707</v>
      </c>
    </row>
    <row r="465" s="2" customFormat="true" ht="14.25" hidden="false" customHeight="false" outlineLevel="0" collapsed="false">
      <c r="A465" s="12" t="s">
        <v>1038</v>
      </c>
      <c r="B465" s="16" t="n">
        <v>5</v>
      </c>
      <c r="C465" s="15"/>
      <c r="D465" s="16" t="s">
        <v>50</v>
      </c>
      <c r="E465" s="16" t="s">
        <v>51</v>
      </c>
      <c r="F465" s="16" t="s">
        <v>52</v>
      </c>
      <c r="G465" s="16" t="s">
        <v>254</v>
      </c>
      <c r="H465" s="16" t="s">
        <v>255</v>
      </c>
      <c r="I465" s="16" t="s">
        <v>55</v>
      </c>
      <c r="J465" s="16" t="s">
        <v>256</v>
      </c>
      <c r="K465" s="16"/>
      <c r="L465" s="16" t="s">
        <v>55</v>
      </c>
      <c r="M465" s="16" t="s">
        <v>256</v>
      </c>
      <c r="N465" s="16" t="s">
        <v>67</v>
      </c>
      <c r="O465" s="16" t="s">
        <v>246</v>
      </c>
      <c r="P465" s="16" t="s">
        <v>308</v>
      </c>
      <c r="Q465" s="16" t="s">
        <v>308</v>
      </c>
      <c r="R465" s="16" t="s">
        <v>309</v>
      </c>
      <c r="S465" s="16" t="s">
        <v>264</v>
      </c>
      <c r="T465" s="16" t="s">
        <v>1039</v>
      </c>
      <c r="U465" s="16" t="s">
        <v>73</v>
      </c>
      <c r="V465" s="16" t="n">
        <v>3</v>
      </c>
      <c r="W465" s="16" t="n">
        <v>2.59</v>
      </c>
      <c r="X465" s="16" t="n">
        <v>30000</v>
      </c>
      <c r="Y465" s="16" t="n">
        <v>30000</v>
      </c>
      <c r="Z465" s="16" t="n">
        <v>30000</v>
      </c>
      <c r="AA465" s="16" t="n">
        <v>30000</v>
      </c>
      <c r="AB465" s="16" t="n">
        <v>30000</v>
      </c>
      <c r="AC465" s="16" t="n">
        <v>30000</v>
      </c>
      <c r="AD465" s="16" t="n">
        <v>30000</v>
      </c>
      <c r="AE465" s="16" t="n">
        <v>30000</v>
      </c>
      <c r="AF465" s="16" t="n">
        <v>30000</v>
      </c>
      <c r="AG465" s="16" t="n">
        <v>30000</v>
      </c>
      <c r="AH465" s="16" t="n">
        <v>30000</v>
      </c>
      <c r="AI465" s="16" t="n">
        <v>30000</v>
      </c>
      <c r="AJ465" s="9" t="n">
        <f aca="false">X465*$V465</f>
        <v>90000</v>
      </c>
      <c r="AK465" s="9" t="n">
        <f aca="false">Y465*$V465</f>
        <v>90000</v>
      </c>
      <c r="AL465" s="9" t="n">
        <f aca="false">Z465*$V465</f>
        <v>90000</v>
      </c>
      <c r="AM465" s="9" t="n">
        <f aca="false">AA465*$V465</f>
        <v>90000</v>
      </c>
      <c r="AN465" s="9" t="n">
        <f aca="false">AB465*$V465</f>
        <v>90000</v>
      </c>
      <c r="AO465" s="9" t="n">
        <f aca="false">AC465*$V465</f>
        <v>90000</v>
      </c>
      <c r="AP465" s="9" t="n">
        <f aca="false">AD465*$V465</f>
        <v>90000</v>
      </c>
      <c r="AQ465" s="9" t="n">
        <f aca="false">AE465*$V465</f>
        <v>90000</v>
      </c>
      <c r="AR465" s="9" t="n">
        <f aca="false">AF465*$V465</f>
        <v>90000</v>
      </c>
      <c r="AS465" s="9" t="n">
        <f aca="false">AG465*$V465</f>
        <v>90000</v>
      </c>
      <c r="AT465" s="9" t="n">
        <f aca="false">AH465*$V465</f>
        <v>90000</v>
      </c>
      <c r="AU465" s="9" t="n">
        <f aca="false">AI465*$V465</f>
        <v>90000</v>
      </c>
      <c r="AV465" s="9" t="n">
        <f aca="false">SUM(X465:AI465)/1000</f>
        <v>360</v>
      </c>
      <c r="AW465" s="9" t="n">
        <f aca="false">SUM(AJ465:AU465)</f>
        <v>1080000</v>
      </c>
      <c r="AX465" s="9" t="n">
        <f aca="false">IF(D465="INR",AW465/88.24,AW465)/1000000</f>
        <v>0.0122393472348141</v>
      </c>
    </row>
    <row r="466" s="2" customFormat="true" ht="14.25" hidden="false" customHeight="false" outlineLevel="0" collapsed="false">
      <c r="A466" s="12" t="s">
        <v>1040</v>
      </c>
      <c r="B466" s="16"/>
      <c r="C466" s="15" t="n">
        <v>5</v>
      </c>
      <c r="D466" s="16" t="s">
        <v>50</v>
      </c>
      <c r="E466" s="16" t="s">
        <v>51</v>
      </c>
      <c r="F466" s="16" t="s">
        <v>52</v>
      </c>
      <c r="G466" s="16" t="s">
        <v>1041</v>
      </c>
      <c r="H466" s="16" t="s">
        <v>1042</v>
      </c>
      <c r="I466" s="16" t="s">
        <v>105</v>
      </c>
      <c r="J466" s="16" t="s">
        <v>368</v>
      </c>
      <c r="K466" s="16"/>
      <c r="L466" s="16" t="s">
        <v>105</v>
      </c>
      <c r="M466" s="16" t="s">
        <v>368</v>
      </c>
      <c r="N466" s="16" t="s">
        <v>290</v>
      </c>
      <c r="O466" s="16" t="s">
        <v>107</v>
      </c>
      <c r="P466" s="16" t="s">
        <v>262</v>
      </c>
      <c r="Q466" s="16" t="s">
        <v>262</v>
      </c>
      <c r="R466" s="16" t="s">
        <v>263</v>
      </c>
      <c r="S466" s="16" t="s">
        <v>264</v>
      </c>
      <c r="T466" s="16" t="s">
        <v>265</v>
      </c>
      <c r="U466" s="16" t="s">
        <v>73</v>
      </c>
      <c r="V466" s="16" t="n">
        <v>17.75</v>
      </c>
      <c r="W466" s="16" t="n">
        <v>0.35</v>
      </c>
      <c r="X466" s="22" t="n">
        <v>0</v>
      </c>
      <c r="Y466" s="22" t="n">
        <v>0</v>
      </c>
      <c r="Z466" s="22" t="n">
        <v>5000</v>
      </c>
      <c r="AA466" s="22" t="n">
        <v>5000</v>
      </c>
      <c r="AB466" s="22" t="n">
        <v>0</v>
      </c>
      <c r="AC466" s="22" t="n">
        <v>0</v>
      </c>
      <c r="AD466" s="22" t="n">
        <v>5000</v>
      </c>
      <c r="AE466" s="22" t="n">
        <v>0</v>
      </c>
      <c r="AF466" s="22" t="n">
        <v>0</v>
      </c>
      <c r="AG466" s="22" t="n">
        <v>5000</v>
      </c>
      <c r="AH466" s="22" t="n">
        <v>5000</v>
      </c>
      <c r="AI466" s="22" t="n">
        <v>5000</v>
      </c>
      <c r="AJ466" s="9" t="n">
        <f aca="false">X466*$V466</f>
        <v>0</v>
      </c>
      <c r="AK466" s="9" t="n">
        <f aca="false">Y466*$V466</f>
        <v>0</v>
      </c>
      <c r="AL466" s="9" t="n">
        <f aca="false">Z466*$V466</f>
        <v>88750</v>
      </c>
      <c r="AM466" s="9" t="n">
        <f aca="false">AA466*$V466</f>
        <v>88750</v>
      </c>
      <c r="AN466" s="9" t="n">
        <f aca="false">AB466*$V466</f>
        <v>0</v>
      </c>
      <c r="AO466" s="9" t="n">
        <f aca="false">AC466*$V466</f>
        <v>0</v>
      </c>
      <c r="AP466" s="9" t="n">
        <f aca="false">AD466*$V466</f>
        <v>88750</v>
      </c>
      <c r="AQ466" s="9" t="n">
        <f aca="false">AE466*$V466</f>
        <v>0</v>
      </c>
      <c r="AR466" s="9" t="n">
        <f aca="false">AF466*$V466</f>
        <v>0</v>
      </c>
      <c r="AS466" s="9" t="n">
        <f aca="false">AG466*$V466</f>
        <v>88750</v>
      </c>
      <c r="AT466" s="9" t="n">
        <f aca="false">AH466*$V466</f>
        <v>88750</v>
      </c>
      <c r="AU466" s="9" t="n">
        <f aca="false">AI466*$V466</f>
        <v>88750</v>
      </c>
      <c r="AV466" s="9" t="n">
        <f aca="false">SUM(X466:AI466)/1000</f>
        <v>30</v>
      </c>
      <c r="AW466" s="9" t="n">
        <f aca="false">SUM(AJ466:AU466)</f>
        <v>532500</v>
      </c>
      <c r="AX466" s="9" t="n">
        <f aca="false">IF(D466="INR",AW466/88.24,AW466)/1000000</f>
        <v>0.00603467815049864</v>
      </c>
    </row>
    <row r="467" s="2" customFormat="true" ht="14.25" hidden="false" customHeight="false" outlineLevel="0" collapsed="false">
      <c r="A467" s="12" t="s">
        <v>1043</v>
      </c>
      <c r="B467" s="16" t="n">
        <v>5</v>
      </c>
      <c r="C467" s="15"/>
      <c r="D467" s="16" t="s">
        <v>50</v>
      </c>
      <c r="E467" s="16" t="s">
        <v>51</v>
      </c>
      <c r="F467" s="16" t="s">
        <v>356</v>
      </c>
      <c r="G467" s="16" t="s">
        <v>1044</v>
      </c>
      <c r="H467" s="16" t="s">
        <v>1045</v>
      </c>
      <c r="I467" s="16" t="s">
        <v>105</v>
      </c>
      <c r="J467" s="16" t="s">
        <v>368</v>
      </c>
      <c r="K467" s="16"/>
      <c r="L467" s="16" t="s">
        <v>105</v>
      </c>
      <c r="M467" s="16" t="s">
        <v>368</v>
      </c>
      <c r="N467" s="16" t="s">
        <v>973</v>
      </c>
      <c r="O467" s="16" t="s">
        <v>107</v>
      </c>
      <c r="P467" s="16" t="s">
        <v>308</v>
      </c>
      <c r="Q467" s="16" t="s">
        <v>308</v>
      </c>
      <c r="R467" s="16" t="s">
        <v>309</v>
      </c>
      <c r="S467" s="16" t="s">
        <v>264</v>
      </c>
      <c r="T467" s="16" t="s">
        <v>1032</v>
      </c>
      <c r="U467" s="16" t="s">
        <v>73</v>
      </c>
      <c r="V467" s="16" t="n">
        <v>1.47</v>
      </c>
      <c r="W467" s="16" t="n">
        <v>1.13</v>
      </c>
      <c r="X467" s="22" t="n">
        <v>60000</v>
      </c>
      <c r="Y467" s="22"/>
      <c r="Z467" s="22" t="n">
        <v>60000</v>
      </c>
      <c r="AA467" s="22"/>
      <c r="AB467" s="22" t="n">
        <v>60000</v>
      </c>
      <c r="AC467" s="22"/>
      <c r="AD467" s="22" t="n">
        <v>60000</v>
      </c>
      <c r="AE467" s="22" t="n">
        <v>60000</v>
      </c>
      <c r="AF467" s="22" t="n">
        <v>60000</v>
      </c>
      <c r="AG467" s="22" t="n">
        <v>60000</v>
      </c>
      <c r="AH467" s="22" t="n">
        <v>60000</v>
      </c>
      <c r="AI467" s="22" t="n">
        <v>60000</v>
      </c>
      <c r="AJ467" s="9" t="n">
        <f aca="false">X467*$V467</f>
        <v>88200</v>
      </c>
      <c r="AK467" s="9" t="n">
        <f aca="false">Y467*$V467</f>
        <v>0</v>
      </c>
      <c r="AL467" s="9" t="n">
        <f aca="false">Z467*$V467</f>
        <v>88200</v>
      </c>
      <c r="AM467" s="9" t="n">
        <f aca="false">AA467*$V467</f>
        <v>0</v>
      </c>
      <c r="AN467" s="9" t="n">
        <f aca="false">AB467*$V467</f>
        <v>88200</v>
      </c>
      <c r="AO467" s="9" t="n">
        <f aca="false">AC467*$V467</f>
        <v>0</v>
      </c>
      <c r="AP467" s="9" t="n">
        <f aca="false">AD467*$V467</f>
        <v>88200</v>
      </c>
      <c r="AQ467" s="9" t="n">
        <f aca="false">AE467*$V467</f>
        <v>88200</v>
      </c>
      <c r="AR467" s="9" t="n">
        <f aca="false">AF467*$V467</f>
        <v>88200</v>
      </c>
      <c r="AS467" s="9" t="n">
        <f aca="false">AG467*$V467</f>
        <v>88200</v>
      </c>
      <c r="AT467" s="9" t="n">
        <f aca="false">AH467*$V467</f>
        <v>88200</v>
      </c>
      <c r="AU467" s="9" t="n">
        <f aca="false">AI467*$V467</f>
        <v>88200</v>
      </c>
      <c r="AV467" s="9" t="n">
        <f aca="false">SUM(X467:AI467)/1000</f>
        <v>540</v>
      </c>
      <c r="AW467" s="9" t="n">
        <f aca="false">SUM(AJ467:AU467)</f>
        <v>793800</v>
      </c>
      <c r="AX467" s="9" t="n">
        <f aca="false">IF(D467="INR",AW467/88.24,AW467)/1000000</f>
        <v>0.0089959202175884</v>
      </c>
    </row>
    <row r="468" s="2" customFormat="true" ht="14.25" hidden="false" customHeight="false" outlineLevel="0" collapsed="false">
      <c r="A468" s="12" t="s">
        <v>1046</v>
      </c>
      <c r="B468" s="16" t="n">
        <v>5</v>
      </c>
      <c r="C468" s="15"/>
      <c r="D468" s="16" t="s">
        <v>50</v>
      </c>
      <c r="E468" s="16" t="s">
        <v>51</v>
      </c>
      <c r="F468" s="16" t="s">
        <v>404</v>
      </c>
      <c r="G468" s="16" t="s">
        <v>405</v>
      </c>
      <c r="H468" s="16" t="s">
        <v>406</v>
      </c>
      <c r="I468" s="16" t="s">
        <v>105</v>
      </c>
      <c r="J468" s="16" t="s">
        <v>368</v>
      </c>
      <c r="K468" s="16"/>
      <c r="L468" s="16" t="s">
        <v>105</v>
      </c>
      <c r="M468" s="16" t="s">
        <v>368</v>
      </c>
      <c r="N468" s="16" t="s">
        <v>271</v>
      </c>
      <c r="O468" s="16" t="s">
        <v>94</v>
      </c>
      <c r="P468" s="16" t="s">
        <v>308</v>
      </c>
      <c r="Q468" s="16" t="s">
        <v>308</v>
      </c>
      <c r="R468" s="16" t="s">
        <v>309</v>
      </c>
      <c r="S468" s="16" t="s">
        <v>264</v>
      </c>
      <c r="T468" s="16" t="s">
        <v>1047</v>
      </c>
      <c r="U468" s="16" t="s">
        <v>73</v>
      </c>
      <c r="V468" s="16" t="n">
        <v>4.38</v>
      </c>
      <c r="W468" s="16" t="n">
        <v>3.71</v>
      </c>
      <c r="X468" s="16" t="n">
        <v>20000</v>
      </c>
      <c r="Y468" s="16" t="n">
        <v>20000</v>
      </c>
      <c r="Z468" s="16" t="n">
        <v>20000</v>
      </c>
      <c r="AA468" s="16"/>
      <c r="AB468" s="16"/>
      <c r="AC468" s="16" t="n">
        <v>20000</v>
      </c>
      <c r="AD468" s="16" t="n">
        <v>20000</v>
      </c>
      <c r="AE468" s="16"/>
      <c r="AF468" s="16" t="n">
        <v>20000</v>
      </c>
      <c r="AG468" s="16"/>
      <c r="AH468" s="16" t="n">
        <v>20000</v>
      </c>
      <c r="AI468" s="16" t="n">
        <v>20000</v>
      </c>
      <c r="AJ468" s="9" t="n">
        <f aca="false">X468*$V468</f>
        <v>87600</v>
      </c>
      <c r="AK468" s="9" t="n">
        <f aca="false">Y468*$V468</f>
        <v>87600</v>
      </c>
      <c r="AL468" s="9" t="n">
        <f aca="false">Z468*$V468</f>
        <v>87600</v>
      </c>
      <c r="AM468" s="9" t="n">
        <f aca="false">AA468*$V468</f>
        <v>0</v>
      </c>
      <c r="AN468" s="9" t="n">
        <f aca="false">AB468*$V468</f>
        <v>0</v>
      </c>
      <c r="AO468" s="9" t="n">
        <f aca="false">AC468*$V468</f>
        <v>87600</v>
      </c>
      <c r="AP468" s="9" t="n">
        <f aca="false">AD468*$V468</f>
        <v>87600</v>
      </c>
      <c r="AQ468" s="9" t="n">
        <f aca="false">AE468*$V468</f>
        <v>0</v>
      </c>
      <c r="AR468" s="9" t="n">
        <f aca="false">AF468*$V468</f>
        <v>87600</v>
      </c>
      <c r="AS468" s="9" t="n">
        <f aca="false">AG468*$V468</f>
        <v>0</v>
      </c>
      <c r="AT468" s="9" t="n">
        <f aca="false">AH468*$V468</f>
        <v>87600</v>
      </c>
      <c r="AU468" s="9" t="n">
        <f aca="false">AI468*$V468</f>
        <v>87600</v>
      </c>
      <c r="AV468" s="9" t="n">
        <f aca="false">SUM(X468:AI468)/1000</f>
        <v>160</v>
      </c>
      <c r="AW468" s="9" t="n">
        <f aca="false">SUM(AJ468:AU468)</f>
        <v>700800</v>
      </c>
      <c r="AX468" s="9" t="n">
        <f aca="false">IF(D468="INR",AW468/88.24,AW468)/1000000</f>
        <v>0.00794197642792384</v>
      </c>
    </row>
    <row r="469" s="2" customFormat="true" ht="14.25" hidden="false" customHeight="false" outlineLevel="0" collapsed="false">
      <c r="A469" s="12" t="s">
        <v>1048</v>
      </c>
      <c r="B469" s="16" t="n">
        <v>5</v>
      </c>
      <c r="C469" s="15"/>
      <c r="D469" s="16" t="s">
        <v>50</v>
      </c>
      <c r="E469" s="16" t="s">
        <v>51</v>
      </c>
      <c r="F469" s="16" t="s">
        <v>52</v>
      </c>
      <c r="G469" s="16" t="s">
        <v>254</v>
      </c>
      <c r="H469" s="16" t="s">
        <v>255</v>
      </c>
      <c r="I469" s="16" t="s">
        <v>55</v>
      </c>
      <c r="J469" s="16" t="s">
        <v>256</v>
      </c>
      <c r="K469" s="16"/>
      <c r="L469" s="16" t="s">
        <v>55</v>
      </c>
      <c r="M469" s="16" t="s">
        <v>256</v>
      </c>
      <c r="N469" s="16" t="s">
        <v>67</v>
      </c>
      <c r="O469" s="16" t="s">
        <v>246</v>
      </c>
      <c r="P469" s="16" t="s">
        <v>208</v>
      </c>
      <c r="Q469" s="16" t="s">
        <v>208</v>
      </c>
      <c r="R469" s="16" t="s">
        <v>309</v>
      </c>
      <c r="S469" s="16" t="s">
        <v>87</v>
      </c>
      <c r="T469" s="16" t="s">
        <v>1049</v>
      </c>
      <c r="U469" s="16" t="s">
        <v>73</v>
      </c>
      <c r="V469" s="16" t="n">
        <v>2.8</v>
      </c>
      <c r="W469" s="16" t="n">
        <v>0.02</v>
      </c>
      <c r="X469" s="16" t="n">
        <v>30000</v>
      </c>
      <c r="Y469" s="16" t="n">
        <v>30000</v>
      </c>
      <c r="Z469" s="16" t="n">
        <v>30000</v>
      </c>
      <c r="AA469" s="16" t="n">
        <v>30000</v>
      </c>
      <c r="AB469" s="16" t="n">
        <v>30000</v>
      </c>
      <c r="AC469" s="16" t="n">
        <v>30000</v>
      </c>
      <c r="AD469" s="16" t="n">
        <v>30000</v>
      </c>
      <c r="AE469" s="16" t="n">
        <v>30000</v>
      </c>
      <c r="AF469" s="16" t="n">
        <v>30000</v>
      </c>
      <c r="AG469" s="16" t="n">
        <v>30000</v>
      </c>
      <c r="AH469" s="16" t="n">
        <v>30000</v>
      </c>
      <c r="AI469" s="16" t="n">
        <v>30000</v>
      </c>
      <c r="AJ469" s="9" t="n">
        <f aca="false">X469*$V469</f>
        <v>84000</v>
      </c>
      <c r="AK469" s="9" t="n">
        <f aca="false">Y469*$V469</f>
        <v>84000</v>
      </c>
      <c r="AL469" s="9" t="n">
        <f aca="false">Z469*$V469</f>
        <v>84000</v>
      </c>
      <c r="AM469" s="9" t="n">
        <f aca="false">AA469*$V469</f>
        <v>84000</v>
      </c>
      <c r="AN469" s="9" t="n">
        <f aca="false">AB469*$V469</f>
        <v>84000</v>
      </c>
      <c r="AO469" s="9" t="n">
        <f aca="false">AC469*$V469</f>
        <v>84000</v>
      </c>
      <c r="AP469" s="9" t="n">
        <f aca="false">AD469*$V469</f>
        <v>84000</v>
      </c>
      <c r="AQ469" s="9" t="n">
        <f aca="false">AE469*$V469</f>
        <v>84000</v>
      </c>
      <c r="AR469" s="9" t="n">
        <f aca="false">AF469*$V469</f>
        <v>84000</v>
      </c>
      <c r="AS469" s="9" t="n">
        <f aca="false">AG469*$V469</f>
        <v>84000</v>
      </c>
      <c r="AT469" s="9" t="n">
        <f aca="false">AH469*$V469</f>
        <v>84000</v>
      </c>
      <c r="AU469" s="9" t="n">
        <f aca="false">AI469*$V469</f>
        <v>84000</v>
      </c>
      <c r="AV469" s="9" t="n">
        <f aca="false">SUM(X469:AI469)/1000</f>
        <v>360</v>
      </c>
      <c r="AW469" s="9" t="n">
        <f aca="false">SUM(AJ469:AU469)</f>
        <v>1008000</v>
      </c>
      <c r="AX469" s="9" t="n">
        <f aca="false">IF(D469="INR",AW469/88.24,AW469)/1000000</f>
        <v>0.0114233907524932</v>
      </c>
    </row>
    <row r="470" s="2" customFormat="true" ht="16.4" hidden="false" customHeight="false" outlineLevel="0" collapsed="false">
      <c r="A470" s="9" t="s">
        <v>1050</v>
      </c>
      <c r="B470" s="9" t="n">
        <v>5</v>
      </c>
      <c r="C470" s="10"/>
      <c r="D470" s="9" t="s">
        <v>102</v>
      </c>
      <c r="E470" s="9" t="s">
        <v>51</v>
      </c>
      <c r="F470" s="9" t="s">
        <v>267</v>
      </c>
      <c r="G470" s="9" t="s">
        <v>1051</v>
      </c>
      <c r="H470" s="9" t="s">
        <v>1052</v>
      </c>
      <c r="I470" s="9" t="s">
        <v>298</v>
      </c>
      <c r="J470" s="9" t="s">
        <v>1053</v>
      </c>
      <c r="K470" s="9" t="s">
        <v>858</v>
      </c>
      <c r="L470" s="9" t="s">
        <v>298</v>
      </c>
      <c r="M470" s="9" t="s">
        <v>298</v>
      </c>
      <c r="N470" s="16" t="s">
        <v>271</v>
      </c>
      <c r="O470" s="9" t="s">
        <v>294</v>
      </c>
      <c r="P470" s="9" t="s">
        <v>110</v>
      </c>
      <c r="Q470" s="9" t="s">
        <v>110</v>
      </c>
      <c r="R470" s="9" t="s">
        <v>137</v>
      </c>
      <c r="S470" s="9" t="s">
        <v>272</v>
      </c>
      <c r="T470" s="9" t="s">
        <v>1054</v>
      </c>
      <c r="U470" s="9" t="s">
        <v>73</v>
      </c>
      <c r="V470" s="9" t="n">
        <v>0.584</v>
      </c>
      <c r="W470" s="9" t="n">
        <v>0.552</v>
      </c>
      <c r="X470" s="9" t="n">
        <v>20000</v>
      </c>
      <c r="Y470" s="9" t="n">
        <v>10000</v>
      </c>
      <c r="Z470" s="9"/>
      <c r="AA470" s="9"/>
      <c r="AB470" s="9"/>
      <c r="AC470" s="9"/>
      <c r="AD470" s="9" t="n">
        <v>20000</v>
      </c>
      <c r="AE470" s="9" t="n">
        <v>10000</v>
      </c>
      <c r="AF470" s="9"/>
      <c r="AG470" s="9" t="n">
        <v>20000</v>
      </c>
      <c r="AH470" s="9" t="n">
        <v>10000</v>
      </c>
      <c r="AI470" s="9" t="n">
        <v>10000</v>
      </c>
      <c r="AJ470" s="9" t="n">
        <f aca="false">X470*$V470</f>
        <v>11680</v>
      </c>
      <c r="AK470" s="9" t="n">
        <f aca="false">Y470*$V470</f>
        <v>5840</v>
      </c>
      <c r="AL470" s="9" t="n">
        <f aca="false">Z470*$V470</f>
        <v>0</v>
      </c>
      <c r="AM470" s="9" t="n">
        <f aca="false">AA470*$V470</f>
        <v>0</v>
      </c>
      <c r="AN470" s="9" t="n">
        <f aca="false">AB470*$V470</f>
        <v>0</v>
      </c>
      <c r="AO470" s="9" t="n">
        <f aca="false">AC470*$V470</f>
        <v>0</v>
      </c>
      <c r="AP470" s="9" t="n">
        <f aca="false">AD470*$V470</f>
        <v>11680</v>
      </c>
      <c r="AQ470" s="9" t="n">
        <f aca="false">AE470*$V470</f>
        <v>5840</v>
      </c>
      <c r="AR470" s="9" t="n">
        <f aca="false">AF470*$V470</f>
        <v>0</v>
      </c>
      <c r="AS470" s="9" t="n">
        <f aca="false">AG470*$V470</f>
        <v>11680</v>
      </c>
      <c r="AT470" s="9" t="n">
        <f aca="false">AH470*$V470</f>
        <v>5840</v>
      </c>
      <c r="AU470" s="9" t="n">
        <f aca="false">AI470*$V470</f>
        <v>5840</v>
      </c>
      <c r="AV470" s="9" t="n">
        <f aca="false">SUM(X470:AI470)/1000</f>
        <v>100</v>
      </c>
      <c r="AW470" s="9" t="n">
        <f aca="false">SUM(AJ470:AU470)</f>
        <v>58400</v>
      </c>
      <c r="AX470" s="9" t="n">
        <f aca="false">IF(D470="INR",AW470/88.24,AW470)/1000000</f>
        <v>0.0584</v>
      </c>
    </row>
    <row r="471" s="2" customFormat="true" ht="16.4" hidden="false" customHeight="false" outlineLevel="0" collapsed="false">
      <c r="A471" s="9" t="s">
        <v>1055</v>
      </c>
      <c r="B471" s="13" t="n">
        <v>5</v>
      </c>
      <c r="C471" s="15"/>
      <c r="D471" s="16" t="s">
        <v>102</v>
      </c>
      <c r="E471" s="16" t="s">
        <v>51</v>
      </c>
      <c r="F471" s="16" t="s">
        <v>267</v>
      </c>
      <c r="G471" s="16" t="s">
        <v>1051</v>
      </c>
      <c r="H471" s="16" t="s">
        <v>1052</v>
      </c>
      <c r="I471" s="16" t="s">
        <v>298</v>
      </c>
      <c r="J471" s="16" t="s">
        <v>1053</v>
      </c>
      <c r="K471" s="16" t="s">
        <v>858</v>
      </c>
      <c r="L471" s="16" t="s">
        <v>298</v>
      </c>
      <c r="M471" s="16" t="s">
        <v>298</v>
      </c>
      <c r="N471" s="16" t="s">
        <v>271</v>
      </c>
      <c r="O471" s="16" t="s">
        <v>294</v>
      </c>
      <c r="P471" s="16" t="s">
        <v>110</v>
      </c>
      <c r="Q471" s="16" t="s">
        <v>110</v>
      </c>
      <c r="R471" s="9" t="s">
        <v>137</v>
      </c>
      <c r="S471" s="16" t="s">
        <v>272</v>
      </c>
      <c r="T471" s="9" t="s">
        <v>1056</v>
      </c>
      <c r="U471" s="16" t="s">
        <v>73</v>
      </c>
      <c r="V471" s="36" t="n">
        <v>0.448</v>
      </c>
      <c r="W471" s="9" t="n">
        <v>0.396</v>
      </c>
      <c r="X471" s="22"/>
      <c r="Y471" s="9" t="n">
        <v>10000</v>
      </c>
      <c r="Z471" s="9"/>
      <c r="AA471" s="9" t="n">
        <v>10000</v>
      </c>
      <c r="AB471" s="9"/>
      <c r="AC471" s="9" t="n">
        <v>10000</v>
      </c>
      <c r="AD471" s="9"/>
      <c r="AE471" s="9"/>
      <c r="AF471" s="9" t="n">
        <v>10000</v>
      </c>
      <c r="AG471" s="9"/>
      <c r="AH471" s="9"/>
      <c r="AI471" s="9" t="n">
        <v>10000</v>
      </c>
      <c r="AJ471" s="9" t="n">
        <f aca="false">X471*$V471</f>
        <v>0</v>
      </c>
      <c r="AK471" s="9" t="n">
        <f aca="false">Y471*$V471</f>
        <v>4480</v>
      </c>
      <c r="AL471" s="9" t="n">
        <f aca="false">Z471*$V471</f>
        <v>0</v>
      </c>
      <c r="AM471" s="9" t="n">
        <f aca="false">AA471*$V471</f>
        <v>4480</v>
      </c>
      <c r="AN471" s="9" t="n">
        <f aca="false">AB471*$V471</f>
        <v>0</v>
      </c>
      <c r="AO471" s="9" t="n">
        <f aca="false">AC471*$V471</f>
        <v>4480</v>
      </c>
      <c r="AP471" s="9" t="n">
        <f aca="false">AD471*$V471</f>
        <v>0</v>
      </c>
      <c r="AQ471" s="9" t="n">
        <f aca="false">AE471*$V471</f>
        <v>0</v>
      </c>
      <c r="AR471" s="9" t="n">
        <f aca="false">AF471*$V471</f>
        <v>4480</v>
      </c>
      <c r="AS471" s="9" t="n">
        <f aca="false">AG471*$V471</f>
        <v>0</v>
      </c>
      <c r="AT471" s="9" t="n">
        <f aca="false">AH471*$V471</f>
        <v>0</v>
      </c>
      <c r="AU471" s="9" t="n">
        <f aca="false">AI471*$V471</f>
        <v>4480</v>
      </c>
      <c r="AV471" s="9" t="n">
        <f aca="false">SUM(X471:AI471)/1000</f>
        <v>50</v>
      </c>
      <c r="AW471" s="9" t="n">
        <f aca="false">SUM(AJ471:AU471)</f>
        <v>22400</v>
      </c>
      <c r="AX471" s="9" t="n">
        <f aca="false">IF(D471="INR",AW471/88.24,AW471)/1000000</f>
        <v>0.0224</v>
      </c>
    </row>
    <row r="472" s="2" customFormat="true" ht="14.25" hidden="false" customHeight="false" outlineLevel="0" collapsed="false">
      <c r="A472" s="12" t="s">
        <v>1057</v>
      </c>
      <c r="B472" s="16" t="n">
        <v>5</v>
      </c>
      <c r="C472" s="15"/>
      <c r="D472" s="16" t="s">
        <v>102</v>
      </c>
      <c r="E472" s="16" t="s">
        <v>51</v>
      </c>
      <c r="F472" s="16" t="s">
        <v>267</v>
      </c>
      <c r="G472" s="16" t="s">
        <v>1051</v>
      </c>
      <c r="H472" s="16" t="s">
        <v>1052</v>
      </c>
      <c r="I472" s="16" t="s">
        <v>298</v>
      </c>
      <c r="J472" s="16" t="s">
        <v>1053</v>
      </c>
      <c r="K472" s="16" t="s">
        <v>858</v>
      </c>
      <c r="L472" s="16" t="s">
        <v>298</v>
      </c>
      <c r="M472" s="16" t="s">
        <v>298</v>
      </c>
      <c r="N472" s="16" t="s">
        <v>271</v>
      </c>
      <c r="O472" s="16" t="s">
        <v>294</v>
      </c>
      <c r="P472" s="9" t="s">
        <v>110</v>
      </c>
      <c r="Q472" s="16" t="s">
        <v>110</v>
      </c>
      <c r="R472" s="16" t="s">
        <v>137</v>
      </c>
      <c r="S472" s="16" t="s">
        <v>272</v>
      </c>
      <c r="T472" s="16" t="s">
        <v>849</v>
      </c>
      <c r="U472" s="16" t="s">
        <v>73</v>
      </c>
      <c r="V472" s="16" t="n">
        <v>0.4</v>
      </c>
      <c r="W472" s="16" t="n">
        <v>0.36</v>
      </c>
      <c r="X472" s="16"/>
      <c r="Y472" s="16"/>
      <c r="Z472" s="16" t="n">
        <v>10000</v>
      </c>
      <c r="AA472" s="16"/>
      <c r="AB472" s="16"/>
      <c r="AC472" s="16"/>
      <c r="AD472" s="16" t="n">
        <v>10000</v>
      </c>
      <c r="AE472" s="16"/>
      <c r="AF472" s="16"/>
      <c r="AG472" s="16"/>
      <c r="AH472" s="16" t="n">
        <v>10000</v>
      </c>
      <c r="AI472" s="16"/>
      <c r="AJ472" s="9" t="n">
        <f aca="false">X472*$V472</f>
        <v>0</v>
      </c>
      <c r="AK472" s="9" t="n">
        <f aca="false">Y472*$V472</f>
        <v>0</v>
      </c>
      <c r="AL472" s="9" t="n">
        <f aca="false">Z472*$V472</f>
        <v>4000</v>
      </c>
      <c r="AM472" s="9" t="n">
        <f aca="false">AA472*$V472</f>
        <v>0</v>
      </c>
      <c r="AN472" s="9" t="n">
        <f aca="false">AB472*$V472</f>
        <v>0</v>
      </c>
      <c r="AO472" s="9" t="n">
        <f aca="false">AC472*$V472</f>
        <v>0</v>
      </c>
      <c r="AP472" s="9" t="n">
        <f aca="false">AD472*$V472</f>
        <v>4000</v>
      </c>
      <c r="AQ472" s="9" t="n">
        <f aca="false">AE472*$V472</f>
        <v>0</v>
      </c>
      <c r="AR472" s="9" t="n">
        <f aca="false">AF472*$V472</f>
        <v>0</v>
      </c>
      <c r="AS472" s="9" t="n">
        <f aca="false">AG472*$V472</f>
        <v>0</v>
      </c>
      <c r="AT472" s="9" t="n">
        <f aca="false">AH472*$V472</f>
        <v>4000</v>
      </c>
      <c r="AU472" s="9" t="n">
        <f aca="false">AI472*$V472</f>
        <v>0</v>
      </c>
      <c r="AV472" s="9" t="n">
        <f aca="false">SUM(X472:AI472)/1000</f>
        <v>30</v>
      </c>
      <c r="AW472" s="9" t="n">
        <f aca="false">SUM(AJ472:AU472)</f>
        <v>12000</v>
      </c>
      <c r="AX472" s="9" t="n">
        <f aca="false">IF(D472="INR",AW472/88.24,AW472)/1000000</f>
        <v>0.012</v>
      </c>
    </row>
    <row r="473" s="2" customFormat="true" ht="14.25" hidden="false" customHeight="false" outlineLevel="0" collapsed="false">
      <c r="A473" s="28"/>
      <c r="B473" s="16" t="n">
        <v>1</v>
      </c>
      <c r="C473" s="15"/>
      <c r="D473" s="16" t="s">
        <v>102</v>
      </c>
      <c r="E473" s="16" t="s">
        <v>51</v>
      </c>
      <c r="F473" s="16" t="s">
        <v>404</v>
      </c>
      <c r="G473" s="16" t="s">
        <v>1051</v>
      </c>
      <c r="H473" s="16" t="s">
        <v>1052</v>
      </c>
      <c r="I473" s="16" t="s">
        <v>303</v>
      </c>
      <c r="J473" s="16" t="s">
        <v>304</v>
      </c>
      <c r="K473" s="16"/>
      <c r="L473" s="16" t="s">
        <v>303</v>
      </c>
      <c r="M473" s="16" t="s">
        <v>304</v>
      </c>
      <c r="N473" s="16" t="s">
        <v>271</v>
      </c>
      <c r="O473" s="16" t="s">
        <v>294</v>
      </c>
      <c r="P473" s="16" t="s">
        <v>348</v>
      </c>
      <c r="Q473" s="16" t="s">
        <v>348</v>
      </c>
      <c r="R473" s="16"/>
      <c r="S473" s="16"/>
      <c r="T473" s="16" t="s">
        <v>1058</v>
      </c>
      <c r="U473" s="16"/>
      <c r="V473" s="16" t="n">
        <v>0.0582</v>
      </c>
      <c r="W473" s="16"/>
      <c r="X473" s="16"/>
      <c r="Y473" s="16" t="n">
        <v>2000</v>
      </c>
      <c r="Z473" s="16"/>
      <c r="AA473" s="16"/>
      <c r="AB473" s="16"/>
      <c r="AC473" s="16"/>
      <c r="AD473" s="16"/>
      <c r="AE473" s="16" t="n">
        <v>2000</v>
      </c>
      <c r="AF473" s="16"/>
      <c r="AG473" s="16"/>
      <c r="AH473" s="16"/>
      <c r="AI473" s="16"/>
      <c r="AJ473" s="9" t="n">
        <f aca="false">X473*$V473</f>
        <v>0</v>
      </c>
      <c r="AK473" s="9" t="n">
        <f aca="false">Y473*$V473</f>
        <v>116.4</v>
      </c>
      <c r="AL473" s="9" t="n">
        <f aca="false">Z473*$V473</f>
        <v>0</v>
      </c>
      <c r="AM473" s="9" t="n">
        <f aca="false">AA473*$V473</f>
        <v>0</v>
      </c>
      <c r="AN473" s="9" t="n">
        <f aca="false">AB473*$V473</f>
        <v>0</v>
      </c>
      <c r="AO473" s="9" t="n">
        <f aca="false">AC473*$V473</f>
        <v>0</v>
      </c>
      <c r="AP473" s="9" t="n">
        <f aca="false">AD473*$V473</f>
        <v>0</v>
      </c>
      <c r="AQ473" s="9" t="n">
        <f aca="false">AE473*$V473</f>
        <v>116.4</v>
      </c>
      <c r="AR473" s="9" t="n">
        <f aca="false">AF473*$V473</f>
        <v>0</v>
      </c>
      <c r="AS473" s="9" t="n">
        <f aca="false">AG473*$V473</f>
        <v>0</v>
      </c>
      <c r="AT473" s="9" t="n">
        <f aca="false">AH473*$V473</f>
        <v>0</v>
      </c>
      <c r="AU473" s="9" t="n">
        <f aca="false">AI473*$V473</f>
        <v>0</v>
      </c>
      <c r="AV473" s="9" t="n">
        <f aca="false">SUM(X473:AI473)/1000</f>
        <v>4</v>
      </c>
      <c r="AW473" s="9" t="n">
        <f aca="false">SUM(AJ473:AU473)</f>
        <v>232.8</v>
      </c>
      <c r="AX473" s="9" t="n">
        <f aca="false">IF(D473="INR",AW473/88.24,AW473)/1000000</f>
        <v>0.0002328</v>
      </c>
    </row>
    <row r="474" s="2" customFormat="true" ht="14.25" hidden="false" customHeight="false" outlineLevel="0" collapsed="false">
      <c r="A474" s="12" t="s">
        <v>1059</v>
      </c>
      <c r="B474" s="16" t="n">
        <v>5</v>
      </c>
      <c r="C474" s="15"/>
      <c r="D474" s="16" t="s">
        <v>102</v>
      </c>
      <c r="E474" s="16" t="s">
        <v>51</v>
      </c>
      <c r="F474" s="16" t="s">
        <v>267</v>
      </c>
      <c r="G474" s="16" t="s">
        <v>1051</v>
      </c>
      <c r="H474" s="16" t="s">
        <v>1052</v>
      </c>
      <c r="I474" s="16" t="s">
        <v>298</v>
      </c>
      <c r="J474" s="16" t="s">
        <v>1053</v>
      </c>
      <c r="K474" s="16" t="s">
        <v>1060</v>
      </c>
      <c r="L474" s="16" t="s">
        <v>105</v>
      </c>
      <c r="M474" s="16" t="s">
        <v>270</v>
      </c>
      <c r="N474" s="16" t="s">
        <v>271</v>
      </c>
      <c r="O474" s="16" t="s">
        <v>294</v>
      </c>
      <c r="P474" s="16" t="s">
        <v>110</v>
      </c>
      <c r="Q474" s="9" t="s">
        <v>110</v>
      </c>
      <c r="R474" s="16" t="s">
        <v>137</v>
      </c>
      <c r="S474" s="16" t="s">
        <v>272</v>
      </c>
      <c r="T474" s="16" t="s">
        <v>1061</v>
      </c>
      <c r="U474" s="16" t="s">
        <v>73</v>
      </c>
      <c r="V474" s="26" t="n">
        <v>0.688</v>
      </c>
      <c r="W474" s="26" t="n">
        <v>0.633</v>
      </c>
      <c r="X474" s="16"/>
      <c r="Y474" s="16"/>
      <c r="Z474" s="16"/>
      <c r="AA474" s="16"/>
      <c r="AB474" s="16"/>
      <c r="AC474" s="16" t="n">
        <v>1280</v>
      </c>
      <c r="AD474" s="16"/>
      <c r="AE474" s="16"/>
      <c r="AF474" s="16"/>
      <c r="AG474" s="16"/>
      <c r="AH474" s="16"/>
      <c r="AI474" s="16"/>
      <c r="AJ474" s="9" t="n">
        <f aca="false">X474*$V474</f>
        <v>0</v>
      </c>
      <c r="AK474" s="9" t="n">
        <f aca="false">Y474*$V474</f>
        <v>0</v>
      </c>
      <c r="AL474" s="9" t="n">
        <f aca="false">Z474*$V474</f>
        <v>0</v>
      </c>
      <c r="AM474" s="9" t="n">
        <f aca="false">AA474*$V474</f>
        <v>0</v>
      </c>
      <c r="AN474" s="9" t="n">
        <f aca="false">AB474*$V474</f>
        <v>0</v>
      </c>
      <c r="AO474" s="9" t="n">
        <f aca="false">AC474*$V474</f>
        <v>880.64</v>
      </c>
      <c r="AP474" s="9" t="n">
        <f aca="false">AD474*$V474</f>
        <v>0</v>
      </c>
      <c r="AQ474" s="9" t="n">
        <f aca="false">AE474*$V474</f>
        <v>0</v>
      </c>
      <c r="AR474" s="9" t="n">
        <f aca="false">AF474*$V474</f>
        <v>0</v>
      </c>
      <c r="AS474" s="9" t="n">
        <f aca="false">AG474*$V474</f>
        <v>0</v>
      </c>
      <c r="AT474" s="9" t="n">
        <f aca="false">AH474*$V474</f>
        <v>0</v>
      </c>
      <c r="AU474" s="9" t="n">
        <f aca="false">AI474*$V474</f>
        <v>0</v>
      </c>
      <c r="AV474" s="9" t="n">
        <f aca="false">SUM(X474:AI474)/1000</f>
        <v>1.28</v>
      </c>
      <c r="AW474" s="9" t="n">
        <f aca="false">SUM(AJ474:AU474)</f>
        <v>880.64</v>
      </c>
      <c r="AX474" s="9" t="n">
        <f aca="false">IF(D474="INR",AW474/88.24,AW474)/1000000</f>
        <v>0.00088064</v>
      </c>
    </row>
    <row r="475" s="2" customFormat="true" ht="16.4" hidden="false" customHeight="false" outlineLevel="0" collapsed="false">
      <c r="A475" s="9" t="s">
        <v>1062</v>
      </c>
      <c r="B475" s="9" t="n">
        <v>5</v>
      </c>
      <c r="C475" s="10"/>
      <c r="D475" s="9" t="s">
        <v>102</v>
      </c>
      <c r="E475" s="9" t="s">
        <v>51</v>
      </c>
      <c r="F475" s="9" t="s">
        <v>267</v>
      </c>
      <c r="G475" s="9" t="s">
        <v>1051</v>
      </c>
      <c r="H475" s="9" t="s">
        <v>1052</v>
      </c>
      <c r="I475" s="9" t="s">
        <v>298</v>
      </c>
      <c r="J475" s="9" t="s">
        <v>1053</v>
      </c>
      <c r="K475" s="9" t="s">
        <v>858</v>
      </c>
      <c r="L475" s="9" t="s">
        <v>298</v>
      </c>
      <c r="M475" s="9" t="s">
        <v>298</v>
      </c>
      <c r="N475" s="9" t="s">
        <v>271</v>
      </c>
      <c r="O475" s="9" t="s">
        <v>294</v>
      </c>
      <c r="P475" s="9" t="s">
        <v>110</v>
      </c>
      <c r="Q475" s="9" t="s">
        <v>110</v>
      </c>
      <c r="R475" s="9" t="s">
        <v>137</v>
      </c>
      <c r="S475" s="9" t="s">
        <v>272</v>
      </c>
      <c r="T475" s="9" t="s">
        <v>1063</v>
      </c>
      <c r="U475" s="9" t="s">
        <v>73</v>
      </c>
      <c r="V475" s="9" t="n">
        <v>0.949</v>
      </c>
      <c r="W475" s="9" t="n">
        <v>0.943</v>
      </c>
      <c r="X475" s="9" t="n">
        <v>1000</v>
      </c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 t="n">
        <f aca="false">X475*$V475</f>
        <v>949</v>
      </c>
      <c r="AK475" s="9" t="n">
        <f aca="false">Y475*$V475</f>
        <v>0</v>
      </c>
      <c r="AL475" s="9" t="n">
        <f aca="false">Z475*$V475</f>
        <v>0</v>
      </c>
      <c r="AM475" s="9" t="n">
        <f aca="false">AA475*$V475</f>
        <v>0</v>
      </c>
      <c r="AN475" s="9" t="n">
        <f aca="false">AB475*$V475</f>
        <v>0</v>
      </c>
      <c r="AO475" s="9" t="n">
        <f aca="false">AC475*$V475</f>
        <v>0</v>
      </c>
      <c r="AP475" s="9" t="n">
        <f aca="false">AD475*$V475</f>
        <v>0</v>
      </c>
      <c r="AQ475" s="9" t="n">
        <f aca="false">AE475*$V475</f>
        <v>0</v>
      </c>
      <c r="AR475" s="9" t="n">
        <f aca="false">AF475*$V475</f>
        <v>0</v>
      </c>
      <c r="AS475" s="9" t="n">
        <f aca="false">AG475*$V475</f>
        <v>0</v>
      </c>
      <c r="AT475" s="9" t="n">
        <f aca="false">AH475*$V475</f>
        <v>0</v>
      </c>
      <c r="AU475" s="9" t="n">
        <f aca="false">AI475*$V475</f>
        <v>0</v>
      </c>
      <c r="AV475" s="9" t="n">
        <f aca="false">SUM(X475:AI475)/1000</f>
        <v>1</v>
      </c>
      <c r="AW475" s="9" t="n">
        <f aca="false">SUM(AJ475:AU475)</f>
        <v>949</v>
      </c>
      <c r="AX475" s="9" t="n">
        <f aca="false">IF(D475="INR",AW475/88.24,AW475)/1000000</f>
        <v>0.000949</v>
      </c>
    </row>
    <row r="476" s="2" customFormat="true" ht="14.25" hidden="false" customHeight="false" outlineLevel="0" collapsed="false">
      <c r="A476" s="9"/>
      <c r="B476" s="9" t="n">
        <v>1</v>
      </c>
      <c r="C476" s="10"/>
      <c r="D476" s="9" t="s">
        <v>102</v>
      </c>
      <c r="E476" s="9" t="s">
        <v>51</v>
      </c>
      <c r="F476" s="9" t="s">
        <v>404</v>
      </c>
      <c r="G476" s="9" t="s">
        <v>1051</v>
      </c>
      <c r="H476" s="9" t="s">
        <v>1052</v>
      </c>
      <c r="I476" s="9" t="s">
        <v>303</v>
      </c>
      <c r="J476" s="9" t="s">
        <v>304</v>
      </c>
      <c r="K476" s="9"/>
      <c r="L476" s="9" t="s">
        <v>303</v>
      </c>
      <c r="M476" s="9" t="s">
        <v>304</v>
      </c>
      <c r="N476" s="9" t="s">
        <v>271</v>
      </c>
      <c r="O476" s="9" t="s">
        <v>294</v>
      </c>
      <c r="P476" s="9" t="s">
        <v>188</v>
      </c>
      <c r="Q476" s="9" t="s">
        <v>188</v>
      </c>
      <c r="R476" s="9"/>
      <c r="S476" s="9"/>
      <c r="T476" s="9" t="s">
        <v>1064</v>
      </c>
      <c r="U476" s="9"/>
      <c r="V476" s="9" t="n">
        <v>1.23</v>
      </c>
      <c r="W476" s="9"/>
      <c r="X476" s="9" t="n">
        <v>500</v>
      </c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 t="n">
        <f aca="false">X476*$V476</f>
        <v>615</v>
      </c>
      <c r="AK476" s="9" t="n">
        <f aca="false">Y476*$V476</f>
        <v>0</v>
      </c>
      <c r="AL476" s="9" t="n">
        <f aca="false">Z476*$V476</f>
        <v>0</v>
      </c>
      <c r="AM476" s="9" t="n">
        <f aca="false">AA476*$V476</f>
        <v>0</v>
      </c>
      <c r="AN476" s="9" t="n">
        <f aca="false">AB476*$V476</f>
        <v>0</v>
      </c>
      <c r="AO476" s="9" t="n">
        <f aca="false">AC476*$V476</f>
        <v>0</v>
      </c>
      <c r="AP476" s="9" t="n">
        <f aca="false">AD476*$V476</f>
        <v>0</v>
      </c>
      <c r="AQ476" s="9" t="n">
        <f aca="false">AE476*$V476</f>
        <v>0</v>
      </c>
      <c r="AR476" s="9" t="n">
        <f aca="false">AF476*$V476</f>
        <v>0</v>
      </c>
      <c r="AS476" s="9" t="n">
        <f aca="false">AG476*$V476</f>
        <v>0</v>
      </c>
      <c r="AT476" s="9" t="n">
        <f aca="false">AH476*$V476</f>
        <v>0</v>
      </c>
      <c r="AU476" s="9" t="n">
        <f aca="false">AI476*$V476</f>
        <v>0</v>
      </c>
      <c r="AV476" s="9" t="n">
        <f aca="false">SUM(X476:AI476)/1000</f>
        <v>0.5</v>
      </c>
      <c r="AW476" s="9" t="n">
        <f aca="false">SUM(AJ476:AU476)</f>
        <v>615</v>
      </c>
      <c r="AX476" s="9" t="n">
        <f aca="false">IF(D476="INR",AW476/88.24,AW476)/1000000</f>
        <v>0.000615</v>
      </c>
    </row>
    <row r="477" s="2" customFormat="true" ht="14.25" hidden="false" customHeight="false" outlineLevel="0" collapsed="false">
      <c r="A477" s="45"/>
      <c r="B477" s="16" t="n">
        <v>1</v>
      </c>
      <c r="C477" s="46"/>
      <c r="D477" s="18" t="s">
        <v>102</v>
      </c>
      <c r="E477" s="18" t="s">
        <v>51</v>
      </c>
      <c r="F477" s="18" t="s">
        <v>404</v>
      </c>
      <c r="G477" s="18" t="s">
        <v>1051</v>
      </c>
      <c r="H477" s="18" t="s">
        <v>1052</v>
      </c>
      <c r="I477" s="18" t="s">
        <v>303</v>
      </c>
      <c r="J477" s="18" t="s">
        <v>304</v>
      </c>
      <c r="K477" s="18"/>
      <c r="L477" s="18" t="s">
        <v>303</v>
      </c>
      <c r="M477" s="18" t="s">
        <v>304</v>
      </c>
      <c r="N477" s="18" t="s">
        <v>271</v>
      </c>
      <c r="O477" s="16" t="s">
        <v>294</v>
      </c>
      <c r="P477" s="18" t="s">
        <v>348</v>
      </c>
      <c r="Q477" s="18" t="s">
        <v>348</v>
      </c>
      <c r="R477" s="18"/>
      <c r="S477" s="18"/>
      <c r="T477" s="18" t="s">
        <v>1065</v>
      </c>
      <c r="U477" s="16"/>
      <c r="V477" s="18" t="n">
        <v>4.35</v>
      </c>
      <c r="W477" s="18"/>
      <c r="X477" s="18"/>
      <c r="Y477" s="18"/>
      <c r="Z477" s="18" t="n">
        <v>400</v>
      </c>
      <c r="AA477" s="18"/>
      <c r="AB477" s="18"/>
      <c r="AC477" s="18"/>
      <c r="AD477" s="18"/>
      <c r="AE477" s="18"/>
      <c r="AF477" s="18"/>
      <c r="AG477" s="18"/>
      <c r="AH477" s="18"/>
      <c r="AI477" s="18"/>
      <c r="AJ477" s="9" t="n">
        <f aca="false">X477*$V477</f>
        <v>0</v>
      </c>
      <c r="AK477" s="9" t="n">
        <f aca="false">Y477*$V477</f>
        <v>0</v>
      </c>
      <c r="AL477" s="9" t="n">
        <f aca="false">Z477*$V477</f>
        <v>1740</v>
      </c>
      <c r="AM477" s="9" t="n">
        <f aca="false">AA477*$V477</f>
        <v>0</v>
      </c>
      <c r="AN477" s="9" t="n">
        <f aca="false">AB477*$V477</f>
        <v>0</v>
      </c>
      <c r="AO477" s="9" t="n">
        <f aca="false">AC477*$V477</f>
        <v>0</v>
      </c>
      <c r="AP477" s="9" t="n">
        <f aca="false">AD477*$V477</f>
        <v>0</v>
      </c>
      <c r="AQ477" s="9" t="n">
        <f aca="false">AE477*$V477</f>
        <v>0</v>
      </c>
      <c r="AR477" s="9" t="n">
        <f aca="false">AF477*$V477</f>
        <v>0</v>
      </c>
      <c r="AS477" s="9" t="n">
        <f aca="false">AG477*$V477</f>
        <v>0</v>
      </c>
      <c r="AT477" s="9" t="n">
        <f aca="false">AH477*$V477</f>
        <v>0</v>
      </c>
      <c r="AU477" s="9" t="n">
        <f aca="false">AI477*$V477</f>
        <v>0</v>
      </c>
      <c r="AV477" s="9" t="n">
        <f aca="false">SUM(X477:AI477)/1000</f>
        <v>0.4</v>
      </c>
      <c r="AW477" s="9" t="n">
        <f aca="false">SUM(AJ477:AU477)</f>
        <v>1740</v>
      </c>
      <c r="AX477" s="9" t="n">
        <f aca="false">IF(D477="INR",AW477/88.24,AW477)/1000000</f>
        <v>0.00174</v>
      </c>
      <c r="AY477" s="47"/>
    </row>
    <row r="478" s="2" customFormat="true" ht="14.25" hidden="false" customHeight="false" outlineLevel="0" collapsed="false">
      <c r="A478" s="12" t="s">
        <v>1066</v>
      </c>
      <c r="B478" s="16" t="n">
        <v>5</v>
      </c>
      <c r="C478" s="15"/>
      <c r="D478" s="16" t="s">
        <v>50</v>
      </c>
      <c r="E478" s="16" t="s">
        <v>51</v>
      </c>
      <c r="F478" s="16" t="s">
        <v>52</v>
      </c>
      <c r="G478" s="16" t="s">
        <v>1067</v>
      </c>
      <c r="H478" s="16" t="s">
        <v>656</v>
      </c>
      <c r="I478" s="16" t="s">
        <v>55</v>
      </c>
      <c r="J478" s="16" t="s">
        <v>56</v>
      </c>
      <c r="K478" s="16"/>
      <c r="L478" s="16" t="s">
        <v>55</v>
      </c>
      <c r="M478" s="16" t="s">
        <v>56</v>
      </c>
      <c r="N478" s="16" t="s">
        <v>290</v>
      </c>
      <c r="O478" s="16" t="s">
        <v>58</v>
      </c>
      <c r="P478" s="16" t="s">
        <v>308</v>
      </c>
      <c r="Q478" s="16" t="s">
        <v>308</v>
      </c>
      <c r="R478" s="16" t="s">
        <v>309</v>
      </c>
      <c r="S478" s="16" t="s">
        <v>264</v>
      </c>
      <c r="T478" s="16" t="s">
        <v>513</v>
      </c>
      <c r="U478" s="16" t="s">
        <v>73</v>
      </c>
      <c r="V478" s="16" t="n">
        <v>0.42</v>
      </c>
      <c r="W478" s="16" t="n">
        <v>0.39</v>
      </c>
      <c r="X478" s="22" t="n">
        <v>200000</v>
      </c>
      <c r="Y478" s="22"/>
      <c r="Z478" s="22" t="n">
        <v>200000</v>
      </c>
      <c r="AA478" s="22"/>
      <c r="AB478" s="22" t="n">
        <v>200000</v>
      </c>
      <c r="AC478" s="22"/>
      <c r="AD478" s="22" t="n">
        <v>200000</v>
      </c>
      <c r="AE478" s="22"/>
      <c r="AF478" s="22" t="n">
        <v>200000</v>
      </c>
      <c r="AG478" s="22"/>
      <c r="AH478" s="22"/>
      <c r="AI478" s="22" t="n">
        <v>200000</v>
      </c>
      <c r="AJ478" s="9" t="n">
        <f aca="false">X478*$V478</f>
        <v>84000</v>
      </c>
      <c r="AK478" s="9" t="n">
        <f aca="false">Y478*$V478</f>
        <v>0</v>
      </c>
      <c r="AL478" s="9" t="n">
        <f aca="false">Z478*$V478</f>
        <v>84000</v>
      </c>
      <c r="AM478" s="9" t="n">
        <f aca="false">AA478*$V478</f>
        <v>0</v>
      </c>
      <c r="AN478" s="9" t="n">
        <f aca="false">AB478*$V478</f>
        <v>84000</v>
      </c>
      <c r="AO478" s="9" t="n">
        <f aca="false">AC478*$V478</f>
        <v>0</v>
      </c>
      <c r="AP478" s="9" t="n">
        <f aca="false">AD478*$V478</f>
        <v>84000</v>
      </c>
      <c r="AQ478" s="9" t="n">
        <f aca="false">AE478*$V478</f>
        <v>0</v>
      </c>
      <c r="AR478" s="9" t="n">
        <f aca="false">AF478*$V478</f>
        <v>84000</v>
      </c>
      <c r="AS478" s="9" t="n">
        <f aca="false">AG478*$V478</f>
        <v>0</v>
      </c>
      <c r="AT478" s="9" t="n">
        <f aca="false">AH478*$V478</f>
        <v>0</v>
      </c>
      <c r="AU478" s="9" t="n">
        <f aca="false">AI478*$V478</f>
        <v>84000</v>
      </c>
      <c r="AV478" s="9" t="n">
        <f aca="false">SUM(X478:AI478)/1000</f>
        <v>1200</v>
      </c>
      <c r="AW478" s="9" t="n">
        <f aca="false">SUM(AJ478:AU478)</f>
        <v>504000</v>
      </c>
      <c r="AX478" s="9" t="n">
        <f aca="false">IF(D478="INR",AW478/88.24,AW478)/1000000</f>
        <v>0.0057116953762466</v>
      </c>
    </row>
    <row r="479" s="2" customFormat="true" ht="14.25" hidden="false" customHeight="false" outlineLevel="0" collapsed="false">
      <c r="A479" s="12" t="s">
        <v>1068</v>
      </c>
      <c r="B479" s="16" t="n">
        <v>5</v>
      </c>
      <c r="C479" s="15"/>
      <c r="D479" s="16" t="s">
        <v>50</v>
      </c>
      <c r="E479" s="16" t="s">
        <v>51</v>
      </c>
      <c r="F479" s="16" t="s">
        <v>52</v>
      </c>
      <c r="G479" s="16" t="s">
        <v>494</v>
      </c>
      <c r="H479" s="16" t="s">
        <v>495</v>
      </c>
      <c r="I479" s="16" t="s">
        <v>77</v>
      </c>
      <c r="J479" s="16" t="s">
        <v>496</v>
      </c>
      <c r="K479" s="16" t="s">
        <v>495</v>
      </c>
      <c r="L479" s="16" t="s">
        <v>77</v>
      </c>
      <c r="M479" s="16" t="s">
        <v>496</v>
      </c>
      <c r="N479" s="16" t="s">
        <v>57</v>
      </c>
      <c r="O479" s="16" t="s">
        <v>94</v>
      </c>
      <c r="P479" s="16" t="s">
        <v>789</v>
      </c>
      <c r="Q479" s="16" t="s">
        <v>789</v>
      </c>
      <c r="R479" s="16" t="s">
        <v>377</v>
      </c>
      <c r="S479" s="16" t="s">
        <v>528</v>
      </c>
      <c r="T479" s="16" t="s">
        <v>1069</v>
      </c>
      <c r="U479" s="16" t="s">
        <v>73</v>
      </c>
      <c r="V479" s="16" t="n">
        <v>10.41</v>
      </c>
      <c r="W479" s="16" t="n">
        <v>0.09</v>
      </c>
      <c r="X479" s="16" t="n">
        <v>8000</v>
      </c>
      <c r="Y479" s="16" t="n">
        <v>8000</v>
      </c>
      <c r="Z479" s="16" t="n">
        <v>8000</v>
      </c>
      <c r="AA479" s="16" t="n">
        <v>8000</v>
      </c>
      <c r="AB479" s="16" t="n">
        <v>8000</v>
      </c>
      <c r="AC479" s="16" t="n">
        <v>8000</v>
      </c>
      <c r="AD479" s="16" t="n">
        <v>8000</v>
      </c>
      <c r="AE479" s="16" t="n">
        <v>8000</v>
      </c>
      <c r="AF479" s="16" t="n">
        <v>8000</v>
      </c>
      <c r="AG479" s="16" t="n">
        <v>8000</v>
      </c>
      <c r="AH479" s="16" t="n">
        <v>8000</v>
      </c>
      <c r="AI479" s="16" t="n">
        <v>8000</v>
      </c>
      <c r="AJ479" s="9" t="n">
        <f aca="false">X479*$V479</f>
        <v>83280</v>
      </c>
      <c r="AK479" s="9" t="n">
        <f aca="false">Y479*$V479</f>
        <v>83280</v>
      </c>
      <c r="AL479" s="9" t="n">
        <f aca="false">Z479*$V479</f>
        <v>83280</v>
      </c>
      <c r="AM479" s="9" t="n">
        <f aca="false">AA479*$V479</f>
        <v>83280</v>
      </c>
      <c r="AN479" s="9" t="n">
        <f aca="false">AB479*$V479</f>
        <v>83280</v>
      </c>
      <c r="AO479" s="9" t="n">
        <f aca="false">AC479*$V479</f>
        <v>83280</v>
      </c>
      <c r="AP479" s="9" t="n">
        <f aca="false">AD479*$V479</f>
        <v>83280</v>
      </c>
      <c r="AQ479" s="9" t="n">
        <f aca="false">AE479*$V479</f>
        <v>83280</v>
      </c>
      <c r="AR479" s="9" t="n">
        <f aca="false">AF479*$V479</f>
        <v>83280</v>
      </c>
      <c r="AS479" s="9" t="n">
        <f aca="false">AG479*$V479</f>
        <v>83280</v>
      </c>
      <c r="AT479" s="9" t="n">
        <f aca="false">AH479*$V479</f>
        <v>83280</v>
      </c>
      <c r="AU479" s="9" t="n">
        <f aca="false">AI479*$V479</f>
        <v>83280</v>
      </c>
      <c r="AV479" s="9" t="n">
        <f aca="false">SUM(X479:AI479)/1000</f>
        <v>96</v>
      </c>
      <c r="AW479" s="9" t="n">
        <f aca="false">SUM(AJ479:AU479)</f>
        <v>999360</v>
      </c>
      <c r="AX479" s="9" t="n">
        <f aca="false">IF(D479="INR",AW479/88.24,AW479)/1000000</f>
        <v>0.0113254759746147</v>
      </c>
    </row>
    <row r="480" s="2" customFormat="true" ht="14.25" hidden="false" customHeight="false" outlineLevel="0" collapsed="false">
      <c r="A480" s="12" t="s">
        <v>1070</v>
      </c>
      <c r="B480" s="16" t="n">
        <v>5</v>
      </c>
      <c r="C480" s="15"/>
      <c r="D480" s="16" t="s">
        <v>50</v>
      </c>
      <c r="E480" s="16" t="s">
        <v>51</v>
      </c>
      <c r="F480" s="16" t="s">
        <v>404</v>
      </c>
      <c r="G480" s="16" t="s">
        <v>1071</v>
      </c>
      <c r="H480" s="16" t="s">
        <v>1072</v>
      </c>
      <c r="I480" s="16" t="s">
        <v>105</v>
      </c>
      <c r="J480" s="16" t="s">
        <v>1073</v>
      </c>
      <c r="K480" s="16"/>
      <c r="L480" s="16" t="s">
        <v>105</v>
      </c>
      <c r="M480" s="16" t="s">
        <v>1073</v>
      </c>
      <c r="N480" s="16" t="s">
        <v>271</v>
      </c>
      <c r="O480" s="16" t="s">
        <v>94</v>
      </c>
      <c r="P480" s="16" t="s">
        <v>110</v>
      </c>
      <c r="Q480" s="16" t="s">
        <v>110</v>
      </c>
      <c r="R480" s="16" t="s">
        <v>137</v>
      </c>
      <c r="S480" s="16" t="s">
        <v>272</v>
      </c>
      <c r="T480" s="16" t="s">
        <v>849</v>
      </c>
      <c r="U480" s="16" t="s">
        <v>73</v>
      </c>
      <c r="V480" s="16" t="n">
        <v>41</v>
      </c>
      <c r="W480" s="16" t="n">
        <v>0.256</v>
      </c>
      <c r="X480" s="22" t="n">
        <v>2000</v>
      </c>
      <c r="Y480" s="22"/>
      <c r="Z480" s="22" t="n">
        <v>2000</v>
      </c>
      <c r="AA480" s="22"/>
      <c r="AB480" s="22"/>
      <c r="AC480" s="22" t="n">
        <v>2000</v>
      </c>
      <c r="AD480" s="22"/>
      <c r="AE480" s="22"/>
      <c r="AF480" s="22" t="n">
        <v>2000</v>
      </c>
      <c r="AG480" s="22" t="n">
        <v>2000</v>
      </c>
      <c r="AH480" s="22"/>
      <c r="AI480" s="22" t="n">
        <v>2000</v>
      </c>
      <c r="AJ480" s="9" t="n">
        <f aca="false">X480*$V480</f>
        <v>82000</v>
      </c>
      <c r="AK480" s="9" t="n">
        <f aca="false">Y480*$V480</f>
        <v>0</v>
      </c>
      <c r="AL480" s="9" t="n">
        <f aca="false">Z480*$V480</f>
        <v>82000</v>
      </c>
      <c r="AM480" s="9" t="n">
        <f aca="false">AA480*$V480</f>
        <v>0</v>
      </c>
      <c r="AN480" s="9" t="n">
        <f aca="false">AB480*$V480</f>
        <v>0</v>
      </c>
      <c r="AO480" s="9" t="n">
        <f aca="false">AC480*$V480</f>
        <v>82000</v>
      </c>
      <c r="AP480" s="9" t="n">
        <f aca="false">AD480*$V480</f>
        <v>0</v>
      </c>
      <c r="AQ480" s="9" t="n">
        <f aca="false">AE480*$V480</f>
        <v>0</v>
      </c>
      <c r="AR480" s="9" t="n">
        <f aca="false">AF480*$V480</f>
        <v>82000</v>
      </c>
      <c r="AS480" s="9" t="n">
        <f aca="false">AG480*$V480</f>
        <v>82000</v>
      </c>
      <c r="AT480" s="9" t="n">
        <f aca="false">AH480*$V480</f>
        <v>0</v>
      </c>
      <c r="AU480" s="9" t="n">
        <f aca="false">AI480*$V480</f>
        <v>82000</v>
      </c>
      <c r="AV480" s="9" t="n">
        <f aca="false">SUM(X480:AI480)/1000</f>
        <v>12</v>
      </c>
      <c r="AW480" s="9" t="n">
        <f aca="false">SUM(AJ480:AU480)</f>
        <v>492000</v>
      </c>
      <c r="AX480" s="9" t="n">
        <f aca="false">IF(D480="INR",AW480/88.24,AW480)/1000000</f>
        <v>0.00557570262919311</v>
      </c>
    </row>
    <row r="481" s="2" customFormat="true" ht="14.25" hidden="false" customHeight="false" outlineLevel="0" collapsed="false">
      <c r="A481" s="12" t="s">
        <v>1074</v>
      </c>
      <c r="B481" s="16" t="n">
        <v>5</v>
      </c>
      <c r="C481" s="15"/>
      <c r="D481" s="16" t="s">
        <v>50</v>
      </c>
      <c r="E481" s="16" t="s">
        <v>51</v>
      </c>
      <c r="F481" s="16" t="s">
        <v>52</v>
      </c>
      <c r="G481" s="16" t="s">
        <v>391</v>
      </c>
      <c r="H481" s="16" t="s">
        <v>392</v>
      </c>
      <c r="I481" s="16" t="s">
        <v>260</v>
      </c>
      <c r="J481" s="16" t="s">
        <v>276</v>
      </c>
      <c r="K481" s="16"/>
      <c r="L481" s="16" t="s">
        <v>260</v>
      </c>
      <c r="M481" s="16" t="s">
        <v>276</v>
      </c>
      <c r="N481" s="16" t="s">
        <v>93</v>
      </c>
      <c r="O481" s="16" t="s">
        <v>58</v>
      </c>
      <c r="P481" s="9" t="s">
        <v>308</v>
      </c>
      <c r="Q481" s="16" t="s">
        <v>308</v>
      </c>
      <c r="R481" s="16" t="s">
        <v>309</v>
      </c>
      <c r="S481" s="16" t="s">
        <v>264</v>
      </c>
      <c r="T481" s="16" t="s">
        <v>1075</v>
      </c>
      <c r="U481" s="16" t="s">
        <v>73</v>
      </c>
      <c r="V481" s="16" t="n">
        <v>1.17</v>
      </c>
      <c r="W481" s="16" t="n">
        <v>1.01</v>
      </c>
      <c r="X481" s="16" t="n">
        <v>70000</v>
      </c>
      <c r="Y481" s="16" t="n">
        <v>70000</v>
      </c>
      <c r="Z481" s="16" t="n">
        <v>70000</v>
      </c>
      <c r="AA481" s="16" t="n">
        <v>10000</v>
      </c>
      <c r="AB481" s="16" t="n">
        <v>70000</v>
      </c>
      <c r="AC481" s="16" t="n">
        <v>70000</v>
      </c>
      <c r="AD481" s="16" t="n">
        <v>70000</v>
      </c>
      <c r="AE481" s="16" t="n">
        <v>70000</v>
      </c>
      <c r="AF481" s="16" t="n">
        <v>70000</v>
      </c>
      <c r="AG481" s="16" t="n">
        <v>70000</v>
      </c>
      <c r="AH481" s="16" t="n">
        <v>70000</v>
      </c>
      <c r="AI481" s="16" t="n">
        <v>70000</v>
      </c>
      <c r="AJ481" s="9" t="n">
        <f aca="false">X481*$V481</f>
        <v>81900</v>
      </c>
      <c r="AK481" s="9" t="n">
        <f aca="false">Y481*$V481</f>
        <v>81900</v>
      </c>
      <c r="AL481" s="9" t="n">
        <f aca="false">Z481*$V481</f>
        <v>81900</v>
      </c>
      <c r="AM481" s="9" t="n">
        <f aca="false">AA481*$V481</f>
        <v>11700</v>
      </c>
      <c r="AN481" s="9" t="n">
        <f aca="false">AB481*$V481</f>
        <v>81900</v>
      </c>
      <c r="AO481" s="9" t="n">
        <f aca="false">AC481*$V481</f>
        <v>81900</v>
      </c>
      <c r="AP481" s="9" t="n">
        <f aca="false">AD481*$V481</f>
        <v>81900</v>
      </c>
      <c r="AQ481" s="9" t="n">
        <f aca="false">AE481*$V481</f>
        <v>81900</v>
      </c>
      <c r="AR481" s="9" t="n">
        <f aca="false">AF481*$V481</f>
        <v>81900</v>
      </c>
      <c r="AS481" s="9" t="n">
        <f aca="false">AG481*$V481</f>
        <v>81900</v>
      </c>
      <c r="AT481" s="9" t="n">
        <f aca="false">AH481*$V481</f>
        <v>81900</v>
      </c>
      <c r="AU481" s="9" t="n">
        <f aca="false">AI481*$V481</f>
        <v>81900</v>
      </c>
      <c r="AV481" s="9" t="n">
        <f aca="false">SUM(X481:AI481)/1000</f>
        <v>780</v>
      </c>
      <c r="AW481" s="9" t="n">
        <f aca="false">SUM(AJ481:AU481)</f>
        <v>912600</v>
      </c>
      <c r="AX481" s="9" t="n">
        <f aca="false">IF(D481="INR",AW481/88.24,AW481)/1000000</f>
        <v>0.010342248413418</v>
      </c>
    </row>
    <row r="482" s="2" customFormat="true" ht="14.25" hidden="false" customHeight="false" outlineLevel="0" collapsed="false">
      <c r="A482" s="12" t="s">
        <v>1076</v>
      </c>
      <c r="B482" s="16" t="n">
        <v>5</v>
      </c>
      <c r="C482" s="15"/>
      <c r="D482" s="16" t="s">
        <v>50</v>
      </c>
      <c r="E482" s="16" t="s">
        <v>51</v>
      </c>
      <c r="F482" s="16" t="s">
        <v>404</v>
      </c>
      <c r="G482" s="16" t="s">
        <v>405</v>
      </c>
      <c r="H482" s="16" t="s">
        <v>406</v>
      </c>
      <c r="I482" s="16" t="s">
        <v>105</v>
      </c>
      <c r="J482" s="16" t="s">
        <v>368</v>
      </c>
      <c r="K482" s="16"/>
      <c r="L482" s="16" t="s">
        <v>105</v>
      </c>
      <c r="M482" s="16" t="s">
        <v>368</v>
      </c>
      <c r="N482" s="16" t="s">
        <v>271</v>
      </c>
      <c r="O482" s="16" t="s">
        <v>94</v>
      </c>
      <c r="P482" s="16" t="s">
        <v>308</v>
      </c>
      <c r="Q482" s="16" t="s">
        <v>308</v>
      </c>
      <c r="R482" s="16" t="s">
        <v>309</v>
      </c>
      <c r="S482" s="16" t="s">
        <v>264</v>
      </c>
      <c r="T482" s="16" t="s">
        <v>1077</v>
      </c>
      <c r="U482" s="16" t="s">
        <v>73</v>
      </c>
      <c r="V482" s="16" t="n">
        <v>2.72</v>
      </c>
      <c r="W482" s="16" t="n">
        <v>2.35</v>
      </c>
      <c r="X482" s="16" t="n">
        <v>30000</v>
      </c>
      <c r="Y482" s="16" t="n">
        <v>30000</v>
      </c>
      <c r="Z482" s="16" t="n">
        <v>30000</v>
      </c>
      <c r="AA482" s="16"/>
      <c r="AB482" s="16" t="n">
        <v>30000</v>
      </c>
      <c r="AC482" s="16" t="n">
        <v>30000</v>
      </c>
      <c r="AD482" s="16" t="n">
        <v>30000</v>
      </c>
      <c r="AE482" s="16"/>
      <c r="AF482" s="16" t="n">
        <v>30000</v>
      </c>
      <c r="AG482" s="16"/>
      <c r="AH482" s="16" t="n">
        <v>30000</v>
      </c>
      <c r="AI482" s="16"/>
      <c r="AJ482" s="9" t="n">
        <f aca="false">X482*$V482</f>
        <v>81600</v>
      </c>
      <c r="AK482" s="9" t="n">
        <f aca="false">Y482*$V482</f>
        <v>81600</v>
      </c>
      <c r="AL482" s="9" t="n">
        <f aca="false">Z482*$V482</f>
        <v>81600</v>
      </c>
      <c r="AM482" s="9" t="n">
        <f aca="false">AA482*$V482</f>
        <v>0</v>
      </c>
      <c r="AN482" s="9" t="n">
        <f aca="false">AB482*$V482</f>
        <v>81600</v>
      </c>
      <c r="AO482" s="9" t="n">
        <f aca="false">AC482*$V482</f>
        <v>81600</v>
      </c>
      <c r="AP482" s="9" t="n">
        <f aca="false">AD482*$V482</f>
        <v>81600</v>
      </c>
      <c r="AQ482" s="9" t="n">
        <f aca="false">AE482*$V482</f>
        <v>0</v>
      </c>
      <c r="AR482" s="9" t="n">
        <f aca="false">AF482*$V482</f>
        <v>81600</v>
      </c>
      <c r="AS482" s="9" t="n">
        <f aca="false">AG482*$V482</f>
        <v>0</v>
      </c>
      <c r="AT482" s="9" t="n">
        <f aca="false">AH482*$V482</f>
        <v>81600</v>
      </c>
      <c r="AU482" s="9" t="n">
        <f aca="false">AI482*$V482</f>
        <v>0</v>
      </c>
      <c r="AV482" s="9" t="n">
        <f aca="false">SUM(X482:AI482)/1000</f>
        <v>240</v>
      </c>
      <c r="AW482" s="9" t="n">
        <f aca="false">SUM(AJ482:AU482)</f>
        <v>652800</v>
      </c>
      <c r="AX482" s="9" t="n">
        <f aca="false">IF(D482="INR",AW482/88.24,AW482)/1000000</f>
        <v>0.00739800543970988</v>
      </c>
    </row>
    <row r="483" s="2" customFormat="true" ht="14.25" hidden="false" customHeight="false" outlineLevel="0" collapsed="false">
      <c r="A483" s="12" t="s">
        <v>1078</v>
      </c>
      <c r="B483" s="16" t="n">
        <v>5</v>
      </c>
      <c r="C483" s="15"/>
      <c r="D483" s="16" t="s">
        <v>50</v>
      </c>
      <c r="E483" s="16" t="s">
        <v>51</v>
      </c>
      <c r="F483" s="16" t="s">
        <v>52</v>
      </c>
      <c r="G483" s="16" t="s">
        <v>388</v>
      </c>
      <c r="H483" s="16" t="s">
        <v>389</v>
      </c>
      <c r="I483" s="16" t="s">
        <v>260</v>
      </c>
      <c r="J483" s="16" t="s">
        <v>276</v>
      </c>
      <c r="K483" s="16"/>
      <c r="L483" s="16" t="s">
        <v>260</v>
      </c>
      <c r="M483" s="16" t="s">
        <v>276</v>
      </c>
      <c r="N483" s="16" t="s">
        <v>93</v>
      </c>
      <c r="O483" s="16" t="s">
        <v>58</v>
      </c>
      <c r="P483" s="16" t="s">
        <v>789</v>
      </c>
      <c r="Q483" s="16" t="s">
        <v>789</v>
      </c>
      <c r="R483" s="16" t="s">
        <v>377</v>
      </c>
      <c r="S483" s="16" t="s">
        <v>528</v>
      </c>
      <c r="T483" s="16" t="s">
        <v>1079</v>
      </c>
      <c r="U483" s="16" t="s">
        <v>73</v>
      </c>
      <c r="V483" s="16" t="n">
        <v>3.36</v>
      </c>
      <c r="W483" s="16" t="n">
        <v>2.82</v>
      </c>
      <c r="X483" s="22" t="n">
        <v>15000</v>
      </c>
      <c r="Y483" s="22" t="n">
        <v>20000</v>
      </c>
      <c r="Z483" s="22" t="n">
        <v>24000</v>
      </c>
      <c r="AA483" s="22" t="n">
        <v>30000</v>
      </c>
      <c r="AB483" s="22" t="n">
        <v>5000</v>
      </c>
      <c r="AC483" s="22" t="n">
        <v>15000</v>
      </c>
      <c r="AD483" s="22" t="n">
        <v>15000</v>
      </c>
      <c r="AE483" s="22" t="n">
        <v>20000</v>
      </c>
      <c r="AF483" s="22"/>
      <c r="AG483" s="22" t="n">
        <v>16000</v>
      </c>
      <c r="AH483" s="22"/>
      <c r="AI483" s="22"/>
      <c r="AJ483" s="9" t="n">
        <f aca="false">X483*$V483</f>
        <v>50400</v>
      </c>
      <c r="AK483" s="9" t="n">
        <f aca="false">Y483*$V483</f>
        <v>67200</v>
      </c>
      <c r="AL483" s="9" t="n">
        <f aca="false">Z483*$V483</f>
        <v>80640</v>
      </c>
      <c r="AM483" s="9" t="n">
        <f aca="false">AA483*$V483</f>
        <v>100800</v>
      </c>
      <c r="AN483" s="9" t="n">
        <f aca="false">AB483*$V483</f>
        <v>16800</v>
      </c>
      <c r="AO483" s="9" t="n">
        <f aca="false">AC483*$V483</f>
        <v>50400</v>
      </c>
      <c r="AP483" s="9" t="n">
        <f aca="false">AD483*$V483</f>
        <v>50400</v>
      </c>
      <c r="AQ483" s="9" t="n">
        <f aca="false">AE483*$V483</f>
        <v>67200</v>
      </c>
      <c r="AR483" s="9" t="n">
        <f aca="false">AF483*$V483</f>
        <v>0</v>
      </c>
      <c r="AS483" s="9" t="n">
        <f aca="false">AG483*$V483</f>
        <v>53760</v>
      </c>
      <c r="AT483" s="9" t="n">
        <f aca="false">AH483*$V483</f>
        <v>0</v>
      </c>
      <c r="AU483" s="9" t="n">
        <f aca="false">AI483*$V483</f>
        <v>0</v>
      </c>
      <c r="AV483" s="9" t="n">
        <f aca="false">SUM(X483:AI483)/1000</f>
        <v>160</v>
      </c>
      <c r="AW483" s="9" t="n">
        <f aca="false">SUM(AJ483:AU483)</f>
        <v>537600</v>
      </c>
      <c r="AX483" s="9" t="n">
        <f aca="false">IF(D483="INR",AW483/88.24,AW483)/1000000</f>
        <v>0.00609247506799637</v>
      </c>
    </row>
    <row r="484" s="2" customFormat="true" ht="14.25" hidden="false" customHeight="false" outlineLevel="0" collapsed="false">
      <c r="A484" s="12"/>
      <c r="B484" s="16"/>
      <c r="C484" s="15"/>
      <c r="D484" s="16" t="s">
        <v>50</v>
      </c>
      <c r="E484" s="16"/>
      <c r="F484" s="16" t="s">
        <v>52</v>
      </c>
      <c r="G484" s="16" t="s">
        <v>857</v>
      </c>
      <c r="H484" s="16" t="s">
        <v>858</v>
      </c>
      <c r="I484" s="16"/>
      <c r="J484" s="16"/>
      <c r="K484" s="16"/>
      <c r="L484" s="16"/>
      <c r="M484" s="16"/>
      <c r="N484" s="16" t="s">
        <v>79</v>
      </c>
      <c r="O484" s="16" t="s">
        <v>294</v>
      </c>
      <c r="P484" s="16"/>
      <c r="Q484" s="16" t="s">
        <v>859</v>
      </c>
      <c r="R484" s="16"/>
      <c r="S484" s="16"/>
      <c r="T484" s="16" t="s">
        <v>1080</v>
      </c>
      <c r="U484" s="16" t="s">
        <v>63</v>
      </c>
      <c r="V484" s="16" t="n">
        <v>40</v>
      </c>
      <c r="W484" s="16"/>
      <c r="X484" s="16" t="n">
        <v>2000</v>
      </c>
      <c r="Y484" s="16" t="n">
        <v>2000</v>
      </c>
      <c r="Z484" s="16" t="n">
        <v>2000</v>
      </c>
      <c r="AA484" s="16" t="n">
        <v>2000</v>
      </c>
      <c r="AB484" s="16" t="n">
        <v>2000</v>
      </c>
      <c r="AC484" s="16" t="n">
        <v>2000</v>
      </c>
      <c r="AD484" s="16" t="n">
        <v>2000</v>
      </c>
      <c r="AE484" s="16" t="n">
        <v>2000</v>
      </c>
      <c r="AF484" s="16" t="n">
        <v>2000</v>
      </c>
      <c r="AG484" s="16" t="n">
        <v>2000</v>
      </c>
      <c r="AH484" s="16" t="n">
        <v>2000</v>
      </c>
      <c r="AI484" s="16" t="n">
        <v>2000</v>
      </c>
      <c r="AJ484" s="9" t="n">
        <f aca="false">X484*$V484</f>
        <v>80000</v>
      </c>
      <c r="AK484" s="9" t="n">
        <f aca="false">Y484*$V484</f>
        <v>80000</v>
      </c>
      <c r="AL484" s="9" t="n">
        <f aca="false">Z484*$V484</f>
        <v>80000</v>
      </c>
      <c r="AM484" s="9" t="n">
        <f aca="false">AA484*$V484</f>
        <v>80000</v>
      </c>
      <c r="AN484" s="9" t="n">
        <f aca="false">AB484*$V484</f>
        <v>80000</v>
      </c>
      <c r="AO484" s="9" t="n">
        <f aca="false">AC484*$V484</f>
        <v>80000</v>
      </c>
      <c r="AP484" s="9" t="n">
        <f aca="false">AD484*$V484</f>
        <v>80000</v>
      </c>
      <c r="AQ484" s="9" t="n">
        <f aca="false">AE484*$V484</f>
        <v>80000</v>
      </c>
      <c r="AR484" s="9" t="n">
        <f aca="false">AF484*$V484</f>
        <v>80000</v>
      </c>
      <c r="AS484" s="9" t="n">
        <f aca="false">AG484*$V484</f>
        <v>80000</v>
      </c>
      <c r="AT484" s="9" t="n">
        <f aca="false">AH484*$V484</f>
        <v>80000</v>
      </c>
      <c r="AU484" s="9" t="n">
        <f aca="false">AI484*$V484</f>
        <v>80000</v>
      </c>
      <c r="AV484" s="9" t="n">
        <f aca="false">SUM(X484:AI484)/1000</f>
        <v>24</v>
      </c>
      <c r="AW484" s="9" t="n">
        <f aca="false">SUM(AJ484:AU484)</f>
        <v>960000</v>
      </c>
      <c r="AX484" s="9" t="n">
        <f aca="false">IF(D484="INR",AW484/88.24,AW484)/1000000</f>
        <v>0.0108794197642792</v>
      </c>
    </row>
    <row r="485" s="2" customFormat="true" ht="14.25" hidden="false" customHeight="false" outlineLevel="0" collapsed="false">
      <c r="A485" s="12" t="s">
        <v>1081</v>
      </c>
      <c r="B485" s="16" t="n">
        <v>5</v>
      </c>
      <c r="C485" s="15"/>
      <c r="D485" s="16" t="s">
        <v>50</v>
      </c>
      <c r="E485" s="16" t="s">
        <v>51</v>
      </c>
      <c r="F485" s="16" t="s">
        <v>52</v>
      </c>
      <c r="G485" s="16" t="s">
        <v>1082</v>
      </c>
      <c r="H485" s="16" t="s">
        <v>1083</v>
      </c>
      <c r="I485" s="16" t="s">
        <v>105</v>
      </c>
      <c r="J485" s="16" t="s">
        <v>478</v>
      </c>
      <c r="K485" s="16"/>
      <c r="L485" s="16" t="s">
        <v>105</v>
      </c>
      <c r="M485" s="16" t="s">
        <v>478</v>
      </c>
      <c r="N485" s="16" t="s">
        <v>57</v>
      </c>
      <c r="O485" s="16" t="s">
        <v>107</v>
      </c>
      <c r="P485" s="16" t="s">
        <v>110</v>
      </c>
      <c r="Q485" s="16" t="s">
        <v>110</v>
      </c>
      <c r="R485" s="16" t="s">
        <v>137</v>
      </c>
      <c r="S485" s="16" t="s">
        <v>272</v>
      </c>
      <c r="T485" s="16" t="s">
        <v>1084</v>
      </c>
      <c r="U485" s="16" t="s">
        <v>73</v>
      </c>
      <c r="V485" s="16" t="n">
        <v>53</v>
      </c>
      <c r="W485" s="16" t="n">
        <v>0.363</v>
      </c>
      <c r="X485" s="22" t="n">
        <v>1500</v>
      </c>
      <c r="Y485" s="22"/>
      <c r="Z485" s="22" t="n">
        <v>1500</v>
      </c>
      <c r="AA485" s="22"/>
      <c r="AB485" s="22" t="n">
        <v>1500</v>
      </c>
      <c r="AC485" s="22"/>
      <c r="AD485" s="22" t="n">
        <v>1500</v>
      </c>
      <c r="AE485" s="22"/>
      <c r="AF485" s="22" t="n">
        <v>1500</v>
      </c>
      <c r="AG485" s="22"/>
      <c r="AH485" s="22" t="n">
        <v>1500</v>
      </c>
      <c r="AI485" s="22"/>
      <c r="AJ485" s="9" t="n">
        <f aca="false">X485*$V485</f>
        <v>79500</v>
      </c>
      <c r="AK485" s="9" t="n">
        <f aca="false">Y485*$V485</f>
        <v>0</v>
      </c>
      <c r="AL485" s="9" t="n">
        <f aca="false">Z485*$V485</f>
        <v>79500</v>
      </c>
      <c r="AM485" s="9" t="n">
        <f aca="false">AA485*$V485</f>
        <v>0</v>
      </c>
      <c r="AN485" s="9" t="n">
        <f aca="false">AB485*$V485</f>
        <v>79500</v>
      </c>
      <c r="AO485" s="9" t="n">
        <f aca="false">AC485*$V485</f>
        <v>0</v>
      </c>
      <c r="AP485" s="9" t="n">
        <f aca="false">AD485*$V485</f>
        <v>79500</v>
      </c>
      <c r="AQ485" s="9" t="n">
        <f aca="false">AE485*$V485</f>
        <v>0</v>
      </c>
      <c r="AR485" s="9" t="n">
        <f aca="false">AF485*$V485</f>
        <v>79500</v>
      </c>
      <c r="AS485" s="9" t="n">
        <f aca="false">AG485*$V485</f>
        <v>0</v>
      </c>
      <c r="AT485" s="9" t="n">
        <f aca="false">AH485*$V485</f>
        <v>79500</v>
      </c>
      <c r="AU485" s="9" t="n">
        <f aca="false">AI485*$V485</f>
        <v>0</v>
      </c>
      <c r="AV485" s="9" t="n">
        <f aca="false">SUM(X485:AI485)/1000</f>
        <v>9</v>
      </c>
      <c r="AW485" s="9" t="n">
        <f aca="false">SUM(AJ485:AU485)</f>
        <v>477000</v>
      </c>
      <c r="AX485" s="9" t="n">
        <f aca="false">IF(D485="INR",AW485/88.24,AW485)/1000000</f>
        <v>0.00540571169537625</v>
      </c>
    </row>
    <row r="486" s="2" customFormat="true" ht="14.25" hidden="false" customHeight="false" outlineLevel="0" collapsed="false">
      <c r="A486" s="12"/>
      <c r="B486" s="16" t="n">
        <v>1</v>
      </c>
      <c r="C486" s="15"/>
      <c r="D486" s="16" t="s">
        <v>50</v>
      </c>
      <c r="E486" s="16" t="s">
        <v>51</v>
      </c>
      <c r="F486" s="16" t="s">
        <v>52</v>
      </c>
      <c r="G486" s="16" t="s">
        <v>781</v>
      </c>
      <c r="H486" s="16" t="s">
        <v>495</v>
      </c>
      <c r="I486" s="16" t="s">
        <v>77</v>
      </c>
      <c r="J486" s="16" t="s">
        <v>496</v>
      </c>
      <c r="K486" s="16" t="s">
        <v>495</v>
      </c>
      <c r="L486" s="16" t="s">
        <v>77</v>
      </c>
      <c r="M486" s="16" t="s">
        <v>496</v>
      </c>
      <c r="N486" s="16" t="s">
        <v>57</v>
      </c>
      <c r="O486" s="16" t="s">
        <v>94</v>
      </c>
      <c r="P486" s="16" t="s">
        <v>1085</v>
      </c>
      <c r="Q486" s="16" t="s">
        <v>1085</v>
      </c>
      <c r="R486" s="16"/>
      <c r="S486" s="16"/>
      <c r="T486" s="16" t="s">
        <v>1086</v>
      </c>
      <c r="U486" s="16"/>
      <c r="V486" s="16" t="n">
        <v>4.96</v>
      </c>
      <c r="W486" s="16"/>
      <c r="X486" s="16" t="n">
        <v>16000</v>
      </c>
      <c r="Y486" s="16" t="n">
        <v>16000</v>
      </c>
      <c r="Z486" s="16" t="n">
        <v>16000</v>
      </c>
      <c r="AA486" s="16" t="n">
        <v>16000</v>
      </c>
      <c r="AB486" s="16" t="n">
        <v>16000</v>
      </c>
      <c r="AC486" s="16" t="n">
        <v>16000</v>
      </c>
      <c r="AD486" s="16" t="n">
        <v>16000</v>
      </c>
      <c r="AE486" s="16" t="n">
        <v>16000</v>
      </c>
      <c r="AF486" s="16" t="n">
        <v>16000</v>
      </c>
      <c r="AG486" s="16" t="n">
        <v>16000</v>
      </c>
      <c r="AH486" s="16" t="n">
        <v>16000</v>
      </c>
      <c r="AI486" s="16" t="n">
        <v>16000</v>
      </c>
      <c r="AJ486" s="9" t="n">
        <f aca="false">X486*$V486</f>
        <v>79360</v>
      </c>
      <c r="AK486" s="9" t="n">
        <f aca="false">Y486*$V486</f>
        <v>79360</v>
      </c>
      <c r="AL486" s="9" t="n">
        <f aca="false">Z486*$V486</f>
        <v>79360</v>
      </c>
      <c r="AM486" s="9" t="n">
        <f aca="false">AA486*$V486</f>
        <v>79360</v>
      </c>
      <c r="AN486" s="9" t="n">
        <f aca="false">AB486*$V486</f>
        <v>79360</v>
      </c>
      <c r="AO486" s="9" t="n">
        <f aca="false">AC486*$V486</f>
        <v>79360</v>
      </c>
      <c r="AP486" s="9" t="n">
        <f aca="false">AD486*$V486</f>
        <v>79360</v>
      </c>
      <c r="AQ486" s="9" t="n">
        <f aca="false">AE486*$V486</f>
        <v>79360</v>
      </c>
      <c r="AR486" s="9" t="n">
        <f aca="false">AF486*$V486</f>
        <v>79360</v>
      </c>
      <c r="AS486" s="9" t="n">
        <f aca="false">AG486*$V486</f>
        <v>79360</v>
      </c>
      <c r="AT486" s="9" t="n">
        <f aca="false">AH486*$V486</f>
        <v>79360</v>
      </c>
      <c r="AU486" s="9" t="n">
        <f aca="false">AI486*$V486</f>
        <v>79360</v>
      </c>
      <c r="AV486" s="9" t="n">
        <f aca="false">SUM(X486:AI486)/1000</f>
        <v>192</v>
      </c>
      <c r="AW486" s="9" t="n">
        <f aca="false">SUM(AJ486:AU486)</f>
        <v>952320</v>
      </c>
      <c r="AX486" s="9" t="n">
        <f aca="false">IF(D486="INR",AW486/88.24,AW486)/1000000</f>
        <v>0.010792384406165</v>
      </c>
    </row>
    <row r="487" s="2" customFormat="true" ht="14.25" hidden="false" customHeight="false" outlineLevel="0" collapsed="false">
      <c r="A487" s="12" t="s">
        <v>1087</v>
      </c>
      <c r="B487" s="16" t="n">
        <v>5</v>
      </c>
      <c r="C487" s="15"/>
      <c r="D487" s="16" t="s">
        <v>50</v>
      </c>
      <c r="E487" s="16" t="s">
        <v>51</v>
      </c>
      <c r="F487" s="16" t="s">
        <v>52</v>
      </c>
      <c r="G487" s="16" t="s">
        <v>254</v>
      </c>
      <c r="H487" s="16" t="s">
        <v>255</v>
      </c>
      <c r="I487" s="16" t="s">
        <v>55</v>
      </c>
      <c r="J487" s="16" t="s">
        <v>256</v>
      </c>
      <c r="K487" s="16"/>
      <c r="L487" s="16" t="s">
        <v>55</v>
      </c>
      <c r="M487" s="16" t="s">
        <v>256</v>
      </c>
      <c r="N487" s="16" t="s">
        <v>67</v>
      </c>
      <c r="O487" s="16" t="s">
        <v>246</v>
      </c>
      <c r="P487" s="9" t="s">
        <v>308</v>
      </c>
      <c r="Q487" s="16" t="s">
        <v>308</v>
      </c>
      <c r="R487" s="16" t="s">
        <v>309</v>
      </c>
      <c r="S487" s="16" t="s">
        <v>264</v>
      </c>
      <c r="T487" s="16" t="s">
        <v>1088</v>
      </c>
      <c r="U487" s="16" t="s">
        <v>73</v>
      </c>
      <c r="V487" s="16" t="n">
        <v>2.6</v>
      </c>
      <c r="W487" s="16" t="n">
        <v>2.25</v>
      </c>
      <c r="X487" s="16" t="n">
        <v>30000</v>
      </c>
      <c r="Y487" s="16" t="n">
        <v>30000</v>
      </c>
      <c r="Z487" s="16" t="n">
        <v>30000</v>
      </c>
      <c r="AA487" s="16" t="n">
        <v>30000</v>
      </c>
      <c r="AB487" s="16" t="n">
        <v>30000</v>
      </c>
      <c r="AC487" s="16" t="n">
        <v>30000</v>
      </c>
      <c r="AD487" s="16" t="n">
        <v>30000</v>
      </c>
      <c r="AE487" s="16" t="n">
        <v>30000</v>
      </c>
      <c r="AF487" s="16" t="n">
        <v>30000</v>
      </c>
      <c r="AG487" s="16" t="n">
        <v>30000</v>
      </c>
      <c r="AH487" s="16" t="n">
        <v>30000</v>
      </c>
      <c r="AI487" s="16" t="n">
        <v>30000</v>
      </c>
      <c r="AJ487" s="9" t="n">
        <f aca="false">X487*$V487</f>
        <v>78000</v>
      </c>
      <c r="AK487" s="9" t="n">
        <f aca="false">Y487*$V487</f>
        <v>78000</v>
      </c>
      <c r="AL487" s="9" t="n">
        <f aca="false">Z487*$V487</f>
        <v>78000</v>
      </c>
      <c r="AM487" s="9" t="n">
        <f aca="false">AA487*$V487</f>
        <v>78000</v>
      </c>
      <c r="AN487" s="9" t="n">
        <f aca="false">AB487*$V487</f>
        <v>78000</v>
      </c>
      <c r="AO487" s="9" t="n">
        <f aca="false">AC487*$V487</f>
        <v>78000</v>
      </c>
      <c r="AP487" s="9" t="n">
        <f aca="false">AD487*$V487</f>
        <v>78000</v>
      </c>
      <c r="AQ487" s="9" t="n">
        <f aca="false">AE487*$V487</f>
        <v>78000</v>
      </c>
      <c r="AR487" s="9" t="n">
        <f aca="false">AF487*$V487</f>
        <v>78000</v>
      </c>
      <c r="AS487" s="9" t="n">
        <f aca="false">AG487*$V487</f>
        <v>78000</v>
      </c>
      <c r="AT487" s="9" t="n">
        <f aca="false">AH487*$V487</f>
        <v>78000</v>
      </c>
      <c r="AU487" s="9" t="n">
        <f aca="false">AI487*$V487</f>
        <v>78000</v>
      </c>
      <c r="AV487" s="9" t="n">
        <f aca="false">SUM(X487:AI487)/1000</f>
        <v>360</v>
      </c>
      <c r="AW487" s="9" t="n">
        <f aca="false">SUM(AJ487:AU487)</f>
        <v>936000</v>
      </c>
      <c r="AX487" s="9" t="n">
        <f aca="false">IF(D487="INR",AW487/88.24,AW487)/1000000</f>
        <v>0.0106074342701723</v>
      </c>
    </row>
    <row r="488" s="2" customFormat="true" ht="14.25" hidden="false" customHeight="false" outlineLevel="0" collapsed="false">
      <c r="A488" s="12" t="s">
        <v>1089</v>
      </c>
      <c r="B488" s="16"/>
      <c r="C488" s="15"/>
      <c r="D488" s="16" t="s">
        <v>50</v>
      </c>
      <c r="E488" s="16" t="s">
        <v>51</v>
      </c>
      <c r="F488" s="16" t="s">
        <v>52</v>
      </c>
      <c r="G488" s="16" t="s">
        <v>323</v>
      </c>
      <c r="H488" s="16" t="s">
        <v>324</v>
      </c>
      <c r="I488" s="16" t="s">
        <v>77</v>
      </c>
      <c r="J488" s="16" t="s">
        <v>325</v>
      </c>
      <c r="K488" s="16"/>
      <c r="L488" s="16" t="s">
        <v>77</v>
      </c>
      <c r="M488" s="16" t="s">
        <v>325</v>
      </c>
      <c r="N488" s="16" t="s">
        <v>67</v>
      </c>
      <c r="O488" s="16" t="s">
        <v>68</v>
      </c>
      <c r="P488" s="16" t="s">
        <v>308</v>
      </c>
      <c r="Q488" s="16" t="s">
        <v>308</v>
      </c>
      <c r="R488" s="16" t="s">
        <v>309</v>
      </c>
      <c r="S488" s="16" t="s">
        <v>264</v>
      </c>
      <c r="T488" s="16" t="s">
        <v>1090</v>
      </c>
      <c r="U488" s="16" t="s">
        <v>73</v>
      </c>
      <c r="V488" s="16" t="n">
        <v>0.78</v>
      </c>
      <c r="W488" s="16" t="n">
        <v>0.69</v>
      </c>
      <c r="X488" s="16"/>
      <c r="Y488" s="16" t="n">
        <v>100000</v>
      </c>
      <c r="Z488" s="16" t="n">
        <v>100000</v>
      </c>
      <c r="AA488" s="16" t="n">
        <v>100000</v>
      </c>
      <c r="AB488" s="16" t="n">
        <v>100000</v>
      </c>
      <c r="AC488" s="16" t="n">
        <v>100000</v>
      </c>
      <c r="AD488" s="16" t="n">
        <v>100000</v>
      </c>
      <c r="AE488" s="16" t="n">
        <v>100000</v>
      </c>
      <c r="AF488" s="16" t="n">
        <v>100000</v>
      </c>
      <c r="AG488" s="16" t="n">
        <v>100000</v>
      </c>
      <c r="AH488" s="16" t="n">
        <v>100000</v>
      </c>
      <c r="AI488" s="16" t="n">
        <v>100000</v>
      </c>
      <c r="AJ488" s="9" t="n">
        <f aca="false">X488*$V488</f>
        <v>0</v>
      </c>
      <c r="AK488" s="9" t="n">
        <f aca="false">Y488*$V488</f>
        <v>78000</v>
      </c>
      <c r="AL488" s="9" t="n">
        <f aca="false">Z488*$V488</f>
        <v>78000</v>
      </c>
      <c r="AM488" s="9" t="n">
        <f aca="false">AA488*$V488</f>
        <v>78000</v>
      </c>
      <c r="AN488" s="9" t="n">
        <f aca="false">AB488*$V488</f>
        <v>78000</v>
      </c>
      <c r="AO488" s="9" t="n">
        <f aca="false">AC488*$V488</f>
        <v>78000</v>
      </c>
      <c r="AP488" s="9" t="n">
        <f aca="false">AD488*$V488</f>
        <v>78000</v>
      </c>
      <c r="AQ488" s="9" t="n">
        <f aca="false">AE488*$V488</f>
        <v>78000</v>
      </c>
      <c r="AR488" s="9" t="n">
        <f aca="false">AF488*$V488</f>
        <v>78000</v>
      </c>
      <c r="AS488" s="9" t="n">
        <f aca="false">AG488*$V488</f>
        <v>78000</v>
      </c>
      <c r="AT488" s="9" t="n">
        <f aca="false">AH488*$V488</f>
        <v>78000</v>
      </c>
      <c r="AU488" s="9" t="n">
        <f aca="false">AI488*$V488</f>
        <v>78000</v>
      </c>
      <c r="AV488" s="9" t="n">
        <f aca="false">SUM(X488:AI488)/1000</f>
        <v>1100</v>
      </c>
      <c r="AW488" s="9" t="n">
        <f aca="false">SUM(AJ488:AU488)</f>
        <v>858000</v>
      </c>
      <c r="AX488" s="9" t="n">
        <f aca="false">IF(D488="INR",AW488/88.24,AW488)/1000000</f>
        <v>0.00972348141432457</v>
      </c>
    </row>
    <row r="489" s="2" customFormat="true" ht="14.25" hidden="false" customHeight="false" outlineLevel="0" collapsed="false">
      <c r="A489" s="12" t="s">
        <v>1091</v>
      </c>
      <c r="B489" s="16" t="n">
        <v>5</v>
      </c>
      <c r="C489" s="15"/>
      <c r="D489" s="16" t="s">
        <v>102</v>
      </c>
      <c r="E489" s="16" t="s">
        <v>51</v>
      </c>
      <c r="F489" s="16" t="s">
        <v>52</v>
      </c>
      <c r="G489" s="16" t="s">
        <v>91</v>
      </c>
      <c r="H489" s="9" t="s">
        <v>92</v>
      </c>
      <c r="I489" s="16" t="s">
        <v>298</v>
      </c>
      <c r="J489" s="16" t="s">
        <v>298</v>
      </c>
      <c r="K489" s="9" t="s">
        <v>92</v>
      </c>
      <c r="L489" s="16" t="s">
        <v>298</v>
      </c>
      <c r="M489" s="16" t="s">
        <v>298</v>
      </c>
      <c r="N489" s="16" t="s">
        <v>93</v>
      </c>
      <c r="O489" s="16" t="s">
        <v>94</v>
      </c>
      <c r="P489" s="16" t="s">
        <v>110</v>
      </c>
      <c r="Q489" s="16" t="s">
        <v>110</v>
      </c>
      <c r="R489" s="16" t="s">
        <v>137</v>
      </c>
      <c r="S489" s="16" t="s">
        <v>272</v>
      </c>
      <c r="T489" s="16" t="s">
        <v>347</v>
      </c>
      <c r="U489" s="16" t="s">
        <v>73</v>
      </c>
      <c r="V489" s="16" t="n">
        <v>1.2</v>
      </c>
      <c r="W489" s="16" t="n">
        <v>1.097</v>
      </c>
      <c r="X489" s="16" t="n">
        <v>50000</v>
      </c>
      <c r="Y489" s="16" t="n">
        <v>50000</v>
      </c>
      <c r="Z489" s="16" t="n">
        <v>50000</v>
      </c>
      <c r="AA489" s="16" t="n">
        <v>50000</v>
      </c>
      <c r="AB489" s="16" t="n">
        <v>50000</v>
      </c>
      <c r="AC489" s="16" t="n">
        <v>50000</v>
      </c>
      <c r="AD489" s="16" t="n">
        <v>100000</v>
      </c>
      <c r="AE489" s="16" t="n">
        <v>100000</v>
      </c>
      <c r="AF489" s="16" t="n">
        <v>120000</v>
      </c>
      <c r="AG489" s="16" t="n">
        <v>100000</v>
      </c>
      <c r="AH489" s="16" t="n">
        <v>100000</v>
      </c>
      <c r="AI489" s="16" t="n">
        <v>100000</v>
      </c>
      <c r="AJ489" s="9" t="n">
        <f aca="false">X489*$V489</f>
        <v>60000</v>
      </c>
      <c r="AK489" s="9" t="n">
        <f aca="false">Y489*$V489</f>
        <v>60000</v>
      </c>
      <c r="AL489" s="9" t="n">
        <f aca="false">Z489*$V489</f>
        <v>60000</v>
      </c>
      <c r="AM489" s="9" t="n">
        <f aca="false">AA489*$V489</f>
        <v>60000</v>
      </c>
      <c r="AN489" s="9" t="n">
        <f aca="false">AB489*$V489</f>
        <v>60000</v>
      </c>
      <c r="AO489" s="9" t="n">
        <f aca="false">AC489*$V489</f>
        <v>60000</v>
      </c>
      <c r="AP489" s="9" t="n">
        <f aca="false">AD489*$V489</f>
        <v>120000</v>
      </c>
      <c r="AQ489" s="9" t="n">
        <f aca="false">AE489*$V489</f>
        <v>120000</v>
      </c>
      <c r="AR489" s="9" t="n">
        <f aca="false">AF489*$V489</f>
        <v>144000</v>
      </c>
      <c r="AS489" s="9" t="n">
        <f aca="false">AG489*$V489</f>
        <v>120000</v>
      </c>
      <c r="AT489" s="9" t="n">
        <f aca="false">AH489*$V489</f>
        <v>120000</v>
      </c>
      <c r="AU489" s="9" t="n">
        <f aca="false">AI489*$V489</f>
        <v>120000</v>
      </c>
      <c r="AV489" s="9" t="n">
        <f aca="false">SUM(X489:AI489)/1000</f>
        <v>920</v>
      </c>
      <c r="AW489" s="9" t="n">
        <f aca="false">SUM(AJ489:AU489)</f>
        <v>1104000</v>
      </c>
      <c r="AX489" s="9" t="n">
        <f aca="false">IF(D489="INR",AW489/88.24,AW489)/1000000</f>
        <v>1.104</v>
      </c>
    </row>
    <row r="490" s="2" customFormat="true" ht="14.25" hidden="false" customHeight="false" outlineLevel="0" collapsed="false">
      <c r="A490" s="12" t="s">
        <v>1092</v>
      </c>
      <c r="B490" s="16" t="n">
        <v>5</v>
      </c>
      <c r="C490" s="15"/>
      <c r="D490" s="16" t="s">
        <v>50</v>
      </c>
      <c r="E490" s="16" t="s">
        <v>51</v>
      </c>
      <c r="F490" s="16" t="s">
        <v>52</v>
      </c>
      <c r="G490" s="16" t="s">
        <v>366</v>
      </c>
      <c r="H490" s="16" t="s">
        <v>367</v>
      </c>
      <c r="I490" s="16" t="s">
        <v>105</v>
      </c>
      <c r="J490" s="16" t="s">
        <v>368</v>
      </c>
      <c r="K490" s="16"/>
      <c r="L490" s="16" t="s">
        <v>105</v>
      </c>
      <c r="M490" s="16" t="s">
        <v>368</v>
      </c>
      <c r="N490" s="16" t="s">
        <v>79</v>
      </c>
      <c r="O490" s="16" t="s">
        <v>107</v>
      </c>
      <c r="P490" s="16" t="s">
        <v>110</v>
      </c>
      <c r="Q490" s="16" t="s">
        <v>110</v>
      </c>
      <c r="R490" s="16" t="s">
        <v>137</v>
      </c>
      <c r="S490" s="16" t="s">
        <v>272</v>
      </c>
      <c r="T490" s="16" t="s">
        <v>1084</v>
      </c>
      <c r="U490" s="16" t="s">
        <v>73</v>
      </c>
      <c r="V490" s="16" t="n">
        <v>38.75</v>
      </c>
      <c r="W490" s="16" t="n">
        <v>0</v>
      </c>
      <c r="X490" s="16" t="n">
        <v>2000</v>
      </c>
      <c r="Y490" s="16" t="n">
        <v>2000</v>
      </c>
      <c r="Z490" s="16" t="n">
        <v>2000</v>
      </c>
      <c r="AA490" s="16" t="n">
        <v>2000</v>
      </c>
      <c r="AB490" s="16" t="n">
        <v>2000</v>
      </c>
      <c r="AC490" s="16" t="n">
        <v>2000</v>
      </c>
      <c r="AD490" s="16" t="n">
        <v>2000</v>
      </c>
      <c r="AE490" s="16" t="n">
        <v>2000</v>
      </c>
      <c r="AF490" s="16" t="n">
        <v>2000</v>
      </c>
      <c r="AG490" s="16" t="n">
        <v>2000</v>
      </c>
      <c r="AH490" s="16" t="n">
        <v>2000</v>
      </c>
      <c r="AI490" s="16" t="n">
        <v>2000</v>
      </c>
      <c r="AJ490" s="9" t="n">
        <f aca="false">X490*$V490</f>
        <v>77500</v>
      </c>
      <c r="AK490" s="9" t="n">
        <f aca="false">Y490*$V490</f>
        <v>77500</v>
      </c>
      <c r="AL490" s="9" t="n">
        <f aca="false">Z490*$V490</f>
        <v>77500</v>
      </c>
      <c r="AM490" s="9" t="n">
        <f aca="false">AA490*$V490</f>
        <v>77500</v>
      </c>
      <c r="AN490" s="9" t="n">
        <f aca="false">AB490*$V490</f>
        <v>77500</v>
      </c>
      <c r="AO490" s="9" t="n">
        <f aca="false">AC490*$V490</f>
        <v>77500</v>
      </c>
      <c r="AP490" s="9" t="n">
        <f aca="false">AD490*$V490</f>
        <v>77500</v>
      </c>
      <c r="AQ490" s="9" t="n">
        <f aca="false">AE490*$V490</f>
        <v>77500</v>
      </c>
      <c r="AR490" s="9" t="n">
        <f aca="false">AF490*$V490</f>
        <v>77500</v>
      </c>
      <c r="AS490" s="9" t="n">
        <f aca="false">AG490*$V490</f>
        <v>77500</v>
      </c>
      <c r="AT490" s="9" t="n">
        <f aca="false">AH490*$V490</f>
        <v>77500</v>
      </c>
      <c r="AU490" s="9" t="n">
        <f aca="false">AI490*$V490</f>
        <v>77500</v>
      </c>
      <c r="AV490" s="9" t="n">
        <f aca="false">SUM(X490:AI490)/1000</f>
        <v>24</v>
      </c>
      <c r="AW490" s="9" t="n">
        <f aca="false">SUM(AJ490:AU490)</f>
        <v>930000</v>
      </c>
      <c r="AX490" s="9" t="n">
        <f aca="false">IF(D490="INR",AW490/88.24,AW490)/1000000</f>
        <v>0.0105394378966455</v>
      </c>
    </row>
    <row r="491" s="2" customFormat="true" ht="14.25" hidden="false" customHeight="false" outlineLevel="0" collapsed="false">
      <c r="A491" s="12" t="s">
        <v>1093</v>
      </c>
      <c r="B491" s="16" t="n">
        <v>5</v>
      </c>
      <c r="C491" s="15"/>
      <c r="D491" s="16" t="s">
        <v>50</v>
      </c>
      <c r="E491" s="16" t="s">
        <v>51</v>
      </c>
      <c r="F491" s="16" t="s">
        <v>52</v>
      </c>
      <c r="G491" s="16" t="s">
        <v>947</v>
      </c>
      <c r="H491" s="16" t="s">
        <v>948</v>
      </c>
      <c r="I491" s="16" t="s">
        <v>1005</v>
      </c>
      <c r="J491" s="16" t="s">
        <v>1094</v>
      </c>
      <c r="K491" s="16"/>
      <c r="L491" s="16" t="s">
        <v>1005</v>
      </c>
      <c r="M491" s="16" t="s">
        <v>1094</v>
      </c>
      <c r="N491" s="16" t="s">
        <v>79</v>
      </c>
      <c r="O491" s="16" t="s">
        <v>315</v>
      </c>
      <c r="P491" s="16" t="s">
        <v>308</v>
      </c>
      <c r="Q491" s="16" t="s">
        <v>308</v>
      </c>
      <c r="R491" s="16" t="s">
        <v>309</v>
      </c>
      <c r="S491" s="16" t="s">
        <v>264</v>
      </c>
      <c r="T491" s="16" t="s">
        <v>1095</v>
      </c>
      <c r="U491" s="16" t="s">
        <v>73</v>
      </c>
      <c r="V491" s="16" t="n">
        <v>3.17</v>
      </c>
      <c r="W491" s="16" t="n">
        <v>2.81</v>
      </c>
      <c r="X491" s="16" t="n">
        <v>24000</v>
      </c>
      <c r="Y491" s="16" t="n">
        <v>24000</v>
      </c>
      <c r="Z491" s="16" t="n">
        <v>24000</v>
      </c>
      <c r="AA491" s="16" t="n">
        <v>24000</v>
      </c>
      <c r="AB491" s="16"/>
      <c r="AC491" s="16" t="n">
        <v>24000</v>
      </c>
      <c r="AD491" s="16" t="n">
        <v>24000</v>
      </c>
      <c r="AE491" s="16" t="n">
        <v>24000</v>
      </c>
      <c r="AF491" s="16" t="n">
        <v>24000</v>
      </c>
      <c r="AG491" s="16"/>
      <c r="AH491" s="16" t="n">
        <v>24000</v>
      </c>
      <c r="AI491" s="16" t="n">
        <v>24000</v>
      </c>
      <c r="AJ491" s="9" t="n">
        <f aca="false">X491*$V491</f>
        <v>76080</v>
      </c>
      <c r="AK491" s="9" t="n">
        <f aca="false">Y491*$V491</f>
        <v>76080</v>
      </c>
      <c r="AL491" s="9" t="n">
        <f aca="false">Z491*$V491</f>
        <v>76080</v>
      </c>
      <c r="AM491" s="9" t="n">
        <f aca="false">AA491*$V491</f>
        <v>76080</v>
      </c>
      <c r="AN491" s="9" t="n">
        <f aca="false">AB491*$V491</f>
        <v>0</v>
      </c>
      <c r="AO491" s="9" t="n">
        <f aca="false">AC491*$V491</f>
        <v>76080</v>
      </c>
      <c r="AP491" s="9" t="n">
        <f aca="false">AD491*$V491</f>
        <v>76080</v>
      </c>
      <c r="AQ491" s="9" t="n">
        <f aca="false">AE491*$V491</f>
        <v>76080</v>
      </c>
      <c r="AR491" s="9" t="n">
        <f aca="false">AF491*$V491</f>
        <v>76080</v>
      </c>
      <c r="AS491" s="9" t="n">
        <f aca="false">AG491*$V491</f>
        <v>0</v>
      </c>
      <c r="AT491" s="9" t="n">
        <f aca="false">AH491*$V491</f>
        <v>76080</v>
      </c>
      <c r="AU491" s="9" t="n">
        <f aca="false">AI491*$V491</f>
        <v>76080</v>
      </c>
      <c r="AV491" s="9" t="n">
        <f aca="false">SUM(X491:AI491)/1000</f>
        <v>240</v>
      </c>
      <c r="AW491" s="9" t="n">
        <f aca="false">SUM(AJ491:AU491)</f>
        <v>760800</v>
      </c>
      <c r="AX491" s="9" t="n">
        <f aca="false">IF(D491="INR",AW491/88.24,AW491)/1000000</f>
        <v>0.0086219401631913</v>
      </c>
    </row>
    <row r="492" s="2" customFormat="true" ht="14.25" hidden="false" customHeight="false" outlineLevel="0" collapsed="false">
      <c r="A492" s="9"/>
      <c r="B492" s="9" t="n">
        <v>1</v>
      </c>
      <c r="C492" s="15"/>
      <c r="D492" s="16" t="s">
        <v>102</v>
      </c>
      <c r="E492" s="16"/>
      <c r="F492" s="16" t="s">
        <v>52</v>
      </c>
      <c r="G492" s="16"/>
      <c r="H492" s="9" t="s">
        <v>92</v>
      </c>
      <c r="I492" s="16"/>
      <c r="J492" s="16"/>
      <c r="K492" s="9"/>
      <c r="L492" s="16"/>
      <c r="M492" s="16"/>
      <c r="N492" s="16" t="s">
        <v>93</v>
      </c>
      <c r="O492" s="16"/>
      <c r="P492" s="9"/>
      <c r="Q492" s="9" t="s">
        <v>110</v>
      </c>
      <c r="R492" s="9"/>
      <c r="S492" s="9"/>
      <c r="T492" s="9" t="s">
        <v>347</v>
      </c>
      <c r="U492" s="16"/>
      <c r="V492" s="36" t="n">
        <v>1.35</v>
      </c>
      <c r="W492" s="9"/>
      <c r="X492" s="22" t="n">
        <v>50000</v>
      </c>
      <c r="Y492" s="9"/>
      <c r="Z492" s="9" t="n">
        <v>50000</v>
      </c>
      <c r="AA492" s="9"/>
      <c r="AB492" s="9" t="n">
        <v>50000</v>
      </c>
      <c r="AC492" s="9" t="n">
        <v>10000</v>
      </c>
      <c r="AD492" s="23" t="n">
        <v>50000</v>
      </c>
      <c r="AE492" s="9" t="n">
        <v>50000</v>
      </c>
      <c r="AF492" s="9" t="n">
        <v>10000</v>
      </c>
      <c r="AG492" s="9" t="n">
        <v>50000</v>
      </c>
      <c r="AH492" s="9" t="n">
        <v>10000</v>
      </c>
      <c r="AI492" s="9" t="n">
        <v>50000</v>
      </c>
      <c r="AJ492" s="9" t="n">
        <f aca="false">X492*$V492</f>
        <v>67500</v>
      </c>
      <c r="AK492" s="9" t="n">
        <f aca="false">Y492*$V492</f>
        <v>0</v>
      </c>
      <c r="AL492" s="9" t="n">
        <f aca="false">Z492*$V492</f>
        <v>67500</v>
      </c>
      <c r="AM492" s="9" t="n">
        <f aca="false">AA492*$V492</f>
        <v>0</v>
      </c>
      <c r="AN492" s="9" t="n">
        <f aca="false">AB492*$V492</f>
        <v>67500</v>
      </c>
      <c r="AO492" s="9" t="n">
        <f aca="false">AC492*$V492</f>
        <v>13500</v>
      </c>
      <c r="AP492" s="9" t="n">
        <f aca="false">AD492*$V492</f>
        <v>67500</v>
      </c>
      <c r="AQ492" s="9" t="n">
        <f aca="false">AE492*$V492</f>
        <v>67500</v>
      </c>
      <c r="AR492" s="9" t="n">
        <f aca="false">AF492*$V492</f>
        <v>13500</v>
      </c>
      <c r="AS492" s="9" t="n">
        <f aca="false">AG492*$V492</f>
        <v>67500</v>
      </c>
      <c r="AT492" s="9" t="n">
        <f aca="false">AH492*$V492</f>
        <v>13500</v>
      </c>
      <c r="AU492" s="9" t="n">
        <f aca="false">AI492*$V492</f>
        <v>67500</v>
      </c>
      <c r="AV492" s="9" t="n">
        <f aca="false">SUM(X492:AI492)/1000</f>
        <v>380</v>
      </c>
      <c r="AW492" s="9" t="n">
        <f aca="false">SUM(AJ492:AU492)</f>
        <v>513000</v>
      </c>
      <c r="AX492" s="9" t="n">
        <f aca="false">IF(D492="INR",AW492/88.24,AW492)/1000000</f>
        <v>0.513</v>
      </c>
    </row>
    <row r="493" s="2" customFormat="true" ht="14.25" hidden="false" customHeight="false" outlineLevel="0" collapsed="false">
      <c r="A493" s="9"/>
      <c r="B493" s="9" t="n">
        <v>5</v>
      </c>
      <c r="C493" s="10"/>
      <c r="D493" s="9" t="s">
        <v>102</v>
      </c>
      <c r="E493" s="9" t="s">
        <v>51</v>
      </c>
      <c r="F493" s="9" t="s">
        <v>52</v>
      </c>
      <c r="G493" s="9" t="s">
        <v>91</v>
      </c>
      <c r="H493" s="9" t="s">
        <v>92</v>
      </c>
      <c r="I493" s="9" t="s">
        <v>298</v>
      </c>
      <c r="J493" s="9" t="s">
        <v>298</v>
      </c>
      <c r="K493" s="9"/>
      <c r="L493" s="9" t="s">
        <v>298</v>
      </c>
      <c r="M493" s="9" t="s">
        <v>298</v>
      </c>
      <c r="N493" s="9" t="s">
        <v>93</v>
      </c>
      <c r="O493" s="9" t="s">
        <v>94</v>
      </c>
      <c r="P493" s="9" t="s">
        <v>380</v>
      </c>
      <c r="Q493" s="9" t="s">
        <v>380</v>
      </c>
      <c r="R493" s="9" t="s">
        <v>442</v>
      </c>
      <c r="S493" s="9" t="s">
        <v>443</v>
      </c>
      <c r="T493" s="9" t="s">
        <v>1096</v>
      </c>
      <c r="U493" s="9" t="s">
        <v>63</v>
      </c>
      <c r="V493" s="9" t="n">
        <v>0.3</v>
      </c>
      <c r="W493" s="9" t="n">
        <v>0.266</v>
      </c>
      <c r="X493" s="9" t="n">
        <v>50000</v>
      </c>
      <c r="Y493" s="9"/>
      <c r="Z493" s="9" t="n">
        <v>50000</v>
      </c>
      <c r="AA493" s="9"/>
      <c r="AB493" s="9" t="n">
        <v>50000</v>
      </c>
      <c r="AC493" s="9" t="n">
        <v>50000</v>
      </c>
      <c r="AD493" s="9" t="n">
        <v>50000</v>
      </c>
      <c r="AE493" s="9" t="n">
        <v>50000</v>
      </c>
      <c r="AF493" s="9" t="n">
        <v>50000</v>
      </c>
      <c r="AG493" s="9"/>
      <c r="AH493" s="9"/>
      <c r="AI493" s="9"/>
      <c r="AJ493" s="9" t="n">
        <f aca="false">X493*$V493</f>
        <v>15000</v>
      </c>
      <c r="AK493" s="9" t="n">
        <f aca="false">Y493*$V493</f>
        <v>0</v>
      </c>
      <c r="AL493" s="9" t="n">
        <f aca="false">Z493*$V493</f>
        <v>15000</v>
      </c>
      <c r="AM493" s="9" t="n">
        <f aca="false">AA493*$V493</f>
        <v>0</v>
      </c>
      <c r="AN493" s="9" t="n">
        <f aca="false">AB493*$V493</f>
        <v>15000</v>
      </c>
      <c r="AO493" s="9" t="n">
        <f aca="false">AC493*$V493</f>
        <v>15000</v>
      </c>
      <c r="AP493" s="9" t="n">
        <f aca="false">AD493*$V493</f>
        <v>15000</v>
      </c>
      <c r="AQ493" s="9" t="n">
        <f aca="false">AE493*$V493</f>
        <v>15000</v>
      </c>
      <c r="AR493" s="9" t="n">
        <f aca="false">AF493*$V493</f>
        <v>15000</v>
      </c>
      <c r="AS493" s="9" t="n">
        <f aca="false">AG493*$V493</f>
        <v>0</v>
      </c>
      <c r="AT493" s="9" t="n">
        <f aca="false">AH493*$V493</f>
        <v>0</v>
      </c>
      <c r="AU493" s="9" t="n">
        <f aca="false">AI493*$V493</f>
        <v>0</v>
      </c>
      <c r="AV493" s="9" t="n">
        <f aca="false">SUM(X493:AI493)/1000</f>
        <v>350</v>
      </c>
      <c r="AW493" s="9" t="n">
        <f aca="false">SUM(AJ493:AU493)</f>
        <v>105000</v>
      </c>
      <c r="AX493" s="9" t="n">
        <f aca="false">IF(D493="INR",AW493/88.24,AW493)/1000000</f>
        <v>0.105</v>
      </c>
    </row>
    <row r="494" s="2" customFormat="true" ht="14.25" hidden="false" customHeight="false" outlineLevel="0" collapsed="false">
      <c r="A494" s="9"/>
      <c r="B494" s="9" t="n">
        <v>1</v>
      </c>
      <c r="C494" s="10"/>
      <c r="D494" s="9" t="s">
        <v>102</v>
      </c>
      <c r="E494" s="9"/>
      <c r="F494" s="9" t="s">
        <v>52</v>
      </c>
      <c r="G494" s="9"/>
      <c r="H494" s="9" t="s">
        <v>92</v>
      </c>
      <c r="I494" s="9"/>
      <c r="J494" s="9"/>
      <c r="K494" s="9"/>
      <c r="L494" s="9"/>
      <c r="M494" s="9"/>
      <c r="N494" s="9" t="s">
        <v>93</v>
      </c>
      <c r="O494" s="9"/>
      <c r="P494" s="9"/>
      <c r="Q494" s="9" t="s">
        <v>85</v>
      </c>
      <c r="R494" s="9"/>
      <c r="S494" s="9"/>
      <c r="T494" s="9" t="s">
        <v>1097</v>
      </c>
      <c r="U494" s="9"/>
      <c r="V494" s="10" t="n">
        <v>0.32</v>
      </c>
      <c r="W494" s="9"/>
      <c r="X494" s="9" t="n">
        <v>100000</v>
      </c>
      <c r="Y494" s="9" t="n">
        <v>0</v>
      </c>
      <c r="Z494" s="9" t="n">
        <v>0</v>
      </c>
      <c r="AA494" s="9" t="n">
        <v>100000</v>
      </c>
      <c r="AB494" s="9" t="n">
        <v>0</v>
      </c>
      <c r="AC494" s="9"/>
      <c r="AD494" s="9" t="n">
        <v>100000</v>
      </c>
      <c r="AE494" s="9"/>
      <c r="AF494" s="9" t="n">
        <v>0</v>
      </c>
      <c r="AG494" s="9"/>
      <c r="AH494" s="9"/>
      <c r="AI494" s="9" t="n">
        <v>0</v>
      </c>
      <c r="AJ494" s="9" t="n">
        <f aca="false">X494*$V494</f>
        <v>32000</v>
      </c>
      <c r="AK494" s="9" t="n">
        <f aca="false">Y494*$V494</f>
        <v>0</v>
      </c>
      <c r="AL494" s="9" t="n">
        <f aca="false">Z494*$V494</f>
        <v>0</v>
      </c>
      <c r="AM494" s="9" t="n">
        <f aca="false">AA494*$V494</f>
        <v>32000</v>
      </c>
      <c r="AN494" s="9" t="n">
        <f aca="false">AB494*$V494</f>
        <v>0</v>
      </c>
      <c r="AO494" s="9" t="n">
        <f aca="false">AC494*$V494</f>
        <v>0</v>
      </c>
      <c r="AP494" s="9" t="n">
        <f aca="false">AD494*$V494</f>
        <v>32000</v>
      </c>
      <c r="AQ494" s="9" t="n">
        <f aca="false">AE494*$V494</f>
        <v>0</v>
      </c>
      <c r="AR494" s="9" t="n">
        <f aca="false">AF494*$V494</f>
        <v>0</v>
      </c>
      <c r="AS494" s="9" t="n">
        <f aca="false">AG494*$V494</f>
        <v>0</v>
      </c>
      <c r="AT494" s="9" t="n">
        <f aca="false">AH494*$V494</f>
        <v>0</v>
      </c>
      <c r="AU494" s="9" t="n">
        <f aca="false">AI494*$V494</f>
        <v>0</v>
      </c>
      <c r="AV494" s="9" t="n">
        <f aca="false">SUM(X494:AI494)/1000</f>
        <v>300</v>
      </c>
      <c r="AW494" s="9" t="n">
        <f aca="false">SUM(AJ494:AU494)</f>
        <v>96000</v>
      </c>
      <c r="AX494" s="9" t="n">
        <f aca="false">IF(D494="INR",AW494/88.24,AW494)/1000000</f>
        <v>0.096</v>
      </c>
    </row>
    <row r="495" s="2" customFormat="true" ht="16.4" hidden="false" customHeight="false" outlineLevel="0" collapsed="false">
      <c r="A495" s="28" t="s">
        <v>1098</v>
      </c>
      <c r="B495" s="16" t="n">
        <v>5</v>
      </c>
      <c r="C495" s="16"/>
      <c r="D495" s="16" t="s">
        <v>102</v>
      </c>
      <c r="E495" s="16" t="s">
        <v>51</v>
      </c>
      <c r="F495" s="16" t="s">
        <v>52</v>
      </c>
      <c r="G495" s="16" t="s">
        <v>91</v>
      </c>
      <c r="H495" s="16" t="s">
        <v>92</v>
      </c>
      <c r="I495" s="16" t="s">
        <v>298</v>
      </c>
      <c r="J495" s="16" t="s">
        <v>298</v>
      </c>
      <c r="K495" s="16"/>
      <c r="L495" s="16"/>
      <c r="M495" s="16"/>
      <c r="N495" s="16" t="s">
        <v>93</v>
      </c>
      <c r="O495" s="16" t="s">
        <v>94</v>
      </c>
      <c r="P495" s="16" t="str">
        <f aca="false">Q495</f>
        <v>NICHICON</v>
      </c>
      <c r="Q495" s="16" t="s">
        <v>85</v>
      </c>
      <c r="R495" s="16" t="s">
        <v>86</v>
      </c>
      <c r="S495" s="16" t="s">
        <v>87</v>
      </c>
      <c r="T495" s="26" t="s">
        <v>1099</v>
      </c>
      <c r="U495" s="16" t="s">
        <v>63</v>
      </c>
      <c r="V495" s="16" t="n">
        <v>0.225</v>
      </c>
      <c r="W495" s="16" t="n">
        <v>0.2</v>
      </c>
      <c r="X495" s="16" t="n">
        <v>100000</v>
      </c>
      <c r="Y495" s="16" t="n">
        <v>0</v>
      </c>
      <c r="Z495" s="16" t="n">
        <v>0</v>
      </c>
      <c r="AA495" s="16" t="n">
        <v>100000</v>
      </c>
      <c r="AB495" s="16" t="n">
        <v>0</v>
      </c>
      <c r="AC495" s="16"/>
      <c r="AD495" s="16" t="n">
        <v>100000</v>
      </c>
      <c r="AE495" s="16"/>
      <c r="AF495" s="16" t="n">
        <v>0</v>
      </c>
      <c r="AG495" s="16"/>
      <c r="AH495" s="16"/>
      <c r="AI495" s="16" t="n">
        <v>0</v>
      </c>
      <c r="AJ495" s="9" t="n">
        <f aca="false">X495*$V495</f>
        <v>22500</v>
      </c>
      <c r="AK495" s="9" t="n">
        <f aca="false">Y495*$V495</f>
        <v>0</v>
      </c>
      <c r="AL495" s="9" t="n">
        <f aca="false">Z495*$V495</f>
        <v>0</v>
      </c>
      <c r="AM495" s="9" t="n">
        <f aca="false">AA495*$V495</f>
        <v>22500</v>
      </c>
      <c r="AN495" s="9" t="n">
        <f aca="false">AB495*$V495</f>
        <v>0</v>
      </c>
      <c r="AO495" s="9" t="n">
        <f aca="false">AC495*$V495</f>
        <v>0</v>
      </c>
      <c r="AP495" s="9" t="n">
        <f aca="false">AD495*$V495</f>
        <v>22500</v>
      </c>
      <c r="AQ495" s="9" t="n">
        <f aca="false">AE495*$V495</f>
        <v>0</v>
      </c>
      <c r="AR495" s="9" t="n">
        <f aca="false">AF495*$V495</f>
        <v>0</v>
      </c>
      <c r="AS495" s="9" t="n">
        <f aca="false">AG495*$V495</f>
        <v>0</v>
      </c>
      <c r="AT495" s="9" t="n">
        <f aca="false">AH495*$V495</f>
        <v>0</v>
      </c>
      <c r="AU495" s="9" t="n">
        <f aca="false">AI495*$V495</f>
        <v>0</v>
      </c>
      <c r="AV495" s="9" t="n">
        <f aca="false">SUM(X495:AI495)/1000</f>
        <v>300</v>
      </c>
      <c r="AW495" s="9" t="n">
        <f aca="false">SUM(AJ495:AU495)</f>
        <v>67500</v>
      </c>
      <c r="AX495" s="9" t="n">
        <f aca="false">IF(D495="INR",AW495/88.24,AW495)/1000000</f>
        <v>0.0675</v>
      </c>
    </row>
    <row r="496" s="2" customFormat="true" ht="14.25" hidden="false" customHeight="false" outlineLevel="0" collapsed="false">
      <c r="A496" s="12"/>
      <c r="B496" s="13"/>
      <c r="C496" s="14"/>
      <c r="D496" s="16" t="s">
        <v>102</v>
      </c>
      <c r="E496" s="16" t="s">
        <v>51</v>
      </c>
      <c r="F496" s="16" t="s">
        <v>52</v>
      </c>
      <c r="G496" s="16" t="s">
        <v>91</v>
      </c>
      <c r="H496" s="16" t="s">
        <v>92</v>
      </c>
      <c r="I496" s="16"/>
      <c r="J496" s="16"/>
      <c r="K496" s="16"/>
      <c r="L496" s="16"/>
      <c r="M496" s="16"/>
      <c r="N496" s="16" t="s">
        <v>93</v>
      </c>
      <c r="O496" s="16"/>
      <c r="P496" s="16"/>
      <c r="Q496" s="16" t="s">
        <v>85</v>
      </c>
      <c r="R496" s="16"/>
      <c r="S496" s="16"/>
      <c r="T496" s="16" t="s">
        <v>1100</v>
      </c>
      <c r="U496" s="16"/>
      <c r="V496" s="16" t="n">
        <v>0.092</v>
      </c>
      <c r="W496" s="16"/>
      <c r="X496" s="16" t="n">
        <v>100000</v>
      </c>
      <c r="Y496" s="16"/>
      <c r="Z496" s="16"/>
      <c r="AA496" s="16" t="n">
        <v>100000</v>
      </c>
      <c r="AB496" s="16"/>
      <c r="AC496" s="16"/>
      <c r="AD496" s="16" t="n">
        <v>100000</v>
      </c>
      <c r="AE496" s="16"/>
      <c r="AF496" s="16"/>
      <c r="AG496" s="16"/>
      <c r="AH496" s="16"/>
      <c r="AI496" s="16"/>
      <c r="AJ496" s="9" t="n">
        <f aca="false">X496*$V496</f>
        <v>9200</v>
      </c>
      <c r="AK496" s="9" t="n">
        <f aca="false">Y496*$V496</f>
        <v>0</v>
      </c>
      <c r="AL496" s="9" t="n">
        <f aca="false">Z496*$V496</f>
        <v>0</v>
      </c>
      <c r="AM496" s="9" t="n">
        <f aca="false">AA496*$V496</f>
        <v>9200</v>
      </c>
      <c r="AN496" s="9" t="n">
        <f aca="false">AB496*$V496</f>
        <v>0</v>
      </c>
      <c r="AO496" s="9" t="n">
        <f aca="false">AC496*$V496</f>
        <v>0</v>
      </c>
      <c r="AP496" s="9" t="n">
        <f aca="false">AD496*$V496</f>
        <v>9200</v>
      </c>
      <c r="AQ496" s="9" t="n">
        <f aca="false">AE496*$V496</f>
        <v>0</v>
      </c>
      <c r="AR496" s="9" t="n">
        <f aca="false">AF496*$V496</f>
        <v>0</v>
      </c>
      <c r="AS496" s="9" t="n">
        <f aca="false">AG496*$V496</f>
        <v>0</v>
      </c>
      <c r="AT496" s="9" t="n">
        <f aca="false">AH496*$V496</f>
        <v>0</v>
      </c>
      <c r="AU496" s="9" t="n">
        <f aca="false">AI496*$V496</f>
        <v>0</v>
      </c>
      <c r="AV496" s="9" t="n">
        <f aca="false">SUM(X496:AI496)/1000</f>
        <v>300</v>
      </c>
      <c r="AW496" s="9" t="n">
        <f aca="false">SUM(AJ496:AU496)</f>
        <v>27600</v>
      </c>
      <c r="AX496" s="9" t="n">
        <f aca="false">IF(D496="INR",AW496/88.24,AW496)/1000000</f>
        <v>0.0276</v>
      </c>
    </row>
    <row r="497" s="2" customFormat="true" ht="14.25" hidden="false" customHeight="false" outlineLevel="0" collapsed="false">
      <c r="A497" s="12" t="s">
        <v>1101</v>
      </c>
      <c r="B497" s="16"/>
      <c r="C497" s="15"/>
      <c r="D497" s="16" t="s">
        <v>102</v>
      </c>
      <c r="E497" s="16" t="s">
        <v>51</v>
      </c>
      <c r="F497" s="16" t="s">
        <v>52</v>
      </c>
      <c r="G497" s="16" t="s">
        <v>91</v>
      </c>
      <c r="H497" s="16" t="s">
        <v>92</v>
      </c>
      <c r="I497" s="16" t="s">
        <v>298</v>
      </c>
      <c r="J497" s="16" t="s">
        <v>298</v>
      </c>
      <c r="K497" s="16"/>
      <c r="L497" s="16" t="s">
        <v>298</v>
      </c>
      <c r="M497" s="16" t="s">
        <v>298</v>
      </c>
      <c r="N497" s="16" t="s">
        <v>93</v>
      </c>
      <c r="O497" s="16" t="s">
        <v>94</v>
      </c>
      <c r="P497" s="16" t="s">
        <v>85</v>
      </c>
      <c r="Q497" s="16" t="s">
        <v>85</v>
      </c>
      <c r="R497" s="16" t="s">
        <v>86</v>
      </c>
      <c r="S497" s="16" t="s">
        <v>87</v>
      </c>
      <c r="T497" s="16" t="s">
        <v>1102</v>
      </c>
      <c r="U497" s="16" t="s">
        <v>73</v>
      </c>
      <c r="V497" s="16" t="n">
        <v>0.077</v>
      </c>
      <c r="W497" s="16" t="n">
        <v>0.071</v>
      </c>
      <c r="X497" s="16" t="n">
        <v>100000</v>
      </c>
      <c r="Y497" s="16"/>
      <c r="Z497" s="16"/>
      <c r="AA497" s="16" t="n">
        <v>100000</v>
      </c>
      <c r="AB497" s="16"/>
      <c r="AC497" s="16"/>
      <c r="AD497" s="16" t="n">
        <v>100000</v>
      </c>
      <c r="AE497" s="16"/>
      <c r="AF497" s="16"/>
      <c r="AG497" s="16"/>
      <c r="AH497" s="16"/>
      <c r="AI497" s="16"/>
      <c r="AJ497" s="9" t="n">
        <f aca="false">X497*$V497</f>
        <v>7700</v>
      </c>
      <c r="AK497" s="9" t="n">
        <f aca="false">Y497*$V497</f>
        <v>0</v>
      </c>
      <c r="AL497" s="9" t="n">
        <f aca="false">Z497*$V497</f>
        <v>0</v>
      </c>
      <c r="AM497" s="9" t="n">
        <f aca="false">AA497*$V497</f>
        <v>7700</v>
      </c>
      <c r="AN497" s="9" t="n">
        <f aca="false">AB497*$V497</f>
        <v>0</v>
      </c>
      <c r="AO497" s="9" t="n">
        <f aca="false">AC497*$V497</f>
        <v>0</v>
      </c>
      <c r="AP497" s="9" t="n">
        <f aca="false">AD497*$V497</f>
        <v>7700</v>
      </c>
      <c r="AQ497" s="9" t="n">
        <f aca="false">AE497*$V497</f>
        <v>0</v>
      </c>
      <c r="AR497" s="9" t="n">
        <f aca="false">AF497*$V497</f>
        <v>0</v>
      </c>
      <c r="AS497" s="9" t="n">
        <f aca="false">AG497*$V497</f>
        <v>0</v>
      </c>
      <c r="AT497" s="9" t="n">
        <f aca="false">AH497*$V497</f>
        <v>0</v>
      </c>
      <c r="AU497" s="9" t="n">
        <f aca="false">AI497*$V497</f>
        <v>0</v>
      </c>
      <c r="AV497" s="9" t="n">
        <f aca="false">SUM(X497:AI497)/1000</f>
        <v>300</v>
      </c>
      <c r="AW497" s="9" t="n">
        <f aca="false">SUM(AJ497:AU497)</f>
        <v>23100</v>
      </c>
      <c r="AX497" s="9" t="n">
        <f aca="false">IF(D497="INR",AW497/88.24,AW497)/1000000</f>
        <v>0.0231</v>
      </c>
    </row>
    <row r="498" s="2" customFormat="true" ht="14.25" hidden="false" customHeight="false" outlineLevel="0" collapsed="false">
      <c r="A498" s="12"/>
      <c r="B498" s="16" t="n">
        <v>1</v>
      </c>
      <c r="C498" s="15"/>
      <c r="D498" s="16" t="s">
        <v>102</v>
      </c>
      <c r="E498" s="16"/>
      <c r="F498" s="16" t="s">
        <v>52</v>
      </c>
      <c r="G498" s="16"/>
      <c r="H498" s="16" t="s">
        <v>92</v>
      </c>
      <c r="I498" s="16"/>
      <c r="J498" s="16"/>
      <c r="K498" s="16"/>
      <c r="L498" s="16"/>
      <c r="M498" s="16"/>
      <c r="N498" s="16" t="s">
        <v>93</v>
      </c>
      <c r="O498" s="16"/>
      <c r="P498" s="16"/>
      <c r="Q498" s="16" t="s">
        <v>85</v>
      </c>
      <c r="R498" s="16"/>
      <c r="S498" s="16"/>
      <c r="T498" s="16" t="s">
        <v>1103</v>
      </c>
      <c r="U498" s="16"/>
      <c r="V498" s="16" t="n">
        <v>0.05</v>
      </c>
      <c r="W498" s="16"/>
      <c r="X498" s="16" t="n">
        <v>100000</v>
      </c>
      <c r="Y498" s="16" t="n">
        <v>0</v>
      </c>
      <c r="Z498" s="16" t="n">
        <v>0</v>
      </c>
      <c r="AA498" s="16" t="n">
        <v>100000</v>
      </c>
      <c r="AB498" s="16" t="n">
        <v>0</v>
      </c>
      <c r="AC498" s="16"/>
      <c r="AD498" s="16" t="n">
        <v>100000</v>
      </c>
      <c r="AE498" s="16"/>
      <c r="AF498" s="16" t="n">
        <v>0</v>
      </c>
      <c r="AG498" s="16"/>
      <c r="AH498" s="16"/>
      <c r="AI498" s="16" t="n">
        <v>0</v>
      </c>
      <c r="AJ498" s="9" t="n">
        <f aca="false">X498*$V498</f>
        <v>5000</v>
      </c>
      <c r="AK498" s="9" t="n">
        <f aca="false">Y498*$V498</f>
        <v>0</v>
      </c>
      <c r="AL498" s="9" t="n">
        <f aca="false">Z498*$V498</f>
        <v>0</v>
      </c>
      <c r="AM498" s="9" t="n">
        <f aca="false">AA498*$V498</f>
        <v>5000</v>
      </c>
      <c r="AN498" s="9" t="n">
        <f aca="false">AB498*$V498</f>
        <v>0</v>
      </c>
      <c r="AO498" s="9" t="n">
        <f aca="false">AC498*$V498</f>
        <v>0</v>
      </c>
      <c r="AP498" s="9" t="n">
        <f aca="false">AD498*$V498</f>
        <v>5000</v>
      </c>
      <c r="AQ498" s="9" t="n">
        <f aca="false">AE498*$V498</f>
        <v>0</v>
      </c>
      <c r="AR498" s="9" t="n">
        <f aca="false">AF498*$V498</f>
        <v>0</v>
      </c>
      <c r="AS498" s="9" t="n">
        <f aca="false">AG498*$V498</f>
        <v>0</v>
      </c>
      <c r="AT498" s="9" t="n">
        <f aca="false">AH498*$V498</f>
        <v>0</v>
      </c>
      <c r="AU498" s="9" t="n">
        <f aca="false">AI498*$V498</f>
        <v>0</v>
      </c>
      <c r="AV498" s="9" t="n">
        <f aca="false">SUM(X498:AI498)/1000</f>
        <v>300</v>
      </c>
      <c r="AW498" s="9" t="n">
        <f aca="false">SUM(AJ498:AU498)</f>
        <v>15000</v>
      </c>
      <c r="AX498" s="9" t="n">
        <f aca="false">IF(D498="INR",AW498/88.24,AW498)/1000000</f>
        <v>0.015</v>
      </c>
    </row>
    <row r="499" s="2" customFormat="true" ht="14.25" hidden="false" customHeight="false" outlineLevel="0" collapsed="false">
      <c r="A499" s="12" t="s">
        <v>1104</v>
      </c>
      <c r="B499" s="16" t="n">
        <v>5</v>
      </c>
      <c r="C499" s="15"/>
      <c r="D499" s="16" t="s">
        <v>102</v>
      </c>
      <c r="E499" s="16" t="s">
        <v>51</v>
      </c>
      <c r="F499" s="16" t="s">
        <v>52</v>
      </c>
      <c r="G499" s="16" t="s">
        <v>91</v>
      </c>
      <c r="H499" s="16" t="s">
        <v>92</v>
      </c>
      <c r="I499" s="16" t="s">
        <v>298</v>
      </c>
      <c r="J499" s="16" t="s">
        <v>298</v>
      </c>
      <c r="K499" s="16"/>
      <c r="L499" s="16" t="s">
        <v>298</v>
      </c>
      <c r="M499" s="16" t="s">
        <v>298</v>
      </c>
      <c r="N499" s="16" t="s">
        <v>93</v>
      </c>
      <c r="O499" s="16" t="s">
        <v>94</v>
      </c>
      <c r="P499" s="9" t="s">
        <v>85</v>
      </c>
      <c r="Q499" s="16" t="s">
        <v>85</v>
      </c>
      <c r="R499" s="16" t="s">
        <v>86</v>
      </c>
      <c r="S499" s="16" t="s">
        <v>87</v>
      </c>
      <c r="T499" s="16" t="s">
        <v>1105</v>
      </c>
      <c r="U499" s="16" t="s">
        <v>73</v>
      </c>
      <c r="V499" s="16" t="n">
        <v>0.047</v>
      </c>
      <c r="W499" s="16" t="n">
        <v>0.0432</v>
      </c>
      <c r="X499" s="16" t="n">
        <v>100000</v>
      </c>
      <c r="Y499" s="16"/>
      <c r="Z499" s="16"/>
      <c r="AA499" s="16" t="n">
        <v>100000</v>
      </c>
      <c r="AB499" s="16"/>
      <c r="AC499" s="16"/>
      <c r="AD499" s="16" t="n">
        <v>100000</v>
      </c>
      <c r="AE499" s="16"/>
      <c r="AF499" s="16"/>
      <c r="AG499" s="16"/>
      <c r="AH499" s="16"/>
      <c r="AI499" s="16"/>
      <c r="AJ499" s="9" t="n">
        <f aca="false">X499*$V499</f>
        <v>4700</v>
      </c>
      <c r="AK499" s="9" t="n">
        <f aca="false">Y499*$V499</f>
        <v>0</v>
      </c>
      <c r="AL499" s="9" t="n">
        <f aca="false">Z499*$V499</f>
        <v>0</v>
      </c>
      <c r="AM499" s="9" t="n">
        <f aca="false">AA499*$V499</f>
        <v>4700</v>
      </c>
      <c r="AN499" s="9" t="n">
        <f aca="false">AB499*$V499</f>
        <v>0</v>
      </c>
      <c r="AO499" s="9" t="n">
        <f aca="false">AC499*$V499</f>
        <v>0</v>
      </c>
      <c r="AP499" s="9" t="n">
        <f aca="false">AD499*$V499</f>
        <v>4700</v>
      </c>
      <c r="AQ499" s="9" t="n">
        <f aca="false">AE499*$V499</f>
        <v>0</v>
      </c>
      <c r="AR499" s="9" t="n">
        <f aca="false">AF499*$V499</f>
        <v>0</v>
      </c>
      <c r="AS499" s="9" t="n">
        <f aca="false">AG499*$V499</f>
        <v>0</v>
      </c>
      <c r="AT499" s="9" t="n">
        <f aca="false">AH499*$V499</f>
        <v>0</v>
      </c>
      <c r="AU499" s="9" t="n">
        <f aca="false">AI499*$V499</f>
        <v>0</v>
      </c>
      <c r="AV499" s="9" t="n">
        <f aca="false">SUM(X499:AI499)/1000</f>
        <v>300</v>
      </c>
      <c r="AW499" s="9" t="n">
        <f aca="false">SUM(AJ499:AU499)</f>
        <v>14100</v>
      </c>
      <c r="AX499" s="9" t="n">
        <f aca="false">IF(D499="INR",AW499/88.24,AW499)/1000000</f>
        <v>0.0141</v>
      </c>
    </row>
    <row r="500" s="2" customFormat="true" ht="14.25" hidden="false" customHeight="false" outlineLevel="0" collapsed="false">
      <c r="A500" s="12"/>
      <c r="B500" s="16" t="n">
        <v>5</v>
      </c>
      <c r="C500" s="15"/>
      <c r="D500" s="16" t="s">
        <v>102</v>
      </c>
      <c r="E500" s="16"/>
      <c r="F500" s="16" t="s">
        <v>52</v>
      </c>
      <c r="G500" s="16"/>
      <c r="H500" s="16" t="s">
        <v>92</v>
      </c>
      <c r="I500" s="16" t="s">
        <v>298</v>
      </c>
      <c r="J500" s="16" t="s">
        <v>298</v>
      </c>
      <c r="K500" s="16"/>
      <c r="L500" s="16" t="s">
        <v>298</v>
      </c>
      <c r="M500" s="16" t="s">
        <v>298</v>
      </c>
      <c r="N500" s="16" t="s">
        <v>93</v>
      </c>
      <c r="O500" s="16" t="s">
        <v>94</v>
      </c>
      <c r="P500" s="9" t="s">
        <v>85</v>
      </c>
      <c r="Q500" s="16" t="s">
        <v>85</v>
      </c>
      <c r="R500" s="16"/>
      <c r="S500" s="16"/>
      <c r="T500" s="16" t="s">
        <v>1106</v>
      </c>
      <c r="U500" s="16" t="s">
        <v>73</v>
      </c>
      <c r="V500" s="16" t="n">
        <v>0.045</v>
      </c>
      <c r="W500" s="26" t="n">
        <v>0.0414</v>
      </c>
      <c r="X500" s="16" t="n">
        <v>100000</v>
      </c>
      <c r="Y500" s="16" t="n">
        <v>0</v>
      </c>
      <c r="Z500" s="16" t="n">
        <v>0</v>
      </c>
      <c r="AA500" s="16" t="n">
        <v>100000</v>
      </c>
      <c r="AB500" s="16" t="n">
        <v>0</v>
      </c>
      <c r="AC500" s="16"/>
      <c r="AD500" s="16" t="n">
        <v>100000</v>
      </c>
      <c r="AE500" s="16"/>
      <c r="AF500" s="16"/>
      <c r="AG500" s="16"/>
      <c r="AH500" s="16"/>
      <c r="AI500" s="16"/>
      <c r="AJ500" s="9" t="n">
        <f aca="false">X500*$V500</f>
        <v>4500</v>
      </c>
      <c r="AK500" s="9" t="n">
        <f aca="false">Y500*$V500</f>
        <v>0</v>
      </c>
      <c r="AL500" s="9" t="n">
        <f aca="false">Z500*$V500</f>
        <v>0</v>
      </c>
      <c r="AM500" s="9" t="n">
        <f aca="false">AA500*$V500</f>
        <v>4500</v>
      </c>
      <c r="AN500" s="9" t="n">
        <f aca="false">AB500*$V500</f>
        <v>0</v>
      </c>
      <c r="AO500" s="9" t="n">
        <f aca="false">AC500*$V500</f>
        <v>0</v>
      </c>
      <c r="AP500" s="9" t="n">
        <f aca="false">AD500*$V500</f>
        <v>4500</v>
      </c>
      <c r="AQ500" s="9" t="n">
        <f aca="false">AE500*$V500</f>
        <v>0</v>
      </c>
      <c r="AR500" s="9" t="n">
        <f aca="false">AF500*$V500</f>
        <v>0</v>
      </c>
      <c r="AS500" s="9" t="n">
        <f aca="false">AG500*$V500</f>
        <v>0</v>
      </c>
      <c r="AT500" s="9" t="n">
        <f aca="false">AH500*$V500</f>
        <v>0</v>
      </c>
      <c r="AU500" s="9" t="n">
        <f aca="false">AI500*$V500</f>
        <v>0</v>
      </c>
      <c r="AV500" s="9" t="n">
        <f aca="false">SUM(X500:AI500)/1000</f>
        <v>300</v>
      </c>
      <c r="AW500" s="9" t="n">
        <f aca="false">SUM(AJ500:AU500)</f>
        <v>13500</v>
      </c>
      <c r="AX500" s="9" t="n">
        <f aca="false">IF(D500="INR",AW500/88.24,AW500)/1000000</f>
        <v>0.0135</v>
      </c>
    </row>
    <row r="501" s="2" customFormat="true" ht="14.25" hidden="false" customHeight="false" outlineLevel="0" collapsed="false">
      <c r="A501" s="12" t="s">
        <v>1107</v>
      </c>
      <c r="B501" s="16" t="n">
        <v>5</v>
      </c>
      <c r="C501" s="15"/>
      <c r="D501" s="16" t="s">
        <v>50</v>
      </c>
      <c r="E501" s="16" t="s">
        <v>51</v>
      </c>
      <c r="F501" s="16" t="s">
        <v>52</v>
      </c>
      <c r="G501" s="16" t="s">
        <v>391</v>
      </c>
      <c r="H501" s="16" t="s">
        <v>392</v>
      </c>
      <c r="I501" s="16" t="s">
        <v>260</v>
      </c>
      <c r="J501" s="16" t="s">
        <v>276</v>
      </c>
      <c r="K501" s="16"/>
      <c r="L501" s="16" t="s">
        <v>260</v>
      </c>
      <c r="M501" s="16" t="s">
        <v>276</v>
      </c>
      <c r="N501" s="16" t="s">
        <v>93</v>
      </c>
      <c r="O501" s="16" t="s">
        <v>58</v>
      </c>
      <c r="P501" s="16" t="s">
        <v>789</v>
      </c>
      <c r="Q501" s="16" t="s">
        <v>789</v>
      </c>
      <c r="R501" s="16" t="s">
        <v>377</v>
      </c>
      <c r="S501" s="16" t="s">
        <v>528</v>
      </c>
      <c r="T501" s="16" t="s">
        <v>1079</v>
      </c>
      <c r="U501" s="16" t="s">
        <v>73</v>
      </c>
      <c r="V501" s="16" t="n">
        <v>3.17</v>
      </c>
      <c r="W501" s="16" t="n">
        <v>2.82</v>
      </c>
      <c r="X501" s="22" t="n">
        <v>15000</v>
      </c>
      <c r="Y501" s="22" t="n">
        <v>20000</v>
      </c>
      <c r="Z501" s="22" t="n">
        <v>24000</v>
      </c>
      <c r="AA501" s="22" t="n">
        <v>30000</v>
      </c>
      <c r="AB501" s="22" t="n">
        <v>5000</v>
      </c>
      <c r="AC501" s="22" t="n">
        <v>15000</v>
      </c>
      <c r="AD501" s="22" t="n">
        <v>15000</v>
      </c>
      <c r="AE501" s="22" t="n">
        <v>20000</v>
      </c>
      <c r="AF501" s="22"/>
      <c r="AG501" s="22" t="n">
        <v>16000</v>
      </c>
      <c r="AH501" s="22"/>
      <c r="AI501" s="22"/>
      <c r="AJ501" s="9" t="n">
        <f aca="false">X501*$V501</f>
        <v>47550</v>
      </c>
      <c r="AK501" s="9" t="n">
        <f aca="false">Y501*$V501</f>
        <v>63400</v>
      </c>
      <c r="AL501" s="9" t="n">
        <f aca="false">Z501*$V501</f>
        <v>76080</v>
      </c>
      <c r="AM501" s="9" t="n">
        <f aca="false">AA501*$V501</f>
        <v>95100</v>
      </c>
      <c r="AN501" s="9" t="n">
        <f aca="false">AB501*$V501</f>
        <v>15850</v>
      </c>
      <c r="AO501" s="9" t="n">
        <f aca="false">AC501*$V501</f>
        <v>47550</v>
      </c>
      <c r="AP501" s="9" t="n">
        <f aca="false">AD501*$V501</f>
        <v>47550</v>
      </c>
      <c r="AQ501" s="9" t="n">
        <f aca="false">AE501*$V501</f>
        <v>63400</v>
      </c>
      <c r="AR501" s="9" t="n">
        <f aca="false">AF501*$V501</f>
        <v>0</v>
      </c>
      <c r="AS501" s="9" t="n">
        <f aca="false">AG501*$V501</f>
        <v>50720</v>
      </c>
      <c r="AT501" s="9" t="n">
        <f aca="false">AH501*$V501</f>
        <v>0</v>
      </c>
      <c r="AU501" s="9" t="n">
        <f aca="false">AI501*$V501</f>
        <v>0</v>
      </c>
      <c r="AV501" s="9" t="n">
        <f aca="false">SUM(X501:AI501)/1000</f>
        <v>160</v>
      </c>
      <c r="AW501" s="9" t="n">
        <f aca="false">SUM(AJ501:AU501)</f>
        <v>507200</v>
      </c>
      <c r="AX501" s="9" t="n">
        <f aca="false">IF(D501="INR",AW501/88.24,AW501)/1000000</f>
        <v>0.0057479601087942</v>
      </c>
    </row>
    <row r="502" s="2" customFormat="true" ht="14.25" hidden="false" customHeight="false" outlineLevel="0" collapsed="false">
      <c r="A502" s="12" t="s">
        <v>1108</v>
      </c>
      <c r="B502" s="16" t="n">
        <v>5</v>
      </c>
      <c r="C502" s="15"/>
      <c r="D502" s="16" t="s">
        <v>102</v>
      </c>
      <c r="E502" s="16" t="s">
        <v>51</v>
      </c>
      <c r="F502" s="16" t="s">
        <v>52</v>
      </c>
      <c r="G502" s="16" t="s">
        <v>91</v>
      </c>
      <c r="H502" s="16" t="s">
        <v>92</v>
      </c>
      <c r="I502" s="16" t="s">
        <v>298</v>
      </c>
      <c r="J502" s="16" t="s">
        <v>298</v>
      </c>
      <c r="K502" s="16"/>
      <c r="L502" s="16" t="s">
        <v>298</v>
      </c>
      <c r="M502" s="16" t="s">
        <v>298</v>
      </c>
      <c r="N502" s="16" t="s">
        <v>93</v>
      </c>
      <c r="O502" s="16" t="s">
        <v>94</v>
      </c>
      <c r="P502" s="16" t="s">
        <v>380</v>
      </c>
      <c r="Q502" s="16" t="s">
        <v>380</v>
      </c>
      <c r="R502" s="16" t="s">
        <v>442</v>
      </c>
      <c r="S502" s="16" t="s">
        <v>443</v>
      </c>
      <c r="T502" s="16" t="s">
        <v>1109</v>
      </c>
      <c r="U502" s="16" t="s">
        <v>73</v>
      </c>
      <c r="V502" s="16" t="n">
        <v>0.26</v>
      </c>
      <c r="W502" s="16" t="n">
        <v>0.24</v>
      </c>
      <c r="X502" s="16" t="n">
        <v>14000</v>
      </c>
      <c r="Y502" s="16"/>
      <c r="Z502" s="16"/>
      <c r="AA502" s="16" t="n">
        <v>25000</v>
      </c>
      <c r="AB502" s="16"/>
      <c r="AC502" s="16"/>
      <c r="AD502" s="16" t="n">
        <v>25000</v>
      </c>
      <c r="AE502" s="26"/>
      <c r="AF502" s="16"/>
      <c r="AG502" s="16"/>
      <c r="AH502" s="16"/>
      <c r="AI502" s="16"/>
      <c r="AJ502" s="9" t="n">
        <f aca="false">X502*$V502</f>
        <v>3640</v>
      </c>
      <c r="AK502" s="9" t="n">
        <f aca="false">Y502*$V502</f>
        <v>0</v>
      </c>
      <c r="AL502" s="9" t="n">
        <f aca="false">Z502*$V502</f>
        <v>0</v>
      </c>
      <c r="AM502" s="9" t="n">
        <f aca="false">AA502*$V502</f>
        <v>6500</v>
      </c>
      <c r="AN502" s="9" t="n">
        <f aca="false">AB502*$V502</f>
        <v>0</v>
      </c>
      <c r="AO502" s="9" t="n">
        <f aca="false">AC502*$V502</f>
        <v>0</v>
      </c>
      <c r="AP502" s="9" t="n">
        <f aca="false">AD502*$V502</f>
        <v>6500</v>
      </c>
      <c r="AQ502" s="9" t="n">
        <f aca="false">AE502*$V502</f>
        <v>0</v>
      </c>
      <c r="AR502" s="9" t="n">
        <f aca="false">AF502*$V502</f>
        <v>0</v>
      </c>
      <c r="AS502" s="9" t="n">
        <f aca="false">AG502*$V502</f>
        <v>0</v>
      </c>
      <c r="AT502" s="9" t="n">
        <f aca="false">AH502*$V502</f>
        <v>0</v>
      </c>
      <c r="AU502" s="9" t="n">
        <f aca="false">AI502*$V502</f>
        <v>0</v>
      </c>
      <c r="AV502" s="9" t="n">
        <f aca="false">SUM(X502:AI502)/1000</f>
        <v>64</v>
      </c>
      <c r="AW502" s="9" t="n">
        <f aca="false">SUM(AJ502:AU502)</f>
        <v>16640</v>
      </c>
      <c r="AX502" s="9" t="n">
        <f aca="false">IF(D502="INR",AW502/88.24,AW502)/1000000</f>
        <v>0.01664</v>
      </c>
    </row>
    <row r="503" s="2" customFormat="true" ht="14.25" hidden="false" customHeight="false" outlineLevel="0" collapsed="false">
      <c r="A503" s="12" t="s">
        <v>1110</v>
      </c>
      <c r="B503" s="16" t="n">
        <v>5</v>
      </c>
      <c r="C503" s="15"/>
      <c r="D503" s="16" t="s">
        <v>50</v>
      </c>
      <c r="E503" s="16" t="s">
        <v>51</v>
      </c>
      <c r="F503" s="16" t="s">
        <v>404</v>
      </c>
      <c r="G503" s="16" t="s">
        <v>405</v>
      </c>
      <c r="H503" s="16" t="s">
        <v>406</v>
      </c>
      <c r="I503" s="16" t="s">
        <v>105</v>
      </c>
      <c r="J503" s="16" t="s">
        <v>368</v>
      </c>
      <c r="K503" s="16"/>
      <c r="L503" s="16" t="s">
        <v>105</v>
      </c>
      <c r="M503" s="16" t="s">
        <v>368</v>
      </c>
      <c r="N503" s="16" t="s">
        <v>271</v>
      </c>
      <c r="O503" s="16" t="s">
        <v>94</v>
      </c>
      <c r="P503" s="16" t="s">
        <v>308</v>
      </c>
      <c r="Q503" s="16" t="s">
        <v>308</v>
      </c>
      <c r="R503" s="16" t="s">
        <v>309</v>
      </c>
      <c r="S503" s="16" t="s">
        <v>264</v>
      </c>
      <c r="T503" s="16" t="s">
        <v>1111</v>
      </c>
      <c r="U503" s="16" t="s">
        <v>73</v>
      </c>
      <c r="V503" s="16" t="n">
        <v>1.25</v>
      </c>
      <c r="W503" s="16" t="n">
        <v>1.05</v>
      </c>
      <c r="X503" s="16" t="n">
        <v>25000</v>
      </c>
      <c r="Y503" s="16" t="n">
        <v>60000</v>
      </c>
      <c r="Z503" s="16" t="n">
        <v>60000</v>
      </c>
      <c r="AA503" s="16" t="n">
        <v>60000</v>
      </c>
      <c r="AB503" s="16" t="n">
        <v>25000</v>
      </c>
      <c r="AC503" s="16" t="n">
        <v>25000</v>
      </c>
      <c r="AD503" s="16" t="n">
        <v>60000</v>
      </c>
      <c r="AE503" s="16" t="n">
        <v>60000</v>
      </c>
      <c r="AF503" s="16" t="n">
        <v>25000</v>
      </c>
      <c r="AG503" s="16" t="n">
        <v>25000</v>
      </c>
      <c r="AH503" s="16" t="n">
        <v>60000</v>
      </c>
      <c r="AI503" s="16" t="n">
        <v>25000</v>
      </c>
      <c r="AJ503" s="9" t="n">
        <f aca="false">X503*$V503</f>
        <v>31250</v>
      </c>
      <c r="AK503" s="9" t="n">
        <f aca="false">Y503*$V503</f>
        <v>75000</v>
      </c>
      <c r="AL503" s="9" t="n">
        <f aca="false">Z503*$V503</f>
        <v>75000</v>
      </c>
      <c r="AM503" s="9" t="n">
        <f aca="false">AA503*$V503</f>
        <v>75000</v>
      </c>
      <c r="AN503" s="9" t="n">
        <f aca="false">AB503*$V503</f>
        <v>31250</v>
      </c>
      <c r="AO503" s="9" t="n">
        <f aca="false">AC503*$V503</f>
        <v>31250</v>
      </c>
      <c r="AP503" s="9" t="n">
        <f aca="false">AD503*$V503</f>
        <v>75000</v>
      </c>
      <c r="AQ503" s="9" t="n">
        <f aca="false">AE503*$V503</f>
        <v>75000</v>
      </c>
      <c r="AR503" s="9" t="n">
        <f aca="false">AF503*$V503</f>
        <v>31250</v>
      </c>
      <c r="AS503" s="9" t="n">
        <f aca="false">AG503*$V503</f>
        <v>31250</v>
      </c>
      <c r="AT503" s="9" t="n">
        <f aca="false">AH503*$V503</f>
        <v>75000</v>
      </c>
      <c r="AU503" s="9" t="n">
        <f aca="false">AI503*$V503</f>
        <v>31250</v>
      </c>
      <c r="AV503" s="9" t="n">
        <f aca="false">SUM(X503:AI503)/1000</f>
        <v>510</v>
      </c>
      <c r="AW503" s="9" t="n">
        <f aca="false">SUM(AJ503:AU503)</f>
        <v>637500</v>
      </c>
      <c r="AX503" s="9" t="n">
        <f aca="false">IF(D503="INR",AW503/88.24,AW503)/1000000</f>
        <v>0.00722461468721668</v>
      </c>
    </row>
    <row r="504" s="2" customFormat="true" ht="14.25" hidden="false" customHeight="false" outlineLevel="0" collapsed="false">
      <c r="A504" s="12" t="s">
        <v>1112</v>
      </c>
      <c r="B504" s="16" t="n">
        <v>5</v>
      </c>
      <c r="C504" s="15"/>
      <c r="D504" s="16" t="s">
        <v>50</v>
      </c>
      <c r="E504" s="16" t="s">
        <v>51</v>
      </c>
      <c r="F504" s="16" t="s">
        <v>52</v>
      </c>
      <c r="G504" s="16" t="s">
        <v>391</v>
      </c>
      <c r="H504" s="16" t="s">
        <v>392</v>
      </c>
      <c r="I504" s="16" t="s">
        <v>260</v>
      </c>
      <c r="J504" s="16" t="s">
        <v>276</v>
      </c>
      <c r="K504" s="16"/>
      <c r="L504" s="16" t="s">
        <v>260</v>
      </c>
      <c r="M504" s="16" t="s">
        <v>276</v>
      </c>
      <c r="N504" s="16" t="s">
        <v>93</v>
      </c>
      <c r="O504" s="16" t="s">
        <v>58</v>
      </c>
      <c r="P504" s="16" t="s">
        <v>262</v>
      </c>
      <c r="Q504" s="16" t="s">
        <v>262</v>
      </c>
      <c r="R504" s="16" t="s">
        <v>263</v>
      </c>
      <c r="S504" s="16" t="s">
        <v>264</v>
      </c>
      <c r="T504" s="16" t="s">
        <v>1113</v>
      </c>
      <c r="U504" s="16" t="s">
        <v>73</v>
      </c>
      <c r="V504" s="16" t="n">
        <v>1.07</v>
      </c>
      <c r="W504" s="48" t="n">
        <v>0.01128</v>
      </c>
      <c r="X504" s="16" t="n">
        <v>70000</v>
      </c>
      <c r="Y504" s="16" t="n">
        <v>70000</v>
      </c>
      <c r="Z504" s="16" t="n">
        <v>70000</v>
      </c>
      <c r="AA504" s="16" t="n">
        <v>10000</v>
      </c>
      <c r="AB504" s="16" t="n">
        <v>70000</v>
      </c>
      <c r="AC504" s="16" t="n">
        <v>70000</v>
      </c>
      <c r="AD504" s="16" t="n">
        <v>70000</v>
      </c>
      <c r="AE504" s="16" t="n">
        <v>70000</v>
      </c>
      <c r="AF504" s="16" t="n">
        <v>70000</v>
      </c>
      <c r="AG504" s="16" t="n">
        <v>70000</v>
      </c>
      <c r="AH504" s="16" t="n">
        <v>70000</v>
      </c>
      <c r="AI504" s="16" t="n">
        <v>70000</v>
      </c>
      <c r="AJ504" s="9" t="n">
        <f aca="false">X504*$V504</f>
        <v>74900</v>
      </c>
      <c r="AK504" s="9" t="n">
        <f aca="false">Y504*$V504</f>
        <v>74900</v>
      </c>
      <c r="AL504" s="9" t="n">
        <f aca="false">Z504*$V504</f>
        <v>74900</v>
      </c>
      <c r="AM504" s="9" t="n">
        <f aca="false">AA504*$V504</f>
        <v>10700</v>
      </c>
      <c r="AN504" s="9" t="n">
        <f aca="false">AB504*$V504</f>
        <v>74900</v>
      </c>
      <c r="AO504" s="9" t="n">
        <f aca="false">AC504*$V504</f>
        <v>74900</v>
      </c>
      <c r="AP504" s="9" t="n">
        <f aca="false">AD504*$V504</f>
        <v>74900</v>
      </c>
      <c r="AQ504" s="9" t="n">
        <f aca="false">AE504*$V504</f>
        <v>74900</v>
      </c>
      <c r="AR504" s="9" t="n">
        <f aca="false">AF504*$V504</f>
        <v>74900</v>
      </c>
      <c r="AS504" s="9" t="n">
        <f aca="false">AG504*$V504</f>
        <v>74900</v>
      </c>
      <c r="AT504" s="9" t="n">
        <f aca="false">AH504*$V504</f>
        <v>74900</v>
      </c>
      <c r="AU504" s="9" t="n">
        <f aca="false">AI504*$V504</f>
        <v>74900</v>
      </c>
      <c r="AV504" s="9" t="n">
        <f aca="false">SUM(X504:AI504)/1000</f>
        <v>780</v>
      </c>
      <c r="AW504" s="9" t="n">
        <f aca="false">SUM(AJ504:AU504)</f>
        <v>834600</v>
      </c>
      <c r="AX504" s="9" t="n">
        <f aca="false">IF(D504="INR",AW504/88.24,AW504)/1000000</f>
        <v>0.00945829555757026</v>
      </c>
    </row>
    <row r="505" s="2" customFormat="true" ht="14.25" hidden="false" customHeight="false" outlineLevel="0" collapsed="false">
      <c r="A505" s="12" t="s">
        <v>1114</v>
      </c>
      <c r="B505" s="16"/>
      <c r="C505" s="15" t="n">
        <v>5</v>
      </c>
      <c r="D505" s="16" t="s">
        <v>50</v>
      </c>
      <c r="E505" s="16" t="s">
        <v>51</v>
      </c>
      <c r="F505" s="16" t="s">
        <v>52</v>
      </c>
      <c r="G505" s="16" t="s">
        <v>1115</v>
      </c>
      <c r="H505" s="16" t="s">
        <v>1116</v>
      </c>
      <c r="I505" s="16" t="s">
        <v>1117</v>
      </c>
      <c r="J505" s="16" t="s">
        <v>1118</v>
      </c>
      <c r="K505" s="16"/>
      <c r="L505" s="16" t="s">
        <v>1117</v>
      </c>
      <c r="M505" s="16" t="s">
        <v>1118</v>
      </c>
      <c r="N505" s="16" t="s">
        <v>57</v>
      </c>
      <c r="O505" s="16" t="s">
        <v>107</v>
      </c>
      <c r="P505" s="16" t="s">
        <v>80</v>
      </c>
      <c r="Q505" s="16" t="s">
        <v>80</v>
      </c>
      <c r="R505" s="16" t="s">
        <v>81</v>
      </c>
      <c r="S505" s="16" t="s">
        <v>82</v>
      </c>
      <c r="T505" s="16" t="s">
        <v>1119</v>
      </c>
      <c r="U505" s="16" t="s">
        <v>73</v>
      </c>
      <c r="V505" s="16" t="n">
        <v>37.43</v>
      </c>
      <c r="W505" s="16" t="n">
        <v>31.624</v>
      </c>
      <c r="X505" s="16"/>
      <c r="Y505" s="16"/>
      <c r="Z505" s="16" t="n">
        <v>2000</v>
      </c>
      <c r="AA505" s="16"/>
      <c r="AB505" s="16"/>
      <c r="AC505" s="16"/>
      <c r="AD505" s="16" t="n">
        <v>2000</v>
      </c>
      <c r="AE505" s="16"/>
      <c r="AF505" s="16"/>
      <c r="AG505" s="16"/>
      <c r="AH505" s="16"/>
      <c r="AI505" s="16"/>
      <c r="AJ505" s="9" t="n">
        <f aca="false">X505*$V505</f>
        <v>0</v>
      </c>
      <c r="AK505" s="9" t="n">
        <f aca="false">Y505*$V505</f>
        <v>0</v>
      </c>
      <c r="AL505" s="9" t="n">
        <f aca="false">Z505*$V505</f>
        <v>74860</v>
      </c>
      <c r="AM505" s="9" t="n">
        <f aca="false">AA505*$V505</f>
        <v>0</v>
      </c>
      <c r="AN505" s="9" t="n">
        <f aca="false">AB505*$V505</f>
        <v>0</v>
      </c>
      <c r="AO505" s="9" t="n">
        <f aca="false">AC505*$V505</f>
        <v>0</v>
      </c>
      <c r="AP505" s="9" t="n">
        <f aca="false">AD505*$V505</f>
        <v>74860</v>
      </c>
      <c r="AQ505" s="9" t="n">
        <f aca="false">AE505*$V505</f>
        <v>0</v>
      </c>
      <c r="AR505" s="9" t="n">
        <f aca="false">AF505*$V505</f>
        <v>0</v>
      </c>
      <c r="AS505" s="9" t="n">
        <f aca="false">AG505*$V505</f>
        <v>0</v>
      </c>
      <c r="AT505" s="9" t="n">
        <f aca="false">AH505*$V505</f>
        <v>0</v>
      </c>
      <c r="AU505" s="9" t="n">
        <f aca="false">AI505*$V505</f>
        <v>0</v>
      </c>
      <c r="AV505" s="9" t="n">
        <f aca="false">SUM(X505:AI505)/1000</f>
        <v>4</v>
      </c>
      <c r="AW505" s="9" t="n">
        <f aca="false">SUM(AJ505:AU505)</f>
        <v>149720</v>
      </c>
      <c r="AX505" s="9" t="n">
        <f aca="false">IF(D505="INR",AW505/88.24,AW505)/1000000</f>
        <v>0.00169673617407072</v>
      </c>
      <c r="AY505" s="27"/>
    </row>
    <row r="506" s="2" customFormat="true" ht="14.25" hidden="false" customHeight="false" outlineLevel="0" collapsed="false">
      <c r="A506" s="12" t="s">
        <v>1120</v>
      </c>
      <c r="B506" s="16" t="n">
        <v>5</v>
      </c>
      <c r="C506" s="15"/>
      <c r="D506" s="16" t="s">
        <v>50</v>
      </c>
      <c r="E506" s="16" t="s">
        <v>51</v>
      </c>
      <c r="F506" s="16" t="s">
        <v>52</v>
      </c>
      <c r="G506" s="16" t="s">
        <v>53</v>
      </c>
      <c r="H506" s="16" t="s">
        <v>54</v>
      </c>
      <c r="I506" s="16" t="s">
        <v>55</v>
      </c>
      <c r="J506" s="16" t="s">
        <v>56</v>
      </c>
      <c r="K506" s="16" t="s">
        <v>54</v>
      </c>
      <c r="L506" s="16" t="s">
        <v>55</v>
      </c>
      <c r="M506" s="16" t="s">
        <v>56</v>
      </c>
      <c r="N506" s="16" t="s">
        <v>57</v>
      </c>
      <c r="O506" s="16" t="s">
        <v>58</v>
      </c>
      <c r="P506" s="16" t="s">
        <v>308</v>
      </c>
      <c r="Q506" s="16" t="s">
        <v>308</v>
      </c>
      <c r="R506" s="16" t="s">
        <v>309</v>
      </c>
      <c r="S506" s="16" t="s">
        <v>264</v>
      </c>
      <c r="T506" s="16" t="s">
        <v>1121</v>
      </c>
      <c r="U506" s="16" t="s">
        <v>73</v>
      </c>
      <c r="V506" s="16" t="n">
        <v>0.36</v>
      </c>
      <c r="W506" s="16" t="n">
        <v>0.33</v>
      </c>
      <c r="X506" s="16" t="n">
        <v>200000</v>
      </c>
      <c r="Y506" s="16" t="n">
        <v>200000</v>
      </c>
      <c r="Z506" s="16" t="n">
        <v>200000</v>
      </c>
      <c r="AA506" s="16" t="n">
        <v>200000</v>
      </c>
      <c r="AB506" s="16" t="n">
        <v>200000</v>
      </c>
      <c r="AC506" s="16" t="n">
        <v>200000</v>
      </c>
      <c r="AD506" s="16" t="n">
        <v>200000</v>
      </c>
      <c r="AE506" s="16" t="n">
        <v>200000</v>
      </c>
      <c r="AF506" s="16" t="n">
        <v>200000</v>
      </c>
      <c r="AG506" s="16" t="n">
        <v>200000</v>
      </c>
      <c r="AH506" s="16" t="n">
        <v>200000</v>
      </c>
      <c r="AI506" s="16" t="n">
        <v>200000</v>
      </c>
      <c r="AJ506" s="9" t="n">
        <f aca="false">X506*$V506</f>
        <v>72000</v>
      </c>
      <c r="AK506" s="9" t="n">
        <f aca="false">Y506*$V506</f>
        <v>72000</v>
      </c>
      <c r="AL506" s="9" t="n">
        <f aca="false">Z506*$V506</f>
        <v>72000</v>
      </c>
      <c r="AM506" s="9" t="n">
        <f aca="false">AA506*$V506</f>
        <v>72000</v>
      </c>
      <c r="AN506" s="9" t="n">
        <f aca="false">AB506*$V506</f>
        <v>72000</v>
      </c>
      <c r="AO506" s="9" t="n">
        <f aca="false">AC506*$V506</f>
        <v>72000</v>
      </c>
      <c r="AP506" s="9" t="n">
        <f aca="false">AD506*$V506</f>
        <v>72000</v>
      </c>
      <c r="AQ506" s="9" t="n">
        <f aca="false">AE506*$V506</f>
        <v>72000</v>
      </c>
      <c r="AR506" s="9" t="n">
        <f aca="false">AF506*$V506</f>
        <v>72000</v>
      </c>
      <c r="AS506" s="9" t="n">
        <f aca="false">AG506*$V506</f>
        <v>72000</v>
      </c>
      <c r="AT506" s="9" t="n">
        <f aca="false">AH506*$V506</f>
        <v>72000</v>
      </c>
      <c r="AU506" s="9" t="n">
        <f aca="false">AI506*$V506</f>
        <v>72000</v>
      </c>
      <c r="AV506" s="9" t="n">
        <f aca="false">SUM(X506:AI506)/1000</f>
        <v>2400</v>
      </c>
      <c r="AW506" s="9" t="n">
        <f aca="false">SUM(AJ506:AU506)</f>
        <v>864000</v>
      </c>
      <c r="AX506" s="9" t="n">
        <f aca="false">IF(D506="INR",AW506/88.24,AW506)/1000000</f>
        <v>0.00979147778785132</v>
      </c>
    </row>
    <row r="507" s="2" customFormat="true" ht="16.4" hidden="false" customHeight="false" outlineLevel="0" collapsed="false">
      <c r="A507" s="28" t="s">
        <v>1122</v>
      </c>
      <c r="B507" s="16" t="n">
        <v>5</v>
      </c>
      <c r="C507" s="16"/>
      <c r="D507" s="16" t="s">
        <v>102</v>
      </c>
      <c r="E507" s="16" t="s">
        <v>51</v>
      </c>
      <c r="F507" s="16" t="s">
        <v>52</v>
      </c>
      <c r="G507" s="16" t="s">
        <v>1123</v>
      </c>
      <c r="H507" s="16" t="s">
        <v>1124</v>
      </c>
      <c r="I507" s="16" t="s">
        <v>105</v>
      </c>
      <c r="J507" s="16" t="s">
        <v>368</v>
      </c>
      <c r="K507" s="16"/>
      <c r="L507" s="16" t="s">
        <v>105</v>
      </c>
      <c r="M507" s="16" t="s">
        <v>368</v>
      </c>
      <c r="N507" s="16" t="s">
        <v>93</v>
      </c>
      <c r="O507" s="16" t="s">
        <v>107</v>
      </c>
      <c r="P507" s="16" t="s">
        <v>59</v>
      </c>
      <c r="Q507" s="16" t="s">
        <v>59</v>
      </c>
      <c r="R507" s="16" t="s">
        <v>60</v>
      </c>
      <c r="S507" s="16" t="s">
        <v>61</v>
      </c>
      <c r="T507" s="16" t="s">
        <v>1125</v>
      </c>
      <c r="U507" s="16" t="s">
        <v>73</v>
      </c>
      <c r="V507" s="16" t="n">
        <v>0.23</v>
      </c>
      <c r="W507" s="16" t="n">
        <v>0.21</v>
      </c>
      <c r="X507" s="16" t="n">
        <v>20000</v>
      </c>
      <c r="Y507" s="16" t="n">
        <v>20000</v>
      </c>
      <c r="Z507" s="16" t="n">
        <v>20000</v>
      </c>
      <c r="AA507" s="16" t="n">
        <v>100000</v>
      </c>
      <c r="AB507" s="16" t="n">
        <v>20000</v>
      </c>
      <c r="AC507" s="16" t="n">
        <v>20000</v>
      </c>
      <c r="AD507" s="16" t="n">
        <v>20000</v>
      </c>
      <c r="AE507" s="16" t="n">
        <v>20000</v>
      </c>
      <c r="AF507" s="16" t="n">
        <v>20000</v>
      </c>
      <c r="AG507" s="16" t="n">
        <v>20000</v>
      </c>
      <c r="AH507" s="16" t="n">
        <v>20000</v>
      </c>
      <c r="AI507" s="16" t="n">
        <v>20000</v>
      </c>
      <c r="AJ507" s="9" t="n">
        <f aca="false">X507*$V507</f>
        <v>4600</v>
      </c>
      <c r="AK507" s="9" t="n">
        <f aca="false">Y507*$V507</f>
        <v>4600</v>
      </c>
      <c r="AL507" s="9" t="n">
        <f aca="false">Z507*$V507</f>
        <v>4600</v>
      </c>
      <c r="AM507" s="9" t="n">
        <f aca="false">AA507*$V507</f>
        <v>23000</v>
      </c>
      <c r="AN507" s="9" t="n">
        <f aca="false">AB507*$V507</f>
        <v>4600</v>
      </c>
      <c r="AO507" s="9" t="n">
        <f aca="false">AC507*$V507</f>
        <v>4600</v>
      </c>
      <c r="AP507" s="9" t="n">
        <f aca="false">AD507*$V507</f>
        <v>4600</v>
      </c>
      <c r="AQ507" s="9" t="n">
        <f aca="false">AE507*$V507</f>
        <v>4600</v>
      </c>
      <c r="AR507" s="9" t="n">
        <f aca="false">AF507*$V507</f>
        <v>4600</v>
      </c>
      <c r="AS507" s="9" t="n">
        <f aca="false">AG507*$V507</f>
        <v>4600</v>
      </c>
      <c r="AT507" s="9" t="n">
        <f aca="false">AH507*$V507</f>
        <v>4600</v>
      </c>
      <c r="AU507" s="9" t="n">
        <f aca="false">AI507*$V507</f>
        <v>4600</v>
      </c>
      <c r="AV507" s="9" t="n">
        <f aca="false">SUM(X507:AI507)/1000</f>
        <v>320</v>
      </c>
      <c r="AW507" s="9" t="n">
        <f aca="false">SUM(AJ507:AU507)</f>
        <v>73600</v>
      </c>
      <c r="AX507" s="9" t="n">
        <f aca="false">IF(D507="INR",AW507/88.24,AW507)/1000000</f>
        <v>0.0736</v>
      </c>
    </row>
    <row r="508" s="2" customFormat="true" ht="14.25" hidden="false" customHeight="false" outlineLevel="0" collapsed="false">
      <c r="A508" s="9"/>
      <c r="B508" s="9" t="n">
        <v>5</v>
      </c>
      <c r="C508" s="15"/>
      <c r="D508" s="16" t="s">
        <v>102</v>
      </c>
      <c r="E508" s="16" t="s">
        <v>51</v>
      </c>
      <c r="F508" s="16" t="s">
        <v>52</v>
      </c>
      <c r="G508" s="16" t="s">
        <v>1123</v>
      </c>
      <c r="H508" s="9" t="s">
        <v>1124</v>
      </c>
      <c r="I508" s="16" t="s">
        <v>105</v>
      </c>
      <c r="J508" s="16" t="s">
        <v>368</v>
      </c>
      <c r="K508" s="9"/>
      <c r="L508" s="16" t="s">
        <v>105</v>
      </c>
      <c r="M508" s="16" t="s">
        <v>368</v>
      </c>
      <c r="N508" s="16" t="s">
        <v>93</v>
      </c>
      <c r="O508" s="16" t="s">
        <v>107</v>
      </c>
      <c r="P508" s="9" t="s">
        <v>59</v>
      </c>
      <c r="Q508" s="9" t="s">
        <v>59</v>
      </c>
      <c r="R508" s="9" t="s">
        <v>60</v>
      </c>
      <c r="S508" s="9" t="s">
        <v>61</v>
      </c>
      <c r="T508" s="9" t="s">
        <v>1126</v>
      </c>
      <c r="U508" s="16" t="s">
        <v>63</v>
      </c>
      <c r="V508" s="36" t="n">
        <v>2.08</v>
      </c>
      <c r="W508" s="9" t="n">
        <v>2.45</v>
      </c>
      <c r="X508" s="22" t="n">
        <v>20000</v>
      </c>
      <c r="Y508" s="9" t="n">
        <v>20000</v>
      </c>
      <c r="Z508" s="9" t="n">
        <v>20000</v>
      </c>
      <c r="AA508" s="9" t="n">
        <v>20000</v>
      </c>
      <c r="AB508" s="9" t="n">
        <v>20000</v>
      </c>
      <c r="AC508" s="9" t="n">
        <v>20000</v>
      </c>
      <c r="AD508" s="23" t="n">
        <v>20000</v>
      </c>
      <c r="AE508" s="9" t="n">
        <v>20000</v>
      </c>
      <c r="AF508" s="9" t="n">
        <v>20000</v>
      </c>
      <c r="AG508" s="9" t="n">
        <v>20000</v>
      </c>
      <c r="AH508" s="9" t="n">
        <v>20000</v>
      </c>
      <c r="AI508" s="9" t="n">
        <v>20000</v>
      </c>
      <c r="AJ508" s="9" t="n">
        <f aca="false">X508*$V508</f>
        <v>41600</v>
      </c>
      <c r="AK508" s="9" t="n">
        <f aca="false">Y508*$V508</f>
        <v>41600</v>
      </c>
      <c r="AL508" s="9" t="n">
        <f aca="false">Z508*$V508</f>
        <v>41600</v>
      </c>
      <c r="AM508" s="9" t="n">
        <f aca="false">AA508*$V508</f>
        <v>41600</v>
      </c>
      <c r="AN508" s="9" t="n">
        <f aca="false">AB508*$V508</f>
        <v>41600</v>
      </c>
      <c r="AO508" s="9" t="n">
        <f aca="false">AC508*$V508</f>
        <v>41600</v>
      </c>
      <c r="AP508" s="9" t="n">
        <f aca="false">AD508*$V508</f>
        <v>41600</v>
      </c>
      <c r="AQ508" s="9" t="n">
        <f aca="false">AE508*$V508</f>
        <v>41600</v>
      </c>
      <c r="AR508" s="9" t="n">
        <f aca="false">AF508*$V508</f>
        <v>41600</v>
      </c>
      <c r="AS508" s="9" t="n">
        <f aca="false">AG508*$V508</f>
        <v>41600</v>
      </c>
      <c r="AT508" s="9" t="n">
        <f aca="false">AH508*$V508</f>
        <v>41600</v>
      </c>
      <c r="AU508" s="9" t="n">
        <f aca="false">AI508*$V508</f>
        <v>41600</v>
      </c>
      <c r="AV508" s="9" t="n">
        <f aca="false">SUM(X508:AI508)/1000</f>
        <v>240</v>
      </c>
      <c r="AW508" s="9" t="n">
        <f aca="false">SUM(AJ508:AU508)</f>
        <v>499200</v>
      </c>
      <c r="AX508" s="9" t="n">
        <f aca="false">IF(D508="INR",AW508/88.24,AW508)/1000000</f>
        <v>0.4992</v>
      </c>
    </row>
    <row r="509" s="2" customFormat="true" ht="16.4" hidden="false" customHeight="false" outlineLevel="0" collapsed="false">
      <c r="A509" s="9" t="s">
        <v>1127</v>
      </c>
      <c r="B509" s="9" t="n">
        <v>5</v>
      </c>
      <c r="C509" s="15"/>
      <c r="D509" s="16" t="s">
        <v>102</v>
      </c>
      <c r="E509" s="16" t="s">
        <v>51</v>
      </c>
      <c r="F509" s="16" t="s">
        <v>52</v>
      </c>
      <c r="G509" s="16" t="s">
        <v>1123</v>
      </c>
      <c r="H509" s="9" t="s">
        <v>1124</v>
      </c>
      <c r="I509" s="16" t="s">
        <v>105</v>
      </c>
      <c r="J509" s="16" t="s">
        <v>368</v>
      </c>
      <c r="K509" s="9"/>
      <c r="L509" s="16" t="s">
        <v>105</v>
      </c>
      <c r="M509" s="16" t="s">
        <v>368</v>
      </c>
      <c r="N509" s="16" t="s">
        <v>93</v>
      </c>
      <c r="O509" s="16" t="s">
        <v>107</v>
      </c>
      <c r="P509" s="9" t="s">
        <v>59</v>
      </c>
      <c r="Q509" s="9" t="s">
        <v>59</v>
      </c>
      <c r="R509" s="9" t="s">
        <v>60</v>
      </c>
      <c r="S509" s="9" t="s">
        <v>61</v>
      </c>
      <c r="T509" s="9" t="s">
        <v>1128</v>
      </c>
      <c r="U509" s="16" t="s">
        <v>73</v>
      </c>
      <c r="V509" s="36" t="n">
        <v>4.12</v>
      </c>
      <c r="W509" s="9" t="n">
        <v>3.95</v>
      </c>
      <c r="X509" s="22" t="n">
        <v>10000</v>
      </c>
      <c r="Y509" s="9" t="n">
        <v>10000</v>
      </c>
      <c r="Z509" s="9" t="n">
        <v>10000</v>
      </c>
      <c r="AA509" s="9" t="n">
        <v>10000</v>
      </c>
      <c r="AB509" s="9" t="n">
        <v>10000</v>
      </c>
      <c r="AC509" s="9" t="n">
        <v>10000</v>
      </c>
      <c r="AD509" s="23" t="n">
        <v>10000</v>
      </c>
      <c r="AE509" s="9" t="n">
        <v>10000</v>
      </c>
      <c r="AF509" s="9" t="n">
        <v>10000</v>
      </c>
      <c r="AG509" s="9" t="n">
        <v>10000</v>
      </c>
      <c r="AH509" s="9" t="n">
        <v>10000</v>
      </c>
      <c r="AI509" s="9" t="n">
        <v>10000</v>
      </c>
      <c r="AJ509" s="9" t="n">
        <f aca="false">X509*$V509</f>
        <v>41200</v>
      </c>
      <c r="AK509" s="9" t="n">
        <f aca="false">Y509*$V509</f>
        <v>41200</v>
      </c>
      <c r="AL509" s="9" t="n">
        <f aca="false">Z509*$V509</f>
        <v>41200</v>
      </c>
      <c r="AM509" s="9" t="n">
        <f aca="false">AA509*$V509</f>
        <v>41200</v>
      </c>
      <c r="AN509" s="9" t="n">
        <f aca="false">AB509*$V509</f>
        <v>41200</v>
      </c>
      <c r="AO509" s="9" t="n">
        <f aca="false">AC509*$V509</f>
        <v>41200</v>
      </c>
      <c r="AP509" s="9" t="n">
        <f aca="false">AD509*$V509</f>
        <v>41200</v>
      </c>
      <c r="AQ509" s="9" t="n">
        <f aca="false">AE509*$V509</f>
        <v>41200</v>
      </c>
      <c r="AR509" s="9" t="n">
        <f aca="false">AF509*$V509</f>
        <v>41200</v>
      </c>
      <c r="AS509" s="9" t="n">
        <f aca="false">AG509*$V509</f>
        <v>41200</v>
      </c>
      <c r="AT509" s="9" t="n">
        <f aca="false">AH509*$V509</f>
        <v>41200</v>
      </c>
      <c r="AU509" s="9" t="n">
        <f aca="false">AI509*$V509</f>
        <v>41200</v>
      </c>
      <c r="AV509" s="9" t="n">
        <f aca="false">SUM(X509:AI509)/1000</f>
        <v>120</v>
      </c>
      <c r="AW509" s="9" t="n">
        <f aca="false">SUM(AJ509:AU509)</f>
        <v>494400</v>
      </c>
      <c r="AX509" s="9" t="n">
        <f aca="false">IF(D509="INR",AW509/88.24,AW509)/1000000</f>
        <v>0.4944</v>
      </c>
    </row>
    <row r="510" s="2" customFormat="true" ht="14.25" hidden="false" customHeight="true" outlineLevel="0" collapsed="false">
      <c r="A510" s="12" t="s">
        <v>1129</v>
      </c>
      <c r="B510" s="16" t="n">
        <v>5</v>
      </c>
      <c r="C510" s="15"/>
      <c r="D510" s="16" t="s">
        <v>50</v>
      </c>
      <c r="E510" s="16" t="s">
        <v>51</v>
      </c>
      <c r="F510" s="16" t="s">
        <v>52</v>
      </c>
      <c r="G510" s="16" t="s">
        <v>254</v>
      </c>
      <c r="H510" s="16" t="s">
        <v>255</v>
      </c>
      <c r="I510" s="16" t="s">
        <v>55</v>
      </c>
      <c r="J510" s="16" t="s">
        <v>256</v>
      </c>
      <c r="K510" s="16"/>
      <c r="L510" s="16" t="s">
        <v>55</v>
      </c>
      <c r="M510" s="16" t="s">
        <v>256</v>
      </c>
      <c r="N510" s="16" t="s">
        <v>67</v>
      </c>
      <c r="O510" s="16" t="s">
        <v>246</v>
      </c>
      <c r="P510" s="16" t="s">
        <v>308</v>
      </c>
      <c r="Q510" s="16" t="s">
        <v>308</v>
      </c>
      <c r="R510" s="16" t="s">
        <v>309</v>
      </c>
      <c r="S510" s="16" t="s">
        <v>264</v>
      </c>
      <c r="T510" s="16" t="s">
        <v>487</v>
      </c>
      <c r="U510" s="16" t="s">
        <v>73</v>
      </c>
      <c r="V510" s="16" t="n">
        <v>0.72</v>
      </c>
      <c r="W510" s="16" t="n">
        <v>0</v>
      </c>
      <c r="X510" s="16" t="n">
        <v>100000</v>
      </c>
      <c r="Y510" s="16" t="n">
        <v>100000</v>
      </c>
      <c r="Z510" s="16" t="n">
        <v>100000</v>
      </c>
      <c r="AA510" s="16" t="n">
        <v>100000</v>
      </c>
      <c r="AB510" s="16" t="n">
        <v>100000</v>
      </c>
      <c r="AC510" s="16" t="n">
        <v>100000</v>
      </c>
      <c r="AD510" s="16" t="n">
        <v>100000</v>
      </c>
      <c r="AE510" s="16" t="n">
        <v>100000</v>
      </c>
      <c r="AF510" s="16" t="n">
        <v>100000</v>
      </c>
      <c r="AG510" s="16" t="n">
        <v>100000</v>
      </c>
      <c r="AH510" s="16" t="n">
        <v>100000</v>
      </c>
      <c r="AI510" s="16" t="n">
        <v>100000</v>
      </c>
      <c r="AJ510" s="9" t="n">
        <f aca="false">X510*$V510</f>
        <v>72000</v>
      </c>
      <c r="AK510" s="9" t="n">
        <f aca="false">Y510*$V510</f>
        <v>72000</v>
      </c>
      <c r="AL510" s="9" t="n">
        <f aca="false">Z510*$V510</f>
        <v>72000</v>
      </c>
      <c r="AM510" s="9" t="n">
        <f aca="false">AA510*$V510</f>
        <v>72000</v>
      </c>
      <c r="AN510" s="9" t="n">
        <f aca="false">AB510*$V510</f>
        <v>72000</v>
      </c>
      <c r="AO510" s="9" t="n">
        <f aca="false">AC510*$V510</f>
        <v>72000</v>
      </c>
      <c r="AP510" s="9" t="n">
        <f aca="false">AD510*$V510</f>
        <v>72000</v>
      </c>
      <c r="AQ510" s="9" t="n">
        <f aca="false">AE510*$V510</f>
        <v>72000</v>
      </c>
      <c r="AR510" s="9" t="n">
        <f aca="false">AF510*$V510</f>
        <v>72000</v>
      </c>
      <c r="AS510" s="9" t="n">
        <f aca="false">AG510*$V510</f>
        <v>72000</v>
      </c>
      <c r="AT510" s="9" t="n">
        <f aca="false">AH510*$V510</f>
        <v>72000</v>
      </c>
      <c r="AU510" s="9" t="n">
        <f aca="false">AI510*$V510</f>
        <v>72000</v>
      </c>
      <c r="AV510" s="9" t="n">
        <f aca="false">SUM(X510:AI510)/1000</f>
        <v>1200</v>
      </c>
      <c r="AW510" s="9" t="n">
        <f aca="false">SUM(AJ510:AU510)</f>
        <v>864000</v>
      </c>
      <c r="AX510" s="9" t="n">
        <f aca="false">IF(D510="INR",AW510/88.24,AW510)/1000000</f>
        <v>0.00979147778785132</v>
      </c>
    </row>
    <row r="511" s="2" customFormat="true" ht="14.25" hidden="false" customHeight="false" outlineLevel="0" collapsed="false">
      <c r="A511" s="12" t="s">
        <v>1130</v>
      </c>
      <c r="B511" s="16" t="n">
        <v>5</v>
      </c>
      <c r="C511" s="15"/>
      <c r="D511" s="16" t="s">
        <v>50</v>
      </c>
      <c r="E511" s="16" t="s">
        <v>51</v>
      </c>
      <c r="F511" s="16" t="s">
        <v>52</v>
      </c>
      <c r="G511" s="16" t="s">
        <v>1131</v>
      </c>
      <c r="H511" s="16" t="s">
        <v>1132</v>
      </c>
      <c r="I511" s="16" t="s">
        <v>55</v>
      </c>
      <c r="J511" s="16" t="s">
        <v>56</v>
      </c>
      <c r="K511" s="16"/>
      <c r="L511" s="16" t="s">
        <v>55</v>
      </c>
      <c r="M511" s="16" t="s">
        <v>56</v>
      </c>
      <c r="N511" s="16" t="s">
        <v>93</v>
      </c>
      <c r="O511" s="16" t="s">
        <v>58</v>
      </c>
      <c r="P511" s="16" t="s">
        <v>85</v>
      </c>
      <c r="Q511" s="16" t="s">
        <v>85</v>
      </c>
      <c r="R511" s="16" t="s">
        <v>86</v>
      </c>
      <c r="S511" s="16" t="s">
        <v>87</v>
      </c>
      <c r="T511" s="16" t="s">
        <v>693</v>
      </c>
      <c r="U511" s="16" t="s">
        <v>73</v>
      </c>
      <c r="V511" s="16" t="n">
        <v>17.96</v>
      </c>
      <c r="W511" s="16" t="n">
        <v>0.176</v>
      </c>
      <c r="X511" s="16" t="n">
        <v>10000</v>
      </c>
      <c r="Y511" s="16" t="n">
        <v>4000</v>
      </c>
      <c r="Z511" s="16" t="n">
        <v>4000</v>
      </c>
      <c r="AA511" s="16" t="n">
        <v>4000</v>
      </c>
      <c r="AB511" s="16" t="n">
        <v>4000</v>
      </c>
      <c r="AC511" s="16" t="n">
        <v>4000</v>
      </c>
      <c r="AD511" s="16" t="n">
        <v>4000</v>
      </c>
      <c r="AE511" s="16"/>
      <c r="AF511" s="16"/>
      <c r="AG511" s="16"/>
      <c r="AH511" s="16"/>
      <c r="AI511" s="16"/>
      <c r="AJ511" s="9" t="n">
        <f aca="false">X511*$V511</f>
        <v>179600</v>
      </c>
      <c r="AK511" s="9" t="n">
        <f aca="false">Y511*$V511</f>
        <v>71840</v>
      </c>
      <c r="AL511" s="9" t="n">
        <f aca="false">Z511*$V511</f>
        <v>71840</v>
      </c>
      <c r="AM511" s="9" t="n">
        <f aca="false">AA511*$V511</f>
        <v>71840</v>
      </c>
      <c r="AN511" s="9" t="n">
        <f aca="false">AB511*$V511</f>
        <v>71840</v>
      </c>
      <c r="AO511" s="9" t="n">
        <f aca="false">AC511*$V511</f>
        <v>71840</v>
      </c>
      <c r="AP511" s="9" t="n">
        <f aca="false">AD511*$V511</f>
        <v>71840</v>
      </c>
      <c r="AQ511" s="9" t="n">
        <f aca="false">AE511*$V511</f>
        <v>0</v>
      </c>
      <c r="AR511" s="9" t="n">
        <f aca="false">AF511*$V511</f>
        <v>0</v>
      </c>
      <c r="AS511" s="9" t="n">
        <f aca="false">AG511*$V511</f>
        <v>0</v>
      </c>
      <c r="AT511" s="9" t="n">
        <f aca="false">AH511*$V511</f>
        <v>0</v>
      </c>
      <c r="AU511" s="9" t="n">
        <f aca="false">AI511*$V511</f>
        <v>0</v>
      </c>
      <c r="AV511" s="9" t="n">
        <f aca="false">SUM(X511:AI511)/1000</f>
        <v>34</v>
      </c>
      <c r="AW511" s="9" t="n">
        <f aca="false">SUM(AJ511:AU511)</f>
        <v>610640</v>
      </c>
      <c r="AX511" s="9" t="n">
        <f aca="false">IF(D511="INR",AW511/88.24,AW511)/1000000</f>
        <v>0.00692021758839529</v>
      </c>
    </row>
    <row r="512" s="2" customFormat="true" ht="14.25" hidden="false" customHeight="false" outlineLevel="0" collapsed="false">
      <c r="A512" s="12"/>
      <c r="B512" s="16"/>
      <c r="C512" s="15"/>
      <c r="D512" s="16" t="s">
        <v>50</v>
      </c>
      <c r="E512" s="16" t="s">
        <v>51</v>
      </c>
      <c r="F512" s="16" t="s">
        <v>52</v>
      </c>
      <c r="G512" s="16"/>
      <c r="H512" s="16" t="s">
        <v>346</v>
      </c>
      <c r="I512" s="16"/>
      <c r="J512" s="16"/>
      <c r="K512" s="16"/>
      <c r="L512" s="16"/>
      <c r="M512" s="16"/>
      <c r="N512" s="16" t="s">
        <v>290</v>
      </c>
      <c r="O512" s="16"/>
      <c r="P512" s="16"/>
      <c r="Q512" s="16" t="s">
        <v>85</v>
      </c>
      <c r="R512" s="16"/>
      <c r="S512" s="16"/>
      <c r="T512" s="16" t="s">
        <v>1133</v>
      </c>
      <c r="U512" s="16"/>
      <c r="V512" s="16" t="n">
        <v>14.3</v>
      </c>
      <c r="W512" s="16"/>
      <c r="X512" s="22"/>
      <c r="Y512" s="16" t="n">
        <v>5000</v>
      </c>
      <c r="Z512" s="16" t="n">
        <v>5000</v>
      </c>
      <c r="AA512" s="16"/>
      <c r="AB512" s="16" t="n">
        <v>5000</v>
      </c>
      <c r="AC512" s="16"/>
      <c r="AD512" s="16" t="n">
        <v>5000</v>
      </c>
      <c r="AE512" s="16"/>
      <c r="AF512" s="16"/>
      <c r="AG512" s="16"/>
      <c r="AH512" s="16"/>
      <c r="AI512" s="16"/>
      <c r="AJ512" s="9" t="n">
        <f aca="false">X512*$V512</f>
        <v>0</v>
      </c>
      <c r="AK512" s="9" t="n">
        <f aca="false">Y512*$V512</f>
        <v>71500</v>
      </c>
      <c r="AL512" s="9" t="n">
        <f aca="false">Z512*$V512</f>
        <v>71500</v>
      </c>
      <c r="AM512" s="9" t="n">
        <f aca="false">AA512*$V512</f>
        <v>0</v>
      </c>
      <c r="AN512" s="9" t="n">
        <f aca="false">AB512*$V512</f>
        <v>71500</v>
      </c>
      <c r="AO512" s="9" t="n">
        <f aca="false">AC512*$V512</f>
        <v>0</v>
      </c>
      <c r="AP512" s="9" t="n">
        <f aca="false">AD512*$V512</f>
        <v>71500</v>
      </c>
      <c r="AQ512" s="9" t="n">
        <f aca="false">AE512*$V512</f>
        <v>0</v>
      </c>
      <c r="AR512" s="9" t="n">
        <f aca="false">AF512*$V512</f>
        <v>0</v>
      </c>
      <c r="AS512" s="9" t="n">
        <f aca="false">AG512*$V512</f>
        <v>0</v>
      </c>
      <c r="AT512" s="9" t="n">
        <f aca="false">AH512*$V512</f>
        <v>0</v>
      </c>
      <c r="AU512" s="9" t="n">
        <f aca="false">AI512*$V512</f>
        <v>0</v>
      </c>
      <c r="AV512" s="9" t="n">
        <f aca="false">SUM(X512:AI512)/1000</f>
        <v>20</v>
      </c>
      <c r="AW512" s="9" t="n">
        <f aca="false">SUM(AJ512:AU512)</f>
        <v>286000</v>
      </c>
      <c r="AX512" s="9" t="n">
        <f aca="false">IF(D512="INR",AW512/88.24,AW512)/1000000</f>
        <v>0.00324116047144152</v>
      </c>
    </row>
    <row r="513" s="2" customFormat="true" ht="14.25" hidden="false" customHeight="false" outlineLevel="0" collapsed="false">
      <c r="A513" s="9"/>
      <c r="B513" s="9" t="n">
        <v>5</v>
      </c>
      <c r="C513" s="10"/>
      <c r="D513" s="9" t="s">
        <v>813</v>
      </c>
      <c r="E513" s="9" t="s">
        <v>51</v>
      </c>
      <c r="F513" s="9" t="s">
        <v>52</v>
      </c>
      <c r="G513" s="9"/>
      <c r="H513" s="9" t="s">
        <v>1134</v>
      </c>
      <c r="I513" s="9"/>
      <c r="J513" s="9"/>
      <c r="K513" s="9"/>
      <c r="L513" s="9"/>
      <c r="M513" s="9"/>
      <c r="N513" s="9" t="s">
        <v>1135</v>
      </c>
      <c r="O513" s="9"/>
      <c r="P513" s="9"/>
      <c r="Q513" s="9" t="s">
        <v>1134</v>
      </c>
      <c r="R513" s="9" t="s">
        <v>70</v>
      </c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 t="n">
        <f aca="false">X513*$V513</f>
        <v>0</v>
      </c>
      <c r="AK513" s="9" t="n">
        <f aca="false">Y513*$V513</f>
        <v>0</v>
      </c>
      <c r="AL513" s="9" t="n">
        <f aca="false">Z513*$V513</f>
        <v>0</v>
      </c>
      <c r="AM513" s="9" t="n">
        <f aca="false">AA513*$V513</f>
        <v>0</v>
      </c>
      <c r="AN513" s="9" t="n">
        <f aca="false">AB513*$V513</f>
        <v>0</v>
      </c>
      <c r="AO513" s="9" t="n">
        <f aca="false">AC513*$V513</f>
        <v>0</v>
      </c>
      <c r="AP513" s="9" t="n">
        <f aca="false">AD513*$V513</f>
        <v>0</v>
      </c>
      <c r="AQ513" s="9" t="n">
        <f aca="false">AE513*$V513</f>
        <v>0</v>
      </c>
      <c r="AR513" s="9" t="n">
        <f aca="false">AF513*$V513</f>
        <v>0</v>
      </c>
      <c r="AS513" s="9" t="n">
        <f aca="false">AG513*$V513</f>
        <v>0</v>
      </c>
      <c r="AT513" s="9" t="n">
        <f aca="false">AH513*$V513</f>
        <v>0</v>
      </c>
      <c r="AU513" s="9" t="n">
        <f aca="false">AI513*$V513</f>
        <v>0</v>
      </c>
      <c r="AV513" s="9" t="n">
        <f aca="false">SUM(X513:AI513)/1000</f>
        <v>0</v>
      </c>
      <c r="AW513" s="9" t="n">
        <v>7000000</v>
      </c>
      <c r="AX513" s="9" t="n">
        <f aca="false">IF(D513="INR",AW513/88.24,AW513)/1000000</f>
        <v>7</v>
      </c>
    </row>
    <row r="514" s="2" customFormat="true" ht="14.25" hidden="false" customHeight="false" outlineLevel="0" collapsed="false">
      <c r="A514" s="12" t="s">
        <v>1136</v>
      </c>
      <c r="B514" s="16" t="n">
        <v>5</v>
      </c>
      <c r="C514" s="15"/>
      <c r="D514" s="16" t="s">
        <v>50</v>
      </c>
      <c r="E514" s="16" t="s">
        <v>51</v>
      </c>
      <c r="F514" s="16" t="s">
        <v>404</v>
      </c>
      <c r="G514" s="16" t="s">
        <v>1137</v>
      </c>
      <c r="H514" s="16" t="s">
        <v>1138</v>
      </c>
      <c r="I514" s="16" t="s">
        <v>105</v>
      </c>
      <c r="J514" s="16" t="s">
        <v>368</v>
      </c>
      <c r="K514" s="16"/>
      <c r="L514" s="16" t="s">
        <v>105</v>
      </c>
      <c r="M514" s="16" t="s">
        <v>368</v>
      </c>
      <c r="N514" s="16" t="s">
        <v>271</v>
      </c>
      <c r="O514" s="16" t="s">
        <v>94</v>
      </c>
      <c r="P514" s="16" t="s">
        <v>110</v>
      </c>
      <c r="Q514" s="16" t="s">
        <v>110</v>
      </c>
      <c r="R514" s="16" t="s">
        <v>137</v>
      </c>
      <c r="S514" s="16" t="s">
        <v>272</v>
      </c>
      <c r="T514" s="16" t="s">
        <v>1139</v>
      </c>
      <c r="U514" s="16" t="s">
        <v>73</v>
      </c>
      <c r="V514" s="16" t="n">
        <v>42</v>
      </c>
      <c r="W514" s="16" t="n">
        <v>0.323</v>
      </c>
      <c r="X514" s="16" t="n">
        <v>1680</v>
      </c>
      <c r="Y514" s="16" t="n">
        <v>1680</v>
      </c>
      <c r="Z514" s="16" t="n">
        <v>1680</v>
      </c>
      <c r="AA514" s="16" t="n">
        <v>1680</v>
      </c>
      <c r="AB514" s="16" t="n">
        <v>1680</v>
      </c>
      <c r="AC514" s="16" t="n">
        <v>1680</v>
      </c>
      <c r="AD514" s="16" t="n">
        <v>1680</v>
      </c>
      <c r="AE514" s="16" t="n">
        <v>1680</v>
      </c>
      <c r="AF514" s="16" t="n">
        <v>1680</v>
      </c>
      <c r="AG514" s="16" t="n">
        <v>1680</v>
      </c>
      <c r="AH514" s="16" t="n">
        <v>1680</v>
      </c>
      <c r="AI514" s="16" t="n">
        <v>1680</v>
      </c>
      <c r="AJ514" s="9" t="n">
        <f aca="false">X514*$V514</f>
        <v>70560</v>
      </c>
      <c r="AK514" s="9" t="n">
        <f aca="false">Y514*$V514</f>
        <v>70560</v>
      </c>
      <c r="AL514" s="9" t="n">
        <f aca="false">Z514*$V514</f>
        <v>70560</v>
      </c>
      <c r="AM514" s="9" t="n">
        <f aca="false">AA514*$V514</f>
        <v>70560</v>
      </c>
      <c r="AN514" s="9" t="n">
        <f aca="false">AB514*$V514</f>
        <v>70560</v>
      </c>
      <c r="AO514" s="9" t="n">
        <f aca="false">AC514*$V514</f>
        <v>70560</v>
      </c>
      <c r="AP514" s="9" t="n">
        <f aca="false">AD514*$V514</f>
        <v>70560</v>
      </c>
      <c r="AQ514" s="9" t="n">
        <f aca="false">AE514*$V514</f>
        <v>70560</v>
      </c>
      <c r="AR514" s="9" t="n">
        <f aca="false">AF514*$V514</f>
        <v>70560</v>
      </c>
      <c r="AS514" s="9" t="n">
        <f aca="false">AG514*$V514</f>
        <v>70560</v>
      </c>
      <c r="AT514" s="9" t="n">
        <f aca="false">AH514*$V514</f>
        <v>70560</v>
      </c>
      <c r="AU514" s="9" t="n">
        <f aca="false">AI514*$V514</f>
        <v>70560</v>
      </c>
      <c r="AV514" s="9" t="n">
        <f aca="false">SUM(X514:AI514)/1000</f>
        <v>20.16</v>
      </c>
      <c r="AW514" s="9" t="n">
        <f aca="false">SUM(AJ514:AU514)</f>
        <v>846720</v>
      </c>
      <c r="AX514" s="9" t="n">
        <f aca="false">IF(D514="INR",AW514/88.24,AW514)/1000000</f>
        <v>0.00959564823209429</v>
      </c>
    </row>
    <row r="515" s="2" customFormat="true" ht="14.25" hidden="false" customHeight="false" outlineLevel="0" collapsed="false">
      <c r="A515" s="12"/>
      <c r="B515" s="16" t="n">
        <v>5</v>
      </c>
      <c r="C515" s="15"/>
      <c r="D515" s="16" t="s">
        <v>50</v>
      </c>
      <c r="E515" s="16" t="s">
        <v>51</v>
      </c>
      <c r="F515" s="16" t="s">
        <v>356</v>
      </c>
      <c r="G515" s="16" t="s">
        <v>357</v>
      </c>
      <c r="H515" s="16" t="s">
        <v>358</v>
      </c>
      <c r="I515" s="16" t="s">
        <v>359</v>
      </c>
      <c r="J515" s="16" t="s">
        <v>360</v>
      </c>
      <c r="K515" s="16"/>
      <c r="L515" s="16" t="s">
        <v>359</v>
      </c>
      <c r="M515" s="16" t="s">
        <v>360</v>
      </c>
      <c r="N515" s="16" t="s">
        <v>57</v>
      </c>
      <c r="O515" s="16"/>
      <c r="P515" s="16" t="s">
        <v>361</v>
      </c>
      <c r="Q515" s="16" t="s">
        <v>361</v>
      </c>
      <c r="R515" s="16" t="s">
        <v>362</v>
      </c>
      <c r="S515" s="16" t="s">
        <v>363</v>
      </c>
      <c r="T515" s="16" t="s">
        <v>1140</v>
      </c>
      <c r="U515" s="16" t="s">
        <v>63</v>
      </c>
      <c r="V515" s="16" t="n">
        <v>220</v>
      </c>
      <c r="W515" s="16" t="n">
        <v>174.3</v>
      </c>
      <c r="X515" s="16"/>
      <c r="Y515" s="16"/>
      <c r="Z515" s="16" t="n">
        <v>315</v>
      </c>
      <c r="AA515" s="16"/>
      <c r="AB515" s="16" t="n">
        <v>315</v>
      </c>
      <c r="AC515" s="16"/>
      <c r="AD515" s="16"/>
      <c r="AE515" s="16"/>
      <c r="AF515" s="16"/>
      <c r="AG515" s="16"/>
      <c r="AH515" s="16"/>
      <c r="AI515" s="16"/>
      <c r="AJ515" s="9" t="n">
        <f aca="false">X515*$V515</f>
        <v>0</v>
      </c>
      <c r="AK515" s="9" t="n">
        <f aca="false">Y515*$V515</f>
        <v>0</v>
      </c>
      <c r="AL515" s="9" t="n">
        <f aca="false">Z515*$V515</f>
        <v>69300</v>
      </c>
      <c r="AM515" s="9" t="n">
        <f aca="false">AA515*$V515</f>
        <v>0</v>
      </c>
      <c r="AN515" s="9" t="n">
        <f aca="false">AB515*$V515</f>
        <v>69300</v>
      </c>
      <c r="AO515" s="9" t="n">
        <f aca="false">AC515*$V515</f>
        <v>0</v>
      </c>
      <c r="AP515" s="9" t="n">
        <f aca="false">AD515*$V515</f>
        <v>0</v>
      </c>
      <c r="AQ515" s="9" t="n">
        <f aca="false">AE515*$V515</f>
        <v>0</v>
      </c>
      <c r="AR515" s="9" t="n">
        <f aca="false">AF515*$V515</f>
        <v>0</v>
      </c>
      <c r="AS515" s="9" t="n">
        <f aca="false">AG515*$V515</f>
        <v>0</v>
      </c>
      <c r="AT515" s="9" t="n">
        <f aca="false">AH515*$V515</f>
        <v>0</v>
      </c>
      <c r="AU515" s="9" t="n">
        <f aca="false">AI515*$V515</f>
        <v>0</v>
      </c>
      <c r="AV515" s="9" t="n">
        <f aca="false">SUM(X515:AI515)/1000</f>
        <v>0.63</v>
      </c>
      <c r="AW515" s="9" t="n">
        <f aca="false">SUM(AJ515:AU515)</f>
        <v>138600</v>
      </c>
      <c r="AX515" s="9" t="n">
        <f aca="false">IF(D515="INR",AW515/88.24,AW515)/1000000</f>
        <v>0.00157071622846782</v>
      </c>
      <c r="AY515" s="27"/>
    </row>
    <row r="516" s="2" customFormat="true" ht="14.25" hidden="false" customHeight="false" outlineLevel="0" collapsed="false">
      <c r="A516" s="12" t="s">
        <v>1141</v>
      </c>
      <c r="B516" s="16"/>
      <c r="C516" s="15" t="n">
        <v>5</v>
      </c>
      <c r="D516" s="16" t="s">
        <v>50</v>
      </c>
      <c r="E516" s="16" t="s">
        <v>51</v>
      </c>
      <c r="F516" s="16" t="s">
        <v>243</v>
      </c>
      <c r="G516" s="16" t="s">
        <v>318</v>
      </c>
      <c r="H516" s="16" t="s">
        <v>319</v>
      </c>
      <c r="I516" s="16" t="s">
        <v>55</v>
      </c>
      <c r="J516" s="16" t="s">
        <v>56</v>
      </c>
      <c r="K516" s="16"/>
      <c r="L516" s="16" t="s">
        <v>55</v>
      </c>
      <c r="M516" s="16" t="s">
        <v>56</v>
      </c>
      <c r="N516" s="16" t="s">
        <v>93</v>
      </c>
      <c r="O516" s="16" t="s">
        <v>68</v>
      </c>
      <c r="P516" s="16" t="s">
        <v>308</v>
      </c>
      <c r="Q516" s="16" t="s">
        <v>308</v>
      </c>
      <c r="R516" s="16" t="s">
        <v>309</v>
      </c>
      <c r="S516" s="16" t="s">
        <v>264</v>
      </c>
      <c r="T516" s="16" t="s">
        <v>1142</v>
      </c>
      <c r="U516" s="16" t="s">
        <v>73</v>
      </c>
      <c r="V516" s="16" t="n">
        <v>2.3</v>
      </c>
      <c r="W516" s="16" t="n">
        <v>2.06</v>
      </c>
      <c r="X516" s="22" t="n">
        <v>30000</v>
      </c>
      <c r="Y516" s="22" t="n">
        <v>30000</v>
      </c>
      <c r="Z516" s="22" t="n">
        <v>30000</v>
      </c>
      <c r="AA516" s="22" t="n">
        <v>30000</v>
      </c>
      <c r="AB516" s="22"/>
      <c r="AC516" s="22"/>
      <c r="AD516" s="22" t="n">
        <v>30000</v>
      </c>
      <c r="AE516" s="22"/>
      <c r="AF516" s="22"/>
      <c r="AG516" s="22"/>
      <c r="AH516" s="22"/>
      <c r="AI516" s="22"/>
      <c r="AJ516" s="9" t="n">
        <f aca="false">X516*$V516</f>
        <v>69000</v>
      </c>
      <c r="AK516" s="9" t="n">
        <f aca="false">Y516*$V516</f>
        <v>69000</v>
      </c>
      <c r="AL516" s="9" t="n">
        <f aca="false">Z516*$V516</f>
        <v>69000</v>
      </c>
      <c r="AM516" s="9" t="n">
        <f aca="false">AA516*$V516</f>
        <v>69000</v>
      </c>
      <c r="AN516" s="9" t="n">
        <f aca="false">AB516*$V516</f>
        <v>0</v>
      </c>
      <c r="AO516" s="9" t="n">
        <f aca="false">AC516*$V516</f>
        <v>0</v>
      </c>
      <c r="AP516" s="9" t="n">
        <f aca="false">AD516*$V516</f>
        <v>69000</v>
      </c>
      <c r="AQ516" s="9" t="n">
        <f aca="false">AE516*$V516</f>
        <v>0</v>
      </c>
      <c r="AR516" s="9" t="n">
        <f aca="false">AF516*$V516</f>
        <v>0</v>
      </c>
      <c r="AS516" s="9" t="n">
        <f aca="false">AG516*$V516</f>
        <v>0</v>
      </c>
      <c r="AT516" s="9" t="n">
        <f aca="false">AH516*$V516</f>
        <v>0</v>
      </c>
      <c r="AU516" s="9" t="n">
        <f aca="false">AI516*$V516</f>
        <v>0</v>
      </c>
      <c r="AV516" s="9" t="n">
        <f aca="false">SUM(X516:AI516)/1000</f>
        <v>150</v>
      </c>
      <c r="AW516" s="9" t="n">
        <f aca="false">SUM(AJ516:AU516)</f>
        <v>345000</v>
      </c>
      <c r="AX516" s="9" t="n">
        <f aca="false">IF(D516="INR",AW516/88.24,AW516)/1000000</f>
        <v>0.00390979147778785</v>
      </c>
    </row>
    <row r="517" s="2" customFormat="true" ht="14.25" hidden="false" customHeight="false" outlineLevel="0" collapsed="false">
      <c r="A517" s="12" t="s">
        <v>1143</v>
      </c>
      <c r="B517" s="16" t="n">
        <v>5</v>
      </c>
      <c r="C517" s="15"/>
      <c r="D517" s="16" t="s">
        <v>50</v>
      </c>
      <c r="E517" s="16" t="s">
        <v>51</v>
      </c>
      <c r="F517" s="16" t="s">
        <v>52</v>
      </c>
      <c r="G517" s="16" t="s">
        <v>274</v>
      </c>
      <c r="H517" s="16" t="s">
        <v>275</v>
      </c>
      <c r="I517" s="16" t="s">
        <v>260</v>
      </c>
      <c r="J517" s="16" t="s">
        <v>276</v>
      </c>
      <c r="K517" s="16"/>
      <c r="L517" s="16" t="s">
        <v>260</v>
      </c>
      <c r="M517" s="16" t="s">
        <v>276</v>
      </c>
      <c r="N517" s="16" t="s">
        <v>79</v>
      </c>
      <c r="O517" s="16" t="s">
        <v>68</v>
      </c>
      <c r="P517" s="16" t="s">
        <v>308</v>
      </c>
      <c r="Q517" s="16" t="s">
        <v>308</v>
      </c>
      <c r="R517" s="16" t="s">
        <v>309</v>
      </c>
      <c r="S517" s="16" t="s">
        <v>264</v>
      </c>
      <c r="T517" s="16" t="s">
        <v>1144</v>
      </c>
      <c r="U517" s="16" t="s">
        <v>73</v>
      </c>
      <c r="V517" s="16" t="n">
        <v>0.69</v>
      </c>
      <c r="W517" s="16" t="n">
        <v>0.61</v>
      </c>
      <c r="X517" s="16" t="n">
        <v>100000</v>
      </c>
      <c r="Y517" s="16" t="n">
        <v>100000</v>
      </c>
      <c r="Z517" s="16" t="n">
        <v>100000</v>
      </c>
      <c r="AA517" s="16" t="n">
        <v>100000</v>
      </c>
      <c r="AB517" s="16" t="n">
        <v>100000</v>
      </c>
      <c r="AC517" s="16" t="n">
        <v>100000</v>
      </c>
      <c r="AD517" s="16" t="n">
        <v>100000</v>
      </c>
      <c r="AE517" s="16" t="n">
        <v>100000</v>
      </c>
      <c r="AF517" s="16" t="n">
        <v>100000</v>
      </c>
      <c r="AG517" s="16" t="n">
        <v>100000</v>
      </c>
      <c r="AH517" s="16" t="n">
        <v>100000</v>
      </c>
      <c r="AI517" s="16" t="n">
        <v>100000</v>
      </c>
      <c r="AJ517" s="9" t="n">
        <f aca="false">X517*$V517</f>
        <v>69000</v>
      </c>
      <c r="AK517" s="9" t="n">
        <f aca="false">Y517*$V517</f>
        <v>69000</v>
      </c>
      <c r="AL517" s="9" t="n">
        <f aca="false">Z517*$V517</f>
        <v>69000</v>
      </c>
      <c r="AM517" s="9" t="n">
        <f aca="false">AA517*$V517</f>
        <v>69000</v>
      </c>
      <c r="AN517" s="9" t="n">
        <f aca="false">AB517*$V517</f>
        <v>69000</v>
      </c>
      <c r="AO517" s="9" t="n">
        <f aca="false">AC517*$V517</f>
        <v>69000</v>
      </c>
      <c r="AP517" s="9" t="n">
        <f aca="false">AD517*$V517</f>
        <v>69000</v>
      </c>
      <c r="AQ517" s="9" t="n">
        <f aca="false">AE517*$V517</f>
        <v>69000</v>
      </c>
      <c r="AR517" s="9" t="n">
        <f aca="false">AF517*$V517</f>
        <v>69000</v>
      </c>
      <c r="AS517" s="9" t="n">
        <f aca="false">AG517*$V517</f>
        <v>69000</v>
      </c>
      <c r="AT517" s="9" t="n">
        <f aca="false">AH517*$V517</f>
        <v>69000</v>
      </c>
      <c r="AU517" s="9" t="n">
        <f aca="false">AI517*$V517</f>
        <v>69000</v>
      </c>
      <c r="AV517" s="9" t="n">
        <f aca="false">SUM(X517:AI517)/1000</f>
        <v>1200</v>
      </c>
      <c r="AW517" s="9" t="n">
        <f aca="false">SUM(AJ517:AU517)</f>
        <v>828000</v>
      </c>
      <c r="AX517" s="9" t="n">
        <f aca="false">IF(D517="INR",AW517/88.24,AW517)/1000000</f>
        <v>0.00938349954669084</v>
      </c>
    </row>
    <row r="518" s="2" customFormat="true" ht="16.4" hidden="false" customHeight="false" outlineLevel="0" collapsed="false">
      <c r="A518" s="9" t="s">
        <v>1145</v>
      </c>
      <c r="B518" s="9" t="n">
        <v>5</v>
      </c>
      <c r="C518" s="10"/>
      <c r="D518" s="9" t="s">
        <v>102</v>
      </c>
      <c r="E518" s="9" t="s">
        <v>51</v>
      </c>
      <c r="F518" s="9" t="s">
        <v>52</v>
      </c>
      <c r="G518" s="9" t="s">
        <v>947</v>
      </c>
      <c r="H518" s="9" t="s">
        <v>948</v>
      </c>
      <c r="I518" s="9" t="s">
        <v>1005</v>
      </c>
      <c r="J518" s="9" t="s">
        <v>1146</v>
      </c>
      <c r="K518" s="9" t="s">
        <v>948</v>
      </c>
      <c r="L518" s="9" t="s">
        <v>1005</v>
      </c>
      <c r="M518" s="9" t="s">
        <v>1146</v>
      </c>
      <c r="N518" s="16" t="s">
        <v>79</v>
      </c>
      <c r="O518" s="9" t="s">
        <v>315</v>
      </c>
      <c r="P518" s="9" t="s">
        <v>1147</v>
      </c>
      <c r="Q518" s="9" t="s">
        <v>1147</v>
      </c>
      <c r="R518" s="9" t="s">
        <v>377</v>
      </c>
      <c r="S518" s="9" t="s">
        <v>1148</v>
      </c>
      <c r="T518" s="9" t="s">
        <v>1149</v>
      </c>
      <c r="U518" s="9" t="s">
        <v>63</v>
      </c>
      <c r="V518" s="9" t="n">
        <v>0.5</v>
      </c>
      <c r="W518" s="9" t="n">
        <v>0.44</v>
      </c>
      <c r="X518" s="9" t="n">
        <v>0</v>
      </c>
      <c r="Y518" s="9" t="n">
        <v>0</v>
      </c>
      <c r="Z518" s="9" t="n">
        <v>0</v>
      </c>
      <c r="AA518" s="9" t="n">
        <v>0</v>
      </c>
      <c r="AB518" s="9" t="n">
        <v>24000</v>
      </c>
      <c r="AC518" s="9" t="n">
        <v>24000</v>
      </c>
      <c r="AD518" s="9" t="n">
        <v>24000</v>
      </c>
      <c r="AE518" s="9"/>
      <c r="AF518" s="9"/>
      <c r="AG518" s="9" t="n">
        <v>24000</v>
      </c>
      <c r="AH518" s="9"/>
      <c r="AI518" s="9" t="n">
        <v>24000</v>
      </c>
      <c r="AJ518" s="9" t="n">
        <f aca="false">X518*$V518</f>
        <v>0</v>
      </c>
      <c r="AK518" s="9" t="n">
        <f aca="false">Y518*$V518</f>
        <v>0</v>
      </c>
      <c r="AL518" s="9" t="n">
        <f aca="false">Z518*$V518</f>
        <v>0</v>
      </c>
      <c r="AM518" s="9" t="n">
        <f aca="false">AA518*$V518</f>
        <v>0</v>
      </c>
      <c r="AN518" s="9" t="n">
        <f aca="false">AB518*$V518</f>
        <v>12000</v>
      </c>
      <c r="AO518" s="9" t="n">
        <f aca="false">AC518*$V518</f>
        <v>12000</v>
      </c>
      <c r="AP518" s="9" t="n">
        <f aca="false">AD518*$V518</f>
        <v>12000</v>
      </c>
      <c r="AQ518" s="9" t="n">
        <f aca="false">AE518*$V518</f>
        <v>0</v>
      </c>
      <c r="AR518" s="9" t="n">
        <f aca="false">AF518*$V518</f>
        <v>0</v>
      </c>
      <c r="AS518" s="9" t="n">
        <f aca="false">AG518*$V518</f>
        <v>12000</v>
      </c>
      <c r="AT518" s="9" t="n">
        <f aca="false">AH518*$V518</f>
        <v>0</v>
      </c>
      <c r="AU518" s="9" t="n">
        <f aca="false">AI518*$V518</f>
        <v>12000</v>
      </c>
      <c r="AV518" s="9" t="n">
        <f aca="false">SUM(X518:AI518)/1000</f>
        <v>120</v>
      </c>
      <c r="AW518" s="9" t="n">
        <f aca="false">SUM(AJ518:AU518)</f>
        <v>60000</v>
      </c>
      <c r="AX518" s="9" t="n">
        <f aca="false">IF(D518="INR",AW518/88.24,AW518)/1000000</f>
        <v>0.06</v>
      </c>
    </row>
    <row r="519" s="2" customFormat="true" ht="14.25" hidden="false" customHeight="false" outlineLevel="0" collapsed="false">
      <c r="A519" s="12" t="s">
        <v>1150</v>
      </c>
      <c r="B519" s="16" t="n">
        <v>5</v>
      </c>
      <c r="C519" s="15"/>
      <c r="D519" s="16" t="s">
        <v>50</v>
      </c>
      <c r="E519" s="16" t="s">
        <v>51</v>
      </c>
      <c r="F519" s="16" t="s">
        <v>52</v>
      </c>
      <c r="G519" s="16" t="s">
        <v>494</v>
      </c>
      <c r="H519" s="16" t="s">
        <v>495</v>
      </c>
      <c r="I519" s="16" t="s">
        <v>77</v>
      </c>
      <c r="J519" s="16" t="s">
        <v>496</v>
      </c>
      <c r="K519" s="16" t="s">
        <v>495</v>
      </c>
      <c r="L519" s="16" t="s">
        <v>77</v>
      </c>
      <c r="M519" s="16" t="s">
        <v>496</v>
      </c>
      <c r="N519" s="16" t="s">
        <v>57</v>
      </c>
      <c r="O519" s="16" t="s">
        <v>94</v>
      </c>
      <c r="P519" s="16" t="s">
        <v>308</v>
      </c>
      <c r="Q519" s="16" t="s">
        <v>308</v>
      </c>
      <c r="R519" s="16" t="s">
        <v>309</v>
      </c>
      <c r="S519" s="16" t="s">
        <v>264</v>
      </c>
      <c r="T519" s="16" t="s">
        <v>1151</v>
      </c>
      <c r="U519" s="16" t="s">
        <v>73</v>
      </c>
      <c r="V519" s="16" t="n">
        <v>4.1</v>
      </c>
      <c r="W519" s="16" t="n">
        <v>3.57</v>
      </c>
      <c r="X519" s="22" t="n">
        <v>16000</v>
      </c>
      <c r="Y519" s="22" t="n">
        <v>16000</v>
      </c>
      <c r="Z519" s="22" t="n">
        <v>16000</v>
      </c>
      <c r="AA519" s="22" t="n">
        <v>16000</v>
      </c>
      <c r="AB519" s="22" t="n">
        <v>16000</v>
      </c>
      <c r="AC519" s="22" t="n">
        <v>16000</v>
      </c>
      <c r="AD519" s="22" t="n">
        <v>16000</v>
      </c>
      <c r="AE519" s="22" t="n">
        <v>16000</v>
      </c>
      <c r="AF519" s="22" t="n">
        <v>16000</v>
      </c>
      <c r="AG519" s="22" t="n">
        <v>16000</v>
      </c>
      <c r="AH519" s="22" t="n">
        <v>16000</v>
      </c>
      <c r="AI519" s="22" t="n">
        <v>16000</v>
      </c>
      <c r="AJ519" s="9" t="n">
        <f aca="false">X519*$V519</f>
        <v>65600</v>
      </c>
      <c r="AK519" s="9" t="n">
        <f aca="false">Y519*$V519</f>
        <v>65600</v>
      </c>
      <c r="AL519" s="9" t="n">
        <f aca="false">Z519*$V519</f>
        <v>65600</v>
      </c>
      <c r="AM519" s="9" t="n">
        <f aca="false">AA519*$V519</f>
        <v>65600</v>
      </c>
      <c r="AN519" s="9" t="n">
        <f aca="false">AB519*$V519</f>
        <v>65600</v>
      </c>
      <c r="AO519" s="9" t="n">
        <f aca="false">AC519*$V519</f>
        <v>65600</v>
      </c>
      <c r="AP519" s="9" t="n">
        <f aca="false">AD519*$V519</f>
        <v>65600</v>
      </c>
      <c r="AQ519" s="9" t="n">
        <f aca="false">AE519*$V519</f>
        <v>65600</v>
      </c>
      <c r="AR519" s="9" t="n">
        <f aca="false">AF519*$V519</f>
        <v>65600</v>
      </c>
      <c r="AS519" s="9" t="n">
        <f aca="false">AG519*$V519</f>
        <v>65600</v>
      </c>
      <c r="AT519" s="9" t="n">
        <f aca="false">AH519*$V519</f>
        <v>65600</v>
      </c>
      <c r="AU519" s="9" t="n">
        <f aca="false">AI519*$V519</f>
        <v>65600</v>
      </c>
      <c r="AV519" s="9" t="n">
        <f aca="false">SUM(X519:AI519)/1000</f>
        <v>192</v>
      </c>
      <c r="AW519" s="9" t="n">
        <f aca="false">SUM(AJ519:AU519)</f>
        <v>787200</v>
      </c>
      <c r="AX519" s="9" t="n">
        <f aca="false">IF(D519="INR",AW519/88.24,AW519)/1000000</f>
        <v>0.00892112420670898</v>
      </c>
    </row>
    <row r="520" s="2" customFormat="true" ht="14.25" hidden="false" customHeight="false" outlineLevel="0" collapsed="false">
      <c r="A520" s="12" t="s">
        <v>1152</v>
      </c>
      <c r="B520" s="16" t="n">
        <v>5</v>
      </c>
      <c r="C520" s="15"/>
      <c r="D520" s="16" t="s">
        <v>50</v>
      </c>
      <c r="E520" s="16" t="s">
        <v>51</v>
      </c>
      <c r="F520" s="16" t="s">
        <v>52</v>
      </c>
      <c r="G520" s="16" t="s">
        <v>494</v>
      </c>
      <c r="H520" s="16" t="s">
        <v>495</v>
      </c>
      <c r="I520" s="16" t="s">
        <v>77</v>
      </c>
      <c r="J520" s="16" t="s">
        <v>496</v>
      </c>
      <c r="K520" s="16" t="s">
        <v>495</v>
      </c>
      <c r="L520" s="16" t="s">
        <v>77</v>
      </c>
      <c r="M520" s="16" t="s">
        <v>496</v>
      </c>
      <c r="N520" s="16" t="s">
        <v>57</v>
      </c>
      <c r="O520" s="16" t="s">
        <v>94</v>
      </c>
      <c r="P520" s="16" t="s">
        <v>376</v>
      </c>
      <c r="Q520" s="16" t="s">
        <v>376</v>
      </c>
      <c r="R520" s="16" t="s">
        <v>377</v>
      </c>
      <c r="S520" s="16" t="s">
        <v>264</v>
      </c>
      <c r="T520" s="16" t="s">
        <v>378</v>
      </c>
      <c r="U520" s="16" t="s">
        <v>73</v>
      </c>
      <c r="V520" s="16" t="n">
        <v>2.04</v>
      </c>
      <c r="W520" s="16" t="n">
        <v>0.015</v>
      </c>
      <c r="X520" s="22" t="n">
        <v>32000</v>
      </c>
      <c r="Y520" s="22" t="n">
        <v>32000</v>
      </c>
      <c r="Z520" s="22" t="n">
        <v>32000</v>
      </c>
      <c r="AA520" s="22" t="n">
        <v>32000</v>
      </c>
      <c r="AB520" s="22" t="n">
        <v>32000</v>
      </c>
      <c r="AC520" s="22" t="n">
        <v>32000</v>
      </c>
      <c r="AD520" s="22" t="n">
        <v>32000</v>
      </c>
      <c r="AE520" s="22" t="n">
        <v>32000</v>
      </c>
      <c r="AF520" s="22" t="n">
        <v>32000</v>
      </c>
      <c r="AG520" s="22" t="n">
        <v>32000</v>
      </c>
      <c r="AH520" s="22" t="n">
        <v>32000</v>
      </c>
      <c r="AI520" s="22" t="n">
        <v>32000</v>
      </c>
      <c r="AJ520" s="9" t="n">
        <f aca="false">X520*$V520</f>
        <v>65280</v>
      </c>
      <c r="AK520" s="9" t="n">
        <f aca="false">Y520*$V520</f>
        <v>65280</v>
      </c>
      <c r="AL520" s="9" t="n">
        <f aca="false">Z520*$V520</f>
        <v>65280</v>
      </c>
      <c r="AM520" s="9" t="n">
        <f aca="false">AA520*$V520</f>
        <v>65280</v>
      </c>
      <c r="AN520" s="9" t="n">
        <f aca="false">AB520*$V520</f>
        <v>65280</v>
      </c>
      <c r="AO520" s="9" t="n">
        <f aca="false">AC520*$V520</f>
        <v>65280</v>
      </c>
      <c r="AP520" s="9" t="n">
        <f aca="false">AD520*$V520</f>
        <v>65280</v>
      </c>
      <c r="AQ520" s="9" t="n">
        <f aca="false">AE520*$V520</f>
        <v>65280</v>
      </c>
      <c r="AR520" s="9" t="n">
        <f aca="false">AF520*$V520</f>
        <v>65280</v>
      </c>
      <c r="AS520" s="9" t="n">
        <f aca="false">AG520*$V520</f>
        <v>65280</v>
      </c>
      <c r="AT520" s="9" t="n">
        <f aca="false">AH520*$V520</f>
        <v>65280</v>
      </c>
      <c r="AU520" s="9" t="n">
        <f aca="false">AI520*$V520</f>
        <v>65280</v>
      </c>
      <c r="AV520" s="9" t="n">
        <f aca="false">SUM(X520:AI520)/1000</f>
        <v>384</v>
      </c>
      <c r="AW520" s="9" t="n">
        <f aca="false">SUM(AJ520:AU520)</f>
        <v>783360</v>
      </c>
      <c r="AX520" s="9" t="n">
        <f aca="false">IF(D520="INR",AW520/88.24,AW520)/1000000</f>
        <v>0.00887760652765186</v>
      </c>
    </row>
    <row r="521" s="2" customFormat="true" ht="14.25" hidden="false" customHeight="false" outlineLevel="0" collapsed="false">
      <c r="A521" s="12" t="s">
        <v>1153</v>
      </c>
      <c r="B521" s="16" t="n">
        <v>5</v>
      </c>
      <c r="C521" s="15"/>
      <c r="D521" s="16" t="s">
        <v>50</v>
      </c>
      <c r="E521" s="16" t="s">
        <v>51</v>
      </c>
      <c r="F521" s="16" t="s">
        <v>243</v>
      </c>
      <c r="G521" s="16" t="s">
        <v>470</v>
      </c>
      <c r="H521" s="16" t="s">
        <v>471</v>
      </c>
      <c r="I521" s="16" t="s">
        <v>55</v>
      </c>
      <c r="J521" s="16" t="s">
        <v>100</v>
      </c>
      <c r="K521" s="16"/>
      <c r="L521" s="16" t="s">
        <v>55</v>
      </c>
      <c r="M521" s="16" t="s">
        <v>100</v>
      </c>
      <c r="N521" s="16" t="s">
        <v>93</v>
      </c>
      <c r="O521" s="16" t="s">
        <v>246</v>
      </c>
      <c r="P521" s="16" t="s">
        <v>789</v>
      </c>
      <c r="Q521" s="16" t="s">
        <v>789</v>
      </c>
      <c r="R521" s="16" t="s">
        <v>377</v>
      </c>
      <c r="S521" s="16" t="s">
        <v>528</v>
      </c>
      <c r="T521" s="16" t="s">
        <v>1154</v>
      </c>
      <c r="U521" s="16" t="s">
        <v>73</v>
      </c>
      <c r="V521" s="16" t="n">
        <v>3.2</v>
      </c>
      <c r="W521" s="16" t="n">
        <v>0.033</v>
      </c>
      <c r="X521" s="22"/>
      <c r="Y521" s="22"/>
      <c r="Z521" s="22" t="n">
        <v>20000</v>
      </c>
      <c r="AA521" s="22"/>
      <c r="AB521" s="22"/>
      <c r="AC521" s="22" t="n">
        <v>20000</v>
      </c>
      <c r="AD521" s="22"/>
      <c r="AE521" s="22"/>
      <c r="AF521" s="22" t="n">
        <v>30000</v>
      </c>
      <c r="AG521" s="22"/>
      <c r="AH521" s="22"/>
      <c r="AI521" s="22" t="n">
        <v>30000</v>
      </c>
      <c r="AJ521" s="9" t="n">
        <f aca="false">X521*$V521</f>
        <v>0</v>
      </c>
      <c r="AK521" s="9" t="n">
        <f aca="false">Y521*$V521</f>
        <v>0</v>
      </c>
      <c r="AL521" s="9" t="n">
        <f aca="false">Z521*$V521</f>
        <v>64000</v>
      </c>
      <c r="AM521" s="9" t="n">
        <f aca="false">AA521*$V521</f>
        <v>0</v>
      </c>
      <c r="AN521" s="9" t="n">
        <f aca="false">AB521*$V521</f>
        <v>0</v>
      </c>
      <c r="AO521" s="9" t="n">
        <f aca="false">AC521*$V521</f>
        <v>64000</v>
      </c>
      <c r="AP521" s="9" t="n">
        <f aca="false">AD521*$V521</f>
        <v>0</v>
      </c>
      <c r="AQ521" s="9" t="n">
        <f aca="false">AE521*$V521</f>
        <v>0</v>
      </c>
      <c r="AR521" s="9" t="n">
        <f aca="false">AF521*$V521</f>
        <v>96000</v>
      </c>
      <c r="AS521" s="9" t="n">
        <f aca="false">AG521*$V521</f>
        <v>0</v>
      </c>
      <c r="AT521" s="9" t="n">
        <f aca="false">AH521*$V521</f>
        <v>0</v>
      </c>
      <c r="AU521" s="9" t="n">
        <f aca="false">AI521*$V521</f>
        <v>96000</v>
      </c>
      <c r="AV521" s="9" t="n">
        <f aca="false">SUM(X521:AI521)/1000</f>
        <v>100</v>
      </c>
      <c r="AW521" s="9" t="n">
        <f aca="false">SUM(AJ521:AU521)</f>
        <v>320000</v>
      </c>
      <c r="AX521" s="9" t="n">
        <f aca="false">IF(D521="INR",AW521/88.24,AW521)/1000000</f>
        <v>0.00362647325475975</v>
      </c>
    </row>
    <row r="522" s="2" customFormat="true" ht="14.25" hidden="false" customHeight="false" outlineLevel="0" collapsed="false">
      <c r="A522" s="12"/>
      <c r="B522" s="16" t="n">
        <v>1</v>
      </c>
      <c r="C522" s="15"/>
      <c r="D522" s="16" t="s">
        <v>50</v>
      </c>
      <c r="E522" s="16" t="s">
        <v>51</v>
      </c>
      <c r="F522" s="16" t="s">
        <v>97</v>
      </c>
      <c r="G522" s="16" t="s">
        <v>934</v>
      </c>
      <c r="H522" s="16" t="s">
        <v>935</v>
      </c>
      <c r="I522" s="16"/>
      <c r="J522" s="16"/>
      <c r="K522" s="16"/>
      <c r="L522" s="16"/>
      <c r="M522" s="16"/>
      <c r="N522" s="16" t="s">
        <v>79</v>
      </c>
      <c r="O522" s="16"/>
      <c r="P522" s="16"/>
      <c r="Q522" s="16" t="s">
        <v>80</v>
      </c>
      <c r="R522" s="16"/>
      <c r="S522" s="16"/>
      <c r="T522" s="16" t="s">
        <v>1155</v>
      </c>
      <c r="U522" s="16" t="s">
        <v>63</v>
      </c>
      <c r="V522" s="16" t="n">
        <v>6.4</v>
      </c>
      <c r="W522" s="16"/>
      <c r="X522" s="22"/>
      <c r="Y522" s="16"/>
      <c r="Z522" s="16" t="n">
        <v>10000</v>
      </c>
      <c r="AA522" s="16"/>
      <c r="AB522" s="16"/>
      <c r="AC522" s="16" t="n">
        <v>10000</v>
      </c>
      <c r="AD522" s="16"/>
      <c r="AE522" s="16"/>
      <c r="AF522" s="16" t="n">
        <v>10000</v>
      </c>
      <c r="AG522" s="16"/>
      <c r="AH522" s="16"/>
      <c r="AI522" s="16" t="n">
        <v>10000</v>
      </c>
      <c r="AJ522" s="9" t="n">
        <f aca="false">X522*$V522</f>
        <v>0</v>
      </c>
      <c r="AK522" s="9" t="n">
        <f aca="false">Y522*$V522</f>
        <v>0</v>
      </c>
      <c r="AL522" s="9" t="n">
        <f aca="false">Z522*$V522</f>
        <v>64000</v>
      </c>
      <c r="AM522" s="9" t="n">
        <f aca="false">AA522*$V522</f>
        <v>0</v>
      </c>
      <c r="AN522" s="9" t="n">
        <f aca="false">AB522*$V522</f>
        <v>0</v>
      </c>
      <c r="AO522" s="9" t="n">
        <f aca="false">AC522*$V522</f>
        <v>64000</v>
      </c>
      <c r="AP522" s="9" t="n">
        <f aca="false">AD522*$V522</f>
        <v>0</v>
      </c>
      <c r="AQ522" s="9" t="n">
        <f aca="false">AE522*$V522</f>
        <v>0</v>
      </c>
      <c r="AR522" s="9" t="n">
        <f aca="false">AF522*$V522</f>
        <v>64000</v>
      </c>
      <c r="AS522" s="9" t="n">
        <f aca="false">AG522*$V522</f>
        <v>0</v>
      </c>
      <c r="AT522" s="9" t="n">
        <f aca="false">AH522*$V522</f>
        <v>0</v>
      </c>
      <c r="AU522" s="9" t="n">
        <f aca="false">AI522*$V522</f>
        <v>64000</v>
      </c>
      <c r="AV522" s="9" t="n">
        <f aca="false">SUM(X522:AI522)/1000</f>
        <v>40</v>
      </c>
      <c r="AW522" s="9" t="n">
        <f aca="false">SUM(AJ522:AU522)</f>
        <v>256000</v>
      </c>
      <c r="AX522" s="9" t="n">
        <f aca="false">IF(D522="INR",AW522/88.24,AW522)/1000000</f>
        <v>0.0029011786038078</v>
      </c>
    </row>
    <row r="523" s="2" customFormat="true" ht="14.25" hidden="false" customHeight="false" outlineLevel="0" collapsed="false">
      <c r="A523" s="12" t="s">
        <v>1156</v>
      </c>
      <c r="B523" s="16" t="n">
        <v>5</v>
      </c>
      <c r="C523" s="15"/>
      <c r="D523" s="16" t="s">
        <v>50</v>
      </c>
      <c r="E523" s="16" t="s">
        <v>51</v>
      </c>
      <c r="F523" s="16" t="s">
        <v>52</v>
      </c>
      <c r="G523" s="16" t="s">
        <v>391</v>
      </c>
      <c r="H523" s="16" t="s">
        <v>392</v>
      </c>
      <c r="I523" s="16" t="s">
        <v>260</v>
      </c>
      <c r="J523" s="16" t="s">
        <v>276</v>
      </c>
      <c r="K523" s="16"/>
      <c r="L523" s="16" t="s">
        <v>260</v>
      </c>
      <c r="M523" s="16" t="s">
        <v>276</v>
      </c>
      <c r="N523" s="16" t="s">
        <v>93</v>
      </c>
      <c r="O523" s="16" t="s">
        <v>58</v>
      </c>
      <c r="P523" s="16" t="s">
        <v>308</v>
      </c>
      <c r="Q523" s="16" t="s">
        <v>308</v>
      </c>
      <c r="R523" s="16" t="s">
        <v>309</v>
      </c>
      <c r="S523" s="16" t="s">
        <v>264</v>
      </c>
      <c r="T523" s="16" t="s">
        <v>1157</v>
      </c>
      <c r="U523" s="16" t="s">
        <v>73</v>
      </c>
      <c r="V523" s="16" t="n">
        <v>6.32</v>
      </c>
      <c r="W523" s="16" t="n">
        <v>5.54</v>
      </c>
      <c r="X523" s="22" t="n">
        <v>10000</v>
      </c>
      <c r="Y523" s="16" t="n">
        <v>10000</v>
      </c>
      <c r="Z523" s="16" t="n">
        <v>10000</v>
      </c>
      <c r="AA523" s="16" t="n">
        <v>10000</v>
      </c>
      <c r="AB523" s="16"/>
      <c r="AC523" s="16"/>
      <c r="AD523" s="16"/>
      <c r="AE523" s="16"/>
      <c r="AF523" s="16"/>
      <c r="AG523" s="16"/>
      <c r="AH523" s="16"/>
      <c r="AI523" s="16"/>
      <c r="AJ523" s="9" t="n">
        <f aca="false">X523*$V523</f>
        <v>63200</v>
      </c>
      <c r="AK523" s="9" t="n">
        <f aca="false">Y523*$V523</f>
        <v>63200</v>
      </c>
      <c r="AL523" s="9" t="n">
        <f aca="false">Z523*$V523</f>
        <v>63200</v>
      </c>
      <c r="AM523" s="9" t="n">
        <f aca="false">AA523*$V523</f>
        <v>63200</v>
      </c>
      <c r="AN523" s="9" t="n">
        <f aca="false">AB523*$V523</f>
        <v>0</v>
      </c>
      <c r="AO523" s="9" t="n">
        <f aca="false">AC523*$V523</f>
        <v>0</v>
      </c>
      <c r="AP523" s="9" t="n">
        <f aca="false">AD523*$V523</f>
        <v>0</v>
      </c>
      <c r="AQ523" s="9" t="n">
        <f aca="false">AE523*$V523</f>
        <v>0</v>
      </c>
      <c r="AR523" s="9" t="n">
        <f aca="false">AF523*$V523</f>
        <v>0</v>
      </c>
      <c r="AS523" s="9" t="n">
        <f aca="false">AG523*$V523</f>
        <v>0</v>
      </c>
      <c r="AT523" s="9" t="n">
        <f aca="false">AH523*$V523</f>
        <v>0</v>
      </c>
      <c r="AU523" s="9" t="n">
        <f aca="false">AI523*$V523</f>
        <v>0</v>
      </c>
      <c r="AV523" s="9" t="n">
        <f aca="false">SUM(X523:AI523)/1000</f>
        <v>40</v>
      </c>
      <c r="AW523" s="9" t="n">
        <f aca="false">SUM(AJ523:AU523)</f>
        <v>252800</v>
      </c>
      <c r="AX523" s="9" t="n">
        <f aca="false">IF(D523="INR",AW523/88.24,AW523)/1000000</f>
        <v>0.0028649138712602</v>
      </c>
    </row>
    <row r="524" s="2" customFormat="true" ht="14.25" hidden="false" customHeight="false" outlineLevel="0" collapsed="false">
      <c r="A524" s="12"/>
      <c r="B524" s="16" t="n">
        <v>1</v>
      </c>
      <c r="C524" s="15"/>
      <c r="D524" s="16" t="s">
        <v>50</v>
      </c>
      <c r="E524" s="16" t="s">
        <v>51</v>
      </c>
      <c r="F524" s="16" t="s">
        <v>52</v>
      </c>
      <c r="G524" s="16"/>
      <c r="H524" s="16" t="s">
        <v>1158</v>
      </c>
      <c r="I524" s="16"/>
      <c r="J524" s="16"/>
      <c r="K524" s="16"/>
      <c r="L524" s="16"/>
      <c r="M524" s="16"/>
      <c r="N524" s="16" t="s">
        <v>79</v>
      </c>
      <c r="O524" s="16"/>
      <c r="P524" s="16"/>
      <c r="Q524" s="16" t="s">
        <v>85</v>
      </c>
      <c r="R524" s="16"/>
      <c r="S524" s="16"/>
      <c r="T524" s="16" t="s">
        <v>1159</v>
      </c>
      <c r="U524" s="16" t="s">
        <v>63</v>
      </c>
      <c r="V524" s="16" t="n">
        <v>62.37</v>
      </c>
      <c r="W524" s="16"/>
      <c r="X524" s="16" t="n">
        <v>1000</v>
      </c>
      <c r="Y524" s="16" t="n">
        <v>1000</v>
      </c>
      <c r="Z524" s="16" t="n">
        <v>1000</v>
      </c>
      <c r="AA524" s="16" t="n">
        <v>1000</v>
      </c>
      <c r="AB524" s="16" t="n">
        <v>1000</v>
      </c>
      <c r="AC524" s="16" t="n">
        <v>1000</v>
      </c>
      <c r="AD524" s="26" t="n">
        <v>1000</v>
      </c>
      <c r="AE524" s="16" t="n">
        <v>1000</v>
      </c>
      <c r="AF524" s="26" t="n">
        <v>1000</v>
      </c>
      <c r="AG524" s="16" t="n">
        <v>1000</v>
      </c>
      <c r="AH524" s="26" t="n">
        <v>1000</v>
      </c>
      <c r="AI524" s="16" t="n">
        <v>1000</v>
      </c>
      <c r="AJ524" s="9" t="n">
        <f aca="false">X524*$V524</f>
        <v>62370</v>
      </c>
      <c r="AK524" s="9" t="n">
        <f aca="false">Y524*$V524</f>
        <v>62370</v>
      </c>
      <c r="AL524" s="9" t="n">
        <f aca="false">Z524*$V524</f>
        <v>62370</v>
      </c>
      <c r="AM524" s="9" t="n">
        <f aca="false">AA524*$V524</f>
        <v>62370</v>
      </c>
      <c r="AN524" s="9" t="n">
        <f aca="false">AB524*$V524</f>
        <v>62370</v>
      </c>
      <c r="AO524" s="9" t="n">
        <f aca="false">AC524*$V524</f>
        <v>62370</v>
      </c>
      <c r="AP524" s="9" t="n">
        <f aca="false">AD524*$V524</f>
        <v>62370</v>
      </c>
      <c r="AQ524" s="9" t="n">
        <f aca="false">AE524*$V524</f>
        <v>62370</v>
      </c>
      <c r="AR524" s="9" t="n">
        <f aca="false">AF524*$V524</f>
        <v>62370</v>
      </c>
      <c r="AS524" s="9" t="n">
        <f aca="false">AG524*$V524</f>
        <v>62370</v>
      </c>
      <c r="AT524" s="9" t="n">
        <f aca="false">AH524*$V524</f>
        <v>62370</v>
      </c>
      <c r="AU524" s="9" t="n">
        <f aca="false">AI524*$V524</f>
        <v>62370</v>
      </c>
      <c r="AV524" s="9" t="n">
        <f aca="false">SUM(X524:AI524)/1000</f>
        <v>12</v>
      </c>
      <c r="AW524" s="9" t="n">
        <f aca="false">SUM(AJ524:AU524)</f>
        <v>748440</v>
      </c>
      <c r="AX524" s="9" t="n">
        <f aca="false">IF(D524="INR",AW524/88.24,AW524)/1000000</f>
        <v>0.0084818676337262</v>
      </c>
    </row>
    <row r="525" s="2" customFormat="true" ht="14.25" hidden="false" customHeight="false" outlineLevel="0" collapsed="false">
      <c r="A525" s="12" t="s">
        <v>1160</v>
      </c>
      <c r="B525" s="16" t="n">
        <v>5</v>
      </c>
      <c r="C525" s="15"/>
      <c r="D525" s="16" t="s">
        <v>50</v>
      </c>
      <c r="E525" s="16" t="s">
        <v>51</v>
      </c>
      <c r="F525" s="16" t="s">
        <v>52</v>
      </c>
      <c r="G525" s="16" t="s">
        <v>947</v>
      </c>
      <c r="H525" s="16" t="s">
        <v>948</v>
      </c>
      <c r="I525" s="16" t="s">
        <v>1005</v>
      </c>
      <c r="J525" s="16" t="s">
        <v>1094</v>
      </c>
      <c r="K525" s="16"/>
      <c r="L525" s="16" t="s">
        <v>1005</v>
      </c>
      <c r="M525" s="16" t="s">
        <v>1094</v>
      </c>
      <c r="N525" s="16" t="s">
        <v>79</v>
      </c>
      <c r="O525" s="16" t="s">
        <v>315</v>
      </c>
      <c r="P525" s="16" t="s">
        <v>308</v>
      </c>
      <c r="Q525" s="16" t="s">
        <v>308</v>
      </c>
      <c r="R525" s="16" t="s">
        <v>309</v>
      </c>
      <c r="S525" s="16" t="s">
        <v>264</v>
      </c>
      <c r="T525" s="16" t="s">
        <v>1161</v>
      </c>
      <c r="U525" s="16" t="s">
        <v>73</v>
      </c>
      <c r="V525" s="16" t="n">
        <v>6.1</v>
      </c>
      <c r="W525" s="16" t="n">
        <v>5.4</v>
      </c>
      <c r="X525" s="16" t="n">
        <v>10000</v>
      </c>
      <c r="Y525" s="16"/>
      <c r="Z525" s="16" t="n">
        <v>10000</v>
      </c>
      <c r="AA525" s="16" t="n">
        <v>10000</v>
      </c>
      <c r="AB525" s="16" t="n">
        <v>10000</v>
      </c>
      <c r="AC525" s="16" t="n">
        <v>10000</v>
      </c>
      <c r="AD525" s="16" t="n">
        <v>10000</v>
      </c>
      <c r="AE525" s="16" t="n">
        <v>10000</v>
      </c>
      <c r="AF525" s="16" t="n">
        <v>10000</v>
      </c>
      <c r="AG525" s="16" t="n">
        <v>10000</v>
      </c>
      <c r="AH525" s="16"/>
      <c r="AI525" s="16" t="n">
        <v>10000</v>
      </c>
      <c r="AJ525" s="9" t="n">
        <f aca="false">X525*$V525</f>
        <v>61000</v>
      </c>
      <c r="AK525" s="9" t="n">
        <f aca="false">Y525*$V525</f>
        <v>0</v>
      </c>
      <c r="AL525" s="9" t="n">
        <f aca="false">Z525*$V525</f>
        <v>61000</v>
      </c>
      <c r="AM525" s="9" t="n">
        <f aca="false">AA525*$V525</f>
        <v>61000</v>
      </c>
      <c r="AN525" s="9" t="n">
        <f aca="false">AB525*$V525</f>
        <v>61000</v>
      </c>
      <c r="AO525" s="9" t="n">
        <f aca="false">AC525*$V525</f>
        <v>61000</v>
      </c>
      <c r="AP525" s="9" t="n">
        <f aca="false">AD525*$V525</f>
        <v>61000</v>
      </c>
      <c r="AQ525" s="9" t="n">
        <f aca="false">AE525*$V525</f>
        <v>61000</v>
      </c>
      <c r="AR525" s="9" t="n">
        <f aca="false">AF525*$V525</f>
        <v>61000</v>
      </c>
      <c r="AS525" s="9" t="n">
        <f aca="false">AG525*$V525</f>
        <v>61000</v>
      </c>
      <c r="AT525" s="9" t="n">
        <f aca="false">AH525*$V525</f>
        <v>0</v>
      </c>
      <c r="AU525" s="9" t="n">
        <f aca="false">AI525*$V525</f>
        <v>61000</v>
      </c>
      <c r="AV525" s="9" t="n">
        <f aca="false">SUM(X525:AI525)/1000</f>
        <v>100</v>
      </c>
      <c r="AW525" s="9" t="n">
        <f aca="false">SUM(AJ525:AU525)</f>
        <v>610000</v>
      </c>
      <c r="AX525" s="9" t="n">
        <f aca="false">IF(D525="INR",AW525/88.24,AW525)/1000000</f>
        <v>0.00691296464188577</v>
      </c>
    </row>
    <row r="526" s="2" customFormat="true" ht="14.25" hidden="false" customHeight="false" outlineLevel="0" collapsed="false">
      <c r="A526" s="12" t="s">
        <v>1162</v>
      </c>
      <c r="B526" s="16" t="n">
        <v>5</v>
      </c>
      <c r="C526" s="15"/>
      <c r="D526" s="16" t="s">
        <v>50</v>
      </c>
      <c r="E526" s="16" t="s">
        <v>51</v>
      </c>
      <c r="F526" s="16" t="s">
        <v>97</v>
      </c>
      <c r="G526" s="16" t="s">
        <v>98</v>
      </c>
      <c r="H526" s="16" t="s">
        <v>99</v>
      </c>
      <c r="I526" s="16" t="s">
        <v>55</v>
      </c>
      <c r="J526" s="16" t="s">
        <v>100</v>
      </c>
      <c r="K526" s="16"/>
      <c r="L526" s="16" t="s">
        <v>55</v>
      </c>
      <c r="M526" s="16" t="s">
        <v>100</v>
      </c>
      <c r="N526" s="16" t="s">
        <v>79</v>
      </c>
      <c r="O526" s="16" t="s">
        <v>58</v>
      </c>
      <c r="P526" s="16" t="s">
        <v>308</v>
      </c>
      <c r="Q526" s="16" t="s">
        <v>308</v>
      </c>
      <c r="R526" s="16" t="s">
        <v>309</v>
      </c>
      <c r="S526" s="16" t="s">
        <v>264</v>
      </c>
      <c r="T526" s="16" t="s">
        <v>1163</v>
      </c>
      <c r="U526" s="16" t="s">
        <v>73</v>
      </c>
      <c r="V526" s="16" t="n">
        <v>1.17</v>
      </c>
      <c r="W526" s="16" t="n">
        <v>1.01</v>
      </c>
      <c r="X526" s="26" t="n">
        <v>50000</v>
      </c>
      <c r="Y526" s="16" t="n">
        <v>50000</v>
      </c>
      <c r="Z526" s="16" t="n">
        <v>50000</v>
      </c>
      <c r="AA526" s="16" t="n">
        <v>50000</v>
      </c>
      <c r="AB526" s="16" t="n">
        <v>50000</v>
      </c>
      <c r="AC526" s="16" t="n">
        <v>50000</v>
      </c>
      <c r="AD526" s="16" t="n">
        <v>50000</v>
      </c>
      <c r="AE526" s="16" t="n">
        <v>50000</v>
      </c>
      <c r="AF526" s="26" t="n">
        <v>50000</v>
      </c>
      <c r="AG526" s="16" t="n">
        <v>50000</v>
      </c>
      <c r="AH526" s="26" t="n">
        <v>50000</v>
      </c>
      <c r="AI526" s="16" t="n">
        <v>50000</v>
      </c>
      <c r="AJ526" s="9" t="n">
        <f aca="false">X526*$V526</f>
        <v>58500</v>
      </c>
      <c r="AK526" s="9" t="n">
        <f aca="false">Y526*$V526</f>
        <v>58500</v>
      </c>
      <c r="AL526" s="9" t="n">
        <f aca="false">Z526*$V526</f>
        <v>58500</v>
      </c>
      <c r="AM526" s="9" t="n">
        <f aca="false">AA526*$V526</f>
        <v>58500</v>
      </c>
      <c r="AN526" s="9" t="n">
        <f aca="false">AB526*$V526</f>
        <v>58500</v>
      </c>
      <c r="AO526" s="9" t="n">
        <f aca="false">AC526*$V526</f>
        <v>58500</v>
      </c>
      <c r="AP526" s="9" t="n">
        <f aca="false">AD526*$V526</f>
        <v>58500</v>
      </c>
      <c r="AQ526" s="9" t="n">
        <f aca="false">AE526*$V526</f>
        <v>58500</v>
      </c>
      <c r="AR526" s="9" t="n">
        <f aca="false">AF526*$V526</f>
        <v>58500</v>
      </c>
      <c r="AS526" s="9" t="n">
        <f aca="false">AG526*$V526</f>
        <v>58500</v>
      </c>
      <c r="AT526" s="9" t="n">
        <f aca="false">AH526*$V526</f>
        <v>58500</v>
      </c>
      <c r="AU526" s="9" t="n">
        <f aca="false">AI526*$V526</f>
        <v>58500</v>
      </c>
      <c r="AV526" s="9" t="n">
        <f aca="false">SUM(X526:AI526)/1000</f>
        <v>600</v>
      </c>
      <c r="AW526" s="9" t="n">
        <f aca="false">SUM(AJ526:AU526)</f>
        <v>702000</v>
      </c>
      <c r="AX526" s="9" t="n">
        <f aca="false">IF(D526="INR",AW526/88.24,AW526)/1000000</f>
        <v>0.00795557570262919</v>
      </c>
    </row>
    <row r="527" s="2" customFormat="true" ht="14.25" hidden="false" customHeight="false" outlineLevel="0" collapsed="false">
      <c r="A527" s="12" t="s">
        <v>1164</v>
      </c>
      <c r="B527" s="16"/>
      <c r="C527" s="15"/>
      <c r="D527" s="16" t="s">
        <v>50</v>
      </c>
      <c r="E527" s="16" t="s">
        <v>51</v>
      </c>
      <c r="F527" s="16" t="s">
        <v>52</v>
      </c>
      <c r="G527" s="16" t="s">
        <v>391</v>
      </c>
      <c r="H527" s="16" t="s">
        <v>392</v>
      </c>
      <c r="I527" s="16" t="s">
        <v>260</v>
      </c>
      <c r="J527" s="16" t="s">
        <v>276</v>
      </c>
      <c r="K527" s="16"/>
      <c r="L527" s="16" t="s">
        <v>260</v>
      </c>
      <c r="M527" s="16" t="s">
        <v>276</v>
      </c>
      <c r="N527" s="16" t="s">
        <v>93</v>
      </c>
      <c r="O527" s="16" t="s">
        <v>58</v>
      </c>
      <c r="P527" s="16" t="s">
        <v>262</v>
      </c>
      <c r="Q527" s="16" t="s">
        <v>262</v>
      </c>
      <c r="R527" s="16" t="s">
        <v>263</v>
      </c>
      <c r="S527" s="16" t="s">
        <v>264</v>
      </c>
      <c r="T527" s="16" t="s">
        <v>1165</v>
      </c>
      <c r="U527" s="16" t="s">
        <v>73</v>
      </c>
      <c r="V527" s="16" t="n">
        <v>1.45</v>
      </c>
      <c r="W527" s="16" t="n">
        <v>0.8</v>
      </c>
      <c r="X527" s="16" t="n">
        <v>40000</v>
      </c>
      <c r="Y527" s="16" t="n">
        <v>40000</v>
      </c>
      <c r="Z527" s="16" t="n">
        <v>40000</v>
      </c>
      <c r="AA527" s="16" t="n">
        <v>10000</v>
      </c>
      <c r="AB527" s="16" t="n">
        <v>40000</v>
      </c>
      <c r="AC527" s="16" t="n">
        <v>40000</v>
      </c>
      <c r="AD527" s="16" t="n">
        <v>40000</v>
      </c>
      <c r="AE527" s="16" t="n">
        <v>40000</v>
      </c>
      <c r="AF527" s="16" t="n">
        <v>40000</v>
      </c>
      <c r="AG527" s="16" t="n">
        <v>40000</v>
      </c>
      <c r="AH527" s="16" t="n">
        <v>40000</v>
      </c>
      <c r="AI527" s="16" t="n">
        <v>40000</v>
      </c>
      <c r="AJ527" s="9" t="n">
        <f aca="false">X527*$V527</f>
        <v>58000</v>
      </c>
      <c r="AK527" s="9" t="n">
        <f aca="false">Y527*$V527</f>
        <v>58000</v>
      </c>
      <c r="AL527" s="9" t="n">
        <f aca="false">Z527*$V527</f>
        <v>58000</v>
      </c>
      <c r="AM527" s="9" t="n">
        <f aca="false">AA527*$V527</f>
        <v>14500</v>
      </c>
      <c r="AN527" s="9" t="n">
        <f aca="false">AB527*$V527</f>
        <v>58000</v>
      </c>
      <c r="AO527" s="9" t="n">
        <f aca="false">AC527*$V527</f>
        <v>58000</v>
      </c>
      <c r="AP527" s="9" t="n">
        <f aca="false">AD527*$V527</f>
        <v>58000</v>
      </c>
      <c r="AQ527" s="9" t="n">
        <f aca="false">AE527*$V527</f>
        <v>58000</v>
      </c>
      <c r="AR527" s="9" t="n">
        <f aca="false">AF527*$V527</f>
        <v>58000</v>
      </c>
      <c r="AS527" s="9" t="n">
        <f aca="false">AG527*$V527</f>
        <v>58000</v>
      </c>
      <c r="AT527" s="9" t="n">
        <f aca="false">AH527*$V527</f>
        <v>58000</v>
      </c>
      <c r="AU527" s="9" t="n">
        <f aca="false">AI527*$V527</f>
        <v>58000</v>
      </c>
      <c r="AV527" s="9" t="n">
        <f aca="false">SUM(X527:AI527)/1000</f>
        <v>450</v>
      </c>
      <c r="AW527" s="9" t="n">
        <f aca="false">SUM(AJ527:AU527)</f>
        <v>652500</v>
      </c>
      <c r="AX527" s="9" t="n">
        <f aca="false">IF(D527="INR",AW527/88.24,AW527)/1000000</f>
        <v>0.00739460562103355</v>
      </c>
    </row>
    <row r="528" s="2" customFormat="true" ht="14.25" hidden="false" customHeight="false" outlineLevel="0" collapsed="false">
      <c r="A528" s="12" t="s">
        <v>1166</v>
      </c>
      <c r="B528" s="16" t="n">
        <v>5</v>
      </c>
      <c r="C528" s="15"/>
      <c r="D528" s="16" t="s">
        <v>50</v>
      </c>
      <c r="E528" s="16" t="s">
        <v>51</v>
      </c>
      <c r="F528" s="16" t="s">
        <v>404</v>
      </c>
      <c r="G528" s="16" t="s">
        <v>405</v>
      </c>
      <c r="H528" s="16" t="s">
        <v>406</v>
      </c>
      <c r="I528" s="16" t="s">
        <v>105</v>
      </c>
      <c r="J528" s="16" t="s">
        <v>368</v>
      </c>
      <c r="K528" s="16"/>
      <c r="L528" s="16" t="s">
        <v>105</v>
      </c>
      <c r="M528" s="16" t="s">
        <v>368</v>
      </c>
      <c r="N528" s="16" t="s">
        <v>271</v>
      </c>
      <c r="O528" s="16" t="s">
        <v>94</v>
      </c>
      <c r="P528" s="16" t="s">
        <v>308</v>
      </c>
      <c r="Q528" s="16" t="s">
        <v>308</v>
      </c>
      <c r="R528" s="16" t="s">
        <v>309</v>
      </c>
      <c r="S528" s="16" t="s">
        <v>264</v>
      </c>
      <c r="T528" s="16" t="s">
        <v>1167</v>
      </c>
      <c r="U528" s="16" t="s">
        <v>73</v>
      </c>
      <c r="V528" s="16" t="n">
        <v>3.8</v>
      </c>
      <c r="W528" s="16" t="n">
        <v>3.59</v>
      </c>
      <c r="X528" s="22" t="n">
        <v>15000</v>
      </c>
      <c r="Y528" s="22" t="n">
        <v>15000</v>
      </c>
      <c r="Z528" s="22" t="n">
        <v>15000</v>
      </c>
      <c r="AA528" s="22"/>
      <c r="AB528" s="22"/>
      <c r="AC528" s="22" t="n">
        <v>15000</v>
      </c>
      <c r="AD528" s="22" t="n">
        <v>15000</v>
      </c>
      <c r="AE528" s="22"/>
      <c r="AF528" s="22" t="n">
        <v>15000</v>
      </c>
      <c r="AG528" s="22" t="n">
        <v>15000</v>
      </c>
      <c r="AH528" s="22"/>
      <c r="AI528" s="22" t="n">
        <v>15000</v>
      </c>
      <c r="AJ528" s="9" t="n">
        <f aca="false">X528*$V528</f>
        <v>57000</v>
      </c>
      <c r="AK528" s="9" t="n">
        <f aca="false">Y528*$V528</f>
        <v>57000</v>
      </c>
      <c r="AL528" s="9" t="n">
        <f aca="false">Z528*$V528</f>
        <v>57000</v>
      </c>
      <c r="AM528" s="9" t="n">
        <f aca="false">AA528*$V528</f>
        <v>0</v>
      </c>
      <c r="AN528" s="9" t="n">
        <f aca="false">AB528*$V528</f>
        <v>0</v>
      </c>
      <c r="AO528" s="9" t="n">
        <f aca="false">AC528*$V528</f>
        <v>57000</v>
      </c>
      <c r="AP528" s="9" t="n">
        <f aca="false">AD528*$V528</f>
        <v>57000</v>
      </c>
      <c r="AQ528" s="9" t="n">
        <f aca="false">AE528*$V528</f>
        <v>0</v>
      </c>
      <c r="AR528" s="9" t="n">
        <f aca="false">AF528*$V528</f>
        <v>57000</v>
      </c>
      <c r="AS528" s="9" t="n">
        <f aca="false">AG528*$V528</f>
        <v>57000</v>
      </c>
      <c r="AT528" s="9" t="n">
        <f aca="false">AH528*$V528</f>
        <v>0</v>
      </c>
      <c r="AU528" s="9" t="n">
        <f aca="false">AI528*$V528</f>
        <v>57000</v>
      </c>
      <c r="AV528" s="9" t="n">
        <f aca="false">SUM(X528:AI528)/1000</f>
        <v>120</v>
      </c>
      <c r="AW528" s="9" t="n">
        <f aca="false">SUM(AJ528:AU528)</f>
        <v>456000</v>
      </c>
      <c r="AX528" s="9" t="n">
        <f aca="false">IF(D528="INR",AW528/88.24,AW528)/1000000</f>
        <v>0.00516772438803264</v>
      </c>
    </row>
    <row r="529" s="2" customFormat="true" ht="14.25" hidden="false" customHeight="false" outlineLevel="0" collapsed="false">
      <c r="A529" s="12" t="s">
        <v>1168</v>
      </c>
      <c r="B529" s="16"/>
      <c r="C529" s="15"/>
      <c r="D529" s="16" t="s">
        <v>50</v>
      </c>
      <c r="E529" s="16" t="s">
        <v>51</v>
      </c>
      <c r="F529" s="16" t="s">
        <v>52</v>
      </c>
      <c r="G529" s="16" t="s">
        <v>274</v>
      </c>
      <c r="H529" s="16" t="s">
        <v>275</v>
      </c>
      <c r="I529" s="16" t="s">
        <v>260</v>
      </c>
      <c r="J529" s="16" t="s">
        <v>276</v>
      </c>
      <c r="K529" s="16"/>
      <c r="L529" s="16" t="s">
        <v>260</v>
      </c>
      <c r="M529" s="16" t="s">
        <v>276</v>
      </c>
      <c r="N529" s="16" t="s">
        <v>79</v>
      </c>
      <c r="O529" s="16" t="s">
        <v>68</v>
      </c>
      <c r="P529" s="16" t="s">
        <v>308</v>
      </c>
      <c r="Q529" s="16" t="s">
        <v>308</v>
      </c>
      <c r="R529" s="16" t="s">
        <v>309</v>
      </c>
      <c r="S529" s="16" t="s">
        <v>264</v>
      </c>
      <c r="T529" s="16" t="s">
        <v>1169</v>
      </c>
      <c r="U529" s="16" t="s">
        <v>73</v>
      </c>
      <c r="V529" s="16" t="n">
        <v>1.14</v>
      </c>
      <c r="W529" s="16" t="n">
        <v>1.03</v>
      </c>
      <c r="X529" s="16" t="n">
        <v>50000</v>
      </c>
      <c r="Y529" s="16" t="n">
        <v>50000</v>
      </c>
      <c r="Z529" s="16" t="n">
        <v>50000</v>
      </c>
      <c r="AA529" s="16" t="n">
        <v>50000</v>
      </c>
      <c r="AB529" s="16" t="n">
        <v>50000</v>
      </c>
      <c r="AC529" s="16" t="n">
        <v>50000</v>
      </c>
      <c r="AD529" s="16" t="n">
        <v>50000</v>
      </c>
      <c r="AE529" s="16" t="n">
        <v>50000</v>
      </c>
      <c r="AF529" s="16" t="n">
        <v>50000</v>
      </c>
      <c r="AG529" s="16" t="n">
        <v>50000</v>
      </c>
      <c r="AH529" s="16" t="n">
        <v>50000</v>
      </c>
      <c r="AI529" s="16" t="n">
        <v>50000</v>
      </c>
      <c r="AJ529" s="9" t="n">
        <f aca="false">X529*$V529</f>
        <v>57000</v>
      </c>
      <c r="AK529" s="9" t="n">
        <f aca="false">Y529*$V529</f>
        <v>57000</v>
      </c>
      <c r="AL529" s="9" t="n">
        <f aca="false">Z529*$V529</f>
        <v>57000</v>
      </c>
      <c r="AM529" s="9" t="n">
        <f aca="false">AA529*$V529</f>
        <v>57000</v>
      </c>
      <c r="AN529" s="9" t="n">
        <f aca="false">AB529*$V529</f>
        <v>57000</v>
      </c>
      <c r="AO529" s="9" t="n">
        <f aca="false">AC529*$V529</f>
        <v>57000</v>
      </c>
      <c r="AP529" s="9" t="n">
        <f aca="false">AD529*$V529</f>
        <v>57000</v>
      </c>
      <c r="AQ529" s="9" t="n">
        <f aca="false">AE529*$V529</f>
        <v>57000</v>
      </c>
      <c r="AR529" s="9" t="n">
        <f aca="false">AF529*$V529</f>
        <v>57000</v>
      </c>
      <c r="AS529" s="9" t="n">
        <f aca="false">AG529*$V529</f>
        <v>57000</v>
      </c>
      <c r="AT529" s="9" t="n">
        <f aca="false">AH529*$V529</f>
        <v>57000</v>
      </c>
      <c r="AU529" s="9" t="n">
        <f aca="false">AI529*$V529</f>
        <v>57000</v>
      </c>
      <c r="AV529" s="9" t="n">
        <f aca="false">SUM(X529:AI529)/1000</f>
        <v>600</v>
      </c>
      <c r="AW529" s="9" t="n">
        <f aca="false">SUM(AJ529:AU529)</f>
        <v>684000</v>
      </c>
      <c r="AX529" s="9" t="n">
        <f aca="false">IF(D529="INR",AW529/88.24,AW529)/1000000</f>
        <v>0.00775158658204896</v>
      </c>
    </row>
    <row r="530" s="2" customFormat="true" ht="16.4" hidden="false" customHeight="false" outlineLevel="0" collapsed="false">
      <c r="A530" s="28" t="s">
        <v>1170</v>
      </c>
      <c r="B530" s="16"/>
      <c r="C530" s="16"/>
      <c r="D530" s="16" t="s">
        <v>102</v>
      </c>
      <c r="E530" s="16" t="s">
        <v>51</v>
      </c>
      <c r="F530" s="16" t="s">
        <v>52</v>
      </c>
      <c r="G530" s="16" t="s">
        <v>947</v>
      </c>
      <c r="H530" s="16" t="s">
        <v>948</v>
      </c>
      <c r="I530" s="16" t="s">
        <v>1005</v>
      </c>
      <c r="J530" s="16" t="s">
        <v>1146</v>
      </c>
      <c r="K530" s="16"/>
      <c r="L530" s="16" t="s">
        <v>1005</v>
      </c>
      <c r="M530" s="16" t="s">
        <v>1146</v>
      </c>
      <c r="N530" s="16" t="s">
        <v>79</v>
      </c>
      <c r="O530" s="16" t="s">
        <v>315</v>
      </c>
      <c r="P530" s="16" t="s">
        <v>85</v>
      </c>
      <c r="Q530" s="16" t="s">
        <v>85</v>
      </c>
      <c r="R530" s="16" t="s">
        <v>86</v>
      </c>
      <c r="S530" s="16" t="s">
        <v>87</v>
      </c>
      <c r="T530" s="26" t="s">
        <v>1171</v>
      </c>
      <c r="U530" s="16" t="s">
        <v>73</v>
      </c>
      <c r="V530" s="16" t="n">
        <v>0.033</v>
      </c>
      <c r="W530" s="16" t="n">
        <v>0.03</v>
      </c>
      <c r="X530" s="16" t="n">
        <v>6000</v>
      </c>
      <c r="Y530" s="16" t="n">
        <v>0</v>
      </c>
      <c r="Z530" s="16" t="n">
        <v>0</v>
      </c>
      <c r="AA530" s="16" t="n">
        <v>0</v>
      </c>
      <c r="AB530" s="16" t="n">
        <v>0</v>
      </c>
      <c r="AC530" s="16" t="n">
        <v>0</v>
      </c>
      <c r="AD530" s="16" t="n">
        <v>0</v>
      </c>
      <c r="AE530" s="16" t="n">
        <v>0</v>
      </c>
      <c r="AF530" s="16" t="n">
        <v>0</v>
      </c>
      <c r="AG530" s="16" t="n">
        <v>0</v>
      </c>
      <c r="AH530" s="16" t="n">
        <v>0</v>
      </c>
      <c r="AI530" s="16" t="n">
        <v>0</v>
      </c>
      <c r="AJ530" s="9" t="n">
        <f aca="false">X530*$V530</f>
        <v>198</v>
      </c>
      <c r="AK530" s="9" t="n">
        <f aca="false">Y530*$V530</f>
        <v>0</v>
      </c>
      <c r="AL530" s="9" t="n">
        <f aca="false">Z530*$V530</f>
        <v>0</v>
      </c>
      <c r="AM530" s="9" t="n">
        <f aca="false">AA530*$V530</f>
        <v>0</v>
      </c>
      <c r="AN530" s="9" t="n">
        <f aca="false">AB530*$V530</f>
        <v>0</v>
      </c>
      <c r="AO530" s="9" t="n">
        <f aca="false">AC530*$V530</f>
        <v>0</v>
      </c>
      <c r="AP530" s="9" t="n">
        <f aca="false">AD530*$V530</f>
        <v>0</v>
      </c>
      <c r="AQ530" s="9" t="n">
        <f aca="false">AE530*$V530</f>
        <v>0</v>
      </c>
      <c r="AR530" s="9" t="n">
        <f aca="false">AF530*$V530</f>
        <v>0</v>
      </c>
      <c r="AS530" s="9" t="n">
        <f aca="false">AG530*$V530</f>
        <v>0</v>
      </c>
      <c r="AT530" s="9" t="n">
        <f aca="false">AH530*$V530</f>
        <v>0</v>
      </c>
      <c r="AU530" s="9" t="n">
        <f aca="false">AI530*$V530</f>
        <v>0</v>
      </c>
      <c r="AV530" s="9" t="n">
        <f aca="false">SUM(X530:AI530)/1000</f>
        <v>6</v>
      </c>
      <c r="AW530" s="9" t="n">
        <f aca="false">SUM(AJ530:AU530)</f>
        <v>198</v>
      </c>
      <c r="AX530" s="9" t="n">
        <f aca="false">IF(D530="INR",AW530/88.24,AW530)/1000000</f>
        <v>0.000198</v>
      </c>
    </row>
    <row r="531" s="2" customFormat="true" ht="16.4" hidden="false" customHeight="false" outlineLevel="0" collapsed="false">
      <c r="A531" s="28" t="s">
        <v>1172</v>
      </c>
      <c r="B531" s="16"/>
      <c r="C531" s="16"/>
      <c r="D531" s="16" t="s">
        <v>102</v>
      </c>
      <c r="E531" s="16" t="s">
        <v>51</v>
      </c>
      <c r="F531" s="16" t="s">
        <v>52</v>
      </c>
      <c r="G531" s="16" t="s">
        <v>947</v>
      </c>
      <c r="H531" s="16" t="s">
        <v>948</v>
      </c>
      <c r="I531" s="16" t="s">
        <v>1005</v>
      </c>
      <c r="J531" s="16" t="s">
        <v>1146</v>
      </c>
      <c r="K531" s="16"/>
      <c r="L531" s="16" t="s">
        <v>1005</v>
      </c>
      <c r="M531" s="16" t="s">
        <v>1146</v>
      </c>
      <c r="N531" s="16" t="s">
        <v>79</v>
      </c>
      <c r="O531" s="16" t="s">
        <v>315</v>
      </c>
      <c r="P531" s="16" t="s">
        <v>85</v>
      </c>
      <c r="Q531" s="16" t="s">
        <v>85</v>
      </c>
      <c r="R531" s="16" t="s">
        <v>86</v>
      </c>
      <c r="S531" s="16" t="s">
        <v>87</v>
      </c>
      <c r="T531" s="16" t="s">
        <v>1173</v>
      </c>
      <c r="U531" s="16" t="s">
        <v>73</v>
      </c>
      <c r="V531" s="16" t="n">
        <v>0.034</v>
      </c>
      <c r="W531" s="16" t="n">
        <v>0.0312</v>
      </c>
      <c r="X531" s="16" t="n">
        <v>0</v>
      </c>
      <c r="Y531" s="16" t="n">
        <v>0</v>
      </c>
      <c r="Z531" s="16" t="n">
        <v>0</v>
      </c>
      <c r="AA531" s="16" t="n">
        <v>0</v>
      </c>
      <c r="AB531" s="16" t="n">
        <v>2000</v>
      </c>
      <c r="AC531" s="16" t="n">
        <v>0</v>
      </c>
      <c r="AD531" s="16" t="n">
        <v>0</v>
      </c>
      <c r="AE531" s="16" t="n">
        <v>0</v>
      </c>
      <c r="AF531" s="16" t="n">
        <v>0</v>
      </c>
      <c r="AG531" s="16" t="n">
        <v>0</v>
      </c>
      <c r="AH531" s="16" t="n">
        <v>0</v>
      </c>
      <c r="AI531" s="16" t="n">
        <v>0</v>
      </c>
      <c r="AJ531" s="9" t="n">
        <f aca="false">X531*$V531</f>
        <v>0</v>
      </c>
      <c r="AK531" s="9" t="n">
        <f aca="false">Y531*$V531</f>
        <v>0</v>
      </c>
      <c r="AL531" s="9" t="n">
        <f aca="false">Z531*$V531</f>
        <v>0</v>
      </c>
      <c r="AM531" s="9" t="n">
        <f aca="false">AA531*$V531</f>
        <v>0</v>
      </c>
      <c r="AN531" s="9" t="n">
        <f aca="false">AB531*$V531</f>
        <v>68</v>
      </c>
      <c r="AO531" s="9" t="n">
        <f aca="false">AC531*$V531</f>
        <v>0</v>
      </c>
      <c r="AP531" s="9" t="n">
        <f aca="false">AD531*$V531</f>
        <v>0</v>
      </c>
      <c r="AQ531" s="9" t="n">
        <f aca="false">AE531*$V531</f>
        <v>0</v>
      </c>
      <c r="AR531" s="9" t="n">
        <f aca="false">AF531*$V531</f>
        <v>0</v>
      </c>
      <c r="AS531" s="9" t="n">
        <f aca="false">AG531*$V531</f>
        <v>0</v>
      </c>
      <c r="AT531" s="9" t="n">
        <f aca="false">AH531*$V531</f>
        <v>0</v>
      </c>
      <c r="AU531" s="9" t="n">
        <f aca="false">AI531*$V531</f>
        <v>0</v>
      </c>
      <c r="AV531" s="9" t="n">
        <f aca="false">SUM(X531:AI531)/1000</f>
        <v>2</v>
      </c>
      <c r="AW531" s="9" t="n">
        <f aca="false">SUM(AJ531:AU531)</f>
        <v>68</v>
      </c>
      <c r="AX531" s="9" t="n">
        <f aca="false">IF(D531="INR",AW531/88.24,AW531)/1000000</f>
        <v>6.8E-005</v>
      </c>
    </row>
    <row r="532" s="2" customFormat="true" ht="16.4" hidden="false" customHeight="false" outlineLevel="0" collapsed="false">
      <c r="A532" s="28" t="s">
        <v>1174</v>
      </c>
      <c r="B532" s="16"/>
      <c r="C532" s="16"/>
      <c r="D532" s="16" t="s">
        <v>102</v>
      </c>
      <c r="E532" s="16" t="s">
        <v>51</v>
      </c>
      <c r="F532" s="16" t="s">
        <v>52</v>
      </c>
      <c r="G532" s="16" t="s">
        <v>947</v>
      </c>
      <c r="H532" s="16" t="s">
        <v>948</v>
      </c>
      <c r="I532" s="16" t="s">
        <v>1005</v>
      </c>
      <c r="J532" s="16" t="s">
        <v>1146</v>
      </c>
      <c r="K532" s="16"/>
      <c r="L532" s="16" t="s">
        <v>1005</v>
      </c>
      <c r="M532" s="16" t="s">
        <v>1146</v>
      </c>
      <c r="N532" s="16" t="s">
        <v>79</v>
      </c>
      <c r="O532" s="16" t="s">
        <v>315</v>
      </c>
      <c r="P532" s="16" t="s">
        <v>85</v>
      </c>
      <c r="Q532" s="16" t="s">
        <v>85</v>
      </c>
      <c r="R532" s="16" t="s">
        <v>86</v>
      </c>
      <c r="S532" s="16" t="s">
        <v>87</v>
      </c>
      <c r="T532" s="16" t="s">
        <v>1175</v>
      </c>
      <c r="U532" s="16" t="s">
        <v>73</v>
      </c>
      <c r="V532" s="16" t="n">
        <v>1.29</v>
      </c>
      <c r="W532" s="16" t="n">
        <v>1.161</v>
      </c>
      <c r="X532" s="16" t="n">
        <v>200</v>
      </c>
      <c r="Y532" s="16" t="n">
        <v>0</v>
      </c>
      <c r="Z532" s="16" t="n">
        <v>0</v>
      </c>
      <c r="AA532" s="16" t="n">
        <v>0</v>
      </c>
      <c r="AB532" s="16" t="n">
        <v>0</v>
      </c>
      <c r="AC532" s="16" t="n">
        <v>0</v>
      </c>
      <c r="AD532" s="16" t="n">
        <v>0</v>
      </c>
      <c r="AE532" s="16" t="n">
        <v>0</v>
      </c>
      <c r="AF532" s="16" t="n">
        <v>0</v>
      </c>
      <c r="AG532" s="16" t="n">
        <v>0</v>
      </c>
      <c r="AH532" s="16" t="n">
        <v>0</v>
      </c>
      <c r="AI532" s="16" t="n">
        <v>0</v>
      </c>
      <c r="AJ532" s="9" t="n">
        <f aca="false">X532*$V532</f>
        <v>258</v>
      </c>
      <c r="AK532" s="9" t="n">
        <f aca="false">Y532*$V532</f>
        <v>0</v>
      </c>
      <c r="AL532" s="9" t="n">
        <f aca="false">Z532*$V532</f>
        <v>0</v>
      </c>
      <c r="AM532" s="9" t="n">
        <f aca="false">AA532*$V532</f>
        <v>0</v>
      </c>
      <c r="AN532" s="9" t="n">
        <f aca="false">AB532*$V532</f>
        <v>0</v>
      </c>
      <c r="AO532" s="9" t="n">
        <f aca="false">AC532*$V532</f>
        <v>0</v>
      </c>
      <c r="AP532" s="9" t="n">
        <f aca="false">AD532*$V532</f>
        <v>0</v>
      </c>
      <c r="AQ532" s="9" t="n">
        <f aca="false">AE532*$V532</f>
        <v>0</v>
      </c>
      <c r="AR532" s="9" t="n">
        <f aca="false">AF532*$V532</f>
        <v>0</v>
      </c>
      <c r="AS532" s="9" t="n">
        <f aca="false">AG532*$V532</f>
        <v>0</v>
      </c>
      <c r="AT532" s="9" t="n">
        <f aca="false">AH532*$V532</f>
        <v>0</v>
      </c>
      <c r="AU532" s="9" t="n">
        <f aca="false">AI532*$V532</f>
        <v>0</v>
      </c>
      <c r="AV532" s="9" t="n">
        <f aca="false">SUM(X532:AI532)/1000</f>
        <v>0.2</v>
      </c>
      <c r="AW532" s="9" t="n">
        <f aca="false">SUM(AJ532:AU532)</f>
        <v>258</v>
      </c>
      <c r="AX532" s="9" t="n">
        <f aca="false">IF(D532="INR",AW532/88.24,AW532)/1000000</f>
        <v>0.000258</v>
      </c>
    </row>
    <row r="533" s="2" customFormat="true" ht="16.4" hidden="false" customHeight="false" outlineLevel="0" collapsed="false">
      <c r="A533" s="9" t="s">
        <v>1176</v>
      </c>
      <c r="B533" s="9" t="n">
        <v>5</v>
      </c>
      <c r="C533" s="15"/>
      <c r="D533" s="16" t="s">
        <v>102</v>
      </c>
      <c r="E533" s="16" t="s">
        <v>51</v>
      </c>
      <c r="F533" s="16" t="s">
        <v>52</v>
      </c>
      <c r="G533" s="16" t="s">
        <v>388</v>
      </c>
      <c r="H533" s="9" t="s">
        <v>389</v>
      </c>
      <c r="I533" s="16" t="s">
        <v>900</v>
      </c>
      <c r="J533" s="16" t="s">
        <v>1177</v>
      </c>
      <c r="K533" s="9"/>
      <c r="L533" s="16"/>
      <c r="M533" s="16"/>
      <c r="N533" s="16" t="s">
        <v>93</v>
      </c>
      <c r="O533" s="16" t="s">
        <v>58</v>
      </c>
      <c r="P533" s="9" t="str">
        <f aca="false">Q533</f>
        <v>TAIWAN SEMI</v>
      </c>
      <c r="Q533" s="9" t="s">
        <v>262</v>
      </c>
      <c r="R533" s="9" t="s">
        <v>263</v>
      </c>
      <c r="S533" s="9" t="s">
        <v>264</v>
      </c>
      <c r="T533" s="9" t="s">
        <v>1178</v>
      </c>
      <c r="U533" s="16" t="s">
        <v>73</v>
      </c>
      <c r="V533" s="36" t="n">
        <v>0.072</v>
      </c>
      <c r="W533" s="9" t="n">
        <v>0</v>
      </c>
      <c r="X533" s="22" t="n">
        <v>220000</v>
      </c>
      <c r="Y533" s="9" t="n">
        <v>220000</v>
      </c>
      <c r="Z533" s="9" t="n">
        <v>220000</v>
      </c>
      <c r="AA533" s="9" t="n">
        <v>220000</v>
      </c>
      <c r="AB533" s="9" t="n">
        <v>220000</v>
      </c>
      <c r="AC533" s="9" t="n">
        <v>220000</v>
      </c>
      <c r="AD533" s="23" t="n">
        <v>220000</v>
      </c>
      <c r="AE533" s="9" t="n">
        <v>220000</v>
      </c>
      <c r="AF533" s="9" t="n">
        <v>220000</v>
      </c>
      <c r="AG533" s="9" t="n">
        <v>220000</v>
      </c>
      <c r="AH533" s="9" t="n">
        <v>220000</v>
      </c>
      <c r="AI533" s="9" t="n">
        <v>220000</v>
      </c>
      <c r="AJ533" s="9" t="n">
        <f aca="false">X533*$V533</f>
        <v>15840</v>
      </c>
      <c r="AK533" s="9" t="n">
        <f aca="false">Y533*$V533</f>
        <v>15840</v>
      </c>
      <c r="AL533" s="9" t="n">
        <f aca="false">Z533*$V533</f>
        <v>15840</v>
      </c>
      <c r="AM533" s="9" t="n">
        <f aca="false">AA533*$V533</f>
        <v>15840</v>
      </c>
      <c r="AN533" s="9" t="n">
        <f aca="false">AB533*$V533</f>
        <v>15840</v>
      </c>
      <c r="AO533" s="9" t="n">
        <f aca="false">AC533*$V533</f>
        <v>15840</v>
      </c>
      <c r="AP533" s="9" t="n">
        <f aca="false">AD533*$V533</f>
        <v>15840</v>
      </c>
      <c r="AQ533" s="9" t="n">
        <f aca="false">AE533*$V533</f>
        <v>15840</v>
      </c>
      <c r="AR533" s="9" t="n">
        <f aca="false">AF533*$V533</f>
        <v>15840</v>
      </c>
      <c r="AS533" s="9" t="n">
        <f aca="false">AG533*$V533</f>
        <v>15840</v>
      </c>
      <c r="AT533" s="9" t="n">
        <f aca="false">AH533*$V533</f>
        <v>15840</v>
      </c>
      <c r="AU533" s="9" t="n">
        <f aca="false">AI533*$V533</f>
        <v>15840</v>
      </c>
      <c r="AV533" s="9" t="n">
        <f aca="false">SUM(X533:AI533)/1000</f>
        <v>2640</v>
      </c>
      <c r="AW533" s="9" t="n">
        <f aca="false">SUM(AJ533:AU533)</f>
        <v>190080</v>
      </c>
      <c r="AX533" s="9" t="n">
        <f aca="false">IF(D533="INR",AW533/88.24,AW533)/1000000</f>
        <v>0.19008</v>
      </c>
    </row>
    <row r="534" s="2" customFormat="true" ht="14.25" hidden="false" customHeight="false" outlineLevel="0" collapsed="false">
      <c r="A534" s="12" t="s">
        <v>1179</v>
      </c>
      <c r="B534" s="16" t="n">
        <v>5</v>
      </c>
      <c r="C534" s="15"/>
      <c r="D534" s="16" t="s">
        <v>102</v>
      </c>
      <c r="E534" s="16" t="s">
        <v>51</v>
      </c>
      <c r="F534" s="16" t="s">
        <v>52</v>
      </c>
      <c r="G534" s="16" t="s">
        <v>388</v>
      </c>
      <c r="H534" s="16" t="s">
        <v>389</v>
      </c>
      <c r="I534" s="16" t="s">
        <v>900</v>
      </c>
      <c r="J534" s="16" t="s">
        <v>1177</v>
      </c>
      <c r="K534" s="16"/>
      <c r="L534" s="16"/>
      <c r="M534" s="16"/>
      <c r="N534" s="16" t="s">
        <v>93</v>
      </c>
      <c r="O534" s="16" t="s">
        <v>58</v>
      </c>
      <c r="P534" s="16" t="str">
        <f aca="false">Q534</f>
        <v>KEMET</v>
      </c>
      <c r="Q534" s="16" t="s">
        <v>210</v>
      </c>
      <c r="R534" s="16" t="s">
        <v>86</v>
      </c>
      <c r="S534" s="16" t="s">
        <v>521</v>
      </c>
      <c r="T534" s="16" t="s">
        <v>1180</v>
      </c>
      <c r="U534" s="16" t="s">
        <v>63</v>
      </c>
      <c r="V534" s="16" t="n">
        <v>0.0105</v>
      </c>
      <c r="W534" s="16" t="n">
        <v>0</v>
      </c>
      <c r="X534" s="26" t="n">
        <v>64000</v>
      </c>
      <c r="Y534" s="26" t="n">
        <v>64000</v>
      </c>
      <c r="Z534" s="26" t="n">
        <v>64000</v>
      </c>
      <c r="AA534" s="26" t="n">
        <v>64000</v>
      </c>
      <c r="AB534" s="26" t="n">
        <v>64000</v>
      </c>
      <c r="AC534" s="26" t="n">
        <v>64000</v>
      </c>
      <c r="AD534" s="26" t="n">
        <v>64000</v>
      </c>
      <c r="AE534" s="26" t="n">
        <v>64000</v>
      </c>
      <c r="AF534" s="26" t="n">
        <v>64000</v>
      </c>
      <c r="AG534" s="26" t="n">
        <v>64000</v>
      </c>
      <c r="AH534" s="26" t="n">
        <v>64000</v>
      </c>
      <c r="AI534" s="26" t="n">
        <v>64000</v>
      </c>
      <c r="AJ534" s="9" t="n">
        <f aca="false">X534*$V534</f>
        <v>672</v>
      </c>
      <c r="AK534" s="9" t="n">
        <f aca="false">Y534*$V534</f>
        <v>672</v>
      </c>
      <c r="AL534" s="9" t="n">
        <f aca="false">Z534*$V534</f>
        <v>672</v>
      </c>
      <c r="AM534" s="9" t="n">
        <f aca="false">AA534*$V534</f>
        <v>672</v>
      </c>
      <c r="AN534" s="9" t="n">
        <f aca="false">AB534*$V534</f>
        <v>672</v>
      </c>
      <c r="AO534" s="9" t="n">
        <f aca="false">AC534*$V534</f>
        <v>672</v>
      </c>
      <c r="AP534" s="9" t="n">
        <f aca="false">AD534*$V534</f>
        <v>672</v>
      </c>
      <c r="AQ534" s="9" t="n">
        <f aca="false">AE534*$V534</f>
        <v>672</v>
      </c>
      <c r="AR534" s="9" t="n">
        <f aca="false">AF534*$V534</f>
        <v>672</v>
      </c>
      <c r="AS534" s="9" t="n">
        <f aca="false">AG534*$V534</f>
        <v>672</v>
      </c>
      <c r="AT534" s="9" t="n">
        <f aca="false">AH534*$V534</f>
        <v>672</v>
      </c>
      <c r="AU534" s="9" t="n">
        <f aca="false">AI534*$V534</f>
        <v>672</v>
      </c>
      <c r="AV534" s="9" t="n">
        <f aca="false">SUM(X534:AI534)/1000</f>
        <v>768</v>
      </c>
      <c r="AW534" s="9" t="n">
        <f aca="false">SUM(AJ534:AU534)</f>
        <v>8064</v>
      </c>
      <c r="AX534" s="9" t="n">
        <f aca="false">IF(D534="INR",AW534/88.24,AW534)/1000000</f>
        <v>0.008064</v>
      </c>
    </row>
    <row r="535" s="2" customFormat="true" ht="14.25" hidden="false" customHeight="false" outlineLevel="0" collapsed="false">
      <c r="A535" s="12"/>
      <c r="B535" s="16" t="n">
        <v>1</v>
      </c>
      <c r="C535" s="15"/>
      <c r="D535" s="16" t="s">
        <v>102</v>
      </c>
      <c r="E535" s="16" t="s">
        <v>51</v>
      </c>
      <c r="F535" s="16" t="s">
        <v>52</v>
      </c>
      <c r="G535" s="16" t="s">
        <v>388</v>
      </c>
      <c r="H535" s="16" t="s">
        <v>389</v>
      </c>
      <c r="I535" s="16" t="s">
        <v>900</v>
      </c>
      <c r="J535" s="16" t="s">
        <v>1177</v>
      </c>
      <c r="K535" s="16"/>
      <c r="L535" s="16"/>
      <c r="M535" s="16"/>
      <c r="N535" s="16" t="s">
        <v>93</v>
      </c>
      <c r="O535" s="16" t="s">
        <v>58</v>
      </c>
      <c r="P535" s="16" t="str">
        <f aca="false">Q535</f>
        <v>TDK</v>
      </c>
      <c r="Q535" s="16" t="s">
        <v>199</v>
      </c>
      <c r="R535" s="16" t="s">
        <v>377</v>
      </c>
      <c r="S535" s="16" t="s">
        <v>528</v>
      </c>
      <c r="T535" s="16" t="s">
        <v>1181</v>
      </c>
      <c r="U535" s="16" t="s">
        <v>63</v>
      </c>
      <c r="V535" s="16" t="n">
        <v>0.0403</v>
      </c>
      <c r="W535" s="16" t="n">
        <v>0.035</v>
      </c>
      <c r="X535" s="16" t="n">
        <v>50000</v>
      </c>
      <c r="Y535" s="16" t="n">
        <v>50000</v>
      </c>
      <c r="Z535" s="16" t="n">
        <v>50000</v>
      </c>
      <c r="AA535" s="16" t="n">
        <v>50000</v>
      </c>
      <c r="AB535" s="16" t="n">
        <v>50000</v>
      </c>
      <c r="AC535" s="16" t="n">
        <v>50000</v>
      </c>
      <c r="AD535" s="16" t="n">
        <v>50000</v>
      </c>
      <c r="AE535" s="16" t="n">
        <v>50000</v>
      </c>
      <c r="AF535" s="16" t="n">
        <v>50000</v>
      </c>
      <c r="AG535" s="16" t="n">
        <v>50000</v>
      </c>
      <c r="AH535" s="16" t="n">
        <v>50000</v>
      </c>
      <c r="AI535" s="16" t="n">
        <v>50000</v>
      </c>
      <c r="AJ535" s="9" t="n">
        <f aca="false">X535*$V535</f>
        <v>2015</v>
      </c>
      <c r="AK535" s="9" t="n">
        <f aca="false">Y535*$V535</f>
        <v>2015</v>
      </c>
      <c r="AL535" s="9" t="n">
        <f aca="false">Z535*$V535</f>
        <v>2015</v>
      </c>
      <c r="AM535" s="9" t="n">
        <f aca="false">AA535*$V535</f>
        <v>2015</v>
      </c>
      <c r="AN535" s="9" t="n">
        <f aca="false">AB535*$V535</f>
        <v>2015</v>
      </c>
      <c r="AO535" s="9" t="n">
        <f aca="false">AC535*$V535</f>
        <v>2015</v>
      </c>
      <c r="AP535" s="9" t="n">
        <f aca="false">AD535*$V535</f>
        <v>2015</v>
      </c>
      <c r="AQ535" s="9" t="n">
        <f aca="false">AE535*$V535</f>
        <v>2015</v>
      </c>
      <c r="AR535" s="9" t="n">
        <f aca="false">AF535*$V535</f>
        <v>2015</v>
      </c>
      <c r="AS535" s="9" t="n">
        <f aca="false">AG535*$V535</f>
        <v>2015</v>
      </c>
      <c r="AT535" s="9" t="n">
        <f aca="false">AH535*$V535</f>
        <v>2015</v>
      </c>
      <c r="AU535" s="9" t="n">
        <f aca="false">AI535*$V535</f>
        <v>2015</v>
      </c>
      <c r="AV535" s="9" t="n">
        <f aca="false">SUM(X535:AI535)/1000</f>
        <v>600</v>
      </c>
      <c r="AW535" s="9" t="n">
        <f aca="false">SUM(AJ535:AU535)</f>
        <v>24180</v>
      </c>
      <c r="AX535" s="9" t="n">
        <f aca="false">IF(D535="INR",AW535/88.24,AW535)/1000000</f>
        <v>0.02418</v>
      </c>
    </row>
    <row r="536" s="2" customFormat="true" ht="14.25" hidden="false" customHeight="false" outlineLevel="0" collapsed="false">
      <c r="A536" s="12"/>
      <c r="B536" s="16" t="n">
        <v>1</v>
      </c>
      <c r="C536" s="15"/>
      <c r="D536" s="16" t="s">
        <v>102</v>
      </c>
      <c r="E536" s="16" t="s">
        <v>51</v>
      </c>
      <c r="F536" s="16" t="s">
        <v>52</v>
      </c>
      <c r="G536" s="16" t="s">
        <v>388</v>
      </c>
      <c r="H536" s="16" t="s">
        <v>389</v>
      </c>
      <c r="I536" s="16" t="s">
        <v>900</v>
      </c>
      <c r="J536" s="16" t="s">
        <v>1177</v>
      </c>
      <c r="K536" s="16"/>
      <c r="L536" s="16"/>
      <c r="M536" s="16"/>
      <c r="N536" s="16" t="s">
        <v>93</v>
      </c>
      <c r="O536" s="16" t="s">
        <v>58</v>
      </c>
      <c r="P536" s="16" t="str">
        <f aca="false">Q536</f>
        <v>TDK</v>
      </c>
      <c r="Q536" s="16" t="s">
        <v>199</v>
      </c>
      <c r="R536" s="16" t="s">
        <v>377</v>
      </c>
      <c r="S536" s="16" t="s">
        <v>528</v>
      </c>
      <c r="T536" s="16" t="s">
        <v>1182</v>
      </c>
      <c r="U536" s="16" t="s">
        <v>63</v>
      </c>
      <c r="V536" s="16" t="n">
        <v>0.0243</v>
      </c>
      <c r="W536" s="16" t="n">
        <v>0.0211</v>
      </c>
      <c r="X536" s="16" t="n">
        <v>50000</v>
      </c>
      <c r="Y536" s="16" t="n">
        <v>50000</v>
      </c>
      <c r="Z536" s="16" t="n">
        <v>50000</v>
      </c>
      <c r="AA536" s="16" t="n">
        <v>50000</v>
      </c>
      <c r="AB536" s="16" t="n">
        <v>50000</v>
      </c>
      <c r="AC536" s="16" t="n">
        <v>50000</v>
      </c>
      <c r="AD536" s="16" t="n">
        <v>50000</v>
      </c>
      <c r="AE536" s="16" t="n">
        <v>50000</v>
      </c>
      <c r="AF536" s="16" t="n">
        <v>50000</v>
      </c>
      <c r="AG536" s="16" t="n">
        <v>50000</v>
      </c>
      <c r="AH536" s="16" t="n">
        <v>50000</v>
      </c>
      <c r="AI536" s="16" t="n">
        <v>50000</v>
      </c>
      <c r="AJ536" s="9" t="n">
        <f aca="false">X536*$V536</f>
        <v>1215</v>
      </c>
      <c r="AK536" s="9" t="n">
        <f aca="false">Y536*$V536</f>
        <v>1215</v>
      </c>
      <c r="AL536" s="9" t="n">
        <f aca="false">Z536*$V536</f>
        <v>1215</v>
      </c>
      <c r="AM536" s="9" t="n">
        <f aca="false">AA536*$V536</f>
        <v>1215</v>
      </c>
      <c r="AN536" s="9" t="n">
        <f aca="false">AB536*$V536</f>
        <v>1215</v>
      </c>
      <c r="AO536" s="9" t="n">
        <f aca="false">AC536*$V536</f>
        <v>1215</v>
      </c>
      <c r="AP536" s="9" t="n">
        <f aca="false">AD536*$V536</f>
        <v>1215</v>
      </c>
      <c r="AQ536" s="9" t="n">
        <f aca="false">AE536*$V536</f>
        <v>1215</v>
      </c>
      <c r="AR536" s="9" t="n">
        <f aca="false">AF536*$V536</f>
        <v>1215</v>
      </c>
      <c r="AS536" s="9" t="n">
        <f aca="false">AG536*$V536</f>
        <v>1215</v>
      </c>
      <c r="AT536" s="9" t="n">
        <f aca="false">AH536*$V536</f>
        <v>1215</v>
      </c>
      <c r="AU536" s="9" t="n">
        <f aca="false">AI536*$V536</f>
        <v>1215</v>
      </c>
      <c r="AV536" s="9" t="n">
        <f aca="false">SUM(X536:AI536)/1000</f>
        <v>600</v>
      </c>
      <c r="AW536" s="9" t="n">
        <f aca="false">SUM(AJ536:AU536)</f>
        <v>14580</v>
      </c>
      <c r="AX536" s="9" t="n">
        <f aca="false">IF(D536="INR",AW536/88.24,AW536)/1000000</f>
        <v>0.01458</v>
      </c>
    </row>
    <row r="537" s="2" customFormat="true" ht="14.25" hidden="false" customHeight="false" outlineLevel="0" collapsed="false">
      <c r="A537" s="12"/>
      <c r="B537" s="16" t="n">
        <v>1</v>
      </c>
      <c r="C537" s="15"/>
      <c r="D537" s="16" t="s">
        <v>102</v>
      </c>
      <c r="E537" s="16" t="s">
        <v>51</v>
      </c>
      <c r="F537" s="16" t="s">
        <v>52</v>
      </c>
      <c r="G537" s="16" t="s">
        <v>388</v>
      </c>
      <c r="H537" s="16" t="s">
        <v>389</v>
      </c>
      <c r="I537" s="16" t="s">
        <v>900</v>
      </c>
      <c r="J537" s="16" t="s">
        <v>1177</v>
      </c>
      <c r="K537" s="16"/>
      <c r="L537" s="16"/>
      <c r="M537" s="16"/>
      <c r="N537" s="16" t="s">
        <v>93</v>
      </c>
      <c r="O537" s="16" t="s">
        <v>58</v>
      </c>
      <c r="P537" s="16" t="str">
        <f aca="false">Q537</f>
        <v>TDK</v>
      </c>
      <c r="Q537" s="16" t="s">
        <v>199</v>
      </c>
      <c r="R537" s="16" t="s">
        <v>377</v>
      </c>
      <c r="S537" s="16" t="s">
        <v>528</v>
      </c>
      <c r="T537" s="16" t="s">
        <v>1183</v>
      </c>
      <c r="U537" s="16" t="s">
        <v>63</v>
      </c>
      <c r="V537" s="16" t="n">
        <v>0.023</v>
      </c>
      <c r="W537" s="16" t="n">
        <v>0.02</v>
      </c>
      <c r="X537" s="16" t="n">
        <v>50000</v>
      </c>
      <c r="Y537" s="16" t="n">
        <v>50000</v>
      </c>
      <c r="Z537" s="16" t="n">
        <v>50000</v>
      </c>
      <c r="AA537" s="16" t="n">
        <v>50000</v>
      </c>
      <c r="AB537" s="16" t="n">
        <v>50000</v>
      </c>
      <c r="AC537" s="16" t="n">
        <v>50000</v>
      </c>
      <c r="AD537" s="16" t="n">
        <v>50000</v>
      </c>
      <c r="AE537" s="16" t="n">
        <v>50000</v>
      </c>
      <c r="AF537" s="16" t="n">
        <v>50000</v>
      </c>
      <c r="AG537" s="16" t="n">
        <v>50000</v>
      </c>
      <c r="AH537" s="16" t="n">
        <v>50000</v>
      </c>
      <c r="AI537" s="16" t="n">
        <v>50000</v>
      </c>
      <c r="AJ537" s="9" t="n">
        <f aca="false">X537*$V537</f>
        <v>1150</v>
      </c>
      <c r="AK537" s="9" t="n">
        <f aca="false">Y537*$V537</f>
        <v>1150</v>
      </c>
      <c r="AL537" s="9" t="n">
        <f aca="false">Z537*$V537</f>
        <v>1150</v>
      </c>
      <c r="AM537" s="9" t="n">
        <f aca="false">AA537*$V537</f>
        <v>1150</v>
      </c>
      <c r="AN537" s="9" t="n">
        <f aca="false">AB537*$V537</f>
        <v>1150</v>
      </c>
      <c r="AO537" s="9" t="n">
        <f aca="false">AC537*$V537</f>
        <v>1150</v>
      </c>
      <c r="AP537" s="9" t="n">
        <f aca="false">AD537*$V537</f>
        <v>1150</v>
      </c>
      <c r="AQ537" s="9" t="n">
        <f aca="false">AE537*$V537</f>
        <v>1150</v>
      </c>
      <c r="AR537" s="9" t="n">
        <f aca="false">AF537*$V537</f>
        <v>1150</v>
      </c>
      <c r="AS537" s="9" t="n">
        <f aca="false">AG537*$V537</f>
        <v>1150</v>
      </c>
      <c r="AT537" s="9" t="n">
        <f aca="false">AH537*$V537</f>
        <v>1150</v>
      </c>
      <c r="AU537" s="9" t="n">
        <f aca="false">AI537*$V537</f>
        <v>1150</v>
      </c>
      <c r="AV537" s="9" t="n">
        <f aca="false">SUM(X537:AI537)/1000</f>
        <v>600</v>
      </c>
      <c r="AW537" s="9" t="n">
        <f aca="false">SUM(AJ537:AU537)</f>
        <v>13800</v>
      </c>
      <c r="AX537" s="9" t="n">
        <f aca="false">IF(D537="INR",AW537/88.24,AW537)/1000000</f>
        <v>0.0138</v>
      </c>
    </row>
    <row r="538" s="2" customFormat="true" ht="14.25" hidden="false" customHeight="false" outlineLevel="0" collapsed="false">
      <c r="A538" s="12"/>
      <c r="B538" s="16" t="n">
        <v>1</v>
      </c>
      <c r="C538" s="15"/>
      <c r="D538" s="16" t="s">
        <v>102</v>
      </c>
      <c r="E538" s="16" t="s">
        <v>51</v>
      </c>
      <c r="F538" s="16" t="s">
        <v>52</v>
      </c>
      <c r="G538" s="16" t="s">
        <v>388</v>
      </c>
      <c r="H538" s="16" t="s">
        <v>389</v>
      </c>
      <c r="I538" s="16" t="s">
        <v>900</v>
      </c>
      <c r="J538" s="16" t="s">
        <v>1177</v>
      </c>
      <c r="K538" s="16"/>
      <c r="L538" s="16"/>
      <c r="M538" s="16"/>
      <c r="N538" s="16" t="s">
        <v>93</v>
      </c>
      <c r="O538" s="16" t="s">
        <v>58</v>
      </c>
      <c r="P538" s="9" t="str">
        <f aca="false">Q538</f>
        <v>TDK</v>
      </c>
      <c r="Q538" s="16" t="s">
        <v>199</v>
      </c>
      <c r="R538" s="16" t="s">
        <v>377</v>
      </c>
      <c r="S538" s="16" t="s">
        <v>528</v>
      </c>
      <c r="T538" s="16" t="s">
        <v>1184</v>
      </c>
      <c r="U538" s="16" t="s">
        <v>63</v>
      </c>
      <c r="V538" s="26" t="n">
        <v>0.0207</v>
      </c>
      <c r="W538" s="16" t="n">
        <v>0.018</v>
      </c>
      <c r="X538" s="16" t="n">
        <v>50000</v>
      </c>
      <c r="Y538" s="16" t="n">
        <v>50000</v>
      </c>
      <c r="Z538" s="16" t="n">
        <v>50000</v>
      </c>
      <c r="AA538" s="16" t="n">
        <v>50000</v>
      </c>
      <c r="AB538" s="16" t="n">
        <v>50000</v>
      </c>
      <c r="AC538" s="16" t="n">
        <v>50000</v>
      </c>
      <c r="AD538" s="16" t="n">
        <v>50000</v>
      </c>
      <c r="AE538" s="16" t="n">
        <v>50000</v>
      </c>
      <c r="AF538" s="16" t="n">
        <v>50000</v>
      </c>
      <c r="AG538" s="16" t="n">
        <v>50000</v>
      </c>
      <c r="AH538" s="16" t="n">
        <v>50000</v>
      </c>
      <c r="AI538" s="16" t="n">
        <v>50000</v>
      </c>
      <c r="AJ538" s="9" t="n">
        <f aca="false">X538*$V538</f>
        <v>1035</v>
      </c>
      <c r="AK538" s="9" t="n">
        <f aca="false">Y538*$V538</f>
        <v>1035</v>
      </c>
      <c r="AL538" s="9" t="n">
        <f aca="false">Z538*$V538</f>
        <v>1035</v>
      </c>
      <c r="AM538" s="9" t="n">
        <f aca="false">AA538*$V538</f>
        <v>1035</v>
      </c>
      <c r="AN538" s="9" t="n">
        <f aca="false">AB538*$V538</f>
        <v>1035</v>
      </c>
      <c r="AO538" s="9" t="n">
        <f aca="false">AC538*$V538</f>
        <v>1035</v>
      </c>
      <c r="AP538" s="9" t="n">
        <f aca="false">AD538*$V538</f>
        <v>1035</v>
      </c>
      <c r="AQ538" s="9" t="n">
        <f aca="false">AE538*$V538</f>
        <v>1035</v>
      </c>
      <c r="AR538" s="9" t="n">
        <f aca="false">AF538*$V538</f>
        <v>1035</v>
      </c>
      <c r="AS538" s="9" t="n">
        <f aca="false">AG538*$V538</f>
        <v>1035</v>
      </c>
      <c r="AT538" s="9" t="n">
        <f aca="false">AH538*$V538</f>
        <v>1035</v>
      </c>
      <c r="AU538" s="9" t="n">
        <f aca="false">AI538*$V538</f>
        <v>1035</v>
      </c>
      <c r="AV538" s="9" t="n">
        <f aca="false">SUM(X538:AI538)/1000</f>
        <v>600</v>
      </c>
      <c r="AW538" s="9" t="n">
        <f aca="false">SUM(AJ538:AU538)</f>
        <v>12420</v>
      </c>
      <c r="AX538" s="9" t="n">
        <f aca="false">IF(D538="INR",AW538/88.24,AW538)/1000000</f>
        <v>0.01242</v>
      </c>
    </row>
    <row r="539" s="2" customFormat="true" ht="14.25" hidden="false" customHeight="false" outlineLevel="0" collapsed="false">
      <c r="A539" s="12"/>
      <c r="B539" s="16" t="n">
        <v>1</v>
      </c>
      <c r="C539" s="15"/>
      <c r="D539" s="16" t="s">
        <v>102</v>
      </c>
      <c r="E539" s="16" t="s">
        <v>51</v>
      </c>
      <c r="F539" s="16" t="s">
        <v>52</v>
      </c>
      <c r="G539" s="16" t="s">
        <v>388</v>
      </c>
      <c r="H539" s="16" t="s">
        <v>389</v>
      </c>
      <c r="I539" s="16" t="s">
        <v>900</v>
      </c>
      <c r="J539" s="16" t="s">
        <v>1177</v>
      </c>
      <c r="K539" s="16"/>
      <c r="L539" s="16"/>
      <c r="M539" s="16"/>
      <c r="N539" s="16" t="s">
        <v>93</v>
      </c>
      <c r="O539" s="16" t="s">
        <v>58</v>
      </c>
      <c r="P539" s="16" t="str">
        <f aca="false">Q539</f>
        <v>TDK</v>
      </c>
      <c r="Q539" s="16" t="s">
        <v>199</v>
      </c>
      <c r="R539" s="16" t="s">
        <v>377</v>
      </c>
      <c r="S539" s="16" t="s">
        <v>528</v>
      </c>
      <c r="T539" s="16" t="s">
        <v>1185</v>
      </c>
      <c r="U539" s="16" t="s">
        <v>63</v>
      </c>
      <c r="V539" s="16" t="n">
        <v>0.0157</v>
      </c>
      <c r="W539" s="16" t="n">
        <v>0.01366</v>
      </c>
      <c r="X539" s="16" t="n">
        <v>50000</v>
      </c>
      <c r="Y539" s="16" t="n">
        <v>50000</v>
      </c>
      <c r="Z539" s="16" t="n">
        <v>50000</v>
      </c>
      <c r="AA539" s="16" t="n">
        <v>50000</v>
      </c>
      <c r="AB539" s="16" t="n">
        <v>50000</v>
      </c>
      <c r="AC539" s="16" t="n">
        <v>50000</v>
      </c>
      <c r="AD539" s="16" t="n">
        <v>50000</v>
      </c>
      <c r="AE539" s="26" t="n">
        <v>50000</v>
      </c>
      <c r="AF539" s="26" t="n">
        <v>50000</v>
      </c>
      <c r="AG539" s="16" t="n">
        <v>50000</v>
      </c>
      <c r="AH539" s="16" t="n">
        <v>50000</v>
      </c>
      <c r="AI539" s="16" t="n">
        <v>50000</v>
      </c>
      <c r="AJ539" s="9" t="n">
        <f aca="false">X539*$V539</f>
        <v>785</v>
      </c>
      <c r="AK539" s="9" t="n">
        <f aca="false">Y539*$V539</f>
        <v>785</v>
      </c>
      <c r="AL539" s="9" t="n">
        <f aca="false">Z539*$V539</f>
        <v>785</v>
      </c>
      <c r="AM539" s="9" t="n">
        <f aca="false">AA539*$V539</f>
        <v>785</v>
      </c>
      <c r="AN539" s="9" t="n">
        <f aca="false">AB539*$V539</f>
        <v>785</v>
      </c>
      <c r="AO539" s="9" t="n">
        <f aca="false">AC539*$V539</f>
        <v>785</v>
      </c>
      <c r="AP539" s="9" t="n">
        <f aca="false">AD539*$V539</f>
        <v>785</v>
      </c>
      <c r="AQ539" s="9" t="n">
        <f aca="false">AE539*$V539</f>
        <v>785</v>
      </c>
      <c r="AR539" s="9" t="n">
        <f aca="false">AF539*$V539</f>
        <v>785</v>
      </c>
      <c r="AS539" s="9" t="n">
        <f aca="false">AG539*$V539</f>
        <v>785</v>
      </c>
      <c r="AT539" s="9" t="n">
        <f aca="false">AH539*$V539</f>
        <v>785</v>
      </c>
      <c r="AU539" s="9" t="n">
        <f aca="false">AI539*$V539</f>
        <v>785</v>
      </c>
      <c r="AV539" s="9" t="n">
        <f aca="false">SUM(X539:AI539)/1000</f>
        <v>600</v>
      </c>
      <c r="AW539" s="9" t="n">
        <f aca="false">SUM(AJ539:AU539)</f>
        <v>9420</v>
      </c>
      <c r="AX539" s="9" t="n">
        <f aca="false">IF(D539="INR",AW539/88.24,AW539)/1000000</f>
        <v>0.00942</v>
      </c>
    </row>
    <row r="540" s="2" customFormat="true" ht="14.25" hidden="false" customHeight="false" outlineLevel="0" collapsed="false">
      <c r="A540" s="9"/>
      <c r="B540" s="9" t="n">
        <v>1</v>
      </c>
      <c r="C540" s="10"/>
      <c r="D540" s="9" t="s">
        <v>50</v>
      </c>
      <c r="E540" s="9" t="s">
        <v>51</v>
      </c>
      <c r="F540" s="9" t="s">
        <v>52</v>
      </c>
      <c r="G540" s="9" t="s">
        <v>947</v>
      </c>
      <c r="H540" s="9" t="s">
        <v>948</v>
      </c>
      <c r="I540" s="9"/>
      <c r="J540" s="9"/>
      <c r="K540" s="9"/>
      <c r="L540" s="9"/>
      <c r="M540" s="9"/>
      <c r="N540" s="9" t="s">
        <v>79</v>
      </c>
      <c r="O540" s="9" t="s">
        <v>94</v>
      </c>
      <c r="P540" s="9"/>
      <c r="Q540" s="9" t="s">
        <v>85</v>
      </c>
      <c r="R540" s="9"/>
      <c r="S540" s="9"/>
      <c r="T540" s="9" t="s">
        <v>1186</v>
      </c>
      <c r="U540" s="9" t="s">
        <v>73</v>
      </c>
      <c r="V540" s="9" t="n">
        <v>5.51</v>
      </c>
      <c r="W540" s="9"/>
      <c r="X540" s="9"/>
      <c r="Y540" s="9"/>
      <c r="Z540" s="9" t="n">
        <v>10000</v>
      </c>
      <c r="AA540" s="9"/>
      <c r="AB540" s="9"/>
      <c r="AC540" s="9"/>
      <c r="AD540" s="9"/>
      <c r="AE540" s="9"/>
      <c r="AF540" s="9" t="n">
        <v>10000</v>
      </c>
      <c r="AG540" s="9"/>
      <c r="AH540" s="9"/>
      <c r="AI540" s="9" t="n">
        <v>10000</v>
      </c>
      <c r="AJ540" s="9" t="n">
        <f aca="false">X540*$V540</f>
        <v>0</v>
      </c>
      <c r="AK540" s="9" t="n">
        <f aca="false">Y540*$V540</f>
        <v>0</v>
      </c>
      <c r="AL540" s="9" t="n">
        <f aca="false">Z540*$V540</f>
        <v>55100</v>
      </c>
      <c r="AM540" s="9" t="n">
        <f aca="false">AA540*$V540</f>
        <v>0</v>
      </c>
      <c r="AN540" s="9" t="n">
        <f aca="false">AB540*$V540</f>
        <v>0</v>
      </c>
      <c r="AO540" s="9" t="n">
        <f aca="false">AC540*$V540</f>
        <v>0</v>
      </c>
      <c r="AP540" s="9" t="n">
        <f aca="false">AD540*$V540</f>
        <v>0</v>
      </c>
      <c r="AQ540" s="9" t="n">
        <f aca="false">AE540*$V540</f>
        <v>0</v>
      </c>
      <c r="AR540" s="9" t="n">
        <f aca="false">AF540*$V540</f>
        <v>55100</v>
      </c>
      <c r="AS540" s="9" t="n">
        <f aca="false">AG540*$V540</f>
        <v>0</v>
      </c>
      <c r="AT540" s="9" t="n">
        <f aca="false">AH540*$V540</f>
        <v>0</v>
      </c>
      <c r="AU540" s="9" t="n">
        <f aca="false">AI540*$V540</f>
        <v>55100</v>
      </c>
      <c r="AV540" s="9" t="n">
        <f aca="false">SUM(X540:AI540)/1000</f>
        <v>30</v>
      </c>
      <c r="AW540" s="9" t="n">
        <f aca="false">SUM(AJ540:AU540)</f>
        <v>165300</v>
      </c>
      <c r="AX540" s="9" t="n">
        <f aca="false">IF(D540="INR",AW540/88.24,AW540)/1000000</f>
        <v>0.00187330009066183</v>
      </c>
    </row>
    <row r="541" s="2" customFormat="true" ht="14.25" hidden="false" customHeight="false" outlineLevel="0" collapsed="false">
      <c r="A541" s="12"/>
      <c r="B541" s="16" t="n">
        <v>1</v>
      </c>
      <c r="C541" s="15"/>
      <c r="D541" s="16" t="s">
        <v>102</v>
      </c>
      <c r="E541" s="16" t="s">
        <v>51</v>
      </c>
      <c r="F541" s="16" t="s">
        <v>52</v>
      </c>
      <c r="G541" s="16" t="s">
        <v>388</v>
      </c>
      <c r="H541" s="16" t="s">
        <v>389</v>
      </c>
      <c r="I541" s="16" t="s">
        <v>900</v>
      </c>
      <c r="J541" s="16" t="s">
        <v>1177</v>
      </c>
      <c r="K541" s="16"/>
      <c r="L541" s="16"/>
      <c r="M541" s="16"/>
      <c r="N541" s="16" t="s">
        <v>93</v>
      </c>
      <c r="O541" s="16" t="s">
        <v>58</v>
      </c>
      <c r="P541" s="16" t="str">
        <f aca="false">Q541</f>
        <v>TDK</v>
      </c>
      <c r="Q541" s="16" t="s">
        <v>199</v>
      </c>
      <c r="R541" s="16" t="s">
        <v>377</v>
      </c>
      <c r="S541" s="16" t="s">
        <v>528</v>
      </c>
      <c r="T541" s="16" t="s">
        <v>1187</v>
      </c>
      <c r="U541" s="16" t="s">
        <v>63</v>
      </c>
      <c r="V541" s="16" t="n">
        <v>0.0087</v>
      </c>
      <c r="W541" s="16" t="n">
        <v>0.0076</v>
      </c>
      <c r="X541" s="22" t="n">
        <v>30000</v>
      </c>
      <c r="Y541" s="16" t="n">
        <v>30000</v>
      </c>
      <c r="Z541" s="16" t="n">
        <v>30000</v>
      </c>
      <c r="AA541" s="16" t="n">
        <v>30000</v>
      </c>
      <c r="AB541" s="16" t="n">
        <v>30000</v>
      </c>
      <c r="AC541" s="16" t="n">
        <v>30000</v>
      </c>
      <c r="AD541" s="16" t="n">
        <v>30000</v>
      </c>
      <c r="AE541" s="16" t="n">
        <v>30000</v>
      </c>
      <c r="AF541" s="16" t="n">
        <v>30000</v>
      </c>
      <c r="AG541" s="16" t="n">
        <v>30000</v>
      </c>
      <c r="AH541" s="16" t="n">
        <v>30000</v>
      </c>
      <c r="AI541" s="16" t="n">
        <v>30000</v>
      </c>
      <c r="AJ541" s="9" t="n">
        <f aca="false">X541*$V541</f>
        <v>261</v>
      </c>
      <c r="AK541" s="9" t="n">
        <f aca="false">Y541*$V541</f>
        <v>261</v>
      </c>
      <c r="AL541" s="9" t="n">
        <f aca="false">Z541*$V541</f>
        <v>261</v>
      </c>
      <c r="AM541" s="9" t="n">
        <f aca="false">AA541*$V541</f>
        <v>261</v>
      </c>
      <c r="AN541" s="9" t="n">
        <f aca="false">AB541*$V541</f>
        <v>261</v>
      </c>
      <c r="AO541" s="9" t="n">
        <f aca="false">AC541*$V541</f>
        <v>261</v>
      </c>
      <c r="AP541" s="9" t="n">
        <f aca="false">AD541*$V541</f>
        <v>261</v>
      </c>
      <c r="AQ541" s="9" t="n">
        <f aca="false">AE541*$V541</f>
        <v>261</v>
      </c>
      <c r="AR541" s="9" t="n">
        <f aca="false">AF541*$V541</f>
        <v>261</v>
      </c>
      <c r="AS541" s="9" t="n">
        <f aca="false">AG541*$V541</f>
        <v>261</v>
      </c>
      <c r="AT541" s="9" t="n">
        <f aca="false">AH541*$V541</f>
        <v>261</v>
      </c>
      <c r="AU541" s="9" t="n">
        <f aca="false">AI541*$V541</f>
        <v>261</v>
      </c>
      <c r="AV541" s="9" t="n">
        <f aca="false">SUM(X541:AI541)/1000</f>
        <v>360</v>
      </c>
      <c r="AW541" s="9" t="n">
        <f aca="false">SUM(AJ541:AU541)</f>
        <v>3132</v>
      </c>
      <c r="AX541" s="9" t="n">
        <f aca="false">IF(D541="INR",AW541/88.24,AW541)/1000000</f>
        <v>0.003132</v>
      </c>
    </row>
    <row r="542" s="2" customFormat="true" ht="14.25" hidden="false" customHeight="false" outlineLevel="0" collapsed="false">
      <c r="A542" s="9"/>
      <c r="B542" s="9" t="n">
        <v>1</v>
      </c>
      <c r="C542" s="15"/>
      <c r="D542" s="16" t="s">
        <v>102</v>
      </c>
      <c r="E542" s="16" t="s">
        <v>51</v>
      </c>
      <c r="F542" s="16" t="s">
        <v>52</v>
      </c>
      <c r="G542" s="16" t="s">
        <v>388</v>
      </c>
      <c r="H542" s="16" t="s">
        <v>389</v>
      </c>
      <c r="I542" s="16" t="s">
        <v>900</v>
      </c>
      <c r="J542" s="16" t="s">
        <v>1177</v>
      </c>
      <c r="K542" s="9"/>
      <c r="L542" s="16"/>
      <c r="M542" s="16"/>
      <c r="N542" s="16" t="s">
        <v>93</v>
      </c>
      <c r="O542" s="16" t="s">
        <v>58</v>
      </c>
      <c r="P542" s="16" t="str">
        <f aca="false">Q542</f>
        <v>TDK</v>
      </c>
      <c r="Q542" s="16" t="s">
        <v>199</v>
      </c>
      <c r="R542" s="16" t="s">
        <v>377</v>
      </c>
      <c r="S542" s="16" t="s">
        <v>528</v>
      </c>
      <c r="T542" s="23" t="s">
        <v>1188</v>
      </c>
      <c r="U542" s="9" t="s">
        <v>63</v>
      </c>
      <c r="V542" s="23" t="n">
        <v>0.0053</v>
      </c>
      <c r="W542" s="9" t="n">
        <v>0.0046</v>
      </c>
      <c r="X542" s="9" t="n">
        <v>30000</v>
      </c>
      <c r="Y542" s="9" t="n">
        <v>30000</v>
      </c>
      <c r="Z542" s="9" t="n">
        <v>30000</v>
      </c>
      <c r="AA542" s="9" t="n">
        <v>30000</v>
      </c>
      <c r="AB542" s="9" t="n">
        <v>30000</v>
      </c>
      <c r="AC542" s="9" t="n">
        <v>30000</v>
      </c>
      <c r="AD542" s="9" t="n">
        <v>30000</v>
      </c>
      <c r="AE542" s="9" t="n">
        <v>30000</v>
      </c>
      <c r="AF542" s="9" t="n">
        <v>30000</v>
      </c>
      <c r="AG542" s="9" t="n">
        <v>30000</v>
      </c>
      <c r="AH542" s="9" t="n">
        <v>30000</v>
      </c>
      <c r="AI542" s="9" t="n">
        <v>30000</v>
      </c>
      <c r="AJ542" s="9" t="n">
        <f aca="false">X542*$V542</f>
        <v>159</v>
      </c>
      <c r="AK542" s="9" t="n">
        <f aca="false">Y542*$V542</f>
        <v>159</v>
      </c>
      <c r="AL542" s="9" t="n">
        <f aca="false">Z542*$V542</f>
        <v>159</v>
      </c>
      <c r="AM542" s="9" t="n">
        <f aca="false">AA542*$V542</f>
        <v>159</v>
      </c>
      <c r="AN542" s="9" t="n">
        <f aca="false">AB542*$V542</f>
        <v>159</v>
      </c>
      <c r="AO542" s="9" t="n">
        <f aca="false">AC542*$V542</f>
        <v>159</v>
      </c>
      <c r="AP542" s="9" t="n">
        <f aca="false">AD542*$V542</f>
        <v>159</v>
      </c>
      <c r="AQ542" s="9" t="n">
        <f aca="false">AE542*$V542</f>
        <v>159</v>
      </c>
      <c r="AR542" s="9" t="n">
        <f aca="false">AF542*$V542</f>
        <v>159</v>
      </c>
      <c r="AS542" s="9" t="n">
        <f aca="false">AG542*$V542</f>
        <v>159</v>
      </c>
      <c r="AT542" s="9" t="n">
        <f aca="false">AH542*$V542</f>
        <v>159</v>
      </c>
      <c r="AU542" s="9" t="n">
        <f aca="false">AI542*$V542</f>
        <v>159</v>
      </c>
      <c r="AV542" s="9" t="n">
        <f aca="false">SUM(X542:AI542)/1000</f>
        <v>360</v>
      </c>
      <c r="AW542" s="9" t="n">
        <f aca="false">SUM(AJ542:AU542)</f>
        <v>1908</v>
      </c>
      <c r="AX542" s="9" t="n">
        <f aca="false">IF(D542="INR",AW542/88.24,AW542)/1000000</f>
        <v>0.001908</v>
      </c>
    </row>
    <row r="543" s="2" customFormat="true" ht="14.25" hidden="false" customHeight="false" outlineLevel="0" collapsed="false">
      <c r="A543" s="12"/>
      <c r="B543" s="16" t="n">
        <v>1</v>
      </c>
      <c r="C543" s="15"/>
      <c r="D543" s="16" t="s">
        <v>102</v>
      </c>
      <c r="E543" s="16" t="s">
        <v>51</v>
      </c>
      <c r="F543" s="16" t="s">
        <v>52</v>
      </c>
      <c r="G543" s="16" t="s">
        <v>388</v>
      </c>
      <c r="H543" s="16" t="s">
        <v>389</v>
      </c>
      <c r="I543" s="16" t="s">
        <v>900</v>
      </c>
      <c r="J543" s="16" t="s">
        <v>1177</v>
      </c>
      <c r="K543" s="16"/>
      <c r="L543" s="16"/>
      <c r="M543" s="16"/>
      <c r="N543" s="16" t="s">
        <v>93</v>
      </c>
      <c r="O543" s="16" t="s">
        <v>58</v>
      </c>
      <c r="P543" s="16" t="str">
        <f aca="false">Q543</f>
        <v>TDK</v>
      </c>
      <c r="Q543" s="16" t="s">
        <v>199</v>
      </c>
      <c r="R543" s="16" t="s">
        <v>377</v>
      </c>
      <c r="S543" s="16" t="s">
        <v>528</v>
      </c>
      <c r="T543" s="16" t="s">
        <v>1189</v>
      </c>
      <c r="U543" s="16" t="s">
        <v>63</v>
      </c>
      <c r="V543" s="16" t="n">
        <v>0.0828</v>
      </c>
      <c r="W543" s="16" t="n">
        <v>0.072</v>
      </c>
      <c r="X543" s="16" t="n">
        <v>30000</v>
      </c>
      <c r="Y543" s="16" t="n">
        <v>30000</v>
      </c>
      <c r="Z543" s="16" t="n">
        <v>30000</v>
      </c>
      <c r="AA543" s="16" t="n">
        <v>30000</v>
      </c>
      <c r="AB543" s="16" t="n">
        <v>30000</v>
      </c>
      <c r="AC543" s="16" t="n">
        <v>30000</v>
      </c>
      <c r="AD543" s="16" t="n">
        <v>20000</v>
      </c>
      <c r="AE543" s="16" t="n">
        <v>20000</v>
      </c>
      <c r="AF543" s="16" t="n">
        <v>20000</v>
      </c>
      <c r="AG543" s="16" t="n">
        <v>20000</v>
      </c>
      <c r="AH543" s="16" t="n">
        <v>20000</v>
      </c>
      <c r="AI543" s="16" t="n">
        <v>20000</v>
      </c>
      <c r="AJ543" s="9" t="n">
        <f aca="false">X543*$V543</f>
        <v>2484</v>
      </c>
      <c r="AK543" s="9" t="n">
        <f aca="false">Y543*$V543</f>
        <v>2484</v>
      </c>
      <c r="AL543" s="9" t="n">
        <f aca="false">Z543*$V543</f>
        <v>2484</v>
      </c>
      <c r="AM543" s="9" t="n">
        <f aca="false">AA543*$V543</f>
        <v>2484</v>
      </c>
      <c r="AN543" s="9" t="n">
        <f aca="false">AB543*$V543</f>
        <v>2484</v>
      </c>
      <c r="AO543" s="9" t="n">
        <f aca="false">AC543*$V543</f>
        <v>2484</v>
      </c>
      <c r="AP543" s="9" t="n">
        <f aca="false">AD543*$V543</f>
        <v>1656</v>
      </c>
      <c r="AQ543" s="9" t="n">
        <f aca="false">AE543*$V543</f>
        <v>1656</v>
      </c>
      <c r="AR543" s="9" t="n">
        <f aca="false">AF543*$V543</f>
        <v>1656</v>
      </c>
      <c r="AS543" s="9" t="n">
        <f aca="false">AG543*$V543</f>
        <v>1656</v>
      </c>
      <c r="AT543" s="9" t="n">
        <f aca="false">AH543*$V543</f>
        <v>1656</v>
      </c>
      <c r="AU543" s="9" t="n">
        <f aca="false">AI543*$V543</f>
        <v>1656</v>
      </c>
      <c r="AV543" s="9" t="n">
        <f aca="false">SUM(X543:AI543)/1000</f>
        <v>300</v>
      </c>
      <c r="AW543" s="9" t="n">
        <f aca="false">SUM(AJ543:AU543)</f>
        <v>24840</v>
      </c>
      <c r="AX543" s="9" t="n">
        <f aca="false">IF(D543="INR",AW543/88.24,AW543)/1000000</f>
        <v>0.02484</v>
      </c>
    </row>
    <row r="544" s="2" customFormat="true" ht="14.25" hidden="false" customHeight="false" outlineLevel="0" collapsed="false">
      <c r="A544" s="12" t="s">
        <v>1190</v>
      </c>
      <c r="B544" s="16" t="n">
        <v>5</v>
      </c>
      <c r="C544" s="15"/>
      <c r="D544" s="16" t="s">
        <v>102</v>
      </c>
      <c r="E544" s="16" t="s">
        <v>51</v>
      </c>
      <c r="F544" s="16" t="s">
        <v>52</v>
      </c>
      <c r="G544" s="16" t="s">
        <v>388</v>
      </c>
      <c r="H544" s="16" t="s">
        <v>389</v>
      </c>
      <c r="I544" s="16" t="s">
        <v>900</v>
      </c>
      <c r="J544" s="16" t="s">
        <v>1177</v>
      </c>
      <c r="K544" s="16"/>
      <c r="L544" s="16"/>
      <c r="M544" s="16"/>
      <c r="N544" s="16" t="s">
        <v>93</v>
      </c>
      <c r="O544" s="16" t="s">
        <v>58</v>
      </c>
      <c r="P544" s="9" t="str">
        <f aca="false">Q544</f>
        <v>NICHICON</v>
      </c>
      <c r="Q544" s="16" t="s">
        <v>85</v>
      </c>
      <c r="R544" s="16" t="s">
        <v>86</v>
      </c>
      <c r="S544" s="16" t="s">
        <v>87</v>
      </c>
      <c r="T544" s="16" t="s">
        <v>1191</v>
      </c>
      <c r="U544" s="16" t="s">
        <v>63</v>
      </c>
      <c r="V544" s="16" t="n">
        <v>0.05</v>
      </c>
      <c r="W544" s="16" t="n">
        <v>0.045</v>
      </c>
      <c r="X544" s="16" t="n">
        <v>24000</v>
      </c>
      <c r="Y544" s="16" t="n">
        <v>24000</v>
      </c>
      <c r="Z544" s="16" t="n">
        <v>24000</v>
      </c>
      <c r="AA544" s="16" t="n">
        <v>24000</v>
      </c>
      <c r="AB544" s="16" t="n">
        <v>24000</v>
      </c>
      <c r="AC544" s="16" t="n">
        <v>24000</v>
      </c>
      <c r="AD544" s="16" t="n">
        <v>24000</v>
      </c>
      <c r="AE544" s="16" t="n">
        <v>24000</v>
      </c>
      <c r="AF544" s="16" t="n">
        <v>24000</v>
      </c>
      <c r="AG544" s="16" t="n">
        <v>24000</v>
      </c>
      <c r="AH544" s="16" t="n">
        <v>24000</v>
      </c>
      <c r="AI544" s="16" t="n">
        <v>24000</v>
      </c>
      <c r="AJ544" s="9" t="n">
        <f aca="false">X544*$V544</f>
        <v>1200</v>
      </c>
      <c r="AK544" s="9" t="n">
        <f aca="false">Y544*$V544</f>
        <v>1200</v>
      </c>
      <c r="AL544" s="9" t="n">
        <f aca="false">Z544*$V544</f>
        <v>1200</v>
      </c>
      <c r="AM544" s="9" t="n">
        <f aca="false">AA544*$V544</f>
        <v>1200</v>
      </c>
      <c r="AN544" s="9" t="n">
        <f aca="false">AB544*$V544</f>
        <v>1200</v>
      </c>
      <c r="AO544" s="9" t="n">
        <f aca="false">AC544*$V544</f>
        <v>1200</v>
      </c>
      <c r="AP544" s="9" t="n">
        <f aca="false">AD544*$V544</f>
        <v>1200</v>
      </c>
      <c r="AQ544" s="9" t="n">
        <f aca="false">AE544*$V544</f>
        <v>1200</v>
      </c>
      <c r="AR544" s="9" t="n">
        <f aca="false">AF544*$V544</f>
        <v>1200</v>
      </c>
      <c r="AS544" s="9" t="n">
        <f aca="false">AG544*$V544</f>
        <v>1200</v>
      </c>
      <c r="AT544" s="9" t="n">
        <f aca="false">AH544*$V544</f>
        <v>1200</v>
      </c>
      <c r="AU544" s="9" t="n">
        <f aca="false">AI544*$V544</f>
        <v>1200</v>
      </c>
      <c r="AV544" s="9" t="n">
        <f aca="false">SUM(X544:AI544)/1000</f>
        <v>288</v>
      </c>
      <c r="AW544" s="9" t="n">
        <f aca="false">SUM(AJ544:AU544)</f>
        <v>14400</v>
      </c>
      <c r="AX544" s="9" t="n">
        <f aca="false">IF(D544="INR",AW544/88.24,AW544)/1000000</f>
        <v>0.0144</v>
      </c>
    </row>
    <row r="545" s="2" customFormat="true" ht="14.25" hidden="false" customHeight="false" outlineLevel="0" collapsed="false">
      <c r="A545" s="12" t="s">
        <v>1192</v>
      </c>
      <c r="B545" s="16" t="n">
        <v>5</v>
      </c>
      <c r="C545" s="15"/>
      <c r="D545" s="16" t="s">
        <v>102</v>
      </c>
      <c r="E545" s="16" t="s">
        <v>51</v>
      </c>
      <c r="F545" s="16" t="s">
        <v>52</v>
      </c>
      <c r="G545" s="16" t="s">
        <v>388</v>
      </c>
      <c r="H545" s="16" t="s">
        <v>389</v>
      </c>
      <c r="I545" s="16" t="s">
        <v>900</v>
      </c>
      <c r="J545" s="16" t="s">
        <v>1177</v>
      </c>
      <c r="K545" s="16"/>
      <c r="L545" s="16"/>
      <c r="M545" s="16"/>
      <c r="N545" s="16" t="s">
        <v>93</v>
      </c>
      <c r="O545" s="16" t="s">
        <v>58</v>
      </c>
      <c r="P545" s="16" t="str">
        <f aca="false">Q545</f>
        <v>NICHICON</v>
      </c>
      <c r="Q545" s="16" t="s">
        <v>85</v>
      </c>
      <c r="R545" s="16" t="s">
        <v>86</v>
      </c>
      <c r="S545" s="16" t="s">
        <v>87</v>
      </c>
      <c r="T545" s="16" t="s">
        <v>1193</v>
      </c>
      <c r="U545" s="16" t="s">
        <v>63</v>
      </c>
      <c r="V545" s="15" t="n">
        <v>0.043</v>
      </c>
      <c r="W545" s="16" t="n">
        <v>0.04</v>
      </c>
      <c r="X545" s="16" t="n">
        <v>24000</v>
      </c>
      <c r="Y545" s="16" t="n">
        <v>24000</v>
      </c>
      <c r="Z545" s="16" t="n">
        <v>24000</v>
      </c>
      <c r="AA545" s="16" t="n">
        <v>24000</v>
      </c>
      <c r="AB545" s="16" t="n">
        <v>24000</v>
      </c>
      <c r="AC545" s="16" t="n">
        <v>24000</v>
      </c>
      <c r="AD545" s="16" t="n">
        <v>24000</v>
      </c>
      <c r="AE545" s="16" t="n">
        <v>24000</v>
      </c>
      <c r="AF545" s="16" t="n">
        <v>24000</v>
      </c>
      <c r="AG545" s="16" t="n">
        <v>24000</v>
      </c>
      <c r="AH545" s="16" t="n">
        <v>24000</v>
      </c>
      <c r="AI545" s="16" t="n">
        <v>24000</v>
      </c>
      <c r="AJ545" s="9" t="n">
        <f aca="false">X545*$V545</f>
        <v>1032</v>
      </c>
      <c r="AK545" s="9" t="n">
        <f aca="false">Y545*$V545</f>
        <v>1032</v>
      </c>
      <c r="AL545" s="9" t="n">
        <f aca="false">Z545*$V545</f>
        <v>1032</v>
      </c>
      <c r="AM545" s="9" t="n">
        <f aca="false">AA545*$V545</f>
        <v>1032</v>
      </c>
      <c r="AN545" s="9" t="n">
        <f aca="false">AB545*$V545</f>
        <v>1032</v>
      </c>
      <c r="AO545" s="9" t="n">
        <f aca="false">AC545*$V545</f>
        <v>1032</v>
      </c>
      <c r="AP545" s="9" t="n">
        <f aca="false">AD545*$V545</f>
        <v>1032</v>
      </c>
      <c r="AQ545" s="9" t="n">
        <f aca="false">AE545*$V545</f>
        <v>1032</v>
      </c>
      <c r="AR545" s="9" t="n">
        <f aca="false">AF545*$V545</f>
        <v>1032</v>
      </c>
      <c r="AS545" s="9" t="n">
        <f aca="false">AG545*$V545</f>
        <v>1032</v>
      </c>
      <c r="AT545" s="9" t="n">
        <f aca="false">AH545*$V545</f>
        <v>1032</v>
      </c>
      <c r="AU545" s="9" t="n">
        <f aca="false">AI545*$V545</f>
        <v>1032</v>
      </c>
      <c r="AV545" s="9" t="n">
        <f aca="false">SUM(X545:AI545)/1000</f>
        <v>288</v>
      </c>
      <c r="AW545" s="9" t="n">
        <f aca="false">SUM(AJ545:AU545)</f>
        <v>12384</v>
      </c>
      <c r="AX545" s="9" t="n">
        <f aca="false">IF(D545="INR",AW545/88.24,AW545)/1000000</f>
        <v>0.012384</v>
      </c>
    </row>
    <row r="546" s="2" customFormat="true" ht="14.25" hidden="false" customHeight="false" outlineLevel="0" collapsed="false">
      <c r="A546" s="12"/>
      <c r="B546" s="16" t="n">
        <v>1</v>
      </c>
      <c r="C546" s="15"/>
      <c r="D546" s="16" t="s">
        <v>102</v>
      </c>
      <c r="E546" s="16" t="s">
        <v>51</v>
      </c>
      <c r="F546" s="16" t="s">
        <v>52</v>
      </c>
      <c r="G546" s="16" t="s">
        <v>388</v>
      </c>
      <c r="H546" s="16" t="s">
        <v>389</v>
      </c>
      <c r="I546" s="16" t="s">
        <v>900</v>
      </c>
      <c r="J546" s="16" t="s">
        <v>1177</v>
      </c>
      <c r="K546" s="16"/>
      <c r="L546" s="16"/>
      <c r="M546" s="16"/>
      <c r="N546" s="16" t="s">
        <v>93</v>
      </c>
      <c r="O546" s="16" t="s">
        <v>58</v>
      </c>
      <c r="P546" s="16" t="str">
        <f aca="false">Q546</f>
        <v>TDK</v>
      </c>
      <c r="Q546" s="16" t="s">
        <v>199</v>
      </c>
      <c r="R546" s="16" t="s">
        <v>377</v>
      </c>
      <c r="S546" s="16" t="s">
        <v>528</v>
      </c>
      <c r="T546" s="16" t="s">
        <v>1194</v>
      </c>
      <c r="U546" s="16" t="s">
        <v>63</v>
      </c>
      <c r="V546" s="16" t="n">
        <v>0.0661</v>
      </c>
      <c r="W546" s="16" t="n">
        <v>0.058</v>
      </c>
      <c r="X546" s="16" t="n">
        <v>20000</v>
      </c>
      <c r="Y546" s="16" t="n">
        <v>20000</v>
      </c>
      <c r="Z546" s="16" t="n">
        <v>20000</v>
      </c>
      <c r="AA546" s="16" t="n">
        <v>20000</v>
      </c>
      <c r="AB546" s="16" t="n">
        <v>20000</v>
      </c>
      <c r="AC546" s="16" t="n">
        <v>20000</v>
      </c>
      <c r="AD546" s="16" t="n">
        <v>20000</v>
      </c>
      <c r="AE546" s="16" t="n">
        <v>20000</v>
      </c>
      <c r="AF546" s="26" t="n">
        <v>20000</v>
      </c>
      <c r="AG546" s="16" t="n">
        <v>20000</v>
      </c>
      <c r="AH546" s="16" t="n">
        <v>20000</v>
      </c>
      <c r="AI546" s="16" t="n">
        <v>20000</v>
      </c>
      <c r="AJ546" s="9" t="n">
        <f aca="false">X546*$V546</f>
        <v>1322</v>
      </c>
      <c r="AK546" s="9" t="n">
        <f aca="false">Y546*$V546</f>
        <v>1322</v>
      </c>
      <c r="AL546" s="9" t="n">
        <f aca="false">Z546*$V546</f>
        <v>1322</v>
      </c>
      <c r="AM546" s="9" t="n">
        <f aca="false">AA546*$V546</f>
        <v>1322</v>
      </c>
      <c r="AN546" s="9" t="n">
        <f aca="false">AB546*$V546</f>
        <v>1322</v>
      </c>
      <c r="AO546" s="9" t="n">
        <f aca="false">AC546*$V546</f>
        <v>1322</v>
      </c>
      <c r="AP546" s="9" t="n">
        <f aca="false">AD546*$V546</f>
        <v>1322</v>
      </c>
      <c r="AQ546" s="9" t="n">
        <f aca="false">AE546*$V546</f>
        <v>1322</v>
      </c>
      <c r="AR546" s="9" t="n">
        <f aca="false">AF546*$V546</f>
        <v>1322</v>
      </c>
      <c r="AS546" s="9" t="n">
        <f aca="false">AG546*$V546</f>
        <v>1322</v>
      </c>
      <c r="AT546" s="9" t="n">
        <f aca="false">AH546*$V546</f>
        <v>1322</v>
      </c>
      <c r="AU546" s="9" t="n">
        <f aca="false">AI546*$V546</f>
        <v>1322</v>
      </c>
      <c r="AV546" s="9" t="n">
        <f aca="false">SUM(X546:AI546)/1000</f>
        <v>240</v>
      </c>
      <c r="AW546" s="9" t="n">
        <f aca="false">SUM(AJ546:AU546)</f>
        <v>15864</v>
      </c>
      <c r="AX546" s="9" t="n">
        <f aca="false">IF(D546="INR",AW546/88.24,AW546)/1000000</f>
        <v>0.015864</v>
      </c>
    </row>
    <row r="547" s="2" customFormat="true" ht="14.25" hidden="false" customHeight="false" outlineLevel="0" collapsed="false">
      <c r="A547" s="9"/>
      <c r="B547" s="9" t="n">
        <v>1</v>
      </c>
      <c r="C547" s="10"/>
      <c r="D547" s="9" t="s">
        <v>50</v>
      </c>
      <c r="E547" s="9" t="s">
        <v>51</v>
      </c>
      <c r="F547" s="9" t="s">
        <v>52</v>
      </c>
      <c r="G547" s="9" t="s">
        <v>506</v>
      </c>
      <c r="H547" s="9" t="s">
        <v>507</v>
      </c>
      <c r="I547" s="9"/>
      <c r="J547" s="9"/>
      <c r="K547" s="9"/>
      <c r="L547" s="9" t="s">
        <v>77</v>
      </c>
      <c r="M547" s="9" t="s">
        <v>325</v>
      </c>
      <c r="N547" s="9" t="s">
        <v>79</v>
      </c>
      <c r="O547" s="9" t="s">
        <v>58</v>
      </c>
      <c r="P547" s="9"/>
      <c r="Q547" s="9" t="s">
        <v>308</v>
      </c>
      <c r="R547" s="9"/>
      <c r="S547" s="9"/>
      <c r="T547" s="9" t="s">
        <v>1195</v>
      </c>
      <c r="U547" s="9" t="s">
        <v>73</v>
      </c>
      <c r="V547" s="9" t="n">
        <v>5.26</v>
      </c>
      <c r="W547" s="9"/>
      <c r="X547" s="9" t="n">
        <v>10000</v>
      </c>
      <c r="Y547" s="9" t="n">
        <v>10000</v>
      </c>
      <c r="Z547" s="9" t="n">
        <v>10000</v>
      </c>
      <c r="AA547" s="9" t="n">
        <v>10000</v>
      </c>
      <c r="AB547" s="9"/>
      <c r="AC547" s="9"/>
      <c r="AD547" s="9"/>
      <c r="AE547" s="9"/>
      <c r="AF547" s="9"/>
      <c r="AG547" s="9"/>
      <c r="AH547" s="9"/>
      <c r="AI547" s="9"/>
      <c r="AJ547" s="9" t="n">
        <f aca="false">X547*$V547</f>
        <v>52600</v>
      </c>
      <c r="AK547" s="9" t="n">
        <f aca="false">Y547*$V547</f>
        <v>52600</v>
      </c>
      <c r="AL547" s="9" t="n">
        <f aca="false">Z547*$V547</f>
        <v>52600</v>
      </c>
      <c r="AM547" s="9" t="n">
        <f aca="false">AA547*$V547</f>
        <v>52600</v>
      </c>
      <c r="AN547" s="9" t="n">
        <f aca="false">AB547*$V547</f>
        <v>0</v>
      </c>
      <c r="AO547" s="9" t="n">
        <f aca="false">AC547*$V547</f>
        <v>0</v>
      </c>
      <c r="AP547" s="9" t="n">
        <f aca="false">AD547*$V547</f>
        <v>0</v>
      </c>
      <c r="AQ547" s="9" t="n">
        <f aca="false">AE547*$V547</f>
        <v>0</v>
      </c>
      <c r="AR547" s="9" t="n">
        <f aca="false">AF547*$V547</f>
        <v>0</v>
      </c>
      <c r="AS547" s="9" t="n">
        <f aca="false">AG547*$V547</f>
        <v>0</v>
      </c>
      <c r="AT547" s="9" t="n">
        <f aca="false">AH547*$V547</f>
        <v>0</v>
      </c>
      <c r="AU547" s="9" t="n">
        <f aca="false">AI547*$V547</f>
        <v>0</v>
      </c>
      <c r="AV547" s="9" t="n">
        <f aca="false">SUM(X547:AI547)/1000</f>
        <v>40</v>
      </c>
      <c r="AW547" s="9" t="n">
        <f aca="false">SUM(AJ547:AU547)</f>
        <v>210400</v>
      </c>
      <c r="AX547" s="9" t="n">
        <f aca="false">IF(D547="INR",AW547/88.24,AW547)/1000000</f>
        <v>0.00238440616500453</v>
      </c>
    </row>
    <row r="548" s="2" customFormat="true" ht="14.25" hidden="false" customHeight="false" outlineLevel="0" collapsed="false">
      <c r="A548" s="9"/>
      <c r="B548" s="9" t="n">
        <v>1</v>
      </c>
      <c r="C548" s="10"/>
      <c r="D548" s="9" t="s">
        <v>50</v>
      </c>
      <c r="E548" s="9"/>
      <c r="F548" s="9" t="s">
        <v>52</v>
      </c>
      <c r="G548" s="9"/>
      <c r="H548" s="9" t="s">
        <v>656</v>
      </c>
      <c r="I548" s="9"/>
      <c r="J548" s="9"/>
      <c r="K548" s="9"/>
      <c r="L548" s="9"/>
      <c r="M548" s="9"/>
      <c r="N548" s="9" t="s">
        <v>290</v>
      </c>
      <c r="O548" s="9" t="s">
        <v>58</v>
      </c>
      <c r="P548" s="9"/>
      <c r="Q548" s="9" t="s">
        <v>1196</v>
      </c>
      <c r="R548" s="9" t="s">
        <v>1197</v>
      </c>
      <c r="S548" s="9" t="n">
        <v>2.62</v>
      </c>
      <c r="T548" s="9" t="s">
        <v>1197</v>
      </c>
      <c r="U548" s="9"/>
      <c r="V548" s="9" t="n">
        <v>2.62</v>
      </c>
      <c r="W548" s="9"/>
      <c r="X548" s="9"/>
      <c r="Y548" s="9"/>
      <c r="Z548" s="9" t="n">
        <v>20000</v>
      </c>
      <c r="AA548" s="9"/>
      <c r="AB548" s="9"/>
      <c r="AC548" s="9" t="n">
        <v>20000</v>
      </c>
      <c r="AD548" s="9"/>
      <c r="AE548" s="9"/>
      <c r="AF548" s="9" t="n">
        <v>20000</v>
      </c>
      <c r="AG548" s="9"/>
      <c r="AH548" s="9"/>
      <c r="AI548" s="9" t="n">
        <v>20000</v>
      </c>
      <c r="AJ548" s="9" t="n">
        <f aca="false">X548*$V548</f>
        <v>0</v>
      </c>
      <c r="AK548" s="9" t="n">
        <f aca="false">Y548*$V548</f>
        <v>0</v>
      </c>
      <c r="AL548" s="9" t="n">
        <f aca="false">Z548*$V548</f>
        <v>52400</v>
      </c>
      <c r="AM548" s="9" t="n">
        <f aca="false">AA548*$V548</f>
        <v>0</v>
      </c>
      <c r="AN548" s="9" t="n">
        <f aca="false">AB548*$V548</f>
        <v>0</v>
      </c>
      <c r="AO548" s="9" t="n">
        <f aca="false">AC548*$V548</f>
        <v>52400</v>
      </c>
      <c r="AP548" s="9" t="n">
        <f aca="false">AD548*$V548</f>
        <v>0</v>
      </c>
      <c r="AQ548" s="9" t="n">
        <f aca="false">AE548*$V548</f>
        <v>0</v>
      </c>
      <c r="AR548" s="9" t="n">
        <f aca="false">AF548*$V548</f>
        <v>52400</v>
      </c>
      <c r="AS548" s="9" t="n">
        <f aca="false">AG548*$V548</f>
        <v>0</v>
      </c>
      <c r="AT548" s="9" t="n">
        <f aca="false">AH548*$V548</f>
        <v>0</v>
      </c>
      <c r="AU548" s="9" t="n">
        <f aca="false">AI548*$V548</f>
        <v>52400</v>
      </c>
      <c r="AV548" s="9" t="n">
        <f aca="false">SUM(X548:AI548)/1000</f>
        <v>80</v>
      </c>
      <c r="AW548" s="9" t="n">
        <f aca="false">SUM(AJ548:AU548)</f>
        <v>209600</v>
      </c>
      <c r="AX548" s="9" t="n">
        <f aca="false">IF(D548="INR",AW548/88.24,AW548)/1000000</f>
        <v>0.00237533998186763</v>
      </c>
    </row>
    <row r="549" s="2" customFormat="true" ht="14.25" hidden="false" customHeight="false" outlineLevel="0" collapsed="false">
      <c r="A549" s="12"/>
      <c r="B549" s="16" t="n">
        <v>1</v>
      </c>
      <c r="C549" s="15"/>
      <c r="D549" s="16" t="s">
        <v>50</v>
      </c>
      <c r="E549" s="16"/>
      <c r="F549" s="16" t="s">
        <v>52</v>
      </c>
      <c r="G549" s="16"/>
      <c r="H549" s="16" t="s">
        <v>302</v>
      </c>
      <c r="I549" s="16" t="s">
        <v>303</v>
      </c>
      <c r="J549" s="16" t="s">
        <v>304</v>
      </c>
      <c r="K549" s="16"/>
      <c r="L549" s="16" t="s">
        <v>303</v>
      </c>
      <c r="M549" s="16" t="s">
        <v>304</v>
      </c>
      <c r="N549" s="16" t="s">
        <v>93</v>
      </c>
      <c r="O549" s="16" t="s">
        <v>107</v>
      </c>
      <c r="P549" s="16"/>
      <c r="Q549" s="16" t="s">
        <v>308</v>
      </c>
      <c r="R549" s="16"/>
      <c r="S549" s="16"/>
      <c r="T549" s="16" t="s">
        <v>409</v>
      </c>
      <c r="U549" s="16" t="s">
        <v>63</v>
      </c>
      <c r="V549" s="16" t="n">
        <v>0.8</v>
      </c>
      <c r="W549" s="16"/>
      <c r="X549" s="16" t="n">
        <v>65000</v>
      </c>
      <c r="Y549" s="16" t="n">
        <v>65000</v>
      </c>
      <c r="Z549" s="16" t="n">
        <v>65000</v>
      </c>
      <c r="AA549" s="16" t="n">
        <v>65000</v>
      </c>
      <c r="AB549" s="16" t="n">
        <v>65000</v>
      </c>
      <c r="AC549" s="16" t="n">
        <v>65000</v>
      </c>
      <c r="AD549" s="16" t="n">
        <v>65000</v>
      </c>
      <c r="AE549" s="16" t="n">
        <v>65000</v>
      </c>
      <c r="AF549" s="16" t="n">
        <v>65000</v>
      </c>
      <c r="AG549" s="16" t="n">
        <v>65000</v>
      </c>
      <c r="AH549" s="16" t="n">
        <v>65000</v>
      </c>
      <c r="AI549" s="16" t="n">
        <v>65000</v>
      </c>
      <c r="AJ549" s="9" t="n">
        <f aca="false">X549*$V549</f>
        <v>52000</v>
      </c>
      <c r="AK549" s="9" t="n">
        <f aca="false">Y549*$V549</f>
        <v>52000</v>
      </c>
      <c r="AL549" s="9" t="n">
        <f aca="false">Z549*$V549</f>
        <v>52000</v>
      </c>
      <c r="AM549" s="9" t="n">
        <f aca="false">AA549*$V549</f>
        <v>52000</v>
      </c>
      <c r="AN549" s="9" t="n">
        <f aca="false">AB549*$V549</f>
        <v>52000</v>
      </c>
      <c r="AO549" s="9" t="n">
        <f aca="false">AC549*$V549</f>
        <v>52000</v>
      </c>
      <c r="AP549" s="9" t="n">
        <f aca="false">AD549*$V549</f>
        <v>52000</v>
      </c>
      <c r="AQ549" s="9" t="n">
        <f aca="false">AE549*$V549</f>
        <v>52000</v>
      </c>
      <c r="AR549" s="9" t="n">
        <f aca="false">AF549*$V549</f>
        <v>52000</v>
      </c>
      <c r="AS549" s="9" t="n">
        <f aca="false">AG549*$V549</f>
        <v>52000</v>
      </c>
      <c r="AT549" s="9" t="n">
        <f aca="false">AH549*$V549</f>
        <v>52000</v>
      </c>
      <c r="AU549" s="9" t="n">
        <f aca="false">AI549*$V549</f>
        <v>52000</v>
      </c>
      <c r="AV549" s="9" t="n">
        <f aca="false">SUM(X549:AI549)/1000</f>
        <v>780</v>
      </c>
      <c r="AW549" s="9" t="n">
        <f aca="false">SUM(AJ549:AU549)</f>
        <v>624000</v>
      </c>
      <c r="AX549" s="9" t="n">
        <f aca="false">IF(D549="INR",AW549/88.24,AW549)/1000000</f>
        <v>0.00707162284678151</v>
      </c>
    </row>
    <row r="550" s="2" customFormat="true" ht="14.25" hidden="false" customHeight="false" outlineLevel="0" collapsed="false">
      <c r="A550" s="12"/>
      <c r="B550" s="16" t="n">
        <v>1</v>
      </c>
      <c r="C550" s="15"/>
      <c r="D550" s="16" t="s">
        <v>102</v>
      </c>
      <c r="E550" s="16" t="s">
        <v>51</v>
      </c>
      <c r="F550" s="16" t="s">
        <v>52</v>
      </c>
      <c r="G550" s="16" t="s">
        <v>388</v>
      </c>
      <c r="H550" s="16" t="s">
        <v>389</v>
      </c>
      <c r="I550" s="16" t="s">
        <v>900</v>
      </c>
      <c r="J550" s="16" t="s">
        <v>1177</v>
      </c>
      <c r="K550" s="16"/>
      <c r="L550" s="16"/>
      <c r="M550" s="16"/>
      <c r="N550" s="16" t="s">
        <v>93</v>
      </c>
      <c r="O550" s="16" t="s">
        <v>58</v>
      </c>
      <c r="P550" s="16" t="str">
        <f aca="false">Q550</f>
        <v>TDK</v>
      </c>
      <c r="Q550" s="16" t="s">
        <v>199</v>
      </c>
      <c r="R550" s="16" t="s">
        <v>377</v>
      </c>
      <c r="S550" s="16" t="s">
        <v>528</v>
      </c>
      <c r="T550" s="16" t="s">
        <v>1198</v>
      </c>
      <c r="U550" s="16" t="s">
        <v>63</v>
      </c>
      <c r="V550" s="16" t="n">
        <v>0.0115</v>
      </c>
      <c r="W550" s="16" t="n">
        <v>0.01</v>
      </c>
      <c r="X550" s="16" t="n">
        <v>30000</v>
      </c>
      <c r="Y550" s="16" t="n">
        <v>0</v>
      </c>
      <c r="Z550" s="16" t="n">
        <v>30000</v>
      </c>
      <c r="AA550" s="16" t="n">
        <v>0</v>
      </c>
      <c r="AB550" s="16" t="n">
        <v>10000</v>
      </c>
      <c r="AC550" s="16" t="n">
        <v>10000</v>
      </c>
      <c r="AD550" s="16" t="n">
        <v>10000</v>
      </c>
      <c r="AE550" s="16" t="n">
        <v>10000</v>
      </c>
      <c r="AF550" s="16" t="n">
        <v>10000</v>
      </c>
      <c r="AG550" s="16" t="n">
        <v>10000</v>
      </c>
      <c r="AH550" s="16" t="n">
        <v>10000</v>
      </c>
      <c r="AI550" s="16" t="n">
        <v>10000</v>
      </c>
      <c r="AJ550" s="9" t="n">
        <f aca="false">X550*$V550</f>
        <v>345</v>
      </c>
      <c r="AK550" s="9" t="n">
        <f aca="false">Y550*$V550</f>
        <v>0</v>
      </c>
      <c r="AL550" s="9" t="n">
        <f aca="false">Z550*$V550</f>
        <v>345</v>
      </c>
      <c r="AM550" s="9" t="n">
        <f aca="false">AA550*$V550</f>
        <v>0</v>
      </c>
      <c r="AN550" s="9" t="n">
        <f aca="false">AB550*$V550</f>
        <v>115</v>
      </c>
      <c r="AO550" s="9" t="n">
        <f aca="false">AC550*$V550</f>
        <v>115</v>
      </c>
      <c r="AP550" s="9" t="n">
        <f aca="false">AD550*$V550</f>
        <v>115</v>
      </c>
      <c r="AQ550" s="9" t="n">
        <f aca="false">AE550*$V550</f>
        <v>115</v>
      </c>
      <c r="AR550" s="9" t="n">
        <f aca="false">AF550*$V550</f>
        <v>115</v>
      </c>
      <c r="AS550" s="9" t="n">
        <f aca="false">AG550*$V550</f>
        <v>115</v>
      </c>
      <c r="AT550" s="9" t="n">
        <f aca="false">AH550*$V550</f>
        <v>115</v>
      </c>
      <c r="AU550" s="9" t="n">
        <f aca="false">AI550*$V550</f>
        <v>115</v>
      </c>
      <c r="AV550" s="9" t="n">
        <f aca="false">SUM(X550:AI550)/1000</f>
        <v>140</v>
      </c>
      <c r="AW550" s="9" t="n">
        <f aca="false">SUM(AJ550:AU550)</f>
        <v>1610</v>
      </c>
      <c r="AX550" s="9" t="n">
        <f aca="false">IF(D550="INR",AW550/88.24,AW550)/1000000</f>
        <v>0.00161</v>
      </c>
      <c r="AY550" s="27"/>
    </row>
    <row r="551" s="2" customFormat="true" ht="14.25" hidden="false" customHeight="false" outlineLevel="0" collapsed="false">
      <c r="A551" s="12" t="s">
        <v>1199</v>
      </c>
      <c r="B551" s="16" t="n">
        <v>5</v>
      </c>
      <c r="C551" s="15"/>
      <c r="D551" s="16" t="s">
        <v>102</v>
      </c>
      <c r="E551" s="16" t="s">
        <v>51</v>
      </c>
      <c r="F551" s="16" t="s">
        <v>52</v>
      </c>
      <c r="G551" s="16" t="s">
        <v>388</v>
      </c>
      <c r="H551" s="16" t="s">
        <v>389</v>
      </c>
      <c r="I551" s="16" t="s">
        <v>900</v>
      </c>
      <c r="J551" s="16" t="s">
        <v>1177</v>
      </c>
      <c r="K551" s="16"/>
      <c r="L551" s="16" t="s">
        <v>900</v>
      </c>
      <c r="M551" s="16" t="s">
        <v>1177</v>
      </c>
      <c r="N551" s="16" t="s">
        <v>93</v>
      </c>
      <c r="O551" s="16" t="s">
        <v>58</v>
      </c>
      <c r="P551" s="16" t="s">
        <v>85</v>
      </c>
      <c r="Q551" s="16" t="s">
        <v>85</v>
      </c>
      <c r="R551" s="16" t="s">
        <v>86</v>
      </c>
      <c r="S551" s="16" t="s">
        <v>87</v>
      </c>
      <c r="T551" s="16" t="s">
        <v>1200</v>
      </c>
      <c r="U551" s="16" t="s">
        <v>73</v>
      </c>
      <c r="V551" s="16" t="n">
        <v>0.065</v>
      </c>
      <c r="W551" s="16" t="n">
        <v>0.058</v>
      </c>
      <c r="X551" s="22" t="n">
        <v>6000</v>
      </c>
      <c r="Y551" s="22" t="n">
        <v>6000</v>
      </c>
      <c r="Z551" s="22" t="n">
        <v>6000</v>
      </c>
      <c r="AA551" s="22" t="n">
        <v>6000</v>
      </c>
      <c r="AB551" s="22" t="n">
        <v>6000</v>
      </c>
      <c r="AC551" s="22" t="n">
        <v>6000</v>
      </c>
      <c r="AD551" s="22" t="n">
        <v>6000</v>
      </c>
      <c r="AE551" s="22" t="n">
        <v>6000</v>
      </c>
      <c r="AF551" s="22" t="n">
        <v>6000</v>
      </c>
      <c r="AG551" s="22" t="n">
        <v>6000</v>
      </c>
      <c r="AH551" s="22" t="n">
        <v>6000</v>
      </c>
      <c r="AI551" s="22" t="n">
        <v>6000</v>
      </c>
      <c r="AJ551" s="9" t="n">
        <f aca="false">X551*$V551</f>
        <v>390</v>
      </c>
      <c r="AK551" s="9" t="n">
        <f aca="false">Y551*$V551</f>
        <v>390</v>
      </c>
      <c r="AL551" s="9" t="n">
        <f aca="false">Z551*$V551</f>
        <v>390</v>
      </c>
      <c r="AM551" s="9" t="n">
        <f aca="false">AA551*$V551</f>
        <v>390</v>
      </c>
      <c r="AN551" s="9" t="n">
        <f aca="false">AB551*$V551</f>
        <v>390</v>
      </c>
      <c r="AO551" s="9" t="n">
        <f aca="false">AC551*$V551</f>
        <v>390</v>
      </c>
      <c r="AP551" s="9" t="n">
        <f aca="false">AD551*$V551</f>
        <v>390</v>
      </c>
      <c r="AQ551" s="9" t="n">
        <f aca="false">AE551*$V551</f>
        <v>390</v>
      </c>
      <c r="AR551" s="9" t="n">
        <f aca="false">AF551*$V551</f>
        <v>390</v>
      </c>
      <c r="AS551" s="9" t="n">
        <f aca="false">AG551*$V551</f>
        <v>390</v>
      </c>
      <c r="AT551" s="9" t="n">
        <f aca="false">AH551*$V551</f>
        <v>390</v>
      </c>
      <c r="AU551" s="9" t="n">
        <f aca="false">AI551*$V551</f>
        <v>390</v>
      </c>
      <c r="AV551" s="9" t="n">
        <f aca="false">SUM(X551:AI551)/1000</f>
        <v>72</v>
      </c>
      <c r="AW551" s="9" t="n">
        <f aca="false">SUM(AJ551:AU551)</f>
        <v>4680</v>
      </c>
      <c r="AX551" s="9" t="n">
        <f aca="false">IF(D551="INR",AW551/88.24,AW551)/1000000</f>
        <v>0.00468</v>
      </c>
    </row>
    <row r="552" s="2" customFormat="true" ht="14.25" hidden="false" customHeight="false" outlineLevel="0" collapsed="false">
      <c r="A552" s="12" t="s">
        <v>1201</v>
      </c>
      <c r="B552" s="16" t="n">
        <v>5</v>
      </c>
      <c r="C552" s="15"/>
      <c r="D552" s="16" t="s">
        <v>102</v>
      </c>
      <c r="E552" s="16" t="s">
        <v>51</v>
      </c>
      <c r="F552" s="16" t="s">
        <v>52</v>
      </c>
      <c r="G552" s="16" t="s">
        <v>388</v>
      </c>
      <c r="H552" s="16" t="s">
        <v>389</v>
      </c>
      <c r="I552" s="16" t="s">
        <v>900</v>
      </c>
      <c r="J552" s="16" t="s">
        <v>1177</v>
      </c>
      <c r="K552" s="16"/>
      <c r="L552" s="16" t="s">
        <v>900</v>
      </c>
      <c r="M552" s="16" t="s">
        <v>1177</v>
      </c>
      <c r="N552" s="16" t="s">
        <v>93</v>
      </c>
      <c r="O552" s="16" t="s">
        <v>58</v>
      </c>
      <c r="P552" s="16" t="s">
        <v>85</v>
      </c>
      <c r="Q552" s="16" t="s">
        <v>85</v>
      </c>
      <c r="R552" s="16" t="s">
        <v>86</v>
      </c>
      <c r="S552" s="16" t="s">
        <v>87</v>
      </c>
      <c r="T552" s="16" t="s">
        <v>1202</v>
      </c>
      <c r="U552" s="16" t="s">
        <v>73</v>
      </c>
      <c r="V552" s="16" t="n">
        <v>0.0525</v>
      </c>
      <c r="W552" s="16" t="n">
        <v>0.0417</v>
      </c>
      <c r="X552" s="22" t="n">
        <v>6000</v>
      </c>
      <c r="Y552" s="16" t="n">
        <v>6000</v>
      </c>
      <c r="Z552" s="16" t="n">
        <v>6000</v>
      </c>
      <c r="AA552" s="16" t="n">
        <v>6000</v>
      </c>
      <c r="AB552" s="16" t="n">
        <v>6000</v>
      </c>
      <c r="AC552" s="16" t="n">
        <v>6000</v>
      </c>
      <c r="AD552" s="16" t="n">
        <v>6000</v>
      </c>
      <c r="AE552" s="16" t="n">
        <v>6000</v>
      </c>
      <c r="AF552" s="16" t="n">
        <v>6000</v>
      </c>
      <c r="AG552" s="16" t="n">
        <v>6000</v>
      </c>
      <c r="AH552" s="16" t="n">
        <v>6000</v>
      </c>
      <c r="AI552" s="16" t="n">
        <v>6000</v>
      </c>
      <c r="AJ552" s="9" t="n">
        <f aca="false">X552*$V552</f>
        <v>315</v>
      </c>
      <c r="AK552" s="9" t="n">
        <f aca="false">Y552*$V552</f>
        <v>315</v>
      </c>
      <c r="AL552" s="9" t="n">
        <f aca="false">Z552*$V552</f>
        <v>315</v>
      </c>
      <c r="AM552" s="9" t="n">
        <f aca="false">AA552*$V552</f>
        <v>315</v>
      </c>
      <c r="AN552" s="9" t="n">
        <f aca="false">AB552*$V552</f>
        <v>315</v>
      </c>
      <c r="AO552" s="9" t="n">
        <f aca="false">AC552*$V552</f>
        <v>315</v>
      </c>
      <c r="AP552" s="9" t="n">
        <f aca="false">AD552*$V552</f>
        <v>315</v>
      </c>
      <c r="AQ552" s="9" t="n">
        <f aca="false">AE552*$V552</f>
        <v>315</v>
      </c>
      <c r="AR552" s="9" t="n">
        <f aca="false">AF552*$V552</f>
        <v>315</v>
      </c>
      <c r="AS552" s="9" t="n">
        <f aca="false">AG552*$V552</f>
        <v>315</v>
      </c>
      <c r="AT552" s="9" t="n">
        <f aca="false">AH552*$V552</f>
        <v>315</v>
      </c>
      <c r="AU552" s="9" t="n">
        <f aca="false">AI552*$V552</f>
        <v>315</v>
      </c>
      <c r="AV552" s="9" t="n">
        <f aca="false">SUM(X552:AI552)/1000</f>
        <v>72</v>
      </c>
      <c r="AW552" s="9" t="n">
        <f aca="false">SUM(AJ552:AU552)</f>
        <v>3780</v>
      </c>
      <c r="AX552" s="9" t="n">
        <f aca="false">IF(D552="INR",AW552/88.24,AW552)/1000000</f>
        <v>0.00378</v>
      </c>
    </row>
    <row r="553" s="2" customFormat="true" ht="14.25" hidden="false" customHeight="false" outlineLevel="0" collapsed="false">
      <c r="A553" s="12" t="s">
        <v>1203</v>
      </c>
      <c r="B553" s="16"/>
      <c r="C553" s="15"/>
      <c r="D553" s="16" t="s">
        <v>102</v>
      </c>
      <c r="E553" s="16" t="s">
        <v>51</v>
      </c>
      <c r="F553" s="16" t="s">
        <v>52</v>
      </c>
      <c r="G553" s="16" t="s">
        <v>388</v>
      </c>
      <c r="H553" s="16" t="s">
        <v>389</v>
      </c>
      <c r="I553" s="16" t="s">
        <v>900</v>
      </c>
      <c r="J553" s="16" t="s">
        <v>1177</v>
      </c>
      <c r="K553" s="16"/>
      <c r="L553" s="16"/>
      <c r="M553" s="16"/>
      <c r="N553" s="16" t="s">
        <v>93</v>
      </c>
      <c r="O553" s="16" t="s">
        <v>58</v>
      </c>
      <c r="P553" s="16" t="str">
        <f aca="false">Q553</f>
        <v>NICHICON</v>
      </c>
      <c r="Q553" s="16" t="s">
        <v>85</v>
      </c>
      <c r="R553" s="16" t="s">
        <v>86</v>
      </c>
      <c r="S553" s="16" t="s">
        <v>87</v>
      </c>
      <c r="T553" s="16" t="s">
        <v>1204</v>
      </c>
      <c r="U553" s="16" t="s">
        <v>63</v>
      </c>
      <c r="V553" s="16" t="n">
        <v>0.0805</v>
      </c>
      <c r="W553" s="16" t="n">
        <v>0.075</v>
      </c>
      <c r="X553" s="22" t="n">
        <v>0</v>
      </c>
      <c r="Y553" s="16" t="n">
        <v>0</v>
      </c>
      <c r="Z553" s="16" t="n">
        <v>10000</v>
      </c>
      <c r="AA553" s="16" t="n">
        <v>0</v>
      </c>
      <c r="AB553" s="16" t="n">
        <v>10000</v>
      </c>
      <c r="AC553" s="16" t="n">
        <v>0</v>
      </c>
      <c r="AD553" s="16" t="n">
        <v>10000</v>
      </c>
      <c r="AE553" s="16" t="n">
        <v>0</v>
      </c>
      <c r="AF553" s="16" t="n">
        <v>0</v>
      </c>
      <c r="AG553" s="16" t="n">
        <v>15000</v>
      </c>
      <c r="AH553" s="16" t="n">
        <v>0</v>
      </c>
      <c r="AI553" s="16" t="n">
        <v>0</v>
      </c>
      <c r="AJ553" s="9" t="n">
        <f aca="false">X553*$V553</f>
        <v>0</v>
      </c>
      <c r="AK553" s="9" t="n">
        <f aca="false">Y553*$V553</f>
        <v>0</v>
      </c>
      <c r="AL553" s="9" t="n">
        <f aca="false">Z553*$V553</f>
        <v>805</v>
      </c>
      <c r="AM553" s="9" t="n">
        <f aca="false">AA553*$V553</f>
        <v>0</v>
      </c>
      <c r="AN553" s="9" t="n">
        <f aca="false">AB553*$V553</f>
        <v>805</v>
      </c>
      <c r="AO553" s="9" t="n">
        <f aca="false">AC553*$V553</f>
        <v>0</v>
      </c>
      <c r="AP553" s="9" t="n">
        <f aca="false">AD553*$V553</f>
        <v>805</v>
      </c>
      <c r="AQ553" s="9" t="n">
        <f aca="false">AE553*$V553</f>
        <v>0</v>
      </c>
      <c r="AR553" s="9" t="n">
        <f aca="false">AF553*$V553</f>
        <v>0</v>
      </c>
      <c r="AS553" s="9" t="n">
        <f aca="false">AG553*$V553</f>
        <v>1207.5</v>
      </c>
      <c r="AT553" s="9" t="n">
        <f aca="false">AH553*$V553</f>
        <v>0</v>
      </c>
      <c r="AU553" s="9" t="n">
        <f aca="false">AI553*$V553</f>
        <v>0</v>
      </c>
      <c r="AV553" s="9" t="n">
        <f aca="false">SUM(X553:AI553)/1000</f>
        <v>45</v>
      </c>
      <c r="AW553" s="9" t="n">
        <f aca="false">SUM(AJ553:AU553)</f>
        <v>3622.5</v>
      </c>
      <c r="AX553" s="9" t="n">
        <f aca="false">IF(D553="INR",AW553/88.24,AW553)/1000000</f>
        <v>0.0036225</v>
      </c>
    </row>
    <row r="554" s="2" customFormat="true" ht="14.25" hidden="false" customHeight="false" outlineLevel="0" collapsed="false">
      <c r="A554" s="16" t="s">
        <v>1205</v>
      </c>
      <c r="B554" s="16"/>
      <c r="C554" s="16"/>
      <c r="D554" s="16" t="s">
        <v>102</v>
      </c>
      <c r="E554" s="16" t="s">
        <v>51</v>
      </c>
      <c r="F554" s="16" t="s">
        <v>52</v>
      </c>
      <c r="G554" s="16" t="s">
        <v>388</v>
      </c>
      <c r="H554" s="16" t="s">
        <v>389</v>
      </c>
      <c r="I554" s="16" t="s">
        <v>900</v>
      </c>
      <c r="J554" s="16" t="s">
        <v>1177</v>
      </c>
      <c r="K554" s="16"/>
      <c r="L554" s="16"/>
      <c r="M554" s="16"/>
      <c r="N554" s="16" t="s">
        <v>93</v>
      </c>
      <c r="O554" s="16" t="s">
        <v>58</v>
      </c>
      <c r="P554" s="16" t="str">
        <f aca="false">Q554</f>
        <v>KEMET</v>
      </c>
      <c r="Q554" s="16" t="s">
        <v>210</v>
      </c>
      <c r="R554" s="16" t="s">
        <v>86</v>
      </c>
      <c r="S554" s="16" t="s">
        <v>521</v>
      </c>
      <c r="T554" s="16" t="s">
        <v>1206</v>
      </c>
      <c r="U554" s="16" t="s">
        <v>63</v>
      </c>
      <c r="V554" s="26" t="n">
        <v>0.033</v>
      </c>
      <c r="W554" s="16" t="n">
        <v>0</v>
      </c>
      <c r="X554" s="16" t="n">
        <v>0</v>
      </c>
      <c r="Y554" s="16" t="n">
        <v>0</v>
      </c>
      <c r="Z554" s="16" t="n">
        <v>10000</v>
      </c>
      <c r="AA554" s="16" t="n">
        <v>0</v>
      </c>
      <c r="AB554" s="16" t="n">
        <v>10000</v>
      </c>
      <c r="AC554" s="16" t="n">
        <v>0</v>
      </c>
      <c r="AD554" s="16" t="n">
        <v>10000</v>
      </c>
      <c r="AE554" s="16" t="n">
        <v>0</v>
      </c>
      <c r="AF554" s="16" t="n">
        <v>0</v>
      </c>
      <c r="AG554" s="16" t="n">
        <v>3000</v>
      </c>
      <c r="AH554" s="16" t="n">
        <v>0</v>
      </c>
      <c r="AI554" s="16" t="n">
        <v>0</v>
      </c>
      <c r="AJ554" s="9" t="n">
        <f aca="false">X554*$V554</f>
        <v>0</v>
      </c>
      <c r="AK554" s="9" t="n">
        <f aca="false">Y554*$V554</f>
        <v>0</v>
      </c>
      <c r="AL554" s="9" t="n">
        <f aca="false">Z554*$V554</f>
        <v>330</v>
      </c>
      <c r="AM554" s="9" t="n">
        <f aca="false">AA554*$V554</f>
        <v>0</v>
      </c>
      <c r="AN554" s="9" t="n">
        <f aca="false">AB554*$V554</f>
        <v>330</v>
      </c>
      <c r="AO554" s="9" t="n">
        <f aca="false">AC554*$V554</f>
        <v>0</v>
      </c>
      <c r="AP554" s="9" t="n">
        <f aca="false">AD554*$V554</f>
        <v>330</v>
      </c>
      <c r="AQ554" s="9" t="n">
        <f aca="false">AE554*$V554</f>
        <v>0</v>
      </c>
      <c r="AR554" s="9" t="n">
        <f aca="false">AF554*$V554</f>
        <v>0</v>
      </c>
      <c r="AS554" s="9" t="n">
        <f aca="false">AG554*$V554</f>
        <v>99</v>
      </c>
      <c r="AT554" s="9" t="n">
        <f aca="false">AH554*$V554</f>
        <v>0</v>
      </c>
      <c r="AU554" s="9" t="n">
        <f aca="false">AI554*$V554</f>
        <v>0</v>
      </c>
      <c r="AV554" s="9" t="n">
        <f aca="false">SUM(X554:AI554)/1000</f>
        <v>33</v>
      </c>
      <c r="AW554" s="9" t="n">
        <f aca="false">SUM(AJ554:AU554)</f>
        <v>1089</v>
      </c>
      <c r="AX554" s="9" t="n">
        <f aca="false">IF(D554="INR",AW554/88.24,AW554)/1000000</f>
        <v>0.001089</v>
      </c>
    </row>
    <row r="555" s="2" customFormat="true" ht="14.25" hidden="false" customHeight="false" outlineLevel="0" collapsed="false">
      <c r="A555" s="12" t="s">
        <v>1207</v>
      </c>
      <c r="B555" s="16" t="n">
        <v>5</v>
      </c>
      <c r="C555" s="15"/>
      <c r="D555" s="16" t="s">
        <v>50</v>
      </c>
      <c r="E555" s="16" t="s">
        <v>51</v>
      </c>
      <c r="F555" s="16" t="s">
        <v>52</v>
      </c>
      <c r="G555" s="16" t="s">
        <v>391</v>
      </c>
      <c r="H555" s="16" t="s">
        <v>392</v>
      </c>
      <c r="I555" s="16" t="s">
        <v>260</v>
      </c>
      <c r="J555" s="16" t="s">
        <v>276</v>
      </c>
      <c r="K555" s="16"/>
      <c r="L555" s="16" t="s">
        <v>260</v>
      </c>
      <c r="M555" s="16" t="s">
        <v>276</v>
      </c>
      <c r="N555" s="16" t="s">
        <v>93</v>
      </c>
      <c r="O555" s="16" t="s">
        <v>58</v>
      </c>
      <c r="P555" s="16" t="s">
        <v>308</v>
      </c>
      <c r="Q555" s="16" t="s">
        <v>308</v>
      </c>
      <c r="R555" s="16" t="s">
        <v>309</v>
      </c>
      <c r="S555" s="16" t="s">
        <v>264</v>
      </c>
      <c r="T555" s="16" t="s">
        <v>646</v>
      </c>
      <c r="U555" s="16" t="s">
        <v>73</v>
      </c>
      <c r="V555" s="16" t="n">
        <v>3.4</v>
      </c>
      <c r="W555" s="16" t="n">
        <v>2.87</v>
      </c>
      <c r="X555" s="26" t="n">
        <v>15000</v>
      </c>
      <c r="Y555" s="26" t="n">
        <v>15000</v>
      </c>
      <c r="Z555" s="26" t="n">
        <v>15000</v>
      </c>
      <c r="AA555" s="26" t="n">
        <v>15000</v>
      </c>
      <c r="AB555" s="26" t="n">
        <v>15000</v>
      </c>
      <c r="AC555" s="26" t="n">
        <v>15000</v>
      </c>
      <c r="AD555" s="26" t="n">
        <v>15000</v>
      </c>
      <c r="AE555" s="26" t="n">
        <v>15000</v>
      </c>
      <c r="AF555" s="26" t="n">
        <v>15000</v>
      </c>
      <c r="AG555" s="26" t="n">
        <v>15000</v>
      </c>
      <c r="AH555" s="26" t="n">
        <v>15000</v>
      </c>
      <c r="AI555" s="26" t="n">
        <v>15000</v>
      </c>
      <c r="AJ555" s="9" t="n">
        <f aca="false">X555*$V555</f>
        <v>51000</v>
      </c>
      <c r="AK555" s="9" t="n">
        <f aca="false">Y555*$V555</f>
        <v>51000</v>
      </c>
      <c r="AL555" s="9" t="n">
        <f aca="false">Z555*$V555</f>
        <v>51000</v>
      </c>
      <c r="AM555" s="9" t="n">
        <f aca="false">AA555*$V555</f>
        <v>51000</v>
      </c>
      <c r="AN555" s="9" t="n">
        <f aca="false">AB555*$V555</f>
        <v>51000</v>
      </c>
      <c r="AO555" s="9" t="n">
        <f aca="false">AC555*$V555</f>
        <v>51000</v>
      </c>
      <c r="AP555" s="9" t="n">
        <f aca="false">AD555*$V555</f>
        <v>51000</v>
      </c>
      <c r="AQ555" s="9" t="n">
        <f aca="false">AE555*$V555</f>
        <v>51000</v>
      </c>
      <c r="AR555" s="9" t="n">
        <f aca="false">AF555*$V555</f>
        <v>51000</v>
      </c>
      <c r="AS555" s="9" t="n">
        <f aca="false">AG555*$V555</f>
        <v>51000</v>
      </c>
      <c r="AT555" s="9" t="n">
        <f aca="false">AH555*$V555</f>
        <v>51000</v>
      </c>
      <c r="AU555" s="9" t="n">
        <f aca="false">AI555*$V555</f>
        <v>51000</v>
      </c>
      <c r="AV555" s="9" t="n">
        <f aca="false">SUM(X555:AI555)/1000</f>
        <v>180</v>
      </c>
      <c r="AW555" s="9" t="n">
        <f aca="false">SUM(AJ555:AU555)</f>
        <v>612000</v>
      </c>
      <c r="AX555" s="9" t="n">
        <f aca="false">IF(D555="INR",AW555/88.24,AW555)/1000000</f>
        <v>0.00693563009972802</v>
      </c>
    </row>
    <row r="556" s="2" customFormat="true" ht="14.25" hidden="false" customHeight="false" outlineLevel="0" collapsed="false">
      <c r="A556" s="16" t="s">
        <v>1208</v>
      </c>
      <c r="B556" s="16" t="n">
        <v>5</v>
      </c>
      <c r="C556" s="16"/>
      <c r="D556" s="16" t="s">
        <v>102</v>
      </c>
      <c r="E556" s="16" t="s">
        <v>51</v>
      </c>
      <c r="F556" s="16" t="s">
        <v>52</v>
      </c>
      <c r="G556" s="16" t="s">
        <v>388</v>
      </c>
      <c r="H556" s="16" t="s">
        <v>389</v>
      </c>
      <c r="I556" s="16" t="s">
        <v>900</v>
      </c>
      <c r="J556" s="16" t="s">
        <v>1177</v>
      </c>
      <c r="K556" s="16"/>
      <c r="L556" s="16"/>
      <c r="M556" s="16"/>
      <c r="N556" s="16" t="s">
        <v>93</v>
      </c>
      <c r="O556" s="16" t="s">
        <v>58</v>
      </c>
      <c r="P556" s="16" t="str">
        <f aca="false">Q556</f>
        <v>NICHICON</v>
      </c>
      <c r="Q556" s="16" t="s">
        <v>85</v>
      </c>
      <c r="R556" s="16" t="s">
        <v>86</v>
      </c>
      <c r="S556" s="16" t="s">
        <v>87</v>
      </c>
      <c r="T556" s="16" t="s">
        <v>1209</v>
      </c>
      <c r="U556" s="16" t="s">
        <v>63</v>
      </c>
      <c r="V556" s="16" t="n">
        <v>0.12</v>
      </c>
      <c r="W556" s="16" t="n">
        <v>0.11</v>
      </c>
      <c r="X556" s="16" t="n">
        <v>1000</v>
      </c>
      <c r="Y556" s="16" t="n">
        <v>1000</v>
      </c>
      <c r="Z556" s="16" t="n">
        <v>1000</v>
      </c>
      <c r="AA556" s="16" t="n">
        <v>1000</v>
      </c>
      <c r="AB556" s="16" t="n">
        <v>1000</v>
      </c>
      <c r="AC556" s="16" t="n">
        <v>1000</v>
      </c>
      <c r="AD556" s="16" t="n">
        <v>1000</v>
      </c>
      <c r="AE556" s="16" t="n">
        <v>1000</v>
      </c>
      <c r="AF556" s="16" t="n">
        <v>1000</v>
      </c>
      <c r="AG556" s="16" t="n">
        <v>1000</v>
      </c>
      <c r="AH556" s="16" t="n">
        <v>1000</v>
      </c>
      <c r="AI556" s="16" t="n">
        <v>1000</v>
      </c>
      <c r="AJ556" s="9" t="n">
        <f aca="false">X556*$V556</f>
        <v>120</v>
      </c>
      <c r="AK556" s="9" t="n">
        <f aca="false">Y556*$V556</f>
        <v>120</v>
      </c>
      <c r="AL556" s="9" t="n">
        <f aca="false">Z556*$V556</f>
        <v>120</v>
      </c>
      <c r="AM556" s="9" t="n">
        <f aca="false">AA556*$V556</f>
        <v>120</v>
      </c>
      <c r="AN556" s="9" t="n">
        <f aca="false">AB556*$V556</f>
        <v>120</v>
      </c>
      <c r="AO556" s="9" t="n">
        <f aca="false">AC556*$V556</f>
        <v>120</v>
      </c>
      <c r="AP556" s="9" t="n">
        <f aca="false">AD556*$V556</f>
        <v>120</v>
      </c>
      <c r="AQ556" s="9" t="n">
        <f aca="false">AE556*$V556</f>
        <v>120</v>
      </c>
      <c r="AR556" s="9" t="n">
        <f aca="false">AF556*$V556</f>
        <v>120</v>
      </c>
      <c r="AS556" s="9" t="n">
        <f aca="false">AG556*$V556</f>
        <v>120</v>
      </c>
      <c r="AT556" s="9" t="n">
        <f aca="false">AH556*$V556</f>
        <v>120</v>
      </c>
      <c r="AU556" s="9" t="n">
        <f aca="false">AI556*$V556</f>
        <v>120</v>
      </c>
      <c r="AV556" s="9" t="n">
        <f aca="false">SUM(X556:AI556)/1000</f>
        <v>12</v>
      </c>
      <c r="AW556" s="9" t="n">
        <f aca="false">SUM(AJ556:AU556)</f>
        <v>1440</v>
      </c>
      <c r="AX556" s="9" t="n">
        <f aca="false">IF(D556="INR",AW556/88.24,AW556)/1000000</f>
        <v>0.00144</v>
      </c>
    </row>
    <row r="557" s="2" customFormat="true" ht="14.25" hidden="false" customHeight="false" outlineLevel="0" collapsed="false">
      <c r="A557" s="9" t="s">
        <v>1210</v>
      </c>
      <c r="B557" s="9" t="n">
        <v>5</v>
      </c>
      <c r="C557" s="10"/>
      <c r="D557" s="9" t="s">
        <v>102</v>
      </c>
      <c r="E557" s="9" t="s">
        <v>51</v>
      </c>
      <c r="F557" s="9" t="s">
        <v>52</v>
      </c>
      <c r="G557" s="16" t="s">
        <v>388</v>
      </c>
      <c r="H557" s="16" t="s">
        <v>389</v>
      </c>
      <c r="I557" s="9" t="s">
        <v>900</v>
      </c>
      <c r="J557" s="9" t="s">
        <v>1177</v>
      </c>
      <c r="K557" s="9"/>
      <c r="L557" s="9"/>
      <c r="M557" s="9"/>
      <c r="N557" s="16" t="s">
        <v>93</v>
      </c>
      <c r="O557" s="9" t="s">
        <v>58</v>
      </c>
      <c r="P557" s="9" t="str">
        <f aca="false">Q557</f>
        <v>NICHICON</v>
      </c>
      <c r="Q557" s="9" t="s">
        <v>85</v>
      </c>
      <c r="R557" s="9" t="s">
        <v>86</v>
      </c>
      <c r="S557" s="9" t="s">
        <v>87</v>
      </c>
      <c r="T557" s="9" t="s">
        <v>1211</v>
      </c>
      <c r="U557" s="9" t="s">
        <v>63</v>
      </c>
      <c r="V557" s="9" t="n">
        <v>0.0954</v>
      </c>
      <c r="W557" s="9" t="n">
        <v>0.08</v>
      </c>
      <c r="X557" s="9" t="n">
        <v>1000</v>
      </c>
      <c r="Y557" s="9" t="n">
        <v>1000</v>
      </c>
      <c r="Z557" s="9" t="n">
        <v>1000</v>
      </c>
      <c r="AA557" s="9" t="n">
        <v>1000</v>
      </c>
      <c r="AB557" s="9" t="n">
        <v>1000</v>
      </c>
      <c r="AC557" s="9" t="n">
        <v>1000</v>
      </c>
      <c r="AD557" s="9" t="n">
        <v>1000</v>
      </c>
      <c r="AE557" s="9" t="n">
        <v>1000</v>
      </c>
      <c r="AF557" s="9" t="n">
        <v>1000</v>
      </c>
      <c r="AG557" s="9" t="n">
        <v>1000</v>
      </c>
      <c r="AH557" s="9" t="n">
        <v>1000</v>
      </c>
      <c r="AI557" s="9" t="n">
        <v>1000</v>
      </c>
      <c r="AJ557" s="9" t="n">
        <f aca="false">X557*$V557</f>
        <v>95.4</v>
      </c>
      <c r="AK557" s="9" t="n">
        <f aca="false">Y557*$V557</f>
        <v>95.4</v>
      </c>
      <c r="AL557" s="9" t="n">
        <f aca="false">Z557*$V557</f>
        <v>95.4</v>
      </c>
      <c r="AM557" s="9" t="n">
        <f aca="false">AA557*$V557</f>
        <v>95.4</v>
      </c>
      <c r="AN557" s="9" t="n">
        <f aca="false">AB557*$V557</f>
        <v>95.4</v>
      </c>
      <c r="AO557" s="9" t="n">
        <f aca="false">AC557*$V557</f>
        <v>95.4</v>
      </c>
      <c r="AP557" s="9" t="n">
        <f aca="false">AD557*$V557</f>
        <v>95.4</v>
      </c>
      <c r="AQ557" s="9" t="n">
        <f aca="false">AE557*$V557</f>
        <v>95.4</v>
      </c>
      <c r="AR557" s="9" t="n">
        <f aca="false">AF557*$V557</f>
        <v>95.4</v>
      </c>
      <c r="AS557" s="9" t="n">
        <f aca="false">AG557*$V557</f>
        <v>95.4</v>
      </c>
      <c r="AT557" s="9" t="n">
        <f aca="false">AH557*$V557</f>
        <v>95.4</v>
      </c>
      <c r="AU557" s="9" t="n">
        <f aca="false">AI557*$V557</f>
        <v>95.4</v>
      </c>
      <c r="AV557" s="9" t="n">
        <f aca="false">SUM(X557:AI557)/1000</f>
        <v>12</v>
      </c>
      <c r="AW557" s="9" t="n">
        <f aca="false">SUM(AJ557:AU557)</f>
        <v>1144.8</v>
      </c>
      <c r="AX557" s="9" t="n">
        <f aca="false">IF(D557="INR",AW557/88.24,AW557)/1000000</f>
        <v>0.0011448</v>
      </c>
    </row>
    <row r="558" s="2" customFormat="true" ht="16.4" hidden="false" customHeight="false" outlineLevel="0" collapsed="false">
      <c r="A558" s="16" t="s">
        <v>1212</v>
      </c>
      <c r="B558" s="16" t="n">
        <v>5</v>
      </c>
      <c r="C558" s="16"/>
      <c r="D558" s="16" t="s">
        <v>102</v>
      </c>
      <c r="E558" s="16" t="s">
        <v>51</v>
      </c>
      <c r="F558" s="16" t="s">
        <v>52</v>
      </c>
      <c r="G558" s="16" t="s">
        <v>388</v>
      </c>
      <c r="H558" s="16" t="s">
        <v>389</v>
      </c>
      <c r="I558" s="16" t="s">
        <v>900</v>
      </c>
      <c r="J558" s="16" t="s">
        <v>1177</v>
      </c>
      <c r="K558" s="16"/>
      <c r="L558" s="16"/>
      <c r="M558" s="16"/>
      <c r="N558" s="16" t="s">
        <v>93</v>
      </c>
      <c r="O558" s="16" t="s">
        <v>58</v>
      </c>
      <c r="P558" s="16" t="str">
        <f aca="false">Q558</f>
        <v>TDK</v>
      </c>
      <c r="Q558" s="16" t="s">
        <v>199</v>
      </c>
      <c r="R558" s="16" t="s">
        <v>377</v>
      </c>
      <c r="S558" s="16" t="s">
        <v>528</v>
      </c>
      <c r="T558" s="16" t="s">
        <v>1213</v>
      </c>
      <c r="U558" s="16" t="s">
        <v>73</v>
      </c>
      <c r="V558" s="16" t="n">
        <v>0.0115</v>
      </c>
      <c r="W558" s="16" t="n">
        <v>0</v>
      </c>
      <c r="X558" s="16" t="n">
        <v>1000</v>
      </c>
      <c r="Y558" s="16" t="n">
        <v>1000</v>
      </c>
      <c r="Z558" s="16" t="n">
        <v>1000</v>
      </c>
      <c r="AA558" s="16" t="n">
        <v>1000</v>
      </c>
      <c r="AB558" s="16" t="n">
        <v>1000</v>
      </c>
      <c r="AC558" s="16" t="n">
        <v>1000</v>
      </c>
      <c r="AD558" s="16" t="n">
        <v>1000</v>
      </c>
      <c r="AE558" s="16" t="n">
        <v>1000</v>
      </c>
      <c r="AF558" s="16" t="n">
        <v>1000</v>
      </c>
      <c r="AG558" s="16" t="n">
        <v>1000</v>
      </c>
      <c r="AH558" s="16" t="n">
        <v>1000</v>
      </c>
      <c r="AI558" s="16" t="n">
        <v>1000</v>
      </c>
      <c r="AJ558" s="9" t="n">
        <f aca="false">X558*$V558</f>
        <v>11.5</v>
      </c>
      <c r="AK558" s="9" t="n">
        <f aca="false">Y558*$V558</f>
        <v>11.5</v>
      </c>
      <c r="AL558" s="9" t="n">
        <f aca="false">Z558*$V558</f>
        <v>11.5</v>
      </c>
      <c r="AM558" s="9" t="n">
        <f aca="false">AA558*$V558</f>
        <v>11.5</v>
      </c>
      <c r="AN558" s="9" t="n">
        <f aca="false">AB558*$V558</f>
        <v>11.5</v>
      </c>
      <c r="AO558" s="9" t="n">
        <f aca="false">AC558*$V558</f>
        <v>11.5</v>
      </c>
      <c r="AP558" s="9" t="n">
        <f aca="false">AD558*$V558</f>
        <v>11.5</v>
      </c>
      <c r="AQ558" s="9" t="n">
        <f aca="false">AE558*$V558</f>
        <v>11.5</v>
      </c>
      <c r="AR558" s="9" t="n">
        <f aca="false">AF558*$V558</f>
        <v>11.5</v>
      </c>
      <c r="AS558" s="9" t="n">
        <f aca="false">AG558*$V558</f>
        <v>11.5</v>
      </c>
      <c r="AT558" s="9" t="n">
        <f aca="false">AH558*$V558</f>
        <v>11.5</v>
      </c>
      <c r="AU558" s="9" t="n">
        <f aca="false">AI558*$V558</f>
        <v>11.5</v>
      </c>
      <c r="AV558" s="9" t="n">
        <f aca="false">SUM(X558:AI558)/1000</f>
        <v>12</v>
      </c>
      <c r="AW558" s="9" t="n">
        <f aca="false">SUM(AJ558:AU558)</f>
        <v>138</v>
      </c>
      <c r="AX558" s="9" t="n">
        <f aca="false">IF(D558="INR",AW558/88.24,AW558)/1000000</f>
        <v>0.000138</v>
      </c>
    </row>
    <row r="559" s="2" customFormat="true" ht="16.4" hidden="false" customHeight="false" outlineLevel="0" collapsed="false">
      <c r="A559" s="35" t="s">
        <v>1214</v>
      </c>
      <c r="B559" s="9" t="n">
        <v>5</v>
      </c>
      <c r="C559" s="10"/>
      <c r="D559" s="9" t="s">
        <v>102</v>
      </c>
      <c r="E559" s="9" t="s">
        <v>51</v>
      </c>
      <c r="F559" s="9" t="s">
        <v>52</v>
      </c>
      <c r="G559" s="9" t="s">
        <v>391</v>
      </c>
      <c r="H559" s="9" t="s">
        <v>392</v>
      </c>
      <c r="I559" s="9" t="s">
        <v>298</v>
      </c>
      <c r="J559" s="9" t="s">
        <v>1053</v>
      </c>
      <c r="K559" s="9"/>
      <c r="L559" s="9" t="s">
        <v>298</v>
      </c>
      <c r="M559" s="9" t="s">
        <v>1053</v>
      </c>
      <c r="N559" s="9" t="s">
        <v>93</v>
      </c>
      <c r="O559" s="9" t="s">
        <v>58</v>
      </c>
      <c r="P559" s="9" t="s">
        <v>199</v>
      </c>
      <c r="Q559" s="9" t="s">
        <v>199</v>
      </c>
      <c r="R559" s="9" t="s">
        <v>377</v>
      </c>
      <c r="S559" s="9" t="s">
        <v>528</v>
      </c>
      <c r="T559" s="9" t="s">
        <v>1215</v>
      </c>
      <c r="U559" s="9" t="s">
        <v>73</v>
      </c>
      <c r="V559" s="9" t="n">
        <v>0.0146</v>
      </c>
      <c r="W559" s="9" t="n">
        <v>0.01268</v>
      </c>
      <c r="X559" s="9" t="n">
        <v>500000</v>
      </c>
      <c r="Y559" s="9" t="n">
        <v>500000</v>
      </c>
      <c r="Z559" s="9" t="n">
        <v>500000</v>
      </c>
      <c r="AA559" s="9" t="n">
        <v>500000</v>
      </c>
      <c r="AB559" s="9" t="n">
        <v>500000</v>
      </c>
      <c r="AC559" s="9" t="n">
        <v>500000</v>
      </c>
      <c r="AD559" s="9" t="n">
        <v>500000</v>
      </c>
      <c r="AE559" s="9" t="n">
        <v>500000</v>
      </c>
      <c r="AF559" s="9" t="n">
        <v>500000</v>
      </c>
      <c r="AG559" s="9" t="n">
        <v>500000</v>
      </c>
      <c r="AH559" s="9" t="n">
        <v>500000</v>
      </c>
      <c r="AI559" s="9" t="n">
        <v>500000</v>
      </c>
      <c r="AJ559" s="9" t="n">
        <f aca="false">X559*$V559</f>
        <v>7300</v>
      </c>
      <c r="AK559" s="9" t="n">
        <f aca="false">Y559*$V559</f>
        <v>7300</v>
      </c>
      <c r="AL559" s="9" t="n">
        <f aca="false">Z559*$V559</f>
        <v>7300</v>
      </c>
      <c r="AM559" s="9" t="n">
        <f aca="false">AA559*$V559</f>
        <v>7300</v>
      </c>
      <c r="AN559" s="9" t="n">
        <f aca="false">AB559*$V559</f>
        <v>7300</v>
      </c>
      <c r="AO559" s="9" t="n">
        <f aca="false">AC559*$V559</f>
        <v>7300</v>
      </c>
      <c r="AP559" s="9" t="n">
        <f aca="false">AD559*$V559</f>
        <v>7300</v>
      </c>
      <c r="AQ559" s="9" t="n">
        <f aca="false">AE559*$V559</f>
        <v>7300</v>
      </c>
      <c r="AR559" s="9" t="n">
        <f aca="false">AF559*$V559</f>
        <v>7300</v>
      </c>
      <c r="AS559" s="9" t="n">
        <f aca="false">AG559*$V559</f>
        <v>7300</v>
      </c>
      <c r="AT559" s="9" t="n">
        <f aca="false">AH559*$V559</f>
        <v>7300</v>
      </c>
      <c r="AU559" s="9" t="n">
        <f aca="false">AI559*$V559</f>
        <v>7300</v>
      </c>
      <c r="AV559" s="9" t="n">
        <f aca="false">SUM(X559:AI559)/1000</f>
        <v>6000</v>
      </c>
      <c r="AW559" s="9" t="n">
        <f aca="false">SUM(AJ559:AU559)</f>
        <v>87600</v>
      </c>
      <c r="AX559" s="9" t="n">
        <f aca="false">IF(D559="INR",AW559/88.24,AW559)/1000000</f>
        <v>0.0876</v>
      </c>
    </row>
    <row r="560" s="2" customFormat="true" ht="16.4" hidden="false" customHeight="false" outlineLevel="0" collapsed="false">
      <c r="A560" s="35" t="s">
        <v>1216</v>
      </c>
      <c r="B560" s="9"/>
      <c r="C560" s="15"/>
      <c r="D560" s="16" t="s">
        <v>102</v>
      </c>
      <c r="E560" s="16" t="s">
        <v>51</v>
      </c>
      <c r="F560" s="16" t="s">
        <v>52</v>
      </c>
      <c r="G560" s="16" t="s">
        <v>391</v>
      </c>
      <c r="H560" s="9" t="s">
        <v>392</v>
      </c>
      <c r="I560" s="16" t="s">
        <v>298</v>
      </c>
      <c r="J560" s="16" t="s">
        <v>1053</v>
      </c>
      <c r="K560" s="9"/>
      <c r="L560" s="16" t="s">
        <v>298</v>
      </c>
      <c r="M560" s="16" t="s">
        <v>1053</v>
      </c>
      <c r="N560" s="16" t="s">
        <v>93</v>
      </c>
      <c r="O560" s="16" t="s">
        <v>58</v>
      </c>
      <c r="P560" s="9" t="s">
        <v>262</v>
      </c>
      <c r="Q560" s="9" t="s">
        <v>262</v>
      </c>
      <c r="R560" s="9" t="s">
        <v>263</v>
      </c>
      <c r="S560" s="9" t="s">
        <v>264</v>
      </c>
      <c r="T560" s="9" t="s">
        <v>1178</v>
      </c>
      <c r="U560" s="16" t="s">
        <v>73</v>
      </c>
      <c r="V560" s="36" t="n">
        <v>0.077</v>
      </c>
      <c r="W560" s="9" t="n">
        <v>0.0735</v>
      </c>
      <c r="X560" s="22" t="n">
        <v>220000</v>
      </c>
      <c r="Y560" s="9" t="n">
        <v>220000</v>
      </c>
      <c r="Z560" s="9" t="n">
        <v>220000</v>
      </c>
      <c r="AA560" s="9" t="n">
        <v>220000</v>
      </c>
      <c r="AB560" s="9" t="n">
        <v>220000</v>
      </c>
      <c r="AC560" s="9" t="n">
        <v>220000</v>
      </c>
      <c r="AD560" s="23" t="n">
        <v>220000</v>
      </c>
      <c r="AE560" s="9" t="n">
        <v>220000</v>
      </c>
      <c r="AF560" s="9" t="n">
        <v>220000</v>
      </c>
      <c r="AG560" s="9" t="n">
        <v>220000</v>
      </c>
      <c r="AH560" s="9" t="n">
        <v>220000</v>
      </c>
      <c r="AI560" s="9" t="n">
        <v>220000</v>
      </c>
      <c r="AJ560" s="9" t="n">
        <f aca="false">X560*$V560</f>
        <v>16940</v>
      </c>
      <c r="AK560" s="9" t="n">
        <f aca="false">Y560*$V560</f>
        <v>16940</v>
      </c>
      <c r="AL560" s="9" t="n">
        <f aca="false">Z560*$V560</f>
        <v>16940</v>
      </c>
      <c r="AM560" s="9" t="n">
        <f aca="false">AA560*$V560</f>
        <v>16940</v>
      </c>
      <c r="AN560" s="9" t="n">
        <f aca="false">AB560*$V560</f>
        <v>16940</v>
      </c>
      <c r="AO560" s="9" t="n">
        <f aca="false">AC560*$V560</f>
        <v>16940</v>
      </c>
      <c r="AP560" s="9" t="n">
        <f aca="false">AD560*$V560</f>
        <v>16940</v>
      </c>
      <c r="AQ560" s="9" t="n">
        <f aca="false">AE560*$V560</f>
        <v>16940</v>
      </c>
      <c r="AR560" s="9" t="n">
        <f aca="false">AF560*$V560</f>
        <v>16940</v>
      </c>
      <c r="AS560" s="9" t="n">
        <f aca="false">AG560*$V560</f>
        <v>16940</v>
      </c>
      <c r="AT560" s="9" t="n">
        <f aca="false">AH560*$V560</f>
        <v>16940</v>
      </c>
      <c r="AU560" s="9" t="n">
        <f aca="false">AI560*$V560</f>
        <v>16940</v>
      </c>
      <c r="AV560" s="9" t="n">
        <f aca="false">SUM(X560:AI560)/1000</f>
        <v>2640</v>
      </c>
      <c r="AW560" s="9" t="n">
        <f aca="false">SUM(AJ560:AU560)</f>
        <v>203280</v>
      </c>
      <c r="AX560" s="9" t="n">
        <f aca="false">IF(D560="INR",AW560/88.24,AW560)/1000000</f>
        <v>0.20328</v>
      </c>
    </row>
    <row r="561" s="2" customFormat="true" ht="14.25" hidden="false" customHeight="false" outlineLevel="0" collapsed="false">
      <c r="A561" s="12" t="s">
        <v>1217</v>
      </c>
      <c r="B561" s="16" t="n">
        <v>5</v>
      </c>
      <c r="C561" s="15"/>
      <c r="D561" s="16" t="s">
        <v>50</v>
      </c>
      <c r="E561" s="16" t="s">
        <v>51</v>
      </c>
      <c r="F561" s="16" t="s">
        <v>52</v>
      </c>
      <c r="G561" s="16" t="s">
        <v>391</v>
      </c>
      <c r="H561" s="16" t="s">
        <v>392</v>
      </c>
      <c r="I561" s="16" t="s">
        <v>260</v>
      </c>
      <c r="J561" s="16" t="s">
        <v>276</v>
      </c>
      <c r="K561" s="16"/>
      <c r="L561" s="16" t="s">
        <v>260</v>
      </c>
      <c r="M561" s="16" t="s">
        <v>276</v>
      </c>
      <c r="N561" s="16" t="s">
        <v>93</v>
      </c>
      <c r="O561" s="16" t="s">
        <v>58</v>
      </c>
      <c r="P561" s="16" t="s">
        <v>789</v>
      </c>
      <c r="Q561" s="16" t="s">
        <v>789</v>
      </c>
      <c r="R561" s="16" t="s">
        <v>377</v>
      </c>
      <c r="S561" s="16" t="s">
        <v>528</v>
      </c>
      <c r="T561" s="16" t="s">
        <v>1218</v>
      </c>
      <c r="U561" s="16" t="s">
        <v>73</v>
      </c>
      <c r="V561" s="16" t="n">
        <v>2.55</v>
      </c>
      <c r="W561" s="16" t="n">
        <v>2</v>
      </c>
      <c r="X561" s="22" t="n">
        <v>20000</v>
      </c>
      <c r="Y561" s="16" t="n">
        <v>10000</v>
      </c>
      <c r="Z561" s="16" t="n">
        <v>20000</v>
      </c>
      <c r="AA561" s="16" t="n">
        <v>20000</v>
      </c>
      <c r="AB561" s="16" t="n">
        <v>12000</v>
      </c>
      <c r="AC561" s="16"/>
      <c r="AD561" s="16" t="n">
        <v>20000</v>
      </c>
      <c r="AE561" s="16"/>
      <c r="AF561" s="16"/>
      <c r="AG561" s="16" t="n">
        <v>20000</v>
      </c>
      <c r="AH561" s="16"/>
      <c r="AI561" s="16"/>
      <c r="AJ561" s="9" t="n">
        <f aca="false">X561*$V561</f>
        <v>51000</v>
      </c>
      <c r="AK561" s="9" t="n">
        <f aca="false">Y561*$V561</f>
        <v>25500</v>
      </c>
      <c r="AL561" s="9" t="n">
        <f aca="false">Z561*$V561</f>
        <v>51000</v>
      </c>
      <c r="AM561" s="9" t="n">
        <f aca="false">AA561*$V561</f>
        <v>51000</v>
      </c>
      <c r="AN561" s="9" t="n">
        <f aca="false">AB561*$V561</f>
        <v>30600</v>
      </c>
      <c r="AO561" s="9" t="n">
        <f aca="false">AC561*$V561</f>
        <v>0</v>
      </c>
      <c r="AP561" s="9" t="n">
        <f aca="false">AD561*$V561</f>
        <v>51000</v>
      </c>
      <c r="AQ561" s="9" t="n">
        <f aca="false">AE561*$V561</f>
        <v>0</v>
      </c>
      <c r="AR561" s="9" t="n">
        <f aca="false">AF561*$V561</f>
        <v>0</v>
      </c>
      <c r="AS561" s="9" t="n">
        <f aca="false">AG561*$V561</f>
        <v>51000</v>
      </c>
      <c r="AT561" s="9" t="n">
        <f aca="false">AH561*$V561</f>
        <v>0</v>
      </c>
      <c r="AU561" s="9" t="n">
        <f aca="false">AI561*$V561</f>
        <v>0</v>
      </c>
      <c r="AV561" s="9" t="n">
        <f aca="false">SUM(X561:AI561)/1000</f>
        <v>122</v>
      </c>
      <c r="AW561" s="9" t="n">
        <f aca="false">SUM(AJ561:AU561)</f>
        <v>311100</v>
      </c>
      <c r="AX561" s="9" t="n">
        <f aca="false">IF(D561="INR",AW561/88.24,AW561)/1000000</f>
        <v>0.00352561196736174</v>
      </c>
    </row>
    <row r="562" s="2" customFormat="true" ht="16.4" hidden="false" customHeight="false" outlineLevel="0" collapsed="false">
      <c r="A562" s="35" t="s">
        <v>1219</v>
      </c>
      <c r="B562" s="9" t="n">
        <v>5</v>
      </c>
      <c r="C562" s="10"/>
      <c r="D562" s="9" t="s">
        <v>102</v>
      </c>
      <c r="E562" s="9" t="s">
        <v>51</v>
      </c>
      <c r="F562" s="9" t="s">
        <v>52</v>
      </c>
      <c r="G562" s="9" t="s">
        <v>391</v>
      </c>
      <c r="H562" s="9" t="s">
        <v>392</v>
      </c>
      <c r="I562" s="9" t="s">
        <v>298</v>
      </c>
      <c r="J562" s="9" t="s">
        <v>1053</v>
      </c>
      <c r="K562" s="9"/>
      <c r="L562" s="9" t="s">
        <v>298</v>
      </c>
      <c r="M562" s="9" t="s">
        <v>1053</v>
      </c>
      <c r="N562" s="9" t="s">
        <v>93</v>
      </c>
      <c r="O562" s="9" t="s">
        <v>58</v>
      </c>
      <c r="P562" s="9" t="s">
        <v>262</v>
      </c>
      <c r="Q562" s="9" t="s">
        <v>262</v>
      </c>
      <c r="R562" s="9" t="s">
        <v>263</v>
      </c>
      <c r="S562" s="9" t="s">
        <v>264</v>
      </c>
      <c r="T562" s="9" t="s">
        <v>1220</v>
      </c>
      <c r="U562" s="9" t="s">
        <v>73</v>
      </c>
      <c r="V562" s="9" t="n">
        <v>0.0318</v>
      </c>
      <c r="W562" s="9" t="n">
        <v>0.031</v>
      </c>
      <c r="X562" s="9" t="n">
        <v>120000</v>
      </c>
      <c r="Y562" s="9" t="n">
        <v>120000</v>
      </c>
      <c r="Z562" s="9" t="n">
        <v>120000</v>
      </c>
      <c r="AA562" s="9" t="n">
        <v>120000</v>
      </c>
      <c r="AB562" s="9" t="n">
        <v>120000</v>
      </c>
      <c r="AC562" s="9" t="n">
        <v>120000</v>
      </c>
      <c r="AD562" s="9" t="n">
        <v>120000</v>
      </c>
      <c r="AE562" s="9" t="n">
        <v>120000</v>
      </c>
      <c r="AF562" s="9" t="n">
        <v>120000</v>
      </c>
      <c r="AG562" s="9" t="n">
        <v>120000</v>
      </c>
      <c r="AH562" s="9" t="n">
        <v>120000</v>
      </c>
      <c r="AI562" s="9" t="n">
        <v>120000</v>
      </c>
      <c r="AJ562" s="9" t="n">
        <f aca="false">X562*$V562</f>
        <v>3816</v>
      </c>
      <c r="AK562" s="9" t="n">
        <f aca="false">Y562*$V562</f>
        <v>3816</v>
      </c>
      <c r="AL562" s="9" t="n">
        <f aca="false">Z562*$V562</f>
        <v>3816</v>
      </c>
      <c r="AM562" s="9" t="n">
        <f aca="false">AA562*$V562</f>
        <v>3816</v>
      </c>
      <c r="AN562" s="9" t="n">
        <f aca="false">AB562*$V562</f>
        <v>3816</v>
      </c>
      <c r="AO562" s="9" t="n">
        <f aca="false">AC562*$V562</f>
        <v>3816</v>
      </c>
      <c r="AP562" s="9" t="n">
        <f aca="false">AD562*$V562</f>
        <v>3816</v>
      </c>
      <c r="AQ562" s="9" t="n">
        <f aca="false">AE562*$V562</f>
        <v>3816</v>
      </c>
      <c r="AR562" s="9" t="n">
        <f aca="false">AF562*$V562</f>
        <v>3816</v>
      </c>
      <c r="AS562" s="9" t="n">
        <f aca="false">AG562*$V562</f>
        <v>3816</v>
      </c>
      <c r="AT562" s="9" t="n">
        <f aca="false">AH562*$V562</f>
        <v>3816</v>
      </c>
      <c r="AU562" s="9" t="n">
        <f aca="false">AI562*$V562</f>
        <v>3816</v>
      </c>
      <c r="AV562" s="9" t="n">
        <f aca="false">SUM(X562:AI562)/1000</f>
        <v>1440</v>
      </c>
      <c r="AW562" s="9" t="n">
        <f aca="false">SUM(AJ562:AU562)</f>
        <v>45792</v>
      </c>
      <c r="AX562" s="9" t="n">
        <f aca="false">IF(D562="INR",AW562/88.24,AW562)/1000000</f>
        <v>0.045792</v>
      </c>
    </row>
    <row r="563" s="2" customFormat="true" ht="14.25" hidden="false" customHeight="false" outlineLevel="0" collapsed="false">
      <c r="A563" s="12"/>
      <c r="B563" s="16" t="n">
        <v>1</v>
      </c>
      <c r="C563" s="15"/>
      <c r="D563" s="16" t="s">
        <v>102</v>
      </c>
      <c r="E563" s="16"/>
      <c r="F563" s="16" t="s">
        <v>52</v>
      </c>
      <c r="G563" s="16"/>
      <c r="H563" s="16" t="s">
        <v>392</v>
      </c>
      <c r="I563" s="16" t="s">
        <v>260</v>
      </c>
      <c r="J563" s="16" t="s">
        <v>276</v>
      </c>
      <c r="K563" s="16"/>
      <c r="L563" s="16" t="s">
        <v>260</v>
      </c>
      <c r="M563" s="16" t="s">
        <v>276</v>
      </c>
      <c r="N563" s="16" t="s">
        <v>93</v>
      </c>
      <c r="O563" s="16" t="s">
        <v>58</v>
      </c>
      <c r="P563" s="16"/>
      <c r="Q563" s="16" t="s">
        <v>1221</v>
      </c>
      <c r="R563" s="16"/>
      <c r="S563" s="16"/>
      <c r="T563" s="16" t="s">
        <v>1222</v>
      </c>
      <c r="U563" s="16" t="s">
        <v>63</v>
      </c>
      <c r="V563" s="16" t="n">
        <v>0.03</v>
      </c>
      <c r="W563" s="16"/>
      <c r="X563" s="16" t="n">
        <v>120000</v>
      </c>
      <c r="Y563" s="16" t="n">
        <v>120000</v>
      </c>
      <c r="Z563" s="16" t="n">
        <v>120000</v>
      </c>
      <c r="AA563" s="16" t="n">
        <v>120000</v>
      </c>
      <c r="AB563" s="16" t="n">
        <v>120000</v>
      </c>
      <c r="AC563" s="16" t="n">
        <v>120000</v>
      </c>
      <c r="AD563" s="16" t="n">
        <v>120000</v>
      </c>
      <c r="AE563" s="16" t="n">
        <v>120000</v>
      </c>
      <c r="AF563" s="16" t="n">
        <v>120000</v>
      </c>
      <c r="AG563" s="16" t="n">
        <v>120000</v>
      </c>
      <c r="AH563" s="16" t="n">
        <v>120000</v>
      </c>
      <c r="AI563" s="16" t="n">
        <v>120000</v>
      </c>
      <c r="AJ563" s="9" t="n">
        <f aca="false">X563*$V563</f>
        <v>3600</v>
      </c>
      <c r="AK563" s="9" t="n">
        <f aca="false">Y563*$V563</f>
        <v>3600</v>
      </c>
      <c r="AL563" s="9" t="n">
        <f aca="false">Z563*$V563</f>
        <v>3600</v>
      </c>
      <c r="AM563" s="9" t="n">
        <f aca="false">AA563*$V563</f>
        <v>3600</v>
      </c>
      <c r="AN563" s="9" t="n">
        <f aca="false">AB563*$V563</f>
        <v>3600</v>
      </c>
      <c r="AO563" s="9" t="n">
        <f aca="false">AC563*$V563</f>
        <v>3600</v>
      </c>
      <c r="AP563" s="9" t="n">
        <f aca="false">AD563*$V563</f>
        <v>3600</v>
      </c>
      <c r="AQ563" s="9" t="n">
        <f aca="false">AE563*$V563</f>
        <v>3600</v>
      </c>
      <c r="AR563" s="9" t="n">
        <f aca="false">AF563*$V563</f>
        <v>3600</v>
      </c>
      <c r="AS563" s="9" t="n">
        <f aca="false">AG563*$V563</f>
        <v>3600</v>
      </c>
      <c r="AT563" s="9" t="n">
        <f aca="false">AH563*$V563</f>
        <v>3600</v>
      </c>
      <c r="AU563" s="9" t="n">
        <f aca="false">AI563*$V563</f>
        <v>3600</v>
      </c>
      <c r="AV563" s="9" t="n">
        <f aca="false">SUM(X563:AI563)/1000</f>
        <v>1440</v>
      </c>
      <c r="AW563" s="9" t="n">
        <f aca="false">SUM(AJ563:AU563)</f>
        <v>43200</v>
      </c>
      <c r="AX563" s="9" t="n">
        <f aca="false">IF(D563="INR",AW563/88.24,AW563)/1000000</f>
        <v>0.0432</v>
      </c>
    </row>
    <row r="564" s="2" customFormat="true" ht="14.25" hidden="false" customHeight="false" outlineLevel="0" collapsed="false">
      <c r="A564" s="12"/>
      <c r="B564" s="16" t="n">
        <v>1</v>
      </c>
      <c r="C564" s="15"/>
      <c r="D564" s="16" t="s">
        <v>102</v>
      </c>
      <c r="E564" s="16"/>
      <c r="F564" s="16" t="s">
        <v>52</v>
      </c>
      <c r="G564" s="16"/>
      <c r="H564" s="16" t="s">
        <v>392</v>
      </c>
      <c r="I564" s="16" t="s">
        <v>260</v>
      </c>
      <c r="J564" s="16" t="s">
        <v>276</v>
      </c>
      <c r="K564" s="16"/>
      <c r="L564" s="16" t="s">
        <v>260</v>
      </c>
      <c r="M564" s="16" t="s">
        <v>276</v>
      </c>
      <c r="N564" s="16" t="s">
        <v>93</v>
      </c>
      <c r="O564" s="16" t="s">
        <v>58</v>
      </c>
      <c r="P564" s="16"/>
      <c r="Q564" s="16" t="s">
        <v>1221</v>
      </c>
      <c r="R564" s="16"/>
      <c r="S564" s="16"/>
      <c r="T564" s="16" t="s">
        <v>1223</v>
      </c>
      <c r="U564" s="16" t="s">
        <v>63</v>
      </c>
      <c r="V564" s="16" t="n">
        <v>0.018</v>
      </c>
      <c r="W564" s="16"/>
      <c r="X564" s="16" t="n">
        <v>120000</v>
      </c>
      <c r="Y564" s="16" t="n">
        <v>120000</v>
      </c>
      <c r="Z564" s="16" t="n">
        <v>120000</v>
      </c>
      <c r="AA564" s="16" t="n">
        <v>120000</v>
      </c>
      <c r="AB564" s="16" t="n">
        <v>120000</v>
      </c>
      <c r="AC564" s="16" t="n">
        <v>120000</v>
      </c>
      <c r="AD564" s="16" t="n">
        <v>120000</v>
      </c>
      <c r="AE564" s="16" t="n">
        <v>120000</v>
      </c>
      <c r="AF564" s="16" t="n">
        <v>120000</v>
      </c>
      <c r="AG564" s="16" t="n">
        <v>120000</v>
      </c>
      <c r="AH564" s="16" t="n">
        <v>120000</v>
      </c>
      <c r="AI564" s="16" t="n">
        <v>120000</v>
      </c>
      <c r="AJ564" s="9" t="n">
        <f aca="false">X564*$V564</f>
        <v>2160</v>
      </c>
      <c r="AK564" s="9" t="n">
        <f aca="false">Y564*$V564</f>
        <v>2160</v>
      </c>
      <c r="AL564" s="9" t="n">
        <f aca="false">Z564*$V564</f>
        <v>2160</v>
      </c>
      <c r="AM564" s="9" t="n">
        <f aca="false">AA564*$V564</f>
        <v>2160</v>
      </c>
      <c r="AN564" s="9" t="n">
        <f aca="false">AB564*$V564</f>
        <v>2160</v>
      </c>
      <c r="AO564" s="9" t="n">
        <f aca="false">AC564*$V564</f>
        <v>2160</v>
      </c>
      <c r="AP564" s="9" t="n">
        <f aca="false">AD564*$V564</f>
        <v>2160</v>
      </c>
      <c r="AQ564" s="9" t="n">
        <f aca="false">AE564*$V564</f>
        <v>2160</v>
      </c>
      <c r="AR564" s="9" t="n">
        <f aca="false">AF564*$V564</f>
        <v>2160</v>
      </c>
      <c r="AS564" s="9" t="n">
        <f aca="false">AG564*$V564</f>
        <v>2160</v>
      </c>
      <c r="AT564" s="9" t="n">
        <f aca="false">AH564*$V564</f>
        <v>2160</v>
      </c>
      <c r="AU564" s="9" t="n">
        <f aca="false">AI564*$V564</f>
        <v>2160</v>
      </c>
      <c r="AV564" s="9" t="n">
        <f aca="false">SUM(X564:AI564)/1000</f>
        <v>1440</v>
      </c>
      <c r="AW564" s="9" t="n">
        <f aca="false">SUM(AJ564:AU564)</f>
        <v>25920</v>
      </c>
      <c r="AX564" s="9" t="n">
        <f aca="false">IF(D564="INR",AW564/88.24,AW564)/1000000</f>
        <v>0.02592</v>
      </c>
    </row>
    <row r="565" s="2" customFormat="true" ht="14.25" hidden="false" customHeight="false" outlineLevel="0" collapsed="false">
      <c r="A565" s="16"/>
      <c r="B565" s="16" t="n">
        <v>1</v>
      </c>
      <c r="C565" s="16"/>
      <c r="D565" s="16" t="s">
        <v>102</v>
      </c>
      <c r="E565" s="16"/>
      <c r="F565" s="16" t="s">
        <v>52</v>
      </c>
      <c r="G565" s="16"/>
      <c r="H565" s="16" t="s">
        <v>392</v>
      </c>
      <c r="I565" s="16" t="s">
        <v>260</v>
      </c>
      <c r="J565" s="16" t="s">
        <v>276</v>
      </c>
      <c r="K565" s="16"/>
      <c r="L565" s="16" t="s">
        <v>260</v>
      </c>
      <c r="M565" s="16" t="s">
        <v>276</v>
      </c>
      <c r="N565" s="16" t="s">
        <v>93</v>
      </c>
      <c r="O565" s="16" t="s">
        <v>58</v>
      </c>
      <c r="P565" s="16"/>
      <c r="Q565" s="16" t="s">
        <v>1221</v>
      </c>
      <c r="R565" s="16"/>
      <c r="S565" s="16"/>
      <c r="T565" s="16" t="s">
        <v>1224</v>
      </c>
      <c r="U565" s="16" t="s">
        <v>63</v>
      </c>
      <c r="V565" s="16" t="n">
        <v>0.054</v>
      </c>
      <c r="W565" s="16"/>
      <c r="X565" s="16" t="n">
        <v>100000</v>
      </c>
      <c r="Y565" s="16" t="n">
        <v>100000</v>
      </c>
      <c r="Z565" s="16" t="n">
        <v>100000</v>
      </c>
      <c r="AA565" s="16" t="n">
        <v>100000</v>
      </c>
      <c r="AB565" s="16" t="n">
        <v>100000</v>
      </c>
      <c r="AC565" s="16" t="n">
        <v>100000</v>
      </c>
      <c r="AD565" s="16" t="n">
        <v>100000</v>
      </c>
      <c r="AE565" s="16" t="n">
        <v>100000</v>
      </c>
      <c r="AF565" s="16" t="n">
        <v>100000</v>
      </c>
      <c r="AG565" s="16" t="n">
        <v>100000</v>
      </c>
      <c r="AH565" s="16" t="n">
        <v>100000</v>
      </c>
      <c r="AI565" s="16" t="n">
        <v>100000</v>
      </c>
      <c r="AJ565" s="9" t="n">
        <f aca="false">X565*$V565</f>
        <v>5400</v>
      </c>
      <c r="AK565" s="9" t="n">
        <f aca="false">Y565*$V565</f>
        <v>5400</v>
      </c>
      <c r="AL565" s="9" t="n">
        <f aca="false">Z565*$V565</f>
        <v>5400</v>
      </c>
      <c r="AM565" s="9" t="n">
        <f aca="false">AA565*$V565</f>
        <v>5400</v>
      </c>
      <c r="AN565" s="9" t="n">
        <f aca="false">AB565*$V565</f>
        <v>5400</v>
      </c>
      <c r="AO565" s="9" t="n">
        <f aca="false">AC565*$V565</f>
        <v>5400</v>
      </c>
      <c r="AP565" s="9" t="n">
        <f aca="false">AD565*$V565</f>
        <v>5400</v>
      </c>
      <c r="AQ565" s="9" t="n">
        <f aca="false">AE565*$V565</f>
        <v>5400</v>
      </c>
      <c r="AR565" s="9" t="n">
        <f aca="false">AF565*$V565</f>
        <v>5400</v>
      </c>
      <c r="AS565" s="9" t="n">
        <f aca="false">AG565*$V565</f>
        <v>5400</v>
      </c>
      <c r="AT565" s="9" t="n">
        <f aca="false">AH565*$V565</f>
        <v>5400</v>
      </c>
      <c r="AU565" s="9" t="n">
        <f aca="false">AI565*$V565</f>
        <v>5400</v>
      </c>
      <c r="AV565" s="9" t="n">
        <f aca="false">SUM(X565:AI565)/1000</f>
        <v>1200</v>
      </c>
      <c r="AW565" s="9" t="n">
        <f aca="false">SUM(AJ565:AU565)</f>
        <v>64800</v>
      </c>
      <c r="AX565" s="9" t="n">
        <f aca="false">IF(D565="INR",AW565/88.24,AW565)/1000000</f>
        <v>0.0648</v>
      </c>
    </row>
    <row r="566" s="2" customFormat="true" ht="14.25" hidden="false" customHeight="false" outlineLevel="0" collapsed="false">
      <c r="A566" s="12" t="s">
        <v>1225</v>
      </c>
      <c r="B566" s="16"/>
      <c r="C566" s="15" t="n">
        <v>5</v>
      </c>
      <c r="D566" s="16" t="s">
        <v>50</v>
      </c>
      <c r="E566" s="16" t="s">
        <v>51</v>
      </c>
      <c r="F566" s="16" t="s">
        <v>52</v>
      </c>
      <c r="G566" s="16" t="s">
        <v>287</v>
      </c>
      <c r="H566" s="16" t="s">
        <v>288</v>
      </c>
      <c r="I566" s="16" t="s">
        <v>260</v>
      </c>
      <c r="J566" s="16" t="s">
        <v>289</v>
      </c>
      <c r="K566" s="16"/>
      <c r="L566" s="16" t="s">
        <v>260</v>
      </c>
      <c r="M566" s="16" t="s">
        <v>289</v>
      </c>
      <c r="N566" s="16" t="s">
        <v>290</v>
      </c>
      <c r="O566" s="16" t="s">
        <v>94</v>
      </c>
      <c r="P566" s="16" t="s">
        <v>308</v>
      </c>
      <c r="Q566" s="16" t="s">
        <v>308</v>
      </c>
      <c r="R566" s="16" t="s">
        <v>309</v>
      </c>
      <c r="S566" s="16" t="s">
        <v>264</v>
      </c>
      <c r="T566" s="16" t="s">
        <v>1226</v>
      </c>
      <c r="U566" s="16" t="s">
        <v>73</v>
      </c>
      <c r="V566" s="16" t="n">
        <v>1.9</v>
      </c>
      <c r="W566" s="16" t="n">
        <v>1.58</v>
      </c>
      <c r="X566" s="16" t="n">
        <v>23752</v>
      </c>
      <c r="Y566" s="16" t="n">
        <v>25660</v>
      </c>
      <c r="Z566" s="16" t="n">
        <v>26490</v>
      </c>
      <c r="AA566" s="16" t="n">
        <v>26240</v>
      </c>
      <c r="AB566" s="16" t="n">
        <v>23752</v>
      </c>
      <c r="AC566" s="16" t="n">
        <v>25660</v>
      </c>
      <c r="AD566" s="16" t="n">
        <v>26490</v>
      </c>
      <c r="AE566" s="16" t="n">
        <v>26240</v>
      </c>
      <c r="AF566" s="16" t="n">
        <v>23752</v>
      </c>
      <c r="AG566" s="16" t="n">
        <v>25660</v>
      </c>
      <c r="AH566" s="16" t="n">
        <v>26490</v>
      </c>
      <c r="AI566" s="16" t="n">
        <v>26240</v>
      </c>
      <c r="AJ566" s="9" t="n">
        <f aca="false">X566*$V566</f>
        <v>45128.8</v>
      </c>
      <c r="AK566" s="9" t="n">
        <f aca="false">Y566*$V566</f>
        <v>48754</v>
      </c>
      <c r="AL566" s="9" t="n">
        <f aca="false">Z566*$V566</f>
        <v>50331</v>
      </c>
      <c r="AM566" s="9" t="n">
        <f aca="false">AA566*$V566</f>
        <v>49856</v>
      </c>
      <c r="AN566" s="9" t="n">
        <f aca="false">AB566*$V566</f>
        <v>45128.8</v>
      </c>
      <c r="AO566" s="9" t="n">
        <f aca="false">AC566*$V566</f>
        <v>48754</v>
      </c>
      <c r="AP566" s="9" t="n">
        <f aca="false">AD566*$V566</f>
        <v>50331</v>
      </c>
      <c r="AQ566" s="9" t="n">
        <f aca="false">AE566*$V566</f>
        <v>49856</v>
      </c>
      <c r="AR566" s="9" t="n">
        <f aca="false">AF566*$V566</f>
        <v>45128.8</v>
      </c>
      <c r="AS566" s="9" t="n">
        <f aca="false">AG566*$V566</f>
        <v>48754</v>
      </c>
      <c r="AT566" s="9" t="n">
        <f aca="false">AH566*$V566</f>
        <v>50331</v>
      </c>
      <c r="AU566" s="9" t="n">
        <f aca="false">AI566*$V566</f>
        <v>49856</v>
      </c>
      <c r="AV566" s="9" t="n">
        <f aca="false">SUM(X566:AI566)/1000</f>
        <v>306.426</v>
      </c>
      <c r="AW566" s="9" t="n">
        <f aca="false">SUM(AJ566:AU566)</f>
        <v>582209.4</v>
      </c>
      <c r="AX566" s="9" t="n">
        <f aca="false">IF(D566="INR",AW566/88.24,AW566)/1000000</f>
        <v>0.00659802130553037</v>
      </c>
    </row>
    <row r="567" s="2" customFormat="true" ht="14.25" hidden="false" customHeight="false" outlineLevel="0" collapsed="false">
      <c r="A567" s="9"/>
      <c r="B567" s="9" t="n">
        <v>1</v>
      </c>
      <c r="C567" s="15"/>
      <c r="D567" s="16" t="s">
        <v>102</v>
      </c>
      <c r="E567" s="16"/>
      <c r="F567" s="16" t="s">
        <v>52</v>
      </c>
      <c r="G567" s="16"/>
      <c r="H567" s="9" t="s">
        <v>392</v>
      </c>
      <c r="I567" s="16" t="s">
        <v>260</v>
      </c>
      <c r="J567" s="16" t="s">
        <v>276</v>
      </c>
      <c r="K567" s="9"/>
      <c r="L567" s="16" t="s">
        <v>260</v>
      </c>
      <c r="M567" s="16" t="s">
        <v>276</v>
      </c>
      <c r="N567" s="16" t="s">
        <v>93</v>
      </c>
      <c r="O567" s="16" t="s">
        <v>58</v>
      </c>
      <c r="P567" s="9"/>
      <c r="Q567" s="9" t="s">
        <v>1227</v>
      </c>
      <c r="R567" s="9"/>
      <c r="S567" s="9"/>
      <c r="T567" s="9" t="s">
        <v>1228</v>
      </c>
      <c r="U567" s="16" t="s">
        <v>63</v>
      </c>
      <c r="V567" s="36" t="n">
        <v>0.12</v>
      </c>
      <c r="W567" s="9"/>
      <c r="X567" s="22" t="n">
        <v>25000</v>
      </c>
      <c r="Y567" s="9" t="n">
        <v>25000</v>
      </c>
      <c r="Z567" s="9" t="n">
        <v>25000</v>
      </c>
      <c r="AA567" s="9" t="n">
        <v>100000</v>
      </c>
      <c r="AB567" s="9" t="n">
        <v>100000</v>
      </c>
      <c r="AC567" s="9" t="n">
        <v>100000</v>
      </c>
      <c r="AD567" s="23" t="n">
        <v>100000</v>
      </c>
      <c r="AE567" s="9" t="n">
        <v>100000</v>
      </c>
      <c r="AF567" s="9" t="n">
        <v>100000</v>
      </c>
      <c r="AG567" s="9" t="n">
        <v>100000</v>
      </c>
      <c r="AH567" s="9" t="n">
        <v>100000</v>
      </c>
      <c r="AI567" s="9" t="n">
        <v>100000</v>
      </c>
      <c r="AJ567" s="9" t="n">
        <f aca="false">X567*$V567</f>
        <v>3000</v>
      </c>
      <c r="AK567" s="9" t="n">
        <f aca="false">Y567*$V567</f>
        <v>3000</v>
      </c>
      <c r="AL567" s="9" t="n">
        <f aca="false">Z567*$V567</f>
        <v>3000</v>
      </c>
      <c r="AM567" s="9" t="n">
        <f aca="false">AA567*$V567</f>
        <v>12000</v>
      </c>
      <c r="AN567" s="9" t="n">
        <f aca="false">AB567*$V567</f>
        <v>12000</v>
      </c>
      <c r="AO567" s="9" t="n">
        <f aca="false">AC567*$V567</f>
        <v>12000</v>
      </c>
      <c r="AP567" s="9" t="n">
        <f aca="false">AD567*$V567</f>
        <v>12000</v>
      </c>
      <c r="AQ567" s="9" t="n">
        <f aca="false">AE567*$V567</f>
        <v>12000</v>
      </c>
      <c r="AR567" s="9" t="n">
        <f aca="false">AF567*$V567</f>
        <v>12000</v>
      </c>
      <c r="AS567" s="9" t="n">
        <f aca="false">AG567*$V567</f>
        <v>12000</v>
      </c>
      <c r="AT567" s="9" t="n">
        <f aca="false">AH567*$V567</f>
        <v>12000</v>
      </c>
      <c r="AU567" s="9" t="n">
        <f aca="false">AI567*$V567</f>
        <v>12000</v>
      </c>
      <c r="AV567" s="9" t="n">
        <f aca="false">SUM(X567:AI567)/1000</f>
        <v>975</v>
      </c>
      <c r="AW567" s="9" t="n">
        <f aca="false">SUM(AJ567:AU567)</f>
        <v>117000</v>
      </c>
      <c r="AX567" s="9" t="n">
        <f aca="false">IF(D567="INR",AW567/88.24,AW567)/1000000</f>
        <v>0.117</v>
      </c>
    </row>
    <row r="568" s="2" customFormat="true" ht="14.25" hidden="false" customHeight="false" outlineLevel="0" collapsed="false">
      <c r="A568" s="12"/>
      <c r="B568" s="16" t="n">
        <v>1</v>
      </c>
      <c r="C568" s="15"/>
      <c r="D568" s="16" t="s">
        <v>102</v>
      </c>
      <c r="E568" s="16"/>
      <c r="F568" s="16" t="s">
        <v>52</v>
      </c>
      <c r="G568" s="16"/>
      <c r="H568" s="16" t="s">
        <v>392</v>
      </c>
      <c r="I568" s="16" t="s">
        <v>260</v>
      </c>
      <c r="J568" s="16" t="s">
        <v>276</v>
      </c>
      <c r="K568" s="16"/>
      <c r="L568" s="16" t="s">
        <v>260</v>
      </c>
      <c r="M568" s="16" t="s">
        <v>276</v>
      </c>
      <c r="N568" s="16" t="s">
        <v>93</v>
      </c>
      <c r="O568" s="16" t="s">
        <v>58</v>
      </c>
      <c r="P568" s="16"/>
      <c r="Q568" s="16" t="s">
        <v>1221</v>
      </c>
      <c r="R568" s="16"/>
      <c r="S568" s="16"/>
      <c r="T568" s="16" t="s">
        <v>1229</v>
      </c>
      <c r="U568" s="16" t="s">
        <v>63</v>
      </c>
      <c r="V568" s="16" t="n">
        <v>0.0175</v>
      </c>
      <c r="W568" s="16"/>
      <c r="X568" s="16" t="n">
        <v>80000</v>
      </c>
      <c r="Y568" s="16" t="n">
        <v>80000</v>
      </c>
      <c r="Z568" s="16" t="n">
        <v>80000</v>
      </c>
      <c r="AA568" s="16" t="n">
        <v>80000</v>
      </c>
      <c r="AB568" s="16" t="n">
        <v>80000</v>
      </c>
      <c r="AC568" s="16" t="n">
        <v>80000</v>
      </c>
      <c r="AD568" s="16" t="n">
        <v>80000</v>
      </c>
      <c r="AE568" s="16" t="n">
        <v>80000</v>
      </c>
      <c r="AF568" s="16" t="n">
        <v>80000</v>
      </c>
      <c r="AG568" s="16" t="n">
        <v>80000</v>
      </c>
      <c r="AH568" s="16" t="n">
        <v>80000</v>
      </c>
      <c r="AI568" s="16" t="n">
        <v>80000</v>
      </c>
      <c r="AJ568" s="9" t="n">
        <f aca="false">X568*$V568</f>
        <v>1400</v>
      </c>
      <c r="AK568" s="9" t="n">
        <f aca="false">Y568*$V568</f>
        <v>1400</v>
      </c>
      <c r="AL568" s="9" t="n">
        <f aca="false">Z568*$V568</f>
        <v>1400</v>
      </c>
      <c r="AM568" s="9" t="n">
        <f aca="false">AA568*$V568</f>
        <v>1400</v>
      </c>
      <c r="AN568" s="9" t="n">
        <f aca="false">AB568*$V568</f>
        <v>1400</v>
      </c>
      <c r="AO568" s="9" t="n">
        <f aca="false">AC568*$V568</f>
        <v>1400</v>
      </c>
      <c r="AP568" s="9" t="n">
        <f aca="false">AD568*$V568</f>
        <v>1400</v>
      </c>
      <c r="AQ568" s="9" t="n">
        <f aca="false">AE568*$V568</f>
        <v>1400</v>
      </c>
      <c r="AR568" s="9" t="n">
        <f aca="false">AF568*$V568</f>
        <v>1400</v>
      </c>
      <c r="AS568" s="9" t="n">
        <f aca="false">AG568*$V568</f>
        <v>1400</v>
      </c>
      <c r="AT568" s="9" t="n">
        <f aca="false">AH568*$V568</f>
        <v>1400</v>
      </c>
      <c r="AU568" s="9" t="n">
        <f aca="false">AI568*$V568</f>
        <v>1400</v>
      </c>
      <c r="AV568" s="9" t="n">
        <f aca="false">SUM(X568:AI568)/1000</f>
        <v>960</v>
      </c>
      <c r="AW568" s="9" t="n">
        <f aca="false">SUM(AJ568:AU568)</f>
        <v>16800</v>
      </c>
      <c r="AX568" s="9" t="n">
        <f aca="false">IF(D568="INR",AW568/88.24,AW568)/1000000</f>
        <v>0.0168</v>
      </c>
    </row>
    <row r="569" s="2" customFormat="true" ht="14.25" hidden="false" customHeight="false" outlineLevel="0" collapsed="false">
      <c r="A569" s="12"/>
      <c r="B569" s="16" t="n">
        <v>1</v>
      </c>
      <c r="C569" s="15"/>
      <c r="D569" s="16" t="s">
        <v>50</v>
      </c>
      <c r="E569" s="16" t="s">
        <v>51</v>
      </c>
      <c r="F569" s="16" t="s">
        <v>267</v>
      </c>
      <c r="G569" s="16" t="s">
        <v>1230</v>
      </c>
      <c r="H569" s="16" t="s">
        <v>1231</v>
      </c>
      <c r="I569" s="16" t="s">
        <v>55</v>
      </c>
      <c r="J569" s="16" t="s">
        <v>100</v>
      </c>
      <c r="K569" s="16"/>
      <c r="L569" s="16" t="s">
        <v>55</v>
      </c>
      <c r="M569" s="16" t="s">
        <v>100</v>
      </c>
      <c r="N569" s="16" t="s">
        <v>271</v>
      </c>
      <c r="O569" s="16"/>
      <c r="P569" s="16"/>
      <c r="Q569" s="16" t="s">
        <v>789</v>
      </c>
      <c r="R569" s="16"/>
      <c r="S569" s="16"/>
      <c r="T569" s="16" t="s">
        <v>1232</v>
      </c>
      <c r="U569" s="16" t="s">
        <v>63</v>
      </c>
      <c r="V569" s="16" t="n">
        <v>25.16</v>
      </c>
      <c r="W569" s="16"/>
      <c r="X569" s="22"/>
      <c r="Y569" s="16"/>
      <c r="Z569" s="16" t="n">
        <v>2000</v>
      </c>
      <c r="AA569" s="16"/>
      <c r="AB569" s="16" t="n">
        <v>2000</v>
      </c>
      <c r="AC569" s="16"/>
      <c r="AD569" s="16" t="n">
        <v>2000</v>
      </c>
      <c r="AE569" s="16"/>
      <c r="AF569" s="16" t="n">
        <v>2000</v>
      </c>
      <c r="AG569" s="16"/>
      <c r="AH569" s="16" t="n">
        <v>2000</v>
      </c>
      <c r="AI569" s="16"/>
      <c r="AJ569" s="9" t="n">
        <f aca="false">X569*$V569</f>
        <v>0</v>
      </c>
      <c r="AK569" s="9" t="n">
        <f aca="false">Y569*$V569</f>
        <v>0</v>
      </c>
      <c r="AL569" s="9" t="n">
        <f aca="false">Z569*$V569</f>
        <v>50320</v>
      </c>
      <c r="AM569" s="9" t="n">
        <f aca="false">AA569*$V569</f>
        <v>0</v>
      </c>
      <c r="AN569" s="9" t="n">
        <f aca="false">AB569*$V569</f>
        <v>50320</v>
      </c>
      <c r="AO569" s="9" t="n">
        <f aca="false">AC569*$V569</f>
        <v>0</v>
      </c>
      <c r="AP569" s="9" t="n">
        <f aca="false">AD569*$V569</f>
        <v>50320</v>
      </c>
      <c r="AQ569" s="9" t="n">
        <f aca="false">AE569*$V569</f>
        <v>0</v>
      </c>
      <c r="AR569" s="9" t="n">
        <f aca="false">AF569*$V569</f>
        <v>50320</v>
      </c>
      <c r="AS569" s="9" t="n">
        <f aca="false">AG569*$V569</f>
        <v>0</v>
      </c>
      <c r="AT569" s="9" t="n">
        <f aca="false">AH569*$V569</f>
        <v>50320</v>
      </c>
      <c r="AU569" s="9" t="n">
        <f aca="false">AI569*$V569</f>
        <v>0</v>
      </c>
      <c r="AV569" s="9" t="n">
        <f aca="false">SUM(X569:AI569)/1000</f>
        <v>10</v>
      </c>
      <c r="AW569" s="9" t="n">
        <f aca="false">SUM(AJ569:AU569)</f>
        <v>251600</v>
      </c>
      <c r="AX569" s="9" t="n">
        <f aca="false">IF(D569="INR",AW569/88.24,AW569)/1000000</f>
        <v>0.00285131459655485</v>
      </c>
    </row>
    <row r="570" s="2" customFormat="true" ht="16.4" hidden="false" customHeight="false" outlineLevel="0" collapsed="false">
      <c r="A570" s="9" t="s">
        <v>1233</v>
      </c>
      <c r="B570" s="9" t="n">
        <v>5</v>
      </c>
      <c r="C570" s="15"/>
      <c r="D570" s="16" t="s">
        <v>102</v>
      </c>
      <c r="E570" s="16" t="s">
        <v>51</v>
      </c>
      <c r="F570" s="16" t="s">
        <v>52</v>
      </c>
      <c r="G570" s="16" t="s">
        <v>391</v>
      </c>
      <c r="H570" s="9" t="s">
        <v>392</v>
      </c>
      <c r="I570" s="16" t="s">
        <v>298</v>
      </c>
      <c r="J570" s="16" t="s">
        <v>1053</v>
      </c>
      <c r="K570" s="9"/>
      <c r="L570" s="16" t="s">
        <v>298</v>
      </c>
      <c r="M570" s="16" t="s">
        <v>1053</v>
      </c>
      <c r="N570" s="16" t="s">
        <v>93</v>
      </c>
      <c r="O570" s="16" t="s">
        <v>58</v>
      </c>
      <c r="P570" s="9" t="s">
        <v>262</v>
      </c>
      <c r="Q570" s="9" t="s">
        <v>262</v>
      </c>
      <c r="R570" s="9" t="s">
        <v>263</v>
      </c>
      <c r="S570" s="9" t="s">
        <v>264</v>
      </c>
      <c r="T570" s="9" t="s">
        <v>1234</v>
      </c>
      <c r="U570" s="16" t="s">
        <v>73</v>
      </c>
      <c r="V570" s="36" t="n">
        <v>0.17</v>
      </c>
      <c r="W570" s="9" t="n">
        <v>0.115</v>
      </c>
      <c r="X570" s="22" t="n">
        <v>70000</v>
      </c>
      <c r="Y570" s="9" t="n">
        <v>70000</v>
      </c>
      <c r="Z570" s="9" t="n">
        <v>70000</v>
      </c>
      <c r="AA570" s="9" t="n">
        <v>70000</v>
      </c>
      <c r="AB570" s="9" t="n">
        <v>70000</v>
      </c>
      <c r="AC570" s="9" t="n">
        <v>70000</v>
      </c>
      <c r="AD570" s="23" t="n">
        <v>70000</v>
      </c>
      <c r="AE570" s="9" t="n">
        <v>70000</v>
      </c>
      <c r="AF570" s="9" t="n">
        <v>70000</v>
      </c>
      <c r="AG570" s="9" t="n">
        <v>70000</v>
      </c>
      <c r="AH570" s="9" t="n">
        <v>70000</v>
      </c>
      <c r="AI570" s="9" t="n">
        <v>70000</v>
      </c>
      <c r="AJ570" s="9" t="n">
        <f aca="false">X570*$V570</f>
        <v>11900</v>
      </c>
      <c r="AK570" s="9" t="n">
        <f aca="false">Y570*$V570</f>
        <v>11900</v>
      </c>
      <c r="AL570" s="9" t="n">
        <f aca="false">Z570*$V570</f>
        <v>11900</v>
      </c>
      <c r="AM570" s="9" t="n">
        <f aca="false">AA570*$V570</f>
        <v>11900</v>
      </c>
      <c r="AN570" s="9" t="n">
        <f aca="false">AB570*$V570</f>
        <v>11900</v>
      </c>
      <c r="AO570" s="9" t="n">
        <f aca="false">AC570*$V570</f>
        <v>11900</v>
      </c>
      <c r="AP570" s="9" t="n">
        <f aca="false">AD570*$V570</f>
        <v>11900</v>
      </c>
      <c r="AQ570" s="9" t="n">
        <f aca="false">AE570*$V570</f>
        <v>11900</v>
      </c>
      <c r="AR570" s="9" t="n">
        <f aca="false">AF570*$V570</f>
        <v>11900</v>
      </c>
      <c r="AS570" s="9" t="n">
        <f aca="false">AG570*$V570</f>
        <v>11900</v>
      </c>
      <c r="AT570" s="9" t="n">
        <f aca="false">AH570*$V570</f>
        <v>11900</v>
      </c>
      <c r="AU570" s="9" t="n">
        <f aca="false">AI570*$V570</f>
        <v>11900</v>
      </c>
      <c r="AV570" s="9" t="n">
        <f aca="false">SUM(X570:AI570)/1000</f>
        <v>840</v>
      </c>
      <c r="AW570" s="9" t="n">
        <f aca="false">SUM(AJ570:AU570)</f>
        <v>142800</v>
      </c>
      <c r="AX570" s="9" t="n">
        <f aca="false">IF(D570="INR",AW570/88.24,AW570)/1000000</f>
        <v>0.1428</v>
      </c>
    </row>
    <row r="571" s="2" customFormat="true" ht="14.25" hidden="false" customHeight="false" outlineLevel="0" collapsed="false">
      <c r="A571" s="12" t="s">
        <v>1235</v>
      </c>
      <c r="B571" s="16" t="n">
        <v>5</v>
      </c>
      <c r="C571" s="15"/>
      <c r="D571" s="16" t="s">
        <v>50</v>
      </c>
      <c r="E571" s="16" t="s">
        <v>51</v>
      </c>
      <c r="F571" s="16" t="s">
        <v>404</v>
      </c>
      <c r="G571" s="16" t="s">
        <v>405</v>
      </c>
      <c r="H571" s="16" t="s">
        <v>406</v>
      </c>
      <c r="I571" s="16" t="s">
        <v>105</v>
      </c>
      <c r="J571" s="16" t="s">
        <v>368</v>
      </c>
      <c r="K571" s="16"/>
      <c r="L571" s="16" t="s">
        <v>105</v>
      </c>
      <c r="M571" s="16" t="s">
        <v>368</v>
      </c>
      <c r="N571" s="16" t="s">
        <v>271</v>
      </c>
      <c r="O571" s="16" t="s">
        <v>94</v>
      </c>
      <c r="P571" s="16" t="s">
        <v>308</v>
      </c>
      <c r="Q571" s="16" t="s">
        <v>308</v>
      </c>
      <c r="R571" s="16" t="s">
        <v>309</v>
      </c>
      <c r="S571" s="16" t="s">
        <v>264</v>
      </c>
      <c r="T571" s="16" t="s">
        <v>1236</v>
      </c>
      <c r="U571" s="16" t="s">
        <v>73</v>
      </c>
      <c r="V571" s="16" t="n">
        <v>1.25</v>
      </c>
      <c r="W571" s="16" t="n">
        <v>1.09</v>
      </c>
      <c r="X571" s="22" t="n">
        <v>40000</v>
      </c>
      <c r="Y571" s="22" t="n">
        <v>40000</v>
      </c>
      <c r="Z571" s="22" t="n">
        <v>40000</v>
      </c>
      <c r="AA571" s="22" t="n">
        <v>25000</v>
      </c>
      <c r="AB571" s="22" t="n">
        <v>25000</v>
      </c>
      <c r="AC571" s="22" t="n">
        <v>40000</v>
      </c>
      <c r="AD571" s="22" t="n">
        <v>25000</v>
      </c>
      <c r="AE571" s="22" t="n">
        <v>40000</v>
      </c>
      <c r="AF571" s="22" t="n">
        <v>25000</v>
      </c>
      <c r="AG571" s="22" t="n">
        <v>40000</v>
      </c>
      <c r="AH571" s="22" t="n">
        <v>25000</v>
      </c>
      <c r="AI571" s="22" t="n">
        <v>40000</v>
      </c>
      <c r="AJ571" s="9" t="n">
        <f aca="false">X571*$V571</f>
        <v>50000</v>
      </c>
      <c r="AK571" s="9" t="n">
        <f aca="false">Y571*$V571</f>
        <v>50000</v>
      </c>
      <c r="AL571" s="9" t="n">
        <f aca="false">Z571*$V571</f>
        <v>50000</v>
      </c>
      <c r="AM571" s="9" t="n">
        <f aca="false">AA571*$V571</f>
        <v>31250</v>
      </c>
      <c r="AN571" s="9" t="n">
        <f aca="false">AB571*$V571</f>
        <v>31250</v>
      </c>
      <c r="AO571" s="9" t="n">
        <f aca="false">AC571*$V571</f>
        <v>50000</v>
      </c>
      <c r="AP571" s="9" t="n">
        <f aca="false">AD571*$V571</f>
        <v>31250</v>
      </c>
      <c r="AQ571" s="9" t="n">
        <f aca="false">AE571*$V571</f>
        <v>50000</v>
      </c>
      <c r="AR571" s="9" t="n">
        <f aca="false">AF571*$V571</f>
        <v>31250</v>
      </c>
      <c r="AS571" s="9" t="n">
        <f aca="false">AG571*$V571</f>
        <v>50000</v>
      </c>
      <c r="AT571" s="9" t="n">
        <f aca="false">AH571*$V571</f>
        <v>31250</v>
      </c>
      <c r="AU571" s="9" t="n">
        <f aca="false">AI571*$V571</f>
        <v>50000</v>
      </c>
      <c r="AV571" s="9" t="n">
        <f aca="false">SUM(X571:AI571)/1000</f>
        <v>405</v>
      </c>
      <c r="AW571" s="9" t="n">
        <f aca="false">SUM(AJ571:AU571)</f>
        <v>506250</v>
      </c>
      <c r="AX571" s="9" t="n">
        <f aca="false">IF(D571="INR",AW571/88.24,AW571)/1000000</f>
        <v>0.00573719401631913</v>
      </c>
    </row>
    <row r="572" s="2" customFormat="true" ht="14.25" hidden="false" customHeight="false" outlineLevel="0" collapsed="false">
      <c r="A572" s="12" t="s">
        <v>1237</v>
      </c>
      <c r="B572" s="16" t="n">
        <v>5</v>
      </c>
      <c r="C572" s="15"/>
      <c r="D572" s="16" t="s">
        <v>50</v>
      </c>
      <c r="E572" s="16" t="s">
        <v>51</v>
      </c>
      <c r="F572" s="16" t="s">
        <v>52</v>
      </c>
      <c r="G572" s="16" t="s">
        <v>274</v>
      </c>
      <c r="H572" s="16" t="s">
        <v>275</v>
      </c>
      <c r="I572" s="16" t="s">
        <v>260</v>
      </c>
      <c r="J572" s="16" t="s">
        <v>276</v>
      </c>
      <c r="K572" s="16"/>
      <c r="L572" s="16" t="s">
        <v>260</v>
      </c>
      <c r="M572" s="16" t="s">
        <v>276</v>
      </c>
      <c r="N572" s="16" t="s">
        <v>79</v>
      </c>
      <c r="O572" s="16" t="s">
        <v>68</v>
      </c>
      <c r="P572" s="16" t="s">
        <v>308</v>
      </c>
      <c r="Q572" s="16" t="s">
        <v>308</v>
      </c>
      <c r="R572" s="16" t="s">
        <v>309</v>
      </c>
      <c r="S572" s="16" t="s">
        <v>264</v>
      </c>
      <c r="T572" s="16" t="s">
        <v>503</v>
      </c>
      <c r="U572" s="16" t="s">
        <v>73</v>
      </c>
      <c r="V572" s="16" t="n">
        <v>1.65</v>
      </c>
      <c r="W572" s="16" t="n">
        <v>1.36</v>
      </c>
      <c r="X572" s="16" t="n">
        <v>30000</v>
      </c>
      <c r="Y572" s="16" t="n">
        <v>30000</v>
      </c>
      <c r="Z572" s="16" t="n">
        <v>30000</v>
      </c>
      <c r="AA572" s="16" t="n">
        <v>30000</v>
      </c>
      <c r="AB572" s="16" t="n">
        <v>30000</v>
      </c>
      <c r="AC572" s="16" t="n">
        <v>30000</v>
      </c>
      <c r="AD572" s="16" t="n">
        <v>30000</v>
      </c>
      <c r="AE572" s="16" t="n">
        <v>30000</v>
      </c>
      <c r="AF572" s="16" t="n">
        <v>30000</v>
      </c>
      <c r="AG572" s="16" t="n">
        <v>30000</v>
      </c>
      <c r="AH572" s="16" t="n">
        <v>30000</v>
      </c>
      <c r="AI572" s="16" t="n">
        <v>30000</v>
      </c>
      <c r="AJ572" s="9" t="n">
        <f aca="false">X572*$V572</f>
        <v>49500</v>
      </c>
      <c r="AK572" s="9" t="n">
        <f aca="false">Y572*$V572</f>
        <v>49500</v>
      </c>
      <c r="AL572" s="9" t="n">
        <f aca="false">Z572*$V572</f>
        <v>49500</v>
      </c>
      <c r="AM572" s="9" t="n">
        <f aca="false">AA572*$V572</f>
        <v>49500</v>
      </c>
      <c r="AN572" s="9" t="n">
        <f aca="false">AB572*$V572</f>
        <v>49500</v>
      </c>
      <c r="AO572" s="9" t="n">
        <f aca="false">AC572*$V572</f>
        <v>49500</v>
      </c>
      <c r="AP572" s="9" t="n">
        <f aca="false">AD572*$V572</f>
        <v>49500</v>
      </c>
      <c r="AQ572" s="9" t="n">
        <f aca="false">AE572*$V572</f>
        <v>49500</v>
      </c>
      <c r="AR572" s="9" t="n">
        <f aca="false">AF572*$V572</f>
        <v>49500</v>
      </c>
      <c r="AS572" s="9" t="n">
        <f aca="false">AG572*$V572</f>
        <v>49500</v>
      </c>
      <c r="AT572" s="9" t="n">
        <f aca="false">AH572*$V572</f>
        <v>49500</v>
      </c>
      <c r="AU572" s="9" t="n">
        <f aca="false">AI572*$V572</f>
        <v>49500</v>
      </c>
      <c r="AV572" s="9" t="n">
        <f aca="false">SUM(X572:AI572)/1000</f>
        <v>360</v>
      </c>
      <c r="AW572" s="9" t="n">
        <f aca="false">SUM(AJ572:AU572)</f>
        <v>594000</v>
      </c>
      <c r="AX572" s="9" t="n">
        <f aca="false">IF(D572="INR",AW572/88.24,AW572)/1000000</f>
        <v>0.00673164097914778</v>
      </c>
    </row>
    <row r="573" s="2" customFormat="true" ht="14.25" hidden="false" customHeight="false" outlineLevel="0" collapsed="false">
      <c r="A573" s="12" t="s">
        <v>1238</v>
      </c>
      <c r="B573" s="16" t="n">
        <v>5</v>
      </c>
      <c r="C573" s="15"/>
      <c r="D573" s="16" t="s">
        <v>102</v>
      </c>
      <c r="E573" s="16" t="s">
        <v>51</v>
      </c>
      <c r="F573" s="16" t="s">
        <v>52</v>
      </c>
      <c r="G573" s="16" t="s">
        <v>391</v>
      </c>
      <c r="H573" s="16" t="s">
        <v>392</v>
      </c>
      <c r="I573" s="16" t="s">
        <v>298</v>
      </c>
      <c r="J573" s="16" t="s">
        <v>1053</v>
      </c>
      <c r="K573" s="16"/>
      <c r="L573" s="16" t="s">
        <v>298</v>
      </c>
      <c r="M573" s="16" t="s">
        <v>1053</v>
      </c>
      <c r="N573" s="16" t="s">
        <v>93</v>
      </c>
      <c r="O573" s="16" t="s">
        <v>58</v>
      </c>
      <c r="P573" s="16" t="s">
        <v>210</v>
      </c>
      <c r="Q573" s="16" t="s">
        <v>210</v>
      </c>
      <c r="R573" s="16" t="s">
        <v>86</v>
      </c>
      <c r="S573" s="16" t="s">
        <v>521</v>
      </c>
      <c r="T573" s="16" t="s">
        <v>1180</v>
      </c>
      <c r="U573" s="16" t="s">
        <v>73</v>
      </c>
      <c r="V573" s="16" t="n">
        <v>0.0105</v>
      </c>
      <c r="W573" s="16" t="n">
        <v>0.0091</v>
      </c>
      <c r="X573" s="16" t="n">
        <v>64000</v>
      </c>
      <c r="Y573" s="16" t="n">
        <v>64000</v>
      </c>
      <c r="Z573" s="16" t="n">
        <v>64000</v>
      </c>
      <c r="AA573" s="16" t="n">
        <v>64000</v>
      </c>
      <c r="AB573" s="16" t="n">
        <v>64000</v>
      </c>
      <c r="AC573" s="16" t="n">
        <v>64000</v>
      </c>
      <c r="AD573" s="16" t="n">
        <v>64000</v>
      </c>
      <c r="AE573" s="16" t="n">
        <v>64000</v>
      </c>
      <c r="AF573" s="16" t="n">
        <v>64000</v>
      </c>
      <c r="AG573" s="16" t="n">
        <v>64000</v>
      </c>
      <c r="AH573" s="16" t="n">
        <v>64000</v>
      </c>
      <c r="AI573" s="16" t="n">
        <v>64000</v>
      </c>
      <c r="AJ573" s="9" t="n">
        <f aca="false">X573*$V573</f>
        <v>672</v>
      </c>
      <c r="AK573" s="9" t="n">
        <f aca="false">Y573*$V573</f>
        <v>672</v>
      </c>
      <c r="AL573" s="9" t="n">
        <f aca="false">Z573*$V573</f>
        <v>672</v>
      </c>
      <c r="AM573" s="9" t="n">
        <f aca="false">AA573*$V573</f>
        <v>672</v>
      </c>
      <c r="AN573" s="9" t="n">
        <f aca="false">AB573*$V573</f>
        <v>672</v>
      </c>
      <c r="AO573" s="9" t="n">
        <f aca="false">AC573*$V573</f>
        <v>672</v>
      </c>
      <c r="AP573" s="9" t="n">
        <f aca="false">AD573*$V573</f>
        <v>672</v>
      </c>
      <c r="AQ573" s="9" t="n">
        <f aca="false">AE573*$V573</f>
        <v>672</v>
      </c>
      <c r="AR573" s="9" t="n">
        <f aca="false">AF573*$V573</f>
        <v>672</v>
      </c>
      <c r="AS573" s="9" t="n">
        <f aca="false">AG573*$V573</f>
        <v>672</v>
      </c>
      <c r="AT573" s="9" t="n">
        <f aca="false">AH573*$V573</f>
        <v>672</v>
      </c>
      <c r="AU573" s="9" t="n">
        <f aca="false">AI573*$V573</f>
        <v>672</v>
      </c>
      <c r="AV573" s="9" t="n">
        <f aca="false">SUM(X573:AI573)/1000</f>
        <v>768</v>
      </c>
      <c r="AW573" s="9" t="n">
        <f aca="false">SUM(AJ573:AU573)</f>
        <v>8064</v>
      </c>
      <c r="AX573" s="9" t="n">
        <f aca="false">IF(D573="INR",AW573/88.24,AW573)/1000000</f>
        <v>0.008064</v>
      </c>
    </row>
    <row r="574" s="2" customFormat="true" ht="14.25" hidden="false" customHeight="false" outlineLevel="0" collapsed="false">
      <c r="A574" s="12" t="s">
        <v>1239</v>
      </c>
      <c r="B574" s="16" t="n">
        <v>5</v>
      </c>
      <c r="C574" s="15"/>
      <c r="D574" s="16" t="s">
        <v>102</v>
      </c>
      <c r="E574" s="16" t="s">
        <v>51</v>
      </c>
      <c r="F574" s="16" t="s">
        <v>52</v>
      </c>
      <c r="G574" s="16" t="s">
        <v>391</v>
      </c>
      <c r="H574" s="16" t="s">
        <v>392</v>
      </c>
      <c r="I574" s="16" t="s">
        <v>298</v>
      </c>
      <c r="J574" s="16" t="s">
        <v>1053</v>
      </c>
      <c r="K574" s="16" t="s">
        <v>1240</v>
      </c>
      <c r="L574" s="16" t="s">
        <v>260</v>
      </c>
      <c r="M574" s="16" t="s">
        <v>1241</v>
      </c>
      <c r="N574" s="16" t="s">
        <v>93</v>
      </c>
      <c r="O574" s="16" t="s">
        <v>58</v>
      </c>
      <c r="P574" s="16" t="s">
        <v>199</v>
      </c>
      <c r="Q574" s="16" t="s">
        <v>199</v>
      </c>
      <c r="R574" s="16" t="s">
        <v>377</v>
      </c>
      <c r="S574" s="16" t="s">
        <v>528</v>
      </c>
      <c r="T574" s="16" t="s">
        <v>1242</v>
      </c>
      <c r="U574" s="16" t="s">
        <v>73</v>
      </c>
      <c r="V574" s="16" t="n">
        <v>0.0115</v>
      </c>
      <c r="W574" s="26" t="n">
        <v>0.01</v>
      </c>
      <c r="X574" s="22" t="n">
        <v>50000</v>
      </c>
      <c r="Y574" s="22" t="n">
        <v>50000</v>
      </c>
      <c r="Z574" s="22" t="n">
        <v>50000</v>
      </c>
      <c r="AA574" s="22" t="n">
        <v>50000</v>
      </c>
      <c r="AB574" s="22" t="n">
        <v>50000</v>
      </c>
      <c r="AC574" s="22" t="n">
        <v>50000</v>
      </c>
      <c r="AD574" s="22" t="n">
        <v>50000</v>
      </c>
      <c r="AE574" s="22" t="n">
        <v>50000</v>
      </c>
      <c r="AF574" s="22" t="n">
        <v>50000</v>
      </c>
      <c r="AG574" s="22" t="n">
        <v>50000</v>
      </c>
      <c r="AH574" s="22" t="n">
        <v>50000</v>
      </c>
      <c r="AI574" s="22" t="n">
        <v>50000</v>
      </c>
      <c r="AJ574" s="9" t="n">
        <f aca="false">X574*$V574</f>
        <v>575</v>
      </c>
      <c r="AK574" s="9" t="n">
        <f aca="false">Y574*$V574</f>
        <v>575</v>
      </c>
      <c r="AL574" s="9" t="n">
        <f aca="false">Z574*$V574</f>
        <v>575</v>
      </c>
      <c r="AM574" s="9" t="n">
        <f aca="false">AA574*$V574</f>
        <v>575</v>
      </c>
      <c r="AN574" s="9" t="n">
        <f aca="false">AB574*$V574</f>
        <v>575</v>
      </c>
      <c r="AO574" s="9" t="n">
        <f aca="false">AC574*$V574</f>
        <v>575</v>
      </c>
      <c r="AP574" s="9" t="n">
        <f aca="false">AD574*$V574</f>
        <v>575</v>
      </c>
      <c r="AQ574" s="9" t="n">
        <f aca="false">AE574*$V574</f>
        <v>575</v>
      </c>
      <c r="AR574" s="9" t="n">
        <f aca="false">AF574*$V574</f>
        <v>575</v>
      </c>
      <c r="AS574" s="9" t="n">
        <f aca="false">AG574*$V574</f>
        <v>575</v>
      </c>
      <c r="AT574" s="9" t="n">
        <f aca="false">AH574*$V574</f>
        <v>575</v>
      </c>
      <c r="AU574" s="9" t="n">
        <f aca="false">AI574*$V574</f>
        <v>575</v>
      </c>
      <c r="AV574" s="9" t="n">
        <f aca="false">SUM(X574:AI574)/1000</f>
        <v>600</v>
      </c>
      <c r="AW574" s="9" t="n">
        <f aca="false">SUM(AJ574:AU574)</f>
        <v>6900</v>
      </c>
      <c r="AX574" s="9" t="n">
        <f aca="false">IF(D574="INR",AW574/88.24,AW574)/1000000</f>
        <v>0.0069</v>
      </c>
    </row>
    <row r="575" s="2" customFormat="true" ht="14.25" hidden="false" customHeight="false" outlineLevel="0" collapsed="false">
      <c r="A575" s="12" t="s">
        <v>1243</v>
      </c>
      <c r="B575" s="16"/>
      <c r="C575" s="15"/>
      <c r="D575" s="16" t="s">
        <v>50</v>
      </c>
      <c r="E575" s="16" t="s">
        <v>51</v>
      </c>
      <c r="F575" s="16" t="s">
        <v>52</v>
      </c>
      <c r="G575" s="16" t="s">
        <v>258</v>
      </c>
      <c r="H575" s="16" t="s">
        <v>259</v>
      </c>
      <c r="I575" s="16" t="s">
        <v>260</v>
      </c>
      <c r="J575" s="16" t="s">
        <v>261</v>
      </c>
      <c r="K575" s="16"/>
      <c r="L575" s="16" t="s">
        <v>260</v>
      </c>
      <c r="M575" s="16" t="s">
        <v>261</v>
      </c>
      <c r="N575" s="16" t="s">
        <v>67</v>
      </c>
      <c r="O575" s="16" t="s">
        <v>107</v>
      </c>
      <c r="P575" s="16" t="s">
        <v>308</v>
      </c>
      <c r="Q575" s="16" t="s">
        <v>308</v>
      </c>
      <c r="R575" s="16" t="s">
        <v>309</v>
      </c>
      <c r="S575" s="16" t="s">
        <v>264</v>
      </c>
      <c r="T575" s="16" t="s">
        <v>1244</v>
      </c>
      <c r="U575" s="16" t="s">
        <v>73</v>
      </c>
      <c r="V575" s="16" t="n">
        <v>9.58</v>
      </c>
      <c r="W575" s="16" t="n">
        <v>8.55</v>
      </c>
      <c r="X575" s="16" t="n">
        <v>5000</v>
      </c>
      <c r="Y575" s="16" t="n">
        <v>5000</v>
      </c>
      <c r="Z575" s="16" t="n">
        <v>5000</v>
      </c>
      <c r="AA575" s="16" t="n">
        <v>5000</v>
      </c>
      <c r="AB575" s="16" t="n">
        <v>5000</v>
      </c>
      <c r="AC575" s="16" t="n">
        <v>5000</v>
      </c>
      <c r="AD575" s="26" t="n">
        <v>5000</v>
      </c>
      <c r="AE575" s="26" t="n">
        <v>5000</v>
      </c>
      <c r="AF575" s="16" t="n">
        <v>5000</v>
      </c>
      <c r="AG575" s="16" t="n">
        <v>5000</v>
      </c>
      <c r="AH575" s="16" t="n">
        <v>5000</v>
      </c>
      <c r="AI575" s="16" t="n">
        <v>5000</v>
      </c>
      <c r="AJ575" s="9" t="n">
        <f aca="false">X575*$V575</f>
        <v>47900</v>
      </c>
      <c r="AK575" s="9" t="n">
        <f aca="false">Y575*$V575</f>
        <v>47900</v>
      </c>
      <c r="AL575" s="9" t="n">
        <f aca="false">Z575*$V575</f>
        <v>47900</v>
      </c>
      <c r="AM575" s="9" t="n">
        <f aca="false">AA575*$V575</f>
        <v>47900</v>
      </c>
      <c r="AN575" s="9" t="n">
        <f aca="false">AB575*$V575</f>
        <v>47900</v>
      </c>
      <c r="AO575" s="9" t="n">
        <f aca="false">AC575*$V575</f>
        <v>47900</v>
      </c>
      <c r="AP575" s="9" t="n">
        <f aca="false">AD575*$V575</f>
        <v>47900</v>
      </c>
      <c r="AQ575" s="9" t="n">
        <f aca="false">AE575*$V575</f>
        <v>47900</v>
      </c>
      <c r="AR575" s="9" t="n">
        <f aca="false">AF575*$V575</f>
        <v>47900</v>
      </c>
      <c r="AS575" s="9" t="n">
        <f aca="false">AG575*$V575</f>
        <v>47900</v>
      </c>
      <c r="AT575" s="9" t="n">
        <f aca="false">AH575*$V575</f>
        <v>47900</v>
      </c>
      <c r="AU575" s="9" t="n">
        <f aca="false">AI575*$V575</f>
        <v>47900</v>
      </c>
      <c r="AV575" s="9" t="n">
        <f aca="false">SUM(X575:AI575)/1000</f>
        <v>60</v>
      </c>
      <c r="AW575" s="9" t="n">
        <f aca="false">SUM(AJ575:AU575)</f>
        <v>574800</v>
      </c>
      <c r="AX575" s="9" t="n">
        <f aca="false">IF(D575="INR",AW575/88.24,AW575)/1000000</f>
        <v>0.00651405258386219</v>
      </c>
    </row>
    <row r="576" s="2" customFormat="true" ht="14.25" hidden="false" customHeight="false" outlineLevel="0" collapsed="false">
      <c r="A576" s="12" t="s">
        <v>1245</v>
      </c>
      <c r="B576" s="16"/>
      <c r="C576" s="15"/>
      <c r="D576" s="16" t="s">
        <v>102</v>
      </c>
      <c r="E576" s="16" t="s">
        <v>51</v>
      </c>
      <c r="F576" s="16" t="s">
        <v>52</v>
      </c>
      <c r="G576" s="16" t="s">
        <v>391</v>
      </c>
      <c r="H576" s="16" t="s">
        <v>392</v>
      </c>
      <c r="I576" s="16" t="s">
        <v>298</v>
      </c>
      <c r="J576" s="16" t="s">
        <v>1053</v>
      </c>
      <c r="K576" s="16"/>
      <c r="L576" s="16" t="s">
        <v>298</v>
      </c>
      <c r="M576" s="16" t="s">
        <v>1053</v>
      </c>
      <c r="N576" s="16" t="s">
        <v>93</v>
      </c>
      <c r="O576" s="16" t="s">
        <v>58</v>
      </c>
      <c r="P576" s="16" t="s">
        <v>199</v>
      </c>
      <c r="Q576" s="16" t="s">
        <v>199</v>
      </c>
      <c r="R576" s="16" t="s">
        <v>377</v>
      </c>
      <c r="S576" s="16" t="s">
        <v>528</v>
      </c>
      <c r="T576" s="16" t="s">
        <v>1246</v>
      </c>
      <c r="U576" s="16" t="s">
        <v>73</v>
      </c>
      <c r="V576" s="16" t="n">
        <v>0.0032</v>
      </c>
      <c r="W576" s="16" t="n">
        <v>0.0029</v>
      </c>
      <c r="X576" s="16" t="n">
        <v>40000</v>
      </c>
      <c r="Y576" s="16" t="n">
        <v>40000</v>
      </c>
      <c r="Z576" s="16" t="n">
        <v>40000</v>
      </c>
      <c r="AA576" s="16" t="n">
        <v>40000</v>
      </c>
      <c r="AB576" s="16" t="n">
        <v>40000</v>
      </c>
      <c r="AC576" s="16" t="n">
        <v>40000</v>
      </c>
      <c r="AD576" s="16" t="n">
        <v>40000</v>
      </c>
      <c r="AE576" s="16" t="n">
        <v>40000</v>
      </c>
      <c r="AF576" s="16" t="n">
        <v>40000</v>
      </c>
      <c r="AG576" s="16" t="n">
        <v>40000</v>
      </c>
      <c r="AH576" s="16" t="n">
        <v>40000</v>
      </c>
      <c r="AI576" s="16" t="n">
        <v>40000</v>
      </c>
      <c r="AJ576" s="9" t="n">
        <f aca="false">X576*$V576</f>
        <v>128</v>
      </c>
      <c r="AK576" s="9" t="n">
        <f aca="false">Y576*$V576</f>
        <v>128</v>
      </c>
      <c r="AL576" s="9" t="n">
        <f aca="false">Z576*$V576</f>
        <v>128</v>
      </c>
      <c r="AM576" s="9" t="n">
        <f aca="false">AA576*$V576</f>
        <v>128</v>
      </c>
      <c r="AN576" s="9" t="n">
        <f aca="false">AB576*$V576</f>
        <v>128</v>
      </c>
      <c r="AO576" s="9" t="n">
        <f aca="false">AC576*$V576</f>
        <v>128</v>
      </c>
      <c r="AP576" s="9" t="n">
        <f aca="false">AD576*$V576</f>
        <v>128</v>
      </c>
      <c r="AQ576" s="9" t="n">
        <f aca="false">AE576*$V576</f>
        <v>128</v>
      </c>
      <c r="AR576" s="9" t="n">
        <f aca="false">AF576*$V576</f>
        <v>128</v>
      </c>
      <c r="AS576" s="9" t="n">
        <f aca="false">AG576*$V576</f>
        <v>128</v>
      </c>
      <c r="AT576" s="9" t="n">
        <f aca="false">AH576*$V576</f>
        <v>128</v>
      </c>
      <c r="AU576" s="9" t="n">
        <f aca="false">AI576*$V576</f>
        <v>128</v>
      </c>
      <c r="AV576" s="9" t="n">
        <f aca="false">SUM(X576:AI576)/1000</f>
        <v>480</v>
      </c>
      <c r="AW576" s="9" t="n">
        <f aca="false">SUM(AJ576:AU576)</f>
        <v>1536</v>
      </c>
      <c r="AX576" s="9" t="n">
        <f aca="false">IF(D576="INR",AW576/88.24,AW576)/1000000</f>
        <v>0.001536</v>
      </c>
    </row>
    <row r="577" s="2" customFormat="true" ht="14.25" hidden="false" customHeight="false" outlineLevel="0" collapsed="false">
      <c r="A577" s="12" t="s">
        <v>1247</v>
      </c>
      <c r="B577" s="16"/>
      <c r="C577" s="15"/>
      <c r="D577" s="16" t="s">
        <v>50</v>
      </c>
      <c r="E577" s="16" t="s">
        <v>51</v>
      </c>
      <c r="F577" s="16" t="s">
        <v>52</v>
      </c>
      <c r="G577" s="16" t="s">
        <v>258</v>
      </c>
      <c r="H577" s="16" t="s">
        <v>259</v>
      </c>
      <c r="I577" s="16" t="s">
        <v>260</v>
      </c>
      <c r="J577" s="16" t="s">
        <v>261</v>
      </c>
      <c r="K577" s="16"/>
      <c r="L577" s="16" t="s">
        <v>260</v>
      </c>
      <c r="M577" s="16" t="s">
        <v>261</v>
      </c>
      <c r="N577" s="16" t="s">
        <v>67</v>
      </c>
      <c r="O577" s="16" t="s">
        <v>107</v>
      </c>
      <c r="P577" s="16" t="s">
        <v>80</v>
      </c>
      <c r="Q577" s="16" t="s">
        <v>80</v>
      </c>
      <c r="R577" s="16" t="s">
        <v>81</v>
      </c>
      <c r="S577" s="16" t="s">
        <v>82</v>
      </c>
      <c r="T577" s="16" t="s">
        <v>1248</v>
      </c>
      <c r="U577" s="16" t="s">
        <v>63</v>
      </c>
      <c r="V577" s="16" t="n">
        <v>0.95</v>
      </c>
      <c r="W577" s="16" t="n">
        <v>0</v>
      </c>
      <c r="X577" s="22" t="n">
        <v>50000</v>
      </c>
      <c r="Y577" s="22" t="n">
        <v>50000</v>
      </c>
      <c r="Z577" s="22" t="n">
        <v>50000</v>
      </c>
      <c r="AA577" s="22" t="n">
        <v>50000</v>
      </c>
      <c r="AB577" s="22" t="n">
        <v>50000</v>
      </c>
      <c r="AC577" s="22" t="n">
        <v>50000</v>
      </c>
      <c r="AD577" s="22" t="n">
        <v>50000</v>
      </c>
      <c r="AE577" s="22" t="n">
        <v>50000</v>
      </c>
      <c r="AF577" s="22" t="n">
        <v>50000</v>
      </c>
      <c r="AG577" s="22" t="n">
        <v>50000</v>
      </c>
      <c r="AH577" s="22" t="n">
        <v>50000</v>
      </c>
      <c r="AI577" s="22" t="n">
        <v>50000</v>
      </c>
      <c r="AJ577" s="9" t="n">
        <f aca="false">X577*$V577</f>
        <v>47500</v>
      </c>
      <c r="AK577" s="9" t="n">
        <f aca="false">Y577*$V577</f>
        <v>47500</v>
      </c>
      <c r="AL577" s="9" t="n">
        <f aca="false">Z577*$V577</f>
        <v>47500</v>
      </c>
      <c r="AM577" s="9" t="n">
        <f aca="false">AA577*$V577</f>
        <v>47500</v>
      </c>
      <c r="AN577" s="9" t="n">
        <f aca="false">AB577*$V577</f>
        <v>47500</v>
      </c>
      <c r="AO577" s="9" t="n">
        <f aca="false">AC577*$V577</f>
        <v>47500</v>
      </c>
      <c r="AP577" s="9" t="n">
        <f aca="false">AD577*$V577</f>
        <v>47500</v>
      </c>
      <c r="AQ577" s="9" t="n">
        <f aca="false">AE577*$V577</f>
        <v>47500</v>
      </c>
      <c r="AR577" s="9" t="n">
        <f aca="false">AF577*$V577</f>
        <v>47500</v>
      </c>
      <c r="AS577" s="9" t="n">
        <f aca="false">AG577*$V577</f>
        <v>47500</v>
      </c>
      <c r="AT577" s="9" t="n">
        <f aca="false">AH577*$V577</f>
        <v>47500</v>
      </c>
      <c r="AU577" s="9" t="n">
        <f aca="false">AI577*$V577</f>
        <v>47500</v>
      </c>
      <c r="AV577" s="9" t="n">
        <f aca="false">SUM(X577:AI577)/1000</f>
        <v>600</v>
      </c>
      <c r="AW577" s="9" t="n">
        <f aca="false">SUM(AJ577:AU577)</f>
        <v>570000</v>
      </c>
      <c r="AX577" s="9" t="n">
        <f aca="false">IF(D577="INR",AW577/88.24,AW577)/1000000</f>
        <v>0.0064596554850408</v>
      </c>
    </row>
    <row r="578" s="2" customFormat="true" ht="14.25" hidden="false" customHeight="false" outlineLevel="0" collapsed="false">
      <c r="A578" s="12" t="s">
        <v>1249</v>
      </c>
      <c r="B578" s="16" t="n">
        <v>5</v>
      </c>
      <c r="C578" s="15"/>
      <c r="D578" s="16" t="s">
        <v>102</v>
      </c>
      <c r="E578" s="16" t="s">
        <v>51</v>
      </c>
      <c r="F578" s="16" t="s">
        <v>52</v>
      </c>
      <c r="G578" s="16" t="s">
        <v>391</v>
      </c>
      <c r="H578" s="16" t="s">
        <v>392</v>
      </c>
      <c r="I578" s="16" t="s">
        <v>298</v>
      </c>
      <c r="J578" s="16" t="s">
        <v>1053</v>
      </c>
      <c r="K578" s="16"/>
      <c r="L578" s="16" t="s">
        <v>298</v>
      </c>
      <c r="M578" s="16" t="s">
        <v>1053</v>
      </c>
      <c r="N578" s="16" t="s">
        <v>93</v>
      </c>
      <c r="O578" s="16" t="s">
        <v>58</v>
      </c>
      <c r="P578" s="16" t="s">
        <v>262</v>
      </c>
      <c r="Q578" s="16" t="s">
        <v>262</v>
      </c>
      <c r="R578" s="16" t="s">
        <v>263</v>
      </c>
      <c r="S578" s="16" t="s">
        <v>264</v>
      </c>
      <c r="T578" s="16" t="s">
        <v>1250</v>
      </c>
      <c r="U578" s="16" t="s">
        <v>73</v>
      </c>
      <c r="V578" s="16" t="n">
        <v>0.036</v>
      </c>
      <c r="W578" s="16" t="n">
        <v>0.033</v>
      </c>
      <c r="X578" s="16" t="n">
        <v>35000</v>
      </c>
      <c r="Y578" s="16" t="n">
        <v>35000</v>
      </c>
      <c r="Z578" s="16" t="n">
        <v>35000</v>
      </c>
      <c r="AA578" s="16" t="n">
        <v>35000</v>
      </c>
      <c r="AB578" s="26" t="n">
        <v>35000</v>
      </c>
      <c r="AC578" s="16" t="n">
        <v>35000</v>
      </c>
      <c r="AD578" s="16" t="n">
        <v>35000</v>
      </c>
      <c r="AE578" s="16" t="n">
        <v>35000</v>
      </c>
      <c r="AF578" s="16" t="n">
        <v>35000</v>
      </c>
      <c r="AG578" s="16" t="n">
        <v>35000</v>
      </c>
      <c r="AH578" s="16" t="n">
        <v>35000</v>
      </c>
      <c r="AI578" s="16" t="n">
        <v>35000</v>
      </c>
      <c r="AJ578" s="9" t="n">
        <f aca="false">X578*$V578</f>
        <v>1260</v>
      </c>
      <c r="AK578" s="9" t="n">
        <f aca="false">Y578*$V578</f>
        <v>1260</v>
      </c>
      <c r="AL578" s="9" t="n">
        <f aca="false">Z578*$V578</f>
        <v>1260</v>
      </c>
      <c r="AM578" s="9" t="n">
        <f aca="false">AA578*$V578</f>
        <v>1260</v>
      </c>
      <c r="AN578" s="9" t="n">
        <f aca="false">AB578*$V578</f>
        <v>1260</v>
      </c>
      <c r="AO578" s="9" t="n">
        <f aca="false">AC578*$V578</f>
        <v>1260</v>
      </c>
      <c r="AP578" s="9" t="n">
        <f aca="false">AD578*$V578</f>
        <v>1260</v>
      </c>
      <c r="AQ578" s="9" t="n">
        <f aca="false">AE578*$V578</f>
        <v>1260</v>
      </c>
      <c r="AR578" s="9" t="n">
        <f aca="false">AF578*$V578</f>
        <v>1260</v>
      </c>
      <c r="AS578" s="9" t="n">
        <f aca="false">AG578*$V578</f>
        <v>1260</v>
      </c>
      <c r="AT578" s="9" t="n">
        <f aca="false">AH578*$V578</f>
        <v>1260</v>
      </c>
      <c r="AU578" s="9" t="n">
        <f aca="false">AI578*$V578</f>
        <v>1260</v>
      </c>
      <c r="AV578" s="9" t="n">
        <f aca="false">SUM(X578:AI578)/1000</f>
        <v>420</v>
      </c>
      <c r="AW578" s="9" t="n">
        <f aca="false">SUM(AJ578:AU578)</f>
        <v>15120</v>
      </c>
      <c r="AX578" s="9" t="n">
        <f aca="false">IF(D578="INR",AW578/88.24,AW578)/1000000</f>
        <v>0.01512</v>
      </c>
    </row>
    <row r="579" s="2" customFormat="true" ht="14.25" hidden="false" customHeight="false" outlineLevel="0" collapsed="false">
      <c r="A579" s="12" t="s">
        <v>1251</v>
      </c>
      <c r="B579" s="16"/>
      <c r="C579" s="15"/>
      <c r="D579" s="16" t="s">
        <v>50</v>
      </c>
      <c r="E579" s="16" t="s">
        <v>51</v>
      </c>
      <c r="F579" s="16" t="s">
        <v>52</v>
      </c>
      <c r="G579" s="16" t="s">
        <v>258</v>
      </c>
      <c r="H579" s="16" t="s">
        <v>259</v>
      </c>
      <c r="I579" s="16" t="s">
        <v>260</v>
      </c>
      <c r="J579" s="16" t="s">
        <v>261</v>
      </c>
      <c r="K579" s="16"/>
      <c r="L579" s="16" t="s">
        <v>260</v>
      </c>
      <c r="M579" s="16" t="s">
        <v>261</v>
      </c>
      <c r="N579" s="16" t="s">
        <v>67</v>
      </c>
      <c r="O579" s="16" t="s">
        <v>107</v>
      </c>
      <c r="P579" s="16" t="s">
        <v>80</v>
      </c>
      <c r="Q579" s="16" t="s">
        <v>80</v>
      </c>
      <c r="R579" s="16" t="s">
        <v>81</v>
      </c>
      <c r="S579" s="16" t="s">
        <v>82</v>
      </c>
      <c r="T579" s="16" t="s">
        <v>1252</v>
      </c>
      <c r="U579" s="16" t="s">
        <v>63</v>
      </c>
      <c r="V579" s="16" t="n">
        <v>0.95</v>
      </c>
      <c r="W579" s="16" t="n">
        <v>0</v>
      </c>
      <c r="X579" s="22" t="n">
        <v>50000</v>
      </c>
      <c r="Y579" s="22" t="n">
        <v>50000</v>
      </c>
      <c r="Z579" s="22" t="n">
        <v>50000</v>
      </c>
      <c r="AA579" s="22" t="n">
        <v>50000</v>
      </c>
      <c r="AB579" s="22" t="n">
        <v>50000</v>
      </c>
      <c r="AC579" s="22" t="n">
        <v>50000</v>
      </c>
      <c r="AD579" s="22" t="n">
        <v>50000</v>
      </c>
      <c r="AE579" s="22" t="n">
        <v>50000</v>
      </c>
      <c r="AF579" s="22" t="n">
        <v>50000</v>
      </c>
      <c r="AG579" s="22" t="n">
        <v>50000</v>
      </c>
      <c r="AH579" s="22" t="n">
        <v>50000</v>
      </c>
      <c r="AI579" s="22" t="n">
        <v>50000</v>
      </c>
      <c r="AJ579" s="9" t="n">
        <f aca="false">X579*$V579</f>
        <v>47500</v>
      </c>
      <c r="AK579" s="9" t="n">
        <f aca="false">Y579*$V579</f>
        <v>47500</v>
      </c>
      <c r="AL579" s="9" t="n">
        <f aca="false">Z579*$V579</f>
        <v>47500</v>
      </c>
      <c r="AM579" s="9" t="n">
        <f aca="false">AA579*$V579</f>
        <v>47500</v>
      </c>
      <c r="AN579" s="9" t="n">
        <f aca="false">AB579*$V579</f>
        <v>47500</v>
      </c>
      <c r="AO579" s="9" t="n">
        <f aca="false">AC579*$V579</f>
        <v>47500</v>
      </c>
      <c r="AP579" s="9" t="n">
        <f aca="false">AD579*$V579</f>
        <v>47500</v>
      </c>
      <c r="AQ579" s="9" t="n">
        <f aca="false">AE579*$V579</f>
        <v>47500</v>
      </c>
      <c r="AR579" s="9" t="n">
        <f aca="false">AF579*$V579</f>
        <v>47500</v>
      </c>
      <c r="AS579" s="9" t="n">
        <f aca="false">AG579*$V579</f>
        <v>47500</v>
      </c>
      <c r="AT579" s="9" t="n">
        <f aca="false">AH579*$V579</f>
        <v>47500</v>
      </c>
      <c r="AU579" s="9" t="n">
        <f aca="false">AI579*$V579</f>
        <v>47500</v>
      </c>
      <c r="AV579" s="9" t="n">
        <f aca="false">SUM(X579:AI579)/1000</f>
        <v>600</v>
      </c>
      <c r="AW579" s="9" t="n">
        <f aca="false">SUM(AJ579:AU579)</f>
        <v>570000</v>
      </c>
      <c r="AX579" s="9" t="n">
        <f aca="false">IF(D579="INR",AW579/88.24,AW579)/1000000</f>
        <v>0.0064596554850408</v>
      </c>
    </row>
    <row r="580" s="2" customFormat="true" ht="14.25" hidden="false" customHeight="false" outlineLevel="0" collapsed="false">
      <c r="A580" s="12" t="s">
        <v>1253</v>
      </c>
      <c r="B580" s="16"/>
      <c r="C580" s="15"/>
      <c r="D580" s="16" t="s">
        <v>50</v>
      </c>
      <c r="E580" s="16" t="s">
        <v>51</v>
      </c>
      <c r="F580" s="16" t="s">
        <v>52</v>
      </c>
      <c r="G580" s="16" t="s">
        <v>258</v>
      </c>
      <c r="H580" s="16" t="s">
        <v>259</v>
      </c>
      <c r="I580" s="16" t="s">
        <v>260</v>
      </c>
      <c r="J580" s="16" t="s">
        <v>261</v>
      </c>
      <c r="K580" s="16"/>
      <c r="L580" s="16" t="s">
        <v>260</v>
      </c>
      <c r="M580" s="16" t="s">
        <v>261</v>
      </c>
      <c r="N580" s="16" t="s">
        <v>67</v>
      </c>
      <c r="O580" s="16" t="s">
        <v>107</v>
      </c>
      <c r="P580" s="16" t="s">
        <v>80</v>
      </c>
      <c r="Q580" s="16" t="s">
        <v>80</v>
      </c>
      <c r="R580" s="16" t="s">
        <v>81</v>
      </c>
      <c r="S580" s="16" t="s">
        <v>82</v>
      </c>
      <c r="T580" s="16" t="s">
        <v>1254</v>
      </c>
      <c r="U580" s="16" t="s">
        <v>63</v>
      </c>
      <c r="V580" s="16" t="n">
        <v>0.95</v>
      </c>
      <c r="W580" s="16" t="n">
        <v>0</v>
      </c>
      <c r="X580" s="22" t="n">
        <v>50000</v>
      </c>
      <c r="Y580" s="22" t="n">
        <v>50000</v>
      </c>
      <c r="Z580" s="22" t="n">
        <v>50000</v>
      </c>
      <c r="AA580" s="22" t="n">
        <v>50000</v>
      </c>
      <c r="AB580" s="22" t="n">
        <v>50000</v>
      </c>
      <c r="AC580" s="22" t="n">
        <v>50000</v>
      </c>
      <c r="AD580" s="22" t="n">
        <v>50000</v>
      </c>
      <c r="AE580" s="22" t="n">
        <v>50000</v>
      </c>
      <c r="AF580" s="22" t="n">
        <v>50000</v>
      </c>
      <c r="AG580" s="22" t="n">
        <v>50000</v>
      </c>
      <c r="AH580" s="22" t="n">
        <v>50000</v>
      </c>
      <c r="AI580" s="22" t="n">
        <v>50000</v>
      </c>
      <c r="AJ580" s="9" t="n">
        <f aca="false">X580*$V580</f>
        <v>47500</v>
      </c>
      <c r="AK580" s="9" t="n">
        <f aca="false">Y580*$V580</f>
        <v>47500</v>
      </c>
      <c r="AL580" s="9" t="n">
        <f aca="false">Z580*$V580</f>
        <v>47500</v>
      </c>
      <c r="AM580" s="9" t="n">
        <f aca="false">AA580*$V580</f>
        <v>47500</v>
      </c>
      <c r="AN580" s="9" t="n">
        <f aca="false">AB580*$V580</f>
        <v>47500</v>
      </c>
      <c r="AO580" s="9" t="n">
        <f aca="false">AC580*$V580</f>
        <v>47500</v>
      </c>
      <c r="AP580" s="9" t="n">
        <f aca="false">AD580*$V580</f>
        <v>47500</v>
      </c>
      <c r="AQ580" s="9" t="n">
        <f aca="false">AE580*$V580</f>
        <v>47500</v>
      </c>
      <c r="AR580" s="9" t="n">
        <f aca="false">AF580*$V580</f>
        <v>47500</v>
      </c>
      <c r="AS580" s="9" t="n">
        <f aca="false">AG580*$V580</f>
        <v>47500</v>
      </c>
      <c r="AT580" s="9" t="n">
        <f aca="false">AH580*$V580</f>
        <v>47500</v>
      </c>
      <c r="AU580" s="9" t="n">
        <f aca="false">AI580*$V580</f>
        <v>47500</v>
      </c>
      <c r="AV580" s="9" t="n">
        <f aca="false">SUM(X580:AI580)/1000</f>
        <v>600</v>
      </c>
      <c r="AW580" s="9" t="n">
        <f aca="false">SUM(AJ580:AU580)</f>
        <v>570000</v>
      </c>
      <c r="AX580" s="9" t="n">
        <f aca="false">IF(D580="INR",AW580/88.24,AW580)/1000000</f>
        <v>0.0064596554850408</v>
      </c>
    </row>
    <row r="581" s="2" customFormat="true" ht="14.25" hidden="false" customHeight="true" outlineLevel="0" collapsed="false">
      <c r="A581" s="16" t="s">
        <v>1255</v>
      </c>
      <c r="B581" s="16" t="n">
        <v>5</v>
      </c>
      <c r="C581" s="16"/>
      <c r="D581" s="16" t="s">
        <v>102</v>
      </c>
      <c r="E581" s="16" t="s">
        <v>51</v>
      </c>
      <c r="F581" s="16" t="s">
        <v>52</v>
      </c>
      <c r="G581" s="16" t="s">
        <v>391</v>
      </c>
      <c r="H581" s="16" t="s">
        <v>392</v>
      </c>
      <c r="I581" s="16" t="s">
        <v>298</v>
      </c>
      <c r="J581" s="16" t="s">
        <v>1053</v>
      </c>
      <c r="K581" s="16" t="s">
        <v>1240</v>
      </c>
      <c r="L581" s="16" t="s">
        <v>260</v>
      </c>
      <c r="M581" s="16" t="s">
        <v>1241</v>
      </c>
      <c r="N581" s="16" t="s">
        <v>93</v>
      </c>
      <c r="O581" s="16" t="s">
        <v>58</v>
      </c>
      <c r="P581" s="16" t="s">
        <v>199</v>
      </c>
      <c r="Q581" s="16" t="s">
        <v>199</v>
      </c>
      <c r="R581" s="16" t="s">
        <v>377</v>
      </c>
      <c r="S581" s="16" t="s">
        <v>528</v>
      </c>
      <c r="T581" s="16" t="s">
        <v>1256</v>
      </c>
      <c r="U581" s="16" t="s">
        <v>73</v>
      </c>
      <c r="V581" s="16" t="n">
        <v>0.0653</v>
      </c>
      <c r="W581" s="16" t="n">
        <v>0.058</v>
      </c>
      <c r="X581" s="16" t="n">
        <v>28000</v>
      </c>
      <c r="Y581" s="16" t="n">
        <v>28000</v>
      </c>
      <c r="Z581" s="16" t="n">
        <v>28000</v>
      </c>
      <c r="AA581" s="16" t="n">
        <v>28000</v>
      </c>
      <c r="AB581" s="16" t="n">
        <v>28000</v>
      </c>
      <c r="AC581" s="16" t="n">
        <v>28000</v>
      </c>
      <c r="AD581" s="16" t="n">
        <v>28000</v>
      </c>
      <c r="AE581" s="16" t="n">
        <v>28000</v>
      </c>
      <c r="AF581" s="16" t="n">
        <v>28000</v>
      </c>
      <c r="AG581" s="16" t="n">
        <v>28000</v>
      </c>
      <c r="AH581" s="16" t="n">
        <v>28000</v>
      </c>
      <c r="AI581" s="16" t="n">
        <v>28000</v>
      </c>
      <c r="AJ581" s="9" t="n">
        <f aca="false">X581*$V581</f>
        <v>1828.4</v>
      </c>
      <c r="AK581" s="9" t="n">
        <f aca="false">Y581*$V581</f>
        <v>1828.4</v>
      </c>
      <c r="AL581" s="9" t="n">
        <f aca="false">Z581*$V581</f>
        <v>1828.4</v>
      </c>
      <c r="AM581" s="9" t="n">
        <f aca="false">AA581*$V581</f>
        <v>1828.4</v>
      </c>
      <c r="AN581" s="9" t="n">
        <f aca="false">AB581*$V581</f>
        <v>1828.4</v>
      </c>
      <c r="AO581" s="9" t="n">
        <f aca="false">AC581*$V581</f>
        <v>1828.4</v>
      </c>
      <c r="AP581" s="9" t="n">
        <f aca="false">AD581*$V581</f>
        <v>1828.4</v>
      </c>
      <c r="AQ581" s="9" t="n">
        <f aca="false">AE581*$V581</f>
        <v>1828.4</v>
      </c>
      <c r="AR581" s="9" t="n">
        <f aca="false">AF581*$V581</f>
        <v>1828.4</v>
      </c>
      <c r="AS581" s="9" t="n">
        <f aca="false">AG581*$V581</f>
        <v>1828.4</v>
      </c>
      <c r="AT581" s="9" t="n">
        <f aca="false">AH581*$V581</f>
        <v>1828.4</v>
      </c>
      <c r="AU581" s="9" t="n">
        <f aca="false">AI581*$V581</f>
        <v>1828.4</v>
      </c>
      <c r="AV581" s="9" t="n">
        <f aca="false">SUM(X581:AI581)/1000</f>
        <v>336</v>
      </c>
      <c r="AW581" s="9" t="n">
        <f aca="false">SUM(AJ581:AU581)</f>
        <v>21940.8</v>
      </c>
      <c r="AX581" s="9" t="n">
        <f aca="false">IF(D581="INR",AW581/88.24,AW581)/1000000</f>
        <v>0.0219408</v>
      </c>
    </row>
    <row r="582" s="2" customFormat="true" ht="14.25" hidden="false" customHeight="false" outlineLevel="0" collapsed="false">
      <c r="A582" s="12" t="s">
        <v>1257</v>
      </c>
      <c r="B582" s="16" t="n">
        <v>5</v>
      </c>
      <c r="C582" s="15"/>
      <c r="D582" s="16" t="s">
        <v>102</v>
      </c>
      <c r="E582" s="16" t="s">
        <v>51</v>
      </c>
      <c r="F582" s="16" t="s">
        <v>52</v>
      </c>
      <c r="G582" s="16" t="s">
        <v>391</v>
      </c>
      <c r="H582" s="16" t="s">
        <v>392</v>
      </c>
      <c r="I582" s="16" t="s">
        <v>298</v>
      </c>
      <c r="J582" s="16" t="s">
        <v>1053</v>
      </c>
      <c r="K582" s="16"/>
      <c r="L582" s="16" t="s">
        <v>298</v>
      </c>
      <c r="M582" s="16" t="s">
        <v>1053</v>
      </c>
      <c r="N582" s="16" t="s">
        <v>93</v>
      </c>
      <c r="O582" s="16" t="s">
        <v>58</v>
      </c>
      <c r="P582" s="16" t="s">
        <v>262</v>
      </c>
      <c r="Q582" s="16" t="s">
        <v>262</v>
      </c>
      <c r="R582" s="16" t="s">
        <v>263</v>
      </c>
      <c r="S582" s="16" t="s">
        <v>264</v>
      </c>
      <c r="T582" s="16" t="s">
        <v>1258</v>
      </c>
      <c r="U582" s="16" t="s">
        <v>73</v>
      </c>
      <c r="V582" s="16" t="n">
        <v>0.1</v>
      </c>
      <c r="W582" s="33" t="n">
        <v>0.09</v>
      </c>
      <c r="X582" s="16" t="n">
        <v>26000</v>
      </c>
      <c r="Y582" s="16" t="n">
        <v>26000</v>
      </c>
      <c r="Z582" s="16" t="n">
        <v>26000</v>
      </c>
      <c r="AA582" s="16" t="n">
        <v>26000</v>
      </c>
      <c r="AB582" s="16" t="n">
        <v>26000</v>
      </c>
      <c r="AC582" s="16" t="n">
        <v>26000</v>
      </c>
      <c r="AD582" s="16" t="n">
        <v>26000</v>
      </c>
      <c r="AE582" s="16" t="n">
        <v>26000</v>
      </c>
      <c r="AF582" s="16" t="n">
        <v>26000</v>
      </c>
      <c r="AG582" s="16" t="n">
        <v>26000</v>
      </c>
      <c r="AH582" s="16" t="n">
        <v>26000</v>
      </c>
      <c r="AI582" s="16" t="n">
        <v>26000</v>
      </c>
      <c r="AJ582" s="9" t="n">
        <f aca="false">X582*$V582</f>
        <v>2600</v>
      </c>
      <c r="AK582" s="9" t="n">
        <f aca="false">Y582*$V582</f>
        <v>2600</v>
      </c>
      <c r="AL582" s="9" t="n">
        <f aca="false">Z582*$V582</f>
        <v>2600</v>
      </c>
      <c r="AM582" s="9" t="n">
        <f aca="false">AA582*$V582</f>
        <v>2600</v>
      </c>
      <c r="AN582" s="9" t="n">
        <f aca="false">AB582*$V582</f>
        <v>2600</v>
      </c>
      <c r="AO582" s="9" t="n">
        <f aca="false">AC582*$V582</f>
        <v>2600</v>
      </c>
      <c r="AP582" s="9" t="n">
        <f aca="false">AD582*$V582</f>
        <v>2600</v>
      </c>
      <c r="AQ582" s="9" t="n">
        <f aca="false">AE582*$V582</f>
        <v>2600</v>
      </c>
      <c r="AR582" s="9" t="n">
        <f aca="false">AF582*$V582</f>
        <v>2600</v>
      </c>
      <c r="AS582" s="9" t="n">
        <f aca="false">AG582*$V582</f>
        <v>2600</v>
      </c>
      <c r="AT582" s="9" t="n">
        <f aca="false">AH582*$V582</f>
        <v>2600</v>
      </c>
      <c r="AU582" s="9" t="n">
        <f aca="false">AI582*$V582</f>
        <v>2600</v>
      </c>
      <c r="AV582" s="9" t="n">
        <f aca="false">SUM(X582:AI582)/1000</f>
        <v>312</v>
      </c>
      <c r="AW582" s="9" t="n">
        <f aca="false">SUM(AJ582:AU582)</f>
        <v>31200</v>
      </c>
      <c r="AX582" s="9" t="n">
        <f aca="false">IF(D582="INR",AW582/88.24,AW582)/1000000</f>
        <v>0.0312</v>
      </c>
    </row>
    <row r="583" s="2" customFormat="true" ht="14.25" hidden="false" customHeight="false" outlineLevel="0" collapsed="false">
      <c r="A583" s="12"/>
      <c r="B583" s="16" t="n">
        <v>1</v>
      </c>
      <c r="C583" s="15"/>
      <c r="D583" s="16" t="s">
        <v>50</v>
      </c>
      <c r="E583" s="16"/>
      <c r="F583" s="16" t="s">
        <v>52</v>
      </c>
      <c r="G583" s="16" t="s">
        <v>323</v>
      </c>
      <c r="H583" s="16" t="s">
        <v>324</v>
      </c>
      <c r="I583" s="16"/>
      <c r="J583" s="16"/>
      <c r="K583" s="16"/>
      <c r="L583" s="16"/>
      <c r="M583" s="16"/>
      <c r="N583" s="16" t="s">
        <v>67</v>
      </c>
      <c r="O583" s="16" t="s">
        <v>68</v>
      </c>
      <c r="P583" s="16" t="s">
        <v>262</v>
      </c>
      <c r="Q583" s="16" t="s">
        <v>262</v>
      </c>
      <c r="R583" s="16"/>
      <c r="S583" s="16"/>
      <c r="T583" s="16" t="s">
        <v>1259</v>
      </c>
      <c r="U583" s="16" t="s">
        <v>63</v>
      </c>
      <c r="V583" s="16" t="n">
        <v>3.11</v>
      </c>
      <c r="W583" s="16"/>
      <c r="X583" s="22" t="n">
        <v>15000</v>
      </c>
      <c r="Y583" s="22" t="n">
        <v>15000</v>
      </c>
      <c r="Z583" s="22" t="n">
        <v>15000</v>
      </c>
      <c r="AA583" s="22" t="n">
        <v>15000</v>
      </c>
      <c r="AB583" s="22" t="n">
        <v>15000</v>
      </c>
      <c r="AC583" s="22" t="n">
        <v>15000</v>
      </c>
      <c r="AD583" s="22" t="n">
        <v>15000</v>
      </c>
      <c r="AE583" s="22" t="n">
        <v>15000</v>
      </c>
      <c r="AF583" s="22" t="n">
        <v>15000</v>
      </c>
      <c r="AG583" s="22" t="n">
        <v>15000</v>
      </c>
      <c r="AH583" s="22" t="n">
        <v>15000</v>
      </c>
      <c r="AI583" s="22" t="n">
        <v>15000</v>
      </c>
      <c r="AJ583" s="9" t="n">
        <f aca="false">X583*$V583</f>
        <v>46650</v>
      </c>
      <c r="AK583" s="9" t="n">
        <f aca="false">Y583*$V583</f>
        <v>46650</v>
      </c>
      <c r="AL583" s="9" t="n">
        <f aca="false">Z583*$V583</f>
        <v>46650</v>
      </c>
      <c r="AM583" s="9" t="n">
        <f aca="false">AA583*$V583</f>
        <v>46650</v>
      </c>
      <c r="AN583" s="9" t="n">
        <f aca="false">AB583*$V583</f>
        <v>46650</v>
      </c>
      <c r="AO583" s="9" t="n">
        <f aca="false">AC583*$V583</f>
        <v>46650</v>
      </c>
      <c r="AP583" s="9" t="n">
        <f aca="false">AD583*$V583</f>
        <v>46650</v>
      </c>
      <c r="AQ583" s="9" t="n">
        <f aca="false">AE583*$V583</f>
        <v>46650</v>
      </c>
      <c r="AR583" s="9" t="n">
        <f aca="false">AF583*$V583</f>
        <v>46650</v>
      </c>
      <c r="AS583" s="9" t="n">
        <f aca="false">AG583*$V583</f>
        <v>46650</v>
      </c>
      <c r="AT583" s="9" t="n">
        <f aca="false">AH583*$V583</f>
        <v>46650</v>
      </c>
      <c r="AU583" s="9" t="n">
        <f aca="false">AI583*$V583</f>
        <v>46650</v>
      </c>
      <c r="AV583" s="9" t="n">
        <f aca="false">SUM(X583:AI583)/1000</f>
        <v>180</v>
      </c>
      <c r="AW583" s="9" t="n">
        <f aca="false">SUM(AJ583:AU583)</f>
        <v>559800</v>
      </c>
      <c r="AX583" s="9" t="n">
        <f aca="false">IF(D583="INR",AW583/88.24,AW583)/1000000</f>
        <v>0.00634406165004533</v>
      </c>
    </row>
    <row r="584" s="2" customFormat="true" ht="14.25" hidden="false" customHeight="false" outlineLevel="0" collapsed="false">
      <c r="A584" s="12" t="s">
        <v>1260</v>
      </c>
      <c r="B584" s="16" t="n">
        <v>5</v>
      </c>
      <c r="C584" s="15"/>
      <c r="D584" s="16" t="s">
        <v>102</v>
      </c>
      <c r="E584" s="16" t="s">
        <v>51</v>
      </c>
      <c r="F584" s="16" t="s">
        <v>52</v>
      </c>
      <c r="G584" s="16" t="s">
        <v>391</v>
      </c>
      <c r="H584" s="16" t="s">
        <v>392</v>
      </c>
      <c r="I584" s="16" t="s">
        <v>298</v>
      </c>
      <c r="J584" s="16" t="s">
        <v>1053</v>
      </c>
      <c r="K584" s="16"/>
      <c r="L584" s="16" t="s">
        <v>298</v>
      </c>
      <c r="M584" s="16" t="s">
        <v>1053</v>
      </c>
      <c r="N584" s="16" t="s">
        <v>93</v>
      </c>
      <c r="O584" s="16" t="s">
        <v>58</v>
      </c>
      <c r="P584" s="9" t="s">
        <v>85</v>
      </c>
      <c r="Q584" s="16" t="s">
        <v>85</v>
      </c>
      <c r="R584" s="16" t="s">
        <v>86</v>
      </c>
      <c r="S584" s="16" t="s">
        <v>87</v>
      </c>
      <c r="T584" s="16" t="s">
        <v>1191</v>
      </c>
      <c r="U584" s="16" t="s">
        <v>73</v>
      </c>
      <c r="V584" s="16" t="n">
        <v>0.05</v>
      </c>
      <c r="W584" s="16" t="n">
        <v>0.045</v>
      </c>
      <c r="X584" s="16" t="n">
        <v>24000</v>
      </c>
      <c r="Y584" s="16" t="n">
        <v>24000</v>
      </c>
      <c r="Z584" s="16" t="n">
        <v>24000</v>
      </c>
      <c r="AA584" s="16" t="n">
        <v>24000</v>
      </c>
      <c r="AB584" s="16" t="n">
        <v>24000</v>
      </c>
      <c r="AC584" s="16" t="n">
        <v>24000</v>
      </c>
      <c r="AD584" s="16" t="n">
        <v>24000</v>
      </c>
      <c r="AE584" s="16" t="n">
        <v>24000</v>
      </c>
      <c r="AF584" s="16" t="n">
        <v>24000</v>
      </c>
      <c r="AG584" s="16" t="n">
        <v>24000</v>
      </c>
      <c r="AH584" s="16" t="n">
        <v>24000</v>
      </c>
      <c r="AI584" s="16" t="n">
        <v>24000</v>
      </c>
      <c r="AJ584" s="9" t="n">
        <f aca="false">X584*$V584</f>
        <v>1200</v>
      </c>
      <c r="AK584" s="9" t="n">
        <f aca="false">Y584*$V584</f>
        <v>1200</v>
      </c>
      <c r="AL584" s="9" t="n">
        <f aca="false">Z584*$V584</f>
        <v>1200</v>
      </c>
      <c r="AM584" s="9" t="n">
        <f aca="false">AA584*$V584</f>
        <v>1200</v>
      </c>
      <c r="AN584" s="9" t="n">
        <f aca="false">AB584*$V584</f>
        <v>1200</v>
      </c>
      <c r="AO584" s="9" t="n">
        <f aca="false">AC584*$V584</f>
        <v>1200</v>
      </c>
      <c r="AP584" s="9" t="n">
        <f aca="false">AD584*$V584</f>
        <v>1200</v>
      </c>
      <c r="AQ584" s="9" t="n">
        <f aca="false">AE584*$V584</f>
        <v>1200</v>
      </c>
      <c r="AR584" s="9" t="n">
        <f aca="false">AF584*$V584</f>
        <v>1200</v>
      </c>
      <c r="AS584" s="9" t="n">
        <f aca="false">AG584*$V584</f>
        <v>1200</v>
      </c>
      <c r="AT584" s="9" t="n">
        <f aca="false">AH584*$V584</f>
        <v>1200</v>
      </c>
      <c r="AU584" s="9" t="n">
        <f aca="false">AI584*$V584</f>
        <v>1200</v>
      </c>
      <c r="AV584" s="9" t="n">
        <f aca="false">SUM(X584:AI584)/1000</f>
        <v>288</v>
      </c>
      <c r="AW584" s="9" t="n">
        <f aca="false">SUM(AJ584:AU584)</f>
        <v>14400</v>
      </c>
      <c r="AX584" s="9" t="n">
        <f aca="false">IF(D584="INR",AW584/88.24,AW584)/1000000</f>
        <v>0.0144</v>
      </c>
    </row>
    <row r="585" s="2" customFormat="true" ht="14.25" hidden="false" customHeight="false" outlineLevel="0" collapsed="false">
      <c r="A585" s="12" t="s">
        <v>1261</v>
      </c>
      <c r="B585" s="16" t="n">
        <v>5</v>
      </c>
      <c r="C585" s="15"/>
      <c r="D585" s="16" t="s">
        <v>102</v>
      </c>
      <c r="E585" s="16" t="s">
        <v>51</v>
      </c>
      <c r="F585" s="16" t="s">
        <v>52</v>
      </c>
      <c r="G585" s="16" t="s">
        <v>391</v>
      </c>
      <c r="H585" s="16" t="s">
        <v>392</v>
      </c>
      <c r="I585" s="16" t="s">
        <v>298</v>
      </c>
      <c r="J585" s="16" t="s">
        <v>1053</v>
      </c>
      <c r="K585" s="16" t="s">
        <v>392</v>
      </c>
      <c r="L585" s="16" t="s">
        <v>298</v>
      </c>
      <c r="M585" s="16" t="s">
        <v>1053</v>
      </c>
      <c r="N585" s="16" t="s">
        <v>93</v>
      </c>
      <c r="O585" s="16" t="s">
        <v>58</v>
      </c>
      <c r="P585" s="16" t="s">
        <v>85</v>
      </c>
      <c r="Q585" s="16" t="s">
        <v>85</v>
      </c>
      <c r="R585" s="16" t="s">
        <v>86</v>
      </c>
      <c r="S585" s="16" t="s">
        <v>87</v>
      </c>
      <c r="T585" s="16" t="s">
        <v>1193</v>
      </c>
      <c r="U585" s="16" t="s">
        <v>73</v>
      </c>
      <c r="V585" s="15" t="n">
        <v>0.043</v>
      </c>
      <c r="W585" s="16" t="n">
        <v>0.04</v>
      </c>
      <c r="X585" s="16" t="n">
        <v>24000</v>
      </c>
      <c r="Y585" s="16" t="n">
        <v>24000</v>
      </c>
      <c r="Z585" s="16" t="n">
        <v>24000</v>
      </c>
      <c r="AA585" s="16" t="n">
        <v>24000</v>
      </c>
      <c r="AB585" s="16" t="n">
        <v>24000</v>
      </c>
      <c r="AC585" s="16" t="n">
        <v>24000</v>
      </c>
      <c r="AD585" s="16" t="n">
        <v>24000</v>
      </c>
      <c r="AE585" s="16" t="n">
        <v>24000</v>
      </c>
      <c r="AF585" s="16" t="n">
        <v>24000</v>
      </c>
      <c r="AG585" s="16" t="n">
        <v>24000</v>
      </c>
      <c r="AH585" s="16" t="n">
        <v>24000</v>
      </c>
      <c r="AI585" s="16" t="n">
        <v>24000</v>
      </c>
      <c r="AJ585" s="9" t="n">
        <f aca="false">X585*$V585</f>
        <v>1032</v>
      </c>
      <c r="AK585" s="9" t="n">
        <f aca="false">Y585*$V585</f>
        <v>1032</v>
      </c>
      <c r="AL585" s="9" t="n">
        <f aca="false">Z585*$V585</f>
        <v>1032</v>
      </c>
      <c r="AM585" s="9" t="n">
        <f aca="false">AA585*$V585</f>
        <v>1032</v>
      </c>
      <c r="AN585" s="9" t="n">
        <f aca="false">AB585*$V585</f>
        <v>1032</v>
      </c>
      <c r="AO585" s="9" t="n">
        <f aca="false">AC585*$V585</f>
        <v>1032</v>
      </c>
      <c r="AP585" s="9" t="n">
        <f aca="false">AD585*$V585</f>
        <v>1032</v>
      </c>
      <c r="AQ585" s="9" t="n">
        <f aca="false">AE585*$V585</f>
        <v>1032</v>
      </c>
      <c r="AR585" s="9" t="n">
        <f aca="false">AF585*$V585</f>
        <v>1032</v>
      </c>
      <c r="AS585" s="9" t="n">
        <f aca="false">AG585*$V585</f>
        <v>1032</v>
      </c>
      <c r="AT585" s="9" t="n">
        <f aca="false">AH585*$V585</f>
        <v>1032</v>
      </c>
      <c r="AU585" s="9" t="n">
        <f aca="false">AI585*$V585</f>
        <v>1032</v>
      </c>
      <c r="AV585" s="9" t="n">
        <f aca="false">SUM(X585:AI585)/1000</f>
        <v>288</v>
      </c>
      <c r="AW585" s="9" t="n">
        <f aca="false">SUM(AJ585:AU585)</f>
        <v>12384</v>
      </c>
      <c r="AX585" s="9" t="n">
        <f aca="false">IF(D585="INR",AW585/88.24,AW585)/1000000</f>
        <v>0.012384</v>
      </c>
    </row>
    <row r="586" s="2" customFormat="true" ht="16.4" hidden="false" customHeight="false" outlineLevel="0" collapsed="false">
      <c r="A586" s="35" t="s">
        <v>1262</v>
      </c>
      <c r="B586" s="9" t="n">
        <v>5</v>
      </c>
      <c r="C586" s="15"/>
      <c r="D586" s="16" t="s">
        <v>102</v>
      </c>
      <c r="E586" s="16" t="s">
        <v>51</v>
      </c>
      <c r="F586" s="16" t="s">
        <v>52</v>
      </c>
      <c r="G586" s="16" t="s">
        <v>391</v>
      </c>
      <c r="H586" s="16" t="s">
        <v>392</v>
      </c>
      <c r="I586" s="16" t="s">
        <v>298</v>
      </c>
      <c r="J586" s="16" t="s">
        <v>1053</v>
      </c>
      <c r="K586" s="16" t="s">
        <v>1240</v>
      </c>
      <c r="L586" s="16" t="s">
        <v>260</v>
      </c>
      <c r="M586" s="16" t="s">
        <v>1241</v>
      </c>
      <c r="N586" s="16" t="s">
        <v>93</v>
      </c>
      <c r="O586" s="16" t="s">
        <v>58</v>
      </c>
      <c r="P586" s="9" t="s">
        <v>199</v>
      </c>
      <c r="Q586" s="9" t="s">
        <v>199</v>
      </c>
      <c r="R586" s="16" t="s">
        <v>377</v>
      </c>
      <c r="S586" s="16" t="s">
        <v>528</v>
      </c>
      <c r="T586" s="9" t="s">
        <v>1263</v>
      </c>
      <c r="U586" s="16" t="s">
        <v>73</v>
      </c>
      <c r="V586" s="9" t="n">
        <v>0.0092</v>
      </c>
      <c r="W586" s="9" t="n">
        <v>0.008</v>
      </c>
      <c r="X586" s="22" t="n">
        <v>24000</v>
      </c>
      <c r="Y586" s="9" t="n">
        <v>24000</v>
      </c>
      <c r="Z586" s="9" t="n">
        <v>24000</v>
      </c>
      <c r="AA586" s="9" t="n">
        <v>24000</v>
      </c>
      <c r="AB586" s="9" t="n">
        <v>24000</v>
      </c>
      <c r="AC586" s="9" t="n">
        <v>24000</v>
      </c>
      <c r="AD586" s="9" t="n">
        <v>24000</v>
      </c>
      <c r="AE586" s="9" t="n">
        <v>24000</v>
      </c>
      <c r="AF586" s="9" t="n">
        <v>24000</v>
      </c>
      <c r="AG586" s="9" t="n">
        <v>24000</v>
      </c>
      <c r="AH586" s="9" t="n">
        <v>24000</v>
      </c>
      <c r="AI586" s="9" t="n">
        <v>24000</v>
      </c>
      <c r="AJ586" s="9" t="n">
        <f aca="false">X586*$V586</f>
        <v>220.8</v>
      </c>
      <c r="AK586" s="9" t="n">
        <f aca="false">Y586*$V586</f>
        <v>220.8</v>
      </c>
      <c r="AL586" s="9" t="n">
        <f aca="false">Z586*$V586</f>
        <v>220.8</v>
      </c>
      <c r="AM586" s="9" t="n">
        <f aca="false">AA586*$V586</f>
        <v>220.8</v>
      </c>
      <c r="AN586" s="9" t="n">
        <f aca="false">AB586*$V586</f>
        <v>220.8</v>
      </c>
      <c r="AO586" s="9" t="n">
        <f aca="false">AC586*$V586</f>
        <v>220.8</v>
      </c>
      <c r="AP586" s="9" t="n">
        <f aca="false">AD586*$V586</f>
        <v>220.8</v>
      </c>
      <c r="AQ586" s="9" t="n">
        <f aca="false">AE586*$V586</f>
        <v>220.8</v>
      </c>
      <c r="AR586" s="9" t="n">
        <f aca="false">AF586*$V586</f>
        <v>220.8</v>
      </c>
      <c r="AS586" s="9" t="n">
        <f aca="false">AG586*$V586</f>
        <v>220.8</v>
      </c>
      <c r="AT586" s="9" t="n">
        <f aca="false">AH586*$V586</f>
        <v>220.8</v>
      </c>
      <c r="AU586" s="9" t="n">
        <f aca="false">AI586*$V586</f>
        <v>220.8</v>
      </c>
      <c r="AV586" s="9" t="n">
        <f aca="false">SUM(X586:AI586)/1000</f>
        <v>288</v>
      </c>
      <c r="AW586" s="9" t="n">
        <f aca="false">SUM(AJ586:AU586)</f>
        <v>2649.6</v>
      </c>
      <c r="AX586" s="9" t="n">
        <f aca="false">IF(D586="INR",AW586/88.24,AW586)/1000000</f>
        <v>0.0026496</v>
      </c>
    </row>
    <row r="587" s="2" customFormat="true" ht="14.25" hidden="false" customHeight="false" outlineLevel="0" collapsed="false">
      <c r="A587" s="12" t="s">
        <v>1264</v>
      </c>
      <c r="B587" s="16" t="n">
        <v>5</v>
      </c>
      <c r="C587" s="15"/>
      <c r="D587" s="16" t="s">
        <v>50</v>
      </c>
      <c r="E587" s="16" t="s">
        <v>51</v>
      </c>
      <c r="F587" s="16" t="s">
        <v>52</v>
      </c>
      <c r="G587" s="16" t="s">
        <v>506</v>
      </c>
      <c r="H587" s="16" t="s">
        <v>507</v>
      </c>
      <c r="I587" s="16" t="s">
        <v>77</v>
      </c>
      <c r="J587" s="16" t="s">
        <v>325</v>
      </c>
      <c r="K587" s="16"/>
      <c r="L587" s="16" t="s">
        <v>77</v>
      </c>
      <c r="M587" s="16" t="s">
        <v>325</v>
      </c>
      <c r="N587" s="16" t="s">
        <v>79</v>
      </c>
      <c r="O587" s="16" t="s">
        <v>68</v>
      </c>
      <c r="P587" s="16" t="s">
        <v>308</v>
      </c>
      <c r="Q587" s="16" t="s">
        <v>308</v>
      </c>
      <c r="R587" s="16" t="s">
        <v>309</v>
      </c>
      <c r="S587" s="16" t="s">
        <v>264</v>
      </c>
      <c r="T587" s="16" t="s">
        <v>689</v>
      </c>
      <c r="U587" s="16" t="s">
        <v>73</v>
      </c>
      <c r="V587" s="16" t="n">
        <v>1.33</v>
      </c>
      <c r="W587" s="16" t="n">
        <v>1.16</v>
      </c>
      <c r="X587" s="22" t="n">
        <v>35000</v>
      </c>
      <c r="Y587" s="22" t="n">
        <v>35000</v>
      </c>
      <c r="Z587" s="22" t="n">
        <v>35000</v>
      </c>
      <c r="AA587" s="22" t="n">
        <v>35000</v>
      </c>
      <c r="AB587" s="22" t="n">
        <v>35000</v>
      </c>
      <c r="AC587" s="22" t="n">
        <v>35000</v>
      </c>
      <c r="AD587" s="22" t="n">
        <v>35000</v>
      </c>
      <c r="AE587" s="22" t="n">
        <v>35000</v>
      </c>
      <c r="AF587" s="22" t="n">
        <v>35000</v>
      </c>
      <c r="AG587" s="22" t="n">
        <v>35000</v>
      </c>
      <c r="AH587" s="22" t="n">
        <v>35000</v>
      </c>
      <c r="AI587" s="22" t="n">
        <v>35000</v>
      </c>
      <c r="AJ587" s="9" t="n">
        <f aca="false">X587*$V587</f>
        <v>46550</v>
      </c>
      <c r="AK587" s="9" t="n">
        <f aca="false">Y587*$V587</f>
        <v>46550</v>
      </c>
      <c r="AL587" s="9" t="n">
        <f aca="false">Z587*$V587</f>
        <v>46550</v>
      </c>
      <c r="AM587" s="9" t="n">
        <f aca="false">AA587*$V587</f>
        <v>46550</v>
      </c>
      <c r="AN587" s="9" t="n">
        <f aca="false">AB587*$V587</f>
        <v>46550</v>
      </c>
      <c r="AO587" s="9" t="n">
        <f aca="false">AC587*$V587</f>
        <v>46550</v>
      </c>
      <c r="AP587" s="9" t="n">
        <f aca="false">AD587*$V587</f>
        <v>46550</v>
      </c>
      <c r="AQ587" s="9" t="n">
        <f aca="false">AE587*$V587</f>
        <v>46550</v>
      </c>
      <c r="AR587" s="9" t="n">
        <f aca="false">AF587*$V587</f>
        <v>46550</v>
      </c>
      <c r="AS587" s="9" t="n">
        <f aca="false">AG587*$V587</f>
        <v>46550</v>
      </c>
      <c r="AT587" s="9" t="n">
        <f aca="false">AH587*$V587</f>
        <v>46550</v>
      </c>
      <c r="AU587" s="9" t="n">
        <f aca="false">AI587*$V587</f>
        <v>46550</v>
      </c>
      <c r="AV587" s="9" t="n">
        <f aca="false">SUM(X587:AI587)/1000</f>
        <v>420</v>
      </c>
      <c r="AW587" s="9" t="n">
        <f aca="false">SUM(AJ587:AU587)</f>
        <v>558600</v>
      </c>
      <c r="AX587" s="9" t="n">
        <f aca="false">IF(D587="INR",AW587/88.24,AW587)/1000000</f>
        <v>0.00633046237533998</v>
      </c>
    </row>
    <row r="588" s="2" customFormat="true" ht="14.25" hidden="false" customHeight="false" outlineLevel="0" collapsed="false">
      <c r="A588" s="12" t="s">
        <v>1265</v>
      </c>
      <c r="B588" s="16"/>
      <c r="C588" s="15"/>
      <c r="D588" s="16" t="s">
        <v>50</v>
      </c>
      <c r="E588" s="16" t="s">
        <v>51</v>
      </c>
      <c r="F588" s="16" t="s">
        <v>52</v>
      </c>
      <c r="G588" s="16" t="s">
        <v>301</v>
      </c>
      <c r="H588" s="16" t="s">
        <v>302</v>
      </c>
      <c r="I588" s="16" t="s">
        <v>303</v>
      </c>
      <c r="J588" s="16" t="s">
        <v>304</v>
      </c>
      <c r="K588" s="16"/>
      <c r="L588" s="16" t="s">
        <v>303</v>
      </c>
      <c r="M588" s="16" t="s">
        <v>304</v>
      </c>
      <c r="N588" s="16" t="s">
        <v>93</v>
      </c>
      <c r="O588" s="16" t="s">
        <v>107</v>
      </c>
      <c r="P588" s="16" t="s">
        <v>308</v>
      </c>
      <c r="Q588" s="16" t="s">
        <v>308</v>
      </c>
      <c r="R588" s="16" t="s">
        <v>309</v>
      </c>
      <c r="S588" s="16" t="s">
        <v>264</v>
      </c>
      <c r="T588" s="16" t="s">
        <v>1266</v>
      </c>
      <c r="U588" s="16" t="s">
        <v>73</v>
      </c>
      <c r="V588" s="16" t="n">
        <v>0.92</v>
      </c>
      <c r="W588" s="16" t="n">
        <v>0.82</v>
      </c>
      <c r="X588" s="22" t="n">
        <v>50000</v>
      </c>
      <c r="Y588" s="22" t="n">
        <v>50000</v>
      </c>
      <c r="Z588" s="22" t="n">
        <v>50000</v>
      </c>
      <c r="AA588" s="22" t="n">
        <v>50000</v>
      </c>
      <c r="AB588" s="22" t="n">
        <v>50000</v>
      </c>
      <c r="AC588" s="22" t="n">
        <v>50000</v>
      </c>
      <c r="AD588" s="22" t="n">
        <v>50000</v>
      </c>
      <c r="AE588" s="22" t="n">
        <v>50000</v>
      </c>
      <c r="AF588" s="22" t="n">
        <v>50000</v>
      </c>
      <c r="AG588" s="22" t="n">
        <v>50000</v>
      </c>
      <c r="AH588" s="22" t="n">
        <v>50000</v>
      </c>
      <c r="AI588" s="22" t="n">
        <v>50000</v>
      </c>
      <c r="AJ588" s="9" t="n">
        <f aca="false">X588*$V588</f>
        <v>46000</v>
      </c>
      <c r="AK588" s="9" t="n">
        <f aca="false">Y588*$V588</f>
        <v>46000</v>
      </c>
      <c r="AL588" s="9" t="n">
        <f aca="false">Z588*$V588</f>
        <v>46000</v>
      </c>
      <c r="AM588" s="9" t="n">
        <f aca="false">AA588*$V588</f>
        <v>46000</v>
      </c>
      <c r="AN588" s="9" t="n">
        <f aca="false">AB588*$V588</f>
        <v>46000</v>
      </c>
      <c r="AO588" s="9" t="n">
        <f aca="false">AC588*$V588</f>
        <v>46000</v>
      </c>
      <c r="AP588" s="9" t="n">
        <f aca="false">AD588*$V588</f>
        <v>46000</v>
      </c>
      <c r="AQ588" s="9" t="n">
        <f aca="false">AE588*$V588</f>
        <v>46000</v>
      </c>
      <c r="AR588" s="9" t="n">
        <f aca="false">AF588*$V588</f>
        <v>46000</v>
      </c>
      <c r="AS588" s="9" t="n">
        <f aca="false">AG588*$V588</f>
        <v>46000</v>
      </c>
      <c r="AT588" s="9" t="n">
        <f aca="false">AH588*$V588</f>
        <v>46000</v>
      </c>
      <c r="AU588" s="9" t="n">
        <f aca="false">AI588*$V588</f>
        <v>46000</v>
      </c>
      <c r="AV588" s="9" t="n">
        <f aca="false">SUM(X588:AI588)/1000</f>
        <v>600</v>
      </c>
      <c r="AW588" s="9" t="n">
        <f aca="false">SUM(AJ588:AU588)</f>
        <v>552000</v>
      </c>
      <c r="AX588" s="9" t="n">
        <f aca="false">IF(D588="INR",AW588/88.24,AW588)/1000000</f>
        <v>0.00625566636446056</v>
      </c>
    </row>
    <row r="589" s="2" customFormat="true" ht="14.25" hidden="false" customHeight="false" outlineLevel="0" collapsed="false">
      <c r="A589" s="12" t="s">
        <v>1267</v>
      </c>
      <c r="B589" s="16" t="n">
        <v>5</v>
      </c>
      <c r="C589" s="15"/>
      <c r="D589" s="16" t="s">
        <v>50</v>
      </c>
      <c r="E589" s="16" t="s">
        <v>51</v>
      </c>
      <c r="F589" s="16" t="s">
        <v>52</v>
      </c>
      <c r="G589" s="16" t="s">
        <v>506</v>
      </c>
      <c r="H589" s="16" t="s">
        <v>507</v>
      </c>
      <c r="I589" s="16" t="s">
        <v>77</v>
      </c>
      <c r="J589" s="16" t="s">
        <v>325</v>
      </c>
      <c r="K589" s="16"/>
      <c r="L589" s="16" t="s">
        <v>77</v>
      </c>
      <c r="M589" s="16" t="s">
        <v>325</v>
      </c>
      <c r="N589" s="16" t="s">
        <v>79</v>
      </c>
      <c r="O589" s="16" t="s">
        <v>68</v>
      </c>
      <c r="P589" s="16" t="s">
        <v>308</v>
      </c>
      <c r="Q589" s="16" t="s">
        <v>308</v>
      </c>
      <c r="R589" s="16" t="s">
        <v>309</v>
      </c>
      <c r="S589" s="16" t="s">
        <v>264</v>
      </c>
      <c r="T589" s="16" t="s">
        <v>1268</v>
      </c>
      <c r="U589" s="16" t="s">
        <v>73</v>
      </c>
      <c r="V589" s="16" t="n">
        <v>3.06</v>
      </c>
      <c r="W589" s="16" t="n">
        <v>2.59</v>
      </c>
      <c r="X589" s="22" t="n">
        <v>15000</v>
      </c>
      <c r="Y589" s="22" t="n">
        <v>15000</v>
      </c>
      <c r="Z589" s="22" t="n">
        <v>15000</v>
      </c>
      <c r="AA589" s="22" t="n">
        <v>15000</v>
      </c>
      <c r="AB589" s="22" t="n">
        <v>15000</v>
      </c>
      <c r="AC589" s="22" t="n">
        <v>15000</v>
      </c>
      <c r="AD589" s="22" t="n">
        <v>15000</v>
      </c>
      <c r="AE589" s="22" t="n">
        <v>15000</v>
      </c>
      <c r="AF589" s="22"/>
      <c r="AG589" s="22" t="n">
        <v>15000</v>
      </c>
      <c r="AH589" s="22" t="n">
        <v>15000</v>
      </c>
      <c r="AI589" s="22" t="n">
        <v>15000</v>
      </c>
      <c r="AJ589" s="9" t="n">
        <f aca="false">X589*$V589</f>
        <v>45900</v>
      </c>
      <c r="AK589" s="9" t="n">
        <f aca="false">Y589*$V589</f>
        <v>45900</v>
      </c>
      <c r="AL589" s="9" t="n">
        <f aca="false">Z589*$V589</f>
        <v>45900</v>
      </c>
      <c r="AM589" s="9" t="n">
        <f aca="false">AA589*$V589</f>
        <v>45900</v>
      </c>
      <c r="AN589" s="9" t="n">
        <f aca="false">AB589*$V589</f>
        <v>45900</v>
      </c>
      <c r="AO589" s="9" t="n">
        <f aca="false">AC589*$V589</f>
        <v>45900</v>
      </c>
      <c r="AP589" s="9" t="n">
        <f aca="false">AD589*$V589</f>
        <v>45900</v>
      </c>
      <c r="AQ589" s="9" t="n">
        <f aca="false">AE589*$V589</f>
        <v>45900</v>
      </c>
      <c r="AR589" s="9" t="n">
        <f aca="false">AF589*$V589</f>
        <v>0</v>
      </c>
      <c r="AS589" s="9" t="n">
        <f aca="false">AG589*$V589</f>
        <v>45900</v>
      </c>
      <c r="AT589" s="9" t="n">
        <f aca="false">AH589*$V589</f>
        <v>45900</v>
      </c>
      <c r="AU589" s="9" t="n">
        <f aca="false">AI589*$V589</f>
        <v>45900</v>
      </c>
      <c r="AV589" s="9" t="n">
        <f aca="false">SUM(X589:AI589)/1000</f>
        <v>165</v>
      </c>
      <c r="AW589" s="9" t="n">
        <f aca="false">SUM(AJ589:AU589)</f>
        <v>504900</v>
      </c>
      <c r="AX589" s="9" t="n">
        <f aca="false">IF(D589="INR",AW589/88.24,AW589)/1000000</f>
        <v>0.00572189483227561</v>
      </c>
    </row>
    <row r="590" s="2" customFormat="true" ht="14.25" hidden="false" customHeight="false" outlineLevel="0" collapsed="false">
      <c r="A590" s="12" t="s">
        <v>1269</v>
      </c>
      <c r="B590" s="16" t="n">
        <v>5</v>
      </c>
      <c r="C590" s="15"/>
      <c r="D590" s="16" t="s">
        <v>50</v>
      </c>
      <c r="E590" s="16" t="s">
        <v>51</v>
      </c>
      <c r="F590" s="16" t="s">
        <v>52</v>
      </c>
      <c r="G590" s="16" t="s">
        <v>391</v>
      </c>
      <c r="H590" s="16" t="s">
        <v>392</v>
      </c>
      <c r="I590" s="16" t="s">
        <v>260</v>
      </c>
      <c r="J590" s="16" t="s">
        <v>276</v>
      </c>
      <c r="K590" s="16"/>
      <c r="L590" s="16" t="s">
        <v>260</v>
      </c>
      <c r="M590" s="16" t="s">
        <v>276</v>
      </c>
      <c r="N590" s="16" t="s">
        <v>93</v>
      </c>
      <c r="O590" s="16" t="s">
        <v>58</v>
      </c>
      <c r="P590" s="16" t="s">
        <v>308</v>
      </c>
      <c r="Q590" s="16" t="s">
        <v>308</v>
      </c>
      <c r="R590" s="16" t="s">
        <v>309</v>
      </c>
      <c r="S590" s="16" t="s">
        <v>264</v>
      </c>
      <c r="T590" s="16" t="s">
        <v>689</v>
      </c>
      <c r="U590" s="16" t="s">
        <v>73</v>
      </c>
      <c r="V590" s="16" t="n">
        <v>1.29</v>
      </c>
      <c r="W590" s="16" t="n">
        <v>1.16</v>
      </c>
      <c r="X590" s="22" t="n">
        <v>35000</v>
      </c>
      <c r="Y590" s="22" t="n">
        <v>35000</v>
      </c>
      <c r="Z590" s="22" t="n">
        <v>35000</v>
      </c>
      <c r="AA590" s="22" t="n">
        <v>35000</v>
      </c>
      <c r="AB590" s="22" t="n">
        <v>35000</v>
      </c>
      <c r="AC590" s="22" t="n">
        <v>35000</v>
      </c>
      <c r="AD590" s="22" t="n">
        <v>35000</v>
      </c>
      <c r="AE590" s="22" t="n">
        <v>35000</v>
      </c>
      <c r="AF590" s="22" t="n">
        <v>35000</v>
      </c>
      <c r="AG590" s="22" t="n">
        <v>35000</v>
      </c>
      <c r="AH590" s="22" t="n">
        <v>35000</v>
      </c>
      <c r="AI590" s="22" t="n">
        <v>35000</v>
      </c>
      <c r="AJ590" s="9" t="n">
        <f aca="false">X590*$V590</f>
        <v>45150</v>
      </c>
      <c r="AK590" s="9" t="n">
        <f aca="false">Y590*$V590</f>
        <v>45150</v>
      </c>
      <c r="AL590" s="9" t="n">
        <f aca="false">Z590*$V590</f>
        <v>45150</v>
      </c>
      <c r="AM590" s="9" t="n">
        <f aca="false">AA590*$V590</f>
        <v>45150</v>
      </c>
      <c r="AN590" s="9" t="n">
        <f aca="false">AB590*$V590</f>
        <v>45150</v>
      </c>
      <c r="AO590" s="9" t="n">
        <f aca="false">AC590*$V590</f>
        <v>45150</v>
      </c>
      <c r="AP590" s="9" t="n">
        <f aca="false">AD590*$V590</f>
        <v>45150</v>
      </c>
      <c r="AQ590" s="9" t="n">
        <f aca="false">AE590*$V590</f>
        <v>45150</v>
      </c>
      <c r="AR590" s="9" t="n">
        <f aca="false">AF590*$V590</f>
        <v>45150</v>
      </c>
      <c r="AS590" s="9" t="n">
        <f aca="false">AG590*$V590</f>
        <v>45150</v>
      </c>
      <c r="AT590" s="9" t="n">
        <f aca="false">AH590*$V590</f>
        <v>45150</v>
      </c>
      <c r="AU590" s="9" t="n">
        <f aca="false">AI590*$V590</f>
        <v>45150</v>
      </c>
      <c r="AV590" s="9" t="n">
        <f aca="false">SUM(X590:AI590)/1000</f>
        <v>420</v>
      </c>
      <c r="AW590" s="9" t="n">
        <f aca="false">SUM(AJ590:AU590)</f>
        <v>541800</v>
      </c>
      <c r="AX590" s="9" t="n">
        <f aca="false">IF(D590="INR",AW590/88.24,AW590)/1000000</f>
        <v>0.0061400725294651</v>
      </c>
    </row>
    <row r="591" s="2" customFormat="true" ht="14.25" hidden="false" customHeight="false" outlineLevel="0" collapsed="false">
      <c r="A591" s="12" t="s">
        <v>1270</v>
      </c>
      <c r="B591" s="16" t="n">
        <v>5</v>
      </c>
      <c r="C591" s="15"/>
      <c r="D591" s="16" t="s">
        <v>50</v>
      </c>
      <c r="E591" s="16" t="s">
        <v>51</v>
      </c>
      <c r="F591" s="16" t="s">
        <v>243</v>
      </c>
      <c r="G591" s="16" t="s">
        <v>1271</v>
      </c>
      <c r="H591" s="16" t="s">
        <v>1272</v>
      </c>
      <c r="I591" s="16" t="s">
        <v>105</v>
      </c>
      <c r="J591" s="16" t="s">
        <v>368</v>
      </c>
      <c r="K591" s="16"/>
      <c r="L591" s="16" t="s">
        <v>105</v>
      </c>
      <c r="M591" s="16" t="s">
        <v>368</v>
      </c>
      <c r="N591" s="16" t="s">
        <v>93</v>
      </c>
      <c r="O591" s="16" t="s">
        <v>246</v>
      </c>
      <c r="P591" s="16" t="s">
        <v>69</v>
      </c>
      <c r="Q591" s="16" t="s">
        <v>69</v>
      </c>
      <c r="R591" s="16" t="s">
        <v>70</v>
      </c>
      <c r="S591" s="16" t="s">
        <v>71</v>
      </c>
      <c r="T591" s="16" t="s">
        <v>249</v>
      </c>
      <c r="U591" s="16" t="s">
        <v>73</v>
      </c>
      <c r="V591" s="16" t="n">
        <v>9</v>
      </c>
      <c r="W591" s="16" t="n">
        <v>0.078</v>
      </c>
      <c r="X591" s="22" t="n">
        <v>5000</v>
      </c>
      <c r="Y591" s="22" t="n">
        <v>5000</v>
      </c>
      <c r="Z591" s="22" t="n">
        <v>5000</v>
      </c>
      <c r="AA591" s="22" t="n">
        <v>5000</v>
      </c>
      <c r="AB591" s="22" t="n">
        <v>5000</v>
      </c>
      <c r="AC591" s="22" t="n">
        <v>5000</v>
      </c>
      <c r="AD591" s="22" t="n">
        <v>5000</v>
      </c>
      <c r="AE591" s="22" t="n">
        <v>5000</v>
      </c>
      <c r="AF591" s="22" t="n">
        <v>5000</v>
      </c>
      <c r="AG591" s="22" t="n">
        <v>5000</v>
      </c>
      <c r="AH591" s="22" t="n">
        <v>5000</v>
      </c>
      <c r="AI591" s="22" t="n">
        <v>5000</v>
      </c>
      <c r="AJ591" s="9" t="n">
        <f aca="false">X591*$V591</f>
        <v>45000</v>
      </c>
      <c r="AK591" s="9" t="n">
        <f aca="false">Y591*$V591</f>
        <v>45000</v>
      </c>
      <c r="AL591" s="9" t="n">
        <f aca="false">Z591*$V591</f>
        <v>45000</v>
      </c>
      <c r="AM591" s="9" t="n">
        <f aca="false">AA591*$V591</f>
        <v>45000</v>
      </c>
      <c r="AN591" s="9" t="n">
        <f aca="false">AB591*$V591</f>
        <v>45000</v>
      </c>
      <c r="AO591" s="9" t="n">
        <f aca="false">AC591*$V591</f>
        <v>45000</v>
      </c>
      <c r="AP591" s="9" t="n">
        <f aca="false">AD591*$V591</f>
        <v>45000</v>
      </c>
      <c r="AQ591" s="9" t="n">
        <f aca="false">AE591*$V591</f>
        <v>45000</v>
      </c>
      <c r="AR591" s="9" t="n">
        <f aca="false">AF591*$V591</f>
        <v>45000</v>
      </c>
      <c r="AS591" s="9" t="n">
        <f aca="false">AG591*$V591</f>
        <v>45000</v>
      </c>
      <c r="AT591" s="9" t="n">
        <f aca="false">AH591*$V591</f>
        <v>45000</v>
      </c>
      <c r="AU591" s="9" t="n">
        <f aca="false">AI591*$V591</f>
        <v>45000</v>
      </c>
      <c r="AV591" s="9" t="n">
        <f aca="false">SUM(X591:AI591)/1000</f>
        <v>60</v>
      </c>
      <c r="AW591" s="9" t="n">
        <f aca="false">SUM(AJ591:AU591)</f>
        <v>540000</v>
      </c>
      <c r="AX591" s="9" t="n">
        <f aca="false">IF(D591="INR",AW591/88.24,AW591)/1000000</f>
        <v>0.00611967361740707</v>
      </c>
    </row>
    <row r="592" s="2" customFormat="true" ht="14.25" hidden="false" customHeight="false" outlineLevel="0" collapsed="false">
      <c r="A592" s="12" t="s">
        <v>1273</v>
      </c>
      <c r="B592" s="16" t="n">
        <v>5</v>
      </c>
      <c r="C592" s="15"/>
      <c r="D592" s="16" t="s">
        <v>50</v>
      </c>
      <c r="E592" s="16" t="s">
        <v>51</v>
      </c>
      <c r="F592" s="16" t="s">
        <v>52</v>
      </c>
      <c r="G592" s="16" t="s">
        <v>274</v>
      </c>
      <c r="H592" s="16" t="s">
        <v>275</v>
      </c>
      <c r="I592" s="16" t="s">
        <v>260</v>
      </c>
      <c r="J592" s="16" t="s">
        <v>276</v>
      </c>
      <c r="K592" s="16"/>
      <c r="L592" s="16" t="s">
        <v>260</v>
      </c>
      <c r="M592" s="16" t="s">
        <v>276</v>
      </c>
      <c r="N592" s="16" t="s">
        <v>79</v>
      </c>
      <c r="O592" s="16" t="s">
        <v>68</v>
      </c>
      <c r="P592" s="16" t="s">
        <v>80</v>
      </c>
      <c r="Q592" s="16" t="s">
        <v>80</v>
      </c>
      <c r="R592" s="16" t="s">
        <v>81</v>
      </c>
      <c r="S592" s="16" t="s">
        <v>82</v>
      </c>
      <c r="T592" s="16" t="s">
        <v>1274</v>
      </c>
      <c r="U592" s="16" t="s">
        <v>73</v>
      </c>
      <c r="V592" s="16" t="n">
        <v>2.992</v>
      </c>
      <c r="W592" s="16" t="n">
        <v>5.76177</v>
      </c>
      <c r="X592" s="22" t="n">
        <v>15000</v>
      </c>
      <c r="Y592" s="22" t="n">
        <v>15000</v>
      </c>
      <c r="Z592" s="22" t="n">
        <v>15000</v>
      </c>
      <c r="AA592" s="22"/>
      <c r="AB592" s="22"/>
      <c r="AC592" s="22"/>
      <c r="AD592" s="22"/>
      <c r="AE592" s="22"/>
      <c r="AF592" s="22" t="n">
        <v>15000</v>
      </c>
      <c r="AG592" s="22" t="n">
        <v>15000</v>
      </c>
      <c r="AH592" s="22" t="n">
        <v>15000</v>
      </c>
      <c r="AI592" s="22" t="n">
        <v>15000</v>
      </c>
      <c r="AJ592" s="9" t="n">
        <f aca="false">X592*$V592</f>
        <v>44880</v>
      </c>
      <c r="AK592" s="9" t="n">
        <f aca="false">Y592*$V592</f>
        <v>44880</v>
      </c>
      <c r="AL592" s="9" t="n">
        <f aca="false">Z592*$V592</f>
        <v>44880</v>
      </c>
      <c r="AM592" s="9" t="n">
        <f aca="false">AA592*$V592</f>
        <v>0</v>
      </c>
      <c r="AN592" s="9" t="n">
        <f aca="false">AB592*$V592</f>
        <v>0</v>
      </c>
      <c r="AO592" s="9" t="n">
        <f aca="false">AC592*$V592</f>
        <v>0</v>
      </c>
      <c r="AP592" s="9" t="n">
        <f aca="false">AD592*$V592</f>
        <v>0</v>
      </c>
      <c r="AQ592" s="9" t="n">
        <f aca="false">AE592*$V592</f>
        <v>0</v>
      </c>
      <c r="AR592" s="9" t="n">
        <f aca="false">AF592*$V592</f>
        <v>44880</v>
      </c>
      <c r="AS592" s="9" t="n">
        <f aca="false">AG592*$V592</f>
        <v>44880</v>
      </c>
      <c r="AT592" s="9" t="n">
        <f aca="false">AH592*$V592</f>
        <v>44880</v>
      </c>
      <c r="AU592" s="9" t="n">
        <f aca="false">AI592*$V592</f>
        <v>44880</v>
      </c>
      <c r="AV592" s="9" t="n">
        <f aca="false">SUM(X592:AI592)/1000</f>
        <v>105</v>
      </c>
      <c r="AW592" s="9" t="n">
        <f aca="false">SUM(AJ592:AU592)</f>
        <v>314160</v>
      </c>
      <c r="AX592" s="9" t="n">
        <f aca="false">IF(D592="INR",AW592/88.24,AW592)/1000000</f>
        <v>0.00356029011786038</v>
      </c>
    </row>
    <row r="593" s="2" customFormat="true" ht="14.25" hidden="false" customHeight="false" outlineLevel="0" collapsed="false">
      <c r="A593" s="12" t="s">
        <v>1275</v>
      </c>
      <c r="B593" s="16" t="n">
        <v>5</v>
      </c>
      <c r="C593" s="15"/>
      <c r="D593" s="16" t="s">
        <v>50</v>
      </c>
      <c r="E593" s="16" t="s">
        <v>51</v>
      </c>
      <c r="F593" s="16" t="s">
        <v>52</v>
      </c>
      <c r="G593" s="16" t="s">
        <v>65</v>
      </c>
      <c r="H593" s="16" t="s">
        <v>66</v>
      </c>
      <c r="I593" s="16" t="s">
        <v>55</v>
      </c>
      <c r="J593" s="16" t="s">
        <v>56</v>
      </c>
      <c r="K593" s="16"/>
      <c r="L593" s="16" t="s">
        <v>55</v>
      </c>
      <c r="M593" s="16" t="s">
        <v>56</v>
      </c>
      <c r="N593" s="16" t="s">
        <v>67</v>
      </c>
      <c r="O593" s="16" t="s">
        <v>68</v>
      </c>
      <c r="P593" s="16" t="s">
        <v>283</v>
      </c>
      <c r="Q593" s="16" t="s">
        <v>283</v>
      </c>
      <c r="R593" s="16" t="s">
        <v>81</v>
      </c>
      <c r="S593" s="16" t="s">
        <v>264</v>
      </c>
      <c r="T593" s="16" t="s">
        <v>1276</v>
      </c>
      <c r="U593" s="16" t="s">
        <v>73</v>
      </c>
      <c r="V593" s="16" t="n">
        <v>8.85</v>
      </c>
      <c r="W593" s="16" t="n">
        <v>7.5</v>
      </c>
      <c r="X593" s="22" t="n">
        <v>5000</v>
      </c>
      <c r="Y593" s="22"/>
      <c r="Z593" s="22" t="n">
        <v>5000</v>
      </c>
      <c r="AA593" s="22"/>
      <c r="AB593" s="22" t="n">
        <v>5000</v>
      </c>
      <c r="AC593" s="22"/>
      <c r="AD593" s="22" t="n">
        <v>5000</v>
      </c>
      <c r="AE593" s="22"/>
      <c r="AF593" s="22" t="n">
        <v>5000</v>
      </c>
      <c r="AG593" s="22"/>
      <c r="AH593" s="22" t="n">
        <v>5000</v>
      </c>
      <c r="AI593" s="22"/>
      <c r="AJ593" s="9" t="n">
        <f aca="false">X593*$V593</f>
        <v>44250</v>
      </c>
      <c r="AK593" s="9" t="n">
        <f aca="false">Y593*$V593</f>
        <v>0</v>
      </c>
      <c r="AL593" s="9" t="n">
        <f aca="false">Z593*$V593</f>
        <v>44250</v>
      </c>
      <c r="AM593" s="9" t="n">
        <f aca="false">AA593*$V593</f>
        <v>0</v>
      </c>
      <c r="AN593" s="9" t="n">
        <f aca="false">AB593*$V593</f>
        <v>44250</v>
      </c>
      <c r="AO593" s="9" t="n">
        <f aca="false">AC593*$V593</f>
        <v>0</v>
      </c>
      <c r="AP593" s="9" t="n">
        <f aca="false">AD593*$V593</f>
        <v>44250</v>
      </c>
      <c r="AQ593" s="9" t="n">
        <f aca="false">AE593*$V593</f>
        <v>0</v>
      </c>
      <c r="AR593" s="9" t="n">
        <f aca="false">AF593*$V593</f>
        <v>44250</v>
      </c>
      <c r="AS593" s="9" t="n">
        <f aca="false">AG593*$V593</f>
        <v>0</v>
      </c>
      <c r="AT593" s="9" t="n">
        <f aca="false">AH593*$V593</f>
        <v>44250</v>
      </c>
      <c r="AU593" s="9" t="n">
        <f aca="false">AI593*$V593</f>
        <v>0</v>
      </c>
      <c r="AV593" s="9" t="n">
        <f aca="false">SUM(X593:AI593)/1000</f>
        <v>30</v>
      </c>
      <c r="AW593" s="9" t="n">
        <f aca="false">SUM(AJ593:AU593)</f>
        <v>265500</v>
      </c>
      <c r="AX593" s="9" t="n">
        <f aca="false">IF(D593="INR",AW593/88.24,AW593)/1000000</f>
        <v>0.00300883952855848</v>
      </c>
    </row>
    <row r="594" s="2" customFormat="true" ht="14.25" hidden="false" customHeight="false" outlineLevel="0" collapsed="false">
      <c r="A594" s="12" t="s">
        <v>1277</v>
      </c>
      <c r="B594" s="16" t="n">
        <v>5</v>
      </c>
      <c r="C594" s="15"/>
      <c r="D594" s="16" t="s">
        <v>102</v>
      </c>
      <c r="E594" s="16" t="s">
        <v>51</v>
      </c>
      <c r="F594" s="16" t="s">
        <v>52</v>
      </c>
      <c r="G594" s="16" t="s">
        <v>391</v>
      </c>
      <c r="H594" s="16" t="s">
        <v>392</v>
      </c>
      <c r="I594" s="16" t="s">
        <v>298</v>
      </c>
      <c r="J594" s="16" t="s">
        <v>1053</v>
      </c>
      <c r="K594" s="16" t="s">
        <v>1240</v>
      </c>
      <c r="L594" s="16" t="s">
        <v>260</v>
      </c>
      <c r="M594" s="16" t="s">
        <v>1241</v>
      </c>
      <c r="N594" s="16" t="s">
        <v>93</v>
      </c>
      <c r="O594" s="16" t="s">
        <v>58</v>
      </c>
      <c r="P594" s="16" t="s">
        <v>199</v>
      </c>
      <c r="Q594" s="16" t="s">
        <v>199</v>
      </c>
      <c r="R594" s="16" t="s">
        <v>377</v>
      </c>
      <c r="S594" s="16" t="s">
        <v>528</v>
      </c>
      <c r="T594" s="16" t="s">
        <v>1278</v>
      </c>
      <c r="U594" s="16" t="s">
        <v>73</v>
      </c>
      <c r="V594" s="15" t="n">
        <v>0.081</v>
      </c>
      <c r="W594" s="48" t="n">
        <v>0.072</v>
      </c>
      <c r="X594" s="16" t="n">
        <v>12000</v>
      </c>
      <c r="Y594" s="16" t="n">
        <v>12000</v>
      </c>
      <c r="Z594" s="16" t="n">
        <v>20000</v>
      </c>
      <c r="AA594" s="16" t="n">
        <v>12000</v>
      </c>
      <c r="AB594" s="16" t="n">
        <v>12000</v>
      </c>
      <c r="AC594" s="16" t="n">
        <v>12000</v>
      </c>
      <c r="AD594" s="16" t="n">
        <v>12000</v>
      </c>
      <c r="AE594" s="16" t="n">
        <v>12000</v>
      </c>
      <c r="AF594" s="16" t="n">
        <v>12000</v>
      </c>
      <c r="AG594" s="16" t="n">
        <v>12000</v>
      </c>
      <c r="AH594" s="16" t="n">
        <v>12000</v>
      </c>
      <c r="AI594" s="16" t="n">
        <v>12000</v>
      </c>
      <c r="AJ594" s="9" t="n">
        <f aca="false">X594*$V594</f>
        <v>972</v>
      </c>
      <c r="AK594" s="9" t="n">
        <f aca="false">Y594*$V594</f>
        <v>972</v>
      </c>
      <c r="AL594" s="9" t="n">
        <f aca="false">Z594*$V594</f>
        <v>1620</v>
      </c>
      <c r="AM594" s="9" t="n">
        <f aca="false">AA594*$V594</f>
        <v>972</v>
      </c>
      <c r="AN594" s="9" t="n">
        <f aca="false">AB594*$V594</f>
        <v>972</v>
      </c>
      <c r="AO594" s="9" t="n">
        <f aca="false">AC594*$V594</f>
        <v>972</v>
      </c>
      <c r="AP594" s="9" t="n">
        <f aca="false">AD594*$V594</f>
        <v>972</v>
      </c>
      <c r="AQ594" s="9" t="n">
        <f aca="false">AE594*$V594</f>
        <v>972</v>
      </c>
      <c r="AR594" s="9" t="n">
        <f aca="false">AF594*$V594</f>
        <v>972</v>
      </c>
      <c r="AS594" s="9" t="n">
        <f aca="false">AG594*$V594</f>
        <v>972</v>
      </c>
      <c r="AT594" s="9" t="n">
        <f aca="false">AH594*$V594</f>
        <v>972</v>
      </c>
      <c r="AU594" s="9" t="n">
        <f aca="false">AI594*$V594</f>
        <v>972</v>
      </c>
      <c r="AV594" s="9" t="n">
        <f aca="false">SUM(X594:AI594)/1000</f>
        <v>152</v>
      </c>
      <c r="AW594" s="9" t="n">
        <f aca="false">SUM(AJ594:AU594)</f>
        <v>12312</v>
      </c>
      <c r="AX594" s="9" t="n">
        <f aca="false">IF(D594="INR",AW594/88.24,AW594)/1000000</f>
        <v>0.012312</v>
      </c>
    </row>
    <row r="595" s="2" customFormat="true" ht="14.25" hidden="false" customHeight="false" outlineLevel="0" collapsed="false">
      <c r="A595" s="12" t="s">
        <v>1279</v>
      </c>
      <c r="B595" s="16" t="n">
        <v>5</v>
      </c>
      <c r="C595" s="15"/>
      <c r="D595" s="16" t="s">
        <v>102</v>
      </c>
      <c r="E595" s="16" t="s">
        <v>51</v>
      </c>
      <c r="F595" s="16" t="s">
        <v>52</v>
      </c>
      <c r="G595" s="16" t="s">
        <v>391</v>
      </c>
      <c r="H595" s="16" t="s">
        <v>392</v>
      </c>
      <c r="I595" s="16" t="s">
        <v>298</v>
      </c>
      <c r="J595" s="16" t="s">
        <v>1053</v>
      </c>
      <c r="K595" s="16"/>
      <c r="L595" s="16" t="s">
        <v>298</v>
      </c>
      <c r="M595" s="16" t="s">
        <v>1053</v>
      </c>
      <c r="N595" s="16" t="s">
        <v>93</v>
      </c>
      <c r="O595" s="16" t="s">
        <v>58</v>
      </c>
      <c r="P595" s="16" t="s">
        <v>199</v>
      </c>
      <c r="Q595" s="16" t="s">
        <v>199</v>
      </c>
      <c r="R595" s="16" t="s">
        <v>377</v>
      </c>
      <c r="S595" s="16" t="s">
        <v>528</v>
      </c>
      <c r="T595" s="16" t="s">
        <v>1280</v>
      </c>
      <c r="U595" s="16" t="s">
        <v>73</v>
      </c>
      <c r="V595" s="16" t="n">
        <v>0.075</v>
      </c>
      <c r="W595" s="16" t="n">
        <v>0.068</v>
      </c>
      <c r="X595" s="16" t="n">
        <v>12000</v>
      </c>
      <c r="Y595" s="16" t="n">
        <v>12000</v>
      </c>
      <c r="Z595" s="16" t="n">
        <v>12000</v>
      </c>
      <c r="AA595" s="16" t="n">
        <v>12000</v>
      </c>
      <c r="AB595" s="16" t="n">
        <v>12000</v>
      </c>
      <c r="AC595" s="16" t="n">
        <v>12000</v>
      </c>
      <c r="AD595" s="16" t="n">
        <v>12000</v>
      </c>
      <c r="AE595" s="16" t="n">
        <v>12000</v>
      </c>
      <c r="AF595" s="16" t="n">
        <v>12000</v>
      </c>
      <c r="AG595" s="16" t="n">
        <v>12000</v>
      </c>
      <c r="AH595" s="16" t="n">
        <v>12000</v>
      </c>
      <c r="AI595" s="16" t="n">
        <v>20000</v>
      </c>
      <c r="AJ595" s="9" t="n">
        <f aca="false">X595*$V595</f>
        <v>900</v>
      </c>
      <c r="AK595" s="9" t="n">
        <f aca="false">Y595*$V595</f>
        <v>900</v>
      </c>
      <c r="AL595" s="9" t="n">
        <f aca="false">Z595*$V595</f>
        <v>900</v>
      </c>
      <c r="AM595" s="9" t="n">
        <f aca="false">AA595*$V595</f>
        <v>900</v>
      </c>
      <c r="AN595" s="9" t="n">
        <f aca="false">AB595*$V595</f>
        <v>900</v>
      </c>
      <c r="AO595" s="9" t="n">
        <f aca="false">AC595*$V595</f>
        <v>900</v>
      </c>
      <c r="AP595" s="9" t="n">
        <f aca="false">AD595*$V595</f>
        <v>900</v>
      </c>
      <c r="AQ595" s="9" t="n">
        <f aca="false">AE595*$V595</f>
        <v>900</v>
      </c>
      <c r="AR595" s="9" t="n">
        <f aca="false">AF595*$V595</f>
        <v>900</v>
      </c>
      <c r="AS595" s="9" t="n">
        <f aca="false">AG595*$V595</f>
        <v>900</v>
      </c>
      <c r="AT595" s="9" t="n">
        <f aca="false">AH595*$V595</f>
        <v>900</v>
      </c>
      <c r="AU595" s="9" t="n">
        <f aca="false">AI595*$V595</f>
        <v>1500</v>
      </c>
      <c r="AV595" s="9" t="n">
        <f aca="false">SUM(X595:AI595)/1000</f>
        <v>152</v>
      </c>
      <c r="AW595" s="9" t="n">
        <f aca="false">SUM(AJ595:AU595)</f>
        <v>11400</v>
      </c>
      <c r="AX595" s="9" t="n">
        <f aca="false">IF(D595="INR",AW595/88.24,AW595)/1000000</f>
        <v>0.0114</v>
      </c>
    </row>
    <row r="596" s="2" customFormat="true" ht="14.25" hidden="false" customHeight="false" outlineLevel="0" collapsed="false">
      <c r="A596" s="12" t="s">
        <v>1281</v>
      </c>
      <c r="B596" s="16" t="n">
        <v>5</v>
      </c>
      <c r="C596" s="15"/>
      <c r="D596" s="16" t="s">
        <v>102</v>
      </c>
      <c r="E596" s="16" t="s">
        <v>51</v>
      </c>
      <c r="F596" s="16" t="s">
        <v>52</v>
      </c>
      <c r="G596" s="16" t="s">
        <v>391</v>
      </c>
      <c r="H596" s="16" t="s">
        <v>392</v>
      </c>
      <c r="I596" s="16" t="s">
        <v>298</v>
      </c>
      <c r="J596" s="16" t="s">
        <v>1053</v>
      </c>
      <c r="K596" s="16"/>
      <c r="L596" s="16" t="s">
        <v>298</v>
      </c>
      <c r="M596" s="16" t="s">
        <v>1053</v>
      </c>
      <c r="N596" s="16" t="s">
        <v>93</v>
      </c>
      <c r="O596" s="16" t="s">
        <v>58</v>
      </c>
      <c r="P596" s="16" t="s">
        <v>199</v>
      </c>
      <c r="Q596" s="16" t="s">
        <v>199</v>
      </c>
      <c r="R596" s="16" t="s">
        <v>377</v>
      </c>
      <c r="S596" s="16" t="s">
        <v>528</v>
      </c>
      <c r="T596" s="16" t="s">
        <v>1282</v>
      </c>
      <c r="U596" s="16" t="s">
        <v>73</v>
      </c>
      <c r="V596" s="16" t="n">
        <v>0.056</v>
      </c>
      <c r="W596" s="16" t="n">
        <v>0.05103</v>
      </c>
      <c r="X596" s="16" t="n">
        <v>12000</v>
      </c>
      <c r="Y596" s="16" t="n">
        <v>12000</v>
      </c>
      <c r="Z596" s="16" t="n">
        <v>20000</v>
      </c>
      <c r="AA596" s="16" t="n">
        <v>12000</v>
      </c>
      <c r="AB596" s="16" t="n">
        <v>12000</v>
      </c>
      <c r="AC596" s="16" t="n">
        <v>12000</v>
      </c>
      <c r="AD596" s="16" t="n">
        <v>12000</v>
      </c>
      <c r="AE596" s="16" t="n">
        <v>12000</v>
      </c>
      <c r="AF596" s="16" t="n">
        <v>12000</v>
      </c>
      <c r="AG596" s="16" t="n">
        <v>12000</v>
      </c>
      <c r="AH596" s="16" t="n">
        <v>12000</v>
      </c>
      <c r="AI596" s="16" t="n">
        <v>12000</v>
      </c>
      <c r="AJ596" s="9" t="n">
        <f aca="false">X596*$V596</f>
        <v>672</v>
      </c>
      <c r="AK596" s="9" t="n">
        <f aca="false">Y596*$V596</f>
        <v>672</v>
      </c>
      <c r="AL596" s="9" t="n">
        <f aca="false">Z596*$V596</f>
        <v>1120</v>
      </c>
      <c r="AM596" s="9" t="n">
        <f aca="false">AA596*$V596</f>
        <v>672</v>
      </c>
      <c r="AN596" s="9" t="n">
        <f aca="false">AB596*$V596</f>
        <v>672</v>
      </c>
      <c r="AO596" s="9" t="n">
        <f aca="false">AC596*$V596</f>
        <v>672</v>
      </c>
      <c r="AP596" s="9" t="n">
        <f aca="false">AD596*$V596</f>
        <v>672</v>
      </c>
      <c r="AQ596" s="9" t="n">
        <f aca="false">AE596*$V596</f>
        <v>672</v>
      </c>
      <c r="AR596" s="9" t="n">
        <f aca="false">AF596*$V596</f>
        <v>672</v>
      </c>
      <c r="AS596" s="9" t="n">
        <f aca="false">AG596*$V596</f>
        <v>672</v>
      </c>
      <c r="AT596" s="9" t="n">
        <f aca="false">AH596*$V596</f>
        <v>672</v>
      </c>
      <c r="AU596" s="9" t="n">
        <f aca="false">AI596*$V596</f>
        <v>672</v>
      </c>
      <c r="AV596" s="9" t="n">
        <f aca="false">SUM(X596:AI596)/1000</f>
        <v>152</v>
      </c>
      <c r="AW596" s="9" t="n">
        <f aca="false">SUM(AJ596:AU596)</f>
        <v>8512</v>
      </c>
      <c r="AX596" s="9" t="n">
        <f aca="false">IF(D596="INR",AW596/88.24,AW596)/1000000</f>
        <v>0.008512</v>
      </c>
    </row>
    <row r="597" s="2" customFormat="true" ht="14.25" hidden="false" customHeight="false" outlineLevel="0" collapsed="false">
      <c r="A597" s="12" t="s">
        <v>1283</v>
      </c>
      <c r="B597" s="16"/>
      <c r="C597" s="15" t="n">
        <v>5</v>
      </c>
      <c r="D597" s="16" t="s">
        <v>50</v>
      </c>
      <c r="E597" s="16" t="s">
        <v>51</v>
      </c>
      <c r="F597" s="16" t="s">
        <v>52</v>
      </c>
      <c r="G597" s="16" t="s">
        <v>1284</v>
      </c>
      <c r="H597" s="16" t="s">
        <v>1285</v>
      </c>
      <c r="I597" s="16" t="s">
        <v>260</v>
      </c>
      <c r="J597" s="16" t="s">
        <v>276</v>
      </c>
      <c r="K597" s="16"/>
      <c r="L597" s="16" t="s">
        <v>260</v>
      </c>
      <c r="M597" s="16" t="s">
        <v>276</v>
      </c>
      <c r="N597" s="16" t="s">
        <v>290</v>
      </c>
      <c r="O597" s="16" t="s">
        <v>107</v>
      </c>
      <c r="P597" s="16" t="s">
        <v>182</v>
      </c>
      <c r="Q597" s="16" t="s">
        <v>182</v>
      </c>
      <c r="R597" s="16" t="s">
        <v>875</v>
      </c>
      <c r="S597" s="16" t="s">
        <v>363</v>
      </c>
      <c r="T597" s="16" t="s">
        <v>1286</v>
      </c>
      <c r="U597" s="16" t="s">
        <v>73</v>
      </c>
      <c r="V597" s="16" t="n">
        <v>5.4</v>
      </c>
      <c r="W597" s="16" t="n">
        <v>4.615</v>
      </c>
      <c r="X597" s="16"/>
      <c r="Y597" s="16"/>
      <c r="Z597" s="16" t="n">
        <v>8000</v>
      </c>
      <c r="AA597" s="16"/>
      <c r="AB597" s="16"/>
      <c r="AC597" s="16"/>
      <c r="AD597" s="16" t="n">
        <v>8000</v>
      </c>
      <c r="AE597" s="16"/>
      <c r="AF597" s="16"/>
      <c r="AG597" s="16"/>
      <c r="AH597" s="16"/>
      <c r="AI597" s="16" t="n">
        <v>8000</v>
      </c>
      <c r="AJ597" s="9" t="n">
        <f aca="false">X597*$V597</f>
        <v>0</v>
      </c>
      <c r="AK597" s="9" t="n">
        <f aca="false">Y597*$V597</f>
        <v>0</v>
      </c>
      <c r="AL597" s="9" t="n">
        <f aca="false">Z597*$V597</f>
        <v>43200</v>
      </c>
      <c r="AM597" s="9" t="n">
        <f aca="false">AA597*$V597</f>
        <v>0</v>
      </c>
      <c r="AN597" s="9" t="n">
        <f aca="false">AB597*$V597</f>
        <v>0</v>
      </c>
      <c r="AO597" s="9" t="n">
        <f aca="false">AC597*$V597</f>
        <v>0</v>
      </c>
      <c r="AP597" s="9" t="n">
        <f aca="false">AD597*$V597</f>
        <v>43200</v>
      </c>
      <c r="AQ597" s="9" t="n">
        <f aca="false">AE597*$V597</f>
        <v>0</v>
      </c>
      <c r="AR597" s="9" t="n">
        <f aca="false">AF597*$V597</f>
        <v>0</v>
      </c>
      <c r="AS597" s="9" t="n">
        <f aca="false">AG597*$V597</f>
        <v>0</v>
      </c>
      <c r="AT597" s="9" t="n">
        <f aca="false">AH597*$V597</f>
        <v>0</v>
      </c>
      <c r="AU597" s="9" t="n">
        <f aca="false">AI597*$V597</f>
        <v>43200</v>
      </c>
      <c r="AV597" s="9" t="n">
        <f aca="false">SUM(X597:AI597)/1000</f>
        <v>24</v>
      </c>
      <c r="AW597" s="9" t="n">
        <f aca="false">SUM(AJ597:AU597)</f>
        <v>129600</v>
      </c>
      <c r="AX597" s="9" t="n">
        <f aca="false">IF(D597="INR",AW597/88.24,AW597)/1000000</f>
        <v>0.0014687216681777</v>
      </c>
    </row>
    <row r="598" s="2" customFormat="true" ht="14.25" hidden="false" customHeight="false" outlineLevel="0" collapsed="false">
      <c r="A598" s="12" t="s">
        <v>1287</v>
      </c>
      <c r="B598" s="16" t="n">
        <v>5</v>
      </c>
      <c r="C598" s="15"/>
      <c r="D598" s="16" t="s">
        <v>50</v>
      </c>
      <c r="E598" s="16" t="s">
        <v>51</v>
      </c>
      <c r="F598" s="16" t="s">
        <v>243</v>
      </c>
      <c r="G598" s="16" t="s">
        <v>1271</v>
      </c>
      <c r="H598" s="16" t="s">
        <v>1272</v>
      </c>
      <c r="I598" s="16" t="s">
        <v>105</v>
      </c>
      <c r="J598" s="16" t="s">
        <v>368</v>
      </c>
      <c r="K598" s="16"/>
      <c r="L598" s="16" t="s">
        <v>105</v>
      </c>
      <c r="M598" s="16" t="s">
        <v>368</v>
      </c>
      <c r="N598" s="16" t="s">
        <v>93</v>
      </c>
      <c r="O598" s="16" t="s">
        <v>246</v>
      </c>
      <c r="P598" s="16" t="s">
        <v>308</v>
      </c>
      <c r="Q598" s="16" t="s">
        <v>308</v>
      </c>
      <c r="R598" s="16" t="s">
        <v>309</v>
      </c>
      <c r="S598" s="16" t="s">
        <v>264</v>
      </c>
      <c r="T598" s="16" t="s">
        <v>513</v>
      </c>
      <c r="U598" s="16" t="s">
        <v>73</v>
      </c>
      <c r="V598" s="16" t="n">
        <v>0.43</v>
      </c>
      <c r="W598" s="16" t="n">
        <v>0.39</v>
      </c>
      <c r="X598" s="22" t="n">
        <v>100000</v>
      </c>
      <c r="Y598" s="16"/>
      <c r="Z598" s="16" t="n">
        <v>100000</v>
      </c>
      <c r="AA598" s="16"/>
      <c r="AB598" s="16" t="n">
        <v>100000</v>
      </c>
      <c r="AC598" s="16"/>
      <c r="AD598" s="16" t="n">
        <v>100000</v>
      </c>
      <c r="AE598" s="16"/>
      <c r="AF598" s="16" t="n">
        <v>100000</v>
      </c>
      <c r="AG598" s="16"/>
      <c r="AH598" s="16"/>
      <c r="AI598" s="16" t="n">
        <v>100000</v>
      </c>
      <c r="AJ598" s="9" t="n">
        <f aca="false">X598*$V598</f>
        <v>43000</v>
      </c>
      <c r="AK598" s="9" t="n">
        <f aca="false">Y598*$V598</f>
        <v>0</v>
      </c>
      <c r="AL598" s="9" t="n">
        <f aca="false">Z598*$V598</f>
        <v>43000</v>
      </c>
      <c r="AM598" s="9" t="n">
        <f aca="false">AA598*$V598</f>
        <v>0</v>
      </c>
      <c r="AN598" s="9" t="n">
        <f aca="false">AB598*$V598</f>
        <v>43000</v>
      </c>
      <c r="AO598" s="9" t="n">
        <f aca="false">AC598*$V598</f>
        <v>0</v>
      </c>
      <c r="AP598" s="9" t="n">
        <f aca="false">AD598*$V598</f>
        <v>43000</v>
      </c>
      <c r="AQ598" s="9" t="n">
        <f aca="false">AE598*$V598</f>
        <v>0</v>
      </c>
      <c r="AR598" s="9" t="n">
        <f aca="false">AF598*$V598</f>
        <v>43000</v>
      </c>
      <c r="AS598" s="9" t="n">
        <f aca="false">AG598*$V598</f>
        <v>0</v>
      </c>
      <c r="AT598" s="9" t="n">
        <f aca="false">AH598*$V598</f>
        <v>0</v>
      </c>
      <c r="AU598" s="9" t="n">
        <f aca="false">AI598*$V598</f>
        <v>43000</v>
      </c>
      <c r="AV598" s="9" t="n">
        <f aca="false">SUM(X598:AI598)/1000</f>
        <v>600</v>
      </c>
      <c r="AW598" s="9" t="n">
        <f aca="false">SUM(AJ598:AU598)</f>
        <v>258000</v>
      </c>
      <c r="AX598" s="9" t="n">
        <f aca="false">IF(D598="INR",AW598/88.24,AW598)/1000000</f>
        <v>0.00292384406165005</v>
      </c>
    </row>
    <row r="599" s="2" customFormat="true" ht="16.4" hidden="false" customHeight="false" outlineLevel="0" collapsed="false">
      <c r="A599" s="35" t="s">
        <v>1288</v>
      </c>
      <c r="B599" s="9" t="n">
        <v>5</v>
      </c>
      <c r="C599" s="10"/>
      <c r="D599" s="16" t="s">
        <v>50</v>
      </c>
      <c r="E599" s="16" t="s">
        <v>51</v>
      </c>
      <c r="F599" s="16" t="s">
        <v>404</v>
      </c>
      <c r="G599" s="16" t="s">
        <v>405</v>
      </c>
      <c r="H599" s="16" t="s">
        <v>406</v>
      </c>
      <c r="I599" s="16" t="s">
        <v>105</v>
      </c>
      <c r="J599" s="16" t="s">
        <v>368</v>
      </c>
      <c r="K599" s="16"/>
      <c r="L599" s="16" t="s">
        <v>105</v>
      </c>
      <c r="M599" s="16" t="s">
        <v>368</v>
      </c>
      <c r="N599" s="16" t="s">
        <v>271</v>
      </c>
      <c r="O599" s="16" t="s">
        <v>94</v>
      </c>
      <c r="P599" s="9" t="s">
        <v>308</v>
      </c>
      <c r="Q599" s="9" t="s">
        <v>308</v>
      </c>
      <c r="R599" s="9" t="s">
        <v>309</v>
      </c>
      <c r="S599" s="9" t="s">
        <v>264</v>
      </c>
      <c r="T599" s="9" t="s">
        <v>1289</v>
      </c>
      <c r="U599" s="9" t="s">
        <v>73</v>
      </c>
      <c r="V599" s="36" t="n">
        <v>1.06</v>
      </c>
      <c r="W599" s="9" t="n">
        <v>0.92</v>
      </c>
      <c r="X599" s="22"/>
      <c r="Y599" s="9" t="n">
        <v>40000</v>
      </c>
      <c r="Z599" s="9" t="n">
        <v>40000</v>
      </c>
      <c r="AA599" s="9"/>
      <c r="AB599" s="9" t="n">
        <v>40000</v>
      </c>
      <c r="AC599" s="9"/>
      <c r="AD599" s="9" t="n">
        <v>40000</v>
      </c>
      <c r="AE599" s="9"/>
      <c r="AF599" s="9"/>
      <c r="AG599" s="9" t="n">
        <v>40000</v>
      </c>
      <c r="AH599" s="9"/>
      <c r="AI599" s="9" t="n">
        <v>40000</v>
      </c>
      <c r="AJ599" s="9" t="n">
        <f aca="false">X599*$V599</f>
        <v>0</v>
      </c>
      <c r="AK599" s="9" t="n">
        <f aca="false">Y599*$V599</f>
        <v>42400</v>
      </c>
      <c r="AL599" s="9" t="n">
        <f aca="false">Z599*$V599</f>
        <v>42400</v>
      </c>
      <c r="AM599" s="9" t="n">
        <f aca="false">AA599*$V599</f>
        <v>0</v>
      </c>
      <c r="AN599" s="9" t="n">
        <f aca="false">AB599*$V599</f>
        <v>42400</v>
      </c>
      <c r="AO599" s="9" t="n">
        <f aca="false">AC599*$V599</f>
        <v>0</v>
      </c>
      <c r="AP599" s="9" t="n">
        <f aca="false">AD599*$V599</f>
        <v>42400</v>
      </c>
      <c r="AQ599" s="9" t="n">
        <f aca="false">AE599*$V599</f>
        <v>0</v>
      </c>
      <c r="AR599" s="9" t="n">
        <f aca="false">AF599*$V599</f>
        <v>0</v>
      </c>
      <c r="AS599" s="9" t="n">
        <f aca="false">AG599*$V599</f>
        <v>42400</v>
      </c>
      <c r="AT599" s="9" t="n">
        <f aca="false">AH599*$V599</f>
        <v>0</v>
      </c>
      <c r="AU599" s="9" t="n">
        <f aca="false">AI599*$V599</f>
        <v>42400</v>
      </c>
      <c r="AV599" s="9" t="n">
        <f aca="false">SUM(X599:AI599)/1000</f>
        <v>240</v>
      </c>
      <c r="AW599" s="9" t="n">
        <f aca="false">SUM(AJ599:AU599)</f>
        <v>254400</v>
      </c>
      <c r="AX599" s="9" t="n">
        <f aca="false">IF(D599="INR",AW599/88.24,AW599)/1000000</f>
        <v>0.002883046237534</v>
      </c>
    </row>
    <row r="600" s="2" customFormat="true" ht="14.25" hidden="false" customHeight="false" outlineLevel="0" collapsed="false">
      <c r="A600" s="12" t="s">
        <v>1290</v>
      </c>
      <c r="B600" s="16" t="n">
        <v>5</v>
      </c>
      <c r="C600" s="15"/>
      <c r="D600" s="16" t="s">
        <v>102</v>
      </c>
      <c r="E600" s="16" t="s">
        <v>51</v>
      </c>
      <c r="F600" s="16" t="s">
        <v>52</v>
      </c>
      <c r="G600" s="16" t="s">
        <v>391</v>
      </c>
      <c r="H600" s="16" t="s">
        <v>392</v>
      </c>
      <c r="I600" s="16" t="s">
        <v>298</v>
      </c>
      <c r="J600" s="16" t="s">
        <v>1053</v>
      </c>
      <c r="K600" s="16"/>
      <c r="L600" s="16" t="s">
        <v>298</v>
      </c>
      <c r="M600" s="16" t="s">
        <v>1053</v>
      </c>
      <c r="N600" s="16" t="s">
        <v>93</v>
      </c>
      <c r="O600" s="16" t="s">
        <v>58</v>
      </c>
      <c r="P600" s="16" t="s">
        <v>199</v>
      </c>
      <c r="Q600" s="16" t="s">
        <v>199</v>
      </c>
      <c r="R600" s="16" t="s">
        <v>377</v>
      </c>
      <c r="S600" s="16" t="s">
        <v>528</v>
      </c>
      <c r="T600" s="16" t="s">
        <v>1291</v>
      </c>
      <c r="U600" s="16" t="s">
        <v>73</v>
      </c>
      <c r="V600" s="16" t="n">
        <v>0.585</v>
      </c>
      <c r="W600" s="16" t="n">
        <v>0.53</v>
      </c>
      <c r="X600" s="16" t="n">
        <v>6000</v>
      </c>
      <c r="Y600" s="16" t="n">
        <v>6000</v>
      </c>
      <c r="Z600" s="16" t="n">
        <v>6000</v>
      </c>
      <c r="AA600" s="16" t="n">
        <v>6000</v>
      </c>
      <c r="AB600" s="16" t="n">
        <v>6000</v>
      </c>
      <c r="AC600" s="16" t="n">
        <v>6000</v>
      </c>
      <c r="AD600" s="16" t="n">
        <v>6000</v>
      </c>
      <c r="AE600" s="16" t="n">
        <v>6000</v>
      </c>
      <c r="AF600" s="16" t="n">
        <v>6000</v>
      </c>
      <c r="AG600" s="16" t="n">
        <v>6000</v>
      </c>
      <c r="AH600" s="16" t="n">
        <v>6000</v>
      </c>
      <c r="AI600" s="16" t="n">
        <v>6000</v>
      </c>
      <c r="AJ600" s="9" t="n">
        <f aca="false">X600*$V600</f>
        <v>3510</v>
      </c>
      <c r="AK600" s="9" t="n">
        <f aca="false">Y600*$V600</f>
        <v>3510</v>
      </c>
      <c r="AL600" s="9" t="n">
        <f aca="false">Z600*$V600</f>
        <v>3510</v>
      </c>
      <c r="AM600" s="9" t="n">
        <f aca="false">AA600*$V600</f>
        <v>3510</v>
      </c>
      <c r="AN600" s="9" t="n">
        <f aca="false">AB600*$V600</f>
        <v>3510</v>
      </c>
      <c r="AO600" s="9" t="n">
        <f aca="false">AC600*$V600</f>
        <v>3510</v>
      </c>
      <c r="AP600" s="9" t="n">
        <f aca="false">AD600*$V600</f>
        <v>3510</v>
      </c>
      <c r="AQ600" s="9" t="n">
        <f aca="false">AE600*$V600</f>
        <v>3510</v>
      </c>
      <c r="AR600" s="9" t="n">
        <f aca="false">AF600*$V600</f>
        <v>3510</v>
      </c>
      <c r="AS600" s="9" t="n">
        <f aca="false">AG600*$V600</f>
        <v>3510</v>
      </c>
      <c r="AT600" s="9" t="n">
        <f aca="false">AH600*$V600</f>
        <v>3510</v>
      </c>
      <c r="AU600" s="9" t="n">
        <f aca="false">AI600*$V600</f>
        <v>3510</v>
      </c>
      <c r="AV600" s="9" t="n">
        <f aca="false">SUM(X600:AI600)/1000</f>
        <v>72</v>
      </c>
      <c r="AW600" s="9" t="n">
        <f aca="false">SUM(AJ600:AU600)</f>
        <v>42120</v>
      </c>
      <c r="AX600" s="9" t="n">
        <f aca="false">IF(D600="INR",AW600/88.24,AW600)/1000000</f>
        <v>0.04212</v>
      </c>
    </row>
    <row r="601" s="2" customFormat="true" ht="14.25" hidden="false" customHeight="false" outlineLevel="0" collapsed="false">
      <c r="A601" s="12" t="s">
        <v>1292</v>
      </c>
      <c r="B601" s="16"/>
      <c r="C601" s="15"/>
      <c r="D601" s="16" t="s">
        <v>50</v>
      </c>
      <c r="E601" s="16" t="s">
        <v>51</v>
      </c>
      <c r="F601" s="16" t="s">
        <v>52</v>
      </c>
      <c r="G601" s="16" t="s">
        <v>258</v>
      </c>
      <c r="H601" s="16" t="s">
        <v>259</v>
      </c>
      <c r="I601" s="16" t="s">
        <v>260</v>
      </c>
      <c r="J601" s="16" t="s">
        <v>261</v>
      </c>
      <c r="K601" s="16"/>
      <c r="L601" s="16" t="s">
        <v>260</v>
      </c>
      <c r="M601" s="16" t="s">
        <v>261</v>
      </c>
      <c r="N601" s="16" t="s">
        <v>67</v>
      </c>
      <c r="O601" s="16" t="s">
        <v>107</v>
      </c>
      <c r="P601" s="16" t="s">
        <v>283</v>
      </c>
      <c r="Q601" s="16" t="s">
        <v>283</v>
      </c>
      <c r="R601" s="16" t="s">
        <v>81</v>
      </c>
      <c r="S601" s="16" t="s">
        <v>264</v>
      </c>
      <c r="T601" s="16" t="s">
        <v>1293</v>
      </c>
      <c r="U601" s="16" t="s">
        <v>73</v>
      </c>
      <c r="V601" s="16" t="n">
        <v>2.65</v>
      </c>
      <c r="W601" s="16" t="n">
        <v>2.43</v>
      </c>
      <c r="X601" s="22" t="n">
        <v>16000</v>
      </c>
      <c r="Y601" s="22" t="n">
        <v>16000</v>
      </c>
      <c r="Z601" s="22" t="n">
        <v>16000</v>
      </c>
      <c r="AA601" s="22" t="n">
        <v>16000</v>
      </c>
      <c r="AB601" s="22" t="n">
        <v>16000</v>
      </c>
      <c r="AC601" s="22" t="n">
        <v>16000</v>
      </c>
      <c r="AD601" s="22" t="n">
        <v>16000</v>
      </c>
      <c r="AE601" s="22" t="n">
        <v>16000</v>
      </c>
      <c r="AF601" s="22" t="n">
        <v>16000</v>
      </c>
      <c r="AG601" s="22" t="n">
        <v>16000</v>
      </c>
      <c r="AH601" s="22" t="n">
        <v>16000</v>
      </c>
      <c r="AI601" s="22" t="n">
        <v>16000</v>
      </c>
      <c r="AJ601" s="9" t="n">
        <f aca="false">X601*$V601</f>
        <v>42400</v>
      </c>
      <c r="AK601" s="9" t="n">
        <f aca="false">Y601*$V601</f>
        <v>42400</v>
      </c>
      <c r="AL601" s="9" t="n">
        <f aca="false">Z601*$V601</f>
        <v>42400</v>
      </c>
      <c r="AM601" s="9" t="n">
        <f aca="false">AA601*$V601</f>
        <v>42400</v>
      </c>
      <c r="AN601" s="9" t="n">
        <f aca="false">AB601*$V601</f>
        <v>42400</v>
      </c>
      <c r="AO601" s="9" t="n">
        <f aca="false">AC601*$V601</f>
        <v>42400</v>
      </c>
      <c r="AP601" s="9" t="n">
        <f aca="false">AD601*$V601</f>
        <v>42400</v>
      </c>
      <c r="AQ601" s="9" t="n">
        <f aca="false">AE601*$V601</f>
        <v>42400</v>
      </c>
      <c r="AR601" s="9" t="n">
        <f aca="false">AF601*$V601</f>
        <v>42400</v>
      </c>
      <c r="AS601" s="9" t="n">
        <f aca="false">AG601*$V601</f>
        <v>42400</v>
      </c>
      <c r="AT601" s="9" t="n">
        <f aca="false">AH601*$V601</f>
        <v>42400</v>
      </c>
      <c r="AU601" s="9" t="n">
        <f aca="false">AI601*$V601</f>
        <v>42400</v>
      </c>
      <c r="AV601" s="9" t="n">
        <f aca="false">SUM(X601:AI601)/1000</f>
        <v>192</v>
      </c>
      <c r="AW601" s="9" t="n">
        <f aca="false">SUM(AJ601:AU601)</f>
        <v>508800</v>
      </c>
      <c r="AX601" s="9" t="n">
        <f aca="false">IF(D601="INR",AW601/88.24,AW601)/1000000</f>
        <v>0.005766092475068</v>
      </c>
    </row>
    <row r="602" s="2" customFormat="true" ht="14.25" hidden="false" customHeight="false" outlineLevel="0" collapsed="false">
      <c r="A602" s="12" t="s">
        <v>1294</v>
      </c>
      <c r="B602" s="16" t="n">
        <v>5</v>
      </c>
      <c r="C602" s="15"/>
      <c r="D602" s="16" t="s">
        <v>102</v>
      </c>
      <c r="E602" s="16" t="s">
        <v>51</v>
      </c>
      <c r="F602" s="16" t="s">
        <v>52</v>
      </c>
      <c r="G602" s="16" t="s">
        <v>391</v>
      </c>
      <c r="H602" s="16" t="s">
        <v>392</v>
      </c>
      <c r="I602" s="16" t="s">
        <v>298</v>
      </c>
      <c r="J602" s="16" t="s">
        <v>1053</v>
      </c>
      <c r="K602" s="16"/>
      <c r="L602" s="16" t="s">
        <v>298</v>
      </c>
      <c r="M602" s="16" t="s">
        <v>1053</v>
      </c>
      <c r="N602" s="16" t="s">
        <v>93</v>
      </c>
      <c r="O602" s="16" t="s">
        <v>58</v>
      </c>
      <c r="P602" s="16" t="s">
        <v>85</v>
      </c>
      <c r="Q602" s="16" t="s">
        <v>85</v>
      </c>
      <c r="R602" s="16" t="s">
        <v>86</v>
      </c>
      <c r="S602" s="16" t="s">
        <v>87</v>
      </c>
      <c r="T602" s="16" t="s">
        <v>1200</v>
      </c>
      <c r="U602" s="16" t="s">
        <v>73</v>
      </c>
      <c r="V602" s="16" t="n">
        <v>0.065</v>
      </c>
      <c r="W602" s="16" t="n">
        <v>0.058</v>
      </c>
      <c r="X602" s="22" t="n">
        <v>6000</v>
      </c>
      <c r="Y602" s="22" t="n">
        <v>6000</v>
      </c>
      <c r="Z602" s="22" t="n">
        <v>6000</v>
      </c>
      <c r="AA602" s="22" t="n">
        <v>6000</v>
      </c>
      <c r="AB602" s="22" t="n">
        <v>6000</v>
      </c>
      <c r="AC602" s="22" t="n">
        <v>6000</v>
      </c>
      <c r="AD602" s="22" t="n">
        <v>6000</v>
      </c>
      <c r="AE602" s="22" t="n">
        <v>6000</v>
      </c>
      <c r="AF602" s="22" t="n">
        <v>6000</v>
      </c>
      <c r="AG602" s="22" t="n">
        <v>6000</v>
      </c>
      <c r="AH602" s="22" t="n">
        <v>6000</v>
      </c>
      <c r="AI602" s="22" t="n">
        <v>6000</v>
      </c>
      <c r="AJ602" s="9" t="n">
        <f aca="false">X602*$V602</f>
        <v>390</v>
      </c>
      <c r="AK602" s="9" t="n">
        <f aca="false">Y602*$V602</f>
        <v>390</v>
      </c>
      <c r="AL602" s="9" t="n">
        <f aca="false">Z602*$V602</f>
        <v>390</v>
      </c>
      <c r="AM602" s="9" t="n">
        <f aca="false">AA602*$V602</f>
        <v>390</v>
      </c>
      <c r="AN602" s="9" t="n">
        <f aca="false">AB602*$V602</f>
        <v>390</v>
      </c>
      <c r="AO602" s="9" t="n">
        <f aca="false">AC602*$V602</f>
        <v>390</v>
      </c>
      <c r="AP602" s="9" t="n">
        <f aca="false">AD602*$V602</f>
        <v>390</v>
      </c>
      <c r="AQ602" s="9" t="n">
        <f aca="false">AE602*$V602</f>
        <v>390</v>
      </c>
      <c r="AR602" s="9" t="n">
        <f aca="false">AF602*$V602</f>
        <v>390</v>
      </c>
      <c r="AS602" s="9" t="n">
        <f aca="false">AG602*$V602</f>
        <v>390</v>
      </c>
      <c r="AT602" s="9" t="n">
        <f aca="false">AH602*$V602</f>
        <v>390</v>
      </c>
      <c r="AU602" s="9" t="n">
        <f aca="false">AI602*$V602</f>
        <v>390</v>
      </c>
      <c r="AV602" s="9" t="n">
        <f aca="false">SUM(X602:AI602)/1000</f>
        <v>72</v>
      </c>
      <c r="AW602" s="9" t="n">
        <f aca="false">SUM(AJ602:AU602)</f>
        <v>4680</v>
      </c>
      <c r="AX602" s="9" t="n">
        <f aca="false">IF(D602="INR",AW602/88.24,AW602)/1000000</f>
        <v>0.00468</v>
      </c>
    </row>
    <row r="603" s="2" customFormat="true" ht="14.25" hidden="false" customHeight="false" outlineLevel="0" collapsed="false">
      <c r="A603" s="12" t="s">
        <v>1295</v>
      </c>
      <c r="B603" s="16"/>
      <c r="C603" s="15"/>
      <c r="D603" s="16" t="s">
        <v>102</v>
      </c>
      <c r="E603" s="16" t="s">
        <v>51</v>
      </c>
      <c r="F603" s="16" t="s">
        <v>52</v>
      </c>
      <c r="G603" s="16" t="s">
        <v>391</v>
      </c>
      <c r="H603" s="16" t="s">
        <v>392</v>
      </c>
      <c r="I603" s="16" t="s">
        <v>298</v>
      </c>
      <c r="J603" s="16" t="s">
        <v>1053</v>
      </c>
      <c r="K603" s="16"/>
      <c r="L603" s="16" t="s">
        <v>298</v>
      </c>
      <c r="M603" s="16" t="s">
        <v>1053</v>
      </c>
      <c r="N603" s="16" t="s">
        <v>93</v>
      </c>
      <c r="O603" s="16" t="s">
        <v>58</v>
      </c>
      <c r="P603" s="16" t="s">
        <v>85</v>
      </c>
      <c r="Q603" s="16" t="s">
        <v>85</v>
      </c>
      <c r="R603" s="16" t="s">
        <v>86</v>
      </c>
      <c r="S603" s="16" t="s">
        <v>87</v>
      </c>
      <c r="T603" s="16" t="s">
        <v>1202</v>
      </c>
      <c r="U603" s="16" t="s">
        <v>73</v>
      </c>
      <c r="V603" s="16" t="n">
        <v>0.0525</v>
      </c>
      <c r="W603" s="16" t="n">
        <v>0.0417</v>
      </c>
      <c r="X603" s="22" t="n">
        <v>6000</v>
      </c>
      <c r="Y603" s="16" t="n">
        <v>6000</v>
      </c>
      <c r="Z603" s="16" t="n">
        <v>6000</v>
      </c>
      <c r="AA603" s="16" t="n">
        <v>6000</v>
      </c>
      <c r="AB603" s="16" t="n">
        <v>6000</v>
      </c>
      <c r="AC603" s="16" t="n">
        <v>6000</v>
      </c>
      <c r="AD603" s="16" t="n">
        <v>6000</v>
      </c>
      <c r="AE603" s="16" t="n">
        <v>6000</v>
      </c>
      <c r="AF603" s="16" t="n">
        <v>6000</v>
      </c>
      <c r="AG603" s="16" t="n">
        <v>6000</v>
      </c>
      <c r="AH603" s="16" t="n">
        <v>6000</v>
      </c>
      <c r="AI603" s="16" t="n">
        <v>6000</v>
      </c>
      <c r="AJ603" s="9" t="n">
        <f aca="false">X603*$V603</f>
        <v>315</v>
      </c>
      <c r="AK603" s="9" t="n">
        <f aca="false">Y603*$V603</f>
        <v>315</v>
      </c>
      <c r="AL603" s="9" t="n">
        <f aca="false">Z603*$V603</f>
        <v>315</v>
      </c>
      <c r="AM603" s="9" t="n">
        <f aca="false">AA603*$V603</f>
        <v>315</v>
      </c>
      <c r="AN603" s="9" t="n">
        <f aca="false">AB603*$V603</f>
        <v>315</v>
      </c>
      <c r="AO603" s="9" t="n">
        <f aca="false">AC603*$V603</f>
        <v>315</v>
      </c>
      <c r="AP603" s="9" t="n">
        <f aca="false">AD603*$V603</f>
        <v>315</v>
      </c>
      <c r="AQ603" s="9" t="n">
        <f aca="false">AE603*$V603</f>
        <v>315</v>
      </c>
      <c r="AR603" s="9" t="n">
        <f aca="false">AF603*$V603</f>
        <v>315</v>
      </c>
      <c r="AS603" s="9" t="n">
        <f aca="false">AG603*$V603</f>
        <v>315</v>
      </c>
      <c r="AT603" s="9" t="n">
        <f aca="false">AH603*$V603</f>
        <v>315</v>
      </c>
      <c r="AU603" s="9" t="n">
        <f aca="false">AI603*$V603</f>
        <v>315</v>
      </c>
      <c r="AV603" s="9" t="n">
        <f aca="false">SUM(X603:AI603)/1000</f>
        <v>72</v>
      </c>
      <c r="AW603" s="9" t="n">
        <f aca="false">SUM(AJ603:AU603)</f>
        <v>3780</v>
      </c>
      <c r="AX603" s="9" t="n">
        <f aca="false">IF(D603="INR",AW603/88.24,AW603)/1000000</f>
        <v>0.00378</v>
      </c>
    </row>
    <row r="604" s="2" customFormat="true" ht="14.25" hidden="false" customHeight="false" outlineLevel="0" collapsed="false">
      <c r="A604" s="12" t="s">
        <v>1296</v>
      </c>
      <c r="B604" s="16" t="n">
        <v>5</v>
      </c>
      <c r="C604" s="15"/>
      <c r="D604" s="16" t="s">
        <v>50</v>
      </c>
      <c r="E604" s="16" t="s">
        <v>51</v>
      </c>
      <c r="F604" s="16" t="s">
        <v>243</v>
      </c>
      <c r="G604" s="16" t="s">
        <v>470</v>
      </c>
      <c r="H604" s="16" t="s">
        <v>471</v>
      </c>
      <c r="I604" s="16" t="s">
        <v>55</v>
      </c>
      <c r="J604" s="16" t="s">
        <v>100</v>
      </c>
      <c r="K604" s="16"/>
      <c r="L604" s="16" t="s">
        <v>55</v>
      </c>
      <c r="M604" s="16" t="s">
        <v>100</v>
      </c>
      <c r="N604" s="16" t="s">
        <v>93</v>
      </c>
      <c r="O604" s="16" t="s">
        <v>246</v>
      </c>
      <c r="P604" s="16" t="s">
        <v>308</v>
      </c>
      <c r="Q604" s="16" t="s">
        <v>308</v>
      </c>
      <c r="R604" s="16" t="s">
        <v>309</v>
      </c>
      <c r="S604" s="16" t="s">
        <v>264</v>
      </c>
      <c r="T604" s="9" t="s">
        <v>487</v>
      </c>
      <c r="U604" s="9" t="s">
        <v>73</v>
      </c>
      <c r="V604" s="9" t="n">
        <v>0.82</v>
      </c>
      <c r="W604" s="16" t="n">
        <v>0.65</v>
      </c>
      <c r="X604" s="22"/>
      <c r="Y604" s="16"/>
      <c r="Z604" s="16" t="n">
        <v>50000</v>
      </c>
      <c r="AA604" s="16"/>
      <c r="AB604" s="16"/>
      <c r="AC604" s="16" t="n">
        <v>50000</v>
      </c>
      <c r="AD604" s="16"/>
      <c r="AE604" s="16"/>
      <c r="AF604" s="16" t="n">
        <v>100000</v>
      </c>
      <c r="AG604" s="16"/>
      <c r="AH604" s="16"/>
      <c r="AI604" s="16" t="n">
        <v>100000</v>
      </c>
      <c r="AJ604" s="9" t="n">
        <f aca="false">X604*$V604</f>
        <v>0</v>
      </c>
      <c r="AK604" s="9" t="n">
        <f aca="false">Y604*$V604</f>
        <v>0</v>
      </c>
      <c r="AL604" s="9" t="n">
        <f aca="false">Z604*$V604</f>
        <v>41000</v>
      </c>
      <c r="AM604" s="9" t="n">
        <f aca="false">AA604*$V604</f>
        <v>0</v>
      </c>
      <c r="AN604" s="9" t="n">
        <f aca="false">AB604*$V604</f>
        <v>0</v>
      </c>
      <c r="AO604" s="9" t="n">
        <f aca="false">AC604*$V604</f>
        <v>41000</v>
      </c>
      <c r="AP604" s="9" t="n">
        <f aca="false">AD604*$V604</f>
        <v>0</v>
      </c>
      <c r="AQ604" s="9" t="n">
        <f aca="false">AE604*$V604</f>
        <v>0</v>
      </c>
      <c r="AR604" s="9" t="n">
        <f aca="false">AF604*$V604</f>
        <v>82000</v>
      </c>
      <c r="AS604" s="9" t="n">
        <f aca="false">AG604*$V604</f>
        <v>0</v>
      </c>
      <c r="AT604" s="9" t="n">
        <f aca="false">AH604*$V604</f>
        <v>0</v>
      </c>
      <c r="AU604" s="9" t="n">
        <f aca="false">AI604*$V604</f>
        <v>82000</v>
      </c>
      <c r="AV604" s="9" t="n">
        <f aca="false">SUM(X604:AI604)/1000</f>
        <v>300</v>
      </c>
      <c r="AW604" s="9" t="n">
        <f aca="false">SUM(AJ604:AU604)</f>
        <v>246000</v>
      </c>
      <c r="AX604" s="9" t="n">
        <f aca="false">IF(D604="INR",AW604/88.24,AW604)/1000000</f>
        <v>0.00278785131459656</v>
      </c>
    </row>
    <row r="605" s="2" customFormat="true" ht="14.25" hidden="false" customHeight="false" outlineLevel="0" collapsed="false">
      <c r="A605" s="12"/>
      <c r="B605" s="16" t="n">
        <v>5</v>
      </c>
      <c r="C605" s="15"/>
      <c r="D605" s="16" t="s">
        <v>50</v>
      </c>
      <c r="E605" s="16" t="s">
        <v>51</v>
      </c>
      <c r="F605" s="16" t="s">
        <v>404</v>
      </c>
      <c r="G605" s="16"/>
      <c r="H605" s="16" t="s">
        <v>770</v>
      </c>
      <c r="I605" s="16" t="s">
        <v>105</v>
      </c>
      <c r="J605" s="16"/>
      <c r="K605" s="16"/>
      <c r="L605" s="16"/>
      <c r="M605" s="16"/>
      <c r="N605" s="16" t="s">
        <v>271</v>
      </c>
      <c r="O605" s="16"/>
      <c r="P605" s="16" t="s">
        <v>85</v>
      </c>
      <c r="Q605" s="16" t="s">
        <v>85</v>
      </c>
      <c r="R605" s="16"/>
      <c r="S605" s="16"/>
      <c r="T605" s="16" t="s">
        <v>1297</v>
      </c>
      <c r="U605" s="16"/>
      <c r="V605" s="16" t="n">
        <v>8</v>
      </c>
      <c r="W605" s="16"/>
      <c r="X605" s="22" t="n">
        <v>5000</v>
      </c>
      <c r="Y605" s="22" t="n">
        <v>5000</v>
      </c>
      <c r="Z605" s="22" t="n">
        <v>5000</v>
      </c>
      <c r="AA605" s="22" t="n">
        <v>5000</v>
      </c>
      <c r="AB605" s="22"/>
      <c r="AC605" s="22" t="n">
        <v>5000</v>
      </c>
      <c r="AD605" s="22"/>
      <c r="AE605" s="22" t="n">
        <v>5000</v>
      </c>
      <c r="AF605" s="22" t="n">
        <v>5000</v>
      </c>
      <c r="AG605" s="22"/>
      <c r="AH605" s="22" t="n">
        <v>5000</v>
      </c>
      <c r="AI605" s="22" t="n">
        <v>5000</v>
      </c>
      <c r="AJ605" s="9" t="n">
        <f aca="false">X605*$V605</f>
        <v>40000</v>
      </c>
      <c r="AK605" s="9" t="n">
        <f aca="false">Y605*$V605</f>
        <v>40000</v>
      </c>
      <c r="AL605" s="9" t="n">
        <f aca="false">Z605*$V605</f>
        <v>40000</v>
      </c>
      <c r="AM605" s="9" t="n">
        <f aca="false">AA605*$V605</f>
        <v>40000</v>
      </c>
      <c r="AN605" s="9" t="n">
        <f aca="false">AB605*$V605</f>
        <v>0</v>
      </c>
      <c r="AO605" s="9" t="n">
        <f aca="false">AC605*$V605</f>
        <v>40000</v>
      </c>
      <c r="AP605" s="9" t="n">
        <f aca="false">AD605*$V605</f>
        <v>0</v>
      </c>
      <c r="AQ605" s="9" t="n">
        <f aca="false">AE605*$V605</f>
        <v>40000</v>
      </c>
      <c r="AR605" s="9" t="n">
        <f aca="false">AF605*$V605</f>
        <v>40000</v>
      </c>
      <c r="AS605" s="9" t="n">
        <f aca="false">AG605*$V605</f>
        <v>0</v>
      </c>
      <c r="AT605" s="9" t="n">
        <f aca="false">AH605*$V605</f>
        <v>40000</v>
      </c>
      <c r="AU605" s="9" t="n">
        <f aca="false">AI605*$V605</f>
        <v>40000</v>
      </c>
      <c r="AV605" s="9" t="n">
        <f aca="false">SUM(X605:AI605)/1000</f>
        <v>45</v>
      </c>
      <c r="AW605" s="9" t="n">
        <f aca="false">SUM(AJ605:AU605)</f>
        <v>360000</v>
      </c>
      <c r="AX605" s="9" t="n">
        <f aca="false">IF(D605="INR",AW605/88.24,AW605)/1000000</f>
        <v>0.00407978241160471</v>
      </c>
    </row>
    <row r="606" s="2" customFormat="true" ht="14.25" hidden="false" customHeight="false" outlineLevel="0" collapsed="false">
      <c r="A606" s="12" t="s">
        <v>1298</v>
      </c>
      <c r="B606" s="16" t="n">
        <v>5</v>
      </c>
      <c r="C606" s="15"/>
      <c r="D606" s="16" t="s">
        <v>50</v>
      </c>
      <c r="E606" s="16" t="s">
        <v>51</v>
      </c>
      <c r="F606" s="16" t="s">
        <v>243</v>
      </c>
      <c r="G606" s="16" t="s">
        <v>470</v>
      </c>
      <c r="H606" s="16" t="s">
        <v>471</v>
      </c>
      <c r="I606" s="16" t="s">
        <v>55</v>
      </c>
      <c r="J606" s="16" t="s">
        <v>100</v>
      </c>
      <c r="K606" s="16"/>
      <c r="L606" s="16" t="s">
        <v>55</v>
      </c>
      <c r="M606" s="16" t="s">
        <v>100</v>
      </c>
      <c r="N606" s="16" t="s">
        <v>93</v>
      </c>
      <c r="O606" s="16" t="s">
        <v>246</v>
      </c>
      <c r="P606" s="16" t="s">
        <v>308</v>
      </c>
      <c r="Q606" s="16" t="s">
        <v>308</v>
      </c>
      <c r="R606" s="16" t="s">
        <v>309</v>
      </c>
      <c r="S606" s="16" t="s">
        <v>264</v>
      </c>
      <c r="T606" s="9" t="s">
        <v>1299</v>
      </c>
      <c r="U606" s="9" t="s">
        <v>73</v>
      </c>
      <c r="V606" s="9" t="n">
        <v>3.96</v>
      </c>
      <c r="W606" s="16" t="n">
        <v>3.55</v>
      </c>
      <c r="X606" s="22"/>
      <c r="Y606" s="16"/>
      <c r="Z606" s="16" t="n">
        <v>10000</v>
      </c>
      <c r="AA606" s="16"/>
      <c r="AB606" s="16"/>
      <c r="AC606" s="16" t="n">
        <v>10000</v>
      </c>
      <c r="AD606" s="16"/>
      <c r="AE606" s="16"/>
      <c r="AF606" s="16" t="n">
        <v>20000</v>
      </c>
      <c r="AG606" s="16"/>
      <c r="AH606" s="16"/>
      <c r="AI606" s="16" t="n">
        <v>20000</v>
      </c>
      <c r="AJ606" s="9" t="n">
        <f aca="false">X606*$V606</f>
        <v>0</v>
      </c>
      <c r="AK606" s="9" t="n">
        <f aca="false">Y606*$V606</f>
        <v>0</v>
      </c>
      <c r="AL606" s="9" t="n">
        <f aca="false">Z606*$V606</f>
        <v>39600</v>
      </c>
      <c r="AM606" s="9" t="n">
        <f aca="false">AA606*$V606</f>
        <v>0</v>
      </c>
      <c r="AN606" s="9" t="n">
        <f aca="false">AB606*$V606</f>
        <v>0</v>
      </c>
      <c r="AO606" s="9" t="n">
        <f aca="false">AC606*$V606</f>
        <v>39600</v>
      </c>
      <c r="AP606" s="9" t="n">
        <f aca="false">AD606*$V606</f>
        <v>0</v>
      </c>
      <c r="AQ606" s="9" t="n">
        <f aca="false">AE606*$V606</f>
        <v>0</v>
      </c>
      <c r="AR606" s="9" t="n">
        <f aca="false">AF606*$V606</f>
        <v>79200</v>
      </c>
      <c r="AS606" s="9" t="n">
        <f aca="false">AG606*$V606</f>
        <v>0</v>
      </c>
      <c r="AT606" s="9" t="n">
        <f aca="false">AH606*$V606</f>
        <v>0</v>
      </c>
      <c r="AU606" s="9" t="n">
        <f aca="false">AI606*$V606</f>
        <v>79200</v>
      </c>
      <c r="AV606" s="9" t="n">
        <f aca="false">SUM(X606:AI606)/1000</f>
        <v>60</v>
      </c>
      <c r="AW606" s="9" t="n">
        <f aca="false">SUM(AJ606:AU606)</f>
        <v>237600</v>
      </c>
      <c r="AX606" s="9" t="n">
        <f aca="false">IF(D606="INR",AW606/88.24,AW606)/1000000</f>
        <v>0.00269265639165911</v>
      </c>
    </row>
    <row r="607" s="2" customFormat="true" ht="16.4" hidden="false" customHeight="false" outlineLevel="0" collapsed="false">
      <c r="A607" s="16" t="s">
        <v>1300</v>
      </c>
      <c r="B607" s="16" t="n">
        <v>5</v>
      </c>
      <c r="C607" s="16"/>
      <c r="D607" s="16" t="s">
        <v>102</v>
      </c>
      <c r="E607" s="16" t="s">
        <v>51</v>
      </c>
      <c r="F607" s="16" t="s">
        <v>52</v>
      </c>
      <c r="G607" s="16" t="s">
        <v>391</v>
      </c>
      <c r="H607" s="16" t="s">
        <v>392</v>
      </c>
      <c r="I607" s="16" t="s">
        <v>298</v>
      </c>
      <c r="J607" s="16" t="s">
        <v>1053</v>
      </c>
      <c r="K607" s="16"/>
      <c r="L607" s="16" t="s">
        <v>298</v>
      </c>
      <c r="M607" s="16" t="s">
        <v>1053</v>
      </c>
      <c r="N607" s="16" t="s">
        <v>93</v>
      </c>
      <c r="O607" s="16" t="s">
        <v>58</v>
      </c>
      <c r="P607" s="16" t="s">
        <v>85</v>
      </c>
      <c r="Q607" s="16" t="s">
        <v>85</v>
      </c>
      <c r="R607" s="16" t="s">
        <v>86</v>
      </c>
      <c r="S607" s="16" t="s">
        <v>87</v>
      </c>
      <c r="T607" s="16" t="s">
        <v>1209</v>
      </c>
      <c r="U607" s="16" t="s">
        <v>73</v>
      </c>
      <c r="V607" s="16" t="n">
        <v>0.12</v>
      </c>
      <c r="W607" s="16" t="n">
        <v>0.108</v>
      </c>
      <c r="X607" s="16" t="n">
        <v>1000</v>
      </c>
      <c r="Y607" s="16" t="n">
        <v>1000</v>
      </c>
      <c r="Z607" s="16" t="n">
        <v>1000</v>
      </c>
      <c r="AA607" s="16" t="n">
        <v>1000</v>
      </c>
      <c r="AB607" s="16" t="n">
        <v>1000</v>
      </c>
      <c r="AC607" s="16" t="n">
        <v>1000</v>
      </c>
      <c r="AD607" s="16" t="n">
        <v>1000</v>
      </c>
      <c r="AE607" s="16" t="n">
        <v>1000</v>
      </c>
      <c r="AF607" s="16" t="n">
        <v>1000</v>
      </c>
      <c r="AG607" s="16" t="n">
        <v>1000</v>
      </c>
      <c r="AH607" s="16" t="n">
        <v>1000</v>
      </c>
      <c r="AI607" s="16" t="n">
        <v>1000</v>
      </c>
      <c r="AJ607" s="9" t="n">
        <f aca="false">X607*$V607</f>
        <v>120</v>
      </c>
      <c r="AK607" s="9" t="n">
        <f aca="false">Y607*$V607</f>
        <v>120</v>
      </c>
      <c r="AL607" s="9" t="n">
        <f aca="false">Z607*$V607</f>
        <v>120</v>
      </c>
      <c r="AM607" s="9" t="n">
        <f aca="false">AA607*$V607</f>
        <v>120</v>
      </c>
      <c r="AN607" s="9" t="n">
        <f aca="false">AB607*$V607</f>
        <v>120</v>
      </c>
      <c r="AO607" s="9" t="n">
        <f aca="false">AC607*$V607</f>
        <v>120</v>
      </c>
      <c r="AP607" s="9" t="n">
        <f aca="false">AD607*$V607</f>
        <v>120</v>
      </c>
      <c r="AQ607" s="9" t="n">
        <f aca="false">AE607*$V607</f>
        <v>120</v>
      </c>
      <c r="AR607" s="9" t="n">
        <f aca="false">AF607*$V607</f>
        <v>120</v>
      </c>
      <c r="AS607" s="9" t="n">
        <f aca="false">AG607*$V607</f>
        <v>120</v>
      </c>
      <c r="AT607" s="9" t="n">
        <f aca="false">AH607*$V607</f>
        <v>120</v>
      </c>
      <c r="AU607" s="9" t="n">
        <f aca="false">AI607*$V607</f>
        <v>120</v>
      </c>
      <c r="AV607" s="9" t="n">
        <f aca="false">SUM(X607:AI607)/1000</f>
        <v>12</v>
      </c>
      <c r="AW607" s="9" t="n">
        <f aca="false">SUM(AJ607:AU607)</f>
        <v>1440</v>
      </c>
      <c r="AX607" s="9" t="n">
        <f aca="false">IF(D607="INR",AW607/88.24,AW607)/1000000</f>
        <v>0.00144</v>
      </c>
    </row>
    <row r="608" s="2" customFormat="true" ht="14.25" hidden="false" customHeight="false" outlineLevel="0" collapsed="false">
      <c r="A608" s="12"/>
      <c r="B608" s="16"/>
      <c r="C608" s="15"/>
      <c r="D608" s="16" t="s">
        <v>102</v>
      </c>
      <c r="E608" s="16" t="s">
        <v>51</v>
      </c>
      <c r="F608" s="16" t="s">
        <v>52</v>
      </c>
      <c r="G608" s="16"/>
      <c r="H608" s="16" t="s">
        <v>392</v>
      </c>
      <c r="I608" s="16"/>
      <c r="J608" s="16"/>
      <c r="K608" s="16"/>
      <c r="L608" s="16"/>
      <c r="M608" s="16"/>
      <c r="N608" s="16" t="s">
        <v>93</v>
      </c>
      <c r="O608" s="16"/>
      <c r="P608" s="16"/>
      <c r="Q608" s="16" t="s">
        <v>85</v>
      </c>
      <c r="R608" s="16"/>
      <c r="S608" s="16"/>
      <c r="T608" s="16" t="s">
        <v>1211</v>
      </c>
      <c r="U608" s="16"/>
      <c r="V608" s="16" t="n">
        <v>0.1</v>
      </c>
      <c r="W608" s="16"/>
      <c r="X608" s="16" t="n">
        <v>1000</v>
      </c>
      <c r="Y608" s="16" t="n">
        <v>1000</v>
      </c>
      <c r="Z608" s="16" t="n">
        <v>1000</v>
      </c>
      <c r="AA608" s="16" t="n">
        <v>1000</v>
      </c>
      <c r="AB608" s="16" t="n">
        <v>1000</v>
      </c>
      <c r="AC608" s="16" t="n">
        <v>1000</v>
      </c>
      <c r="AD608" s="16" t="n">
        <v>1000</v>
      </c>
      <c r="AE608" s="16" t="n">
        <v>1000</v>
      </c>
      <c r="AF608" s="16" t="n">
        <v>1000</v>
      </c>
      <c r="AG608" s="16" t="n">
        <v>1000</v>
      </c>
      <c r="AH608" s="16" t="n">
        <v>1000</v>
      </c>
      <c r="AI608" s="16" t="n">
        <v>1000</v>
      </c>
      <c r="AJ608" s="9" t="n">
        <f aca="false">X608*$V608</f>
        <v>100</v>
      </c>
      <c r="AK608" s="9" t="n">
        <f aca="false">Y608*$V608</f>
        <v>100</v>
      </c>
      <c r="AL608" s="9" t="n">
        <f aca="false">Z608*$V608</f>
        <v>100</v>
      </c>
      <c r="AM608" s="9" t="n">
        <f aca="false">AA608*$V608</f>
        <v>100</v>
      </c>
      <c r="AN608" s="9" t="n">
        <f aca="false">AB608*$V608</f>
        <v>100</v>
      </c>
      <c r="AO608" s="9" t="n">
        <f aca="false">AC608*$V608</f>
        <v>100</v>
      </c>
      <c r="AP608" s="9" t="n">
        <f aca="false">AD608*$V608</f>
        <v>100</v>
      </c>
      <c r="AQ608" s="9" t="n">
        <f aca="false">AE608*$V608</f>
        <v>100</v>
      </c>
      <c r="AR608" s="9" t="n">
        <f aca="false">AF608*$V608</f>
        <v>100</v>
      </c>
      <c r="AS608" s="9" t="n">
        <f aca="false">AG608*$V608</f>
        <v>100</v>
      </c>
      <c r="AT608" s="9" t="n">
        <f aca="false">AH608*$V608</f>
        <v>100</v>
      </c>
      <c r="AU608" s="9" t="n">
        <f aca="false">AI608*$V608</f>
        <v>100</v>
      </c>
      <c r="AV608" s="9" t="n">
        <f aca="false">SUM(X608:AI608)/1000</f>
        <v>12</v>
      </c>
      <c r="AW608" s="9" t="n">
        <f aca="false">SUM(AJ608:AU608)</f>
        <v>1200</v>
      </c>
      <c r="AX608" s="9" t="n">
        <f aca="false">IF(D608="INR",AW608/88.24,AW608)/1000000</f>
        <v>0.0012</v>
      </c>
    </row>
    <row r="609" s="2" customFormat="true" ht="14.25" hidden="false" customHeight="false" outlineLevel="0" collapsed="false">
      <c r="A609" s="12" t="s">
        <v>1301</v>
      </c>
      <c r="B609" s="16"/>
      <c r="C609" s="15"/>
      <c r="D609" s="16" t="s">
        <v>102</v>
      </c>
      <c r="E609" s="16" t="s">
        <v>51</v>
      </c>
      <c r="F609" s="16" t="s">
        <v>52</v>
      </c>
      <c r="G609" s="16" t="s">
        <v>391</v>
      </c>
      <c r="H609" s="16" t="s">
        <v>392</v>
      </c>
      <c r="I609" s="16" t="s">
        <v>298</v>
      </c>
      <c r="J609" s="16" t="s">
        <v>1053</v>
      </c>
      <c r="K609" s="16"/>
      <c r="L609" s="16" t="s">
        <v>298</v>
      </c>
      <c r="M609" s="16" t="s">
        <v>1053</v>
      </c>
      <c r="N609" s="16" t="s">
        <v>93</v>
      </c>
      <c r="O609" s="16" t="s">
        <v>58</v>
      </c>
      <c r="P609" s="16" t="s">
        <v>199</v>
      </c>
      <c r="Q609" s="16" t="s">
        <v>199</v>
      </c>
      <c r="R609" s="16" t="s">
        <v>377</v>
      </c>
      <c r="S609" s="16" t="s">
        <v>528</v>
      </c>
      <c r="T609" s="16" t="s">
        <v>351</v>
      </c>
      <c r="U609" s="16" t="s">
        <v>73</v>
      </c>
      <c r="V609" s="16" t="n">
        <v>0.437</v>
      </c>
      <c r="W609" s="16" t="n">
        <v>0.3927</v>
      </c>
      <c r="X609" s="22" t="n">
        <v>0</v>
      </c>
      <c r="Y609" s="22" t="n">
        <v>0</v>
      </c>
      <c r="Z609" s="22" t="n">
        <v>2000</v>
      </c>
      <c r="AA609" s="22" t="n">
        <v>0</v>
      </c>
      <c r="AB609" s="22" t="n">
        <v>2000</v>
      </c>
      <c r="AC609" s="22" t="n">
        <v>0</v>
      </c>
      <c r="AD609" s="22" t="n">
        <v>2000</v>
      </c>
      <c r="AE609" s="22" t="n">
        <v>0</v>
      </c>
      <c r="AF609" s="22" t="n">
        <v>2000</v>
      </c>
      <c r="AG609" s="22" t="n">
        <v>0</v>
      </c>
      <c r="AH609" s="22" t="n">
        <v>0</v>
      </c>
      <c r="AI609" s="22" t="n">
        <v>2000</v>
      </c>
      <c r="AJ609" s="9" t="n">
        <f aca="false">X609*$V609</f>
        <v>0</v>
      </c>
      <c r="AK609" s="9" t="n">
        <f aca="false">Y609*$V609</f>
        <v>0</v>
      </c>
      <c r="AL609" s="9" t="n">
        <f aca="false">Z609*$V609</f>
        <v>874</v>
      </c>
      <c r="AM609" s="9" t="n">
        <f aca="false">AA609*$V609</f>
        <v>0</v>
      </c>
      <c r="AN609" s="9" t="n">
        <f aca="false">AB609*$V609</f>
        <v>874</v>
      </c>
      <c r="AO609" s="9" t="n">
        <f aca="false">AC609*$V609</f>
        <v>0</v>
      </c>
      <c r="AP609" s="9" t="n">
        <f aca="false">AD609*$V609</f>
        <v>874</v>
      </c>
      <c r="AQ609" s="9" t="n">
        <f aca="false">AE609*$V609</f>
        <v>0</v>
      </c>
      <c r="AR609" s="9" t="n">
        <f aca="false">AF609*$V609</f>
        <v>874</v>
      </c>
      <c r="AS609" s="9" t="n">
        <f aca="false">AG609*$V609</f>
        <v>0</v>
      </c>
      <c r="AT609" s="9" t="n">
        <f aca="false">AH609*$V609</f>
        <v>0</v>
      </c>
      <c r="AU609" s="9" t="n">
        <f aca="false">AI609*$V609</f>
        <v>874</v>
      </c>
      <c r="AV609" s="9" t="n">
        <f aca="false">SUM(X609:AI609)/1000</f>
        <v>10</v>
      </c>
      <c r="AW609" s="9" t="n">
        <f aca="false">SUM(AJ609:AU609)</f>
        <v>4370</v>
      </c>
      <c r="AX609" s="9" t="n">
        <f aca="false">IF(D609="INR",AW609/88.24,AW609)/1000000</f>
        <v>0.00437</v>
      </c>
    </row>
    <row r="610" s="2" customFormat="true" ht="16.4" hidden="false" customHeight="false" outlineLevel="0" collapsed="false">
      <c r="A610" s="35" t="s">
        <v>1302</v>
      </c>
      <c r="B610" s="9"/>
      <c r="C610" s="10"/>
      <c r="D610" s="9" t="s">
        <v>102</v>
      </c>
      <c r="E610" s="9" t="s">
        <v>51</v>
      </c>
      <c r="F610" s="9" t="s">
        <v>52</v>
      </c>
      <c r="G610" s="9" t="s">
        <v>391</v>
      </c>
      <c r="H610" s="9" t="s">
        <v>392</v>
      </c>
      <c r="I610" s="9" t="s">
        <v>298</v>
      </c>
      <c r="J610" s="9" t="s">
        <v>1053</v>
      </c>
      <c r="K610" s="9"/>
      <c r="L610" s="9" t="s">
        <v>298</v>
      </c>
      <c r="M610" s="9" t="s">
        <v>1053</v>
      </c>
      <c r="N610" s="9" t="s">
        <v>93</v>
      </c>
      <c r="O610" s="9" t="s">
        <v>58</v>
      </c>
      <c r="P610" s="9" t="s">
        <v>199</v>
      </c>
      <c r="Q610" s="9" t="s">
        <v>199</v>
      </c>
      <c r="R610" s="9" t="s">
        <v>377</v>
      </c>
      <c r="S610" s="9" t="s">
        <v>528</v>
      </c>
      <c r="T610" s="9" t="s">
        <v>1303</v>
      </c>
      <c r="U610" s="9" t="s">
        <v>73</v>
      </c>
      <c r="V610" s="9" t="n">
        <v>0.0771</v>
      </c>
      <c r="W610" s="9" t="n">
        <v>0.067</v>
      </c>
      <c r="X610" s="9" t="n">
        <v>0</v>
      </c>
      <c r="Y610" s="9" t="n">
        <v>0</v>
      </c>
      <c r="Z610" s="9" t="n">
        <v>0</v>
      </c>
      <c r="AA610" s="9" t="n">
        <v>0</v>
      </c>
      <c r="AB610" s="9" t="n">
        <v>3000</v>
      </c>
      <c r="AC610" s="9" t="n">
        <v>0</v>
      </c>
      <c r="AD610" s="9" t="n">
        <v>0</v>
      </c>
      <c r="AE610" s="9" t="n">
        <v>3000</v>
      </c>
      <c r="AF610" s="9" t="n">
        <v>0</v>
      </c>
      <c r="AG610" s="9" t="n">
        <v>0</v>
      </c>
      <c r="AH610" s="9" t="n">
        <v>0</v>
      </c>
      <c r="AI610" s="9" t="n">
        <v>3000</v>
      </c>
      <c r="AJ610" s="9" t="n">
        <f aca="false">X610*$V610</f>
        <v>0</v>
      </c>
      <c r="AK610" s="9" t="n">
        <f aca="false">Y610*$V610</f>
        <v>0</v>
      </c>
      <c r="AL610" s="9" t="n">
        <f aca="false">Z610*$V610</f>
        <v>0</v>
      </c>
      <c r="AM610" s="9" t="n">
        <f aca="false">AA610*$V610</f>
        <v>0</v>
      </c>
      <c r="AN610" s="9" t="n">
        <f aca="false">AB610*$V610</f>
        <v>231.3</v>
      </c>
      <c r="AO610" s="9" t="n">
        <f aca="false">AC610*$V610</f>
        <v>0</v>
      </c>
      <c r="AP610" s="9" t="n">
        <f aca="false">AD610*$V610</f>
        <v>0</v>
      </c>
      <c r="AQ610" s="9" t="n">
        <f aca="false">AE610*$V610</f>
        <v>231.3</v>
      </c>
      <c r="AR610" s="9" t="n">
        <f aca="false">AF610*$V610</f>
        <v>0</v>
      </c>
      <c r="AS610" s="9" t="n">
        <f aca="false">AG610*$V610</f>
        <v>0</v>
      </c>
      <c r="AT610" s="9" t="n">
        <f aca="false">AH610*$V610</f>
        <v>0</v>
      </c>
      <c r="AU610" s="9" t="n">
        <f aca="false">AI610*$V610</f>
        <v>231.3</v>
      </c>
      <c r="AV610" s="9" t="n">
        <f aca="false">SUM(X610:AI610)/1000</f>
        <v>9</v>
      </c>
      <c r="AW610" s="9" t="n">
        <f aca="false">SUM(AJ610:AU610)</f>
        <v>693.9</v>
      </c>
      <c r="AX610" s="9" t="n">
        <f aca="false">IF(D610="INR",AW610/88.24,AW610)/1000000</f>
        <v>0.0006939</v>
      </c>
    </row>
    <row r="611" s="2" customFormat="true" ht="14.25" hidden="false" customHeight="false" outlineLevel="0" collapsed="false">
      <c r="A611" s="12" t="s">
        <v>1304</v>
      </c>
      <c r="B611" s="16" t="n">
        <v>5</v>
      </c>
      <c r="C611" s="15"/>
      <c r="D611" s="16" t="s">
        <v>50</v>
      </c>
      <c r="E611" s="16" t="s">
        <v>51</v>
      </c>
      <c r="F611" s="16" t="s">
        <v>243</v>
      </c>
      <c r="G611" s="16" t="s">
        <v>470</v>
      </c>
      <c r="H611" s="16" t="s">
        <v>471</v>
      </c>
      <c r="I611" s="16" t="s">
        <v>55</v>
      </c>
      <c r="J611" s="16" t="s">
        <v>100</v>
      </c>
      <c r="K611" s="16"/>
      <c r="L611" s="16" t="s">
        <v>55</v>
      </c>
      <c r="M611" s="16" t="s">
        <v>100</v>
      </c>
      <c r="N611" s="16" t="s">
        <v>93</v>
      </c>
      <c r="O611" s="16" t="s">
        <v>246</v>
      </c>
      <c r="P611" s="16" t="s">
        <v>308</v>
      </c>
      <c r="Q611" s="16" t="s">
        <v>308</v>
      </c>
      <c r="R611" s="16" t="s">
        <v>309</v>
      </c>
      <c r="S611" s="16" t="s">
        <v>264</v>
      </c>
      <c r="T611" s="9" t="s">
        <v>1305</v>
      </c>
      <c r="U611" s="9" t="s">
        <v>73</v>
      </c>
      <c r="V611" s="9" t="n">
        <v>3.96</v>
      </c>
      <c r="W611" s="16" t="n">
        <v>3.55</v>
      </c>
      <c r="X611" s="22"/>
      <c r="Y611" s="16"/>
      <c r="Z611" s="16" t="n">
        <v>10000</v>
      </c>
      <c r="AA611" s="16"/>
      <c r="AB611" s="16"/>
      <c r="AC611" s="16" t="n">
        <v>10000</v>
      </c>
      <c r="AD611" s="16"/>
      <c r="AE611" s="16"/>
      <c r="AF611" s="16" t="n">
        <v>20000</v>
      </c>
      <c r="AG611" s="16"/>
      <c r="AH611" s="16"/>
      <c r="AI611" s="16" t="n">
        <v>20000</v>
      </c>
      <c r="AJ611" s="9" t="n">
        <f aca="false">X611*$V611</f>
        <v>0</v>
      </c>
      <c r="AK611" s="9" t="n">
        <f aca="false">Y611*$V611</f>
        <v>0</v>
      </c>
      <c r="AL611" s="9" t="n">
        <f aca="false">Z611*$V611</f>
        <v>39600</v>
      </c>
      <c r="AM611" s="9" t="n">
        <f aca="false">AA611*$V611</f>
        <v>0</v>
      </c>
      <c r="AN611" s="9" t="n">
        <f aca="false">AB611*$V611</f>
        <v>0</v>
      </c>
      <c r="AO611" s="9" t="n">
        <f aca="false">AC611*$V611</f>
        <v>39600</v>
      </c>
      <c r="AP611" s="9" t="n">
        <f aca="false">AD611*$V611</f>
        <v>0</v>
      </c>
      <c r="AQ611" s="9" t="n">
        <f aca="false">AE611*$V611</f>
        <v>0</v>
      </c>
      <c r="AR611" s="9" t="n">
        <f aca="false">AF611*$V611</f>
        <v>79200</v>
      </c>
      <c r="AS611" s="9" t="n">
        <f aca="false">AG611*$V611</f>
        <v>0</v>
      </c>
      <c r="AT611" s="9" t="n">
        <f aca="false">AH611*$V611</f>
        <v>0</v>
      </c>
      <c r="AU611" s="9" t="n">
        <f aca="false">AI611*$V611</f>
        <v>79200</v>
      </c>
      <c r="AV611" s="9" t="n">
        <f aca="false">SUM(X611:AI611)/1000</f>
        <v>60</v>
      </c>
      <c r="AW611" s="9" t="n">
        <f aca="false">SUM(AJ611:AU611)</f>
        <v>237600</v>
      </c>
      <c r="AX611" s="9" t="n">
        <f aca="false">IF(D611="INR",AW611/88.24,AW611)/1000000</f>
        <v>0.00269265639165911</v>
      </c>
    </row>
    <row r="612" s="2" customFormat="true" ht="14.25" hidden="false" customHeight="false" outlineLevel="0" collapsed="false">
      <c r="A612" s="12" t="s">
        <v>1306</v>
      </c>
      <c r="B612" s="16"/>
      <c r="C612" s="15" t="n">
        <v>5</v>
      </c>
      <c r="D612" s="16" t="s">
        <v>50</v>
      </c>
      <c r="E612" s="16" t="s">
        <v>51</v>
      </c>
      <c r="F612" s="16" t="s">
        <v>52</v>
      </c>
      <c r="G612" s="16" t="s">
        <v>287</v>
      </c>
      <c r="H612" s="16" t="s">
        <v>288</v>
      </c>
      <c r="I612" s="16" t="s">
        <v>260</v>
      </c>
      <c r="J612" s="16" t="s">
        <v>289</v>
      </c>
      <c r="K612" s="16"/>
      <c r="L612" s="16" t="s">
        <v>260</v>
      </c>
      <c r="M612" s="16" t="s">
        <v>289</v>
      </c>
      <c r="N612" s="16" t="s">
        <v>290</v>
      </c>
      <c r="O612" s="16" t="s">
        <v>94</v>
      </c>
      <c r="P612" s="16" t="s">
        <v>308</v>
      </c>
      <c r="Q612" s="16" t="s">
        <v>308</v>
      </c>
      <c r="R612" s="16" t="s">
        <v>309</v>
      </c>
      <c r="S612" s="16" t="s">
        <v>264</v>
      </c>
      <c r="T612" s="16" t="s">
        <v>1307</v>
      </c>
      <c r="U612" s="16" t="s">
        <v>73</v>
      </c>
      <c r="V612" s="16" t="n">
        <v>0.65</v>
      </c>
      <c r="W612" s="16" t="n">
        <v>0.59</v>
      </c>
      <c r="X612" s="22" t="n">
        <v>60000</v>
      </c>
      <c r="Y612" s="22" t="n">
        <v>60000</v>
      </c>
      <c r="Z612" s="22" t="n">
        <v>60000</v>
      </c>
      <c r="AA612" s="22" t="n">
        <v>60000</v>
      </c>
      <c r="AB612" s="22" t="n">
        <v>60000</v>
      </c>
      <c r="AC612" s="22" t="n">
        <v>60000</v>
      </c>
      <c r="AD612" s="22" t="n">
        <v>60000</v>
      </c>
      <c r="AE612" s="22" t="n">
        <v>60000</v>
      </c>
      <c r="AF612" s="22" t="n">
        <v>60000</v>
      </c>
      <c r="AG612" s="22" t="n">
        <v>60000</v>
      </c>
      <c r="AH612" s="22" t="n">
        <v>60000</v>
      </c>
      <c r="AI612" s="22" t="n">
        <v>60000</v>
      </c>
      <c r="AJ612" s="9" t="n">
        <f aca="false">X612*$V612</f>
        <v>39000</v>
      </c>
      <c r="AK612" s="9" t="n">
        <f aca="false">Y612*$V612</f>
        <v>39000</v>
      </c>
      <c r="AL612" s="9" t="n">
        <f aca="false">Z612*$V612</f>
        <v>39000</v>
      </c>
      <c r="AM612" s="9" t="n">
        <f aca="false">AA612*$V612</f>
        <v>39000</v>
      </c>
      <c r="AN612" s="9" t="n">
        <f aca="false">AB612*$V612</f>
        <v>39000</v>
      </c>
      <c r="AO612" s="9" t="n">
        <f aca="false">AC612*$V612</f>
        <v>39000</v>
      </c>
      <c r="AP612" s="9" t="n">
        <f aca="false">AD612*$V612</f>
        <v>39000</v>
      </c>
      <c r="AQ612" s="9" t="n">
        <f aca="false">AE612*$V612</f>
        <v>39000</v>
      </c>
      <c r="AR612" s="9" t="n">
        <f aca="false">AF612*$V612</f>
        <v>39000</v>
      </c>
      <c r="AS612" s="9" t="n">
        <f aca="false">AG612*$V612</f>
        <v>39000</v>
      </c>
      <c r="AT612" s="9" t="n">
        <f aca="false">AH612*$V612</f>
        <v>39000</v>
      </c>
      <c r="AU612" s="9" t="n">
        <f aca="false">AI612*$V612</f>
        <v>39000</v>
      </c>
      <c r="AV612" s="9" t="n">
        <f aca="false">SUM(X612:AI612)/1000</f>
        <v>720</v>
      </c>
      <c r="AW612" s="9" t="n">
        <f aca="false">SUM(AJ612:AU612)</f>
        <v>468000</v>
      </c>
      <c r="AX612" s="9" t="n">
        <f aca="false">IF(D612="INR",AW612/88.24,AW612)/1000000</f>
        <v>0.00530371713508613</v>
      </c>
    </row>
    <row r="613" s="2" customFormat="true" ht="14.25" hidden="false" customHeight="false" outlineLevel="0" collapsed="false">
      <c r="A613" s="12" t="s">
        <v>1308</v>
      </c>
      <c r="B613" s="16" t="n">
        <v>5</v>
      </c>
      <c r="C613" s="15"/>
      <c r="D613" s="16" t="s">
        <v>50</v>
      </c>
      <c r="E613" s="16" t="s">
        <v>51</v>
      </c>
      <c r="F613" s="16" t="s">
        <v>52</v>
      </c>
      <c r="G613" s="16" t="s">
        <v>494</v>
      </c>
      <c r="H613" s="16" t="s">
        <v>495</v>
      </c>
      <c r="I613" s="16" t="s">
        <v>77</v>
      </c>
      <c r="J613" s="16" t="s">
        <v>496</v>
      </c>
      <c r="K613" s="16" t="s">
        <v>495</v>
      </c>
      <c r="L613" s="16" t="s">
        <v>77</v>
      </c>
      <c r="M613" s="16" t="s">
        <v>496</v>
      </c>
      <c r="N613" s="16" t="s">
        <v>57</v>
      </c>
      <c r="O613" s="16" t="s">
        <v>94</v>
      </c>
      <c r="P613" s="16" t="s">
        <v>308</v>
      </c>
      <c r="Q613" s="16" t="s">
        <v>308</v>
      </c>
      <c r="R613" s="16" t="s">
        <v>309</v>
      </c>
      <c r="S613" s="16" t="s">
        <v>264</v>
      </c>
      <c r="T613" s="16" t="s">
        <v>1309</v>
      </c>
      <c r="U613" s="16" t="s">
        <v>73</v>
      </c>
      <c r="V613" s="16" t="n">
        <v>4.86</v>
      </c>
      <c r="W613" s="16" t="n">
        <v>4.4</v>
      </c>
      <c r="X613" s="22" t="n">
        <v>8000</v>
      </c>
      <c r="Y613" s="22" t="n">
        <v>8000</v>
      </c>
      <c r="Z613" s="22" t="n">
        <v>8000</v>
      </c>
      <c r="AA613" s="22" t="n">
        <v>8000</v>
      </c>
      <c r="AB613" s="22" t="n">
        <v>8000</v>
      </c>
      <c r="AC613" s="22" t="n">
        <v>8000</v>
      </c>
      <c r="AD613" s="22" t="n">
        <v>8000</v>
      </c>
      <c r="AE613" s="22" t="n">
        <v>8000</v>
      </c>
      <c r="AF613" s="22" t="n">
        <v>8000</v>
      </c>
      <c r="AG613" s="22" t="n">
        <v>8000</v>
      </c>
      <c r="AH613" s="22" t="n">
        <v>8000</v>
      </c>
      <c r="AI613" s="22" t="n">
        <v>8000</v>
      </c>
      <c r="AJ613" s="9" t="n">
        <f aca="false">X613*$V613</f>
        <v>38880</v>
      </c>
      <c r="AK613" s="9" t="n">
        <f aca="false">Y613*$V613</f>
        <v>38880</v>
      </c>
      <c r="AL613" s="9" t="n">
        <f aca="false">Z613*$V613</f>
        <v>38880</v>
      </c>
      <c r="AM613" s="9" t="n">
        <f aca="false">AA613*$V613</f>
        <v>38880</v>
      </c>
      <c r="AN613" s="9" t="n">
        <f aca="false">AB613*$V613</f>
        <v>38880</v>
      </c>
      <c r="AO613" s="9" t="n">
        <f aca="false">AC613*$V613</f>
        <v>38880</v>
      </c>
      <c r="AP613" s="9" t="n">
        <f aca="false">AD613*$V613</f>
        <v>38880</v>
      </c>
      <c r="AQ613" s="9" t="n">
        <f aca="false">AE613*$V613</f>
        <v>38880</v>
      </c>
      <c r="AR613" s="9" t="n">
        <f aca="false">AF613*$V613</f>
        <v>38880</v>
      </c>
      <c r="AS613" s="9" t="n">
        <f aca="false">AG613*$V613</f>
        <v>38880</v>
      </c>
      <c r="AT613" s="9" t="n">
        <f aca="false">AH613*$V613</f>
        <v>38880</v>
      </c>
      <c r="AU613" s="9" t="n">
        <f aca="false">AI613*$V613</f>
        <v>38880</v>
      </c>
      <c r="AV613" s="9" t="n">
        <f aca="false">SUM(X613:AI613)/1000</f>
        <v>96</v>
      </c>
      <c r="AW613" s="9" t="n">
        <f aca="false">SUM(AJ613:AU613)</f>
        <v>466560</v>
      </c>
      <c r="AX613" s="9" t="n">
        <f aca="false">IF(D613="INR",AW613/88.24,AW613)/1000000</f>
        <v>0.00528739800543971</v>
      </c>
    </row>
    <row r="614" s="2" customFormat="true" ht="14.25" hidden="false" customHeight="false" outlineLevel="0" collapsed="false">
      <c r="A614" s="12" t="s">
        <v>1310</v>
      </c>
      <c r="B614" s="16" t="n">
        <v>5</v>
      </c>
      <c r="C614" s="15"/>
      <c r="D614" s="16" t="s">
        <v>50</v>
      </c>
      <c r="E614" s="16" t="s">
        <v>51</v>
      </c>
      <c r="F614" s="16" t="s">
        <v>52</v>
      </c>
      <c r="G614" s="16" t="s">
        <v>391</v>
      </c>
      <c r="H614" s="16" t="s">
        <v>392</v>
      </c>
      <c r="I614" s="16" t="s">
        <v>260</v>
      </c>
      <c r="J614" s="16" t="s">
        <v>276</v>
      </c>
      <c r="K614" s="16"/>
      <c r="L614" s="16" t="s">
        <v>260</v>
      </c>
      <c r="M614" s="16" t="s">
        <v>276</v>
      </c>
      <c r="N614" s="16" t="s">
        <v>93</v>
      </c>
      <c r="O614" s="16" t="s">
        <v>58</v>
      </c>
      <c r="P614" s="16" t="s">
        <v>197</v>
      </c>
      <c r="Q614" s="16" t="s">
        <v>197</v>
      </c>
      <c r="R614" s="16" t="s">
        <v>86</v>
      </c>
      <c r="S614" s="16" t="s">
        <v>521</v>
      </c>
      <c r="T614" s="16" t="s">
        <v>1311</v>
      </c>
      <c r="U614" s="16" t="s">
        <v>73</v>
      </c>
      <c r="V614" s="16" t="n">
        <v>0.48</v>
      </c>
      <c r="W614" s="16" t="n">
        <v>0.0041</v>
      </c>
      <c r="X614" s="22" t="n">
        <v>80000</v>
      </c>
      <c r="Y614" s="22" t="n">
        <v>80000</v>
      </c>
      <c r="Z614" s="22" t="n">
        <v>80000</v>
      </c>
      <c r="AA614" s="22" t="n">
        <v>80000</v>
      </c>
      <c r="AB614" s="22" t="n">
        <v>80000</v>
      </c>
      <c r="AC614" s="22" t="n">
        <v>80000</v>
      </c>
      <c r="AD614" s="22" t="n">
        <v>80000</v>
      </c>
      <c r="AE614" s="22" t="n">
        <v>80000</v>
      </c>
      <c r="AF614" s="22" t="n">
        <v>80000</v>
      </c>
      <c r="AG614" s="22" t="n">
        <v>80000</v>
      </c>
      <c r="AH614" s="22" t="n">
        <v>80000</v>
      </c>
      <c r="AI614" s="22" t="n">
        <v>80000</v>
      </c>
      <c r="AJ614" s="9" t="n">
        <f aca="false">X614*$V614</f>
        <v>38400</v>
      </c>
      <c r="AK614" s="9" t="n">
        <f aca="false">Y614*$V614</f>
        <v>38400</v>
      </c>
      <c r="AL614" s="9" t="n">
        <f aca="false">Z614*$V614</f>
        <v>38400</v>
      </c>
      <c r="AM614" s="9" t="n">
        <f aca="false">AA614*$V614</f>
        <v>38400</v>
      </c>
      <c r="AN614" s="9" t="n">
        <f aca="false">AB614*$V614</f>
        <v>38400</v>
      </c>
      <c r="AO614" s="9" t="n">
        <f aca="false">AC614*$V614</f>
        <v>38400</v>
      </c>
      <c r="AP614" s="9" t="n">
        <f aca="false">AD614*$V614</f>
        <v>38400</v>
      </c>
      <c r="AQ614" s="9" t="n">
        <f aca="false">AE614*$V614</f>
        <v>38400</v>
      </c>
      <c r="AR614" s="9" t="n">
        <f aca="false">AF614*$V614</f>
        <v>38400</v>
      </c>
      <c r="AS614" s="9" t="n">
        <f aca="false">AG614*$V614</f>
        <v>38400</v>
      </c>
      <c r="AT614" s="9" t="n">
        <f aca="false">AH614*$V614</f>
        <v>38400</v>
      </c>
      <c r="AU614" s="9" t="n">
        <f aca="false">AI614*$V614</f>
        <v>38400</v>
      </c>
      <c r="AV614" s="9" t="n">
        <f aca="false">SUM(X614:AI614)/1000</f>
        <v>960</v>
      </c>
      <c r="AW614" s="9" t="n">
        <f aca="false">SUM(AJ614:AU614)</f>
        <v>460800</v>
      </c>
      <c r="AX614" s="9" t="n">
        <f aca="false">IF(D614="INR",AW614/88.24,AW614)/1000000</f>
        <v>0.00522212148685403</v>
      </c>
    </row>
    <row r="615" s="2" customFormat="true" ht="14.25" hidden="false" customHeight="false" outlineLevel="0" collapsed="false">
      <c r="A615" s="12" t="s">
        <v>1312</v>
      </c>
      <c r="B615" s="16"/>
      <c r="C615" s="15"/>
      <c r="D615" s="16" t="s">
        <v>50</v>
      </c>
      <c r="E615" s="16" t="s">
        <v>51</v>
      </c>
      <c r="F615" s="16" t="s">
        <v>243</v>
      </c>
      <c r="G615" s="16" t="s">
        <v>803</v>
      </c>
      <c r="H615" s="16" t="s">
        <v>804</v>
      </c>
      <c r="I615" s="16" t="s">
        <v>55</v>
      </c>
      <c r="J615" s="16" t="s">
        <v>56</v>
      </c>
      <c r="K615" s="16"/>
      <c r="L615" s="16" t="s">
        <v>55</v>
      </c>
      <c r="M615" s="16" t="s">
        <v>56</v>
      </c>
      <c r="N615" s="16" t="s">
        <v>93</v>
      </c>
      <c r="O615" s="16" t="s">
        <v>246</v>
      </c>
      <c r="P615" s="16" t="s">
        <v>69</v>
      </c>
      <c r="Q615" s="16" t="s">
        <v>69</v>
      </c>
      <c r="R615" s="16" t="s">
        <v>70</v>
      </c>
      <c r="S615" s="16" t="s">
        <v>71</v>
      </c>
      <c r="T615" s="16" t="s">
        <v>72</v>
      </c>
      <c r="U615" s="16" t="s">
        <v>73</v>
      </c>
      <c r="V615" s="16" t="n">
        <v>19</v>
      </c>
      <c r="W615" s="16" t="n">
        <v>0.18</v>
      </c>
      <c r="X615" s="22" t="n">
        <v>4000</v>
      </c>
      <c r="Y615" s="22" t="n">
        <v>2000</v>
      </c>
      <c r="Z615" s="22" t="n">
        <v>2000</v>
      </c>
      <c r="AA615" s="22" t="n">
        <v>2000</v>
      </c>
      <c r="AB615" s="22" t="n">
        <v>2000</v>
      </c>
      <c r="AC615" s="22" t="n">
        <v>2000</v>
      </c>
      <c r="AD615" s="22" t="n">
        <v>2000</v>
      </c>
      <c r="AE615" s="22" t="n">
        <v>2000</v>
      </c>
      <c r="AF615" s="22" t="n">
        <v>2000</v>
      </c>
      <c r="AG615" s="22" t="n">
        <v>2000</v>
      </c>
      <c r="AH615" s="22" t="n">
        <v>2000</v>
      </c>
      <c r="AI615" s="22" t="n">
        <v>2000</v>
      </c>
      <c r="AJ615" s="9" t="n">
        <f aca="false">X615*$V615</f>
        <v>76000</v>
      </c>
      <c r="AK615" s="9" t="n">
        <f aca="false">Y615*$V615</f>
        <v>38000</v>
      </c>
      <c r="AL615" s="9" t="n">
        <f aca="false">Z615*$V615</f>
        <v>38000</v>
      </c>
      <c r="AM615" s="9" t="n">
        <f aca="false">AA615*$V615</f>
        <v>38000</v>
      </c>
      <c r="AN615" s="9" t="n">
        <f aca="false">AB615*$V615</f>
        <v>38000</v>
      </c>
      <c r="AO615" s="9" t="n">
        <f aca="false">AC615*$V615</f>
        <v>38000</v>
      </c>
      <c r="AP615" s="9" t="n">
        <f aca="false">AD615*$V615</f>
        <v>38000</v>
      </c>
      <c r="AQ615" s="9" t="n">
        <f aca="false">AE615*$V615</f>
        <v>38000</v>
      </c>
      <c r="AR615" s="9" t="n">
        <f aca="false">AF615*$V615</f>
        <v>38000</v>
      </c>
      <c r="AS615" s="9" t="n">
        <f aca="false">AG615*$V615</f>
        <v>38000</v>
      </c>
      <c r="AT615" s="9" t="n">
        <f aca="false">AH615*$V615</f>
        <v>38000</v>
      </c>
      <c r="AU615" s="9" t="n">
        <f aca="false">AI615*$V615</f>
        <v>38000</v>
      </c>
      <c r="AV615" s="9" t="n">
        <f aca="false">SUM(X615:AI615)/1000</f>
        <v>26</v>
      </c>
      <c r="AW615" s="9" t="n">
        <f aca="false">SUM(AJ615:AU615)</f>
        <v>494000</v>
      </c>
      <c r="AX615" s="9" t="n">
        <f aca="false">IF(D615="INR",AW615/88.24,AW615)/1000000</f>
        <v>0.00559836808703536</v>
      </c>
    </row>
    <row r="616" s="2" customFormat="true" ht="14.25" hidden="false" customHeight="false" outlineLevel="0" collapsed="false">
      <c r="A616" s="12" t="s">
        <v>1313</v>
      </c>
      <c r="B616" s="16" t="n">
        <v>5</v>
      </c>
      <c r="C616" s="15"/>
      <c r="D616" s="16" t="s">
        <v>50</v>
      </c>
      <c r="E616" s="16" t="s">
        <v>51</v>
      </c>
      <c r="F616" s="16" t="s">
        <v>404</v>
      </c>
      <c r="G616" s="16" t="s">
        <v>962</v>
      </c>
      <c r="H616" s="16" t="s">
        <v>963</v>
      </c>
      <c r="I616" s="16" t="s">
        <v>105</v>
      </c>
      <c r="J616" s="16" t="s">
        <v>368</v>
      </c>
      <c r="K616" s="16"/>
      <c r="L616" s="16" t="s">
        <v>105</v>
      </c>
      <c r="M616" s="16" t="s">
        <v>368</v>
      </c>
      <c r="N616" s="16" t="s">
        <v>271</v>
      </c>
      <c r="O616" s="16" t="s">
        <v>94</v>
      </c>
      <c r="P616" s="16" t="s">
        <v>110</v>
      </c>
      <c r="Q616" s="16" t="s">
        <v>110</v>
      </c>
      <c r="R616" s="16" t="s">
        <v>137</v>
      </c>
      <c r="S616" s="16" t="s">
        <v>272</v>
      </c>
      <c r="T616" s="16" t="s">
        <v>757</v>
      </c>
      <c r="U616" s="16" t="s">
        <v>73</v>
      </c>
      <c r="V616" s="16" t="n">
        <v>38</v>
      </c>
      <c r="W616" s="16" t="n">
        <v>0.32</v>
      </c>
      <c r="X616" s="22" t="n">
        <v>1000</v>
      </c>
      <c r="Y616" s="22" t="n">
        <v>1000</v>
      </c>
      <c r="Z616" s="22" t="n">
        <v>1000</v>
      </c>
      <c r="AA616" s="22" t="n">
        <v>1000</v>
      </c>
      <c r="AB616" s="22" t="n">
        <v>1000</v>
      </c>
      <c r="AC616" s="22" t="n">
        <v>1000</v>
      </c>
      <c r="AD616" s="22" t="n">
        <v>1000</v>
      </c>
      <c r="AE616" s="22" t="n">
        <v>1000</v>
      </c>
      <c r="AF616" s="22" t="n">
        <v>1000</v>
      </c>
      <c r="AG616" s="22" t="n">
        <v>1000</v>
      </c>
      <c r="AH616" s="22" t="n">
        <v>1000</v>
      </c>
      <c r="AI616" s="22" t="n">
        <v>1000</v>
      </c>
      <c r="AJ616" s="9" t="n">
        <f aca="false">X616*$V616</f>
        <v>38000</v>
      </c>
      <c r="AK616" s="9" t="n">
        <f aca="false">Y616*$V616</f>
        <v>38000</v>
      </c>
      <c r="AL616" s="9" t="n">
        <f aca="false">Z616*$V616</f>
        <v>38000</v>
      </c>
      <c r="AM616" s="9" t="n">
        <f aca="false">AA616*$V616</f>
        <v>38000</v>
      </c>
      <c r="AN616" s="9" t="n">
        <f aca="false">AB616*$V616</f>
        <v>38000</v>
      </c>
      <c r="AO616" s="9" t="n">
        <f aca="false">AC616*$V616</f>
        <v>38000</v>
      </c>
      <c r="AP616" s="9" t="n">
        <f aca="false">AD616*$V616</f>
        <v>38000</v>
      </c>
      <c r="AQ616" s="9" t="n">
        <f aca="false">AE616*$V616</f>
        <v>38000</v>
      </c>
      <c r="AR616" s="9" t="n">
        <f aca="false">AF616*$V616</f>
        <v>38000</v>
      </c>
      <c r="AS616" s="9" t="n">
        <f aca="false">AG616*$V616</f>
        <v>38000</v>
      </c>
      <c r="AT616" s="9" t="n">
        <f aca="false">AH616*$V616</f>
        <v>38000</v>
      </c>
      <c r="AU616" s="9" t="n">
        <f aca="false">AI616*$V616</f>
        <v>38000</v>
      </c>
      <c r="AV616" s="9" t="n">
        <f aca="false">SUM(X616:AI616)/1000</f>
        <v>12</v>
      </c>
      <c r="AW616" s="9" t="n">
        <f aca="false">SUM(AJ616:AU616)</f>
        <v>456000</v>
      </c>
      <c r="AX616" s="9" t="n">
        <f aca="false">IF(D616="INR",AW616/88.24,AW616)/1000000</f>
        <v>0.00516772438803264</v>
      </c>
    </row>
    <row r="617" s="2" customFormat="true" ht="14.25" hidden="false" customHeight="false" outlineLevel="0" collapsed="false">
      <c r="A617" s="12"/>
      <c r="B617" s="16" t="n">
        <v>1</v>
      </c>
      <c r="C617" s="15"/>
      <c r="D617" s="16" t="s">
        <v>50</v>
      </c>
      <c r="E617" s="16" t="s">
        <v>51</v>
      </c>
      <c r="F617" s="16" t="s">
        <v>52</v>
      </c>
      <c r="G617" s="16"/>
      <c r="H617" s="16" t="s">
        <v>1158</v>
      </c>
      <c r="I617" s="16"/>
      <c r="J617" s="16"/>
      <c r="K617" s="16"/>
      <c r="L617" s="16"/>
      <c r="M617" s="16"/>
      <c r="N617" s="16" t="s">
        <v>79</v>
      </c>
      <c r="O617" s="16"/>
      <c r="P617" s="16"/>
      <c r="Q617" s="16" t="s">
        <v>85</v>
      </c>
      <c r="R617" s="16"/>
      <c r="S617" s="16"/>
      <c r="T617" s="16" t="s">
        <v>1314</v>
      </c>
      <c r="U617" s="16" t="s">
        <v>63</v>
      </c>
      <c r="V617" s="16" t="n">
        <v>36.8</v>
      </c>
      <c r="W617" s="16"/>
      <c r="X617" s="22" t="n">
        <v>1000</v>
      </c>
      <c r="Y617" s="22" t="n">
        <v>1000</v>
      </c>
      <c r="Z617" s="22" t="n">
        <v>1000</v>
      </c>
      <c r="AA617" s="22" t="n">
        <v>1000</v>
      </c>
      <c r="AB617" s="22" t="n">
        <v>1000</v>
      </c>
      <c r="AC617" s="22"/>
      <c r="AD617" s="22" t="n">
        <v>1000</v>
      </c>
      <c r="AE617" s="22" t="n">
        <v>1000</v>
      </c>
      <c r="AF617" s="22" t="n">
        <v>1000</v>
      </c>
      <c r="AG617" s="22" t="n">
        <v>1000</v>
      </c>
      <c r="AH617" s="22" t="n">
        <v>1000</v>
      </c>
      <c r="AI617" s="22" t="n">
        <v>1000</v>
      </c>
      <c r="AJ617" s="9" t="n">
        <f aca="false">X617*$V617</f>
        <v>36800</v>
      </c>
      <c r="AK617" s="9" t="n">
        <f aca="false">Y617*$V617</f>
        <v>36800</v>
      </c>
      <c r="AL617" s="9" t="n">
        <f aca="false">Z617*$V617</f>
        <v>36800</v>
      </c>
      <c r="AM617" s="9" t="n">
        <f aca="false">AA617*$V617</f>
        <v>36800</v>
      </c>
      <c r="AN617" s="9" t="n">
        <f aca="false">AB617*$V617</f>
        <v>36800</v>
      </c>
      <c r="AO617" s="9" t="n">
        <f aca="false">AC617*$V617</f>
        <v>0</v>
      </c>
      <c r="AP617" s="9" t="n">
        <f aca="false">AD617*$V617</f>
        <v>36800</v>
      </c>
      <c r="AQ617" s="9" t="n">
        <f aca="false">AE617*$V617</f>
        <v>36800</v>
      </c>
      <c r="AR617" s="9" t="n">
        <f aca="false">AF617*$V617</f>
        <v>36800</v>
      </c>
      <c r="AS617" s="9" t="n">
        <f aca="false">AG617*$V617</f>
        <v>36800</v>
      </c>
      <c r="AT617" s="9" t="n">
        <f aca="false">AH617*$V617</f>
        <v>36800</v>
      </c>
      <c r="AU617" s="9" t="n">
        <f aca="false">AI617*$V617</f>
        <v>36800</v>
      </c>
      <c r="AV617" s="9" t="n">
        <f aca="false">SUM(X617:AI617)/1000</f>
        <v>11</v>
      </c>
      <c r="AW617" s="9" t="n">
        <f aca="false">SUM(AJ617:AU617)</f>
        <v>404800</v>
      </c>
      <c r="AX617" s="9" t="n">
        <f aca="false">IF(D617="INR",AW617/88.24,AW617)/1000000</f>
        <v>0.00458748866727108</v>
      </c>
    </row>
    <row r="618" s="2" customFormat="true" ht="14.25" hidden="false" customHeight="false" outlineLevel="0" collapsed="false">
      <c r="A618" s="12"/>
      <c r="B618" s="16" t="n">
        <v>1</v>
      </c>
      <c r="C618" s="15"/>
      <c r="D618" s="16" t="s">
        <v>50</v>
      </c>
      <c r="E618" s="16" t="s">
        <v>51</v>
      </c>
      <c r="F618" s="16" t="s">
        <v>52</v>
      </c>
      <c r="G618" s="16"/>
      <c r="H618" s="16" t="s">
        <v>1158</v>
      </c>
      <c r="I618" s="16"/>
      <c r="J618" s="16"/>
      <c r="K618" s="16"/>
      <c r="L618" s="16"/>
      <c r="M618" s="16"/>
      <c r="N618" s="16" t="s">
        <v>79</v>
      </c>
      <c r="O618" s="16"/>
      <c r="P618" s="16"/>
      <c r="Q618" s="16" t="s">
        <v>85</v>
      </c>
      <c r="R618" s="16"/>
      <c r="S618" s="16"/>
      <c r="T618" s="16" t="s">
        <v>1315</v>
      </c>
      <c r="U618" s="16" t="s">
        <v>63</v>
      </c>
      <c r="V618" s="16" t="n">
        <v>36.8</v>
      </c>
      <c r="W618" s="16"/>
      <c r="X618" s="22" t="n">
        <v>1000</v>
      </c>
      <c r="Y618" s="22"/>
      <c r="Z618" s="22" t="n">
        <v>1000</v>
      </c>
      <c r="AA618" s="22" t="n">
        <v>1000</v>
      </c>
      <c r="AB618" s="22" t="n">
        <v>1000</v>
      </c>
      <c r="AC618" s="22" t="n">
        <v>1000</v>
      </c>
      <c r="AD618" s="22" t="n">
        <v>1000</v>
      </c>
      <c r="AE618" s="22"/>
      <c r="AF618" s="22" t="n">
        <v>1000</v>
      </c>
      <c r="AG618" s="22" t="n">
        <v>1000</v>
      </c>
      <c r="AH618" s="22" t="n">
        <v>1000</v>
      </c>
      <c r="AI618" s="22" t="n">
        <v>1000</v>
      </c>
      <c r="AJ618" s="9" t="n">
        <f aca="false">X618*$V618</f>
        <v>36800</v>
      </c>
      <c r="AK618" s="9" t="n">
        <f aca="false">Y618*$V618</f>
        <v>0</v>
      </c>
      <c r="AL618" s="9" t="n">
        <f aca="false">Z618*$V618</f>
        <v>36800</v>
      </c>
      <c r="AM618" s="9" t="n">
        <f aca="false">AA618*$V618</f>
        <v>36800</v>
      </c>
      <c r="AN618" s="9" t="n">
        <f aca="false">AB618*$V618</f>
        <v>36800</v>
      </c>
      <c r="AO618" s="9" t="n">
        <f aca="false">AC618*$V618</f>
        <v>36800</v>
      </c>
      <c r="AP618" s="9" t="n">
        <f aca="false">AD618*$V618</f>
        <v>36800</v>
      </c>
      <c r="AQ618" s="9" t="n">
        <f aca="false">AE618*$V618</f>
        <v>0</v>
      </c>
      <c r="AR618" s="9" t="n">
        <f aca="false">AF618*$V618</f>
        <v>36800</v>
      </c>
      <c r="AS618" s="9" t="n">
        <f aca="false">AG618*$V618</f>
        <v>36800</v>
      </c>
      <c r="AT618" s="9" t="n">
        <f aca="false">AH618*$V618</f>
        <v>36800</v>
      </c>
      <c r="AU618" s="9" t="n">
        <f aca="false">AI618*$V618</f>
        <v>36800</v>
      </c>
      <c r="AV618" s="9" t="n">
        <f aca="false">SUM(X618:AI618)/1000</f>
        <v>10</v>
      </c>
      <c r="AW618" s="9" t="n">
        <f aca="false">SUM(AJ618:AU618)</f>
        <v>368000</v>
      </c>
      <c r="AX618" s="9" t="n">
        <f aca="false">IF(D618="INR",AW618/88.24,AW618)/1000000</f>
        <v>0.00417044424297371</v>
      </c>
    </row>
    <row r="619" s="2" customFormat="true" ht="14.25" hidden="false" customHeight="false" outlineLevel="0" collapsed="false">
      <c r="A619" s="12"/>
      <c r="B619" s="16" t="n">
        <v>1</v>
      </c>
      <c r="C619" s="15"/>
      <c r="D619" s="16" t="s">
        <v>50</v>
      </c>
      <c r="E619" s="16" t="s">
        <v>51</v>
      </c>
      <c r="F619" s="16" t="s">
        <v>52</v>
      </c>
      <c r="G619" s="16"/>
      <c r="H619" s="16" t="s">
        <v>1158</v>
      </c>
      <c r="I619" s="16"/>
      <c r="J619" s="16"/>
      <c r="K619" s="16"/>
      <c r="L619" s="16"/>
      <c r="M619" s="16"/>
      <c r="N619" s="16" t="s">
        <v>79</v>
      </c>
      <c r="O619" s="16"/>
      <c r="P619" s="16"/>
      <c r="Q619" s="16" t="s">
        <v>85</v>
      </c>
      <c r="R619" s="16"/>
      <c r="S619" s="16"/>
      <c r="T619" s="16" t="s">
        <v>1316</v>
      </c>
      <c r="U619" s="16" t="s">
        <v>63</v>
      </c>
      <c r="V619" s="16" t="n">
        <v>36.8</v>
      </c>
      <c r="W619" s="16"/>
      <c r="X619" s="22" t="n">
        <v>1000</v>
      </c>
      <c r="Y619" s="16"/>
      <c r="Z619" s="16" t="n">
        <v>1000</v>
      </c>
      <c r="AA619" s="16" t="n">
        <v>1000</v>
      </c>
      <c r="AB619" s="16"/>
      <c r="AC619" s="16" t="n">
        <v>1000</v>
      </c>
      <c r="AD619" s="16"/>
      <c r="AE619" s="16" t="n">
        <v>1000</v>
      </c>
      <c r="AF619" s="16"/>
      <c r="AG619" s="16" t="n">
        <v>1000</v>
      </c>
      <c r="AH619" s="16"/>
      <c r="AI619" s="16" t="n">
        <v>1000</v>
      </c>
      <c r="AJ619" s="9" t="n">
        <f aca="false">X619*$V619</f>
        <v>36800</v>
      </c>
      <c r="AK619" s="9" t="n">
        <f aca="false">Y619*$V619</f>
        <v>0</v>
      </c>
      <c r="AL619" s="9" t="n">
        <f aca="false">Z619*$V619</f>
        <v>36800</v>
      </c>
      <c r="AM619" s="9" t="n">
        <f aca="false">AA619*$V619</f>
        <v>36800</v>
      </c>
      <c r="AN619" s="9" t="n">
        <f aca="false">AB619*$V619</f>
        <v>0</v>
      </c>
      <c r="AO619" s="9" t="n">
        <f aca="false">AC619*$V619</f>
        <v>36800</v>
      </c>
      <c r="AP619" s="9" t="n">
        <f aca="false">AD619*$V619</f>
        <v>0</v>
      </c>
      <c r="AQ619" s="9" t="n">
        <f aca="false">AE619*$V619</f>
        <v>36800</v>
      </c>
      <c r="AR619" s="9" t="n">
        <f aca="false">AF619*$V619</f>
        <v>0</v>
      </c>
      <c r="AS619" s="9" t="n">
        <f aca="false">AG619*$V619</f>
        <v>36800</v>
      </c>
      <c r="AT619" s="9" t="n">
        <f aca="false">AH619*$V619</f>
        <v>0</v>
      </c>
      <c r="AU619" s="9" t="n">
        <f aca="false">AI619*$V619</f>
        <v>36800</v>
      </c>
      <c r="AV619" s="9" t="n">
        <f aca="false">SUM(X619:AI619)/1000</f>
        <v>7</v>
      </c>
      <c r="AW619" s="9" t="n">
        <f aca="false">SUM(AJ619:AU619)</f>
        <v>257600</v>
      </c>
      <c r="AX619" s="9" t="n">
        <f aca="false">IF(D619="INR",AW619/88.24,AW619)/1000000</f>
        <v>0.0029193109700816</v>
      </c>
    </row>
    <row r="620" s="2" customFormat="true" ht="14.25" hidden="false" customHeight="false" outlineLevel="0" collapsed="false">
      <c r="A620" s="12"/>
      <c r="B620" s="16" t="n">
        <v>1</v>
      </c>
      <c r="C620" s="15"/>
      <c r="D620" s="16" t="s">
        <v>50</v>
      </c>
      <c r="E620" s="16" t="s">
        <v>51</v>
      </c>
      <c r="F620" s="16" t="s">
        <v>52</v>
      </c>
      <c r="G620" s="16"/>
      <c r="H620" s="16" t="s">
        <v>1158</v>
      </c>
      <c r="I620" s="16"/>
      <c r="J620" s="16"/>
      <c r="K620" s="16"/>
      <c r="L620" s="16"/>
      <c r="M620" s="16"/>
      <c r="N620" s="16" t="s">
        <v>79</v>
      </c>
      <c r="O620" s="16"/>
      <c r="P620" s="16"/>
      <c r="Q620" s="16" t="s">
        <v>85</v>
      </c>
      <c r="R620" s="16"/>
      <c r="S620" s="16"/>
      <c r="T620" s="16" t="s">
        <v>1317</v>
      </c>
      <c r="U620" s="16" t="s">
        <v>63</v>
      </c>
      <c r="V620" s="16" t="n">
        <v>36.8</v>
      </c>
      <c r="W620" s="16"/>
      <c r="X620" s="22"/>
      <c r="Y620" s="16" t="n">
        <v>1000</v>
      </c>
      <c r="Z620" s="16" t="n">
        <v>1000</v>
      </c>
      <c r="AA620" s="16" t="n">
        <v>1000</v>
      </c>
      <c r="AB620" s="16"/>
      <c r="AC620" s="16" t="n">
        <v>1000</v>
      </c>
      <c r="AD620" s="16" t="n">
        <v>1000</v>
      </c>
      <c r="AE620" s="16"/>
      <c r="AF620" s="16"/>
      <c r="AG620" s="16" t="n">
        <v>1000</v>
      </c>
      <c r="AH620" s="16"/>
      <c r="AI620" s="16" t="n">
        <v>1000</v>
      </c>
      <c r="AJ620" s="9" t="n">
        <f aca="false">X620*$V620</f>
        <v>0</v>
      </c>
      <c r="AK620" s="9" t="n">
        <f aca="false">Y620*$V620</f>
        <v>36800</v>
      </c>
      <c r="AL620" s="9" t="n">
        <f aca="false">Z620*$V620</f>
        <v>36800</v>
      </c>
      <c r="AM620" s="9" t="n">
        <f aca="false">AA620*$V620</f>
        <v>36800</v>
      </c>
      <c r="AN620" s="9" t="n">
        <f aca="false">AB620*$V620</f>
        <v>0</v>
      </c>
      <c r="AO620" s="9" t="n">
        <f aca="false">AC620*$V620</f>
        <v>36800</v>
      </c>
      <c r="AP620" s="9" t="n">
        <f aca="false">AD620*$V620</f>
        <v>36800</v>
      </c>
      <c r="AQ620" s="9" t="n">
        <f aca="false">AE620*$V620</f>
        <v>0</v>
      </c>
      <c r="AR620" s="9" t="n">
        <f aca="false">AF620*$V620</f>
        <v>0</v>
      </c>
      <c r="AS620" s="9" t="n">
        <f aca="false">AG620*$V620</f>
        <v>36800</v>
      </c>
      <c r="AT620" s="9" t="n">
        <f aca="false">AH620*$V620</f>
        <v>0</v>
      </c>
      <c r="AU620" s="9" t="n">
        <f aca="false">AI620*$V620</f>
        <v>36800</v>
      </c>
      <c r="AV620" s="9" t="n">
        <f aca="false">SUM(X620:AI620)/1000</f>
        <v>7</v>
      </c>
      <c r="AW620" s="9" t="n">
        <f aca="false">SUM(AJ620:AU620)</f>
        <v>257600</v>
      </c>
      <c r="AX620" s="9" t="n">
        <f aca="false">IF(D620="INR",AW620/88.24,AW620)/1000000</f>
        <v>0.0029193109700816</v>
      </c>
    </row>
    <row r="621" s="2" customFormat="true" ht="14.25" hidden="false" customHeight="false" outlineLevel="0" collapsed="false">
      <c r="A621" s="12"/>
      <c r="B621" s="16" t="n">
        <v>5</v>
      </c>
      <c r="C621" s="15"/>
      <c r="D621" s="16" t="s">
        <v>50</v>
      </c>
      <c r="E621" s="16" t="s">
        <v>51</v>
      </c>
      <c r="F621" s="16" t="s">
        <v>404</v>
      </c>
      <c r="G621" s="16"/>
      <c r="H621" s="16" t="s">
        <v>770</v>
      </c>
      <c r="I621" s="16" t="s">
        <v>105</v>
      </c>
      <c r="J621" s="16"/>
      <c r="K621" s="16"/>
      <c r="L621" s="16"/>
      <c r="M621" s="16"/>
      <c r="N621" s="16" t="s">
        <v>271</v>
      </c>
      <c r="O621" s="16"/>
      <c r="P621" s="16" t="s">
        <v>85</v>
      </c>
      <c r="Q621" s="16" t="s">
        <v>85</v>
      </c>
      <c r="R621" s="16"/>
      <c r="S621" s="16"/>
      <c r="T621" s="16" t="s">
        <v>1318</v>
      </c>
      <c r="U621" s="16"/>
      <c r="V621" s="16" t="n">
        <v>7.25</v>
      </c>
      <c r="W621" s="16"/>
      <c r="X621" s="22" t="n">
        <v>5000</v>
      </c>
      <c r="Y621" s="22" t="n">
        <v>5000</v>
      </c>
      <c r="Z621" s="22" t="n">
        <v>5000</v>
      </c>
      <c r="AA621" s="22" t="n">
        <v>5000</v>
      </c>
      <c r="AB621" s="22"/>
      <c r="AC621" s="22" t="n">
        <v>5000</v>
      </c>
      <c r="AD621" s="22" t="n">
        <v>5000</v>
      </c>
      <c r="AE621" s="22" t="n">
        <v>5000</v>
      </c>
      <c r="AF621" s="22" t="n">
        <v>5000</v>
      </c>
      <c r="AG621" s="22"/>
      <c r="AH621" s="22" t="n">
        <v>5000</v>
      </c>
      <c r="AI621" s="22" t="n">
        <v>5000</v>
      </c>
      <c r="AJ621" s="9" t="n">
        <f aca="false">X621*$V621</f>
        <v>36250</v>
      </c>
      <c r="AK621" s="9" t="n">
        <f aca="false">Y621*$V621</f>
        <v>36250</v>
      </c>
      <c r="AL621" s="9" t="n">
        <f aca="false">Z621*$V621</f>
        <v>36250</v>
      </c>
      <c r="AM621" s="9" t="n">
        <f aca="false">AA621*$V621</f>
        <v>36250</v>
      </c>
      <c r="AN621" s="9" t="n">
        <f aca="false">AB621*$V621</f>
        <v>0</v>
      </c>
      <c r="AO621" s="9" t="n">
        <f aca="false">AC621*$V621</f>
        <v>36250</v>
      </c>
      <c r="AP621" s="9" t="n">
        <f aca="false">AD621*$V621</f>
        <v>36250</v>
      </c>
      <c r="AQ621" s="9" t="n">
        <f aca="false">AE621*$V621</f>
        <v>36250</v>
      </c>
      <c r="AR621" s="9" t="n">
        <f aca="false">AF621*$V621</f>
        <v>36250</v>
      </c>
      <c r="AS621" s="9" t="n">
        <f aca="false">AG621*$V621</f>
        <v>0</v>
      </c>
      <c r="AT621" s="9" t="n">
        <f aca="false">AH621*$V621</f>
        <v>36250</v>
      </c>
      <c r="AU621" s="9" t="n">
        <f aca="false">AI621*$V621</f>
        <v>36250</v>
      </c>
      <c r="AV621" s="9" t="n">
        <f aca="false">SUM(X621:AI621)/1000</f>
        <v>50</v>
      </c>
      <c r="AW621" s="9" t="n">
        <f aca="false">SUM(AJ621:AU621)</f>
        <v>362500</v>
      </c>
      <c r="AX621" s="9" t="n">
        <f aca="false">IF(D621="INR",AW621/88.24,AW621)/1000000</f>
        <v>0.00410811423390753</v>
      </c>
    </row>
    <row r="622" s="2" customFormat="true" ht="14.25" hidden="false" customHeight="false" outlineLevel="0" collapsed="false">
      <c r="A622" s="12" t="s">
        <v>1319</v>
      </c>
      <c r="B622" s="16" t="n">
        <v>5</v>
      </c>
      <c r="C622" s="15"/>
      <c r="D622" s="16" t="s">
        <v>50</v>
      </c>
      <c r="E622" s="16" t="s">
        <v>51</v>
      </c>
      <c r="F622" s="16" t="s">
        <v>97</v>
      </c>
      <c r="G622" s="16" t="s">
        <v>98</v>
      </c>
      <c r="H622" s="16" t="s">
        <v>99</v>
      </c>
      <c r="I622" s="16" t="s">
        <v>55</v>
      </c>
      <c r="J622" s="16" t="s">
        <v>100</v>
      </c>
      <c r="K622" s="16"/>
      <c r="L622" s="16" t="s">
        <v>55</v>
      </c>
      <c r="M622" s="16" t="s">
        <v>100</v>
      </c>
      <c r="N622" s="16" t="s">
        <v>79</v>
      </c>
      <c r="O622" s="16" t="s">
        <v>58</v>
      </c>
      <c r="P622" s="16" t="s">
        <v>308</v>
      </c>
      <c r="Q622" s="16" t="s">
        <v>308</v>
      </c>
      <c r="R622" s="16" t="s">
        <v>309</v>
      </c>
      <c r="S622" s="16" t="s">
        <v>264</v>
      </c>
      <c r="T622" s="16" t="s">
        <v>1320</v>
      </c>
      <c r="U622" s="16" t="s">
        <v>73</v>
      </c>
      <c r="V622" s="16" t="n">
        <v>0.6</v>
      </c>
      <c r="W622" s="26" t="n">
        <v>0.52</v>
      </c>
      <c r="X622" s="22" t="n">
        <v>60000</v>
      </c>
      <c r="Y622" s="22"/>
      <c r="Z622" s="22" t="n">
        <v>60000</v>
      </c>
      <c r="AA622" s="22"/>
      <c r="AB622" s="22" t="n">
        <v>60000</v>
      </c>
      <c r="AC622" s="22"/>
      <c r="AD622" s="22" t="n">
        <v>60000</v>
      </c>
      <c r="AE622" s="22"/>
      <c r="AF622" s="22" t="n">
        <v>60000</v>
      </c>
      <c r="AG622" s="22" t="n">
        <v>100000</v>
      </c>
      <c r="AH622" s="22"/>
      <c r="AI622" s="22" t="n">
        <v>60000</v>
      </c>
      <c r="AJ622" s="9" t="n">
        <f aca="false">X622*$V622</f>
        <v>36000</v>
      </c>
      <c r="AK622" s="9" t="n">
        <f aca="false">Y622*$V622</f>
        <v>0</v>
      </c>
      <c r="AL622" s="9" t="n">
        <f aca="false">Z622*$V622</f>
        <v>36000</v>
      </c>
      <c r="AM622" s="9" t="n">
        <f aca="false">AA622*$V622</f>
        <v>0</v>
      </c>
      <c r="AN622" s="9" t="n">
        <f aca="false">AB622*$V622</f>
        <v>36000</v>
      </c>
      <c r="AO622" s="9" t="n">
        <f aca="false">AC622*$V622</f>
        <v>0</v>
      </c>
      <c r="AP622" s="9" t="n">
        <f aca="false">AD622*$V622</f>
        <v>36000</v>
      </c>
      <c r="AQ622" s="9" t="n">
        <f aca="false">AE622*$V622</f>
        <v>0</v>
      </c>
      <c r="AR622" s="9" t="n">
        <f aca="false">AF622*$V622</f>
        <v>36000</v>
      </c>
      <c r="AS622" s="9" t="n">
        <f aca="false">AG622*$V622</f>
        <v>60000</v>
      </c>
      <c r="AT622" s="9" t="n">
        <f aca="false">AH622*$V622</f>
        <v>0</v>
      </c>
      <c r="AU622" s="9" t="n">
        <f aca="false">AI622*$V622</f>
        <v>36000</v>
      </c>
      <c r="AV622" s="9" t="n">
        <f aca="false">SUM(X622:AI622)/1000</f>
        <v>460</v>
      </c>
      <c r="AW622" s="9" t="n">
        <f aca="false">SUM(AJ622:AU622)</f>
        <v>276000</v>
      </c>
      <c r="AX622" s="9" t="n">
        <f aca="false">IF(D622="INR",AW622/88.24,AW622)/1000000</f>
        <v>0.00312783318223028</v>
      </c>
    </row>
    <row r="623" s="2" customFormat="true" ht="14.25" hidden="false" customHeight="false" outlineLevel="0" collapsed="false">
      <c r="A623" s="12" t="s">
        <v>1321</v>
      </c>
      <c r="B623" s="16" t="n">
        <v>5</v>
      </c>
      <c r="C623" s="15"/>
      <c r="D623" s="16" t="s">
        <v>102</v>
      </c>
      <c r="E623" s="16" t="s">
        <v>51</v>
      </c>
      <c r="F623" s="16" t="s">
        <v>243</v>
      </c>
      <c r="G623" s="16" t="s">
        <v>318</v>
      </c>
      <c r="H623" s="9" t="s">
        <v>319</v>
      </c>
      <c r="I623" s="16" t="s">
        <v>298</v>
      </c>
      <c r="J623" s="16" t="s">
        <v>1322</v>
      </c>
      <c r="K623" s="9"/>
      <c r="L623" s="16" t="s">
        <v>298</v>
      </c>
      <c r="M623" s="16" t="s">
        <v>1322</v>
      </c>
      <c r="N623" s="16" t="s">
        <v>93</v>
      </c>
      <c r="O623" s="16" t="s">
        <v>68</v>
      </c>
      <c r="P623" s="16" t="s">
        <v>208</v>
      </c>
      <c r="Q623" s="16" t="s">
        <v>208</v>
      </c>
      <c r="R623" s="16" t="s">
        <v>309</v>
      </c>
      <c r="S623" s="16" t="s">
        <v>87</v>
      </c>
      <c r="T623" s="16" t="s">
        <v>636</v>
      </c>
      <c r="U623" s="16" t="s">
        <v>73</v>
      </c>
      <c r="V623" s="16" t="n">
        <v>0.229</v>
      </c>
      <c r="W623" s="16" t="n">
        <v>0.2134</v>
      </c>
      <c r="X623" s="16" t="n">
        <v>400000</v>
      </c>
      <c r="Y623" s="16" t="n">
        <v>400000</v>
      </c>
      <c r="Z623" s="16" t="n">
        <v>400000</v>
      </c>
      <c r="AA623" s="16" t="n">
        <v>400000</v>
      </c>
      <c r="AB623" s="16" t="n">
        <v>400000</v>
      </c>
      <c r="AC623" s="16" t="n">
        <v>400000</v>
      </c>
      <c r="AD623" s="16" t="n">
        <v>400000</v>
      </c>
      <c r="AE623" s="16" t="n">
        <v>400000</v>
      </c>
      <c r="AF623" s="16" t="n">
        <v>400000</v>
      </c>
      <c r="AG623" s="16" t="n">
        <v>400000</v>
      </c>
      <c r="AH623" s="16" t="n">
        <v>400000</v>
      </c>
      <c r="AI623" s="16" t="n">
        <v>400000</v>
      </c>
      <c r="AJ623" s="9" t="n">
        <f aca="false">X623*$V623</f>
        <v>91600</v>
      </c>
      <c r="AK623" s="9" t="n">
        <f aca="false">Y623*$V623</f>
        <v>91600</v>
      </c>
      <c r="AL623" s="9" t="n">
        <f aca="false">Z623*$V623</f>
        <v>91600</v>
      </c>
      <c r="AM623" s="9" t="n">
        <f aca="false">AA623*$V623</f>
        <v>91600</v>
      </c>
      <c r="AN623" s="9" t="n">
        <f aca="false">AB623*$V623</f>
        <v>91600</v>
      </c>
      <c r="AO623" s="9" t="n">
        <f aca="false">AC623*$V623</f>
        <v>91600</v>
      </c>
      <c r="AP623" s="9" t="n">
        <f aca="false">AD623*$V623</f>
        <v>91600</v>
      </c>
      <c r="AQ623" s="9" t="n">
        <f aca="false">AE623*$V623</f>
        <v>91600</v>
      </c>
      <c r="AR623" s="9" t="n">
        <f aca="false">AF623*$V623</f>
        <v>91600</v>
      </c>
      <c r="AS623" s="9" t="n">
        <f aca="false">AG623*$V623</f>
        <v>91600</v>
      </c>
      <c r="AT623" s="9" t="n">
        <f aca="false">AH623*$V623</f>
        <v>91600</v>
      </c>
      <c r="AU623" s="9" t="n">
        <f aca="false">AI623*$V623</f>
        <v>91600</v>
      </c>
      <c r="AV623" s="9" t="n">
        <f aca="false">SUM(X623:AI623)/1000</f>
        <v>4800</v>
      </c>
      <c r="AW623" s="9" t="n">
        <f aca="false">SUM(AJ623:AU623)</f>
        <v>1099200</v>
      </c>
      <c r="AX623" s="9" t="n">
        <f aca="false">IF(D623="INR",AW623/88.24,AW623)/1000000</f>
        <v>1.0992</v>
      </c>
    </row>
    <row r="624" s="2" customFormat="true" ht="14.25" hidden="false" customHeight="false" outlineLevel="0" collapsed="false">
      <c r="A624" s="12" t="s">
        <v>1323</v>
      </c>
      <c r="B624" s="16"/>
      <c r="C624" s="15"/>
      <c r="D624" s="16" t="s">
        <v>50</v>
      </c>
      <c r="E624" s="16" t="s">
        <v>51</v>
      </c>
      <c r="F624" s="16" t="s">
        <v>52</v>
      </c>
      <c r="G624" s="16" t="s">
        <v>258</v>
      </c>
      <c r="H624" s="16" t="s">
        <v>259</v>
      </c>
      <c r="I624" s="16" t="s">
        <v>260</v>
      </c>
      <c r="J624" s="16" t="s">
        <v>261</v>
      </c>
      <c r="K624" s="16"/>
      <c r="L624" s="16" t="s">
        <v>260</v>
      </c>
      <c r="M624" s="16" t="s">
        <v>261</v>
      </c>
      <c r="N624" s="16" t="s">
        <v>67</v>
      </c>
      <c r="O624" s="16" t="s">
        <v>107</v>
      </c>
      <c r="P624" s="16" t="s">
        <v>197</v>
      </c>
      <c r="Q624" s="16" t="s">
        <v>197</v>
      </c>
      <c r="R624" s="16" t="s">
        <v>86</v>
      </c>
      <c r="S624" s="16" t="s">
        <v>521</v>
      </c>
      <c r="T624" s="16" t="s">
        <v>1324</v>
      </c>
      <c r="U624" s="16" t="s">
        <v>73</v>
      </c>
      <c r="V624" s="16" t="n">
        <v>0.8</v>
      </c>
      <c r="W624" s="16" t="n">
        <v>0.00198</v>
      </c>
      <c r="X624" s="22" t="n">
        <v>45000</v>
      </c>
      <c r="Y624" s="22" t="n">
        <v>45000</v>
      </c>
      <c r="Z624" s="22" t="n">
        <v>45000</v>
      </c>
      <c r="AA624" s="22" t="n">
        <v>45000</v>
      </c>
      <c r="AB624" s="22" t="n">
        <v>45000</v>
      </c>
      <c r="AC624" s="22" t="n">
        <v>45000</v>
      </c>
      <c r="AD624" s="22" t="n">
        <v>45000</v>
      </c>
      <c r="AE624" s="22" t="n">
        <v>45000</v>
      </c>
      <c r="AF624" s="22" t="n">
        <v>45000</v>
      </c>
      <c r="AG624" s="22" t="n">
        <v>45000</v>
      </c>
      <c r="AH624" s="22" t="n">
        <v>45000</v>
      </c>
      <c r="AI624" s="22" t="n">
        <v>45000</v>
      </c>
      <c r="AJ624" s="9" t="n">
        <f aca="false">X624*$V624</f>
        <v>36000</v>
      </c>
      <c r="AK624" s="9" t="n">
        <f aca="false">Y624*$V624</f>
        <v>36000</v>
      </c>
      <c r="AL624" s="9" t="n">
        <f aca="false">Z624*$V624</f>
        <v>36000</v>
      </c>
      <c r="AM624" s="9" t="n">
        <f aca="false">AA624*$V624</f>
        <v>36000</v>
      </c>
      <c r="AN624" s="9" t="n">
        <f aca="false">AB624*$V624</f>
        <v>36000</v>
      </c>
      <c r="AO624" s="9" t="n">
        <f aca="false">AC624*$V624</f>
        <v>36000</v>
      </c>
      <c r="AP624" s="9" t="n">
        <f aca="false">AD624*$V624</f>
        <v>36000</v>
      </c>
      <c r="AQ624" s="9" t="n">
        <f aca="false">AE624*$V624</f>
        <v>36000</v>
      </c>
      <c r="AR624" s="9" t="n">
        <f aca="false">AF624*$V624</f>
        <v>36000</v>
      </c>
      <c r="AS624" s="9" t="n">
        <f aca="false">AG624*$V624</f>
        <v>36000</v>
      </c>
      <c r="AT624" s="9" t="n">
        <f aca="false">AH624*$V624</f>
        <v>36000</v>
      </c>
      <c r="AU624" s="9" t="n">
        <f aca="false">AI624*$V624</f>
        <v>36000</v>
      </c>
      <c r="AV624" s="9" t="n">
        <f aca="false">SUM(X624:AI624)/1000</f>
        <v>540</v>
      </c>
      <c r="AW624" s="9" t="n">
        <f aca="false">SUM(AJ624:AU624)</f>
        <v>432000</v>
      </c>
      <c r="AX624" s="9" t="n">
        <f aca="false">IF(D624="INR",AW624/88.24,AW624)/1000000</f>
        <v>0.00489573889392566</v>
      </c>
    </row>
    <row r="625" s="2" customFormat="true" ht="16.4" hidden="false" customHeight="false" outlineLevel="0" collapsed="false">
      <c r="A625" s="16" t="s">
        <v>1325</v>
      </c>
      <c r="B625" s="16" t="n">
        <v>5</v>
      </c>
      <c r="C625" s="16"/>
      <c r="D625" s="16" t="s">
        <v>102</v>
      </c>
      <c r="E625" s="16" t="s">
        <v>51</v>
      </c>
      <c r="F625" s="16" t="s">
        <v>243</v>
      </c>
      <c r="G625" s="16" t="s">
        <v>318</v>
      </c>
      <c r="H625" s="16" t="s">
        <v>319</v>
      </c>
      <c r="I625" s="16" t="s">
        <v>298</v>
      </c>
      <c r="J625" s="16" t="s">
        <v>1322</v>
      </c>
      <c r="K625" s="16"/>
      <c r="L625" s="16" t="s">
        <v>298</v>
      </c>
      <c r="M625" s="16" t="s">
        <v>1322</v>
      </c>
      <c r="N625" s="16" t="s">
        <v>93</v>
      </c>
      <c r="O625" s="16" t="s">
        <v>68</v>
      </c>
      <c r="P625" s="16" t="s">
        <v>85</v>
      </c>
      <c r="Q625" s="16" t="s">
        <v>85</v>
      </c>
      <c r="R625" s="16" t="s">
        <v>86</v>
      </c>
      <c r="S625" s="16" t="s">
        <v>87</v>
      </c>
      <c r="T625" s="26" t="s">
        <v>1326</v>
      </c>
      <c r="U625" s="16" t="s">
        <v>73</v>
      </c>
      <c r="V625" s="16" t="n">
        <v>0.023865</v>
      </c>
      <c r="W625" s="16" t="n">
        <v>0.02</v>
      </c>
      <c r="X625" s="16"/>
      <c r="Y625" s="16"/>
      <c r="Z625" s="16"/>
      <c r="AA625" s="16" t="n">
        <v>400000</v>
      </c>
      <c r="AB625" s="16" t="n">
        <v>400000</v>
      </c>
      <c r="AC625" s="16" t="n">
        <v>400000</v>
      </c>
      <c r="AD625" s="16" t="n">
        <v>400000</v>
      </c>
      <c r="AE625" s="16" t="n">
        <v>400000</v>
      </c>
      <c r="AF625" s="16" t="n">
        <v>400000</v>
      </c>
      <c r="AG625" s="16" t="n">
        <v>400000</v>
      </c>
      <c r="AH625" s="16" t="n">
        <v>400000</v>
      </c>
      <c r="AI625" s="16" t="n">
        <v>400000</v>
      </c>
      <c r="AJ625" s="9" t="n">
        <f aca="false">X625*$V625</f>
        <v>0</v>
      </c>
      <c r="AK625" s="9" t="n">
        <f aca="false">Y625*$V625</f>
        <v>0</v>
      </c>
      <c r="AL625" s="9" t="n">
        <f aca="false">Z625*$V625</f>
        <v>0</v>
      </c>
      <c r="AM625" s="9" t="n">
        <f aca="false">AA625*$V625</f>
        <v>9546</v>
      </c>
      <c r="AN625" s="9" t="n">
        <f aca="false">AB625*$V625</f>
        <v>9546</v>
      </c>
      <c r="AO625" s="9" t="n">
        <f aca="false">AC625*$V625</f>
        <v>9546</v>
      </c>
      <c r="AP625" s="9" t="n">
        <f aca="false">AD625*$V625</f>
        <v>9546</v>
      </c>
      <c r="AQ625" s="9" t="n">
        <f aca="false">AE625*$V625</f>
        <v>9546</v>
      </c>
      <c r="AR625" s="9" t="n">
        <f aca="false">AF625*$V625</f>
        <v>9546</v>
      </c>
      <c r="AS625" s="9" t="n">
        <f aca="false">AG625*$V625</f>
        <v>9546</v>
      </c>
      <c r="AT625" s="9" t="n">
        <f aca="false">AH625*$V625</f>
        <v>9546</v>
      </c>
      <c r="AU625" s="9" t="n">
        <f aca="false">AI625*$V625</f>
        <v>9546</v>
      </c>
      <c r="AV625" s="9" t="n">
        <f aca="false">SUM(X625:AI625)/1000</f>
        <v>3600</v>
      </c>
      <c r="AW625" s="9" t="n">
        <f aca="false">SUM(AJ625:AU625)</f>
        <v>85914</v>
      </c>
      <c r="AX625" s="9" t="n">
        <f aca="false">IF(D625="INR",AW625/88.24,AW625)/1000000</f>
        <v>0.085914</v>
      </c>
    </row>
    <row r="626" s="2" customFormat="true" ht="14.25" hidden="false" customHeight="false" outlineLevel="0" collapsed="false">
      <c r="A626" s="12"/>
      <c r="B626" s="16" t="n">
        <v>5</v>
      </c>
      <c r="C626" s="15"/>
      <c r="D626" s="16" t="s">
        <v>50</v>
      </c>
      <c r="E626" s="16" t="s">
        <v>51</v>
      </c>
      <c r="F626" s="16" t="s">
        <v>404</v>
      </c>
      <c r="G626" s="16"/>
      <c r="H626" s="16" t="s">
        <v>1327</v>
      </c>
      <c r="I626" s="16" t="s">
        <v>105</v>
      </c>
      <c r="J626" s="16" t="s">
        <v>1073</v>
      </c>
      <c r="K626" s="16"/>
      <c r="L626" s="16" t="s">
        <v>105</v>
      </c>
      <c r="M626" s="16" t="s">
        <v>1073</v>
      </c>
      <c r="N626" s="16" t="s">
        <v>271</v>
      </c>
      <c r="O626" s="16" t="s">
        <v>94</v>
      </c>
      <c r="P626" s="16" t="s">
        <v>262</v>
      </c>
      <c r="Q626" s="16" t="s">
        <v>262</v>
      </c>
      <c r="R626" s="16" t="s">
        <v>550</v>
      </c>
      <c r="S626" s="16" t="s">
        <v>264</v>
      </c>
      <c r="T626" s="16" t="s">
        <v>1328</v>
      </c>
      <c r="U626" s="16"/>
      <c r="V626" s="16" t="n">
        <v>17.5</v>
      </c>
      <c r="W626" s="16"/>
      <c r="X626" s="22" t="n">
        <v>2000</v>
      </c>
      <c r="Y626" s="22" t="n">
        <v>2000</v>
      </c>
      <c r="Z626" s="22" t="n">
        <v>2000</v>
      </c>
      <c r="AA626" s="22" t="n">
        <v>2000</v>
      </c>
      <c r="AB626" s="22" t="n">
        <v>2000</v>
      </c>
      <c r="AC626" s="22" t="n">
        <v>2000</v>
      </c>
      <c r="AD626" s="22" t="n">
        <v>2000</v>
      </c>
      <c r="AE626" s="22" t="n">
        <v>2000</v>
      </c>
      <c r="AF626" s="22" t="n">
        <v>2000</v>
      </c>
      <c r="AG626" s="22" t="n">
        <v>2000</v>
      </c>
      <c r="AH626" s="22" t="n">
        <v>2000</v>
      </c>
      <c r="AI626" s="22" t="n">
        <v>2000</v>
      </c>
      <c r="AJ626" s="9" t="n">
        <f aca="false">X626*$V626</f>
        <v>35000</v>
      </c>
      <c r="AK626" s="9" t="n">
        <f aca="false">Y626*$V626</f>
        <v>35000</v>
      </c>
      <c r="AL626" s="9" t="n">
        <f aca="false">Z626*$V626</f>
        <v>35000</v>
      </c>
      <c r="AM626" s="9" t="n">
        <f aca="false">AA626*$V626</f>
        <v>35000</v>
      </c>
      <c r="AN626" s="9" t="n">
        <f aca="false">AB626*$V626</f>
        <v>35000</v>
      </c>
      <c r="AO626" s="9" t="n">
        <f aca="false">AC626*$V626</f>
        <v>35000</v>
      </c>
      <c r="AP626" s="9" t="n">
        <f aca="false">AD626*$V626</f>
        <v>35000</v>
      </c>
      <c r="AQ626" s="9" t="n">
        <f aca="false">AE626*$V626</f>
        <v>35000</v>
      </c>
      <c r="AR626" s="9" t="n">
        <f aca="false">AF626*$V626</f>
        <v>35000</v>
      </c>
      <c r="AS626" s="9" t="n">
        <f aca="false">AG626*$V626</f>
        <v>35000</v>
      </c>
      <c r="AT626" s="9" t="n">
        <f aca="false">AH626*$V626</f>
        <v>35000</v>
      </c>
      <c r="AU626" s="9" t="n">
        <f aca="false">AI626*$V626</f>
        <v>35000</v>
      </c>
      <c r="AV626" s="9" t="n">
        <f aca="false">SUM(X626:AI626)/1000</f>
        <v>24</v>
      </c>
      <c r="AW626" s="9" t="n">
        <f aca="false">SUM(AJ626:AU626)</f>
        <v>420000</v>
      </c>
      <c r="AX626" s="9" t="n">
        <f aca="false">IF(D626="INR",AW626/88.24,AW626)/1000000</f>
        <v>0.00475974614687217</v>
      </c>
    </row>
    <row r="627" s="2" customFormat="true" ht="16.4" hidden="false" customHeight="false" outlineLevel="0" collapsed="false">
      <c r="A627" s="35" t="s">
        <v>1329</v>
      </c>
      <c r="B627" s="9" t="n">
        <v>5</v>
      </c>
      <c r="C627" s="10"/>
      <c r="D627" s="9" t="s">
        <v>102</v>
      </c>
      <c r="E627" s="9" t="s">
        <v>51</v>
      </c>
      <c r="F627" s="9" t="s">
        <v>243</v>
      </c>
      <c r="G627" s="9" t="s">
        <v>318</v>
      </c>
      <c r="H627" s="9" t="s">
        <v>319</v>
      </c>
      <c r="I627" s="9" t="s">
        <v>298</v>
      </c>
      <c r="J627" s="9" t="s">
        <v>1322</v>
      </c>
      <c r="K627" s="9"/>
      <c r="L627" s="9" t="s">
        <v>298</v>
      </c>
      <c r="M627" s="9" t="s">
        <v>1322</v>
      </c>
      <c r="N627" s="16" t="s">
        <v>93</v>
      </c>
      <c r="O627" s="9" t="s">
        <v>68</v>
      </c>
      <c r="P627" s="9" t="s">
        <v>208</v>
      </c>
      <c r="Q627" s="9" t="s">
        <v>208</v>
      </c>
      <c r="R627" s="9" t="s">
        <v>309</v>
      </c>
      <c r="S627" s="9" t="s">
        <v>87</v>
      </c>
      <c r="T627" s="9" t="s">
        <v>1049</v>
      </c>
      <c r="U627" s="9" t="s">
        <v>73</v>
      </c>
      <c r="V627" s="9" t="n">
        <v>0.024</v>
      </c>
      <c r="W627" s="9" t="n">
        <v>0.0219</v>
      </c>
      <c r="X627" s="9" t="n">
        <v>200000</v>
      </c>
      <c r="Y627" s="9" t="n">
        <v>200000</v>
      </c>
      <c r="Z627" s="9" t="n">
        <v>200000</v>
      </c>
      <c r="AA627" s="9" t="n">
        <v>100000</v>
      </c>
      <c r="AB627" s="9" t="n">
        <v>200000</v>
      </c>
      <c r="AC627" s="9" t="n">
        <v>200000</v>
      </c>
      <c r="AD627" s="9" t="n">
        <v>200000</v>
      </c>
      <c r="AE627" s="9" t="n">
        <v>200000</v>
      </c>
      <c r="AF627" s="9" t="n">
        <v>200000</v>
      </c>
      <c r="AG627" s="9" t="n">
        <v>200000</v>
      </c>
      <c r="AH627" s="9" t="n">
        <v>200000</v>
      </c>
      <c r="AI627" s="9" t="n">
        <v>200000</v>
      </c>
      <c r="AJ627" s="9" t="n">
        <f aca="false">X627*$V627</f>
        <v>4800</v>
      </c>
      <c r="AK627" s="9" t="n">
        <f aca="false">Y627*$V627</f>
        <v>4800</v>
      </c>
      <c r="AL627" s="9" t="n">
        <f aca="false">Z627*$V627</f>
        <v>4800</v>
      </c>
      <c r="AM627" s="9" t="n">
        <f aca="false">AA627*$V627</f>
        <v>2400</v>
      </c>
      <c r="AN627" s="9" t="n">
        <f aca="false">AB627*$V627</f>
        <v>4800</v>
      </c>
      <c r="AO627" s="9" t="n">
        <f aca="false">AC627*$V627</f>
        <v>4800</v>
      </c>
      <c r="AP627" s="9" t="n">
        <f aca="false">AD627*$V627</f>
        <v>4800</v>
      </c>
      <c r="AQ627" s="9" t="n">
        <f aca="false">AE627*$V627</f>
        <v>4800</v>
      </c>
      <c r="AR627" s="9" t="n">
        <f aca="false">AF627*$V627</f>
        <v>4800</v>
      </c>
      <c r="AS627" s="9" t="n">
        <f aca="false">AG627*$V627</f>
        <v>4800</v>
      </c>
      <c r="AT627" s="9" t="n">
        <f aca="false">AH627*$V627</f>
        <v>4800</v>
      </c>
      <c r="AU627" s="9" t="n">
        <f aca="false">AI627*$V627</f>
        <v>4800</v>
      </c>
      <c r="AV627" s="9" t="n">
        <f aca="false">SUM(X627:AI627)/1000</f>
        <v>2300</v>
      </c>
      <c r="AW627" s="9" t="n">
        <f aca="false">SUM(AJ627:AU627)</f>
        <v>55200</v>
      </c>
      <c r="AX627" s="9" t="n">
        <f aca="false">IF(D627="INR",AW627/88.24,AW627)/1000000</f>
        <v>0.0552</v>
      </c>
    </row>
    <row r="628" s="2" customFormat="true" ht="14.25" hidden="false" customHeight="false" outlineLevel="0" collapsed="false">
      <c r="A628" s="12" t="s">
        <v>1330</v>
      </c>
      <c r="B628" s="16"/>
      <c r="C628" s="15" t="n">
        <v>5</v>
      </c>
      <c r="D628" s="16" t="s">
        <v>50</v>
      </c>
      <c r="E628" s="16" t="s">
        <v>51</v>
      </c>
      <c r="F628" s="16" t="s">
        <v>52</v>
      </c>
      <c r="G628" s="16" t="s">
        <v>384</v>
      </c>
      <c r="H628" s="16" t="s">
        <v>385</v>
      </c>
      <c r="I628" s="16" t="s">
        <v>260</v>
      </c>
      <c r="J628" s="16" t="s">
        <v>289</v>
      </c>
      <c r="K628" s="16"/>
      <c r="L628" s="16" t="s">
        <v>260</v>
      </c>
      <c r="M628" s="16" t="s">
        <v>289</v>
      </c>
      <c r="N628" s="16" t="s">
        <v>290</v>
      </c>
      <c r="O628" s="16" t="s">
        <v>94</v>
      </c>
      <c r="P628" s="16" t="s">
        <v>308</v>
      </c>
      <c r="Q628" s="16" t="s">
        <v>308</v>
      </c>
      <c r="R628" s="16" t="s">
        <v>309</v>
      </c>
      <c r="S628" s="16" t="s">
        <v>264</v>
      </c>
      <c r="T628" s="16" t="s">
        <v>786</v>
      </c>
      <c r="U628" s="16" t="s">
        <v>73</v>
      </c>
      <c r="V628" s="16" t="n">
        <v>6.11</v>
      </c>
      <c r="W628" s="16" t="n">
        <v>4.7</v>
      </c>
      <c r="X628" s="22" t="n">
        <v>5500</v>
      </c>
      <c r="Y628" s="22" t="n">
        <v>5500</v>
      </c>
      <c r="Z628" s="22" t="n">
        <v>5500</v>
      </c>
      <c r="AA628" s="22" t="n">
        <v>5500</v>
      </c>
      <c r="AB628" s="22" t="n">
        <v>5500</v>
      </c>
      <c r="AC628" s="22" t="n">
        <v>5500</v>
      </c>
      <c r="AD628" s="22" t="n">
        <v>5500</v>
      </c>
      <c r="AE628" s="22" t="n">
        <v>5500</v>
      </c>
      <c r="AF628" s="22" t="n">
        <v>5500</v>
      </c>
      <c r="AG628" s="22" t="n">
        <v>5500</v>
      </c>
      <c r="AH628" s="22" t="n">
        <v>5500</v>
      </c>
      <c r="AI628" s="22" t="n">
        <v>5500</v>
      </c>
      <c r="AJ628" s="9" t="n">
        <f aca="false">X628*$V628</f>
        <v>33605</v>
      </c>
      <c r="AK628" s="9" t="n">
        <f aca="false">Y628*$V628</f>
        <v>33605</v>
      </c>
      <c r="AL628" s="9" t="n">
        <f aca="false">Z628*$V628</f>
        <v>33605</v>
      </c>
      <c r="AM628" s="9" t="n">
        <f aca="false">AA628*$V628</f>
        <v>33605</v>
      </c>
      <c r="AN628" s="9" t="n">
        <f aca="false">AB628*$V628</f>
        <v>33605</v>
      </c>
      <c r="AO628" s="9" t="n">
        <f aca="false">AC628*$V628</f>
        <v>33605</v>
      </c>
      <c r="AP628" s="9" t="n">
        <f aca="false">AD628*$V628</f>
        <v>33605</v>
      </c>
      <c r="AQ628" s="9" t="n">
        <f aca="false">AE628*$V628</f>
        <v>33605</v>
      </c>
      <c r="AR628" s="9" t="n">
        <f aca="false">AF628*$V628</f>
        <v>33605</v>
      </c>
      <c r="AS628" s="9" t="n">
        <f aca="false">AG628*$V628</f>
        <v>33605</v>
      </c>
      <c r="AT628" s="9" t="n">
        <f aca="false">AH628*$V628</f>
        <v>33605</v>
      </c>
      <c r="AU628" s="9" t="n">
        <f aca="false">AI628*$V628</f>
        <v>33605</v>
      </c>
      <c r="AV628" s="9" t="n">
        <f aca="false">SUM(X628:AI628)/1000</f>
        <v>66</v>
      </c>
      <c r="AW628" s="9" t="n">
        <f aca="false">SUM(AJ628:AU628)</f>
        <v>403260</v>
      </c>
      <c r="AX628" s="9" t="n">
        <f aca="false">IF(D628="INR",AW628/88.24,AW628)/1000000</f>
        <v>0.00457003626473255</v>
      </c>
    </row>
    <row r="629" s="2" customFormat="true" ht="14.25" hidden="false" customHeight="false" outlineLevel="0" collapsed="false">
      <c r="A629" s="35"/>
      <c r="B629" s="9" t="n">
        <v>5</v>
      </c>
      <c r="C629" s="15"/>
      <c r="D629" s="16" t="s">
        <v>102</v>
      </c>
      <c r="E629" s="16" t="s">
        <v>51</v>
      </c>
      <c r="F629" s="16" t="s">
        <v>243</v>
      </c>
      <c r="G629" s="16"/>
      <c r="H629" s="9" t="s">
        <v>319</v>
      </c>
      <c r="I629" s="16"/>
      <c r="J629" s="16"/>
      <c r="K629" s="9"/>
      <c r="L629" s="16"/>
      <c r="M629" s="16"/>
      <c r="N629" s="16" t="s">
        <v>93</v>
      </c>
      <c r="O629" s="16"/>
      <c r="P629" s="9"/>
      <c r="Q629" s="9" t="s">
        <v>69</v>
      </c>
      <c r="R629" s="9" t="s">
        <v>70</v>
      </c>
      <c r="S629" s="9"/>
      <c r="T629" s="9" t="s">
        <v>1331</v>
      </c>
      <c r="U629" s="16" t="s">
        <v>63</v>
      </c>
      <c r="V629" s="36" t="n">
        <v>0.22</v>
      </c>
      <c r="W629" s="9" t="n">
        <v>0.209</v>
      </c>
      <c r="X629" s="22" t="n">
        <v>150000</v>
      </c>
      <c r="Y629" s="9" t="n">
        <v>150000</v>
      </c>
      <c r="Z629" s="9" t="n">
        <v>150000</v>
      </c>
      <c r="AA629" s="9" t="n">
        <v>150000</v>
      </c>
      <c r="AB629" s="9" t="n">
        <v>150000</v>
      </c>
      <c r="AC629" s="9" t="n">
        <v>150000</v>
      </c>
      <c r="AD629" s="23" t="n">
        <v>150000</v>
      </c>
      <c r="AE629" s="9" t="n">
        <v>150000</v>
      </c>
      <c r="AF629" s="9" t="n">
        <v>150000</v>
      </c>
      <c r="AG629" s="9" t="n">
        <v>150000</v>
      </c>
      <c r="AH629" s="9" t="n">
        <v>150000</v>
      </c>
      <c r="AI629" s="9" t="n">
        <v>150000</v>
      </c>
      <c r="AJ629" s="9" t="n">
        <f aca="false">X629*$V629</f>
        <v>33000</v>
      </c>
      <c r="AK629" s="9" t="n">
        <f aca="false">Y629*$V629</f>
        <v>33000</v>
      </c>
      <c r="AL629" s="9" t="n">
        <f aca="false">Z629*$V629</f>
        <v>33000</v>
      </c>
      <c r="AM629" s="9" t="n">
        <f aca="false">AA629*$V629</f>
        <v>33000</v>
      </c>
      <c r="AN629" s="9" t="n">
        <f aca="false">AB629*$V629</f>
        <v>33000</v>
      </c>
      <c r="AO629" s="9" t="n">
        <f aca="false">AC629*$V629</f>
        <v>33000</v>
      </c>
      <c r="AP629" s="9" t="n">
        <f aca="false">AD629*$V629</f>
        <v>33000</v>
      </c>
      <c r="AQ629" s="9" t="n">
        <f aca="false">AE629*$V629</f>
        <v>33000</v>
      </c>
      <c r="AR629" s="9" t="n">
        <f aca="false">AF629*$V629</f>
        <v>33000</v>
      </c>
      <c r="AS629" s="9" t="n">
        <f aca="false">AG629*$V629</f>
        <v>33000</v>
      </c>
      <c r="AT629" s="9" t="n">
        <f aca="false">AH629*$V629</f>
        <v>33000</v>
      </c>
      <c r="AU629" s="9" t="n">
        <f aca="false">AI629*$V629</f>
        <v>33000</v>
      </c>
      <c r="AV629" s="9" t="n">
        <f aca="false">SUM(X629:AI629)/1000</f>
        <v>1800</v>
      </c>
      <c r="AW629" s="9" t="n">
        <f aca="false">SUM(AJ629:AU629)</f>
        <v>396000</v>
      </c>
      <c r="AX629" s="9" t="n">
        <f aca="false">IF(D629="INR",AW629/88.24,AW629)/1000000</f>
        <v>0.396</v>
      </c>
    </row>
    <row r="630" s="2" customFormat="true" ht="16.4" hidden="false" customHeight="false" outlineLevel="0" collapsed="false">
      <c r="A630" s="35" t="s">
        <v>1332</v>
      </c>
      <c r="B630" s="9" t="n">
        <v>5</v>
      </c>
      <c r="C630" s="10"/>
      <c r="D630" s="9" t="s">
        <v>102</v>
      </c>
      <c r="E630" s="9" t="s">
        <v>51</v>
      </c>
      <c r="F630" s="9" t="s">
        <v>243</v>
      </c>
      <c r="G630" s="9" t="s">
        <v>318</v>
      </c>
      <c r="H630" s="9" t="s">
        <v>319</v>
      </c>
      <c r="I630" s="9" t="s">
        <v>298</v>
      </c>
      <c r="J630" s="9" t="s">
        <v>1322</v>
      </c>
      <c r="K630" s="9"/>
      <c r="L630" s="9" t="s">
        <v>298</v>
      </c>
      <c r="M630" s="9" t="s">
        <v>1322</v>
      </c>
      <c r="N630" s="9" t="s">
        <v>93</v>
      </c>
      <c r="O630" s="9" t="s">
        <v>68</v>
      </c>
      <c r="P630" s="9" t="s">
        <v>85</v>
      </c>
      <c r="Q630" s="9" t="s">
        <v>85</v>
      </c>
      <c r="R630" s="9" t="s">
        <v>86</v>
      </c>
      <c r="S630" s="9" t="s">
        <v>87</v>
      </c>
      <c r="T630" s="9" t="s">
        <v>1100</v>
      </c>
      <c r="U630" s="9" t="s">
        <v>73</v>
      </c>
      <c r="V630" s="9" t="n">
        <v>0.0535</v>
      </c>
      <c r="W630" s="9" t="n">
        <v>0.0486</v>
      </c>
      <c r="X630" s="9" t="n">
        <v>150000</v>
      </c>
      <c r="Y630" s="9" t="n">
        <v>150000</v>
      </c>
      <c r="Z630" s="9" t="n">
        <v>150000</v>
      </c>
      <c r="AA630" s="9" t="n">
        <v>150000</v>
      </c>
      <c r="AB630" s="9" t="n">
        <v>150000</v>
      </c>
      <c r="AC630" s="9" t="n">
        <v>150000</v>
      </c>
      <c r="AD630" s="9" t="n">
        <v>150000</v>
      </c>
      <c r="AE630" s="9" t="n">
        <v>150000</v>
      </c>
      <c r="AF630" s="9" t="n">
        <v>150000</v>
      </c>
      <c r="AG630" s="9" t="n">
        <v>150000</v>
      </c>
      <c r="AH630" s="9" t="n">
        <v>150000</v>
      </c>
      <c r="AI630" s="9" t="n">
        <v>150000</v>
      </c>
      <c r="AJ630" s="9" t="n">
        <f aca="false">X630*$V630</f>
        <v>8025</v>
      </c>
      <c r="AK630" s="9" t="n">
        <f aca="false">Y630*$V630</f>
        <v>8025</v>
      </c>
      <c r="AL630" s="9" t="n">
        <f aca="false">Z630*$V630</f>
        <v>8025</v>
      </c>
      <c r="AM630" s="9" t="n">
        <f aca="false">AA630*$V630</f>
        <v>8025</v>
      </c>
      <c r="AN630" s="9" t="n">
        <f aca="false">AB630*$V630</f>
        <v>8025</v>
      </c>
      <c r="AO630" s="9" t="n">
        <f aca="false">AC630*$V630</f>
        <v>8025</v>
      </c>
      <c r="AP630" s="9" t="n">
        <f aca="false">AD630*$V630</f>
        <v>8025</v>
      </c>
      <c r="AQ630" s="9" t="n">
        <f aca="false">AE630*$V630</f>
        <v>8025</v>
      </c>
      <c r="AR630" s="9" t="n">
        <f aca="false">AF630*$V630</f>
        <v>8025</v>
      </c>
      <c r="AS630" s="9" t="n">
        <f aca="false">AG630*$V630</f>
        <v>8025</v>
      </c>
      <c r="AT630" s="9" t="n">
        <f aca="false">AH630*$V630</f>
        <v>8025</v>
      </c>
      <c r="AU630" s="9" t="n">
        <f aca="false">AI630*$V630</f>
        <v>8025</v>
      </c>
      <c r="AV630" s="9" t="n">
        <f aca="false">SUM(X630:AI630)/1000</f>
        <v>1800</v>
      </c>
      <c r="AW630" s="9" t="n">
        <f aca="false">SUM(AJ630:AU630)</f>
        <v>96300</v>
      </c>
      <c r="AX630" s="9" t="n">
        <f aca="false">IF(D630="INR",AW630/88.24,AW630)/1000000</f>
        <v>0.0963</v>
      </c>
    </row>
    <row r="631" s="2" customFormat="true" ht="16.4" hidden="false" customHeight="false" outlineLevel="0" collapsed="false">
      <c r="A631" s="35" t="s">
        <v>1333</v>
      </c>
      <c r="B631" s="9" t="n">
        <v>5</v>
      </c>
      <c r="C631" s="10"/>
      <c r="D631" s="9" t="s">
        <v>102</v>
      </c>
      <c r="E631" s="9" t="s">
        <v>51</v>
      </c>
      <c r="F631" s="9" t="s">
        <v>243</v>
      </c>
      <c r="G631" s="9" t="s">
        <v>318</v>
      </c>
      <c r="H631" s="9" t="s">
        <v>319</v>
      </c>
      <c r="I631" s="9" t="s">
        <v>298</v>
      </c>
      <c r="J631" s="9" t="s">
        <v>1322</v>
      </c>
      <c r="K631" s="9"/>
      <c r="L631" s="9" t="s">
        <v>298</v>
      </c>
      <c r="M631" s="9" t="s">
        <v>1322</v>
      </c>
      <c r="N631" s="16" t="s">
        <v>93</v>
      </c>
      <c r="O631" s="9" t="s">
        <v>68</v>
      </c>
      <c r="P631" s="9" t="s">
        <v>199</v>
      </c>
      <c r="Q631" s="9" t="s">
        <v>199</v>
      </c>
      <c r="R631" s="9" t="s">
        <v>377</v>
      </c>
      <c r="S631" s="9" t="s">
        <v>528</v>
      </c>
      <c r="T631" s="9" t="s">
        <v>1334</v>
      </c>
      <c r="U631" s="9" t="s">
        <v>73</v>
      </c>
      <c r="V631" s="9" t="n">
        <v>0.029</v>
      </c>
      <c r="W631" s="9" t="n">
        <v>0.025</v>
      </c>
      <c r="X631" s="9" t="n">
        <v>150000</v>
      </c>
      <c r="Y631" s="9" t="n">
        <v>150000</v>
      </c>
      <c r="Z631" s="9" t="n">
        <v>150000</v>
      </c>
      <c r="AA631" s="9" t="n">
        <v>150000</v>
      </c>
      <c r="AB631" s="9" t="n">
        <v>150000</v>
      </c>
      <c r="AC631" s="9" t="n">
        <v>150000</v>
      </c>
      <c r="AD631" s="9" t="n">
        <v>150000</v>
      </c>
      <c r="AE631" s="9" t="n">
        <v>150000</v>
      </c>
      <c r="AF631" s="9" t="n">
        <v>150000</v>
      </c>
      <c r="AG631" s="9" t="n">
        <v>150000</v>
      </c>
      <c r="AH631" s="9" t="n">
        <v>150000</v>
      </c>
      <c r="AI631" s="9" t="n">
        <v>150000</v>
      </c>
      <c r="AJ631" s="9" t="n">
        <f aca="false">X631*$V631</f>
        <v>4350</v>
      </c>
      <c r="AK631" s="9" t="n">
        <f aca="false">Y631*$V631</f>
        <v>4350</v>
      </c>
      <c r="AL631" s="9" t="n">
        <f aca="false">Z631*$V631</f>
        <v>4350</v>
      </c>
      <c r="AM631" s="9" t="n">
        <f aca="false">AA631*$V631</f>
        <v>4350</v>
      </c>
      <c r="AN631" s="9" t="n">
        <f aca="false">AB631*$V631</f>
        <v>4350</v>
      </c>
      <c r="AO631" s="9" t="n">
        <f aca="false">AC631*$V631</f>
        <v>4350</v>
      </c>
      <c r="AP631" s="9" t="n">
        <f aca="false">AD631*$V631</f>
        <v>4350</v>
      </c>
      <c r="AQ631" s="9" t="n">
        <f aca="false">AE631*$V631</f>
        <v>4350</v>
      </c>
      <c r="AR631" s="9" t="n">
        <f aca="false">AF631*$V631</f>
        <v>4350</v>
      </c>
      <c r="AS631" s="9" t="n">
        <f aca="false">AG631*$V631</f>
        <v>4350</v>
      </c>
      <c r="AT631" s="9" t="n">
        <f aca="false">AH631*$V631</f>
        <v>4350</v>
      </c>
      <c r="AU631" s="9" t="n">
        <f aca="false">AI631*$V631</f>
        <v>4350</v>
      </c>
      <c r="AV631" s="9" t="n">
        <f aca="false">SUM(X631:AI631)/1000</f>
        <v>1800</v>
      </c>
      <c r="AW631" s="9" t="n">
        <f aca="false">SUM(AJ631:AU631)</f>
        <v>52200</v>
      </c>
      <c r="AX631" s="9" t="n">
        <f aca="false">IF(D631="INR",AW631/88.24,AW631)/1000000</f>
        <v>0.0522</v>
      </c>
    </row>
    <row r="632" s="2" customFormat="true" ht="14.25" hidden="false" customHeight="false" outlineLevel="0" collapsed="false">
      <c r="A632" s="12" t="s">
        <v>1335</v>
      </c>
      <c r="B632" s="16" t="n">
        <v>5</v>
      </c>
      <c r="C632" s="15"/>
      <c r="D632" s="16" t="s">
        <v>102</v>
      </c>
      <c r="E632" s="16" t="s">
        <v>51</v>
      </c>
      <c r="F632" s="16" t="s">
        <v>243</v>
      </c>
      <c r="G632" s="16" t="s">
        <v>318</v>
      </c>
      <c r="H632" s="16" t="s">
        <v>319</v>
      </c>
      <c r="I632" s="16" t="s">
        <v>298</v>
      </c>
      <c r="J632" s="16" t="s">
        <v>1322</v>
      </c>
      <c r="K632" s="16"/>
      <c r="L632" s="16" t="s">
        <v>298</v>
      </c>
      <c r="M632" s="16" t="s">
        <v>1322</v>
      </c>
      <c r="N632" s="16" t="s">
        <v>93</v>
      </c>
      <c r="O632" s="16" t="s">
        <v>68</v>
      </c>
      <c r="P632" s="16" t="s">
        <v>85</v>
      </c>
      <c r="Q632" s="16" t="s">
        <v>85</v>
      </c>
      <c r="R632" s="16" t="s">
        <v>86</v>
      </c>
      <c r="S632" s="16" t="s">
        <v>87</v>
      </c>
      <c r="T632" s="16" t="s">
        <v>1336</v>
      </c>
      <c r="U632" s="16" t="s">
        <v>73</v>
      </c>
      <c r="V632" s="16" t="n">
        <v>0.023631</v>
      </c>
      <c r="W632" s="16" t="n">
        <v>0.02</v>
      </c>
      <c r="X632" s="16" t="n">
        <v>150000</v>
      </c>
      <c r="Y632" s="16" t="n">
        <v>150000</v>
      </c>
      <c r="Z632" s="16" t="n">
        <v>150000</v>
      </c>
      <c r="AA632" s="16" t="n">
        <v>150000</v>
      </c>
      <c r="AB632" s="16" t="n">
        <v>150000</v>
      </c>
      <c r="AC632" s="16" t="n">
        <v>150000</v>
      </c>
      <c r="AD632" s="16" t="n">
        <v>150000</v>
      </c>
      <c r="AE632" s="16" t="n">
        <v>150000</v>
      </c>
      <c r="AF632" s="16" t="n">
        <v>150000</v>
      </c>
      <c r="AG632" s="16" t="n">
        <v>150000</v>
      </c>
      <c r="AH632" s="16" t="n">
        <v>150000</v>
      </c>
      <c r="AI632" s="16" t="n">
        <v>150000</v>
      </c>
      <c r="AJ632" s="9" t="n">
        <f aca="false">X632*$V632</f>
        <v>3544.65</v>
      </c>
      <c r="AK632" s="9" t="n">
        <f aca="false">Y632*$V632</f>
        <v>3544.65</v>
      </c>
      <c r="AL632" s="9" t="n">
        <f aca="false">Z632*$V632</f>
        <v>3544.65</v>
      </c>
      <c r="AM632" s="9" t="n">
        <f aca="false">AA632*$V632</f>
        <v>3544.65</v>
      </c>
      <c r="AN632" s="9" t="n">
        <f aca="false">AB632*$V632</f>
        <v>3544.65</v>
      </c>
      <c r="AO632" s="9" t="n">
        <f aca="false">AC632*$V632</f>
        <v>3544.65</v>
      </c>
      <c r="AP632" s="9" t="n">
        <f aca="false">AD632*$V632</f>
        <v>3544.65</v>
      </c>
      <c r="AQ632" s="9" t="n">
        <f aca="false">AE632*$V632</f>
        <v>3544.65</v>
      </c>
      <c r="AR632" s="9" t="n">
        <f aca="false">AF632*$V632</f>
        <v>3544.65</v>
      </c>
      <c r="AS632" s="9" t="n">
        <f aca="false">AG632*$V632</f>
        <v>3544.65</v>
      </c>
      <c r="AT632" s="9" t="n">
        <f aca="false">AH632*$V632</f>
        <v>3544.65</v>
      </c>
      <c r="AU632" s="9" t="n">
        <f aca="false">AI632*$V632</f>
        <v>3544.65</v>
      </c>
      <c r="AV632" s="9" t="n">
        <f aca="false">SUM(X632:AI632)/1000</f>
        <v>1800</v>
      </c>
      <c r="AW632" s="9" t="n">
        <f aca="false">SUM(AJ632:AU632)</f>
        <v>42535.8</v>
      </c>
      <c r="AX632" s="9" t="n">
        <f aca="false">IF(D632="INR",AW632/88.24,AW632)/1000000</f>
        <v>0.0425358</v>
      </c>
    </row>
    <row r="633" s="2" customFormat="true" ht="16.4" hidden="false" customHeight="false" outlineLevel="0" collapsed="false">
      <c r="A633" s="35" t="s">
        <v>1337</v>
      </c>
      <c r="B633" s="9"/>
      <c r="C633" s="15"/>
      <c r="D633" s="16" t="s">
        <v>102</v>
      </c>
      <c r="E633" s="16" t="s">
        <v>51</v>
      </c>
      <c r="F633" s="16" t="s">
        <v>243</v>
      </c>
      <c r="G633" s="16" t="s">
        <v>318</v>
      </c>
      <c r="H633" s="9" t="s">
        <v>319</v>
      </c>
      <c r="I633" s="16" t="s">
        <v>298</v>
      </c>
      <c r="J633" s="16" t="s">
        <v>1322</v>
      </c>
      <c r="K633" s="9"/>
      <c r="L633" s="16"/>
      <c r="M633" s="16"/>
      <c r="N633" s="16" t="s">
        <v>93</v>
      </c>
      <c r="O633" s="16" t="s">
        <v>68</v>
      </c>
      <c r="P633" s="9" t="str">
        <f aca="false">Q633</f>
        <v>NICHICON</v>
      </c>
      <c r="Q633" s="9" t="s">
        <v>85</v>
      </c>
      <c r="R633" s="9" t="s">
        <v>86</v>
      </c>
      <c r="S633" s="9" t="s">
        <v>87</v>
      </c>
      <c r="T633" s="9" t="s">
        <v>427</v>
      </c>
      <c r="U633" s="16" t="s">
        <v>63</v>
      </c>
      <c r="V633" s="36" t="n">
        <v>0.165</v>
      </c>
      <c r="W633" s="9" t="n">
        <v>0.12</v>
      </c>
      <c r="X633" s="22" t="n">
        <v>10000</v>
      </c>
      <c r="Y633" s="9" t="n">
        <v>0</v>
      </c>
      <c r="Z633" s="9" t="n">
        <v>150000</v>
      </c>
      <c r="AA633" s="9" t="n">
        <v>0</v>
      </c>
      <c r="AB633" s="9" t="n">
        <v>150000</v>
      </c>
      <c r="AC633" s="9" t="n">
        <v>0</v>
      </c>
      <c r="AD633" s="23" t="n">
        <v>150000</v>
      </c>
      <c r="AE633" s="9" t="n">
        <v>0</v>
      </c>
      <c r="AF633" s="9" t="n">
        <v>0</v>
      </c>
      <c r="AG633" s="9" t="n">
        <v>300000</v>
      </c>
      <c r="AH633" s="9" t="n">
        <v>300000</v>
      </c>
      <c r="AI633" s="9" t="n">
        <v>200000</v>
      </c>
      <c r="AJ633" s="9" t="n">
        <f aca="false">X633*$V633</f>
        <v>1650</v>
      </c>
      <c r="AK633" s="9" t="n">
        <f aca="false">Y633*$V633</f>
        <v>0</v>
      </c>
      <c r="AL633" s="9" t="n">
        <f aca="false">Z633*$V633</f>
        <v>24750</v>
      </c>
      <c r="AM633" s="9" t="n">
        <f aca="false">AA633*$V633</f>
        <v>0</v>
      </c>
      <c r="AN633" s="9" t="n">
        <f aca="false">AB633*$V633</f>
        <v>24750</v>
      </c>
      <c r="AO633" s="9" t="n">
        <f aca="false">AC633*$V633</f>
        <v>0</v>
      </c>
      <c r="AP633" s="9" t="n">
        <f aca="false">AD633*$V633</f>
        <v>24750</v>
      </c>
      <c r="AQ633" s="9" t="n">
        <f aca="false">AE633*$V633</f>
        <v>0</v>
      </c>
      <c r="AR633" s="9" t="n">
        <f aca="false">AF633*$V633</f>
        <v>0</v>
      </c>
      <c r="AS633" s="9" t="n">
        <f aca="false">AG633*$V633</f>
        <v>49500</v>
      </c>
      <c r="AT633" s="9" t="n">
        <f aca="false">AH633*$V633</f>
        <v>49500</v>
      </c>
      <c r="AU633" s="9" t="n">
        <f aca="false">AI633*$V633</f>
        <v>33000</v>
      </c>
      <c r="AV633" s="9" t="n">
        <f aca="false">SUM(X633:AI633)/1000</f>
        <v>1260</v>
      </c>
      <c r="AW633" s="9" t="n">
        <f aca="false">SUM(AJ633:AU633)</f>
        <v>207900</v>
      </c>
      <c r="AX633" s="9" t="n">
        <f aca="false">IF(D633="INR",AW633/88.24,AW633)/1000000</f>
        <v>0.2079</v>
      </c>
    </row>
    <row r="634" s="2" customFormat="true" ht="14.25" hidden="false" customHeight="false" outlineLevel="0" collapsed="false">
      <c r="A634" s="35"/>
      <c r="B634" s="9" t="n">
        <v>5</v>
      </c>
      <c r="C634" s="15"/>
      <c r="D634" s="16" t="s">
        <v>102</v>
      </c>
      <c r="E634" s="16" t="s">
        <v>51</v>
      </c>
      <c r="F634" s="16" t="s">
        <v>243</v>
      </c>
      <c r="G634" s="16"/>
      <c r="H634" s="9" t="s">
        <v>319</v>
      </c>
      <c r="I634" s="16"/>
      <c r="J634" s="16"/>
      <c r="K634" s="9"/>
      <c r="L634" s="16"/>
      <c r="M634" s="16"/>
      <c r="N634" s="16" t="s">
        <v>93</v>
      </c>
      <c r="O634" s="16"/>
      <c r="P634" s="9"/>
      <c r="Q634" s="9" t="s">
        <v>69</v>
      </c>
      <c r="R634" s="9" t="s">
        <v>70</v>
      </c>
      <c r="S634" s="9"/>
      <c r="T634" s="9" t="s">
        <v>1338</v>
      </c>
      <c r="U634" s="16" t="s">
        <v>63</v>
      </c>
      <c r="V634" s="36" t="n">
        <v>0.146</v>
      </c>
      <c r="W634" s="9" t="n">
        <v>0.139</v>
      </c>
      <c r="X634" s="22"/>
      <c r="Y634" s="9"/>
      <c r="Z634" s="9"/>
      <c r="AA634" s="9" t="n">
        <v>100000</v>
      </c>
      <c r="AB634" s="9" t="n">
        <v>100000</v>
      </c>
      <c r="AC634" s="9" t="n">
        <v>100000</v>
      </c>
      <c r="AD634" s="23" t="n">
        <v>100000</v>
      </c>
      <c r="AE634" s="9" t="n">
        <v>100000</v>
      </c>
      <c r="AF634" s="9" t="n">
        <v>100000</v>
      </c>
      <c r="AG634" s="9" t="n">
        <v>100000</v>
      </c>
      <c r="AH634" s="9" t="n">
        <v>100000</v>
      </c>
      <c r="AI634" s="9" t="n">
        <v>100000</v>
      </c>
      <c r="AJ634" s="9" t="n">
        <f aca="false">X634*$V634</f>
        <v>0</v>
      </c>
      <c r="AK634" s="9" t="n">
        <f aca="false">Y634*$V634</f>
        <v>0</v>
      </c>
      <c r="AL634" s="9" t="n">
        <f aca="false">Z634*$V634</f>
        <v>0</v>
      </c>
      <c r="AM634" s="9" t="n">
        <f aca="false">AA634*$V634</f>
        <v>14600</v>
      </c>
      <c r="AN634" s="9" t="n">
        <f aca="false">AB634*$V634</f>
        <v>14600</v>
      </c>
      <c r="AO634" s="9" t="n">
        <f aca="false">AC634*$V634</f>
        <v>14600</v>
      </c>
      <c r="AP634" s="9" t="n">
        <f aca="false">AD634*$V634</f>
        <v>14600</v>
      </c>
      <c r="AQ634" s="9" t="n">
        <f aca="false">AE634*$V634</f>
        <v>14600</v>
      </c>
      <c r="AR634" s="9" t="n">
        <f aca="false">AF634*$V634</f>
        <v>14600</v>
      </c>
      <c r="AS634" s="9" t="n">
        <f aca="false">AG634*$V634</f>
        <v>14600</v>
      </c>
      <c r="AT634" s="9" t="n">
        <f aca="false">AH634*$V634</f>
        <v>14600</v>
      </c>
      <c r="AU634" s="9" t="n">
        <f aca="false">AI634*$V634</f>
        <v>14600</v>
      </c>
      <c r="AV634" s="9" t="n">
        <f aca="false">SUM(X634:AI634)/1000</f>
        <v>900</v>
      </c>
      <c r="AW634" s="9" t="n">
        <f aca="false">SUM(AJ634:AU634)</f>
        <v>131400</v>
      </c>
      <c r="AX634" s="9" t="n">
        <f aca="false">IF(D634="INR",AW634/88.24,AW634)/1000000</f>
        <v>0.1314</v>
      </c>
    </row>
    <row r="635" s="2" customFormat="true" ht="16.4" hidden="false" customHeight="false" outlineLevel="0" collapsed="false">
      <c r="A635" s="35" t="s">
        <v>1339</v>
      </c>
      <c r="B635" s="9" t="n">
        <v>5</v>
      </c>
      <c r="C635" s="15"/>
      <c r="D635" s="16" t="s">
        <v>813</v>
      </c>
      <c r="E635" s="16" t="s">
        <v>51</v>
      </c>
      <c r="F635" s="16" t="s">
        <v>243</v>
      </c>
      <c r="G635" s="16" t="s">
        <v>318</v>
      </c>
      <c r="H635" s="9" t="s">
        <v>319</v>
      </c>
      <c r="I635" s="16"/>
      <c r="J635" s="16"/>
      <c r="K635" s="9"/>
      <c r="L635" s="16"/>
      <c r="M635" s="16"/>
      <c r="N635" s="16" t="s">
        <v>93</v>
      </c>
      <c r="O635" s="16" t="s">
        <v>68</v>
      </c>
      <c r="P635" s="9" t="s">
        <v>380</v>
      </c>
      <c r="Q635" s="9" t="s">
        <v>380</v>
      </c>
      <c r="R635" s="9" t="s">
        <v>442</v>
      </c>
      <c r="S635" s="9" t="s">
        <v>443</v>
      </c>
      <c r="T635" s="9" t="s">
        <v>1340</v>
      </c>
      <c r="U635" s="16" t="s">
        <v>73</v>
      </c>
      <c r="V635" s="36" t="n">
        <v>0.185</v>
      </c>
      <c r="W635" s="9" t="n">
        <v>0.17575</v>
      </c>
      <c r="X635" s="22" t="n">
        <v>50000</v>
      </c>
      <c r="Y635" s="9" t="n">
        <v>50000</v>
      </c>
      <c r="Z635" s="9" t="n">
        <v>50000</v>
      </c>
      <c r="AA635" s="9" t="n">
        <v>50000</v>
      </c>
      <c r="AB635" s="9" t="n">
        <v>50000</v>
      </c>
      <c r="AC635" s="9" t="n">
        <v>50000</v>
      </c>
      <c r="AD635" s="9" t="n">
        <v>50000</v>
      </c>
      <c r="AE635" s="9" t="n">
        <v>50000</v>
      </c>
      <c r="AF635" s="9" t="n">
        <v>50000</v>
      </c>
      <c r="AG635" s="9" t="n">
        <v>50000</v>
      </c>
      <c r="AH635" s="9" t="n">
        <v>50000</v>
      </c>
      <c r="AI635" s="9" t="n">
        <v>50000</v>
      </c>
      <c r="AJ635" s="9" t="n">
        <f aca="false">X635*$V635</f>
        <v>9250</v>
      </c>
      <c r="AK635" s="9" t="n">
        <f aca="false">Y635*$V635</f>
        <v>9250</v>
      </c>
      <c r="AL635" s="9" t="n">
        <f aca="false">Z635*$V635</f>
        <v>9250</v>
      </c>
      <c r="AM635" s="9" t="n">
        <f aca="false">AA635*$V635</f>
        <v>9250</v>
      </c>
      <c r="AN635" s="9" t="n">
        <f aca="false">AB635*$V635</f>
        <v>9250</v>
      </c>
      <c r="AO635" s="9" t="n">
        <f aca="false">AC635*$V635</f>
        <v>9250</v>
      </c>
      <c r="AP635" s="9" t="n">
        <f aca="false">AD635*$V635</f>
        <v>9250</v>
      </c>
      <c r="AQ635" s="9" t="n">
        <f aca="false">AE635*$V635</f>
        <v>9250</v>
      </c>
      <c r="AR635" s="9" t="n">
        <f aca="false">AF635*$V635</f>
        <v>9250</v>
      </c>
      <c r="AS635" s="9" t="n">
        <f aca="false">AG635*$V635</f>
        <v>9250</v>
      </c>
      <c r="AT635" s="9" t="n">
        <f aca="false">AH635*$V635</f>
        <v>9250</v>
      </c>
      <c r="AU635" s="9" t="n">
        <f aca="false">AI635*$V635</f>
        <v>9250</v>
      </c>
      <c r="AV635" s="9" t="n">
        <f aca="false">SUM(X635:AI635)/1000</f>
        <v>600</v>
      </c>
      <c r="AW635" s="9" t="n">
        <f aca="false">SUM(AJ635:AU635)</f>
        <v>111000</v>
      </c>
      <c r="AX635" s="9" t="n">
        <f aca="false">IF(D635="INR",AW635/88.24,AW635)/1000000</f>
        <v>0.111</v>
      </c>
    </row>
    <row r="636" s="2" customFormat="true" ht="14.25" hidden="false" customHeight="false" outlineLevel="0" collapsed="false">
      <c r="A636" s="12" t="s">
        <v>1341</v>
      </c>
      <c r="B636" s="16" t="n">
        <v>5</v>
      </c>
      <c r="C636" s="15"/>
      <c r="D636" s="16" t="s">
        <v>50</v>
      </c>
      <c r="E636" s="16" t="s">
        <v>51</v>
      </c>
      <c r="F636" s="16" t="s">
        <v>52</v>
      </c>
      <c r="G636" s="16" t="s">
        <v>476</v>
      </c>
      <c r="H636" s="16" t="s">
        <v>477</v>
      </c>
      <c r="I636" s="16" t="s">
        <v>105</v>
      </c>
      <c r="J636" s="16" t="s">
        <v>478</v>
      </c>
      <c r="K636" s="16"/>
      <c r="L636" s="16" t="s">
        <v>105</v>
      </c>
      <c r="M636" s="16" t="s">
        <v>478</v>
      </c>
      <c r="N636" s="16" t="s">
        <v>93</v>
      </c>
      <c r="O636" s="16" t="s">
        <v>315</v>
      </c>
      <c r="P636" s="16" t="s">
        <v>308</v>
      </c>
      <c r="Q636" s="16" t="s">
        <v>308</v>
      </c>
      <c r="R636" s="16" t="s">
        <v>309</v>
      </c>
      <c r="S636" s="16" t="s">
        <v>264</v>
      </c>
      <c r="T636" s="16" t="s">
        <v>487</v>
      </c>
      <c r="U636" s="16" t="s">
        <v>73</v>
      </c>
      <c r="V636" s="16" t="n">
        <v>0.56</v>
      </c>
      <c r="W636" s="16" t="n">
        <v>0.51</v>
      </c>
      <c r="X636" s="22" t="n">
        <v>60000</v>
      </c>
      <c r="Y636" s="22" t="n">
        <v>60000</v>
      </c>
      <c r="Z636" s="22" t="n">
        <v>60000</v>
      </c>
      <c r="AA636" s="22" t="n">
        <v>60000</v>
      </c>
      <c r="AB636" s="22" t="n">
        <v>60000</v>
      </c>
      <c r="AC636" s="22" t="n">
        <v>40000</v>
      </c>
      <c r="AD636" s="22" t="n">
        <v>40000</v>
      </c>
      <c r="AE636" s="22" t="n">
        <v>40000</v>
      </c>
      <c r="AF636" s="22" t="n">
        <v>40000</v>
      </c>
      <c r="AG636" s="22" t="n">
        <v>40000</v>
      </c>
      <c r="AH636" s="22" t="n">
        <v>40000</v>
      </c>
      <c r="AI636" s="22" t="n">
        <v>40000</v>
      </c>
      <c r="AJ636" s="9" t="n">
        <f aca="false">X636*$V636</f>
        <v>33600</v>
      </c>
      <c r="AK636" s="9" t="n">
        <f aca="false">Y636*$V636</f>
        <v>33600</v>
      </c>
      <c r="AL636" s="9" t="n">
        <f aca="false">Z636*$V636</f>
        <v>33600</v>
      </c>
      <c r="AM636" s="9" t="n">
        <f aca="false">AA636*$V636</f>
        <v>33600</v>
      </c>
      <c r="AN636" s="9" t="n">
        <f aca="false">AB636*$V636</f>
        <v>33600</v>
      </c>
      <c r="AO636" s="9" t="n">
        <f aca="false">AC636*$V636</f>
        <v>22400</v>
      </c>
      <c r="AP636" s="9" t="n">
        <f aca="false">AD636*$V636</f>
        <v>22400</v>
      </c>
      <c r="AQ636" s="9" t="n">
        <f aca="false">AE636*$V636</f>
        <v>22400</v>
      </c>
      <c r="AR636" s="9" t="n">
        <f aca="false">AF636*$V636</f>
        <v>22400</v>
      </c>
      <c r="AS636" s="9" t="n">
        <f aca="false">AG636*$V636</f>
        <v>22400</v>
      </c>
      <c r="AT636" s="9" t="n">
        <f aca="false">AH636*$V636</f>
        <v>22400</v>
      </c>
      <c r="AU636" s="9" t="n">
        <f aca="false">AI636*$V636</f>
        <v>22400</v>
      </c>
      <c r="AV636" s="9" t="n">
        <f aca="false">SUM(X636:AI636)/1000</f>
        <v>580</v>
      </c>
      <c r="AW636" s="9" t="n">
        <f aca="false">SUM(AJ636:AU636)</f>
        <v>324800</v>
      </c>
      <c r="AX636" s="9" t="n">
        <f aca="false">IF(D636="INR",AW636/88.24,AW636)/1000000</f>
        <v>0.00368087035358114</v>
      </c>
    </row>
    <row r="637" s="2" customFormat="true" ht="14.25" hidden="false" customHeight="false" outlineLevel="0" collapsed="false">
      <c r="A637" s="12" t="s">
        <v>1342</v>
      </c>
      <c r="B637" s="16" t="n">
        <v>5</v>
      </c>
      <c r="C637" s="15"/>
      <c r="D637" s="16" t="s">
        <v>50</v>
      </c>
      <c r="E637" s="16" t="s">
        <v>51</v>
      </c>
      <c r="F637" s="16" t="s">
        <v>52</v>
      </c>
      <c r="G637" s="16" t="s">
        <v>494</v>
      </c>
      <c r="H637" s="16" t="s">
        <v>495</v>
      </c>
      <c r="I637" s="16" t="s">
        <v>77</v>
      </c>
      <c r="J637" s="16" t="s">
        <v>496</v>
      </c>
      <c r="K637" s="16" t="s">
        <v>495</v>
      </c>
      <c r="L637" s="16" t="s">
        <v>77</v>
      </c>
      <c r="M637" s="16" t="s">
        <v>496</v>
      </c>
      <c r="N637" s="16" t="s">
        <v>57</v>
      </c>
      <c r="O637" s="16" t="s">
        <v>94</v>
      </c>
      <c r="P637" s="16" t="s">
        <v>308</v>
      </c>
      <c r="Q637" s="16" t="s">
        <v>308</v>
      </c>
      <c r="R637" s="16" t="s">
        <v>309</v>
      </c>
      <c r="S637" s="16" t="s">
        <v>264</v>
      </c>
      <c r="T637" s="16" t="s">
        <v>1343</v>
      </c>
      <c r="U637" s="16" t="s">
        <v>73</v>
      </c>
      <c r="V637" s="16" t="n">
        <v>4.16</v>
      </c>
      <c r="W637" s="16" t="n">
        <v>3.71</v>
      </c>
      <c r="X637" s="22" t="n">
        <v>8000</v>
      </c>
      <c r="Y637" s="22" t="n">
        <v>8000</v>
      </c>
      <c r="Z637" s="22" t="n">
        <v>8000</v>
      </c>
      <c r="AA637" s="22" t="n">
        <v>8000</v>
      </c>
      <c r="AB637" s="22" t="n">
        <v>8000</v>
      </c>
      <c r="AC637" s="22" t="n">
        <v>8000</v>
      </c>
      <c r="AD637" s="22" t="n">
        <v>8000</v>
      </c>
      <c r="AE637" s="22" t="n">
        <v>8000</v>
      </c>
      <c r="AF637" s="22" t="n">
        <v>8000</v>
      </c>
      <c r="AG637" s="22" t="n">
        <v>8000</v>
      </c>
      <c r="AH637" s="22" t="n">
        <v>8000</v>
      </c>
      <c r="AI637" s="22" t="n">
        <v>8000</v>
      </c>
      <c r="AJ637" s="9" t="n">
        <f aca="false">X637*$V637</f>
        <v>33280</v>
      </c>
      <c r="AK637" s="9" t="n">
        <f aca="false">Y637*$V637</f>
        <v>33280</v>
      </c>
      <c r="AL637" s="9" t="n">
        <f aca="false">Z637*$V637</f>
        <v>33280</v>
      </c>
      <c r="AM637" s="9" t="n">
        <f aca="false">AA637*$V637</f>
        <v>33280</v>
      </c>
      <c r="AN637" s="9" t="n">
        <f aca="false">AB637*$V637</f>
        <v>33280</v>
      </c>
      <c r="AO637" s="9" t="n">
        <f aca="false">AC637*$V637</f>
        <v>33280</v>
      </c>
      <c r="AP637" s="9" t="n">
        <f aca="false">AD637*$V637</f>
        <v>33280</v>
      </c>
      <c r="AQ637" s="9" t="n">
        <f aca="false">AE637*$V637</f>
        <v>33280</v>
      </c>
      <c r="AR637" s="9" t="n">
        <f aca="false">AF637*$V637</f>
        <v>33280</v>
      </c>
      <c r="AS637" s="9" t="n">
        <f aca="false">AG637*$V637</f>
        <v>33280</v>
      </c>
      <c r="AT637" s="9" t="n">
        <f aca="false">AH637*$V637</f>
        <v>33280</v>
      </c>
      <c r="AU637" s="9" t="n">
        <f aca="false">AI637*$V637</f>
        <v>33280</v>
      </c>
      <c r="AV637" s="9" t="n">
        <f aca="false">SUM(X637:AI637)/1000</f>
        <v>96</v>
      </c>
      <c r="AW637" s="9" t="n">
        <f aca="false">SUM(AJ637:AU637)</f>
        <v>399360</v>
      </c>
      <c r="AX637" s="9" t="n">
        <f aca="false">IF(D637="INR",AW637/88.24,AW637)/1000000</f>
        <v>0.00452583862194016</v>
      </c>
    </row>
    <row r="638" s="2" customFormat="true" ht="14.25" hidden="false" customHeight="false" outlineLevel="0" collapsed="false">
      <c r="A638" s="12" t="s">
        <v>1344</v>
      </c>
      <c r="B638" s="16" t="n">
        <v>5</v>
      </c>
      <c r="C638" s="15"/>
      <c r="D638" s="16" t="s">
        <v>102</v>
      </c>
      <c r="E638" s="16" t="s">
        <v>51</v>
      </c>
      <c r="F638" s="16" t="s">
        <v>243</v>
      </c>
      <c r="G638" s="16" t="s">
        <v>318</v>
      </c>
      <c r="H638" s="16" t="s">
        <v>319</v>
      </c>
      <c r="I638" s="16" t="s">
        <v>298</v>
      </c>
      <c r="J638" s="16" t="s">
        <v>1322</v>
      </c>
      <c r="K638" s="16"/>
      <c r="L638" s="16" t="s">
        <v>298</v>
      </c>
      <c r="M638" s="16" t="s">
        <v>1322</v>
      </c>
      <c r="N638" s="16" t="s">
        <v>93</v>
      </c>
      <c r="O638" s="16" t="s">
        <v>68</v>
      </c>
      <c r="P638" s="16" t="s">
        <v>85</v>
      </c>
      <c r="Q638" s="16" t="s">
        <v>85</v>
      </c>
      <c r="R638" s="16" t="s">
        <v>86</v>
      </c>
      <c r="S638" s="16" t="s">
        <v>87</v>
      </c>
      <c r="T638" s="16" t="s">
        <v>448</v>
      </c>
      <c r="U638" s="16" t="s">
        <v>73</v>
      </c>
      <c r="V638" s="16" t="n">
        <v>0.064333</v>
      </c>
      <c r="W638" s="16" t="n">
        <v>0.06</v>
      </c>
      <c r="X638" s="16" t="n">
        <v>20000</v>
      </c>
      <c r="Y638" s="16" t="n">
        <v>20000</v>
      </c>
      <c r="Z638" s="16" t="n">
        <v>20000</v>
      </c>
      <c r="AA638" s="16" t="n">
        <v>20000</v>
      </c>
      <c r="AB638" s="16" t="n">
        <v>20000</v>
      </c>
      <c r="AC638" s="16" t="n">
        <v>20000</v>
      </c>
      <c r="AD638" s="26" t="n">
        <v>20000</v>
      </c>
      <c r="AE638" s="26" t="n">
        <v>20000</v>
      </c>
      <c r="AF638" s="16" t="n">
        <v>20000</v>
      </c>
      <c r="AG638" s="16" t="n">
        <v>20000</v>
      </c>
      <c r="AH638" s="16" t="n">
        <v>20000</v>
      </c>
      <c r="AI638" s="16" t="n">
        <v>20000</v>
      </c>
      <c r="AJ638" s="9" t="n">
        <f aca="false">X638*$V638</f>
        <v>1286.66</v>
      </c>
      <c r="AK638" s="9" t="n">
        <f aca="false">Y638*$V638</f>
        <v>1286.66</v>
      </c>
      <c r="AL638" s="9" t="n">
        <f aca="false">Z638*$V638</f>
        <v>1286.66</v>
      </c>
      <c r="AM638" s="9" t="n">
        <f aca="false">AA638*$V638</f>
        <v>1286.66</v>
      </c>
      <c r="AN638" s="9" t="n">
        <f aca="false">AB638*$V638</f>
        <v>1286.66</v>
      </c>
      <c r="AO638" s="9" t="n">
        <f aca="false">AC638*$V638</f>
        <v>1286.66</v>
      </c>
      <c r="AP638" s="9" t="n">
        <f aca="false">AD638*$V638</f>
        <v>1286.66</v>
      </c>
      <c r="AQ638" s="9" t="n">
        <f aca="false">AE638*$V638</f>
        <v>1286.66</v>
      </c>
      <c r="AR638" s="9" t="n">
        <f aca="false">AF638*$V638</f>
        <v>1286.66</v>
      </c>
      <c r="AS638" s="9" t="n">
        <f aca="false">AG638*$V638</f>
        <v>1286.66</v>
      </c>
      <c r="AT638" s="9" t="n">
        <f aca="false">AH638*$V638</f>
        <v>1286.66</v>
      </c>
      <c r="AU638" s="9" t="n">
        <f aca="false">AI638*$V638</f>
        <v>1286.66</v>
      </c>
      <c r="AV638" s="9" t="n">
        <f aca="false">SUM(X638:AI638)/1000</f>
        <v>240</v>
      </c>
      <c r="AW638" s="9" t="n">
        <f aca="false">SUM(AJ638:AU638)</f>
        <v>15439.92</v>
      </c>
      <c r="AX638" s="9" t="n">
        <f aca="false">IF(D638="INR",AW638/88.24,AW638)/1000000</f>
        <v>0.01543992</v>
      </c>
    </row>
    <row r="639" s="2" customFormat="true" ht="14.25" hidden="false" customHeight="false" outlineLevel="0" collapsed="false">
      <c r="A639" s="12" t="s">
        <v>1345</v>
      </c>
      <c r="B639" s="16" t="n">
        <v>5</v>
      </c>
      <c r="C639" s="15"/>
      <c r="D639" s="16" t="s">
        <v>102</v>
      </c>
      <c r="E639" s="16" t="s">
        <v>51</v>
      </c>
      <c r="F639" s="16" t="s">
        <v>243</v>
      </c>
      <c r="G639" s="16" t="s">
        <v>318</v>
      </c>
      <c r="H639" s="16" t="s">
        <v>319</v>
      </c>
      <c r="I639" s="16" t="s">
        <v>298</v>
      </c>
      <c r="J639" s="16" t="s">
        <v>1322</v>
      </c>
      <c r="K639" s="16"/>
      <c r="L639" s="16"/>
      <c r="M639" s="16"/>
      <c r="N639" s="16" t="s">
        <v>93</v>
      </c>
      <c r="O639" s="16" t="s">
        <v>68</v>
      </c>
      <c r="P639" s="16" t="str">
        <f aca="false">Q639</f>
        <v>NICHICON</v>
      </c>
      <c r="Q639" s="16" t="s">
        <v>85</v>
      </c>
      <c r="R639" s="16" t="s">
        <v>86</v>
      </c>
      <c r="S639" s="16" t="s">
        <v>87</v>
      </c>
      <c r="T639" s="16" t="s">
        <v>1346</v>
      </c>
      <c r="U639" s="16" t="s">
        <v>63</v>
      </c>
      <c r="V639" s="16" t="n">
        <v>0.022511</v>
      </c>
      <c r="W639" s="16" t="n">
        <v>0.02</v>
      </c>
      <c r="X639" s="22" t="n">
        <v>20000</v>
      </c>
      <c r="Y639" s="22" t="n">
        <v>20000</v>
      </c>
      <c r="Z639" s="22" t="n">
        <v>20000</v>
      </c>
      <c r="AA639" s="22" t="n">
        <v>20000</v>
      </c>
      <c r="AB639" s="22" t="n">
        <v>20000</v>
      </c>
      <c r="AC639" s="22" t="n">
        <v>20000</v>
      </c>
      <c r="AD639" s="22" t="n">
        <v>20000</v>
      </c>
      <c r="AE639" s="22" t="n">
        <v>20000</v>
      </c>
      <c r="AF639" s="22" t="n">
        <v>20000</v>
      </c>
      <c r="AG639" s="22" t="n">
        <v>20000</v>
      </c>
      <c r="AH639" s="22" t="n">
        <v>20000</v>
      </c>
      <c r="AI639" s="22" t="n">
        <v>20000</v>
      </c>
      <c r="AJ639" s="9" t="n">
        <f aca="false">X639*$V639</f>
        <v>450.22</v>
      </c>
      <c r="AK639" s="9" t="n">
        <f aca="false">Y639*$V639</f>
        <v>450.22</v>
      </c>
      <c r="AL639" s="9" t="n">
        <f aca="false">Z639*$V639</f>
        <v>450.22</v>
      </c>
      <c r="AM639" s="9" t="n">
        <f aca="false">AA639*$V639</f>
        <v>450.22</v>
      </c>
      <c r="AN639" s="9" t="n">
        <f aca="false">AB639*$V639</f>
        <v>450.22</v>
      </c>
      <c r="AO639" s="9" t="n">
        <f aca="false">AC639*$V639</f>
        <v>450.22</v>
      </c>
      <c r="AP639" s="9" t="n">
        <f aca="false">AD639*$V639</f>
        <v>450.22</v>
      </c>
      <c r="AQ639" s="9" t="n">
        <f aca="false">AE639*$V639</f>
        <v>450.22</v>
      </c>
      <c r="AR639" s="9" t="n">
        <f aca="false">AF639*$V639</f>
        <v>450.22</v>
      </c>
      <c r="AS639" s="9" t="n">
        <f aca="false">AG639*$V639</f>
        <v>450.22</v>
      </c>
      <c r="AT639" s="9" t="n">
        <f aca="false">AH639*$V639</f>
        <v>450.22</v>
      </c>
      <c r="AU639" s="9" t="n">
        <f aca="false">AI639*$V639</f>
        <v>450.22</v>
      </c>
      <c r="AV639" s="9" t="n">
        <f aca="false">SUM(X639:AI639)/1000</f>
        <v>240</v>
      </c>
      <c r="AW639" s="9" t="n">
        <f aca="false">SUM(AJ639:AU639)</f>
        <v>5402.64</v>
      </c>
      <c r="AX639" s="9" t="n">
        <f aca="false">IF(D639="INR",AW639/88.24,AW639)/1000000</f>
        <v>0.00540264</v>
      </c>
    </row>
    <row r="640" s="2" customFormat="true" ht="14.25" hidden="false" customHeight="false" outlineLevel="0" collapsed="false">
      <c r="A640" s="12" t="s">
        <v>1347</v>
      </c>
      <c r="B640" s="16" t="n">
        <v>5</v>
      </c>
      <c r="C640" s="15"/>
      <c r="D640" s="16" t="s">
        <v>50</v>
      </c>
      <c r="E640" s="16" t="s">
        <v>51</v>
      </c>
      <c r="F640" s="16" t="s">
        <v>52</v>
      </c>
      <c r="G640" s="16" t="s">
        <v>494</v>
      </c>
      <c r="H640" s="16" t="s">
        <v>495</v>
      </c>
      <c r="I640" s="16" t="s">
        <v>77</v>
      </c>
      <c r="J640" s="16" t="s">
        <v>496</v>
      </c>
      <c r="K640" s="16" t="s">
        <v>495</v>
      </c>
      <c r="L640" s="16" t="s">
        <v>77</v>
      </c>
      <c r="M640" s="16" t="s">
        <v>496</v>
      </c>
      <c r="N640" s="16" t="s">
        <v>57</v>
      </c>
      <c r="O640" s="16" t="s">
        <v>94</v>
      </c>
      <c r="P640" s="16" t="s">
        <v>308</v>
      </c>
      <c r="Q640" s="16" t="s">
        <v>308</v>
      </c>
      <c r="R640" s="16" t="s">
        <v>309</v>
      </c>
      <c r="S640" s="16" t="s">
        <v>264</v>
      </c>
      <c r="T640" s="16" t="s">
        <v>1348</v>
      </c>
      <c r="U640" s="16" t="s">
        <v>73</v>
      </c>
      <c r="V640" s="16" t="n">
        <v>4.05</v>
      </c>
      <c r="W640" s="16" t="n">
        <v>3.58</v>
      </c>
      <c r="X640" s="22" t="n">
        <v>8000</v>
      </c>
      <c r="Y640" s="22" t="n">
        <v>8000</v>
      </c>
      <c r="Z640" s="22" t="n">
        <v>8000</v>
      </c>
      <c r="AA640" s="22" t="n">
        <v>8000</v>
      </c>
      <c r="AB640" s="22" t="n">
        <v>8000</v>
      </c>
      <c r="AC640" s="22" t="n">
        <v>8000</v>
      </c>
      <c r="AD640" s="22" t="n">
        <v>8000</v>
      </c>
      <c r="AE640" s="22" t="n">
        <v>8000</v>
      </c>
      <c r="AF640" s="22" t="n">
        <v>8000</v>
      </c>
      <c r="AG640" s="22" t="n">
        <v>8000</v>
      </c>
      <c r="AH640" s="22" t="n">
        <v>8000</v>
      </c>
      <c r="AI640" s="22" t="n">
        <v>8000</v>
      </c>
      <c r="AJ640" s="9" t="n">
        <f aca="false">X640*$V640</f>
        <v>32400</v>
      </c>
      <c r="AK640" s="9" t="n">
        <f aca="false">Y640*$V640</f>
        <v>32400</v>
      </c>
      <c r="AL640" s="9" t="n">
        <f aca="false">Z640*$V640</f>
        <v>32400</v>
      </c>
      <c r="AM640" s="9" t="n">
        <f aca="false">AA640*$V640</f>
        <v>32400</v>
      </c>
      <c r="AN640" s="9" t="n">
        <f aca="false">AB640*$V640</f>
        <v>32400</v>
      </c>
      <c r="AO640" s="9" t="n">
        <f aca="false">AC640*$V640</f>
        <v>32400</v>
      </c>
      <c r="AP640" s="9" t="n">
        <f aca="false">AD640*$V640</f>
        <v>32400</v>
      </c>
      <c r="AQ640" s="9" t="n">
        <f aca="false">AE640*$V640</f>
        <v>32400</v>
      </c>
      <c r="AR640" s="9" t="n">
        <f aca="false">AF640*$V640</f>
        <v>32400</v>
      </c>
      <c r="AS640" s="9" t="n">
        <f aca="false">AG640*$V640</f>
        <v>32400</v>
      </c>
      <c r="AT640" s="9" t="n">
        <f aca="false">AH640*$V640</f>
        <v>32400</v>
      </c>
      <c r="AU640" s="9" t="n">
        <f aca="false">AI640*$V640</f>
        <v>32400</v>
      </c>
      <c r="AV640" s="9" t="n">
        <f aca="false">SUM(X640:AI640)/1000</f>
        <v>96</v>
      </c>
      <c r="AW640" s="9" t="n">
        <f aca="false">SUM(AJ640:AU640)</f>
        <v>388800</v>
      </c>
      <c r="AX640" s="9" t="n">
        <f aca="false">IF(D640="INR",AW640/88.24,AW640)/1000000</f>
        <v>0.00440616500453309</v>
      </c>
    </row>
    <row r="641" s="2" customFormat="true" ht="14.25" hidden="false" customHeight="false" outlineLevel="0" collapsed="false">
      <c r="A641" s="12" t="s">
        <v>1349</v>
      </c>
      <c r="B641" s="16" t="n">
        <v>5</v>
      </c>
      <c r="C641" s="15"/>
      <c r="D641" s="16" t="s">
        <v>102</v>
      </c>
      <c r="E641" s="16" t="s">
        <v>51</v>
      </c>
      <c r="F641" s="16" t="s">
        <v>243</v>
      </c>
      <c r="G641" s="16" t="s">
        <v>318</v>
      </c>
      <c r="H641" s="16" t="s">
        <v>319</v>
      </c>
      <c r="I641" s="16" t="s">
        <v>298</v>
      </c>
      <c r="J641" s="16" t="s">
        <v>1322</v>
      </c>
      <c r="K641" s="16"/>
      <c r="L641" s="16"/>
      <c r="M641" s="16"/>
      <c r="N641" s="16" t="s">
        <v>93</v>
      </c>
      <c r="O641" s="16" t="s">
        <v>68</v>
      </c>
      <c r="P641" s="16" t="str">
        <f aca="false">Q641</f>
        <v>NICHICON</v>
      </c>
      <c r="Q641" s="16" t="s">
        <v>85</v>
      </c>
      <c r="R641" s="16" t="s">
        <v>86</v>
      </c>
      <c r="S641" s="16" t="s">
        <v>87</v>
      </c>
      <c r="T641" s="16" t="s">
        <v>1350</v>
      </c>
      <c r="U641" s="16" t="s">
        <v>63</v>
      </c>
      <c r="V641" s="16" t="n">
        <v>0.32</v>
      </c>
      <c r="W641" s="16" t="n">
        <v>0.28</v>
      </c>
      <c r="X641" s="16"/>
      <c r="Y641" s="16"/>
      <c r="Z641" s="16"/>
      <c r="AA641" s="16" t="n">
        <v>10000</v>
      </c>
      <c r="AB641" s="16" t="n">
        <v>10000</v>
      </c>
      <c r="AC641" s="16" t="n">
        <v>10000</v>
      </c>
      <c r="AD641" s="26" t="n">
        <v>10000</v>
      </c>
      <c r="AE641" s="16" t="n">
        <v>10000</v>
      </c>
      <c r="AF641" s="16" t="n">
        <v>10000</v>
      </c>
      <c r="AG641" s="26" t="n">
        <v>10000</v>
      </c>
      <c r="AH641" s="16" t="n">
        <v>10000</v>
      </c>
      <c r="AI641" s="16" t="n">
        <v>10000</v>
      </c>
      <c r="AJ641" s="9" t="n">
        <f aca="false">X641*$V641</f>
        <v>0</v>
      </c>
      <c r="AK641" s="9" t="n">
        <f aca="false">Y641*$V641</f>
        <v>0</v>
      </c>
      <c r="AL641" s="9" t="n">
        <f aca="false">Z641*$V641</f>
        <v>0</v>
      </c>
      <c r="AM641" s="9" t="n">
        <f aca="false">AA641*$V641</f>
        <v>3200</v>
      </c>
      <c r="AN641" s="9" t="n">
        <f aca="false">AB641*$V641</f>
        <v>3200</v>
      </c>
      <c r="AO641" s="9" t="n">
        <f aca="false">AC641*$V641</f>
        <v>3200</v>
      </c>
      <c r="AP641" s="9" t="n">
        <f aca="false">AD641*$V641</f>
        <v>3200</v>
      </c>
      <c r="AQ641" s="9" t="n">
        <f aca="false">AE641*$V641</f>
        <v>3200</v>
      </c>
      <c r="AR641" s="9" t="n">
        <f aca="false">AF641*$V641</f>
        <v>3200</v>
      </c>
      <c r="AS641" s="9" t="n">
        <f aca="false">AG641*$V641</f>
        <v>3200</v>
      </c>
      <c r="AT641" s="9" t="n">
        <f aca="false">AH641*$V641</f>
        <v>3200</v>
      </c>
      <c r="AU641" s="9" t="n">
        <f aca="false">AI641*$V641</f>
        <v>3200</v>
      </c>
      <c r="AV641" s="9" t="n">
        <f aca="false">SUM(X641:AI641)/1000</f>
        <v>90</v>
      </c>
      <c r="AW641" s="9" t="n">
        <f aca="false">SUM(AJ641:AU641)</f>
        <v>28800</v>
      </c>
      <c r="AX641" s="9" t="n">
        <f aca="false">IF(D641="INR",AW641/88.24,AW641)/1000000</f>
        <v>0.0288</v>
      </c>
    </row>
    <row r="642" s="2" customFormat="true" ht="14.25" hidden="false" customHeight="false" outlineLevel="0" collapsed="false">
      <c r="A642" s="12" t="s">
        <v>1351</v>
      </c>
      <c r="B642" s="16" t="n">
        <v>5</v>
      </c>
      <c r="C642" s="15"/>
      <c r="D642" s="16" t="s">
        <v>102</v>
      </c>
      <c r="E642" s="16" t="s">
        <v>51</v>
      </c>
      <c r="F642" s="16" t="s">
        <v>243</v>
      </c>
      <c r="G642" s="16" t="s">
        <v>318</v>
      </c>
      <c r="H642" s="16" t="s">
        <v>319</v>
      </c>
      <c r="I642" s="16" t="s">
        <v>298</v>
      </c>
      <c r="J642" s="16" t="s">
        <v>1322</v>
      </c>
      <c r="K642" s="16"/>
      <c r="L642" s="16"/>
      <c r="M642" s="16"/>
      <c r="N642" s="16" t="s">
        <v>93</v>
      </c>
      <c r="O642" s="16" t="s">
        <v>68</v>
      </c>
      <c r="P642" s="16" t="str">
        <f aca="false">Q642</f>
        <v>NICHICON</v>
      </c>
      <c r="Q642" s="16" t="s">
        <v>85</v>
      </c>
      <c r="R642" s="16" t="s">
        <v>86</v>
      </c>
      <c r="S642" s="16" t="s">
        <v>87</v>
      </c>
      <c r="T642" s="16" t="s">
        <v>1352</v>
      </c>
      <c r="U642" s="16" t="s">
        <v>63</v>
      </c>
      <c r="V642" s="17" t="n">
        <v>0.245</v>
      </c>
      <c r="W642" s="26" t="n">
        <v>0.2</v>
      </c>
      <c r="X642" s="16"/>
      <c r="Y642" s="16"/>
      <c r="Z642" s="16"/>
      <c r="AA642" s="16" t="n">
        <v>10000</v>
      </c>
      <c r="AB642" s="16" t="n">
        <v>10000</v>
      </c>
      <c r="AC642" s="16" t="n">
        <v>10000</v>
      </c>
      <c r="AD642" s="16" t="n">
        <v>10000</v>
      </c>
      <c r="AE642" s="16" t="n">
        <v>10000</v>
      </c>
      <c r="AF642" s="16" t="n">
        <v>10000</v>
      </c>
      <c r="AG642" s="16" t="n">
        <v>10000</v>
      </c>
      <c r="AH642" s="16" t="n">
        <v>10000</v>
      </c>
      <c r="AI642" s="16" t="n">
        <v>10000</v>
      </c>
      <c r="AJ642" s="9" t="n">
        <f aca="false">X642*$V642</f>
        <v>0</v>
      </c>
      <c r="AK642" s="9" t="n">
        <f aca="false">Y642*$V642</f>
        <v>0</v>
      </c>
      <c r="AL642" s="9" t="n">
        <f aca="false">Z642*$V642</f>
        <v>0</v>
      </c>
      <c r="AM642" s="9" t="n">
        <f aca="false">AA642*$V642</f>
        <v>2450</v>
      </c>
      <c r="AN642" s="9" t="n">
        <f aca="false">AB642*$V642</f>
        <v>2450</v>
      </c>
      <c r="AO642" s="9" t="n">
        <f aca="false">AC642*$V642</f>
        <v>2450</v>
      </c>
      <c r="AP642" s="9" t="n">
        <f aca="false">AD642*$V642</f>
        <v>2450</v>
      </c>
      <c r="AQ642" s="9" t="n">
        <f aca="false">AE642*$V642</f>
        <v>2450</v>
      </c>
      <c r="AR642" s="9" t="n">
        <f aca="false">AF642*$V642</f>
        <v>2450</v>
      </c>
      <c r="AS642" s="9" t="n">
        <f aca="false">AG642*$V642</f>
        <v>2450</v>
      </c>
      <c r="AT642" s="9" t="n">
        <f aca="false">AH642*$V642</f>
        <v>2450</v>
      </c>
      <c r="AU642" s="9" t="n">
        <f aca="false">AI642*$V642</f>
        <v>2450</v>
      </c>
      <c r="AV642" s="9" t="n">
        <f aca="false">SUM(X642:AI642)/1000</f>
        <v>90</v>
      </c>
      <c r="AW642" s="9" t="n">
        <f aca="false">SUM(AJ642:AU642)</f>
        <v>22050</v>
      </c>
      <c r="AX642" s="9" t="n">
        <f aca="false">IF(D642="INR",AW642/88.24,AW642)/1000000</f>
        <v>0.02205</v>
      </c>
    </row>
    <row r="643" s="2" customFormat="true" ht="14.25" hidden="false" customHeight="true" outlineLevel="0" collapsed="false">
      <c r="A643" s="12" t="s">
        <v>1353</v>
      </c>
      <c r="B643" s="16" t="n">
        <v>5</v>
      </c>
      <c r="C643" s="15"/>
      <c r="D643" s="16" t="s">
        <v>102</v>
      </c>
      <c r="E643" s="16" t="s">
        <v>51</v>
      </c>
      <c r="F643" s="16" t="s">
        <v>243</v>
      </c>
      <c r="G643" s="16" t="s">
        <v>318</v>
      </c>
      <c r="H643" s="16" t="s">
        <v>319</v>
      </c>
      <c r="I643" s="16" t="s">
        <v>298</v>
      </c>
      <c r="J643" s="16" t="s">
        <v>1322</v>
      </c>
      <c r="K643" s="16"/>
      <c r="L643" s="16"/>
      <c r="M643" s="16"/>
      <c r="N643" s="16" t="s">
        <v>93</v>
      </c>
      <c r="O643" s="16" t="s">
        <v>68</v>
      </c>
      <c r="P643" s="16" t="str">
        <f aca="false">Q643</f>
        <v>NICHICON</v>
      </c>
      <c r="Q643" s="16" t="s">
        <v>85</v>
      </c>
      <c r="R643" s="16" t="s">
        <v>86</v>
      </c>
      <c r="S643" s="16" t="s">
        <v>87</v>
      </c>
      <c r="T643" s="16" t="s">
        <v>1354</v>
      </c>
      <c r="U643" s="16" t="s">
        <v>63</v>
      </c>
      <c r="V643" s="16" t="n">
        <v>0.082</v>
      </c>
      <c r="W643" s="16" t="n">
        <v>0.07</v>
      </c>
      <c r="X643" s="16"/>
      <c r="Y643" s="16"/>
      <c r="Z643" s="16"/>
      <c r="AA643" s="26" t="n">
        <v>10000</v>
      </c>
      <c r="AB643" s="16" t="n">
        <v>10000</v>
      </c>
      <c r="AC643" s="16" t="n">
        <v>10000</v>
      </c>
      <c r="AD643" s="16" t="n">
        <v>10000</v>
      </c>
      <c r="AE643" s="16" t="n">
        <v>10000</v>
      </c>
      <c r="AF643" s="16" t="n">
        <v>10000</v>
      </c>
      <c r="AG643" s="16" t="n">
        <v>10000</v>
      </c>
      <c r="AH643" s="16" t="n">
        <v>10000</v>
      </c>
      <c r="AI643" s="16" t="n">
        <v>10000</v>
      </c>
      <c r="AJ643" s="9" t="n">
        <f aca="false">X643*$V643</f>
        <v>0</v>
      </c>
      <c r="AK643" s="9" t="n">
        <f aca="false">Y643*$V643</f>
        <v>0</v>
      </c>
      <c r="AL643" s="9" t="n">
        <f aca="false">Z643*$V643</f>
        <v>0</v>
      </c>
      <c r="AM643" s="9" t="n">
        <f aca="false">AA643*$V643</f>
        <v>820</v>
      </c>
      <c r="AN643" s="9" t="n">
        <f aca="false">AB643*$V643</f>
        <v>820</v>
      </c>
      <c r="AO643" s="9" t="n">
        <f aca="false">AC643*$V643</f>
        <v>820</v>
      </c>
      <c r="AP643" s="9" t="n">
        <f aca="false">AD643*$V643</f>
        <v>820</v>
      </c>
      <c r="AQ643" s="9" t="n">
        <f aca="false">AE643*$V643</f>
        <v>820</v>
      </c>
      <c r="AR643" s="9" t="n">
        <f aca="false">AF643*$V643</f>
        <v>820</v>
      </c>
      <c r="AS643" s="9" t="n">
        <f aca="false">AG643*$V643</f>
        <v>820</v>
      </c>
      <c r="AT643" s="9" t="n">
        <f aca="false">AH643*$V643</f>
        <v>820</v>
      </c>
      <c r="AU643" s="9" t="n">
        <f aca="false">AI643*$V643</f>
        <v>820</v>
      </c>
      <c r="AV643" s="9" t="n">
        <f aca="false">SUM(X643:AI643)/1000</f>
        <v>90</v>
      </c>
      <c r="AW643" s="9" t="n">
        <f aca="false">SUM(AJ643:AU643)</f>
        <v>7380</v>
      </c>
      <c r="AX643" s="9" t="n">
        <f aca="false">IF(D643="INR",AW643/88.24,AW643)/1000000</f>
        <v>0.00738</v>
      </c>
    </row>
    <row r="644" s="2" customFormat="true" ht="16.4" hidden="false" customHeight="false" outlineLevel="0" collapsed="false">
      <c r="A644" s="35" t="s">
        <v>1355</v>
      </c>
      <c r="B644" s="49"/>
      <c r="C644" s="15"/>
      <c r="D644" s="16" t="s">
        <v>813</v>
      </c>
      <c r="E644" s="16" t="s">
        <v>51</v>
      </c>
      <c r="F644" s="16" t="s">
        <v>243</v>
      </c>
      <c r="G644" s="16" t="s">
        <v>318</v>
      </c>
      <c r="H644" s="16" t="s">
        <v>319</v>
      </c>
      <c r="I644" s="16"/>
      <c r="J644" s="16"/>
      <c r="K644" s="16"/>
      <c r="L644" s="16"/>
      <c r="M644" s="16"/>
      <c r="N644" s="16" t="s">
        <v>93</v>
      </c>
      <c r="O644" s="16" t="s">
        <v>68</v>
      </c>
      <c r="P644" s="16" t="s">
        <v>380</v>
      </c>
      <c r="Q644" s="16" t="s">
        <v>380</v>
      </c>
      <c r="R644" s="16" t="s">
        <v>442</v>
      </c>
      <c r="S644" s="16" t="s">
        <v>443</v>
      </c>
      <c r="T644" s="16" t="s">
        <v>1356</v>
      </c>
      <c r="U644" s="16" t="s">
        <v>73</v>
      </c>
      <c r="V644" s="16" t="n">
        <v>0.38</v>
      </c>
      <c r="W644" s="9" t="n">
        <v>0.361</v>
      </c>
      <c r="X644" s="22"/>
      <c r="Y644" s="9"/>
      <c r="Z644" s="9" t="n">
        <v>15000</v>
      </c>
      <c r="AA644" s="9"/>
      <c r="AB644" s="9"/>
      <c r="AC644" s="9" t="n">
        <v>15000</v>
      </c>
      <c r="AD644" s="9"/>
      <c r="AE644" s="9"/>
      <c r="AF644" s="9" t="n">
        <v>15000</v>
      </c>
      <c r="AG644" s="9"/>
      <c r="AH644" s="9"/>
      <c r="AI644" s="9" t="n">
        <v>15000</v>
      </c>
      <c r="AJ644" s="9" t="n">
        <f aca="false">X644*$V644</f>
        <v>0</v>
      </c>
      <c r="AK644" s="9" t="n">
        <f aca="false">Y644*$V644</f>
        <v>0</v>
      </c>
      <c r="AL644" s="9" t="n">
        <f aca="false">Z644*$V644</f>
        <v>5700</v>
      </c>
      <c r="AM644" s="9" t="n">
        <f aca="false">AA644*$V644</f>
        <v>0</v>
      </c>
      <c r="AN644" s="9" t="n">
        <f aca="false">AB644*$V644</f>
        <v>0</v>
      </c>
      <c r="AO644" s="9" t="n">
        <f aca="false">AC644*$V644</f>
        <v>5700</v>
      </c>
      <c r="AP644" s="9" t="n">
        <f aca="false">AD644*$V644</f>
        <v>0</v>
      </c>
      <c r="AQ644" s="9" t="n">
        <f aca="false">AE644*$V644</f>
        <v>0</v>
      </c>
      <c r="AR644" s="9" t="n">
        <f aca="false">AF644*$V644</f>
        <v>5700</v>
      </c>
      <c r="AS644" s="9" t="n">
        <f aca="false">AG644*$V644</f>
        <v>0</v>
      </c>
      <c r="AT644" s="9" t="n">
        <f aca="false">AH644*$V644</f>
        <v>0</v>
      </c>
      <c r="AU644" s="9" t="n">
        <f aca="false">AI644*$V644</f>
        <v>5700</v>
      </c>
      <c r="AV644" s="9" t="n">
        <f aca="false">SUM(X644:AI644)/1000</f>
        <v>60</v>
      </c>
      <c r="AW644" s="9" t="n">
        <f aca="false">SUM(AJ644:AU644)</f>
        <v>22800</v>
      </c>
      <c r="AX644" s="9" t="n">
        <f aca="false">IF(D644="INR",AW644/88.24,AW644)/1000000</f>
        <v>0.0228</v>
      </c>
    </row>
    <row r="645" s="2" customFormat="true" ht="14.25" hidden="false" customHeight="false" outlineLevel="0" collapsed="false">
      <c r="A645" s="12" t="s">
        <v>1357</v>
      </c>
      <c r="B645" s="16"/>
      <c r="C645" s="15"/>
      <c r="D645" s="16" t="s">
        <v>813</v>
      </c>
      <c r="E645" s="16" t="s">
        <v>51</v>
      </c>
      <c r="F645" s="16" t="s">
        <v>243</v>
      </c>
      <c r="G645" s="16" t="s">
        <v>318</v>
      </c>
      <c r="H645" s="16" t="s">
        <v>319</v>
      </c>
      <c r="I645" s="16"/>
      <c r="J645" s="16"/>
      <c r="K645" s="16"/>
      <c r="L645" s="16"/>
      <c r="M645" s="16"/>
      <c r="N645" s="16" t="s">
        <v>93</v>
      </c>
      <c r="O645" s="16" t="s">
        <v>68</v>
      </c>
      <c r="P645" s="16" t="s">
        <v>380</v>
      </c>
      <c r="Q645" s="16" t="s">
        <v>380</v>
      </c>
      <c r="R645" s="16" t="s">
        <v>442</v>
      </c>
      <c r="S645" s="16" t="s">
        <v>443</v>
      </c>
      <c r="T645" s="16" t="s">
        <v>1358</v>
      </c>
      <c r="U645" s="16" t="s">
        <v>73</v>
      </c>
      <c r="V645" s="16" t="n">
        <v>0.24</v>
      </c>
      <c r="W645" s="16" t="n">
        <v>0.228</v>
      </c>
      <c r="X645" s="16"/>
      <c r="Y645" s="16"/>
      <c r="Z645" s="16" t="n">
        <v>15000</v>
      </c>
      <c r="AA645" s="16"/>
      <c r="AB645" s="16"/>
      <c r="AC645" s="16" t="n">
        <v>15000</v>
      </c>
      <c r="AD645" s="16"/>
      <c r="AE645" s="16"/>
      <c r="AF645" s="16" t="n">
        <v>15000</v>
      </c>
      <c r="AG645" s="16"/>
      <c r="AH645" s="16"/>
      <c r="AI645" s="16" t="n">
        <v>15000</v>
      </c>
      <c r="AJ645" s="9" t="n">
        <f aca="false">X645*$V645</f>
        <v>0</v>
      </c>
      <c r="AK645" s="9" t="n">
        <f aca="false">Y645*$V645</f>
        <v>0</v>
      </c>
      <c r="AL645" s="9" t="n">
        <f aca="false">Z645*$V645</f>
        <v>3600</v>
      </c>
      <c r="AM645" s="9" t="n">
        <f aca="false">AA645*$V645</f>
        <v>0</v>
      </c>
      <c r="AN645" s="9" t="n">
        <f aca="false">AB645*$V645</f>
        <v>0</v>
      </c>
      <c r="AO645" s="9" t="n">
        <f aca="false">AC645*$V645</f>
        <v>3600</v>
      </c>
      <c r="AP645" s="9" t="n">
        <f aca="false">AD645*$V645</f>
        <v>0</v>
      </c>
      <c r="AQ645" s="9" t="n">
        <f aca="false">AE645*$V645</f>
        <v>0</v>
      </c>
      <c r="AR645" s="9" t="n">
        <f aca="false">AF645*$V645</f>
        <v>3600</v>
      </c>
      <c r="AS645" s="9" t="n">
        <f aca="false">AG645*$V645</f>
        <v>0</v>
      </c>
      <c r="AT645" s="9" t="n">
        <f aca="false">AH645*$V645</f>
        <v>0</v>
      </c>
      <c r="AU645" s="9" t="n">
        <f aca="false">AI645*$V645</f>
        <v>3600</v>
      </c>
      <c r="AV645" s="9" t="n">
        <f aca="false">SUM(X645:AI645)/1000</f>
        <v>60</v>
      </c>
      <c r="AW645" s="9" t="n">
        <f aca="false">SUM(AJ645:AU645)</f>
        <v>14400</v>
      </c>
      <c r="AX645" s="9" t="n">
        <f aca="false">IF(D645="INR",AW645/88.24,AW645)/1000000</f>
        <v>0.0144</v>
      </c>
    </row>
    <row r="646" s="2" customFormat="true" ht="14.25" hidden="false" customHeight="false" outlineLevel="0" collapsed="false">
      <c r="A646" s="9"/>
      <c r="B646" s="9" t="n">
        <v>1</v>
      </c>
      <c r="C646" s="10"/>
      <c r="D646" s="9" t="s">
        <v>102</v>
      </c>
      <c r="E646" s="9" t="s">
        <v>51</v>
      </c>
      <c r="F646" s="9" t="s">
        <v>243</v>
      </c>
      <c r="G646" s="9"/>
      <c r="H646" s="9" t="s">
        <v>319</v>
      </c>
      <c r="I646" s="9" t="s">
        <v>1359</v>
      </c>
      <c r="J646" s="9"/>
      <c r="K646" s="9"/>
      <c r="L646" s="9"/>
      <c r="M646" s="9"/>
      <c r="N646" s="16" t="s">
        <v>93</v>
      </c>
      <c r="O646" s="9"/>
      <c r="P646" s="9"/>
      <c r="Q646" s="9" t="s">
        <v>110</v>
      </c>
      <c r="R646" s="9" t="s">
        <v>137</v>
      </c>
      <c r="S646" s="9"/>
      <c r="T646" s="9" t="s">
        <v>1360</v>
      </c>
      <c r="U646" s="9" t="s">
        <v>63</v>
      </c>
      <c r="V646" s="9" t="n">
        <v>4.485</v>
      </c>
      <c r="W646" s="9" t="n">
        <v>3.996</v>
      </c>
      <c r="X646" s="9"/>
      <c r="Y646" s="9"/>
      <c r="Z646" s="9" t="n">
        <v>2000</v>
      </c>
      <c r="AA646" s="9"/>
      <c r="AB646" s="9"/>
      <c r="AC646" s="9"/>
      <c r="AD646" s="9"/>
      <c r="AE646" s="9" t="n">
        <v>5000</v>
      </c>
      <c r="AF646" s="9"/>
      <c r="AG646" s="9"/>
      <c r="AH646" s="9"/>
      <c r="AI646" s="9" t="n">
        <v>5000</v>
      </c>
      <c r="AJ646" s="9" t="n">
        <f aca="false">X646*$V646</f>
        <v>0</v>
      </c>
      <c r="AK646" s="9" t="n">
        <f aca="false">Y646*$V646</f>
        <v>0</v>
      </c>
      <c r="AL646" s="9" t="n">
        <f aca="false">Z646*$V646</f>
        <v>8970</v>
      </c>
      <c r="AM646" s="9" t="n">
        <f aca="false">AA646*$V646</f>
        <v>0</v>
      </c>
      <c r="AN646" s="9" t="n">
        <f aca="false">AB646*$V646</f>
        <v>0</v>
      </c>
      <c r="AO646" s="9" t="n">
        <f aca="false">AC646*$V646</f>
        <v>0</v>
      </c>
      <c r="AP646" s="9" t="n">
        <f aca="false">AD646*$V646</f>
        <v>0</v>
      </c>
      <c r="AQ646" s="9" t="n">
        <f aca="false">AE646*$V646</f>
        <v>22425</v>
      </c>
      <c r="AR646" s="9" t="n">
        <f aca="false">AF646*$V646</f>
        <v>0</v>
      </c>
      <c r="AS646" s="9" t="n">
        <f aca="false">AG646*$V646</f>
        <v>0</v>
      </c>
      <c r="AT646" s="9" t="n">
        <f aca="false">AH646*$V646</f>
        <v>0</v>
      </c>
      <c r="AU646" s="9" t="n">
        <f aca="false">AI646*$V646</f>
        <v>22425</v>
      </c>
      <c r="AV646" s="9" t="n">
        <f aca="false">SUM(X646:AI646)/1000</f>
        <v>12</v>
      </c>
      <c r="AW646" s="9" t="n">
        <f aca="false">SUM(AJ646:AU646)</f>
        <v>53820</v>
      </c>
      <c r="AX646" s="9" t="n">
        <f aca="false">IF(D646="INR",AW646/88.24,AW646)/1000000</f>
        <v>0.05382</v>
      </c>
    </row>
    <row r="647" s="2" customFormat="true" ht="14.25" hidden="false" customHeight="false" outlineLevel="0" collapsed="false">
      <c r="A647" s="12"/>
      <c r="B647" s="16" t="n">
        <v>1</v>
      </c>
      <c r="C647" s="15"/>
      <c r="D647" s="16" t="s">
        <v>102</v>
      </c>
      <c r="E647" s="16" t="s">
        <v>51</v>
      </c>
      <c r="F647" s="16" t="s">
        <v>243</v>
      </c>
      <c r="G647" s="16"/>
      <c r="H647" s="16" t="s">
        <v>319</v>
      </c>
      <c r="I647" s="16" t="s">
        <v>1359</v>
      </c>
      <c r="J647" s="16"/>
      <c r="K647" s="16"/>
      <c r="L647" s="16"/>
      <c r="M647" s="16"/>
      <c r="N647" s="16" t="s">
        <v>93</v>
      </c>
      <c r="O647" s="16"/>
      <c r="P647" s="16"/>
      <c r="Q647" s="16" t="s">
        <v>110</v>
      </c>
      <c r="R647" s="16" t="s">
        <v>137</v>
      </c>
      <c r="S647" s="16"/>
      <c r="T647" s="16" t="s">
        <v>132</v>
      </c>
      <c r="U647" s="16" t="s">
        <v>63</v>
      </c>
      <c r="V647" s="16" t="n">
        <v>1.998</v>
      </c>
      <c r="W647" s="16" t="n">
        <v>1.898</v>
      </c>
      <c r="X647" s="16"/>
      <c r="Y647" s="16"/>
      <c r="Z647" s="16" t="n">
        <v>2000</v>
      </c>
      <c r="AA647" s="16"/>
      <c r="AB647" s="16"/>
      <c r="AC647" s="16"/>
      <c r="AD647" s="16"/>
      <c r="AE647" s="16" t="n">
        <v>5000</v>
      </c>
      <c r="AF647" s="16"/>
      <c r="AG647" s="16"/>
      <c r="AH647" s="16"/>
      <c r="AI647" s="16" t="n">
        <v>5000</v>
      </c>
      <c r="AJ647" s="9" t="n">
        <f aca="false">X647*$V647</f>
        <v>0</v>
      </c>
      <c r="AK647" s="9" t="n">
        <f aca="false">Y647*$V647</f>
        <v>0</v>
      </c>
      <c r="AL647" s="9" t="n">
        <f aca="false">Z647*$V647</f>
        <v>3996</v>
      </c>
      <c r="AM647" s="9" t="n">
        <f aca="false">AA647*$V647</f>
        <v>0</v>
      </c>
      <c r="AN647" s="9" t="n">
        <f aca="false">AB647*$V647</f>
        <v>0</v>
      </c>
      <c r="AO647" s="9" t="n">
        <f aca="false">AC647*$V647</f>
        <v>0</v>
      </c>
      <c r="AP647" s="9" t="n">
        <f aca="false">AD647*$V647</f>
        <v>0</v>
      </c>
      <c r="AQ647" s="9" t="n">
        <f aca="false">AE647*$V647</f>
        <v>9990</v>
      </c>
      <c r="AR647" s="9" t="n">
        <f aca="false">AF647*$V647</f>
        <v>0</v>
      </c>
      <c r="AS647" s="9" t="n">
        <f aca="false">AG647*$V647</f>
        <v>0</v>
      </c>
      <c r="AT647" s="9" t="n">
        <f aca="false">AH647*$V647</f>
        <v>0</v>
      </c>
      <c r="AU647" s="9" t="n">
        <f aca="false">AI647*$V647</f>
        <v>9990</v>
      </c>
      <c r="AV647" s="9" t="n">
        <f aca="false">SUM(X647:AI647)/1000</f>
        <v>12</v>
      </c>
      <c r="AW647" s="9" t="n">
        <f aca="false">SUM(AJ647:AU647)</f>
        <v>23976</v>
      </c>
      <c r="AX647" s="9" t="n">
        <f aca="false">IF(D647="INR",AW647/88.24,AW647)/1000000</f>
        <v>0.023976</v>
      </c>
    </row>
    <row r="648" s="2" customFormat="true" ht="14.25" hidden="false" customHeight="false" outlineLevel="0" collapsed="false">
      <c r="A648" s="12"/>
      <c r="B648" s="16" t="n">
        <v>1</v>
      </c>
      <c r="C648" s="15"/>
      <c r="D648" s="16" t="s">
        <v>102</v>
      </c>
      <c r="E648" s="16" t="s">
        <v>51</v>
      </c>
      <c r="F648" s="16" t="s">
        <v>243</v>
      </c>
      <c r="G648" s="16"/>
      <c r="H648" s="16" t="s">
        <v>319</v>
      </c>
      <c r="I648" s="16" t="s">
        <v>1359</v>
      </c>
      <c r="J648" s="16"/>
      <c r="K648" s="16"/>
      <c r="L648" s="16"/>
      <c r="M648" s="16"/>
      <c r="N648" s="16" t="s">
        <v>93</v>
      </c>
      <c r="O648" s="16"/>
      <c r="P648" s="16"/>
      <c r="Q648" s="16" t="s">
        <v>110</v>
      </c>
      <c r="R648" s="16" t="s">
        <v>137</v>
      </c>
      <c r="S648" s="16"/>
      <c r="T648" s="16" t="s">
        <v>160</v>
      </c>
      <c r="U648" s="16" t="s">
        <v>63</v>
      </c>
      <c r="V648" s="16" t="n">
        <v>0.65</v>
      </c>
      <c r="W648" s="16" t="n">
        <v>0.58</v>
      </c>
      <c r="X648" s="16"/>
      <c r="Y648" s="16"/>
      <c r="Z648" s="16" t="n">
        <v>2000</v>
      </c>
      <c r="AA648" s="16"/>
      <c r="AB648" s="16"/>
      <c r="AC648" s="16"/>
      <c r="AD648" s="16"/>
      <c r="AE648" s="16" t="n">
        <v>5000</v>
      </c>
      <c r="AF648" s="16"/>
      <c r="AG648" s="16"/>
      <c r="AH648" s="16"/>
      <c r="AI648" s="16" t="n">
        <v>5000</v>
      </c>
      <c r="AJ648" s="9" t="n">
        <f aca="false">X648*$V648</f>
        <v>0</v>
      </c>
      <c r="AK648" s="9" t="n">
        <f aca="false">Y648*$V648</f>
        <v>0</v>
      </c>
      <c r="AL648" s="9" t="n">
        <f aca="false">Z648*$V648</f>
        <v>1300</v>
      </c>
      <c r="AM648" s="9" t="n">
        <f aca="false">AA648*$V648</f>
        <v>0</v>
      </c>
      <c r="AN648" s="9" t="n">
        <f aca="false">AB648*$V648</f>
        <v>0</v>
      </c>
      <c r="AO648" s="9" t="n">
        <f aca="false">AC648*$V648</f>
        <v>0</v>
      </c>
      <c r="AP648" s="9" t="n">
        <f aca="false">AD648*$V648</f>
        <v>0</v>
      </c>
      <c r="AQ648" s="9" t="n">
        <f aca="false">AE648*$V648</f>
        <v>3250</v>
      </c>
      <c r="AR648" s="9" t="n">
        <f aca="false">AF648*$V648</f>
        <v>0</v>
      </c>
      <c r="AS648" s="9" t="n">
        <f aca="false">AG648*$V648</f>
        <v>0</v>
      </c>
      <c r="AT648" s="9" t="n">
        <f aca="false">AH648*$V648</f>
        <v>0</v>
      </c>
      <c r="AU648" s="9" t="n">
        <f aca="false">AI648*$V648</f>
        <v>3250</v>
      </c>
      <c r="AV648" s="9" t="n">
        <f aca="false">SUM(X648:AI648)/1000</f>
        <v>12</v>
      </c>
      <c r="AW648" s="9" t="n">
        <f aca="false">SUM(AJ648:AU648)</f>
        <v>7800</v>
      </c>
      <c r="AX648" s="9" t="n">
        <f aca="false">IF(D648="INR",AW648/88.24,AW648)/1000000</f>
        <v>0.0078</v>
      </c>
    </row>
    <row r="649" s="2" customFormat="true" ht="14.25" hidden="false" customHeight="false" outlineLevel="0" collapsed="false">
      <c r="A649" s="12"/>
      <c r="B649" s="16" t="n">
        <v>1</v>
      </c>
      <c r="C649" s="15"/>
      <c r="D649" s="16" t="s">
        <v>102</v>
      </c>
      <c r="E649" s="16" t="s">
        <v>51</v>
      </c>
      <c r="F649" s="16" t="s">
        <v>243</v>
      </c>
      <c r="G649" s="16"/>
      <c r="H649" s="16" t="s">
        <v>319</v>
      </c>
      <c r="I649" s="16" t="s">
        <v>1359</v>
      </c>
      <c r="J649" s="16"/>
      <c r="K649" s="16"/>
      <c r="L649" s="16"/>
      <c r="M649" s="16"/>
      <c r="N649" s="16" t="s">
        <v>93</v>
      </c>
      <c r="O649" s="16"/>
      <c r="P649" s="16"/>
      <c r="Q649" s="16" t="s">
        <v>110</v>
      </c>
      <c r="R649" s="16" t="s">
        <v>137</v>
      </c>
      <c r="S649" s="16"/>
      <c r="T649" s="16" t="s">
        <v>1361</v>
      </c>
      <c r="U649" s="16" t="s">
        <v>63</v>
      </c>
      <c r="V649" s="16" t="n">
        <v>0.55</v>
      </c>
      <c r="W649" s="16" t="n">
        <v>0.5</v>
      </c>
      <c r="X649" s="22"/>
      <c r="Y649" s="22"/>
      <c r="Z649" s="22" t="n">
        <v>2000</v>
      </c>
      <c r="AA649" s="22"/>
      <c r="AB649" s="22"/>
      <c r="AC649" s="22"/>
      <c r="AD649" s="22"/>
      <c r="AE649" s="22" t="n">
        <v>5000</v>
      </c>
      <c r="AF649" s="22"/>
      <c r="AG649" s="22"/>
      <c r="AH649" s="22"/>
      <c r="AI649" s="22" t="n">
        <v>5000</v>
      </c>
      <c r="AJ649" s="9" t="n">
        <f aca="false">X649*$V649</f>
        <v>0</v>
      </c>
      <c r="AK649" s="9" t="n">
        <f aca="false">Y649*$V649</f>
        <v>0</v>
      </c>
      <c r="AL649" s="9" t="n">
        <f aca="false">Z649*$V649</f>
        <v>1100</v>
      </c>
      <c r="AM649" s="9" t="n">
        <f aca="false">AA649*$V649</f>
        <v>0</v>
      </c>
      <c r="AN649" s="9" t="n">
        <f aca="false">AB649*$V649</f>
        <v>0</v>
      </c>
      <c r="AO649" s="9" t="n">
        <f aca="false">AC649*$V649</f>
        <v>0</v>
      </c>
      <c r="AP649" s="9" t="n">
        <f aca="false">AD649*$V649</f>
        <v>0</v>
      </c>
      <c r="AQ649" s="9" t="n">
        <f aca="false">AE649*$V649</f>
        <v>2750</v>
      </c>
      <c r="AR649" s="9" t="n">
        <f aca="false">AF649*$V649</f>
        <v>0</v>
      </c>
      <c r="AS649" s="9" t="n">
        <f aca="false">AG649*$V649</f>
        <v>0</v>
      </c>
      <c r="AT649" s="9" t="n">
        <f aca="false">AH649*$V649</f>
        <v>0</v>
      </c>
      <c r="AU649" s="9" t="n">
        <f aca="false">AI649*$V649</f>
        <v>2750</v>
      </c>
      <c r="AV649" s="9" t="n">
        <f aca="false">SUM(X649:AI649)/1000</f>
        <v>12</v>
      </c>
      <c r="AW649" s="9" t="n">
        <f aca="false">SUM(AJ649:AU649)</f>
        <v>6600</v>
      </c>
      <c r="AX649" s="9" t="n">
        <f aca="false">IF(D649="INR",AW649/88.24,AW649)/1000000</f>
        <v>0.0066</v>
      </c>
    </row>
    <row r="650" s="2" customFormat="true" ht="14.25" hidden="false" customHeight="false" outlineLevel="0" collapsed="false">
      <c r="A650" s="9"/>
      <c r="B650" s="9" t="n">
        <v>1</v>
      </c>
      <c r="C650" s="10"/>
      <c r="D650" s="9" t="s">
        <v>102</v>
      </c>
      <c r="E650" s="9" t="s">
        <v>51</v>
      </c>
      <c r="F650" s="9" t="s">
        <v>243</v>
      </c>
      <c r="G650" s="9"/>
      <c r="H650" s="9" t="s">
        <v>319</v>
      </c>
      <c r="I650" s="9" t="s">
        <v>1359</v>
      </c>
      <c r="J650" s="9"/>
      <c r="K650" s="9"/>
      <c r="L650" s="9"/>
      <c r="M650" s="9"/>
      <c r="N650" s="9" t="s">
        <v>93</v>
      </c>
      <c r="O650" s="9"/>
      <c r="P650" s="9"/>
      <c r="Q650" s="9" t="s">
        <v>110</v>
      </c>
      <c r="R650" s="9" t="s">
        <v>137</v>
      </c>
      <c r="S650" s="9"/>
      <c r="T650" s="9" t="s">
        <v>1362</v>
      </c>
      <c r="U650" s="9" t="s">
        <v>63</v>
      </c>
      <c r="V650" s="9" t="n">
        <v>0.215</v>
      </c>
      <c r="W650" s="9" t="n">
        <v>0.198</v>
      </c>
      <c r="X650" s="9"/>
      <c r="Y650" s="9"/>
      <c r="Z650" s="9" t="n">
        <v>2000</v>
      </c>
      <c r="AA650" s="9"/>
      <c r="AB650" s="9"/>
      <c r="AC650" s="9"/>
      <c r="AD650" s="9"/>
      <c r="AE650" s="9" t="n">
        <v>5000</v>
      </c>
      <c r="AF650" s="9"/>
      <c r="AG650" s="9"/>
      <c r="AH650" s="9"/>
      <c r="AI650" s="9" t="n">
        <v>5000</v>
      </c>
      <c r="AJ650" s="9" t="n">
        <f aca="false">X650*$V650</f>
        <v>0</v>
      </c>
      <c r="AK650" s="9" t="n">
        <f aca="false">Y650*$V650</f>
        <v>0</v>
      </c>
      <c r="AL650" s="9" t="n">
        <f aca="false">Z650*$V650</f>
        <v>430</v>
      </c>
      <c r="AM650" s="9" t="n">
        <f aca="false">AA650*$V650</f>
        <v>0</v>
      </c>
      <c r="AN650" s="9" t="n">
        <f aca="false">AB650*$V650</f>
        <v>0</v>
      </c>
      <c r="AO650" s="9" t="n">
        <f aca="false">AC650*$V650</f>
        <v>0</v>
      </c>
      <c r="AP650" s="9" t="n">
        <f aca="false">AD650*$V650</f>
        <v>0</v>
      </c>
      <c r="AQ650" s="9" t="n">
        <f aca="false">AE650*$V650</f>
        <v>1075</v>
      </c>
      <c r="AR650" s="9" t="n">
        <f aca="false">AF650*$V650</f>
        <v>0</v>
      </c>
      <c r="AS650" s="9" t="n">
        <f aca="false">AG650*$V650</f>
        <v>0</v>
      </c>
      <c r="AT650" s="9" t="n">
        <f aca="false">AH650*$V650</f>
        <v>0</v>
      </c>
      <c r="AU650" s="9" t="n">
        <f aca="false">AI650*$V650</f>
        <v>1075</v>
      </c>
      <c r="AV650" s="9" t="n">
        <f aca="false">SUM(X650:AI650)/1000</f>
        <v>12</v>
      </c>
      <c r="AW650" s="9" t="n">
        <f aca="false">SUM(AJ650:AU650)</f>
        <v>2580</v>
      </c>
      <c r="AX650" s="9" t="n">
        <f aca="false">IF(D650="INR",AW650/88.24,AW650)/1000000</f>
        <v>0.00258</v>
      </c>
    </row>
    <row r="651" s="2" customFormat="true" ht="14.25" hidden="false" customHeight="false" outlineLevel="0" collapsed="false">
      <c r="A651" s="12"/>
      <c r="B651" s="16" t="n">
        <v>1</v>
      </c>
      <c r="C651" s="15"/>
      <c r="D651" s="16" t="s">
        <v>50</v>
      </c>
      <c r="E651" s="16"/>
      <c r="F651" s="16" t="s">
        <v>52</v>
      </c>
      <c r="G651" s="16"/>
      <c r="H651" s="16" t="s">
        <v>656</v>
      </c>
      <c r="I651" s="16"/>
      <c r="J651" s="16"/>
      <c r="K651" s="16"/>
      <c r="L651" s="16"/>
      <c r="M651" s="16"/>
      <c r="N651" s="16" t="s">
        <v>290</v>
      </c>
      <c r="O651" s="16" t="s">
        <v>58</v>
      </c>
      <c r="P651" s="16"/>
      <c r="Q651" s="16" t="s">
        <v>1363</v>
      </c>
      <c r="R651" s="16" t="s">
        <v>1364</v>
      </c>
      <c r="S651" s="16" t="n">
        <v>1.58</v>
      </c>
      <c r="T651" s="16" t="s">
        <v>1364</v>
      </c>
      <c r="U651" s="16"/>
      <c r="V651" s="16" t="n">
        <v>1.58</v>
      </c>
      <c r="W651" s="16"/>
      <c r="X651" s="16"/>
      <c r="Y651" s="16"/>
      <c r="Z651" s="16" t="n">
        <v>20000</v>
      </c>
      <c r="AA651" s="16"/>
      <c r="AB651" s="16"/>
      <c r="AC651" s="16" t="n">
        <v>20000</v>
      </c>
      <c r="AD651" s="16"/>
      <c r="AE651" s="16"/>
      <c r="AF651" s="16" t="n">
        <v>20000</v>
      </c>
      <c r="AG651" s="16"/>
      <c r="AH651" s="16"/>
      <c r="AI651" s="16" t="n">
        <v>20000</v>
      </c>
      <c r="AJ651" s="9" t="n">
        <f aca="false">X651*$V651</f>
        <v>0</v>
      </c>
      <c r="AK651" s="9" t="n">
        <f aca="false">Y651*$V651</f>
        <v>0</v>
      </c>
      <c r="AL651" s="9" t="n">
        <f aca="false">Z651*$V651</f>
        <v>31600</v>
      </c>
      <c r="AM651" s="9" t="n">
        <f aca="false">AA651*$V651</f>
        <v>0</v>
      </c>
      <c r="AN651" s="9" t="n">
        <f aca="false">AB651*$V651</f>
        <v>0</v>
      </c>
      <c r="AO651" s="9" t="n">
        <f aca="false">AC651*$V651</f>
        <v>31600</v>
      </c>
      <c r="AP651" s="9" t="n">
        <f aca="false">AD651*$V651</f>
        <v>0</v>
      </c>
      <c r="AQ651" s="9" t="n">
        <f aca="false">AE651*$V651</f>
        <v>0</v>
      </c>
      <c r="AR651" s="9" t="n">
        <f aca="false">AF651*$V651</f>
        <v>31600</v>
      </c>
      <c r="AS651" s="9" t="n">
        <f aca="false">AG651*$V651</f>
        <v>0</v>
      </c>
      <c r="AT651" s="9" t="n">
        <f aca="false">AH651*$V651</f>
        <v>0</v>
      </c>
      <c r="AU651" s="9" t="n">
        <f aca="false">AI651*$V651</f>
        <v>31600</v>
      </c>
      <c r="AV651" s="9" t="n">
        <f aca="false">SUM(X651:AI651)/1000</f>
        <v>80</v>
      </c>
      <c r="AW651" s="9" t="n">
        <f aca="false">SUM(AJ651:AU651)</f>
        <v>126400</v>
      </c>
      <c r="AX651" s="9" t="n">
        <f aca="false">IF(D651="INR",AW651/88.24,AW651)/1000000</f>
        <v>0.0014324569356301</v>
      </c>
    </row>
    <row r="652" s="2" customFormat="true" ht="14.25" hidden="false" customHeight="false" outlineLevel="0" collapsed="false">
      <c r="A652" s="12" t="s">
        <v>1365</v>
      </c>
      <c r="B652" s="16" t="n">
        <v>5</v>
      </c>
      <c r="C652" s="15"/>
      <c r="D652" s="16" t="s">
        <v>50</v>
      </c>
      <c r="E652" s="16" t="s">
        <v>51</v>
      </c>
      <c r="F652" s="16" t="s">
        <v>52</v>
      </c>
      <c r="G652" s="16" t="s">
        <v>1366</v>
      </c>
      <c r="H652" s="16" t="s">
        <v>1367</v>
      </c>
      <c r="I652" s="16" t="s">
        <v>299</v>
      </c>
      <c r="J652" s="16" t="s">
        <v>299</v>
      </c>
      <c r="K652" s="16"/>
      <c r="L652" s="16" t="s">
        <v>299</v>
      </c>
      <c r="M652" s="16" t="s">
        <v>299</v>
      </c>
      <c r="N652" s="16" t="s">
        <v>93</v>
      </c>
      <c r="O652" s="16" t="s">
        <v>107</v>
      </c>
      <c r="P652" s="16" t="s">
        <v>308</v>
      </c>
      <c r="Q652" s="16" t="s">
        <v>308</v>
      </c>
      <c r="R652" s="16" t="s">
        <v>309</v>
      </c>
      <c r="S652" s="16" t="s">
        <v>264</v>
      </c>
      <c r="T652" s="16" t="s">
        <v>503</v>
      </c>
      <c r="U652" s="16" t="s">
        <v>73</v>
      </c>
      <c r="V652" s="16" t="n">
        <v>1.58</v>
      </c>
      <c r="W652" s="16" t="n">
        <v>1.36</v>
      </c>
      <c r="X652" s="22" t="n">
        <v>20000</v>
      </c>
      <c r="Y652" s="22" t="n">
        <v>20000</v>
      </c>
      <c r="Z652" s="22" t="n">
        <v>20000</v>
      </c>
      <c r="AA652" s="22" t="n">
        <v>20000</v>
      </c>
      <c r="AB652" s="22" t="n">
        <v>20000</v>
      </c>
      <c r="AC652" s="22" t="n">
        <v>20000</v>
      </c>
      <c r="AD652" s="22" t="n">
        <v>20000</v>
      </c>
      <c r="AE652" s="22" t="n">
        <v>20000</v>
      </c>
      <c r="AF652" s="22" t="n">
        <v>20000</v>
      </c>
      <c r="AG652" s="22" t="n">
        <v>20000</v>
      </c>
      <c r="AH652" s="22" t="n">
        <v>20000</v>
      </c>
      <c r="AI652" s="22" t="n">
        <v>20000</v>
      </c>
      <c r="AJ652" s="9" t="n">
        <f aca="false">X652*$V652</f>
        <v>31600</v>
      </c>
      <c r="AK652" s="9" t="n">
        <f aca="false">Y652*$V652</f>
        <v>31600</v>
      </c>
      <c r="AL652" s="9" t="n">
        <f aca="false">Z652*$V652</f>
        <v>31600</v>
      </c>
      <c r="AM652" s="9" t="n">
        <f aca="false">AA652*$V652</f>
        <v>31600</v>
      </c>
      <c r="AN652" s="9" t="n">
        <f aca="false">AB652*$V652</f>
        <v>31600</v>
      </c>
      <c r="AO652" s="9" t="n">
        <f aca="false">AC652*$V652</f>
        <v>31600</v>
      </c>
      <c r="AP652" s="9" t="n">
        <f aca="false">AD652*$V652</f>
        <v>31600</v>
      </c>
      <c r="AQ652" s="9" t="n">
        <f aca="false">AE652*$V652</f>
        <v>31600</v>
      </c>
      <c r="AR652" s="9" t="n">
        <f aca="false">AF652*$V652</f>
        <v>31600</v>
      </c>
      <c r="AS652" s="9" t="n">
        <f aca="false">AG652*$V652</f>
        <v>31600</v>
      </c>
      <c r="AT652" s="9" t="n">
        <f aca="false">AH652*$V652</f>
        <v>31600</v>
      </c>
      <c r="AU652" s="9" t="n">
        <f aca="false">AI652*$V652</f>
        <v>31600</v>
      </c>
      <c r="AV652" s="9" t="n">
        <f aca="false">SUM(X652:AI652)/1000</f>
        <v>240</v>
      </c>
      <c r="AW652" s="9" t="n">
        <f aca="false">SUM(AJ652:AU652)</f>
        <v>379200</v>
      </c>
      <c r="AX652" s="9" t="n">
        <f aca="false">IF(D652="INR",AW652/88.24,AW652)/1000000</f>
        <v>0.0042973708068903</v>
      </c>
    </row>
    <row r="653" s="2" customFormat="true" ht="14.25" hidden="false" customHeight="false" outlineLevel="0" collapsed="false">
      <c r="A653" s="12" t="s">
        <v>1368</v>
      </c>
      <c r="B653" s="16" t="n">
        <v>5</v>
      </c>
      <c r="C653" s="15"/>
      <c r="D653" s="16" t="s">
        <v>50</v>
      </c>
      <c r="E653" s="16" t="s">
        <v>51</v>
      </c>
      <c r="F653" s="16" t="s">
        <v>404</v>
      </c>
      <c r="G653" s="16" t="s">
        <v>405</v>
      </c>
      <c r="H653" s="16" t="s">
        <v>406</v>
      </c>
      <c r="I653" s="16" t="s">
        <v>105</v>
      </c>
      <c r="J653" s="16" t="s">
        <v>368</v>
      </c>
      <c r="K653" s="16"/>
      <c r="L653" s="16" t="s">
        <v>105</v>
      </c>
      <c r="M653" s="16" t="s">
        <v>368</v>
      </c>
      <c r="N653" s="16" t="s">
        <v>271</v>
      </c>
      <c r="O653" s="16" t="s">
        <v>94</v>
      </c>
      <c r="P653" s="16" t="s">
        <v>308</v>
      </c>
      <c r="Q653" s="16" t="s">
        <v>308</v>
      </c>
      <c r="R653" s="16" t="s">
        <v>309</v>
      </c>
      <c r="S653" s="16" t="s">
        <v>264</v>
      </c>
      <c r="T653" s="16" t="s">
        <v>1369</v>
      </c>
      <c r="U653" s="16" t="s">
        <v>73</v>
      </c>
      <c r="V653" s="16" t="n">
        <v>1.25</v>
      </c>
      <c r="W653" s="16" t="n">
        <v>1.1</v>
      </c>
      <c r="X653" s="22" t="n">
        <v>25000</v>
      </c>
      <c r="Y653" s="22" t="n">
        <v>25000</v>
      </c>
      <c r="Z653" s="22" t="n">
        <v>25000</v>
      </c>
      <c r="AA653" s="22" t="n">
        <v>25000</v>
      </c>
      <c r="AB653" s="22" t="n">
        <v>25000</v>
      </c>
      <c r="AC653" s="22" t="n">
        <v>25000</v>
      </c>
      <c r="AD653" s="22" t="n">
        <v>25000</v>
      </c>
      <c r="AE653" s="22" t="n">
        <v>25000</v>
      </c>
      <c r="AF653" s="22" t="n">
        <v>25000</v>
      </c>
      <c r="AG653" s="22" t="n">
        <v>25000</v>
      </c>
      <c r="AH653" s="22" t="n">
        <v>25000</v>
      </c>
      <c r="AI653" s="22" t="n">
        <v>25000</v>
      </c>
      <c r="AJ653" s="9" t="n">
        <f aca="false">X653*$V653</f>
        <v>31250</v>
      </c>
      <c r="AK653" s="9" t="n">
        <f aca="false">Y653*$V653</f>
        <v>31250</v>
      </c>
      <c r="AL653" s="9" t="n">
        <f aca="false">Z653*$V653</f>
        <v>31250</v>
      </c>
      <c r="AM653" s="9" t="n">
        <f aca="false">AA653*$V653</f>
        <v>31250</v>
      </c>
      <c r="AN653" s="9" t="n">
        <f aca="false">AB653*$V653</f>
        <v>31250</v>
      </c>
      <c r="AO653" s="9" t="n">
        <f aca="false">AC653*$V653</f>
        <v>31250</v>
      </c>
      <c r="AP653" s="9" t="n">
        <f aca="false">AD653*$V653</f>
        <v>31250</v>
      </c>
      <c r="AQ653" s="9" t="n">
        <f aca="false">AE653*$V653</f>
        <v>31250</v>
      </c>
      <c r="AR653" s="9" t="n">
        <f aca="false">AF653*$V653</f>
        <v>31250</v>
      </c>
      <c r="AS653" s="9" t="n">
        <f aca="false">AG653*$V653</f>
        <v>31250</v>
      </c>
      <c r="AT653" s="9" t="n">
        <f aca="false">AH653*$V653</f>
        <v>31250</v>
      </c>
      <c r="AU653" s="9" t="n">
        <f aca="false">AI653*$V653</f>
        <v>31250</v>
      </c>
      <c r="AV653" s="9" t="n">
        <f aca="false">SUM(X653:AI653)/1000</f>
        <v>300</v>
      </c>
      <c r="AW653" s="9" t="n">
        <f aca="false">SUM(AJ653:AU653)</f>
        <v>375000</v>
      </c>
      <c r="AX653" s="9" t="n">
        <f aca="false">IF(D653="INR",AW653/88.24,AW653)/1000000</f>
        <v>0.00424977334542158</v>
      </c>
    </row>
    <row r="654" s="2" customFormat="true" ht="16.4" hidden="false" customHeight="false" outlineLevel="0" collapsed="false">
      <c r="A654" s="9" t="s">
        <v>1370</v>
      </c>
      <c r="B654" s="9" t="n">
        <v>5</v>
      </c>
      <c r="C654" s="10"/>
      <c r="D654" s="16" t="s">
        <v>813</v>
      </c>
      <c r="E654" s="16" t="s">
        <v>51</v>
      </c>
      <c r="F654" s="16" t="s">
        <v>243</v>
      </c>
      <c r="G654" s="16" t="s">
        <v>485</v>
      </c>
      <c r="H654" s="9" t="s">
        <v>486</v>
      </c>
      <c r="I654" s="16"/>
      <c r="J654" s="16"/>
      <c r="K654" s="9"/>
      <c r="L654" s="16"/>
      <c r="M654" s="16"/>
      <c r="N654" s="16" t="s">
        <v>93</v>
      </c>
      <c r="O654" s="16" t="s">
        <v>68</v>
      </c>
      <c r="P654" s="9" t="s">
        <v>380</v>
      </c>
      <c r="Q654" s="9" t="s">
        <v>380</v>
      </c>
      <c r="R654" s="9" t="s">
        <v>442</v>
      </c>
      <c r="S654" s="9" t="s">
        <v>443</v>
      </c>
      <c r="T654" s="24" t="s">
        <v>1371</v>
      </c>
      <c r="U654" s="16" t="s">
        <v>73</v>
      </c>
      <c r="V654" s="25" t="n">
        <v>0.209</v>
      </c>
      <c r="W654" s="40" t="n">
        <v>0.20378</v>
      </c>
      <c r="X654" s="22" t="n">
        <v>200000</v>
      </c>
      <c r="Y654" s="9" t="n">
        <v>200000</v>
      </c>
      <c r="Z654" s="9" t="n">
        <v>200000</v>
      </c>
      <c r="AA654" s="9" t="n">
        <v>300000</v>
      </c>
      <c r="AB654" s="9" t="n">
        <v>300000</v>
      </c>
      <c r="AC654" s="9" t="n">
        <v>300000</v>
      </c>
      <c r="AD654" s="9" t="n">
        <v>300000</v>
      </c>
      <c r="AE654" s="9" t="n">
        <v>300000</v>
      </c>
      <c r="AF654" s="9" t="n">
        <v>300000</v>
      </c>
      <c r="AG654" s="9" t="n">
        <v>300000</v>
      </c>
      <c r="AH654" s="9" t="n">
        <v>300000</v>
      </c>
      <c r="AI654" s="9" t="n">
        <v>300000</v>
      </c>
      <c r="AJ654" s="9" t="n">
        <f aca="false">X654*$V654</f>
        <v>41800</v>
      </c>
      <c r="AK654" s="9" t="n">
        <f aca="false">Y654*$V654</f>
        <v>41800</v>
      </c>
      <c r="AL654" s="9" t="n">
        <f aca="false">Z654*$V654</f>
        <v>41800</v>
      </c>
      <c r="AM654" s="9" t="n">
        <f aca="false">AA654*$V654</f>
        <v>62700</v>
      </c>
      <c r="AN654" s="9" t="n">
        <f aca="false">AB654*$V654</f>
        <v>62700</v>
      </c>
      <c r="AO654" s="9" t="n">
        <f aca="false">AC654*$V654</f>
        <v>62700</v>
      </c>
      <c r="AP654" s="9" t="n">
        <f aca="false">AD654*$V654</f>
        <v>62700</v>
      </c>
      <c r="AQ654" s="9" t="n">
        <f aca="false">AE654*$V654</f>
        <v>62700</v>
      </c>
      <c r="AR654" s="9" t="n">
        <f aca="false">AF654*$V654</f>
        <v>62700</v>
      </c>
      <c r="AS654" s="9" t="n">
        <f aca="false">AG654*$V654</f>
        <v>62700</v>
      </c>
      <c r="AT654" s="9" t="n">
        <f aca="false">AH654*$V654</f>
        <v>62700</v>
      </c>
      <c r="AU654" s="9" t="n">
        <f aca="false">AI654*$V654</f>
        <v>62700</v>
      </c>
      <c r="AV654" s="9" t="n">
        <f aca="false">SUM(X654:AI654)/1000</f>
        <v>3300</v>
      </c>
      <c r="AW654" s="9" t="n">
        <f aca="false">SUM(AJ654:AU654)</f>
        <v>689700</v>
      </c>
      <c r="AX654" s="9" t="n">
        <f aca="false">IF(D654="INR",AW654/88.24,AW654)/1000000</f>
        <v>0.6897</v>
      </c>
    </row>
    <row r="655" s="2" customFormat="true" ht="14.25" hidden="false" customHeight="false" outlineLevel="0" collapsed="false">
      <c r="A655" s="9"/>
      <c r="B655" s="9" t="n">
        <v>1</v>
      </c>
      <c r="C655" s="15"/>
      <c r="D655" s="16" t="s">
        <v>102</v>
      </c>
      <c r="E655" s="16"/>
      <c r="F655" s="16" t="s">
        <v>243</v>
      </c>
      <c r="G655" s="16"/>
      <c r="H655" s="9" t="s">
        <v>486</v>
      </c>
      <c r="I655" s="16" t="s">
        <v>1372</v>
      </c>
      <c r="J655" s="16" t="s">
        <v>1372</v>
      </c>
      <c r="K655" s="9" t="s">
        <v>1372</v>
      </c>
      <c r="L655" s="16" t="s">
        <v>1372</v>
      </c>
      <c r="M655" s="16" t="s">
        <v>1372</v>
      </c>
      <c r="N655" s="16" t="s">
        <v>93</v>
      </c>
      <c r="O655" s="16" t="s">
        <v>68</v>
      </c>
      <c r="P655" s="9"/>
      <c r="Q655" s="16" t="s">
        <v>85</v>
      </c>
      <c r="R655" s="9"/>
      <c r="S655" s="9"/>
      <c r="T655" s="9" t="s">
        <v>1373</v>
      </c>
      <c r="U655" s="16" t="s">
        <v>63</v>
      </c>
      <c r="V655" s="36" t="n">
        <v>0.1427</v>
      </c>
      <c r="W655" s="9"/>
      <c r="X655" s="22"/>
      <c r="Y655" s="9"/>
      <c r="Z655" s="9" t="n">
        <v>200000</v>
      </c>
      <c r="AA655" s="9" t="n">
        <v>200000</v>
      </c>
      <c r="AB655" s="9" t="n">
        <v>200000</v>
      </c>
      <c r="AC655" s="9" t="n">
        <v>200000</v>
      </c>
      <c r="AD655" s="23" t="n">
        <v>200000</v>
      </c>
      <c r="AE655" s="9" t="n">
        <v>200000</v>
      </c>
      <c r="AF655" s="9" t="n">
        <v>200000</v>
      </c>
      <c r="AG655" s="9" t="n">
        <v>200000</v>
      </c>
      <c r="AH655" s="9" t="n">
        <v>200000</v>
      </c>
      <c r="AI655" s="9" t="n">
        <v>200000</v>
      </c>
      <c r="AJ655" s="9" t="n">
        <f aca="false">X655*$V655</f>
        <v>0</v>
      </c>
      <c r="AK655" s="9" t="n">
        <f aca="false">Y655*$V655</f>
        <v>0</v>
      </c>
      <c r="AL655" s="9" t="n">
        <f aca="false">Z655*$V655</f>
        <v>28540</v>
      </c>
      <c r="AM655" s="9" t="n">
        <f aca="false">AA655*$V655</f>
        <v>28540</v>
      </c>
      <c r="AN655" s="9" t="n">
        <f aca="false">AB655*$V655</f>
        <v>28540</v>
      </c>
      <c r="AO655" s="9" t="n">
        <f aca="false">AC655*$V655</f>
        <v>28540</v>
      </c>
      <c r="AP655" s="9" t="n">
        <f aca="false">AD655*$V655</f>
        <v>28540</v>
      </c>
      <c r="AQ655" s="9" t="n">
        <f aca="false">AE655*$V655</f>
        <v>28540</v>
      </c>
      <c r="AR655" s="9" t="n">
        <f aca="false">AF655*$V655</f>
        <v>28540</v>
      </c>
      <c r="AS655" s="9" t="n">
        <f aca="false">AG655*$V655</f>
        <v>28540</v>
      </c>
      <c r="AT655" s="9" t="n">
        <f aca="false">AH655*$V655</f>
        <v>28540</v>
      </c>
      <c r="AU655" s="9" t="n">
        <f aca="false">AI655*$V655</f>
        <v>28540</v>
      </c>
      <c r="AV655" s="9" t="n">
        <f aca="false">SUM(X655:AI655)/1000</f>
        <v>2000</v>
      </c>
      <c r="AW655" s="9" t="n">
        <f aca="false">SUM(AJ655:AU655)</f>
        <v>285400</v>
      </c>
      <c r="AX655" s="9" t="n">
        <f aca="false">IF(D655="INR",AW655/88.24,AW655)/1000000</f>
        <v>0.2854</v>
      </c>
    </row>
    <row r="656" s="2" customFormat="true" ht="14.25" hidden="false" customHeight="false" outlineLevel="0" collapsed="false">
      <c r="A656" s="12" t="s">
        <v>1374</v>
      </c>
      <c r="B656" s="16" t="n">
        <v>5</v>
      </c>
      <c r="C656" s="15"/>
      <c r="D656" s="16" t="s">
        <v>102</v>
      </c>
      <c r="E656" s="16" t="s">
        <v>51</v>
      </c>
      <c r="F656" s="16" t="s">
        <v>243</v>
      </c>
      <c r="G656" s="16" t="s">
        <v>485</v>
      </c>
      <c r="H656" s="16" t="s">
        <v>486</v>
      </c>
      <c r="I656" s="16" t="s">
        <v>298</v>
      </c>
      <c r="J656" s="16" t="s">
        <v>1322</v>
      </c>
      <c r="K656" s="16"/>
      <c r="L656" s="16" t="s">
        <v>298</v>
      </c>
      <c r="M656" s="16" t="s">
        <v>1322</v>
      </c>
      <c r="N656" s="16" t="s">
        <v>93</v>
      </c>
      <c r="O656" s="16" t="s">
        <v>68</v>
      </c>
      <c r="P656" s="16" t="s">
        <v>199</v>
      </c>
      <c r="Q656" s="16" t="s">
        <v>199</v>
      </c>
      <c r="R656" s="16" t="s">
        <v>377</v>
      </c>
      <c r="S656" s="16" t="s">
        <v>528</v>
      </c>
      <c r="T656" s="16" t="s">
        <v>1375</v>
      </c>
      <c r="U656" s="16" t="s">
        <v>73</v>
      </c>
      <c r="V656" s="16" t="n">
        <v>0.025</v>
      </c>
      <c r="W656" s="16" t="n">
        <v>0.02178</v>
      </c>
      <c r="X656" s="16" t="n">
        <v>100000</v>
      </c>
      <c r="Y656" s="26" t="n">
        <v>100000</v>
      </c>
      <c r="Z656" s="26" t="n">
        <v>100000</v>
      </c>
      <c r="AA656" s="16" t="n">
        <v>100000</v>
      </c>
      <c r="AB656" s="16" t="n">
        <v>100000</v>
      </c>
      <c r="AC656" s="26" t="n">
        <v>100000</v>
      </c>
      <c r="AD656" s="16" t="n">
        <v>100000</v>
      </c>
      <c r="AE656" s="16" t="n">
        <v>100000</v>
      </c>
      <c r="AF656" s="16" t="n">
        <v>100000</v>
      </c>
      <c r="AG656" s="16" t="n">
        <v>100000</v>
      </c>
      <c r="AH656" s="16" t="n">
        <v>100000</v>
      </c>
      <c r="AI656" s="16" t="n">
        <v>100000</v>
      </c>
      <c r="AJ656" s="9" t="n">
        <f aca="false">X656*$V656</f>
        <v>2500</v>
      </c>
      <c r="AK656" s="9" t="n">
        <f aca="false">Y656*$V656</f>
        <v>2500</v>
      </c>
      <c r="AL656" s="9" t="n">
        <f aca="false">Z656*$V656</f>
        <v>2500</v>
      </c>
      <c r="AM656" s="9" t="n">
        <f aca="false">AA656*$V656</f>
        <v>2500</v>
      </c>
      <c r="AN656" s="9" t="n">
        <f aca="false">AB656*$V656</f>
        <v>2500</v>
      </c>
      <c r="AO656" s="9" t="n">
        <f aca="false">AC656*$V656</f>
        <v>2500</v>
      </c>
      <c r="AP656" s="9" t="n">
        <f aca="false">AD656*$V656</f>
        <v>2500</v>
      </c>
      <c r="AQ656" s="9" t="n">
        <f aca="false">AE656*$V656</f>
        <v>2500</v>
      </c>
      <c r="AR656" s="9" t="n">
        <f aca="false">AF656*$V656</f>
        <v>2500</v>
      </c>
      <c r="AS656" s="9" t="n">
        <f aca="false">AG656*$V656</f>
        <v>2500</v>
      </c>
      <c r="AT656" s="9" t="n">
        <f aca="false">AH656*$V656</f>
        <v>2500</v>
      </c>
      <c r="AU656" s="9" t="n">
        <f aca="false">AI656*$V656</f>
        <v>2500</v>
      </c>
      <c r="AV656" s="9" t="n">
        <f aca="false">SUM(X656:AI656)/1000</f>
        <v>1200</v>
      </c>
      <c r="AW656" s="9" t="n">
        <f aca="false">SUM(AJ656:AU656)</f>
        <v>30000</v>
      </c>
      <c r="AX656" s="9" t="n">
        <f aca="false">IF(D656="INR",AW656/88.24,AW656)/1000000</f>
        <v>0.03</v>
      </c>
    </row>
    <row r="657" s="2" customFormat="true" ht="14.25" hidden="false" customHeight="true" outlineLevel="0" collapsed="false">
      <c r="A657" s="12" t="s">
        <v>1376</v>
      </c>
      <c r="B657" s="16" t="n">
        <v>5</v>
      </c>
      <c r="C657" s="15"/>
      <c r="D657" s="16" t="s">
        <v>50</v>
      </c>
      <c r="E657" s="16" t="s">
        <v>51</v>
      </c>
      <c r="F657" s="16" t="s">
        <v>404</v>
      </c>
      <c r="G657" s="16" t="s">
        <v>405</v>
      </c>
      <c r="H657" s="16" t="s">
        <v>406</v>
      </c>
      <c r="I657" s="16" t="s">
        <v>105</v>
      </c>
      <c r="J657" s="16" t="s">
        <v>368</v>
      </c>
      <c r="K657" s="16"/>
      <c r="L657" s="16" t="s">
        <v>105</v>
      </c>
      <c r="M657" s="16" t="s">
        <v>368</v>
      </c>
      <c r="N657" s="16" t="s">
        <v>271</v>
      </c>
      <c r="O657" s="16" t="s">
        <v>246</v>
      </c>
      <c r="P657" s="16" t="s">
        <v>308</v>
      </c>
      <c r="Q657" s="16" t="s">
        <v>308</v>
      </c>
      <c r="R657" s="16" t="s">
        <v>309</v>
      </c>
      <c r="S657" s="16" t="s">
        <v>264</v>
      </c>
      <c r="T657" s="16" t="s">
        <v>1377</v>
      </c>
      <c r="U657" s="16" t="s">
        <v>73</v>
      </c>
      <c r="V657" s="16" t="n">
        <v>1.25</v>
      </c>
      <c r="W657" s="16" t="n">
        <v>0</v>
      </c>
      <c r="X657" s="22" t="n">
        <v>25000</v>
      </c>
      <c r="Y657" s="22" t="n">
        <v>25000</v>
      </c>
      <c r="Z657" s="22" t="n">
        <v>25000</v>
      </c>
      <c r="AA657" s="22" t="n">
        <v>25000</v>
      </c>
      <c r="AB657" s="22" t="n">
        <v>25000</v>
      </c>
      <c r="AC657" s="22" t="n">
        <v>25000</v>
      </c>
      <c r="AD657" s="22" t="n">
        <v>25000</v>
      </c>
      <c r="AE657" s="22" t="n">
        <v>25000</v>
      </c>
      <c r="AF657" s="22" t="n">
        <v>25000</v>
      </c>
      <c r="AG657" s="22" t="n">
        <v>25000</v>
      </c>
      <c r="AH657" s="22" t="n">
        <v>25000</v>
      </c>
      <c r="AI657" s="22" t="n">
        <v>25000</v>
      </c>
      <c r="AJ657" s="9" t="n">
        <f aca="false">X657*$V657</f>
        <v>31250</v>
      </c>
      <c r="AK657" s="9" t="n">
        <f aca="false">Y657*$V657</f>
        <v>31250</v>
      </c>
      <c r="AL657" s="9" t="n">
        <f aca="false">Z657*$V657</f>
        <v>31250</v>
      </c>
      <c r="AM657" s="9" t="n">
        <f aca="false">AA657*$V657</f>
        <v>31250</v>
      </c>
      <c r="AN657" s="9" t="n">
        <f aca="false">AB657*$V657</f>
        <v>31250</v>
      </c>
      <c r="AO657" s="9" t="n">
        <f aca="false">AC657*$V657</f>
        <v>31250</v>
      </c>
      <c r="AP657" s="9" t="n">
        <f aca="false">AD657*$V657</f>
        <v>31250</v>
      </c>
      <c r="AQ657" s="9" t="n">
        <f aca="false">AE657*$V657</f>
        <v>31250</v>
      </c>
      <c r="AR657" s="9" t="n">
        <f aca="false">AF657*$V657</f>
        <v>31250</v>
      </c>
      <c r="AS657" s="9" t="n">
        <f aca="false">AG657*$V657</f>
        <v>31250</v>
      </c>
      <c r="AT657" s="9" t="n">
        <f aca="false">AH657*$V657</f>
        <v>31250</v>
      </c>
      <c r="AU657" s="9" t="n">
        <f aca="false">AI657*$V657</f>
        <v>31250</v>
      </c>
      <c r="AV657" s="9" t="n">
        <f aca="false">SUM(X657:AI657)/1000</f>
        <v>300</v>
      </c>
      <c r="AW657" s="9" t="n">
        <f aca="false">SUM(AJ657:AU657)</f>
        <v>375000</v>
      </c>
      <c r="AX657" s="9" t="n">
        <f aca="false">IF(D657="INR",AW657/88.24,AW657)/1000000</f>
        <v>0.00424977334542158</v>
      </c>
    </row>
    <row r="658" s="2" customFormat="true" ht="16.4" hidden="false" customHeight="false" outlineLevel="0" collapsed="false">
      <c r="A658" s="9" t="s">
        <v>1378</v>
      </c>
      <c r="B658" s="9" t="n">
        <v>5</v>
      </c>
      <c r="C658" s="15"/>
      <c r="D658" s="16" t="s">
        <v>813</v>
      </c>
      <c r="E658" s="16" t="s">
        <v>51</v>
      </c>
      <c r="F658" s="16" t="s">
        <v>243</v>
      </c>
      <c r="G658" s="16" t="s">
        <v>485</v>
      </c>
      <c r="H658" s="9" t="s">
        <v>486</v>
      </c>
      <c r="I658" s="16"/>
      <c r="J658" s="16"/>
      <c r="K658" s="9"/>
      <c r="L658" s="16"/>
      <c r="M658" s="16"/>
      <c r="N658" s="16" t="s">
        <v>93</v>
      </c>
      <c r="O658" s="16" t="s">
        <v>68</v>
      </c>
      <c r="P658" s="9" t="s">
        <v>380</v>
      </c>
      <c r="Q658" s="9" t="s">
        <v>380</v>
      </c>
      <c r="R658" s="9" t="s">
        <v>442</v>
      </c>
      <c r="S658" s="9" t="s">
        <v>443</v>
      </c>
      <c r="T658" s="9" t="s">
        <v>1379</v>
      </c>
      <c r="U658" s="16" t="s">
        <v>73</v>
      </c>
      <c r="V658" s="36" t="n">
        <v>0.375</v>
      </c>
      <c r="W658" s="9" t="n">
        <v>0.35625</v>
      </c>
      <c r="X658" s="22" t="n">
        <v>10000</v>
      </c>
      <c r="Y658" s="9" t="n">
        <v>10000</v>
      </c>
      <c r="Z658" s="9" t="n">
        <v>10000</v>
      </c>
      <c r="AA658" s="9" t="n">
        <v>50000</v>
      </c>
      <c r="AB658" s="9" t="n">
        <v>50000</v>
      </c>
      <c r="AC658" s="9" t="n">
        <v>50000</v>
      </c>
      <c r="AD658" s="23" t="n">
        <v>50000</v>
      </c>
      <c r="AE658" s="9" t="n">
        <v>50000</v>
      </c>
      <c r="AF658" s="9" t="n">
        <v>50000</v>
      </c>
      <c r="AG658" s="9" t="n">
        <v>50000</v>
      </c>
      <c r="AH658" s="9" t="n">
        <v>50000</v>
      </c>
      <c r="AI658" s="9" t="n">
        <v>50000</v>
      </c>
      <c r="AJ658" s="9" t="n">
        <f aca="false">X658*$V658</f>
        <v>3750</v>
      </c>
      <c r="AK658" s="9" t="n">
        <f aca="false">Y658*$V658</f>
        <v>3750</v>
      </c>
      <c r="AL658" s="9" t="n">
        <f aca="false">Z658*$V658</f>
        <v>3750</v>
      </c>
      <c r="AM658" s="9" t="n">
        <f aca="false">AA658*$V658</f>
        <v>18750</v>
      </c>
      <c r="AN658" s="9" t="n">
        <f aca="false">AB658*$V658</f>
        <v>18750</v>
      </c>
      <c r="AO658" s="9" t="n">
        <f aca="false">AC658*$V658</f>
        <v>18750</v>
      </c>
      <c r="AP658" s="9" t="n">
        <f aca="false">AD658*$V658</f>
        <v>18750</v>
      </c>
      <c r="AQ658" s="9" t="n">
        <f aca="false">AE658*$V658</f>
        <v>18750</v>
      </c>
      <c r="AR658" s="9" t="n">
        <f aca="false">AF658*$V658</f>
        <v>18750</v>
      </c>
      <c r="AS658" s="9" t="n">
        <f aca="false">AG658*$V658</f>
        <v>18750</v>
      </c>
      <c r="AT658" s="9" t="n">
        <f aca="false">AH658*$V658</f>
        <v>18750</v>
      </c>
      <c r="AU658" s="9" t="n">
        <f aca="false">AI658*$V658</f>
        <v>18750</v>
      </c>
      <c r="AV658" s="9" t="n">
        <f aca="false">SUM(X658:AI658)/1000</f>
        <v>480</v>
      </c>
      <c r="AW658" s="9" t="n">
        <f aca="false">SUM(AJ658:AU658)</f>
        <v>180000</v>
      </c>
      <c r="AX658" s="9" t="n">
        <f aca="false">IF(D658="INR",AW658/88.24,AW658)/1000000</f>
        <v>0.18</v>
      </c>
    </row>
    <row r="659" s="2" customFormat="true" ht="14.25" hidden="false" customHeight="false" outlineLevel="0" collapsed="false">
      <c r="A659" s="28"/>
      <c r="B659" s="16" t="n">
        <v>1</v>
      </c>
      <c r="C659" s="16"/>
      <c r="D659" s="16" t="s">
        <v>102</v>
      </c>
      <c r="E659" s="16"/>
      <c r="F659" s="16" t="s">
        <v>243</v>
      </c>
      <c r="G659" s="16"/>
      <c r="H659" s="16" t="s">
        <v>486</v>
      </c>
      <c r="I659" s="16" t="s">
        <v>85</v>
      </c>
      <c r="J659" s="16" t="s">
        <v>85</v>
      </c>
      <c r="K659" s="16" t="s">
        <v>85</v>
      </c>
      <c r="L659" s="16" t="s">
        <v>85</v>
      </c>
      <c r="M659" s="16" t="s">
        <v>85</v>
      </c>
      <c r="N659" s="16" t="s">
        <v>93</v>
      </c>
      <c r="O659" s="16" t="s">
        <v>68</v>
      </c>
      <c r="P659" s="16"/>
      <c r="Q659" s="16" t="s">
        <v>85</v>
      </c>
      <c r="R659" s="16"/>
      <c r="S659" s="16"/>
      <c r="T659" s="16" t="s">
        <v>1380</v>
      </c>
      <c r="U659" s="16" t="s">
        <v>63</v>
      </c>
      <c r="V659" s="26" t="n">
        <v>0.165</v>
      </c>
      <c r="W659" s="16"/>
      <c r="X659" s="16"/>
      <c r="Y659" s="16"/>
      <c r="Z659" s="16" t="n">
        <v>40000</v>
      </c>
      <c r="AA659" s="16" t="n">
        <v>40000</v>
      </c>
      <c r="AB659" s="16" t="n">
        <v>40000</v>
      </c>
      <c r="AC659" s="16" t="n">
        <v>40000</v>
      </c>
      <c r="AD659" s="16" t="n">
        <v>40000</v>
      </c>
      <c r="AE659" s="16" t="n">
        <v>40000</v>
      </c>
      <c r="AF659" s="16" t="n">
        <v>40000</v>
      </c>
      <c r="AG659" s="16" t="n">
        <v>40000</v>
      </c>
      <c r="AH659" s="16" t="n">
        <v>40000</v>
      </c>
      <c r="AI659" s="16" t="n">
        <v>40000</v>
      </c>
      <c r="AJ659" s="9" t="n">
        <f aca="false">X659*$V659</f>
        <v>0</v>
      </c>
      <c r="AK659" s="9" t="n">
        <f aca="false">Y659*$V659</f>
        <v>0</v>
      </c>
      <c r="AL659" s="9" t="n">
        <f aca="false">Z659*$V659</f>
        <v>6600</v>
      </c>
      <c r="AM659" s="9" t="n">
        <f aca="false">AA659*$V659</f>
        <v>6600</v>
      </c>
      <c r="AN659" s="9" t="n">
        <f aca="false">AB659*$V659</f>
        <v>6600</v>
      </c>
      <c r="AO659" s="9" t="n">
        <f aca="false">AC659*$V659</f>
        <v>6600</v>
      </c>
      <c r="AP659" s="9" t="n">
        <f aca="false">AD659*$V659</f>
        <v>6600</v>
      </c>
      <c r="AQ659" s="9" t="n">
        <f aca="false">AE659*$V659</f>
        <v>6600</v>
      </c>
      <c r="AR659" s="9" t="n">
        <f aca="false">AF659*$V659</f>
        <v>6600</v>
      </c>
      <c r="AS659" s="9" t="n">
        <f aca="false">AG659*$V659</f>
        <v>6600</v>
      </c>
      <c r="AT659" s="9" t="n">
        <f aca="false">AH659*$V659</f>
        <v>6600</v>
      </c>
      <c r="AU659" s="9" t="n">
        <f aca="false">AI659*$V659</f>
        <v>6600</v>
      </c>
      <c r="AV659" s="9" t="n">
        <f aca="false">SUM(X659:AI659)/1000</f>
        <v>400</v>
      </c>
      <c r="AW659" s="9" t="n">
        <f aca="false">SUM(AJ659:AU659)</f>
        <v>66000</v>
      </c>
      <c r="AX659" s="9" t="n">
        <f aca="false">IF(D659="INR",AW659/88.24,AW659)/1000000</f>
        <v>0.066</v>
      </c>
    </row>
    <row r="660" s="2" customFormat="true" ht="14.25" hidden="false" customHeight="false" outlineLevel="0" collapsed="false">
      <c r="A660" s="12"/>
      <c r="B660" s="16" t="n">
        <v>1</v>
      </c>
      <c r="C660" s="15"/>
      <c r="D660" s="16" t="s">
        <v>50</v>
      </c>
      <c r="E660" s="16"/>
      <c r="F660" s="16" t="s">
        <v>52</v>
      </c>
      <c r="G660" s="16" t="s">
        <v>258</v>
      </c>
      <c r="H660" s="16" t="s">
        <v>259</v>
      </c>
      <c r="I660" s="16" t="s">
        <v>260</v>
      </c>
      <c r="J660" s="16" t="s">
        <v>1381</v>
      </c>
      <c r="K660" s="16"/>
      <c r="L660" s="16" t="s">
        <v>260</v>
      </c>
      <c r="M660" s="16" t="s">
        <v>1381</v>
      </c>
      <c r="N660" s="16" t="s">
        <v>67</v>
      </c>
      <c r="O660" s="16" t="s">
        <v>107</v>
      </c>
      <c r="P660" s="16"/>
      <c r="Q660" s="16" t="s">
        <v>308</v>
      </c>
      <c r="R660" s="16"/>
      <c r="S660" s="16"/>
      <c r="T660" s="16" t="s">
        <v>1088</v>
      </c>
      <c r="U660" s="16" t="s">
        <v>63</v>
      </c>
      <c r="V660" s="16" t="n">
        <v>2.59</v>
      </c>
      <c r="W660" s="16"/>
      <c r="X660" s="22" t="n">
        <v>12000</v>
      </c>
      <c r="Y660" s="22" t="n">
        <v>12000</v>
      </c>
      <c r="Z660" s="22" t="n">
        <v>12000</v>
      </c>
      <c r="AA660" s="22" t="n">
        <v>12000</v>
      </c>
      <c r="AB660" s="22" t="n">
        <v>12000</v>
      </c>
      <c r="AC660" s="22" t="n">
        <v>12000</v>
      </c>
      <c r="AD660" s="22" t="n">
        <v>12000</v>
      </c>
      <c r="AE660" s="22" t="n">
        <v>12000</v>
      </c>
      <c r="AF660" s="22" t="n">
        <v>12000</v>
      </c>
      <c r="AG660" s="22" t="n">
        <v>12000</v>
      </c>
      <c r="AH660" s="22" t="n">
        <v>12000</v>
      </c>
      <c r="AI660" s="22" t="n">
        <v>12000</v>
      </c>
      <c r="AJ660" s="9" t="n">
        <f aca="false">X660*$V660</f>
        <v>31080</v>
      </c>
      <c r="AK660" s="9" t="n">
        <f aca="false">Y660*$V660</f>
        <v>31080</v>
      </c>
      <c r="AL660" s="9" t="n">
        <f aca="false">Z660*$V660</f>
        <v>31080</v>
      </c>
      <c r="AM660" s="9" t="n">
        <f aca="false">AA660*$V660</f>
        <v>31080</v>
      </c>
      <c r="AN660" s="9" t="n">
        <f aca="false">AB660*$V660</f>
        <v>31080</v>
      </c>
      <c r="AO660" s="9" t="n">
        <f aca="false">AC660*$V660</f>
        <v>31080</v>
      </c>
      <c r="AP660" s="9" t="n">
        <f aca="false">AD660*$V660</f>
        <v>31080</v>
      </c>
      <c r="AQ660" s="9" t="n">
        <f aca="false">AE660*$V660</f>
        <v>31080</v>
      </c>
      <c r="AR660" s="9" t="n">
        <f aca="false">AF660*$V660</f>
        <v>31080</v>
      </c>
      <c r="AS660" s="9" t="n">
        <f aca="false">AG660*$V660</f>
        <v>31080</v>
      </c>
      <c r="AT660" s="9" t="n">
        <f aca="false">AH660*$V660</f>
        <v>31080</v>
      </c>
      <c r="AU660" s="9" t="n">
        <f aca="false">AI660*$V660</f>
        <v>31080</v>
      </c>
      <c r="AV660" s="9" t="n">
        <f aca="false">SUM(X660:AI660)/1000</f>
        <v>144</v>
      </c>
      <c r="AW660" s="9" t="n">
        <f aca="false">SUM(AJ660:AU660)</f>
        <v>372960</v>
      </c>
      <c r="AX660" s="9" t="n">
        <f aca="false">IF(D660="INR",AW660/88.24,AW660)/1000000</f>
        <v>0.00422665457842248</v>
      </c>
    </row>
    <row r="661" s="2" customFormat="true" ht="14.25" hidden="false" customHeight="false" outlineLevel="0" collapsed="false">
      <c r="A661" s="12" t="s">
        <v>1382</v>
      </c>
      <c r="B661" s="16" t="n">
        <v>5</v>
      </c>
      <c r="C661" s="15"/>
      <c r="D661" s="16" t="s">
        <v>50</v>
      </c>
      <c r="E661" s="16" t="s">
        <v>51</v>
      </c>
      <c r="F661" s="16" t="s">
        <v>243</v>
      </c>
      <c r="G661" s="16" t="s">
        <v>470</v>
      </c>
      <c r="H661" s="16" t="s">
        <v>471</v>
      </c>
      <c r="I661" s="16" t="s">
        <v>55</v>
      </c>
      <c r="J661" s="16" t="s">
        <v>100</v>
      </c>
      <c r="K661" s="16"/>
      <c r="L661" s="16" t="s">
        <v>55</v>
      </c>
      <c r="M661" s="16" t="s">
        <v>100</v>
      </c>
      <c r="N661" s="16" t="s">
        <v>93</v>
      </c>
      <c r="O661" s="16" t="s">
        <v>246</v>
      </c>
      <c r="P661" s="16" t="s">
        <v>308</v>
      </c>
      <c r="Q661" s="16" t="s">
        <v>308</v>
      </c>
      <c r="R661" s="16" t="s">
        <v>309</v>
      </c>
      <c r="S661" s="16" t="s">
        <v>264</v>
      </c>
      <c r="T661" s="16" t="s">
        <v>1383</v>
      </c>
      <c r="U661" s="16" t="s">
        <v>73</v>
      </c>
      <c r="V661" s="16" t="n">
        <v>1.55</v>
      </c>
      <c r="W661" s="33" t="n">
        <v>1.31</v>
      </c>
      <c r="X661" s="26"/>
      <c r="Y661" s="16"/>
      <c r="Z661" s="16" t="n">
        <v>20000</v>
      </c>
      <c r="AA661" s="16"/>
      <c r="AB661" s="16"/>
      <c r="AC661" s="16" t="n">
        <v>20000</v>
      </c>
      <c r="AD661" s="16"/>
      <c r="AE661" s="16"/>
      <c r="AF661" s="16" t="n">
        <v>40000</v>
      </c>
      <c r="AG661" s="16"/>
      <c r="AH661" s="16"/>
      <c r="AI661" s="16" t="n">
        <v>40000</v>
      </c>
      <c r="AJ661" s="9" t="n">
        <f aca="false">X661*$V661</f>
        <v>0</v>
      </c>
      <c r="AK661" s="9" t="n">
        <f aca="false">Y661*$V661</f>
        <v>0</v>
      </c>
      <c r="AL661" s="9" t="n">
        <f aca="false">Z661*$V661</f>
        <v>31000</v>
      </c>
      <c r="AM661" s="9" t="n">
        <f aca="false">AA661*$V661</f>
        <v>0</v>
      </c>
      <c r="AN661" s="9" t="n">
        <f aca="false">AB661*$V661</f>
        <v>0</v>
      </c>
      <c r="AO661" s="9" t="n">
        <f aca="false">AC661*$V661</f>
        <v>31000</v>
      </c>
      <c r="AP661" s="9" t="n">
        <f aca="false">AD661*$V661</f>
        <v>0</v>
      </c>
      <c r="AQ661" s="9" t="n">
        <f aca="false">AE661*$V661</f>
        <v>0</v>
      </c>
      <c r="AR661" s="9" t="n">
        <f aca="false">AF661*$V661</f>
        <v>62000</v>
      </c>
      <c r="AS661" s="9" t="n">
        <f aca="false">AG661*$V661</f>
        <v>0</v>
      </c>
      <c r="AT661" s="9" t="n">
        <f aca="false">AH661*$V661</f>
        <v>0</v>
      </c>
      <c r="AU661" s="9" t="n">
        <f aca="false">AI661*$V661</f>
        <v>62000</v>
      </c>
      <c r="AV661" s="9" t="n">
        <f aca="false">SUM(X661:AI661)/1000</f>
        <v>120</v>
      </c>
      <c r="AW661" s="9" t="n">
        <f aca="false">SUM(AJ661:AU661)</f>
        <v>186000</v>
      </c>
      <c r="AX661" s="9" t="n">
        <f aca="false">IF(D661="INR",AW661/88.24,AW661)/1000000</f>
        <v>0.0021078875793291</v>
      </c>
    </row>
    <row r="662" s="2" customFormat="true" ht="14.25" hidden="false" customHeight="false" outlineLevel="0" collapsed="false">
      <c r="A662" s="12" t="s">
        <v>1384</v>
      </c>
      <c r="B662" s="16" t="n">
        <v>5</v>
      </c>
      <c r="C662" s="15"/>
      <c r="D662" s="16" t="s">
        <v>102</v>
      </c>
      <c r="E662" s="16" t="s">
        <v>51</v>
      </c>
      <c r="F662" s="16" t="s">
        <v>243</v>
      </c>
      <c r="G662" s="16" t="s">
        <v>485</v>
      </c>
      <c r="H662" s="16" t="s">
        <v>486</v>
      </c>
      <c r="I662" s="16" t="s">
        <v>298</v>
      </c>
      <c r="J662" s="16" t="s">
        <v>1322</v>
      </c>
      <c r="K662" s="16"/>
      <c r="L662" s="16" t="s">
        <v>298</v>
      </c>
      <c r="M662" s="16" t="s">
        <v>1322</v>
      </c>
      <c r="N662" s="16" t="s">
        <v>93</v>
      </c>
      <c r="O662" s="16" t="s">
        <v>68</v>
      </c>
      <c r="P662" s="16" t="s">
        <v>199</v>
      </c>
      <c r="Q662" s="16" t="s">
        <v>199</v>
      </c>
      <c r="R662" s="16" t="s">
        <v>377</v>
      </c>
      <c r="S662" s="16" t="s">
        <v>528</v>
      </c>
      <c r="T662" s="16" t="s">
        <v>1385</v>
      </c>
      <c r="U662" s="16" t="s">
        <v>73</v>
      </c>
      <c r="V662" s="16" t="n">
        <v>0.025</v>
      </c>
      <c r="W662" s="16" t="n">
        <v>0.0235</v>
      </c>
      <c r="X662" s="16" t="n">
        <v>10000</v>
      </c>
      <c r="Y662" s="16"/>
      <c r="Z662" s="16" t="n">
        <v>10000</v>
      </c>
      <c r="AA662" s="16"/>
      <c r="AB662" s="16" t="n">
        <v>10000</v>
      </c>
      <c r="AC662" s="16"/>
      <c r="AD662" s="16"/>
      <c r="AE662" s="16" t="n">
        <v>10000</v>
      </c>
      <c r="AF662" s="16"/>
      <c r="AG662" s="16" t="n">
        <v>10000</v>
      </c>
      <c r="AH662" s="16"/>
      <c r="AI662" s="16" t="n">
        <v>10000</v>
      </c>
      <c r="AJ662" s="9" t="n">
        <f aca="false">X662*$V662</f>
        <v>250</v>
      </c>
      <c r="AK662" s="9" t="n">
        <f aca="false">Y662*$V662</f>
        <v>0</v>
      </c>
      <c r="AL662" s="9" t="n">
        <f aca="false">Z662*$V662</f>
        <v>250</v>
      </c>
      <c r="AM662" s="9" t="n">
        <f aca="false">AA662*$V662</f>
        <v>0</v>
      </c>
      <c r="AN662" s="9" t="n">
        <f aca="false">AB662*$V662</f>
        <v>250</v>
      </c>
      <c r="AO662" s="9" t="n">
        <f aca="false">AC662*$V662</f>
        <v>0</v>
      </c>
      <c r="AP662" s="9" t="n">
        <f aca="false">AD662*$V662</f>
        <v>0</v>
      </c>
      <c r="AQ662" s="9" t="n">
        <f aca="false">AE662*$V662</f>
        <v>250</v>
      </c>
      <c r="AR662" s="9" t="n">
        <f aca="false">AF662*$V662</f>
        <v>0</v>
      </c>
      <c r="AS662" s="9" t="n">
        <f aca="false">AG662*$V662</f>
        <v>250</v>
      </c>
      <c r="AT662" s="9" t="n">
        <f aca="false">AH662*$V662</f>
        <v>0</v>
      </c>
      <c r="AU662" s="9" t="n">
        <f aca="false">AI662*$V662</f>
        <v>250</v>
      </c>
      <c r="AV662" s="9" t="n">
        <f aca="false">SUM(X662:AI662)/1000</f>
        <v>60</v>
      </c>
      <c r="AW662" s="9" t="n">
        <f aca="false">SUM(AJ662:AU662)</f>
        <v>1500</v>
      </c>
      <c r="AX662" s="9" t="n">
        <f aca="false">IF(D662="INR",AW662/88.24,AW662)/1000000</f>
        <v>0.0015</v>
      </c>
    </row>
    <row r="663" s="2" customFormat="true" ht="16.4" hidden="false" customHeight="false" outlineLevel="0" collapsed="false">
      <c r="A663" s="9" t="s">
        <v>1386</v>
      </c>
      <c r="B663" s="9" t="n">
        <v>5</v>
      </c>
      <c r="C663" s="10"/>
      <c r="D663" s="9" t="s">
        <v>50</v>
      </c>
      <c r="E663" s="9" t="s">
        <v>51</v>
      </c>
      <c r="F663" s="9" t="s">
        <v>404</v>
      </c>
      <c r="G663" s="16" t="s">
        <v>405</v>
      </c>
      <c r="H663" s="16" t="s">
        <v>406</v>
      </c>
      <c r="I663" s="9" t="s">
        <v>105</v>
      </c>
      <c r="J663" s="9" t="s">
        <v>368</v>
      </c>
      <c r="K663" s="9"/>
      <c r="L663" s="9" t="s">
        <v>105</v>
      </c>
      <c r="M663" s="9" t="s">
        <v>368</v>
      </c>
      <c r="N663" s="16" t="s">
        <v>271</v>
      </c>
      <c r="O663" s="9" t="s">
        <v>94</v>
      </c>
      <c r="P663" s="9" t="s">
        <v>308</v>
      </c>
      <c r="Q663" s="9" t="s">
        <v>308</v>
      </c>
      <c r="R663" s="9" t="s">
        <v>309</v>
      </c>
      <c r="S663" s="9" t="s">
        <v>264</v>
      </c>
      <c r="T663" s="9" t="s">
        <v>1387</v>
      </c>
      <c r="U663" s="9" t="s">
        <v>73</v>
      </c>
      <c r="V663" s="9" t="n">
        <v>3.08</v>
      </c>
      <c r="W663" s="9" t="n">
        <v>2.65</v>
      </c>
      <c r="X663" s="9"/>
      <c r="Y663" s="9"/>
      <c r="Z663" s="9" t="n">
        <v>10000</v>
      </c>
      <c r="AA663" s="9"/>
      <c r="AB663" s="9"/>
      <c r="AC663" s="9"/>
      <c r="AD663" s="9" t="n">
        <v>10000</v>
      </c>
      <c r="AE663" s="9"/>
      <c r="AF663" s="9"/>
      <c r="AG663" s="9"/>
      <c r="AH663" s="9" t="n">
        <v>10000</v>
      </c>
      <c r="AI663" s="9"/>
      <c r="AJ663" s="9" t="n">
        <f aca="false">X663*$V663</f>
        <v>0</v>
      </c>
      <c r="AK663" s="9" t="n">
        <f aca="false">Y663*$V663</f>
        <v>0</v>
      </c>
      <c r="AL663" s="9" t="n">
        <f aca="false">Z663*$V663</f>
        <v>30800</v>
      </c>
      <c r="AM663" s="9" t="n">
        <f aca="false">AA663*$V663</f>
        <v>0</v>
      </c>
      <c r="AN663" s="9" t="n">
        <f aca="false">AB663*$V663</f>
        <v>0</v>
      </c>
      <c r="AO663" s="9" t="n">
        <f aca="false">AC663*$V663</f>
        <v>0</v>
      </c>
      <c r="AP663" s="9" t="n">
        <f aca="false">AD663*$V663</f>
        <v>30800</v>
      </c>
      <c r="AQ663" s="9" t="n">
        <f aca="false">AE663*$V663</f>
        <v>0</v>
      </c>
      <c r="AR663" s="9" t="n">
        <f aca="false">AF663*$V663</f>
        <v>0</v>
      </c>
      <c r="AS663" s="9" t="n">
        <f aca="false">AG663*$V663</f>
        <v>0</v>
      </c>
      <c r="AT663" s="9" t="n">
        <f aca="false">AH663*$V663</f>
        <v>30800</v>
      </c>
      <c r="AU663" s="9" t="n">
        <f aca="false">AI663*$V663</f>
        <v>0</v>
      </c>
      <c r="AV663" s="9" t="n">
        <f aca="false">SUM(X663:AI663)/1000</f>
        <v>30</v>
      </c>
      <c r="AW663" s="9" t="n">
        <f aca="false">SUM(AJ663:AU663)</f>
        <v>92400</v>
      </c>
      <c r="AX663" s="9" t="n">
        <f aca="false">IF(D663="INR",AW663/88.24,AW663)/1000000</f>
        <v>0.00104714415231188</v>
      </c>
    </row>
    <row r="664" s="2" customFormat="true" ht="14.25" hidden="false" customHeight="false" outlineLevel="0" collapsed="false">
      <c r="A664" s="12" t="s">
        <v>1388</v>
      </c>
      <c r="B664" s="16" t="n">
        <v>5</v>
      </c>
      <c r="C664" s="15"/>
      <c r="D664" s="16" t="s">
        <v>102</v>
      </c>
      <c r="E664" s="16" t="s">
        <v>51</v>
      </c>
      <c r="F664" s="16" t="s">
        <v>243</v>
      </c>
      <c r="G664" s="16" t="s">
        <v>485</v>
      </c>
      <c r="H664" s="16" t="s">
        <v>486</v>
      </c>
      <c r="I664" s="16" t="s">
        <v>298</v>
      </c>
      <c r="J664" s="16" t="s">
        <v>1322</v>
      </c>
      <c r="K664" s="16"/>
      <c r="L664" s="16" t="s">
        <v>298</v>
      </c>
      <c r="M664" s="16" t="s">
        <v>1322</v>
      </c>
      <c r="N664" s="16" t="s">
        <v>93</v>
      </c>
      <c r="O664" s="16" t="s">
        <v>68</v>
      </c>
      <c r="P664" s="16" t="s">
        <v>1389</v>
      </c>
      <c r="Q664" s="16" t="s">
        <v>1390</v>
      </c>
      <c r="R664" s="16" t="s">
        <v>309</v>
      </c>
      <c r="S664" s="16" t="s">
        <v>363</v>
      </c>
      <c r="T664" s="16" t="s">
        <v>1391</v>
      </c>
      <c r="U664" s="16" t="s">
        <v>73</v>
      </c>
      <c r="V664" s="16" t="n">
        <v>0.52</v>
      </c>
      <c r="W664" s="16" t="n">
        <v>0.47</v>
      </c>
      <c r="X664" s="16"/>
      <c r="Y664" s="16"/>
      <c r="Z664" s="16"/>
      <c r="AA664" s="16"/>
      <c r="AB664" s="16" t="n">
        <v>10000</v>
      </c>
      <c r="AC664" s="16"/>
      <c r="AD664" s="16"/>
      <c r="AE664" s="16" t="n">
        <v>20000</v>
      </c>
      <c r="AF664" s="16"/>
      <c r="AG664" s="16"/>
      <c r="AH664" s="16" t="n">
        <v>20000</v>
      </c>
      <c r="AI664" s="16"/>
      <c r="AJ664" s="9" t="n">
        <f aca="false">X664*$V664</f>
        <v>0</v>
      </c>
      <c r="AK664" s="9" t="n">
        <f aca="false">Y664*$V664</f>
        <v>0</v>
      </c>
      <c r="AL664" s="9" t="n">
        <f aca="false">Z664*$V664</f>
        <v>0</v>
      </c>
      <c r="AM664" s="9" t="n">
        <f aca="false">AA664*$V664</f>
        <v>0</v>
      </c>
      <c r="AN664" s="9" t="n">
        <f aca="false">AB664*$V664</f>
        <v>5200</v>
      </c>
      <c r="AO664" s="9" t="n">
        <f aca="false">AC664*$V664</f>
        <v>0</v>
      </c>
      <c r="AP664" s="9" t="n">
        <f aca="false">AD664*$V664</f>
        <v>0</v>
      </c>
      <c r="AQ664" s="9" t="n">
        <f aca="false">AE664*$V664</f>
        <v>10400</v>
      </c>
      <c r="AR664" s="9" t="n">
        <f aca="false">AF664*$V664</f>
        <v>0</v>
      </c>
      <c r="AS664" s="9" t="n">
        <f aca="false">AG664*$V664</f>
        <v>0</v>
      </c>
      <c r="AT664" s="9" t="n">
        <f aca="false">AH664*$V664</f>
        <v>10400</v>
      </c>
      <c r="AU664" s="9" t="n">
        <f aca="false">AI664*$V664</f>
        <v>0</v>
      </c>
      <c r="AV664" s="9" t="n">
        <f aca="false">SUM(X664:AI664)/1000</f>
        <v>50</v>
      </c>
      <c r="AW664" s="9" t="n">
        <f aca="false">SUM(AJ664:AU664)</f>
        <v>26000</v>
      </c>
      <c r="AX664" s="9" t="n">
        <f aca="false">IF(D664="INR",AW664/88.24,AW664)/1000000</f>
        <v>0.026</v>
      </c>
    </row>
    <row r="665" s="2" customFormat="true" ht="14.25" hidden="false" customHeight="false" outlineLevel="0" collapsed="false">
      <c r="A665" s="12"/>
      <c r="B665" s="16" t="n">
        <v>1</v>
      </c>
      <c r="C665" s="15"/>
      <c r="D665" s="16" t="s">
        <v>102</v>
      </c>
      <c r="E665" s="16"/>
      <c r="F665" s="16" t="s">
        <v>243</v>
      </c>
      <c r="G665" s="16"/>
      <c r="H665" s="16" t="s">
        <v>486</v>
      </c>
      <c r="I665" s="16" t="s">
        <v>1372</v>
      </c>
      <c r="J665" s="16" t="s">
        <v>1372</v>
      </c>
      <c r="K665" s="16" t="s">
        <v>1372</v>
      </c>
      <c r="L665" s="16" t="s">
        <v>1372</v>
      </c>
      <c r="M665" s="16" t="s">
        <v>1372</v>
      </c>
      <c r="N665" s="16" t="s">
        <v>93</v>
      </c>
      <c r="O665" s="16" t="s">
        <v>68</v>
      </c>
      <c r="P665" s="16"/>
      <c r="Q665" s="16" t="s">
        <v>1372</v>
      </c>
      <c r="R665" s="16"/>
      <c r="S665" s="16"/>
      <c r="T665" s="16" t="s">
        <v>1392</v>
      </c>
      <c r="U665" s="16" t="s">
        <v>63</v>
      </c>
      <c r="V665" s="16" t="n">
        <v>0.196</v>
      </c>
      <c r="W665" s="16"/>
      <c r="X665" s="16"/>
      <c r="Y665" s="16"/>
      <c r="Z665" s="16"/>
      <c r="AA665" s="16"/>
      <c r="AB665" s="16" t="n">
        <v>40000</v>
      </c>
      <c r="AC665" s="16"/>
      <c r="AD665" s="16"/>
      <c r="AE665" s="16"/>
      <c r="AF665" s="16"/>
      <c r="AG665" s="16"/>
      <c r="AH665" s="16"/>
      <c r="AI665" s="16"/>
      <c r="AJ665" s="9" t="n">
        <f aca="false">X665*$V665</f>
        <v>0</v>
      </c>
      <c r="AK665" s="9" t="n">
        <f aca="false">Y665*$V665</f>
        <v>0</v>
      </c>
      <c r="AL665" s="9" t="n">
        <f aca="false">Z665*$V665</f>
        <v>0</v>
      </c>
      <c r="AM665" s="9" t="n">
        <f aca="false">AA665*$V665</f>
        <v>0</v>
      </c>
      <c r="AN665" s="9" t="n">
        <f aca="false">AB665*$V665</f>
        <v>7840</v>
      </c>
      <c r="AO665" s="9" t="n">
        <f aca="false">AC665*$V665</f>
        <v>0</v>
      </c>
      <c r="AP665" s="9" t="n">
        <f aca="false">AD665*$V665</f>
        <v>0</v>
      </c>
      <c r="AQ665" s="9" t="n">
        <f aca="false">AE665*$V665</f>
        <v>0</v>
      </c>
      <c r="AR665" s="9" t="n">
        <f aca="false">AF665*$V665</f>
        <v>0</v>
      </c>
      <c r="AS665" s="9" t="n">
        <f aca="false">AG665*$V665</f>
        <v>0</v>
      </c>
      <c r="AT665" s="9" t="n">
        <f aca="false">AH665*$V665</f>
        <v>0</v>
      </c>
      <c r="AU665" s="9" t="n">
        <f aca="false">AI665*$V665</f>
        <v>0</v>
      </c>
      <c r="AV665" s="9" t="n">
        <f aca="false">SUM(X665:AI665)/1000</f>
        <v>40</v>
      </c>
      <c r="AW665" s="9" t="n">
        <f aca="false">SUM(AJ665:AU665)</f>
        <v>7840</v>
      </c>
      <c r="AX665" s="9" t="n">
        <f aca="false">IF(D665="INR",AW665/88.24,AW665)/1000000</f>
        <v>0.00784</v>
      </c>
    </row>
    <row r="666" s="2" customFormat="true" ht="14.25" hidden="false" customHeight="false" outlineLevel="0" collapsed="false">
      <c r="A666" s="12"/>
      <c r="B666" s="16" t="n">
        <v>1</v>
      </c>
      <c r="C666" s="15"/>
      <c r="D666" s="16" t="s">
        <v>50</v>
      </c>
      <c r="E666" s="16"/>
      <c r="F666" s="16" t="s">
        <v>52</v>
      </c>
      <c r="G666" s="16" t="s">
        <v>258</v>
      </c>
      <c r="H666" s="16" t="s">
        <v>259</v>
      </c>
      <c r="I666" s="16"/>
      <c r="J666" s="16"/>
      <c r="K666" s="16"/>
      <c r="L666" s="16"/>
      <c r="M666" s="16"/>
      <c r="N666" s="16" t="s">
        <v>67</v>
      </c>
      <c r="O666" s="16" t="s">
        <v>107</v>
      </c>
      <c r="P666" s="16"/>
      <c r="Q666" s="16" t="s">
        <v>308</v>
      </c>
      <c r="R666" s="16"/>
      <c r="S666" s="16"/>
      <c r="T666" s="16" t="s">
        <v>1393</v>
      </c>
      <c r="U666" s="16" t="s">
        <v>63</v>
      </c>
      <c r="V666" s="16" t="n">
        <v>1.27</v>
      </c>
      <c r="W666" s="16"/>
      <c r="X666" s="22" t="n">
        <v>24000</v>
      </c>
      <c r="Y666" s="22" t="n">
        <v>24000</v>
      </c>
      <c r="Z666" s="22" t="n">
        <v>24000</v>
      </c>
      <c r="AA666" s="22" t="n">
        <v>24000</v>
      </c>
      <c r="AB666" s="22" t="n">
        <v>24000</v>
      </c>
      <c r="AC666" s="22" t="n">
        <v>24000</v>
      </c>
      <c r="AD666" s="22" t="n">
        <v>24000</v>
      </c>
      <c r="AE666" s="22" t="n">
        <v>24000</v>
      </c>
      <c r="AF666" s="22" t="n">
        <v>24000</v>
      </c>
      <c r="AG666" s="22" t="n">
        <v>24000</v>
      </c>
      <c r="AH666" s="22" t="n">
        <v>24000</v>
      </c>
      <c r="AI666" s="22" t="n">
        <v>24000</v>
      </c>
      <c r="AJ666" s="9" t="n">
        <f aca="false">X666*$V666</f>
        <v>30480</v>
      </c>
      <c r="AK666" s="9" t="n">
        <f aca="false">Y666*$V666</f>
        <v>30480</v>
      </c>
      <c r="AL666" s="9" t="n">
        <f aca="false">Z666*$V666</f>
        <v>30480</v>
      </c>
      <c r="AM666" s="9" t="n">
        <f aca="false">AA666*$V666</f>
        <v>30480</v>
      </c>
      <c r="AN666" s="9" t="n">
        <f aca="false">AB666*$V666</f>
        <v>30480</v>
      </c>
      <c r="AO666" s="9" t="n">
        <f aca="false">AC666*$V666</f>
        <v>30480</v>
      </c>
      <c r="AP666" s="9" t="n">
        <f aca="false">AD666*$V666</f>
        <v>30480</v>
      </c>
      <c r="AQ666" s="9" t="n">
        <f aca="false">AE666*$V666</f>
        <v>30480</v>
      </c>
      <c r="AR666" s="9" t="n">
        <f aca="false">AF666*$V666</f>
        <v>30480</v>
      </c>
      <c r="AS666" s="9" t="n">
        <f aca="false">AG666*$V666</f>
        <v>30480</v>
      </c>
      <c r="AT666" s="9" t="n">
        <f aca="false">AH666*$V666</f>
        <v>30480</v>
      </c>
      <c r="AU666" s="9" t="n">
        <f aca="false">AI666*$V666</f>
        <v>30480</v>
      </c>
      <c r="AV666" s="9" t="n">
        <f aca="false">SUM(X666:AI666)/1000</f>
        <v>288</v>
      </c>
      <c r="AW666" s="9" t="n">
        <f aca="false">SUM(AJ666:AU666)</f>
        <v>365760</v>
      </c>
      <c r="AX666" s="9" t="n">
        <f aca="false">IF(D666="INR",AW666/88.24,AW666)/1000000</f>
        <v>0.00414505893019039</v>
      </c>
    </row>
    <row r="667" s="2" customFormat="true" ht="14.25" hidden="false" customHeight="false" outlineLevel="0" collapsed="false">
      <c r="A667" s="12"/>
      <c r="B667" s="16" t="n">
        <v>1</v>
      </c>
      <c r="C667" s="15"/>
      <c r="D667" s="16" t="s">
        <v>50</v>
      </c>
      <c r="E667" s="16"/>
      <c r="F667" s="16" t="s">
        <v>52</v>
      </c>
      <c r="G667" s="16" t="s">
        <v>258</v>
      </c>
      <c r="H667" s="16" t="s">
        <v>259</v>
      </c>
      <c r="I667" s="16"/>
      <c r="J667" s="16"/>
      <c r="K667" s="16"/>
      <c r="L667" s="16"/>
      <c r="M667" s="16"/>
      <c r="N667" s="16" t="s">
        <v>67</v>
      </c>
      <c r="O667" s="16" t="s">
        <v>107</v>
      </c>
      <c r="P667" s="16"/>
      <c r="Q667" s="16" t="s">
        <v>902</v>
      </c>
      <c r="R667" s="16"/>
      <c r="S667" s="16"/>
      <c r="T667" s="16" t="s">
        <v>1394</v>
      </c>
      <c r="U667" s="16" t="s">
        <v>63</v>
      </c>
      <c r="V667" s="16" t="n">
        <v>3.77</v>
      </c>
      <c r="W667" s="16"/>
      <c r="X667" s="22" t="n">
        <v>8000</v>
      </c>
      <c r="Y667" s="22" t="n">
        <v>8000</v>
      </c>
      <c r="Z667" s="22" t="n">
        <v>8000</v>
      </c>
      <c r="AA667" s="22" t="n">
        <v>8000</v>
      </c>
      <c r="AB667" s="22" t="n">
        <v>8000</v>
      </c>
      <c r="AC667" s="22" t="n">
        <v>8000</v>
      </c>
      <c r="AD667" s="22" t="n">
        <v>8000</v>
      </c>
      <c r="AE667" s="22" t="n">
        <v>8000</v>
      </c>
      <c r="AF667" s="22" t="n">
        <v>8000</v>
      </c>
      <c r="AG667" s="22" t="n">
        <v>8000</v>
      </c>
      <c r="AH667" s="22" t="n">
        <v>8000</v>
      </c>
      <c r="AI667" s="22" t="n">
        <v>8000</v>
      </c>
      <c r="AJ667" s="9" t="n">
        <f aca="false">X667*$V667</f>
        <v>30160</v>
      </c>
      <c r="AK667" s="9" t="n">
        <f aca="false">Y667*$V667</f>
        <v>30160</v>
      </c>
      <c r="AL667" s="9" t="n">
        <f aca="false">Z667*$V667</f>
        <v>30160</v>
      </c>
      <c r="AM667" s="9" t="n">
        <f aca="false">AA667*$V667</f>
        <v>30160</v>
      </c>
      <c r="AN667" s="9" t="n">
        <f aca="false">AB667*$V667</f>
        <v>30160</v>
      </c>
      <c r="AO667" s="9" t="n">
        <f aca="false">AC667*$V667</f>
        <v>30160</v>
      </c>
      <c r="AP667" s="9" t="n">
        <f aca="false">AD667*$V667</f>
        <v>30160</v>
      </c>
      <c r="AQ667" s="9" t="n">
        <f aca="false">AE667*$V667</f>
        <v>30160</v>
      </c>
      <c r="AR667" s="9" t="n">
        <f aca="false">AF667*$V667</f>
        <v>30160</v>
      </c>
      <c r="AS667" s="9" t="n">
        <f aca="false">AG667*$V667</f>
        <v>30160</v>
      </c>
      <c r="AT667" s="9" t="n">
        <f aca="false">AH667*$V667</f>
        <v>30160</v>
      </c>
      <c r="AU667" s="9" t="n">
        <f aca="false">AI667*$V667</f>
        <v>30160</v>
      </c>
      <c r="AV667" s="9" t="n">
        <f aca="false">SUM(X667:AI667)/1000</f>
        <v>96</v>
      </c>
      <c r="AW667" s="9" t="n">
        <f aca="false">SUM(AJ667:AU667)</f>
        <v>361920</v>
      </c>
      <c r="AX667" s="9" t="n">
        <f aca="false">IF(D667="INR",AW667/88.24,AW667)/1000000</f>
        <v>0.00410154125113327</v>
      </c>
    </row>
    <row r="668" s="2" customFormat="true" ht="14.25" hidden="false" customHeight="false" outlineLevel="0" collapsed="false">
      <c r="A668" s="12" t="s">
        <v>1395</v>
      </c>
      <c r="B668" s="16"/>
      <c r="C668" s="15"/>
      <c r="D668" s="16" t="s">
        <v>50</v>
      </c>
      <c r="E668" s="16" t="s">
        <v>51</v>
      </c>
      <c r="F668" s="16" t="s">
        <v>267</v>
      </c>
      <c r="G668" s="16" t="s">
        <v>1396</v>
      </c>
      <c r="H668" s="16" t="s">
        <v>1397</v>
      </c>
      <c r="I668" s="16" t="s">
        <v>105</v>
      </c>
      <c r="J668" s="16" t="s">
        <v>368</v>
      </c>
      <c r="K668" s="16"/>
      <c r="L668" s="16" t="s">
        <v>105</v>
      </c>
      <c r="M668" s="16" t="s">
        <v>368</v>
      </c>
      <c r="N668" s="16" t="s">
        <v>271</v>
      </c>
      <c r="O668" s="16" t="s">
        <v>94</v>
      </c>
      <c r="P668" s="16" t="s">
        <v>110</v>
      </c>
      <c r="Q668" s="16" t="s">
        <v>110</v>
      </c>
      <c r="R668" s="16" t="s">
        <v>137</v>
      </c>
      <c r="S668" s="16" t="s">
        <v>272</v>
      </c>
      <c r="T668" s="16" t="s">
        <v>1011</v>
      </c>
      <c r="U668" s="16" t="s">
        <v>73</v>
      </c>
      <c r="V668" s="16" t="n">
        <v>60</v>
      </c>
      <c r="W668" s="16" t="n">
        <v>0.312</v>
      </c>
      <c r="X668" s="22" t="n">
        <v>500</v>
      </c>
      <c r="Y668" s="22" t="n">
        <v>500</v>
      </c>
      <c r="Z668" s="22" t="n">
        <v>500</v>
      </c>
      <c r="AA668" s="22" t="n">
        <v>500</v>
      </c>
      <c r="AB668" s="22" t="n">
        <v>500</v>
      </c>
      <c r="AC668" s="22" t="n">
        <v>500</v>
      </c>
      <c r="AD668" s="22" t="n">
        <v>500</v>
      </c>
      <c r="AE668" s="22" t="n">
        <v>500</v>
      </c>
      <c r="AF668" s="22" t="n">
        <v>500</v>
      </c>
      <c r="AG668" s="22" t="n">
        <v>500</v>
      </c>
      <c r="AH668" s="22" t="n">
        <v>500</v>
      </c>
      <c r="AI668" s="22"/>
      <c r="AJ668" s="9" t="n">
        <f aca="false">X668*$V668</f>
        <v>30000</v>
      </c>
      <c r="AK668" s="9" t="n">
        <f aca="false">Y668*$V668</f>
        <v>30000</v>
      </c>
      <c r="AL668" s="9" t="n">
        <f aca="false">Z668*$V668</f>
        <v>30000</v>
      </c>
      <c r="AM668" s="9" t="n">
        <f aca="false">AA668*$V668</f>
        <v>30000</v>
      </c>
      <c r="AN668" s="9" t="n">
        <f aca="false">AB668*$V668</f>
        <v>30000</v>
      </c>
      <c r="AO668" s="9" t="n">
        <f aca="false">AC668*$V668</f>
        <v>30000</v>
      </c>
      <c r="AP668" s="9" t="n">
        <f aca="false">AD668*$V668</f>
        <v>30000</v>
      </c>
      <c r="AQ668" s="9" t="n">
        <f aca="false">AE668*$V668</f>
        <v>30000</v>
      </c>
      <c r="AR668" s="9" t="n">
        <f aca="false">AF668*$V668</f>
        <v>30000</v>
      </c>
      <c r="AS668" s="9" t="n">
        <f aca="false">AG668*$V668</f>
        <v>30000</v>
      </c>
      <c r="AT668" s="9" t="n">
        <f aca="false">AH668*$V668</f>
        <v>30000</v>
      </c>
      <c r="AU668" s="9" t="n">
        <f aca="false">AI668*$V668</f>
        <v>0</v>
      </c>
      <c r="AV668" s="9" t="n">
        <f aca="false">SUM(X668:AI668)/1000</f>
        <v>5.5</v>
      </c>
      <c r="AW668" s="9" t="n">
        <f aca="false">SUM(AJ668:AU668)</f>
        <v>330000</v>
      </c>
      <c r="AX668" s="9" t="n">
        <f aca="false">IF(D668="INR",AW668/88.24,AW668)/1000000</f>
        <v>0.00373980054397099</v>
      </c>
    </row>
    <row r="669" s="2" customFormat="true" ht="14.25" hidden="false" customHeight="false" outlineLevel="0" collapsed="false">
      <c r="A669" s="12" t="s">
        <v>1398</v>
      </c>
      <c r="B669" s="16" t="n">
        <v>5</v>
      </c>
      <c r="C669" s="15"/>
      <c r="D669" s="16" t="s">
        <v>50</v>
      </c>
      <c r="E669" s="16" t="s">
        <v>51</v>
      </c>
      <c r="F669" s="16" t="s">
        <v>243</v>
      </c>
      <c r="G669" s="16" t="s">
        <v>470</v>
      </c>
      <c r="H669" s="16" t="s">
        <v>471</v>
      </c>
      <c r="I669" s="16" t="s">
        <v>55</v>
      </c>
      <c r="J669" s="16" t="s">
        <v>100</v>
      </c>
      <c r="K669" s="16"/>
      <c r="L669" s="16" t="s">
        <v>55</v>
      </c>
      <c r="M669" s="16" t="s">
        <v>100</v>
      </c>
      <c r="N669" s="16" t="s">
        <v>93</v>
      </c>
      <c r="O669" s="16" t="s">
        <v>246</v>
      </c>
      <c r="P669" s="16" t="s">
        <v>308</v>
      </c>
      <c r="Q669" s="16" t="s">
        <v>308</v>
      </c>
      <c r="R669" s="16" t="s">
        <v>309</v>
      </c>
      <c r="S669" s="16" t="s">
        <v>264</v>
      </c>
      <c r="T669" s="16" t="s">
        <v>1399</v>
      </c>
      <c r="U669" s="16" t="s">
        <v>73</v>
      </c>
      <c r="V669" s="15" t="n">
        <v>2.97</v>
      </c>
      <c r="W669" s="16" t="n">
        <v>2.35</v>
      </c>
      <c r="X669" s="22"/>
      <c r="Y669" s="16"/>
      <c r="Z669" s="16" t="n">
        <v>10000</v>
      </c>
      <c r="AA669" s="16"/>
      <c r="AB669" s="16"/>
      <c r="AC669" s="16" t="n">
        <v>10000</v>
      </c>
      <c r="AD669" s="16"/>
      <c r="AE669" s="16"/>
      <c r="AF669" s="16" t="n">
        <v>20000</v>
      </c>
      <c r="AG669" s="16"/>
      <c r="AH669" s="16"/>
      <c r="AI669" s="16" t="n">
        <v>20000</v>
      </c>
      <c r="AJ669" s="9" t="n">
        <f aca="false">X669*$V669</f>
        <v>0</v>
      </c>
      <c r="AK669" s="9" t="n">
        <f aca="false">Y669*$V669</f>
        <v>0</v>
      </c>
      <c r="AL669" s="9" t="n">
        <f aca="false">Z669*$V669</f>
        <v>29700</v>
      </c>
      <c r="AM669" s="9" t="n">
        <f aca="false">AA669*$V669</f>
        <v>0</v>
      </c>
      <c r="AN669" s="9" t="n">
        <f aca="false">AB669*$V669</f>
        <v>0</v>
      </c>
      <c r="AO669" s="9" t="n">
        <f aca="false">AC669*$V669</f>
        <v>29700</v>
      </c>
      <c r="AP669" s="9" t="n">
        <f aca="false">AD669*$V669</f>
        <v>0</v>
      </c>
      <c r="AQ669" s="9" t="n">
        <f aca="false">AE669*$V669</f>
        <v>0</v>
      </c>
      <c r="AR669" s="9" t="n">
        <f aca="false">AF669*$V669</f>
        <v>59400</v>
      </c>
      <c r="AS669" s="9" t="n">
        <f aca="false">AG669*$V669</f>
        <v>0</v>
      </c>
      <c r="AT669" s="9" t="n">
        <f aca="false">AH669*$V669</f>
        <v>0</v>
      </c>
      <c r="AU669" s="9" t="n">
        <f aca="false">AI669*$V669</f>
        <v>59400</v>
      </c>
      <c r="AV669" s="9" t="n">
        <f aca="false">SUM(X669:AI669)/1000</f>
        <v>60</v>
      </c>
      <c r="AW669" s="9" t="n">
        <f aca="false">SUM(AJ669:AU669)</f>
        <v>178200</v>
      </c>
      <c r="AX669" s="9" t="n">
        <f aca="false">IF(D669="INR",AW669/88.24,AW669)/1000000</f>
        <v>0.00201949229374433</v>
      </c>
    </row>
    <row r="670" s="2" customFormat="true" ht="14.25" hidden="false" customHeight="false" outlineLevel="0" collapsed="false">
      <c r="A670" s="12"/>
      <c r="B670" s="16" t="n">
        <v>1</v>
      </c>
      <c r="C670" s="15"/>
      <c r="D670" s="16" t="s">
        <v>50</v>
      </c>
      <c r="E670" s="16" t="s">
        <v>51</v>
      </c>
      <c r="F670" s="16" t="s">
        <v>404</v>
      </c>
      <c r="G670" s="16" t="s">
        <v>405</v>
      </c>
      <c r="H670" s="16" t="s">
        <v>406</v>
      </c>
      <c r="I670" s="16" t="s">
        <v>105</v>
      </c>
      <c r="J670" s="16" t="s">
        <v>368</v>
      </c>
      <c r="K670" s="16"/>
      <c r="L670" s="16" t="s">
        <v>105</v>
      </c>
      <c r="M670" s="16" t="s">
        <v>368</v>
      </c>
      <c r="N670" s="16" t="s">
        <v>271</v>
      </c>
      <c r="O670" s="16" t="s">
        <v>94</v>
      </c>
      <c r="P670" s="16" t="s">
        <v>308</v>
      </c>
      <c r="Q670" s="16" t="s">
        <v>308</v>
      </c>
      <c r="R670" s="16" t="s">
        <v>309</v>
      </c>
      <c r="S670" s="16" t="s">
        <v>264</v>
      </c>
      <c r="T670" s="16" t="s">
        <v>1400</v>
      </c>
      <c r="U670" s="16" t="s">
        <v>63</v>
      </c>
      <c r="V670" s="16" t="n">
        <v>1.17758620689655</v>
      </c>
      <c r="W670" s="16"/>
      <c r="X670" s="22" t="n">
        <v>25000</v>
      </c>
      <c r="Y670" s="22" t="n">
        <v>25000</v>
      </c>
      <c r="Z670" s="22" t="n">
        <v>25000</v>
      </c>
      <c r="AA670" s="22" t="n">
        <v>25000</v>
      </c>
      <c r="AB670" s="22" t="n">
        <v>25000</v>
      </c>
      <c r="AC670" s="22" t="n">
        <v>25000</v>
      </c>
      <c r="AD670" s="22" t="n">
        <v>25000</v>
      </c>
      <c r="AE670" s="22" t="n">
        <v>25000</v>
      </c>
      <c r="AF670" s="22" t="n">
        <v>25000</v>
      </c>
      <c r="AG670" s="22" t="n">
        <v>25000</v>
      </c>
      <c r="AH670" s="22" t="n">
        <v>25000</v>
      </c>
      <c r="AI670" s="22" t="n">
        <v>25000</v>
      </c>
      <c r="AJ670" s="9" t="n">
        <f aca="false">X670*$V670</f>
        <v>29439.6551724138</v>
      </c>
      <c r="AK670" s="9" t="n">
        <f aca="false">Y670*$V670</f>
        <v>29439.6551724138</v>
      </c>
      <c r="AL670" s="9" t="n">
        <f aca="false">Z670*$V670</f>
        <v>29439.6551724138</v>
      </c>
      <c r="AM670" s="9" t="n">
        <f aca="false">AA670*$V670</f>
        <v>29439.6551724138</v>
      </c>
      <c r="AN670" s="9" t="n">
        <f aca="false">AB670*$V670</f>
        <v>29439.6551724138</v>
      </c>
      <c r="AO670" s="9" t="n">
        <f aca="false">AC670*$V670</f>
        <v>29439.6551724138</v>
      </c>
      <c r="AP670" s="9" t="n">
        <f aca="false">AD670*$V670</f>
        <v>29439.6551724138</v>
      </c>
      <c r="AQ670" s="9" t="n">
        <f aca="false">AE670*$V670</f>
        <v>29439.6551724138</v>
      </c>
      <c r="AR670" s="9" t="n">
        <f aca="false">AF670*$V670</f>
        <v>29439.6551724138</v>
      </c>
      <c r="AS670" s="9" t="n">
        <f aca="false">AG670*$V670</f>
        <v>29439.6551724138</v>
      </c>
      <c r="AT670" s="9" t="n">
        <f aca="false">AH670*$V670</f>
        <v>29439.6551724138</v>
      </c>
      <c r="AU670" s="9" t="n">
        <f aca="false">AI670*$V670</f>
        <v>29439.6551724138</v>
      </c>
      <c r="AV670" s="9" t="n">
        <f aca="false">SUM(X670:AI670)/1000</f>
        <v>300</v>
      </c>
      <c r="AW670" s="9" t="n">
        <f aca="false">SUM(AJ670:AU670)</f>
        <v>353275.862068966</v>
      </c>
      <c r="AX670" s="9" t="n">
        <f aca="false">IF(D670="INR",AW670/88.24,AW670)/1000000</f>
        <v>0.00400357957920405</v>
      </c>
    </row>
    <row r="671" s="2" customFormat="true" ht="14.25" hidden="false" customHeight="false" outlineLevel="0" collapsed="false">
      <c r="A671" s="9"/>
      <c r="B671" s="9" t="n">
        <v>1</v>
      </c>
      <c r="C671" s="10"/>
      <c r="D671" s="9" t="s">
        <v>102</v>
      </c>
      <c r="E671" s="9"/>
      <c r="F671" s="9" t="s">
        <v>52</v>
      </c>
      <c r="G671" s="9" t="s">
        <v>985</v>
      </c>
      <c r="H671" s="9" t="s">
        <v>986</v>
      </c>
      <c r="I671" s="9"/>
      <c r="J671" s="9"/>
      <c r="K671" s="9"/>
      <c r="L671" s="9"/>
      <c r="M671" s="9"/>
      <c r="N671" s="9" t="s">
        <v>67</v>
      </c>
      <c r="O671" s="9" t="s">
        <v>246</v>
      </c>
      <c r="P671" s="9" t="s">
        <v>874</v>
      </c>
      <c r="Q671" s="9" t="s">
        <v>874</v>
      </c>
      <c r="R671" s="9"/>
      <c r="S671" s="9"/>
      <c r="T671" s="9" t="s">
        <v>1401</v>
      </c>
      <c r="U671" s="9" t="s">
        <v>63</v>
      </c>
      <c r="V671" s="9" t="n">
        <v>0.0495</v>
      </c>
      <c r="W671" s="9"/>
      <c r="X671" s="9" t="n">
        <v>104000</v>
      </c>
      <c r="Y671" s="9" t="n">
        <v>104000</v>
      </c>
      <c r="Z671" s="9" t="n">
        <v>104000</v>
      </c>
      <c r="AA671" s="9" t="n">
        <v>104000</v>
      </c>
      <c r="AB671" s="9" t="n">
        <v>104000</v>
      </c>
      <c r="AC671" s="9" t="n">
        <v>104000</v>
      </c>
      <c r="AD671" s="9" t="n">
        <v>104000</v>
      </c>
      <c r="AE671" s="9" t="n">
        <v>104000</v>
      </c>
      <c r="AF671" s="9" t="n">
        <v>104000</v>
      </c>
      <c r="AG671" s="9" t="n">
        <v>104000</v>
      </c>
      <c r="AH671" s="9" t="n">
        <v>104000</v>
      </c>
      <c r="AI671" s="9" t="n">
        <v>104000</v>
      </c>
      <c r="AJ671" s="9" t="n">
        <f aca="false">X671*$V671</f>
        <v>5148</v>
      </c>
      <c r="AK671" s="9" t="n">
        <f aca="false">Y671*$V671</f>
        <v>5148</v>
      </c>
      <c r="AL671" s="9" t="n">
        <f aca="false">Z671*$V671</f>
        <v>5148</v>
      </c>
      <c r="AM671" s="9" t="n">
        <f aca="false">AA671*$V671</f>
        <v>5148</v>
      </c>
      <c r="AN671" s="9" t="n">
        <f aca="false">AB671*$V671</f>
        <v>5148</v>
      </c>
      <c r="AO671" s="9" t="n">
        <f aca="false">AC671*$V671</f>
        <v>5148</v>
      </c>
      <c r="AP671" s="9" t="n">
        <f aca="false">AD671*$V671</f>
        <v>5148</v>
      </c>
      <c r="AQ671" s="9" t="n">
        <f aca="false">AE671*$V671</f>
        <v>5148</v>
      </c>
      <c r="AR671" s="9" t="n">
        <f aca="false">AF671*$V671</f>
        <v>5148</v>
      </c>
      <c r="AS671" s="9" t="n">
        <f aca="false">AG671*$V671</f>
        <v>5148</v>
      </c>
      <c r="AT671" s="9" t="n">
        <f aca="false">AH671*$V671</f>
        <v>5148</v>
      </c>
      <c r="AU671" s="9" t="n">
        <f aca="false">AI671*$V671</f>
        <v>5148</v>
      </c>
      <c r="AV671" s="9" t="n">
        <f aca="false">SUM(X671:AI671)/1000</f>
        <v>1248</v>
      </c>
      <c r="AW671" s="9" t="n">
        <f aca="false">SUM(AJ671:AU671)</f>
        <v>61776</v>
      </c>
      <c r="AX671" s="9" t="n">
        <f aca="false">IF(D671="INR",AW671/88.24,AW671)/1000000</f>
        <v>0.061776</v>
      </c>
    </row>
    <row r="672" s="2" customFormat="true" ht="14.25" hidden="false" customHeight="false" outlineLevel="0" collapsed="false">
      <c r="A672" s="12" t="s">
        <v>1402</v>
      </c>
      <c r="B672" s="16" t="n">
        <v>5</v>
      </c>
      <c r="C672" s="15"/>
      <c r="D672" s="16" t="s">
        <v>50</v>
      </c>
      <c r="E672" s="16" t="s">
        <v>51</v>
      </c>
      <c r="F672" s="16" t="s">
        <v>52</v>
      </c>
      <c r="G672" s="16" t="s">
        <v>506</v>
      </c>
      <c r="H672" s="16" t="s">
        <v>507</v>
      </c>
      <c r="I672" s="16" t="s">
        <v>77</v>
      </c>
      <c r="J672" s="16" t="s">
        <v>325</v>
      </c>
      <c r="K672" s="16"/>
      <c r="L672" s="16" t="s">
        <v>77</v>
      </c>
      <c r="M672" s="16" t="s">
        <v>325</v>
      </c>
      <c r="N672" s="16" t="s">
        <v>79</v>
      </c>
      <c r="O672" s="16" t="s">
        <v>68</v>
      </c>
      <c r="P672" s="16" t="s">
        <v>308</v>
      </c>
      <c r="Q672" s="16" t="s">
        <v>308</v>
      </c>
      <c r="R672" s="16" t="s">
        <v>309</v>
      </c>
      <c r="S672" s="16" t="s">
        <v>264</v>
      </c>
      <c r="T672" s="16" t="s">
        <v>1144</v>
      </c>
      <c r="U672" s="16" t="s">
        <v>73</v>
      </c>
      <c r="V672" s="16" t="n">
        <v>0.72</v>
      </c>
      <c r="W672" s="16" t="n">
        <v>0.62</v>
      </c>
      <c r="X672" s="22" t="n">
        <v>40000</v>
      </c>
      <c r="Y672" s="22" t="n">
        <v>40000</v>
      </c>
      <c r="Z672" s="22" t="n">
        <v>40000</v>
      </c>
      <c r="AA672" s="22" t="n">
        <v>40000</v>
      </c>
      <c r="AB672" s="22" t="n">
        <v>40000</v>
      </c>
      <c r="AC672" s="22" t="n">
        <v>40000</v>
      </c>
      <c r="AD672" s="22" t="n">
        <v>40000</v>
      </c>
      <c r="AE672" s="22" t="n">
        <v>40000</v>
      </c>
      <c r="AF672" s="22" t="n">
        <v>40000</v>
      </c>
      <c r="AG672" s="22" t="n">
        <v>40000</v>
      </c>
      <c r="AH672" s="22" t="n">
        <v>40000</v>
      </c>
      <c r="AI672" s="22" t="n">
        <v>40000</v>
      </c>
      <c r="AJ672" s="9" t="n">
        <f aca="false">X672*$V672</f>
        <v>28800</v>
      </c>
      <c r="AK672" s="9" t="n">
        <f aca="false">Y672*$V672</f>
        <v>28800</v>
      </c>
      <c r="AL672" s="9" t="n">
        <f aca="false">Z672*$V672</f>
        <v>28800</v>
      </c>
      <c r="AM672" s="9" t="n">
        <f aca="false">AA672*$V672</f>
        <v>28800</v>
      </c>
      <c r="AN672" s="9" t="n">
        <f aca="false">AB672*$V672</f>
        <v>28800</v>
      </c>
      <c r="AO672" s="9" t="n">
        <f aca="false">AC672*$V672</f>
        <v>28800</v>
      </c>
      <c r="AP672" s="9" t="n">
        <f aca="false">AD672*$V672</f>
        <v>28800</v>
      </c>
      <c r="AQ672" s="9" t="n">
        <f aca="false">AE672*$V672</f>
        <v>28800</v>
      </c>
      <c r="AR672" s="9" t="n">
        <f aca="false">AF672*$V672</f>
        <v>28800</v>
      </c>
      <c r="AS672" s="9" t="n">
        <f aca="false">AG672*$V672</f>
        <v>28800</v>
      </c>
      <c r="AT672" s="9" t="n">
        <f aca="false">AH672*$V672</f>
        <v>28800</v>
      </c>
      <c r="AU672" s="9" t="n">
        <f aca="false">AI672*$V672</f>
        <v>28800</v>
      </c>
      <c r="AV672" s="9" t="n">
        <f aca="false">SUM(X672:AI672)/1000</f>
        <v>480</v>
      </c>
      <c r="AW672" s="9" t="n">
        <f aca="false">SUM(AJ672:AU672)</f>
        <v>345600</v>
      </c>
      <c r="AX672" s="9" t="n">
        <f aca="false">IF(D672="INR",AW672/88.24,AW672)/1000000</f>
        <v>0.00391659111514053</v>
      </c>
    </row>
    <row r="673" s="2" customFormat="true" ht="16.4" hidden="false" customHeight="false" outlineLevel="0" collapsed="false">
      <c r="A673" s="9" t="s">
        <v>1403</v>
      </c>
      <c r="B673" s="9" t="n">
        <v>5</v>
      </c>
      <c r="C673" s="15"/>
      <c r="D673" s="16" t="s">
        <v>102</v>
      </c>
      <c r="E673" s="16" t="s">
        <v>51</v>
      </c>
      <c r="F673" s="16" t="s">
        <v>52</v>
      </c>
      <c r="G673" s="16" t="s">
        <v>985</v>
      </c>
      <c r="H673" s="9" t="s">
        <v>986</v>
      </c>
      <c r="I673" s="16" t="s">
        <v>260</v>
      </c>
      <c r="J673" s="16" t="s">
        <v>987</v>
      </c>
      <c r="K673" s="9"/>
      <c r="L673" s="16"/>
      <c r="M673" s="16"/>
      <c r="N673" s="16" t="s">
        <v>67</v>
      </c>
      <c r="O673" s="16" t="s">
        <v>246</v>
      </c>
      <c r="P673" s="9" t="s">
        <v>874</v>
      </c>
      <c r="Q673" s="9" t="s">
        <v>874</v>
      </c>
      <c r="R673" s="9" t="s">
        <v>875</v>
      </c>
      <c r="S673" s="9"/>
      <c r="T673" s="9" t="s">
        <v>1404</v>
      </c>
      <c r="U673" s="16" t="s">
        <v>73</v>
      </c>
      <c r="V673" s="36" t="n">
        <v>0.752</v>
      </c>
      <c r="W673" s="9" t="n">
        <v>0</v>
      </c>
      <c r="X673" s="22" t="n">
        <v>26000</v>
      </c>
      <c r="Y673" s="9" t="n">
        <v>26000</v>
      </c>
      <c r="Z673" s="9" t="n">
        <v>26000</v>
      </c>
      <c r="AA673" s="9" t="n">
        <v>26000</v>
      </c>
      <c r="AB673" s="9" t="n">
        <v>26000</v>
      </c>
      <c r="AC673" s="9" t="n">
        <v>26000</v>
      </c>
      <c r="AD673" s="23" t="n">
        <v>26000</v>
      </c>
      <c r="AE673" s="9" t="n">
        <v>26000</v>
      </c>
      <c r="AF673" s="9" t="n">
        <v>26000</v>
      </c>
      <c r="AG673" s="9" t="n">
        <v>26000</v>
      </c>
      <c r="AH673" s="9" t="n">
        <v>26000</v>
      </c>
      <c r="AI673" s="9" t="n">
        <v>26000</v>
      </c>
      <c r="AJ673" s="9" t="n">
        <f aca="false">X673*$V673</f>
        <v>19552</v>
      </c>
      <c r="AK673" s="9" t="n">
        <f aca="false">Y673*$V673</f>
        <v>19552</v>
      </c>
      <c r="AL673" s="9" t="n">
        <f aca="false">Z673*$V673</f>
        <v>19552</v>
      </c>
      <c r="AM673" s="9" t="n">
        <f aca="false">AA673*$V673</f>
        <v>19552</v>
      </c>
      <c r="AN673" s="9" t="n">
        <f aca="false">AB673*$V673</f>
        <v>19552</v>
      </c>
      <c r="AO673" s="9" t="n">
        <f aca="false">AC673*$V673</f>
        <v>19552</v>
      </c>
      <c r="AP673" s="9" t="n">
        <f aca="false">AD673*$V673</f>
        <v>19552</v>
      </c>
      <c r="AQ673" s="9" t="n">
        <f aca="false">AE673*$V673</f>
        <v>19552</v>
      </c>
      <c r="AR673" s="9" t="n">
        <f aca="false">AF673*$V673</f>
        <v>19552</v>
      </c>
      <c r="AS673" s="9" t="n">
        <f aca="false">AG673*$V673</f>
        <v>19552</v>
      </c>
      <c r="AT673" s="9" t="n">
        <f aca="false">AH673*$V673</f>
        <v>19552</v>
      </c>
      <c r="AU673" s="9" t="n">
        <f aca="false">AI673*$V673</f>
        <v>19552</v>
      </c>
      <c r="AV673" s="9" t="n">
        <f aca="false">SUM(X673:AI673)/1000</f>
        <v>312</v>
      </c>
      <c r="AW673" s="9" t="n">
        <f aca="false">SUM(AJ673:AU673)</f>
        <v>234624</v>
      </c>
      <c r="AX673" s="9" t="n">
        <f aca="false">IF(D673="INR",AW673/88.24,AW673)/1000000</f>
        <v>0.234624</v>
      </c>
    </row>
    <row r="674" s="2" customFormat="true" ht="16.4" hidden="false" customHeight="false" outlineLevel="0" collapsed="false">
      <c r="A674" s="9" t="s">
        <v>1405</v>
      </c>
      <c r="B674" s="9" t="n">
        <v>5</v>
      </c>
      <c r="C674" s="15"/>
      <c r="D674" s="16" t="s">
        <v>102</v>
      </c>
      <c r="E674" s="16" t="s">
        <v>51</v>
      </c>
      <c r="F674" s="16" t="s">
        <v>52</v>
      </c>
      <c r="G674" s="16" t="s">
        <v>985</v>
      </c>
      <c r="H674" s="9" t="s">
        <v>986</v>
      </c>
      <c r="I674" s="16" t="s">
        <v>260</v>
      </c>
      <c r="J674" s="16" t="s">
        <v>987</v>
      </c>
      <c r="K674" s="9"/>
      <c r="L674" s="16"/>
      <c r="M674" s="16"/>
      <c r="N674" s="16" t="s">
        <v>67</v>
      </c>
      <c r="O674" s="16" t="s">
        <v>246</v>
      </c>
      <c r="P674" s="9" t="s">
        <v>874</v>
      </c>
      <c r="Q674" s="9" t="s">
        <v>874</v>
      </c>
      <c r="R674" s="9" t="s">
        <v>875</v>
      </c>
      <c r="S674" s="9"/>
      <c r="T674" s="9" t="s">
        <v>1406</v>
      </c>
      <c r="U674" s="16" t="s">
        <v>73</v>
      </c>
      <c r="V674" s="36" t="n">
        <v>0.402</v>
      </c>
      <c r="W674" s="9" t="n">
        <v>0</v>
      </c>
      <c r="X674" s="22" t="n">
        <v>26000</v>
      </c>
      <c r="Y674" s="9" t="n">
        <v>26000</v>
      </c>
      <c r="Z674" s="9" t="n">
        <v>26000</v>
      </c>
      <c r="AA674" s="9" t="n">
        <v>26000</v>
      </c>
      <c r="AB674" s="9" t="n">
        <v>26000</v>
      </c>
      <c r="AC674" s="9" t="n">
        <v>26000</v>
      </c>
      <c r="AD674" s="23" t="n">
        <v>26000</v>
      </c>
      <c r="AE674" s="9" t="n">
        <v>26000</v>
      </c>
      <c r="AF674" s="9" t="n">
        <v>26000</v>
      </c>
      <c r="AG674" s="9" t="n">
        <v>26000</v>
      </c>
      <c r="AH674" s="9" t="n">
        <v>26000</v>
      </c>
      <c r="AI674" s="9" t="n">
        <v>26000</v>
      </c>
      <c r="AJ674" s="9" t="n">
        <f aca="false">X674*$V674</f>
        <v>10452</v>
      </c>
      <c r="AK674" s="9" t="n">
        <f aca="false">Y674*$V674</f>
        <v>10452</v>
      </c>
      <c r="AL674" s="9" t="n">
        <f aca="false">Z674*$V674</f>
        <v>10452</v>
      </c>
      <c r="AM674" s="9" t="n">
        <f aca="false">AA674*$V674</f>
        <v>10452</v>
      </c>
      <c r="AN674" s="9" t="n">
        <f aca="false">AB674*$V674</f>
        <v>10452</v>
      </c>
      <c r="AO674" s="9" t="n">
        <f aca="false">AC674*$V674</f>
        <v>10452</v>
      </c>
      <c r="AP674" s="9" t="n">
        <f aca="false">AD674*$V674</f>
        <v>10452</v>
      </c>
      <c r="AQ674" s="9" t="n">
        <f aca="false">AE674*$V674</f>
        <v>10452</v>
      </c>
      <c r="AR674" s="9" t="n">
        <f aca="false">AF674*$V674</f>
        <v>10452</v>
      </c>
      <c r="AS674" s="9" t="n">
        <f aca="false">AG674*$V674</f>
        <v>10452</v>
      </c>
      <c r="AT674" s="9" t="n">
        <f aca="false">AH674*$V674</f>
        <v>10452</v>
      </c>
      <c r="AU674" s="9" t="n">
        <f aca="false">AI674*$V674</f>
        <v>10452</v>
      </c>
      <c r="AV674" s="9" t="n">
        <f aca="false">SUM(X674:AI674)/1000</f>
        <v>312</v>
      </c>
      <c r="AW674" s="9" t="n">
        <f aca="false">SUM(AJ674:AU674)</f>
        <v>125424</v>
      </c>
      <c r="AX674" s="9" t="n">
        <f aca="false">IF(D674="INR",AW674/88.24,AW674)/1000000</f>
        <v>0.125424</v>
      </c>
    </row>
    <row r="675" s="2" customFormat="true" ht="16.4" hidden="false" customHeight="false" outlineLevel="0" collapsed="false">
      <c r="A675" s="9" t="s">
        <v>1407</v>
      </c>
      <c r="B675" s="9" t="n">
        <v>5</v>
      </c>
      <c r="C675" s="10"/>
      <c r="D675" s="9" t="s">
        <v>102</v>
      </c>
      <c r="E675" s="9" t="s">
        <v>51</v>
      </c>
      <c r="F675" s="9" t="s">
        <v>52</v>
      </c>
      <c r="G675" s="9" t="s">
        <v>985</v>
      </c>
      <c r="H675" s="9" t="s">
        <v>986</v>
      </c>
      <c r="I675" s="9" t="s">
        <v>260</v>
      </c>
      <c r="J675" s="9" t="s">
        <v>987</v>
      </c>
      <c r="K675" s="9"/>
      <c r="L675" s="9"/>
      <c r="M675" s="9"/>
      <c r="N675" s="9" t="s">
        <v>67</v>
      </c>
      <c r="O675" s="9" t="s">
        <v>246</v>
      </c>
      <c r="P675" s="9" t="s">
        <v>874</v>
      </c>
      <c r="Q675" s="9" t="s">
        <v>874</v>
      </c>
      <c r="R675" s="9" t="s">
        <v>875</v>
      </c>
      <c r="S675" s="9"/>
      <c r="T675" s="9" t="s">
        <v>1408</v>
      </c>
      <c r="U675" s="9" t="s">
        <v>73</v>
      </c>
      <c r="V675" s="9" t="n">
        <v>0.298</v>
      </c>
      <c r="W675" s="9" t="n">
        <v>0</v>
      </c>
      <c r="X675" s="9" t="n">
        <v>26000</v>
      </c>
      <c r="Y675" s="9" t="n">
        <v>26000</v>
      </c>
      <c r="Z675" s="9" t="n">
        <v>26000</v>
      </c>
      <c r="AA675" s="9" t="n">
        <v>26000</v>
      </c>
      <c r="AB675" s="9" t="n">
        <v>26000</v>
      </c>
      <c r="AC675" s="9" t="n">
        <v>26000</v>
      </c>
      <c r="AD675" s="9" t="n">
        <v>26000</v>
      </c>
      <c r="AE675" s="9" t="n">
        <v>26000</v>
      </c>
      <c r="AF675" s="9" t="n">
        <v>26000</v>
      </c>
      <c r="AG675" s="9" t="n">
        <v>26000</v>
      </c>
      <c r="AH675" s="9" t="n">
        <v>26000</v>
      </c>
      <c r="AI675" s="9" t="n">
        <v>26000</v>
      </c>
      <c r="AJ675" s="9" t="n">
        <f aca="false">X675*$V675</f>
        <v>7748</v>
      </c>
      <c r="AK675" s="9" t="n">
        <f aca="false">Y675*$V675</f>
        <v>7748</v>
      </c>
      <c r="AL675" s="9" t="n">
        <f aca="false">Z675*$V675</f>
        <v>7748</v>
      </c>
      <c r="AM675" s="9" t="n">
        <f aca="false">AA675*$V675</f>
        <v>7748</v>
      </c>
      <c r="AN675" s="9" t="n">
        <f aca="false">AB675*$V675</f>
        <v>7748</v>
      </c>
      <c r="AO675" s="9" t="n">
        <f aca="false">AC675*$V675</f>
        <v>7748</v>
      </c>
      <c r="AP675" s="9" t="n">
        <f aca="false">AD675*$V675</f>
        <v>7748</v>
      </c>
      <c r="AQ675" s="9" t="n">
        <f aca="false">AE675*$V675</f>
        <v>7748</v>
      </c>
      <c r="AR675" s="9" t="n">
        <f aca="false">AF675*$V675</f>
        <v>7748</v>
      </c>
      <c r="AS675" s="9" t="n">
        <f aca="false">AG675*$V675</f>
        <v>7748</v>
      </c>
      <c r="AT675" s="9" t="n">
        <f aca="false">AH675*$V675</f>
        <v>7748</v>
      </c>
      <c r="AU675" s="9" t="n">
        <f aca="false">AI675*$V675</f>
        <v>7748</v>
      </c>
      <c r="AV675" s="9" t="n">
        <f aca="false">SUM(X675:AI675)/1000</f>
        <v>312</v>
      </c>
      <c r="AW675" s="9" t="n">
        <f aca="false">SUM(AJ675:AU675)</f>
        <v>92976</v>
      </c>
      <c r="AX675" s="9" t="n">
        <f aca="false">IF(D675="INR",AW675/88.24,AW675)/1000000</f>
        <v>0.092976</v>
      </c>
    </row>
    <row r="676" s="2" customFormat="true" ht="14.25" hidden="false" customHeight="false" outlineLevel="0" collapsed="false">
      <c r="A676" s="12"/>
      <c r="B676" s="16" t="n">
        <v>5</v>
      </c>
      <c r="C676" s="15"/>
      <c r="D676" s="16" t="s">
        <v>102</v>
      </c>
      <c r="E676" s="16"/>
      <c r="F676" s="16" t="s">
        <v>52</v>
      </c>
      <c r="G676" s="16" t="s">
        <v>985</v>
      </c>
      <c r="H676" s="16" t="s">
        <v>986</v>
      </c>
      <c r="I676" s="16"/>
      <c r="J676" s="16"/>
      <c r="K676" s="16"/>
      <c r="L676" s="16"/>
      <c r="M676" s="16"/>
      <c r="N676" s="16" t="s">
        <v>67</v>
      </c>
      <c r="O676" s="16" t="s">
        <v>246</v>
      </c>
      <c r="P676" s="16" t="s">
        <v>1409</v>
      </c>
      <c r="Q676" s="16" t="s">
        <v>1409</v>
      </c>
      <c r="R676" s="16"/>
      <c r="S676" s="16"/>
      <c r="T676" s="16" t="s">
        <v>1410</v>
      </c>
      <c r="U676" s="16" t="s">
        <v>63</v>
      </c>
      <c r="V676" s="16" t="n">
        <v>0.123</v>
      </c>
      <c r="W676" s="16"/>
      <c r="X676" s="16" t="n">
        <v>26000</v>
      </c>
      <c r="Y676" s="16" t="n">
        <v>26000</v>
      </c>
      <c r="Z676" s="16" t="n">
        <v>26000</v>
      </c>
      <c r="AA676" s="16" t="n">
        <v>26000</v>
      </c>
      <c r="AB676" s="16" t="n">
        <v>26000</v>
      </c>
      <c r="AC676" s="16" t="n">
        <v>26000</v>
      </c>
      <c r="AD676" s="16" t="n">
        <v>26000</v>
      </c>
      <c r="AE676" s="16" t="n">
        <v>26000</v>
      </c>
      <c r="AF676" s="16" t="n">
        <v>26000</v>
      </c>
      <c r="AG676" s="16" t="n">
        <v>26000</v>
      </c>
      <c r="AH676" s="16" t="n">
        <v>26000</v>
      </c>
      <c r="AI676" s="16" t="n">
        <v>26000</v>
      </c>
      <c r="AJ676" s="9" t="n">
        <f aca="false">X676*$V676</f>
        <v>3198</v>
      </c>
      <c r="AK676" s="9" t="n">
        <f aca="false">Y676*$V676</f>
        <v>3198</v>
      </c>
      <c r="AL676" s="9" t="n">
        <f aca="false">Z676*$V676</f>
        <v>3198</v>
      </c>
      <c r="AM676" s="9" t="n">
        <f aca="false">AA676*$V676</f>
        <v>3198</v>
      </c>
      <c r="AN676" s="9" t="n">
        <f aca="false">AB676*$V676</f>
        <v>3198</v>
      </c>
      <c r="AO676" s="9" t="n">
        <f aca="false">AC676*$V676</f>
        <v>3198</v>
      </c>
      <c r="AP676" s="9" t="n">
        <f aca="false">AD676*$V676</f>
        <v>3198</v>
      </c>
      <c r="AQ676" s="9" t="n">
        <f aca="false">AE676*$V676</f>
        <v>3198</v>
      </c>
      <c r="AR676" s="9" t="n">
        <f aca="false">AF676*$V676</f>
        <v>3198</v>
      </c>
      <c r="AS676" s="9" t="n">
        <f aca="false">AG676*$V676</f>
        <v>3198</v>
      </c>
      <c r="AT676" s="9" t="n">
        <f aca="false">AH676*$V676</f>
        <v>3198</v>
      </c>
      <c r="AU676" s="9" t="n">
        <f aca="false">AI676*$V676</f>
        <v>3198</v>
      </c>
      <c r="AV676" s="9" t="n">
        <f aca="false">SUM(X676:AI676)/1000</f>
        <v>312</v>
      </c>
      <c r="AW676" s="9" t="n">
        <f aca="false">SUM(AJ676:AU676)</f>
        <v>38376</v>
      </c>
      <c r="AX676" s="9" t="n">
        <f aca="false">IF(D676="INR",AW676/88.24,AW676)/1000000</f>
        <v>0.038376</v>
      </c>
    </row>
    <row r="677" s="2" customFormat="true" ht="14.25" hidden="false" customHeight="false" outlineLevel="0" collapsed="false">
      <c r="A677" s="9"/>
      <c r="B677" s="9" t="n">
        <v>1</v>
      </c>
      <c r="C677" s="15"/>
      <c r="D677" s="16" t="s">
        <v>102</v>
      </c>
      <c r="E677" s="16" t="s">
        <v>51</v>
      </c>
      <c r="F677" s="16" t="s">
        <v>52</v>
      </c>
      <c r="G677" s="16"/>
      <c r="H677" s="9" t="s">
        <v>1411</v>
      </c>
      <c r="I677" s="16" t="s">
        <v>1412</v>
      </c>
      <c r="J677" s="16" t="s">
        <v>1005</v>
      </c>
      <c r="K677" s="9" t="s">
        <v>1411</v>
      </c>
      <c r="L677" s="16" t="s">
        <v>1412</v>
      </c>
      <c r="M677" s="16" t="s">
        <v>1005</v>
      </c>
      <c r="N677" s="16" t="s">
        <v>67</v>
      </c>
      <c r="O677" s="16" t="s">
        <v>94</v>
      </c>
      <c r="P677" s="9" t="s">
        <v>1413</v>
      </c>
      <c r="Q677" s="9" t="s">
        <v>1413</v>
      </c>
      <c r="R677" s="9" t="s">
        <v>800</v>
      </c>
      <c r="S677" s="9" t="s">
        <v>1148</v>
      </c>
      <c r="T677" s="9" t="s">
        <v>1414</v>
      </c>
      <c r="U677" s="16" t="s">
        <v>63</v>
      </c>
      <c r="V677" s="36" t="n">
        <v>12.45</v>
      </c>
      <c r="W677" s="9" t="n">
        <v>10</v>
      </c>
      <c r="X677" s="22" t="n">
        <v>0</v>
      </c>
      <c r="Y677" s="9" t="n">
        <v>0</v>
      </c>
      <c r="Z677" s="9" t="n">
        <v>0</v>
      </c>
      <c r="AA677" s="9" t="n">
        <v>5000</v>
      </c>
      <c r="AB677" s="9" t="n">
        <v>0</v>
      </c>
      <c r="AC677" s="9"/>
      <c r="AD677" s="23" t="n">
        <v>0</v>
      </c>
      <c r="AE677" s="9" t="n">
        <v>2500</v>
      </c>
      <c r="AF677" s="9" t="n">
        <v>0</v>
      </c>
      <c r="AG677" s="9" t="n">
        <v>5000</v>
      </c>
      <c r="AH677" s="9" t="n">
        <v>0</v>
      </c>
      <c r="AI677" s="9" t="n">
        <v>5000</v>
      </c>
      <c r="AJ677" s="9" t="n">
        <f aca="false">X677*$V677</f>
        <v>0</v>
      </c>
      <c r="AK677" s="9" t="n">
        <f aca="false">Y677*$V677</f>
        <v>0</v>
      </c>
      <c r="AL677" s="9" t="n">
        <f aca="false">Z677*$V677</f>
        <v>0</v>
      </c>
      <c r="AM677" s="9" t="n">
        <f aca="false">AA677*$V677</f>
        <v>62250</v>
      </c>
      <c r="AN677" s="9" t="n">
        <f aca="false">AB677*$V677</f>
        <v>0</v>
      </c>
      <c r="AO677" s="9" t="n">
        <f aca="false">AC677*$V677</f>
        <v>0</v>
      </c>
      <c r="AP677" s="9" t="n">
        <f aca="false">AD677*$V677</f>
        <v>0</v>
      </c>
      <c r="AQ677" s="9" t="n">
        <f aca="false">AE677*$V677</f>
        <v>31125</v>
      </c>
      <c r="AR677" s="9" t="n">
        <f aca="false">AF677*$V677</f>
        <v>0</v>
      </c>
      <c r="AS677" s="9" t="n">
        <f aca="false">AG677*$V677</f>
        <v>62250</v>
      </c>
      <c r="AT677" s="9" t="n">
        <f aca="false">AH677*$V677</f>
        <v>0</v>
      </c>
      <c r="AU677" s="9" t="n">
        <f aca="false">AI677*$V677</f>
        <v>62250</v>
      </c>
      <c r="AV677" s="9" t="n">
        <f aca="false">SUM(X677:AI677)/1000</f>
        <v>17.5</v>
      </c>
      <c r="AW677" s="9" t="n">
        <f aca="false">SUM(AJ677:AU677)</f>
        <v>217875</v>
      </c>
      <c r="AX677" s="9" t="n">
        <f aca="false">IF(D677="INR",AW677/88.24,AW677)/1000000</f>
        <v>0.217875</v>
      </c>
    </row>
    <row r="678" s="2" customFormat="true" ht="14.25" hidden="false" customHeight="false" outlineLevel="0" collapsed="false">
      <c r="A678" s="12"/>
      <c r="B678" s="16" t="n">
        <v>1</v>
      </c>
      <c r="C678" s="15"/>
      <c r="D678" s="16" t="s">
        <v>102</v>
      </c>
      <c r="E678" s="16"/>
      <c r="F678" s="16" t="s">
        <v>1415</v>
      </c>
      <c r="G678" s="16"/>
      <c r="H678" s="16" t="s">
        <v>1416</v>
      </c>
      <c r="I678" s="16"/>
      <c r="J678" s="16"/>
      <c r="K678" s="16"/>
      <c r="L678" s="16"/>
      <c r="M678" s="16"/>
      <c r="N678" s="16" t="s">
        <v>79</v>
      </c>
      <c r="O678" s="16" t="s">
        <v>1417</v>
      </c>
      <c r="P678" s="16"/>
      <c r="Q678" s="16" t="s">
        <v>69</v>
      </c>
      <c r="R678" s="16"/>
      <c r="S678" s="16"/>
      <c r="T678" s="16" t="s">
        <v>1418</v>
      </c>
      <c r="U678" s="16" t="s">
        <v>63</v>
      </c>
      <c r="V678" s="16" t="n">
        <v>0.084</v>
      </c>
      <c r="W678" s="16"/>
      <c r="X678" s="16"/>
      <c r="Y678" s="16"/>
      <c r="Z678" s="16" t="n">
        <v>100000</v>
      </c>
      <c r="AA678" s="16"/>
      <c r="AB678" s="16"/>
      <c r="AC678" s="16" t="n">
        <v>100000</v>
      </c>
      <c r="AD678" s="16"/>
      <c r="AE678" s="16"/>
      <c r="AF678" s="16" t="n">
        <v>100000</v>
      </c>
      <c r="AG678" s="16"/>
      <c r="AH678" s="16"/>
      <c r="AI678" s="16" t="n">
        <v>100000</v>
      </c>
      <c r="AJ678" s="9" t="n">
        <f aca="false">X678*$V678</f>
        <v>0</v>
      </c>
      <c r="AK678" s="9" t="n">
        <f aca="false">Y678*$V678</f>
        <v>0</v>
      </c>
      <c r="AL678" s="9" t="n">
        <f aca="false">Z678*$V678</f>
        <v>8400</v>
      </c>
      <c r="AM678" s="9" t="n">
        <f aca="false">AA678*$V678</f>
        <v>0</v>
      </c>
      <c r="AN678" s="9" t="n">
        <f aca="false">AB678*$V678</f>
        <v>0</v>
      </c>
      <c r="AO678" s="9" t="n">
        <f aca="false">AC678*$V678</f>
        <v>8400</v>
      </c>
      <c r="AP678" s="9" t="n">
        <f aca="false">AD678*$V678</f>
        <v>0</v>
      </c>
      <c r="AQ678" s="9" t="n">
        <f aca="false">AE678*$V678</f>
        <v>0</v>
      </c>
      <c r="AR678" s="9" t="n">
        <f aca="false">AF678*$V678</f>
        <v>8400</v>
      </c>
      <c r="AS678" s="9" t="n">
        <f aca="false">AG678*$V678</f>
        <v>0</v>
      </c>
      <c r="AT678" s="9" t="n">
        <f aca="false">AH678*$V678</f>
        <v>0</v>
      </c>
      <c r="AU678" s="9" t="n">
        <f aca="false">AI678*$V678</f>
        <v>8400</v>
      </c>
      <c r="AV678" s="9" t="n">
        <f aca="false">SUM(X678:AI678)/1000</f>
        <v>400</v>
      </c>
      <c r="AW678" s="9" t="n">
        <f aca="false">SUM(AJ678:AU678)</f>
        <v>33600</v>
      </c>
      <c r="AX678" s="9" t="n">
        <f aca="false">IF(D678="INR",AW678/88.24,AW678)/1000000</f>
        <v>0.0336</v>
      </c>
    </row>
    <row r="679" s="2" customFormat="true" ht="14.25" hidden="false" customHeight="false" outlineLevel="0" collapsed="false">
      <c r="A679" s="12" t="s">
        <v>1419</v>
      </c>
      <c r="B679" s="16" t="n">
        <v>5</v>
      </c>
      <c r="C679" s="15"/>
      <c r="D679" s="16" t="s">
        <v>50</v>
      </c>
      <c r="E679" s="16" t="s">
        <v>51</v>
      </c>
      <c r="F679" s="16" t="s">
        <v>52</v>
      </c>
      <c r="G679" s="16" t="s">
        <v>506</v>
      </c>
      <c r="H679" s="16" t="s">
        <v>507</v>
      </c>
      <c r="I679" s="16" t="s">
        <v>77</v>
      </c>
      <c r="J679" s="16" t="s">
        <v>325</v>
      </c>
      <c r="K679" s="16"/>
      <c r="L679" s="16" t="s">
        <v>77</v>
      </c>
      <c r="M679" s="16" t="s">
        <v>325</v>
      </c>
      <c r="N679" s="16" t="s">
        <v>79</v>
      </c>
      <c r="O679" s="16" t="s">
        <v>68</v>
      </c>
      <c r="P679" s="16" t="s">
        <v>308</v>
      </c>
      <c r="Q679" s="16" t="s">
        <v>308</v>
      </c>
      <c r="R679" s="16" t="s">
        <v>309</v>
      </c>
      <c r="S679" s="16" t="s">
        <v>264</v>
      </c>
      <c r="T679" s="16" t="s">
        <v>1420</v>
      </c>
      <c r="U679" s="16" t="s">
        <v>73</v>
      </c>
      <c r="V679" s="16" t="n">
        <v>1.91</v>
      </c>
      <c r="W679" s="16" t="n">
        <v>1.66</v>
      </c>
      <c r="X679" s="22" t="n">
        <v>15000</v>
      </c>
      <c r="Y679" s="22" t="n">
        <v>15000</v>
      </c>
      <c r="Z679" s="22" t="n">
        <v>15000</v>
      </c>
      <c r="AA679" s="22" t="n">
        <v>15000</v>
      </c>
      <c r="AB679" s="22" t="n">
        <v>15000</v>
      </c>
      <c r="AC679" s="22" t="n">
        <v>15000</v>
      </c>
      <c r="AD679" s="22" t="n">
        <v>15000</v>
      </c>
      <c r="AE679" s="22" t="n">
        <v>15000</v>
      </c>
      <c r="AF679" s="22" t="n">
        <v>15000</v>
      </c>
      <c r="AG679" s="22" t="n">
        <v>15000</v>
      </c>
      <c r="AH679" s="22" t="n">
        <v>15000</v>
      </c>
      <c r="AI679" s="22" t="n">
        <v>15000</v>
      </c>
      <c r="AJ679" s="9" t="n">
        <f aca="false">X679*$V679</f>
        <v>28650</v>
      </c>
      <c r="AK679" s="9" t="n">
        <f aca="false">Y679*$V679</f>
        <v>28650</v>
      </c>
      <c r="AL679" s="9" t="n">
        <f aca="false">Z679*$V679</f>
        <v>28650</v>
      </c>
      <c r="AM679" s="9" t="n">
        <f aca="false">AA679*$V679</f>
        <v>28650</v>
      </c>
      <c r="AN679" s="9" t="n">
        <f aca="false">AB679*$V679</f>
        <v>28650</v>
      </c>
      <c r="AO679" s="9" t="n">
        <f aca="false">AC679*$V679</f>
        <v>28650</v>
      </c>
      <c r="AP679" s="9" t="n">
        <f aca="false">AD679*$V679</f>
        <v>28650</v>
      </c>
      <c r="AQ679" s="9" t="n">
        <f aca="false">AE679*$V679</f>
        <v>28650</v>
      </c>
      <c r="AR679" s="9" t="n">
        <f aca="false">AF679*$V679</f>
        <v>28650</v>
      </c>
      <c r="AS679" s="9" t="n">
        <f aca="false">AG679*$V679</f>
        <v>28650</v>
      </c>
      <c r="AT679" s="9" t="n">
        <f aca="false">AH679*$V679</f>
        <v>28650</v>
      </c>
      <c r="AU679" s="9" t="n">
        <f aca="false">AI679*$V679</f>
        <v>28650</v>
      </c>
      <c r="AV679" s="9" t="n">
        <f aca="false">SUM(X679:AI679)/1000</f>
        <v>180</v>
      </c>
      <c r="AW679" s="9" t="n">
        <f aca="false">SUM(AJ679:AU679)</f>
        <v>343800</v>
      </c>
      <c r="AX679" s="9" t="n">
        <f aca="false">IF(D679="INR",AW679/88.24,AW679)/1000000</f>
        <v>0.0038961922030825</v>
      </c>
    </row>
    <row r="680" s="2" customFormat="true" ht="14.25" hidden="false" customHeight="false" outlineLevel="0" collapsed="false">
      <c r="A680" s="12" t="s">
        <v>1421</v>
      </c>
      <c r="B680" s="16" t="n">
        <v>5</v>
      </c>
      <c r="C680" s="15"/>
      <c r="D680" s="16" t="s">
        <v>50</v>
      </c>
      <c r="E680" s="16" t="s">
        <v>51</v>
      </c>
      <c r="F680" s="16" t="s">
        <v>52</v>
      </c>
      <c r="G680" s="16" t="s">
        <v>506</v>
      </c>
      <c r="H680" s="16" t="s">
        <v>507</v>
      </c>
      <c r="I680" s="16" t="s">
        <v>77</v>
      </c>
      <c r="J680" s="16" t="s">
        <v>325</v>
      </c>
      <c r="K680" s="16"/>
      <c r="L680" s="16" t="s">
        <v>77</v>
      </c>
      <c r="M680" s="16" t="s">
        <v>325</v>
      </c>
      <c r="N680" s="16" t="s">
        <v>79</v>
      </c>
      <c r="O680" s="16" t="s">
        <v>68</v>
      </c>
      <c r="P680" s="16" t="s">
        <v>308</v>
      </c>
      <c r="Q680" s="16" t="s">
        <v>308</v>
      </c>
      <c r="R680" s="16" t="s">
        <v>309</v>
      </c>
      <c r="S680" s="16" t="s">
        <v>264</v>
      </c>
      <c r="T680" s="16" t="s">
        <v>1422</v>
      </c>
      <c r="U680" s="16" t="s">
        <v>73</v>
      </c>
      <c r="V680" s="16" t="n">
        <v>1.42</v>
      </c>
      <c r="W680" s="16" t="n">
        <v>1.3</v>
      </c>
      <c r="X680" s="22" t="n">
        <v>20000</v>
      </c>
      <c r="Y680" s="22" t="n">
        <v>20000</v>
      </c>
      <c r="Z680" s="22" t="n">
        <v>20000</v>
      </c>
      <c r="AA680" s="22" t="n">
        <v>20000</v>
      </c>
      <c r="AB680" s="22" t="n">
        <v>20000</v>
      </c>
      <c r="AC680" s="22" t="n">
        <v>20000</v>
      </c>
      <c r="AD680" s="22" t="n">
        <v>20000</v>
      </c>
      <c r="AE680" s="22" t="n">
        <v>20000</v>
      </c>
      <c r="AF680" s="22"/>
      <c r="AG680" s="22" t="n">
        <v>20000</v>
      </c>
      <c r="AH680" s="22" t="n">
        <v>20000</v>
      </c>
      <c r="AI680" s="22" t="n">
        <v>20000</v>
      </c>
      <c r="AJ680" s="9" t="n">
        <f aca="false">X680*$V680</f>
        <v>28400</v>
      </c>
      <c r="AK680" s="9" t="n">
        <f aca="false">Y680*$V680</f>
        <v>28400</v>
      </c>
      <c r="AL680" s="9" t="n">
        <f aca="false">Z680*$V680</f>
        <v>28400</v>
      </c>
      <c r="AM680" s="9" t="n">
        <f aca="false">AA680*$V680</f>
        <v>28400</v>
      </c>
      <c r="AN680" s="9" t="n">
        <f aca="false">AB680*$V680</f>
        <v>28400</v>
      </c>
      <c r="AO680" s="9" t="n">
        <f aca="false">AC680*$V680</f>
        <v>28400</v>
      </c>
      <c r="AP680" s="9" t="n">
        <f aca="false">AD680*$V680</f>
        <v>28400</v>
      </c>
      <c r="AQ680" s="9" t="n">
        <f aca="false">AE680*$V680</f>
        <v>28400</v>
      </c>
      <c r="AR680" s="9" t="n">
        <f aca="false">AF680*$V680</f>
        <v>0</v>
      </c>
      <c r="AS680" s="9" t="n">
        <f aca="false">AG680*$V680</f>
        <v>28400</v>
      </c>
      <c r="AT680" s="9" t="n">
        <f aca="false">AH680*$V680</f>
        <v>28400</v>
      </c>
      <c r="AU680" s="9" t="n">
        <f aca="false">AI680*$V680</f>
        <v>28400</v>
      </c>
      <c r="AV680" s="9" t="n">
        <f aca="false">SUM(X680:AI680)/1000</f>
        <v>220</v>
      </c>
      <c r="AW680" s="9" t="n">
        <f aca="false">SUM(AJ680:AU680)</f>
        <v>312400</v>
      </c>
      <c r="AX680" s="9" t="n">
        <f aca="false">IF(D680="INR",AW680/88.24,AW680)/1000000</f>
        <v>0.0035403445149592</v>
      </c>
    </row>
    <row r="681" s="2" customFormat="true" ht="14.25" hidden="false" customHeight="false" outlineLevel="0" collapsed="false">
      <c r="A681" s="12" t="s">
        <v>1423</v>
      </c>
      <c r="B681" s="16"/>
      <c r="C681" s="15"/>
      <c r="D681" s="16" t="s">
        <v>50</v>
      </c>
      <c r="E681" s="16" t="s">
        <v>51</v>
      </c>
      <c r="F681" s="16" t="s">
        <v>52</v>
      </c>
      <c r="G681" s="16" t="s">
        <v>773</v>
      </c>
      <c r="H681" s="16" t="s">
        <v>774</v>
      </c>
      <c r="I681" s="16" t="s">
        <v>105</v>
      </c>
      <c r="J681" s="16" t="s">
        <v>368</v>
      </c>
      <c r="K681" s="16"/>
      <c r="L681" s="16" t="s">
        <v>105</v>
      </c>
      <c r="M681" s="16" t="s">
        <v>368</v>
      </c>
      <c r="N681" s="16" t="s">
        <v>57</v>
      </c>
      <c r="O681" s="16" t="s">
        <v>107</v>
      </c>
      <c r="P681" s="16" t="s">
        <v>308</v>
      </c>
      <c r="Q681" s="16" t="s">
        <v>308</v>
      </c>
      <c r="R681" s="16" t="s">
        <v>309</v>
      </c>
      <c r="S681" s="16" t="s">
        <v>264</v>
      </c>
      <c r="T681" s="16" t="s">
        <v>1320</v>
      </c>
      <c r="U681" s="16" t="s">
        <v>73</v>
      </c>
      <c r="V681" s="16" t="n">
        <v>0.56</v>
      </c>
      <c r="W681" s="16" t="n">
        <v>0.49</v>
      </c>
      <c r="X681" s="16"/>
      <c r="Y681" s="16"/>
      <c r="Z681" s="16" t="n">
        <v>50000</v>
      </c>
      <c r="AA681" s="16"/>
      <c r="AB681" s="16"/>
      <c r="AC681" s="16"/>
      <c r="AD681" s="16" t="n">
        <v>50000</v>
      </c>
      <c r="AE681" s="16"/>
      <c r="AF681" s="16"/>
      <c r="AG681" s="16" t="n">
        <v>50000</v>
      </c>
      <c r="AH681" s="16"/>
      <c r="AI681" s="16"/>
      <c r="AJ681" s="9" t="n">
        <f aca="false">X681*$V681</f>
        <v>0</v>
      </c>
      <c r="AK681" s="9" t="n">
        <f aca="false">Y681*$V681</f>
        <v>0</v>
      </c>
      <c r="AL681" s="9" t="n">
        <f aca="false">Z681*$V681</f>
        <v>28000</v>
      </c>
      <c r="AM681" s="9" t="n">
        <f aca="false">AA681*$V681</f>
        <v>0</v>
      </c>
      <c r="AN681" s="9" t="n">
        <f aca="false">AB681*$V681</f>
        <v>0</v>
      </c>
      <c r="AO681" s="9" t="n">
        <f aca="false">AC681*$V681</f>
        <v>0</v>
      </c>
      <c r="AP681" s="9" t="n">
        <f aca="false">AD681*$V681</f>
        <v>28000</v>
      </c>
      <c r="AQ681" s="9" t="n">
        <f aca="false">AE681*$V681</f>
        <v>0</v>
      </c>
      <c r="AR681" s="9" t="n">
        <f aca="false">AF681*$V681</f>
        <v>0</v>
      </c>
      <c r="AS681" s="9" t="n">
        <f aca="false">AG681*$V681</f>
        <v>28000</v>
      </c>
      <c r="AT681" s="9" t="n">
        <f aca="false">AH681*$V681</f>
        <v>0</v>
      </c>
      <c r="AU681" s="9" t="n">
        <f aca="false">AI681*$V681</f>
        <v>0</v>
      </c>
      <c r="AV681" s="9" t="n">
        <f aca="false">SUM(X681:AI681)/1000</f>
        <v>150</v>
      </c>
      <c r="AW681" s="9" t="n">
        <f aca="false">SUM(AJ681:AU681)</f>
        <v>84000</v>
      </c>
      <c r="AX681" s="9" t="n">
        <f aca="false">IF(D681="INR",AW681/88.24,AW681)/1000000</f>
        <v>0.000951949229374434</v>
      </c>
    </row>
    <row r="682" s="2" customFormat="true" ht="14.25" hidden="false" customHeight="false" outlineLevel="0" collapsed="false">
      <c r="A682" s="12" t="s">
        <v>1424</v>
      </c>
      <c r="B682" s="16" t="n">
        <v>5</v>
      </c>
      <c r="C682" s="15"/>
      <c r="D682" s="16" t="s">
        <v>50</v>
      </c>
      <c r="E682" s="16" t="s">
        <v>51</v>
      </c>
      <c r="F682" s="16" t="s">
        <v>52</v>
      </c>
      <c r="G682" s="16" t="s">
        <v>391</v>
      </c>
      <c r="H682" s="16" t="s">
        <v>392</v>
      </c>
      <c r="I682" s="16" t="s">
        <v>260</v>
      </c>
      <c r="J682" s="16" t="s">
        <v>276</v>
      </c>
      <c r="K682" s="16"/>
      <c r="L682" s="16" t="s">
        <v>260</v>
      </c>
      <c r="M682" s="16" t="s">
        <v>276</v>
      </c>
      <c r="N682" s="16" t="s">
        <v>93</v>
      </c>
      <c r="O682" s="16" t="s">
        <v>58</v>
      </c>
      <c r="P682" s="16" t="s">
        <v>308</v>
      </c>
      <c r="Q682" s="16" t="s">
        <v>308</v>
      </c>
      <c r="R682" s="16" t="s">
        <v>309</v>
      </c>
      <c r="S682" s="16" t="s">
        <v>264</v>
      </c>
      <c r="T682" s="16" t="s">
        <v>1425</v>
      </c>
      <c r="U682" s="16" t="s">
        <v>73</v>
      </c>
      <c r="V682" s="16" t="n">
        <v>2.8</v>
      </c>
      <c r="W682" s="16" t="n">
        <v>2.4</v>
      </c>
      <c r="X682" s="22" t="n">
        <v>10000</v>
      </c>
      <c r="Y682" s="22" t="n">
        <v>10000</v>
      </c>
      <c r="Z682" s="22" t="n">
        <v>10000</v>
      </c>
      <c r="AA682" s="22" t="n">
        <v>10000</v>
      </c>
      <c r="AB682" s="22" t="n">
        <v>10000</v>
      </c>
      <c r="AC682" s="22" t="n">
        <v>10000</v>
      </c>
      <c r="AD682" s="22" t="n">
        <v>10000</v>
      </c>
      <c r="AE682" s="22" t="n">
        <v>10000</v>
      </c>
      <c r="AF682" s="22" t="n">
        <v>10000</v>
      </c>
      <c r="AG682" s="22" t="n">
        <v>10000</v>
      </c>
      <c r="AH682" s="22" t="n">
        <v>10000</v>
      </c>
      <c r="AI682" s="22" t="n">
        <v>10000</v>
      </c>
      <c r="AJ682" s="9" t="n">
        <f aca="false">X682*$V682</f>
        <v>28000</v>
      </c>
      <c r="AK682" s="9" t="n">
        <f aca="false">Y682*$V682</f>
        <v>28000</v>
      </c>
      <c r="AL682" s="9" t="n">
        <f aca="false">Z682*$V682</f>
        <v>28000</v>
      </c>
      <c r="AM682" s="9" t="n">
        <f aca="false">AA682*$V682</f>
        <v>28000</v>
      </c>
      <c r="AN682" s="9" t="n">
        <f aca="false">AB682*$V682</f>
        <v>28000</v>
      </c>
      <c r="AO682" s="9" t="n">
        <f aca="false">AC682*$V682</f>
        <v>28000</v>
      </c>
      <c r="AP682" s="9" t="n">
        <f aca="false">AD682*$V682</f>
        <v>28000</v>
      </c>
      <c r="AQ682" s="9" t="n">
        <f aca="false">AE682*$V682</f>
        <v>28000</v>
      </c>
      <c r="AR682" s="9" t="n">
        <f aca="false">AF682*$V682</f>
        <v>28000</v>
      </c>
      <c r="AS682" s="9" t="n">
        <f aca="false">AG682*$V682</f>
        <v>28000</v>
      </c>
      <c r="AT682" s="9" t="n">
        <f aca="false">AH682*$V682</f>
        <v>28000</v>
      </c>
      <c r="AU682" s="9" t="n">
        <f aca="false">AI682*$V682</f>
        <v>28000</v>
      </c>
      <c r="AV682" s="9" t="n">
        <f aca="false">SUM(X682:AI682)/1000</f>
        <v>120</v>
      </c>
      <c r="AW682" s="9" t="n">
        <f aca="false">SUM(AJ682:AU682)</f>
        <v>336000</v>
      </c>
      <c r="AX682" s="9" t="n">
        <f aca="false">IF(D682="INR",AW682/88.24,AW682)/1000000</f>
        <v>0.00380779691749773</v>
      </c>
    </row>
    <row r="683" s="2" customFormat="true" ht="14.25" hidden="false" customHeight="false" outlineLevel="0" collapsed="false">
      <c r="A683" s="12" t="s">
        <v>1426</v>
      </c>
      <c r="B683" s="16" t="n">
        <v>5</v>
      </c>
      <c r="C683" s="15"/>
      <c r="D683" s="16" t="s">
        <v>50</v>
      </c>
      <c r="E683" s="16" t="s">
        <v>51</v>
      </c>
      <c r="F683" s="16" t="s">
        <v>52</v>
      </c>
      <c r="G683" s="16" t="s">
        <v>638</v>
      </c>
      <c r="H683" s="16" t="s">
        <v>639</v>
      </c>
      <c r="I683" s="16" t="s">
        <v>77</v>
      </c>
      <c r="J683" s="16" t="s">
        <v>496</v>
      </c>
      <c r="K683" s="16"/>
      <c r="L683" s="16" t="s">
        <v>77</v>
      </c>
      <c r="M683" s="16" t="s">
        <v>496</v>
      </c>
      <c r="N683" s="16" t="s">
        <v>67</v>
      </c>
      <c r="O683" s="16" t="s">
        <v>58</v>
      </c>
      <c r="P683" s="16" t="s">
        <v>110</v>
      </c>
      <c r="Q683" s="16" t="s">
        <v>110</v>
      </c>
      <c r="R683" s="16" t="s">
        <v>137</v>
      </c>
      <c r="S683" s="16" t="s">
        <v>272</v>
      </c>
      <c r="T683" s="16" t="s">
        <v>1427</v>
      </c>
      <c r="U683" s="16" t="s">
        <v>73</v>
      </c>
      <c r="V683" s="16" t="n">
        <v>21</v>
      </c>
      <c r="W683" s="16" t="n">
        <v>0</v>
      </c>
      <c r="X683" s="22" t="n">
        <v>1300</v>
      </c>
      <c r="Y683" s="22" t="n">
        <v>1300</v>
      </c>
      <c r="Z683" s="22" t="n">
        <v>1300</v>
      </c>
      <c r="AA683" s="22" t="n">
        <v>1300</v>
      </c>
      <c r="AB683" s="22" t="n">
        <v>1300</v>
      </c>
      <c r="AC683" s="22" t="n">
        <v>1300</v>
      </c>
      <c r="AD683" s="22" t="n">
        <v>1300</v>
      </c>
      <c r="AE683" s="22" t="n">
        <v>1300</v>
      </c>
      <c r="AF683" s="22" t="n">
        <v>1300</v>
      </c>
      <c r="AG683" s="22" t="n">
        <v>1300</v>
      </c>
      <c r="AH683" s="22" t="n">
        <v>1300</v>
      </c>
      <c r="AI683" s="22" t="n">
        <v>1300</v>
      </c>
      <c r="AJ683" s="9" t="n">
        <f aca="false">X683*$V683</f>
        <v>27300</v>
      </c>
      <c r="AK683" s="9" t="n">
        <f aca="false">Y683*$V683</f>
        <v>27300</v>
      </c>
      <c r="AL683" s="9" t="n">
        <f aca="false">Z683*$V683</f>
        <v>27300</v>
      </c>
      <c r="AM683" s="9" t="n">
        <f aca="false">AA683*$V683</f>
        <v>27300</v>
      </c>
      <c r="AN683" s="9" t="n">
        <f aca="false">AB683*$V683</f>
        <v>27300</v>
      </c>
      <c r="AO683" s="9" t="n">
        <f aca="false">AC683*$V683</f>
        <v>27300</v>
      </c>
      <c r="AP683" s="9" t="n">
        <f aca="false">AD683*$V683</f>
        <v>27300</v>
      </c>
      <c r="AQ683" s="9" t="n">
        <f aca="false">AE683*$V683</f>
        <v>27300</v>
      </c>
      <c r="AR683" s="9" t="n">
        <f aca="false">AF683*$V683</f>
        <v>27300</v>
      </c>
      <c r="AS683" s="9" t="n">
        <f aca="false">AG683*$V683</f>
        <v>27300</v>
      </c>
      <c r="AT683" s="9" t="n">
        <f aca="false">AH683*$V683</f>
        <v>27300</v>
      </c>
      <c r="AU683" s="9" t="n">
        <f aca="false">AI683*$V683</f>
        <v>27300</v>
      </c>
      <c r="AV683" s="9" t="n">
        <f aca="false">SUM(X683:AI683)/1000</f>
        <v>15.6</v>
      </c>
      <c r="AW683" s="9" t="n">
        <f aca="false">SUM(AJ683:AU683)</f>
        <v>327600</v>
      </c>
      <c r="AX683" s="9" t="n">
        <f aca="false">IF(D683="INR",AW683/88.24,AW683)/1000000</f>
        <v>0.00371260199456029</v>
      </c>
    </row>
    <row r="684" s="2" customFormat="true" ht="14.25" hidden="false" customHeight="false" outlineLevel="0" collapsed="false">
      <c r="A684" s="12" t="s">
        <v>1428</v>
      </c>
      <c r="B684" s="16" t="n">
        <v>5</v>
      </c>
      <c r="C684" s="15"/>
      <c r="D684" s="16" t="s">
        <v>50</v>
      </c>
      <c r="E684" s="16" t="s">
        <v>51</v>
      </c>
      <c r="F684" s="16" t="s">
        <v>267</v>
      </c>
      <c r="G684" s="16" t="s">
        <v>1429</v>
      </c>
      <c r="H684" s="16" t="s">
        <v>1430</v>
      </c>
      <c r="I684" s="16" t="s">
        <v>105</v>
      </c>
      <c r="J684" s="16" t="s">
        <v>900</v>
      </c>
      <c r="K684" s="16"/>
      <c r="L684" s="16" t="s">
        <v>105</v>
      </c>
      <c r="M684" s="16" t="s">
        <v>900</v>
      </c>
      <c r="N684" s="16" t="s">
        <v>271</v>
      </c>
      <c r="O684" s="16" t="s">
        <v>94</v>
      </c>
      <c r="P684" s="16" t="s">
        <v>110</v>
      </c>
      <c r="Q684" s="16" t="s">
        <v>110</v>
      </c>
      <c r="R684" s="16" t="s">
        <v>137</v>
      </c>
      <c r="S684" s="16" t="s">
        <v>272</v>
      </c>
      <c r="T684" s="16" t="s">
        <v>1139</v>
      </c>
      <c r="U684" s="16" t="s">
        <v>73</v>
      </c>
      <c r="V684" s="16" t="n">
        <v>54</v>
      </c>
      <c r="W684" s="16" t="n">
        <v>0.373</v>
      </c>
      <c r="X684" s="22" t="n">
        <v>500</v>
      </c>
      <c r="Y684" s="22" t="n">
        <v>500</v>
      </c>
      <c r="Z684" s="22" t="n">
        <v>500</v>
      </c>
      <c r="AA684" s="22" t="n">
        <v>500</v>
      </c>
      <c r="AB684" s="22" t="n">
        <v>500</v>
      </c>
      <c r="AC684" s="22" t="n">
        <v>500</v>
      </c>
      <c r="AD684" s="22" t="n">
        <v>500</v>
      </c>
      <c r="AE684" s="22" t="n">
        <v>500</v>
      </c>
      <c r="AF684" s="22" t="n">
        <v>500</v>
      </c>
      <c r="AG684" s="22" t="n">
        <v>500</v>
      </c>
      <c r="AH684" s="22" t="n">
        <v>500</v>
      </c>
      <c r="AI684" s="22" t="n">
        <v>500</v>
      </c>
      <c r="AJ684" s="9" t="n">
        <f aca="false">X684*$V684</f>
        <v>27000</v>
      </c>
      <c r="AK684" s="9" t="n">
        <f aca="false">Y684*$V684</f>
        <v>27000</v>
      </c>
      <c r="AL684" s="9" t="n">
        <f aca="false">Z684*$V684</f>
        <v>27000</v>
      </c>
      <c r="AM684" s="9" t="n">
        <f aca="false">AA684*$V684</f>
        <v>27000</v>
      </c>
      <c r="AN684" s="9" t="n">
        <f aca="false">AB684*$V684</f>
        <v>27000</v>
      </c>
      <c r="AO684" s="9" t="n">
        <f aca="false">AC684*$V684</f>
        <v>27000</v>
      </c>
      <c r="AP684" s="9" t="n">
        <f aca="false">AD684*$V684</f>
        <v>27000</v>
      </c>
      <c r="AQ684" s="9" t="n">
        <f aca="false">AE684*$V684</f>
        <v>27000</v>
      </c>
      <c r="AR684" s="9" t="n">
        <f aca="false">AF684*$V684</f>
        <v>27000</v>
      </c>
      <c r="AS684" s="9" t="n">
        <f aca="false">AG684*$V684</f>
        <v>27000</v>
      </c>
      <c r="AT684" s="9" t="n">
        <f aca="false">AH684*$V684</f>
        <v>27000</v>
      </c>
      <c r="AU684" s="9" t="n">
        <f aca="false">AI684*$V684</f>
        <v>27000</v>
      </c>
      <c r="AV684" s="9" t="n">
        <f aca="false">SUM(X684:AI684)/1000</f>
        <v>6</v>
      </c>
      <c r="AW684" s="9" t="n">
        <f aca="false">SUM(AJ684:AU684)</f>
        <v>324000</v>
      </c>
      <c r="AX684" s="9" t="n">
        <f aca="false">IF(D684="INR",AW684/88.24,AW684)/1000000</f>
        <v>0.00367180417044424</v>
      </c>
    </row>
    <row r="685" s="2" customFormat="true" ht="14.25" hidden="false" customHeight="false" outlineLevel="0" collapsed="false">
      <c r="A685" s="12" t="s">
        <v>1431</v>
      </c>
      <c r="B685" s="16" t="n">
        <v>5</v>
      </c>
      <c r="C685" s="15"/>
      <c r="D685" s="16" t="s">
        <v>50</v>
      </c>
      <c r="E685" s="16" t="s">
        <v>51</v>
      </c>
      <c r="F685" s="16" t="s">
        <v>243</v>
      </c>
      <c r="G685" s="16" t="s">
        <v>1271</v>
      </c>
      <c r="H685" s="16" t="s">
        <v>1272</v>
      </c>
      <c r="I685" s="16" t="s">
        <v>105</v>
      </c>
      <c r="J685" s="16" t="s">
        <v>368</v>
      </c>
      <c r="K685" s="16" t="s">
        <v>1272</v>
      </c>
      <c r="L685" s="16" t="s">
        <v>105</v>
      </c>
      <c r="M685" s="16" t="s">
        <v>368</v>
      </c>
      <c r="N685" s="16" t="s">
        <v>93</v>
      </c>
      <c r="O685" s="16" t="s">
        <v>246</v>
      </c>
      <c r="P685" s="16" t="s">
        <v>760</v>
      </c>
      <c r="Q685" s="16" t="s">
        <v>760</v>
      </c>
      <c r="R685" s="16" t="s">
        <v>800</v>
      </c>
      <c r="S685" s="16" t="s">
        <v>968</v>
      </c>
      <c r="T685" s="16" t="s">
        <v>1432</v>
      </c>
      <c r="U685" s="16" t="s">
        <v>73</v>
      </c>
      <c r="V685" s="16" t="n">
        <v>5.28</v>
      </c>
      <c r="W685" s="16" t="n">
        <v>0.05</v>
      </c>
      <c r="X685" s="22" t="n">
        <v>5000</v>
      </c>
      <c r="Y685" s="16" t="n">
        <v>5000</v>
      </c>
      <c r="Z685" s="16" t="n">
        <v>5000</v>
      </c>
      <c r="AA685" s="16" t="n">
        <v>5000</v>
      </c>
      <c r="AB685" s="16" t="n">
        <v>5000</v>
      </c>
      <c r="AC685" s="16" t="n">
        <v>5000</v>
      </c>
      <c r="AD685" s="16" t="n">
        <v>5000</v>
      </c>
      <c r="AE685" s="16" t="n">
        <v>5000</v>
      </c>
      <c r="AF685" s="16" t="n">
        <v>5000</v>
      </c>
      <c r="AG685" s="16"/>
      <c r="AH685" s="16" t="n">
        <v>5000</v>
      </c>
      <c r="AI685" s="16"/>
      <c r="AJ685" s="9" t="n">
        <f aca="false">X685*$V685</f>
        <v>26400</v>
      </c>
      <c r="AK685" s="9" t="n">
        <f aca="false">Y685*$V685</f>
        <v>26400</v>
      </c>
      <c r="AL685" s="9" t="n">
        <f aca="false">Z685*$V685</f>
        <v>26400</v>
      </c>
      <c r="AM685" s="9" t="n">
        <f aca="false">AA685*$V685</f>
        <v>26400</v>
      </c>
      <c r="AN685" s="9" t="n">
        <f aca="false">AB685*$V685</f>
        <v>26400</v>
      </c>
      <c r="AO685" s="9" t="n">
        <f aca="false">AC685*$V685</f>
        <v>26400</v>
      </c>
      <c r="AP685" s="9" t="n">
        <f aca="false">AD685*$V685</f>
        <v>26400</v>
      </c>
      <c r="AQ685" s="9" t="n">
        <f aca="false">AE685*$V685</f>
        <v>26400</v>
      </c>
      <c r="AR685" s="9" t="n">
        <f aca="false">AF685*$V685</f>
        <v>26400</v>
      </c>
      <c r="AS685" s="9" t="n">
        <f aca="false">AG685*$V685</f>
        <v>0</v>
      </c>
      <c r="AT685" s="9" t="n">
        <f aca="false">AH685*$V685</f>
        <v>26400</v>
      </c>
      <c r="AU685" s="9" t="n">
        <f aca="false">AI685*$V685</f>
        <v>0</v>
      </c>
      <c r="AV685" s="9" t="n">
        <f aca="false">SUM(X685:AI685)/1000</f>
        <v>50</v>
      </c>
      <c r="AW685" s="9" t="n">
        <f aca="false">SUM(AJ685:AU685)</f>
        <v>264000</v>
      </c>
      <c r="AX685" s="9" t="n">
        <f aca="false">IF(D685="INR",AW685/88.24,AW685)/1000000</f>
        <v>0.00299184043517679</v>
      </c>
    </row>
    <row r="686" s="2" customFormat="true" ht="14.25" hidden="false" customHeight="false" outlineLevel="0" collapsed="false">
      <c r="A686" s="12" t="s">
        <v>1433</v>
      </c>
      <c r="B686" s="16" t="n">
        <v>5</v>
      </c>
      <c r="C686" s="15"/>
      <c r="D686" s="16" t="s">
        <v>50</v>
      </c>
      <c r="E686" s="16" t="s">
        <v>51</v>
      </c>
      <c r="F686" s="16" t="s">
        <v>243</v>
      </c>
      <c r="G686" s="16" t="s">
        <v>470</v>
      </c>
      <c r="H686" s="16" t="s">
        <v>471</v>
      </c>
      <c r="I686" s="16" t="s">
        <v>55</v>
      </c>
      <c r="J686" s="16" t="s">
        <v>100</v>
      </c>
      <c r="K686" s="16"/>
      <c r="L686" s="16" t="s">
        <v>55</v>
      </c>
      <c r="M686" s="16" t="s">
        <v>100</v>
      </c>
      <c r="N686" s="16" t="s">
        <v>93</v>
      </c>
      <c r="O686" s="16" t="s">
        <v>246</v>
      </c>
      <c r="P686" s="16" t="s">
        <v>308</v>
      </c>
      <c r="Q686" s="16" t="s">
        <v>308</v>
      </c>
      <c r="R686" s="16" t="s">
        <v>309</v>
      </c>
      <c r="S686" s="16" t="s">
        <v>264</v>
      </c>
      <c r="T686" s="16" t="s">
        <v>1142</v>
      </c>
      <c r="U686" s="16" t="s">
        <v>73</v>
      </c>
      <c r="V686" s="16" t="n">
        <v>3.5</v>
      </c>
      <c r="W686" s="16" t="n">
        <v>2.14</v>
      </c>
      <c r="X686" s="22" t="n">
        <v>7500</v>
      </c>
      <c r="Y686" s="22" t="n">
        <v>7500</v>
      </c>
      <c r="Z686" s="22" t="n">
        <v>7500</v>
      </c>
      <c r="AA686" s="22" t="n">
        <v>7500</v>
      </c>
      <c r="AB686" s="22" t="n">
        <v>7500</v>
      </c>
      <c r="AC686" s="22" t="n">
        <v>7500</v>
      </c>
      <c r="AD686" s="22" t="n">
        <v>7500</v>
      </c>
      <c r="AE686" s="22" t="n">
        <v>7500</v>
      </c>
      <c r="AF686" s="22" t="n">
        <v>10000</v>
      </c>
      <c r="AG686" s="22" t="n">
        <v>10000</v>
      </c>
      <c r="AH686" s="22" t="n">
        <v>10000</v>
      </c>
      <c r="AI686" s="22" t="n">
        <v>10000</v>
      </c>
      <c r="AJ686" s="9" t="n">
        <f aca="false">X686*$V686</f>
        <v>26250</v>
      </c>
      <c r="AK686" s="9" t="n">
        <f aca="false">Y686*$V686</f>
        <v>26250</v>
      </c>
      <c r="AL686" s="9" t="n">
        <f aca="false">Z686*$V686</f>
        <v>26250</v>
      </c>
      <c r="AM686" s="9" t="n">
        <f aca="false">AA686*$V686</f>
        <v>26250</v>
      </c>
      <c r="AN686" s="9" t="n">
        <f aca="false">AB686*$V686</f>
        <v>26250</v>
      </c>
      <c r="AO686" s="9" t="n">
        <f aca="false">AC686*$V686</f>
        <v>26250</v>
      </c>
      <c r="AP686" s="9" t="n">
        <f aca="false">AD686*$V686</f>
        <v>26250</v>
      </c>
      <c r="AQ686" s="9" t="n">
        <f aca="false">AE686*$V686</f>
        <v>26250</v>
      </c>
      <c r="AR686" s="9" t="n">
        <f aca="false">AF686*$V686</f>
        <v>35000</v>
      </c>
      <c r="AS686" s="9" t="n">
        <f aca="false">AG686*$V686</f>
        <v>35000</v>
      </c>
      <c r="AT686" s="9" t="n">
        <f aca="false">AH686*$V686</f>
        <v>35000</v>
      </c>
      <c r="AU686" s="9" t="n">
        <f aca="false">AI686*$V686</f>
        <v>35000</v>
      </c>
      <c r="AV686" s="9" t="n">
        <f aca="false">SUM(X686:AI686)/1000</f>
        <v>100</v>
      </c>
      <c r="AW686" s="9" t="n">
        <f aca="false">SUM(AJ686:AU686)</f>
        <v>350000</v>
      </c>
      <c r="AX686" s="9" t="n">
        <f aca="false">IF(D686="INR",AW686/88.24,AW686)/1000000</f>
        <v>0.00396645512239347</v>
      </c>
    </row>
    <row r="687" s="2" customFormat="true" ht="14.25" hidden="false" customHeight="false" outlineLevel="0" collapsed="false">
      <c r="A687" s="12" t="s">
        <v>1434</v>
      </c>
      <c r="B687" s="16" t="n">
        <v>5</v>
      </c>
      <c r="C687" s="15"/>
      <c r="D687" s="16" t="s">
        <v>50</v>
      </c>
      <c r="E687" s="16" t="s">
        <v>51</v>
      </c>
      <c r="F687" s="16" t="s">
        <v>404</v>
      </c>
      <c r="G687" s="16" t="s">
        <v>1435</v>
      </c>
      <c r="H687" s="16" t="s">
        <v>1436</v>
      </c>
      <c r="I687" s="16" t="s">
        <v>105</v>
      </c>
      <c r="J687" s="16" t="s">
        <v>900</v>
      </c>
      <c r="K687" s="16"/>
      <c r="L687" s="16" t="s">
        <v>105</v>
      </c>
      <c r="M687" s="16" t="s">
        <v>900</v>
      </c>
      <c r="N687" s="16" t="s">
        <v>271</v>
      </c>
      <c r="O687" s="16" t="s">
        <v>94</v>
      </c>
      <c r="P687" s="16" t="s">
        <v>110</v>
      </c>
      <c r="Q687" s="16" t="s">
        <v>110</v>
      </c>
      <c r="R687" s="16" t="s">
        <v>137</v>
      </c>
      <c r="S687" s="16" t="s">
        <v>272</v>
      </c>
      <c r="T687" s="16" t="s">
        <v>1437</v>
      </c>
      <c r="U687" s="16" t="s">
        <v>73</v>
      </c>
      <c r="V687" s="16" t="n">
        <v>52</v>
      </c>
      <c r="W687" s="16" t="n">
        <v>0.373</v>
      </c>
      <c r="X687" s="22" t="n">
        <v>500</v>
      </c>
      <c r="Y687" s="16" t="n">
        <v>500</v>
      </c>
      <c r="Z687" s="16" t="n">
        <v>500</v>
      </c>
      <c r="AA687" s="16" t="n">
        <v>500</v>
      </c>
      <c r="AB687" s="16" t="n">
        <v>500</v>
      </c>
      <c r="AC687" s="16" t="n">
        <v>500</v>
      </c>
      <c r="AD687" s="16" t="n">
        <v>500</v>
      </c>
      <c r="AE687" s="16" t="n">
        <v>500</v>
      </c>
      <c r="AF687" s="16" t="n">
        <v>500</v>
      </c>
      <c r="AG687" s="16" t="n">
        <v>500</v>
      </c>
      <c r="AH687" s="16" t="n">
        <v>500</v>
      </c>
      <c r="AI687" s="16" t="n">
        <v>500</v>
      </c>
      <c r="AJ687" s="9" t="n">
        <f aca="false">X687*$V687</f>
        <v>26000</v>
      </c>
      <c r="AK687" s="9" t="n">
        <f aca="false">Y687*$V687</f>
        <v>26000</v>
      </c>
      <c r="AL687" s="9" t="n">
        <f aca="false">Z687*$V687</f>
        <v>26000</v>
      </c>
      <c r="AM687" s="9" t="n">
        <f aca="false">AA687*$V687</f>
        <v>26000</v>
      </c>
      <c r="AN687" s="9" t="n">
        <f aca="false">AB687*$V687</f>
        <v>26000</v>
      </c>
      <c r="AO687" s="9" t="n">
        <f aca="false">AC687*$V687</f>
        <v>26000</v>
      </c>
      <c r="AP687" s="9" t="n">
        <f aca="false">AD687*$V687</f>
        <v>26000</v>
      </c>
      <c r="AQ687" s="9" t="n">
        <f aca="false">AE687*$V687</f>
        <v>26000</v>
      </c>
      <c r="AR687" s="9" t="n">
        <f aca="false">AF687*$V687</f>
        <v>26000</v>
      </c>
      <c r="AS687" s="9" t="n">
        <f aca="false">AG687*$V687</f>
        <v>26000</v>
      </c>
      <c r="AT687" s="9" t="n">
        <f aca="false">AH687*$V687</f>
        <v>26000</v>
      </c>
      <c r="AU687" s="9" t="n">
        <f aca="false">AI687*$V687</f>
        <v>26000</v>
      </c>
      <c r="AV687" s="9" t="n">
        <f aca="false">SUM(X687:AI687)/1000</f>
        <v>6</v>
      </c>
      <c r="AW687" s="9" t="n">
        <f aca="false">SUM(AJ687:AU687)</f>
        <v>312000</v>
      </c>
      <c r="AX687" s="9" t="n">
        <f aca="false">IF(D687="INR",AW687/88.24,AW687)/1000000</f>
        <v>0.00353581142339075</v>
      </c>
    </row>
    <row r="688" s="2" customFormat="true" ht="14.25" hidden="false" customHeight="false" outlineLevel="0" collapsed="false">
      <c r="A688" s="12" t="s">
        <v>1438</v>
      </c>
      <c r="B688" s="16" t="n">
        <v>5</v>
      </c>
      <c r="C688" s="15"/>
      <c r="D688" s="16" t="s">
        <v>50</v>
      </c>
      <c r="E688" s="16" t="s">
        <v>51</v>
      </c>
      <c r="F688" s="16" t="s">
        <v>52</v>
      </c>
      <c r="G688" s="16" t="s">
        <v>323</v>
      </c>
      <c r="H688" s="16" t="s">
        <v>324</v>
      </c>
      <c r="I688" s="16" t="s">
        <v>77</v>
      </c>
      <c r="J688" s="16" t="s">
        <v>325</v>
      </c>
      <c r="K688" s="16"/>
      <c r="L688" s="16" t="s">
        <v>77</v>
      </c>
      <c r="M688" s="16" t="s">
        <v>325</v>
      </c>
      <c r="N688" s="16" t="s">
        <v>67</v>
      </c>
      <c r="O688" s="16" t="s">
        <v>68</v>
      </c>
      <c r="P688" s="16" t="s">
        <v>80</v>
      </c>
      <c r="Q688" s="16" t="s">
        <v>80</v>
      </c>
      <c r="R688" s="16" t="s">
        <v>81</v>
      </c>
      <c r="S688" s="16" t="s">
        <v>82</v>
      </c>
      <c r="T688" s="16" t="s">
        <v>1439</v>
      </c>
      <c r="U688" s="16" t="s">
        <v>73</v>
      </c>
      <c r="V688" s="16" t="n">
        <v>2.55</v>
      </c>
      <c r="W688" s="16" t="n">
        <v>2.2521</v>
      </c>
      <c r="X688" s="22" t="n">
        <v>10000</v>
      </c>
      <c r="Y688" s="16" t="n">
        <v>10000</v>
      </c>
      <c r="Z688" s="16" t="n">
        <v>10000</v>
      </c>
      <c r="AA688" s="16" t="n">
        <v>10000</v>
      </c>
      <c r="AB688" s="16" t="n">
        <v>10000</v>
      </c>
      <c r="AC688" s="16" t="n">
        <v>10000</v>
      </c>
      <c r="AD688" s="16" t="n">
        <v>10000</v>
      </c>
      <c r="AE688" s="16" t="n">
        <v>10000</v>
      </c>
      <c r="AF688" s="16" t="n">
        <v>10000</v>
      </c>
      <c r="AG688" s="16" t="n">
        <v>10000</v>
      </c>
      <c r="AH688" s="16" t="n">
        <v>10000</v>
      </c>
      <c r="AI688" s="16" t="n">
        <v>10000</v>
      </c>
      <c r="AJ688" s="9" t="n">
        <f aca="false">X688*$V688</f>
        <v>25500</v>
      </c>
      <c r="AK688" s="9" t="n">
        <f aca="false">Y688*$V688</f>
        <v>25500</v>
      </c>
      <c r="AL688" s="9" t="n">
        <f aca="false">Z688*$V688</f>
        <v>25500</v>
      </c>
      <c r="AM688" s="9" t="n">
        <f aca="false">AA688*$V688</f>
        <v>25500</v>
      </c>
      <c r="AN688" s="9" t="n">
        <f aca="false">AB688*$V688</f>
        <v>25500</v>
      </c>
      <c r="AO688" s="9" t="n">
        <f aca="false">AC688*$V688</f>
        <v>25500</v>
      </c>
      <c r="AP688" s="9" t="n">
        <f aca="false">AD688*$V688</f>
        <v>25500</v>
      </c>
      <c r="AQ688" s="9" t="n">
        <f aca="false">AE688*$V688</f>
        <v>25500</v>
      </c>
      <c r="AR688" s="9" t="n">
        <f aca="false">AF688*$V688</f>
        <v>25500</v>
      </c>
      <c r="AS688" s="9" t="n">
        <f aca="false">AG688*$V688</f>
        <v>25500</v>
      </c>
      <c r="AT688" s="9" t="n">
        <f aca="false">AH688*$V688</f>
        <v>25500</v>
      </c>
      <c r="AU688" s="9" t="n">
        <f aca="false">AI688*$V688</f>
        <v>25500</v>
      </c>
      <c r="AV688" s="9" t="n">
        <f aca="false">SUM(X688:AI688)/1000</f>
        <v>120</v>
      </c>
      <c r="AW688" s="9" t="n">
        <f aca="false">SUM(AJ688:AU688)</f>
        <v>306000</v>
      </c>
      <c r="AX688" s="9" t="n">
        <f aca="false">IF(D688="INR",AW688/88.24,AW688)/1000000</f>
        <v>0.00346781504986401</v>
      </c>
    </row>
    <row r="689" s="2" customFormat="true" ht="14.25" hidden="false" customHeight="false" outlineLevel="0" collapsed="false">
      <c r="A689" s="12" t="s">
        <v>1440</v>
      </c>
      <c r="B689" s="16" t="n">
        <v>5</v>
      </c>
      <c r="C689" s="15"/>
      <c r="D689" s="16" t="s">
        <v>50</v>
      </c>
      <c r="E689" s="16" t="s">
        <v>51</v>
      </c>
      <c r="F689" s="16" t="s">
        <v>404</v>
      </c>
      <c r="G689" s="16" t="s">
        <v>1441</v>
      </c>
      <c r="H689" s="16" t="s">
        <v>1442</v>
      </c>
      <c r="I689" s="16" t="s">
        <v>105</v>
      </c>
      <c r="J689" s="16" t="s">
        <v>368</v>
      </c>
      <c r="K689" s="16"/>
      <c r="L689" s="16" t="s">
        <v>105</v>
      </c>
      <c r="M689" s="16" t="s">
        <v>368</v>
      </c>
      <c r="N689" s="16" t="s">
        <v>271</v>
      </c>
      <c r="O689" s="16" t="s">
        <v>94</v>
      </c>
      <c r="P689" s="16" t="s">
        <v>110</v>
      </c>
      <c r="Q689" s="16" t="s">
        <v>110</v>
      </c>
      <c r="R689" s="16" t="s">
        <v>137</v>
      </c>
      <c r="S689" s="16" t="s">
        <v>272</v>
      </c>
      <c r="T689" s="16" t="s">
        <v>1443</v>
      </c>
      <c r="U689" s="16" t="s">
        <v>73</v>
      </c>
      <c r="V689" s="16" t="n">
        <v>49</v>
      </c>
      <c r="W689" s="16" t="n">
        <v>0.327</v>
      </c>
      <c r="X689" s="16"/>
      <c r="Y689" s="16"/>
      <c r="Z689" s="16" t="n">
        <v>500</v>
      </c>
      <c r="AA689" s="16"/>
      <c r="AB689" s="16"/>
      <c r="AC689" s="16" t="n">
        <v>500</v>
      </c>
      <c r="AD689" s="16"/>
      <c r="AE689" s="16"/>
      <c r="AF689" s="16" t="n">
        <v>500</v>
      </c>
      <c r="AG689" s="16"/>
      <c r="AH689" s="16"/>
      <c r="AI689" s="16" t="n">
        <v>500</v>
      </c>
      <c r="AJ689" s="9" t="n">
        <f aca="false">X689*$V689</f>
        <v>0</v>
      </c>
      <c r="AK689" s="9" t="n">
        <f aca="false">Y689*$V689</f>
        <v>0</v>
      </c>
      <c r="AL689" s="9" t="n">
        <f aca="false">Z689*$V689</f>
        <v>24500</v>
      </c>
      <c r="AM689" s="9" t="n">
        <f aca="false">AA689*$V689</f>
        <v>0</v>
      </c>
      <c r="AN689" s="9" t="n">
        <f aca="false">AB689*$V689</f>
        <v>0</v>
      </c>
      <c r="AO689" s="9" t="n">
        <f aca="false">AC689*$V689</f>
        <v>24500</v>
      </c>
      <c r="AP689" s="9" t="n">
        <f aca="false">AD689*$V689</f>
        <v>0</v>
      </c>
      <c r="AQ689" s="9" t="n">
        <f aca="false">AE689*$V689</f>
        <v>0</v>
      </c>
      <c r="AR689" s="9" t="n">
        <f aca="false">AF689*$V689</f>
        <v>24500</v>
      </c>
      <c r="AS689" s="9" t="n">
        <f aca="false">AG689*$V689</f>
        <v>0</v>
      </c>
      <c r="AT689" s="9" t="n">
        <f aca="false">AH689*$V689</f>
        <v>0</v>
      </c>
      <c r="AU689" s="9" t="n">
        <f aca="false">AI689*$V689</f>
        <v>24500</v>
      </c>
      <c r="AV689" s="9" t="n">
        <f aca="false">SUM(X689:AI689)/1000</f>
        <v>2</v>
      </c>
      <c r="AW689" s="9" t="n">
        <f aca="false">SUM(AJ689:AU689)</f>
        <v>98000</v>
      </c>
      <c r="AX689" s="9" t="n">
        <f aca="false">IF(D689="INR",AW689/88.24,AW689)/1000000</f>
        <v>0.00111060743427017</v>
      </c>
    </row>
    <row r="690" s="2" customFormat="true" ht="14.25" hidden="false" customHeight="false" outlineLevel="0" collapsed="false">
      <c r="A690" s="12" t="s">
        <v>1444</v>
      </c>
      <c r="B690" s="16" t="n">
        <v>5</v>
      </c>
      <c r="C690" s="15"/>
      <c r="D690" s="16" t="s">
        <v>102</v>
      </c>
      <c r="E690" s="16" t="s">
        <v>51</v>
      </c>
      <c r="F690" s="16" t="s">
        <v>52</v>
      </c>
      <c r="G690" s="16" t="s">
        <v>439</v>
      </c>
      <c r="H690" s="16" t="s">
        <v>440</v>
      </c>
      <c r="I690" s="16" t="s">
        <v>260</v>
      </c>
      <c r="J690" s="16" t="s">
        <v>1445</v>
      </c>
      <c r="K690" s="16"/>
      <c r="L690" s="16" t="s">
        <v>260</v>
      </c>
      <c r="M690" s="16" t="s">
        <v>1445</v>
      </c>
      <c r="N690" s="16" t="s">
        <v>67</v>
      </c>
      <c r="O690" s="16" t="s">
        <v>58</v>
      </c>
      <c r="P690" s="16" t="s">
        <v>199</v>
      </c>
      <c r="Q690" s="16" t="s">
        <v>199</v>
      </c>
      <c r="R690" s="16" t="s">
        <v>377</v>
      </c>
      <c r="S690" s="16" t="s">
        <v>528</v>
      </c>
      <c r="T690" s="16" t="s">
        <v>1446</v>
      </c>
      <c r="U690" s="16" t="s">
        <v>73</v>
      </c>
      <c r="V690" s="16" t="n">
        <v>0.008</v>
      </c>
      <c r="W690" s="16" t="n">
        <v>0.00707</v>
      </c>
      <c r="X690" s="22"/>
      <c r="Y690" s="22" t="n">
        <v>50000</v>
      </c>
      <c r="Z690" s="22" t="n">
        <v>50000</v>
      </c>
      <c r="AA690" s="22" t="n">
        <v>50000</v>
      </c>
      <c r="AB690" s="22" t="n">
        <v>50000</v>
      </c>
      <c r="AC690" s="22" t="n">
        <v>50000</v>
      </c>
      <c r="AD690" s="22" t="n">
        <v>50000</v>
      </c>
      <c r="AE690" s="22" t="n">
        <v>50000</v>
      </c>
      <c r="AF690" s="22" t="n">
        <v>50000</v>
      </c>
      <c r="AG690" s="22"/>
      <c r="AH690" s="22" t="n">
        <v>50000</v>
      </c>
      <c r="AI690" s="22" t="n">
        <v>50000</v>
      </c>
      <c r="AJ690" s="9" t="n">
        <f aca="false">X690*$V690</f>
        <v>0</v>
      </c>
      <c r="AK690" s="9" t="n">
        <f aca="false">Y690*$V690</f>
        <v>400</v>
      </c>
      <c r="AL690" s="9" t="n">
        <f aca="false">Z690*$V690</f>
        <v>400</v>
      </c>
      <c r="AM690" s="9" t="n">
        <f aca="false">AA690*$V690</f>
        <v>400</v>
      </c>
      <c r="AN690" s="9" t="n">
        <f aca="false">AB690*$V690</f>
        <v>400</v>
      </c>
      <c r="AO690" s="9" t="n">
        <f aca="false">AC690*$V690</f>
        <v>400</v>
      </c>
      <c r="AP690" s="9" t="n">
        <f aca="false">AD690*$V690</f>
        <v>400</v>
      </c>
      <c r="AQ690" s="9" t="n">
        <f aca="false">AE690*$V690</f>
        <v>400</v>
      </c>
      <c r="AR690" s="9" t="n">
        <f aca="false">AF690*$V690</f>
        <v>400</v>
      </c>
      <c r="AS690" s="9" t="n">
        <f aca="false">AG690*$V690</f>
        <v>0</v>
      </c>
      <c r="AT690" s="9" t="n">
        <f aca="false">AH690*$V690</f>
        <v>400</v>
      </c>
      <c r="AU690" s="9" t="n">
        <f aca="false">AI690*$V690</f>
        <v>400</v>
      </c>
      <c r="AV690" s="9" t="n">
        <f aca="false">SUM(X690:AI690)/1000</f>
        <v>500</v>
      </c>
      <c r="AW690" s="9" t="n">
        <f aca="false">SUM(AJ690:AU690)</f>
        <v>4000</v>
      </c>
      <c r="AX690" s="9" t="n">
        <f aca="false">IF(D690="INR",AW690/88.24,AW690)/1000000</f>
        <v>0.004</v>
      </c>
    </row>
    <row r="691" s="2" customFormat="true" ht="14.25" hidden="false" customHeight="false" outlineLevel="0" collapsed="false">
      <c r="A691" s="12" t="s">
        <v>1447</v>
      </c>
      <c r="B691" s="16" t="n">
        <v>5</v>
      </c>
      <c r="C691" s="15"/>
      <c r="D691" s="16" t="s">
        <v>102</v>
      </c>
      <c r="E691" s="16" t="s">
        <v>51</v>
      </c>
      <c r="F691" s="16" t="s">
        <v>52</v>
      </c>
      <c r="G691" s="16" t="s">
        <v>439</v>
      </c>
      <c r="H691" s="16" t="s">
        <v>440</v>
      </c>
      <c r="I691" s="16" t="s">
        <v>260</v>
      </c>
      <c r="J691" s="16" t="s">
        <v>1445</v>
      </c>
      <c r="K691" s="16"/>
      <c r="L691" s="16" t="s">
        <v>260</v>
      </c>
      <c r="M691" s="16" t="s">
        <v>1445</v>
      </c>
      <c r="N691" s="16" t="s">
        <v>67</v>
      </c>
      <c r="O691" s="16" t="s">
        <v>58</v>
      </c>
      <c r="P691" s="16" t="s">
        <v>199</v>
      </c>
      <c r="Q691" s="16" t="s">
        <v>199</v>
      </c>
      <c r="R691" s="16" t="s">
        <v>377</v>
      </c>
      <c r="S691" s="16" t="s">
        <v>528</v>
      </c>
      <c r="T691" s="16" t="s">
        <v>1448</v>
      </c>
      <c r="U691" s="16" t="s">
        <v>73</v>
      </c>
      <c r="V691" s="15" t="n">
        <v>0.07</v>
      </c>
      <c r="W691" s="33" t="n">
        <v>0.0564</v>
      </c>
      <c r="X691" s="16"/>
      <c r="Y691" s="16"/>
      <c r="Z691" s="16" t="n">
        <v>40000</v>
      </c>
      <c r="AA691" s="16" t="n">
        <v>40000</v>
      </c>
      <c r="AB691" s="16" t="n">
        <v>40000</v>
      </c>
      <c r="AC691" s="16" t="n">
        <v>40000</v>
      </c>
      <c r="AD691" s="16" t="n">
        <v>40000</v>
      </c>
      <c r="AE691" s="16" t="n">
        <v>40000</v>
      </c>
      <c r="AF691" s="16" t="n">
        <v>40000</v>
      </c>
      <c r="AG691" s="16" t="n">
        <v>40000</v>
      </c>
      <c r="AH691" s="16" t="n">
        <v>40000</v>
      </c>
      <c r="AI691" s="16" t="n">
        <v>40000</v>
      </c>
      <c r="AJ691" s="9" t="n">
        <f aca="false">X691*$V691</f>
        <v>0</v>
      </c>
      <c r="AK691" s="9" t="n">
        <f aca="false">Y691*$V691</f>
        <v>0</v>
      </c>
      <c r="AL691" s="9" t="n">
        <f aca="false">Z691*$V691</f>
        <v>2800</v>
      </c>
      <c r="AM691" s="9" t="n">
        <f aca="false">AA691*$V691</f>
        <v>2800</v>
      </c>
      <c r="AN691" s="9" t="n">
        <f aca="false">AB691*$V691</f>
        <v>2800</v>
      </c>
      <c r="AO691" s="9" t="n">
        <f aca="false">AC691*$V691</f>
        <v>2800</v>
      </c>
      <c r="AP691" s="9" t="n">
        <f aca="false">AD691*$V691</f>
        <v>2800</v>
      </c>
      <c r="AQ691" s="9" t="n">
        <f aca="false">AE691*$V691</f>
        <v>2800</v>
      </c>
      <c r="AR691" s="9" t="n">
        <f aca="false">AF691*$V691</f>
        <v>2800</v>
      </c>
      <c r="AS691" s="9" t="n">
        <f aca="false">AG691*$V691</f>
        <v>2800</v>
      </c>
      <c r="AT691" s="9" t="n">
        <f aca="false">AH691*$V691</f>
        <v>2800</v>
      </c>
      <c r="AU691" s="9" t="n">
        <f aca="false">AI691*$V691</f>
        <v>2800</v>
      </c>
      <c r="AV691" s="9" t="n">
        <f aca="false">SUM(X691:AI691)/1000</f>
        <v>400</v>
      </c>
      <c r="AW691" s="9" t="n">
        <f aca="false">SUM(AJ691:AU691)</f>
        <v>28000</v>
      </c>
      <c r="AX691" s="9" t="n">
        <f aca="false">IF(D691="INR",AW691/88.24,AW691)/1000000</f>
        <v>0.028</v>
      </c>
    </row>
    <row r="692" s="2" customFormat="true" ht="14.25" hidden="false" customHeight="false" outlineLevel="0" collapsed="false">
      <c r="A692" s="9"/>
      <c r="B692" s="9" t="n">
        <v>1</v>
      </c>
      <c r="C692" s="10"/>
      <c r="D692" s="16" t="s">
        <v>50</v>
      </c>
      <c r="E692" s="16" t="s">
        <v>51</v>
      </c>
      <c r="F692" s="16" t="s">
        <v>52</v>
      </c>
      <c r="G692" s="16" t="s">
        <v>781</v>
      </c>
      <c r="H692" s="16" t="s">
        <v>495</v>
      </c>
      <c r="I692" s="16" t="s">
        <v>77</v>
      </c>
      <c r="J692" s="16" t="s">
        <v>496</v>
      </c>
      <c r="K692" s="16" t="s">
        <v>495</v>
      </c>
      <c r="L692" s="16" t="s">
        <v>77</v>
      </c>
      <c r="M692" s="16" t="s">
        <v>496</v>
      </c>
      <c r="N692" s="16" t="s">
        <v>57</v>
      </c>
      <c r="O692" s="16" t="s">
        <v>94</v>
      </c>
      <c r="P692" s="9" t="s">
        <v>1085</v>
      </c>
      <c r="Q692" s="9" t="s">
        <v>1085</v>
      </c>
      <c r="R692" s="9"/>
      <c r="S692" s="9"/>
      <c r="T692" s="9" t="s">
        <v>1449</v>
      </c>
      <c r="U692" s="9"/>
      <c r="V692" s="36" t="n">
        <v>1.53</v>
      </c>
      <c r="W692" s="9"/>
      <c r="X692" s="22" t="n">
        <v>16000</v>
      </c>
      <c r="Y692" s="9" t="n">
        <v>16000</v>
      </c>
      <c r="Z692" s="9" t="n">
        <v>16000</v>
      </c>
      <c r="AA692" s="9" t="n">
        <v>16000</v>
      </c>
      <c r="AB692" s="9" t="n">
        <v>16000</v>
      </c>
      <c r="AC692" s="9" t="n">
        <v>16000</v>
      </c>
      <c r="AD692" s="9" t="n">
        <v>16000</v>
      </c>
      <c r="AE692" s="9" t="n">
        <v>16000</v>
      </c>
      <c r="AF692" s="9" t="n">
        <v>16000</v>
      </c>
      <c r="AG692" s="9" t="n">
        <v>16000</v>
      </c>
      <c r="AH692" s="9" t="n">
        <v>16000</v>
      </c>
      <c r="AI692" s="9" t="n">
        <v>16000</v>
      </c>
      <c r="AJ692" s="9" t="n">
        <f aca="false">X692*$V692</f>
        <v>24480</v>
      </c>
      <c r="AK692" s="9" t="n">
        <f aca="false">Y692*$V692</f>
        <v>24480</v>
      </c>
      <c r="AL692" s="9" t="n">
        <f aca="false">Z692*$V692</f>
        <v>24480</v>
      </c>
      <c r="AM692" s="9" t="n">
        <f aca="false">AA692*$V692</f>
        <v>24480</v>
      </c>
      <c r="AN692" s="9" t="n">
        <f aca="false">AB692*$V692</f>
        <v>24480</v>
      </c>
      <c r="AO692" s="9" t="n">
        <f aca="false">AC692*$V692</f>
        <v>24480</v>
      </c>
      <c r="AP692" s="9" t="n">
        <f aca="false">AD692*$V692</f>
        <v>24480</v>
      </c>
      <c r="AQ692" s="9" t="n">
        <f aca="false">AE692*$V692</f>
        <v>24480</v>
      </c>
      <c r="AR692" s="9" t="n">
        <f aca="false">AF692*$V692</f>
        <v>24480</v>
      </c>
      <c r="AS692" s="9" t="n">
        <f aca="false">AG692*$V692</f>
        <v>24480</v>
      </c>
      <c r="AT692" s="9" t="n">
        <f aca="false">AH692*$V692</f>
        <v>24480</v>
      </c>
      <c r="AU692" s="9" t="n">
        <f aca="false">AI692*$V692</f>
        <v>24480</v>
      </c>
      <c r="AV692" s="9" t="n">
        <f aca="false">SUM(X692:AI692)/1000</f>
        <v>192</v>
      </c>
      <c r="AW692" s="9" t="n">
        <f aca="false">SUM(AJ692:AU692)</f>
        <v>293760</v>
      </c>
      <c r="AX692" s="9" t="n">
        <f aca="false">IF(D692="INR",AW692/88.24,AW692)/1000000</f>
        <v>0.00332910244786945</v>
      </c>
    </row>
    <row r="693" s="2" customFormat="true" ht="16.4" hidden="false" customHeight="false" outlineLevel="0" collapsed="false">
      <c r="A693" s="9" t="s">
        <v>1450</v>
      </c>
      <c r="B693" s="9" t="n">
        <v>5</v>
      </c>
      <c r="C693" s="10"/>
      <c r="D693" s="9" t="s">
        <v>102</v>
      </c>
      <c r="E693" s="9" t="s">
        <v>51</v>
      </c>
      <c r="F693" s="9" t="s">
        <v>52</v>
      </c>
      <c r="G693" s="9" t="s">
        <v>439</v>
      </c>
      <c r="H693" s="9" t="s">
        <v>440</v>
      </c>
      <c r="I693" s="9" t="s">
        <v>260</v>
      </c>
      <c r="J693" s="9" t="s">
        <v>1445</v>
      </c>
      <c r="K693" s="9"/>
      <c r="L693" s="9" t="s">
        <v>260</v>
      </c>
      <c r="M693" s="9" t="s">
        <v>1445</v>
      </c>
      <c r="N693" s="9" t="s">
        <v>67</v>
      </c>
      <c r="O693" s="9" t="s">
        <v>58</v>
      </c>
      <c r="P693" s="9" t="s">
        <v>199</v>
      </c>
      <c r="Q693" s="9" t="s">
        <v>199</v>
      </c>
      <c r="R693" s="9" t="s">
        <v>377</v>
      </c>
      <c r="S693" s="9" t="s">
        <v>528</v>
      </c>
      <c r="T693" s="9" t="s">
        <v>1451</v>
      </c>
      <c r="U693" s="9" t="s">
        <v>73</v>
      </c>
      <c r="V693" s="9" t="n">
        <v>0.1</v>
      </c>
      <c r="W693" s="9" t="n">
        <v>0.0852</v>
      </c>
      <c r="X693" s="9"/>
      <c r="Y693" s="9"/>
      <c r="Z693" s="9" t="n">
        <v>20000</v>
      </c>
      <c r="AA693" s="9" t="n">
        <v>20000</v>
      </c>
      <c r="AB693" s="9" t="n">
        <v>20000</v>
      </c>
      <c r="AC693" s="9" t="n">
        <v>20000</v>
      </c>
      <c r="AD693" s="9" t="n">
        <v>20000</v>
      </c>
      <c r="AE693" s="9" t="n">
        <v>20000</v>
      </c>
      <c r="AF693" s="9" t="n">
        <v>20000</v>
      </c>
      <c r="AG693" s="9" t="n">
        <v>20000</v>
      </c>
      <c r="AH693" s="9" t="n">
        <v>20000</v>
      </c>
      <c r="AI693" s="9" t="n">
        <v>20000</v>
      </c>
      <c r="AJ693" s="9" t="n">
        <f aca="false">X693*$V693</f>
        <v>0</v>
      </c>
      <c r="AK693" s="9" t="n">
        <f aca="false">Y693*$V693</f>
        <v>0</v>
      </c>
      <c r="AL693" s="9" t="n">
        <f aca="false">Z693*$V693</f>
        <v>2000</v>
      </c>
      <c r="AM693" s="9" t="n">
        <f aca="false">AA693*$V693</f>
        <v>2000</v>
      </c>
      <c r="AN693" s="9" t="n">
        <f aca="false">AB693*$V693</f>
        <v>2000</v>
      </c>
      <c r="AO693" s="9" t="n">
        <f aca="false">AC693*$V693</f>
        <v>2000</v>
      </c>
      <c r="AP693" s="9" t="n">
        <f aca="false">AD693*$V693</f>
        <v>2000</v>
      </c>
      <c r="AQ693" s="9" t="n">
        <f aca="false">AE693*$V693</f>
        <v>2000</v>
      </c>
      <c r="AR693" s="9" t="n">
        <f aca="false">AF693*$V693</f>
        <v>2000</v>
      </c>
      <c r="AS693" s="9" t="n">
        <f aca="false">AG693*$V693</f>
        <v>2000</v>
      </c>
      <c r="AT693" s="9" t="n">
        <f aca="false">AH693*$V693</f>
        <v>2000</v>
      </c>
      <c r="AU693" s="9" t="n">
        <f aca="false">AI693*$V693</f>
        <v>2000</v>
      </c>
      <c r="AV693" s="9" t="n">
        <f aca="false">SUM(X693:AI693)/1000</f>
        <v>200</v>
      </c>
      <c r="AW693" s="9" t="n">
        <f aca="false">SUM(AJ693:AU693)</f>
        <v>20000</v>
      </c>
      <c r="AX693" s="9" t="n">
        <f aca="false">IF(D693="INR",AW693/88.24,AW693)/1000000</f>
        <v>0.02</v>
      </c>
    </row>
    <row r="694" s="2" customFormat="true" ht="14.25" hidden="false" customHeight="false" outlineLevel="0" collapsed="false">
      <c r="A694" s="12" t="s">
        <v>1452</v>
      </c>
      <c r="B694" s="16" t="n">
        <v>5</v>
      </c>
      <c r="C694" s="15"/>
      <c r="D694" s="16" t="s">
        <v>102</v>
      </c>
      <c r="E694" s="16" t="s">
        <v>51</v>
      </c>
      <c r="F694" s="16" t="s">
        <v>52</v>
      </c>
      <c r="G694" s="16" t="s">
        <v>439</v>
      </c>
      <c r="H694" s="16" t="s">
        <v>440</v>
      </c>
      <c r="I694" s="16" t="s">
        <v>260</v>
      </c>
      <c r="J694" s="16" t="s">
        <v>1445</v>
      </c>
      <c r="K694" s="16"/>
      <c r="L694" s="16" t="s">
        <v>260</v>
      </c>
      <c r="M694" s="16" t="s">
        <v>1445</v>
      </c>
      <c r="N694" s="16" t="s">
        <v>67</v>
      </c>
      <c r="O694" s="16" t="s">
        <v>58</v>
      </c>
      <c r="P694" s="16" t="s">
        <v>199</v>
      </c>
      <c r="Q694" s="16" t="s">
        <v>199</v>
      </c>
      <c r="R694" s="16" t="s">
        <v>377</v>
      </c>
      <c r="S694" s="16" t="s">
        <v>528</v>
      </c>
      <c r="T694" s="16" t="s">
        <v>1453</v>
      </c>
      <c r="U694" s="16" t="s">
        <v>73</v>
      </c>
      <c r="V694" s="16" t="n">
        <v>0.108</v>
      </c>
      <c r="W694" s="16" t="n">
        <v>0.0855</v>
      </c>
      <c r="X694" s="22"/>
      <c r="Y694" s="22"/>
      <c r="Z694" s="22" t="n">
        <v>10000</v>
      </c>
      <c r="AA694" s="22" t="n">
        <v>10000</v>
      </c>
      <c r="AB694" s="22" t="n">
        <v>10000</v>
      </c>
      <c r="AC694" s="22" t="n">
        <v>10000</v>
      </c>
      <c r="AD694" s="22" t="n">
        <v>10000</v>
      </c>
      <c r="AE694" s="22" t="n">
        <v>10000</v>
      </c>
      <c r="AF694" s="22"/>
      <c r="AG694" s="22" t="n">
        <v>10000</v>
      </c>
      <c r="AH694" s="22" t="n">
        <v>10000</v>
      </c>
      <c r="AI694" s="22" t="n">
        <v>10000</v>
      </c>
      <c r="AJ694" s="9" t="n">
        <f aca="false">X694*$V694</f>
        <v>0</v>
      </c>
      <c r="AK694" s="9" t="n">
        <f aca="false">Y694*$V694</f>
        <v>0</v>
      </c>
      <c r="AL694" s="9" t="n">
        <f aca="false">Z694*$V694</f>
        <v>1080</v>
      </c>
      <c r="AM694" s="9" t="n">
        <f aca="false">AA694*$V694</f>
        <v>1080</v>
      </c>
      <c r="AN694" s="9" t="n">
        <f aca="false">AB694*$V694</f>
        <v>1080</v>
      </c>
      <c r="AO694" s="9" t="n">
        <f aca="false">AC694*$V694</f>
        <v>1080</v>
      </c>
      <c r="AP694" s="9" t="n">
        <f aca="false">AD694*$V694</f>
        <v>1080</v>
      </c>
      <c r="AQ694" s="9" t="n">
        <f aca="false">AE694*$V694</f>
        <v>1080</v>
      </c>
      <c r="AR694" s="9" t="n">
        <f aca="false">AF694*$V694</f>
        <v>0</v>
      </c>
      <c r="AS694" s="9" t="n">
        <f aca="false">AG694*$V694</f>
        <v>1080</v>
      </c>
      <c r="AT694" s="9" t="n">
        <f aca="false">AH694*$V694</f>
        <v>1080</v>
      </c>
      <c r="AU694" s="9" t="n">
        <f aca="false">AI694*$V694</f>
        <v>1080</v>
      </c>
      <c r="AV694" s="9" t="n">
        <f aca="false">SUM(X694:AI694)/1000</f>
        <v>90</v>
      </c>
      <c r="AW694" s="9" t="n">
        <f aca="false">SUM(AJ694:AU694)</f>
        <v>9720</v>
      </c>
      <c r="AX694" s="9" t="n">
        <f aca="false">IF(D694="INR",AW694/88.24,AW694)/1000000</f>
        <v>0.00972</v>
      </c>
    </row>
    <row r="695" s="2" customFormat="true" ht="14.25" hidden="false" customHeight="false" outlineLevel="0" collapsed="false">
      <c r="A695" s="12" t="s">
        <v>1454</v>
      </c>
      <c r="B695" s="16" t="n">
        <v>5</v>
      </c>
      <c r="C695" s="15"/>
      <c r="D695" s="16" t="s">
        <v>50</v>
      </c>
      <c r="E695" s="16" t="s">
        <v>51</v>
      </c>
      <c r="F695" s="16" t="s">
        <v>404</v>
      </c>
      <c r="G695" s="16" t="s">
        <v>1455</v>
      </c>
      <c r="H695" s="16" t="s">
        <v>1456</v>
      </c>
      <c r="I695" s="16" t="s">
        <v>105</v>
      </c>
      <c r="J695" s="16" t="s">
        <v>368</v>
      </c>
      <c r="K695" s="16"/>
      <c r="L695" s="16" t="s">
        <v>105</v>
      </c>
      <c r="M695" s="16" t="s">
        <v>368</v>
      </c>
      <c r="N695" s="16" t="s">
        <v>271</v>
      </c>
      <c r="O695" s="16" t="s">
        <v>94</v>
      </c>
      <c r="P695" s="16" t="s">
        <v>110</v>
      </c>
      <c r="Q695" s="16" t="s">
        <v>110</v>
      </c>
      <c r="R695" s="16" t="s">
        <v>137</v>
      </c>
      <c r="S695" s="16" t="s">
        <v>272</v>
      </c>
      <c r="T695" s="16" t="s">
        <v>1084</v>
      </c>
      <c r="U695" s="16" t="s">
        <v>73</v>
      </c>
      <c r="V695" s="16" t="n">
        <v>48</v>
      </c>
      <c r="W695" s="16" t="n">
        <v>0.395</v>
      </c>
      <c r="X695" s="22" t="n">
        <v>500</v>
      </c>
      <c r="Y695" s="16" t="n">
        <v>500</v>
      </c>
      <c r="Z695" s="16" t="n">
        <v>500</v>
      </c>
      <c r="AA695" s="16" t="n">
        <v>500</v>
      </c>
      <c r="AB695" s="16" t="n">
        <v>500</v>
      </c>
      <c r="AC695" s="16" t="n">
        <v>500</v>
      </c>
      <c r="AD695" s="16" t="n">
        <v>500</v>
      </c>
      <c r="AE695" s="16" t="n">
        <v>500</v>
      </c>
      <c r="AF695" s="16" t="n">
        <v>500</v>
      </c>
      <c r="AG695" s="16" t="n">
        <v>500</v>
      </c>
      <c r="AH695" s="16" t="n">
        <v>500</v>
      </c>
      <c r="AI695" s="16" t="n">
        <v>500</v>
      </c>
      <c r="AJ695" s="9" t="n">
        <f aca="false">X695*$V695</f>
        <v>24000</v>
      </c>
      <c r="AK695" s="9" t="n">
        <f aca="false">Y695*$V695</f>
        <v>24000</v>
      </c>
      <c r="AL695" s="9" t="n">
        <f aca="false">Z695*$V695</f>
        <v>24000</v>
      </c>
      <c r="AM695" s="9" t="n">
        <f aca="false">AA695*$V695</f>
        <v>24000</v>
      </c>
      <c r="AN695" s="9" t="n">
        <f aca="false">AB695*$V695</f>
        <v>24000</v>
      </c>
      <c r="AO695" s="9" t="n">
        <f aca="false">AC695*$V695</f>
        <v>24000</v>
      </c>
      <c r="AP695" s="9" t="n">
        <f aca="false">AD695*$V695</f>
        <v>24000</v>
      </c>
      <c r="AQ695" s="9" t="n">
        <f aca="false">AE695*$V695</f>
        <v>24000</v>
      </c>
      <c r="AR695" s="9" t="n">
        <f aca="false">AF695*$V695</f>
        <v>24000</v>
      </c>
      <c r="AS695" s="9" t="n">
        <f aca="false">AG695*$V695</f>
        <v>24000</v>
      </c>
      <c r="AT695" s="9" t="n">
        <f aca="false">AH695*$V695</f>
        <v>24000</v>
      </c>
      <c r="AU695" s="9" t="n">
        <f aca="false">AI695*$V695</f>
        <v>24000</v>
      </c>
      <c r="AV695" s="9" t="n">
        <f aca="false">SUM(X695:AI695)/1000</f>
        <v>6</v>
      </c>
      <c r="AW695" s="9" t="n">
        <f aca="false">SUM(AJ695:AU695)</f>
        <v>288000</v>
      </c>
      <c r="AX695" s="9" t="n">
        <f aca="false">IF(D695="INR",AW695/88.24,AW695)/1000000</f>
        <v>0.00326382592928377</v>
      </c>
    </row>
    <row r="696" s="2" customFormat="true" ht="14.25" hidden="false" customHeight="false" outlineLevel="0" collapsed="false">
      <c r="A696" s="12" t="s">
        <v>1457</v>
      </c>
      <c r="B696" s="16"/>
      <c r="C696" s="15"/>
      <c r="D696" s="16" t="s">
        <v>50</v>
      </c>
      <c r="E696" s="16" t="s">
        <v>51</v>
      </c>
      <c r="F696" s="16" t="s">
        <v>356</v>
      </c>
      <c r="G696" s="16" t="s">
        <v>1030</v>
      </c>
      <c r="H696" s="16" t="s">
        <v>1031</v>
      </c>
      <c r="I696" s="16" t="s">
        <v>298</v>
      </c>
      <c r="J696" s="16" t="s">
        <v>664</v>
      </c>
      <c r="K696" s="16"/>
      <c r="L696" s="16" t="s">
        <v>298</v>
      </c>
      <c r="M696" s="16" t="s">
        <v>664</v>
      </c>
      <c r="N696" s="16" t="s">
        <v>973</v>
      </c>
      <c r="O696" s="16" t="s">
        <v>94</v>
      </c>
      <c r="P696" s="16" t="s">
        <v>308</v>
      </c>
      <c r="Q696" s="16" t="s">
        <v>308</v>
      </c>
      <c r="R696" s="16" t="s">
        <v>309</v>
      </c>
      <c r="S696" s="16" t="s">
        <v>264</v>
      </c>
      <c r="T696" s="16" t="s">
        <v>487</v>
      </c>
      <c r="U696" s="16" t="s">
        <v>73</v>
      </c>
      <c r="V696" s="16" t="n">
        <v>0.8</v>
      </c>
      <c r="W696" s="16" t="n">
        <v>0.55</v>
      </c>
      <c r="X696" s="22" t="n">
        <v>30000</v>
      </c>
      <c r="Y696" s="16" t="n">
        <v>30000</v>
      </c>
      <c r="Z696" s="16" t="n">
        <v>30000</v>
      </c>
      <c r="AA696" s="16" t="n">
        <v>30000</v>
      </c>
      <c r="AB696" s="16" t="n">
        <v>30000</v>
      </c>
      <c r="AC696" s="16" t="n">
        <v>30000</v>
      </c>
      <c r="AD696" s="16" t="n">
        <v>30000</v>
      </c>
      <c r="AE696" s="16" t="n">
        <v>30000</v>
      </c>
      <c r="AF696" s="16" t="n">
        <v>30000</v>
      </c>
      <c r="AG696" s="16" t="n">
        <v>30000</v>
      </c>
      <c r="AH696" s="16" t="n">
        <v>30000</v>
      </c>
      <c r="AI696" s="16" t="n">
        <v>30000</v>
      </c>
      <c r="AJ696" s="9" t="n">
        <f aca="false">X696*$V696</f>
        <v>24000</v>
      </c>
      <c r="AK696" s="9" t="n">
        <f aca="false">Y696*$V696</f>
        <v>24000</v>
      </c>
      <c r="AL696" s="9" t="n">
        <f aca="false">Z696*$V696</f>
        <v>24000</v>
      </c>
      <c r="AM696" s="9" t="n">
        <f aca="false">AA696*$V696</f>
        <v>24000</v>
      </c>
      <c r="AN696" s="9" t="n">
        <f aca="false">AB696*$V696</f>
        <v>24000</v>
      </c>
      <c r="AO696" s="9" t="n">
        <f aca="false">AC696*$V696</f>
        <v>24000</v>
      </c>
      <c r="AP696" s="9" t="n">
        <f aca="false">AD696*$V696</f>
        <v>24000</v>
      </c>
      <c r="AQ696" s="9" t="n">
        <f aca="false">AE696*$V696</f>
        <v>24000</v>
      </c>
      <c r="AR696" s="9" t="n">
        <f aca="false">AF696*$V696</f>
        <v>24000</v>
      </c>
      <c r="AS696" s="9" t="n">
        <f aca="false">AG696*$V696</f>
        <v>24000</v>
      </c>
      <c r="AT696" s="9" t="n">
        <f aca="false">AH696*$V696</f>
        <v>24000</v>
      </c>
      <c r="AU696" s="9" t="n">
        <f aca="false">AI696*$V696</f>
        <v>24000</v>
      </c>
      <c r="AV696" s="9" t="n">
        <f aca="false">SUM(X696:AI696)/1000</f>
        <v>360</v>
      </c>
      <c r="AW696" s="9" t="n">
        <f aca="false">SUM(AJ696:AU696)</f>
        <v>288000</v>
      </c>
      <c r="AX696" s="9" t="n">
        <f aca="false">IF(D696="INR",AW696/88.24,AW696)/1000000</f>
        <v>0.00326382592928377</v>
      </c>
    </row>
    <row r="697" s="2" customFormat="true" ht="14.25" hidden="false" customHeight="false" outlineLevel="0" collapsed="false">
      <c r="A697" s="12" t="s">
        <v>1458</v>
      </c>
      <c r="B697" s="16" t="n">
        <v>5</v>
      </c>
      <c r="C697" s="15"/>
      <c r="D697" s="16" t="s">
        <v>102</v>
      </c>
      <c r="E697" s="16" t="s">
        <v>51</v>
      </c>
      <c r="F697" s="16" t="s">
        <v>52</v>
      </c>
      <c r="G697" s="16" t="s">
        <v>439</v>
      </c>
      <c r="H697" s="16" t="s">
        <v>440</v>
      </c>
      <c r="I697" s="16" t="s">
        <v>260</v>
      </c>
      <c r="J697" s="16" t="s">
        <v>1445</v>
      </c>
      <c r="K697" s="16"/>
      <c r="L697" s="16" t="s">
        <v>260</v>
      </c>
      <c r="M697" s="16" t="s">
        <v>1445</v>
      </c>
      <c r="N697" s="16" t="s">
        <v>67</v>
      </c>
      <c r="O697" s="16" t="s">
        <v>58</v>
      </c>
      <c r="P697" s="16" t="s">
        <v>188</v>
      </c>
      <c r="Q697" s="16" t="s">
        <v>188</v>
      </c>
      <c r="R697" s="16" t="s">
        <v>550</v>
      </c>
      <c r="S697" s="16" t="s">
        <v>528</v>
      </c>
      <c r="T697" s="16" t="s">
        <v>1459</v>
      </c>
      <c r="U697" s="16" t="s">
        <v>73</v>
      </c>
      <c r="V697" s="16" t="n">
        <v>0.242</v>
      </c>
      <c r="W697" s="16" t="n">
        <v>0.22</v>
      </c>
      <c r="X697" s="16" t="n">
        <v>10000</v>
      </c>
      <c r="Y697" s="16" t="n">
        <v>10000</v>
      </c>
      <c r="Z697" s="16" t="n">
        <v>10000</v>
      </c>
      <c r="AA697" s="16" t="n">
        <v>10000</v>
      </c>
      <c r="AB697" s="16"/>
      <c r="AC697" s="16"/>
      <c r="AD697" s="16"/>
      <c r="AE697" s="16"/>
      <c r="AF697" s="16"/>
      <c r="AG697" s="16"/>
      <c r="AH697" s="16"/>
      <c r="AI697" s="16"/>
      <c r="AJ697" s="9" t="n">
        <f aca="false">X697*$V697</f>
        <v>2420</v>
      </c>
      <c r="AK697" s="9" t="n">
        <f aca="false">Y697*$V697</f>
        <v>2420</v>
      </c>
      <c r="AL697" s="9" t="n">
        <f aca="false">Z697*$V697</f>
        <v>2420</v>
      </c>
      <c r="AM697" s="9" t="n">
        <f aca="false">AA697*$V697</f>
        <v>2420</v>
      </c>
      <c r="AN697" s="9" t="n">
        <f aca="false">AB697*$V697</f>
        <v>0</v>
      </c>
      <c r="AO697" s="9" t="n">
        <f aca="false">AC697*$V697</f>
        <v>0</v>
      </c>
      <c r="AP697" s="9" t="n">
        <f aca="false">AD697*$V697</f>
        <v>0</v>
      </c>
      <c r="AQ697" s="9" t="n">
        <f aca="false">AE697*$V697</f>
        <v>0</v>
      </c>
      <c r="AR697" s="9" t="n">
        <f aca="false">AF697*$V697</f>
        <v>0</v>
      </c>
      <c r="AS697" s="9" t="n">
        <f aca="false">AG697*$V697</f>
        <v>0</v>
      </c>
      <c r="AT697" s="9" t="n">
        <f aca="false">AH697*$V697</f>
        <v>0</v>
      </c>
      <c r="AU697" s="9" t="n">
        <f aca="false">AI697*$V697</f>
        <v>0</v>
      </c>
      <c r="AV697" s="9" t="n">
        <f aca="false">SUM(X697:AI697)/1000</f>
        <v>40</v>
      </c>
      <c r="AW697" s="9" t="n">
        <f aca="false">SUM(AJ697:AU697)</f>
        <v>9680</v>
      </c>
      <c r="AX697" s="9" t="n">
        <f aca="false">IF(D697="INR",AW697/88.24,AW697)/1000000</f>
        <v>0.00968</v>
      </c>
    </row>
    <row r="698" s="2" customFormat="true" ht="14.25" hidden="false" customHeight="false" outlineLevel="0" collapsed="false">
      <c r="A698" s="12" t="s">
        <v>1460</v>
      </c>
      <c r="B698" s="16" t="n">
        <v>5</v>
      </c>
      <c r="C698" s="15"/>
      <c r="D698" s="16" t="s">
        <v>102</v>
      </c>
      <c r="E698" s="16" t="s">
        <v>51</v>
      </c>
      <c r="F698" s="16" t="s">
        <v>52</v>
      </c>
      <c r="G698" s="16" t="s">
        <v>439</v>
      </c>
      <c r="H698" s="16" t="s">
        <v>440</v>
      </c>
      <c r="I698" s="16" t="s">
        <v>260</v>
      </c>
      <c r="J698" s="16" t="s">
        <v>1445</v>
      </c>
      <c r="K698" s="16"/>
      <c r="L698" s="16" t="s">
        <v>260</v>
      </c>
      <c r="M698" s="16" t="s">
        <v>1445</v>
      </c>
      <c r="N698" s="16" t="s">
        <v>67</v>
      </c>
      <c r="O698" s="16" t="s">
        <v>58</v>
      </c>
      <c r="P698" s="16" t="s">
        <v>188</v>
      </c>
      <c r="Q698" s="16" t="s">
        <v>188</v>
      </c>
      <c r="R698" s="16" t="s">
        <v>550</v>
      </c>
      <c r="S698" s="16" t="s">
        <v>528</v>
      </c>
      <c r="T698" s="16" t="s">
        <v>1461</v>
      </c>
      <c r="U698" s="16" t="s">
        <v>73</v>
      </c>
      <c r="V698" s="16" t="n">
        <v>0.22</v>
      </c>
      <c r="W698" s="16" t="n">
        <v>0.2</v>
      </c>
      <c r="X698" s="16" t="n">
        <v>10000</v>
      </c>
      <c r="Y698" s="26" t="n">
        <v>10000</v>
      </c>
      <c r="Z698" s="16" t="n">
        <v>10000</v>
      </c>
      <c r="AA698" s="16" t="n">
        <v>10000</v>
      </c>
      <c r="AB698" s="16"/>
      <c r="AC698" s="26"/>
      <c r="AD698" s="16"/>
      <c r="AE698" s="16"/>
      <c r="AF698" s="16"/>
      <c r="AG698" s="16"/>
      <c r="AH698" s="16"/>
      <c r="AI698" s="16"/>
      <c r="AJ698" s="9" t="n">
        <f aca="false">X698*$V698</f>
        <v>2200</v>
      </c>
      <c r="AK698" s="9" t="n">
        <f aca="false">Y698*$V698</f>
        <v>2200</v>
      </c>
      <c r="AL698" s="9" t="n">
        <f aca="false">Z698*$V698</f>
        <v>2200</v>
      </c>
      <c r="AM698" s="9" t="n">
        <f aca="false">AA698*$V698</f>
        <v>2200</v>
      </c>
      <c r="AN698" s="9" t="n">
        <f aca="false">AB698*$V698</f>
        <v>0</v>
      </c>
      <c r="AO698" s="9" t="n">
        <f aca="false">AC698*$V698</f>
        <v>0</v>
      </c>
      <c r="AP698" s="9" t="n">
        <f aca="false">AD698*$V698</f>
        <v>0</v>
      </c>
      <c r="AQ698" s="9" t="n">
        <f aca="false">AE698*$V698</f>
        <v>0</v>
      </c>
      <c r="AR698" s="9" t="n">
        <f aca="false">AF698*$V698</f>
        <v>0</v>
      </c>
      <c r="AS698" s="9" t="n">
        <f aca="false">AG698*$V698</f>
        <v>0</v>
      </c>
      <c r="AT698" s="9" t="n">
        <f aca="false">AH698*$V698</f>
        <v>0</v>
      </c>
      <c r="AU698" s="9" t="n">
        <f aca="false">AI698*$V698</f>
        <v>0</v>
      </c>
      <c r="AV698" s="9" t="n">
        <f aca="false">SUM(X698:AI698)/1000</f>
        <v>40</v>
      </c>
      <c r="AW698" s="9" t="n">
        <f aca="false">SUM(AJ698:AU698)</f>
        <v>8800</v>
      </c>
      <c r="AX698" s="9" t="n">
        <f aca="false">IF(D698="INR",AW698/88.24,AW698)/1000000</f>
        <v>0.0088</v>
      </c>
    </row>
    <row r="699" s="2" customFormat="true" ht="14.25" hidden="false" customHeight="false" outlineLevel="0" collapsed="false">
      <c r="A699" s="12" t="s">
        <v>1462</v>
      </c>
      <c r="B699" s="16" t="n">
        <v>5</v>
      </c>
      <c r="C699" s="15"/>
      <c r="D699" s="16" t="s">
        <v>102</v>
      </c>
      <c r="E699" s="16" t="s">
        <v>51</v>
      </c>
      <c r="F699" s="16" t="s">
        <v>52</v>
      </c>
      <c r="G699" s="16" t="s">
        <v>439</v>
      </c>
      <c r="H699" s="16" t="s">
        <v>440</v>
      </c>
      <c r="I699" s="16" t="s">
        <v>260</v>
      </c>
      <c r="J699" s="16" t="s">
        <v>1445</v>
      </c>
      <c r="K699" s="16"/>
      <c r="L699" s="16" t="s">
        <v>260</v>
      </c>
      <c r="M699" s="16" t="s">
        <v>1445</v>
      </c>
      <c r="N699" s="16" t="s">
        <v>67</v>
      </c>
      <c r="O699" s="16" t="s">
        <v>58</v>
      </c>
      <c r="P699" s="16" t="s">
        <v>262</v>
      </c>
      <c r="Q699" s="16" t="s">
        <v>262</v>
      </c>
      <c r="R699" s="16" t="s">
        <v>263</v>
      </c>
      <c r="S699" s="16" t="s">
        <v>264</v>
      </c>
      <c r="T699" s="16" t="s">
        <v>1463</v>
      </c>
      <c r="U699" s="16" t="s">
        <v>73</v>
      </c>
      <c r="V699" s="16" t="n">
        <v>0.0299</v>
      </c>
      <c r="W699" s="16" t="n">
        <v>0.0235</v>
      </c>
      <c r="X699" s="16" t="n">
        <v>10000</v>
      </c>
      <c r="Y699" s="16"/>
      <c r="Z699" s="16" t="n">
        <v>10000</v>
      </c>
      <c r="AA699" s="16" t="n">
        <v>10000</v>
      </c>
      <c r="AB699" s="16"/>
      <c r="AC699" s="16" t="n">
        <v>10000</v>
      </c>
      <c r="AD699" s="16"/>
      <c r="AE699" s="16"/>
      <c r="AF699" s="16"/>
      <c r="AG699" s="16"/>
      <c r="AH699" s="16"/>
      <c r="AI699" s="16"/>
      <c r="AJ699" s="9" t="n">
        <f aca="false">X699*$V699</f>
        <v>299</v>
      </c>
      <c r="AK699" s="9" t="n">
        <f aca="false">Y699*$V699</f>
        <v>0</v>
      </c>
      <c r="AL699" s="9" t="n">
        <f aca="false">Z699*$V699</f>
        <v>299</v>
      </c>
      <c r="AM699" s="9" t="n">
        <f aca="false">AA699*$V699</f>
        <v>299</v>
      </c>
      <c r="AN699" s="9" t="n">
        <f aca="false">AB699*$V699</f>
        <v>0</v>
      </c>
      <c r="AO699" s="9" t="n">
        <f aca="false">AC699*$V699</f>
        <v>299</v>
      </c>
      <c r="AP699" s="9" t="n">
        <f aca="false">AD699*$V699</f>
        <v>0</v>
      </c>
      <c r="AQ699" s="9" t="n">
        <f aca="false">AE699*$V699</f>
        <v>0</v>
      </c>
      <c r="AR699" s="9" t="n">
        <f aca="false">AF699*$V699</f>
        <v>0</v>
      </c>
      <c r="AS699" s="9" t="n">
        <f aca="false">AG699*$V699</f>
        <v>0</v>
      </c>
      <c r="AT699" s="9" t="n">
        <f aca="false">AH699*$V699</f>
        <v>0</v>
      </c>
      <c r="AU699" s="9" t="n">
        <f aca="false">AI699*$V699</f>
        <v>0</v>
      </c>
      <c r="AV699" s="9" t="n">
        <f aca="false">SUM(X699:AI699)/1000</f>
        <v>40</v>
      </c>
      <c r="AW699" s="9" t="n">
        <f aca="false">SUM(AJ699:AU699)</f>
        <v>1196</v>
      </c>
      <c r="AX699" s="9" t="n">
        <f aca="false">IF(D699="INR",AW699/88.24,AW699)/1000000</f>
        <v>0.001196</v>
      </c>
    </row>
    <row r="700" s="2" customFormat="true" ht="16.4" hidden="false" customHeight="false" outlineLevel="0" collapsed="false">
      <c r="A700" s="9" t="s">
        <v>1464</v>
      </c>
      <c r="B700" s="9" t="n">
        <v>5</v>
      </c>
      <c r="C700" s="10"/>
      <c r="D700" s="9" t="s">
        <v>102</v>
      </c>
      <c r="E700" s="9" t="s">
        <v>51</v>
      </c>
      <c r="F700" s="9" t="s">
        <v>52</v>
      </c>
      <c r="G700" s="9" t="s">
        <v>439</v>
      </c>
      <c r="H700" s="9" t="s">
        <v>440</v>
      </c>
      <c r="I700" s="9" t="s">
        <v>260</v>
      </c>
      <c r="J700" s="9" t="s">
        <v>1445</v>
      </c>
      <c r="K700" s="9"/>
      <c r="L700" s="9" t="s">
        <v>260</v>
      </c>
      <c r="M700" s="9" t="s">
        <v>1445</v>
      </c>
      <c r="N700" s="9" t="s">
        <v>67</v>
      </c>
      <c r="O700" s="9" t="s">
        <v>58</v>
      </c>
      <c r="P700" s="9" t="s">
        <v>188</v>
      </c>
      <c r="Q700" s="9" t="s">
        <v>188</v>
      </c>
      <c r="R700" s="9" t="s">
        <v>550</v>
      </c>
      <c r="S700" s="9" t="s">
        <v>528</v>
      </c>
      <c r="T700" s="9" t="s">
        <v>1465</v>
      </c>
      <c r="U700" s="9" t="s">
        <v>73</v>
      </c>
      <c r="V700" s="9" t="n">
        <v>0.014</v>
      </c>
      <c r="W700" s="9" t="n">
        <v>0.012</v>
      </c>
      <c r="X700" s="9" t="n">
        <v>10000</v>
      </c>
      <c r="Y700" s="9" t="n">
        <v>10000</v>
      </c>
      <c r="Z700" s="9" t="n">
        <v>10000</v>
      </c>
      <c r="AA700" s="9" t="n">
        <v>10000</v>
      </c>
      <c r="AB700" s="9"/>
      <c r="AC700" s="9"/>
      <c r="AD700" s="9"/>
      <c r="AE700" s="9"/>
      <c r="AF700" s="9"/>
      <c r="AG700" s="9"/>
      <c r="AH700" s="9"/>
      <c r="AI700" s="9"/>
      <c r="AJ700" s="9" t="n">
        <f aca="false">X700*$V700</f>
        <v>140</v>
      </c>
      <c r="AK700" s="9" t="n">
        <f aca="false">Y700*$V700</f>
        <v>140</v>
      </c>
      <c r="AL700" s="9" t="n">
        <f aca="false">Z700*$V700</f>
        <v>140</v>
      </c>
      <c r="AM700" s="9" t="n">
        <f aca="false">AA700*$V700</f>
        <v>140</v>
      </c>
      <c r="AN700" s="9" t="n">
        <f aca="false">AB700*$V700</f>
        <v>0</v>
      </c>
      <c r="AO700" s="9" t="n">
        <f aca="false">AC700*$V700</f>
        <v>0</v>
      </c>
      <c r="AP700" s="9" t="n">
        <f aca="false">AD700*$V700</f>
        <v>0</v>
      </c>
      <c r="AQ700" s="9" t="n">
        <f aca="false">AE700*$V700</f>
        <v>0</v>
      </c>
      <c r="AR700" s="9" t="n">
        <f aca="false">AF700*$V700</f>
        <v>0</v>
      </c>
      <c r="AS700" s="9" t="n">
        <f aca="false">AG700*$V700</f>
        <v>0</v>
      </c>
      <c r="AT700" s="9" t="n">
        <f aca="false">AH700*$V700</f>
        <v>0</v>
      </c>
      <c r="AU700" s="9" t="n">
        <f aca="false">AI700*$V700</f>
        <v>0</v>
      </c>
      <c r="AV700" s="9" t="n">
        <f aca="false">SUM(X700:AI700)/1000</f>
        <v>40</v>
      </c>
      <c r="AW700" s="9" t="n">
        <f aca="false">SUM(AJ700:AU700)</f>
        <v>560</v>
      </c>
      <c r="AX700" s="9" t="n">
        <f aca="false">IF(D700="INR",AW700/88.24,AW700)/1000000</f>
        <v>0.00056</v>
      </c>
    </row>
    <row r="701" s="2" customFormat="true" ht="16.4" hidden="false" customHeight="false" outlineLevel="0" collapsed="false">
      <c r="A701" s="9" t="s">
        <v>1466</v>
      </c>
      <c r="B701" s="9" t="n">
        <v>5</v>
      </c>
      <c r="C701" s="10"/>
      <c r="D701" s="9" t="s">
        <v>102</v>
      </c>
      <c r="E701" s="9" t="s">
        <v>51</v>
      </c>
      <c r="F701" s="9" t="s">
        <v>52</v>
      </c>
      <c r="G701" s="9" t="s">
        <v>292</v>
      </c>
      <c r="H701" s="9" t="s">
        <v>293</v>
      </c>
      <c r="I701" s="9" t="s">
        <v>105</v>
      </c>
      <c r="J701" s="9" t="s">
        <v>806</v>
      </c>
      <c r="K701" s="9"/>
      <c r="L701" s="9" t="s">
        <v>105</v>
      </c>
      <c r="M701" s="9" t="s">
        <v>806</v>
      </c>
      <c r="N701" s="9" t="s">
        <v>93</v>
      </c>
      <c r="O701" s="9" t="s">
        <v>294</v>
      </c>
      <c r="P701" s="9" t="s">
        <v>59</v>
      </c>
      <c r="Q701" s="9" t="s">
        <v>59</v>
      </c>
      <c r="R701" s="9" t="s">
        <v>60</v>
      </c>
      <c r="S701" s="9" t="s">
        <v>61</v>
      </c>
      <c r="T701" s="9" t="s">
        <v>1467</v>
      </c>
      <c r="U701" s="9" t="s">
        <v>73</v>
      </c>
      <c r="V701" s="9" t="n">
        <v>1.96</v>
      </c>
      <c r="W701" s="9" t="n">
        <v>1.88</v>
      </c>
      <c r="X701" s="9" t="n">
        <v>200000</v>
      </c>
      <c r="Y701" s="9" t="n">
        <v>200000</v>
      </c>
      <c r="Z701" s="9" t="n">
        <v>200000</v>
      </c>
      <c r="AA701" s="9" t="n">
        <v>200000</v>
      </c>
      <c r="AB701" s="9" t="n">
        <v>200000</v>
      </c>
      <c r="AC701" s="9" t="n">
        <v>200000</v>
      </c>
      <c r="AD701" s="9" t="n">
        <v>200000</v>
      </c>
      <c r="AE701" s="9" t="n">
        <v>200000</v>
      </c>
      <c r="AF701" s="9" t="n">
        <v>200000</v>
      </c>
      <c r="AG701" s="9" t="n">
        <v>200000</v>
      </c>
      <c r="AH701" s="9" t="n">
        <v>200000</v>
      </c>
      <c r="AI701" s="9" t="n">
        <v>200000</v>
      </c>
      <c r="AJ701" s="9" t="n">
        <f aca="false">X701*$V701</f>
        <v>392000</v>
      </c>
      <c r="AK701" s="9" t="n">
        <f aca="false">Y701*$V701</f>
        <v>392000</v>
      </c>
      <c r="AL701" s="9" t="n">
        <f aca="false">Z701*$V701</f>
        <v>392000</v>
      </c>
      <c r="AM701" s="9" t="n">
        <f aca="false">AA701*$V701</f>
        <v>392000</v>
      </c>
      <c r="AN701" s="9" t="n">
        <f aca="false">AB701*$V701</f>
        <v>392000</v>
      </c>
      <c r="AO701" s="9" t="n">
        <f aca="false">AC701*$V701</f>
        <v>392000</v>
      </c>
      <c r="AP701" s="9" t="n">
        <f aca="false">AD701*$V701</f>
        <v>392000</v>
      </c>
      <c r="AQ701" s="9" t="n">
        <f aca="false">AE701*$V701</f>
        <v>392000</v>
      </c>
      <c r="AR701" s="9" t="n">
        <f aca="false">AF701*$V701</f>
        <v>392000</v>
      </c>
      <c r="AS701" s="9" t="n">
        <f aca="false">AG701*$V701</f>
        <v>392000</v>
      </c>
      <c r="AT701" s="9" t="n">
        <f aca="false">AH701*$V701</f>
        <v>392000</v>
      </c>
      <c r="AU701" s="9" t="n">
        <f aca="false">AI701*$V701</f>
        <v>392000</v>
      </c>
      <c r="AV701" s="9" t="n">
        <f aca="false">SUM(X701:AI701)/1000</f>
        <v>2400</v>
      </c>
      <c r="AW701" s="9" t="n">
        <f aca="false">SUM(AJ701:AU701)</f>
        <v>4704000</v>
      </c>
      <c r="AX701" s="9" t="n">
        <f aca="false">IF(D701="INR",AW701/88.24,AW701)/1000000</f>
        <v>4.704</v>
      </c>
    </row>
    <row r="702" s="2" customFormat="true" ht="16.4" hidden="false" customHeight="false" outlineLevel="0" collapsed="false">
      <c r="A702" s="9" t="s">
        <v>1468</v>
      </c>
      <c r="B702" s="9" t="n">
        <v>5</v>
      </c>
      <c r="C702" s="10"/>
      <c r="D702" s="9" t="s">
        <v>102</v>
      </c>
      <c r="E702" s="9" t="s">
        <v>51</v>
      </c>
      <c r="F702" s="9" t="s">
        <v>52</v>
      </c>
      <c r="G702" s="9" t="s">
        <v>292</v>
      </c>
      <c r="H702" s="9" t="s">
        <v>293</v>
      </c>
      <c r="I702" s="9" t="s">
        <v>105</v>
      </c>
      <c r="J702" s="9" t="s">
        <v>806</v>
      </c>
      <c r="K702" s="9" t="s">
        <v>293</v>
      </c>
      <c r="L702" s="9" t="s">
        <v>105</v>
      </c>
      <c r="M702" s="9" t="s">
        <v>806</v>
      </c>
      <c r="N702" s="9" t="s">
        <v>93</v>
      </c>
      <c r="O702" s="9" t="s">
        <v>294</v>
      </c>
      <c r="P702" s="9" t="s">
        <v>110</v>
      </c>
      <c r="Q702" s="9" t="s">
        <v>110</v>
      </c>
      <c r="R702" s="9" t="s">
        <v>137</v>
      </c>
      <c r="S702" s="9" t="s">
        <v>272</v>
      </c>
      <c r="T702" s="9" t="s">
        <v>347</v>
      </c>
      <c r="U702" s="9" t="s">
        <v>73</v>
      </c>
      <c r="V702" s="9" t="n">
        <v>1.094</v>
      </c>
      <c r="W702" s="9" t="n">
        <v>1.017</v>
      </c>
      <c r="X702" s="9" t="n">
        <v>300000</v>
      </c>
      <c r="Y702" s="9" t="n">
        <v>300000</v>
      </c>
      <c r="Z702" s="9" t="n">
        <v>300000</v>
      </c>
      <c r="AA702" s="9" t="n">
        <v>300000</v>
      </c>
      <c r="AB702" s="9" t="n">
        <v>300000</v>
      </c>
      <c r="AC702" s="9" t="n">
        <v>150000</v>
      </c>
      <c r="AD702" s="9" t="n">
        <v>150000</v>
      </c>
      <c r="AE702" s="9" t="n">
        <v>150000</v>
      </c>
      <c r="AF702" s="9" t="n">
        <v>150000</v>
      </c>
      <c r="AG702" s="9" t="n">
        <v>150000</v>
      </c>
      <c r="AH702" s="9" t="n">
        <v>150000</v>
      </c>
      <c r="AI702" s="9" t="n">
        <v>150000</v>
      </c>
      <c r="AJ702" s="9" t="n">
        <f aca="false">X702*$V702</f>
        <v>328200</v>
      </c>
      <c r="AK702" s="9" t="n">
        <f aca="false">Y702*$V702</f>
        <v>328200</v>
      </c>
      <c r="AL702" s="9" t="n">
        <f aca="false">Z702*$V702</f>
        <v>328200</v>
      </c>
      <c r="AM702" s="9" t="n">
        <f aca="false">AA702*$V702</f>
        <v>328200</v>
      </c>
      <c r="AN702" s="9" t="n">
        <f aca="false">AB702*$V702</f>
        <v>328200</v>
      </c>
      <c r="AO702" s="9" t="n">
        <f aca="false">AC702*$V702</f>
        <v>164100</v>
      </c>
      <c r="AP702" s="9" t="n">
        <f aca="false">AD702*$V702</f>
        <v>164100</v>
      </c>
      <c r="AQ702" s="9" t="n">
        <f aca="false">AE702*$V702</f>
        <v>164100</v>
      </c>
      <c r="AR702" s="9" t="n">
        <f aca="false">AF702*$V702</f>
        <v>164100</v>
      </c>
      <c r="AS702" s="9" t="n">
        <f aca="false">AG702*$V702</f>
        <v>164100</v>
      </c>
      <c r="AT702" s="9" t="n">
        <f aca="false">AH702*$V702</f>
        <v>164100</v>
      </c>
      <c r="AU702" s="9" t="n">
        <f aca="false">AI702*$V702</f>
        <v>164100</v>
      </c>
      <c r="AV702" s="9" t="n">
        <f aca="false">SUM(X702:AI702)/1000</f>
        <v>2550</v>
      </c>
      <c r="AW702" s="9" t="n">
        <f aca="false">SUM(AJ702:AU702)</f>
        <v>2789700</v>
      </c>
      <c r="AX702" s="9" t="n">
        <f aca="false">IF(D702="INR",AW702/88.24,AW702)/1000000</f>
        <v>2.7897</v>
      </c>
    </row>
    <row r="703" s="2" customFormat="true" ht="16.4" hidden="false" customHeight="false" outlineLevel="0" collapsed="false">
      <c r="A703" s="9" t="s">
        <v>1469</v>
      </c>
      <c r="B703" s="9" t="n">
        <v>5</v>
      </c>
      <c r="C703" s="10"/>
      <c r="D703" s="9" t="s">
        <v>102</v>
      </c>
      <c r="E703" s="9" t="s">
        <v>51</v>
      </c>
      <c r="F703" s="9" t="s">
        <v>52</v>
      </c>
      <c r="G703" s="9" t="s">
        <v>292</v>
      </c>
      <c r="H703" s="9" t="s">
        <v>293</v>
      </c>
      <c r="I703" s="9" t="s">
        <v>105</v>
      </c>
      <c r="J703" s="9" t="s">
        <v>806</v>
      </c>
      <c r="K703" s="9"/>
      <c r="L703" s="9" t="s">
        <v>105</v>
      </c>
      <c r="M703" s="9" t="s">
        <v>806</v>
      </c>
      <c r="N703" s="9" t="s">
        <v>93</v>
      </c>
      <c r="O703" s="9" t="s">
        <v>294</v>
      </c>
      <c r="P703" s="9" t="s">
        <v>59</v>
      </c>
      <c r="Q703" s="9" t="s">
        <v>59</v>
      </c>
      <c r="R703" s="9" t="s">
        <v>60</v>
      </c>
      <c r="S703" s="9" t="s">
        <v>61</v>
      </c>
      <c r="T703" s="9" t="s">
        <v>446</v>
      </c>
      <c r="U703" s="9" t="s">
        <v>73</v>
      </c>
      <c r="V703" s="9" t="n">
        <v>3.86</v>
      </c>
      <c r="W703" s="9" t="n">
        <v>3.68</v>
      </c>
      <c r="X703" s="9" t="n">
        <v>50000</v>
      </c>
      <c r="Y703" s="9" t="n">
        <v>50000</v>
      </c>
      <c r="Z703" s="9" t="n">
        <v>50000</v>
      </c>
      <c r="AA703" s="9" t="n">
        <v>50000</v>
      </c>
      <c r="AB703" s="9" t="n">
        <v>50000</v>
      </c>
      <c r="AC703" s="9" t="n">
        <v>50000</v>
      </c>
      <c r="AD703" s="9" t="n">
        <v>50000</v>
      </c>
      <c r="AE703" s="9" t="n">
        <v>50000</v>
      </c>
      <c r="AF703" s="9" t="n">
        <v>50000</v>
      </c>
      <c r="AG703" s="9" t="n">
        <v>50000</v>
      </c>
      <c r="AH703" s="9" t="n">
        <v>50000</v>
      </c>
      <c r="AI703" s="9" t="n">
        <v>50000</v>
      </c>
      <c r="AJ703" s="9" t="n">
        <f aca="false">X703*$V703</f>
        <v>193000</v>
      </c>
      <c r="AK703" s="9" t="n">
        <f aca="false">Y703*$V703</f>
        <v>193000</v>
      </c>
      <c r="AL703" s="9" t="n">
        <f aca="false">Z703*$V703</f>
        <v>193000</v>
      </c>
      <c r="AM703" s="9" t="n">
        <f aca="false">AA703*$V703</f>
        <v>193000</v>
      </c>
      <c r="AN703" s="9" t="n">
        <f aca="false">AB703*$V703</f>
        <v>193000</v>
      </c>
      <c r="AO703" s="9" t="n">
        <f aca="false">AC703*$V703</f>
        <v>193000</v>
      </c>
      <c r="AP703" s="9" t="n">
        <f aca="false">AD703*$V703</f>
        <v>193000</v>
      </c>
      <c r="AQ703" s="9" t="n">
        <f aca="false">AE703*$V703</f>
        <v>193000</v>
      </c>
      <c r="AR703" s="9" t="n">
        <f aca="false">AF703*$V703</f>
        <v>193000</v>
      </c>
      <c r="AS703" s="9" t="n">
        <f aca="false">AG703*$V703</f>
        <v>193000</v>
      </c>
      <c r="AT703" s="9" t="n">
        <f aca="false">AH703*$V703</f>
        <v>193000</v>
      </c>
      <c r="AU703" s="9" t="n">
        <f aca="false">AI703*$V703</f>
        <v>193000</v>
      </c>
      <c r="AV703" s="9" t="n">
        <f aca="false">SUM(X703:AI703)/1000</f>
        <v>600</v>
      </c>
      <c r="AW703" s="9" t="n">
        <f aca="false">SUM(AJ703:AU703)</f>
        <v>2316000</v>
      </c>
      <c r="AX703" s="9" t="n">
        <f aca="false">IF(D703="INR",AW703/88.24,AW703)/1000000</f>
        <v>2.316</v>
      </c>
    </row>
    <row r="704" s="2" customFormat="true" ht="16.4" hidden="false" customHeight="false" outlineLevel="0" collapsed="false">
      <c r="A704" s="9" t="s">
        <v>1470</v>
      </c>
      <c r="B704" s="16" t="n">
        <v>5</v>
      </c>
      <c r="C704" s="15"/>
      <c r="D704" s="16" t="s">
        <v>102</v>
      </c>
      <c r="E704" s="16" t="s">
        <v>51</v>
      </c>
      <c r="F704" s="16" t="s">
        <v>52</v>
      </c>
      <c r="G704" s="16" t="s">
        <v>292</v>
      </c>
      <c r="H704" s="9" t="s">
        <v>293</v>
      </c>
      <c r="I704" s="16" t="s">
        <v>105</v>
      </c>
      <c r="J704" s="16" t="s">
        <v>806</v>
      </c>
      <c r="K704" s="9" t="s">
        <v>293</v>
      </c>
      <c r="L704" s="16" t="s">
        <v>105</v>
      </c>
      <c r="M704" s="16" t="s">
        <v>806</v>
      </c>
      <c r="N704" s="16" t="s">
        <v>93</v>
      </c>
      <c r="O704" s="16" t="s">
        <v>294</v>
      </c>
      <c r="P704" s="16" t="s">
        <v>110</v>
      </c>
      <c r="Q704" s="16" t="s">
        <v>110</v>
      </c>
      <c r="R704" s="16" t="s">
        <v>137</v>
      </c>
      <c r="S704" s="16" t="s">
        <v>272</v>
      </c>
      <c r="T704" s="50" t="s">
        <v>425</v>
      </c>
      <c r="U704" s="16" t="s">
        <v>73</v>
      </c>
      <c r="V704" s="16" t="n">
        <v>1</v>
      </c>
      <c r="W704" s="16" t="n">
        <v>0.93</v>
      </c>
      <c r="X704" s="16" t="n">
        <v>50000</v>
      </c>
      <c r="Y704" s="16" t="n">
        <v>50000</v>
      </c>
      <c r="Z704" s="16" t="n">
        <v>50000</v>
      </c>
      <c r="AA704" s="16" t="n">
        <v>50000</v>
      </c>
      <c r="AB704" s="16" t="n">
        <v>50000</v>
      </c>
      <c r="AC704" s="16" t="n">
        <v>150000</v>
      </c>
      <c r="AD704" s="16" t="n">
        <v>150000</v>
      </c>
      <c r="AE704" s="9" t="n">
        <v>150000</v>
      </c>
      <c r="AF704" s="16" t="n">
        <v>150000</v>
      </c>
      <c r="AG704" s="16" t="n">
        <v>150000</v>
      </c>
      <c r="AH704" s="16" t="n">
        <v>150000</v>
      </c>
      <c r="AI704" s="16" t="n">
        <v>150000</v>
      </c>
      <c r="AJ704" s="9" t="n">
        <f aca="false">X704*$V704</f>
        <v>50000</v>
      </c>
      <c r="AK704" s="9" t="n">
        <f aca="false">Y704*$V704</f>
        <v>50000</v>
      </c>
      <c r="AL704" s="9" t="n">
        <f aca="false">Z704*$V704</f>
        <v>50000</v>
      </c>
      <c r="AM704" s="9" t="n">
        <f aca="false">AA704*$V704</f>
        <v>50000</v>
      </c>
      <c r="AN704" s="9" t="n">
        <f aca="false">AB704*$V704</f>
        <v>50000</v>
      </c>
      <c r="AO704" s="9" t="n">
        <f aca="false">AC704*$V704</f>
        <v>150000</v>
      </c>
      <c r="AP704" s="9" t="n">
        <f aca="false">AD704*$V704</f>
        <v>150000</v>
      </c>
      <c r="AQ704" s="9" t="n">
        <f aca="false">AE704*$V704</f>
        <v>150000</v>
      </c>
      <c r="AR704" s="9" t="n">
        <f aca="false">AF704*$V704</f>
        <v>150000</v>
      </c>
      <c r="AS704" s="9" t="n">
        <f aca="false">AG704*$V704</f>
        <v>150000</v>
      </c>
      <c r="AT704" s="9" t="n">
        <f aca="false">AH704*$V704</f>
        <v>150000</v>
      </c>
      <c r="AU704" s="9" t="n">
        <f aca="false">AI704*$V704</f>
        <v>150000</v>
      </c>
      <c r="AV704" s="9" t="n">
        <f aca="false">SUM(X704:AI704)/1000</f>
        <v>1300</v>
      </c>
      <c r="AW704" s="9" t="n">
        <f aca="false">SUM(AJ704:AU704)</f>
        <v>1300000</v>
      </c>
      <c r="AX704" s="9" t="n">
        <f aca="false">IF(D704="INR",AW704/88.24,AW704)/1000000</f>
        <v>1.3</v>
      </c>
    </row>
    <row r="705" s="2" customFormat="true" ht="16.4" hidden="false" customHeight="false" outlineLevel="0" collapsed="false">
      <c r="A705" s="9" t="s">
        <v>1471</v>
      </c>
      <c r="B705" s="9" t="n">
        <v>5</v>
      </c>
      <c r="C705" s="10"/>
      <c r="D705" s="16" t="s">
        <v>102</v>
      </c>
      <c r="E705" s="16" t="s">
        <v>51</v>
      </c>
      <c r="F705" s="16" t="s">
        <v>52</v>
      </c>
      <c r="G705" s="16" t="s">
        <v>292</v>
      </c>
      <c r="H705" s="9" t="s">
        <v>293</v>
      </c>
      <c r="I705" s="16" t="s">
        <v>105</v>
      </c>
      <c r="J705" s="16" t="s">
        <v>806</v>
      </c>
      <c r="K705" s="9" t="s">
        <v>293</v>
      </c>
      <c r="L705" s="16" t="s">
        <v>105</v>
      </c>
      <c r="M705" s="16" t="s">
        <v>806</v>
      </c>
      <c r="N705" s="16" t="s">
        <v>93</v>
      </c>
      <c r="O705" s="16" t="s">
        <v>294</v>
      </c>
      <c r="P705" s="9" t="s">
        <v>110</v>
      </c>
      <c r="Q705" s="9" t="s">
        <v>110</v>
      </c>
      <c r="R705" s="9" t="s">
        <v>137</v>
      </c>
      <c r="S705" s="9" t="s">
        <v>272</v>
      </c>
      <c r="T705" s="24" t="s">
        <v>624</v>
      </c>
      <c r="U705" s="16" t="s">
        <v>73</v>
      </c>
      <c r="V705" s="25" t="n">
        <v>0.734</v>
      </c>
      <c r="W705" s="25" t="n">
        <v>0.7</v>
      </c>
      <c r="X705" s="22" t="n">
        <v>100000</v>
      </c>
      <c r="Y705" s="9" t="n">
        <v>100000</v>
      </c>
      <c r="Z705" s="9" t="n">
        <v>100000</v>
      </c>
      <c r="AA705" s="9" t="n">
        <v>75000</v>
      </c>
      <c r="AB705" s="9" t="n">
        <v>75000</v>
      </c>
      <c r="AC705" s="9" t="n">
        <v>75000</v>
      </c>
      <c r="AD705" s="9" t="n">
        <v>75000</v>
      </c>
      <c r="AE705" s="9" t="n">
        <v>75000</v>
      </c>
      <c r="AF705" s="9" t="n">
        <v>75000</v>
      </c>
      <c r="AG705" s="9" t="n">
        <v>75000</v>
      </c>
      <c r="AH705" s="9" t="n">
        <v>75000</v>
      </c>
      <c r="AI705" s="9" t="n">
        <v>75000</v>
      </c>
      <c r="AJ705" s="9" t="n">
        <f aca="false">X705*$V705</f>
        <v>73400</v>
      </c>
      <c r="AK705" s="9" t="n">
        <f aca="false">Y705*$V705</f>
        <v>73400</v>
      </c>
      <c r="AL705" s="9" t="n">
        <f aca="false">Z705*$V705</f>
        <v>73400</v>
      </c>
      <c r="AM705" s="9" t="n">
        <f aca="false">AA705*$V705</f>
        <v>55050</v>
      </c>
      <c r="AN705" s="9" t="n">
        <f aca="false">AB705*$V705</f>
        <v>55050</v>
      </c>
      <c r="AO705" s="9" t="n">
        <f aca="false">AC705*$V705</f>
        <v>55050</v>
      </c>
      <c r="AP705" s="9" t="n">
        <f aca="false">AD705*$V705</f>
        <v>55050</v>
      </c>
      <c r="AQ705" s="9" t="n">
        <f aca="false">AE705*$V705</f>
        <v>55050</v>
      </c>
      <c r="AR705" s="9" t="n">
        <f aca="false">AF705*$V705</f>
        <v>55050</v>
      </c>
      <c r="AS705" s="9" t="n">
        <f aca="false">AG705*$V705</f>
        <v>55050</v>
      </c>
      <c r="AT705" s="9" t="n">
        <f aca="false">AH705*$V705</f>
        <v>55050</v>
      </c>
      <c r="AU705" s="9" t="n">
        <f aca="false">AI705*$V705</f>
        <v>55050</v>
      </c>
      <c r="AV705" s="9" t="n">
        <f aca="false">SUM(X705:AI705)/1000</f>
        <v>975</v>
      </c>
      <c r="AW705" s="9" t="n">
        <f aca="false">SUM(AJ705:AU705)</f>
        <v>715650</v>
      </c>
      <c r="AX705" s="9" t="n">
        <f aca="false">IF(D705="INR",AW705/88.24,AW705)/1000000</f>
        <v>0.71565</v>
      </c>
    </row>
    <row r="706" s="2" customFormat="true" ht="14.25" hidden="false" customHeight="false" outlineLevel="0" collapsed="false">
      <c r="A706" s="9"/>
      <c r="B706" s="9" t="n">
        <v>1</v>
      </c>
      <c r="C706" s="10"/>
      <c r="D706" s="16" t="s">
        <v>102</v>
      </c>
      <c r="E706" s="16"/>
      <c r="F706" s="16" t="s">
        <v>52</v>
      </c>
      <c r="G706" s="16"/>
      <c r="H706" s="9" t="s">
        <v>293</v>
      </c>
      <c r="I706" s="16" t="s">
        <v>55</v>
      </c>
      <c r="J706" s="16" t="s">
        <v>56</v>
      </c>
      <c r="K706" s="9"/>
      <c r="L706" s="16" t="s">
        <v>55</v>
      </c>
      <c r="M706" s="16" t="s">
        <v>56</v>
      </c>
      <c r="N706" s="16" t="s">
        <v>93</v>
      </c>
      <c r="O706" s="16" t="s">
        <v>294</v>
      </c>
      <c r="P706" s="9"/>
      <c r="Q706" s="9" t="s">
        <v>85</v>
      </c>
      <c r="R706" s="9"/>
      <c r="S706" s="9"/>
      <c r="T706" s="24" t="s">
        <v>1472</v>
      </c>
      <c r="U706" s="16" t="s">
        <v>63</v>
      </c>
      <c r="V706" s="25" t="n">
        <v>0.278</v>
      </c>
      <c r="W706" s="25"/>
      <c r="X706" s="22" t="n">
        <v>200000</v>
      </c>
      <c r="Y706" s="9" t="n">
        <v>200000</v>
      </c>
      <c r="Z706" s="9" t="n">
        <v>200000</v>
      </c>
      <c r="AA706" s="9" t="n">
        <v>200000</v>
      </c>
      <c r="AB706" s="9" t="n">
        <v>200000</v>
      </c>
      <c r="AC706" s="9" t="n">
        <v>200000</v>
      </c>
      <c r="AD706" s="9" t="n">
        <v>200000</v>
      </c>
      <c r="AE706" s="9" t="n">
        <v>200000</v>
      </c>
      <c r="AF706" s="9" t="n">
        <v>200000</v>
      </c>
      <c r="AG706" s="9" t="n">
        <v>200000</v>
      </c>
      <c r="AH706" s="9" t="n">
        <v>200000</v>
      </c>
      <c r="AI706" s="9" t="n">
        <v>200000</v>
      </c>
      <c r="AJ706" s="9" t="n">
        <f aca="false">X706*$V706</f>
        <v>55600</v>
      </c>
      <c r="AK706" s="9" t="n">
        <f aca="false">Y706*$V706</f>
        <v>55600</v>
      </c>
      <c r="AL706" s="9" t="n">
        <f aca="false">Z706*$V706</f>
        <v>55600</v>
      </c>
      <c r="AM706" s="9" t="n">
        <f aca="false">AA706*$V706</f>
        <v>55600</v>
      </c>
      <c r="AN706" s="9" t="n">
        <f aca="false">AB706*$V706</f>
        <v>55600</v>
      </c>
      <c r="AO706" s="9" t="n">
        <f aca="false">AC706*$V706</f>
        <v>55600</v>
      </c>
      <c r="AP706" s="9" t="n">
        <f aca="false">AD706*$V706</f>
        <v>55600</v>
      </c>
      <c r="AQ706" s="9" t="n">
        <f aca="false">AE706*$V706</f>
        <v>55600</v>
      </c>
      <c r="AR706" s="9" t="n">
        <f aca="false">AF706*$V706</f>
        <v>55600</v>
      </c>
      <c r="AS706" s="9" t="n">
        <f aca="false">AG706*$V706</f>
        <v>55600</v>
      </c>
      <c r="AT706" s="9" t="n">
        <f aca="false">AH706*$V706</f>
        <v>55600</v>
      </c>
      <c r="AU706" s="9" t="n">
        <f aca="false">AI706*$V706</f>
        <v>55600</v>
      </c>
      <c r="AV706" s="9" t="n">
        <f aca="false">SUM(X706:AI706)/1000</f>
        <v>2400</v>
      </c>
      <c r="AW706" s="9" t="n">
        <f aca="false">SUM(AJ706:AU706)</f>
        <v>667200</v>
      </c>
      <c r="AX706" s="9" t="n">
        <f aca="false">IF(D706="INR",AW706/88.24,AW706)/1000000</f>
        <v>0.6672</v>
      </c>
    </row>
    <row r="707" s="2" customFormat="true" ht="14.25" hidden="false" customHeight="false" outlineLevel="0" collapsed="false">
      <c r="A707" s="9"/>
      <c r="B707" s="9" t="n">
        <v>1</v>
      </c>
      <c r="C707" s="15"/>
      <c r="D707" s="16" t="s">
        <v>102</v>
      </c>
      <c r="E707" s="16"/>
      <c r="F707" s="16" t="s">
        <v>52</v>
      </c>
      <c r="G707" s="16"/>
      <c r="H707" s="9" t="s">
        <v>293</v>
      </c>
      <c r="I707" s="16" t="s">
        <v>55</v>
      </c>
      <c r="J707" s="16" t="s">
        <v>56</v>
      </c>
      <c r="K707" s="9"/>
      <c r="L707" s="16" t="s">
        <v>55</v>
      </c>
      <c r="M707" s="16" t="s">
        <v>56</v>
      </c>
      <c r="N707" s="16" t="s">
        <v>93</v>
      </c>
      <c r="O707" s="16" t="s">
        <v>294</v>
      </c>
      <c r="P707" s="9"/>
      <c r="Q707" s="9" t="s">
        <v>110</v>
      </c>
      <c r="R707" s="9"/>
      <c r="S707" s="9"/>
      <c r="T707" s="9" t="s">
        <v>1473</v>
      </c>
      <c r="U707" s="16" t="s">
        <v>63</v>
      </c>
      <c r="V707" s="36" t="n">
        <v>1.094</v>
      </c>
      <c r="W707" s="9"/>
      <c r="X707" s="22" t="n">
        <v>25000</v>
      </c>
      <c r="Y707" s="9" t="n">
        <v>25000</v>
      </c>
      <c r="Z707" s="9" t="n">
        <v>25000</v>
      </c>
      <c r="AA707" s="9" t="n">
        <v>25000</v>
      </c>
      <c r="AB707" s="9" t="n">
        <v>25000</v>
      </c>
      <c r="AC707" s="9" t="n">
        <v>50000</v>
      </c>
      <c r="AD707" s="23" t="n">
        <v>50000</v>
      </c>
      <c r="AE707" s="9" t="n">
        <v>50000</v>
      </c>
      <c r="AF707" s="9" t="n">
        <v>50000</v>
      </c>
      <c r="AG707" s="9" t="n">
        <v>50000</v>
      </c>
      <c r="AH707" s="9" t="n">
        <v>50000</v>
      </c>
      <c r="AI707" s="9" t="n">
        <v>50000</v>
      </c>
      <c r="AJ707" s="9" t="n">
        <f aca="false">X707*$V707</f>
        <v>27350</v>
      </c>
      <c r="AK707" s="9" t="n">
        <f aca="false">Y707*$V707</f>
        <v>27350</v>
      </c>
      <c r="AL707" s="9" t="n">
        <f aca="false">Z707*$V707</f>
        <v>27350</v>
      </c>
      <c r="AM707" s="9" t="n">
        <f aca="false">AA707*$V707</f>
        <v>27350</v>
      </c>
      <c r="AN707" s="9" t="n">
        <f aca="false">AB707*$V707</f>
        <v>27350</v>
      </c>
      <c r="AO707" s="9" t="n">
        <f aca="false">AC707*$V707</f>
        <v>54700</v>
      </c>
      <c r="AP707" s="9" t="n">
        <f aca="false">AD707*$V707</f>
        <v>54700</v>
      </c>
      <c r="AQ707" s="9" t="n">
        <f aca="false">AE707*$V707</f>
        <v>54700</v>
      </c>
      <c r="AR707" s="9" t="n">
        <f aca="false">AF707*$V707</f>
        <v>54700</v>
      </c>
      <c r="AS707" s="9" t="n">
        <f aca="false">AG707*$V707</f>
        <v>54700</v>
      </c>
      <c r="AT707" s="9" t="n">
        <f aca="false">AH707*$V707</f>
        <v>54700</v>
      </c>
      <c r="AU707" s="9" t="n">
        <f aca="false">AI707*$V707</f>
        <v>54700</v>
      </c>
      <c r="AV707" s="9" t="n">
        <f aca="false">SUM(X707:AI707)/1000</f>
        <v>475</v>
      </c>
      <c r="AW707" s="9" t="n">
        <f aca="false">SUM(AJ707:AU707)</f>
        <v>519650</v>
      </c>
      <c r="AX707" s="9" t="n">
        <f aca="false">IF(D707="INR",AW707/88.24,AW707)/1000000</f>
        <v>0.51965</v>
      </c>
    </row>
    <row r="708" s="2" customFormat="true" ht="16.4" hidden="false" customHeight="false" outlineLevel="0" collapsed="false">
      <c r="A708" s="9" t="s">
        <v>1474</v>
      </c>
      <c r="B708" s="9" t="n">
        <v>5</v>
      </c>
      <c r="C708" s="15"/>
      <c r="D708" s="16" t="s">
        <v>102</v>
      </c>
      <c r="E708" s="16" t="s">
        <v>51</v>
      </c>
      <c r="F708" s="16" t="s">
        <v>52</v>
      </c>
      <c r="G708" s="16" t="s">
        <v>292</v>
      </c>
      <c r="H708" s="9" t="s">
        <v>293</v>
      </c>
      <c r="I708" s="16" t="s">
        <v>105</v>
      </c>
      <c r="J708" s="16" t="s">
        <v>806</v>
      </c>
      <c r="K708" s="9"/>
      <c r="L708" s="16" t="s">
        <v>105</v>
      </c>
      <c r="M708" s="16" t="s">
        <v>806</v>
      </c>
      <c r="N708" s="16" t="s">
        <v>93</v>
      </c>
      <c r="O708" s="16" t="s">
        <v>294</v>
      </c>
      <c r="P708" s="9" t="s">
        <v>69</v>
      </c>
      <c r="Q708" s="9" t="s">
        <v>69</v>
      </c>
      <c r="R708" s="9" t="s">
        <v>70</v>
      </c>
      <c r="S708" s="9" t="s">
        <v>71</v>
      </c>
      <c r="T708" s="9" t="s">
        <v>1475</v>
      </c>
      <c r="U708" s="16" t="s">
        <v>73</v>
      </c>
      <c r="V708" s="36" t="n">
        <v>0.395</v>
      </c>
      <c r="W708" s="9" t="n">
        <v>0.367</v>
      </c>
      <c r="X708" s="22" t="n">
        <v>100000</v>
      </c>
      <c r="Y708" s="9" t="n">
        <v>100000</v>
      </c>
      <c r="Z708" s="9" t="n">
        <v>100000</v>
      </c>
      <c r="AA708" s="9" t="n">
        <v>100000</v>
      </c>
      <c r="AB708" s="9" t="n">
        <v>100000</v>
      </c>
      <c r="AC708" s="9" t="n">
        <v>100000</v>
      </c>
      <c r="AD708" s="23" t="n">
        <v>100000</v>
      </c>
      <c r="AE708" s="9" t="n">
        <v>200000</v>
      </c>
      <c r="AF708" s="9" t="n">
        <v>100000</v>
      </c>
      <c r="AG708" s="9" t="n">
        <v>100000</v>
      </c>
      <c r="AH708" s="9" t="n">
        <v>100000</v>
      </c>
      <c r="AI708" s="9" t="n">
        <v>100000</v>
      </c>
      <c r="AJ708" s="9" t="n">
        <f aca="false">X708*$V708</f>
        <v>39500</v>
      </c>
      <c r="AK708" s="9" t="n">
        <f aca="false">Y708*$V708</f>
        <v>39500</v>
      </c>
      <c r="AL708" s="9" t="n">
        <f aca="false">Z708*$V708</f>
        <v>39500</v>
      </c>
      <c r="AM708" s="9" t="n">
        <f aca="false">AA708*$V708</f>
        <v>39500</v>
      </c>
      <c r="AN708" s="9" t="n">
        <f aca="false">AB708*$V708</f>
        <v>39500</v>
      </c>
      <c r="AO708" s="9" t="n">
        <f aca="false">AC708*$V708</f>
        <v>39500</v>
      </c>
      <c r="AP708" s="9" t="n">
        <f aca="false">AD708*$V708</f>
        <v>39500</v>
      </c>
      <c r="AQ708" s="9" t="n">
        <f aca="false">AE708*$V708</f>
        <v>79000</v>
      </c>
      <c r="AR708" s="9" t="n">
        <f aca="false">AF708*$V708</f>
        <v>39500</v>
      </c>
      <c r="AS708" s="9" t="n">
        <f aca="false">AG708*$V708</f>
        <v>39500</v>
      </c>
      <c r="AT708" s="9" t="n">
        <f aca="false">AH708*$V708</f>
        <v>39500</v>
      </c>
      <c r="AU708" s="9" t="n">
        <f aca="false">AI708*$V708</f>
        <v>39500</v>
      </c>
      <c r="AV708" s="9" t="n">
        <f aca="false">SUM(X708:AI708)/1000</f>
        <v>1300</v>
      </c>
      <c r="AW708" s="9" t="n">
        <f aca="false">SUM(AJ708:AU708)</f>
        <v>513500</v>
      </c>
      <c r="AX708" s="9" t="n">
        <f aca="false">IF(D708="INR",AW708/88.24,AW708)/1000000</f>
        <v>0.5135</v>
      </c>
    </row>
    <row r="709" s="2" customFormat="true" ht="14.25" hidden="false" customHeight="false" outlineLevel="0" collapsed="false">
      <c r="A709" s="9"/>
      <c r="B709" s="9" t="n">
        <v>1</v>
      </c>
      <c r="C709" s="15"/>
      <c r="D709" s="16" t="s">
        <v>102</v>
      </c>
      <c r="E709" s="16"/>
      <c r="F709" s="16" t="s">
        <v>52</v>
      </c>
      <c r="G709" s="16"/>
      <c r="H709" s="9" t="s">
        <v>293</v>
      </c>
      <c r="I709" s="16" t="s">
        <v>55</v>
      </c>
      <c r="J709" s="16" t="s">
        <v>56</v>
      </c>
      <c r="K709" s="9"/>
      <c r="L709" s="16" t="s">
        <v>55</v>
      </c>
      <c r="M709" s="16" t="s">
        <v>56</v>
      </c>
      <c r="N709" s="16" t="s">
        <v>93</v>
      </c>
      <c r="O709" s="16" t="s">
        <v>294</v>
      </c>
      <c r="P709" s="9"/>
      <c r="Q709" s="16" t="s">
        <v>85</v>
      </c>
      <c r="R709" s="9"/>
      <c r="S709" s="9"/>
      <c r="T709" s="9" t="s">
        <v>1476</v>
      </c>
      <c r="U709" s="16" t="s">
        <v>63</v>
      </c>
      <c r="V709" s="36" t="n">
        <v>0.202</v>
      </c>
      <c r="W709" s="9"/>
      <c r="X709" s="22" t="n">
        <v>200000</v>
      </c>
      <c r="Y709" s="9" t="n">
        <v>200000</v>
      </c>
      <c r="Z709" s="9" t="n">
        <v>200000</v>
      </c>
      <c r="AA709" s="9" t="n">
        <v>200000</v>
      </c>
      <c r="AB709" s="9" t="n">
        <v>200000</v>
      </c>
      <c r="AC709" s="9" t="n">
        <v>200000</v>
      </c>
      <c r="AD709" s="23" t="n">
        <v>200000</v>
      </c>
      <c r="AE709" s="9" t="n">
        <v>200000</v>
      </c>
      <c r="AF709" s="9" t="n">
        <v>200000</v>
      </c>
      <c r="AG709" s="9" t="n">
        <v>200000</v>
      </c>
      <c r="AH709" s="9" t="n">
        <v>200000</v>
      </c>
      <c r="AI709" s="9" t="n">
        <v>200000</v>
      </c>
      <c r="AJ709" s="9" t="n">
        <f aca="false">X709*$V709</f>
        <v>40400</v>
      </c>
      <c r="AK709" s="9" t="n">
        <f aca="false">Y709*$V709</f>
        <v>40400</v>
      </c>
      <c r="AL709" s="9" t="n">
        <f aca="false">Z709*$V709</f>
        <v>40400</v>
      </c>
      <c r="AM709" s="9" t="n">
        <f aca="false">AA709*$V709</f>
        <v>40400</v>
      </c>
      <c r="AN709" s="9" t="n">
        <f aca="false">AB709*$V709</f>
        <v>40400</v>
      </c>
      <c r="AO709" s="9" t="n">
        <f aca="false">AC709*$V709</f>
        <v>40400</v>
      </c>
      <c r="AP709" s="9" t="n">
        <f aca="false">AD709*$V709</f>
        <v>40400</v>
      </c>
      <c r="AQ709" s="9" t="n">
        <f aca="false">AE709*$V709</f>
        <v>40400</v>
      </c>
      <c r="AR709" s="9" t="n">
        <f aca="false">AF709*$V709</f>
        <v>40400</v>
      </c>
      <c r="AS709" s="9" t="n">
        <f aca="false">AG709*$V709</f>
        <v>40400</v>
      </c>
      <c r="AT709" s="9" t="n">
        <f aca="false">AH709*$V709</f>
        <v>40400</v>
      </c>
      <c r="AU709" s="9" t="n">
        <f aca="false">AI709*$V709</f>
        <v>40400</v>
      </c>
      <c r="AV709" s="9" t="n">
        <f aca="false">SUM(X709:AI709)/1000</f>
        <v>2400</v>
      </c>
      <c r="AW709" s="9" t="n">
        <f aca="false">SUM(AJ709:AU709)</f>
        <v>484800</v>
      </c>
      <c r="AX709" s="9" t="n">
        <f aca="false">IF(D709="INR",AW709/88.24,AW709)/1000000</f>
        <v>0.4848</v>
      </c>
    </row>
    <row r="710" s="2" customFormat="true" ht="14.25" hidden="false" customHeight="false" outlineLevel="0" collapsed="false">
      <c r="A710" s="9"/>
      <c r="B710" s="9" t="n">
        <v>1</v>
      </c>
      <c r="C710" s="15"/>
      <c r="D710" s="16" t="s">
        <v>102</v>
      </c>
      <c r="E710" s="16"/>
      <c r="F710" s="16" t="s">
        <v>52</v>
      </c>
      <c r="G710" s="16"/>
      <c r="H710" s="9" t="s">
        <v>293</v>
      </c>
      <c r="I710" s="16" t="s">
        <v>55</v>
      </c>
      <c r="J710" s="16" t="s">
        <v>56</v>
      </c>
      <c r="K710" s="9"/>
      <c r="L710" s="16" t="s">
        <v>55</v>
      </c>
      <c r="M710" s="16" t="s">
        <v>56</v>
      </c>
      <c r="N710" s="16" t="s">
        <v>93</v>
      </c>
      <c r="O710" s="16" t="s">
        <v>294</v>
      </c>
      <c r="P710" s="9"/>
      <c r="Q710" s="9" t="s">
        <v>85</v>
      </c>
      <c r="R710" s="9"/>
      <c r="S710" s="9"/>
      <c r="T710" s="9" t="s">
        <v>1477</v>
      </c>
      <c r="U710" s="16" t="s">
        <v>63</v>
      </c>
      <c r="V710" s="36" t="n">
        <v>0.18</v>
      </c>
      <c r="W710" s="9"/>
      <c r="X710" s="22" t="n">
        <v>150000</v>
      </c>
      <c r="Y710" s="9" t="n">
        <v>150000</v>
      </c>
      <c r="Z710" s="9" t="n">
        <v>150000</v>
      </c>
      <c r="AA710" s="9" t="n">
        <v>200000</v>
      </c>
      <c r="AB710" s="9" t="n">
        <v>200000</v>
      </c>
      <c r="AC710" s="9" t="n">
        <v>200000</v>
      </c>
      <c r="AD710" s="23" t="n">
        <v>200000</v>
      </c>
      <c r="AE710" s="9" t="n">
        <v>200000</v>
      </c>
      <c r="AF710" s="9" t="n">
        <v>200000</v>
      </c>
      <c r="AG710" s="9" t="n">
        <v>200000</v>
      </c>
      <c r="AH710" s="9" t="n">
        <v>200000</v>
      </c>
      <c r="AI710" s="9" t="n">
        <v>200000</v>
      </c>
      <c r="AJ710" s="9" t="n">
        <f aca="false">X710*$V710</f>
        <v>27000</v>
      </c>
      <c r="AK710" s="9" t="n">
        <f aca="false">Y710*$V710</f>
        <v>27000</v>
      </c>
      <c r="AL710" s="9" t="n">
        <f aca="false">Z710*$V710</f>
        <v>27000</v>
      </c>
      <c r="AM710" s="9" t="n">
        <f aca="false">AA710*$V710</f>
        <v>36000</v>
      </c>
      <c r="AN710" s="9" t="n">
        <f aca="false">AB710*$V710</f>
        <v>36000</v>
      </c>
      <c r="AO710" s="9" t="n">
        <f aca="false">AC710*$V710</f>
        <v>36000</v>
      </c>
      <c r="AP710" s="9" t="n">
        <f aca="false">AD710*$V710</f>
        <v>36000</v>
      </c>
      <c r="AQ710" s="9" t="n">
        <f aca="false">AE710*$V710</f>
        <v>36000</v>
      </c>
      <c r="AR710" s="9" t="n">
        <f aca="false">AF710*$V710</f>
        <v>36000</v>
      </c>
      <c r="AS710" s="9" t="n">
        <f aca="false">AG710*$V710</f>
        <v>36000</v>
      </c>
      <c r="AT710" s="9" t="n">
        <f aca="false">AH710*$V710</f>
        <v>36000</v>
      </c>
      <c r="AU710" s="9" t="n">
        <f aca="false">AI710*$V710</f>
        <v>36000</v>
      </c>
      <c r="AV710" s="9" t="n">
        <f aca="false">SUM(X710:AI710)/1000</f>
        <v>2250</v>
      </c>
      <c r="AW710" s="9" t="n">
        <f aca="false">SUM(AJ710:AU710)</f>
        <v>405000</v>
      </c>
      <c r="AX710" s="9" t="n">
        <f aca="false">IF(D710="INR",AW710/88.24,AW710)/1000000</f>
        <v>0.405</v>
      </c>
    </row>
    <row r="711" s="2" customFormat="true" ht="16.4" hidden="false" customHeight="false" outlineLevel="0" collapsed="false">
      <c r="A711" s="9" t="s">
        <v>1478</v>
      </c>
      <c r="B711" s="9" t="n">
        <v>5</v>
      </c>
      <c r="C711" s="15"/>
      <c r="D711" s="16" t="s">
        <v>102</v>
      </c>
      <c r="E711" s="16" t="s">
        <v>51</v>
      </c>
      <c r="F711" s="16" t="s">
        <v>52</v>
      </c>
      <c r="G711" s="16" t="s">
        <v>292</v>
      </c>
      <c r="H711" s="9" t="s">
        <v>293</v>
      </c>
      <c r="I711" s="16" t="s">
        <v>105</v>
      </c>
      <c r="J711" s="16" t="s">
        <v>806</v>
      </c>
      <c r="K711" s="9"/>
      <c r="L711" s="16" t="s">
        <v>105</v>
      </c>
      <c r="M711" s="16" t="s">
        <v>806</v>
      </c>
      <c r="N711" s="16" t="s">
        <v>93</v>
      </c>
      <c r="O711" s="16" t="s">
        <v>294</v>
      </c>
      <c r="P711" s="9" t="s">
        <v>170</v>
      </c>
      <c r="Q711" s="9" t="s">
        <v>170</v>
      </c>
      <c r="R711" s="9" t="s">
        <v>875</v>
      </c>
      <c r="S711" s="9" t="s">
        <v>61</v>
      </c>
      <c r="T711" s="9" t="s">
        <v>1479</v>
      </c>
      <c r="U711" s="16" t="s">
        <v>73</v>
      </c>
      <c r="V711" s="36" t="n">
        <v>0.218</v>
      </c>
      <c r="W711" s="9" t="n">
        <v>0.18</v>
      </c>
      <c r="X711" s="22" t="n">
        <v>200000</v>
      </c>
      <c r="Y711" s="9" t="n">
        <v>200000</v>
      </c>
      <c r="Z711" s="9" t="n">
        <v>200000</v>
      </c>
      <c r="AA711" s="9" t="n">
        <v>200000</v>
      </c>
      <c r="AB711" s="9" t="n">
        <v>200000</v>
      </c>
      <c r="AC711" s="9" t="n">
        <v>200000</v>
      </c>
      <c r="AD711" s="23" t="n">
        <v>100000</v>
      </c>
      <c r="AE711" s="9" t="n">
        <v>100000</v>
      </c>
      <c r="AF711" s="9" t="n">
        <v>100000</v>
      </c>
      <c r="AG711" s="9" t="n">
        <v>100000</v>
      </c>
      <c r="AH711" s="9" t="n">
        <v>100000</v>
      </c>
      <c r="AI711" s="9" t="n">
        <v>100000</v>
      </c>
      <c r="AJ711" s="9" t="n">
        <f aca="false">X711*$V711</f>
        <v>43600</v>
      </c>
      <c r="AK711" s="9" t="n">
        <f aca="false">Y711*$V711</f>
        <v>43600</v>
      </c>
      <c r="AL711" s="9" t="n">
        <f aca="false">Z711*$V711</f>
        <v>43600</v>
      </c>
      <c r="AM711" s="9" t="n">
        <f aca="false">AA711*$V711</f>
        <v>43600</v>
      </c>
      <c r="AN711" s="9" t="n">
        <f aca="false">AB711*$V711</f>
        <v>43600</v>
      </c>
      <c r="AO711" s="9" t="n">
        <f aca="false">AC711*$V711</f>
        <v>43600</v>
      </c>
      <c r="AP711" s="9" t="n">
        <f aca="false">AD711*$V711</f>
        <v>21800</v>
      </c>
      <c r="AQ711" s="9" t="n">
        <f aca="false">AE711*$V711</f>
        <v>21800</v>
      </c>
      <c r="AR711" s="9" t="n">
        <f aca="false">AF711*$V711</f>
        <v>21800</v>
      </c>
      <c r="AS711" s="9" t="n">
        <f aca="false">AG711*$V711</f>
        <v>21800</v>
      </c>
      <c r="AT711" s="9" t="n">
        <f aca="false">AH711*$V711</f>
        <v>21800</v>
      </c>
      <c r="AU711" s="9" t="n">
        <f aca="false">AI711*$V711</f>
        <v>21800</v>
      </c>
      <c r="AV711" s="9" t="n">
        <f aca="false">SUM(X711:AI711)/1000</f>
        <v>1800</v>
      </c>
      <c r="AW711" s="9" t="n">
        <f aca="false">SUM(AJ711:AU711)</f>
        <v>392400</v>
      </c>
      <c r="AX711" s="9" t="n">
        <f aca="false">IF(D711="INR",AW711/88.24,AW711)/1000000</f>
        <v>0.3924</v>
      </c>
    </row>
    <row r="712" s="2" customFormat="true" ht="14.25" hidden="false" customHeight="false" outlineLevel="0" collapsed="false">
      <c r="A712" s="9"/>
      <c r="B712" s="9" t="n">
        <v>1</v>
      </c>
      <c r="C712" s="15"/>
      <c r="D712" s="16" t="s">
        <v>102</v>
      </c>
      <c r="E712" s="16"/>
      <c r="F712" s="16" t="s">
        <v>52</v>
      </c>
      <c r="G712" s="16"/>
      <c r="H712" s="9" t="s">
        <v>293</v>
      </c>
      <c r="I712" s="16" t="s">
        <v>55</v>
      </c>
      <c r="J712" s="16" t="s">
        <v>56</v>
      </c>
      <c r="K712" s="9"/>
      <c r="L712" s="16" t="s">
        <v>55</v>
      </c>
      <c r="M712" s="16" t="s">
        <v>56</v>
      </c>
      <c r="N712" s="16" t="s">
        <v>93</v>
      </c>
      <c r="O712" s="16" t="s">
        <v>294</v>
      </c>
      <c r="P712" s="9"/>
      <c r="Q712" s="9" t="s">
        <v>69</v>
      </c>
      <c r="R712" s="9"/>
      <c r="S712" s="9"/>
      <c r="T712" s="9" t="s">
        <v>1480</v>
      </c>
      <c r="U712" s="16" t="s">
        <v>63</v>
      </c>
      <c r="V712" s="36" t="n">
        <v>1.16</v>
      </c>
      <c r="W712" s="9"/>
      <c r="X712" s="22"/>
      <c r="Y712" s="9"/>
      <c r="Z712" s="9"/>
      <c r="AA712" s="9" t="n">
        <v>25000</v>
      </c>
      <c r="AB712" s="9" t="n">
        <v>25000</v>
      </c>
      <c r="AC712" s="9" t="n">
        <v>25000</v>
      </c>
      <c r="AD712" s="23" t="n">
        <v>25000</v>
      </c>
      <c r="AE712" s="9" t="n">
        <v>25000</v>
      </c>
      <c r="AF712" s="9" t="n">
        <v>25000</v>
      </c>
      <c r="AG712" s="9" t="n">
        <v>25000</v>
      </c>
      <c r="AH712" s="9" t="n">
        <v>25000</v>
      </c>
      <c r="AI712" s="9" t="n">
        <v>25000</v>
      </c>
      <c r="AJ712" s="9" t="n">
        <f aca="false">X712*$V712</f>
        <v>0</v>
      </c>
      <c r="AK712" s="9" t="n">
        <f aca="false">Y712*$V712</f>
        <v>0</v>
      </c>
      <c r="AL712" s="9" t="n">
        <f aca="false">Z712*$V712</f>
        <v>0</v>
      </c>
      <c r="AM712" s="9" t="n">
        <f aca="false">AA712*$V712</f>
        <v>29000</v>
      </c>
      <c r="AN712" s="9" t="n">
        <f aca="false">AB712*$V712</f>
        <v>29000</v>
      </c>
      <c r="AO712" s="9" t="n">
        <f aca="false">AC712*$V712</f>
        <v>29000</v>
      </c>
      <c r="AP712" s="9" t="n">
        <f aca="false">AD712*$V712</f>
        <v>29000</v>
      </c>
      <c r="AQ712" s="9" t="n">
        <f aca="false">AE712*$V712</f>
        <v>29000</v>
      </c>
      <c r="AR712" s="9" t="n">
        <f aca="false">AF712*$V712</f>
        <v>29000</v>
      </c>
      <c r="AS712" s="9" t="n">
        <f aca="false">AG712*$V712</f>
        <v>29000</v>
      </c>
      <c r="AT712" s="9" t="n">
        <f aca="false">AH712*$V712</f>
        <v>29000</v>
      </c>
      <c r="AU712" s="9" t="n">
        <f aca="false">AI712*$V712</f>
        <v>29000</v>
      </c>
      <c r="AV712" s="9" t="n">
        <f aca="false">SUM(X712:AI712)/1000</f>
        <v>225</v>
      </c>
      <c r="AW712" s="9" t="n">
        <f aca="false">SUM(AJ712:AU712)</f>
        <v>261000</v>
      </c>
      <c r="AX712" s="9" t="n">
        <f aca="false">IF(D712="INR",AW712/88.24,AW712)/1000000</f>
        <v>0.261</v>
      </c>
    </row>
    <row r="713" s="2" customFormat="true" ht="16.4" hidden="false" customHeight="false" outlineLevel="0" collapsed="false">
      <c r="A713" s="9" t="s">
        <v>1481</v>
      </c>
      <c r="B713" s="9" t="n">
        <v>5</v>
      </c>
      <c r="C713" s="15"/>
      <c r="D713" s="16" t="s">
        <v>102</v>
      </c>
      <c r="E713" s="16" t="s">
        <v>51</v>
      </c>
      <c r="F713" s="16" t="s">
        <v>52</v>
      </c>
      <c r="G713" s="16" t="s">
        <v>292</v>
      </c>
      <c r="H713" s="9" t="s">
        <v>293</v>
      </c>
      <c r="I713" s="16" t="s">
        <v>105</v>
      </c>
      <c r="J713" s="16" t="s">
        <v>806</v>
      </c>
      <c r="K713" s="9"/>
      <c r="L713" s="16" t="s">
        <v>105</v>
      </c>
      <c r="M713" s="16" t="s">
        <v>806</v>
      </c>
      <c r="N713" s="16" t="s">
        <v>93</v>
      </c>
      <c r="O713" s="16" t="s">
        <v>294</v>
      </c>
      <c r="P713" s="9" t="s">
        <v>85</v>
      </c>
      <c r="Q713" s="9" t="s">
        <v>85</v>
      </c>
      <c r="R713" s="9" t="s">
        <v>86</v>
      </c>
      <c r="S713" s="9" t="s">
        <v>87</v>
      </c>
      <c r="T713" s="9" t="s">
        <v>1482</v>
      </c>
      <c r="U713" s="16" t="s">
        <v>73</v>
      </c>
      <c r="V713" s="36" t="n">
        <v>0.0667</v>
      </c>
      <c r="W713" s="9" t="n">
        <v>0.061</v>
      </c>
      <c r="X713" s="22" t="n">
        <v>300000</v>
      </c>
      <c r="Y713" s="9" t="n">
        <v>300000</v>
      </c>
      <c r="Z713" s="9" t="n">
        <v>300000</v>
      </c>
      <c r="AA713" s="9" t="n">
        <v>300000</v>
      </c>
      <c r="AB713" s="9" t="n">
        <v>300000</v>
      </c>
      <c r="AC713" s="9" t="n">
        <v>300000</v>
      </c>
      <c r="AD713" s="23" t="n">
        <v>300000</v>
      </c>
      <c r="AE713" s="9" t="n">
        <v>300000</v>
      </c>
      <c r="AF713" s="9" t="n">
        <v>300000</v>
      </c>
      <c r="AG713" s="9" t="n">
        <v>300000</v>
      </c>
      <c r="AH713" s="9" t="n">
        <v>300000</v>
      </c>
      <c r="AI713" s="9" t="n">
        <v>300000</v>
      </c>
      <c r="AJ713" s="9" t="n">
        <f aca="false">X713*$V713</f>
        <v>20010</v>
      </c>
      <c r="AK713" s="9" t="n">
        <f aca="false">Y713*$V713</f>
        <v>20010</v>
      </c>
      <c r="AL713" s="9" t="n">
        <f aca="false">Z713*$V713</f>
        <v>20010</v>
      </c>
      <c r="AM713" s="9" t="n">
        <f aca="false">AA713*$V713</f>
        <v>20010</v>
      </c>
      <c r="AN713" s="9" t="n">
        <f aca="false">AB713*$V713</f>
        <v>20010</v>
      </c>
      <c r="AO713" s="9" t="n">
        <f aca="false">AC713*$V713</f>
        <v>20010</v>
      </c>
      <c r="AP713" s="9" t="n">
        <f aca="false">AD713*$V713</f>
        <v>20010</v>
      </c>
      <c r="AQ713" s="9" t="n">
        <f aca="false">AE713*$V713</f>
        <v>20010</v>
      </c>
      <c r="AR713" s="9" t="n">
        <f aca="false">AF713*$V713</f>
        <v>20010</v>
      </c>
      <c r="AS713" s="9" t="n">
        <f aca="false">AG713*$V713</f>
        <v>20010</v>
      </c>
      <c r="AT713" s="9" t="n">
        <f aca="false">AH713*$V713</f>
        <v>20010</v>
      </c>
      <c r="AU713" s="9" t="n">
        <f aca="false">AI713*$V713</f>
        <v>20010</v>
      </c>
      <c r="AV713" s="9" t="n">
        <f aca="false">SUM(X713:AI713)/1000</f>
        <v>3600</v>
      </c>
      <c r="AW713" s="9" t="n">
        <f aca="false">SUM(AJ713:AU713)</f>
        <v>240120</v>
      </c>
      <c r="AX713" s="9" t="n">
        <f aca="false">IF(D713="INR",AW713/88.24,AW713)/1000000</f>
        <v>0.24012</v>
      </c>
    </row>
    <row r="714" s="2" customFormat="true" ht="16.4" hidden="false" customHeight="false" outlineLevel="0" collapsed="false">
      <c r="A714" s="9" t="s">
        <v>1483</v>
      </c>
      <c r="B714" s="9" t="n">
        <v>5</v>
      </c>
      <c r="C714" s="15"/>
      <c r="D714" s="16" t="s">
        <v>102</v>
      </c>
      <c r="E714" s="16" t="s">
        <v>51</v>
      </c>
      <c r="F714" s="16" t="s">
        <v>52</v>
      </c>
      <c r="G714" s="16" t="s">
        <v>292</v>
      </c>
      <c r="H714" s="9" t="s">
        <v>293</v>
      </c>
      <c r="I714" s="16" t="s">
        <v>105</v>
      </c>
      <c r="J714" s="16" t="s">
        <v>806</v>
      </c>
      <c r="K714" s="9"/>
      <c r="L714" s="16" t="s">
        <v>105</v>
      </c>
      <c r="M714" s="16" t="s">
        <v>806</v>
      </c>
      <c r="N714" s="16" t="s">
        <v>93</v>
      </c>
      <c r="O714" s="16" t="s">
        <v>294</v>
      </c>
      <c r="P714" s="9" t="s">
        <v>85</v>
      </c>
      <c r="Q714" s="9" t="s">
        <v>85</v>
      </c>
      <c r="R714" s="9" t="s">
        <v>86</v>
      </c>
      <c r="S714" s="9" t="s">
        <v>87</v>
      </c>
      <c r="T714" s="9" t="s">
        <v>1484</v>
      </c>
      <c r="U714" s="16" t="s">
        <v>73</v>
      </c>
      <c r="V714" s="36" t="n">
        <v>0.12</v>
      </c>
      <c r="W714" s="9" t="n">
        <v>0.108</v>
      </c>
      <c r="X714" s="22" t="n">
        <v>150000</v>
      </c>
      <c r="Y714" s="9" t="n">
        <v>150000</v>
      </c>
      <c r="Z714" s="9" t="n">
        <v>150000</v>
      </c>
      <c r="AA714" s="9" t="n">
        <v>150000</v>
      </c>
      <c r="AB714" s="9" t="n">
        <v>150000</v>
      </c>
      <c r="AC714" s="9" t="n">
        <v>150000</v>
      </c>
      <c r="AD714" s="23" t="n">
        <v>150000</v>
      </c>
      <c r="AE714" s="9" t="n">
        <v>150000</v>
      </c>
      <c r="AF714" s="9" t="n">
        <v>150000</v>
      </c>
      <c r="AG714" s="9" t="n">
        <v>150000</v>
      </c>
      <c r="AH714" s="9" t="n">
        <v>150000</v>
      </c>
      <c r="AI714" s="9" t="n">
        <v>150000</v>
      </c>
      <c r="AJ714" s="9" t="n">
        <f aca="false">X714*$V714</f>
        <v>18000</v>
      </c>
      <c r="AK714" s="9" t="n">
        <f aca="false">Y714*$V714</f>
        <v>18000</v>
      </c>
      <c r="AL714" s="9" t="n">
        <f aca="false">Z714*$V714</f>
        <v>18000</v>
      </c>
      <c r="AM714" s="9" t="n">
        <f aca="false">AA714*$V714</f>
        <v>18000</v>
      </c>
      <c r="AN714" s="9" t="n">
        <f aca="false">AB714*$V714</f>
        <v>18000</v>
      </c>
      <c r="AO714" s="9" t="n">
        <f aca="false">AC714*$V714</f>
        <v>18000</v>
      </c>
      <c r="AP714" s="9" t="n">
        <f aca="false">AD714*$V714</f>
        <v>18000</v>
      </c>
      <c r="AQ714" s="9" t="n">
        <f aca="false">AE714*$V714</f>
        <v>18000</v>
      </c>
      <c r="AR714" s="9" t="n">
        <f aca="false">AF714*$V714</f>
        <v>18000</v>
      </c>
      <c r="AS714" s="9" t="n">
        <f aca="false">AG714*$V714</f>
        <v>18000</v>
      </c>
      <c r="AT714" s="9" t="n">
        <f aca="false">AH714*$V714</f>
        <v>18000</v>
      </c>
      <c r="AU714" s="9" t="n">
        <f aca="false">AI714*$V714</f>
        <v>18000</v>
      </c>
      <c r="AV714" s="9" t="n">
        <f aca="false">SUM(X714:AI714)/1000</f>
        <v>1800</v>
      </c>
      <c r="AW714" s="9" t="n">
        <f aca="false">SUM(AJ714:AU714)</f>
        <v>216000</v>
      </c>
      <c r="AX714" s="9" t="n">
        <f aca="false">IF(D714="INR",AW714/88.24,AW714)/1000000</f>
        <v>0.216</v>
      </c>
    </row>
    <row r="715" s="2" customFormat="true" ht="16.4" hidden="false" customHeight="false" outlineLevel="0" collapsed="false">
      <c r="A715" s="9" t="s">
        <v>1485</v>
      </c>
      <c r="B715" s="9" t="n">
        <v>5</v>
      </c>
      <c r="C715" s="15"/>
      <c r="D715" s="16" t="s">
        <v>102</v>
      </c>
      <c r="E715" s="16" t="s">
        <v>51</v>
      </c>
      <c r="F715" s="16" t="s">
        <v>52</v>
      </c>
      <c r="G715" s="16" t="s">
        <v>292</v>
      </c>
      <c r="H715" s="9" t="s">
        <v>293</v>
      </c>
      <c r="I715" s="16" t="s">
        <v>105</v>
      </c>
      <c r="J715" s="16" t="s">
        <v>806</v>
      </c>
      <c r="K715" s="9"/>
      <c r="L715" s="16" t="s">
        <v>105</v>
      </c>
      <c r="M715" s="16" t="s">
        <v>806</v>
      </c>
      <c r="N715" s="16" t="s">
        <v>93</v>
      </c>
      <c r="O715" s="16" t="s">
        <v>294</v>
      </c>
      <c r="P715" s="9" t="s">
        <v>329</v>
      </c>
      <c r="Q715" s="9" t="s">
        <v>329</v>
      </c>
      <c r="R715" s="9" t="s">
        <v>330</v>
      </c>
      <c r="S715" s="9" t="s">
        <v>272</v>
      </c>
      <c r="T715" s="9" t="s">
        <v>1486</v>
      </c>
      <c r="U715" s="16" t="s">
        <v>73</v>
      </c>
      <c r="V715" s="36" t="n">
        <v>0.177</v>
      </c>
      <c r="W715" s="9" t="n">
        <v>0.15</v>
      </c>
      <c r="X715" s="22" t="n">
        <v>100000</v>
      </c>
      <c r="Y715" s="9" t="n">
        <v>100000</v>
      </c>
      <c r="Z715" s="9" t="n">
        <v>100000</v>
      </c>
      <c r="AA715" s="9" t="n">
        <v>100000</v>
      </c>
      <c r="AB715" s="9" t="n">
        <v>100000</v>
      </c>
      <c r="AC715" s="9" t="n">
        <v>100000</v>
      </c>
      <c r="AD715" s="23" t="n">
        <v>100000</v>
      </c>
      <c r="AE715" s="9" t="n">
        <v>100000</v>
      </c>
      <c r="AF715" s="9" t="n">
        <v>100000</v>
      </c>
      <c r="AG715" s="9" t="n">
        <v>100000</v>
      </c>
      <c r="AH715" s="9" t="n">
        <v>100000</v>
      </c>
      <c r="AI715" s="9" t="n">
        <v>100000</v>
      </c>
      <c r="AJ715" s="9" t="n">
        <f aca="false">X715*$V715</f>
        <v>17700</v>
      </c>
      <c r="AK715" s="9" t="n">
        <f aca="false">Y715*$V715</f>
        <v>17700</v>
      </c>
      <c r="AL715" s="9" t="n">
        <f aca="false">Z715*$V715</f>
        <v>17700</v>
      </c>
      <c r="AM715" s="9" t="n">
        <f aca="false">AA715*$V715</f>
        <v>17700</v>
      </c>
      <c r="AN715" s="9" t="n">
        <f aca="false">AB715*$V715</f>
        <v>17700</v>
      </c>
      <c r="AO715" s="9" t="n">
        <f aca="false">AC715*$V715</f>
        <v>17700</v>
      </c>
      <c r="AP715" s="9" t="n">
        <f aca="false">AD715*$V715</f>
        <v>17700</v>
      </c>
      <c r="AQ715" s="9" t="n">
        <f aca="false">AE715*$V715</f>
        <v>17700</v>
      </c>
      <c r="AR715" s="9" t="n">
        <f aca="false">AF715*$V715</f>
        <v>17700</v>
      </c>
      <c r="AS715" s="9" t="n">
        <f aca="false">AG715*$V715</f>
        <v>17700</v>
      </c>
      <c r="AT715" s="9" t="n">
        <f aca="false">AH715*$V715</f>
        <v>17700</v>
      </c>
      <c r="AU715" s="9" t="n">
        <f aca="false">AI715*$V715</f>
        <v>17700</v>
      </c>
      <c r="AV715" s="9" t="n">
        <f aca="false">SUM(X715:AI715)/1000</f>
        <v>1200</v>
      </c>
      <c r="AW715" s="9" t="n">
        <f aca="false">SUM(AJ715:AU715)</f>
        <v>212400</v>
      </c>
      <c r="AX715" s="9" t="n">
        <f aca="false">IF(D715="INR",AW715/88.24,AW715)/1000000</f>
        <v>0.2124</v>
      </c>
    </row>
    <row r="716" s="2" customFormat="true" ht="16.4" hidden="false" customHeight="false" outlineLevel="0" collapsed="false">
      <c r="A716" s="9" t="s">
        <v>1487</v>
      </c>
      <c r="B716" s="9" t="n">
        <v>5</v>
      </c>
      <c r="C716" s="15"/>
      <c r="D716" s="16" t="s">
        <v>813</v>
      </c>
      <c r="E716" s="16" t="s">
        <v>51</v>
      </c>
      <c r="F716" s="16" t="s">
        <v>52</v>
      </c>
      <c r="G716" s="16" t="s">
        <v>292</v>
      </c>
      <c r="H716" s="9" t="s">
        <v>293</v>
      </c>
      <c r="I716" s="16" t="s">
        <v>55</v>
      </c>
      <c r="J716" s="16" t="s">
        <v>56</v>
      </c>
      <c r="K716" s="9"/>
      <c r="L716" s="16" t="s">
        <v>55</v>
      </c>
      <c r="M716" s="16" t="s">
        <v>56</v>
      </c>
      <c r="N716" s="16" t="s">
        <v>93</v>
      </c>
      <c r="O716" s="16" t="s">
        <v>294</v>
      </c>
      <c r="P716" s="9" t="s">
        <v>69</v>
      </c>
      <c r="Q716" s="9" t="s">
        <v>69</v>
      </c>
      <c r="R716" s="9" t="s">
        <v>70</v>
      </c>
      <c r="S716" s="9" t="s">
        <v>71</v>
      </c>
      <c r="T716" s="9" t="s">
        <v>249</v>
      </c>
      <c r="U716" s="16" t="s">
        <v>73</v>
      </c>
      <c r="V716" s="36" t="n">
        <v>0.084</v>
      </c>
      <c r="W716" s="9" t="n">
        <v>0.0798</v>
      </c>
      <c r="X716" s="22" t="n">
        <v>200000</v>
      </c>
      <c r="Y716" s="9" t="n">
        <v>200000</v>
      </c>
      <c r="Z716" s="9" t="n">
        <v>200000</v>
      </c>
      <c r="AA716" s="9" t="n">
        <v>200000</v>
      </c>
      <c r="AB716" s="9" t="n">
        <v>200000</v>
      </c>
      <c r="AC716" s="9" t="n">
        <v>200000</v>
      </c>
      <c r="AD716" s="23" t="n">
        <v>200000</v>
      </c>
      <c r="AE716" s="9" t="n">
        <v>200000</v>
      </c>
      <c r="AF716" s="9" t="n">
        <v>200000</v>
      </c>
      <c r="AG716" s="9" t="n">
        <v>200000</v>
      </c>
      <c r="AH716" s="9" t="n">
        <v>200000</v>
      </c>
      <c r="AI716" s="9" t="n">
        <v>200000</v>
      </c>
      <c r="AJ716" s="9" t="n">
        <f aca="false">X716*$V716</f>
        <v>16800</v>
      </c>
      <c r="AK716" s="9" t="n">
        <f aca="false">Y716*$V716</f>
        <v>16800</v>
      </c>
      <c r="AL716" s="9" t="n">
        <f aca="false">Z716*$V716</f>
        <v>16800</v>
      </c>
      <c r="AM716" s="9" t="n">
        <f aca="false">AA716*$V716</f>
        <v>16800</v>
      </c>
      <c r="AN716" s="9" t="n">
        <f aca="false">AB716*$V716</f>
        <v>16800</v>
      </c>
      <c r="AO716" s="9" t="n">
        <f aca="false">AC716*$V716</f>
        <v>16800</v>
      </c>
      <c r="AP716" s="9" t="n">
        <f aca="false">AD716*$V716</f>
        <v>16800</v>
      </c>
      <c r="AQ716" s="9" t="n">
        <f aca="false">AE716*$V716</f>
        <v>16800</v>
      </c>
      <c r="AR716" s="9" t="n">
        <f aca="false">AF716*$V716</f>
        <v>16800</v>
      </c>
      <c r="AS716" s="9" t="n">
        <f aca="false">AG716*$V716</f>
        <v>16800</v>
      </c>
      <c r="AT716" s="9" t="n">
        <f aca="false">AH716*$V716</f>
        <v>16800</v>
      </c>
      <c r="AU716" s="9" t="n">
        <f aca="false">AI716*$V716</f>
        <v>16800</v>
      </c>
      <c r="AV716" s="9" t="n">
        <f aca="false">SUM(X716:AI716)/1000</f>
        <v>2400</v>
      </c>
      <c r="AW716" s="9" t="n">
        <f aca="false">SUM(AJ716:AU716)</f>
        <v>201600</v>
      </c>
      <c r="AX716" s="9" t="n">
        <f aca="false">IF(D716="INR",AW716/88.24,AW716)/1000000</f>
        <v>0.2016</v>
      </c>
    </row>
    <row r="717" s="2" customFormat="true" ht="16.4" hidden="false" customHeight="false" outlineLevel="0" collapsed="false">
      <c r="A717" s="9" t="s">
        <v>1488</v>
      </c>
      <c r="B717" s="9" t="n">
        <v>5</v>
      </c>
      <c r="C717" s="15"/>
      <c r="D717" s="16" t="s">
        <v>102</v>
      </c>
      <c r="E717" s="16" t="s">
        <v>51</v>
      </c>
      <c r="F717" s="16" t="s">
        <v>52</v>
      </c>
      <c r="G717" s="16" t="s">
        <v>292</v>
      </c>
      <c r="H717" s="9" t="s">
        <v>293</v>
      </c>
      <c r="I717" s="16" t="s">
        <v>105</v>
      </c>
      <c r="J717" s="16" t="s">
        <v>806</v>
      </c>
      <c r="K717" s="9"/>
      <c r="L717" s="16" t="s">
        <v>105</v>
      </c>
      <c r="M717" s="16" t="s">
        <v>806</v>
      </c>
      <c r="N717" s="16" t="s">
        <v>93</v>
      </c>
      <c r="O717" s="16" t="s">
        <v>294</v>
      </c>
      <c r="P717" s="9" t="s">
        <v>85</v>
      </c>
      <c r="Q717" s="9" t="s">
        <v>85</v>
      </c>
      <c r="R717" s="9" t="s">
        <v>86</v>
      </c>
      <c r="S717" s="9" t="s">
        <v>87</v>
      </c>
      <c r="T717" s="9" t="s">
        <v>1489</v>
      </c>
      <c r="U717" s="16" t="s">
        <v>73</v>
      </c>
      <c r="V717" s="36" t="n">
        <v>0.105</v>
      </c>
      <c r="W717" s="9" t="n">
        <v>0.094</v>
      </c>
      <c r="X717" s="22" t="n">
        <v>150000</v>
      </c>
      <c r="Y717" s="9" t="n">
        <v>150000</v>
      </c>
      <c r="Z717" s="9" t="n">
        <v>150000</v>
      </c>
      <c r="AA717" s="9" t="n">
        <v>150000</v>
      </c>
      <c r="AB717" s="9" t="n">
        <v>150000</v>
      </c>
      <c r="AC717" s="9" t="n">
        <v>150000</v>
      </c>
      <c r="AD717" s="23" t="n">
        <v>150000</v>
      </c>
      <c r="AE717" s="9" t="n">
        <v>150000</v>
      </c>
      <c r="AF717" s="9" t="n">
        <v>150000</v>
      </c>
      <c r="AG717" s="9" t="n">
        <v>150000</v>
      </c>
      <c r="AH717" s="9" t="n">
        <v>150000</v>
      </c>
      <c r="AI717" s="9" t="n">
        <v>150000</v>
      </c>
      <c r="AJ717" s="9" t="n">
        <f aca="false">X717*$V717</f>
        <v>15750</v>
      </c>
      <c r="AK717" s="9" t="n">
        <f aca="false">Y717*$V717</f>
        <v>15750</v>
      </c>
      <c r="AL717" s="9" t="n">
        <f aca="false">Z717*$V717</f>
        <v>15750</v>
      </c>
      <c r="AM717" s="9" t="n">
        <f aca="false">AA717*$V717</f>
        <v>15750</v>
      </c>
      <c r="AN717" s="9" t="n">
        <f aca="false">AB717*$V717</f>
        <v>15750</v>
      </c>
      <c r="AO717" s="9" t="n">
        <f aca="false">AC717*$V717</f>
        <v>15750</v>
      </c>
      <c r="AP717" s="9" t="n">
        <f aca="false">AD717*$V717</f>
        <v>15750</v>
      </c>
      <c r="AQ717" s="9" t="n">
        <f aca="false">AE717*$V717</f>
        <v>15750</v>
      </c>
      <c r="AR717" s="9" t="n">
        <f aca="false">AF717*$V717</f>
        <v>15750</v>
      </c>
      <c r="AS717" s="9" t="n">
        <f aca="false">AG717*$V717</f>
        <v>15750</v>
      </c>
      <c r="AT717" s="9" t="n">
        <f aca="false">AH717*$V717</f>
        <v>15750</v>
      </c>
      <c r="AU717" s="9" t="n">
        <f aca="false">AI717*$V717</f>
        <v>15750</v>
      </c>
      <c r="AV717" s="9" t="n">
        <f aca="false">SUM(X717:AI717)/1000</f>
        <v>1800</v>
      </c>
      <c r="AW717" s="9" t="n">
        <f aca="false">SUM(AJ717:AU717)</f>
        <v>189000</v>
      </c>
      <c r="AX717" s="9" t="n">
        <f aca="false">IF(D717="INR",AW717/88.24,AW717)/1000000</f>
        <v>0.189</v>
      </c>
    </row>
    <row r="718" s="2" customFormat="true" ht="16.4" hidden="false" customHeight="false" outlineLevel="0" collapsed="false">
      <c r="A718" s="9" t="s">
        <v>1490</v>
      </c>
      <c r="B718" s="9" t="n">
        <v>5</v>
      </c>
      <c r="C718" s="15"/>
      <c r="D718" s="16" t="s">
        <v>102</v>
      </c>
      <c r="E718" s="16" t="s">
        <v>51</v>
      </c>
      <c r="F718" s="16" t="s">
        <v>52</v>
      </c>
      <c r="G718" s="16" t="s">
        <v>292</v>
      </c>
      <c r="H718" s="9" t="s">
        <v>293</v>
      </c>
      <c r="I718" s="16" t="s">
        <v>105</v>
      </c>
      <c r="J718" s="16" t="s">
        <v>806</v>
      </c>
      <c r="K718" s="9"/>
      <c r="L718" s="16" t="s">
        <v>105</v>
      </c>
      <c r="M718" s="16" t="s">
        <v>806</v>
      </c>
      <c r="N718" s="16" t="s">
        <v>93</v>
      </c>
      <c r="O718" s="16" t="s">
        <v>294</v>
      </c>
      <c r="P718" s="9" t="s">
        <v>85</v>
      </c>
      <c r="Q718" s="16" t="s">
        <v>85</v>
      </c>
      <c r="R718" s="9" t="s">
        <v>86</v>
      </c>
      <c r="S718" s="9" t="s">
        <v>87</v>
      </c>
      <c r="T718" s="9" t="s">
        <v>427</v>
      </c>
      <c r="U718" s="16" t="s">
        <v>73</v>
      </c>
      <c r="V718" s="36" t="n">
        <v>0.15</v>
      </c>
      <c r="W718" s="9" t="n">
        <v>0.135</v>
      </c>
      <c r="X718" s="22" t="n">
        <v>100000</v>
      </c>
      <c r="Y718" s="9" t="n">
        <v>100000</v>
      </c>
      <c r="Z718" s="9" t="n">
        <v>100000</v>
      </c>
      <c r="AA718" s="9" t="n">
        <v>100000</v>
      </c>
      <c r="AB718" s="9" t="n">
        <v>100000</v>
      </c>
      <c r="AC718" s="9" t="n">
        <v>100000</v>
      </c>
      <c r="AD718" s="23" t="n">
        <v>100000</v>
      </c>
      <c r="AE718" s="9" t="n">
        <v>100000</v>
      </c>
      <c r="AF718" s="9" t="n">
        <v>100000</v>
      </c>
      <c r="AG718" s="9" t="n">
        <v>100000</v>
      </c>
      <c r="AH718" s="9" t="n">
        <v>100000</v>
      </c>
      <c r="AI718" s="9" t="n">
        <v>100000</v>
      </c>
      <c r="AJ718" s="9" t="n">
        <f aca="false">X718*$V718</f>
        <v>15000</v>
      </c>
      <c r="AK718" s="9" t="n">
        <f aca="false">Y718*$V718</f>
        <v>15000</v>
      </c>
      <c r="AL718" s="9" t="n">
        <f aca="false">Z718*$V718</f>
        <v>15000</v>
      </c>
      <c r="AM718" s="9" t="n">
        <f aca="false">AA718*$V718</f>
        <v>15000</v>
      </c>
      <c r="AN718" s="9" t="n">
        <f aca="false">AB718*$V718</f>
        <v>15000</v>
      </c>
      <c r="AO718" s="9" t="n">
        <f aca="false">AC718*$V718</f>
        <v>15000</v>
      </c>
      <c r="AP718" s="9" t="n">
        <f aca="false">AD718*$V718</f>
        <v>15000</v>
      </c>
      <c r="AQ718" s="9" t="n">
        <f aca="false">AE718*$V718</f>
        <v>15000</v>
      </c>
      <c r="AR718" s="9" t="n">
        <f aca="false">AF718*$V718</f>
        <v>15000</v>
      </c>
      <c r="AS718" s="9" t="n">
        <f aca="false">AG718*$V718</f>
        <v>15000</v>
      </c>
      <c r="AT718" s="9" t="n">
        <f aca="false">AH718*$V718</f>
        <v>15000</v>
      </c>
      <c r="AU718" s="9" t="n">
        <f aca="false">AI718*$V718</f>
        <v>15000</v>
      </c>
      <c r="AV718" s="9" t="n">
        <f aca="false">SUM(X718:AI718)/1000</f>
        <v>1200</v>
      </c>
      <c r="AW718" s="9" t="n">
        <f aca="false">SUM(AJ718:AU718)</f>
        <v>180000</v>
      </c>
      <c r="AX718" s="9" t="n">
        <f aca="false">IF(D718="INR",AW718/88.24,AW718)/1000000</f>
        <v>0.18</v>
      </c>
    </row>
    <row r="719" s="2" customFormat="true" ht="16.4" hidden="false" customHeight="false" outlineLevel="0" collapsed="false">
      <c r="A719" s="9" t="s">
        <v>1491</v>
      </c>
      <c r="B719" s="9" t="n">
        <v>5</v>
      </c>
      <c r="C719" s="15"/>
      <c r="D719" s="16" t="s">
        <v>102</v>
      </c>
      <c r="E719" s="16" t="s">
        <v>51</v>
      </c>
      <c r="F719" s="16" t="s">
        <v>52</v>
      </c>
      <c r="G719" s="16" t="s">
        <v>292</v>
      </c>
      <c r="H719" s="9" t="s">
        <v>293</v>
      </c>
      <c r="I719" s="16" t="s">
        <v>105</v>
      </c>
      <c r="J719" s="16" t="s">
        <v>806</v>
      </c>
      <c r="K719" s="9"/>
      <c r="L719" s="16" t="s">
        <v>105</v>
      </c>
      <c r="M719" s="16" t="s">
        <v>806</v>
      </c>
      <c r="N719" s="16" t="s">
        <v>93</v>
      </c>
      <c r="O719" s="16" t="s">
        <v>294</v>
      </c>
      <c r="P719" s="9" t="s">
        <v>199</v>
      </c>
      <c r="Q719" s="9" t="s">
        <v>199</v>
      </c>
      <c r="R719" s="9" t="s">
        <v>377</v>
      </c>
      <c r="S719" s="9" t="s">
        <v>528</v>
      </c>
      <c r="T719" s="9" t="s">
        <v>1492</v>
      </c>
      <c r="U719" s="16" t="s">
        <v>73</v>
      </c>
      <c r="V719" s="36" t="n">
        <v>0.07</v>
      </c>
      <c r="W719" s="9" t="n">
        <v>0.06</v>
      </c>
      <c r="X719" s="22" t="n">
        <v>200000</v>
      </c>
      <c r="Y719" s="9" t="n">
        <v>200000</v>
      </c>
      <c r="Z719" s="9" t="n">
        <v>200000</v>
      </c>
      <c r="AA719" s="9" t="n">
        <v>200000</v>
      </c>
      <c r="AB719" s="9" t="n">
        <v>200000</v>
      </c>
      <c r="AC719" s="9" t="n">
        <v>200000</v>
      </c>
      <c r="AD719" s="23" t="n">
        <v>200000</v>
      </c>
      <c r="AE719" s="9" t="n">
        <v>200000</v>
      </c>
      <c r="AF719" s="9" t="n">
        <v>200000</v>
      </c>
      <c r="AG719" s="9" t="n">
        <v>200000</v>
      </c>
      <c r="AH719" s="9" t="n">
        <v>200000</v>
      </c>
      <c r="AI719" s="9" t="n">
        <v>200000</v>
      </c>
      <c r="AJ719" s="9" t="n">
        <f aca="false">X719*$V719</f>
        <v>14000</v>
      </c>
      <c r="AK719" s="9" t="n">
        <f aca="false">Y719*$V719</f>
        <v>14000</v>
      </c>
      <c r="AL719" s="9" t="n">
        <f aca="false">Z719*$V719</f>
        <v>14000</v>
      </c>
      <c r="AM719" s="9" t="n">
        <f aca="false">AA719*$V719</f>
        <v>14000</v>
      </c>
      <c r="AN719" s="9" t="n">
        <f aca="false">AB719*$V719</f>
        <v>14000</v>
      </c>
      <c r="AO719" s="9" t="n">
        <f aca="false">AC719*$V719</f>
        <v>14000</v>
      </c>
      <c r="AP719" s="9" t="n">
        <f aca="false">AD719*$V719</f>
        <v>14000</v>
      </c>
      <c r="AQ719" s="9" t="n">
        <f aca="false">AE719*$V719</f>
        <v>14000</v>
      </c>
      <c r="AR719" s="9" t="n">
        <f aca="false">AF719*$V719</f>
        <v>14000</v>
      </c>
      <c r="AS719" s="9" t="n">
        <f aca="false">AG719*$V719</f>
        <v>14000</v>
      </c>
      <c r="AT719" s="9" t="n">
        <f aca="false">AH719*$V719</f>
        <v>14000</v>
      </c>
      <c r="AU719" s="9" t="n">
        <f aca="false">AI719*$V719</f>
        <v>14000</v>
      </c>
      <c r="AV719" s="9" t="n">
        <f aca="false">SUM(X719:AI719)/1000</f>
        <v>2400</v>
      </c>
      <c r="AW719" s="9" t="n">
        <f aca="false">SUM(AJ719:AU719)</f>
        <v>168000</v>
      </c>
      <c r="AX719" s="9" t="n">
        <f aca="false">IF(D719="INR",AW719/88.24,AW719)/1000000</f>
        <v>0.168</v>
      </c>
    </row>
    <row r="720" s="2" customFormat="true" ht="16.4" hidden="false" customHeight="false" outlineLevel="0" collapsed="false">
      <c r="A720" s="9" t="s">
        <v>1493</v>
      </c>
      <c r="B720" s="9" t="n">
        <v>5</v>
      </c>
      <c r="C720" s="10"/>
      <c r="D720" s="16" t="s">
        <v>50</v>
      </c>
      <c r="E720" s="16" t="s">
        <v>51</v>
      </c>
      <c r="F720" s="16" t="s">
        <v>267</v>
      </c>
      <c r="G720" s="16" t="s">
        <v>1429</v>
      </c>
      <c r="H720" s="16" t="s">
        <v>1430</v>
      </c>
      <c r="I720" s="16" t="s">
        <v>105</v>
      </c>
      <c r="J720" s="16" t="s">
        <v>900</v>
      </c>
      <c r="K720" s="16"/>
      <c r="L720" s="16" t="s">
        <v>105</v>
      </c>
      <c r="M720" s="16" t="s">
        <v>900</v>
      </c>
      <c r="N720" s="16" t="s">
        <v>271</v>
      </c>
      <c r="O720" s="16" t="s">
        <v>94</v>
      </c>
      <c r="P720" s="9" t="s">
        <v>110</v>
      </c>
      <c r="Q720" s="9" t="s">
        <v>110</v>
      </c>
      <c r="R720" s="9" t="s">
        <v>137</v>
      </c>
      <c r="S720" s="9" t="s">
        <v>272</v>
      </c>
      <c r="T720" s="9" t="s">
        <v>1084</v>
      </c>
      <c r="U720" s="9" t="s">
        <v>73</v>
      </c>
      <c r="V720" s="16" t="n">
        <v>48</v>
      </c>
      <c r="W720" s="9" t="n">
        <v>0.395</v>
      </c>
      <c r="X720" s="22" t="n">
        <v>500</v>
      </c>
      <c r="Y720" s="9" t="n">
        <v>500</v>
      </c>
      <c r="Z720" s="9" t="n">
        <v>500</v>
      </c>
      <c r="AA720" s="9" t="n">
        <v>500</v>
      </c>
      <c r="AB720" s="9" t="n">
        <v>500</v>
      </c>
      <c r="AC720" s="9" t="n">
        <v>500</v>
      </c>
      <c r="AD720" s="9" t="n">
        <v>500</v>
      </c>
      <c r="AE720" s="9" t="n">
        <v>500</v>
      </c>
      <c r="AF720" s="9" t="n">
        <v>500</v>
      </c>
      <c r="AG720" s="9" t="n">
        <v>500</v>
      </c>
      <c r="AH720" s="9" t="n">
        <v>500</v>
      </c>
      <c r="AI720" s="9" t="n">
        <v>500</v>
      </c>
      <c r="AJ720" s="9" t="n">
        <f aca="false">X720*$V720</f>
        <v>24000</v>
      </c>
      <c r="AK720" s="9" t="n">
        <f aca="false">Y720*$V720</f>
        <v>24000</v>
      </c>
      <c r="AL720" s="9" t="n">
        <f aca="false">Z720*$V720</f>
        <v>24000</v>
      </c>
      <c r="AM720" s="9" t="n">
        <f aca="false">AA720*$V720</f>
        <v>24000</v>
      </c>
      <c r="AN720" s="9" t="n">
        <f aca="false">AB720*$V720</f>
        <v>24000</v>
      </c>
      <c r="AO720" s="9" t="n">
        <f aca="false">AC720*$V720</f>
        <v>24000</v>
      </c>
      <c r="AP720" s="9" t="n">
        <f aca="false">AD720*$V720</f>
        <v>24000</v>
      </c>
      <c r="AQ720" s="9" t="n">
        <f aca="false">AE720*$V720</f>
        <v>24000</v>
      </c>
      <c r="AR720" s="9" t="n">
        <f aca="false">AF720*$V720</f>
        <v>24000</v>
      </c>
      <c r="AS720" s="9" t="n">
        <f aca="false">AG720*$V720</f>
        <v>24000</v>
      </c>
      <c r="AT720" s="9" t="n">
        <f aca="false">AH720*$V720</f>
        <v>24000</v>
      </c>
      <c r="AU720" s="9" t="n">
        <f aca="false">AI720*$V720</f>
        <v>24000</v>
      </c>
      <c r="AV720" s="9" t="n">
        <f aca="false">SUM(X720:AI720)/1000</f>
        <v>6</v>
      </c>
      <c r="AW720" s="9" t="n">
        <f aca="false">SUM(AJ720:AU720)</f>
        <v>288000</v>
      </c>
      <c r="AX720" s="9" t="n">
        <f aca="false">IF(D720="INR",AW720/88.24,AW720)/1000000</f>
        <v>0.00326382592928377</v>
      </c>
    </row>
    <row r="721" s="2" customFormat="true" ht="16.4" hidden="false" customHeight="false" outlineLevel="0" collapsed="false">
      <c r="A721" s="9" t="s">
        <v>1494</v>
      </c>
      <c r="B721" s="9" t="n">
        <v>5</v>
      </c>
      <c r="C721" s="15"/>
      <c r="D721" s="16" t="s">
        <v>102</v>
      </c>
      <c r="E721" s="16" t="s">
        <v>51</v>
      </c>
      <c r="F721" s="16" t="s">
        <v>52</v>
      </c>
      <c r="G721" s="16" t="s">
        <v>292</v>
      </c>
      <c r="H721" s="9" t="s">
        <v>293</v>
      </c>
      <c r="I721" s="16" t="s">
        <v>105</v>
      </c>
      <c r="J721" s="16" t="s">
        <v>806</v>
      </c>
      <c r="K721" s="9" t="s">
        <v>293</v>
      </c>
      <c r="L721" s="16" t="s">
        <v>105</v>
      </c>
      <c r="M721" s="16" t="s">
        <v>806</v>
      </c>
      <c r="N721" s="16" t="s">
        <v>93</v>
      </c>
      <c r="O721" s="16" t="s">
        <v>294</v>
      </c>
      <c r="P721" s="9" t="s">
        <v>460</v>
      </c>
      <c r="Q721" s="9" t="s">
        <v>460</v>
      </c>
      <c r="R721" s="9" t="s">
        <v>137</v>
      </c>
      <c r="S721" s="9" t="s">
        <v>272</v>
      </c>
      <c r="T721" s="9" t="s">
        <v>1495</v>
      </c>
      <c r="U721" s="16" t="s">
        <v>73</v>
      </c>
      <c r="V721" s="36" t="n">
        <v>0.11</v>
      </c>
      <c r="W721" s="9" t="n">
        <v>0.106</v>
      </c>
      <c r="X721" s="22" t="n">
        <v>120000</v>
      </c>
      <c r="Y721" s="9" t="n">
        <v>120000</v>
      </c>
      <c r="Z721" s="9" t="n">
        <v>120000</v>
      </c>
      <c r="AA721" s="9" t="n">
        <v>120000</v>
      </c>
      <c r="AB721" s="9" t="n">
        <v>120000</v>
      </c>
      <c r="AC721" s="9" t="n">
        <v>120000</v>
      </c>
      <c r="AD721" s="23" t="n">
        <v>120000</v>
      </c>
      <c r="AE721" s="9" t="n">
        <v>120000</v>
      </c>
      <c r="AF721" s="9" t="n">
        <v>120000</v>
      </c>
      <c r="AG721" s="9" t="n">
        <v>120000</v>
      </c>
      <c r="AH721" s="9" t="n">
        <v>120000</v>
      </c>
      <c r="AI721" s="9" t="n">
        <v>120000</v>
      </c>
      <c r="AJ721" s="9" t="n">
        <f aca="false">X721*$V721</f>
        <v>13200</v>
      </c>
      <c r="AK721" s="9" t="n">
        <f aca="false">Y721*$V721</f>
        <v>13200</v>
      </c>
      <c r="AL721" s="9" t="n">
        <f aca="false">Z721*$V721</f>
        <v>13200</v>
      </c>
      <c r="AM721" s="9" t="n">
        <f aca="false">AA721*$V721</f>
        <v>13200</v>
      </c>
      <c r="AN721" s="9" t="n">
        <f aca="false">AB721*$V721</f>
        <v>13200</v>
      </c>
      <c r="AO721" s="9" t="n">
        <f aca="false">AC721*$V721</f>
        <v>13200</v>
      </c>
      <c r="AP721" s="9" t="n">
        <f aca="false">AD721*$V721</f>
        <v>13200</v>
      </c>
      <c r="AQ721" s="9" t="n">
        <f aca="false">AE721*$V721</f>
        <v>13200</v>
      </c>
      <c r="AR721" s="9" t="n">
        <f aca="false">AF721*$V721</f>
        <v>13200</v>
      </c>
      <c r="AS721" s="9" t="n">
        <f aca="false">AG721*$V721</f>
        <v>13200</v>
      </c>
      <c r="AT721" s="9" t="n">
        <f aca="false">AH721*$V721</f>
        <v>13200</v>
      </c>
      <c r="AU721" s="9" t="n">
        <f aca="false">AI721*$V721</f>
        <v>13200</v>
      </c>
      <c r="AV721" s="9" t="n">
        <f aca="false">SUM(X721:AI721)/1000</f>
        <v>1440</v>
      </c>
      <c r="AW721" s="9" t="n">
        <f aca="false">SUM(AJ721:AU721)</f>
        <v>158400</v>
      </c>
      <c r="AX721" s="9" t="n">
        <f aca="false">IF(D721="INR",AW721/88.24,AW721)/1000000</f>
        <v>0.1584</v>
      </c>
    </row>
    <row r="722" s="2" customFormat="true" ht="16.4" hidden="false" customHeight="false" outlineLevel="0" collapsed="false">
      <c r="A722" s="9" t="s">
        <v>1496</v>
      </c>
      <c r="B722" s="9" t="n">
        <v>5</v>
      </c>
      <c r="C722" s="15"/>
      <c r="D722" s="16" t="s">
        <v>102</v>
      </c>
      <c r="E722" s="16" t="s">
        <v>51</v>
      </c>
      <c r="F722" s="16" t="s">
        <v>52</v>
      </c>
      <c r="G722" s="16" t="s">
        <v>292</v>
      </c>
      <c r="H722" s="9" t="s">
        <v>293</v>
      </c>
      <c r="I722" s="16" t="s">
        <v>105</v>
      </c>
      <c r="J722" s="16" t="s">
        <v>806</v>
      </c>
      <c r="K722" s="9"/>
      <c r="L722" s="16" t="s">
        <v>105</v>
      </c>
      <c r="M722" s="16" t="s">
        <v>806</v>
      </c>
      <c r="N722" s="16" t="s">
        <v>93</v>
      </c>
      <c r="O722" s="16" t="s">
        <v>294</v>
      </c>
      <c r="P722" s="9" t="s">
        <v>85</v>
      </c>
      <c r="Q722" s="9" t="s">
        <v>85</v>
      </c>
      <c r="R722" s="9" t="s">
        <v>86</v>
      </c>
      <c r="S722" s="9" t="s">
        <v>87</v>
      </c>
      <c r="T722" s="9" t="s">
        <v>1497</v>
      </c>
      <c r="U722" s="16" t="s">
        <v>73</v>
      </c>
      <c r="V722" s="36" t="n">
        <v>0.12</v>
      </c>
      <c r="W722" s="9" t="n">
        <v>0.117</v>
      </c>
      <c r="X722" s="22" t="n">
        <v>100000</v>
      </c>
      <c r="Y722" s="9" t="n">
        <v>100000</v>
      </c>
      <c r="Z722" s="9" t="n">
        <v>100000</v>
      </c>
      <c r="AA722" s="9" t="n">
        <v>100000</v>
      </c>
      <c r="AB722" s="9" t="n">
        <v>100000</v>
      </c>
      <c r="AC722" s="9" t="n">
        <v>100000</v>
      </c>
      <c r="AD722" s="23" t="n">
        <v>100000</v>
      </c>
      <c r="AE722" s="9" t="n">
        <v>100000</v>
      </c>
      <c r="AF722" s="9" t="n">
        <v>100000</v>
      </c>
      <c r="AG722" s="9" t="n">
        <v>100000</v>
      </c>
      <c r="AH722" s="9" t="n">
        <v>100000</v>
      </c>
      <c r="AI722" s="9" t="n">
        <v>100000</v>
      </c>
      <c r="AJ722" s="9" t="n">
        <f aca="false">X722*$V722</f>
        <v>12000</v>
      </c>
      <c r="AK722" s="9" t="n">
        <f aca="false">Y722*$V722</f>
        <v>12000</v>
      </c>
      <c r="AL722" s="9" t="n">
        <f aca="false">Z722*$V722</f>
        <v>12000</v>
      </c>
      <c r="AM722" s="9" t="n">
        <f aca="false">AA722*$V722</f>
        <v>12000</v>
      </c>
      <c r="AN722" s="9" t="n">
        <f aca="false">AB722*$V722</f>
        <v>12000</v>
      </c>
      <c r="AO722" s="9" t="n">
        <f aca="false">AC722*$V722</f>
        <v>12000</v>
      </c>
      <c r="AP722" s="9" t="n">
        <f aca="false">AD722*$V722</f>
        <v>12000</v>
      </c>
      <c r="AQ722" s="9" t="n">
        <f aca="false">AE722*$V722</f>
        <v>12000</v>
      </c>
      <c r="AR722" s="9" t="n">
        <f aca="false">AF722*$V722</f>
        <v>12000</v>
      </c>
      <c r="AS722" s="9" t="n">
        <f aca="false">AG722*$V722</f>
        <v>12000</v>
      </c>
      <c r="AT722" s="9" t="n">
        <f aca="false">AH722*$V722</f>
        <v>12000</v>
      </c>
      <c r="AU722" s="9" t="n">
        <f aca="false">AI722*$V722</f>
        <v>12000</v>
      </c>
      <c r="AV722" s="9" t="n">
        <f aca="false">SUM(X722:AI722)/1000</f>
        <v>1200</v>
      </c>
      <c r="AW722" s="9" t="n">
        <f aca="false">SUM(AJ722:AU722)</f>
        <v>144000</v>
      </c>
      <c r="AX722" s="9" t="n">
        <f aca="false">IF(D722="INR",AW722/88.24,AW722)/1000000</f>
        <v>0.144</v>
      </c>
    </row>
    <row r="723" s="2" customFormat="true" ht="16.4" hidden="false" customHeight="false" outlineLevel="0" collapsed="false">
      <c r="A723" s="9" t="s">
        <v>1498</v>
      </c>
      <c r="B723" s="9" t="n">
        <v>5</v>
      </c>
      <c r="C723" s="15"/>
      <c r="D723" s="16" t="s">
        <v>102</v>
      </c>
      <c r="E723" s="16" t="s">
        <v>51</v>
      </c>
      <c r="F723" s="16" t="s">
        <v>52</v>
      </c>
      <c r="G723" s="16" t="s">
        <v>292</v>
      </c>
      <c r="H723" s="9" t="s">
        <v>293</v>
      </c>
      <c r="I723" s="16" t="s">
        <v>105</v>
      </c>
      <c r="J723" s="16" t="s">
        <v>806</v>
      </c>
      <c r="K723" s="9" t="s">
        <v>293</v>
      </c>
      <c r="L723" s="16" t="s">
        <v>105</v>
      </c>
      <c r="M723" s="16" t="s">
        <v>806</v>
      </c>
      <c r="N723" s="16" t="s">
        <v>93</v>
      </c>
      <c r="O723" s="16" t="s">
        <v>294</v>
      </c>
      <c r="P723" s="9" t="s">
        <v>380</v>
      </c>
      <c r="Q723" s="9" t="s">
        <v>380</v>
      </c>
      <c r="R723" s="9" t="s">
        <v>442</v>
      </c>
      <c r="S723" s="9" t="s">
        <v>443</v>
      </c>
      <c r="T723" s="9" t="s">
        <v>1499</v>
      </c>
      <c r="U723" s="16" t="s">
        <v>63</v>
      </c>
      <c r="V723" s="36" t="n">
        <v>0.22</v>
      </c>
      <c r="W723" s="9" t="n">
        <v>0.19</v>
      </c>
      <c r="X723" s="22" t="n">
        <v>50000</v>
      </c>
      <c r="Y723" s="9" t="n">
        <v>50000</v>
      </c>
      <c r="Z723" s="9" t="n">
        <v>50000</v>
      </c>
      <c r="AA723" s="9" t="n">
        <v>50000</v>
      </c>
      <c r="AB723" s="9" t="n">
        <v>50000</v>
      </c>
      <c r="AC723" s="9" t="n">
        <v>50000</v>
      </c>
      <c r="AD723" s="23" t="n">
        <v>50000</v>
      </c>
      <c r="AE723" s="9" t="n">
        <v>50000</v>
      </c>
      <c r="AF723" s="9" t="n">
        <v>50000</v>
      </c>
      <c r="AG723" s="9" t="n">
        <v>50000</v>
      </c>
      <c r="AH723" s="9" t="n">
        <v>50000</v>
      </c>
      <c r="AI723" s="9" t="n">
        <v>50000</v>
      </c>
      <c r="AJ723" s="9" t="n">
        <f aca="false">X723*$V723</f>
        <v>11000</v>
      </c>
      <c r="AK723" s="9" t="n">
        <f aca="false">Y723*$V723</f>
        <v>11000</v>
      </c>
      <c r="AL723" s="9" t="n">
        <f aca="false">Z723*$V723</f>
        <v>11000</v>
      </c>
      <c r="AM723" s="9" t="n">
        <f aca="false">AA723*$V723</f>
        <v>11000</v>
      </c>
      <c r="AN723" s="9" t="n">
        <f aca="false">AB723*$V723</f>
        <v>11000</v>
      </c>
      <c r="AO723" s="9" t="n">
        <f aca="false">AC723*$V723</f>
        <v>11000</v>
      </c>
      <c r="AP723" s="9" t="n">
        <f aca="false">AD723*$V723</f>
        <v>11000</v>
      </c>
      <c r="AQ723" s="9" t="n">
        <f aca="false">AE723*$V723</f>
        <v>11000</v>
      </c>
      <c r="AR723" s="9" t="n">
        <f aca="false">AF723*$V723</f>
        <v>11000</v>
      </c>
      <c r="AS723" s="9" t="n">
        <f aca="false">AG723*$V723</f>
        <v>11000</v>
      </c>
      <c r="AT723" s="9" t="n">
        <f aca="false">AH723*$V723</f>
        <v>11000</v>
      </c>
      <c r="AU723" s="9" t="n">
        <f aca="false">AI723*$V723</f>
        <v>11000</v>
      </c>
      <c r="AV723" s="9" t="n">
        <f aca="false">SUM(X723:AI723)/1000</f>
        <v>600</v>
      </c>
      <c r="AW723" s="9" t="n">
        <f aca="false">SUM(AJ723:AU723)</f>
        <v>132000</v>
      </c>
      <c r="AX723" s="9" t="n">
        <f aca="false">IF(D723="INR",AW723/88.24,AW723)/1000000</f>
        <v>0.132</v>
      </c>
    </row>
    <row r="724" s="2" customFormat="true" ht="16.4" hidden="false" customHeight="false" outlineLevel="0" collapsed="false">
      <c r="A724" s="9" t="s">
        <v>1500</v>
      </c>
      <c r="B724" s="9" t="n">
        <v>5</v>
      </c>
      <c r="C724" s="15"/>
      <c r="D724" s="16" t="s">
        <v>102</v>
      </c>
      <c r="E724" s="16" t="s">
        <v>51</v>
      </c>
      <c r="F724" s="16" t="s">
        <v>52</v>
      </c>
      <c r="G724" s="16" t="s">
        <v>292</v>
      </c>
      <c r="H724" s="9" t="s">
        <v>293</v>
      </c>
      <c r="I724" s="16" t="s">
        <v>105</v>
      </c>
      <c r="J724" s="16" t="s">
        <v>806</v>
      </c>
      <c r="K724" s="9"/>
      <c r="L724" s="16" t="s">
        <v>105</v>
      </c>
      <c r="M724" s="16" t="s">
        <v>806</v>
      </c>
      <c r="N724" s="16" t="s">
        <v>93</v>
      </c>
      <c r="O724" s="16" t="s">
        <v>294</v>
      </c>
      <c r="P724" s="9" t="s">
        <v>85</v>
      </c>
      <c r="Q724" s="9" t="s">
        <v>85</v>
      </c>
      <c r="R724" s="9" t="s">
        <v>86</v>
      </c>
      <c r="S724" s="9" t="s">
        <v>87</v>
      </c>
      <c r="T724" s="9" t="s">
        <v>1173</v>
      </c>
      <c r="U724" s="16" t="s">
        <v>73</v>
      </c>
      <c r="V724" s="36" t="n">
        <v>0.021</v>
      </c>
      <c r="W724" s="9" t="n">
        <v>0.0192</v>
      </c>
      <c r="X724" s="22" t="n">
        <v>500000</v>
      </c>
      <c r="Y724" s="9" t="n">
        <v>500000</v>
      </c>
      <c r="Z724" s="9" t="n">
        <v>500000</v>
      </c>
      <c r="AA724" s="9" t="n">
        <v>500000</v>
      </c>
      <c r="AB724" s="9" t="n">
        <v>500000</v>
      </c>
      <c r="AC724" s="9" t="n">
        <v>500000</v>
      </c>
      <c r="AD724" s="23" t="n">
        <v>500000</v>
      </c>
      <c r="AE724" s="9" t="n">
        <v>500000</v>
      </c>
      <c r="AF724" s="9" t="n">
        <v>500000</v>
      </c>
      <c r="AG724" s="9" t="n">
        <v>500000</v>
      </c>
      <c r="AH724" s="9" t="n">
        <v>500000</v>
      </c>
      <c r="AI724" s="9" t="n">
        <v>500000</v>
      </c>
      <c r="AJ724" s="9" t="n">
        <f aca="false">X724*$V724</f>
        <v>10500</v>
      </c>
      <c r="AK724" s="9" t="n">
        <f aca="false">Y724*$V724</f>
        <v>10500</v>
      </c>
      <c r="AL724" s="9" t="n">
        <f aca="false">Z724*$V724</f>
        <v>10500</v>
      </c>
      <c r="AM724" s="9" t="n">
        <f aca="false">AA724*$V724</f>
        <v>10500</v>
      </c>
      <c r="AN724" s="9" t="n">
        <f aca="false">AB724*$V724</f>
        <v>10500</v>
      </c>
      <c r="AO724" s="9" t="n">
        <f aca="false">AC724*$V724</f>
        <v>10500</v>
      </c>
      <c r="AP724" s="9" t="n">
        <f aca="false">AD724*$V724</f>
        <v>10500</v>
      </c>
      <c r="AQ724" s="9" t="n">
        <f aca="false">AE724*$V724</f>
        <v>10500</v>
      </c>
      <c r="AR724" s="9" t="n">
        <f aca="false">AF724*$V724</f>
        <v>10500</v>
      </c>
      <c r="AS724" s="9" t="n">
        <f aca="false">AG724*$V724</f>
        <v>10500</v>
      </c>
      <c r="AT724" s="9" t="n">
        <f aca="false">AH724*$V724</f>
        <v>10500</v>
      </c>
      <c r="AU724" s="9" t="n">
        <f aca="false">AI724*$V724</f>
        <v>10500</v>
      </c>
      <c r="AV724" s="9" t="n">
        <f aca="false">SUM(X724:AI724)/1000</f>
        <v>6000</v>
      </c>
      <c r="AW724" s="9" t="n">
        <f aca="false">SUM(AJ724:AU724)</f>
        <v>126000</v>
      </c>
      <c r="AX724" s="9" t="n">
        <f aca="false">IF(D724="INR",AW724/88.24,AW724)/1000000</f>
        <v>0.126</v>
      </c>
    </row>
    <row r="725" s="2" customFormat="true" ht="16.4" hidden="false" customHeight="false" outlineLevel="0" collapsed="false">
      <c r="A725" s="9" t="s">
        <v>1501</v>
      </c>
      <c r="B725" s="9" t="n">
        <v>5</v>
      </c>
      <c r="C725" s="10"/>
      <c r="D725" s="9" t="s">
        <v>102</v>
      </c>
      <c r="E725" s="9" t="s">
        <v>51</v>
      </c>
      <c r="F725" s="9" t="s">
        <v>52</v>
      </c>
      <c r="G725" s="9" t="s">
        <v>292</v>
      </c>
      <c r="H725" s="9" t="s">
        <v>293</v>
      </c>
      <c r="I725" s="9" t="s">
        <v>105</v>
      </c>
      <c r="J725" s="9" t="s">
        <v>806</v>
      </c>
      <c r="K725" s="9"/>
      <c r="L725" s="9" t="s">
        <v>105</v>
      </c>
      <c r="M725" s="9" t="s">
        <v>806</v>
      </c>
      <c r="N725" s="9" t="s">
        <v>93</v>
      </c>
      <c r="O725" s="9" t="s">
        <v>294</v>
      </c>
      <c r="P725" s="9" t="s">
        <v>85</v>
      </c>
      <c r="Q725" s="9" t="s">
        <v>85</v>
      </c>
      <c r="R725" s="9" t="s">
        <v>86</v>
      </c>
      <c r="S725" s="9" t="s">
        <v>87</v>
      </c>
      <c r="T725" s="9" t="s">
        <v>1326</v>
      </c>
      <c r="U725" s="9" t="s">
        <v>73</v>
      </c>
      <c r="V725" s="9" t="n">
        <v>0.029</v>
      </c>
      <c r="W725" s="9" t="n">
        <v>0.0266</v>
      </c>
      <c r="X725" s="9" t="n">
        <v>300000</v>
      </c>
      <c r="Y725" s="9" t="n">
        <v>300000</v>
      </c>
      <c r="Z725" s="9" t="n">
        <v>300000</v>
      </c>
      <c r="AA725" s="9" t="n">
        <v>300000</v>
      </c>
      <c r="AB725" s="9" t="n">
        <v>300000</v>
      </c>
      <c r="AC725" s="9" t="n">
        <v>300000</v>
      </c>
      <c r="AD725" s="9" t="n">
        <v>300000</v>
      </c>
      <c r="AE725" s="9" t="n">
        <v>300000</v>
      </c>
      <c r="AF725" s="9" t="n">
        <v>300000</v>
      </c>
      <c r="AG725" s="9" t="n">
        <v>300000</v>
      </c>
      <c r="AH725" s="9" t="n">
        <v>300000</v>
      </c>
      <c r="AI725" s="9" t="n">
        <v>300000</v>
      </c>
      <c r="AJ725" s="9" t="n">
        <f aca="false">X725*$V725</f>
        <v>8700</v>
      </c>
      <c r="AK725" s="9" t="n">
        <f aca="false">Y725*$V725</f>
        <v>8700</v>
      </c>
      <c r="AL725" s="9" t="n">
        <f aca="false">Z725*$V725</f>
        <v>8700</v>
      </c>
      <c r="AM725" s="9" t="n">
        <f aca="false">AA725*$V725</f>
        <v>8700</v>
      </c>
      <c r="AN725" s="9" t="n">
        <f aca="false">AB725*$V725</f>
        <v>8700</v>
      </c>
      <c r="AO725" s="9" t="n">
        <f aca="false">AC725*$V725</f>
        <v>8700</v>
      </c>
      <c r="AP725" s="9" t="n">
        <f aca="false">AD725*$V725</f>
        <v>8700</v>
      </c>
      <c r="AQ725" s="9" t="n">
        <f aca="false">AE725*$V725</f>
        <v>8700</v>
      </c>
      <c r="AR725" s="9" t="n">
        <f aca="false">AF725*$V725</f>
        <v>8700</v>
      </c>
      <c r="AS725" s="9" t="n">
        <f aca="false">AG725*$V725</f>
        <v>8700</v>
      </c>
      <c r="AT725" s="9" t="n">
        <f aca="false">AH725*$V725</f>
        <v>8700</v>
      </c>
      <c r="AU725" s="9" t="n">
        <f aca="false">AI725*$V725</f>
        <v>8700</v>
      </c>
      <c r="AV725" s="9" t="n">
        <f aca="false">SUM(X725:AI725)/1000</f>
        <v>3600</v>
      </c>
      <c r="AW725" s="9" t="n">
        <f aca="false">SUM(AJ725:AU725)</f>
        <v>104400</v>
      </c>
      <c r="AX725" s="9" t="n">
        <f aca="false">IF(D725="INR",AW725/88.24,AW725)/1000000</f>
        <v>0.1044</v>
      </c>
    </row>
    <row r="726" s="2" customFormat="true" ht="14.25" hidden="false" customHeight="false" outlineLevel="0" collapsed="false">
      <c r="A726" s="9"/>
      <c r="B726" s="9" t="n">
        <v>1</v>
      </c>
      <c r="C726" s="10"/>
      <c r="D726" s="9" t="s">
        <v>102</v>
      </c>
      <c r="E726" s="9"/>
      <c r="F726" s="9" t="s">
        <v>52</v>
      </c>
      <c r="G726" s="9"/>
      <c r="H726" s="9" t="s">
        <v>293</v>
      </c>
      <c r="I726" s="9" t="s">
        <v>55</v>
      </c>
      <c r="J726" s="9" t="s">
        <v>56</v>
      </c>
      <c r="K726" s="9"/>
      <c r="L726" s="9" t="s">
        <v>55</v>
      </c>
      <c r="M726" s="9" t="s">
        <v>56</v>
      </c>
      <c r="N726" s="9" t="s">
        <v>93</v>
      </c>
      <c r="O726" s="9" t="s">
        <v>294</v>
      </c>
      <c r="P726" s="9"/>
      <c r="Q726" s="9" t="s">
        <v>85</v>
      </c>
      <c r="R726" s="9"/>
      <c r="S726" s="9"/>
      <c r="T726" s="9" t="s">
        <v>1502</v>
      </c>
      <c r="U726" s="9" t="s">
        <v>63</v>
      </c>
      <c r="V726" s="9" t="n">
        <v>0.0367</v>
      </c>
      <c r="W726" s="9"/>
      <c r="X726" s="9" t="n">
        <v>200000</v>
      </c>
      <c r="Y726" s="9" t="n">
        <v>200000</v>
      </c>
      <c r="Z726" s="9" t="n">
        <v>200000</v>
      </c>
      <c r="AA726" s="9" t="n">
        <v>200000</v>
      </c>
      <c r="AB726" s="9" t="n">
        <v>200000</v>
      </c>
      <c r="AC726" s="9" t="n">
        <v>200000</v>
      </c>
      <c r="AD726" s="9" t="n">
        <v>200000</v>
      </c>
      <c r="AE726" s="9" t="n">
        <v>200000</v>
      </c>
      <c r="AF726" s="9" t="n">
        <v>200000</v>
      </c>
      <c r="AG726" s="9" t="n">
        <v>200000</v>
      </c>
      <c r="AH726" s="9" t="n">
        <v>200000</v>
      </c>
      <c r="AI726" s="9" t="n">
        <v>200000</v>
      </c>
      <c r="AJ726" s="9" t="n">
        <f aca="false">X726*$V726</f>
        <v>7340</v>
      </c>
      <c r="AK726" s="9" t="n">
        <f aca="false">Y726*$V726</f>
        <v>7340</v>
      </c>
      <c r="AL726" s="9" t="n">
        <f aca="false">Z726*$V726</f>
        <v>7340</v>
      </c>
      <c r="AM726" s="9" t="n">
        <f aca="false">AA726*$V726</f>
        <v>7340</v>
      </c>
      <c r="AN726" s="9" t="n">
        <f aca="false">AB726*$V726</f>
        <v>7340</v>
      </c>
      <c r="AO726" s="9" t="n">
        <f aca="false">AC726*$V726</f>
        <v>7340</v>
      </c>
      <c r="AP726" s="9" t="n">
        <f aca="false">AD726*$V726</f>
        <v>7340</v>
      </c>
      <c r="AQ726" s="9" t="n">
        <f aca="false">AE726*$V726</f>
        <v>7340</v>
      </c>
      <c r="AR726" s="9" t="n">
        <f aca="false">AF726*$V726</f>
        <v>7340</v>
      </c>
      <c r="AS726" s="9" t="n">
        <f aca="false">AG726*$V726</f>
        <v>7340</v>
      </c>
      <c r="AT726" s="9" t="n">
        <f aca="false">AH726*$V726</f>
        <v>7340</v>
      </c>
      <c r="AU726" s="9" t="n">
        <f aca="false">AI726*$V726</f>
        <v>7340</v>
      </c>
      <c r="AV726" s="9" t="n">
        <f aca="false">SUM(X726:AI726)/1000</f>
        <v>2400</v>
      </c>
      <c r="AW726" s="9" t="n">
        <f aca="false">SUM(AJ726:AU726)</f>
        <v>88080</v>
      </c>
      <c r="AX726" s="9" t="n">
        <f aca="false">IF(D726="INR",AW726/88.24,AW726)/1000000</f>
        <v>0.08808</v>
      </c>
    </row>
    <row r="727" s="2" customFormat="true" ht="16.4" hidden="false" customHeight="false" outlineLevel="0" collapsed="false">
      <c r="A727" s="28" t="s">
        <v>1503</v>
      </c>
      <c r="B727" s="16" t="n">
        <v>5</v>
      </c>
      <c r="C727" s="16"/>
      <c r="D727" s="16" t="s">
        <v>102</v>
      </c>
      <c r="E727" s="16" t="s">
        <v>51</v>
      </c>
      <c r="F727" s="16" t="s">
        <v>52</v>
      </c>
      <c r="G727" s="16" t="s">
        <v>292</v>
      </c>
      <c r="H727" s="16" t="s">
        <v>293</v>
      </c>
      <c r="I727" s="16" t="s">
        <v>105</v>
      </c>
      <c r="J727" s="16" t="s">
        <v>806</v>
      </c>
      <c r="K727" s="16" t="s">
        <v>293</v>
      </c>
      <c r="L727" s="16" t="s">
        <v>105</v>
      </c>
      <c r="M727" s="16" t="s">
        <v>806</v>
      </c>
      <c r="N727" s="16" t="s">
        <v>93</v>
      </c>
      <c r="O727" s="16" t="s">
        <v>294</v>
      </c>
      <c r="P727" s="16" t="s">
        <v>110</v>
      </c>
      <c r="Q727" s="16" t="s">
        <v>110</v>
      </c>
      <c r="R727" s="16" t="s">
        <v>137</v>
      </c>
      <c r="S727" s="16" t="s">
        <v>272</v>
      </c>
      <c r="T727" s="16" t="s">
        <v>472</v>
      </c>
      <c r="U727" s="16" t="s">
        <v>73</v>
      </c>
      <c r="V727" s="16" t="n">
        <v>0.699</v>
      </c>
      <c r="W727" s="16" t="n">
        <v>0.66</v>
      </c>
      <c r="X727" s="16" t="n">
        <v>10000</v>
      </c>
      <c r="Y727" s="16" t="n">
        <v>10000</v>
      </c>
      <c r="Z727" s="16" t="n">
        <v>10000</v>
      </c>
      <c r="AA727" s="16" t="n">
        <v>10000</v>
      </c>
      <c r="AB727" s="16" t="n">
        <v>10000</v>
      </c>
      <c r="AC727" s="16" t="n">
        <v>10000</v>
      </c>
      <c r="AD727" s="16" t="n">
        <v>10000</v>
      </c>
      <c r="AE727" s="16" t="n">
        <v>10000</v>
      </c>
      <c r="AF727" s="16" t="n">
        <v>10000</v>
      </c>
      <c r="AG727" s="16" t="n">
        <v>10000</v>
      </c>
      <c r="AH727" s="16" t="n">
        <v>10000</v>
      </c>
      <c r="AI727" s="16" t="n">
        <v>10000</v>
      </c>
      <c r="AJ727" s="9" t="n">
        <f aca="false">X727*$V727</f>
        <v>6990</v>
      </c>
      <c r="AK727" s="9" t="n">
        <f aca="false">Y727*$V727</f>
        <v>6990</v>
      </c>
      <c r="AL727" s="9" t="n">
        <f aca="false">Z727*$V727</f>
        <v>6990</v>
      </c>
      <c r="AM727" s="9" t="n">
        <f aca="false">AA727*$V727</f>
        <v>6990</v>
      </c>
      <c r="AN727" s="9" t="n">
        <f aca="false">AB727*$V727</f>
        <v>6990</v>
      </c>
      <c r="AO727" s="9" t="n">
        <f aca="false">AC727*$V727</f>
        <v>6990</v>
      </c>
      <c r="AP727" s="9" t="n">
        <f aca="false">AD727*$V727</f>
        <v>6990</v>
      </c>
      <c r="AQ727" s="9" t="n">
        <f aca="false">AE727*$V727</f>
        <v>6990</v>
      </c>
      <c r="AR727" s="9" t="n">
        <f aca="false">AF727*$V727</f>
        <v>6990</v>
      </c>
      <c r="AS727" s="9" t="n">
        <f aca="false">AG727*$V727</f>
        <v>6990</v>
      </c>
      <c r="AT727" s="9" t="n">
        <f aca="false">AH727*$V727</f>
        <v>6990</v>
      </c>
      <c r="AU727" s="9" t="n">
        <f aca="false">AI727*$V727</f>
        <v>6990</v>
      </c>
      <c r="AV727" s="9" t="n">
        <f aca="false">SUM(X727:AI727)/1000</f>
        <v>120</v>
      </c>
      <c r="AW727" s="9" t="n">
        <f aca="false">SUM(AJ727:AU727)</f>
        <v>83880</v>
      </c>
      <c r="AX727" s="9" t="n">
        <f aca="false">IF(D727="INR",AW727/88.24,AW727)/1000000</f>
        <v>0.08388</v>
      </c>
    </row>
    <row r="728" s="2" customFormat="true" ht="14.25" hidden="false" customHeight="false" outlineLevel="0" collapsed="false">
      <c r="A728" s="28"/>
      <c r="B728" s="16" t="n">
        <v>1</v>
      </c>
      <c r="C728" s="16"/>
      <c r="D728" s="16" t="s">
        <v>102</v>
      </c>
      <c r="E728" s="16"/>
      <c r="F728" s="16" t="s">
        <v>52</v>
      </c>
      <c r="G728" s="16"/>
      <c r="H728" s="16" t="s">
        <v>293</v>
      </c>
      <c r="I728" s="16" t="s">
        <v>55</v>
      </c>
      <c r="J728" s="16" t="s">
        <v>56</v>
      </c>
      <c r="K728" s="16"/>
      <c r="L728" s="16" t="s">
        <v>55</v>
      </c>
      <c r="M728" s="16" t="s">
        <v>56</v>
      </c>
      <c r="N728" s="16" t="s">
        <v>93</v>
      </c>
      <c r="O728" s="16" t="s">
        <v>294</v>
      </c>
      <c r="P728" s="16"/>
      <c r="Q728" s="16" t="s">
        <v>59</v>
      </c>
      <c r="R728" s="16"/>
      <c r="S728" s="16"/>
      <c r="T728" s="16" t="s">
        <v>1504</v>
      </c>
      <c r="U728" s="16" t="s">
        <v>63</v>
      </c>
      <c r="V728" s="16" t="n">
        <v>0.151</v>
      </c>
      <c r="W728" s="16"/>
      <c r="X728" s="16" t="n">
        <v>25000</v>
      </c>
      <c r="Y728" s="16" t="n">
        <v>25000</v>
      </c>
      <c r="Z728" s="16" t="n">
        <v>25000</v>
      </c>
      <c r="AA728" s="16" t="n">
        <v>50000</v>
      </c>
      <c r="AB728" s="16" t="n">
        <v>50000</v>
      </c>
      <c r="AC728" s="16" t="n">
        <v>50000</v>
      </c>
      <c r="AD728" s="16" t="n">
        <v>50000</v>
      </c>
      <c r="AE728" s="16" t="n">
        <v>50000</v>
      </c>
      <c r="AF728" s="16" t="n">
        <v>50000</v>
      </c>
      <c r="AG728" s="16" t="n">
        <v>50000</v>
      </c>
      <c r="AH728" s="16" t="n">
        <v>50000</v>
      </c>
      <c r="AI728" s="16" t="n">
        <v>50000</v>
      </c>
      <c r="AJ728" s="9" t="n">
        <f aca="false">X728*$V728</f>
        <v>3775</v>
      </c>
      <c r="AK728" s="9" t="n">
        <f aca="false">Y728*$V728</f>
        <v>3775</v>
      </c>
      <c r="AL728" s="9" t="n">
        <f aca="false">Z728*$V728</f>
        <v>3775</v>
      </c>
      <c r="AM728" s="9" t="n">
        <f aca="false">AA728*$V728</f>
        <v>7550</v>
      </c>
      <c r="AN728" s="9" t="n">
        <f aca="false">AB728*$V728</f>
        <v>7550</v>
      </c>
      <c r="AO728" s="9" t="n">
        <f aca="false">AC728*$V728</f>
        <v>7550</v>
      </c>
      <c r="AP728" s="9" t="n">
        <f aca="false">AD728*$V728</f>
        <v>7550</v>
      </c>
      <c r="AQ728" s="9" t="n">
        <f aca="false">AE728*$V728</f>
        <v>7550</v>
      </c>
      <c r="AR728" s="9" t="n">
        <f aca="false">AF728*$V728</f>
        <v>7550</v>
      </c>
      <c r="AS728" s="9" t="n">
        <f aca="false">AG728*$V728</f>
        <v>7550</v>
      </c>
      <c r="AT728" s="9" t="n">
        <f aca="false">AH728*$V728</f>
        <v>7550</v>
      </c>
      <c r="AU728" s="9" t="n">
        <f aca="false">AI728*$V728</f>
        <v>7550</v>
      </c>
      <c r="AV728" s="9" t="n">
        <f aca="false">SUM(X728:AI728)/1000</f>
        <v>525</v>
      </c>
      <c r="AW728" s="9" t="n">
        <f aca="false">SUM(AJ728:AU728)</f>
        <v>79275</v>
      </c>
      <c r="AX728" s="9" t="n">
        <f aca="false">IF(D728="INR",AW728/88.24,AW728)/1000000</f>
        <v>0.079275</v>
      </c>
    </row>
    <row r="729" s="2" customFormat="true" ht="14.25" hidden="false" customHeight="false" outlineLevel="0" collapsed="false">
      <c r="A729" s="12" t="s">
        <v>1505</v>
      </c>
      <c r="B729" s="16" t="n">
        <v>5</v>
      </c>
      <c r="C729" s="15"/>
      <c r="D729" s="16" t="s">
        <v>102</v>
      </c>
      <c r="E729" s="16" t="s">
        <v>51</v>
      </c>
      <c r="F729" s="16" t="s">
        <v>52</v>
      </c>
      <c r="G729" s="16" t="s">
        <v>292</v>
      </c>
      <c r="H729" s="16" t="s">
        <v>293</v>
      </c>
      <c r="I729" s="16" t="s">
        <v>105</v>
      </c>
      <c r="J729" s="16" t="s">
        <v>806</v>
      </c>
      <c r="K729" s="16"/>
      <c r="L729" s="16" t="s">
        <v>105</v>
      </c>
      <c r="M729" s="16" t="s">
        <v>806</v>
      </c>
      <c r="N729" s="16" t="s">
        <v>93</v>
      </c>
      <c r="O729" s="16" t="s">
        <v>294</v>
      </c>
      <c r="P729" s="16" t="s">
        <v>199</v>
      </c>
      <c r="Q729" s="16" t="s">
        <v>199</v>
      </c>
      <c r="R729" s="16" t="s">
        <v>377</v>
      </c>
      <c r="S729" s="16" t="s">
        <v>528</v>
      </c>
      <c r="T729" s="16" t="s">
        <v>1506</v>
      </c>
      <c r="U729" s="16" t="s">
        <v>73</v>
      </c>
      <c r="V729" s="16" t="n">
        <v>0.055</v>
      </c>
      <c r="W729" s="16" t="n">
        <v>0.045</v>
      </c>
      <c r="X729" s="16" t="n">
        <v>60000</v>
      </c>
      <c r="Y729" s="16" t="n">
        <v>60000</v>
      </c>
      <c r="Z729" s="16" t="n">
        <v>60000</v>
      </c>
      <c r="AA729" s="16" t="n">
        <v>60000</v>
      </c>
      <c r="AB729" s="16" t="n">
        <v>60000</v>
      </c>
      <c r="AC729" s="16" t="n">
        <v>60000</v>
      </c>
      <c r="AD729" s="16" t="n">
        <v>60000</v>
      </c>
      <c r="AE729" s="16" t="n">
        <v>60000</v>
      </c>
      <c r="AF729" s="16" t="n">
        <v>60000</v>
      </c>
      <c r="AG729" s="16" t="n">
        <v>60000</v>
      </c>
      <c r="AH729" s="16" t="n">
        <v>60000</v>
      </c>
      <c r="AI729" s="16" t="n">
        <v>60000</v>
      </c>
      <c r="AJ729" s="9" t="n">
        <f aca="false">X729*$V729</f>
        <v>3300</v>
      </c>
      <c r="AK729" s="9" t="n">
        <f aca="false">Y729*$V729</f>
        <v>3300</v>
      </c>
      <c r="AL729" s="9" t="n">
        <f aca="false">Z729*$V729</f>
        <v>3300</v>
      </c>
      <c r="AM729" s="9" t="n">
        <f aca="false">AA729*$V729</f>
        <v>3300</v>
      </c>
      <c r="AN729" s="9" t="n">
        <f aca="false">AB729*$V729</f>
        <v>3300</v>
      </c>
      <c r="AO729" s="9" t="n">
        <f aca="false">AC729*$V729</f>
        <v>3300</v>
      </c>
      <c r="AP729" s="9" t="n">
        <f aca="false">AD729*$V729</f>
        <v>3300</v>
      </c>
      <c r="AQ729" s="9" t="n">
        <f aca="false">AE729*$V729</f>
        <v>3300</v>
      </c>
      <c r="AR729" s="9" t="n">
        <f aca="false">AF729*$V729</f>
        <v>3300</v>
      </c>
      <c r="AS729" s="9" t="n">
        <f aca="false">AG729*$V729</f>
        <v>3300</v>
      </c>
      <c r="AT729" s="9" t="n">
        <f aca="false">AH729*$V729</f>
        <v>3300</v>
      </c>
      <c r="AU729" s="9" t="n">
        <f aca="false">AI729*$V729</f>
        <v>3300</v>
      </c>
      <c r="AV729" s="9" t="n">
        <f aca="false">SUM(X729:AI729)/1000</f>
        <v>720</v>
      </c>
      <c r="AW729" s="9" t="n">
        <f aca="false">SUM(AJ729:AU729)</f>
        <v>39600</v>
      </c>
      <c r="AX729" s="9" t="n">
        <f aca="false">IF(D729="INR",AW729/88.24,AW729)/1000000</f>
        <v>0.0396</v>
      </c>
    </row>
    <row r="730" s="2" customFormat="true" ht="14.25" hidden="false" customHeight="false" outlineLevel="0" collapsed="false">
      <c r="A730" s="12"/>
      <c r="B730" s="16" t="n">
        <v>1</v>
      </c>
      <c r="C730" s="15"/>
      <c r="D730" s="16" t="s">
        <v>102</v>
      </c>
      <c r="E730" s="16"/>
      <c r="F730" s="16" t="s">
        <v>52</v>
      </c>
      <c r="G730" s="16"/>
      <c r="H730" s="16" t="s">
        <v>293</v>
      </c>
      <c r="I730" s="16" t="s">
        <v>55</v>
      </c>
      <c r="J730" s="16" t="s">
        <v>56</v>
      </c>
      <c r="K730" s="16"/>
      <c r="L730" s="16" t="s">
        <v>55</v>
      </c>
      <c r="M730" s="16" t="s">
        <v>56</v>
      </c>
      <c r="N730" s="16" t="s">
        <v>93</v>
      </c>
      <c r="O730" s="16" t="s">
        <v>294</v>
      </c>
      <c r="P730" s="16"/>
      <c r="Q730" s="16" t="s">
        <v>1507</v>
      </c>
      <c r="R730" s="16"/>
      <c r="S730" s="16"/>
      <c r="T730" s="16" t="s">
        <v>1508</v>
      </c>
      <c r="U730" s="16" t="s">
        <v>63</v>
      </c>
      <c r="V730" s="16" t="n">
        <v>0.0064</v>
      </c>
      <c r="W730" s="16"/>
      <c r="X730" s="16" t="n">
        <v>500000</v>
      </c>
      <c r="Y730" s="16" t="n">
        <v>500000</v>
      </c>
      <c r="Z730" s="16" t="n">
        <v>500000</v>
      </c>
      <c r="AA730" s="16" t="n">
        <v>500000</v>
      </c>
      <c r="AB730" s="16" t="n">
        <v>500000</v>
      </c>
      <c r="AC730" s="16" t="n">
        <v>500000</v>
      </c>
      <c r="AD730" s="16" t="n">
        <v>500000</v>
      </c>
      <c r="AE730" s="16" t="n">
        <v>500000</v>
      </c>
      <c r="AF730" s="16" t="n">
        <v>500000</v>
      </c>
      <c r="AG730" s="16" t="n">
        <v>500000</v>
      </c>
      <c r="AH730" s="16" t="n">
        <v>500000</v>
      </c>
      <c r="AI730" s="16" t="n">
        <v>500000</v>
      </c>
      <c r="AJ730" s="9" t="n">
        <f aca="false">X730*$V730</f>
        <v>3200</v>
      </c>
      <c r="AK730" s="9" t="n">
        <f aca="false">Y730*$V730</f>
        <v>3200</v>
      </c>
      <c r="AL730" s="9" t="n">
        <f aca="false">Z730*$V730</f>
        <v>3200</v>
      </c>
      <c r="AM730" s="9" t="n">
        <f aca="false">AA730*$V730</f>
        <v>3200</v>
      </c>
      <c r="AN730" s="9" t="n">
        <f aca="false">AB730*$V730</f>
        <v>3200</v>
      </c>
      <c r="AO730" s="9" t="n">
        <f aca="false">AC730*$V730</f>
        <v>3200</v>
      </c>
      <c r="AP730" s="9" t="n">
        <f aca="false">AD730*$V730</f>
        <v>3200</v>
      </c>
      <c r="AQ730" s="9" t="n">
        <f aca="false">AE730*$V730</f>
        <v>3200</v>
      </c>
      <c r="AR730" s="9" t="n">
        <f aca="false">AF730*$V730</f>
        <v>3200</v>
      </c>
      <c r="AS730" s="9" t="n">
        <f aca="false">AG730*$V730</f>
        <v>3200</v>
      </c>
      <c r="AT730" s="9" t="n">
        <f aca="false">AH730*$V730</f>
        <v>3200</v>
      </c>
      <c r="AU730" s="9" t="n">
        <f aca="false">AI730*$V730</f>
        <v>3200</v>
      </c>
      <c r="AV730" s="9" t="n">
        <f aca="false">SUM(X730:AI730)/1000</f>
        <v>6000</v>
      </c>
      <c r="AW730" s="9" t="n">
        <f aca="false">SUM(AJ730:AU730)</f>
        <v>38400</v>
      </c>
      <c r="AX730" s="9" t="n">
        <f aca="false">IF(D730="INR",AW730/88.24,AW730)/1000000</f>
        <v>0.0384</v>
      </c>
    </row>
    <row r="731" s="2" customFormat="true" ht="14.25" hidden="false" customHeight="false" outlineLevel="0" collapsed="false">
      <c r="A731" s="12"/>
      <c r="B731" s="16" t="n">
        <v>5</v>
      </c>
      <c r="C731" s="15"/>
      <c r="D731" s="16" t="s">
        <v>102</v>
      </c>
      <c r="E731" s="16" t="s">
        <v>51</v>
      </c>
      <c r="F731" s="16" t="s">
        <v>52</v>
      </c>
      <c r="G731" s="16"/>
      <c r="H731" s="16" t="s">
        <v>293</v>
      </c>
      <c r="I731" s="16"/>
      <c r="J731" s="16"/>
      <c r="K731" s="16"/>
      <c r="L731" s="16"/>
      <c r="M731" s="16"/>
      <c r="N731" s="16" t="s">
        <v>93</v>
      </c>
      <c r="O731" s="16"/>
      <c r="P731" s="16"/>
      <c r="Q731" s="16" t="s">
        <v>69</v>
      </c>
      <c r="R731" s="16" t="s">
        <v>70</v>
      </c>
      <c r="S731" s="16"/>
      <c r="T731" s="16" t="s">
        <v>1509</v>
      </c>
      <c r="U731" s="16" t="s">
        <v>63</v>
      </c>
      <c r="V731" s="16" t="n">
        <v>3.58</v>
      </c>
      <c r="W731" s="16" t="n">
        <v>3.43</v>
      </c>
      <c r="X731" s="16"/>
      <c r="Y731" s="16"/>
      <c r="Z731" s="16"/>
      <c r="AA731" s="16"/>
      <c r="AB731" s="16"/>
      <c r="AC731" s="16"/>
      <c r="AD731" s="16" t="n">
        <v>5000</v>
      </c>
      <c r="AE731" s="16"/>
      <c r="AF731" s="16"/>
      <c r="AG731" s="16" t="n">
        <v>5000</v>
      </c>
      <c r="AH731" s="16"/>
      <c r="AI731" s="16"/>
      <c r="AJ731" s="9" t="n">
        <f aca="false">X731*$V731</f>
        <v>0</v>
      </c>
      <c r="AK731" s="9" t="n">
        <f aca="false">Y731*$V731</f>
        <v>0</v>
      </c>
      <c r="AL731" s="9" t="n">
        <f aca="false">Z731*$V731</f>
        <v>0</v>
      </c>
      <c r="AM731" s="9" t="n">
        <f aca="false">AA731*$V731</f>
        <v>0</v>
      </c>
      <c r="AN731" s="9" t="n">
        <f aca="false">AB731*$V731</f>
        <v>0</v>
      </c>
      <c r="AO731" s="9" t="n">
        <f aca="false">AC731*$V731</f>
        <v>0</v>
      </c>
      <c r="AP731" s="9" t="n">
        <f aca="false">AD731*$V731</f>
        <v>17900</v>
      </c>
      <c r="AQ731" s="9" t="n">
        <f aca="false">AE731*$V731</f>
        <v>0</v>
      </c>
      <c r="AR731" s="9" t="n">
        <f aca="false">AF731*$V731</f>
        <v>0</v>
      </c>
      <c r="AS731" s="9" t="n">
        <f aca="false">AG731*$V731</f>
        <v>17900</v>
      </c>
      <c r="AT731" s="9" t="n">
        <f aca="false">AH731*$V731</f>
        <v>0</v>
      </c>
      <c r="AU731" s="9" t="n">
        <f aca="false">AI731*$V731</f>
        <v>0</v>
      </c>
      <c r="AV731" s="9" t="n">
        <f aca="false">SUM(X731:AI731)/1000</f>
        <v>10</v>
      </c>
      <c r="AW731" s="9" t="n">
        <f aca="false">SUM(AJ731:AU731)</f>
        <v>35800</v>
      </c>
      <c r="AX731" s="9" t="n">
        <f aca="false">IF(D731="INR",AW731/88.24,AW731)/1000000</f>
        <v>0.0358</v>
      </c>
    </row>
    <row r="732" s="2" customFormat="true" ht="14.25" hidden="false" customHeight="false" outlineLevel="0" collapsed="false">
      <c r="A732" s="12" t="s">
        <v>1510</v>
      </c>
      <c r="B732" s="16" t="n">
        <v>5</v>
      </c>
      <c r="C732" s="15"/>
      <c r="D732" s="16" t="s">
        <v>102</v>
      </c>
      <c r="E732" s="16" t="s">
        <v>51</v>
      </c>
      <c r="F732" s="16" t="s">
        <v>52</v>
      </c>
      <c r="G732" s="16" t="s">
        <v>292</v>
      </c>
      <c r="H732" s="16" t="s">
        <v>293</v>
      </c>
      <c r="I732" s="16" t="s">
        <v>105</v>
      </c>
      <c r="J732" s="16" t="s">
        <v>806</v>
      </c>
      <c r="K732" s="16"/>
      <c r="L732" s="16" t="s">
        <v>105</v>
      </c>
      <c r="M732" s="16" t="s">
        <v>806</v>
      </c>
      <c r="N732" s="16" t="s">
        <v>93</v>
      </c>
      <c r="O732" s="16" t="s">
        <v>294</v>
      </c>
      <c r="P732" s="16" t="s">
        <v>199</v>
      </c>
      <c r="Q732" s="16" t="s">
        <v>199</v>
      </c>
      <c r="R732" s="16" t="s">
        <v>377</v>
      </c>
      <c r="S732" s="16" t="s">
        <v>528</v>
      </c>
      <c r="T732" s="16" t="s">
        <v>529</v>
      </c>
      <c r="U732" s="16" t="s">
        <v>73</v>
      </c>
      <c r="V732" s="16" t="n">
        <v>0.052</v>
      </c>
      <c r="W732" s="16" t="n">
        <v>0.045</v>
      </c>
      <c r="X732" s="16" t="n">
        <v>50000</v>
      </c>
      <c r="Y732" s="16" t="n">
        <v>50000</v>
      </c>
      <c r="Z732" s="26" t="n">
        <v>50000</v>
      </c>
      <c r="AA732" s="16" t="n">
        <v>50000</v>
      </c>
      <c r="AB732" s="16" t="n">
        <v>50000</v>
      </c>
      <c r="AC732" s="16" t="n">
        <v>50000</v>
      </c>
      <c r="AD732" s="16" t="n">
        <v>50000</v>
      </c>
      <c r="AE732" s="16" t="n">
        <v>50000</v>
      </c>
      <c r="AF732" s="16" t="n">
        <v>50000</v>
      </c>
      <c r="AG732" s="16" t="n">
        <v>50000</v>
      </c>
      <c r="AH732" s="16" t="n">
        <v>50000</v>
      </c>
      <c r="AI732" s="16" t="n">
        <v>50000</v>
      </c>
      <c r="AJ732" s="9" t="n">
        <f aca="false">X732*$V732</f>
        <v>2600</v>
      </c>
      <c r="AK732" s="9" t="n">
        <f aca="false">Y732*$V732</f>
        <v>2600</v>
      </c>
      <c r="AL732" s="9" t="n">
        <f aca="false">Z732*$V732</f>
        <v>2600</v>
      </c>
      <c r="AM732" s="9" t="n">
        <f aca="false">AA732*$V732</f>
        <v>2600</v>
      </c>
      <c r="AN732" s="9" t="n">
        <f aca="false">AB732*$V732</f>
        <v>2600</v>
      </c>
      <c r="AO732" s="9" t="n">
        <f aca="false">AC732*$V732</f>
        <v>2600</v>
      </c>
      <c r="AP732" s="9" t="n">
        <f aca="false">AD732*$V732</f>
        <v>2600</v>
      </c>
      <c r="AQ732" s="9" t="n">
        <f aca="false">AE732*$V732</f>
        <v>2600</v>
      </c>
      <c r="AR732" s="9" t="n">
        <f aca="false">AF732*$V732</f>
        <v>2600</v>
      </c>
      <c r="AS732" s="9" t="n">
        <f aca="false">AG732*$V732</f>
        <v>2600</v>
      </c>
      <c r="AT732" s="9" t="n">
        <f aca="false">AH732*$V732</f>
        <v>2600</v>
      </c>
      <c r="AU732" s="9" t="n">
        <f aca="false">AI732*$V732</f>
        <v>2600</v>
      </c>
      <c r="AV732" s="9" t="n">
        <f aca="false">SUM(X732:AI732)/1000</f>
        <v>600</v>
      </c>
      <c r="AW732" s="9" t="n">
        <f aca="false">SUM(AJ732:AU732)</f>
        <v>31200</v>
      </c>
      <c r="AX732" s="9" t="n">
        <f aca="false">IF(D732="INR",AW732/88.24,AW732)/1000000</f>
        <v>0.0312</v>
      </c>
    </row>
    <row r="733" s="2" customFormat="true" ht="14.25" hidden="false" customHeight="false" outlineLevel="0" collapsed="false">
      <c r="A733" s="12"/>
      <c r="B733" s="13" t="n">
        <v>1</v>
      </c>
      <c r="C733" s="14"/>
      <c r="D733" s="16" t="s">
        <v>102</v>
      </c>
      <c r="E733" s="16"/>
      <c r="F733" s="16" t="s">
        <v>52</v>
      </c>
      <c r="G733" s="16"/>
      <c r="H733" s="16" t="s">
        <v>293</v>
      </c>
      <c r="I733" s="16" t="s">
        <v>55</v>
      </c>
      <c r="J733" s="16" t="s">
        <v>56</v>
      </c>
      <c r="K733" s="16"/>
      <c r="L733" s="16" t="s">
        <v>55</v>
      </c>
      <c r="M733" s="16" t="s">
        <v>56</v>
      </c>
      <c r="N733" s="16" t="s">
        <v>93</v>
      </c>
      <c r="O733" s="16" t="s">
        <v>294</v>
      </c>
      <c r="P733" s="16"/>
      <c r="Q733" s="16" t="s">
        <v>85</v>
      </c>
      <c r="R733" s="16"/>
      <c r="S733" s="16"/>
      <c r="T733" s="16" t="s">
        <v>1511</v>
      </c>
      <c r="U733" s="16" t="s">
        <v>63</v>
      </c>
      <c r="V733" s="16" t="n">
        <v>0.089</v>
      </c>
      <c r="W733" s="16"/>
      <c r="X733" s="16" t="n">
        <v>25000</v>
      </c>
      <c r="Y733" s="16" t="n">
        <v>25000</v>
      </c>
      <c r="Z733" s="16" t="n">
        <v>25000</v>
      </c>
      <c r="AA733" s="16" t="n">
        <v>25000</v>
      </c>
      <c r="AB733" s="16" t="n">
        <v>25000</v>
      </c>
      <c r="AC733" s="16" t="n">
        <v>25000</v>
      </c>
      <c r="AD733" s="16" t="n">
        <v>25000</v>
      </c>
      <c r="AE733" s="16" t="n">
        <v>25000</v>
      </c>
      <c r="AF733" s="16" t="n">
        <v>25000</v>
      </c>
      <c r="AG733" s="16" t="n">
        <v>25000</v>
      </c>
      <c r="AH733" s="16" t="n">
        <v>25000</v>
      </c>
      <c r="AI733" s="16" t="n">
        <v>25000</v>
      </c>
      <c r="AJ733" s="9" t="n">
        <f aca="false">X733*$V733</f>
        <v>2225</v>
      </c>
      <c r="AK733" s="9" t="n">
        <f aca="false">Y733*$V733</f>
        <v>2225</v>
      </c>
      <c r="AL733" s="9" t="n">
        <f aca="false">Z733*$V733</f>
        <v>2225</v>
      </c>
      <c r="AM733" s="9" t="n">
        <f aca="false">AA733*$V733</f>
        <v>2225</v>
      </c>
      <c r="AN733" s="9" t="n">
        <f aca="false">AB733*$V733</f>
        <v>2225</v>
      </c>
      <c r="AO733" s="9" t="n">
        <f aca="false">AC733*$V733</f>
        <v>2225</v>
      </c>
      <c r="AP733" s="9" t="n">
        <f aca="false">AD733*$V733</f>
        <v>2225</v>
      </c>
      <c r="AQ733" s="9" t="n">
        <f aca="false">AE733*$V733</f>
        <v>2225</v>
      </c>
      <c r="AR733" s="9" t="n">
        <f aca="false">AF733*$V733</f>
        <v>2225</v>
      </c>
      <c r="AS733" s="9" t="n">
        <f aca="false">AG733*$V733</f>
        <v>2225</v>
      </c>
      <c r="AT733" s="9" t="n">
        <f aca="false">AH733*$V733</f>
        <v>2225</v>
      </c>
      <c r="AU733" s="9" t="n">
        <f aca="false">AI733*$V733</f>
        <v>2225</v>
      </c>
      <c r="AV733" s="9" t="n">
        <f aca="false">SUM(X733:AI733)/1000</f>
        <v>300</v>
      </c>
      <c r="AW733" s="9" t="n">
        <f aca="false">SUM(AJ733:AU733)</f>
        <v>26700</v>
      </c>
      <c r="AX733" s="9" t="n">
        <f aca="false">IF(D733="INR",AW733/88.24,AW733)/1000000</f>
        <v>0.0267</v>
      </c>
    </row>
    <row r="734" s="2" customFormat="true" ht="14.25" hidden="false" customHeight="false" outlineLevel="0" collapsed="false">
      <c r="A734" s="12" t="s">
        <v>1512</v>
      </c>
      <c r="B734" s="16" t="n">
        <v>5</v>
      </c>
      <c r="C734" s="15"/>
      <c r="D734" s="16" t="s">
        <v>102</v>
      </c>
      <c r="E734" s="16" t="s">
        <v>51</v>
      </c>
      <c r="F734" s="16" t="s">
        <v>52</v>
      </c>
      <c r="G734" s="16" t="s">
        <v>292</v>
      </c>
      <c r="H734" s="16" t="s">
        <v>293</v>
      </c>
      <c r="I734" s="16" t="s">
        <v>105</v>
      </c>
      <c r="J734" s="16" t="s">
        <v>806</v>
      </c>
      <c r="K734" s="16"/>
      <c r="L734" s="16" t="s">
        <v>105</v>
      </c>
      <c r="M734" s="16" t="s">
        <v>806</v>
      </c>
      <c r="N734" s="16" t="s">
        <v>93</v>
      </c>
      <c r="O734" s="16" t="s">
        <v>294</v>
      </c>
      <c r="P734" s="16" t="s">
        <v>199</v>
      </c>
      <c r="Q734" s="16" t="s">
        <v>199</v>
      </c>
      <c r="R734" s="16" t="s">
        <v>377</v>
      </c>
      <c r="S734" s="16" t="s">
        <v>528</v>
      </c>
      <c r="T734" s="16" t="s">
        <v>1513</v>
      </c>
      <c r="U734" s="16" t="s">
        <v>73</v>
      </c>
      <c r="V734" s="16" t="n">
        <v>0.024</v>
      </c>
      <c r="W734" s="16" t="n">
        <v>0.021</v>
      </c>
      <c r="X734" s="16" t="n">
        <v>150000</v>
      </c>
      <c r="Y734" s="16"/>
      <c r="Z734" s="16" t="n">
        <v>150000</v>
      </c>
      <c r="AA734" s="16"/>
      <c r="AB734" s="16" t="n">
        <v>150000</v>
      </c>
      <c r="AC734" s="16"/>
      <c r="AD734" s="16" t="n">
        <v>150000</v>
      </c>
      <c r="AE734" s="16"/>
      <c r="AF734" s="16" t="n">
        <v>150000</v>
      </c>
      <c r="AG734" s="16"/>
      <c r="AH734" s="16" t="n">
        <v>150000</v>
      </c>
      <c r="AI734" s="16" t="n">
        <v>150000</v>
      </c>
      <c r="AJ734" s="9" t="n">
        <f aca="false">X734*$V734</f>
        <v>3600</v>
      </c>
      <c r="AK734" s="9" t="n">
        <f aca="false">Y734*$V734</f>
        <v>0</v>
      </c>
      <c r="AL734" s="9" t="n">
        <f aca="false">Z734*$V734</f>
        <v>3600</v>
      </c>
      <c r="AM734" s="9" t="n">
        <f aca="false">AA734*$V734</f>
        <v>0</v>
      </c>
      <c r="AN734" s="9" t="n">
        <f aca="false">AB734*$V734</f>
        <v>3600</v>
      </c>
      <c r="AO734" s="9" t="n">
        <f aca="false">AC734*$V734</f>
        <v>0</v>
      </c>
      <c r="AP734" s="9" t="n">
        <f aca="false">AD734*$V734</f>
        <v>3600</v>
      </c>
      <c r="AQ734" s="9" t="n">
        <f aca="false">AE734*$V734</f>
        <v>0</v>
      </c>
      <c r="AR734" s="9" t="n">
        <f aca="false">AF734*$V734</f>
        <v>3600</v>
      </c>
      <c r="AS734" s="9" t="n">
        <f aca="false">AG734*$V734</f>
        <v>0</v>
      </c>
      <c r="AT734" s="9" t="n">
        <f aca="false">AH734*$V734</f>
        <v>3600</v>
      </c>
      <c r="AU734" s="9" t="n">
        <f aca="false">AI734*$V734</f>
        <v>3600</v>
      </c>
      <c r="AV734" s="9" t="n">
        <f aca="false">SUM(X734:AI734)/1000</f>
        <v>1050</v>
      </c>
      <c r="AW734" s="9" t="n">
        <f aca="false">SUM(AJ734:AU734)</f>
        <v>25200</v>
      </c>
      <c r="AX734" s="9" t="n">
        <f aca="false">IF(D734="INR",AW734/88.24,AW734)/1000000</f>
        <v>0.0252</v>
      </c>
    </row>
    <row r="735" s="2" customFormat="true" ht="16.4" hidden="false" customHeight="false" outlineLevel="0" collapsed="false">
      <c r="A735" s="9" t="s">
        <v>1514</v>
      </c>
      <c r="B735" s="9" t="n">
        <v>5</v>
      </c>
      <c r="C735" s="10"/>
      <c r="D735" s="9" t="s">
        <v>102</v>
      </c>
      <c r="E735" s="9" t="s">
        <v>51</v>
      </c>
      <c r="F735" s="9" t="s">
        <v>52</v>
      </c>
      <c r="G735" s="9" t="s">
        <v>292</v>
      </c>
      <c r="H735" s="9" t="s">
        <v>293</v>
      </c>
      <c r="I735" s="9" t="s">
        <v>105</v>
      </c>
      <c r="J735" s="9" t="s">
        <v>806</v>
      </c>
      <c r="K735" s="9"/>
      <c r="L735" s="9" t="s">
        <v>105</v>
      </c>
      <c r="M735" s="9" t="s">
        <v>806</v>
      </c>
      <c r="N735" s="9" t="s">
        <v>93</v>
      </c>
      <c r="O735" s="9" t="s">
        <v>294</v>
      </c>
      <c r="P735" s="9" t="s">
        <v>199</v>
      </c>
      <c r="Q735" s="9" t="s">
        <v>199</v>
      </c>
      <c r="R735" s="9" t="s">
        <v>377</v>
      </c>
      <c r="S735" s="9" t="s">
        <v>528</v>
      </c>
      <c r="T735" s="9" t="s">
        <v>1515</v>
      </c>
      <c r="U735" s="9" t="s">
        <v>73</v>
      </c>
      <c r="V735" s="9" t="n">
        <v>0.035</v>
      </c>
      <c r="W735" s="9" t="n">
        <v>0.028</v>
      </c>
      <c r="X735" s="9" t="n">
        <v>50000</v>
      </c>
      <c r="Y735" s="9" t="n">
        <v>50000</v>
      </c>
      <c r="Z735" s="9" t="n">
        <v>50000</v>
      </c>
      <c r="AA735" s="9" t="n">
        <v>50000</v>
      </c>
      <c r="AB735" s="9" t="n">
        <v>50000</v>
      </c>
      <c r="AC735" s="9" t="n">
        <v>50000</v>
      </c>
      <c r="AD735" s="9" t="n">
        <v>50000</v>
      </c>
      <c r="AE735" s="9" t="n">
        <v>50000</v>
      </c>
      <c r="AF735" s="9" t="n">
        <v>50000</v>
      </c>
      <c r="AG735" s="9" t="n">
        <v>50000</v>
      </c>
      <c r="AH735" s="9" t="n">
        <v>50000</v>
      </c>
      <c r="AI735" s="9" t="n">
        <v>50000</v>
      </c>
      <c r="AJ735" s="9" t="n">
        <f aca="false">X735*$V735</f>
        <v>1750</v>
      </c>
      <c r="AK735" s="9" t="n">
        <f aca="false">Y735*$V735</f>
        <v>1750</v>
      </c>
      <c r="AL735" s="9" t="n">
        <f aca="false">Z735*$V735</f>
        <v>1750</v>
      </c>
      <c r="AM735" s="9" t="n">
        <f aca="false">AA735*$V735</f>
        <v>1750</v>
      </c>
      <c r="AN735" s="9" t="n">
        <f aca="false">AB735*$V735</f>
        <v>1750</v>
      </c>
      <c r="AO735" s="9" t="n">
        <f aca="false">AC735*$V735</f>
        <v>1750</v>
      </c>
      <c r="AP735" s="9" t="n">
        <f aca="false">AD735*$V735</f>
        <v>1750</v>
      </c>
      <c r="AQ735" s="9" t="n">
        <f aca="false">AE735*$V735</f>
        <v>1750</v>
      </c>
      <c r="AR735" s="9" t="n">
        <f aca="false">AF735*$V735</f>
        <v>1750</v>
      </c>
      <c r="AS735" s="9" t="n">
        <f aca="false">AG735*$V735</f>
        <v>1750</v>
      </c>
      <c r="AT735" s="9" t="n">
        <f aca="false">AH735*$V735</f>
        <v>1750</v>
      </c>
      <c r="AU735" s="9" t="n">
        <f aca="false">AI735*$V735</f>
        <v>1750</v>
      </c>
      <c r="AV735" s="9" t="n">
        <f aca="false">SUM(X735:AI735)/1000</f>
        <v>600</v>
      </c>
      <c r="AW735" s="9" t="n">
        <f aca="false">SUM(AJ735:AU735)</f>
        <v>21000</v>
      </c>
      <c r="AX735" s="9" t="n">
        <f aca="false">IF(D735="INR",AW735/88.24,AW735)/1000000</f>
        <v>0.021</v>
      </c>
    </row>
    <row r="736" s="2" customFormat="true" ht="14.25" hidden="false" customHeight="false" outlineLevel="0" collapsed="false">
      <c r="A736" s="12"/>
      <c r="B736" s="16" t="n">
        <v>1</v>
      </c>
      <c r="C736" s="15"/>
      <c r="D736" s="16" t="s">
        <v>102</v>
      </c>
      <c r="E736" s="16"/>
      <c r="F736" s="16" t="s">
        <v>52</v>
      </c>
      <c r="G736" s="16"/>
      <c r="H736" s="16" t="s">
        <v>293</v>
      </c>
      <c r="I736" s="16" t="s">
        <v>55</v>
      </c>
      <c r="J736" s="16" t="s">
        <v>56</v>
      </c>
      <c r="K736" s="16"/>
      <c r="L736" s="16" t="s">
        <v>55</v>
      </c>
      <c r="M736" s="16" t="s">
        <v>56</v>
      </c>
      <c r="N736" s="16" t="s">
        <v>93</v>
      </c>
      <c r="O736" s="16" t="s">
        <v>294</v>
      </c>
      <c r="P736" s="16"/>
      <c r="Q736" s="16" t="s">
        <v>110</v>
      </c>
      <c r="R736" s="16"/>
      <c r="S736" s="16"/>
      <c r="T736" s="16" t="s">
        <v>1516</v>
      </c>
      <c r="U736" s="16" t="s">
        <v>63</v>
      </c>
      <c r="V736" s="16" t="n">
        <v>0.926995471698113</v>
      </c>
      <c r="W736" s="16"/>
      <c r="X736" s="16" t="n">
        <v>1000</v>
      </c>
      <c r="Y736" s="16" t="n">
        <v>1000</v>
      </c>
      <c r="Z736" s="16" t="n">
        <v>1000</v>
      </c>
      <c r="AA736" s="16" t="n">
        <v>1000</v>
      </c>
      <c r="AB736" s="16" t="n">
        <v>1000</v>
      </c>
      <c r="AC736" s="16" t="n">
        <v>1000</v>
      </c>
      <c r="AD736" s="16" t="n">
        <v>1000</v>
      </c>
      <c r="AE736" s="16" t="n">
        <v>1000</v>
      </c>
      <c r="AF736" s="16" t="n">
        <v>1000</v>
      </c>
      <c r="AG736" s="16" t="n">
        <v>1000</v>
      </c>
      <c r="AH736" s="16" t="n">
        <v>1000</v>
      </c>
      <c r="AI736" s="16" t="n">
        <v>1000</v>
      </c>
      <c r="AJ736" s="9" t="n">
        <f aca="false">X736*$V736</f>
        <v>926.995471698113</v>
      </c>
      <c r="AK736" s="9" t="n">
        <f aca="false">Y736*$V736</f>
        <v>926.995471698113</v>
      </c>
      <c r="AL736" s="9" t="n">
        <f aca="false">Z736*$V736</f>
        <v>926.995471698113</v>
      </c>
      <c r="AM736" s="9" t="n">
        <f aca="false">AA736*$V736</f>
        <v>926.995471698113</v>
      </c>
      <c r="AN736" s="9" t="n">
        <f aca="false">AB736*$V736</f>
        <v>926.995471698113</v>
      </c>
      <c r="AO736" s="9" t="n">
        <f aca="false">AC736*$V736</f>
        <v>926.995471698113</v>
      </c>
      <c r="AP736" s="9" t="n">
        <f aca="false">AD736*$V736</f>
        <v>926.995471698113</v>
      </c>
      <c r="AQ736" s="9" t="n">
        <f aca="false">AE736*$V736</f>
        <v>926.995471698113</v>
      </c>
      <c r="AR736" s="9" t="n">
        <f aca="false">AF736*$V736</f>
        <v>926.995471698113</v>
      </c>
      <c r="AS736" s="9" t="n">
        <f aca="false">AG736*$V736</f>
        <v>926.995471698113</v>
      </c>
      <c r="AT736" s="9" t="n">
        <f aca="false">AH736*$V736</f>
        <v>926.995471698113</v>
      </c>
      <c r="AU736" s="9" t="n">
        <f aca="false">AI736*$V736</f>
        <v>926.995471698113</v>
      </c>
      <c r="AV736" s="9" t="n">
        <f aca="false">SUM(X736:AI736)/1000</f>
        <v>12</v>
      </c>
      <c r="AW736" s="9" t="n">
        <f aca="false">SUM(AJ736:AU736)</f>
        <v>11123.9456603774</v>
      </c>
      <c r="AX736" s="9" t="n">
        <f aca="false">IF(D736="INR",AW736/88.24,AW736)/1000000</f>
        <v>0.0111239456603774</v>
      </c>
    </row>
    <row r="737" s="2" customFormat="true" ht="14.25" hidden="false" customHeight="false" outlineLevel="0" collapsed="false">
      <c r="A737" s="12" t="s">
        <v>1517</v>
      </c>
      <c r="B737" s="16" t="n">
        <v>5</v>
      </c>
      <c r="C737" s="15"/>
      <c r="D737" s="16" t="s">
        <v>102</v>
      </c>
      <c r="E737" s="16" t="s">
        <v>51</v>
      </c>
      <c r="F737" s="16" t="s">
        <v>52</v>
      </c>
      <c r="G737" s="16" t="s">
        <v>292</v>
      </c>
      <c r="H737" s="16" t="s">
        <v>293</v>
      </c>
      <c r="I737" s="16" t="s">
        <v>105</v>
      </c>
      <c r="J737" s="16" t="s">
        <v>806</v>
      </c>
      <c r="K737" s="16"/>
      <c r="L737" s="16" t="s">
        <v>105</v>
      </c>
      <c r="M737" s="16" t="s">
        <v>806</v>
      </c>
      <c r="N737" s="16" t="s">
        <v>93</v>
      </c>
      <c r="O737" s="16" t="s">
        <v>294</v>
      </c>
      <c r="P737" s="16" t="s">
        <v>262</v>
      </c>
      <c r="Q737" s="16" t="s">
        <v>262</v>
      </c>
      <c r="R737" s="16" t="s">
        <v>263</v>
      </c>
      <c r="S737" s="16" t="s">
        <v>264</v>
      </c>
      <c r="T737" s="16" t="s">
        <v>1518</v>
      </c>
      <c r="U737" s="16" t="s">
        <v>73</v>
      </c>
      <c r="V737" s="16" t="n">
        <v>0.0452</v>
      </c>
      <c r="W737" s="16" t="n">
        <v>0.0393</v>
      </c>
      <c r="X737" s="16" t="n">
        <v>20000</v>
      </c>
      <c r="Y737" s="16" t="n">
        <v>20000</v>
      </c>
      <c r="Z737" s="16" t="n">
        <v>20000</v>
      </c>
      <c r="AA737" s="16" t="n">
        <v>20000</v>
      </c>
      <c r="AB737" s="16" t="n">
        <v>20000</v>
      </c>
      <c r="AC737" s="16" t="n">
        <v>20000</v>
      </c>
      <c r="AD737" s="16" t="n">
        <v>20000</v>
      </c>
      <c r="AE737" s="16" t="n">
        <v>20000</v>
      </c>
      <c r="AF737" s="16" t="n">
        <v>20000</v>
      </c>
      <c r="AG737" s="16" t="n">
        <v>20000</v>
      </c>
      <c r="AH737" s="16" t="n">
        <v>20000</v>
      </c>
      <c r="AI737" s="16" t="n">
        <v>20000</v>
      </c>
      <c r="AJ737" s="9" t="n">
        <f aca="false">X737*$V737</f>
        <v>904</v>
      </c>
      <c r="AK737" s="9" t="n">
        <f aca="false">Y737*$V737</f>
        <v>904</v>
      </c>
      <c r="AL737" s="9" t="n">
        <f aca="false">Z737*$V737</f>
        <v>904</v>
      </c>
      <c r="AM737" s="9" t="n">
        <f aca="false">AA737*$V737</f>
        <v>904</v>
      </c>
      <c r="AN737" s="9" t="n">
        <f aca="false">AB737*$V737</f>
        <v>904</v>
      </c>
      <c r="AO737" s="9" t="n">
        <f aca="false">AC737*$V737</f>
        <v>904</v>
      </c>
      <c r="AP737" s="9" t="n">
        <f aca="false">AD737*$V737</f>
        <v>904</v>
      </c>
      <c r="AQ737" s="9" t="n">
        <f aca="false">AE737*$V737</f>
        <v>904</v>
      </c>
      <c r="AR737" s="9" t="n">
        <f aca="false">AF737*$V737</f>
        <v>904</v>
      </c>
      <c r="AS737" s="9" t="n">
        <f aca="false">AG737*$V737</f>
        <v>904</v>
      </c>
      <c r="AT737" s="9" t="n">
        <f aca="false">AH737*$V737</f>
        <v>904</v>
      </c>
      <c r="AU737" s="9" t="n">
        <f aca="false">AI737*$V737</f>
        <v>904</v>
      </c>
      <c r="AV737" s="9" t="n">
        <f aca="false">SUM(X737:AI737)/1000</f>
        <v>240</v>
      </c>
      <c r="AW737" s="9" t="n">
        <f aca="false">SUM(AJ737:AU737)</f>
        <v>10848</v>
      </c>
      <c r="AX737" s="9" t="n">
        <f aca="false">IF(D737="INR",AW737/88.24,AW737)/1000000</f>
        <v>0.010848</v>
      </c>
    </row>
    <row r="738" s="2" customFormat="true" ht="14.25" hidden="false" customHeight="false" outlineLevel="0" collapsed="false">
      <c r="A738" s="12" t="s">
        <v>1519</v>
      </c>
      <c r="B738" s="16"/>
      <c r="C738" s="15"/>
      <c r="D738" s="16" t="s">
        <v>102</v>
      </c>
      <c r="E738" s="16" t="s">
        <v>51</v>
      </c>
      <c r="F738" s="16" t="s">
        <v>52</v>
      </c>
      <c r="G738" s="16" t="s">
        <v>292</v>
      </c>
      <c r="H738" s="16" t="s">
        <v>293</v>
      </c>
      <c r="I738" s="16" t="s">
        <v>105</v>
      </c>
      <c r="J738" s="16" t="s">
        <v>806</v>
      </c>
      <c r="K738" s="16"/>
      <c r="L738" s="16" t="s">
        <v>105</v>
      </c>
      <c r="M738" s="16" t="s">
        <v>806</v>
      </c>
      <c r="N738" s="16" t="s">
        <v>93</v>
      </c>
      <c r="O738" s="16" t="s">
        <v>294</v>
      </c>
      <c r="P738" s="16" t="s">
        <v>85</v>
      </c>
      <c r="Q738" s="16" t="s">
        <v>85</v>
      </c>
      <c r="R738" s="16" t="s">
        <v>86</v>
      </c>
      <c r="S738" s="16" t="s">
        <v>87</v>
      </c>
      <c r="T738" s="16" t="s">
        <v>1520</v>
      </c>
      <c r="U738" s="16" t="s">
        <v>73</v>
      </c>
      <c r="V738" s="16" t="n">
        <v>0.088</v>
      </c>
      <c r="W738" s="16" t="n">
        <v>0.08</v>
      </c>
      <c r="X738" s="16" t="n">
        <v>0</v>
      </c>
      <c r="Y738" s="16" t="n">
        <v>0</v>
      </c>
      <c r="Z738" s="16" t="n">
        <v>0</v>
      </c>
      <c r="AA738" s="16" t="n">
        <v>100000</v>
      </c>
      <c r="AB738" s="16" t="n">
        <v>0</v>
      </c>
      <c r="AC738" s="16" t="n">
        <v>0</v>
      </c>
      <c r="AD738" s="16" t="n">
        <v>0</v>
      </c>
      <c r="AE738" s="16" t="n">
        <v>0</v>
      </c>
      <c r="AF738" s="16" t="n">
        <v>0</v>
      </c>
      <c r="AG738" s="16" t="n">
        <v>0</v>
      </c>
      <c r="AH738" s="16" t="n">
        <v>0</v>
      </c>
      <c r="AI738" s="16" t="n">
        <v>0</v>
      </c>
      <c r="AJ738" s="9" t="n">
        <f aca="false">X738*$V738</f>
        <v>0</v>
      </c>
      <c r="AK738" s="9" t="n">
        <f aca="false">Y738*$V738</f>
        <v>0</v>
      </c>
      <c r="AL738" s="9" t="n">
        <f aca="false">Z738*$V738</f>
        <v>0</v>
      </c>
      <c r="AM738" s="9" t="n">
        <f aca="false">AA738*$V738</f>
        <v>8800</v>
      </c>
      <c r="AN738" s="9" t="n">
        <f aca="false">AB738*$V738</f>
        <v>0</v>
      </c>
      <c r="AO738" s="9" t="n">
        <f aca="false">AC738*$V738</f>
        <v>0</v>
      </c>
      <c r="AP738" s="9" t="n">
        <f aca="false">AD738*$V738</f>
        <v>0</v>
      </c>
      <c r="AQ738" s="9" t="n">
        <f aca="false">AE738*$V738</f>
        <v>0</v>
      </c>
      <c r="AR738" s="9" t="n">
        <f aca="false">AF738*$V738</f>
        <v>0</v>
      </c>
      <c r="AS738" s="9" t="n">
        <f aca="false">AG738*$V738</f>
        <v>0</v>
      </c>
      <c r="AT738" s="9" t="n">
        <f aca="false">AH738*$V738</f>
        <v>0</v>
      </c>
      <c r="AU738" s="9" t="n">
        <f aca="false">AI738*$V738</f>
        <v>0</v>
      </c>
      <c r="AV738" s="9" t="n">
        <f aca="false">SUM(X738:AI738)/1000</f>
        <v>100</v>
      </c>
      <c r="AW738" s="9" t="n">
        <f aca="false">SUM(AJ738:AU738)</f>
        <v>8800</v>
      </c>
      <c r="AX738" s="9" t="n">
        <f aca="false">IF(D738="INR",AW738/88.24,AW738)/1000000</f>
        <v>0.0088</v>
      </c>
    </row>
    <row r="739" s="2" customFormat="true" ht="14.25" hidden="false" customHeight="false" outlineLevel="0" collapsed="false">
      <c r="A739" s="12"/>
      <c r="B739" s="16" t="n">
        <v>1</v>
      </c>
      <c r="C739" s="15"/>
      <c r="D739" s="16" t="s">
        <v>102</v>
      </c>
      <c r="E739" s="16"/>
      <c r="F739" s="16" t="s">
        <v>52</v>
      </c>
      <c r="G739" s="16"/>
      <c r="H739" s="16" t="s">
        <v>293</v>
      </c>
      <c r="I739" s="16" t="s">
        <v>55</v>
      </c>
      <c r="J739" s="16" t="s">
        <v>56</v>
      </c>
      <c r="K739" s="16"/>
      <c r="L739" s="16" t="s">
        <v>55</v>
      </c>
      <c r="M739" s="16" t="s">
        <v>56</v>
      </c>
      <c r="N739" s="16" t="s">
        <v>93</v>
      </c>
      <c r="O739" s="16" t="s">
        <v>294</v>
      </c>
      <c r="P739" s="16"/>
      <c r="Q739" s="16" t="s">
        <v>1507</v>
      </c>
      <c r="R739" s="16"/>
      <c r="S739" s="16"/>
      <c r="T739" s="16" t="s">
        <v>1521</v>
      </c>
      <c r="U739" s="16" t="s">
        <v>63</v>
      </c>
      <c r="V739" s="16" t="n">
        <v>0.0064</v>
      </c>
      <c r="W739" s="16"/>
      <c r="X739" s="16" t="n">
        <v>100000</v>
      </c>
      <c r="Y739" s="16" t="n">
        <v>100000</v>
      </c>
      <c r="Z739" s="16" t="n">
        <v>100000</v>
      </c>
      <c r="AA739" s="16" t="n">
        <v>100000</v>
      </c>
      <c r="AB739" s="16" t="n">
        <v>100000</v>
      </c>
      <c r="AC739" s="16" t="n">
        <v>100000</v>
      </c>
      <c r="AD739" s="16" t="n">
        <v>100000</v>
      </c>
      <c r="AE739" s="16" t="n">
        <v>100000</v>
      </c>
      <c r="AF739" s="16" t="n">
        <v>100000</v>
      </c>
      <c r="AG739" s="16" t="n">
        <v>100000</v>
      </c>
      <c r="AH739" s="16" t="n">
        <v>100000</v>
      </c>
      <c r="AI739" s="16" t="n">
        <v>100000</v>
      </c>
      <c r="AJ739" s="9" t="n">
        <f aca="false">X739*$V739</f>
        <v>640</v>
      </c>
      <c r="AK739" s="9" t="n">
        <f aca="false">Y739*$V739</f>
        <v>640</v>
      </c>
      <c r="AL739" s="9" t="n">
        <f aca="false">Z739*$V739</f>
        <v>640</v>
      </c>
      <c r="AM739" s="9" t="n">
        <f aca="false">AA739*$V739</f>
        <v>640</v>
      </c>
      <c r="AN739" s="9" t="n">
        <f aca="false">AB739*$V739</f>
        <v>640</v>
      </c>
      <c r="AO739" s="9" t="n">
        <f aca="false">AC739*$V739</f>
        <v>640</v>
      </c>
      <c r="AP739" s="9" t="n">
        <f aca="false">AD739*$V739</f>
        <v>640</v>
      </c>
      <c r="AQ739" s="9" t="n">
        <f aca="false">AE739*$V739</f>
        <v>640</v>
      </c>
      <c r="AR739" s="9" t="n">
        <f aca="false">AF739*$V739</f>
        <v>640</v>
      </c>
      <c r="AS739" s="9" t="n">
        <f aca="false">AG739*$V739</f>
        <v>640</v>
      </c>
      <c r="AT739" s="9" t="n">
        <f aca="false">AH739*$V739</f>
        <v>640</v>
      </c>
      <c r="AU739" s="9" t="n">
        <f aca="false">AI739*$V739</f>
        <v>640</v>
      </c>
      <c r="AV739" s="9" t="n">
        <f aca="false">SUM(X739:AI739)/1000</f>
        <v>1200</v>
      </c>
      <c r="AW739" s="9" t="n">
        <f aca="false">SUM(AJ739:AU739)</f>
        <v>7680</v>
      </c>
      <c r="AX739" s="9" t="n">
        <f aca="false">IF(D739="INR",AW739/88.24,AW739)/1000000</f>
        <v>0.00768</v>
      </c>
    </row>
    <row r="740" s="2" customFormat="true" ht="14.25" hidden="false" customHeight="false" outlineLevel="0" collapsed="false">
      <c r="A740" s="12" t="s">
        <v>1522</v>
      </c>
      <c r="B740" s="16" t="n">
        <v>5</v>
      </c>
      <c r="C740" s="15"/>
      <c r="D740" s="16" t="s">
        <v>102</v>
      </c>
      <c r="E740" s="16" t="s">
        <v>51</v>
      </c>
      <c r="F740" s="16" t="s">
        <v>52</v>
      </c>
      <c r="G740" s="16" t="s">
        <v>292</v>
      </c>
      <c r="H740" s="16" t="s">
        <v>293</v>
      </c>
      <c r="I740" s="16" t="s">
        <v>105</v>
      </c>
      <c r="J740" s="16" t="s">
        <v>806</v>
      </c>
      <c r="K740" s="16"/>
      <c r="L740" s="16" t="s">
        <v>105</v>
      </c>
      <c r="M740" s="16" t="s">
        <v>806</v>
      </c>
      <c r="N740" s="16" t="s">
        <v>93</v>
      </c>
      <c r="O740" s="16" t="s">
        <v>294</v>
      </c>
      <c r="P740" s="16" t="s">
        <v>199</v>
      </c>
      <c r="Q740" s="16" t="s">
        <v>199</v>
      </c>
      <c r="R740" s="16" t="s">
        <v>377</v>
      </c>
      <c r="S740" s="16" t="s">
        <v>528</v>
      </c>
      <c r="T740" s="16" t="s">
        <v>1523</v>
      </c>
      <c r="U740" s="16" t="s">
        <v>73</v>
      </c>
      <c r="V740" s="16" t="n">
        <v>0.0295</v>
      </c>
      <c r="W740" s="16" t="n">
        <v>0.0249</v>
      </c>
      <c r="X740" s="22" t="n">
        <v>15000</v>
      </c>
      <c r="Y740" s="22" t="n">
        <v>15000</v>
      </c>
      <c r="Z740" s="22" t="n">
        <v>15000</v>
      </c>
      <c r="AA740" s="22" t="n">
        <v>15000</v>
      </c>
      <c r="AB740" s="22" t="n">
        <v>15000</v>
      </c>
      <c r="AC740" s="22" t="n">
        <v>15000</v>
      </c>
      <c r="AD740" s="22" t="n">
        <v>15000</v>
      </c>
      <c r="AE740" s="22" t="n">
        <v>15000</v>
      </c>
      <c r="AF740" s="22" t="n">
        <v>15000</v>
      </c>
      <c r="AG740" s="22" t="n">
        <v>15000</v>
      </c>
      <c r="AH740" s="22" t="n">
        <v>15000</v>
      </c>
      <c r="AI740" s="22" t="n">
        <v>15000</v>
      </c>
      <c r="AJ740" s="9" t="n">
        <f aca="false">X740*$V740</f>
        <v>442.5</v>
      </c>
      <c r="AK740" s="9" t="n">
        <f aca="false">Y740*$V740</f>
        <v>442.5</v>
      </c>
      <c r="AL740" s="9" t="n">
        <f aca="false">Z740*$V740</f>
        <v>442.5</v>
      </c>
      <c r="AM740" s="9" t="n">
        <f aca="false">AA740*$V740</f>
        <v>442.5</v>
      </c>
      <c r="AN740" s="9" t="n">
        <f aca="false">AB740*$V740</f>
        <v>442.5</v>
      </c>
      <c r="AO740" s="9" t="n">
        <f aca="false">AC740*$V740</f>
        <v>442.5</v>
      </c>
      <c r="AP740" s="9" t="n">
        <f aca="false">AD740*$V740</f>
        <v>442.5</v>
      </c>
      <c r="AQ740" s="9" t="n">
        <f aca="false">AE740*$V740</f>
        <v>442.5</v>
      </c>
      <c r="AR740" s="9" t="n">
        <f aca="false">AF740*$V740</f>
        <v>442.5</v>
      </c>
      <c r="AS740" s="9" t="n">
        <f aca="false">AG740*$V740</f>
        <v>442.5</v>
      </c>
      <c r="AT740" s="9" t="n">
        <f aca="false">AH740*$V740</f>
        <v>442.5</v>
      </c>
      <c r="AU740" s="9" t="n">
        <f aca="false">AI740*$V740</f>
        <v>442.5</v>
      </c>
      <c r="AV740" s="9" t="n">
        <f aca="false">SUM(X740:AI740)/1000</f>
        <v>180</v>
      </c>
      <c r="AW740" s="9" t="n">
        <f aca="false">SUM(AJ740:AU740)</f>
        <v>5310</v>
      </c>
      <c r="AX740" s="9" t="n">
        <f aca="false">IF(D740="INR",AW740/88.24,AW740)/1000000</f>
        <v>0.00531</v>
      </c>
    </row>
    <row r="741" s="2" customFormat="true" ht="14.25" hidden="false" customHeight="false" outlineLevel="0" collapsed="false">
      <c r="A741" s="12"/>
      <c r="B741" s="16" t="n">
        <v>1</v>
      </c>
      <c r="C741" s="15"/>
      <c r="D741" s="16" t="s">
        <v>102</v>
      </c>
      <c r="E741" s="16"/>
      <c r="F741" s="16" t="s">
        <v>52</v>
      </c>
      <c r="G741" s="16"/>
      <c r="H741" s="16" t="s">
        <v>293</v>
      </c>
      <c r="I741" s="16" t="s">
        <v>55</v>
      </c>
      <c r="J741" s="16" t="s">
        <v>56</v>
      </c>
      <c r="K741" s="16"/>
      <c r="L741" s="16" t="s">
        <v>55</v>
      </c>
      <c r="M741" s="16" t="s">
        <v>56</v>
      </c>
      <c r="N741" s="16" t="s">
        <v>93</v>
      </c>
      <c r="O741" s="16" t="s">
        <v>294</v>
      </c>
      <c r="P741" s="16"/>
      <c r="Q741" s="16" t="s">
        <v>1507</v>
      </c>
      <c r="R741" s="16"/>
      <c r="S741" s="16"/>
      <c r="T741" s="16" t="s">
        <v>1524</v>
      </c>
      <c r="U741" s="16" t="s">
        <v>63</v>
      </c>
      <c r="V741" s="16" t="n">
        <v>0.0064</v>
      </c>
      <c r="W741" s="16"/>
      <c r="X741" s="22" t="n">
        <v>200000</v>
      </c>
      <c r="Y741" s="22"/>
      <c r="Z741" s="22"/>
      <c r="AA741" s="22" t="n">
        <v>200000</v>
      </c>
      <c r="AB741" s="22"/>
      <c r="AC741" s="22"/>
      <c r="AD741" s="22" t="n">
        <v>200000</v>
      </c>
      <c r="AE741" s="22"/>
      <c r="AF741" s="22"/>
      <c r="AG741" s="22" t="n">
        <v>200000</v>
      </c>
      <c r="AH741" s="22"/>
      <c r="AI741" s="22"/>
      <c r="AJ741" s="9" t="n">
        <f aca="false">X741*$V741</f>
        <v>1280</v>
      </c>
      <c r="AK741" s="9" t="n">
        <f aca="false">Y741*$V741</f>
        <v>0</v>
      </c>
      <c r="AL741" s="9" t="n">
        <f aca="false">Z741*$V741</f>
        <v>0</v>
      </c>
      <c r="AM741" s="9" t="n">
        <f aca="false">AA741*$V741</f>
        <v>1280</v>
      </c>
      <c r="AN741" s="9" t="n">
        <f aca="false">AB741*$V741</f>
        <v>0</v>
      </c>
      <c r="AO741" s="9" t="n">
        <f aca="false">AC741*$V741</f>
        <v>0</v>
      </c>
      <c r="AP741" s="9" t="n">
        <f aca="false">AD741*$V741</f>
        <v>1280</v>
      </c>
      <c r="AQ741" s="9" t="n">
        <f aca="false">AE741*$V741</f>
        <v>0</v>
      </c>
      <c r="AR741" s="9" t="n">
        <f aca="false">AF741*$V741</f>
        <v>0</v>
      </c>
      <c r="AS741" s="9" t="n">
        <f aca="false">AG741*$V741</f>
        <v>1280</v>
      </c>
      <c r="AT741" s="9" t="n">
        <f aca="false">AH741*$V741</f>
        <v>0</v>
      </c>
      <c r="AU741" s="9" t="n">
        <f aca="false">AI741*$V741</f>
        <v>0</v>
      </c>
      <c r="AV741" s="9" t="n">
        <f aca="false">SUM(X741:AI741)/1000</f>
        <v>800</v>
      </c>
      <c r="AW741" s="9" t="n">
        <f aca="false">SUM(AJ741:AU741)</f>
        <v>5120</v>
      </c>
      <c r="AX741" s="9" t="n">
        <f aca="false">IF(D741="INR",AW741/88.24,AW741)/1000000</f>
        <v>0.00512</v>
      </c>
    </row>
    <row r="742" s="2" customFormat="true" ht="14.25" hidden="false" customHeight="false" outlineLevel="0" collapsed="false">
      <c r="A742" s="12"/>
      <c r="B742" s="16" t="n">
        <v>1</v>
      </c>
      <c r="C742" s="15"/>
      <c r="D742" s="16" t="s">
        <v>102</v>
      </c>
      <c r="E742" s="16"/>
      <c r="F742" s="16" t="s">
        <v>52</v>
      </c>
      <c r="G742" s="16"/>
      <c r="H742" s="16" t="s">
        <v>293</v>
      </c>
      <c r="I742" s="16" t="s">
        <v>55</v>
      </c>
      <c r="J742" s="16" t="s">
        <v>56</v>
      </c>
      <c r="K742" s="16"/>
      <c r="L742" s="16" t="s">
        <v>55</v>
      </c>
      <c r="M742" s="16" t="s">
        <v>56</v>
      </c>
      <c r="N742" s="16" t="s">
        <v>93</v>
      </c>
      <c r="O742" s="16" t="s">
        <v>294</v>
      </c>
      <c r="P742" s="16"/>
      <c r="Q742" s="16" t="s">
        <v>1507</v>
      </c>
      <c r="R742" s="16"/>
      <c r="S742" s="16"/>
      <c r="T742" s="16" t="s">
        <v>1525</v>
      </c>
      <c r="U742" s="16" t="s">
        <v>63</v>
      </c>
      <c r="V742" s="16" t="n">
        <v>0.05</v>
      </c>
      <c r="W742" s="16"/>
      <c r="X742" s="22" t="n">
        <v>20000</v>
      </c>
      <c r="Y742" s="22"/>
      <c r="Z742" s="22"/>
      <c r="AA742" s="22" t="n">
        <v>20000</v>
      </c>
      <c r="AB742" s="22"/>
      <c r="AC742" s="22"/>
      <c r="AD742" s="22" t="n">
        <v>20000</v>
      </c>
      <c r="AE742" s="22"/>
      <c r="AF742" s="22"/>
      <c r="AG742" s="22" t="n">
        <v>20000</v>
      </c>
      <c r="AH742" s="22"/>
      <c r="AI742" s="22"/>
      <c r="AJ742" s="9" t="n">
        <f aca="false">X742*$V742</f>
        <v>1000</v>
      </c>
      <c r="AK742" s="9" t="n">
        <f aca="false">Y742*$V742</f>
        <v>0</v>
      </c>
      <c r="AL742" s="9" t="n">
        <f aca="false">Z742*$V742</f>
        <v>0</v>
      </c>
      <c r="AM742" s="9" t="n">
        <f aca="false">AA742*$V742</f>
        <v>1000</v>
      </c>
      <c r="AN742" s="9" t="n">
        <f aca="false">AB742*$V742</f>
        <v>0</v>
      </c>
      <c r="AO742" s="9" t="n">
        <f aca="false">AC742*$V742</f>
        <v>0</v>
      </c>
      <c r="AP742" s="9" t="n">
        <f aca="false">AD742*$V742</f>
        <v>1000</v>
      </c>
      <c r="AQ742" s="9" t="n">
        <f aca="false">AE742*$V742</f>
        <v>0</v>
      </c>
      <c r="AR742" s="9" t="n">
        <f aca="false">AF742*$V742</f>
        <v>0</v>
      </c>
      <c r="AS742" s="9" t="n">
        <f aca="false">AG742*$V742</f>
        <v>1000</v>
      </c>
      <c r="AT742" s="9" t="n">
        <f aca="false">AH742*$V742</f>
        <v>0</v>
      </c>
      <c r="AU742" s="9" t="n">
        <f aca="false">AI742*$V742</f>
        <v>0</v>
      </c>
      <c r="AV742" s="9" t="n">
        <f aca="false">SUM(X742:AI742)/1000</f>
        <v>80</v>
      </c>
      <c r="AW742" s="9" t="n">
        <f aca="false">SUM(AJ742:AU742)</f>
        <v>4000</v>
      </c>
      <c r="AX742" s="9" t="n">
        <f aca="false">IF(D742="INR",AW742/88.24,AW742)/1000000</f>
        <v>0.004</v>
      </c>
    </row>
    <row r="743" s="2" customFormat="true" ht="14.25" hidden="false" customHeight="false" outlineLevel="0" collapsed="false">
      <c r="A743" s="12"/>
      <c r="B743" s="16" t="n">
        <v>1</v>
      </c>
      <c r="C743" s="15"/>
      <c r="D743" s="16" t="s">
        <v>102</v>
      </c>
      <c r="E743" s="16"/>
      <c r="F743" s="16" t="s">
        <v>52</v>
      </c>
      <c r="G743" s="16"/>
      <c r="H743" s="16" t="s">
        <v>293</v>
      </c>
      <c r="I743" s="16" t="s">
        <v>55</v>
      </c>
      <c r="J743" s="16" t="s">
        <v>56</v>
      </c>
      <c r="K743" s="16"/>
      <c r="L743" s="16" t="s">
        <v>55</v>
      </c>
      <c r="M743" s="16" t="s">
        <v>56</v>
      </c>
      <c r="N743" s="16" t="s">
        <v>93</v>
      </c>
      <c r="O743" s="16" t="s">
        <v>294</v>
      </c>
      <c r="P743" s="16"/>
      <c r="Q743" s="16" t="s">
        <v>1507</v>
      </c>
      <c r="R743" s="16"/>
      <c r="S743" s="16"/>
      <c r="T743" s="16" t="s">
        <v>1526</v>
      </c>
      <c r="U743" s="16" t="s">
        <v>63</v>
      </c>
      <c r="V743" s="16" t="n">
        <v>0.0483</v>
      </c>
      <c r="W743" s="16"/>
      <c r="X743" s="22" t="n">
        <v>20000</v>
      </c>
      <c r="Y743" s="22"/>
      <c r="Z743" s="22"/>
      <c r="AA743" s="22" t="n">
        <v>20000</v>
      </c>
      <c r="AB743" s="22"/>
      <c r="AC743" s="22"/>
      <c r="AD743" s="22" t="n">
        <v>20000</v>
      </c>
      <c r="AE743" s="22"/>
      <c r="AF743" s="22"/>
      <c r="AG743" s="22" t="n">
        <v>20000</v>
      </c>
      <c r="AH743" s="22"/>
      <c r="AI743" s="22"/>
      <c r="AJ743" s="9" t="n">
        <f aca="false">X743*$V743</f>
        <v>966</v>
      </c>
      <c r="AK743" s="9" t="n">
        <f aca="false">Y743*$V743</f>
        <v>0</v>
      </c>
      <c r="AL743" s="9" t="n">
        <f aca="false">Z743*$V743</f>
        <v>0</v>
      </c>
      <c r="AM743" s="9" t="n">
        <f aca="false">AA743*$V743</f>
        <v>966</v>
      </c>
      <c r="AN743" s="9" t="n">
        <f aca="false">AB743*$V743</f>
        <v>0</v>
      </c>
      <c r="AO743" s="9" t="n">
        <f aca="false">AC743*$V743</f>
        <v>0</v>
      </c>
      <c r="AP743" s="9" t="n">
        <f aca="false">AD743*$V743</f>
        <v>966</v>
      </c>
      <c r="AQ743" s="9" t="n">
        <f aca="false">AE743*$V743</f>
        <v>0</v>
      </c>
      <c r="AR743" s="9" t="n">
        <f aca="false">AF743*$V743</f>
        <v>0</v>
      </c>
      <c r="AS743" s="9" t="n">
        <f aca="false">AG743*$V743</f>
        <v>966</v>
      </c>
      <c r="AT743" s="9" t="n">
        <f aca="false">AH743*$V743</f>
        <v>0</v>
      </c>
      <c r="AU743" s="9" t="n">
        <f aca="false">AI743*$V743</f>
        <v>0</v>
      </c>
      <c r="AV743" s="9" t="n">
        <f aca="false">SUM(X743:AI743)/1000</f>
        <v>80</v>
      </c>
      <c r="AW743" s="9" t="n">
        <f aca="false">SUM(AJ743:AU743)</f>
        <v>3864</v>
      </c>
      <c r="AX743" s="9" t="n">
        <f aca="false">IF(D743="INR",AW743/88.24,AW743)/1000000</f>
        <v>0.003864</v>
      </c>
    </row>
    <row r="744" s="2" customFormat="true" ht="14.25" hidden="false" customHeight="false" outlineLevel="0" collapsed="false">
      <c r="A744" s="12" t="s">
        <v>1527</v>
      </c>
      <c r="B744" s="9"/>
      <c r="C744" s="10"/>
      <c r="D744" s="9" t="s">
        <v>50</v>
      </c>
      <c r="E744" s="9" t="s">
        <v>51</v>
      </c>
      <c r="F744" s="9" t="s">
        <v>52</v>
      </c>
      <c r="G744" s="9" t="s">
        <v>1528</v>
      </c>
      <c r="H744" s="9" t="s">
        <v>1529</v>
      </c>
      <c r="I744" s="9" t="s">
        <v>303</v>
      </c>
      <c r="J744" s="9" t="s">
        <v>304</v>
      </c>
      <c r="K744" s="9"/>
      <c r="L744" s="9" t="s">
        <v>303</v>
      </c>
      <c r="M744" s="9" t="s">
        <v>304</v>
      </c>
      <c r="N744" s="9" t="s">
        <v>93</v>
      </c>
      <c r="O744" s="9" t="s">
        <v>107</v>
      </c>
      <c r="P744" s="9" t="s">
        <v>308</v>
      </c>
      <c r="Q744" s="9" t="s">
        <v>308</v>
      </c>
      <c r="R744" s="9" t="s">
        <v>309</v>
      </c>
      <c r="S744" s="9" t="s">
        <v>264</v>
      </c>
      <c r="T744" s="9" t="s">
        <v>1530</v>
      </c>
      <c r="U744" s="9" t="s">
        <v>73</v>
      </c>
      <c r="V744" s="9" t="n">
        <v>0.48</v>
      </c>
      <c r="W744" s="9" t="n">
        <v>0.35</v>
      </c>
      <c r="X744" s="9"/>
      <c r="Y744" s="9"/>
      <c r="Z744" s="9" t="n">
        <v>50000</v>
      </c>
      <c r="AA744" s="9"/>
      <c r="AB744" s="9"/>
      <c r="AC744" s="9" t="n">
        <v>50000</v>
      </c>
      <c r="AD744" s="9"/>
      <c r="AE744" s="9"/>
      <c r="AF744" s="9" t="n">
        <v>50000</v>
      </c>
      <c r="AG744" s="9"/>
      <c r="AH744" s="9"/>
      <c r="AI744" s="9"/>
      <c r="AJ744" s="9" t="n">
        <f aca="false">X744*$V744</f>
        <v>0</v>
      </c>
      <c r="AK744" s="9" t="n">
        <f aca="false">Y744*$V744</f>
        <v>0</v>
      </c>
      <c r="AL744" s="9" t="n">
        <f aca="false">Z744*$V744</f>
        <v>24000</v>
      </c>
      <c r="AM744" s="9" t="n">
        <f aca="false">AA744*$V744</f>
        <v>0</v>
      </c>
      <c r="AN744" s="9" t="n">
        <f aca="false">AB744*$V744</f>
        <v>0</v>
      </c>
      <c r="AO744" s="9" t="n">
        <f aca="false">AC744*$V744</f>
        <v>24000</v>
      </c>
      <c r="AP744" s="9" t="n">
        <f aca="false">AD744*$V744</f>
        <v>0</v>
      </c>
      <c r="AQ744" s="9" t="n">
        <f aca="false">AE744*$V744</f>
        <v>0</v>
      </c>
      <c r="AR744" s="9" t="n">
        <f aca="false">AF744*$V744</f>
        <v>24000</v>
      </c>
      <c r="AS744" s="9" t="n">
        <f aca="false">AG744*$V744</f>
        <v>0</v>
      </c>
      <c r="AT744" s="9" t="n">
        <f aca="false">AH744*$V744</f>
        <v>0</v>
      </c>
      <c r="AU744" s="9" t="n">
        <f aca="false">AI744*$V744</f>
        <v>0</v>
      </c>
      <c r="AV744" s="9" t="n">
        <f aca="false">SUM(X744:AI744)/1000</f>
        <v>150</v>
      </c>
      <c r="AW744" s="9" t="n">
        <f aca="false">SUM(AJ744:AU744)</f>
        <v>72000</v>
      </c>
      <c r="AX744" s="9" t="n">
        <f aca="false">IF(D744="INR",AW744/88.24,AW744)/1000000</f>
        <v>0.000815956482320943</v>
      </c>
    </row>
    <row r="745" s="2" customFormat="true" ht="14.25" hidden="false" customHeight="false" outlineLevel="0" collapsed="false">
      <c r="A745" s="12" t="s">
        <v>1531</v>
      </c>
      <c r="B745" s="16" t="n">
        <v>5</v>
      </c>
      <c r="C745" s="15"/>
      <c r="D745" s="16" t="s">
        <v>50</v>
      </c>
      <c r="E745" s="16" t="s">
        <v>51</v>
      </c>
      <c r="F745" s="16" t="s">
        <v>404</v>
      </c>
      <c r="G745" s="16" t="s">
        <v>1435</v>
      </c>
      <c r="H745" s="16" t="s">
        <v>1436</v>
      </c>
      <c r="I745" s="16" t="s">
        <v>105</v>
      </c>
      <c r="J745" s="16" t="s">
        <v>900</v>
      </c>
      <c r="K745" s="16"/>
      <c r="L745" s="16" t="s">
        <v>105</v>
      </c>
      <c r="M745" s="16" t="s">
        <v>900</v>
      </c>
      <c r="N745" s="16" t="s">
        <v>271</v>
      </c>
      <c r="O745" s="16" t="s">
        <v>94</v>
      </c>
      <c r="P745" s="16" t="s">
        <v>110</v>
      </c>
      <c r="Q745" s="16" t="s">
        <v>110</v>
      </c>
      <c r="R745" s="16" t="s">
        <v>137</v>
      </c>
      <c r="S745" s="16" t="s">
        <v>272</v>
      </c>
      <c r="T745" s="16" t="s">
        <v>1084</v>
      </c>
      <c r="U745" s="16" t="s">
        <v>73</v>
      </c>
      <c r="V745" s="16" t="n">
        <v>48</v>
      </c>
      <c r="W745" s="16" t="n">
        <v>0.363</v>
      </c>
      <c r="X745" s="22" t="n">
        <v>500</v>
      </c>
      <c r="Y745" s="16" t="n">
        <v>500</v>
      </c>
      <c r="Z745" s="16" t="n">
        <v>500</v>
      </c>
      <c r="AA745" s="16" t="n">
        <v>500</v>
      </c>
      <c r="AB745" s="16" t="n">
        <v>500</v>
      </c>
      <c r="AC745" s="16" t="n">
        <v>500</v>
      </c>
      <c r="AD745" s="16" t="n">
        <v>500</v>
      </c>
      <c r="AE745" s="16" t="n">
        <v>500</v>
      </c>
      <c r="AF745" s="16" t="n">
        <v>500</v>
      </c>
      <c r="AG745" s="16" t="n">
        <v>500</v>
      </c>
      <c r="AH745" s="16" t="n">
        <v>500</v>
      </c>
      <c r="AI745" s="16" t="n">
        <v>500</v>
      </c>
      <c r="AJ745" s="9" t="n">
        <f aca="false">X745*$V745</f>
        <v>24000</v>
      </c>
      <c r="AK745" s="9" t="n">
        <f aca="false">Y745*$V745</f>
        <v>24000</v>
      </c>
      <c r="AL745" s="9" t="n">
        <f aca="false">Z745*$V745</f>
        <v>24000</v>
      </c>
      <c r="AM745" s="9" t="n">
        <f aca="false">AA745*$V745</f>
        <v>24000</v>
      </c>
      <c r="AN745" s="9" t="n">
        <f aca="false">AB745*$V745</f>
        <v>24000</v>
      </c>
      <c r="AO745" s="9" t="n">
        <f aca="false">AC745*$V745</f>
        <v>24000</v>
      </c>
      <c r="AP745" s="9" t="n">
        <f aca="false">AD745*$V745</f>
        <v>24000</v>
      </c>
      <c r="AQ745" s="9" t="n">
        <f aca="false">AE745*$V745</f>
        <v>24000</v>
      </c>
      <c r="AR745" s="9" t="n">
        <f aca="false">AF745*$V745</f>
        <v>24000</v>
      </c>
      <c r="AS745" s="9" t="n">
        <f aca="false">AG745*$V745</f>
        <v>24000</v>
      </c>
      <c r="AT745" s="9" t="n">
        <f aca="false">AH745*$V745</f>
        <v>24000</v>
      </c>
      <c r="AU745" s="9" t="n">
        <f aca="false">AI745*$V745</f>
        <v>24000</v>
      </c>
      <c r="AV745" s="9" t="n">
        <f aca="false">SUM(X745:AI745)/1000</f>
        <v>6</v>
      </c>
      <c r="AW745" s="9" t="n">
        <f aca="false">SUM(AJ745:AU745)</f>
        <v>288000</v>
      </c>
      <c r="AX745" s="9" t="n">
        <f aca="false">IF(D745="INR",AW745/88.24,AW745)/1000000</f>
        <v>0.00326382592928377</v>
      </c>
    </row>
    <row r="746" s="2" customFormat="true" ht="14.25" hidden="false" customHeight="false" outlineLevel="0" collapsed="false">
      <c r="A746" s="12"/>
      <c r="B746" s="16" t="n">
        <v>1</v>
      </c>
      <c r="C746" s="15"/>
      <c r="D746" s="16" t="s">
        <v>50</v>
      </c>
      <c r="E746" s="16" t="s">
        <v>51</v>
      </c>
      <c r="F746" s="16" t="s">
        <v>404</v>
      </c>
      <c r="G746" s="16" t="s">
        <v>405</v>
      </c>
      <c r="H746" s="16" t="s">
        <v>406</v>
      </c>
      <c r="I746" s="16" t="s">
        <v>105</v>
      </c>
      <c r="J746" s="16" t="s">
        <v>368</v>
      </c>
      <c r="K746" s="16"/>
      <c r="L746" s="16" t="s">
        <v>105</v>
      </c>
      <c r="M746" s="16" t="s">
        <v>368</v>
      </c>
      <c r="N746" s="16" t="s">
        <v>271</v>
      </c>
      <c r="O746" s="16"/>
      <c r="P746" s="16"/>
      <c r="Q746" s="16" t="s">
        <v>308</v>
      </c>
      <c r="R746" s="16"/>
      <c r="S746" s="16"/>
      <c r="T746" s="16" t="s">
        <v>1532</v>
      </c>
      <c r="U746" s="16" t="s">
        <v>63</v>
      </c>
      <c r="V746" s="16" t="n">
        <v>0.95</v>
      </c>
      <c r="W746" s="16"/>
      <c r="X746" s="16" t="n">
        <v>50000</v>
      </c>
      <c r="Y746" s="16"/>
      <c r="Z746" s="16" t="n">
        <v>25000</v>
      </c>
      <c r="AA746" s="16" t="n">
        <v>25000</v>
      </c>
      <c r="AB746" s="16" t="n">
        <v>25000</v>
      </c>
      <c r="AC746" s="16"/>
      <c r="AD746" s="16" t="n">
        <v>25000</v>
      </c>
      <c r="AE746" s="16"/>
      <c r="AF746" s="16" t="n">
        <v>25000</v>
      </c>
      <c r="AG746" s="16"/>
      <c r="AH746" s="16" t="n">
        <v>25000</v>
      </c>
      <c r="AI746" s="16" t="n">
        <v>25000</v>
      </c>
      <c r="AJ746" s="9" t="n">
        <f aca="false">X746*$V746</f>
        <v>47500</v>
      </c>
      <c r="AK746" s="9" t="n">
        <f aca="false">Y746*$V746</f>
        <v>0</v>
      </c>
      <c r="AL746" s="9" t="n">
        <f aca="false">Z746*$V746</f>
        <v>23750</v>
      </c>
      <c r="AM746" s="9" t="n">
        <f aca="false">AA746*$V746</f>
        <v>23750</v>
      </c>
      <c r="AN746" s="9" t="n">
        <f aca="false">AB746*$V746</f>
        <v>23750</v>
      </c>
      <c r="AO746" s="9" t="n">
        <f aca="false">AC746*$V746</f>
        <v>0</v>
      </c>
      <c r="AP746" s="9" t="n">
        <f aca="false">AD746*$V746</f>
        <v>23750</v>
      </c>
      <c r="AQ746" s="9" t="n">
        <f aca="false">AE746*$V746</f>
        <v>0</v>
      </c>
      <c r="AR746" s="9" t="n">
        <f aca="false">AF746*$V746</f>
        <v>23750</v>
      </c>
      <c r="AS746" s="9" t="n">
        <f aca="false">AG746*$V746</f>
        <v>0</v>
      </c>
      <c r="AT746" s="9" t="n">
        <f aca="false">AH746*$V746</f>
        <v>23750</v>
      </c>
      <c r="AU746" s="9" t="n">
        <f aca="false">AI746*$V746</f>
        <v>23750</v>
      </c>
      <c r="AV746" s="9" t="n">
        <f aca="false">SUM(X746:AI746)/1000</f>
        <v>225</v>
      </c>
      <c r="AW746" s="9" t="n">
        <f aca="false">SUM(AJ746:AU746)</f>
        <v>213750</v>
      </c>
      <c r="AX746" s="9" t="n">
        <f aca="false">IF(D746="INR",AW746/88.24,AW746)/1000000</f>
        <v>0.0024223708068903</v>
      </c>
    </row>
    <row r="747" s="2" customFormat="true" ht="16.4" hidden="false" customHeight="false" outlineLevel="0" collapsed="false">
      <c r="A747" s="28" t="s">
        <v>1533</v>
      </c>
      <c r="B747" s="16"/>
      <c r="C747" s="16"/>
      <c r="D747" s="16" t="s">
        <v>50</v>
      </c>
      <c r="E747" s="16" t="s">
        <v>51</v>
      </c>
      <c r="F747" s="16" t="s">
        <v>52</v>
      </c>
      <c r="G747" s="16" t="s">
        <v>1534</v>
      </c>
      <c r="H747" s="16" t="s">
        <v>1535</v>
      </c>
      <c r="I747" s="16" t="s">
        <v>298</v>
      </c>
      <c r="J747" s="16" t="s">
        <v>299</v>
      </c>
      <c r="K747" s="16"/>
      <c r="L747" s="16" t="s">
        <v>298</v>
      </c>
      <c r="M747" s="16" t="s">
        <v>299</v>
      </c>
      <c r="N747" s="16" t="s">
        <v>57</v>
      </c>
      <c r="O747" s="16" t="s">
        <v>246</v>
      </c>
      <c r="P747" s="16" t="s">
        <v>308</v>
      </c>
      <c r="Q747" s="16" t="s">
        <v>308</v>
      </c>
      <c r="R747" s="16" t="s">
        <v>309</v>
      </c>
      <c r="S747" s="16" t="s">
        <v>264</v>
      </c>
      <c r="T747" s="16" t="s">
        <v>487</v>
      </c>
      <c r="U747" s="16" t="s">
        <v>73</v>
      </c>
      <c r="V747" s="16" t="n">
        <v>0.76</v>
      </c>
      <c r="W747" s="26" t="n">
        <v>0.65</v>
      </c>
      <c r="X747" s="16"/>
      <c r="Y747" s="16"/>
      <c r="Z747" s="16" t="n">
        <v>30000</v>
      </c>
      <c r="AA747" s="16"/>
      <c r="AB747" s="16"/>
      <c r="AC747" s="16"/>
      <c r="AD747" s="16" t="n">
        <v>30000</v>
      </c>
      <c r="AE747" s="16"/>
      <c r="AF747" s="16"/>
      <c r="AG747" s="16" t="n">
        <v>30000</v>
      </c>
      <c r="AH747" s="16"/>
      <c r="AI747" s="16"/>
      <c r="AJ747" s="9" t="n">
        <f aca="false">X747*$V747</f>
        <v>0</v>
      </c>
      <c r="AK747" s="9" t="n">
        <f aca="false">Y747*$V747</f>
        <v>0</v>
      </c>
      <c r="AL747" s="9" t="n">
        <f aca="false">Z747*$V747</f>
        <v>22800</v>
      </c>
      <c r="AM747" s="9" t="n">
        <f aca="false">AA747*$V747</f>
        <v>0</v>
      </c>
      <c r="AN747" s="9" t="n">
        <f aca="false">AB747*$V747</f>
        <v>0</v>
      </c>
      <c r="AO747" s="9" t="n">
        <f aca="false">AC747*$V747</f>
        <v>0</v>
      </c>
      <c r="AP747" s="9" t="n">
        <f aca="false">AD747*$V747</f>
        <v>22800</v>
      </c>
      <c r="AQ747" s="9" t="n">
        <f aca="false">AE747*$V747</f>
        <v>0</v>
      </c>
      <c r="AR747" s="9" t="n">
        <f aca="false">AF747*$V747</f>
        <v>0</v>
      </c>
      <c r="AS747" s="9" t="n">
        <f aca="false">AG747*$V747</f>
        <v>22800</v>
      </c>
      <c r="AT747" s="9" t="n">
        <f aca="false">AH747*$V747</f>
        <v>0</v>
      </c>
      <c r="AU747" s="9" t="n">
        <f aca="false">AI747*$V747</f>
        <v>0</v>
      </c>
      <c r="AV747" s="9" t="n">
        <f aca="false">SUM(X747:AI747)/1000</f>
        <v>90</v>
      </c>
      <c r="AW747" s="9" t="n">
        <f aca="false">SUM(AJ747:AU747)</f>
        <v>68400</v>
      </c>
      <c r="AX747" s="9" t="n">
        <f aca="false">IF(D747="INR",AW747/88.24,AW747)/1000000</f>
        <v>0.000775158658204896</v>
      </c>
    </row>
    <row r="748" s="2" customFormat="true" ht="14.25" hidden="false" customHeight="false" outlineLevel="0" collapsed="false">
      <c r="A748" s="12" t="s">
        <v>1536</v>
      </c>
      <c r="B748" s="16" t="n">
        <v>5</v>
      </c>
      <c r="C748" s="15"/>
      <c r="D748" s="16" t="s">
        <v>50</v>
      </c>
      <c r="E748" s="16" t="s">
        <v>51</v>
      </c>
      <c r="F748" s="16" t="s">
        <v>267</v>
      </c>
      <c r="G748" s="16" t="s">
        <v>1537</v>
      </c>
      <c r="H748" s="16" t="s">
        <v>1538</v>
      </c>
      <c r="I748" s="16" t="s">
        <v>105</v>
      </c>
      <c r="J748" s="16" t="s">
        <v>368</v>
      </c>
      <c r="K748" s="16"/>
      <c r="L748" s="16" t="s">
        <v>105</v>
      </c>
      <c r="M748" s="16" t="s">
        <v>368</v>
      </c>
      <c r="N748" s="16" t="s">
        <v>271</v>
      </c>
      <c r="O748" s="16" t="s">
        <v>94</v>
      </c>
      <c r="P748" s="16" t="s">
        <v>110</v>
      </c>
      <c r="Q748" s="16" t="s">
        <v>110</v>
      </c>
      <c r="R748" s="16" t="s">
        <v>137</v>
      </c>
      <c r="S748" s="16" t="s">
        <v>272</v>
      </c>
      <c r="T748" s="16" t="s">
        <v>1084</v>
      </c>
      <c r="U748" s="16" t="s">
        <v>73</v>
      </c>
      <c r="V748" s="16" t="n">
        <v>45</v>
      </c>
      <c r="W748" s="16" t="n">
        <v>0.363</v>
      </c>
      <c r="X748" s="22" t="n">
        <v>500</v>
      </c>
      <c r="Y748" s="22" t="n">
        <v>500</v>
      </c>
      <c r="Z748" s="22" t="n">
        <v>500</v>
      </c>
      <c r="AA748" s="22" t="n">
        <v>500</v>
      </c>
      <c r="AB748" s="22" t="n">
        <v>500</v>
      </c>
      <c r="AC748" s="22" t="n">
        <v>500</v>
      </c>
      <c r="AD748" s="22" t="n">
        <v>500</v>
      </c>
      <c r="AE748" s="22" t="n">
        <v>500</v>
      </c>
      <c r="AF748" s="22" t="n">
        <v>500</v>
      </c>
      <c r="AG748" s="22" t="n">
        <v>500</v>
      </c>
      <c r="AH748" s="22" t="n">
        <v>500</v>
      </c>
      <c r="AI748" s="22" t="n">
        <v>500</v>
      </c>
      <c r="AJ748" s="9" t="n">
        <f aca="false">X748*$V748</f>
        <v>22500</v>
      </c>
      <c r="AK748" s="9" t="n">
        <f aca="false">Y748*$V748</f>
        <v>22500</v>
      </c>
      <c r="AL748" s="9" t="n">
        <f aca="false">Z748*$V748</f>
        <v>22500</v>
      </c>
      <c r="AM748" s="9" t="n">
        <f aca="false">AA748*$V748</f>
        <v>22500</v>
      </c>
      <c r="AN748" s="9" t="n">
        <f aca="false">AB748*$V748</f>
        <v>22500</v>
      </c>
      <c r="AO748" s="9" t="n">
        <f aca="false">AC748*$V748</f>
        <v>22500</v>
      </c>
      <c r="AP748" s="9" t="n">
        <f aca="false">AD748*$V748</f>
        <v>22500</v>
      </c>
      <c r="AQ748" s="9" t="n">
        <f aca="false">AE748*$V748</f>
        <v>22500</v>
      </c>
      <c r="AR748" s="9" t="n">
        <f aca="false">AF748*$V748</f>
        <v>22500</v>
      </c>
      <c r="AS748" s="9" t="n">
        <f aca="false">AG748*$V748</f>
        <v>22500</v>
      </c>
      <c r="AT748" s="9" t="n">
        <f aca="false">AH748*$V748</f>
        <v>22500</v>
      </c>
      <c r="AU748" s="9" t="n">
        <f aca="false">AI748*$V748</f>
        <v>22500</v>
      </c>
      <c r="AV748" s="9" t="n">
        <f aca="false">SUM(X748:AI748)/1000</f>
        <v>6</v>
      </c>
      <c r="AW748" s="9" t="n">
        <f aca="false">SUM(AJ748:AU748)</f>
        <v>270000</v>
      </c>
      <c r="AX748" s="9" t="n">
        <f aca="false">IF(D748="INR",AW748/88.24,AW748)/1000000</f>
        <v>0.00305983680870354</v>
      </c>
    </row>
    <row r="749" s="2" customFormat="true" ht="14.25" hidden="false" customHeight="false" outlineLevel="0" collapsed="false">
      <c r="A749" s="12" t="s">
        <v>1539</v>
      </c>
      <c r="B749" s="16" t="n">
        <v>5</v>
      </c>
      <c r="C749" s="15"/>
      <c r="D749" s="16" t="s">
        <v>102</v>
      </c>
      <c r="E749" s="16" t="s">
        <v>51</v>
      </c>
      <c r="F749" s="16" t="s">
        <v>52</v>
      </c>
      <c r="G749" s="16" t="s">
        <v>292</v>
      </c>
      <c r="H749" s="16" t="s">
        <v>293</v>
      </c>
      <c r="I749" s="16" t="s">
        <v>105</v>
      </c>
      <c r="J749" s="16" t="s">
        <v>806</v>
      </c>
      <c r="K749" s="16"/>
      <c r="L749" s="16" t="s">
        <v>105</v>
      </c>
      <c r="M749" s="16" t="s">
        <v>806</v>
      </c>
      <c r="N749" s="16" t="s">
        <v>93</v>
      </c>
      <c r="O749" s="16" t="s">
        <v>294</v>
      </c>
      <c r="P749" s="16" t="s">
        <v>182</v>
      </c>
      <c r="Q749" s="16" t="s">
        <v>182</v>
      </c>
      <c r="R749" s="16" t="s">
        <v>875</v>
      </c>
      <c r="S749" s="16" t="s">
        <v>363</v>
      </c>
      <c r="T749" s="16" t="s">
        <v>1540</v>
      </c>
      <c r="U749" s="16" t="s">
        <v>73</v>
      </c>
      <c r="V749" s="16" t="n">
        <v>0.00095</v>
      </c>
      <c r="W749" s="33" t="n">
        <v>0.00064</v>
      </c>
      <c r="X749" s="16" t="n">
        <v>200000</v>
      </c>
      <c r="Y749" s="16" t="n">
        <v>200000</v>
      </c>
      <c r="Z749" s="16" t="n">
        <v>200000</v>
      </c>
      <c r="AA749" s="16" t="n">
        <v>200000</v>
      </c>
      <c r="AB749" s="16" t="n">
        <v>200000</v>
      </c>
      <c r="AC749" s="16" t="n">
        <v>200000</v>
      </c>
      <c r="AD749" s="16" t="n">
        <v>200000</v>
      </c>
      <c r="AE749" s="16" t="n">
        <v>200000</v>
      </c>
      <c r="AF749" s="16" t="n">
        <v>200000</v>
      </c>
      <c r="AG749" s="16" t="n">
        <v>200000</v>
      </c>
      <c r="AH749" s="16" t="n">
        <v>200000</v>
      </c>
      <c r="AI749" s="16" t="n">
        <v>200000</v>
      </c>
      <c r="AJ749" s="9" t="n">
        <f aca="false">X749*$V749</f>
        <v>190</v>
      </c>
      <c r="AK749" s="9" t="n">
        <f aca="false">Y749*$V749</f>
        <v>190</v>
      </c>
      <c r="AL749" s="9" t="n">
        <f aca="false">Z749*$V749</f>
        <v>190</v>
      </c>
      <c r="AM749" s="9" t="n">
        <f aca="false">AA749*$V749</f>
        <v>190</v>
      </c>
      <c r="AN749" s="9" t="n">
        <f aca="false">AB749*$V749</f>
        <v>190</v>
      </c>
      <c r="AO749" s="9" t="n">
        <f aca="false">AC749*$V749</f>
        <v>190</v>
      </c>
      <c r="AP749" s="9" t="n">
        <f aca="false">AD749*$V749</f>
        <v>190</v>
      </c>
      <c r="AQ749" s="9" t="n">
        <f aca="false">AE749*$V749</f>
        <v>190</v>
      </c>
      <c r="AR749" s="9" t="n">
        <f aca="false">AF749*$V749</f>
        <v>190</v>
      </c>
      <c r="AS749" s="9" t="n">
        <f aca="false">AG749*$V749</f>
        <v>190</v>
      </c>
      <c r="AT749" s="9" t="n">
        <f aca="false">AH749*$V749</f>
        <v>190</v>
      </c>
      <c r="AU749" s="9" t="n">
        <f aca="false">AI749*$V749</f>
        <v>190</v>
      </c>
      <c r="AV749" s="9" t="n">
        <f aca="false">SUM(X749:AI749)/1000</f>
        <v>2400</v>
      </c>
      <c r="AW749" s="9" t="n">
        <f aca="false">SUM(AJ749:AU749)</f>
        <v>2280</v>
      </c>
      <c r="AX749" s="9" t="n">
        <f aca="false">IF(D749="INR",AW749/88.24,AW749)/1000000</f>
        <v>0.00228</v>
      </c>
    </row>
    <row r="750" s="2" customFormat="true" ht="16.4" hidden="false" customHeight="false" outlineLevel="0" collapsed="false">
      <c r="A750" s="28" t="s">
        <v>1541</v>
      </c>
      <c r="B750" s="16"/>
      <c r="C750" s="16"/>
      <c r="D750" s="16" t="s">
        <v>102</v>
      </c>
      <c r="E750" s="16" t="s">
        <v>51</v>
      </c>
      <c r="F750" s="16" t="s">
        <v>52</v>
      </c>
      <c r="G750" s="16" t="s">
        <v>292</v>
      </c>
      <c r="H750" s="16" t="s">
        <v>293</v>
      </c>
      <c r="I750" s="16" t="s">
        <v>105</v>
      </c>
      <c r="J750" s="16" t="s">
        <v>806</v>
      </c>
      <c r="K750" s="16"/>
      <c r="L750" s="16" t="s">
        <v>105</v>
      </c>
      <c r="M750" s="16" t="s">
        <v>806</v>
      </c>
      <c r="N750" s="16" t="s">
        <v>93</v>
      </c>
      <c r="O750" s="16" t="s">
        <v>294</v>
      </c>
      <c r="P750" s="16" t="s">
        <v>197</v>
      </c>
      <c r="Q750" s="16" t="s">
        <v>197</v>
      </c>
      <c r="R750" s="16" t="s">
        <v>86</v>
      </c>
      <c r="S750" s="16" t="s">
        <v>521</v>
      </c>
      <c r="T750" s="16" t="s">
        <v>723</v>
      </c>
      <c r="U750" s="16" t="s">
        <v>73</v>
      </c>
      <c r="V750" s="16" t="n">
        <v>0.0014</v>
      </c>
      <c r="W750" s="16" t="n">
        <v>0.00146</v>
      </c>
      <c r="X750" s="16" t="n">
        <v>0</v>
      </c>
      <c r="Y750" s="16" t="n">
        <v>0</v>
      </c>
      <c r="Z750" s="16" t="n">
        <v>0</v>
      </c>
      <c r="AA750" s="16" t="n">
        <v>0</v>
      </c>
      <c r="AB750" s="16" t="n">
        <v>0</v>
      </c>
      <c r="AC750" s="16" t="n">
        <v>0</v>
      </c>
      <c r="AD750" s="16" t="n">
        <v>0</v>
      </c>
      <c r="AE750" s="16" t="n">
        <v>0</v>
      </c>
      <c r="AF750" s="16" t="n">
        <v>80000</v>
      </c>
      <c r="AG750" s="16" t="n">
        <v>0</v>
      </c>
      <c r="AH750" s="16" t="n">
        <v>0</v>
      </c>
      <c r="AI750" s="16" t="n">
        <v>0</v>
      </c>
      <c r="AJ750" s="9" t="n">
        <f aca="false">X750*$V750</f>
        <v>0</v>
      </c>
      <c r="AK750" s="9" t="n">
        <f aca="false">Y750*$V750</f>
        <v>0</v>
      </c>
      <c r="AL750" s="9" t="n">
        <f aca="false">Z750*$V750</f>
        <v>0</v>
      </c>
      <c r="AM750" s="9" t="n">
        <f aca="false">AA750*$V750</f>
        <v>0</v>
      </c>
      <c r="AN750" s="9" t="n">
        <f aca="false">AB750*$V750</f>
        <v>0</v>
      </c>
      <c r="AO750" s="9" t="n">
        <f aca="false">AC750*$V750</f>
        <v>0</v>
      </c>
      <c r="AP750" s="9" t="n">
        <f aca="false">AD750*$V750</f>
        <v>0</v>
      </c>
      <c r="AQ750" s="9" t="n">
        <f aca="false">AE750*$V750</f>
        <v>0</v>
      </c>
      <c r="AR750" s="9" t="n">
        <f aca="false">AF750*$V750</f>
        <v>112</v>
      </c>
      <c r="AS750" s="9" t="n">
        <f aca="false">AG750*$V750</f>
        <v>0</v>
      </c>
      <c r="AT750" s="9" t="n">
        <f aca="false">AH750*$V750</f>
        <v>0</v>
      </c>
      <c r="AU750" s="9" t="n">
        <f aca="false">AI750*$V750</f>
        <v>0</v>
      </c>
      <c r="AV750" s="9" t="n">
        <f aca="false">SUM(X750:AI750)/1000</f>
        <v>80</v>
      </c>
      <c r="AW750" s="9" t="n">
        <f aca="false">SUM(AJ750:AU750)</f>
        <v>112</v>
      </c>
      <c r="AX750" s="9" t="n">
        <f aca="false">IF(D750="INR",AW750/88.24,AW750)/1000000</f>
        <v>0.000112</v>
      </c>
    </row>
    <row r="751" s="2" customFormat="true" ht="14.25" hidden="false" customHeight="false" outlineLevel="0" collapsed="false">
      <c r="A751" s="12" t="s">
        <v>1542</v>
      </c>
      <c r="B751" s="16" t="n">
        <v>5</v>
      </c>
      <c r="C751" s="15"/>
      <c r="D751" s="16" t="s">
        <v>102</v>
      </c>
      <c r="E751" s="16" t="s">
        <v>51</v>
      </c>
      <c r="F751" s="16" t="s">
        <v>52</v>
      </c>
      <c r="G751" s="16" t="s">
        <v>1543</v>
      </c>
      <c r="H751" s="16" t="s">
        <v>1544</v>
      </c>
      <c r="I751" s="16" t="s">
        <v>105</v>
      </c>
      <c r="J751" s="16" t="s">
        <v>106</v>
      </c>
      <c r="K751" s="16"/>
      <c r="L751" s="16" t="s">
        <v>105</v>
      </c>
      <c r="M751" s="16" t="s">
        <v>106</v>
      </c>
      <c r="N751" s="16" t="s">
        <v>93</v>
      </c>
      <c r="O751" s="16" t="s">
        <v>94</v>
      </c>
      <c r="P751" s="16" t="s">
        <v>182</v>
      </c>
      <c r="Q751" s="16" t="s">
        <v>182</v>
      </c>
      <c r="R751" s="16" t="s">
        <v>875</v>
      </c>
      <c r="S751" s="16" t="s">
        <v>363</v>
      </c>
      <c r="T751" s="16" t="s">
        <v>1545</v>
      </c>
      <c r="U751" s="16" t="s">
        <v>73</v>
      </c>
      <c r="V751" s="16" t="n">
        <v>0.352</v>
      </c>
      <c r="W751" s="16" t="n">
        <v>0.3</v>
      </c>
      <c r="X751" s="16"/>
      <c r="Y751" s="16"/>
      <c r="Z751" s="16" t="n">
        <v>25000</v>
      </c>
      <c r="AA751" s="16"/>
      <c r="AB751" s="16"/>
      <c r="AC751" s="16"/>
      <c r="AD751" s="16"/>
      <c r="AE751" s="16"/>
      <c r="AF751" s="16"/>
      <c r="AG751" s="16"/>
      <c r="AH751" s="16"/>
      <c r="AI751" s="16"/>
      <c r="AJ751" s="9" t="n">
        <f aca="false">X751*$V751</f>
        <v>0</v>
      </c>
      <c r="AK751" s="9" t="n">
        <f aca="false">Y751*$V751</f>
        <v>0</v>
      </c>
      <c r="AL751" s="9" t="n">
        <f aca="false">Z751*$V751</f>
        <v>8800</v>
      </c>
      <c r="AM751" s="9" t="n">
        <f aca="false">AA751*$V751</f>
        <v>0</v>
      </c>
      <c r="AN751" s="9" t="n">
        <f aca="false">AB751*$V751</f>
        <v>0</v>
      </c>
      <c r="AO751" s="9" t="n">
        <f aca="false">AC751*$V751</f>
        <v>0</v>
      </c>
      <c r="AP751" s="9" t="n">
        <f aca="false">AD751*$V751</f>
        <v>0</v>
      </c>
      <c r="AQ751" s="9" t="n">
        <f aca="false">AE751*$V751</f>
        <v>0</v>
      </c>
      <c r="AR751" s="9" t="n">
        <f aca="false">AF751*$V751</f>
        <v>0</v>
      </c>
      <c r="AS751" s="9" t="n">
        <f aca="false">AG751*$V751</f>
        <v>0</v>
      </c>
      <c r="AT751" s="9" t="n">
        <f aca="false">AH751*$V751</f>
        <v>0</v>
      </c>
      <c r="AU751" s="9" t="n">
        <f aca="false">AI751*$V751</f>
        <v>0</v>
      </c>
      <c r="AV751" s="9" t="n">
        <f aca="false">SUM(X751:AI751)/1000</f>
        <v>25</v>
      </c>
      <c r="AW751" s="9" t="n">
        <f aca="false">SUM(AJ751:AU751)</f>
        <v>8800</v>
      </c>
      <c r="AX751" s="9" t="n">
        <f aca="false">IF(D751="INR",AW751/88.24,AW751)/1000000</f>
        <v>0.0088</v>
      </c>
    </row>
    <row r="752" s="2" customFormat="true" ht="14.25" hidden="false" customHeight="false" outlineLevel="0" collapsed="false">
      <c r="A752" s="12" t="s">
        <v>1546</v>
      </c>
      <c r="B752" s="16" t="n">
        <v>5</v>
      </c>
      <c r="C752" s="15"/>
      <c r="D752" s="16" t="s">
        <v>102</v>
      </c>
      <c r="E752" s="16" t="s">
        <v>51</v>
      </c>
      <c r="F752" s="16" t="s">
        <v>52</v>
      </c>
      <c r="G752" s="16" t="s">
        <v>1543</v>
      </c>
      <c r="H752" s="16" t="s">
        <v>1544</v>
      </c>
      <c r="I752" s="16" t="s">
        <v>105</v>
      </c>
      <c r="J752" s="16" t="s">
        <v>106</v>
      </c>
      <c r="K752" s="16" t="s">
        <v>1547</v>
      </c>
      <c r="L752" s="16" t="s">
        <v>105</v>
      </c>
      <c r="M752" s="16" t="s">
        <v>106</v>
      </c>
      <c r="N752" s="16" t="s">
        <v>93</v>
      </c>
      <c r="O752" s="16" t="s">
        <v>94</v>
      </c>
      <c r="P752" s="16" t="s">
        <v>145</v>
      </c>
      <c r="Q752" s="16" t="s">
        <v>145</v>
      </c>
      <c r="R752" s="16" t="s">
        <v>800</v>
      </c>
      <c r="S752" s="16" t="s">
        <v>1148</v>
      </c>
      <c r="T752" s="16" t="s">
        <v>1548</v>
      </c>
      <c r="U752" s="16" t="s">
        <v>73</v>
      </c>
      <c r="V752" s="16" t="n">
        <v>0.16</v>
      </c>
      <c r="W752" s="16" t="n">
        <v>0.12</v>
      </c>
      <c r="X752" s="22" t="n">
        <v>0</v>
      </c>
      <c r="Y752" s="22" t="n">
        <v>0</v>
      </c>
      <c r="Z752" s="22" t="n">
        <v>25000</v>
      </c>
      <c r="AA752" s="22" t="n">
        <v>0</v>
      </c>
      <c r="AB752" s="22" t="n">
        <v>0</v>
      </c>
      <c r="AC752" s="22" t="n">
        <v>0</v>
      </c>
      <c r="AD752" s="22" t="n">
        <v>0</v>
      </c>
      <c r="AE752" s="22" t="n">
        <v>0</v>
      </c>
      <c r="AF752" s="22" t="n">
        <v>0</v>
      </c>
      <c r="AG752" s="22" t="n">
        <v>0</v>
      </c>
      <c r="AH752" s="22" t="n">
        <v>0</v>
      </c>
      <c r="AI752" s="22" t="n">
        <v>0</v>
      </c>
      <c r="AJ752" s="9" t="n">
        <f aca="false">X752*$V752</f>
        <v>0</v>
      </c>
      <c r="AK752" s="9" t="n">
        <f aca="false">Y752*$V752</f>
        <v>0</v>
      </c>
      <c r="AL752" s="9" t="n">
        <f aca="false">Z752*$V752</f>
        <v>4000</v>
      </c>
      <c r="AM752" s="9" t="n">
        <f aca="false">AA752*$V752</f>
        <v>0</v>
      </c>
      <c r="AN752" s="9" t="n">
        <f aca="false">AB752*$V752</f>
        <v>0</v>
      </c>
      <c r="AO752" s="9" t="n">
        <f aca="false">AC752*$V752</f>
        <v>0</v>
      </c>
      <c r="AP752" s="9" t="n">
        <f aca="false">AD752*$V752</f>
        <v>0</v>
      </c>
      <c r="AQ752" s="9" t="n">
        <f aca="false">AE752*$V752</f>
        <v>0</v>
      </c>
      <c r="AR752" s="9" t="n">
        <f aca="false">AF752*$V752</f>
        <v>0</v>
      </c>
      <c r="AS752" s="9" t="n">
        <f aca="false">AG752*$V752</f>
        <v>0</v>
      </c>
      <c r="AT752" s="9" t="n">
        <f aca="false">AH752*$V752</f>
        <v>0</v>
      </c>
      <c r="AU752" s="9" t="n">
        <f aca="false">AI752*$V752</f>
        <v>0</v>
      </c>
      <c r="AV752" s="9" t="n">
        <f aca="false">SUM(X752:AI752)/1000</f>
        <v>25</v>
      </c>
      <c r="AW752" s="9" t="n">
        <f aca="false">SUM(AJ752:AU752)</f>
        <v>4000</v>
      </c>
      <c r="AX752" s="9" t="n">
        <f aca="false">IF(D752="INR",AW752/88.24,AW752)/1000000</f>
        <v>0.004</v>
      </c>
    </row>
    <row r="753" s="2" customFormat="true" ht="14.25" hidden="false" customHeight="false" outlineLevel="0" collapsed="false">
      <c r="A753" s="12" t="s">
        <v>1549</v>
      </c>
      <c r="B753" s="16" t="n">
        <v>5</v>
      </c>
      <c r="C753" s="15"/>
      <c r="D753" s="16" t="s">
        <v>102</v>
      </c>
      <c r="E753" s="16" t="s">
        <v>51</v>
      </c>
      <c r="F753" s="16" t="s">
        <v>52</v>
      </c>
      <c r="G753" s="16" t="s">
        <v>1543</v>
      </c>
      <c r="H753" s="16" t="s">
        <v>1544</v>
      </c>
      <c r="I753" s="16" t="s">
        <v>105</v>
      </c>
      <c r="J753" s="16" t="s">
        <v>106</v>
      </c>
      <c r="K753" s="16" t="s">
        <v>1547</v>
      </c>
      <c r="L753" s="16" t="s">
        <v>105</v>
      </c>
      <c r="M753" s="16" t="s">
        <v>106</v>
      </c>
      <c r="N753" s="16" t="s">
        <v>93</v>
      </c>
      <c r="O753" s="16" t="s">
        <v>94</v>
      </c>
      <c r="P753" s="16" t="s">
        <v>348</v>
      </c>
      <c r="Q753" s="16" t="s">
        <v>348</v>
      </c>
      <c r="R753" s="16" t="s">
        <v>800</v>
      </c>
      <c r="S753" s="16" t="s">
        <v>87</v>
      </c>
      <c r="T753" s="16" t="s">
        <v>1550</v>
      </c>
      <c r="U753" s="16" t="s">
        <v>73</v>
      </c>
      <c r="V753" s="16" t="n">
        <v>0.03</v>
      </c>
      <c r="W753" s="16" t="n">
        <v>0.02568</v>
      </c>
      <c r="X753" s="16" t="n">
        <v>0</v>
      </c>
      <c r="Y753" s="16"/>
      <c r="Z753" s="16" t="n">
        <v>25000</v>
      </c>
      <c r="AA753" s="16"/>
      <c r="AB753" s="16"/>
      <c r="AC753" s="16"/>
      <c r="AD753" s="16"/>
      <c r="AE753" s="16"/>
      <c r="AF753" s="16" t="n">
        <v>0</v>
      </c>
      <c r="AG753" s="16" t="n">
        <v>0</v>
      </c>
      <c r="AH753" s="16" t="n">
        <v>0</v>
      </c>
      <c r="AI753" s="16" t="n">
        <v>0</v>
      </c>
      <c r="AJ753" s="9" t="n">
        <f aca="false">X753*$V753</f>
        <v>0</v>
      </c>
      <c r="AK753" s="9" t="n">
        <f aca="false">Y753*$V753</f>
        <v>0</v>
      </c>
      <c r="AL753" s="9" t="n">
        <f aca="false">Z753*$V753</f>
        <v>750</v>
      </c>
      <c r="AM753" s="9" t="n">
        <f aca="false">AA753*$V753</f>
        <v>0</v>
      </c>
      <c r="AN753" s="9" t="n">
        <f aca="false">AB753*$V753</f>
        <v>0</v>
      </c>
      <c r="AO753" s="9" t="n">
        <f aca="false">AC753*$V753</f>
        <v>0</v>
      </c>
      <c r="AP753" s="9" t="n">
        <f aca="false">AD753*$V753</f>
        <v>0</v>
      </c>
      <c r="AQ753" s="9" t="n">
        <f aca="false">AE753*$V753</f>
        <v>0</v>
      </c>
      <c r="AR753" s="9" t="n">
        <f aca="false">AF753*$V753</f>
        <v>0</v>
      </c>
      <c r="AS753" s="9" t="n">
        <f aca="false">AG753*$V753</f>
        <v>0</v>
      </c>
      <c r="AT753" s="9" t="n">
        <f aca="false">AH753*$V753</f>
        <v>0</v>
      </c>
      <c r="AU753" s="9" t="n">
        <f aca="false">AI753*$V753</f>
        <v>0</v>
      </c>
      <c r="AV753" s="9" t="n">
        <f aca="false">SUM(X753:AI753)/1000</f>
        <v>25</v>
      </c>
      <c r="AW753" s="9" t="n">
        <f aca="false">SUM(AJ753:AU753)</f>
        <v>750</v>
      </c>
      <c r="AX753" s="9" t="n">
        <f aca="false">IF(D753="INR",AW753/88.24,AW753)/1000000</f>
        <v>0.00075</v>
      </c>
    </row>
    <row r="754" s="2" customFormat="true" ht="16.4" hidden="false" customHeight="false" outlineLevel="0" collapsed="false">
      <c r="A754" s="9" t="s">
        <v>1551</v>
      </c>
      <c r="B754" s="9" t="n">
        <v>5</v>
      </c>
      <c r="C754" s="10"/>
      <c r="D754" s="9" t="s">
        <v>102</v>
      </c>
      <c r="E754" s="9" t="s">
        <v>51</v>
      </c>
      <c r="F754" s="9" t="s">
        <v>52</v>
      </c>
      <c r="G754" s="9" t="s">
        <v>1543</v>
      </c>
      <c r="H754" s="9" t="s">
        <v>1544</v>
      </c>
      <c r="I754" s="9" t="s">
        <v>105</v>
      </c>
      <c r="J754" s="9" t="s">
        <v>106</v>
      </c>
      <c r="K754" s="9" t="s">
        <v>1547</v>
      </c>
      <c r="L754" s="9" t="s">
        <v>105</v>
      </c>
      <c r="M754" s="9" t="s">
        <v>106</v>
      </c>
      <c r="N754" s="9" t="s">
        <v>93</v>
      </c>
      <c r="O754" s="9" t="s">
        <v>94</v>
      </c>
      <c r="P754" s="9" t="s">
        <v>348</v>
      </c>
      <c r="Q754" s="9" t="s">
        <v>348</v>
      </c>
      <c r="R754" s="9" t="s">
        <v>800</v>
      </c>
      <c r="S754" s="9" t="s">
        <v>87</v>
      </c>
      <c r="T754" s="9" t="s">
        <v>1552</v>
      </c>
      <c r="U754" s="9" t="s">
        <v>73</v>
      </c>
      <c r="V754" s="9" t="n">
        <v>0.0243</v>
      </c>
      <c r="W754" s="9" t="n">
        <v>0.02115</v>
      </c>
      <c r="X754" s="9"/>
      <c r="Y754" s="9"/>
      <c r="Z754" s="9" t="n">
        <v>25000</v>
      </c>
      <c r="AA754" s="9"/>
      <c r="AB754" s="9"/>
      <c r="AC754" s="9"/>
      <c r="AD754" s="9"/>
      <c r="AE754" s="9"/>
      <c r="AF754" s="9" t="n">
        <v>0</v>
      </c>
      <c r="AG754" s="9" t="n">
        <v>0</v>
      </c>
      <c r="AH754" s="9" t="n">
        <v>0</v>
      </c>
      <c r="AI754" s="9" t="n">
        <v>0</v>
      </c>
      <c r="AJ754" s="9" t="n">
        <f aca="false">X754*$V754</f>
        <v>0</v>
      </c>
      <c r="AK754" s="9" t="n">
        <f aca="false">Y754*$V754</f>
        <v>0</v>
      </c>
      <c r="AL754" s="9" t="n">
        <f aca="false">Z754*$V754</f>
        <v>607.5</v>
      </c>
      <c r="AM754" s="9" t="n">
        <f aca="false">AA754*$V754</f>
        <v>0</v>
      </c>
      <c r="AN754" s="9" t="n">
        <f aca="false">AB754*$V754</f>
        <v>0</v>
      </c>
      <c r="AO754" s="9" t="n">
        <f aca="false">AC754*$V754</f>
        <v>0</v>
      </c>
      <c r="AP754" s="9" t="n">
        <f aca="false">AD754*$V754</f>
        <v>0</v>
      </c>
      <c r="AQ754" s="9" t="n">
        <f aca="false">AE754*$V754</f>
        <v>0</v>
      </c>
      <c r="AR754" s="9" t="n">
        <f aca="false">AF754*$V754</f>
        <v>0</v>
      </c>
      <c r="AS754" s="9" t="n">
        <f aca="false">AG754*$V754</f>
        <v>0</v>
      </c>
      <c r="AT754" s="9" t="n">
        <f aca="false">AH754*$V754</f>
        <v>0</v>
      </c>
      <c r="AU754" s="9" t="n">
        <f aca="false">AI754*$V754</f>
        <v>0</v>
      </c>
      <c r="AV754" s="9" t="n">
        <f aca="false">SUM(X754:AI754)/1000</f>
        <v>25</v>
      </c>
      <c r="AW754" s="9" t="n">
        <f aca="false">SUM(AJ754:AU754)</f>
        <v>607.5</v>
      </c>
      <c r="AX754" s="9" t="n">
        <f aca="false">IF(D754="INR",AW754/88.24,AW754)/1000000</f>
        <v>0.0006075</v>
      </c>
    </row>
    <row r="755" s="2" customFormat="true" ht="16.4" hidden="false" customHeight="false" outlineLevel="0" collapsed="false">
      <c r="A755" s="9" t="s">
        <v>1553</v>
      </c>
      <c r="B755" s="9" t="n">
        <v>5</v>
      </c>
      <c r="C755" s="10"/>
      <c r="D755" s="9" t="s">
        <v>102</v>
      </c>
      <c r="E755" s="9" t="s">
        <v>51</v>
      </c>
      <c r="F755" s="9" t="s">
        <v>52</v>
      </c>
      <c r="G755" s="9" t="s">
        <v>1543</v>
      </c>
      <c r="H755" s="9" t="s">
        <v>1544</v>
      </c>
      <c r="I755" s="9" t="s">
        <v>105</v>
      </c>
      <c r="J755" s="9" t="s">
        <v>106</v>
      </c>
      <c r="K755" s="9" t="s">
        <v>1547</v>
      </c>
      <c r="L755" s="9" t="s">
        <v>105</v>
      </c>
      <c r="M755" s="9" t="s">
        <v>106</v>
      </c>
      <c r="N755" s="9" t="s">
        <v>93</v>
      </c>
      <c r="O755" s="9" t="s">
        <v>94</v>
      </c>
      <c r="P755" s="9" t="s">
        <v>348</v>
      </c>
      <c r="Q755" s="9" t="s">
        <v>348</v>
      </c>
      <c r="R755" s="9" t="s">
        <v>800</v>
      </c>
      <c r="S755" s="9" t="s">
        <v>87</v>
      </c>
      <c r="T755" s="9" t="s">
        <v>1554</v>
      </c>
      <c r="U755" s="9" t="s">
        <v>73</v>
      </c>
      <c r="V755" s="9" t="n">
        <v>0.02</v>
      </c>
      <c r="W755" s="9" t="n">
        <v>0.01737</v>
      </c>
      <c r="X755" s="9" t="n">
        <v>0</v>
      </c>
      <c r="Y755" s="9"/>
      <c r="Z755" s="9" t="n">
        <v>25000</v>
      </c>
      <c r="AA755" s="9"/>
      <c r="AB755" s="9"/>
      <c r="AC755" s="9"/>
      <c r="AD755" s="9"/>
      <c r="AE755" s="9"/>
      <c r="AF755" s="9" t="n">
        <v>0</v>
      </c>
      <c r="AG755" s="9" t="n">
        <v>0</v>
      </c>
      <c r="AH755" s="9" t="n">
        <v>0</v>
      </c>
      <c r="AI755" s="9" t="n">
        <v>0</v>
      </c>
      <c r="AJ755" s="9" t="n">
        <f aca="false">X755*$V755</f>
        <v>0</v>
      </c>
      <c r="AK755" s="9" t="n">
        <f aca="false">Y755*$V755</f>
        <v>0</v>
      </c>
      <c r="AL755" s="9" t="n">
        <f aca="false">Z755*$V755</f>
        <v>500</v>
      </c>
      <c r="AM755" s="9" t="n">
        <f aca="false">AA755*$V755</f>
        <v>0</v>
      </c>
      <c r="AN755" s="9" t="n">
        <f aca="false">AB755*$V755</f>
        <v>0</v>
      </c>
      <c r="AO755" s="9" t="n">
        <f aca="false">AC755*$V755</f>
        <v>0</v>
      </c>
      <c r="AP755" s="9" t="n">
        <f aca="false">AD755*$V755</f>
        <v>0</v>
      </c>
      <c r="AQ755" s="9" t="n">
        <f aca="false">AE755*$V755</f>
        <v>0</v>
      </c>
      <c r="AR755" s="9" t="n">
        <f aca="false">AF755*$V755</f>
        <v>0</v>
      </c>
      <c r="AS755" s="9" t="n">
        <f aca="false">AG755*$V755</f>
        <v>0</v>
      </c>
      <c r="AT755" s="9" t="n">
        <f aca="false">AH755*$V755</f>
        <v>0</v>
      </c>
      <c r="AU755" s="9" t="n">
        <f aca="false">AI755*$V755</f>
        <v>0</v>
      </c>
      <c r="AV755" s="9" t="n">
        <f aca="false">SUM(X755:AI755)/1000</f>
        <v>25</v>
      </c>
      <c r="AW755" s="9" t="n">
        <f aca="false">SUM(AJ755:AU755)</f>
        <v>500</v>
      </c>
      <c r="AX755" s="9" t="n">
        <f aca="false">IF(D755="INR",AW755/88.24,AW755)/1000000</f>
        <v>0.0005</v>
      </c>
    </row>
    <row r="756" s="2" customFormat="true" ht="16.4" hidden="false" customHeight="false" outlineLevel="0" collapsed="false">
      <c r="A756" s="28" t="s">
        <v>1555</v>
      </c>
      <c r="B756" s="16" t="n">
        <v>5</v>
      </c>
      <c r="C756" s="16"/>
      <c r="D756" s="16" t="s">
        <v>102</v>
      </c>
      <c r="E756" s="16" t="s">
        <v>51</v>
      </c>
      <c r="F756" s="16" t="s">
        <v>52</v>
      </c>
      <c r="G756" s="16" t="s">
        <v>1543</v>
      </c>
      <c r="H756" s="16" t="s">
        <v>1544</v>
      </c>
      <c r="I756" s="16" t="s">
        <v>105</v>
      </c>
      <c r="J756" s="16" t="s">
        <v>106</v>
      </c>
      <c r="K756" s="16" t="s">
        <v>361</v>
      </c>
      <c r="L756" s="16" t="s">
        <v>105</v>
      </c>
      <c r="M756" s="16" t="s">
        <v>106</v>
      </c>
      <c r="N756" s="16" t="s">
        <v>93</v>
      </c>
      <c r="O756" s="16" t="s">
        <v>94</v>
      </c>
      <c r="P756" s="16" t="s">
        <v>348</v>
      </c>
      <c r="Q756" s="16" t="s">
        <v>348</v>
      </c>
      <c r="R756" s="16" t="s">
        <v>800</v>
      </c>
      <c r="S756" s="16" t="s">
        <v>87</v>
      </c>
      <c r="T756" s="16" t="s">
        <v>1556</v>
      </c>
      <c r="U756" s="16" t="s">
        <v>73</v>
      </c>
      <c r="V756" s="26" t="n">
        <v>0.0078</v>
      </c>
      <c r="W756" s="26" t="n">
        <v>0.0068</v>
      </c>
      <c r="X756" s="16" t="n">
        <v>0</v>
      </c>
      <c r="Y756" s="16"/>
      <c r="Z756" s="16" t="n">
        <v>25000</v>
      </c>
      <c r="AA756" s="16"/>
      <c r="AB756" s="16"/>
      <c r="AC756" s="16"/>
      <c r="AD756" s="16"/>
      <c r="AE756" s="16"/>
      <c r="AF756" s="16" t="n">
        <v>0</v>
      </c>
      <c r="AG756" s="16" t="n">
        <v>0</v>
      </c>
      <c r="AH756" s="16" t="n">
        <v>0</v>
      </c>
      <c r="AI756" s="16" t="n">
        <v>0</v>
      </c>
      <c r="AJ756" s="9" t="n">
        <f aca="false">X756*$V756</f>
        <v>0</v>
      </c>
      <c r="AK756" s="9" t="n">
        <f aca="false">Y756*$V756</f>
        <v>0</v>
      </c>
      <c r="AL756" s="9" t="n">
        <f aca="false">Z756*$V756</f>
        <v>195</v>
      </c>
      <c r="AM756" s="9" t="n">
        <f aca="false">AA756*$V756</f>
        <v>0</v>
      </c>
      <c r="AN756" s="9" t="n">
        <f aca="false">AB756*$V756</f>
        <v>0</v>
      </c>
      <c r="AO756" s="9" t="n">
        <f aca="false">AC756*$V756</f>
        <v>0</v>
      </c>
      <c r="AP756" s="9" t="n">
        <f aca="false">AD756*$V756</f>
        <v>0</v>
      </c>
      <c r="AQ756" s="9" t="n">
        <f aca="false">AE756*$V756</f>
        <v>0</v>
      </c>
      <c r="AR756" s="9" t="n">
        <f aca="false">AF756*$V756</f>
        <v>0</v>
      </c>
      <c r="AS756" s="9" t="n">
        <f aca="false">AG756*$V756</f>
        <v>0</v>
      </c>
      <c r="AT756" s="9" t="n">
        <f aca="false">AH756*$V756</f>
        <v>0</v>
      </c>
      <c r="AU756" s="9" t="n">
        <f aca="false">AI756*$V756</f>
        <v>0</v>
      </c>
      <c r="AV756" s="9" t="n">
        <f aca="false">SUM(X756:AI756)/1000</f>
        <v>25</v>
      </c>
      <c r="AW756" s="9" t="n">
        <f aca="false">SUM(AJ756:AU756)</f>
        <v>195</v>
      </c>
      <c r="AX756" s="9" t="n">
        <f aca="false">IF(D756="INR",AW756/88.24,AW756)/1000000</f>
        <v>0.000195</v>
      </c>
    </row>
    <row r="757" s="2" customFormat="true" ht="16.4" hidden="false" customHeight="false" outlineLevel="0" collapsed="false">
      <c r="A757" s="9" t="s">
        <v>1557</v>
      </c>
      <c r="B757" s="9" t="n">
        <v>5</v>
      </c>
      <c r="C757" s="10"/>
      <c r="D757" s="9" t="s">
        <v>102</v>
      </c>
      <c r="E757" s="9" t="s">
        <v>51</v>
      </c>
      <c r="F757" s="9" t="s">
        <v>52</v>
      </c>
      <c r="G757" s="9" t="s">
        <v>1558</v>
      </c>
      <c r="H757" s="9" t="s">
        <v>1559</v>
      </c>
      <c r="I757" s="9" t="s">
        <v>303</v>
      </c>
      <c r="J757" s="9" t="s">
        <v>304</v>
      </c>
      <c r="K757" s="9" t="s">
        <v>1560</v>
      </c>
      <c r="L757" s="9" t="s">
        <v>303</v>
      </c>
      <c r="M757" s="9" t="s">
        <v>304</v>
      </c>
      <c r="N757" s="9" t="s">
        <v>67</v>
      </c>
      <c r="O757" s="9" t="s">
        <v>94</v>
      </c>
      <c r="P757" s="9" t="s">
        <v>348</v>
      </c>
      <c r="Q757" s="9" t="s">
        <v>348</v>
      </c>
      <c r="R757" s="9" t="s">
        <v>800</v>
      </c>
      <c r="S757" s="9" t="s">
        <v>87</v>
      </c>
      <c r="T757" s="9" t="s">
        <v>1561</v>
      </c>
      <c r="U757" s="9" t="s">
        <v>73</v>
      </c>
      <c r="V757" s="10" t="n">
        <v>0.3044</v>
      </c>
      <c r="W757" s="9" t="n">
        <v>0.2647</v>
      </c>
      <c r="X757" s="9" t="n">
        <v>6000</v>
      </c>
      <c r="Y757" s="9" t="n">
        <v>6000</v>
      </c>
      <c r="Z757" s="9" t="n">
        <v>6000</v>
      </c>
      <c r="AA757" s="9" t="n">
        <v>6000</v>
      </c>
      <c r="AB757" s="9" t="n">
        <v>6000</v>
      </c>
      <c r="AC757" s="9" t="n">
        <v>6000</v>
      </c>
      <c r="AD757" s="9" t="n">
        <v>6000</v>
      </c>
      <c r="AE757" s="9" t="n">
        <v>6000</v>
      </c>
      <c r="AF757" s="9" t="n">
        <v>6000</v>
      </c>
      <c r="AG757" s="9" t="n">
        <v>6000</v>
      </c>
      <c r="AH757" s="9" t="n">
        <v>6000</v>
      </c>
      <c r="AI757" s="9" t="n">
        <v>6000</v>
      </c>
      <c r="AJ757" s="9" t="n">
        <f aca="false">X757*$V757</f>
        <v>1826.4</v>
      </c>
      <c r="AK757" s="9" t="n">
        <f aca="false">Y757*$V757</f>
        <v>1826.4</v>
      </c>
      <c r="AL757" s="9" t="n">
        <f aca="false">Z757*$V757</f>
        <v>1826.4</v>
      </c>
      <c r="AM757" s="9" t="n">
        <f aca="false">AA757*$V757</f>
        <v>1826.4</v>
      </c>
      <c r="AN757" s="9" t="n">
        <f aca="false">AB757*$V757</f>
        <v>1826.4</v>
      </c>
      <c r="AO757" s="9" t="n">
        <f aca="false">AC757*$V757</f>
        <v>1826.4</v>
      </c>
      <c r="AP757" s="9" t="n">
        <f aca="false">AD757*$V757</f>
        <v>1826.4</v>
      </c>
      <c r="AQ757" s="9" t="n">
        <f aca="false">AE757*$V757</f>
        <v>1826.4</v>
      </c>
      <c r="AR757" s="9" t="n">
        <f aca="false">AF757*$V757</f>
        <v>1826.4</v>
      </c>
      <c r="AS757" s="9" t="n">
        <f aca="false">AG757*$V757</f>
        <v>1826.4</v>
      </c>
      <c r="AT757" s="9" t="n">
        <f aca="false">AH757*$V757</f>
        <v>1826.4</v>
      </c>
      <c r="AU757" s="9" t="n">
        <f aca="false">AI757*$V757</f>
        <v>1826.4</v>
      </c>
      <c r="AV757" s="9" t="n">
        <f aca="false">SUM(X757:AI757)/1000</f>
        <v>72</v>
      </c>
      <c r="AW757" s="9" t="n">
        <f aca="false">SUM(AJ757:AU757)</f>
        <v>21916.8</v>
      </c>
      <c r="AX757" s="9" t="n">
        <f aca="false">IF(D757="INR",AW757/88.24,AW757)/1000000</f>
        <v>0.0219168</v>
      </c>
    </row>
    <row r="758" s="2" customFormat="true" ht="14.25" hidden="false" customHeight="false" outlineLevel="0" collapsed="false">
      <c r="A758" s="12"/>
      <c r="B758" s="16" t="n">
        <v>1</v>
      </c>
      <c r="C758" s="15"/>
      <c r="D758" s="16" t="s">
        <v>102</v>
      </c>
      <c r="E758" s="16"/>
      <c r="F758" s="16" t="s">
        <v>52</v>
      </c>
      <c r="G758" s="16" t="s">
        <v>1558</v>
      </c>
      <c r="H758" s="16" t="s">
        <v>1559</v>
      </c>
      <c r="I758" s="16"/>
      <c r="J758" s="16"/>
      <c r="K758" s="16"/>
      <c r="L758" s="16"/>
      <c r="M758" s="16"/>
      <c r="N758" s="16" t="s">
        <v>67</v>
      </c>
      <c r="O758" s="16" t="s">
        <v>94</v>
      </c>
      <c r="P758" s="16" t="s">
        <v>1562</v>
      </c>
      <c r="Q758" s="16" t="s">
        <v>1562</v>
      </c>
      <c r="R758" s="16"/>
      <c r="S758" s="16"/>
      <c r="T758" s="16" t="s">
        <v>1563</v>
      </c>
      <c r="U758" s="16" t="s">
        <v>63</v>
      </c>
      <c r="V758" s="16" t="n">
        <v>0.179</v>
      </c>
      <c r="W758" s="16"/>
      <c r="X758" s="22" t="n">
        <v>6000</v>
      </c>
      <c r="Y758" s="22"/>
      <c r="Z758" s="22" t="n">
        <v>6000</v>
      </c>
      <c r="AA758" s="22"/>
      <c r="AB758" s="22" t="n">
        <v>6000</v>
      </c>
      <c r="AC758" s="22"/>
      <c r="AD758" s="22" t="n">
        <v>6000</v>
      </c>
      <c r="AE758" s="22"/>
      <c r="AF758" s="22" t="n">
        <v>6000</v>
      </c>
      <c r="AG758" s="22"/>
      <c r="AH758" s="22" t="n">
        <v>6000</v>
      </c>
      <c r="AI758" s="22"/>
      <c r="AJ758" s="9" t="n">
        <f aca="false">X758*$V758</f>
        <v>1074</v>
      </c>
      <c r="AK758" s="9" t="n">
        <f aca="false">Y758*$V758</f>
        <v>0</v>
      </c>
      <c r="AL758" s="9" t="n">
        <f aca="false">Z758*$V758</f>
        <v>1074</v>
      </c>
      <c r="AM758" s="9" t="n">
        <f aca="false">AA758*$V758</f>
        <v>0</v>
      </c>
      <c r="AN758" s="9" t="n">
        <f aca="false">AB758*$V758</f>
        <v>1074</v>
      </c>
      <c r="AO758" s="9" t="n">
        <f aca="false">AC758*$V758</f>
        <v>0</v>
      </c>
      <c r="AP758" s="9" t="n">
        <f aca="false">AD758*$V758</f>
        <v>1074</v>
      </c>
      <c r="AQ758" s="9" t="n">
        <f aca="false">AE758*$V758</f>
        <v>0</v>
      </c>
      <c r="AR758" s="9" t="n">
        <f aca="false">AF758*$V758</f>
        <v>1074</v>
      </c>
      <c r="AS758" s="9" t="n">
        <f aca="false">AG758*$V758</f>
        <v>0</v>
      </c>
      <c r="AT758" s="9" t="n">
        <f aca="false">AH758*$V758</f>
        <v>1074</v>
      </c>
      <c r="AU758" s="9" t="n">
        <f aca="false">AI758*$V758</f>
        <v>0</v>
      </c>
      <c r="AV758" s="9" t="n">
        <f aca="false">SUM(X758:AI758)/1000</f>
        <v>36</v>
      </c>
      <c r="AW758" s="9" t="n">
        <f aca="false">SUM(AJ758:AU758)</f>
        <v>6444</v>
      </c>
      <c r="AX758" s="9" t="n">
        <f aca="false">IF(D758="INR",AW758/88.24,AW758)/1000000</f>
        <v>0.006444</v>
      </c>
    </row>
    <row r="759" s="2" customFormat="true" ht="14.25" hidden="false" customHeight="false" outlineLevel="0" collapsed="false">
      <c r="A759" s="12" t="s">
        <v>1564</v>
      </c>
      <c r="B759" s="16" t="n">
        <v>5</v>
      </c>
      <c r="C759" s="15"/>
      <c r="D759" s="16" t="s">
        <v>102</v>
      </c>
      <c r="E759" s="16" t="s">
        <v>51</v>
      </c>
      <c r="F759" s="16" t="s">
        <v>52</v>
      </c>
      <c r="G759" s="16" t="s">
        <v>1558</v>
      </c>
      <c r="H759" s="16" t="s">
        <v>1559</v>
      </c>
      <c r="I759" s="16" t="s">
        <v>303</v>
      </c>
      <c r="J759" s="16" t="s">
        <v>304</v>
      </c>
      <c r="K759" s="16" t="s">
        <v>1565</v>
      </c>
      <c r="L759" s="16" t="s">
        <v>260</v>
      </c>
      <c r="M759" s="16" t="s">
        <v>1566</v>
      </c>
      <c r="N759" s="16" t="s">
        <v>67</v>
      </c>
      <c r="O759" s="16" t="s">
        <v>94</v>
      </c>
      <c r="P759" s="16" t="s">
        <v>110</v>
      </c>
      <c r="Q759" s="16" t="s">
        <v>110</v>
      </c>
      <c r="R759" s="16" t="s">
        <v>137</v>
      </c>
      <c r="S759" s="16" t="s">
        <v>272</v>
      </c>
      <c r="T759" s="16" t="s">
        <v>1567</v>
      </c>
      <c r="U759" s="16" t="s">
        <v>73</v>
      </c>
      <c r="V759" s="16" t="n">
        <v>1.29</v>
      </c>
      <c r="W759" s="16" t="n">
        <v>1.152</v>
      </c>
      <c r="X759" s="16" t="n">
        <v>3000</v>
      </c>
      <c r="Y759" s="16"/>
      <c r="Z759" s="16" t="n">
        <v>3000</v>
      </c>
      <c r="AA759" s="16"/>
      <c r="AB759" s="16" t="n">
        <v>3000</v>
      </c>
      <c r="AC759" s="16"/>
      <c r="AD759" s="16" t="n">
        <v>3000</v>
      </c>
      <c r="AE759" s="16"/>
      <c r="AF759" s="16" t="n">
        <v>3000</v>
      </c>
      <c r="AG759" s="16"/>
      <c r="AH759" s="16" t="n">
        <v>3000</v>
      </c>
      <c r="AI759" s="16"/>
      <c r="AJ759" s="9" t="n">
        <f aca="false">X759*$V759</f>
        <v>3870</v>
      </c>
      <c r="AK759" s="9" t="n">
        <f aca="false">Y759*$V759</f>
        <v>0</v>
      </c>
      <c r="AL759" s="9" t="n">
        <f aca="false">Z759*$V759</f>
        <v>3870</v>
      </c>
      <c r="AM759" s="9" t="n">
        <f aca="false">AA759*$V759</f>
        <v>0</v>
      </c>
      <c r="AN759" s="9" t="n">
        <f aca="false">AB759*$V759</f>
        <v>3870</v>
      </c>
      <c r="AO759" s="9" t="n">
        <f aca="false">AC759*$V759</f>
        <v>0</v>
      </c>
      <c r="AP759" s="9" t="n">
        <f aca="false">AD759*$V759</f>
        <v>3870</v>
      </c>
      <c r="AQ759" s="9" t="n">
        <f aca="false">AE759*$V759</f>
        <v>0</v>
      </c>
      <c r="AR759" s="9" t="n">
        <f aca="false">AF759*$V759</f>
        <v>3870</v>
      </c>
      <c r="AS759" s="9" t="n">
        <f aca="false">AG759*$V759</f>
        <v>0</v>
      </c>
      <c r="AT759" s="9" t="n">
        <f aca="false">AH759*$V759</f>
        <v>3870</v>
      </c>
      <c r="AU759" s="9" t="n">
        <f aca="false">AI759*$V759</f>
        <v>0</v>
      </c>
      <c r="AV759" s="9" t="n">
        <f aca="false">SUM(X759:AI759)/1000</f>
        <v>18</v>
      </c>
      <c r="AW759" s="9" t="n">
        <f aca="false">SUM(AJ759:AU759)</f>
        <v>23220</v>
      </c>
      <c r="AX759" s="9" t="n">
        <f aca="false">IF(D759="INR",AW759/88.24,AW759)/1000000</f>
        <v>0.02322</v>
      </c>
    </row>
    <row r="760" s="2" customFormat="true" ht="14.25" hidden="false" customHeight="false" outlineLevel="0" collapsed="false">
      <c r="A760" s="12" t="s">
        <v>1568</v>
      </c>
      <c r="B760" s="16" t="n">
        <v>5</v>
      </c>
      <c r="C760" s="15"/>
      <c r="D760" s="16" t="s">
        <v>50</v>
      </c>
      <c r="E760" s="16" t="s">
        <v>51</v>
      </c>
      <c r="F760" s="16" t="s">
        <v>404</v>
      </c>
      <c r="G760" s="16" t="s">
        <v>405</v>
      </c>
      <c r="H760" s="16" t="s">
        <v>406</v>
      </c>
      <c r="I760" s="16" t="s">
        <v>105</v>
      </c>
      <c r="J760" s="16" t="s">
        <v>368</v>
      </c>
      <c r="K760" s="16"/>
      <c r="L760" s="16" t="s">
        <v>105</v>
      </c>
      <c r="M760" s="16" t="s">
        <v>368</v>
      </c>
      <c r="N760" s="16" t="s">
        <v>271</v>
      </c>
      <c r="O760" s="16" t="s">
        <v>94</v>
      </c>
      <c r="P760" s="16" t="s">
        <v>308</v>
      </c>
      <c r="Q760" s="16" t="s">
        <v>308</v>
      </c>
      <c r="R760" s="16" t="s">
        <v>309</v>
      </c>
      <c r="S760" s="16" t="s">
        <v>264</v>
      </c>
      <c r="T760" s="16" t="s">
        <v>1569</v>
      </c>
      <c r="U760" s="16" t="s">
        <v>73</v>
      </c>
      <c r="V760" s="16" t="n">
        <v>0.75</v>
      </c>
      <c r="W760" s="16" t="n">
        <v>0.65</v>
      </c>
      <c r="X760" s="22"/>
      <c r="Y760" s="16" t="n">
        <v>30000</v>
      </c>
      <c r="Z760" s="9" t="n">
        <v>30000</v>
      </c>
      <c r="AA760" s="16" t="n">
        <v>30000</v>
      </c>
      <c r="AB760" s="16" t="n">
        <v>30000</v>
      </c>
      <c r="AC760" s="16" t="n">
        <v>30000</v>
      </c>
      <c r="AD760" s="9" t="n">
        <v>30000</v>
      </c>
      <c r="AE760" s="16" t="n">
        <v>30000</v>
      </c>
      <c r="AF760" s="9" t="n">
        <v>30000</v>
      </c>
      <c r="AG760" s="16" t="n">
        <v>30000</v>
      </c>
      <c r="AH760" s="9" t="n">
        <v>30000</v>
      </c>
      <c r="AI760" s="9" t="n">
        <v>30000</v>
      </c>
      <c r="AJ760" s="9" t="n">
        <f aca="false">X760*$V760</f>
        <v>0</v>
      </c>
      <c r="AK760" s="9" t="n">
        <f aca="false">Y760*$V760</f>
        <v>22500</v>
      </c>
      <c r="AL760" s="9" t="n">
        <f aca="false">Z760*$V760</f>
        <v>22500</v>
      </c>
      <c r="AM760" s="9" t="n">
        <f aca="false">AA760*$V760</f>
        <v>22500</v>
      </c>
      <c r="AN760" s="9" t="n">
        <f aca="false">AB760*$V760</f>
        <v>22500</v>
      </c>
      <c r="AO760" s="9" t="n">
        <f aca="false">AC760*$V760</f>
        <v>22500</v>
      </c>
      <c r="AP760" s="9" t="n">
        <f aca="false">AD760*$V760</f>
        <v>22500</v>
      </c>
      <c r="AQ760" s="9" t="n">
        <f aca="false">AE760*$V760</f>
        <v>22500</v>
      </c>
      <c r="AR760" s="9" t="n">
        <f aca="false">AF760*$V760</f>
        <v>22500</v>
      </c>
      <c r="AS760" s="9" t="n">
        <f aca="false">AG760*$V760</f>
        <v>22500</v>
      </c>
      <c r="AT760" s="9" t="n">
        <f aca="false">AH760*$V760</f>
        <v>22500</v>
      </c>
      <c r="AU760" s="9" t="n">
        <f aca="false">AI760*$V760</f>
        <v>22500</v>
      </c>
      <c r="AV760" s="9" t="n">
        <f aca="false">SUM(X760:AI760)/1000</f>
        <v>330</v>
      </c>
      <c r="AW760" s="9" t="n">
        <f aca="false">SUM(AJ760:AU760)</f>
        <v>247500</v>
      </c>
      <c r="AX760" s="9" t="n">
        <f aca="false">IF(D760="INR",AW760/88.24,AW760)/1000000</f>
        <v>0.00280485040797824</v>
      </c>
    </row>
    <row r="761" s="2" customFormat="true" ht="14.25" hidden="false" customHeight="false" outlineLevel="0" collapsed="false">
      <c r="A761" s="9"/>
      <c r="B761" s="9" t="n">
        <v>1</v>
      </c>
      <c r="C761" s="10"/>
      <c r="D761" s="16" t="s">
        <v>102</v>
      </c>
      <c r="E761" s="16" t="s">
        <v>51</v>
      </c>
      <c r="F761" s="16" t="s">
        <v>52</v>
      </c>
      <c r="G761" s="16" t="s">
        <v>506</v>
      </c>
      <c r="H761" s="9" t="s">
        <v>507</v>
      </c>
      <c r="I761" s="16"/>
      <c r="J761" s="16"/>
      <c r="K761" s="9"/>
      <c r="L761" s="16" t="s">
        <v>77</v>
      </c>
      <c r="M761" s="16" t="s">
        <v>325</v>
      </c>
      <c r="N761" s="16" t="s">
        <v>79</v>
      </c>
      <c r="O761" s="16" t="s">
        <v>58</v>
      </c>
      <c r="P761" s="9"/>
      <c r="Q761" s="9" t="s">
        <v>85</v>
      </c>
      <c r="R761" s="9"/>
      <c r="S761" s="9"/>
      <c r="T761" s="24" t="s">
        <v>1570</v>
      </c>
      <c r="U761" s="16" t="s">
        <v>73</v>
      </c>
      <c r="V761" s="25" t="n">
        <v>0.07</v>
      </c>
      <c r="W761" s="25"/>
      <c r="X761" s="22" t="n">
        <v>650000</v>
      </c>
      <c r="Y761" s="9" t="n">
        <v>650000</v>
      </c>
      <c r="Z761" s="9" t="n">
        <v>650000</v>
      </c>
      <c r="AA761" s="9" t="n">
        <v>650000</v>
      </c>
      <c r="AB761" s="9" t="n">
        <v>650000</v>
      </c>
      <c r="AC761" s="9" t="n">
        <v>650000</v>
      </c>
      <c r="AD761" s="9" t="n">
        <v>650000</v>
      </c>
      <c r="AE761" s="9" t="n">
        <v>650000</v>
      </c>
      <c r="AF761" s="9" t="n">
        <v>650000</v>
      </c>
      <c r="AG761" s="9" t="n">
        <v>650000</v>
      </c>
      <c r="AH761" s="9" t="n">
        <v>650000</v>
      </c>
      <c r="AI761" s="9" t="n">
        <v>650000</v>
      </c>
      <c r="AJ761" s="9" t="n">
        <f aca="false">X761*$V761</f>
        <v>45500</v>
      </c>
      <c r="AK761" s="9" t="n">
        <f aca="false">Y761*$V761</f>
        <v>45500</v>
      </c>
      <c r="AL761" s="9" t="n">
        <f aca="false">Z761*$V761</f>
        <v>45500</v>
      </c>
      <c r="AM761" s="9" t="n">
        <f aca="false">AA761*$V761</f>
        <v>45500</v>
      </c>
      <c r="AN761" s="9" t="n">
        <f aca="false">AB761*$V761</f>
        <v>45500</v>
      </c>
      <c r="AO761" s="9" t="n">
        <f aca="false">AC761*$V761</f>
        <v>45500</v>
      </c>
      <c r="AP761" s="9" t="n">
        <f aca="false">AD761*$V761</f>
        <v>45500</v>
      </c>
      <c r="AQ761" s="9" t="n">
        <f aca="false">AE761*$V761</f>
        <v>45500</v>
      </c>
      <c r="AR761" s="9" t="n">
        <f aca="false">AF761*$V761</f>
        <v>45500</v>
      </c>
      <c r="AS761" s="9" t="n">
        <f aca="false">AG761*$V761</f>
        <v>45500</v>
      </c>
      <c r="AT761" s="9" t="n">
        <f aca="false">AH761*$V761</f>
        <v>45500</v>
      </c>
      <c r="AU761" s="9" t="n">
        <f aca="false">AI761*$V761</f>
        <v>45500</v>
      </c>
      <c r="AV761" s="9" t="n">
        <f aca="false">SUM(X761:AI761)/1000</f>
        <v>7800</v>
      </c>
      <c r="AW761" s="9" t="n">
        <f aca="false">SUM(AJ761:AU761)</f>
        <v>546000</v>
      </c>
      <c r="AX761" s="9" t="n">
        <f aca="false">IF(D761="INR",AW761/88.24,AW761)/1000000</f>
        <v>0.546</v>
      </c>
    </row>
    <row r="762" s="2" customFormat="true" ht="14.25" hidden="false" customHeight="false" outlineLevel="0" collapsed="false">
      <c r="A762" s="9"/>
      <c r="B762" s="9" t="n">
        <v>1</v>
      </c>
      <c r="C762" s="15"/>
      <c r="D762" s="16" t="s">
        <v>102</v>
      </c>
      <c r="E762" s="16" t="s">
        <v>51</v>
      </c>
      <c r="F762" s="16" t="s">
        <v>52</v>
      </c>
      <c r="G762" s="16" t="s">
        <v>506</v>
      </c>
      <c r="H762" s="9" t="s">
        <v>507</v>
      </c>
      <c r="I762" s="16"/>
      <c r="J762" s="16"/>
      <c r="K762" s="9"/>
      <c r="L762" s="16" t="s">
        <v>77</v>
      </c>
      <c r="M762" s="16" t="s">
        <v>325</v>
      </c>
      <c r="N762" s="16" t="s">
        <v>79</v>
      </c>
      <c r="O762" s="16" t="s">
        <v>58</v>
      </c>
      <c r="P762" s="9"/>
      <c r="Q762" s="9" t="s">
        <v>308</v>
      </c>
      <c r="R762" s="9"/>
      <c r="S762" s="9"/>
      <c r="T762" s="9" t="s">
        <v>1571</v>
      </c>
      <c r="U762" s="16" t="s">
        <v>73</v>
      </c>
      <c r="V762" s="36" t="n">
        <v>0.047</v>
      </c>
      <c r="W762" s="9"/>
      <c r="X762" s="22" t="n">
        <v>190000</v>
      </c>
      <c r="Y762" s="9" t="n">
        <v>190000</v>
      </c>
      <c r="Z762" s="9" t="n">
        <v>190000</v>
      </c>
      <c r="AA762" s="9" t="n">
        <v>190000</v>
      </c>
      <c r="AB762" s="9" t="n">
        <v>190000</v>
      </c>
      <c r="AC762" s="9" t="n">
        <v>190000</v>
      </c>
      <c r="AD762" s="9" t="n">
        <v>190000</v>
      </c>
      <c r="AE762" s="9" t="n">
        <v>190000</v>
      </c>
      <c r="AF762" s="9" t="n">
        <v>190000</v>
      </c>
      <c r="AG762" s="9" t="n">
        <v>190000</v>
      </c>
      <c r="AH762" s="9" t="n">
        <v>190000</v>
      </c>
      <c r="AI762" s="9" t="n">
        <v>190000</v>
      </c>
      <c r="AJ762" s="9" t="n">
        <f aca="false">X762*$V762</f>
        <v>8930</v>
      </c>
      <c r="AK762" s="9" t="n">
        <f aca="false">Y762*$V762</f>
        <v>8930</v>
      </c>
      <c r="AL762" s="9" t="n">
        <f aca="false">Z762*$V762</f>
        <v>8930</v>
      </c>
      <c r="AM762" s="9" t="n">
        <f aca="false">AA762*$V762</f>
        <v>8930</v>
      </c>
      <c r="AN762" s="9" t="n">
        <f aca="false">AB762*$V762</f>
        <v>8930</v>
      </c>
      <c r="AO762" s="9" t="n">
        <f aca="false">AC762*$V762</f>
        <v>8930</v>
      </c>
      <c r="AP762" s="9" t="n">
        <f aca="false">AD762*$V762</f>
        <v>8930</v>
      </c>
      <c r="AQ762" s="9" t="n">
        <f aca="false">AE762*$V762</f>
        <v>8930</v>
      </c>
      <c r="AR762" s="9" t="n">
        <f aca="false">AF762*$V762</f>
        <v>8930</v>
      </c>
      <c r="AS762" s="9" t="n">
        <f aca="false">AG762*$V762</f>
        <v>8930</v>
      </c>
      <c r="AT762" s="9" t="n">
        <f aca="false">AH762*$V762</f>
        <v>8930</v>
      </c>
      <c r="AU762" s="9" t="n">
        <f aca="false">AI762*$V762</f>
        <v>8930</v>
      </c>
      <c r="AV762" s="9" t="n">
        <f aca="false">SUM(X762:AI762)/1000</f>
        <v>2280</v>
      </c>
      <c r="AW762" s="9" t="n">
        <f aca="false">SUM(AJ762:AU762)</f>
        <v>107160</v>
      </c>
      <c r="AX762" s="9" t="n">
        <f aca="false">IF(D762="INR",AW762/88.24,AW762)/1000000</f>
        <v>0.10716</v>
      </c>
    </row>
    <row r="763" s="2" customFormat="true" ht="14.25" hidden="false" customHeight="false" outlineLevel="0" collapsed="false">
      <c r="A763" s="12"/>
      <c r="B763" s="16" t="n">
        <v>1</v>
      </c>
      <c r="C763" s="15"/>
      <c r="D763" s="16" t="s">
        <v>50</v>
      </c>
      <c r="E763" s="16" t="s">
        <v>51</v>
      </c>
      <c r="F763" s="16" t="s">
        <v>52</v>
      </c>
      <c r="G763" s="16" t="s">
        <v>947</v>
      </c>
      <c r="H763" s="16" t="s">
        <v>948</v>
      </c>
      <c r="I763" s="16"/>
      <c r="J763" s="16"/>
      <c r="K763" s="16"/>
      <c r="L763" s="16"/>
      <c r="M763" s="16"/>
      <c r="N763" s="16" t="s">
        <v>79</v>
      </c>
      <c r="O763" s="16" t="s">
        <v>94</v>
      </c>
      <c r="P763" s="16"/>
      <c r="Q763" s="16" t="s">
        <v>308</v>
      </c>
      <c r="R763" s="16"/>
      <c r="S763" s="16"/>
      <c r="T763" s="16" t="s">
        <v>1572</v>
      </c>
      <c r="U763" s="16" t="s">
        <v>73</v>
      </c>
      <c r="V763" s="16" t="n">
        <v>2.42</v>
      </c>
      <c r="W763" s="16"/>
      <c r="X763" s="16"/>
      <c r="Y763" s="16"/>
      <c r="Z763" s="16" t="n">
        <v>9000</v>
      </c>
      <c r="AA763" s="16"/>
      <c r="AB763" s="16" t="n">
        <v>9000</v>
      </c>
      <c r="AC763" s="16"/>
      <c r="AD763" s="16"/>
      <c r="AE763" s="16" t="n">
        <v>9000</v>
      </c>
      <c r="AF763" s="16"/>
      <c r="AG763" s="16"/>
      <c r="AH763" s="16" t="n">
        <v>9000</v>
      </c>
      <c r="AI763" s="16"/>
      <c r="AJ763" s="9" t="n">
        <f aca="false">X763*$V763</f>
        <v>0</v>
      </c>
      <c r="AK763" s="9" t="n">
        <f aca="false">Y763*$V763</f>
        <v>0</v>
      </c>
      <c r="AL763" s="9" t="n">
        <f aca="false">Z763*$V763</f>
        <v>21780</v>
      </c>
      <c r="AM763" s="9" t="n">
        <f aca="false">AA763*$V763</f>
        <v>0</v>
      </c>
      <c r="AN763" s="9" t="n">
        <f aca="false">AB763*$V763</f>
        <v>21780</v>
      </c>
      <c r="AO763" s="9" t="n">
        <f aca="false">AC763*$V763</f>
        <v>0</v>
      </c>
      <c r="AP763" s="9" t="n">
        <f aca="false">AD763*$V763</f>
        <v>0</v>
      </c>
      <c r="AQ763" s="9" t="n">
        <f aca="false">AE763*$V763</f>
        <v>21780</v>
      </c>
      <c r="AR763" s="9" t="n">
        <f aca="false">AF763*$V763</f>
        <v>0</v>
      </c>
      <c r="AS763" s="9" t="n">
        <f aca="false">AG763*$V763</f>
        <v>0</v>
      </c>
      <c r="AT763" s="9" t="n">
        <f aca="false">AH763*$V763</f>
        <v>21780</v>
      </c>
      <c r="AU763" s="9" t="n">
        <f aca="false">AI763*$V763</f>
        <v>0</v>
      </c>
      <c r="AV763" s="9" t="n">
        <f aca="false">SUM(X763:AI763)/1000</f>
        <v>36</v>
      </c>
      <c r="AW763" s="9" t="n">
        <f aca="false">SUM(AJ763:AU763)</f>
        <v>87120</v>
      </c>
      <c r="AX763" s="9" t="n">
        <f aca="false">IF(D763="INR",AW763/88.24,AW763)/1000000</f>
        <v>0.000987307343608341</v>
      </c>
    </row>
    <row r="764" s="2" customFormat="true" ht="16.4" hidden="false" customHeight="false" outlineLevel="0" collapsed="false">
      <c r="A764" s="9" t="s">
        <v>1573</v>
      </c>
      <c r="B764" s="9" t="n">
        <v>5</v>
      </c>
      <c r="C764" s="10"/>
      <c r="D764" s="16" t="s">
        <v>102</v>
      </c>
      <c r="E764" s="16" t="s">
        <v>51</v>
      </c>
      <c r="F764" s="16" t="s">
        <v>52</v>
      </c>
      <c r="G764" s="16" t="s">
        <v>506</v>
      </c>
      <c r="H764" s="16" t="s">
        <v>507</v>
      </c>
      <c r="I764" s="16" t="s">
        <v>260</v>
      </c>
      <c r="J764" s="16" t="s">
        <v>1381</v>
      </c>
      <c r="K764" s="16"/>
      <c r="L764" s="16" t="s">
        <v>260</v>
      </c>
      <c r="M764" s="16" t="s">
        <v>1381</v>
      </c>
      <c r="N764" s="16" t="s">
        <v>79</v>
      </c>
      <c r="O764" s="16" t="s">
        <v>68</v>
      </c>
      <c r="P764" s="16" t="s">
        <v>199</v>
      </c>
      <c r="Q764" s="16" t="s">
        <v>199</v>
      </c>
      <c r="R764" s="16" t="s">
        <v>377</v>
      </c>
      <c r="S764" s="16" t="s">
        <v>528</v>
      </c>
      <c r="T764" s="16" t="s">
        <v>1574</v>
      </c>
      <c r="U764" s="16" t="s">
        <v>73</v>
      </c>
      <c r="V764" s="16" t="n">
        <v>0.0075</v>
      </c>
      <c r="W764" s="22" t="n">
        <v>0.00631</v>
      </c>
      <c r="X764" s="22" t="n">
        <v>72000</v>
      </c>
      <c r="Y764" s="22" t="n">
        <v>72000</v>
      </c>
      <c r="Z764" s="22" t="n">
        <v>72000</v>
      </c>
      <c r="AA764" s="22" t="n">
        <v>72000</v>
      </c>
      <c r="AB764" s="22" t="n">
        <v>72000</v>
      </c>
      <c r="AC764" s="22" t="n">
        <v>72000</v>
      </c>
      <c r="AD764" s="22" t="n">
        <v>72000</v>
      </c>
      <c r="AE764" s="22" t="n">
        <v>72000</v>
      </c>
      <c r="AF764" s="22" t="n">
        <v>72000</v>
      </c>
      <c r="AG764" s="22" t="n">
        <v>72000</v>
      </c>
      <c r="AH764" s="22" t="n">
        <v>72000</v>
      </c>
      <c r="AI764" s="22" t="n">
        <v>72000</v>
      </c>
      <c r="AJ764" s="9" t="n">
        <f aca="false">X764*$V764</f>
        <v>540</v>
      </c>
      <c r="AK764" s="9" t="n">
        <f aca="false">Y764*$V764</f>
        <v>540</v>
      </c>
      <c r="AL764" s="9" t="n">
        <f aca="false">Z764*$V764</f>
        <v>540</v>
      </c>
      <c r="AM764" s="9" t="n">
        <f aca="false">AA764*$V764</f>
        <v>540</v>
      </c>
      <c r="AN764" s="9" t="n">
        <f aca="false">AB764*$V764</f>
        <v>540</v>
      </c>
      <c r="AO764" s="9" t="n">
        <f aca="false">AC764*$V764</f>
        <v>540</v>
      </c>
      <c r="AP764" s="9" t="n">
        <f aca="false">AD764*$V764</f>
        <v>540</v>
      </c>
      <c r="AQ764" s="9" t="n">
        <f aca="false">AE764*$V764</f>
        <v>540</v>
      </c>
      <c r="AR764" s="9" t="n">
        <f aca="false">AF764*$V764</f>
        <v>540</v>
      </c>
      <c r="AS764" s="9" t="n">
        <f aca="false">AG764*$V764</f>
        <v>540</v>
      </c>
      <c r="AT764" s="9" t="n">
        <f aca="false">AH764*$V764</f>
        <v>540</v>
      </c>
      <c r="AU764" s="9" t="n">
        <f aca="false">AI764*$V764</f>
        <v>540</v>
      </c>
      <c r="AV764" s="9" t="n">
        <f aca="false">SUM(X764:AI764)/1000</f>
        <v>864</v>
      </c>
      <c r="AW764" s="9" t="n">
        <f aca="false">SUM(AJ764:AU764)</f>
        <v>6480</v>
      </c>
      <c r="AX764" s="9" t="n">
        <f aca="false">IF(D764="INR",AW764/88.24,AW764)/1000000</f>
        <v>0.00648</v>
      </c>
    </row>
    <row r="765" s="2" customFormat="true" ht="16.4" hidden="false" customHeight="false" outlineLevel="0" collapsed="false">
      <c r="A765" s="9" t="s">
        <v>1575</v>
      </c>
      <c r="B765" s="9" t="n">
        <v>5</v>
      </c>
      <c r="C765" s="10"/>
      <c r="D765" s="16" t="s">
        <v>50</v>
      </c>
      <c r="E765" s="16" t="s">
        <v>51</v>
      </c>
      <c r="F765" s="16" t="s">
        <v>243</v>
      </c>
      <c r="G765" s="16" t="s">
        <v>470</v>
      </c>
      <c r="H765" s="16" t="s">
        <v>471</v>
      </c>
      <c r="I765" s="16" t="s">
        <v>55</v>
      </c>
      <c r="J765" s="16" t="s">
        <v>100</v>
      </c>
      <c r="K765" s="16"/>
      <c r="L765" s="16" t="s">
        <v>55</v>
      </c>
      <c r="M765" s="16" t="s">
        <v>100</v>
      </c>
      <c r="N765" s="16" t="s">
        <v>93</v>
      </c>
      <c r="O765" s="16" t="s">
        <v>246</v>
      </c>
      <c r="P765" s="9" t="s">
        <v>308</v>
      </c>
      <c r="Q765" s="9" t="s">
        <v>308</v>
      </c>
      <c r="R765" s="9" t="s">
        <v>309</v>
      </c>
      <c r="S765" s="9" t="s">
        <v>264</v>
      </c>
      <c r="T765" s="9" t="s">
        <v>1576</v>
      </c>
      <c r="U765" s="9" t="s">
        <v>73</v>
      </c>
      <c r="V765" s="36" t="n">
        <v>2.89</v>
      </c>
      <c r="W765" s="9" t="n">
        <v>2.45</v>
      </c>
      <c r="X765" s="22" t="n">
        <v>7500</v>
      </c>
      <c r="Y765" s="9" t="n">
        <v>7500</v>
      </c>
      <c r="Z765" s="9" t="n">
        <v>7500</v>
      </c>
      <c r="AA765" s="9" t="n">
        <v>7500</v>
      </c>
      <c r="AB765" s="9" t="n">
        <v>7500</v>
      </c>
      <c r="AC765" s="9" t="n">
        <v>7500</v>
      </c>
      <c r="AD765" s="9" t="n">
        <v>7500</v>
      </c>
      <c r="AE765" s="9" t="n">
        <v>7500</v>
      </c>
      <c r="AF765" s="9" t="n">
        <v>10000</v>
      </c>
      <c r="AG765" s="9" t="n">
        <v>10000</v>
      </c>
      <c r="AH765" s="9" t="n">
        <v>10000</v>
      </c>
      <c r="AI765" s="9" t="n">
        <v>10000</v>
      </c>
      <c r="AJ765" s="9" t="n">
        <f aca="false">X765*$V765</f>
        <v>21675</v>
      </c>
      <c r="AK765" s="9" t="n">
        <f aca="false">Y765*$V765</f>
        <v>21675</v>
      </c>
      <c r="AL765" s="9" t="n">
        <f aca="false">Z765*$V765</f>
        <v>21675</v>
      </c>
      <c r="AM765" s="9" t="n">
        <f aca="false">AA765*$V765</f>
        <v>21675</v>
      </c>
      <c r="AN765" s="9" t="n">
        <f aca="false">AB765*$V765</f>
        <v>21675</v>
      </c>
      <c r="AO765" s="9" t="n">
        <f aca="false">AC765*$V765</f>
        <v>21675</v>
      </c>
      <c r="AP765" s="9" t="n">
        <f aca="false">AD765*$V765</f>
        <v>21675</v>
      </c>
      <c r="AQ765" s="9" t="n">
        <f aca="false">AE765*$V765</f>
        <v>21675</v>
      </c>
      <c r="AR765" s="9" t="n">
        <f aca="false">AF765*$V765</f>
        <v>28900</v>
      </c>
      <c r="AS765" s="9" t="n">
        <f aca="false">AG765*$V765</f>
        <v>28900</v>
      </c>
      <c r="AT765" s="9" t="n">
        <f aca="false">AH765*$V765</f>
        <v>28900</v>
      </c>
      <c r="AU765" s="9" t="n">
        <f aca="false">AI765*$V765</f>
        <v>28900</v>
      </c>
      <c r="AV765" s="9" t="n">
        <f aca="false">SUM(X765:AI765)/1000</f>
        <v>100</v>
      </c>
      <c r="AW765" s="9" t="n">
        <f aca="false">SUM(AJ765:AU765)</f>
        <v>289000</v>
      </c>
      <c r="AX765" s="9" t="n">
        <f aca="false">IF(D765="INR",AW765/88.24,AW765)/1000000</f>
        <v>0.0032751586582049</v>
      </c>
    </row>
    <row r="766" s="2" customFormat="true" ht="16.4" hidden="false" customHeight="false" outlineLevel="0" collapsed="false">
      <c r="A766" s="9" t="s">
        <v>1577</v>
      </c>
      <c r="B766" s="13" t="n">
        <v>5</v>
      </c>
      <c r="C766" s="15"/>
      <c r="D766" s="16" t="s">
        <v>102</v>
      </c>
      <c r="E766" s="16" t="s">
        <v>51</v>
      </c>
      <c r="F766" s="16" t="s">
        <v>52</v>
      </c>
      <c r="G766" s="16" t="s">
        <v>506</v>
      </c>
      <c r="H766" s="16" t="s">
        <v>507</v>
      </c>
      <c r="I766" s="16" t="s">
        <v>260</v>
      </c>
      <c r="J766" s="16" t="s">
        <v>1381</v>
      </c>
      <c r="K766" s="16" t="s">
        <v>507</v>
      </c>
      <c r="L766" s="16" t="s">
        <v>260</v>
      </c>
      <c r="M766" s="16" t="s">
        <v>1381</v>
      </c>
      <c r="N766" s="16" t="s">
        <v>79</v>
      </c>
      <c r="O766" s="16" t="s">
        <v>68</v>
      </c>
      <c r="P766" s="9" t="s">
        <v>348</v>
      </c>
      <c r="Q766" s="9" t="s">
        <v>348</v>
      </c>
      <c r="R766" s="16" t="s">
        <v>800</v>
      </c>
      <c r="S766" s="16" t="s">
        <v>87</v>
      </c>
      <c r="T766" s="9" t="s">
        <v>1578</v>
      </c>
      <c r="U766" s="16" t="s">
        <v>73</v>
      </c>
      <c r="V766" s="36" t="n">
        <v>0.047</v>
      </c>
      <c r="W766" s="9" t="n">
        <v>0.03882</v>
      </c>
      <c r="X766" s="22" t="n">
        <v>40000</v>
      </c>
      <c r="Y766" s="9" t="n">
        <v>40000</v>
      </c>
      <c r="Z766" s="9" t="n">
        <v>40000</v>
      </c>
      <c r="AA766" s="9" t="n">
        <v>40000</v>
      </c>
      <c r="AB766" s="9" t="n">
        <v>40000</v>
      </c>
      <c r="AC766" s="9" t="n">
        <v>40000</v>
      </c>
      <c r="AD766" s="9" t="n">
        <v>40000</v>
      </c>
      <c r="AE766" s="9" t="n">
        <v>40000</v>
      </c>
      <c r="AF766" s="9" t="n">
        <v>40000</v>
      </c>
      <c r="AG766" s="9" t="n">
        <v>40000</v>
      </c>
      <c r="AH766" s="9" t="n">
        <v>40000</v>
      </c>
      <c r="AI766" s="9" t="n">
        <v>40000</v>
      </c>
      <c r="AJ766" s="9" t="n">
        <f aca="false">X766*$V766</f>
        <v>1880</v>
      </c>
      <c r="AK766" s="9" t="n">
        <f aca="false">Y766*$V766</f>
        <v>1880</v>
      </c>
      <c r="AL766" s="9" t="n">
        <f aca="false">Z766*$V766</f>
        <v>1880</v>
      </c>
      <c r="AM766" s="9" t="n">
        <f aca="false">AA766*$V766</f>
        <v>1880</v>
      </c>
      <c r="AN766" s="9" t="n">
        <f aca="false">AB766*$V766</f>
        <v>1880</v>
      </c>
      <c r="AO766" s="9" t="n">
        <f aca="false">AC766*$V766</f>
        <v>1880</v>
      </c>
      <c r="AP766" s="9" t="n">
        <f aca="false">AD766*$V766</f>
        <v>1880</v>
      </c>
      <c r="AQ766" s="9" t="n">
        <f aca="false">AE766*$V766</f>
        <v>1880</v>
      </c>
      <c r="AR766" s="9" t="n">
        <f aca="false">AF766*$V766</f>
        <v>1880</v>
      </c>
      <c r="AS766" s="9" t="n">
        <f aca="false">AG766*$V766</f>
        <v>1880</v>
      </c>
      <c r="AT766" s="9" t="n">
        <f aca="false">AH766*$V766</f>
        <v>1880</v>
      </c>
      <c r="AU766" s="9" t="n">
        <f aca="false">AI766*$V766</f>
        <v>1880</v>
      </c>
      <c r="AV766" s="9" t="n">
        <f aca="false">SUM(X766:AI766)/1000</f>
        <v>480</v>
      </c>
      <c r="AW766" s="9" t="n">
        <f aca="false">SUM(AJ766:AU766)</f>
        <v>22560</v>
      </c>
      <c r="AX766" s="9" t="n">
        <f aca="false">IF(D766="INR",AW766/88.24,AW766)/1000000</f>
        <v>0.02256</v>
      </c>
    </row>
    <row r="767" s="2" customFormat="true" ht="14.25" hidden="false" customHeight="false" outlineLevel="0" collapsed="false">
      <c r="A767" s="12" t="s">
        <v>1579</v>
      </c>
      <c r="B767" s="16" t="n">
        <v>5</v>
      </c>
      <c r="C767" s="15"/>
      <c r="D767" s="16" t="s">
        <v>50</v>
      </c>
      <c r="E767" s="16" t="s">
        <v>51</v>
      </c>
      <c r="F767" s="16" t="s">
        <v>52</v>
      </c>
      <c r="G767" s="16" t="s">
        <v>250</v>
      </c>
      <c r="H767" s="16" t="s">
        <v>251</v>
      </c>
      <c r="I767" s="16" t="s">
        <v>55</v>
      </c>
      <c r="J767" s="16" t="s">
        <v>100</v>
      </c>
      <c r="K767" s="16"/>
      <c r="L767" s="16" t="s">
        <v>55</v>
      </c>
      <c r="M767" s="16" t="s">
        <v>100</v>
      </c>
      <c r="N767" s="16" t="s">
        <v>93</v>
      </c>
      <c r="O767" s="16" t="s">
        <v>246</v>
      </c>
      <c r="P767" s="16" t="s">
        <v>308</v>
      </c>
      <c r="Q767" s="16" t="s">
        <v>308</v>
      </c>
      <c r="R767" s="16" t="s">
        <v>309</v>
      </c>
      <c r="S767" s="16"/>
      <c r="T767" s="16" t="s">
        <v>1580</v>
      </c>
      <c r="U767" s="16" t="s">
        <v>73</v>
      </c>
      <c r="V767" s="16" t="n">
        <v>0.43</v>
      </c>
      <c r="W767" s="16" t="n">
        <v>0.39</v>
      </c>
      <c r="X767" s="22" t="n">
        <v>50000</v>
      </c>
      <c r="Y767" s="16" t="n">
        <v>50000</v>
      </c>
      <c r="Z767" s="16" t="n">
        <v>50000</v>
      </c>
      <c r="AA767" s="16" t="n">
        <v>50000</v>
      </c>
      <c r="AB767" s="16" t="n">
        <v>50000</v>
      </c>
      <c r="AC767" s="16" t="n">
        <v>50000</v>
      </c>
      <c r="AD767" s="16" t="n">
        <v>50000</v>
      </c>
      <c r="AE767" s="16" t="n">
        <v>50000</v>
      </c>
      <c r="AF767" s="16" t="n">
        <v>50000</v>
      </c>
      <c r="AG767" s="16" t="n">
        <v>50000</v>
      </c>
      <c r="AH767" s="16" t="n">
        <v>50000</v>
      </c>
      <c r="AI767" s="16" t="n">
        <v>50000</v>
      </c>
      <c r="AJ767" s="9" t="n">
        <f aca="false">X767*$V767</f>
        <v>21500</v>
      </c>
      <c r="AK767" s="9" t="n">
        <f aca="false">Y767*$V767</f>
        <v>21500</v>
      </c>
      <c r="AL767" s="9" t="n">
        <f aca="false">Z767*$V767</f>
        <v>21500</v>
      </c>
      <c r="AM767" s="9" t="n">
        <f aca="false">AA767*$V767</f>
        <v>21500</v>
      </c>
      <c r="AN767" s="9" t="n">
        <f aca="false">AB767*$V767</f>
        <v>21500</v>
      </c>
      <c r="AO767" s="9" t="n">
        <f aca="false">AC767*$V767</f>
        <v>21500</v>
      </c>
      <c r="AP767" s="9" t="n">
        <f aca="false">AD767*$V767</f>
        <v>21500</v>
      </c>
      <c r="AQ767" s="9" t="n">
        <f aca="false">AE767*$V767</f>
        <v>21500</v>
      </c>
      <c r="AR767" s="9" t="n">
        <f aca="false">AF767*$V767</f>
        <v>21500</v>
      </c>
      <c r="AS767" s="9" t="n">
        <f aca="false">AG767*$V767</f>
        <v>21500</v>
      </c>
      <c r="AT767" s="9" t="n">
        <f aca="false">AH767*$V767</f>
        <v>21500</v>
      </c>
      <c r="AU767" s="9" t="n">
        <f aca="false">AI767*$V767</f>
        <v>21500</v>
      </c>
      <c r="AV767" s="9" t="n">
        <f aca="false">SUM(X767:AI767)/1000</f>
        <v>600</v>
      </c>
      <c r="AW767" s="9" t="n">
        <f aca="false">SUM(AJ767:AU767)</f>
        <v>258000</v>
      </c>
      <c r="AX767" s="9" t="n">
        <f aca="false">IF(D767="INR",AW767/88.24,AW767)/1000000</f>
        <v>0.00292384406165005</v>
      </c>
    </row>
    <row r="768" s="2" customFormat="true" ht="14.25" hidden="false" customHeight="false" outlineLevel="0" collapsed="false">
      <c r="A768" s="12" t="s">
        <v>1581</v>
      </c>
      <c r="B768" s="16" t="n">
        <v>5</v>
      </c>
      <c r="C768" s="15"/>
      <c r="D768" s="16" t="s">
        <v>102</v>
      </c>
      <c r="E768" s="16" t="s">
        <v>51</v>
      </c>
      <c r="F768" s="16" t="s">
        <v>52</v>
      </c>
      <c r="G768" s="16" t="s">
        <v>506</v>
      </c>
      <c r="H768" s="16" t="s">
        <v>507</v>
      </c>
      <c r="I768" s="16" t="s">
        <v>260</v>
      </c>
      <c r="J768" s="16" t="s">
        <v>1381</v>
      </c>
      <c r="K768" s="16"/>
      <c r="L768" s="16"/>
      <c r="M768" s="16"/>
      <c r="N768" s="16" t="s">
        <v>79</v>
      </c>
      <c r="O768" s="16" t="s">
        <v>68</v>
      </c>
      <c r="P768" s="16" t="str">
        <f aca="false">Q768</f>
        <v>NICHICON</v>
      </c>
      <c r="Q768" s="16" t="s">
        <v>85</v>
      </c>
      <c r="R768" s="16" t="s">
        <v>86</v>
      </c>
      <c r="S768" s="16" t="s">
        <v>87</v>
      </c>
      <c r="T768" s="16" t="s">
        <v>1582</v>
      </c>
      <c r="U768" s="16" t="s">
        <v>63</v>
      </c>
      <c r="V768" s="16" t="n">
        <v>0.0827</v>
      </c>
      <c r="W768" s="16" t="n">
        <v>0.08</v>
      </c>
      <c r="X768" s="16" t="n">
        <v>35000</v>
      </c>
      <c r="Y768" s="16" t="n">
        <v>35000</v>
      </c>
      <c r="Z768" s="16" t="n">
        <v>35000</v>
      </c>
      <c r="AA768" s="16" t="n">
        <v>35000</v>
      </c>
      <c r="AB768" s="16" t="n">
        <v>35000</v>
      </c>
      <c r="AC768" s="16" t="n">
        <v>35000</v>
      </c>
      <c r="AD768" s="16" t="n">
        <v>35000</v>
      </c>
      <c r="AE768" s="16" t="n">
        <v>35000</v>
      </c>
      <c r="AF768" s="16" t="n">
        <v>35000</v>
      </c>
      <c r="AG768" s="16" t="n">
        <v>35000</v>
      </c>
      <c r="AH768" s="16" t="n">
        <v>35000</v>
      </c>
      <c r="AI768" s="16" t="n">
        <v>35000</v>
      </c>
      <c r="AJ768" s="9" t="n">
        <f aca="false">X768*$V768</f>
        <v>2894.5</v>
      </c>
      <c r="AK768" s="9" t="n">
        <f aca="false">Y768*$V768</f>
        <v>2894.5</v>
      </c>
      <c r="AL768" s="9" t="n">
        <f aca="false">Z768*$V768</f>
        <v>2894.5</v>
      </c>
      <c r="AM768" s="9" t="n">
        <f aca="false">AA768*$V768</f>
        <v>2894.5</v>
      </c>
      <c r="AN768" s="9" t="n">
        <f aca="false">AB768*$V768</f>
        <v>2894.5</v>
      </c>
      <c r="AO768" s="9" t="n">
        <f aca="false">AC768*$V768</f>
        <v>2894.5</v>
      </c>
      <c r="AP768" s="9" t="n">
        <f aca="false">AD768*$V768</f>
        <v>2894.5</v>
      </c>
      <c r="AQ768" s="9" t="n">
        <f aca="false">AE768*$V768</f>
        <v>2894.5</v>
      </c>
      <c r="AR768" s="9" t="n">
        <f aca="false">AF768*$V768</f>
        <v>2894.5</v>
      </c>
      <c r="AS768" s="9" t="n">
        <f aca="false">AG768*$V768</f>
        <v>2894.5</v>
      </c>
      <c r="AT768" s="9" t="n">
        <f aca="false">AH768*$V768</f>
        <v>2894.5</v>
      </c>
      <c r="AU768" s="9" t="n">
        <f aca="false">AI768*$V768</f>
        <v>2894.5</v>
      </c>
      <c r="AV768" s="9" t="n">
        <f aca="false">SUM(X768:AI768)/1000</f>
        <v>420</v>
      </c>
      <c r="AW768" s="9" t="n">
        <f aca="false">SUM(AJ768:AU768)</f>
        <v>34734</v>
      </c>
      <c r="AX768" s="9" t="n">
        <f aca="false">IF(D768="INR",AW768/88.24,AW768)/1000000</f>
        <v>0.034734</v>
      </c>
    </row>
    <row r="769" s="2" customFormat="true" ht="16.4" hidden="false" customHeight="false" outlineLevel="0" collapsed="false">
      <c r="A769" s="9" t="s">
        <v>1583</v>
      </c>
      <c r="B769" s="9" t="n">
        <v>5</v>
      </c>
      <c r="C769" s="10"/>
      <c r="D769" s="9" t="s">
        <v>50</v>
      </c>
      <c r="E769" s="9" t="s">
        <v>51</v>
      </c>
      <c r="F769" s="9" t="s">
        <v>52</v>
      </c>
      <c r="G769" s="9" t="s">
        <v>388</v>
      </c>
      <c r="H769" s="9" t="s">
        <v>389</v>
      </c>
      <c r="I769" s="9" t="s">
        <v>260</v>
      </c>
      <c r="J769" s="9" t="s">
        <v>276</v>
      </c>
      <c r="K769" s="9"/>
      <c r="L769" s="9" t="s">
        <v>260</v>
      </c>
      <c r="M769" s="9" t="s">
        <v>276</v>
      </c>
      <c r="N769" s="9" t="s">
        <v>93</v>
      </c>
      <c r="O769" s="9" t="s">
        <v>58</v>
      </c>
      <c r="P769" s="9" t="s">
        <v>283</v>
      </c>
      <c r="Q769" s="9" t="s">
        <v>283</v>
      </c>
      <c r="R769" s="9" t="s">
        <v>81</v>
      </c>
      <c r="S769" s="9" t="s">
        <v>264</v>
      </c>
      <c r="T769" s="9" t="s">
        <v>1584</v>
      </c>
      <c r="U769" s="9" t="s">
        <v>73</v>
      </c>
      <c r="V769" s="9" t="n">
        <v>5.2</v>
      </c>
      <c r="W769" s="9" t="n">
        <v>4.2</v>
      </c>
      <c r="X769" s="9" t="n">
        <v>4000</v>
      </c>
      <c r="Y769" s="9"/>
      <c r="Z769" s="9" t="n">
        <v>4000</v>
      </c>
      <c r="AA769" s="9" t="n">
        <v>4000</v>
      </c>
      <c r="AB769" s="9"/>
      <c r="AC769" s="9" t="n">
        <v>4000</v>
      </c>
      <c r="AD769" s="9"/>
      <c r="AE769" s="9" t="n">
        <v>4000</v>
      </c>
      <c r="AF769" s="9"/>
      <c r="AG769" s="9"/>
      <c r="AH769" s="9"/>
      <c r="AI769" s="9"/>
      <c r="AJ769" s="9" t="n">
        <f aca="false">X769*$V769</f>
        <v>20800</v>
      </c>
      <c r="AK769" s="9" t="n">
        <f aca="false">Y769*$V769</f>
        <v>0</v>
      </c>
      <c r="AL769" s="9" t="n">
        <f aca="false">Z769*$V769</f>
        <v>20800</v>
      </c>
      <c r="AM769" s="9" t="n">
        <f aca="false">AA769*$V769</f>
        <v>20800</v>
      </c>
      <c r="AN769" s="9" t="n">
        <f aca="false">AB769*$V769</f>
        <v>0</v>
      </c>
      <c r="AO769" s="9" t="n">
        <f aca="false">AC769*$V769</f>
        <v>20800</v>
      </c>
      <c r="AP769" s="9" t="n">
        <f aca="false">AD769*$V769</f>
        <v>0</v>
      </c>
      <c r="AQ769" s="9" t="n">
        <f aca="false">AE769*$V769</f>
        <v>20800</v>
      </c>
      <c r="AR769" s="9" t="n">
        <f aca="false">AF769*$V769</f>
        <v>0</v>
      </c>
      <c r="AS769" s="9" t="n">
        <f aca="false">AG769*$V769</f>
        <v>0</v>
      </c>
      <c r="AT769" s="9" t="n">
        <f aca="false">AH769*$V769</f>
        <v>0</v>
      </c>
      <c r="AU769" s="9" t="n">
        <f aca="false">AI769*$V769</f>
        <v>0</v>
      </c>
      <c r="AV769" s="9" t="n">
        <f aca="false">SUM(X769:AI769)/1000</f>
        <v>20</v>
      </c>
      <c r="AW769" s="9" t="n">
        <f aca="false">SUM(AJ769:AU769)</f>
        <v>104000</v>
      </c>
      <c r="AX769" s="9" t="n">
        <f aca="false">IF(D769="INR",AW769/88.24,AW769)/1000000</f>
        <v>0.00117860380779692</v>
      </c>
    </row>
    <row r="770" s="2" customFormat="true" ht="14.25" hidden="false" customHeight="false" outlineLevel="0" collapsed="false">
      <c r="A770" s="12" t="s">
        <v>1585</v>
      </c>
      <c r="B770" s="16" t="n">
        <v>5</v>
      </c>
      <c r="C770" s="15"/>
      <c r="D770" s="16" t="s">
        <v>50</v>
      </c>
      <c r="E770" s="16" t="s">
        <v>51</v>
      </c>
      <c r="F770" s="16" t="s">
        <v>404</v>
      </c>
      <c r="G770" s="16" t="s">
        <v>1586</v>
      </c>
      <c r="H770" s="16" t="s">
        <v>1587</v>
      </c>
      <c r="I770" s="16" t="s">
        <v>105</v>
      </c>
      <c r="J770" s="16" t="s">
        <v>368</v>
      </c>
      <c r="K770" s="16"/>
      <c r="L770" s="16" t="s">
        <v>105</v>
      </c>
      <c r="M770" s="16" t="s">
        <v>368</v>
      </c>
      <c r="N770" s="16" t="s">
        <v>271</v>
      </c>
      <c r="O770" s="16" t="s">
        <v>94</v>
      </c>
      <c r="P770" s="16" t="s">
        <v>110</v>
      </c>
      <c r="Q770" s="16" t="s">
        <v>110</v>
      </c>
      <c r="R770" s="16" t="s">
        <v>137</v>
      </c>
      <c r="S770" s="16" t="s">
        <v>272</v>
      </c>
      <c r="T770" s="16" t="s">
        <v>757</v>
      </c>
      <c r="U770" s="16" t="s">
        <v>73</v>
      </c>
      <c r="V770" s="16" t="n">
        <v>41.08</v>
      </c>
      <c r="W770" s="16" t="n">
        <v>0.312</v>
      </c>
      <c r="X770" s="16" t="n">
        <v>500</v>
      </c>
      <c r="Y770" s="16"/>
      <c r="Z770" s="16" t="n">
        <v>500</v>
      </c>
      <c r="AA770" s="16"/>
      <c r="AB770" s="16" t="n">
        <v>500</v>
      </c>
      <c r="AC770" s="16"/>
      <c r="AD770" s="16" t="n">
        <v>500</v>
      </c>
      <c r="AE770" s="16"/>
      <c r="AF770" s="16"/>
      <c r="AG770" s="16" t="n">
        <v>500</v>
      </c>
      <c r="AH770" s="16"/>
      <c r="AI770" s="16" t="n">
        <v>500</v>
      </c>
      <c r="AJ770" s="9" t="n">
        <f aca="false">X770*$V770</f>
        <v>20540</v>
      </c>
      <c r="AK770" s="9" t="n">
        <f aca="false">Y770*$V770</f>
        <v>0</v>
      </c>
      <c r="AL770" s="9" t="n">
        <f aca="false">Z770*$V770</f>
        <v>20540</v>
      </c>
      <c r="AM770" s="9" t="n">
        <f aca="false">AA770*$V770</f>
        <v>0</v>
      </c>
      <c r="AN770" s="9" t="n">
        <f aca="false">AB770*$V770</f>
        <v>20540</v>
      </c>
      <c r="AO770" s="9" t="n">
        <f aca="false">AC770*$V770</f>
        <v>0</v>
      </c>
      <c r="AP770" s="9" t="n">
        <f aca="false">AD770*$V770</f>
        <v>20540</v>
      </c>
      <c r="AQ770" s="9" t="n">
        <f aca="false">AE770*$V770</f>
        <v>0</v>
      </c>
      <c r="AR770" s="9" t="n">
        <f aca="false">AF770*$V770</f>
        <v>0</v>
      </c>
      <c r="AS770" s="9" t="n">
        <f aca="false">AG770*$V770</f>
        <v>20540</v>
      </c>
      <c r="AT770" s="9" t="n">
        <f aca="false">AH770*$V770</f>
        <v>0</v>
      </c>
      <c r="AU770" s="9" t="n">
        <f aca="false">AI770*$V770</f>
        <v>20540</v>
      </c>
      <c r="AV770" s="9" t="n">
        <f aca="false">SUM(X770:AI770)/1000</f>
        <v>3</v>
      </c>
      <c r="AW770" s="9" t="n">
        <f aca="false">SUM(AJ770:AU770)</f>
        <v>123240</v>
      </c>
      <c r="AX770" s="9" t="n">
        <f aca="false">IF(D770="INR",AW770/88.24,AW770)/1000000</f>
        <v>0.00139664551223935</v>
      </c>
    </row>
    <row r="771" s="2" customFormat="true" ht="14.25" hidden="false" customHeight="false" outlineLevel="0" collapsed="false">
      <c r="A771" s="12" t="s">
        <v>1588</v>
      </c>
      <c r="B771" s="16" t="n">
        <v>5</v>
      </c>
      <c r="C771" s="15"/>
      <c r="D771" s="16" t="s">
        <v>102</v>
      </c>
      <c r="E771" s="16" t="s">
        <v>51</v>
      </c>
      <c r="F771" s="16" t="s">
        <v>52</v>
      </c>
      <c r="G771" s="16" t="s">
        <v>506</v>
      </c>
      <c r="H771" s="16" t="s">
        <v>507</v>
      </c>
      <c r="I771" s="16" t="s">
        <v>260</v>
      </c>
      <c r="J771" s="16" t="s">
        <v>1381</v>
      </c>
      <c r="K771" s="16"/>
      <c r="L771" s="16" t="s">
        <v>260</v>
      </c>
      <c r="M771" s="16" t="s">
        <v>1381</v>
      </c>
      <c r="N771" s="16" t="s">
        <v>79</v>
      </c>
      <c r="O771" s="16" t="s">
        <v>68</v>
      </c>
      <c r="P771" s="16" t="s">
        <v>85</v>
      </c>
      <c r="Q771" s="16" t="s">
        <v>85</v>
      </c>
      <c r="R771" s="16" t="s">
        <v>86</v>
      </c>
      <c r="S771" s="16" t="s">
        <v>87</v>
      </c>
      <c r="T771" s="16" t="s">
        <v>1589</v>
      </c>
      <c r="U771" s="16" t="s">
        <v>73</v>
      </c>
      <c r="V771" s="26" t="n">
        <v>0.093</v>
      </c>
      <c r="W771" s="16" t="n">
        <v>0.0801</v>
      </c>
      <c r="X771" s="16" t="n">
        <v>30000</v>
      </c>
      <c r="Y771" s="16" t="n">
        <v>30000</v>
      </c>
      <c r="Z771" s="16" t="n">
        <v>30000</v>
      </c>
      <c r="AA771" s="16" t="n">
        <v>30000</v>
      </c>
      <c r="AB771" s="16" t="n">
        <v>30000</v>
      </c>
      <c r="AC771" s="16" t="n">
        <v>30000</v>
      </c>
      <c r="AD771" s="16" t="n">
        <v>30000</v>
      </c>
      <c r="AE771" s="16" t="n">
        <v>30000</v>
      </c>
      <c r="AF771" s="16" t="n">
        <v>30000</v>
      </c>
      <c r="AG771" s="16" t="n">
        <v>30000</v>
      </c>
      <c r="AH771" s="16" t="n">
        <v>30000</v>
      </c>
      <c r="AI771" s="16" t="n">
        <v>30000</v>
      </c>
      <c r="AJ771" s="9" t="n">
        <f aca="false">X771*$V771</f>
        <v>2790</v>
      </c>
      <c r="AK771" s="9" t="n">
        <f aca="false">Y771*$V771</f>
        <v>2790</v>
      </c>
      <c r="AL771" s="9" t="n">
        <f aca="false">Z771*$V771</f>
        <v>2790</v>
      </c>
      <c r="AM771" s="9" t="n">
        <f aca="false">AA771*$V771</f>
        <v>2790</v>
      </c>
      <c r="AN771" s="9" t="n">
        <f aca="false">AB771*$V771</f>
        <v>2790</v>
      </c>
      <c r="AO771" s="9" t="n">
        <f aca="false">AC771*$V771</f>
        <v>2790</v>
      </c>
      <c r="AP771" s="9" t="n">
        <f aca="false">AD771*$V771</f>
        <v>2790</v>
      </c>
      <c r="AQ771" s="9" t="n">
        <f aca="false">AE771*$V771</f>
        <v>2790</v>
      </c>
      <c r="AR771" s="9" t="n">
        <f aca="false">AF771*$V771</f>
        <v>2790</v>
      </c>
      <c r="AS771" s="9" t="n">
        <f aca="false">AG771*$V771</f>
        <v>2790</v>
      </c>
      <c r="AT771" s="9" t="n">
        <f aca="false">AH771*$V771</f>
        <v>2790</v>
      </c>
      <c r="AU771" s="9" t="n">
        <f aca="false">AI771*$V771</f>
        <v>2790</v>
      </c>
      <c r="AV771" s="9" t="n">
        <f aca="false">SUM(X771:AI771)/1000</f>
        <v>360</v>
      </c>
      <c r="AW771" s="9" t="n">
        <f aca="false">SUM(AJ771:AU771)</f>
        <v>33480</v>
      </c>
      <c r="AX771" s="9" t="n">
        <f aca="false">IF(D771="INR",AW771/88.24,AW771)/1000000</f>
        <v>0.03348</v>
      </c>
    </row>
    <row r="772" s="2" customFormat="true" ht="16.4" hidden="false" customHeight="false" outlineLevel="0" collapsed="false">
      <c r="A772" s="9" t="s">
        <v>1590</v>
      </c>
      <c r="B772" s="13" t="n">
        <v>5</v>
      </c>
      <c r="C772" s="15"/>
      <c r="D772" s="16" t="s">
        <v>102</v>
      </c>
      <c r="E772" s="16" t="s">
        <v>51</v>
      </c>
      <c r="F772" s="16" t="s">
        <v>52</v>
      </c>
      <c r="G772" s="16" t="s">
        <v>506</v>
      </c>
      <c r="H772" s="16" t="s">
        <v>507</v>
      </c>
      <c r="I772" s="16" t="s">
        <v>260</v>
      </c>
      <c r="J772" s="16" t="s">
        <v>1381</v>
      </c>
      <c r="K772" s="16"/>
      <c r="L772" s="16" t="s">
        <v>260</v>
      </c>
      <c r="M772" s="16" t="s">
        <v>1381</v>
      </c>
      <c r="N772" s="16" t="s">
        <v>79</v>
      </c>
      <c r="O772" s="16" t="s">
        <v>68</v>
      </c>
      <c r="P772" s="16" t="s">
        <v>85</v>
      </c>
      <c r="Q772" s="16" t="s">
        <v>85</v>
      </c>
      <c r="R772" s="16" t="s">
        <v>86</v>
      </c>
      <c r="S772" s="16" t="s">
        <v>87</v>
      </c>
      <c r="T772" s="16" t="s">
        <v>1502</v>
      </c>
      <c r="U772" s="16" t="s">
        <v>73</v>
      </c>
      <c r="V772" s="16" t="n">
        <v>0.063</v>
      </c>
      <c r="W772" s="9" t="n">
        <v>0.0553</v>
      </c>
      <c r="X772" s="22" t="n">
        <v>30000</v>
      </c>
      <c r="Y772" s="9" t="n">
        <v>30000</v>
      </c>
      <c r="Z772" s="9" t="n">
        <v>30000</v>
      </c>
      <c r="AA772" s="9" t="n">
        <v>30000</v>
      </c>
      <c r="AB772" s="9" t="n">
        <v>30000</v>
      </c>
      <c r="AC772" s="9" t="n">
        <v>30000</v>
      </c>
      <c r="AD772" s="9" t="n">
        <v>30000</v>
      </c>
      <c r="AE772" s="9" t="n">
        <v>30000</v>
      </c>
      <c r="AF772" s="9" t="n">
        <v>30000</v>
      </c>
      <c r="AG772" s="9" t="n">
        <v>30000</v>
      </c>
      <c r="AH772" s="9" t="n">
        <v>30000</v>
      </c>
      <c r="AI772" s="9" t="n">
        <v>30000</v>
      </c>
      <c r="AJ772" s="9" t="n">
        <f aca="false">X772*$V772</f>
        <v>1890</v>
      </c>
      <c r="AK772" s="9" t="n">
        <f aca="false">Y772*$V772</f>
        <v>1890</v>
      </c>
      <c r="AL772" s="9" t="n">
        <f aca="false">Z772*$V772</f>
        <v>1890</v>
      </c>
      <c r="AM772" s="9" t="n">
        <f aca="false">AA772*$V772</f>
        <v>1890</v>
      </c>
      <c r="AN772" s="9" t="n">
        <f aca="false">AB772*$V772</f>
        <v>1890</v>
      </c>
      <c r="AO772" s="9" t="n">
        <f aca="false">AC772*$V772</f>
        <v>1890</v>
      </c>
      <c r="AP772" s="9" t="n">
        <f aca="false">AD772*$V772</f>
        <v>1890</v>
      </c>
      <c r="AQ772" s="9" t="n">
        <f aca="false">AE772*$V772</f>
        <v>1890</v>
      </c>
      <c r="AR772" s="9" t="n">
        <f aca="false">AF772*$V772</f>
        <v>1890</v>
      </c>
      <c r="AS772" s="9" t="n">
        <f aca="false">AG772*$V772</f>
        <v>1890</v>
      </c>
      <c r="AT772" s="9" t="n">
        <f aca="false">AH772*$V772</f>
        <v>1890</v>
      </c>
      <c r="AU772" s="9" t="n">
        <f aca="false">AI772*$V772</f>
        <v>1890</v>
      </c>
      <c r="AV772" s="9" t="n">
        <f aca="false">SUM(X772:AI772)/1000</f>
        <v>360</v>
      </c>
      <c r="AW772" s="9" t="n">
        <f aca="false">SUM(AJ772:AU772)</f>
        <v>22680</v>
      </c>
      <c r="AX772" s="9" t="n">
        <f aca="false">IF(D772="INR",AW772/88.24,AW772)/1000000</f>
        <v>0.02268</v>
      </c>
    </row>
    <row r="773" s="2" customFormat="true" ht="14.25" hidden="false" customHeight="false" outlineLevel="0" collapsed="false">
      <c r="A773" s="9"/>
      <c r="B773" s="9" t="n">
        <v>5</v>
      </c>
      <c r="C773" s="10"/>
      <c r="D773" s="9" t="s">
        <v>50</v>
      </c>
      <c r="E773" s="16" t="s">
        <v>51</v>
      </c>
      <c r="F773" s="9" t="s">
        <v>404</v>
      </c>
      <c r="G773" s="9"/>
      <c r="H773" s="9" t="s">
        <v>770</v>
      </c>
      <c r="I773" s="9" t="s">
        <v>105</v>
      </c>
      <c r="J773" s="9"/>
      <c r="K773" s="9"/>
      <c r="L773" s="9"/>
      <c r="M773" s="9"/>
      <c r="N773" s="16" t="s">
        <v>271</v>
      </c>
      <c r="O773" s="9"/>
      <c r="P773" s="16" t="s">
        <v>85</v>
      </c>
      <c r="Q773" s="16" t="s">
        <v>85</v>
      </c>
      <c r="R773" s="16"/>
      <c r="S773" s="16"/>
      <c r="T773" s="9" t="s">
        <v>1591</v>
      </c>
      <c r="U773" s="16"/>
      <c r="V773" s="9" t="n">
        <v>4.1</v>
      </c>
      <c r="W773" s="9"/>
      <c r="X773" s="22" t="n">
        <v>5000</v>
      </c>
      <c r="Y773" s="9" t="n">
        <v>5000</v>
      </c>
      <c r="Z773" s="9" t="n">
        <v>5000</v>
      </c>
      <c r="AA773" s="9" t="n">
        <v>5000</v>
      </c>
      <c r="AB773" s="9"/>
      <c r="AC773" s="9" t="n">
        <v>5000</v>
      </c>
      <c r="AD773" s="9" t="n">
        <v>5000</v>
      </c>
      <c r="AE773" s="9" t="n">
        <v>5000</v>
      </c>
      <c r="AF773" s="9" t="n">
        <v>5000</v>
      </c>
      <c r="AG773" s="9"/>
      <c r="AH773" s="9" t="n">
        <v>5000</v>
      </c>
      <c r="AI773" s="9" t="n">
        <v>5000</v>
      </c>
      <c r="AJ773" s="9" t="n">
        <f aca="false">X773*$V773</f>
        <v>20500</v>
      </c>
      <c r="AK773" s="9" t="n">
        <f aca="false">Y773*$V773</f>
        <v>20500</v>
      </c>
      <c r="AL773" s="9" t="n">
        <f aca="false">Z773*$V773</f>
        <v>20500</v>
      </c>
      <c r="AM773" s="9" t="n">
        <f aca="false">AA773*$V773</f>
        <v>20500</v>
      </c>
      <c r="AN773" s="9" t="n">
        <f aca="false">AB773*$V773</f>
        <v>0</v>
      </c>
      <c r="AO773" s="9" t="n">
        <f aca="false">AC773*$V773</f>
        <v>20500</v>
      </c>
      <c r="AP773" s="9" t="n">
        <f aca="false">AD773*$V773</f>
        <v>20500</v>
      </c>
      <c r="AQ773" s="9" t="n">
        <f aca="false">AE773*$V773</f>
        <v>20500</v>
      </c>
      <c r="AR773" s="9" t="n">
        <f aca="false">AF773*$V773</f>
        <v>20500</v>
      </c>
      <c r="AS773" s="9" t="n">
        <f aca="false">AG773*$V773</f>
        <v>0</v>
      </c>
      <c r="AT773" s="9" t="n">
        <f aca="false">AH773*$V773</f>
        <v>20500</v>
      </c>
      <c r="AU773" s="9" t="n">
        <f aca="false">AI773*$V773</f>
        <v>20500</v>
      </c>
      <c r="AV773" s="9" t="n">
        <f aca="false">SUM(X773:AI773)/1000</f>
        <v>50</v>
      </c>
      <c r="AW773" s="9" t="n">
        <f aca="false">SUM(AJ773:AU773)</f>
        <v>205000</v>
      </c>
      <c r="AX773" s="9" t="n">
        <f aca="false">IF(D773="INR",AW773/88.24,AW773)/1000000</f>
        <v>0.00232320942883046</v>
      </c>
    </row>
    <row r="774" s="2" customFormat="true" ht="14.25" hidden="false" customHeight="false" outlineLevel="0" collapsed="false">
      <c r="A774" s="9"/>
      <c r="B774" s="9" t="n">
        <v>1</v>
      </c>
      <c r="C774" s="10"/>
      <c r="D774" s="9" t="s">
        <v>102</v>
      </c>
      <c r="E774" s="9" t="s">
        <v>51</v>
      </c>
      <c r="F774" s="9" t="s">
        <v>52</v>
      </c>
      <c r="G774" s="9" t="s">
        <v>506</v>
      </c>
      <c r="H774" s="9" t="s">
        <v>507</v>
      </c>
      <c r="I774" s="9"/>
      <c r="J774" s="9"/>
      <c r="K774" s="9"/>
      <c r="L774" s="9" t="s">
        <v>77</v>
      </c>
      <c r="M774" s="9" t="s">
        <v>325</v>
      </c>
      <c r="N774" s="9" t="s">
        <v>79</v>
      </c>
      <c r="O774" s="9" t="s">
        <v>58</v>
      </c>
      <c r="P774" s="9"/>
      <c r="Q774" s="9" t="s">
        <v>85</v>
      </c>
      <c r="R774" s="9"/>
      <c r="S774" s="9"/>
      <c r="T774" s="9" t="s">
        <v>1592</v>
      </c>
      <c r="U774" s="9" t="s">
        <v>73</v>
      </c>
      <c r="V774" s="9" t="n">
        <v>0.345</v>
      </c>
      <c r="W774" s="9"/>
      <c r="X774" s="9"/>
      <c r="Y774" s="9"/>
      <c r="Z774" s="9"/>
      <c r="AA774" s="9" t="n">
        <v>30000</v>
      </c>
      <c r="AB774" s="9" t="n">
        <v>30000</v>
      </c>
      <c r="AC774" s="9" t="n">
        <v>30000</v>
      </c>
      <c r="AD774" s="9" t="n">
        <v>30000</v>
      </c>
      <c r="AE774" s="9" t="n">
        <v>30000</v>
      </c>
      <c r="AF774" s="9" t="n">
        <v>30000</v>
      </c>
      <c r="AG774" s="9" t="n">
        <v>30000</v>
      </c>
      <c r="AH774" s="9" t="n">
        <v>30000</v>
      </c>
      <c r="AI774" s="9" t="n">
        <v>30000</v>
      </c>
      <c r="AJ774" s="9" t="n">
        <f aca="false">X774*$V774</f>
        <v>0</v>
      </c>
      <c r="AK774" s="9" t="n">
        <f aca="false">Y774*$V774</f>
        <v>0</v>
      </c>
      <c r="AL774" s="9" t="n">
        <f aca="false">Z774*$V774</f>
        <v>0</v>
      </c>
      <c r="AM774" s="9" t="n">
        <f aca="false">AA774*$V774</f>
        <v>10350</v>
      </c>
      <c r="AN774" s="9" t="n">
        <f aca="false">AB774*$V774</f>
        <v>10350</v>
      </c>
      <c r="AO774" s="9" t="n">
        <f aca="false">AC774*$V774</f>
        <v>10350</v>
      </c>
      <c r="AP774" s="9" t="n">
        <f aca="false">AD774*$V774</f>
        <v>10350</v>
      </c>
      <c r="AQ774" s="9" t="n">
        <f aca="false">AE774*$V774</f>
        <v>10350</v>
      </c>
      <c r="AR774" s="9" t="n">
        <f aca="false">AF774*$V774</f>
        <v>10350</v>
      </c>
      <c r="AS774" s="9" t="n">
        <f aca="false">AG774*$V774</f>
        <v>10350</v>
      </c>
      <c r="AT774" s="9" t="n">
        <f aca="false">AH774*$V774</f>
        <v>10350</v>
      </c>
      <c r="AU774" s="9" t="n">
        <f aca="false">AI774*$V774</f>
        <v>10350</v>
      </c>
      <c r="AV774" s="9" t="n">
        <f aca="false">SUM(X774:AI774)/1000</f>
        <v>270</v>
      </c>
      <c r="AW774" s="9" t="n">
        <f aca="false">SUM(AJ774:AU774)</f>
        <v>93150</v>
      </c>
      <c r="AX774" s="9" t="n">
        <f aca="false">IF(D774="INR",AW774/88.24,AW774)/1000000</f>
        <v>0.09315</v>
      </c>
    </row>
    <row r="775" s="2" customFormat="true" ht="14.25" hidden="false" customHeight="false" outlineLevel="0" collapsed="false">
      <c r="A775" s="9"/>
      <c r="B775" s="9" t="n">
        <v>1</v>
      </c>
      <c r="C775" s="10"/>
      <c r="D775" s="9" t="s">
        <v>102</v>
      </c>
      <c r="E775" s="9" t="s">
        <v>51</v>
      </c>
      <c r="F775" s="9" t="s">
        <v>52</v>
      </c>
      <c r="G775" s="9" t="s">
        <v>506</v>
      </c>
      <c r="H775" s="9" t="s">
        <v>507</v>
      </c>
      <c r="I775" s="9"/>
      <c r="J775" s="9"/>
      <c r="K775" s="9"/>
      <c r="L775" s="9" t="s">
        <v>77</v>
      </c>
      <c r="M775" s="9" t="s">
        <v>325</v>
      </c>
      <c r="N775" s="16" t="s">
        <v>79</v>
      </c>
      <c r="O775" s="9" t="s">
        <v>58</v>
      </c>
      <c r="P775" s="9"/>
      <c r="Q775" s="9" t="s">
        <v>85</v>
      </c>
      <c r="R775" s="9"/>
      <c r="S775" s="9"/>
      <c r="T775" s="9" t="s">
        <v>1593</v>
      </c>
      <c r="U775" s="9" t="s">
        <v>73</v>
      </c>
      <c r="V775" s="9" t="n">
        <v>0.207</v>
      </c>
      <c r="W775" s="9"/>
      <c r="X775" s="9"/>
      <c r="Y775" s="9"/>
      <c r="Z775" s="9"/>
      <c r="AA775" s="9" t="n">
        <v>30000</v>
      </c>
      <c r="AB775" s="9" t="n">
        <v>30000</v>
      </c>
      <c r="AC775" s="9" t="n">
        <v>30000</v>
      </c>
      <c r="AD775" s="9" t="n">
        <v>30000</v>
      </c>
      <c r="AE775" s="9" t="n">
        <v>30000</v>
      </c>
      <c r="AF775" s="9" t="n">
        <v>30000</v>
      </c>
      <c r="AG775" s="9" t="n">
        <v>30000</v>
      </c>
      <c r="AH775" s="9" t="n">
        <v>30000</v>
      </c>
      <c r="AI775" s="9" t="n">
        <v>30000</v>
      </c>
      <c r="AJ775" s="9" t="n">
        <f aca="false">X775*$V775</f>
        <v>0</v>
      </c>
      <c r="AK775" s="9" t="n">
        <f aca="false">Y775*$V775</f>
        <v>0</v>
      </c>
      <c r="AL775" s="9" t="n">
        <f aca="false">Z775*$V775</f>
        <v>0</v>
      </c>
      <c r="AM775" s="9" t="n">
        <f aca="false">AA775*$V775</f>
        <v>6210</v>
      </c>
      <c r="AN775" s="9" t="n">
        <f aca="false">AB775*$V775</f>
        <v>6210</v>
      </c>
      <c r="AO775" s="9" t="n">
        <f aca="false">AC775*$V775</f>
        <v>6210</v>
      </c>
      <c r="AP775" s="9" t="n">
        <f aca="false">AD775*$V775</f>
        <v>6210</v>
      </c>
      <c r="AQ775" s="9" t="n">
        <f aca="false">AE775*$V775</f>
        <v>6210</v>
      </c>
      <c r="AR775" s="9" t="n">
        <f aca="false">AF775*$V775</f>
        <v>6210</v>
      </c>
      <c r="AS775" s="9" t="n">
        <f aca="false">AG775*$V775</f>
        <v>6210</v>
      </c>
      <c r="AT775" s="9" t="n">
        <f aca="false">AH775*$V775</f>
        <v>6210</v>
      </c>
      <c r="AU775" s="9" t="n">
        <f aca="false">AI775*$V775</f>
        <v>6210</v>
      </c>
      <c r="AV775" s="9" t="n">
        <f aca="false">SUM(X775:AI775)/1000</f>
        <v>270</v>
      </c>
      <c r="AW775" s="9" t="n">
        <f aca="false">SUM(AJ775:AU775)</f>
        <v>55890</v>
      </c>
      <c r="AX775" s="9" t="n">
        <f aca="false">IF(D775="INR",AW775/88.24,AW775)/1000000</f>
        <v>0.05589</v>
      </c>
    </row>
    <row r="776" s="2" customFormat="true" ht="14.25" hidden="false" customHeight="false" outlineLevel="0" collapsed="false">
      <c r="A776" s="12"/>
      <c r="B776" s="16" t="n">
        <v>1</v>
      </c>
      <c r="C776" s="15"/>
      <c r="D776" s="16" t="s">
        <v>102</v>
      </c>
      <c r="E776" s="16" t="s">
        <v>51</v>
      </c>
      <c r="F776" s="16" t="s">
        <v>52</v>
      </c>
      <c r="G776" s="16" t="s">
        <v>506</v>
      </c>
      <c r="H776" s="16" t="s">
        <v>507</v>
      </c>
      <c r="I776" s="16"/>
      <c r="J776" s="16"/>
      <c r="K776" s="16"/>
      <c r="L776" s="16" t="s">
        <v>77</v>
      </c>
      <c r="M776" s="16" t="s">
        <v>325</v>
      </c>
      <c r="N776" s="16" t="s">
        <v>79</v>
      </c>
      <c r="O776" s="16" t="s">
        <v>58</v>
      </c>
      <c r="P776" s="16"/>
      <c r="Q776" s="16" t="s">
        <v>308</v>
      </c>
      <c r="R776" s="16"/>
      <c r="S776" s="16"/>
      <c r="T776" s="16" t="s">
        <v>1594</v>
      </c>
      <c r="U776" s="16" t="s">
        <v>73</v>
      </c>
      <c r="V776" s="16" t="n">
        <v>0.0336</v>
      </c>
      <c r="W776" s="16"/>
      <c r="X776" s="16" t="n">
        <v>30000</v>
      </c>
      <c r="Y776" s="16" t="n">
        <v>30000</v>
      </c>
      <c r="Z776" s="16" t="n">
        <v>30000</v>
      </c>
      <c r="AA776" s="16" t="n">
        <v>30000</v>
      </c>
      <c r="AB776" s="16"/>
      <c r="AC776" s="16" t="n">
        <v>15000</v>
      </c>
      <c r="AD776" s="16" t="n">
        <v>15000</v>
      </c>
      <c r="AE776" s="16" t="n">
        <v>15000</v>
      </c>
      <c r="AF776" s="16" t="n">
        <v>15000</v>
      </c>
      <c r="AG776" s="16"/>
      <c r="AH776" s="16" t="n">
        <v>30000</v>
      </c>
      <c r="AI776" s="16" t="n">
        <v>30000</v>
      </c>
      <c r="AJ776" s="9" t="n">
        <f aca="false">X776*$V776</f>
        <v>1008</v>
      </c>
      <c r="AK776" s="9" t="n">
        <f aca="false">Y776*$V776</f>
        <v>1008</v>
      </c>
      <c r="AL776" s="9" t="n">
        <f aca="false">Z776*$V776</f>
        <v>1008</v>
      </c>
      <c r="AM776" s="9" t="n">
        <f aca="false">AA776*$V776</f>
        <v>1008</v>
      </c>
      <c r="AN776" s="9" t="n">
        <f aca="false">AB776*$V776</f>
        <v>0</v>
      </c>
      <c r="AO776" s="9" t="n">
        <f aca="false">AC776*$V776</f>
        <v>504</v>
      </c>
      <c r="AP776" s="9" t="n">
        <f aca="false">AD776*$V776</f>
        <v>504</v>
      </c>
      <c r="AQ776" s="9" t="n">
        <f aca="false">AE776*$V776</f>
        <v>504</v>
      </c>
      <c r="AR776" s="9" t="n">
        <f aca="false">AF776*$V776</f>
        <v>504</v>
      </c>
      <c r="AS776" s="9" t="n">
        <f aca="false">AG776*$V776</f>
        <v>0</v>
      </c>
      <c r="AT776" s="9" t="n">
        <f aca="false">AH776*$V776</f>
        <v>1008</v>
      </c>
      <c r="AU776" s="9" t="n">
        <f aca="false">AI776*$V776</f>
        <v>1008</v>
      </c>
      <c r="AV776" s="9" t="n">
        <f aca="false">SUM(X776:AI776)/1000</f>
        <v>240</v>
      </c>
      <c r="AW776" s="9" t="n">
        <f aca="false">SUM(AJ776:AU776)</f>
        <v>8064</v>
      </c>
      <c r="AX776" s="9" t="n">
        <f aca="false">IF(D776="INR",AW776/88.24,AW776)/1000000</f>
        <v>0.008064</v>
      </c>
    </row>
    <row r="777" s="2" customFormat="true" ht="16.4" hidden="false" customHeight="false" outlineLevel="0" collapsed="false">
      <c r="A777" s="9" t="s">
        <v>1595</v>
      </c>
      <c r="B777" s="9" t="n">
        <v>5</v>
      </c>
      <c r="C777" s="15"/>
      <c r="D777" s="16" t="s">
        <v>50</v>
      </c>
      <c r="E777" s="16" t="s">
        <v>51</v>
      </c>
      <c r="F777" s="16" t="s">
        <v>52</v>
      </c>
      <c r="G777" s="16" t="s">
        <v>947</v>
      </c>
      <c r="H777" s="16" t="s">
        <v>948</v>
      </c>
      <c r="I777" s="16" t="s">
        <v>1005</v>
      </c>
      <c r="J777" s="16" t="s">
        <v>1094</v>
      </c>
      <c r="K777" s="16"/>
      <c r="L777" s="16" t="s">
        <v>1005</v>
      </c>
      <c r="M777" s="16" t="s">
        <v>1094</v>
      </c>
      <c r="N777" s="16" t="s">
        <v>79</v>
      </c>
      <c r="O777" s="16" t="s">
        <v>315</v>
      </c>
      <c r="P777" s="9" t="s">
        <v>308</v>
      </c>
      <c r="Q777" s="9" t="s">
        <v>308</v>
      </c>
      <c r="R777" s="9" t="s">
        <v>309</v>
      </c>
      <c r="S777" s="9" t="s">
        <v>264</v>
      </c>
      <c r="T777" s="9" t="s">
        <v>1596</v>
      </c>
      <c r="U777" s="9" t="s">
        <v>73</v>
      </c>
      <c r="V777" s="9" t="n">
        <v>2.7</v>
      </c>
      <c r="W777" s="9" t="n">
        <v>2.37</v>
      </c>
      <c r="X777" s="22" t="n">
        <v>7500</v>
      </c>
      <c r="Y777" s="9"/>
      <c r="Z777" s="9" t="n">
        <v>7500</v>
      </c>
      <c r="AA777" s="9" t="n">
        <v>7500</v>
      </c>
      <c r="AB777" s="9" t="n">
        <v>7500</v>
      </c>
      <c r="AC777" s="9" t="n">
        <v>7500</v>
      </c>
      <c r="AD777" s="9" t="n">
        <v>7500</v>
      </c>
      <c r="AE777" s="9" t="n">
        <v>7500</v>
      </c>
      <c r="AF777" s="9" t="n">
        <v>7500</v>
      </c>
      <c r="AG777" s="9" t="n">
        <v>7500</v>
      </c>
      <c r="AH777" s="9" t="n">
        <v>7500</v>
      </c>
      <c r="AI777" s="9" t="n">
        <v>7500</v>
      </c>
      <c r="AJ777" s="9" t="n">
        <f aca="false">X777*$V777</f>
        <v>20250</v>
      </c>
      <c r="AK777" s="9" t="n">
        <f aca="false">Y777*$V777</f>
        <v>0</v>
      </c>
      <c r="AL777" s="9" t="n">
        <f aca="false">Z777*$V777</f>
        <v>20250</v>
      </c>
      <c r="AM777" s="9" t="n">
        <f aca="false">AA777*$V777</f>
        <v>20250</v>
      </c>
      <c r="AN777" s="9" t="n">
        <f aca="false">AB777*$V777</f>
        <v>20250</v>
      </c>
      <c r="AO777" s="9" t="n">
        <f aca="false">AC777*$V777</f>
        <v>20250</v>
      </c>
      <c r="AP777" s="9" t="n">
        <f aca="false">AD777*$V777</f>
        <v>20250</v>
      </c>
      <c r="AQ777" s="9" t="n">
        <f aca="false">AE777*$V777</f>
        <v>20250</v>
      </c>
      <c r="AR777" s="9" t="n">
        <f aca="false">AF777*$V777</f>
        <v>20250</v>
      </c>
      <c r="AS777" s="9" t="n">
        <f aca="false">AG777*$V777</f>
        <v>20250</v>
      </c>
      <c r="AT777" s="9" t="n">
        <f aca="false">AH777*$V777</f>
        <v>20250</v>
      </c>
      <c r="AU777" s="9" t="n">
        <f aca="false">AI777*$V777</f>
        <v>20250</v>
      </c>
      <c r="AV777" s="9" t="n">
        <f aca="false">SUM(X777:AI777)/1000</f>
        <v>82.5</v>
      </c>
      <c r="AW777" s="9" t="n">
        <f aca="false">SUM(AJ777:AU777)</f>
        <v>222750</v>
      </c>
      <c r="AX777" s="9" t="n">
        <f aca="false">IF(D777="INR",AW777/88.24,AW777)/1000000</f>
        <v>0.00252436536718042</v>
      </c>
    </row>
    <row r="778" s="2" customFormat="true" ht="14.25" hidden="false" customHeight="false" outlineLevel="0" collapsed="false">
      <c r="A778" s="12"/>
      <c r="B778" s="16" t="n">
        <v>1</v>
      </c>
      <c r="C778" s="15"/>
      <c r="D778" s="16" t="s">
        <v>50</v>
      </c>
      <c r="E778" s="16" t="s">
        <v>51</v>
      </c>
      <c r="F778" s="16" t="s">
        <v>267</v>
      </c>
      <c r="G778" s="16" t="s">
        <v>1230</v>
      </c>
      <c r="H778" s="16" t="s">
        <v>1231</v>
      </c>
      <c r="I778" s="16" t="s">
        <v>55</v>
      </c>
      <c r="J778" s="16" t="s">
        <v>100</v>
      </c>
      <c r="K778" s="16"/>
      <c r="L778" s="16" t="s">
        <v>55</v>
      </c>
      <c r="M778" s="16" t="s">
        <v>100</v>
      </c>
      <c r="N778" s="16" t="s">
        <v>271</v>
      </c>
      <c r="O778" s="16"/>
      <c r="P778" s="16"/>
      <c r="Q778" s="16" t="s">
        <v>69</v>
      </c>
      <c r="R778" s="16"/>
      <c r="S778" s="16"/>
      <c r="T778" s="16" t="s">
        <v>960</v>
      </c>
      <c r="U778" s="16" t="s">
        <v>63</v>
      </c>
      <c r="V778" s="16" t="n">
        <v>10</v>
      </c>
      <c r="W778" s="16"/>
      <c r="X778" s="16"/>
      <c r="Y778" s="16"/>
      <c r="Z778" s="16" t="n">
        <v>2000</v>
      </c>
      <c r="AA778" s="16"/>
      <c r="AB778" s="16" t="n">
        <v>2000</v>
      </c>
      <c r="AC778" s="16"/>
      <c r="AD778" s="16" t="n">
        <v>2000</v>
      </c>
      <c r="AE778" s="16"/>
      <c r="AF778" s="16" t="n">
        <v>2000</v>
      </c>
      <c r="AG778" s="16"/>
      <c r="AH778" s="16" t="n">
        <v>2000</v>
      </c>
      <c r="AI778" s="16"/>
      <c r="AJ778" s="9" t="n">
        <f aca="false">X778*$V778</f>
        <v>0</v>
      </c>
      <c r="AK778" s="9" t="n">
        <f aca="false">Y778*$V778</f>
        <v>0</v>
      </c>
      <c r="AL778" s="9" t="n">
        <f aca="false">Z778*$V778</f>
        <v>20000</v>
      </c>
      <c r="AM778" s="9" t="n">
        <f aca="false">AA778*$V778</f>
        <v>0</v>
      </c>
      <c r="AN778" s="9" t="n">
        <f aca="false">AB778*$V778</f>
        <v>20000</v>
      </c>
      <c r="AO778" s="9" t="n">
        <f aca="false">AC778*$V778</f>
        <v>0</v>
      </c>
      <c r="AP778" s="9" t="n">
        <f aca="false">AD778*$V778</f>
        <v>20000</v>
      </c>
      <c r="AQ778" s="9" t="n">
        <f aca="false">AE778*$V778</f>
        <v>0</v>
      </c>
      <c r="AR778" s="9" t="n">
        <f aca="false">AF778*$V778</f>
        <v>20000</v>
      </c>
      <c r="AS778" s="9" t="n">
        <f aca="false">AG778*$V778</f>
        <v>0</v>
      </c>
      <c r="AT778" s="9" t="n">
        <f aca="false">AH778*$V778</f>
        <v>20000</v>
      </c>
      <c r="AU778" s="9" t="n">
        <f aca="false">AI778*$V778</f>
        <v>0</v>
      </c>
      <c r="AV778" s="9" t="n">
        <f aca="false">SUM(X778:AI778)/1000</f>
        <v>10</v>
      </c>
      <c r="AW778" s="9" t="n">
        <f aca="false">SUM(AJ778:AU778)</f>
        <v>100000</v>
      </c>
      <c r="AX778" s="9" t="n">
        <f aca="false">IF(D778="INR",AW778/88.24,AW778)/1000000</f>
        <v>0.00113327289211242</v>
      </c>
    </row>
    <row r="779" s="2" customFormat="true" ht="14.25" hidden="false" customHeight="false" outlineLevel="0" collapsed="false">
      <c r="A779" s="12" t="s">
        <v>1597</v>
      </c>
      <c r="B779" s="16" t="n">
        <v>5</v>
      </c>
      <c r="C779" s="15"/>
      <c r="D779" s="16" t="s">
        <v>50</v>
      </c>
      <c r="E779" s="16" t="s">
        <v>51</v>
      </c>
      <c r="F779" s="16" t="s">
        <v>97</v>
      </c>
      <c r="G779" s="16" t="s">
        <v>1598</v>
      </c>
      <c r="H779" s="16" t="s">
        <v>1599</v>
      </c>
      <c r="I779" s="16" t="s">
        <v>105</v>
      </c>
      <c r="J779" s="16" t="s">
        <v>1073</v>
      </c>
      <c r="K779" s="16"/>
      <c r="L779" s="16" t="s">
        <v>105</v>
      </c>
      <c r="M779" s="16" t="s">
        <v>1073</v>
      </c>
      <c r="N779" s="16" t="s">
        <v>79</v>
      </c>
      <c r="O779" s="16" t="s">
        <v>107</v>
      </c>
      <c r="P779" s="16" t="s">
        <v>308</v>
      </c>
      <c r="Q779" s="16" t="s">
        <v>308</v>
      </c>
      <c r="R779" s="16" t="s">
        <v>309</v>
      </c>
      <c r="S779" s="16" t="s">
        <v>264</v>
      </c>
      <c r="T779" s="16" t="s">
        <v>887</v>
      </c>
      <c r="U779" s="16" t="s">
        <v>73</v>
      </c>
      <c r="V779" s="16" t="n">
        <v>9.8</v>
      </c>
      <c r="W779" s="16" t="n">
        <v>8.04</v>
      </c>
      <c r="X779" s="16" t="n">
        <v>2000</v>
      </c>
      <c r="Y779" s="16"/>
      <c r="Z779" s="16" t="n">
        <v>2000</v>
      </c>
      <c r="AA779" s="16"/>
      <c r="AB779" s="16"/>
      <c r="AC779" s="16" t="n">
        <v>2000</v>
      </c>
      <c r="AD779" s="16" t="n">
        <v>2000</v>
      </c>
      <c r="AE779" s="16"/>
      <c r="AF779" s="16"/>
      <c r="AG779" s="16" t="n">
        <v>2000</v>
      </c>
      <c r="AH779" s="16"/>
      <c r="AI779" s="16"/>
      <c r="AJ779" s="9" t="n">
        <f aca="false">X779*$V779</f>
        <v>19600</v>
      </c>
      <c r="AK779" s="9" t="n">
        <f aca="false">Y779*$V779</f>
        <v>0</v>
      </c>
      <c r="AL779" s="9" t="n">
        <f aca="false">Z779*$V779</f>
        <v>19600</v>
      </c>
      <c r="AM779" s="9" t="n">
        <f aca="false">AA779*$V779</f>
        <v>0</v>
      </c>
      <c r="AN779" s="9" t="n">
        <f aca="false">AB779*$V779</f>
        <v>0</v>
      </c>
      <c r="AO779" s="9" t="n">
        <f aca="false">AC779*$V779</f>
        <v>19600</v>
      </c>
      <c r="AP779" s="9" t="n">
        <f aca="false">AD779*$V779</f>
        <v>19600</v>
      </c>
      <c r="AQ779" s="9" t="n">
        <f aca="false">AE779*$V779</f>
        <v>0</v>
      </c>
      <c r="AR779" s="9" t="n">
        <f aca="false">AF779*$V779</f>
        <v>0</v>
      </c>
      <c r="AS779" s="9" t="n">
        <f aca="false">AG779*$V779</f>
        <v>19600</v>
      </c>
      <c r="AT779" s="9" t="n">
        <f aca="false">AH779*$V779</f>
        <v>0</v>
      </c>
      <c r="AU779" s="9" t="n">
        <f aca="false">AI779*$V779</f>
        <v>0</v>
      </c>
      <c r="AV779" s="9" t="n">
        <f aca="false">SUM(X779:AI779)/1000</f>
        <v>10</v>
      </c>
      <c r="AW779" s="9" t="n">
        <f aca="false">SUM(AJ779:AU779)</f>
        <v>98000</v>
      </c>
      <c r="AX779" s="9" t="n">
        <f aca="false">IF(D779="INR",AW779/88.24,AW779)/1000000</f>
        <v>0.00111060743427017</v>
      </c>
    </row>
    <row r="780" s="2" customFormat="true" ht="14.25" hidden="false" customHeight="false" outlineLevel="0" collapsed="false">
      <c r="A780" s="12" t="s">
        <v>1600</v>
      </c>
      <c r="B780" s="13" t="n">
        <v>5</v>
      </c>
      <c r="C780" s="14"/>
      <c r="D780" s="16" t="s">
        <v>50</v>
      </c>
      <c r="E780" s="16" t="s">
        <v>51</v>
      </c>
      <c r="F780" s="16" t="s">
        <v>267</v>
      </c>
      <c r="G780" s="16" t="s">
        <v>1537</v>
      </c>
      <c r="H780" s="16" t="s">
        <v>1538</v>
      </c>
      <c r="I780" s="16" t="s">
        <v>105</v>
      </c>
      <c r="J780" s="16" t="s">
        <v>368</v>
      </c>
      <c r="K780" s="16"/>
      <c r="L780" s="16" t="s">
        <v>105</v>
      </c>
      <c r="M780" s="16" t="s">
        <v>368</v>
      </c>
      <c r="N780" s="16" t="s">
        <v>271</v>
      </c>
      <c r="O780" s="16" t="s">
        <v>94</v>
      </c>
      <c r="P780" s="16" t="s">
        <v>110</v>
      </c>
      <c r="Q780" s="16" t="s">
        <v>110</v>
      </c>
      <c r="R780" s="16" t="s">
        <v>137</v>
      </c>
      <c r="S780" s="16" t="s">
        <v>272</v>
      </c>
      <c r="T780" s="16" t="s">
        <v>1601</v>
      </c>
      <c r="U780" s="16" t="s">
        <v>73</v>
      </c>
      <c r="V780" s="16" t="n">
        <v>39</v>
      </c>
      <c r="W780" s="16" t="n">
        <v>0.327</v>
      </c>
      <c r="X780" s="16" t="n">
        <v>500</v>
      </c>
      <c r="Y780" s="16"/>
      <c r="Z780" s="16" t="n">
        <v>500</v>
      </c>
      <c r="AA780" s="16" t="n">
        <v>500</v>
      </c>
      <c r="AB780" s="16"/>
      <c r="AC780" s="16" t="n">
        <v>500</v>
      </c>
      <c r="AD780" s="16" t="n">
        <v>500</v>
      </c>
      <c r="AE780" s="16" t="n">
        <v>500</v>
      </c>
      <c r="AF780" s="16" t="n">
        <v>500</v>
      </c>
      <c r="AG780" s="16" t="n">
        <v>500</v>
      </c>
      <c r="AH780" s="16" t="n">
        <v>500</v>
      </c>
      <c r="AI780" s="16" t="n">
        <v>500</v>
      </c>
      <c r="AJ780" s="9" t="n">
        <f aca="false">X780*$V780</f>
        <v>19500</v>
      </c>
      <c r="AK780" s="9" t="n">
        <f aca="false">Y780*$V780</f>
        <v>0</v>
      </c>
      <c r="AL780" s="9" t="n">
        <f aca="false">Z780*$V780</f>
        <v>19500</v>
      </c>
      <c r="AM780" s="9" t="n">
        <f aca="false">AA780*$V780</f>
        <v>19500</v>
      </c>
      <c r="AN780" s="9" t="n">
        <f aca="false">AB780*$V780</f>
        <v>0</v>
      </c>
      <c r="AO780" s="9" t="n">
        <f aca="false">AC780*$V780</f>
        <v>19500</v>
      </c>
      <c r="AP780" s="9" t="n">
        <f aca="false">AD780*$V780</f>
        <v>19500</v>
      </c>
      <c r="AQ780" s="9" t="n">
        <f aca="false">AE780*$V780</f>
        <v>19500</v>
      </c>
      <c r="AR780" s="9" t="n">
        <f aca="false">AF780*$V780</f>
        <v>19500</v>
      </c>
      <c r="AS780" s="9" t="n">
        <f aca="false">AG780*$V780</f>
        <v>19500</v>
      </c>
      <c r="AT780" s="9" t="n">
        <f aca="false">AH780*$V780</f>
        <v>19500</v>
      </c>
      <c r="AU780" s="9" t="n">
        <f aca="false">AI780*$V780</f>
        <v>19500</v>
      </c>
      <c r="AV780" s="9" t="n">
        <f aca="false">SUM(X780:AI780)/1000</f>
        <v>5</v>
      </c>
      <c r="AW780" s="9" t="n">
        <f aca="false">SUM(AJ780:AU780)</f>
        <v>195000</v>
      </c>
      <c r="AX780" s="9" t="n">
        <f aca="false">IF(D780="INR",AW780/88.24,AW780)/1000000</f>
        <v>0.00220988213961922</v>
      </c>
    </row>
    <row r="781" s="2" customFormat="true" ht="16.4" hidden="false" customHeight="false" outlineLevel="0" collapsed="false">
      <c r="A781" s="9" t="s">
        <v>1602</v>
      </c>
      <c r="B781" s="9" t="n">
        <v>5</v>
      </c>
      <c r="C781" s="15"/>
      <c r="D781" s="16" t="s">
        <v>50</v>
      </c>
      <c r="E781" s="16" t="s">
        <v>51</v>
      </c>
      <c r="F781" s="16" t="s">
        <v>52</v>
      </c>
      <c r="G781" s="16" t="s">
        <v>494</v>
      </c>
      <c r="H781" s="16" t="s">
        <v>495</v>
      </c>
      <c r="I781" s="16" t="s">
        <v>77</v>
      </c>
      <c r="J781" s="16" t="s">
        <v>496</v>
      </c>
      <c r="K781" s="16" t="s">
        <v>495</v>
      </c>
      <c r="L781" s="16" t="s">
        <v>77</v>
      </c>
      <c r="M781" s="16" t="s">
        <v>496</v>
      </c>
      <c r="N781" s="16" t="s">
        <v>57</v>
      </c>
      <c r="O781" s="16" t="s">
        <v>94</v>
      </c>
      <c r="P781" s="9" t="s">
        <v>308</v>
      </c>
      <c r="Q781" s="9" t="s">
        <v>308</v>
      </c>
      <c r="R781" s="9" t="s">
        <v>309</v>
      </c>
      <c r="S781" s="9" t="s">
        <v>264</v>
      </c>
      <c r="T781" s="9" t="s">
        <v>1603</v>
      </c>
      <c r="U781" s="9" t="s">
        <v>73</v>
      </c>
      <c r="V781" s="9" t="n">
        <v>2.38</v>
      </c>
      <c r="W781" s="9" t="n">
        <v>2.11</v>
      </c>
      <c r="X781" s="23" t="n">
        <v>8000</v>
      </c>
      <c r="Y781" s="23" t="n">
        <v>8000</v>
      </c>
      <c r="Z781" s="23" t="n">
        <v>8000</v>
      </c>
      <c r="AA781" s="23" t="n">
        <v>8000</v>
      </c>
      <c r="AB781" s="23" t="n">
        <v>8000</v>
      </c>
      <c r="AC781" s="23" t="n">
        <v>8000</v>
      </c>
      <c r="AD781" s="23" t="n">
        <v>8000</v>
      </c>
      <c r="AE781" s="23" t="n">
        <v>8000</v>
      </c>
      <c r="AF781" s="23" t="n">
        <v>8000</v>
      </c>
      <c r="AG781" s="23" t="n">
        <v>8000</v>
      </c>
      <c r="AH781" s="23" t="n">
        <v>8000</v>
      </c>
      <c r="AI781" s="23" t="n">
        <v>8000</v>
      </c>
      <c r="AJ781" s="9" t="n">
        <f aca="false">X781*$V781</f>
        <v>19040</v>
      </c>
      <c r="AK781" s="9" t="n">
        <f aca="false">Y781*$V781</f>
        <v>19040</v>
      </c>
      <c r="AL781" s="9" t="n">
        <f aca="false">Z781*$V781</f>
        <v>19040</v>
      </c>
      <c r="AM781" s="9" t="n">
        <f aca="false">AA781*$V781</f>
        <v>19040</v>
      </c>
      <c r="AN781" s="9" t="n">
        <f aca="false">AB781*$V781</f>
        <v>19040</v>
      </c>
      <c r="AO781" s="9" t="n">
        <f aca="false">AC781*$V781</f>
        <v>19040</v>
      </c>
      <c r="AP781" s="9" t="n">
        <f aca="false">AD781*$V781</f>
        <v>19040</v>
      </c>
      <c r="AQ781" s="9" t="n">
        <f aca="false">AE781*$V781</f>
        <v>19040</v>
      </c>
      <c r="AR781" s="9" t="n">
        <f aca="false">AF781*$V781</f>
        <v>19040</v>
      </c>
      <c r="AS781" s="9" t="n">
        <f aca="false">AG781*$V781</f>
        <v>19040</v>
      </c>
      <c r="AT781" s="9" t="n">
        <f aca="false">AH781*$V781</f>
        <v>19040</v>
      </c>
      <c r="AU781" s="9" t="n">
        <f aca="false">AI781*$V781</f>
        <v>19040</v>
      </c>
      <c r="AV781" s="9" t="n">
        <f aca="false">SUM(X781:AI781)/1000</f>
        <v>96</v>
      </c>
      <c r="AW781" s="9" t="n">
        <f aca="false">SUM(AJ781:AU781)</f>
        <v>228480</v>
      </c>
      <c r="AX781" s="9" t="n">
        <f aca="false">IF(D781="INR",AW781/88.24,AW781)/1000000</f>
        <v>0.00258930190389846</v>
      </c>
    </row>
    <row r="782" s="2" customFormat="true" ht="14.25" hidden="false" customHeight="false" outlineLevel="0" collapsed="false">
      <c r="A782" s="12" t="s">
        <v>1604</v>
      </c>
      <c r="B782" s="16" t="n">
        <v>5</v>
      </c>
      <c r="C782" s="15"/>
      <c r="D782" s="16" t="s">
        <v>102</v>
      </c>
      <c r="E782" s="16" t="s">
        <v>51</v>
      </c>
      <c r="F782" s="16" t="s">
        <v>52</v>
      </c>
      <c r="G782" s="16" t="s">
        <v>506</v>
      </c>
      <c r="H782" s="16" t="s">
        <v>507</v>
      </c>
      <c r="I782" s="16" t="s">
        <v>260</v>
      </c>
      <c r="J782" s="16" t="s">
        <v>1381</v>
      </c>
      <c r="K782" s="16" t="s">
        <v>507</v>
      </c>
      <c r="L782" s="16" t="s">
        <v>260</v>
      </c>
      <c r="M782" s="16" t="s">
        <v>1381</v>
      </c>
      <c r="N782" s="16" t="s">
        <v>79</v>
      </c>
      <c r="O782" s="16" t="s">
        <v>68</v>
      </c>
      <c r="P782" s="16" t="s">
        <v>348</v>
      </c>
      <c r="Q782" s="16" t="s">
        <v>348</v>
      </c>
      <c r="R782" s="16" t="s">
        <v>800</v>
      </c>
      <c r="S782" s="16" t="s">
        <v>87</v>
      </c>
      <c r="T782" s="16" t="s">
        <v>1605</v>
      </c>
      <c r="U782" s="16" t="s">
        <v>73</v>
      </c>
      <c r="V782" s="16" t="n">
        <v>0.0327</v>
      </c>
      <c r="W782" s="16" t="n">
        <v>0</v>
      </c>
      <c r="X782" s="22" t="n">
        <v>8000</v>
      </c>
      <c r="Y782" s="16" t="n">
        <v>8000</v>
      </c>
      <c r="Z782" s="16" t="n">
        <v>8000</v>
      </c>
      <c r="AA782" s="16" t="n">
        <v>8000</v>
      </c>
      <c r="AB782" s="16" t="n">
        <v>8000</v>
      </c>
      <c r="AC782" s="16" t="n">
        <v>8000</v>
      </c>
      <c r="AD782" s="16" t="n">
        <v>8000</v>
      </c>
      <c r="AE782" s="16" t="n">
        <v>8000</v>
      </c>
      <c r="AF782" s="16" t="n">
        <v>8000</v>
      </c>
      <c r="AG782" s="16" t="n">
        <v>8000</v>
      </c>
      <c r="AH782" s="16" t="n">
        <v>8000</v>
      </c>
      <c r="AI782" s="16" t="n">
        <v>8000</v>
      </c>
      <c r="AJ782" s="9" t="n">
        <f aca="false">X782*$V782</f>
        <v>261.6</v>
      </c>
      <c r="AK782" s="9" t="n">
        <f aca="false">Y782*$V782</f>
        <v>261.6</v>
      </c>
      <c r="AL782" s="9" t="n">
        <f aca="false">Z782*$V782</f>
        <v>261.6</v>
      </c>
      <c r="AM782" s="9" t="n">
        <f aca="false">AA782*$V782</f>
        <v>261.6</v>
      </c>
      <c r="AN782" s="9" t="n">
        <f aca="false">AB782*$V782</f>
        <v>261.6</v>
      </c>
      <c r="AO782" s="9" t="n">
        <f aca="false">AC782*$V782</f>
        <v>261.6</v>
      </c>
      <c r="AP782" s="9" t="n">
        <f aca="false">AD782*$V782</f>
        <v>261.6</v>
      </c>
      <c r="AQ782" s="9" t="n">
        <f aca="false">AE782*$V782</f>
        <v>261.6</v>
      </c>
      <c r="AR782" s="9" t="n">
        <f aca="false">AF782*$V782</f>
        <v>261.6</v>
      </c>
      <c r="AS782" s="9" t="n">
        <f aca="false">AG782*$V782</f>
        <v>261.6</v>
      </c>
      <c r="AT782" s="9" t="n">
        <f aca="false">AH782*$V782</f>
        <v>261.6</v>
      </c>
      <c r="AU782" s="9" t="n">
        <f aca="false">AI782*$V782</f>
        <v>261.6</v>
      </c>
      <c r="AV782" s="9" t="n">
        <f aca="false">SUM(X782:AI782)/1000</f>
        <v>96</v>
      </c>
      <c r="AW782" s="9" t="n">
        <f aca="false">SUM(AJ782:AU782)</f>
        <v>3139.2</v>
      </c>
      <c r="AX782" s="9" t="n">
        <f aca="false">IF(D782="INR",AW782/88.24,AW782)/1000000</f>
        <v>0.0031392</v>
      </c>
    </row>
    <row r="783" s="2" customFormat="true" ht="16.4" hidden="false" customHeight="false" outlineLevel="0" collapsed="false">
      <c r="A783" s="9" t="s">
        <v>1606</v>
      </c>
      <c r="B783" s="9" t="n">
        <v>5</v>
      </c>
      <c r="C783" s="15"/>
      <c r="D783" s="16" t="s">
        <v>813</v>
      </c>
      <c r="E783" s="16" t="s">
        <v>51</v>
      </c>
      <c r="F783" s="16" t="s">
        <v>52</v>
      </c>
      <c r="G783" s="16" t="s">
        <v>506</v>
      </c>
      <c r="H783" s="9" t="s">
        <v>507</v>
      </c>
      <c r="I783" s="16"/>
      <c r="J783" s="16"/>
      <c r="K783" s="9"/>
      <c r="L783" s="16"/>
      <c r="M783" s="16"/>
      <c r="N783" s="16" t="s">
        <v>79</v>
      </c>
      <c r="O783" s="16" t="s">
        <v>68</v>
      </c>
      <c r="P783" s="9" t="s">
        <v>380</v>
      </c>
      <c r="Q783" s="9" t="s">
        <v>380</v>
      </c>
      <c r="R783" s="9" t="s">
        <v>442</v>
      </c>
      <c r="S783" s="9" t="s">
        <v>443</v>
      </c>
      <c r="T783" s="9" t="s">
        <v>1607</v>
      </c>
      <c r="U783" s="16" t="s">
        <v>73</v>
      </c>
      <c r="V783" s="36" t="n">
        <v>4.4</v>
      </c>
      <c r="W783" s="9" t="n">
        <v>4.18</v>
      </c>
      <c r="X783" s="22"/>
      <c r="Y783" s="9"/>
      <c r="Z783" s="9" t="n">
        <v>30000</v>
      </c>
      <c r="AA783" s="9"/>
      <c r="AB783" s="9"/>
      <c r="AC783" s="9"/>
      <c r="AD783" s="23"/>
      <c r="AE783" s="9" t="n">
        <v>30000</v>
      </c>
      <c r="AF783" s="9"/>
      <c r="AG783" s="9"/>
      <c r="AH783" s="9" t="n">
        <v>30000</v>
      </c>
      <c r="AI783" s="9"/>
      <c r="AJ783" s="9" t="n">
        <f aca="false">X783*$V783</f>
        <v>0</v>
      </c>
      <c r="AK783" s="9" t="n">
        <f aca="false">Y783*$V783</f>
        <v>0</v>
      </c>
      <c r="AL783" s="9" t="n">
        <f aca="false">Z783*$V783</f>
        <v>132000</v>
      </c>
      <c r="AM783" s="9" t="n">
        <f aca="false">AA783*$V783</f>
        <v>0</v>
      </c>
      <c r="AN783" s="9" t="n">
        <f aca="false">AB783*$V783</f>
        <v>0</v>
      </c>
      <c r="AO783" s="9" t="n">
        <f aca="false">AC783*$V783</f>
        <v>0</v>
      </c>
      <c r="AP783" s="9" t="n">
        <f aca="false">AD783*$V783</f>
        <v>0</v>
      </c>
      <c r="AQ783" s="9" t="n">
        <f aca="false">AE783*$V783</f>
        <v>132000</v>
      </c>
      <c r="AR783" s="9" t="n">
        <f aca="false">AF783*$V783</f>
        <v>0</v>
      </c>
      <c r="AS783" s="9" t="n">
        <f aca="false">AG783*$V783</f>
        <v>0</v>
      </c>
      <c r="AT783" s="9" t="n">
        <f aca="false">AH783*$V783</f>
        <v>132000</v>
      </c>
      <c r="AU783" s="9" t="n">
        <f aca="false">AI783*$V783</f>
        <v>0</v>
      </c>
      <c r="AV783" s="9" t="n">
        <f aca="false">SUM(X783:AI783)/1000</f>
        <v>90</v>
      </c>
      <c r="AW783" s="9" t="n">
        <f aca="false">SUM(AJ783:AU783)</f>
        <v>396000</v>
      </c>
      <c r="AX783" s="9" t="n">
        <f aca="false">IF(D783="INR",AW783/88.24,AW783)/1000000</f>
        <v>0.396</v>
      </c>
    </row>
    <row r="784" s="2" customFormat="true" ht="14.25" hidden="false" customHeight="false" outlineLevel="0" collapsed="false">
      <c r="A784" s="28"/>
      <c r="B784" s="16" t="n">
        <v>1</v>
      </c>
      <c r="C784" s="16"/>
      <c r="D784" s="16" t="s">
        <v>102</v>
      </c>
      <c r="E784" s="16" t="s">
        <v>51</v>
      </c>
      <c r="F784" s="16" t="s">
        <v>52</v>
      </c>
      <c r="G784" s="16" t="s">
        <v>506</v>
      </c>
      <c r="H784" s="16" t="s">
        <v>507</v>
      </c>
      <c r="I784" s="16"/>
      <c r="J784" s="16"/>
      <c r="K784" s="16"/>
      <c r="L784" s="16" t="s">
        <v>77</v>
      </c>
      <c r="M784" s="16" t="s">
        <v>325</v>
      </c>
      <c r="N784" s="16" t="s">
        <v>79</v>
      </c>
      <c r="O784" s="16" t="s">
        <v>58</v>
      </c>
      <c r="P784" s="16"/>
      <c r="Q784" s="16" t="s">
        <v>182</v>
      </c>
      <c r="R784" s="16"/>
      <c r="S784" s="16"/>
      <c r="T784" s="16" t="s">
        <v>1608</v>
      </c>
      <c r="U784" s="16" t="s">
        <v>73</v>
      </c>
      <c r="V784" s="17" t="n">
        <v>0.52</v>
      </c>
      <c r="W784" s="16"/>
      <c r="X784" s="16" t="n">
        <v>12000</v>
      </c>
      <c r="Y784" s="16" t="n">
        <v>12000</v>
      </c>
      <c r="Z784" s="16" t="n">
        <v>12000</v>
      </c>
      <c r="AA784" s="16" t="n">
        <v>6000</v>
      </c>
      <c r="AB784" s="16" t="n">
        <v>6000</v>
      </c>
      <c r="AC784" s="16" t="n">
        <v>6000</v>
      </c>
      <c r="AD784" s="16" t="n">
        <v>6000</v>
      </c>
      <c r="AE784" s="16" t="n">
        <v>6000</v>
      </c>
      <c r="AF784" s="16" t="n">
        <v>6000</v>
      </c>
      <c r="AG784" s="16" t="n">
        <v>6000</v>
      </c>
      <c r="AH784" s="16" t="n">
        <v>6000</v>
      </c>
      <c r="AI784" s="16" t="n">
        <v>6000</v>
      </c>
      <c r="AJ784" s="9" t="n">
        <f aca="false">X784*$V784</f>
        <v>6240</v>
      </c>
      <c r="AK784" s="9" t="n">
        <f aca="false">Y784*$V784</f>
        <v>6240</v>
      </c>
      <c r="AL784" s="9" t="n">
        <f aca="false">Z784*$V784</f>
        <v>6240</v>
      </c>
      <c r="AM784" s="9" t="n">
        <f aca="false">AA784*$V784</f>
        <v>3120</v>
      </c>
      <c r="AN784" s="9" t="n">
        <f aca="false">AB784*$V784</f>
        <v>3120</v>
      </c>
      <c r="AO784" s="9" t="n">
        <f aca="false">AC784*$V784</f>
        <v>3120</v>
      </c>
      <c r="AP784" s="9" t="n">
        <f aca="false">AD784*$V784</f>
        <v>3120</v>
      </c>
      <c r="AQ784" s="9" t="n">
        <f aca="false">AE784*$V784</f>
        <v>3120</v>
      </c>
      <c r="AR784" s="9" t="n">
        <f aca="false">AF784*$V784</f>
        <v>3120</v>
      </c>
      <c r="AS784" s="9" t="n">
        <f aca="false">AG784*$V784</f>
        <v>3120</v>
      </c>
      <c r="AT784" s="9" t="n">
        <f aca="false">AH784*$V784</f>
        <v>3120</v>
      </c>
      <c r="AU784" s="9" t="n">
        <f aca="false">AI784*$V784</f>
        <v>3120</v>
      </c>
      <c r="AV784" s="9" t="n">
        <f aca="false">SUM(X784:AI784)/1000</f>
        <v>90</v>
      </c>
      <c r="AW784" s="9" t="n">
        <f aca="false">SUM(AJ784:AU784)</f>
        <v>46800</v>
      </c>
      <c r="AX784" s="9" t="n">
        <f aca="false">IF(D784="INR",AW784/88.24,AW784)/1000000</f>
        <v>0.0468</v>
      </c>
    </row>
    <row r="785" s="2" customFormat="true" ht="14.25" hidden="false" customHeight="false" outlineLevel="0" collapsed="false">
      <c r="A785" s="12"/>
      <c r="B785" s="13" t="n">
        <v>1</v>
      </c>
      <c r="C785" s="14"/>
      <c r="D785" s="16" t="s">
        <v>102</v>
      </c>
      <c r="E785" s="16" t="s">
        <v>51</v>
      </c>
      <c r="F785" s="16" t="s">
        <v>52</v>
      </c>
      <c r="G785" s="16" t="s">
        <v>506</v>
      </c>
      <c r="H785" s="16" t="s">
        <v>507</v>
      </c>
      <c r="I785" s="16"/>
      <c r="J785" s="16"/>
      <c r="K785" s="16"/>
      <c r="L785" s="16" t="s">
        <v>77</v>
      </c>
      <c r="M785" s="16" t="s">
        <v>325</v>
      </c>
      <c r="N785" s="16" t="s">
        <v>79</v>
      </c>
      <c r="O785" s="16" t="s">
        <v>58</v>
      </c>
      <c r="P785" s="16"/>
      <c r="Q785" s="16" t="s">
        <v>134</v>
      </c>
      <c r="R785" s="16"/>
      <c r="S785" s="16"/>
      <c r="T785" s="16" t="s">
        <v>1609</v>
      </c>
      <c r="U785" s="16" t="s">
        <v>73</v>
      </c>
      <c r="V785" s="16" t="n">
        <v>0.31</v>
      </c>
      <c r="W785" s="16"/>
      <c r="X785" s="16" t="n">
        <v>12000</v>
      </c>
      <c r="Y785" s="16" t="n">
        <v>12000</v>
      </c>
      <c r="Z785" s="16" t="n">
        <v>12000</v>
      </c>
      <c r="AA785" s="16" t="n">
        <v>6000</v>
      </c>
      <c r="AB785" s="16" t="n">
        <v>6000</v>
      </c>
      <c r="AC785" s="16" t="n">
        <v>6000</v>
      </c>
      <c r="AD785" s="16" t="n">
        <v>6000</v>
      </c>
      <c r="AE785" s="16" t="n">
        <v>6000</v>
      </c>
      <c r="AF785" s="16" t="n">
        <v>6000</v>
      </c>
      <c r="AG785" s="16" t="n">
        <v>6000</v>
      </c>
      <c r="AH785" s="16" t="n">
        <v>6000</v>
      </c>
      <c r="AI785" s="16" t="n">
        <v>6000</v>
      </c>
      <c r="AJ785" s="9" t="n">
        <f aca="false">X785*$V785</f>
        <v>3720</v>
      </c>
      <c r="AK785" s="9" t="n">
        <f aca="false">Y785*$V785</f>
        <v>3720</v>
      </c>
      <c r="AL785" s="9" t="n">
        <f aca="false">Z785*$V785</f>
        <v>3720</v>
      </c>
      <c r="AM785" s="9" t="n">
        <f aca="false">AA785*$V785</f>
        <v>1860</v>
      </c>
      <c r="AN785" s="9" t="n">
        <f aca="false">AB785*$V785</f>
        <v>1860</v>
      </c>
      <c r="AO785" s="9" t="n">
        <f aca="false">AC785*$V785</f>
        <v>1860</v>
      </c>
      <c r="AP785" s="9" t="n">
        <f aca="false">AD785*$V785</f>
        <v>1860</v>
      </c>
      <c r="AQ785" s="9" t="n">
        <f aca="false">AE785*$V785</f>
        <v>1860</v>
      </c>
      <c r="AR785" s="9" t="n">
        <f aca="false">AF785*$V785</f>
        <v>1860</v>
      </c>
      <c r="AS785" s="9" t="n">
        <f aca="false">AG785*$V785</f>
        <v>1860</v>
      </c>
      <c r="AT785" s="9" t="n">
        <f aca="false">AH785*$V785</f>
        <v>1860</v>
      </c>
      <c r="AU785" s="9" t="n">
        <f aca="false">AI785*$V785</f>
        <v>1860</v>
      </c>
      <c r="AV785" s="9" t="n">
        <f aca="false">SUM(X785:AI785)/1000</f>
        <v>90</v>
      </c>
      <c r="AW785" s="9" t="n">
        <f aca="false">SUM(AJ785:AU785)</f>
        <v>27900</v>
      </c>
      <c r="AX785" s="9" t="n">
        <f aca="false">IF(D785="INR",AW785/88.24,AW785)/1000000</f>
        <v>0.0279</v>
      </c>
    </row>
    <row r="786" s="2" customFormat="true" ht="14.25" hidden="false" customHeight="false" outlineLevel="0" collapsed="false">
      <c r="A786" s="9"/>
      <c r="B786" s="9" t="n">
        <v>1</v>
      </c>
      <c r="C786" s="10"/>
      <c r="D786" s="9" t="s">
        <v>102</v>
      </c>
      <c r="E786" s="9" t="s">
        <v>51</v>
      </c>
      <c r="F786" s="9" t="s">
        <v>52</v>
      </c>
      <c r="G786" s="9" t="s">
        <v>506</v>
      </c>
      <c r="H786" s="9" t="s">
        <v>507</v>
      </c>
      <c r="I786" s="9"/>
      <c r="J786" s="9"/>
      <c r="K786" s="9"/>
      <c r="L786" s="9" t="s">
        <v>77</v>
      </c>
      <c r="M786" s="9" t="s">
        <v>325</v>
      </c>
      <c r="N786" s="9" t="s">
        <v>79</v>
      </c>
      <c r="O786" s="9" t="s">
        <v>58</v>
      </c>
      <c r="P786" s="9"/>
      <c r="Q786" s="9" t="s">
        <v>308</v>
      </c>
      <c r="R786" s="9"/>
      <c r="S786" s="9"/>
      <c r="T786" s="9" t="s">
        <v>1610</v>
      </c>
      <c r="U786" s="9" t="s">
        <v>73</v>
      </c>
      <c r="V786" s="9" t="n">
        <v>0.265</v>
      </c>
      <c r="W786" s="9"/>
      <c r="X786" s="9"/>
      <c r="Y786" s="9"/>
      <c r="Z786" s="9"/>
      <c r="AA786" s="9"/>
      <c r="AB786" s="9" t="n">
        <v>10000</v>
      </c>
      <c r="AC786" s="9" t="n">
        <v>10000</v>
      </c>
      <c r="AD786" s="9" t="n">
        <v>10000</v>
      </c>
      <c r="AE786" s="9" t="n">
        <v>10000</v>
      </c>
      <c r="AF786" s="9" t="n">
        <v>10000</v>
      </c>
      <c r="AG786" s="9" t="n">
        <v>10000</v>
      </c>
      <c r="AH786" s="9" t="n">
        <v>10000</v>
      </c>
      <c r="AI786" s="9" t="n">
        <v>10000</v>
      </c>
      <c r="AJ786" s="9" t="n">
        <f aca="false">X786*$V786</f>
        <v>0</v>
      </c>
      <c r="AK786" s="9" t="n">
        <f aca="false">Y786*$V786</f>
        <v>0</v>
      </c>
      <c r="AL786" s="9" t="n">
        <f aca="false">Z786*$V786</f>
        <v>0</v>
      </c>
      <c r="AM786" s="9" t="n">
        <f aca="false">AA786*$V786</f>
        <v>0</v>
      </c>
      <c r="AN786" s="9" t="n">
        <f aca="false">AB786*$V786</f>
        <v>2650</v>
      </c>
      <c r="AO786" s="9" t="n">
        <f aca="false">AC786*$V786</f>
        <v>2650</v>
      </c>
      <c r="AP786" s="9" t="n">
        <f aca="false">AD786*$V786</f>
        <v>2650</v>
      </c>
      <c r="AQ786" s="9" t="n">
        <f aca="false">AE786*$V786</f>
        <v>2650</v>
      </c>
      <c r="AR786" s="9" t="n">
        <f aca="false">AF786*$V786</f>
        <v>2650</v>
      </c>
      <c r="AS786" s="9" t="n">
        <f aca="false">AG786*$V786</f>
        <v>2650</v>
      </c>
      <c r="AT786" s="9" t="n">
        <f aca="false">AH786*$V786</f>
        <v>2650</v>
      </c>
      <c r="AU786" s="9" t="n">
        <f aca="false">AI786*$V786</f>
        <v>2650</v>
      </c>
      <c r="AV786" s="9" t="n">
        <f aca="false">SUM(X786:AI786)/1000</f>
        <v>80</v>
      </c>
      <c r="AW786" s="9" t="n">
        <f aca="false">SUM(AJ786:AU786)</f>
        <v>21200</v>
      </c>
      <c r="AX786" s="9" t="n">
        <f aca="false">IF(D786="INR",AW786/88.24,AW786)/1000000</f>
        <v>0.0212</v>
      </c>
    </row>
    <row r="787" s="2" customFormat="true" ht="16.4" hidden="false" customHeight="false" outlineLevel="0" collapsed="false">
      <c r="A787" s="9" t="s">
        <v>1611</v>
      </c>
      <c r="B787" s="9"/>
      <c r="C787" s="15"/>
      <c r="D787" s="16" t="s">
        <v>50</v>
      </c>
      <c r="E787" s="16" t="s">
        <v>51</v>
      </c>
      <c r="F787" s="16" t="s">
        <v>52</v>
      </c>
      <c r="G787" s="16" t="s">
        <v>258</v>
      </c>
      <c r="H787" s="16" t="s">
        <v>259</v>
      </c>
      <c r="I787" s="16" t="s">
        <v>260</v>
      </c>
      <c r="J787" s="16" t="s">
        <v>261</v>
      </c>
      <c r="K787" s="16"/>
      <c r="L787" s="16" t="s">
        <v>260</v>
      </c>
      <c r="M787" s="16" t="s">
        <v>261</v>
      </c>
      <c r="N787" s="16" t="s">
        <v>67</v>
      </c>
      <c r="O787" s="16" t="s">
        <v>107</v>
      </c>
      <c r="P787" s="9" t="s">
        <v>308</v>
      </c>
      <c r="Q787" s="9" t="s">
        <v>308</v>
      </c>
      <c r="R787" s="16" t="s">
        <v>309</v>
      </c>
      <c r="S787" s="16" t="s">
        <v>264</v>
      </c>
      <c r="T787" s="9" t="s">
        <v>1612</v>
      </c>
      <c r="U787" s="9" t="s">
        <v>73</v>
      </c>
      <c r="V787" s="9" t="n">
        <v>2.34</v>
      </c>
      <c r="W787" s="9" t="n">
        <v>2.11</v>
      </c>
      <c r="X787" s="22" t="n">
        <v>8000</v>
      </c>
      <c r="Y787" s="9" t="n">
        <v>8000</v>
      </c>
      <c r="Z787" s="9" t="n">
        <v>8000</v>
      </c>
      <c r="AA787" s="9" t="n">
        <v>8000</v>
      </c>
      <c r="AB787" s="9" t="n">
        <v>8000</v>
      </c>
      <c r="AC787" s="9" t="n">
        <v>8000</v>
      </c>
      <c r="AD787" s="9" t="n">
        <v>8000</v>
      </c>
      <c r="AE787" s="9" t="n">
        <v>8000</v>
      </c>
      <c r="AF787" s="9" t="n">
        <v>8000</v>
      </c>
      <c r="AG787" s="9" t="n">
        <v>8000</v>
      </c>
      <c r="AH787" s="9" t="n">
        <v>8000</v>
      </c>
      <c r="AI787" s="9" t="n">
        <v>8000</v>
      </c>
      <c r="AJ787" s="9" t="n">
        <f aca="false">X787*$V787</f>
        <v>18720</v>
      </c>
      <c r="AK787" s="9" t="n">
        <f aca="false">Y787*$V787</f>
        <v>18720</v>
      </c>
      <c r="AL787" s="9" t="n">
        <f aca="false">Z787*$V787</f>
        <v>18720</v>
      </c>
      <c r="AM787" s="9" t="n">
        <f aca="false">AA787*$V787</f>
        <v>18720</v>
      </c>
      <c r="AN787" s="9" t="n">
        <f aca="false">AB787*$V787</f>
        <v>18720</v>
      </c>
      <c r="AO787" s="9" t="n">
        <f aca="false">AC787*$V787</f>
        <v>18720</v>
      </c>
      <c r="AP787" s="9" t="n">
        <f aca="false">AD787*$V787</f>
        <v>18720</v>
      </c>
      <c r="AQ787" s="9" t="n">
        <f aca="false">AE787*$V787</f>
        <v>18720</v>
      </c>
      <c r="AR787" s="9" t="n">
        <f aca="false">AF787*$V787</f>
        <v>18720</v>
      </c>
      <c r="AS787" s="9" t="n">
        <f aca="false">AG787*$V787</f>
        <v>18720</v>
      </c>
      <c r="AT787" s="9" t="n">
        <f aca="false">AH787*$V787</f>
        <v>18720</v>
      </c>
      <c r="AU787" s="9" t="n">
        <f aca="false">AI787*$V787</f>
        <v>18720</v>
      </c>
      <c r="AV787" s="9" t="n">
        <f aca="false">SUM(X787:AI787)/1000</f>
        <v>96</v>
      </c>
      <c r="AW787" s="9" t="n">
        <f aca="false">SUM(AJ787:AU787)</f>
        <v>224640</v>
      </c>
      <c r="AX787" s="9" t="n">
        <f aca="false">IF(D787="INR",AW787/88.24,AW787)/1000000</f>
        <v>0.00254578422484134</v>
      </c>
    </row>
    <row r="788" s="2" customFormat="true" ht="14.25" hidden="false" customHeight="false" outlineLevel="0" collapsed="false">
      <c r="A788" s="9"/>
      <c r="B788" s="9" t="n">
        <v>1</v>
      </c>
      <c r="C788" s="10"/>
      <c r="D788" s="9" t="s">
        <v>50</v>
      </c>
      <c r="E788" s="9" t="s">
        <v>51</v>
      </c>
      <c r="F788" s="9" t="s">
        <v>267</v>
      </c>
      <c r="G788" s="16" t="s">
        <v>1230</v>
      </c>
      <c r="H788" s="16" t="s">
        <v>1231</v>
      </c>
      <c r="I788" s="9" t="s">
        <v>55</v>
      </c>
      <c r="J788" s="9" t="s">
        <v>100</v>
      </c>
      <c r="K788" s="9"/>
      <c r="L788" s="9" t="s">
        <v>55</v>
      </c>
      <c r="M788" s="9" t="s">
        <v>100</v>
      </c>
      <c r="N788" s="16" t="s">
        <v>271</v>
      </c>
      <c r="O788" s="9"/>
      <c r="P788" s="9"/>
      <c r="Q788" s="9" t="s">
        <v>85</v>
      </c>
      <c r="R788" s="9"/>
      <c r="S788" s="9"/>
      <c r="T788" s="9" t="s">
        <v>448</v>
      </c>
      <c r="U788" s="9" t="s">
        <v>63</v>
      </c>
      <c r="V788" s="9" t="n">
        <v>9.24</v>
      </c>
      <c r="W788" s="9"/>
      <c r="X788" s="9"/>
      <c r="Y788" s="9"/>
      <c r="Z788" s="9" t="n">
        <v>2000</v>
      </c>
      <c r="AA788" s="9"/>
      <c r="AB788" s="9" t="n">
        <v>2000</v>
      </c>
      <c r="AC788" s="9"/>
      <c r="AD788" s="9" t="n">
        <v>2000</v>
      </c>
      <c r="AE788" s="9"/>
      <c r="AF788" s="9"/>
      <c r="AG788" s="9" t="n">
        <v>2000</v>
      </c>
      <c r="AH788" s="9"/>
      <c r="AI788" s="9" t="n">
        <v>2000</v>
      </c>
      <c r="AJ788" s="9" t="n">
        <f aca="false">X788*$V788</f>
        <v>0</v>
      </c>
      <c r="AK788" s="9" t="n">
        <f aca="false">Y788*$V788</f>
        <v>0</v>
      </c>
      <c r="AL788" s="9" t="n">
        <f aca="false">Z788*$V788</f>
        <v>18480</v>
      </c>
      <c r="AM788" s="9" t="n">
        <f aca="false">AA788*$V788</f>
        <v>0</v>
      </c>
      <c r="AN788" s="9" t="n">
        <f aca="false">AB788*$V788</f>
        <v>18480</v>
      </c>
      <c r="AO788" s="9" t="n">
        <f aca="false">AC788*$V788</f>
        <v>0</v>
      </c>
      <c r="AP788" s="9" t="n">
        <f aca="false">AD788*$V788</f>
        <v>18480</v>
      </c>
      <c r="AQ788" s="9" t="n">
        <f aca="false">AE788*$V788</f>
        <v>0</v>
      </c>
      <c r="AR788" s="9" t="n">
        <f aca="false">AF788*$V788</f>
        <v>0</v>
      </c>
      <c r="AS788" s="9" t="n">
        <f aca="false">AG788*$V788</f>
        <v>18480</v>
      </c>
      <c r="AT788" s="9" t="n">
        <f aca="false">AH788*$V788</f>
        <v>0</v>
      </c>
      <c r="AU788" s="9" t="n">
        <f aca="false">AI788*$V788</f>
        <v>18480</v>
      </c>
      <c r="AV788" s="9" t="n">
        <f aca="false">SUM(X788:AI788)/1000</f>
        <v>10</v>
      </c>
      <c r="AW788" s="9" t="n">
        <f aca="false">SUM(AJ788:AU788)</f>
        <v>92400</v>
      </c>
      <c r="AX788" s="9" t="n">
        <f aca="false">IF(D788="INR",AW788/88.24,AW788)/1000000</f>
        <v>0.00104714415231188</v>
      </c>
    </row>
    <row r="789" s="2" customFormat="true" ht="14.25" hidden="false" customHeight="false" outlineLevel="0" collapsed="false">
      <c r="A789" s="12" t="s">
        <v>1613</v>
      </c>
      <c r="B789" s="16" t="n">
        <v>5</v>
      </c>
      <c r="C789" s="15"/>
      <c r="D789" s="16" t="s">
        <v>102</v>
      </c>
      <c r="E789" s="16" t="s">
        <v>51</v>
      </c>
      <c r="F789" s="16" t="s">
        <v>52</v>
      </c>
      <c r="G789" s="16" t="s">
        <v>506</v>
      </c>
      <c r="H789" s="16" t="s">
        <v>507</v>
      </c>
      <c r="I789" s="16" t="s">
        <v>260</v>
      </c>
      <c r="J789" s="16" t="s">
        <v>1381</v>
      </c>
      <c r="K789" s="16"/>
      <c r="L789" s="16" t="s">
        <v>260</v>
      </c>
      <c r="M789" s="16" t="s">
        <v>1381</v>
      </c>
      <c r="N789" s="16" t="s">
        <v>79</v>
      </c>
      <c r="O789" s="16" t="s">
        <v>68</v>
      </c>
      <c r="P789" s="16" t="s">
        <v>262</v>
      </c>
      <c r="Q789" s="16" t="s">
        <v>262</v>
      </c>
      <c r="R789" s="16" t="s">
        <v>263</v>
      </c>
      <c r="S789" s="16" t="s">
        <v>264</v>
      </c>
      <c r="T789" s="16" t="s">
        <v>1614</v>
      </c>
      <c r="U789" s="16" t="s">
        <v>73</v>
      </c>
      <c r="V789" s="16" t="n">
        <v>0.0336</v>
      </c>
      <c r="W789" s="16" t="n">
        <v>0.028</v>
      </c>
      <c r="X789" s="16" t="n">
        <v>10000</v>
      </c>
      <c r="Y789" s="16" t="n">
        <v>10000</v>
      </c>
      <c r="Z789" s="16" t="n">
        <v>10000</v>
      </c>
      <c r="AA789" s="16"/>
      <c r="AB789" s="16"/>
      <c r="AC789" s="16" t="n">
        <v>10000</v>
      </c>
      <c r="AD789" s="16" t="n">
        <v>10000</v>
      </c>
      <c r="AE789" s="16"/>
      <c r="AF789" s="16"/>
      <c r="AG789" s="16"/>
      <c r="AH789" s="16" t="n">
        <v>10000</v>
      </c>
      <c r="AI789" s="16" t="n">
        <v>10000</v>
      </c>
      <c r="AJ789" s="9" t="n">
        <f aca="false">X789*$V789</f>
        <v>336</v>
      </c>
      <c r="AK789" s="9" t="n">
        <f aca="false">Y789*$V789</f>
        <v>336</v>
      </c>
      <c r="AL789" s="9" t="n">
        <f aca="false">Z789*$V789</f>
        <v>336</v>
      </c>
      <c r="AM789" s="9" t="n">
        <f aca="false">AA789*$V789</f>
        <v>0</v>
      </c>
      <c r="AN789" s="9" t="n">
        <f aca="false">AB789*$V789</f>
        <v>0</v>
      </c>
      <c r="AO789" s="9" t="n">
        <f aca="false">AC789*$V789</f>
        <v>336</v>
      </c>
      <c r="AP789" s="9" t="n">
        <f aca="false">AD789*$V789</f>
        <v>336</v>
      </c>
      <c r="AQ789" s="9" t="n">
        <f aca="false">AE789*$V789</f>
        <v>0</v>
      </c>
      <c r="AR789" s="9" t="n">
        <f aca="false">AF789*$V789</f>
        <v>0</v>
      </c>
      <c r="AS789" s="9" t="n">
        <f aca="false">AG789*$V789</f>
        <v>0</v>
      </c>
      <c r="AT789" s="9" t="n">
        <f aca="false">AH789*$V789</f>
        <v>336</v>
      </c>
      <c r="AU789" s="9" t="n">
        <f aca="false">AI789*$V789</f>
        <v>336</v>
      </c>
      <c r="AV789" s="9" t="n">
        <f aca="false">SUM(X789:AI789)/1000</f>
        <v>70</v>
      </c>
      <c r="AW789" s="9" t="n">
        <f aca="false">SUM(AJ789:AU789)</f>
        <v>2352</v>
      </c>
      <c r="AX789" s="9" t="n">
        <f aca="false">IF(D789="INR",AW789/88.24,AW789)/1000000</f>
        <v>0.002352</v>
      </c>
    </row>
    <row r="790" s="2" customFormat="true" ht="14.25" hidden="false" customHeight="false" outlineLevel="0" collapsed="false">
      <c r="A790" s="12" t="s">
        <v>1615</v>
      </c>
      <c r="B790" s="16" t="n">
        <v>5</v>
      </c>
      <c r="C790" s="15"/>
      <c r="D790" s="16" t="s">
        <v>102</v>
      </c>
      <c r="E790" s="16" t="s">
        <v>51</v>
      </c>
      <c r="F790" s="16" t="s">
        <v>52</v>
      </c>
      <c r="G790" s="16" t="s">
        <v>506</v>
      </c>
      <c r="H790" s="16" t="s">
        <v>507</v>
      </c>
      <c r="I790" s="16" t="s">
        <v>260</v>
      </c>
      <c r="J790" s="16" t="s">
        <v>1381</v>
      </c>
      <c r="K790" s="16"/>
      <c r="L790" s="16" t="s">
        <v>260</v>
      </c>
      <c r="M790" s="16" t="s">
        <v>1381</v>
      </c>
      <c r="N790" s="16" t="s">
        <v>79</v>
      </c>
      <c r="O790" s="16" t="s">
        <v>68</v>
      </c>
      <c r="P790" s="16" t="s">
        <v>85</v>
      </c>
      <c r="Q790" s="16" t="s">
        <v>85</v>
      </c>
      <c r="R790" s="16" t="s">
        <v>86</v>
      </c>
      <c r="S790" s="16" t="s">
        <v>87</v>
      </c>
      <c r="T790" s="16" t="s">
        <v>1211</v>
      </c>
      <c r="U790" s="16" t="s">
        <v>73</v>
      </c>
      <c r="V790" s="16" t="n">
        <v>0.0954</v>
      </c>
      <c r="W790" s="16" t="n">
        <v>0.0851</v>
      </c>
      <c r="X790" s="22" t="n">
        <v>5000</v>
      </c>
      <c r="Y790" s="22" t="n">
        <v>5000</v>
      </c>
      <c r="Z790" s="22" t="n">
        <v>5000</v>
      </c>
      <c r="AA790" s="22" t="n">
        <v>5000</v>
      </c>
      <c r="AB790" s="22" t="n">
        <v>5000</v>
      </c>
      <c r="AC790" s="22" t="n">
        <v>5000</v>
      </c>
      <c r="AD790" s="22" t="n">
        <v>5000</v>
      </c>
      <c r="AE790" s="22" t="n">
        <v>5000</v>
      </c>
      <c r="AF790" s="22" t="n">
        <v>5000</v>
      </c>
      <c r="AG790" s="22" t="n">
        <v>5000</v>
      </c>
      <c r="AH790" s="22" t="n">
        <v>5000</v>
      </c>
      <c r="AI790" s="22" t="n">
        <v>5000</v>
      </c>
      <c r="AJ790" s="9" t="n">
        <f aca="false">X790*$V790</f>
        <v>477</v>
      </c>
      <c r="AK790" s="9" t="n">
        <f aca="false">Y790*$V790</f>
        <v>477</v>
      </c>
      <c r="AL790" s="9" t="n">
        <f aca="false">Z790*$V790</f>
        <v>477</v>
      </c>
      <c r="AM790" s="9" t="n">
        <f aca="false">AA790*$V790</f>
        <v>477</v>
      </c>
      <c r="AN790" s="9" t="n">
        <f aca="false">AB790*$V790</f>
        <v>477</v>
      </c>
      <c r="AO790" s="9" t="n">
        <f aca="false">AC790*$V790</f>
        <v>477</v>
      </c>
      <c r="AP790" s="9" t="n">
        <f aca="false">AD790*$V790</f>
        <v>477</v>
      </c>
      <c r="AQ790" s="9" t="n">
        <f aca="false">AE790*$V790</f>
        <v>477</v>
      </c>
      <c r="AR790" s="9" t="n">
        <f aca="false">AF790*$V790</f>
        <v>477</v>
      </c>
      <c r="AS790" s="9" t="n">
        <f aca="false">AG790*$V790</f>
        <v>477</v>
      </c>
      <c r="AT790" s="9" t="n">
        <f aca="false">AH790*$V790</f>
        <v>477</v>
      </c>
      <c r="AU790" s="9" t="n">
        <f aca="false">AI790*$V790</f>
        <v>477</v>
      </c>
      <c r="AV790" s="9" t="n">
        <f aca="false">SUM(X790:AI790)/1000</f>
        <v>60</v>
      </c>
      <c r="AW790" s="9" t="n">
        <f aca="false">SUM(AJ790:AU790)</f>
        <v>5724</v>
      </c>
      <c r="AX790" s="9" t="n">
        <f aca="false">IF(D790="INR",AW790/88.24,AW790)/1000000</f>
        <v>0.005724</v>
      </c>
    </row>
    <row r="791" s="2" customFormat="true" ht="16.4" hidden="false" customHeight="false" outlineLevel="0" collapsed="false">
      <c r="A791" s="9" t="s">
        <v>1616</v>
      </c>
      <c r="B791" s="9"/>
      <c r="C791" s="15"/>
      <c r="D791" s="16" t="s">
        <v>50</v>
      </c>
      <c r="E791" s="16" t="s">
        <v>51</v>
      </c>
      <c r="F791" s="16" t="s">
        <v>52</v>
      </c>
      <c r="G791" s="16" t="s">
        <v>857</v>
      </c>
      <c r="H791" s="16" t="s">
        <v>858</v>
      </c>
      <c r="I791" s="16" t="s">
        <v>303</v>
      </c>
      <c r="J791" s="16" t="s">
        <v>304</v>
      </c>
      <c r="K791" s="16" t="s">
        <v>858</v>
      </c>
      <c r="L791" s="16" t="s">
        <v>303</v>
      </c>
      <c r="M791" s="16" t="s">
        <v>304</v>
      </c>
      <c r="N791" s="16" t="s">
        <v>79</v>
      </c>
      <c r="O791" s="16" t="s">
        <v>294</v>
      </c>
      <c r="P791" s="9" t="s">
        <v>760</v>
      </c>
      <c r="Q791" s="9" t="s">
        <v>760</v>
      </c>
      <c r="R791" s="16" t="s">
        <v>800</v>
      </c>
      <c r="S791" s="16" t="s">
        <v>968</v>
      </c>
      <c r="T791" s="9" t="s">
        <v>1432</v>
      </c>
      <c r="U791" s="16" t="s">
        <v>73</v>
      </c>
      <c r="V791" s="9" t="n">
        <v>6.1</v>
      </c>
      <c r="W791" s="9" t="n">
        <v>0.03636</v>
      </c>
      <c r="X791" s="22" t="n">
        <v>3000</v>
      </c>
      <c r="Y791" s="9" t="n">
        <v>3000</v>
      </c>
      <c r="Z791" s="9" t="n">
        <v>3000</v>
      </c>
      <c r="AA791" s="9" t="n">
        <v>3000</v>
      </c>
      <c r="AB791" s="9" t="n">
        <v>3000</v>
      </c>
      <c r="AC791" s="9" t="n">
        <v>3000</v>
      </c>
      <c r="AD791" s="9" t="n">
        <v>3000</v>
      </c>
      <c r="AE791" s="9" t="n">
        <v>3000</v>
      </c>
      <c r="AF791" s="9" t="n">
        <v>3000</v>
      </c>
      <c r="AG791" s="9" t="n">
        <v>3000</v>
      </c>
      <c r="AH791" s="9" t="n">
        <v>3000</v>
      </c>
      <c r="AI791" s="9" t="n">
        <v>3000</v>
      </c>
      <c r="AJ791" s="9" t="n">
        <f aca="false">X791*$V791</f>
        <v>18300</v>
      </c>
      <c r="AK791" s="9" t="n">
        <f aca="false">Y791*$V791</f>
        <v>18300</v>
      </c>
      <c r="AL791" s="9" t="n">
        <f aca="false">Z791*$V791</f>
        <v>18300</v>
      </c>
      <c r="AM791" s="9" t="n">
        <f aca="false">AA791*$V791</f>
        <v>18300</v>
      </c>
      <c r="AN791" s="9" t="n">
        <f aca="false">AB791*$V791</f>
        <v>18300</v>
      </c>
      <c r="AO791" s="9" t="n">
        <f aca="false">AC791*$V791</f>
        <v>18300</v>
      </c>
      <c r="AP791" s="9" t="n">
        <f aca="false">AD791*$V791</f>
        <v>18300</v>
      </c>
      <c r="AQ791" s="9" t="n">
        <f aca="false">AE791*$V791</f>
        <v>18300</v>
      </c>
      <c r="AR791" s="9" t="n">
        <f aca="false">AF791*$V791</f>
        <v>18300</v>
      </c>
      <c r="AS791" s="9" t="n">
        <f aca="false">AG791*$V791</f>
        <v>18300</v>
      </c>
      <c r="AT791" s="9" t="n">
        <f aca="false">AH791*$V791</f>
        <v>18300</v>
      </c>
      <c r="AU791" s="9" t="n">
        <f aca="false">AI791*$V791</f>
        <v>18300</v>
      </c>
      <c r="AV791" s="9" t="n">
        <f aca="false">SUM(X791:AI791)/1000</f>
        <v>36</v>
      </c>
      <c r="AW791" s="9" t="n">
        <f aca="false">SUM(AJ791:AU791)</f>
        <v>219600</v>
      </c>
      <c r="AX791" s="9" t="n">
        <f aca="false">IF(D791="INR",AW791/88.24,AW791)/1000000</f>
        <v>0.00248866727107888</v>
      </c>
    </row>
    <row r="792" s="2" customFormat="true" ht="14.25" hidden="false" customHeight="false" outlineLevel="0" collapsed="false">
      <c r="A792" s="12"/>
      <c r="B792" s="16" t="n">
        <v>1</v>
      </c>
      <c r="C792" s="15"/>
      <c r="D792" s="16" t="s">
        <v>102</v>
      </c>
      <c r="E792" s="16" t="s">
        <v>51</v>
      </c>
      <c r="F792" s="16" t="s">
        <v>52</v>
      </c>
      <c r="G792" s="16" t="s">
        <v>506</v>
      </c>
      <c r="H792" s="16" t="s">
        <v>507</v>
      </c>
      <c r="I792" s="16"/>
      <c r="J792" s="16"/>
      <c r="K792" s="16"/>
      <c r="L792" s="16" t="s">
        <v>77</v>
      </c>
      <c r="M792" s="16" t="s">
        <v>325</v>
      </c>
      <c r="N792" s="16" t="s">
        <v>79</v>
      </c>
      <c r="O792" s="16" t="s">
        <v>58</v>
      </c>
      <c r="P792" s="16"/>
      <c r="Q792" s="16" t="s">
        <v>80</v>
      </c>
      <c r="R792" s="16"/>
      <c r="S792" s="16"/>
      <c r="T792" s="16" t="s">
        <v>1617</v>
      </c>
      <c r="U792" s="16" t="s">
        <v>73</v>
      </c>
      <c r="V792" s="16" t="n">
        <v>0.41</v>
      </c>
      <c r="W792" s="16"/>
      <c r="X792" s="16" t="n">
        <v>5000</v>
      </c>
      <c r="Y792" s="16"/>
      <c r="Z792" s="16"/>
      <c r="AA792" s="16"/>
      <c r="AB792" s="16"/>
      <c r="AC792" s="16" t="n">
        <v>5000</v>
      </c>
      <c r="AD792" s="16"/>
      <c r="AE792" s="26"/>
      <c r="AF792" s="26" t="n">
        <v>5000</v>
      </c>
      <c r="AG792" s="16"/>
      <c r="AH792" s="16"/>
      <c r="AI792" s="16" t="n">
        <v>5000</v>
      </c>
      <c r="AJ792" s="9" t="n">
        <f aca="false">X792*$V792</f>
        <v>2050</v>
      </c>
      <c r="AK792" s="9" t="n">
        <f aca="false">Y792*$V792</f>
        <v>0</v>
      </c>
      <c r="AL792" s="9" t="n">
        <f aca="false">Z792*$V792</f>
        <v>0</v>
      </c>
      <c r="AM792" s="9" t="n">
        <f aca="false">AA792*$V792</f>
        <v>0</v>
      </c>
      <c r="AN792" s="9" t="n">
        <f aca="false">AB792*$V792</f>
        <v>0</v>
      </c>
      <c r="AO792" s="9" t="n">
        <f aca="false">AC792*$V792</f>
        <v>2050</v>
      </c>
      <c r="AP792" s="9" t="n">
        <f aca="false">AD792*$V792</f>
        <v>0</v>
      </c>
      <c r="AQ792" s="9" t="n">
        <f aca="false">AE792*$V792</f>
        <v>0</v>
      </c>
      <c r="AR792" s="9" t="n">
        <f aca="false">AF792*$V792</f>
        <v>2050</v>
      </c>
      <c r="AS792" s="9" t="n">
        <f aca="false">AG792*$V792</f>
        <v>0</v>
      </c>
      <c r="AT792" s="9" t="n">
        <f aca="false">AH792*$V792</f>
        <v>0</v>
      </c>
      <c r="AU792" s="9" t="n">
        <f aca="false">AI792*$V792</f>
        <v>2050</v>
      </c>
      <c r="AV792" s="9" t="n">
        <f aca="false">SUM(X792:AI792)/1000</f>
        <v>20</v>
      </c>
      <c r="AW792" s="9" t="n">
        <f aca="false">SUM(AJ792:AU792)</f>
        <v>8200</v>
      </c>
      <c r="AX792" s="9" t="n">
        <f aca="false">IF(D792="INR",AW792/88.24,AW792)/1000000</f>
        <v>0.0082</v>
      </c>
    </row>
    <row r="793" s="2" customFormat="true" ht="16.4" hidden="false" customHeight="false" outlineLevel="0" collapsed="false">
      <c r="A793" s="9" t="s">
        <v>1618</v>
      </c>
      <c r="B793" s="9"/>
      <c r="C793" s="15"/>
      <c r="D793" s="16" t="s">
        <v>50</v>
      </c>
      <c r="E793" s="16" t="s">
        <v>51</v>
      </c>
      <c r="F793" s="16" t="s">
        <v>52</v>
      </c>
      <c r="G793" s="16" t="s">
        <v>857</v>
      </c>
      <c r="H793" s="16" t="s">
        <v>858</v>
      </c>
      <c r="I793" s="16" t="s">
        <v>303</v>
      </c>
      <c r="J793" s="16" t="s">
        <v>304</v>
      </c>
      <c r="K793" s="16"/>
      <c r="L793" s="16" t="s">
        <v>303</v>
      </c>
      <c r="M793" s="16" t="s">
        <v>304</v>
      </c>
      <c r="N793" s="16" t="s">
        <v>79</v>
      </c>
      <c r="O793" s="16" t="s">
        <v>294</v>
      </c>
      <c r="P793" s="9" t="s">
        <v>69</v>
      </c>
      <c r="Q793" s="9" t="s">
        <v>69</v>
      </c>
      <c r="R793" s="16" t="s">
        <v>70</v>
      </c>
      <c r="S793" s="16" t="s">
        <v>71</v>
      </c>
      <c r="T793" s="9" t="s">
        <v>1619</v>
      </c>
      <c r="U793" s="16" t="s">
        <v>73</v>
      </c>
      <c r="V793" s="9" t="n">
        <v>8.99</v>
      </c>
      <c r="W793" s="9" t="n">
        <v>0.07</v>
      </c>
      <c r="X793" s="22" t="n">
        <v>2000</v>
      </c>
      <c r="Y793" s="9" t="n">
        <v>2000</v>
      </c>
      <c r="Z793" s="9" t="n">
        <v>2000</v>
      </c>
      <c r="AA793" s="9" t="n">
        <v>2000</v>
      </c>
      <c r="AB793" s="9" t="n">
        <v>2000</v>
      </c>
      <c r="AC793" s="9" t="n">
        <v>2000</v>
      </c>
      <c r="AD793" s="9" t="n">
        <v>2000</v>
      </c>
      <c r="AE793" s="9" t="n">
        <v>2000</v>
      </c>
      <c r="AF793" s="9" t="n">
        <v>2000</v>
      </c>
      <c r="AG793" s="9" t="n">
        <v>2000</v>
      </c>
      <c r="AH793" s="9" t="n">
        <v>2000</v>
      </c>
      <c r="AI793" s="9" t="n">
        <v>2000</v>
      </c>
      <c r="AJ793" s="9" t="n">
        <f aca="false">X793*$V793</f>
        <v>17980</v>
      </c>
      <c r="AK793" s="9" t="n">
        <f aca="false">Y793*$V793</f>
        <v>17980</v>
      </c>
      <c r="AL793" s="9" t="n">
        <f aca="false">Z793*$V793</f>
        <v>17980</v>
      </c>
      <c r="AM793" s="9" t="n">
        <f aca="false">AA793*$V793</f>
        <v>17980</v>
      </c>
      <c r="AN793" s="9" t="n">
        <f aca="false">AB793*$V793</f>
        <v>17980</v>
      </c>
      <c r="AO793" s="9" t="n">
        <f aca="false">AC793*$V793</f>
        <v>17980</v>
      </c>
      <c r="AP793" s="9" t="n">
        <f aca="false">AD793*$V793</f>
        <v>17980</v>
      </c>
      <c r="AQ793" s="9" t="n">
        <f aca="false">AE793*$V793</f>
        <v>17980</v>
      </c>
      <c r="AR793" s="9" t="n">
        <f aca="false">AF793*$V793</f>
        <v>17980</v>
      </c>
      <c r="AS793" s="9" t="n">
        <f aca="false">AG793*$V793</f>
        <v>17980</v>
      </c>
      <c r="AT793" s="9" t="n">
        <f aca="false">AH793*$V793</f>
        <v>17980</v>
      </c>
      <c r="AU793" s="9" t="n">
        <f aca="false">AI793*$V793</f>
        <v>17980</v>
      </c>
      <c r="AV793" s="9" t="n">
        <f aca="false">SUM(X793:AI793)/1000</f>
        <v>24</v>
      </c>
      <c r="AW793" s="9" t="n">
        <f aca="false">SUM(AJ793:AU793)</f>
        <v>215760</v>
      </c>
      <c r="AX793" s="9" t="n">
        <f aca="false">IF(D793="INR",AW793/88.24,AW793)/1000000</f>
        <v>0.00244514959202176</v>
      </c>
    </row>
    <row r="794" s="2" customFormat="true" ht="16.4" hidden="false" customHeight="false" outlineLevel="0" collapsed="false">
      <c r="A794" s="9" t="s">
        <v>1620</v>
      </c>
      <c r="B794" s="9" t="n">
        <v>5</v>
      </c>
      <c r="C794" s="10"/>
      <c r="D794" s="9" t="s">
        <v>50</v>
      </c>
      <c r="E794" s="9" t="s">
        <v>51</v>
      </c>
      <c r="F794" s="9" t="s">
        <v>52</v>
      </c>
      <c r="G794" s="9" t="s">
        <v>254</v>
      </c>
      <c r="H794" s="9" t="s">
        <v>255</v>
      </c>
      <c r="I794" s="9" t="s">
        <v>55</v>
      </c>
      <c r="J794" s="9" t="s">
        <v>256</v>
      </c>
      <c r="K794" s="9"/>
      <c r="L794" s="9" t="s">
        <v>55</v>
      </c>
      <c r="M794" s="9" t="s">
        <v>256</v>
      </c>
      <c r="N794" s="9" t="s">
        <v>67</v>
      </c>
      <c r="O794" s="9" t="s">
        <v>246</v>
      </c>
      <c r="P794" s="9" t="s">
        <v>308</v>
      </c>
      <c r="Q794" s="9" t="s">
        <v>308</v>
      </c>
      <c r="R794" s="9" t="s">
        <v>309</v>
      </c>
      <c r="S794" s="9" t="s">
        <v>264</v>
      </c>
      <c r="T794" s="9" t="s">
        <v>1621</v>
      </c>
      <c r="U794" s="9" t="s">
        <v>73</v>
      </c>
      <c r="V794" s="9" t="n">
        <v>0.59</v>
      </c>
      <c r="W794" s="9" t="n">
        <v>0.48</v>
      </c>
      <c r="X794" s="9" t="n">
        <v>30000</v>
      </c>
      <c r="Y794" s="9" t="n">
        <v>30000</v>
      </c>
      <c r="Z794" s="9" t="n">
        <v>30000</v>
      </c>
      <c r="AA794" s="9" t="n">
        <v>30000</v>
      </c>
      <c r="AB794" s="9" t="n">
        <v>30000</v>
      </c>
      <c r="AC794" s="9" t="n">
        <v>30000</v>
      </c>
      <c r="AD794" s="9" t="n">
        <v>30000</v>
      </c>
      <c r="AE794" s="9" t="n">
        <v>30000</v>
      </c>
      <c r="AF794" s="9" t="n">
        <v>30000</v>
      </c>
      <c r="AG794" s="9" t="n">
        <v>30000</v>
      </c>
      <c r="AH794" s="9" t="n">
        <v>30000</v>
      </c>
      <c r="AI794" s="9" t="n">
        <v>30000</v>
      </c>
      <c r="AJ794" s="9" t="n">
        <f aca="false">X794*$V794</f>
        <v>17700</v>
      </c>
      <c r="AK794" s="9" t="n">
        <f aca="false">Y794*$V794</f>
        <v>17700</v>
      </c>
      <c r="AL794" s="9" t="n">
        <f aca="false">Z794*$V794</f>
        <v>17700</v>
      </c>
      <c r="AM794" s="9" t="n">
        <f aca="false">AA794*$V794</f>
        <v>17700</v>
      </c>
      <c r="AN794" s="9" t="n">
        <f aca="false">AB794*$V794</f>
        <v>17700</v>
      </c>
      <c r="AO794" s="9" t="n">
        <f aca="false">AC794*$V794</f>
        <v>17700</v>
      </c>
      <c r="AP794" s="9" t="n">
        <f aca="false">AD794*$V794</f>
        <v>17700</v>
      </c>
      <c r="AQ794" s="9" t="n">
        <f aca="false">AE794*$V794</f>
        <v>17700</v>
      </c>
      <c r="AR794" s="9" t="n">
        <f aca="false">AF794*$V794</f>
        <v>17700</v>
      </c>
      <c r="AS794" s="9" t="n">
        <f aca="false">AG794*$V794</f>
        <v>17700</v>
      </c>
      <c r="AT794" s="9" t="n">
        <f aca="false">AH794*$V794</f>
        <v>17700</v>
      </c>
      <c r="AU794" s="9" t="n">
        <f aca="false">AI794*$V794</f>
        <v>17700</v>
      </c>
      <c r="AV794" s="9" t="n">
        <f aca="false">SUM(X794:AI794)/1000</f>
        <v>360</v>
      </c>
      <c r="AW794" s="9" t="n">
        <f aca="false">SUM(AJ794:AU794)</f>
        <v>212400</v>
      </c>
      <c r="AX794" s="9" t="n">
        <f aca="false">IF(D794="INR",AW794/88.24,AW794)/1000000</f>
        <v>0.00240707162284678</v>
      </c>
    </row>
    <row r="795" s="2" customFormat="true" ht="14.25" hidden="false" customHeight="false" outlineLevel="0" collapsed="false">
      <c r="A795" s="12"/>
      <c r="B795" s="16" t="n">
        <v>1</v>
      </c>
      <c r="C795" s="15"/>
      <c r="D795" s="16" t="s">
        <v>102</v>
      </c>
      <c r="E795" s="16" t="s">
        <v>51</v>
      </c>
      <c r="F795" s="16" t="s">
        <v>52</v>
      </c>
      <c r="G795" s="16" t="s">
        <v>506</v>
      </c>
      <c r="H795" s="16" t="s">
        <v>507</v>
      </c>
      <c r="I795" s="16"/>
      <c r="J795" s="16"/>
      <c r="K795" s="16"/>
      <c r="L795" s="16" t="s">
        <v>77</v>
      </c>
      <c r="M795" s="16" t="s">
        <v>325</v>
      </c>
      <c r="N795" s="16" t="s">
        <v>79</v>
      </c>
      <c r="O795" s="16" t="s">
        <v>58</v>
      </c>
      <c r="P795" s="16"/>
      <c r="Q795" s="16" t="s">
        <v>188</v>
      </c>
      <c r="R795" s="16"/>
      <c r="S795" s="16"/>
      <c r="T795" s="16" t="s">
        <v>1622</v>
      </c>
      <c r="U795" s="16" t="s">
        <v>73</v>
      </c>
      <c r="V795" s="16"/>
      <c r="W795" s="16"/>
      <c r="X795" s="16" t="n">
        <v>1000</v>
      </c>
      <c r="Y795" s="16" t="n">
        <v>1000</v>
      </c>
      <c r="Z795" s="16" t="n">
        <v>1000</v>
      </c>
      <c r="AA795" s="16" t="n">
        <v>1000</v>
      </c>
      <c r="AB795" s="16" t="n">
        <v>1000</v>
      </c>
      <c r="AC795" s="16" t="n">
        <v>1000</v>
      </c>
      <c r="AD795" s="16" t="n">
        <v>1000</v>
      </c>
      <c r="AE795" s="16" t="n">
        <v>1000</v>
      </c>
      <c r="AF795" s="16" t="n">
        <v>1000</v>
      </c>
      <c r="AG795" s="16" t="n">
        <v>1000</v>
      </c>
      <c r="AH795" s="16" t="n">
        <v>1000</v>
      </c>
      <c r="AI795" s="16" t="n">
        <v>1000</v>
      </c>
      <c r="AJ795" s="9" t="n">
        <f aca="false">X795*$V795</f>
        <v>0</v>
      </c>
      <c r="AK795" s="9" t="n">
        <f aca="false">Y795*$V795</f>
        <v>0</v>
      </c>
      <c r="AL795" s="9" t="n">
        <f aca="false">Z795*$V795</f>
        <v>0</v>
      </c>
      <c r="AM795" s="9" t="n">
        <f aca="false">AA795*$V795</f>
        <v>0</v>
      </c>
      <c r="AN795" s="9" t="n">
        <f aca="false">AB795*$V795</f>
        <v>0</v>
      </c>
      <c r="AO795" s="9" t="n">
        <f aca="false">AC795*$V795</f>
        <v>0</v>
      </c>
      <c r="AP795" s="9" t="n">
        <f aca="false">AD795*$V795</f>
        <v>0</v>
      </c>
      <c r="AQ795" s="9" t="n">
        <f aca="false">AE795*$V795</f>
        <v>0</v>
      </c>
      <c r="AR795" s="9" t="n">
        <f aca="false">AF795*$V795</f>
        <v>0</v>
      </c>
      <c r="AS795" s="9" t="n">
        <f aca="false">AG795*$V795</f>
        <v>0</v>
      </c>
      <c r="AT795" s="9" t="n">
        <f aca="false">AH795*$V795</f>
        <v>0</v>
      </c>
      <c r="AU795" s="9" t="n">
        <f aca="false">AI795*$V795</f>
        <v>0</v>
      </c>
      <c r="AV795" s="9" t="n">
        <f aca="false">SUM(X795:AI795)/1000</f>
        <v>12</v>
      </c>
      <c r="AW795" s="9" t="n">
        <f aca="false">SUM(AJ795:AU795)</f>
        <v>0</v>
      </c>
      <c r="AX795" s="9" t="n">
        <f aca="false">IF(D795="INR",AW795/88.24,AW795)/1000000</f>
        <v>0</v>
      </c>
    </row>
    <row r="796" s="2" customFormat="true" ht="14.25" hidden="false" customHeight="false" outlineLevel="0" collapsed="false">
      <c r="A796" s="12" t="s">
        <v>1623</v>
      </c>
      <c r="B796" s="9" t="n">
        <v>5</v>
      </c>
      <c r="C796" s="10"/>
      <c r="D796" s="9" t="s">
        <v>102</v>
      </c>
      <c r="E796" s="9" t="s">
        <v>51</v>
      </c>
      <c r="F796" s="9" t="s">
        <v>52</v>
      </c>
      <c r="G796" s="9" t="s">
        <v>506</v>
      </c>
      <c r="H796" s="9" t="s">
        <v>507</v>
      </c>
      <c r="I796" s="9" t="s">
        <v>260</v>
      </c>
      <c r="J796" s="9" t="s">
        <v>1381</v>
      </c>
      <c r="K796" s="9"/>
      <c r="L796" s="9" t="s">
        <v>260</v>
      </c>
      <c r="M796" s="9" t="s">
        <v>1381</v>
      </c>
      <c r="N796" s="9" t="s">
        <v>79</v>
      </c>
      <c r="O796" s="9" t="s">
        <v>68</v>
      </c>
      <c r="P796" s="9" t="s">
        <v>85</v>
      </c>
      <c r="Q796" s="9" t="s">
        <v>85</v>
      </c>
      <c r="R796" s="9" t="s">
        <v>86</v>
      </c>
      <c r="S796" s="9" t="s">
        <v>87</v>
      </c>
      <c r="T796" s="9" t="s">
        <v>1204</v>
      </c>
      <c r="U796" s="9" t="s">
        <v>73</v>
      </c>
      <c r="V796" s="9" t="n">
        <v>0.088</v>
      </c>
      <c r="W796" s="9" t="n">
        <v>0.072</v>
      </c>
      <c r="X796" s="9"/>
      <c r="Y796" s="9"/>
      <c r="Z796" s="9"/>
      <c r="AA796" s="9" t="n">
        <v>1800</v>
      </c>
      <c r="AB796" s="9" t="n">
        <v>1800</v>
      </c>
      <c r="AC796" s="9"/>
      <c r="AD796" s="9" t="n">
        <v>1800</v>
      </c>
      <c r="AE796" s="9" t="n">
        <v>1800</v>
      </c>
      <c r="AF796" s="9"/>
      <c r="AG796" s="9" t="n">
        <v>1800</v>
      </c>
      <c r="AH796" s="9"/>
      <c r="AI796" s="9" t="n">
        <v>1800</v>
      </c>
      <c r="AJ796" s="9" t="n">
        <f aca="false">X796*$V796</f>
        <v>0</v>
      </c>
      <c r="AK796" s="9" t="n">
        <f aca="false">Y796*$V796</f>
        <v>0</v>
      </c>
      <c r="AL796" s="9" t="n">
        <f aca="false">Z796*$V796</f>
        <v>0</v>
      </c>
      <c r="AM796" s="9" t="n">
        <f aca="false">AA796*$V796</f>
        <v>158.4</v>
      </c>
      <c r="AN796" s="9" t="n">
        <f aca="false">AB796*$V796</f>
        <v>158.4</v>
      </c>
      <c r="AO796" s="9" t="n">
        <f aca="false">AC796*$V796</f>
        <v>0</v>
      </c>
      <c r="AP796" s="9" t="n">
        <f aca="false">AD796*$V796</f>
        <v>158.4</v>
      </c>
      <c r="AQ796" s="9" t="n">
        <f aca="false">AE796*$V796</f>
        <v>158.4</v>
      </c>
      <c r="AR796" s="9" t="n">
        <f aca="false">AF796*$V796</f>
        <v>0</v>
      </c>
      <c r="AS796" s="9" t="n">
        <f aca="false">AG796*$V796</f>
        <v>158.4</v>
      </c>
      <c r="AT796" s="9" t="n">
        <f aca="false">AH796*$V796</f>
        <v>0</v>
      </c>
      <c r="AU796" s="9" t="n">
        <f aca="false">AI796*$V796</f>
        <v>158.4</v>
      </c>
      <c r="AV796" s="9" t="n">
        <f aca="false">SUM(X796:AI796)/1000</f>
        <v>10.8</v>
      </c>
      <c r="AW796" s="9" t="n">
        <f aca="false">SUM(AJ796:AU796)</f>
        <v>950.4</v>
      </c>
      <c r="AX796" s="9" t="n">
        <f aca="false">IF(D796="INR",AW796/88.24,AW796)/1000000</f>
        <v>0.0009504</v>
      </c>
    </row>
    <row r="797" s="2" customFormat="true" ht="14.25" hidden="false" customHeight="false" outlineLevel="0" collapsed="false">
      <c r="A797" s="9"/>
      <c r="B797" s="9" t="n">
        <v>1</v>
      </c>
      <c r="C797" s="10"/>
      <c r="D797" s="9" t="s">
        <v>102</v>
      </c>
      <c r="E797" s="9" t="s">
        <v>51</v>
      </c>
      <c r="F797" s="9" t="s">
        <v>52</v>
      </c>
      <c r="G797" s="9" t="s">
        <v>506</v>
      </c>
      <c r="H797" s="9" t="s">
        <v>507</v>
      </c>
      <c r="I797" s="9"/>
      <c r="J797" s="9"/>
      <c r="K797" s="9"/>
      <c r="L797" s="9" t="s">
        <v>77</v>
      </c>
      <c r="M797" s="9" t="s">
        <v>325</v>
      </c>
      <c r="N797" s="9" t="s">
        <v>79</v>
      </c>
      <c r="O797" s="9" t="s">
        <v>58</v>
      </c>
      <c r="P797" s="9"/>
      <c r="Q797" s="9" t="s">
        <v>80</v>
      </c>
      <c r="R797" s="9"/>
      <c r="S797" s="9"/>
      <c r="T797" s="9" t="s">
        <v>1624</v>
      </c>
      <c r="U797" s="9" t="s">
        <v>73</v>
      </c>
      <c r="V797" s="9" t="n">
        <v>11.4</v>
      </c>
      <c r="W797" s="9"/>
      <c r="X797" s="9" t="n">
        <v>750</v>
      </c>
      <c r="Y797" s="9" t="n">
        <v>750</v>
      </c>
      <c r="Z797" s="9" t="n">
        <v>750</v>
      </c>
      <c r="AA797" s="9" t="n">
        <v>750</v>
      </c>
      <c r="AB797" s="9" t="n">
        <v>750</v>
      </c>
      <c r="AC797" s="9" t="n">
        <v>750</v>
      </c>
      <c r="AD797" s="9" t="n">
        <v>750</v>
      </c>
      <c r="AE797" s="9" t="n">
        <v>750</v>
      </c>
      <c r="AF797" s="9" t="n">
        <v>750</v>
      </c>
      <c r="AG797" s="9" t="n">
        <v>750</v>
      </c>
      <c r="AH797" s="9" t="n">
        <v>750</v>
      </c>
      <c r="AI797" s="9" t="n">
        <v>750</v>
      </c>
      <c r="AJ797" s="9" t="n">
        <f aca="false">X797*$V797</f>
        <v>8550</v>
      </c>
      <c r="AK797" s="9" t="n">
        <f aca="false">Y797*$V797</f>
        <v>8550</v>
      </c>
      <c r="AL797" s="9" t="n">
        <f aca="false">Z797*$V797</f>
        <v>8550</v>
      </c>
      <c r="AM797" s="9" t="n">
        <f aca="false">AA797*$V797</f>
        <v>8550</v>
      </c>
      <c r="AN797" s="9" t="n">
        <f aca="false">AB797*$V797</f>
        <v>8550</v>
      </c>
      <c r="AO797" s="9" t="n">
        <f aca="false">AC797*$V797</f>
        <v>8550</v>
      </c>
      <c r="AP797" s="9" t="n">
        <f aca="false">AD797*$V797</f>
        <v>8550</v>
      </c>
      <c r="AQ797" s="9" t="n">
        <f aca="false">AE797*$V797</f>
        <v>8550</v>
      </c>
      <c r="AR797" s="9" t="n">
        <f aca="false">AF797*$V797</f>
        <v>8550</v>
      </c>
      <c r="AS797" s="9" t="n">
        <f aca="false">AG797*$V797</f>
        <v>8550</v>
      </c>
      <c r="AT797" s="9" t="n">
        <f aca="false">AH797*$V797</f>
        <v>8550</v>
      </c>
      <c r="AU797" s="9" t="n">
        <f aca="false">AI797*$V797</f>
        <v>8550</v>
      </c>
      <c r="AV797" s="9" t="n">
        <f aca="false">SUM(X797:AI797)/1000</f>
        <v>9</v>
      </c>
      <c r="AW797" s="9" t="n">
        <f aca="false">SUM(AJ797:AU797)</f>
        <v>102600</v>
      </c>
      <c r="AX797" s="9" t="n">
        <f aca="false">IF(D797="INR",AW797/88.24,AW797)/1000000</f>
        <v>0.1026</v>
      </c>
    </row>
    <row r="798" s="2" customFormat="true" ht="16.4" hidden="false" customHeight="false" outlineLevel="0" collapsed="false">
      <c r="A798" s="9" t="s">
        <v>1625</v>
      </c>
      <c r="B798" s="9" t="n">
        <v>5</v>
      </c>
      <c r="C798" s="10"/>
      <c r="D798" s="9" t="s">
        <v>50</v>
      </c>
      <c r="E798" s="16" t="s">
        <v>51</v>
      </c>
      <c r="F798" s="9" t="s">
        <v>52</v>
      </c>
      <c r="G798" s="9" t="s">
        <v>494</v>
      </c>
      <c r="H798" s="9" t="s">
        <v>495</v>
      </c>
      <c r="I798" s="9" t="s">
        <v>77</v>
      </c>
      <c r="J798" s="9" t="s">
        <v>496</v>
      </c>
      <c r="K798" s="16" t="s">
        <v>495</v>
      </c>
      <c r="L798" s="16" t="s">
        <v>77</v>
      </c>
      <c r="M798" s="16" t="s">
        <v>496</v>
      </c>
      <c r="N798" s="16" t="s">
        <v>57</v>
      </c>
      <c r="O798" s="16" t="s">
        <v>94</v>
      </c>
      <c r="P798" s="16" t="s">
        <v>308</v>
      </c>
      <c r="Q798" s="16" t="s">
        <v>308</v>
      </c>
      <c r="R798" s="16" t="s">
        <v>309</v>
      </c>
      <c r="S798" s="16" t="s">
        <v>264</v>
      </c>
      <c r="T798" s="9" t="s">
        <v>513</v>
      </c>
      <c r="U798" s="16" t="s">
        <v>73</v>
      </c>
      <c r="V798" s="9" t="n">
        <v>0.43</v>
      </c>
      <c r="W798" s="9" t="n">
        <v>0.39</v>
      </c>
      <c r="X798" s="22" t="n">
        <v>40000</v>
      </c>
      <c r="Y798" s="9" t="n">
        <v>40000</v>
      </c>
      <c r="Z798" s="9" t="n">
        <v>40000</v>
      </c>
      <c r="AA798" s="9" t="n">
        <v>40000</v>
      </c>
      <c r="AB798" s="9" t="n">
        <v>40000</v>
      </c>
      <c r="AC798" s="9" t="n">
        <v>40000</v>
      </c>
      <c r="AD798" s="9" t="n">
        <v>40000</v>
      </c>
      <c r="AE798" s="9" t="n">
        <v>40000</v>
      </c>
      <c r="AF798" s="9" t="n">
        <v>40000</v>
      </c>
      <c r="AG798" s="9" t="n">
        <v>40000</v>
      </c>
      <c r="AH798" s="9" t="n">
        <v>40000</v>
      </c>
      <c r="AI798" s="9" t="n">
        <v>40000</v>
      </c>
      <c r="AJ798" s="9" t="n">
        <f aca="false">X798*$V798</f>
        <v>17200</v>
      </c>
      <c r="AK798" s="9" t="n">
        <f aca="false">Y798*$V798</f>
        <v>17200</v>
      </c>
      <c r="AL798" s="9" t="n">
        <f aca="false">Z798*$V798</f>
        <v>17200</v>
      </c>
      <c r="AM798" s="9" t="n">
        <f aca="false">AA798*$V798</f>
        <v>17200</v>
      </c>
      <c r="AN798" s="9" t="n">
        <f aca="false">AB798*$V798</f>
        <v>17200</v>
      </c>
      <c r="AO798" s="9" t="n">
        <f aca="false">AC798*$V798</f>
        <v>17200</v>
      </c>
      <c r="AP798" s="9" t="n">
        <f aca="false">AD798*$V798</f>
        <v>17200</v>
      </c>
      <c r="AQ798" s="9" t="n">
        <f aca="false">AE798*$V798</f>
        <v>17200</v>
      </c>
      <c r="AR798" s="9" t="n">
        <f aca="false">AF798*$V798</f>
        <v>17200</v>
      </c>
      <c r="AS798" s="9" t="n">
        <f aca="false">AG798*$V798</f>
        <v>17200</v>
      </c>
      <c r="AT798" s="9" t="n">
        <f aca="false">AH798*$V798</f>
        <v>17200</v>
      </c>
      <c r="AU798" s="9" t="n">
        <f aca="false">AI798*$V798</f>
        <v>17200</v>
      </c>
      <c r="AV798" s="9" t="n">
        <f aca="false">SUM(X798:AI798)/1000</f>
        <v>480</v>
      </c>
      <c r="AW798" s="9" t="n">
        <f aca="false">SUM(AJ798:AU798)</f>
        <v>206400</v>
      </c>
      <c r="AX798" s="9" t="n">
        <f aca="false">IF(D798="INR",AW798/88.24,AW798)/1000000</f>
        <v>0.00233907524932004</v>
      </c>
    </row>
    <row r="799" s="2" customFormat="true" ht="16.4" hidden="false" customHeight="false" outlineLevel="0" collapsed="false">
      <c r="A799" s="9" t="s">
        <v>1626</v>
      </c>
      <c r="B799" s="9" t="n">
        <v>5</v>
      </c>
      <c r="C799" s="10"/>
      <c r="D799" s="9" t="s">
        <v>50</v>
      </c>
      <c r="E799" s="9" t="s">
        <v>51</v>
      </c>
      <c r="F799" s="9" t="s">
        <v>52</v>
      </c>
      <c r="G799" s="9" t="s">
        <v>947</v>
      </c>
      <c r="H799" s="9" t="s">
        <v>948</v>
      </c>
      <c r="I799" s="9" t="s">
        <v>1005</v>
      </c>
      <c r="J799" s="9" t="s">
        <v>1094</v>
      </c>
      <c r="K799" s="9"/>
      <c r="L799" s="9" t="s">
        <v>1005</v>
      </c>
      <c r="M799" s="9" t="s">
        <v>1094</v>
      </c>
      <c r="N799" s="9" t="s">
        <v>79</v>
      </c>
      <c r="O799" s="9" t="s">
        <v>315</v>
      </c>
      <c r="P799" s="9" t="s">
        <v>308</v>
      </c>
      <c r="Q799" s="9" t="s">
        <v>308</v>
      </c>
      <c r="R799" s="9" t="s">
        <v>309</v>
      </c>
      <c r="S799" s="9" t="s">
        <v>264</v>
      </c>
      <c r="T799" s="9" t="s">
        <v>487</v>
      </c>
      <c r="U799" s="9" t="s">
        <v>73</v>
      </c>
      <c r="V799" s="9" t="n">
        <v>0.76</v>
      </c>
      <c r="W799" s="9" t="n">
        <v>0.68</v>
      </c>
      <c r="X799" s="9" t="n">
        <v>22500</v>
      </c>
      <c r="Y799" s="9" t="n">
        <v>22500</v>
      </c>
      <c r="Z799" s="9" t="n">
        <v>22500</v>
      </c>
      <c r="AA799" s="9" t="n">
        <v>22500</v>
      </c>
      <c r="AB799" s="9" t="n">
        <v>22500</v>
      </c>
      <c r="AC799" s="9"/>
      <c r="AD799" s="9" t="n">
        <v>22500</v>
      </c>
      <c r="AE799" s="9" t="n">
        <v>22500</v>
      </c>
      <c r="AF799" s="9" t="n">
        <v>22500</v>
      </c>
      <c r="AG799" s="9" t="n">
        <v>22500</v>
      </c>
      <c r="AH799" s="9" t="n">
        <v>22500</v>
      </c>
      <c r="AI799" s="9"/>
      <c r="AJ799" s="9" t="n">
        <f aca="false">X799*$V799</f>
        <v>17100</v>
      </c>
      <c r="AK799" s="9" t="n">
        <f aca="false">Y799*$V799</f>
        <v>17100</v>
      </c>
      <c r="AL799" s="9" t="n">
        <f aca="false">Z799*$V799</f>
        <v>17100</v>
      </c>
      <c r="AM799" s="9" t="n">
        <f aca="false">AA799*$V799</f>
        <v>17100</v>
      </c>
      <c r="AN799" s="9" t="n">
        <f aca="false">AB799*$V799</f>
        <v>17100</v>
      </c>
      <c r="AO799" s="9" t="n">
        <f aca="false">AC799*$V799</f>
        <v>0</v>
      </c>
      <c r="AP799" s="9" t="n">
        <f aca="false">AD799*$V799</f>
        <v>17100</v>
      </c>
      <c r="AQ799" s="9" t="n">
        <f aca="false">AE799*$V799</f>
        <v>17100</v>
      </c>
      <c r="AR799" s="9" t="n">
        <f aca="false">AF799*$V799</f>
        <v>17100</v>
      </c>
      <c r="AS799" s="9" t="n">
        <f aca="false">AG799*$V799</f>
        <v>17100</v>
      </c>
      <c r="AT799" s="9" t="n">
        <f aca="false">AH799*$V799</f>
        <v>17100</v>
      </c>
      <c r="AU799" s="9" t="n">
        <f aca="false">AI799*$V799</f>
        <v>0</v>
      </c>
      <c r="AV799" s="9" t="n">
        <f aca="false">SUM(X799:AI799)/1000</f>
        <v>225</v>
      </c>
      <c r="AW799" s="9" t="n">
        <f aca="false">SUM(AJ799:AU799)</f>
        <v>171000</v>
      </c>
      <c r="AX799" s="9" t="n">
        <f aca="false">IF(D799="INR",AW799/88.24,AW799)/1000000</f>
        <v>0.00193789664551224</v>
      </c>
    </row>
    <row r="800" s="2" customFormat="true" ht="16.4" hidden="false" customHeight="false" outlineLevel="0" collapsed="false">
      <c r="A800" s="9" t="s">
        <v>1627</v>
      </c>
      <c r="B800" s="9" t="n">
        <v>5</v>
      </c>
      <c r="C800" s="10"/>
      <c r="D800" s="9" t="s">
        <v>50</v>
      </c>
      <c r="E800" s="9" t="s">
        <v>51</v>
      </c>
      <c r="F800" s="9" t="s">
        <v>52</v>
      </c>
      <c r="G800" s="9" t="s">
        <v>494</v>
      </c>
      <c r="H800" s="9" t="s">
        <v>495</v>
      </c>
      <c r="I800" s="9" t="s">
        <v>77</v>
      </c>
      <c r="J800" s="9" t="s">
        <v>496</v>
      </c>
      <c r="K800" s="9" t="s">
        <v>495</v>
      </c>
      <c r="L800" s="9" t="s">
        <v>77</v>
      </c>
      <c r="M800" s="9" t="s">
        <v>496</v>
      </c>
      <c r="N800" s="16" t="s">
        <v>57</v>
      </c>
      <c r="O800" s="9" t="s">
        <v>94</v>
      </c>
      <c r="P800" s="9" t="s">
        <v>308</v>
      </c>
      <c r="Q800" s="9" t="s">
        <v>308</v>
      </c>
      <c r="R800" s="9" t="s">
        <v>309</v>
      </c>
      <c r="S800" s="9" t="s">
        <v>264</v>
      </c>
      <c r="T800" s="9" t="s">
        <v>1628</v>
      </c>
      <c r="U800" s="9" t="s">
        <v>73</v>
      </c>
      <c r="V800" s="9" t="n">
        <v>2.13</v>
      </c>
      <c r="W800" s="9" t="n">
        <v>1.85</v>
      </c>
      <c r="X800" s="9" t="n">
        <v>8000</v>
      </c>
      <c r="Y800" s="9" t="n">
        <v>8000</v>
      </c>
      <c r="Z800" s="9" t="n">
        <v>8000</v>
      </c>
      <c r="AA800" s="9" t="n">
        <v>8000</v>
      </c>
      <c r="AB800" s="9" t="n">
        <v>8000</v>
      </c>
      <c r="AC800" s="9" t="n">
        <v>8000</v>
      </c>
      <c r="AD800" s="9" t="n">
        <v>8000</v>
      </c>
      <c r="AE800" s="9" t="n">
        <v>8000</v>
      </c>
      <c r="AF800" s="9" t="n">
        <v>8000</v>
      </c>
      <c r="AG800" s="9" t="n">
        <v>8000</v>
      </c>
      <c r="AH800" s="9" t="n">
        <v>8000</v>
      </c>
      <c r="AI800" s="9" t="n">
        <v>8000</v>
      </c>
      <c r="AJ800" s="9" t="n">
        <f aca="false">X800*$V800</f>
        <v>17040</v>
      </c>
      <c r="AK800" s="9" t="n">
        <f aca="false">Y800*$V800</f>
        <v>17040</v>
      </c>
      <c r="AL800" s="9" t="n">
        <f aca="false">Z800*$V800</f>
        <v>17040</v>
      </c>
      <c r="AM800" s="9" t="n">
        <f aca="false">AA800*$V800</f>
        <v>17040</v>
      </c>
      <c r="AN800" s="9" t="n">
        <f aca="false">AB800*$V800</f>
        <v>17040</v>
      </c>
      <c r="AO800" s="9" t="n">
        <f aca="false">AC800*$V800</f>
        <v>17040</v>
      </c>
      <c r="AP800" s="9" t="n">
        <f aca="false">AD800*$V800</f>
        <v>17040</v>
      </c>
      <c r="AQ800" s="9" t="n">
        <f aca="false">AE800*$V800</f>
        <v>17040</v>
      </c>
      <c r="AR800" s="9" t="n">
        <f aca="false">AF800*$V800</f>
        <v>17040</v>
      </c>
      <c r="AS800" s="9" t="n">
        <f aca="false">AG800*$V800</f>
        <v>17040</v>
      </c>
      <c r="AT800" s="9" t="n">
        <f aca="false">AH800*$V800</f>
        <v>17040</v>
      </c>
      <c r="AU800" s="9" t="n">
        <f aca="false">AI800*$V800</f>
        <v>17040</v>
      </c>
      <c r="AV800" s="9" t="n">
        <f aca="false">SUM(X800:AI800)/1000</f>
        <v>96</v>
      </c>
      <c r="AW800" s="9" t="n">
        <f aca="false">SUM(AJ800:AU800)</f>
        <v>204480</v>
      </c>
      <c r="AX800" s="9" t="n">
        <f aca="false">IF(D800="INR",AW800/88.24,AW800)/1000000</f>
        <v>0.00231731640979148</v>
      </c>
    </row>
    <row r="801" s="2" customFormat="true" ht="14.25" hidden="false" customHeight="true" outlineLevel="0" collapsed="false">
      <c r="A801" s="12" t="s">
        <v>1629</v>
      </c>
      <c r="B801" s="16"/>
      <c r="C801" s="15"/>
      <c r="D801" s="16" t="s">
        <v>50</v>
      </c>
      <c r="E801" s="16" t="s">
        <v>51</v>
      </c>
      <c r="F801" s="16" t="s">
        <v>52</v>
      </c>
      <c r="G801" s="16" t="s">
        <v>1630</v>
      </c>
      <c r="H801" s="16" t="s">
        <v>1631</v>
      </c>
      <c r="I801" s="16" t="s">
        <v>260</v>
      </c>
      <c r="J801" s="16" t="s">
        <v>276</v>
      </c>
      <c r="K801" s="16"/>
      <c r="L801" s="16" t="s">
        <v>260</v>
      </c>
      <c r="M801" s="16" t="s">
        <v>276</v>
      </c>
      <c r="N801" s="16" t="s">
        <v>79</v>
      </c>
      <c r="O801" s="16" t="s">
        <v>94</v>
      </c>
      <c r="P801" s="16" t="s">
        <v>789</v>
      </c>
      <c r="Q801" s="16" t="s">
        <v>789</v>
      </c>
      <c r="R801" s="16" t="s">
        <v>377</v>
      </c>
      <c r="S801" s="16" t="s">
        <v>528</v>
      </c>
      <c r="T801" s="16" t="s">
        <v>1632</v>
      </c>
      <c r="U801" s="16" t="s">
        <v>73</v>
      </c>
      <c r="V801" s="16" t="n">
        <v>5.6</v>
      </c>
      <c r="W801" s="16" t="n">
        <v>0.04</v>
      </c>
      <c r="X801" s="22" t="n">
        <v>3000</v>
      </c>
      <c r="Y801" s="16" t="n">
        <v>3000</v>
      </c>
      <c r="Z801" s="16" t="n">
        <v>3000</v>
      </c>
      <c r="AA801" s="16" t="n">
        <v>3000</v>
      </c>
      <c r="AB801" s="16" t="n">
        <v>3000</v>
      </c>
      <c r="AC801" s="16" t="n">
        <v>3000</v>
      </c>
      <c r="AD801" s="16" t="n">
        <v>3000</v>
      </c>
      <c r="AE801" s="16" t="n">
        <v>3000</v>
      </c>
      <c r="AF801" s="16" t="n">
        <v>3000</v>
      </c>
      <c r="AG801" s="16" t="n">
        <v>3000</v>
      </c>
      <c r="AH801" s="16" t="n">
        <v>3000</v>
      </c>
      <c r="AI801" s="16" t="n">
        <v>3000</v>
      </c>
      <c r="AJ801" s="9" t="n">
        <f aca="false">X801*$V801</f>
        <v>16800</v>
      </c>
      <c r="AK801" s="9" t="n">
        <f aca="false">Y801*$V801</f>
        <v>16800</v>
      </c>
      <c r="AL801" s="9" t="n">
        <f aca="false">Z801*$V801</f>
        <v>16800</v>
      </c>
      <c r="AM801" s="9" t="n">
        <f aca="false">AA801*$V801</f>
        <v>16800</v>
      </c>
      <c r="AN801" s="9" t="n">
        <f aca="false">AB801*$V801</f>
        <v>16800</v>
      </c>
      <c r="AO801" s="9" t="n">
        <f aca="false">AC801*$V801</f>
        <v>16800</v>
      </c>
      <c r="AP801" s="9" t="n">
        <f aca="false">AD801*$V801</f>
        <v>16800</v>
      </c>
      <c r="AQ801" s="9" t="n">
        <f aca="false">AE801*$V801</f>
        <v>16800</v>
      </c>
      <c r="AR801" s="9" t="n">
        <f aca="false">AF801*$V801</f>
        <v>16800</v>
      </c>
      <c r="AS801" s="9" t="n">
        <f aca="false">AG801*$V801</f>
        <v>16800</v>
      </c>
      <c r="AT801" s="9" t="n">
        <f aca="false">AH801*$V801</f>
        <v>16800</v>
      </c>
      <c r="AU801" s="9" t="n">
        <f aca="false">AI801*$V801</f>
        <v>16800</v>
      </c>
      <c r="AV801" s="9" t="n">
        <f aca="false">SUM(X801:AI801)/1000</f>
        <v>36</v>
      </c>
      <c r="AW801" s="9" t="n">
        <f aca="false">SUM(AJ801:AU801)</f>
        <v>201600</v>
      </c>
      <c r="AX801" s="9" t="n">
        <f aca="false">IF(D801="INR",AW801/88.24,AW801)/1000000</f>
        <v>0.00228467815049864</v>
      </c>
    </row>
    <row r="802" s="2" customFormat="true" ht="16.4" hidden="false" customHeight="false" outlineLevel="0" collapsed="false">
      <c r="A802" s="9" t="s">
        <v>1633</v>
      </c>
      <c r="B802" s="16" t="n">
        <v>5</v>
      </c>
      <c r="C802" s="9"/>
      <c r="D802" s="16" t="s">
        <v>102</v>
      </c>
      <c r="E802" s="9" t="s">
        <v>51</v>
      </c>
      <c r="F802" s="16" t="s">
        <v>52</v>
      </c>
      <c r="G802" s="16" t="s">
        <v>323</v>
      </c>
      <c r="H802" s="16" t="s">
        <v>324</v>
      </c>
      <c r="I802" s="9" t="s">
        <v>260</v>
      </c>
      <c r="J802" s="9" t="s">
        <v>520</v>
      </c>
      <c r="K802" s="9"/>
      <c r="L802" s="9" t="s">
        <v>260</v>
      </c>
      <c r="M802" s="9" t="s">
        <v>520</v>
      </c>
      <c r="N802" s="16" t="s">
        <v>67</v>
      </c>
      <c r="O802" s="9" t="s">
        <v>68</v>
      </c>
      <c r="P802" s="9" t="s">
        <v>262</v>
      </c>
      <c r="Q802" s="9" t="s">
        <v>262</v>
      </c>
      <c r="R802" s="9" t="s">
        <v>263</v>
      </c>
      <c r="S802" s="9" t="s">
        <v>264</v>
      </c>
      <c r="T802" s="42" t="s">
        <v>1634</v>
      </c>
      <c r="U802" s="26" t="s">
        <v>73</v>
      </c>
      <c r="V802" s="16" t="n">
        <v>0.0365</v>
      </c>
      <c r="W802" s="9" t="n">
        <v>0.0341</v>
      </c>
      <c r="X802" s="9" t="n">
        <v>150000</v>
      </c>
      <c r="Y802" s="9" t="n">
        <v>150000</v>
      </c>
      <c r="Z802" s="9" t="n">
        <v>150000</v>
      </c>
      <c r="AA802" s="9" t="n">
        <v>150000</v>
      </c>
      <c r="AB802" s="9" t="n">
        <v>150000</v>
      </c>
      <c r="AC802" s="9" t="n">
        <v>150000</v>
      </c>
      <c r="AD802" s="9" t="n">
        <v>150000</v>
      </c>
      <c r="AE802" s="9" t="n">
        <v>150000</v>
      </c>
      <c r="AF802" s="9" t="n">
        <v>150000</v>
      </c>
      <c r="AG802" s="9" t="n">
        <v>150000</v>
      </c>
      <c r="AH802" s="9" t="n">
        <v>150000</v>
      </c>
      <c r="AI802" s="9" t="n">
        <v>150000</v>
      </c>
      <c r="AJ802" s="9" t="n">
        <f aca="false">X802*$V802</f>
        <v>5475</v>
      </c>
      <c r="AK802" s="9" t="n">
        <f aca="false">Y802*$V802</f>
        <v>5475</v>
      </c>
      <c r="AL802" s="9" t="n">
        <f aca="false">Z802*$V802</f>
        <v>5475</v>
      </c>
      <c r="AM802" s="9" t="n">
        <f aca="false">AA802*$V802</f>
        <v>5475</v>
      </c>
      <c r="AN802" s="9" t="n">
        <f aca="false">AB802*$V802</f>
        <v>5475</v>
      </c>
      <c r="AO802" s="9" t="n">
        <f aca="false">AC802*$V802</f>
        <v>5475</v>
      </c>
      <c r="AP802" s="9" t="n">
        <f aca="false">AD802*$V802</f>
        <v>5475</v>
      </c>
      <c r="AQ802" s="9" t="n">
        <f aca="false">AE802*$V802</f>
        <v>5475</v>
      </c>
      <c r="AR802" s="9" t="n">
        <f aca="false">AF802*$V802</f>
        <v>5475</v>
      </c>
      <c r="AS802" s="9" t="n">
        <f aca="false">AG802*$V802</f>
        <v>5475</v>
      </c>
      <c r="AT802" s="9" t="n">
        <f aca="false">AH802*$V802</f>
        <v>5475</v>
      </c>
      <c r="AU802" s="9" t="n">
        <f aca="false">AI802*$V802</f>
        <v>5475</v>
      </c>
      <c r="AV802" s="9" t="n">
        <f aca="false">SUM(X802:AI802)/1000</f>
        <v>1800</v>
      </c>
      <c r="AW802" s="9" t="n">
        <f aca="false">SUM(AJ802:AU802)</f>
        <v>65700</v>
      </c>
      <c r="AX802" s="9" t="n">
        <f aca="false">IF(D802="INR",AW802/88.24,AW802)/1000000</f>
        <v>0.0657</v>
      </c>
    </row>
    <row r="803" s="2" customFormat="true" ht="14.25" hidden="false" customHeight="false" outlineLevel="0" collapsed="false">
      <c r="A803" s="12" t="s">
        <v>1635</v>
      </c>
      <c r="B803" s="13" t="n">
        <v>5</v>
      </c>
      <c r="C803" s="14"/>
      <c r="D803" s="16" t="s">
        <v>50</v>
      </c>
      <c r="E803" s="16" t="s">
        <v>51</v>
      </c>
      <c r="F803" s="16" t="s">
        <v>404</v>
      </c>
      <c r="G803" s="16" t="s">
        <v>405</v>
      </c>
      <c r="H803" s="16" t="s">
        <v>406</v>
      </c>
      <c r="I803" s="16" t="s">
        <v>105</v>
      </c>
      <c r="J803" s="16" t="s">
        <v>368</v>
      </c>
      <c r="K803" s="16"/>
      <c r="L803" s="16" t="s">
        <v>105</v>
      </c>
      <c r="M803" s="16" t="s">
        <v>368</v>
      </c>
      <c r="N803" s="16" t="s">
        <v>271</v>
      </c>
      <c r="O803" s="16" t="s">
        <v>94</v>
      </c>
      <c r="P803" s="16" t="s">
        <v>308</v>
      </c>
      <c r="Q803" s="16" t="s">
        <v>308</v>
      </c>
      <c r="R803" s="16" t="s">
        <v>309</v>
      </c>
      <c r="S803" s="16" t="s">
        <v>264</v>
      </c>
      <c r="T803" s="16" t="s">
        <v>1636</v>
      </c>
      <c r="U803" s="16" t="s">
        <v>73</v>
      </c>
      <c r="V803" s="16" t="n">
        <v>3.28</v>
      </c>
      <c r="W803" s="26" t="n">
        <v>2.83</v>
      </c>
      <c r="X803" s="16" t="n">
        <v>5000</v>
      </c>
      <c r="Y803" s="16" t="n">
        <v>5000</v>
      </c>
      <c r="Z803" s="16" t="n">
        <v>5000</v>
      </c>
      <c r="AA803" s="16" t="n">
        <v>5000</v>
      </c>
      <c r="AB803" s="16" t="n">
        <v>5000</v>
      </c>
      <c r="AC803" s="16" t="n">
        <v>5000</v>
      </c>
      <c r="AD803" s="16" t="n">
        <v>5000</v>
      </c>
      <c r="AE803" s="16" t="n">
        <v>5000</v>
      </c>
      <c r="AF803" s="16" t="n">
        <v>5000</v>
      </c>
      <c r="AG803" s="16" t="n">
        <v>5000</v>
      </c>
      <c r="AH803" s="16" t="n">
        <v>5000</v>
      </c>
      <c r="AI803" s="16" t="n">
        <v>5000</v>
      </c>
      <c r="AJ803" s="9" t="n">
        <f aca="false">X803*$V803</f>
        <v>16400</v>
      </c>
      <c r="AK803" s="9" t="n">
        <f aca="false">Y803*$V803</f>
        <v>16400</v>
      </c>
      <c r="AL803" s="9" t="n">
        <f aca="false">Z803*$V803</f>
        <v>16400</v>
      </c>
      <c r="AM803" s="9" t="n">
        <f aca="false">AA803*$V803</f>
        <v>16400</v>
      </c>
      <c r="AN803" s="9" t="n">
        <f aca="false">AB803*$V803</f>
        <v>16400</v>
      </c>
      <c r="AO803" s="9" t="n">
        <f aca="false">AC803*$V803</f>
        <v>16400</v>
      </c>
      <c r="AP803" s="9" t="n">
        <f aca="false">AD803*$V803</f>
        <v>16400</v>
      </c>
      <c r="AQ803" s="9" t="n">
        <f aca="false">AE803*$V803</f>
        <v>16400</v>
      </c>
      <c r="AR803" s="9" t="n">
        <f aca="false">AF803*$V803</f>
        <v>16400</v>
      </c>
      <c r="AS803" s="9" t="n">
        <f aca="false">AG803*$V803</f>
        <v>16400</v>
      </c>
      <c r="AT803" s="9" t="n">
        <f aca="false">AH803*$V803</f>
        <v>16400</v>
      </c>
      <c r="AU803" s="9" t="n">
        <f aca="false">AI803*$V803</f>
        <v>16400</v>
      </c>
      <c r="AV803" s="9" t="n">
        <f aca="false">SUM(X803:AI803)/1000</f>
        <v>60</v>
      </c>
      <c r="AW803" s="9" t="n">
        <f aca="false">SUM(AJ803:AU803)</f>
        <v>196800</v>
      </c>
      <c r="AX803" s="9" t="n">
        <f aca="false">IF(D803="INR",AW803/88.24,AW803)/1000000</f>
        <v>0.00223028105167724</v>
      </c>
    </row>
    <row r="804" s="2" customFormat="true" ht="14.25" hidden="false" customHeight="false" outlineLevel="0" collapsed="false">
      <c r="A804" s="9"/>
      <c r="B804" s="9" t="n">
        <v>1</v>
      </c>
      <c r="C804" s="10"/>
      <c r="D804" s="9" t="s">
        <v>50</v>
      </c>
      <c r="E804" s="9" t="s">
        <v>51</v>
      </c>
      <c r="F804" s="9" t="s">
        <v>52</v>
      </c>
      <c r="G804" s="9"/>
      <c r="H804" s="9" t="s">
        <v>1158</v>
      </c>
      <c r="I804" s="9"/>
      <c r="J804" s="9"/>
      <c r="K804" s="9"/>
      <c r="L804" s="9"/>
      <c r="M804" s="9"/>
      <c r="N804" s="9" t="s">
        <v>79</v>
      </c>
      <c r="O804" s="9"/>
      <c r="P804" s="9"/>
      <c r="Q804" s="9" t="s">
        <v>85</v>
      </c>
      <c r="R804" s="9"/>
      <c r="S804" s="9"/>
      <c r="T804" s="9" t="s">
        <v>1637</v>
      </c>
      <c r="U804" s="9" t="s">
        <v>63</v>
      </c>
      <c r="V804" s="9" t="n">
        <v>16.1</v>
      </c>
      <c r="W804" s="9"/>
      <c r="X804" s="9" t="n">
        <v>1000</v>
      </c>
      <c r="Y804" s="9"/>
      <c r="Z804" s="9" t="n">
        <v>1000</v>
      </c>
      <c r="AA804" s="9" t="n">
        <v>1000</v>
      </c>
      <c r="AB804" s="9" t="n">
        <v>1000</v>
      </c>
      <c r="AC804" s="9" t="n">
        <v>1000</v>
      </c>
      <c r="AD804" s="9" t="n">
        <v>1000</v>
      </c>
      <c r="AE804" s="9" t="n">
        <v>1000</v>
      </c>
      <c r="AF804" s="9" t="n">
        <v>1000</v>
      </c>
      <c r="AG804" s="9"/>
      <c r="AH804" s="9" t="n">
        <v>1000</v>
      </c>
      <c r="AI804" s="9" t="n">
        <v>1000</v>
      </c>
      <c r="AJ804" s="9" t="n">
        <f aca="false">X804*$V804</f>
        <v>16100</v>
      </c>
      <c r="AK804" s="9" t="n">
        <f aca="false">Y804*$V804</f>
        <v>0</v>
      </c>
      <c r="AL804" s="9" t="n">
        <f aca="false">Z804*$V804</f>
        <v>16100</v>
      </c>
      <c r="AM804" s="9" t="n">
        <f aca="false">AA804*$V804</f>
        <v>16100</v>
      </c>
      <c r="AN804" s="9" t="n">
        <f aca="false">AB804*$V804</f>
        <v>16100</v>
      </c>
      <c r="AO804" s="9" t="n">
        <f aca="false">AC804*$V804</f>
        <v>16100</v>
      </c>
      <c r="AP804" s="9" t="n">
        <f aca="false">AD804*$V804</f>
        <v>16100</v>
      </c>
      <c r="AQ804" s="9" t="n">
        <f aca="false">AE804*$V804</f>
        <v>16100</v>
      </c>
      <c r="AR804" s="9" t="n">
        <f aca="false">AF804*$V804</f>
        <v>16100</v>
      </c>
      <c r="AS804" s="9" t="n">
        <f aca="false">AG804*$V804</f>
        <v>0</v>
      </c>
      <c r="AT804" s="9" t="n">
        <f aca="false">AH804*$V804</f>
        <v>16100</v>
      </c>
      <c r="AU804" s="9" t="n">
        <f aca="false">AI804*$V804</f>
        <v>16100</v>
      </c>
      <c r="AV804" s="9" t="n">
        <f aca="false">SUM(X804:AI804)/1000</f>
        <v>10</v>
      </c>
      <c r="AW804" s="9" t="n">
        <f aca="false">SUM(AJ804:AU804)</f>
        <v>161000</v>
      </c>
      <c r="AX804" s="9" t="n">
        <f aca="false">IF(D804="INR",AW804/88.24,AW804)/1000000</f>
        <v>0.001824569356301</v>
      </c>
    </row>
    <row r="805" s="2" customFormat="true" ht="16.4" hidden="false" customHeight="false" outlineLevel="0" collapsed="false">
      <c r="A805" s="9" t="s">
        <v>1638</v>
      </c>
      <c r="B805" s="9" t="n">
        <v>5</v>
      </c>
      <c r="C805" s="10" t="n">
        <v>5</v>
      </c>
      <c r="D805" s="9" t="s">
        <v>102</v>
      </c>
      <c r="E805" s="9" t="s">
        <v>51</v>
      </c>
      <c r="F805" s="9" t="s">
        <v>52</v>
      </c>
      <c r="G805" s="9" t="s">
        <v>323</v>
      </c>
      <c r="H805" s="9" t="s">
        <v>324</v>
      </c>
      <c r="I805" s="9" t="s">
        <v>260</v>
      </c>
      <c r="J805" s="9" t="s">
        <v>520</v>
      </c>
      <c r="K805" s="9"/>
      <c r="L805" s="9" t="s">
        <v>260</v>
      </c>
      <c r="M805" s="9" t="s">
        <v>520</v>
      </c>
      <c r="N805" s="9" t="s">
        <v>1639</v>
      </c>
      <c r="O805" s="9" t="s">
        <v>68</v>
      </c>
      <c r="P805" s="9" t="s">
        <v>380</v>
      </c>
      <c r="Q805" s="9" t="s">
        <v>380</v>
      </c>
      <c r="R805" s="9" t="s">
        <v>442</v>
      </c>
      <c r="S805" s="9" t="s">
        <v>443</v>
      </c>
      <c r="T805" s="9" t="s">
        <v>1640</v>
      </c>
      <c r="U805" s="9" t="s">
        <v>73</v>
      </c>
      <c r="V805" s="9" t="n">
        <v>16.23</v>
      </c>
      <c r="W805" s="9" t="n">
        <v>15.58</v>
      </c>
      <c r="X805" s="9" t="n">
        <v>110000</v>
      </c>
      <c r="Y805" s="9" t="n">
        <v>110000</v>
      </c>
      <c r="Z805" s="9" t="n">
        <v>110000</v>
      </c>
      <c r="AA805" s="9" t="n">
        <v>80000</v>
      </c>
      <c r="AB805" s="9" t="n">
        <v>50000</v>
      </c>
      <c r="AC805" s="9" t="n">
        <v>50000</v>
      </c>
      <c r="AD805" s="9" t="n">
        <v>50000</v>
      </c>
      <c r="AE805" s="9" t="n">
        <v>50000</v>
      </c>
      <c r="AF805" s="9" t="n">
        <v>50000</v>
      </c>
      <c r="AG805" s="9" t="n">
        <v>50000</v>
      </c>
      <c r="AH805" s="9" t="n">
        <v>50000</v>
      </c>
      <c r="AI805" s="9" t="n">
        <v>50000</v>
      </c>
      <c r="AJ805" s="9" t="n">
        <f aca="false">X805*$V805</f>
        <v>1785300</v>
      </c>
      <c r="AK805" s="9" t="n">
        <f aca="false">Y805*$V805</f>
        <v>1785300</v>
      </c>
      <c r="AL805" s="9" t="n">
        <f aca="false">Z805*$V805</f>
        <v>1785300</v>
      </c>
      <c r="AM805" s="9" t="n">
        <f aca="false">AA805*$V805</f>
        <v>1298400</v>
      </c>
      <c r="AN805" s="9" t="n">
        <f aca="false">AB805*$V805</f>
        <v>811500</v>
      </c>
      <c r="AO805" s="9" t="n">
        <f aca="false">AC805*$V805</f>
        <v>811500</v>
      </c>
      <c r="AP805" s="9" t="n">
        <f aca="false">AD805*$V805</f>
        <v>811500</v>
      </c>
      <c r="AQ805" s="9" t="n">
        <f aca="false">AE805*$V805</f>
        <v>811500</v>
      </c>
      <c r="AR805" s="9" t="n">
        <f aca="false">AF805*$V805</f>
        <v>811500</v>
      </c>
      <c r="AS805" s="9" t="n">
        <f aca="false">AG805*$V805</f>
        <v>811500</v>
      </c>
      <c r="AT805" s="9" t="n">
        <f aca="false">AH805*$V805</f>
        <v>811500</v>
      </c>
      <c r="AU805" s="9" t="n">
        <f aca="false">AI805*$V805</f>
        <v>811500</v>
      </c>
      <c r="AV805" s="9" t="n">
        <f aca="false">SUM(X805:AI805)/1000</f>
        <v>810</v>
      </c>
      <c r="AW805" s="9" t="n">
        <f aca="false">SUM(AJ805:AU805)</f>
        <v>13146300</v>
      </c>
      <c r="AX805" s="9" t="n">
        <f aca="false">IF(D805="INR",AW805/88.24,AW805)/1000000</f>
        <v>13.1463</v>
      </c>
    </row>
    <row r="806" s="2" customFormat="true" ht="14.25" hidden="false" customHeight="false" outlineLevel="0" collapsed="false">
      <c r="A806" s="12" t="s">
        <v>1641</v>
      </c>
      <c r="B806" s="16" t="n">
        <v>5</v>
      </c>
      <c r="C806" s="15"/>
      <c r="D806" s="16" t="s">
        <v>50</v>
      </c>
      <c r="E806" s="16" t="s">
        <v>51</v>
      </c>
      <c r="F806" s="16" t="s">
        <v>52</v>
      </c>
      <c r="G806" s="16" t="s">
        <v>296</v>
      </c>
      <c r="H806" s="16" t="s">
        <v>297</v>
      </c>
      <c r="I806" s="16" t="s">
        <v>298</v>
      </c>
      <c r="J806" s="16" t="s">
        <v>299</v>
      </c>
      <c r="K806" s="16"/>
      <c r="L806" s="16" t="s">
        <v>298</v>
      </c>
      <c r="M806" s="16" t="s">
        <v>299</v>
      </c>
      <c r="N806" s="16" t="s">
        <v>67</v>
      </c>
      <c r="O806" s="16" t="s">
        <v>107</v>
      </c>
      <c r="P806" s="16" t="s">
        <v>308</v>
      </c>
      <c r="Q806" s="16" t="s">
        <v>308</v>
      </c>
      <c r="R806" s="16" t="s">
        <v>309</v>
      </c>
      <c r="S806" s="16" t="s">
        <v>264</v>
      </c>
      <c r="T806" s="16" t="s">
        <v>409</v>
      </c>
      <c r="U806" s="16" t="s">
        <v>73</v>
      </c>
      <c r="V806" s="16" t="n">
        <v>0.8</v>
      </c>
      <c r="W806" s="16" t="n">
        <v>0.71</v>
      </c>
      <c r="X806" s="16" t="n">
        <v>20000</v>
      </c>
      <c r="Y806" s="16" t="n">
        <v>20000</v>
      </c>
      <c r="Z806" s="16" t="n">
        <v>20000</v>
      </c>
      <c r="AA806" s="16" t="n">
        <v>20000</v>
      </c>
      <c r="AB806" s="16" t="n">
        <v>20000</v>
      </c>
      <c r="AC806" s="16" t="n">
        <v>20000</v>
      </c>
      <c r="AD806" s="16" t="n">
        <v>20000</v>
      </c>
      <c r="AE806" s="16" t="n">
        <v>20000</v>
      </c>
      <c r="AF806" s="16" t="n">
        <v>20000</v>
      </c>
      <c r="AG806" s="16" t="n">
        <v>20000</v>
      </c>
      <c r="AH806" s="16" t="n">
        <v>20000</v>
      </c>
      <c r="AI806" s="16" t="n">
        <v>20000</v>
      </c>
      <c r="AJ806" s="9" t="n">
        <f aca="false">X806*$V806</f>
        <v>16000</v>
      </c>
      <c r="AK806" s="9" t="n">
        <f aca="false">Y806*$V806</f>
        <v>16000</v>
      </c>
      <c r="AL806" s="9" t="n">
        <f aca="false">Z806*$V806</f>
        <v>16000</v>
      </c>
      <c r="AM806" s="9" t="n">
        <f aca="false">AA806*$V806</f>
        <v>16000</v>
      </c>
      <c r="AN806" s="9" t="n">
        <f aca="false">AB806*$V806</f>
        <v>16000</v>
      </c>
      <c r="AO806" s="9" t="n">
        <f aca="false">AC806*$V806</f>
        <v>16000</v>
      </c>
      <c r="AP806" s="9" t="n">
        <f aca="false">AD806*$V806</f>
        <v>16000</v>
      </c>
      <c r="AQ806" s="9" t="n">
        <f aca="false">AE806*$V806</f>
        <v>16000</v>
      </c>
      <c r="AR806" s="9" t="n">
        <f aca="false">AF806*$V806</f>
        <v>16000</v>
      </c>
      <c r="AS806" s="9" t="n">
        <f aca="false">AG806*$V806</f>
        <v>16000</v>
      </c>
      <c r="AT806" s="9" t="n">
        <f aca="false">AH806*$V806</f>
        <v>16000</v>
      </c>
      <c r="AU806" s="9" t="n">
        <f aca="false">AI806*$V806</f>
        <v>16000</v>
      </c>
      <c r="AV806" s="9" t="n">
        <f aca="false">SUM(X806:AI806)/1000</f>
        <v>240</v>
      </c>
      <c r="AW806" s="9" t="n">
        <f aca="false">SUM(AJ806:AU806)</f>
        <v>192000</v>
      </c>
      <c r="AX806" s="9" t="n">
        <f aca="false">IF(D806="INR",AW806/88.24,AW806)/1000000</f>
        <v>0.00217588395285585</v>
      </c>
    </row>
    <row r="807" s="2" customFormat="true" ht="16.4" hidden="false" customHeight="false" outlineLevel="0" collapsed="false">
      <c r="A807" s="9" t="s">
        <v>1642</v>
      </c>
      <c r="B807" s="9"/>
      <c r="C807" s="10" t="n">
        <v>5</v>
      </c>
      <c r="D807" s="9" t="s">
        <v>102</v>
      </c>
      <c r="E807" s="9" t="s">
        <v>51</v>
      </c>
      <c r="F807" s="9" t="s">
        <v>52</v>
      </c>
      <c r="G807" s="9" t="s">
        <v>323</v>
      </c>
      <c r="H807" s="9" t="s">
        <v>324</v>
      </c>
      <c r="I807" s="9" t="s">
        <v>260</v>
      </c>
      <c r="J807" s="9" t="s">
        <v>520</v>
      </c>
      <c r="K807" s="9"/>
      <c r="L807" s="9" t="s">
        <v>260</v>
      </c>
      <c r="M807" s="9" t="s">
        <v>520</v>
      </c>
      <c r="N807" s="9" t="s">
        <v>1639</v>
      </c>
      <c r="O807" s="9" t="s">
        <v>68</v>
      </c>
      <c r="P807" s="9" t="s">
        <v>380</v>
      </c>
      <c r="Q807" s="9" t="s">
        <v>380</v>
      </c>
      <c r="R807" s="9" t="s">
        <v>442</v>
      </c>
      <c r="S807" s="9" t="s">
        <v>443</v>
      </c>
      <c r="T807" s="9" t="s">
        <v>1643</v>
      </c>
      <c r="U807" s="9" t="s">
        <v>73</v>
      </c>
      <c r="V807" s="9" t="n">
        <v>14.95</v>
      </c>
      <c r="W807" s="9" t="n">
        <v>14.4</v>
      </c>
      <c r="X807" s="9" t="n">
        <v>30000</v>
      </c>
      <c r="Y807" s="9" t="n">
        <v>30000</v>
      </c>
      <c r="Z807" s="9" t="n">
        <v>30000</v>
      </c>
      <c r="AA807" s="9" t="n">
        <v>30000</v>
      </c>
      <c r="AB807" s="9" t="n">
        <v>30000</v>
      </c>
      <c r="AC807" s="9" t="n">
        <v>30000</v>
      </c>
      <c r="AD807" s="9" t="n">
        <v>30000</v>
      </c>
      <c r="AE807" s="9" t="n">
        <v>30000</v>
      </c>
      <c r="AF807" s="9" t="n">
        <v>30000</v>
      </c>
      <c r="AG807" s="9" t="n">
        <v>30000</v>
      </c>
      <c r="AH807" s="9" t="n">
        <v>30000</v>
      </c>
      <c r="AI807" s="9" t="n">
        <v>30000</v>
      </c>
      <c r="AJ807" s="9" t="n">
        <f aca="false">X807*$V807</f>
        <v>448500</v>
      </c>
      <c r="AK807" s="9" t="n">
        <f aca="false">Y807*$V807</f>
        <v>448500</v>
      </c>
      <c r="AL807" s="9" t="n">
        <f aca="false">Z807*$V807</f>
        <v>448500</v>
      </c>
      <c r="AM807" s="9" t="n">
        <f aca="false">AA807*$V807</f>
        <v>448500</v>
      </c>
      <c r="AN807" s="9" t="n">
        <f aca="false">AB807*$V807</f>
        <v>448500</v>
      </c>
      <c r="AO807" s="9" t="n">
        <f aca="false">AC807*$V807</f>
        <v>448500</v>
      </c>
      <c r="AP807" s="9" t="n">
        <f aca="false">AD807*$V807</f>
        <v>448500</v>
      </c>
      <c r="AQ807" s="9" t="n">
        <f aca="false">AE807*$V807</f>
        <v>448500</v>
      </c>
      <c r="AR807" s="9" t="n">
        <f aca="false">AF807*$V807</f>
        <v>448500</v>
      </c>
      <c r="AS807" s="9" t="n">
        <f aca="false">AG807*$V807</f>
        <v>448500</v>
      </c>
      <c r="AT807" s="9" t="n">
        <f aca="false">AH807*$V807</f>
        <v>448500</v>
      </c>
      <c r="AU807" s="9" t="n">
        <f aca="false">AI807*$V807</f>
        <v>448500</v>
      </c>
      <c r="AV807" s="9" t="n">
        <f aca="false">SUM(X807:AI807)/1000</f>
        <v>360</v>
      </c>
      <c r="AW807" s="9" t="n">
        <f aca="false">SUM(AJ807:AU807)</f>
        <v>5382000</v>
      </c>
      <c r="AX807" s="9" t="n">
        <f aca="false">IF(D807="INR",AW807/88.24,AW807)/1000000</f>
        <v>5.382</v>
      </c>
    </row>
    <row r="808" s="2" customFormat="true" ht="14.25" hidden="false" customHeight="false" outlineLevel="0" collapsed="false">
      <c r="A808" s="12" t="s">
        <v>1644</v>
      </c>
      <c r="B808" s="16" t="n">
        <v>5</v>
      </c>
      <c r="C808" s="15"/>
      <c r="D808" s="16" t="s">
        <v>102</v>
      </c>
      <c r="E808" s="16" t="s">
        <v>51</v>
      </c>
      <c r="F808" s="16" t="s">
        <v>52</v>
      </c>
      <c r="G808" s="16" t="s">
        <v>323</v>
      </c>
      <c r="H808" s="16" t="s">
        <v>324</v>
      </c>
      <c r="I808" s="16" t="s">
        <v>260</v>
      </c>
      <c r="J808" s="16" t="s">
        <v>520</v>
      </c>
      <c r="K808" s="16"/>
      <c r="L808" s="16"/>
      <c r="M808" s="16"/>
      <c r="N808" s="16" t="s">
        <v>67</v>
      </c>
      <c r="O808" s="16" t="s">
        <v>68</v>
      </c>
      <c r="P808" s="16" t="s">
        <v>262</v>
      </c>
      <c r="Q808" s="16" t="s">
        <v>262</v>
      </c>
      <c r="R808" s="16" t="s">
        <v>263</v>
      </c>
      <c r="S808" s="16"/>
      <c r="T808" s="16" t="s">
        <v>1645</v>
      </c>
      <c r="U808" s="16" t="s">
        <v>73</v>
      </c>
      <c r="V808" s="16" t="n">
        <v>0.0365</v>
      </c>
      <c r="W808" s="16" t="n">
        <v>0</v>
      </c>
      <c r="X808" s="16" t="n">
        <v>30000</v>
      </c>
      <c r="Y808" s="16" t="n">
        <v>30000</v>
      </c>
      <c r="Z808" s="16" t="n">
        <v>30000</v>
      </c>
      <c r="AA808" s="16" t="n">
        <v>30000</v>
      </c>
      <c r="AB808" s="16" t="n">
        <v>30000</v>
      </c>
      <c r="AC808" s="16" t="n">
        <v>30000</v>
      </c>
      <c r="AD808" s="16" t="n">
        <v>30000</v>
      </c>
      <c r="AE808" s="16" t="n">
        <v>30000</v>
      </c>
      <c r="AF808" s="16" t="n">
        <v>30000</v>
      </c>
      <c r="AG808" s="16" t="n">
        <v>30000</v>
      </c>
      <c r="AH808" s="16" t="n">
        <v>30000</v>
      </c>
      <c r="AI808" s="16" t="n">
        <v>30000</v>
      </c>
      <c r="AJ808" s="9" t="n">
        <f aca="false">X808*$V808</f>
        <v>1095</v>
      </c>
      <c r="AK808" s="9" t="n">
        <f aca="false">Y808*$V808</f>
        <v>1095</v>
      </c>
      <c r="AL808" s="9" t="n">
        <f aca="false">Z808*$V808</f>
        <v>1095</v>
      </c>
      <c r="AM808" s="9" t="n">
        <f aca="false">AA808*$V808</f>
        <v>1095</v>
      </c>
      <c r="AN808" s="9" t="n">
        <f aca="false">AB808*$V808</f>
        <v>1095</v>
      </c>
      <c r="AO808" s="9" t="n">
        <f aca="false">AC808*$V808</f>
        <v>1095</v>
      </c>
      <c r="AP808" s="9" t="n">
        <f aca="false">AD808*$V808</f>
        <v>1095</v>
      </c>
      <c r="AQ808" s="9" t="n">
        <f aca="false">AE808*$V808</f>
        <v>1095</v>
      </c>
      <c r="AR808" s="9" t="n">
        <f aca="false">AF808*$V808</f>
        <v>1095</v>
      </c>
      <c r="AS808" s="9" t="n">
        <f aca="false">AG808*$V808</f>
        <v>1095</v>
      </c>
      <c r="AT808" s="9" t="n">
        <f aca="false">AH808*$V808</f>
        <v>1095</v>
      </c>
      <c r="AU808" s="9" t="n">
        <f aca="false">AI808*$V808</f>
        <v>1095</v>
      </c>
      <c r="AV808" s="9" t="n">
        <f aca="false">SUM(X808:AI808)/1000</f>
        <v>360</v>
      </c>
      <c r="AW808" s="9" t="n">
        <f aca="false">SUM(AJ808:AU808)</f>
        <v>13140</v>
      </c>
      <c r="AX808" s="9" t="n">
        <f aca="false">IF(D808="INR",AW808/88.24,AW808)/1000000</f>
        <v>0.01314</v>
      </c>
    </row>
    <row r="809" s="2" customFormat="true" ht="14.25" hidden="false" customHeight="false" outlineLevel="0" collapsed="false">
      <c r="A809" s="12" t="s">
        <v>1646</v>
      </c>
      <c r="B809" s="16" t="n">
        <v>5</v>
      </c>
      <c r="C809" s="15"/>
      <c r="D809" s="16" t="s">
        <v>102</v>
      </c>
      <c r="E809" s="16" t="s">
        <v>51</v>
      </c>
      <c r="F809" s="16" t="s">
        <v>52</v>
      </c>
      <c r="G809" s="16" t="s">
        <v>323</v>
      </c>
      <c r="H809" s="16" t="s">
        <v>324</v>
      </c>
      <c r="I809" s="16" t="s">
        <v>260</v>
      </c>
      <c r="J809" s="16" t="s">
        <v>520</v>
      </c>
      <c r="K809" s="16"/>
      <c r="L809" s="16" t="s">
        <v>260</v>
      </c>
      <c r="M809" s="16" t="s">
        <v>520</v>
      </c>
      <c r="N809" s="16" t="s">
        <v>67</v>
      </c>
      <c r="O809" s="16" t="s">
        <v>68</v>
      </c>
      <c r="P809" s="16" t="s">
        <v>262</v>
      </c>
      <c r="Q809" s="16" t="s">
        <v>262</v>
      </c>
      <c r="R809" s="16" t="s">
        <v>263</v>
      </c>
      <c r="S809" s="16" t="s">
        <v>264</v>
      </c>
      <c r="T809" s="16" t="s">
        <v>1647</v>
      </c>
      <c r="U809" s="16" t="s">
        <v>73</v>
      </c>
      <c r="V809" s="16" t="n">
        <v>0.0245</v>
      </c>
      <c r="W809" s="16" t="n">
        <v>0.0224</v>
      </c>
      <c r="X809" s="16" t="n">
        <v>30000</v>
      </c>
      <c r="Y809" s="16" t="n">
        <v>30000</v>
      </c>
      <c r="Z809" s="16" t="n">
        <v>30000</v>
      </c>
      <c r="AA809" s="16" t="n">
        <v>30000</v>
      </c>
      <c r="AB809" s="16" t="n">
        <v>30000</v>
      </c>
      <c r="AC809" s="16" t="n">
        <v>30000</v>
      </c>
      <c r="AD809" s="26" t="n">
        <v>30000</v>
      </c>
      <c r="AE809" s="16" t="n">
        <v>30000</v>
      </c>
      <c r="AF809" s="26" t="n">
        <v>30000</v>
      </c>
      <c r="AG809" s="16" t="n">
        <v>30000</v>
      </c>
      <c r="AH809" s="16" t="n">
        <v>30000</v>
      </c>
      <c r="AI809" s="16" t="n">
        <v>30000</v>
      </c>
      <c r="AJ809" s="9" t="n">
        <f aca="false">X809*$V809</f>
        <v>735</v>
      </c>
      <c r="AK809" s="9" t="n">
        <f aca="false">Y809*$V809</f>
        <v>735</v>
      </c>
      <c r="AL809" s="9" t="n">
        <f aca="false">Z809*$V809</f>
        <v>735</v>
      </c>
      <c r="AM809" s="9" t="n">
        <f aca="false">AA809*$V809</f>
        <v>735</v>
      </c>
      <c r="AN809" s="9" t="n">
        <f aca="false">AB809*$V809</f>
        <v>735</v>
      </c>
      <c r="AO809" s="9" t="n">
        <f aca="false">AC809*$V809</f>
        <v>735</v>
      </c>
      <c r="AP809" s="9" t="n">
        <f aca="false">AD809*$V809</f>
        <v>735</v>
      </c>
      <c r="AQ809" s="9" t="n">
        <f aca="false">AE809*$V809</f>
        <v>735</v>
      </c>
      <c r="AR809" s="9" t="n">
        <f aca="false">AF809*$V809</f>
        <v>735</v>
      </c>
      <c r="AS809" s="9" t="n">
        <f aca="false">AG809*$V809</f>
        <v>735</v>
      </c>
      <c r="AT809" s="9" t="n">
        <f aca="false">AH809*$V809</f>
        <v>735</v>
      </c>
      <c r="AU809" s="9" t="n">
        <f aca="false">AI809*$V809</f>
        <v>735</v>
      </c>
      <c r="AV809" s="9" t="n">
        <f aca="false">SUM(X809:AI809)/1000</f>
        <v>360</v>
      </c>
      <c r="AW809" s="9" t="n">
        <f aca="false">SUM(AJ809:AU809)</f>
        <v>8820</v>
      </c>
      <c r="AX809" s="9" t="n">
        <f aca="false">IF(D809="INR",AW809/88.24,AW809)/1000000</f>
        <v>0.00882</v>
      </c>
    </row>
    <row r="810" s="2" customFormat="true" ht="14.25" hidden="false" customHeight="false" outlineLevel="0" collapsed="false">
      <c r="A810" s="12" t="s">
        <v>1648</v>
      </c>
      <c r="B810" s="16" t="n">
        <v>5</v>
      </c>
      <c r="C810" s="15"/>
      <c r="D810" s="16" t="s">
        <v>50</v>
      </c>
      <c r="E810" s="16" t="s">
        <v>51</v>
      </c>
      <c r="F810" s="16" t="s">
        <v>243</v>
      </c>
      <c r="G810" s="16" t="s">
        <v>1271</v>
      </c>
      <c r="H810" s="16" t="s">
        <v>1272</v>
      </c>
      <c r="I810" s="16" t="s">
        <v>105</v>
      </c>
      <c r="J810" s="16" t="s">
        <v>368</v>
      </c>
      <c r="K810" s="16"/>
      <c r="L810" s="16" t="s">
        <v>105</v>
      </c>
      <c r="M810" s="16" t="s">
        <v>368</v>
      </c>
      <c r="N810" s="16" t="s">
        <v>93</v>
      </c>
      <c r="O810" s="16" t="s">
        <v>246</v>
      </c>
      <c r="P810" s="16" t="s">
        <v>789</v>
      </c>
      <c r="Q810" s="16" t="s">
        <v>789</v>
      </c>
      <c r="R810" s="16" t="s">
        <v>377</v>
      </c>
      <c r="S810" s="16" t="s">
        <v>528</v>
      </c>
      <c r="T810" s="16" t="s">
        <v>1154</v>
      </c>
      <c r="U810" s="16" t="s">
        <v>73</v>
      </c>
      <c r="V810" s="16" t="n">
        <v>3.18</v>
      </c>
      <c r="W810" s="16" t="n">
        <v>0.033</v>
      </c>
      <c r="X810" s="16" t="n">
        <v>5000</v>
      </c>
      <c r="Y810" s="16"/>
      <c r="Z810" s="16" t="n">
        <v>5000</v>
      </c>
      <c r="AA810" s="16" t="n">
        <v>5000</v>
      </c>
      <c r="AB810" s="16" t="n">
        <v>5000</v>
      </c>
      <c r="AC810" s="16"/>
      <c r="AD810" s="16"/>
      <c r="AE810" s="16" t="n">
        <v>5100</v>
      </c>
      <c r="AF810" s="16"/>
      <c r="AG810" s="16" t="n">
        <v>10000</v>
      </c>
      <c r="AH810" s="16"/>
      <c r="AI810" s="16" t="n">
        <v>10000</v>
      </c>
      <c r="AJ810" s="9" t="n">
        <f aca="false">X810*$V810</f>
        <v>15900</v>
      </c>
      <c r="AK810" s="9" t="n">
        <f aca="false">Y810*$V810</f>
        <v>0</v>
      </c>
      <c r="AL810" s="9" t="n">
        <f aca="false">Z810*$V810</f>
        <v>15900</v>
      </c>
      <c r="AM810" s="9" t="n">
        <f aca="false">AA810*$V810</f>
        <v>15900</v>
      </c>
      <c r="AN810" s="9" t="n">
        <f aca="false">AB810*$V810</f>
        <v>15900</v>
      </c>
      <c r="AO810" s="9" t="n">
        <f aca="false">AC810*$V810</f>
        <v>0</v>
      </c>
      <c r="AP810" s="9" t="n">
        <f aca="false">AD810*$V810</f>
        <v>0</v>
      </c>
      <c r="AQ810" s="9" t="n">
        <f aca="false">AE810*$V810</f>
        <v>16218</v>
      </c>
      <c r="AR810" s="9" t="n">
        <f aca="false">AF810*$V810</f>
        <v>0</v>
      </c>
      <c r="AS810" s="9" t="n">
        <f aca="false">AG810*$V810</f>
        <v>31800</v>
      </c>
      <c r="AT810" s="9" t="n">
        <f aca="false">AH810*$V810</f>
        <v>0</v>
      </c>
      <c r="AU810" s="9" t="n">
        <f aca="false">AI810*$V810</f>
        <v>31800</v>
      </c>
      <c r="AV810" s="9" t="n">
        <f aca="false">SUM(X810:AI810)/1000</f>
        <v>45.1</v>
      </c>
      <c r="AW810" s="9" t="n">
        <f aca="false">SUM(AJ810:AU810)</f>
        <v>143418</v>
      </c>
      <c r="AX810" s="9" t="n">
        <f aca="false">IF(D810="INR",AW810/88.24,AW810)/1000000</f>
        <v>0.00162531731640979</v>
      </c>
      <c r="AY810" s="27"/>
    </row>
    <row r="811" s="2" customFormat="true" ht="14.25" hidden="false" customHeight="false" outlineLevel="0" collapsed="false">
      <c r="A811" s="12" t="s">
        <v>1649</v>
      </c>
      <c r="B811" s="16" t="n">
        <v>5</v>
      </c>
      <c r="C811" s="15"/>
      <c r="D811" s="16" t="s">
        <v>50</v>
      </c>
      <c r="E811" s="16" t="s">
        <v>51</v>
      </c>
      <c r="F811" s="16" t="s">
        <v>52</v>
      </c>
      <c r="G811" s="16" t="s">
        <v>65</v>
      </c>
      <c r="H811" s="16" t="s">
        <v>66</v>
      </c>
      <c r="I811" s="16" t="s">
        <v>55</v>
      </c>
      <c r="J811" s="16" t="s">
        <v>56</v>
      </c>
      <c r="K811" s="16"/>
      <c r="L811" s="16" t="s">
        <v>55</v>
      </c>
      <c r="M811" s="16" t="s">
        <v>56</v>
      </c>
      <c r="N811" s="16" t="s">
        <v>67</v>
      </c>
      <c r="O811" s="16" t="s">
        <v>68</v>
      </c>
      <c r="P811" s="16" t="s">
        <v>308</v>
      </c>
      <c r="Q811" s="16" t="s">
        <v>308</v>
      </c>
      <c r="R811" s="16" t="s">
        <v>309</v>
      </c>
      <c r="S811" s="16" t="s">
        <v>264</v>
      </c>
      <c r="T811" s="16" t="s">
        <v>1650</v>
      </c>
      <c r="U811" s="16" t="s">
        <v>73</v>
      </c>
      <c r="V811" s="16" t="n">
        <v>7.95</v>
      </c>
      <c r="W811" s="16" t="n">
        <v>6.92</v>
      </c>
      <c r="X811" s="16" t="n">
        <v>2000</v>
      </c>
      <c r="Y811" s="16" t="n">
        <v>2000</v>
      </c>
      <c r="Z811" s="16" t="n">
        <v>2000</v>
      </c>
      <c r="AA811" s="16" t="n">
        <v>2000</v>
      </c>
      <c r="AB811" s="26" t="n">
        <v>2000</v>
      </c>
      <c r="AC811" s="16" t="n">
        <v>2000</v>
      </c>
      <c r="AD811" s="16" t="n">
        <v>2000</v>
      </c>
      <c r="AE811" s="16" t="n">
        <v>2000</v>
      </c>
      <c r="AF811" s="26" t="n">
        <v>2000</v>
      </c>
      <c r="AG811" s="16" t="n">
        <v>2000</v>
      </c>
      <c r="AH811" s="16" t="n">
        <v>2000</v>
      </c>
      <c r="AI811" s="16" t="n">
        <v>2000</v>
      </c>
      <c r="AJ811" s="9" t="n">
        <f aca="false">X811*$V811</f>
        <v>15900</v>
      </c>
      <c r="AK811" s="9" t="n">
        <f aca="false">Y811*$V811</f>
        <v>15900</v>
      </c>
      <c r="AL811" s="9" t="n">
        <f aca="false">Z811*$V811</f>
        <v>15900</v>
      </c>
      <c r="AM811" s="9" t="n">
        <f aca="false">AA811*$V811</f>
        <v>15900</v>
      </c>
      <c r="AN811" s="9" t="n">
        <f aca="false">AB811*$V811</f>
        <v>15900</v>
      </c>
      <c r="AO811" s="9" t="n">
        <f aca="false">AC811*$V811</f>
        <v>15900</v>
      </c>
      <c r="AP811" s="9" t="n">
        <f aca="false">AD811*$V811</f>
        <v>15900</v>
      </c>
      <c r="AQ811" s="9" t="n">
        <f aca="false">AE811*$V811</f>
        <v>15900</v>
      </c>
      <c r="AR811" s="9" t="n">
        <f aca="false">AF811*$V811</f>
        <v>15900</v>
      </c>
      <c r="AS811" s="9" t="n">
        <f aca="false">AG811*$V811</f>
        <v>15900</v>
      </c>
      <c r="AT811" s="9" t="n">
        <f aca="false">AH811*$V811</f>
        <v>15900</v>
      </c>
      <c r="AU811" s="9" t="n">
        <f aca="false">AI811*$V811</f>
        <v>15900</v>
      </c>
      <c r="AV811" s="9" t="n">
        <f aca="false">SUM(X811:AI811)/1000</f>
        <v>24</v>
      </c>
      <c r="AW811" s="9" t="n">
        <f aca="false">SUM(AJ811:AU811)</f>
        <v>190800</v>
      </c>
      <c r="AX811" s="9" t="n">
        <f aca="false">IF(D811="INR",AW811/88.24,AW811)/1000000</f>
        <v>0.0021622846781505</v>
      </c>
    </row>
    <row r="812" s="2" customFormat="true" ht="14.25" hidden="false" customHeight="false" outlineLevel="0" collapsed="false">
      <c r="A812" s="12" t="s">
        <v>1651</v>
      </c>
      <c r="B812" s="16"/>
      <c r="C812" s="15"/>
      <c r="D812" s="16" t="s">
        <v>50</v>
      </c>
      <c r="E812" s="16" t="s">
        <v>51</v>
      </c>
      <c r="F812" s="16" t="s">
        <v>52</v>
      </c>
      <c r="G812" s="16" t="s">
        <v>287</v>
      </c>
      <c r="H812" s="16" t="s">
        <v>288</v>
      </c>
      <c r="I812" s="16" t="s">
        <v>260</v>
      </c>
      <c r="J812" s="16" t="s">
        <v>289</v>
      </c>
      <c r="K812" s="16"/>
      <c r="L812" s="16" t="s">
        <v>260</v>
      </c>
      <c r="M812" s="16" t="s">
        <v>289</v>
      </c>
      <c r="N812" s="16" t="s">
        <v>290</v>
      </c>
      <c r="O812" s="16" t="s">
        <v>94</v>
      </c>
      <c r="P812" s="16" t="s">
        <v>308</v>
      </c>
      <c r="Q812" s="16" t="s">
        <v>308</v>
      </c>
      <c r="R812" s="16" t="s">
        <v>309</v>
      </c>
      <c r="S812" s="16" t="s">
        <v>264</v>
      </c>
      <c r="T812" s="16" t="s">
        <v>1652</v>
      </c>
      <c r="U812" s="16" t="s">
        <v>73</v>
      </c>
      <c r="V812" s="16" t="n">
        <v>0.62</v>
      </c>
      <c r="W812" s="16" t="n">
        <v>0.52</v>
      </c>
      <c r="X812" s="16" t="n">
        <v>28500</v>
      </c>
      <c r="Y812" s="16" t="n">
        <v>28500</v>
      </c>
      <c r="Z812" s="16" t="n">
        <v>25000</v>
      </c>
      <c r="AA812" s="16" t="n">
        <v>25000</v>
      </c>
      <c r="AB812" s="16" t="n">
        <v>25800</v>
      </c>
      <c r="AC812" s="16" t="n">
        <v>25800</v>
      </c>
      <c r="AD812" s="16" t="n">
        <v>25000</v>
      </c>
      <c r="AE812" s="16" t="n">
        <v>25000</v>
      </c>
      <c r="AF812" s="16" t="n">
        <v>25800</v>
      </c>
      <c r="AG812" s="16" t="n">
        <v>25800</v>
      </c>
      <c r="AH812" s="16" t="n">
        <v>25000</v>
      </c>
      <c r="AI812" s="16" t="n">
        <v>25000</v>
      </c>
      <c r="AJ812" s="9" t="n">
        <f aca="false">X812*$V812</f>
        <v>17670</v>
      </c>
      <c r="AK812" s="9" t="n">
        <f aca="false">Y812*$V812</f>
        <v>17670</v>
      </c>
      <c r="AL812" s="9" t="n">
        <f aca="false">Z812*$V812</f>
        <v>15500</v>
      </c>
      <c r="AM812" s="9" t="n">
        <f aca="false">AA812*$V812</f>
        <v>15500</v>
      </c>
      <c r="AN812" s="9" t="n">
        <f aca="false">AB812*$V812</f>
        <v>15996</v>
      </c>
      <c r="AO812" s="9" t="n">
        <f aca="false">AC812*$V812</f>
        <v>15996</v>
      </c>
      <c r="AP812" s="9" t="n">
        <f aca="false">AD812*$V812</f>
        <v>15500</v>
      </c>
      <c r="AQ812" s="9" t="n">
        <f aca="false">AE812*$V812</f>
        <v>15500</v>
      </c>
      <c r="AR812" s="9" t="n">
        <f aca="false">AF812*$V812</f>
        <v>15996</v>
      </c>
      <c r="AS812" s="9" t="n">
        <f aca="false">AG812*$V812</f>
        <v>15996</v>
      </c>
      <c r="AT812" s="9" t="n">
        <f aca="false">AH812*$V812</f>
        <v>15500</v>
      </c>
      <c r="AU812" s="9" t="n">
        <f aca="false">AI812*$V812</f>
        <v>15500</v>
      </c>
      <c r="AV812" s="9" t="n">
        <f aca="false">SUM(X812:AI812)/1000</f>
        <v>310.2</v>
      </c>
      <c r="AW812" s="9" t="n">
        <f aca="false">SUM(AJ812:AU812)</f>
        <v>192324</v>
      </c>
      <c r="AX812" s="9" t="n">
        <f aca="false">IF(D812="INR",AW812/88.24,AW812)/1000000</f>
        <v>0.00217955575702629</v>
      </c>
    </row>
    <row r="813" s="2" customFormat="true" ht="14.25" hidden="false" customHeight="false" outlineLevel="0" collapsed="false">
      <c r="A813" s="12"/>
      <c r="B813" s="16" t="n">
        <v>1</v>
      </c>
      <c r="C813" s="15"/>
      <c r="D813" s="16" t="s">
        <v>50</v>
      </c>
      <c r="E813" s="16"/>
      <c r="F813" s="16" t="s">
        <v>52</v>
      </c>
      <c r="G813" s="16" t="s">
        <v>258</v>
      </c>
      <c r="H813" s="16" t="s">
        <v>259</v>
      </c>
      <c r="I813" s="16"/>
      <c r="J813" s="16"/>
      <c r="K813" s="16"/>
      <c r="L813" s="16"/>
      <c r="M813" s="16"/>
      <c r="N813" s="16" t="s">
        <v>67</v>
      </c>
      <c r="O813" s="16" t="s">
        <v>107</v>
      </c>
      <c r="P813" s="16"/>
      <c r="Q813" s="16" t="s">
        <v>308</v>
      </c>
      <c r="R813" s="16"/>
      <c r="S813" s="16"/>
      <c r="T813" s="16" t="s">
        <v>1653</v>
      </c>
      <c r="U813" s="16" t="s">
        <v>63</v>
      </c>
      <c r="V813" s="16" t="n">
        <v>1.27</v>
      </c>
      <c r="W813" s="16"/>
      <c r="X813" s="16" t="n">
        <v>12000</v>
      </c>
      <c r="Y813" s="16" t="n">
        <v>12000</v>
      </c>
      <c r="Z813" s="16" t="n">
        <v>12000</v>
      </c>
      <c r="AA813" s="16" t="n">
        <v>12000</v>
      </c>
      <c r="AB813" s="16" t="n">
        <v>12000</v>
      </c>
      <c r="AC813" s="16" t="n">
        <v>12000</v>
      </c>
      <c r="AD813" s="16" t="n">
        <v>12000</v>
      </c>
      <c r="AE813" s="16" t="n">
        <v>12000</v>
      </c>
      <c r="AF813" s="16" t="n">
        <v>12000</v>
      </c>
      <c r="AG813" s="16" t="n">
        <v>12000</v>
      </c>
      <c r="AH813" s="16" t="n">
        <v>12000</v>
      </c>
      <c r="AI813" s="16" t="n">
        <v>12000</v>
      </c>
      <c r="AJ813" s="9" t="n">
        <f aca="false">X813*$V813</f>
        <v>15240</v>
      </c>
      <c r="AK813" s="9" t="n">
        <f aca="false">Y813*$V813</f>
        <v>15240</v>
      </c>
      <c r="AL813" s="9" t="n">
        <f aca="false">Z813*$V813</f>
        <v>15240</v>
      </c>
      <c r="AM813" s="9" t="n">
        <f aca="false">AA813*$V813</f>
        <v>15240</v>
      </c>
      <c r="AN813" s="9" t="n">
        <f aca="false">AB813*$V813</f>
        <v>15240</v>
      </c>
      <c r="AO813" s="9" t="n">
        <f aca="false">AC813*$V813</f>
        <v>15240</v>
      </c>
      <c r="AP813" s="9" t="n">
        <f aca="false">AD813*$V813</f>
        <v>15240</v>
      </c>
      <c r="AQ813" s="9" t="n">
        <f aca="false">AE813*$V813</f>
        <v>15240</v>
      </c>
      <c r="AR813" s="9" t="n">
        <f aca="false">AF813*$V813</f>
        <v>15240</v>
      </c>
      <c r="AS813" s="9" t="n">
        <f aca="false">AG813*$V813</f>
        <v>15240</v>
      </c>
      <c r="AT813" s="9" t="n">
        <f aca="false">AH813*$V813</f>
        <v>15240</v>
      </c>
      <c r="AU813" s="9" t="n">
        <f aca="false">AI813*$V813</f>
        <v>15240</v>
      </c>
      <c r="AV813" s="9" t="n">
        <f aca="false">SUM(X813:AI813)/1000</f>
        <v>144</v>
      </c>
      <c r="AW813" s="9" t="n">
        <f aca="false">SUM(AJ813:AU813)</f>
        <v>182880</v>
      </c>
      <c r="AX813" s="9" t="n">
        <f aca="false">IF(D813="INR",AW813/88.24,AW813)/1000000</f>
        <v>0.0020725294650952</v>
      </c>
    </row>
    <row r="814" s="2" customFormat="true" ht="14.25" hidden="false" customHeight="false" outlineLevel="0" collapsed="false">
      <c r="A814" s="12"/>
      <c r="B814" s="16" t="n">
        <v>1</v>
      </c>
      <c r="C814" s="15"/>
      <c r="D814" s="16" t="s">
        <v>50</v>
      </c>
      <c r="E814" s="16"/>
      <c r="F814" s="16" t="s">
        <v>52</v>
      </c>
      <c r="G814" s="16" t="s">
        <v>258</v>
      </c>
      <c r="H814" s="16" t="s">
        <v>259</v>
      </c>
      <c r="I814" s="16"/>
      <c r="J814" s="16"/>
      <c r="K814" s="16"/>
      <c r="L814" s="16"/>
      <c r="M814" s="16"/>
      <c r="N814" s="16" t="s">
        <v>67</v>
      </c>
      <c r="O814" s="16" t="s">
        <v>107</v>
      </c>
      <c r="P814" s="16"/>
      <c r="Q814" s="16" t="s">
        <v>308</v>
      </c>
      <c r="R814" s="16"/>
      <c r="S814" s="16"/>
      <c r="T814" s="16" t="s">
        <v>1654</v>
      </c>
      <c r="U814" s="16" t="s">
        <v>63</v>
      </c>
      <c r="V814" s="16" t="n">
        <v>1.27</v>
      </c>
      <c r="W814" s="16"/>
      <c r="X814" s="16" t="n">
        <v>12000</v>
      </c>
      <c r="Y814" s="16" t="n">
        <v>12000</v>
      </c>
      <c r="Z814" s="16" t="n">
        <v>12000</v>
      </c>
      <c r="AA814" s="16" t="n">
        <v>12000</v>
      </c>
      <c r="AB814" s="16" t="n">
        <v>12000</v>
      </c>
      <c r="AC814" s="16" t="n">
        <v>12000</v>
      </c>
      <c r="AD814" s="16" t="n">
        <v>12000</v>
      </c>
      <c r="AE814" s="16" t="n">
        <v>12000</v>
      </c>
      <c r="AF814" s="16" t="n">
        <v>12000</v>
      </c>
      <c r="AG814" s="16" t="n">
        <v>12000</v>
      </c>
      <c r="AH814" s="16" t="n">
        <v>12000</v>
      </c>
      <c r="AI814" s="16" t="n">
        <v>12000</v>
      </c>
      <c r="AJ814" s="9" t="n">
        <f aca="false">X814*$V814</f>
        <v>15240</v>
      </c>
      <c r="AK814" s="9" t="n">
        <f aca="false">Y814*$V814</f>
        <v>15240</v>
      </c>
      <c r="AL814" s="9" t="n">
        <f aca="false">Z814*$V814</f>
        <v>15240</v>
      </c>
      <c r="AM814" s="9" t="n">
        <f aca="false">AA814*$V814</f>
        <v>15240</v>
      </c>
      <c r="AN814" s="9" t="n">
        <f aca="false">AB814*$V814</f>
        <v>15240</v>
      </c>
      <c r="AO814" s="9" t="n">
        <f aca="false">AC814*$V814</f>
        <v>15240</v>
      </c>
      <c r="AP814" s="9" t="n">
        <f aca="false">AD814*$V814</f>
        <v>15240</v>
      </c>
      <c r="AQ814" s="9" t="n">
        <f aca="false">AE814*$V814</f>
        <v>15240</v>
      </c>
      <c r="AR814" s="9" t="n">
        <f aca="false">AF814*$V814</f>
        <v>15240</v>
      </c>
      <c r="AS814" s="9" t="n">
        <f aca="false">AG814*$V814</f>
        <v>15240</v>
      </c>
      <c r="AT814" s="9" t="n">
        <f aca="false">AH814*$V814</f>
        <v>15240</v>
      </c>
      <c r="AU814" s="9" t="n">
        <f aca="false">AI814*$V814</f>
        <v>15240</v>
      </c>
      <c r="AV814" s="9" t="n">
        <f aca="false">SUM(X814:AI814)/1000</f>
        <v>144</v>
      </c>
      <c r="AW814" s="9" t="n">
        <f aca="false">SUM(AJ814:AU814)</f>
        <v>182880</v>
      </c>
      <c r="AX814" s="9" t="n">
        <f aca="false">IF(D814="INR",AW814/88.24,AW814)/1000000</f>
        <v>0.0020725294650952</v>
      </c>
    </row>
    <row r="815" s="2" customFormat="true" ht="14.25" hidden="false" customHeight="false" outlineLevel="0" collapsed="false">
      <c r="A815" s="12" t="s">
        <v>1655</v>
      </c>
      <c r="B815" s="16" t="n">
        <v>5</v>
      </c>
      <c r="C815" s="15"/>
      <c r="D815" s="16" t="s">
        <v>50</v>
      </c>
      <c r="E815" s="16" t="s">
        <v>51</v>
      </c>
      <c r="F815" s="16" t="s">
        <v>52</v>
      </c>
      <c r="G815" s="16" t="s">
        <v>296</v>
      </c>
      <c r="H815" s="16" t="s">
        <v>297</v>
      </c>
      <c r="I815" s="16" t="s">
        <v>298</v>
      </c>
      <c r="J815" s="16" t="s">
        <v>299</v>
      </c>
      <c r="K815" s="16"/>
      <c r="L815" s="16" t="s">
        <v>298</v>
      </c>
      <c r="M815" s="16" t="s">
        <v>299</v>
      </c>
      <c r="N815" s="16" t="s">
        <v>67</v>
      </c>
      <c r="O815" s="16" t="s">
        <v>107</v>
      </c>
      <c r="P815" s="16" t="s">
        <v>308</v>
      </c>
      <c r="Q815" s="16" t="s">
        <v>308</v>
      </c>
      <c r="R815" s="16" t="s">
        <v>309</v>
      </c>
      <c r="S815" s="16" t="s">
        <v>264</v>
      </c>
      <c r="T815" s="16" t="s">
        <v>670</v>
      </c>
      <c r="U815" s="16" t="s">
        <v>73</v>
      </c>
      <c r="V815" s="16" t="n">
        <v>1.52</v>
      </c>
      <c r="W815" s="16" t="n">
        <v>1.35</v>
      </c>
      <c r="X815" s="16" t="n">
        <v>10000</v>
      </c>
      <c r="Y815" s="16" t="n">
        <v>10000</v>
      </c>
      <c r="Z815" s="16" t="n">
        <v>10000</v>
      </c>
      <c r="AA815" s="16" t="n">
        <v>10000</v>
      </c>
      <c r="AB815" s="16" t="n">
        <v>10000</v>
      </c>
      <c r="AC815" s="16" t="n">
        <v>10000</v>
      </c>
      <c r="AD815" s="16" t="n">
        <v>10000</v>
      </c>
      <c r="AE815" s="16" t="n">
        <v>10000</v>
      </c>
      <c r="AF815" s="16" t="n">
        <v>10000</v>
      </c>
      <c r="AG815" s="16" t="n">
        <v>10000</v>
      </c>
      <c r="AH815" s="16" t="n">
        <v>10000</v>
      </c>
      <c r="AI815" s="16" t="n">
        <v>10000</v>
      </c>
      <c r="AJ815" s="9" t="n">
        <f aca="false">X815*$V815</f>
        <v>15200</v>
      </c>
      <c r="AK815" s="9" t="n">
        <f aca="false">Y815*$V815</f>
        <v>15200</v>
      </c>
      <c r="AL815" s="9" t="n">
        <f aca="false">Z815*$V815</f>
        <v>15200</v>
      </c>
      <c r="AM815" s="9" t="n">
        <f aca="false">AA815*$V815</f>
        <v>15200</v>
      </c>
      <c r="AN815" s="9" t="n">
        <f aca="false">AB815*$V815</f>
        <v>15200</v>
      </c>
      <c r="AO815" s="9" t="n">
        <f aca="false">AC815*$V815</f>
        <v>15200</v>
      </c>
      <c r="AP815" s="9" t="n">
        <f aca="false">AD815*$V815</f>
        <v>15200</v>
      </c>
      <c r="AQ815" s="9" t="n">
        <f aca="false">AE815*$V815</f>
        <v>15200</v>
      </c>
      <c r="AR815" s="9" t="n">
        <f aca="false">AF815*$V815</f>
        <v>15200</v>
      </c>
      <c r="AS815" s="9" t="n">
        <f aca="false">AG815*$V815</f>
        <v>15200</v>
      </c>
      <c r="AT815" s="9" t="n">
        <f aca="false">AH815*$V815</f>
        <v>15200</v>
      </c>
      <c r="AU815" s="9" t="n">
        <f aca="false">AI815*$V815</f>
        <v>15200</v>
      </c>
      <c r="AV815" s="9" t="n">
        <f aca="false">SUM(X815:AI815)/1000</f>
        <v>120</v>
      </c>
      <c r="AW815" s="9" t="n">
        <f aca="false">SUM(AJ815:AU815)</f>
        <v>182400</v>
      </c>
      <c r="AX815" s="9" t="n">
        <f aca="false">IF(D815="INR",AW815/88.24,AW815)/1000000</f>
        <v>0.00206708975521306</v>
      </c>
    </row>
    <row r="816" s="2" customFormat="true" ht="16.4" hidden="false" customHeight="false" outlineLevel="0" collapsed="false">
      <c r="A816" s="35" t="s">
        <v>1656</v>
      </c>
      <c r="B816" s="9" t="n">
        <v>5</v>
      </c>
      <c r="C816" s="10"/>
      <c r="D816" s="9" t="s">
        <v>102</v>
      </c>
      <c r="E816" s="9" t="s">
        <v>51</v>
      </c>
      <c r="F816" s="9" t="s">
        <v>52</v>
      </c>
      <c r="G816" s="9" t="s">
        <v>323</v>
      </c>
      <c r="H816" s="9" t="s">
        <v>324</v>
      </c>
      <c r="I816" s="9" t="s">
        <v>260</v>
      </c>
      <c r="J816" s="9" t="s">
        <v>520</v>
      </c>
      <c r="K816" s="9"/>
      <c r="L816" s="9" t="s">
        <v>260</v>
      </c>
      <c r="M816" s="9" t="s">
        <v>520</v>
      </c>
      <c r="N816" s="9" t="s">
        <v>67</v>
      </c>
      <c r="O816" s="9" t="s">
        <v>68</v>
      </c>
      <c r="P816" s="9" t="s">
        <v>188</v>
      </c>
      <c r="Q816" s="9" t="s">
        <v>188</v>
      </c>
      <c r="R816" s="9" t="s">
        <v>550</v>
      </c>
      <c r="S816" s="9" t="s">
        <v>528</v>
      </c>
      <c r="T816" s="9" t="s">
        <v>1657</v>
      </c>
      <c r="U816" s="9" t="s">
        <v>73</v>
      </c>
      <c r="V816" s="9" t="n">
        <v>0.196</v>
      </c>
      <c r="W816" s="9" t="n">
        <v>0.186</v>
      </c>
      <c r="X816" s="9" t="n">
        <v>30000</v>
      </c>
      <c r="Y816" s="9" t="n">
        <v>30000</v>
      </c>
      <c r="Z816" s="9" t="n">
        <v>30000</v>
      </c>
      <c r="AA816" s="9"/>
      <c r="AB816" s="9"/>
      <c r="AC816" s="9"/>
      <c r="AD816" s="9"/>
      <c r="AE816" s="9"/>
      <c r="AF816" s="9"/>
      <c r="AG816" s="9"/>
      <c r="AH816" s="9"/>
      <c r="AI816" s="9"/>
      <c r="AJ816" s="9" t="n">
        <f aca="false">X816*$V816</f>
        <v>5880</v>
      </c>
      <c r="AK816" s="9" t="n">
        <f aca="false">Y816*$V816</f>
        <v>5880</v>
      </c>
      <c r="AL816" s="9" t="n">
        <f aca="false">Z816*$V816</f>
        <v>5880</v>
      </c>
      <c r="AM816" s="9" t="n">
        <f aca="false">AA816*$V816</f>
        <v>0</v>
      </c>
      <c r="AN816" s="9" t="n">
        <f aca="false">AB816*$V816</f>
        <v>0</v>
      </c>
      <c r="AO816" s="9" t="n">
        <f aca="false">AC816*$V816</f>
        <v>0</v>
      </c>
      <c r="AP816" s="9" t="n">
        <f aca="false">AD816*$V816</f>
        <v>0</v>
      </c>
      <c r="AQ816" s="9" t="n">
        <f aca="false">AE816*$V816</f>
        <v>0</v>
      </c>
      <c r="AR816" s="9" t="n">
        <f aca="false">AF816*$V816</f>
        <v>0</v>
      </c>
      <c r="AS816" s="9" t="n">
        <f aca="false">AG816*$V816</f>
        <v>0</v>
      </c>
      <c r="AT816" s="9" t="n">
        <f aca="false">AH816*$V816</f>
        <v>0</v>
      </c>
      <c r="AU816" s="9" t="n">
        <f aca="false">AI816*$V816</f>
        <v>0</v>
      </c>
      <c r="AV816" s="9" t="n">
        <f aca="false">SUM(X816:AI816)/1000</f>
        <v>90</v>
      </c>
      <c r="AW816" s="9" t="n">
        <f aca="false">SUM(AJ816:AU816)</f>
        <v>17640</v>
      </c>
      <c r="AX816" s="9" t="n">
        <f aca="false">IF(D816="INR",AW816/88.24,AW816)/1000000</f>
        <v>0.01764</v>
      </c>
    </row>
    <row r="817" s="2" customFormat="true" ht="14.25" hidden="false" customHeight="false" outlineLevel="0" collapsed="false">
      <c r="A817" s="12" t="s">
        <v>1658</v>
      </c>
      <c r="B817" s="16" t="n">
        <v>5</v>
      </c>
      <c r="C817" s="15"/>
      <c r="D817" s="16" t="s">
        <v>102</v>
      </c>
      <c r="E817" s="16" t="s">
        <v>51</v>
      </c>
      <c r="F817" s="16" t="s">
        <v>52</v>
      </c>
      <c r="G817" s="16" t="s">
        <v>323</v>
      </c>
      <c r="H817" s="16" t="s">
        <v>324</v>
      </c>
      <c r="I817" s="16" t="s">
        <v>260</v>
      </c>
      <c r="J817" s="16" t="s">
        <v>520</v>
      </c>
      <c r="K817" s="16"/>
      <c r="L817" s="16" t="s">
        <v>260</v>
      </c>
      <c r="M817" s="16" t="s">
        <v>520</v>
      </c>
      <c r="N817" s="16" t="s">
        <v>67</v>
      </c>
      <c r="O817" s="16" t="s">
        <v>68</v>
      </c>
      <c r="P817" s="16" t="s">
        <v>262</v>
      </c>
      <c r="Q817" s="16" t="s">
        <v>262</v>
      </c>
      <c r="R817" s="16" t="s">
        <v>263</v>
      </c>
      <c r="S817" s="16" t="s">
        <v>264</v>
      </c>
      <c r="T817" s="16" t="s">
        <v>1659</v>
      </c>
      <c r="U817" s="16" t="s">
        <v>73</v>
      </c>
      <c r="V817" s="16" t="n">
        <v>0.0248</v>
      </c>
      <c r="W817" s="33" t="n">
        <v>0.02247</v>
      </c>
      <c r="X817" s="26" t="n">
        <v>15000</v>
      </c>
      <c r="Y817" s="16"/>
      <c r="Z817" s="16" t="n">
        <v>15000</v>
      </c>
      <c r="AA817" s="16"/>
      <c r="AB817" s="16" t="n">
        <v>15000</v>
      </c>
      <c r="AC817" s="16"/>
      <c r="AD817" s="16" t="n">
        <v>15000</v>
      </c>
      <c r="AE817" s="16"/>
      <c r="AF817" s="16"/>
      <c r="AG817" s="16" t="n">
        <v>15000</v>
      </c>
      <c r="AH817" s="16"/>
      <c r="AI817" s="16" t="n">
        <v>15000</v>
      </c>
      <c r="AJ817" s="9" t="n">
        <f aca="false">X817*$V817</f>
        <v>372</v>
      </c>
      <c r="AK817" s="9" t="n">
        <f aca="false">Y817*$V817</f>
        <v>0</v>
      </c>
      <c r="AL817" s="9" t="n">
        <f aca="false">Z817*$V817</f>
        <v>372</v>
      </c>
      <c r="AM817" s="9" t="n">
        <f aca="false">AA817*$V817</f>
        <v>0</v>
      </c>
      <c r="AN817" s="9" t="n">
        <f aca="false">AB817*$V817</f>
        <v>372</v>
      </c>
      <c r="AO817" s="9" t="n">
        <f aca="false">AC817*$V817</f>
        <v>0</v>
      </c>
      <c r="AP817" s="9" t="n">
        <f aca="false">AD817*$V817</f>
        <v>372</v>
      </c>
      <c r="AQ817" s="9" t="n">
        <f aca="false">AE817*$V817</f>
        <v>0</v>
      </c>
      <c r="AR817" s="9" t="n">
        <f aca="false">AF817*$V817</f>
        <v>0</v>
      </c>
      <c r="AS817" s="9" t="n">
        <f aca="false">AG817*$V817</f>
        <v>372</v>
      </c>
      <c r="AT817" s="9" t="n">
        <f aca="false">AH817*$V817</f>
        <v>0</v>
      </c>
      <c r="AU817" s="9" t="n">
        <f aca="false">AI817*$V817</f>
        <v>372</v>
      </c>
      <c r="AV817" s="9" t="n">
        <f aca="false">SUM(X817:AI817)/1000</f>
        <v>90</v>
      </c>
      <c r="AW817" s="9" t="n">
        <f aca="false">SUM(AJ817:AU817)</f>
        <v>2232</v>
      </c>
      <c r="AX817" s="9" t="n">
        <f aca="false">IF(D817="INR",AW817/88.24,AW817)/1000000</f>
        <v>0.002232</v>
      </c>
    </row>
    <row r="818" s="2" customFormat="true" ht="16.4" hidden="false" customHeight="false" outlineLevel="0" collapsed="false">
      <c r="A818" s="35" t="s">
        <v>1660</v>
      </c>
      <c r="B818" s="9" t="n">
        <v>5</v>
      </c>
      <c r="C818" s="15"/>
      <c r="D818" s="16" t="s">
        <v>102</v>
      </c>
      <c r="E818" s="16" t="s">
        <v>51</v>
      </c>
      <c r="F818" s="16" t="s">
        <v>52</v>
      </c>
      <c r="G818" s="16" t="s">
        <v>296</v>
      </c>
      <c r="H818" s="9" t="s">
        <v>297</v>
      </c>
      <c r="I818" s="16" t="s">
        <v>260</v>
      </c>
      <c r="J818" s="16" t="s">
        <v>1661</v>
      </c>
      <c r="K818" s="9"/>
      <c r="L818" s="16"/>
      <c r="M818" s="16"/>
      <c r="N818" s="16" t="s">
        <v>67</v>
      </c>
      <c r="O818" s="16" t="s">
        <v>107</v>
      </c>
      <c r="P818" s="9" t="str">
        <f aca="false">Q818</f>
        <v>VISHAY</v>
      </c>
      <c r="Q818" s="9" t="s">
        <v>182</v>
      </c>
      <c r="R818" s="9" t="s">
        <v>875</v>
      </c>
      <c r="S818" s="9" t="s">
        <v>363</v>
      </c>
      <c r="T818" s="9" t="s">
        <v>1662</v>
      </c>
      <c r="U818" s="16" t="s">
        <v>73</v>
      </c>
      <c r="V818" s="36" t="n">
        <v>0.045</v>
      </c>
      <c r="W818" s="9" t="n">
        <v>0</v>
      </c>
      <c r="X818" s="22" t="n">
        <v>200000</v>
      </c>
      <c r="Y818" s="9" t="n">
        <v>200000</v>
      </c>
      <c r="Z818" s="9" t="n">
        <v>200000</v>
      </c>
      <c r="AA818" s="9" t="n">
        <v>200000</v>
      </c>
      <c r="AB818" s="9" t="n">
        <v>200000</v>
      </c>
      <c r="AC818" s="9" t="n">
        <v>200000</v>
      </c>
      <c r="AD818" s="9" t="n">
        <v>200000</v>
      </c>
      <c r="AE818" s="9" t="n">
        <v>200000</v>
      </c>
      <c r="AF818" s="9" t="n">
        <v>200000</v>
      </c>
      <c r="AG818" s="9" t="n">
        <v>200000</v>
      </c>
      <c r="AH818" s="9" t="n">
        <v>200000</v>
      </c>
      <c r="AI818" s="9" t="n">
        <v>200000</v>
      </c>
      <c r="AJ818" s="9" t="n">
        <f aca="false">X818*$V818</f>
        <v>9000</v>
      </c>
      <c r="AK818" s="9" t="n">
        <f aca="false">Y818*$V818</f>
        <v>9000</v>
      </c>
      <c r="AL818" s="9" t="n">
        <f aca="false">Z818*$V818</f>
        <v>9000</v>
      </c>
      <c r="AM818" s="9" t="n">
        <f aca="false">AA818*$V818</f>
        <v>9000</v>
      </c>
      <c r="AN818" s="9" t="n">
        <f aca="false">AB818*$V818</f>
        <v>9000</v>
      </c>
      <c r="AO818" s="9" t="n">
        <f aca="false">AC818*$V818</f>
        <v>9000</v>
      </c>
      <c r="AP818" s="9" t="n">
        <f aca="false">AD818*$V818</f>
        <v>9000</v>
      </c>
      <c r="AQ818" s="9" t="n">
        <f aca="false">AE818*$V818</f>
        <v>9000</v>
      </c>
      <c r="AR818" s="9" t="n">
        <f aca="false">AF818*$V818</f>
        <v>9000</v>
      </c>
      <c r="AS818" s="9" t="n">
        <f aca="false">AG818*$V818</f>
        <v>9000</v>
      </c>
      <c r="AT818" s="9" t="n">
        <f aca="false">AH818*$V818</f>
        <v>9000</v>
      </c>
      <c r="AU818" s="9" t="n">
        <f aca="false">AI818*$V818</f>
        <v>9000</v>
      </c>
      <c r="AV818" s="9" t="n">
        <f aca="false">SUM(X818:AI818)/1000</f>
        <v>2400</v>
      </c>
      <c r="AW818" s="9" t="n">
        <f aca="false">SUM(AJ818:AU818)</f>
        <v>108000</v>
      </c>
      <c r="AX818" s="9" t="n">
        <f aca="false">IF(D818="INR",AW818/88.24,AW818)/1000000</f>
        <v>0.108</v>
      </c>
    </row>
    <row r="819" s="2" customFormat="true" ht="14.25" hidden="false" customHeight="false" outlineLevel="0" collapsed="false">
      <c r="A819" s="12"/>
      <c r="B819" s="16" t="n">
        <v>1</v>
      </c>
      <c r="C819" s="15"/>
      <c r="D819" s="16" t="s">
        <v>50</v>
      </c>
      <c r="E819" s="16" t="s">
        <v>51</v>
      </c>
      <c r="F819" s="16" t="s">
        <v>52</v>
      </c>
      <c r="G819" s="16" t="s">
        <v>53</v>
      </c>
      <c r="H819" s="16" t="s">
        <v>54</v>
      </c>
      <c r="I819" s="16" t="s">
        <v>55</v>
      </c>
      <c r="J819" s="16" t="s">
        <v>56</v>
      </c>
      <c r="K819" s="16" t="s">
        <v>54</v>
      </c>
      <c r="L819" s="16" t="s">
        <v>55</v>
      </c>
      <c r="M819" s="16" t="s">
        <v>56</v>
      </c>
      <c r="N819" s="16" t="s">
        <v>57</v>
      </c>
      <c r="O819" s="16" t="s">
        <v>58</v>
      </c>
      <c r="P819" s="16" t="s">
        <v>859</v>
      </c>
      <c r="Q819" s="16" t="s">
        <v>859</v>
      </c>
      <c r="R819" s="16"/>
      <c r="S819" s="16" t="s">
        <v>1663</v>
      </c>
      <c r="T819" s="16" t="s">
        <v>1664</v>
      </c>
      <c r="U819" s="16" t="s">
        <v>63</v>
      </c>
      <c r="V819" s="26" t="n">
        <v>0.06</v>
      </c>
      <c r="W819" s="16"/>
      <c r="X819" s="22" t="n">
        <v>250000</v>
      </c>
      <c r="Y819" s="16" t="n">
        <v>250000</v>
      </c>
      <c r="Z819" s="16" t="n">
        <v>250000</v>
      </c>
      <c r="AA819" s="16" t="n">
        <v>250000</v>
      </c>
      <c r="AB819" s="16" t="n">
        <v>250000</v>
      </c>
      <c r="AC819" s="16" t="n">
        <v>250000</v>
      </c>
      <c r="AD819" s="16" t="n">
        <v>250000</v>
      </c>
      <c r="AE819" s="16" t="n">
        <v>250000</v>
      </c>
      <c r="AF819" s="16" t="n">
        <v>250000</v>
      </c>
      <c r="AG819" s="16" t="n">
        <v>250000</v>
      </c>
      <c r="AH819" s="16" t="n">
        <v>250000</v>
      </c>
      <c r="AI819" s="16" t="n">
        <v>250000</v>
      </c>
      <c r="AJ819" s="9" t="n">
        <f aca="false">X819*$V819</f>
        <v>15000</v>
      </c>
      <c r="AK819" s="9" t="n">
        <f aca="false">Y819*$V819</f>
        <v>15000</v>
      </c>
      <c r="AL819" s="9" t="n">
        <f aca="false">Z819*$V819</f>
        <v>15000</v>
      </c>
      <c r="AM819" s="9" t="n">
        <f aca="false">AA819*$V819</f>
        <v>15000</v>
      </c>
      <c r="AN819" s="9" t="n">
        <f aca="false">AB819*$V819</f>
        <v>15000</v>
      </c>
      <c r="AO819" s="9" t="n">
        <f aca="false">AC819*$V819</f>
        <v>15000</v>
      </c>
      <c r="AP819" s="9" t="n">
        <f aca="false">AD819*$V819</f>
        <v>15000</v>
      </c>
      <c r="AQ819" s="9" t="n">
        <f aca="false">AE819*$V819</f>
        <v>15000</v>
      </c>
      <c r="AR819" s="9" t="n">
        <f aca="false">AF819*$V819</f>
        <v>15000</v>
      </c>
      <c r="AS819" s="9" t="n">
        <f aca="false">AG819*$V819</f>
        <v>15000</v>
      </c>
      <c r="AT819" s="9" t="n">
        <f aca="false">AH819*$V819</f>
        <v>15000</v>
      </c>
      <c r="AU819" s="9" t="n">
        <f aca="false">AI819*$V819</f>
        <v>15000</v>
      </c>
      <c r="AV819" s="9" t="n">
        <f aca="false">SUM(X819:AI819)/1000</f>
        <v>3000</v>
      </c>
      <c r="AW819" s="9" t="n">
        <f aca="false">SUM(AJ819:AU819)</f>
        <v>180000</v>
      </c>
      <c r="AX819" s="9" t="n">
        <f aca="false">IF(D819="INR",AW819/88.24,AW819)/1000000</f>
        <v>0.00203989120580236</v>
      </c>
    </row>
    <row r="820" s="2" customFormat="true" ht="16.4" hidden="false" customHeight="false" outlineLevel="0" collapsed="false">
      <c r="A820" s="35" t="s">
        <v>1665</v>
      </c>
      <c r="B820" s="9" t="n">
        <v>5</v>
      </c>
      <c r="C820" s="15"/>
      <c r="D820" s="16" t="s">
        <v>102</v>
      </c>
      <c r="E820" s="16" t="s">
        <v>51</v>
      </c>
      <c r="F820" s="16" t="s">
        <v>52</v>
      </c>
      <c r="G820" s="16" t="s">
        <v>296</v>
      </c>
      <c r="H820" s="9" t="s">
        <v>297</v>
      </c>
      <c r="I820" s="16" t="s">
        <v>260</v>
      </c>
      <c r="J820" s="16" t="s">
        <v>1661</v>
      </c>
      <c r="K820" s="9"/>
      <c r="L820" s="16" t="s">
        <v>260</v>
      </c>
      <c r="M820" s="16" t="s">
        <v>1661</v>
      </c>
      <c r="N820" s="16" t="s">
        <v>67</v>
      </c>
      <c r="O820" s="16" t="s">
        <v>107</v>
      </c>
      <c r="P820" s="9" t="s">
        <v>182</v>
      </c>
      <c r="Q820" s="9" t="s">
        <v>182</v>
      </c>
      <c r="R820" s="9" t="s">
        <v>875</v>
      </c>
      <c r="S820" s="9" t="s">
        <v>363</v>
      </c>
      <c r="T820" s="9" t="s">
        <v>1666</v>
      </c>
      <c r="U820" s="16" t="s">
        <v>73</v>
      </c>
      <c r="V820" s="36" t="n">
        <v>0.245</v>
      </c>
      <c r="W820" s="9" t="n">
        <v>0.213</v>
      </c>
      <c r="X820" s="22" t="n">
        <v>50000</v>
      </c>
      <c r="Y820" s="9" t="n">
        <v>50000</v>
      </c>
      <c r="Z820" s="9" t="n">
        <v>50000</v>
      </c>
      <c r="AA820" s="9" t="n">
        <v>50000</v>
      </c>
      <c r="AB820" s="9" t="n">
        <v>50000</v>
      </c>
      <c r="AC820" s="9" t="n">
        <v>50000</v>
      </c>
      <c r="AD820" s="23" t="n">
        <v>50000</v>
      </c>
      <c r="AE820" s="9" t="n">
        <v>50000</v>
      </c>
      <c r="AF820" s="9" t="n">
        <v>50000</v>
      </c>
      <c r="AG820" s="9" t="n">
        <v>50000</v>
      </c>
      <c r="AH820" s="9" t="n">
        <v>50000</v>
      </c>
      <c r="AI820" s="9" t="n">
        <v>50000</v>
      </c>
      <c r="AJ820" s="9" t="n">
        <f aca="false">X820*$V820</f>
        <v>12250</v>
      </c>
      <c r="AK820" s="9" t="n">
        <f aca="false">Y820*$V820</f>
        <v>12250</v>
      </c>
      <c r="AL820" s="9" t="n">
        <f aca="false">Z820*$V820</f>
        <v>12250</v>
      </c>
      <c r="AM820" s="9" t="n">
        <f aca="false">AA820*$V820</f>
        <v>12250</v>
      </c>
      <c r="AN820" s="9" t="n">
        <f aca="false">AB820*$V820</f>
        <v>12250</v>
      </c>
      <c r="AO820" s="9" t="n">
        <f aca="false">AC820*$V820</f>
        <v>12250</v>
      </c>
      <c r="AP820" s="9" t="n">
        <f aca="false">AD820*$V820</f>
        <v>12250</v>
      </c>
      <c r="AQ820" s="9" t="n">
        <f aca="false">AE820*$V820</f>
        <v>12250</v>
      </c>
      <c r="AR820" s="9" t="n">
        <f aca="false">AF820*$V820</f>
        <v>12250</v>
      </c>
      <c r="AS820" s="9" t="n">
        <f aca="false">AG820*$V820</f>
        <v>12250</v>
      </c>
      <c r="AT820" s="9" t="n">
        <f aca="false">AH820*$V820</f>
        <v>12250</v>
      </c>
      <c r="AU820" s="9" t="n">
        <f aca="false">AI820*$V820</f>
        <v>12250</v>
      </c>
      <c r="AV820" s="9" t="n">
        <f aca="false">SUM(X820:AI820)/1000</f>
        <v>600</v>
      </c>
      <c r="AW820" s="9" t="n">
        <f aca="false">SUM(AJ820:AU820)</f>
        <v>147000</v>
      </c>
      <c r="AX820" s="9" t="n">
        <f aca="false">IF(D820="INR",AW820/88.24,AW820)/1000000</f>
        <v>0.147</v>
      </c>
    </row>
    <row r="821" s="2" customFormat="true" ht="14.25" hidden="false" customHeight="false" outlineLevel="0" collapsed="false">
      <c r="A821" s="12" t="s">
        <v>1667</v>
      </c>
      <c r="B821" s="16" t="n">
        <v>5</v>
      </c>
      <c r="C821" s="15"/>
      <c r="D821" s="16" t="s">
        <v>50</v>
      </c>
      <c r="E821" s="16" t="s">
        <v>51</v>
      </c>
      <c r="F821" s="16" t="s">
        <v>52</v>
      </c>
      <c r="G821" s="16" t="s">
        <v>506</v>
      </c>
      <c r="H821" s="16" t="s">
        <v>507</v>
      </c>
      <c r="I821" s="16" t="s">
        <v>77</v>
      </c>
      <c r="J821" s="16" t="s">
        <v>325</v>
      </c>
      <c r="K821" s="16"/>
      <c r="L821" s="16" t="s">
        <v>77</v>
      </c>
      <c r="M821" s="16" t="s">
        <v>325</v>
      </c>
      <c r="N821" s="16" t="s">
        <v>79</v>
      </c>
      <c r="O821" s="16" t="s">
        <v>68</v>
      </c>
      <c r="P821" s="16" t="s">
        <v>308</v>
      </c>
      <c r="Q821" s="16" t="s">
        <v>308</v>
      </c>
      <c r="R821" s="16" t="s">
        <v>309</v>
      </c>
      <c r="S821" s="16" t="s">
        <v>264</v>
      </c>
      <c r="T821" s="16" t="s">
        <v>1668</v>
      </c>
      <c r="U821" s="16" t="s">
        <v>73</v>
      </c>
      <c r="V821" s="16" t="n">
        <v>0.99</v>
      </c>
      <c r="W821" s="16" t="n">
        <v>0.82</v>
      </c>
      <c r="X821" s="22" t="n">
        <v>15000</v>
      </c>
      <c r="Y821" s="16" t="n">
        <v>15000</v>
      </c>
      <c r="Z821" s="16" t="n">
        <v>15000</v>
      </c>
      <c r="AA821" s="16" t="n">
        <v>15000</v>
      </c>
      <c r="AB821" s="16" t="n">
        <v>15000</v>
      </c>
      <c r="AC821" s="16" t="n">
        <v>15000</v>
      </c>
      <c r="AD821" s="16" t="n">
        <v>15000</v>
      </c>
      <c r="AE821" s="16" t="n">
        <v>15000</v>
      </c>
      <c r="AF821" s="16" t="n">
        <v>15000</v>
      </c>
      <c r="AG821" s="16" t="n">
        <v>15000</v>
      </c>
      <c r="AH821" s="16" t="n">
        <v>15000</v>
      </c>
      <c r="AI821" s="16" t="n">
        <v>15000</v>
      </c>
      <c r="AJ821" s="9" t="n">
        <f aca="false">X821*$V821</f>
        <v>14850</v>
      </c>
      <c r="AK821" s="9" t="n">
        <f aca="false">Y821*$V821</f>
        <v>14850</v>
      </c>
      <c r="AL821" s="9" t="n">
        <f aca="false">Z821*$V821</f>
        <v>14850</v>
      </c>
      <c r="AM821" s="9" t="n">
        <f aca="false">AA821*$V821</f>
        <v>14850</v>
      </c>
      <c r="AN821" s="9" t="n">
        <f aca="false">AB821*$V821</f>
        <v>14850</v>
      </c>
      <c r="AO821" s="9" t="n">
        <f aca="false">AC821*$V821</f>
        <v>14850</v>
      </c>
      <c r="AP821" s="9" t="n">
        <f aca="false">AD821*$V821</f>
        <v>14850</v>
      </c>
      <c r="AQ821" s="9" t="n">
        <f aca="false">AE821*$V821</f>
        <v>14850</v>
      </c>
      <c r="AR821" s="9" t="n">
        <f aca="false">AF821*$V821</f>
        <v>14850</v>
      </c>
      <c r="AS821" s="9" t="n">
        <f aca="false">AG821*$V821</f>
        <v>14850</v>
      </c>
      <c r="AT821" s="9" t="n">
        <f aca="false">AH821*$V821</f>
        <v>14850</v>
      </c>
      <c r="AU821" s="9" t="n">
        <f aca="false">AI821*$V821</f>
        <v>14850</v>
      </c>
      <c r="AV821" s="9" t="n">
        <f aca="false">SUM(X821:AI821)/1000</f>
        <v>180</v>
      </c>
      <c r="AW821" s="9" t="n">
        <f aca="false">SUM(AJ821:AU821)</f>
        <v>178200</v>
      </c>
      <c r="AX821" s="9" t="n">
        <f aca="false">IF(D821="INR",AW821/88.24,AW821)/1000000</f>
        <v>0.00201949229374433</v>
      </c>
    </row>
    <row r="822" s="2" customFormat="true" ht="16.4" hidden="false" customHeight="false" outlineLevel="0" collapsed="false">
      <c r="A822" s="16" t="s">
        <v>1669</v>
      </c>
      <c r="B822" s="16"/>
      <c r="C822" s="16"/>
      <c r="D822" s="16" t="s">
        <v>50</v>
      </c>
      <c r="E822" s="16" t="s">
        <v>51</v>
      </c>
      <c r="F822" s="16" t="s">
        <v>312</v>
      </c>
      <c r="G822" s="16" t="s">
        <v>313</v>
      </c>
      <c r="H822" s="16" t="s">
        <v>314</v>
      </c>
      <c r="I822" s="16" t="s">
        <v>55</v>
      </c>
      <c r="J822" s="16" t="s">
        <v>56</v>
      </c>
      <c r="K822" s="16" t="s">
        <v>314</v>
      </c>
      <c r="L822" s="16" t="s">
        <v>55</v>
      </c>
      <c r="M822" s="16" t="s">
        <v>56</v>
      </c>
      <c r="N822" s="16" t="s">
        <v>57</v>
      </c>
      <c r="O822" s="16" t="s">
        <v>315</v>
      </c>
      <c r="P822" s="16" t="s">
        <v>1670</v>
      </c>
      <c r="Q822" s="16" t="s">
        <v>1670</v>
      </c>
      <c r="R822" s="16" t="s">
        <v>800</v>
      </c>
      <c r="S822" s="16" t="s">
        <v>968</v>
      </c>
      <c r="T822" s="16" t="s">
        <v>1671</v>
      </c>
      <c r="U822" s="16" t="s">
        <v>73</v>
      </c>
      <c r="V822" s="16" t="n">
        <v>2.45</v>
      </c>
      <c r="W822" s="16" t="n">
        <v>0.0164</v>
      </c>
      <c r="X822" s="16" t="n">
        <v>0</v>
      </c>
      <c r="Y822" s="16" t="n">
        <v>0</v>
      </c>
      <c r="Z822" s="16" t="n">
        <v>6000</v>
      </c>
      <c r="AA822" s="16" t="n">
        <v>0</v>
      </c>
      <c r="AB822" s="16" t="n">
        <v>0</v>
      </c>
      <c r="AC822" s="16" t="n">
        <v>0</v>
      </c>
      <c r="AD822" s="16" t="n">
        <v>0</v>
      </c>
      <c r="AE822" s="16" t="n">
        <v>0</v>
      </c>
      <c r="AF822" s="16" t="n">
        <v>0</v>
      </c>
      <c r="AG822" s="16" t="n">
        <v>0</v>
      </c>
      <c r="AH822" s="16" t="n">
        <v>0</v>
      </c>
      <c r="AI822" s="16" t="n">
        <v>0</v>
      </c>
      <c r="AJ822" s="9" t="n">
        <f aca="false">X822*$V822</f>
        <v>0</v>
      </c>
      <c r="AK822" s="9" t="n">
        <f aca="false">Y822*$V822</f>
        <v>0</v>
      </c>
      <c r="AL822" s="9" t="n">
        <f aca="false">Z822*$V822</f>
        <v>14700</v>
      </c>
      <c r="AM822" s="9" t="n">
        <f aca="false">AA822*$V822</f>
        <v>0</v>
      </c>
      <c r="AN822" s="9" t="n">
        <f aca="false">AB822*$V822</f>
        <v>0</v>
      </c>
      <c r="AO822" s="9" t="n">
        <f aca="false">AC822*$V822</f>
        <v>0</v>
      </c>
      <c r="AP822" s="9" t="n">
        <f aca="false">AD822*$V822</f>
        <v>0</v>
      </c>
      <c r="AQ822" s="9" t="n">
        <f aca="false">AE822*$V822</f>
        <v>0</v>
      </c>
      <c r="AR822" s="9" t="n">
        <f aca="false">AF822*$V822</f>
        <v>0</v>
      </c>
      <c r="AS822" s="9" t="n">
        <f aca="false">AG822*$V822</f>
        <v>0</v>
      </c>
      <c r="AT822" s="9" t="n">
        <f aca="false">AH822*$V822</f>
        <v>0</v>
      </c>
      <c r="AU822" s="9" t="n">
        <f aca="false">AI822*$V822</f>
        <v>0</v>
      </c>
      <c r="AV822" s="9" t="n">
        <f aca="false">SUM(X822:AI822)/1000</f>
        <v>6</v>
      </c>
      <c r="AW822" s="9" t="n">
        <f aca="false">SUM(AJ822:AU822)</f>
        <v>14700</v>
      </c>
      <c r="AX822" s="9" t="n">
        <f aca="false">IF(D822="INR",AW822/88.24,AW822)/1000000</f>
        <v>0.000166591115140526</v>
      </c>
    </row>
    <row r="823" s="2" customFormat="true" ht="16.4" hidden="false" customHeight="false" outlineLevel="0" collapsed="false">
      <c r="A823" s="16" t="s">
        <v>1672</v>
      </c>
      <c r="B823" s="16" t="n">
        <v>5</v>
      </c>
      <c r="C823" s="15"/>
      <c r="D823" s="16" t="s">
        <v>102</v>
      </c>
      <c r="E823" s="16" t="s">
        <v>51</v>
      </c>
      <c r="F823" s="16" t="s">
        <v>52</v>
      </c>
      <c r="G823" s="16" t="s">
        <v>296</v>
      </c>
      <c r="H823" s="16" t="s">
        <v>297</v>
      </c>
      <c r="I823" s="16" t="s">
        <v>260</v>
      </c>
      <c r="J823" s="16" t="s">
        <v>1661</v>
      </c>
      <c r="K823" s="16" t="s">
        <v>1673</v>
      </c>
      <c r="L823" s="16" t="s">
        <v>260</v>
      </c>
      <c r="M823" s="16" t="s">
        <v>1661</v>
      </c>
      <c r="N823" s="16" t="s">
        <v>67</v>
      </c>
      <c r="O823" s="16" t="s">
        <v>107</v>
      </c>
      <c r="P823" s="16" t="s">
        <v>348</v>
      </c>
      <c r="Q823" s="16" t="s">
        <v>348</v>
      </c>
      <c r="R823" s="16" t="s">
        <v>800</v>
      </c>
      <c r="S823" s="16" t="s">
        <v>87</v>
      </c>
      <c r="T823" s="16" t="s">
        <v>1674</v>
      </c>
      <c r="U823" s="16" t="s">
        <v>73</v>
      </c>
      <c r="V823" s="16" t="n">
        <v>0.002</v>
      </c>
      <c r="W823" s="16" t="n">
        <v>0.00152</v>
      </c>
      <c r="X823" s="16" t="n">
        <v>10000</v>
      </c>
      <c r="Y823" s="16" t="n">
        <v>10000</v>
      </c>
      <c r="Z823" s="16" t="n">
        <v>10000</v>
      </c>
      <c r="AA823" s="16" t="n">
        <v>10000</v>
      </c>
      <c r="AB823" s="16" t="n">
        <v>10000</v>
      </c>
      <c r="AC823" s="16" t="n">
        <v>10000</v>
      </c>
      <c r="AD823" s="16" t="n">
        <v>10000</v>
      </c>
      <c r="AE823" s="16" t="n">
        <v>10000</v>
      </c>
      <c r="AF823" s="16" t="n">
        <v>10000</v>
      </c>
      <c r="AG823" s="16" t="n">
        <v>10000</v>
      </c>
      <c r="AH823" s="16" t="n">
        <v>10000</v>
      </c>
      <c r="AI823" s="16" t="n">
        <v>10000</v>
      </c>
      <c r="AJ823" s="9" t="n">
        <f aca="false">X823*$V823</f>
        <v>20</v>
      </c>
      <c r="AK823" s="9" t="n">
        <f aca="false">Y823*$V823</f>
        <v>20</v>
      </c>
      <c r="AL823" s="9" t="n">
        <f aca="false">Z823*$V823</f>
        <v>20</v>
      </c>
      <c r="AM823" s="9" t="n">
        <f aca="false">AA823*$V823</f>
        <v>20</v>
      </c>
      <c r="AN823" s="9" t="n">
        <f aca="false">AB823*$V823</f>
        <v>20</v>
      </c>
      <c r="AO823" s="9" t="n">
        <f aca="false">AC823*$V823</f>
        <v>20</v>
      </c>
      <c r="AP823" s="9" t="n">
        <f aca="false">AD823*$V823</f>
        <v>20</v>
      </c>
      <c r="AQ823" s="9" t="n">
        <f aca="false">AE823*$V823</f>
        <v>20</v>
      </c>
      <c r="AR823" s="9" t="n">
        <f aca="false">AF823*$V823</f>
        <v>20</v>
      </c>
      <c r="AS823" s="9" t="n">
        <f aca="false">AG823*$V823</f>
        <v>20</v>
      </c>
      <c r="AT823" s="9" t="n">
        <f aca="false">AH823*$V823</f>
        <v>20</v>
      </c>
      <c r="AU823" s="9" t="n">
        <f aca="false">AI823*$V823</f>
        <v>20</v>
      </c>
      <c r="AV823" s="9" t="n">
        <f aca="false">SUM(X823:AI823)/1000</f>
        <v>120</v>
      </c>
      <c r="AW823" s="9" t="n">
        <f aca="false">SUM(AJ823:AU823)</f>
        <v>240</v>
      </c>
      <c r="AX823" s="9" t="n">
        <f aca="false">IF(D823="INR",AW823/88.24,AW823)/1000000</f>
        <v>0.00024</v>
      </c>
    </row>
    <row r="824" s="2" customFormat="true" ht="14.25" hidden="false" customHeight="false" outlineLevel="0" collapsed="false">
      <c r="A824" s="35"/>
      <c r="B824" s="9" t="n">
        <v>1</v>
      </c>
      <c r="C824" s="10"/>
      <c r="D824" s="9" t="s">
        <v>50</v>
      </c>
      <c r="E824" s="9" t="s">
        <v>51</v>
      </c>
      <c r="F824" s="9" t="s">
        <v>52</v>
      </c>
      <c r="G824" s="9" t="s">
        <v>781</v>
      </c>
      <c r="H824" s="9" t="s">
        <v>782</v>
      </c>
      <c r="I824" s="9" t="s">
        <v>77</v>
      </c>
      <c r="J824" s="9" t="s">
        <v>496</v>
      </c>
      <c r="K824" s="9" t="s">
        <v>495</v>
      </c>
      <c r="L824" s="9" t="s">
        <v>77</v>
      </c>
      <c r="M824" s="9" t="s">
        <v>496</v>
      </c>
      <c r="N824" s="16" t="s">
        <v>57</v>
      </c>
      <c r="O824" s="9" t="s">
        <v>94</v>
      </c>
      <c r="P824" s="9" t="s">
        <v>1675</v>
      </c>
      <c r="Q824" s="9" t="s">
        <v>1675</v>
      </c>
      <c r="R824" s="9"/>
      <c r="S824" s="9"/>
      <c r="T824" s="9" t="s">
        <v>1676</v>
      </c>
      <c r="U824" s="9"/>
      <c r="V824" s="9" t="n">
        <v>14.6</v>
      </c>
      <c r="W824" s="9"/>
      <c r="X824" s="9"/>
      <c r="Y824" s="9"/>
      <c r="Z824" s="9" t="n">
        <v>1000</v>
      </c>
      <c r="AA824" s="9"/>
      <c r="AB824" s="9"/>
      <c r="AC824" s="9"/>
      <c r="AD824" s="9" t="n">
        <v>1000</v>
      </c>
      <c r="AE824" s="9"/>
      <c r="AF824" s="9" t="n">
        <v>1000</v>
      </c>
      <c r="AG824" s="9"/>
      <c r="AH824" s="9" t="n">
        <v>1000</v>
      </c>
      <c r="AI824" s="9" t="n">
        <v>1000</v>
      </c>
      <c r="AJ824" s="9" t="n">
        <f aca="false">X824*$V824</f>
        <v>0</v>
      </c>
      <c r="AK824" s="9" t="n">
        <f aca="false">Y824*$V824</f>
        <v>0</v>
      </c>
      <c r="AL824" s="9" t="n">
        <f aca="false">Z824*$V824</f>
        <v>14600</v>
      </c>
      <c r="AM824" s="9" t="n">
        <f aca="false">AA824*$V824</f>
        <v>0</v>
      </c>
      <c r="AN824" s="9" t="n">
        <f aca="false">AB824*$V824</f>
        <v>0</v>
      </c>
      <c r="AO824" s="9" t="n">
        <f aca="false">AC824*$V824</f>
        <v>0</v>
      </c>
      <c r="AP824" s="9" t="n">
        <f aca="false">AD824*$V824</f>
        <v>14600</v>
      </c>
      <c r="AQ824" s="9" t="n">
        <f aca="false">AE824*$V824</f>
        <v>0</v>
      </c>
      <c r="AR824" s="9" t="n">
        <f aca="false">AF824*$V824</f>
        <v>14600</v>
      </c>
      <c r="AS824" s="9" t="n">
        <f aca="false">AG824*$V824</f>
        <v>0</v>
      </c>
      <c r="AT824" s="9" t="n">
        <f aca="false">AH824*$V824</f>
        <v>14600</v>
      </c>
      <c r="AU824" s="9" t="n">
        <f aca="false">AI824*$V824</f>
        <v>14600</v>
      </c>
      <c r="AV824" s="9" t="n">
        <f aca="false">SUM(X824:AI824)/1000</f>
        <v>5</v>
      </c>
      <c r="AW824" s="9" t="n">
        <f aca="false">SUM(AJ824:AU824)</f>
        <v>73000</v>
      </c>
      <c r="AX824" s="9" t="n">
        <f aca="false">IF(D824="INR",AW824/88.24,AW824)/1000000</f>
        <v>0.000827289211242067</v>
      </c>
    </row>
    <row r="825" s="2" customFormat="true" ht="16.4" hidden="false" customHeight="false" outlineLevel="0" collapsed="false">
      <c r="A825" s="16" t="s">
        <v>1677</v>
      </c>
      <c r="B825" s="16" t="n">
        <v>5</v>
      </c>
      <c r="C825" s="16"/>
      <c r="D825" s="16" t="s">
        <v>102</v>
      </c>
      <c r="E825" s="16" t="s">
        <v>51</v>
      </c>
      <c r="F825" s="16" t="s">
        <v>52</v>
      </c>
      <c r="G825" s="16" t="s">
        <v>296</v>
      </c>
      <c r="H825" s="16" t="s">
        <v>297</v>
      </c>
      <c r="I825" s="16" t="s">
        <v>260</v>
      </c>
      <c r="J825" s="16" t="s">
        <v>1661</v>
      </c>
      <c r="K825" s="16" t="s">
        <v>1678</v>
      </c>
      <c r="L825" s="16" t="s">
        <v>260</v>
      </c>
      <c r="M825" s="16" t="s">
        <v>1661</v>
      </c>
      <c r="N825" s="16" t="s">
        <v>67</v>
      </c>
      <c r="O825" s="16" t="s">
        <v>107</v>
      </c>
      <c r="P825" s="16" t="s">
        <v>348</v>
      </c>
      <c r="Q825" s="16" t="s">
        <v>348</v>
      </c>
      <c r="R825" s="16" t="s">
        <v>800</v>
      </c>
      <c r="S825" s="16" t="s">
        <v>87</v>
      </c>
      <c r="T825" s="26" t="s">
        <v>1679</v>
      </c>
      <c r="U825" s="16" t="s">
        <v>73</v>
      </c>
      <c r="V825" s="16" t="n">
        <v>0.018</v>
      </c>
      <c r="W825" s="16" t="n">
        <v>0.01225</v>
      </c>
      <c r="X825" s="16" t="n">
        <v>5000</v>
      </c>
      <c r="Y825" s="16" t="n">
        <v>5000</v>
      </c>
      <c r="Z825" s="16" t="n">
        <v>5000</v>
      </c>
      <c r="AA825" s="16" t="n">
        <v>5000</v>
      </c>
      <c r="AB825" s="16" t="n">
        <v>5000</v>
      </c>
      <c r="AC825" s="16" t="n">
        <v>5000</v>
      </c>
      <c r="AD825" s="16" t="n">
        <v>5000</v>
      </c>
      <c r="AE825" s="16" t="n">
        <v>5000</v>
      </c>
      <c r="AF825" s="16" t="n">
        <v>5000</v>
      </c>
      <c r="AG825" s="16" t="n">
        <v>5000</v>
      </c>
      <c r="AH825" s="16" t="n">
        <v>5000</v>
      </c>
      <c r="AI825" s="16" t="n">
        <v>5000</v>
      </c>
      <c r="AJ825" s="9" t="n">
        <f aca="false">X825*$V825</f>
        <v>90</v>
      </c>
      <c r="AK825" s="9" t="n">
        <f aca="false">Y825*$V825</f>
        <v>90</v>
      </c>
      <c r="AL825" s="9" t="n">
        <f aca="false">Z825*$V825</f>
        <v>90</v>
      </c>
      <c r="AM825" s="9" t="n">
        <f aca="false">AA825*$V825</f>
        <v>90</v>
      </c>
      <c r="AN825" s="9" t="n">
        <f aca="false">AB825*$V825</f>
        <v>90</v>
      </c>
      <c r="AO825" s="9" t="n">
        <f aca="false">AC825*$V825</f>
        <v>90</v>
      </c>
      <c r="AP825" s="9" t="n">
        <f aca="false">AD825*$V825</f>
        <v>90</v>
      </c>
      <c r="AQ825" s="9" t="n">
        <f aca="false">AE825*$V825</f>
        <v>90</v>
      </c>
      <c r="AR825" s="9" t="n">
        <f aca="false">AF825*$V825</f>
        <v>90</v>
      </c>
      <c r="AS825" s="9" t="n">
        <f aca="false">AG825*$V825</f>
        <v>90</v>
      </c>
      <c r="AT825" s="9" t="n">
        <f aca="false">AH825*$V825</f>
        <v>90</v>
      </c>
      <c r="AU825" s="9" t="n">
        <f aca="false">AI825*$V825</f>
        <v>90</v>
      </c>
      <c r="AV825" s="9" t="n">
        <f aca="false">SUM(X825:AI825)/1000</f>
        <v>60</v>
      </c>
      <c r="AW825" s="9" t="n">
        <f aca="false">SUM(AJ825:AU825)</f>
        <v>1080</v>
      </c>
      <c r="AX825" s="9" t="n">
        <f aca="false">IF(D825="INR",AW825/88.24,AW825)/1000000</f>
        <v>0.00108</v>
      </c>
    </row>
    <row r="826" s="2" customFormat="true" ht="16.4" hidden="false" customHeight="false" outlineLevel="0" collapsed="false">
      <c r="A826" s="35" t="s">
        <v>1680</v>
      </c>
      <c r="B826" s="9" t="n">
        <v>5</v>
      </c>
      <c r="C826" s="10"/>
      <c r="D826" s="9" t="s">
        <v>50</v>
      </c>
      <c r="E826" s="9" t="s">
        <v>51</v>
      </c>
      <c r="F826" s="9" t="s">
        <v>267</v>
      </c>
      <c r="G826" s="9" t="s">
        <v>1681</v>
      </c>
      <c r="H826" s="9" t="s">
        <v>1682</v>
      </c>
      <c r="I826" s="9" t="s">
        <v>105</v>
      </c>
      <c r="J826" s="9" t="s">
        <v>900</v>
      </c>
      <c r="K826" s="9"/>
      <c r="L826" s="9" t="s">
        <v>105</v>
      </c>
      <c r="M826" s="9" t="s">
        <v>900</v>
      </c>
      <c r="N826" s="9" t="s">
        <v>271</v>
      </c>
      <c r="O826" s="9" t="s">
        <v>94</v>
      </c>
      <c r="P826" s="9" t="s">
        <v>308</v>
      </c>
      <c r="Q826" s="16" t="s">
        <v>308</v>
      </c>
      <c r="R826" s="9" t="s">
        <v>309</v>
      </c>
      <c r="S826" s="9" t="s">
        <v>264</v>
      </c>
      <c r="T826" s="9" t="s">
        <v>1683</v>
      </c>
      <c r="U826" s="9" t="s">
        <v>73</v>
      </c>
      <c r="V826" s="9" t="n">
        <v>2.86</v>
      </c>
      <c r="W826" s="9" t="n">
        <v>2.44</v>
      </c>
      <c r="X826" s="9"/>
      <c r="Y826" s="9"/>
      <c r="Z826" s="9" t="n">
        <v>5000</v>
      </c>
      <c r="AA826" s="9"/>
      <c r="AB826" s="9"/>
      <c r="AC826" s="9" t="n">
        <v>5000</v>
      </c>
      <c r="AD826" s="9"/>
      <c r="AE826" s="9"/>
      <c r="AF826" s="9" t="n">
        <v>5000</v>
      </c>
      <c r="AG826" s="9"/>
      <c r="AH826" s="9"/>
      <c r="AI826" s="9"/>
      <c r="AJ826" s="9" t="n">
        <f aca="false">X826*$V826</f>
        <v>0</v>
      </c>
      <c r="AK826" s="9" t="n">
        <f aca="false">Y826*$V826</f>
        <v>0</v>
      </c>
      <c r="AL826" s="9" t="n">
        <f aca="false">Z826*$V826</f>
        <v>14300</v>
      </c>
      <c r="AM826" s="9" t="n">
        <f aca="false">AA826*$V826</f>
        <v>0</v>
      </c>
      <c r="AN826" s="9" t="n">
        <f aca="false">AB826*$V826</f>
        <v>0</v>
      </c>
      <c r="AO826" s="9" t="n">
        <f aca="false">AC826*$V826</f>
        <v>14300</v>
      </c>
      <c r="AP826" s="9" t="n">
        <f aca="false">AD826*$V826</f>
        <v>0</v>
      </c>
      <c r="AQ826" s="9" t="n">
        <f aca="false">AE826*$V826</f>
        <v>0</v>
      </c>
      <c r="AR826" s="9" t="n">
        <f aca="false">AF826*$V826</f>
        <v>14300</v>
      </c>
      <c r="AS826" s="9" t="n">
        <f aca="false">AG826*$V826</f>
        <v>0</v>
      </c>
      <c r="AT826" s="9" t="n">
        <f aca="false">AH826*$V826</f>
        <v>0</v>
      </c>
      <c r="AU826" s="9" t="n">
        <f aca="false">AI826*$V826</f>
        <v>0</v>
      </c>
      <c r="AV826" s="9" t="n">
        <f aca="false">SUM(X826:AI826)/1000</f>
        <v>15</v>
      </c>
      <c r="AW826" s="9" t="n">
        <f aca="false">SUM(AJ826:AU826)</f>
        <v>42900</v>
      </c>
      <c r="AX826" s="9" t="n">
        <f aca="false">IF(D826="INR",AW826/88.24,AW826)/1000000</f>
        <v>0.000486174070716228</v>
      </c>
    </row>
    <row r="827" s="2" customFormat="true" ht="16.4" hidden="false" customHeight="false" outlineLevel="0" collapsed="false">
      <c r="A827" s="16" t="s">
        <v>1684</v>
      </c>
      <c r="B827" s="16"/>
      <c r="C827" s="16" t="n">
        <v>5</v>
      </c>
      <c r="D827" s="16" t="s">
        <v>50</v>
      </c>
      <c r="E827" s="16" t="s">
        <v>51</v>
      </c>
      <c r="F827" s="16" t="s">
        <v>52</v>
      </c>
      <c r="G827" s="16" t="s">
        <v>1685</v>
      </c>
      <c r="H827" s="16" t="s">
        <v>1686</v>
      </c>
      <c r="I827" s="16" t="s">
        <v>105</v>
      </c>
      <c r="J827" s="16" t="s">
        <v>766</v>
      </c>
      <c r="K827" s="16"/>
      <c r="L827" s="16" t="s">
        <v>105</v>
      </c>
      <c r="M827" s="16" t="s">
        <v>766</v>
      </c>
      <c r="N827" s="16" t="s">
        <v>290</v>
      </c>
      <c r="O827" s="16" t="s">
        <v>107</v>
      </c>
      <c r="P827" s="16" t="s">
        <v>110</v>
      </c>
      <c r="Q827" s="16" t="s">
        <v>110</v>
      </c>
      <c r="R827" s="16" t="s">
        <v>137</v>
      </c>
      <c r="S827" s="16" t="s">
        <v>272</v>
      </c>
      <c r="T827" s="16" t="s">
        <v>757</v>
      </c>
      <c r="U827" s="16" t="s">
        <v>73</v>
      </c>
      <c r="V827" s="16" t="n">
        <v>46</v>
      </c>
      <c r="W827" s="16" t="n">
        <v>0.312</v>
      </c>
      <c r="X827" s="16"/>
      <c r="Y827" s="16"/>
      <c r="Z827" s="16" t="n">
        <v>300</v>
      </c>
      <c r="AA827" s="16"/>
      <c r="AB827" s="16"/>
      <c r="AC827" s="16"/>
      <c r="AD827" s="16"/>
      <c r="AE827" s="16"/>
      <c r="AF827" s="16"/>
      <c r="AG827" s="16"/>
      <c r="AH827" s="16" t="n">
        <v>300</v>
      </c>
      <c r="AI827" s="16"/>
      <c r="AJ827" s="9" t="n">
        <f aca="false">X827*$V827</f>
        <v>0</v>
      </c>
      <c r="AK827" s="9" t="n">
        <f aca="false">Y827*$V827</f>
        <v>0</v>
      </c>
      <c r="AL827" s="9" t="n">
        <f aca="false">Z827*$V827</f>
        <v>13800</v>
      </c>
      <c r="AM827" s="9" t="n">
        <f aca="false">AA827*$V827</f>
        <v>0</v>
      </c>
      <c r="AN827" s="9" t="n">
        <f aca="false">AB827*$V827</f>
        <v>0</v>
      </c>
      <c r="AO827" s="9" t="n">
        <f aca="false">AC827*$V827</f>
        <v>0</v>
      </c>
      <c r="AP827" s="9" t="n">
        <f aca="false">AD827*$V827</f>
        <v>0</v>
      </c>
      <c r="AQ827" s="9" t="n">
        <f aca="false">AE827*$V827</f>
        <v>0</v>
      </c>
      <c r="AR827" s="9" t="n">
        <f aca="false">AF827*$V827</f>
        <v>0</v>
      </c>
      <c r="AS827" s="9" t="n">
        <f aca="false">AG827*$V827</f>
        <v>0</v>
      </c>
      <c r="AT827" s="9" t="n">
        <f aca="false">AH827*$V827</f>
        <v>13800</v>
      </c>
      <c r="AU827" s="9" t="n">
        <f aca="false">AI827*$V827</f>
        <v>0</v>
      </c>
      <c r="AV827" s="9" t="n">
        <f aca="false">SUM(X827:AI827)/1000</f>
        <v>0.6</v>
      </c>
      <c r="AW827" s="9" t="n">
        <f aca="false">SUM(AJ827:AU827)</f>
        <v>27600</v>
      </c>
      <c r="AX827" s="9" t="n">
        <f aca="false">IF(D827="INR",AW827/88.24,AW827)/1000000</f>
        <v>0.000312783318223028</v>
      </c>
    </row>
    <row r="828" s="2" customFormat="true" ht="16.4" hidden="false" customHeight="false" outlineLevel="0" collapsed="false">
      <c r="A828" s="16" t="s">
        <v>1687</v>
      </c>
      <c r="B828" s="16" t="n">
        <v>5</v>
      </c>
      <c r="C828" s="15"/>
      <c r="D828" s="16" t="s">
        <v>102</v>
      </c>
      <c r="E828" s="16" t="s">
        <v>51</v>
      </c>
      <c r="F828" s="16" t="s">
        <v>52</v>
      </c>
      <c r="G828" s="16" t="s">
        <v>296</v>
      </c>
      <c r="H828" s="16" t="s">
        <v>297</v>
      </c>
      <c r="I828" s="16" t="s">
        <v>260</v>
      </c>
      <c r="J828" s="16" t="s">
        <v>1661</v>
      </c>
      <c r="K828" s="16" t="s">
        <v>1673</v>
      </c>
      <c r="L828" s="16" t="s">
        <v>260</v>
      </c>
      <c r="M828" s="16" t="s">
        <v>1661</v>
      </c>
      <c r="N828" s="16" t="s">
        <v>67</v>
      </c>
      <c r="O828" s="16" t="s">
        <v>107</v>
      </c>
      <c r="P828" s="16" t="s">
        <v>348</v>
      </c>
      <c r="Q828" s="16" t="s">
        <v>348</v>
      </c>
      <c r="R828" s="16" t="s">
        <v>800</v>
      </c>
      <c r="S828" s="16" t="s">
        <v>87</v>
      </c>
      <c r="T828" s="16" t="s">
        <v>1688</v>
      </c>
      <c r="U828" s="16" t="s">
        <v>73</v>
      </c>
      <c r="V828" s="16" t="n">
        <v>0.004</v>
      </c>
      <c r="W828" s="16" t="n">
        <v>0.00211</v>
      </c>
      <c r="X828" s="16" t="n">
        <v>5000</v>
      </c>
      <c r="Y828" s="16" t="n">
        <v>5000</v>
      </c>
      <c r="Z828" s="16" t="n">
        <v>5000</v>
      </c>
      <c r="AA828" s="16" t="n">
        <v>5000</v>
      </c>
      <c r="AB828" s="16" t="n">
        <v>5000</v>
      </c>
      <c r="AC828" s="16" t="n">
        <v>5000</v>
      </c>
      <c r="AD828" s="16" t="n">
        <v>5000</v>
      </c>
      <c r="AE828" s="16" t="n">
        <v>5000</v>
      </c>
      <c r="AF828" s="16" t="n">
        <v>5000</v>
      </c>
      <c r="AG828" s="16" t="n">
        <v>5000</v>
      </c>
      <c r="AH828" s="16" t="n">
        <v>5000</v>
      </c>
      <c r="AI828" s="16" t="n">
        <v>5000</v>
      </c>
      <c r="AJ828" s="9" t="n">
        <f aca="false">X828*$V828</f>
        <v>20</v>
      </c>
      <c r="AK828" s="9" t="n">
        <f aca="false">Y828*$V828</f>
        <v>20</v>
      </c>
      <c r="AL828" s="9" t="n">
        <f aca="false">Z828*$V828</f>
        <v>20</v>
      </c>
      <c r="AM828" s="9" t="n">
        <f aca="false">AA828*$V828</f>
        <v>20</v>
      </c>
      <c r="AN828" s="9" t="n">
        <f aca="false">AB828*$V828</f>
        <v>20</v>
      </c>
      <c r="AO828" s="9" t="n">
        <f aca="false">AC828*$V828</f>
        <v>20</v>
      </c>
      <c r="AP828" s="9" t="n">
        <f aca="false">AD828*$V828</f>
        <v>20</v>
      </c>
      <c r="AQ828" s="9" t="n">
        <f aca="false">AE828*$V828</f>
        <v>20</v>
      </c>
      <c r="AR828" s="9" t="n">
        <f aca="false">AF828*$V828</f>
        <v>20</v>
      </c>
      <c r="AS828" s="9" t="n">
        <f aca="false">AG828*$V828</f>
        <v>20</v>
      </c>
      <c r="AT828" s="9" t="n">
        <f aca="false">AH828*$V828</f>
        <v>20</v>
      </c>
      <c r="AU828" s="9" t="n">
        <f aca="false">AI828*$V828</f>
        <v>20</v>
      </c>
      <c r="AV828" s="9" t="n">
        <f aca="false">SUM(X828:AI828)/1000</f>
        <v>60</v>
      </c>
      <c r="AW828" s="9" t="n">
        <f aca="false">SUM(AJ828:AU828)</f>
        <v>240</v>
      </c>
      <c r="AX828" s="9" t="n">
        <f aca="false">IF(D828="INR",AW828/88.24,AW828)/1000000</f>
        <v>0.00024</v>
      </c>
    </row>
    <row r="829" s="2" customFormat="true" ht="14.25" hidden="false" customHeight="false" outlineLevel="0" collapsed="false">
      <c r="A829" s="12" t="s">
        <v>1689</v>
      </c>
      <c r="B829" s="9" t="n">
        <v>5</v>
      </c>
      <c r="C829" s="10"/>
      <c r="D829" s="9" t="s">
        <v>50</v>
      </c>
      <c r="E829" s="9" t="s">
        <v>51</v>
      </c>
      <c r="F829" s="9" t="s">
        <v>52</v>
      </c>
      <c r="G829" s="9" t="s">
        <v>1690</v>
      </c>
      <c r="H829" s="9" t="s">
        <v>1691</v>
      </c>
      <c r="I829" s="9" t="s">
        <v>298</v>
      </c>
      <c r="J829" s="9" t="s">
        <v>299</v>
      </c>
      <c r="K829" s="9"/>
      <c r="L829" s="9" t="s">
        <v>298</v>
      </c>
      <c r="M829" s="9" t="s">
        <v>299</v>
      </c>
      <c r="N829" s="9" t="s">
        <v>67</v>
      </c>
      <c r="O829" s="9" t="s">
        <v>107</v>
      </c>
      <c r="P829" s="9" t="s">
        <v>308</v>
      </c>
      <c r="Q829" s="9" t="s">
        <v>308</v>
      </c>
      <c r="R829" s="9" t="s">
        <v>309</v>
      </c>
      <c r="S829" s="9" t="s">
        <v>264</v>
      </c>
      <c r="T829" s="9" t="s">
        <v>1692</v>
      </c>
      <c r="U829" s="9" t="s">
        <v>73</v>
      </c>
      <c r="V829" s="9" t="n">
        <v>1.15</v>
      </c>
      <c r="W829" s="9" t="n">
        <v>1</v>
      </c>
      <c r="X829" s="9" t="n">
        <v>12000</v>
      </c>
      <c r="Y829" s="9"/>
      <c r="Z829" s="9" t="n">
        <v>12000</v>
      </c>
      <c r="AA829" s="9"/>
      <c r="AB829" s="9"/>
      <c r="AC829" s="9" t="n">
        <v>12000</v>
      </c>
      <c r="AD829" s="9"/>
      <c r="AE829" s="9"/>
      <c r="AF829" s="9" t="n">
        <v>12000</v>
      </c>
      <c r="AG829" s="9"/>
      <c r="AH829" s="9"/>
      <c r="AI829" s="9" t="n">
        <v>12000</v>
      </c>
      <c r="AJ829" s="9" t="n">
        <f aca="false">X829*$V829</f>
        <v>13800</v>
      </c>
      <c r="AK829" s="9" t="n">
        <f aca="false">Y829*$V829</f>
        <v>0</v>
      </c>
      <c r="AL829" s="9" t="n">
        <f aca="false">Z829*$V829</f>
        <v>13800</v>
      </c>
      <c r="AM829" s="9" t="n">
        <f aca="false">AA829*$V829</f>
        <v>0</v>
      </c>
      <c r="AN829" s="9" t="n">
        <f aca="false">AB829*$V829</f>
        <v>0</v>
      </c>
      <c r="AO829" s="9" t="n">
        <f aca="false">AC829*$V829</f>
        <v>13800</v>
      </c>
      <c r="AP829" s="9" t="n">
        <f aca="false">AD829*$V829</f>
        <v>0</v>
      </c>
      <c r="AQ829" s="9" t="n">
        <f aca="false">AE829*$V829</f>
        <v>0</v>
      </c>
      <c r="AR829" s="9" t="n">
        <f aca="false">AF829*$V829</f>
        <v>13800</v>
      </c>
      <c r="AS829" s="9" t="n">
        <f aca="false">AG829*$V829</f>
        <v>0</v>
      </c>
      <c r="AT829" s="9" t="n">
        <f aca="false">AH829*$V829</f>
        <v>0</v>
      </c>
      <c r="AU829" s="9" t="n">
        <f aca="false">AI829*$V829</f>
        <v>13800</v>
      </c>
      <c r="AV829" s="9" t="n">
        <f aca="false">SUM(X829:AI829)/1000</f>
        <v>60</v>
      </c>
      <c r="AW829" s="9" t="n">
        <f aca="false">SUM(AJ829:AU829)</f>
        <v>69000</v>
      </c>
      <c r="AX829" s="9" t="n">
        <f aca="false">IF(D829="INR",AW829/88.24,AW829)/1000000</f>
        <v>0.00078195829555757</v>
      </c>
    </row>
    <row r="830" s="2" customFormat="true" ht="16.4" hidden="false" customHeight="false" outlineLevel="0" collapsed="false">
      <c r="A830" s="16" t="s">
        <v>1693</v>
      </c>
      <c r="B830" s="16"/>
      <c r="C830" s="16"/>
      <c r="D830" s="16" t="s">
        <v>50</v>
      </c>
      <c r="E830" s="16" t="s">
        <v>51</v>
      </c>
      <c r="F830" s="16" t="s">
        <v>52</v>
      </c>
      <c r="G830" s="16" t="s">
        <v>1694</v>
      </c>
      <c r="H830" s="16" t="s">
        <v>1695</v>
      </c>
      <c r="I830" s="16" t="s">
        <v>298</v>
      </c>
      <c r="J830" s="16" t="s">
        <v>664</v>
      </c>
      <c r="K830" s="16"/>
      <c r="L830" s="16" t="s">
        <v>298</v>
      </c>
      <c r="M830" s="16" t="s">
        <v>664</v>
      </c>
      <c r="N830" s="16" t="s">
        <v>1639</v>
      </c>
      <c r="O830" s="16" t="s">
        <v>94</v>
      </c>
      <c r="P830" s="16" t="s">
        <v>308</v>
      </c>
      <c r="Q830" s="16" t="s">
        <v>308</v>
      </c>
      <c r="R830" s="16" t="s">
        <v>309</v>
      </c>
      <c r="S830" s="16" t="s">
        <v>264</v>
      </c>
      <c r="T830" s="16" t="s">
        <v>1696</v>
      </c>
      <c r="U830" s="16" t="s">
        <v>73</v>
      </c>
      <c r="V830" s="16" t="n">
        <v>4.5</v>
      </c>
      <c r="W830" s="16" t="n">
        <v>4.05</v>
      </c>
      <c r="X830" s="16"/>
      <c r="Y830" s="16"/>
      <c r="Z830" s="16" t="n">
        <v>3000</v>
      </c>
      <c r="AA830" s="16"/>
      <c r="AB830" s="16"/>
      <c r="AC830" s="16"/>
      <c r="AD830" s="16"/>
      <c r="AE830" s="16"/>
      <c r="AF830" s="16" t="n">
        <v>3000</v>
      </c>
      <c r="AG830" s="16"/>
      <c r="AH830" s="16"/>
      <c r="AI830" s="16"/>
      <c r="AJ830" s="9" t="n">
        <f aca="false">X830*$V830</f>
        <v>0</v>
      </c>
      <c r="AK830" s="9" t="n">
        <f aca="false">Y830*$V830</f>
        <v>0</v>
      </c>
      <c r="AL830" s="9" t="n">
        <f aca="false">Z830*$V830</f>
        <v>13500</v>
      </c>
      <c r="AM830" s="9" t="n">
        <f aca="false">AA830*$V830</f>
        <v>0</v>
      </c>
      <c r="AN830" s="9" t="n">
        <f aca="false">AB830*$V830</f>
        <v>0</v>
      </c>
      <c r="AO830" s="9" t="n">
        <f aca="false">AC830*$V830</f>
        <v>0</v>
      </c>
      <c r="AP830" s="9" t="n">
        <f aca="false">AD830*$V830</f>
        <v>0</v>
      </c>
      <c r="AQ830" s="9" t="n">
        <f aca="false">AE830*$V830</f>
        <v>0</v>
      </c>
      <c r="AR830" s="9" t="n">
        <f aca="false">AF830*$V830</f>
        <v>13500</v>
      </c>
      <c r="AS830" s="9" t="n">
        <f aca="false">AG830*$V830</f>
        <v>0</v>
      </c>
      <c r="AT830" s="9" t="n">
        <f aca="false">AH830*$V830</f>
        <v>0</v>
      </c>
      <c r="AU830" s="9" t="n">
        <f aca="false">AI830*$V830</f>
        <v>0</v>
      </c>
      <c r="AV830" s="9" t="n">
        <f aca="false">SUM(X830:AI830)/1000</f>
        <v>6</v>
      </c>
      <c r="AW830" s="9" t="n">
        <f aca="false">SUM(AJ830:AU830)</f>
        <v>27000</v>
      </c>
      <c r="AX830" s="9" t="n">
        <f aca="false">IF(D830="INR",AW830/88.24,AW830)/1000000</f>
        <v>0.000305983680870354</v>
      </c>
    </row>
    <row r="831" s="2" customFormat="true" ht="14.25" hidden="false" customHeight="false" outlineLevel="0" collapsed="false">
      <c r="A831" s="35"/>
      <c r="B831" s="9" t="n">
        <v>1</v>
      </c>
      <c r="C831" s="10"/>
      <c r="D831" s="9" t="s">
        <v>50</v>
      </c>
      <c r="E831" s="9"/>
      <c r="F831" s="9" t="s">
        <v>52</v>
      </c>
      <c r="G831" s="9" t="s">
        <v>258</v>
      </c>
      <c r="H831" s="9" t="s">
        <v>259</v>
      </c>
      <c r="I831" s="9"/>
      <c r="J831" s="9"/>
      <c r="K831" s="9"/>
      <c r="L831" s="9"/>
      <c r="M831" s="9"/>
      <c r="N831" s="16" t="s">
        <v>67</v>
      </c>
      <c r="O831" s="9" t="s">
        <v>107</v>
      </c>
      <c r="P831" s="9"/>
      <c r="Q831" s="9" t="s">
        <v>308</v>
      </c>
      <c r="R831" s="9"/>
      <c r="S831" s="9"/>
      <c r="T831" s="9" t="s">
        <v>1697</v>
      </c>
      <c r="U831" s="9" t="s">
        <v>63</v>
      </c>
      <c r="V831" s="9" t="n">
        <v>1.12</v>
      </c>
      <c r="W831" s="9"/>
      <c r="X831" s="9" t="n">
        <v>12000</v>
      </c>
      <c r="Y831" s="9" t="n">
        <v>12000</v>
      </c>
      <c r="Z831" s="9" t="n">
        <v>12000</v>
      </c>
      <c r="AA831" s="9" t="n">
        <v>12000</v>
      </c>
      <c r="AB831" s="9" t="n">
        <v>12000</v>
      </c>
      <c r="AC831" s="9" t="n">
        <v>12000</v>
      </c>
      <c r="AD831" s="9" t="n">
        <v>12000</v>
      </c>
      <c r="AE831" s="9" t="n">
        <v>12000</v>
      </c>
      <c r="AF831" s="9" t="n">
        <v>12000</v>
      </c>
      <c r="AG831" s="9" t="n">
        <v>12000</v>
      </c>
      <c r="AH831" s="9" t="n">
        <v>12000</v>
      </c>
      <c r="AI831" s="9" t="n">
        <v>12000</v>
      </c>
      <c r="AJ831" s="9" t="n">
        <f aca="false">X831*$V831</f>
        <v>13440</v>
      </c>
      <c r="AK831" s="9" t="n">
        <f aca="false">Y831*$V831</f>
        <v>13440</v>
      </c>
      <c r="AL831" s="9" t="n">
        <f aca="false">Z831*$V831</f>
        <v>13440</v>
      </c>
      <c r="AM831" s="9" t="n">
        <f aca="false">AA831*$V831</f>
        <v>13440</v>
      </c>
      <c r="AN831" s="9" t="n">
        <f aca="false">AB831*$V831</f>
        <v>13440</v>
      </c>
      <c r="AO831" s="9" t="n">
        <f aca="false">AC831*$V831</f>
        <v>13440</v>
      </c>
      <c r="AP831" s="9" t="n">
        <f aca="false">AD831*$V831</f>
        <v>13440</v>
      </c>
      <c r="AQ831" s="9" t="n">
        <f aca="false">AE831*$V831</f>
        <v>13440</v>
      </c>
      <c r="AR831" s="9" t="n">
        <f aca="false">AF831*$V831</f>
        <v>13440</v>
      </c>
      <c r="AS831" s="9" t="n">
        <f aca="false">AG831*$V831</f>
        <v>13440</v>
      </c>
      <c r="AT831" s="9" t="n">
        <f aca="false">AH831*$V831</f>
        <v>13440</v>
      </c>
      <c r="AU831" s="9" t="n">
        <f aca="false">AI831*$V831</f>
        <v>13440</v>
      </c>
      <c r="AV831" s="9" t="n">
        <f aca="false">SUM(X831:AI831)/1000</f>
        <v>144</v>
      </c>
      <c r="AW831" s="9" t="n">
        <f aca="false">SUM(AJ831:AU831)</f>
        <v>161280</v>
      </c>
      <c r="AX831" s="9" t="n">
        <f aca="false">IF(D831="INR",AW831/88.24,AW831)/1000000</f>
        <v>0.00182774252039891</v>
      </c>
    </row>
    <row r="832" s="2" customFormat="true" ht="16.4" hidden="false" customHeight="false" outlineLevel="0" collapsed="false">
      <c r="A832" s="35" t="s">
        <v>1698</v>
      </c>
      <c r="B832" s="9"/>
      <c r="C832" s="10"/>
      <c r="D832" s="9" t="s">
        <v>50</v>
      </c>
      <c r="E832" s="9" t="s">
        <v>51</v>
      </c>
      <c r="F832" s="9" t="s">
        <v>52</v>
      </c>
      <c r="G832" s="9" t="s">
        <v>258</v>
      </c>
      <c r="H832" s="9" t="s">
        <v>259</v>
      </c>
      <c r="I832" s="9" t="s">
        <v>260</v>
      </c>
      <c r="J832" s="9" t="s">
        <v>261</v>
      </c>
      <c r="K832" s="9"/>
      <c r="L832" s="9" t="s">
        <v>260</v>
      </c>
      <c r="M832" s="9" t="s">
        <v>261</v>
      </c>
      <c r="N832" s="16" t="s">
        <v>67</v>
      </c>
      <c r="O832" s="9" t="s">
        <v>107</v>
      </c>
      <c r="P832" s="9" t="s">
        <v>197</v>
      </c>
      <c r="Q832" s="9" t="s">
        <v>197</v>
      </c>
      <c r="R832" s="9" t="s">
        <v>86</v>
      </c>
      <c r="S832" s="9" t="s">
        <v>521</v>
      </c>
      <c r="T832" s="9" t="s">
        <v>1699</v>
      </c>
      <c r="U832" s="9" t="s">
        <v>73</v>
      </c>
      <c r="V832" s="9" t="n">
        <v>0.044</v>
      </c>
      <c r="W832" s="9" t="n">
        <v>0.00034</v>
      </c>
      <c r="X832" s="9" t="n">
        <v>290000</v>
      </c>
      <c r="Y832" s="9" t="n">
        <v>290000</v>
      </c>
      <c r="Z832" s="9" t="n">
        <v>290000</v>
      </c>
      <c r="AA832" s="9" t="n">
        <v>290000</v>
      </c>
      <c r="AB832" s="9" t="n">
        <v>290000</v>
      </c>
      <c r="AC832" s="9" t="n">
        <v>290000</v>
      </c>
      <c r="AD832" s="9" t="n">
        <v>290000</v>
      </c>
      <c r="AE832" s="9" t="n">
        <v>290000</v>
      </c>
      <c r="AF832" s="9" t="n">
        <v>290000</v>
      </c>
      <c r="AG832" s="9" t="n">
        <v>290000</v>
      </c>
      <c r="AH832" s="9" t="n">
        <v>290000</v>
      </c>
      <c r="AI832" s="9" t="n">
        <v>290000</v>
      </c>
      <c r="AJ832" s="9" t="n">
        <f aca="false">X832*$V832</f>
        <v>12760</v>
      </c>
      <c r="AK832" s="9" t="n">
        <f aca="false">Y832*$V832</f>
        <v>12760</v>
      </c>
      <c r="AL832" s="9" t="n">
        <f aca="false">Z832*$V832</f>
        <v>12760</v>
      </c>
      <c r="AM832" s="9" t="n">
        <f aca="false">AA832*$V832</f>
        <v>12760</v>
      </c>
      <c r="AN832" s="9" t="n">
        <f aca="false">AB832*$V832</f>
        <v>12760</v>
      </c>
      <c r="AO832" s="9" t="n">
        <f aca="false">AC832*$V832</f>
        <v>12760</v>
      </c>
      <c r="AP832" s="9" t="n">
        <f aca="false">AD832*$V832</f>
        <v>12760</v>
      </c>
      <c r="AQ832" s="9" t="n">
        <f aca="false">AE832*$V832</f>
        <v>12760</v>
      </c>
      <c r="AR832" s="9" t="n">
        <f aca="false">AF832*$V832</f>
        <v>12760</v>
      </c>
      <c r="AS832" s="9" t="n">
        <f aca="false">AG832*$V832</f>
        <v>12760</v>
      </c>
      <c r="AT832" s="9" t="n">
        <f aca="false">AH832*$V832</f>
        <v>12760</v>
      </c>
      <c r="AU832" s="9" t="n">
        <f aca="false">AI832*$V832</f>
        <v>12760</v>
      </c>
      <c r="AV832" s="9" t="n">
        <f aca="false">SUM(X832:AI832)/1000</f>
        <v>3480</v>
      </c>
      <c r="AW832" s="9" t="n">
        <f aca="false">SUM(AJ832:AU832)</f>
        <v>153120</v>
      </c>
      <c r="AX832" s="9" t="n">
        <f aca="false">IF(D832="INR",AW832/88.24,AW832)/1000000</f>
        <v>0.00173526745240254</v>
      </c>
    </row>
    <row r="833" s="2" customFormat="true" ht="14.25" hidden="false" customHeight="false" outlineLevel="0" collapsed="false">
      <c r="A833" s="12" t="s">
        <v>1700</v>
      </c>
      <c r="B833" s="9" t="n">
        <v>5</v>
      </c>
      <c r="C833" s="10"/>
      <c r="D833" s="9" t="s">
        <v>50</v>
      </c>
      <c r="E833" s="9" t="s">
        <v>51</v>
      </c>
      <c r="F833" s="9" t="s">
        <v>267</v>
      </c>
      <c r="G833" s="9" t="s">
        <v>898</v>
      </c>
      <c r="H833" s="9" t="s">
        <v>1701</v>
      </c>
      <c r="I833" s="9" t="s">
        <v>105</v>
      </c>
      <c r="J833" s="9" t="s">
        <v>900</v>
      </c>
      <c r="K833" s="9"/>
      <c r="L833" s="9" t="s">
        <v>105</v>
      </c>
      <c r="M833" s="9" t="s">
        <v>900</v>
      </c>
      <c r="N833" s="9" t="s">
        <v>271</v>
      </c>
      <c r="O833" s="9" t="s">
        <v>94</v>
      </c>
      <c r="P833" s="9" t="s">
        <v>308</v>
      </c>
      <c r="Q833" s="9" t="s">
        <v>308</v>
      </c>
      <c r="R833" s="9" t="s">
        <v>309</v>
      </c>
      <c r="S833" s="9" t="s">
        <v>264</v>
      </c>
      <c r="T833" s="9" t="s">
        <v>1702</v>
      </c>
      <c r="U833" s="9" t="s">
        <v>73</v>
      </c>
      <c r="V833" s="9" t="n">
        <v>4.25</v>
      </c>
      <c r="W833" s="9" t="n">
        <v>2.75</v>
      </c>
      <c r="X833" s="9" t="n">
        <v>3000</v>
      </c>
      <c r="Y833" s="9"/>
      <c r="Z833" s="9" t="n">
        <v>3000</v>
      </c>
      <c r="AA833" s="9"/>
      <c r="AB833" s="9" t="n">
        <v>3000</v>
      </c>
      <c r="AC833" s="9" t="n">
        <v>3000</v>
      </c>
      <c r="AD833" s="9"/>
      <c r="AE833" s="9"/>
      <c r="AF833" s="9" t="n">
        <v>3000</v>
      </c>
      <c r="AG833" s="9" t="n">
        <v>3000</v>
      </c>
      <c r="AH833" s="9" t="n">
        <v>3000</v>
      </c>
      <c r="AI833" s="9" t="n">
        <v>3000</v>
      </c>
      <c r="AJ833" s="9" t="n">
        <f aca="false">X833*$V833</f>
        <v>12750</v>
      </c>
      <c r="AK833" s="9" t="n">
        <f aca="false">Y833*$V833</f>
        <v>0</v>
      </c>
      <c r="AL833" s="9" t="n">
        <f aca="false">Z833*$V833</f>
        <v>12750</v>
      </c>
      <c r="AM833" s="9" t="n">
        <f aca="false">AA833*$V833</f>
        <v>0</v>
      </c>
      <c r="AN833" s="9" t="n">
        <f aca="false">AB833*$V833</f>
        <v>12750</v>
      </c>
      <c r="AO833" s="9" t="n">
        <f aca="false">AC833*$V833</f>
        <v>12750</v>
      </c>
      <c r="AP833" s="9" t="n">
        <f aca="false">AD833*$V833</f>
        <v>0</v>
      </c>
      <c r="AQ833" s="9" t="n">
        <f aca="false">AE833*$V833</f>
        <v>0</v>
      </c>
      <c r="AR833" s="9" t="n">
        <f aca="false">AF833*$V833</f>
        <v>12750</v>
      </c>
      <c r="AS833" s="9" t="n">
        <f aca="false">AG833*$V833</f>
        <v>12750</v>
      </c>
      <c r="AT833" s="9" t="n">
        <f aca="false">AH833*$V833</f>
        <v>12750</v>
      </c>
      <c r="AU833" s="9" t="n">
        <f aca="false">AI833*$V833</f>
        <v>12750</v>
      </c>
      <c r="AV833" s="9" t="n">
        <f aca="false">SUM(X833:AI833)/1000</f>
        <v>24</v>
      </c>
      <c r="AW833" s="9" t="n">
        <f aca="false">SUM(AJ833:AU833)</f>
        <v>102000</v>
      </c>
      <c r="AX833" s="9" t="n">
        <f aca="false">IF(D833="INR",AW833/88.24,AW833)/1000000</f>
        <v>0.00115593834995467</v>
      </c>
    </row>
    <row r="834" s="2" customFormat="true" ht="16.4" hidden="false" customHeight="false" outlineLevel="0" collapsed="false">
      <c r="A834" s="35" t="s">
        <v>1703</v>
      </c>
      <c r="B834" s="9" t="n">
        <v>5</v>
      </c>
      <c r="C834" s="10"/>
      <c r="D834" s="9" t="s">
        <v>50</v>
      </c>
      <c r="E834" s="9" t="s">
        <v>51</v>
      </c>
      <c r="F834" s="9" t="s">
        <v>404</v>
      </c>
      <c r="G834" s="9" t="s">
        <v>1704</v>
      </c>
      <c r="H834" s="9" t="s">
        <v>1705</v>
      </c>
      <c r="I834" s="9" t="s">
        <v>105</v>
      </c>
      <c r="J834" s="9" t="s">
        <v>900</v>
      </c>
      <c r="K834" s="9"/>
      <c r="L834" s="9" t="s">
        <v>105</v>
      </c>
      <c r="M834" s="9" t="s">
        <v>900</v>
      </c>
      <c r="N834" s="16" t="s">
        <v>271</v>
      </c>
      <c r="O834" s="9" t="s">
        <v>94</v>
      </c>
      <c r="P834" s="9" t="s">
        <v>69</v>
      </c>
      <c r="Q834" s="9" t="s">
        <v>69</v>
      </c>
      <c r="R834" s="9" t="s">
        <v>70</v>
      </c>
      <c r="S834" s="9" t="s">
        <v>71</v>
      </c>
      <c r="T834" s="9" t="s">
        <v>960</v>
      </c>
      <c r="U834" s="9" t="s">
        <v>73</v>
      </c>
      <c r="V834" s="9" t="n">
        <v>12.46</v>
      </c>
      <c r="W834" s="9" t="n">
        <v>0.085</v>
      </c>
      <c r="X834" s="9" t="n">
        <v>1000</v>
      </c>
      <c r="Y834" s="9"/>
      <c r="Z834" s="9" t="n">
        <v>1000</v>
      </c>
      <c r="AA834" s="9"/>
      <c r="AB834" s="9" t="n">
        <v>1000</v>
      </c>
      <c r="AC834" s="9"/>
      <c r="AD834" s="9" t="n">
        <v>1000</v>
      </c>
      <c r="AE834" s="9"/>
      <c r="AF834" s="9" t="n">
        <v>1000</v>
      </c>
      <c r="AG834" s="9"/>
      <c r="AH834" s="9" t="n">
        <v>1000</v>
      </c>
      <c r="AI834" s="9"/>
      <c r="AJ834" s="9" t="n">
        <f aca="false">X834*$V834</f>
        <v>12460</v>
      </c>
      <c r="AK834" s="9" t="n">
        <f aca="false">Y834*$V834</f>
        <v>0</v>
      </c>
      <c r="AL834" s="9" t="n">
        <f aca="false">Z834*$V834</f>
        <v>12460</v>
      </c>
      <c r="AM834" s="9" t="n">
        <f aca="false">AA834*$V834</f>
        <v>0</v>
      </c>
      <c r="AN834" s="9" t="n">
        <f aca="false">AB834*$V834</f>
        <v>12460</v>
      </c>
      <c r="AO834" s="9" t="n">
        <f aca="false">AC834*$V834</f>
        <v>0</v>
      </c>
      <c r="AP834" s="9" t="n">
        <f aca="false">AD834*$V834</f>
        <v>12460</v>
      </c>
      <c r="AQ834" s="9" t="n">
        <f aca="false">AE834*$V834</f>
        <v>0</v>
      </c>
      <c r="AR834" s="9" t="n">
        <f aca="false">AF834*$V834</f>
        <v>12460</v>
      </c>
      <c r="AS834" s="9" t="n">
        <f aca="false">AG834*$V834</f>
        <v>0</v>
      </c>
      <c r="AT834" s="9" t="n">
        <f aca="false">AH834*$V834</f>
        <v>12460</v>
      </c>
      <c r="AU834" s="9" t="n">
        <f aca="false">AI834*$V834</f>
        <v>0</v>
      </c>
      <c r="AV834" s="9" t="n">
        <f aca="false">SUM(X834:AI834)/1000</f>
        <v>6</v>
      </c>
      <c r="AW834" s="9" t="n">
        <f aca="false">SUM(AJ834:AU834)</f>
        <v>74760</v>
      </c>
      <c r="AX834" s="9" t="n">
        <f aca="false">IF(D834="INR",AW834/88.24,AW834)/1000000</f>
        <v>0.000847234814143246</v>
      </c>
    </row>
    <row r="835" s="2" customFormat="true" ht="16.4" hidden="false" customHeight="false" outlineLevel="0" collapsed="false">
      <c r="A835" s="16" t="s">
        <v>1706</v>
      </c>
      <c r="B835" s="16" t="n">
        <v>5</v>
      </c>
      <c r="C835" s="16"/>
      <c r="D835" s="16" t="s">
        <v>50</v>
      </c>
      <c r="E835" s="16" t="s">
        <v>51</v>
      </c>
      <c r="F835" s="16" t="s">
        <v>404</v>
      </c>
      <c r="G835" s="16" t="s">
        <v>405</v>
      </c>
      <c r="H835" s="16" t="s">
        <v>406</v>
      </c>
      <c r="I835" s="16" t="s">
        <v>105</v>
      </c>
      <c r="J835" s="16" t="s">
        <v>368</v>
      </c>
      <c r="K835" s="16"/>
      <c r="L835" s="16" t="s">
        <v>105</v>
      </c>
      <c r="M835" s="16" t="s">
        <v>368</v>
      </c>
      <c r="N835" s="16" t="s">
        <v>271</v>
      </c>
      <c r="O835" s="16" t="s">
        <v>94</v>
      </c>
      <c r="P835" s="16" t="s">
        <v>308</v>
      </c>
      <c r="Q835" s="16" t="s">
        <v>308</v>
      </c>
      <c r="R835" s="16" t="s">
        <v>309</v>
      </c>
      <c r="S835" s="16" t="s">
        <v>264</v>
      </c>
      <c r="T835" s="26" t="s">
        <v>1707</v>
      </c>
      <c r="U835" s="16" t="s">
        <v>73</v>
      </c>
      <c r="V835" s="16" t="n">
        <v>1.24</v>
      </c>
      <c r="W835" s="16" t="n">
        <v>0.88</v>
      </c>
      <c r="X835" s="16"/>
      <c r="Y835" s="16"/>
      <c r="Z835" s="16" t="n">
        <v>10000</v>
      </c>
      <c r="AA835" s="16"/>
      <c r="AB835" s="16"/>
      <c r="AC835" s="16"/>
      <c r="AD835" s="16"/>
      <c r="AE835" s="16"/>
      <c r="AF835" s="16"/>
      <c r="AG835" s="16"/>
      <c r="AH835" s="16"/>
      <c r="AI835" s="16"/>
      <c r="AJ835" s="9" t="n">
        <f aca="false">X835*$V835</f>
        <v>0</v>
      </c>
      <c r="AK835" s="9" t="n">
        <f aca="false">Y835*$V835</f>
        <v>0</v>
      </c>
      <c r="AL835" s="9" t="n">
        <f aca="false">Z835*$V835</f>
        <v>12400</v>
      </c>
      <c r="AM835" s="9" t="n">
        <f aca="false">AA835*$V835</f>
        <v>0</v>
      </c>
      <c r="AN835" s="9" t="n">
        <f aca="false">AB835*$V835</f>
        <v>0</v>
      </c>
      <c r="AO835" s="9" t="n">
        <f aca="false">AC835*$V835</f>
        <v>0</v>
      </c>
      <c r="AP835" s="9" t="n">
        <f aca="false">AD835*$V835</f>
        <v>0</v>
      </c>
      <c r="AQ835" s="9" t="n">
        <f aca="false">AE835*$V835</f>
        <v>0</v>
      </c>
      <c r="AR835" s="9" t="n">
        <f aca="false">AF835*$V835</f>
        <v>0</v>
      </c>
      <c r="AS835" s="9" t="n">
        <f aca="false">AG835*$V835</f>
        <v>0</v>
      </c>
      <c r="AT835" s="9" t="n">
        <f aca="false">AH835*$V835</f>
        <v>0</v>
      </c>
      <c r="AU835" s="9" t="n">
        <f aca="false">AI835*$V835</f>
        <v>0</v>
      </c>
      <c r="AV835" s="9" t="n">
        <f aca="false">SUM(X835:AI835)/1000</f>
        <v>10</v>
      </c>
      <c r="AW835" s="9" t="n">
        <f aca="false">SUM(AJ835:AU835)</f>
        <v>12400</v>
      </c>
      <c r="AX835" s="9" t="n">
        <f aca="false">IF(D835="INR",AW835/88.24,AW835)/1000000</f>
        <v>0.00014052583862194</v>
      </c>
    </row>
    <row r="836" s="2" customFormat="true" ht="14.25" hidden="false" customHeight="false" outlineLevel="0" collapsed="false">
      <c r="A836" s="12"/>
      <c r="B836" s="16" t="n">
        <v>1</v>
      </c>
      <c r="C836" s="15"/>
      <c r="D836" s="16" t="s">
        <v>102</v>
      </c>
      <c r="E836" s="16"/>
      <c r="F836" s="16" t="s">
        <v>52</v>
      </c>
      <c r="G836" s="16" t="s">
        <v>65</v>
      </c>
      <c r="H836" s="16" t="s">
        <v>66</v>
      </c>
      <c r="I836" s="16"/>
      <c r="J836" s="16"/>
      <c r="K836" s="16"/>
      <c r="L836" s="16"/>
      <c r="M836" s="16"/>
      <c r="N836" s="16" t="s">
        <v>67</v>
      </c>
      <c r="O836" s="16" t="s">
        <v>68</v>
      </c>
      <c r="P836" s="16" t="s">
        <v>182</v>
      </c>
      <c r="Q836" s="16" t="s">
        <v>182</v>
      </c>
      <c r="R836" s="16"/>
      <c r="S836" s="16"/>
      <c r="T836" s="16" t="s">
        <v>1708</v>
      </c>
      <c r="U836" s="16" t="s">
        <v>63</v>
      </c>
      <c r="V836" s="16" t="n">
        <v>0.00038</v>
      </c>
      <c r="W836" s="16"/>
      <c r="X836" s="16" t="n">
        <v>2000000</v>
      </c>
      <c r="Y836" s="16" t="n">
        <v>2000000</v>
      </c>
      <c r="Z836" s="16" t="n">
        <v>2000000</v>
      </c>
      <c r="AA836" s="16" t="n">
        <v>2000000</v>
      </c>
      <c r="AB836" s="16" t="n">
        <v>2000000</v>
      </c>
      <c r="AC836" s="26" t="n">
        <v>2000000</v>
      </c>
      <c r="AD836" s="16" t="n">
        <v>2000000</v>
      </c>
      <c r="AE836" s="16" t="n">
        <v>2000000</v>
      </c>
      <c r="AF836" s="26" t="n">
        <v>2000000</v>
      </c>
      <c r="AG836" s="16" t="n">
        <v>2000000</v>
      </c>
      <c r="AH836" s="16" t="n">
        <v>2000000</v>
      </c>
      <c r="AI836" s="16" t="n">
        <v>2000000</v>
      </c>
      <c r="AJ836" s="9" t="n">
        <f aca="false">X836*$V836</f>
        <v>760</v>
      </c>
      <c r="AK836" s="9" t="n">
        <f aca="false">Y836*$V836</f>
        <v>760</v>
      </c>
      <c r="AL836" s="9" t="n">
        <f aca="false">Z836*$V836</f>
        <v>760</v>
      </c>
      <c r="AM836" s="9" t="n">
        <f aca="false">AA836*$V836</f>
        <v>760</v>
      </c>
      <c r="AN836" s="9" t="n">
        <f aca="false">AB836*$V836</f>
        <v>760</v>
      </c>
      <c r="AO836" s="9" t="n">
        <f aca="false">AC836*$V836</f>
        <v>760</v>
      </c>
      <c r="AP836" s="9" t="n">
        <f aca="false">AD836*$V836</f>
        <v>760</v>
      </c>
      <c r="AQ836" s="9" t="n">
        <f aca="false">AE836*$V836</f>
        <v>760</v>
      </c>
      <c r="AR836" s="9" t="n">
        <f aca="false">AF836*$V836</f>
        <v>760</v>
      </c>
      <c r="AS836" s="9" t="n">
        <f aca="false">AG836*$V836</f>
        <v>760</v>
      </c>
      <c r="AT836" s="9" t="n">
        <f aca="false">AH836*$V836</f>
        <v>760</v>
      </c>
      <c r="AU836" s="9" t="n">
        <f aca="false">AI836*$V836</f>
        <v>760</v>
      </c>
      <c r="AV836" s="9" t="n">
        <f aca="false">SUM(X836:AI836)/1000</f>
        <v>24000</v>
      </c>
      <c r="AW836" s="9" t="n">
        <f aca="false">SUM(AJ836:AU836)</f>
        <v>9120</v>
      </c>
      <c r="AX836" s="9" t="n">
        <f aca="false">IF(D836="INR",AW836/88.24,AW836)/1000000</f>
        <v>0.00912</v>
      </c>
    </row>
    <row r="837" s="2" customFormat="true" ht="14.25" hidden="false" customHeight="false" outlineLevel="0" collapsed="false">
      <c r="A837" s="12"/>
      <c r="B837" s="16" t="n">
        <v>1</v>
      </c>
      <c r="C837" s="15"/>
      <c r="D837" s="16" t="s">
        <v>102</v>
      </c>
      <c r="E837" s="16"/>
      <c r="F837" s="16" t="s">
        <v>52</v>
      </c>
      <c r="G837" s="16" t="s">
        <v>65</v>
      </c>
      <c r="H837" s="16" t="s">
        <v>66</v>
      </c>
      <c r="I837" s="16"/>
      <c r="J837" s="16"/>
      <c r="K837" s="16"/>
      <c r="L837" s="16"/>
      <c r="M837" s="16"/>
      <c r="N837" s="16" t="s">
        <v>67</v>
      </c>
      <c r="O837" s="16" t="s">
        <v>68</v>
      </c>
      <c r="P837" s="16" t="s">
        <v>182</v>
      </c>
      <c r="Q837" s="16" t="s">
        <v>182</v>
      </c>
      <c r="R837" s="16"/>
      <c r="S837" s="16"/>
      <c r="T837" s="16" t="s">
        <v>1709</v>
      </c>
      <c r="U837" s="16" t="s">
        <v>63</v>
      </c>
      <c r="V837" s="16" t="n">
        <v>0.00038</v>
      </c>
      <c r="W837" s="16"/>
      <c r="X837" s="22" t="n">
        <v>1250000</v>
      </c>
      <c r="Y837" s="22" t="n">
        <v>1250000</v>
      </c>
      <c r="Z837" s="22" t="n">
        <v>1250000</v>
      </c>
      <c r="AA837" s="22" t="n">
        <v>1250000</v>
      </c>
      <c r="AB837" s="22" t="n">
        <v>1250000</v>
      </c>
      <c r="AC837" s="22" t="n">
        <v>1250000</v>
      </c>
      <c r="AD837" s="22" t="n">
        <v>1250000</v>
      </c>
      <c r="AE837" s="22" t="n">
        <v>1250000</v>
      </c>
      <c r="AF837" s="22" t="n">
        <v>1250000</v>
      </c>
      <c r="AG837" s="22" t="n">
        <v>1250000</v>
      </c>
      <c r="AH837" s="22" t="n">
        <v>1250000</v>
      </c>
      <c r="AI837" s="22" t="n">
        <v>1250000</v>
      </c>
      <c r="AJ837" s="9" t="n">
        <f aca="false">X837*$V837</f>
        <v>475</v>
      </c>
      <c r="AK837" s="9" t="n">
        <f aca="false">Y837*$V837</f>
        <v>475</v>
      </c>
      <c r="AL837" s="9" t="n">
        <f aca="false">Z837*$V837</f>
        <v>475</v>
      </c>
      <c r="AM837" s="9" t="n">
        <f aca="false">AA837*$V837</f>
        <v>475</v>
      </c>
      <c r="AN837" s="9" t="n">
        <f aca="false">AB837*$V837</f>
        <v>475</v>
      </c>
      <c r="AO837" s="9" t="n">
        <f aca="false">AC837*$V837</f>
        <v>475</v>
      </c>
      <c r="AP837" s="9" t="n">
        <f aca="false">AD837*$V837</f>
        <v>475</v>
      </c>
      <c r="AQ837" s="9" t="n">
        <f aca="false">AE837*$V837</f>
        <v>475</v>
      </c>
      <c r="AR837" s="9" t="n">
        <f aca="false">AF837*$V837</f>
        <v>475</v>
      </c>
      <c r="AS837" s="9" t="n">
        <f aca="false">AG837*$V837</f>
        <v>475</v>
      </c>
      <c r="AT837" s="9" t="n">
        <f aca="false">AH837*$V837</f>
        <v>475</v>
      </c>
      <c r="AU837" s="9" t="n">
        <f aca="false">AI837*$V837</f>
        <v>475</v>
      </c>
      <c r="AV837" s="9" t="n">
        <f aca="false">SUM(X837:AI837)/1000</f>
        <v>15000</v>
      </c>
      <c r="AW837" s="9" t="n">
        <f aca="false">SUM(AJ837:AU837)</f>
        <v>5700</v>
      </c>
      <c r="AX837" s="9" t="n">
        <f aca="false">IF(D837="INR",AW837/88.24,AW837)/1000000</f>
        <v>0.0057</v>
      </c>
    </row>
    <row r="838" s="2" customFormat="true" ht="14.25" hidden="false" customHeight="false" outlineLevel="0" collapsed="false">
      <c r="A838" s="35"/>
      <c r="B838" s="9" t="n">
        <v>1</v>
      </c>
      <c r="C838" s="10"/>
      <c r="D838" s="16" t="s">
        <v>102</v>
      </c>
      <c r="E838" s="16"/>
      <c r="F838" s="16" t="s">
        <v>52</v>
      </c>
      <c r="G838" s="16" t="s">
        <v>65</v>
      </c>
      <c r="H838" s="16" t="s">
        <v>66</v>
      </c>
      <c r="I838" s="16"/>
      <c r="J838" s="16"/>
      <c r="K838" s="16"/>
      <c r="L838" s="16"/>
      <c r="M838" s="16"/>
      <c r="N838" s="16" t="s">
        <v>67</v>
      </c>
      <c r="O838" s="16" t="s">
        <v>68</v>
      </c>
      <c r="P838" s="16" t="s">
        <v>182</v>
      </c>
      <c r="Q838" s="16" t="s">
        <v>182</v>
      </c>
      <c r="R838" s="16"/>
      <c r="S838" s="16"/>
      <c r="T838" s="16" t="s">
        <v>1710</v>
      </c>
      <c r="U838" s="16" t="s">
        <v>63</v>
      </c>
      <c r="V838" s="16" t="n">
        <v>0.00038</v>
      </c>
      <c r="W838" s="22"/>
      <c r="X838" s="9" t="n">
        <v>1250000</v>
      </c>
      <c r="Y838" s="9" t="n">
        <v>1250000</v>
      </c>
      <c r="Z838" s="9" t="n">
        <v>1250000</v>
      </c>
      <c r="AA838" s="9" t="n">
        <v>1250000</v>
      </c>
      <c r="AB838" s="9" t="n">
        <v>1250000</v>
      </c>
      <c r="AC838" s="9" t="n">
        <v>1250000</v>
      </c>
      <c r="AD838" s="9" t="n">
        <v>1250000</v>
      </c>
      <c r="AE838" s="9" t="n">
        <v>1250000</v>
      </c>
      <c r="AF838" s="9" t="n">
        <v>1250000</v>
      </c>
      <c r="AG838" s="9" t="n">
        <v>1250000</v>
      </c>
      <c r="AH838" s="9" t="n">
        <v>1250000</v>
      </c>
      <c r="AI838" s="9" t="n">
        <v>1250000</v>
      </c>
      <c r="AJ838" s="9" t="n">
        <f aca="false">X838*$V838</f>
        <v>475</v>
      </c>
      <c r="AK838" s="9" t="n">
        <f aca="false">Y838*$V838</f>
        <v>475</v>
      </c>
      <c r="AL838" s="9" t="n">
        <f aca="false">Z838*$V838</f>
        <v>475</v>
      </c>
      <c r="AM838" s="9" t="n">
        <f aca="false">AA838*$V838</f>
        <v>475</v>
      </c>
      <c r="AN838" s="9" t="n">
        <f aca="false">AB838*$V838</f>
        <v>475</v>
      </c>
      <c r="AO838" s="9" t="n">
        <f aca="false">AC838*$V838</f>
        <v>475</v>
      </c>
      <c r="AP838" s="9" t="n">
        <f aca="false">AD838*$V838</f>
        <v>475</v>
      </c>
      <c r="AQ838" s="9" t="n">
        <f aca="false">AE838*$V838</f>
        <v>475</v>
      </c>
      <c r="AR838" s="9" t="n">
        <f aca="false">AF838*$V838</f>
        <v>475</v>
      </c>
      <c r="AS838" s="9" t="n">
        <f aca="false">AG838*$V838</f>
        <v>475</v>
      </c>
      <c r="AT838" s="9" t="n">
        <f aca="false">AH838*$V838</f>
        <v>475</v>
      </c>
      <c r="AU838" s="9" t="n">
        <f aca="false">AI838*$V838</f>
        <v>475</v>
      </c>
      <c r="AV838" s="9" t="n">
        <f aca="false">SUM(X838:AI838)/1000</f>
        <v>15000</v>
      </c>
      <c r="AW838" s="9" t="n">
        <f aca="false">SUM(AJ838:AU838)</f>
        <v>5700</v>
      </c>
      <c r="AX838" s="9" t="n">
        <f aca="false">IF(D838="INR",AW838/88.24,AW838)/1000000</f>
        <v>0.0057</v>
      </c>
    </row>
    <row r="839" s="2" customFormat="true" ht="14.25" hidden="false" customHeight="false" outlineLevel="0" collapsed="false">
      <c r="A839" s="12" t="s">
        <v>1711</v>
      </c>
      <c r="B839" s="16" t="n">
        <v>5</v>
      </c>
      <c r="C839" s="15"/>
      <c r="D839" s="16" t="s">
        <v>50</v>
      </c>
      <c r="E839" s="16" t="s">
        <v>51</v>
      </c>
      <c r="F839" s="16" t="s">
        <v>52</v>
      </c>
      <c r="G839" s="16" t="s">
        <v>515</v>
      </c>
      <c r="H839" s="16" t="s">
        <v>516</v>
      </c>
      <c r="I839" s="16" t="s">
        <v>517</v>
      </c>
      <c r="J839" s="16" t="s">
        <v>78</v>
      </c>
      <c r="K839" s="16"/>
      <c r="L839" s="16" t="s">
        <v>517</v>
      </c>
      <c r="M839" s="16" t="s">
        <v>78</v>
      </c>
      <c r="N839" s="16" t="s">
        <v>67</v>
      </c>
      <c r="O839" s="16" t="s">
        <v>246</v>
      </c>
      <c r="P839" s="16" t="s">
        <v>308</v>
      </c>
      <c r="Q839" s="16" t="s">
        <v>308</v>
      </c>
      <c r="R839" s="16" t="s">
        <v>309</v>
      </c>
      <c r="S839" s="16" t="s">
        <v>264</v>
      </c>
      <c r="T839" s="16" t="s">
        <v>1348</v>
      </c>
      <c r="U839" s="16" t="s">
        <v>73</v>
      </c>
      <c r="V839" s="16" t="n">
        <v>4.05</v>
      </c>
      <c r="W839" s="16" t="n">
        <v>3.53</v>
      </c>
      <c r="X839" s="16" t="n">
        <v>3000</v>
      </c>
      <c r="Y839" s="16" t="n">
        <v>3000</v>
      </c>
      <c r="Z839" s="16" t="n">
        <v>3000</v>
      </c>
      <c r="AA839" s="16" t="n">
        <v>3000</v>
      </c>
      <c r="AB839" s="16" t="n">
        <v>3000</v>
      </c>
      <c r="AC839" s="16" t="n">
        <v>3000</v>
      </c>
      <c r="AD839" s="16" t="n">
        <v>3000</v>
      </c>
      <c r="AE839" s="16" t="n">
        <v>3000</v>
      </c>
      <c r="AF839" s="16" t="n">
        <v>3000</v>
      </c>
      <c r="AG839" s="16" t="n">
        <v>3000</v>
      </c>
      <c r="AH839" s="16" t="n">
        <v>3000</v>
      </c>
      <c r="AI839" s="16" t="n">
        <v>3000</v>
      </c>
      <c r="AJ839" s="9" t="n">
        <f aca="false">X839*$V839</f>
        <v>12150</v>
      </c>
      <c r="AK839" s="9" t="n">
        <f aca="false">Y839*$V839</f>
        <v>12150</v>
      </c>
      <c r="AL839" s="9" t="n">
        <f aca="false">Z839*$V839</f>
        <v>12150</v>
      </c>
      <c r="AM839" s="9" t="n">
        <f aca="false">AA839*$V839</f>
        <v>12150</v>
      </c>
      <c r="AN839" s="9" t="n">
        <f aca="false">AB839*$V839</f>
        <v>12150</v>
      </c>
      <c r="AO839" s="9" t="n">
        <f aca="false">AC839*$V839</f>
        <v>12150</v>
      </c>
      <c r="AP839" s="9" t="n">
        <f aca="false">AD839*$V839</f>
        <v>12150</v>
      </c>
      <c r="AQ839" s="9" t="n">
        <f aca="false">AE839*$V839</f>
        <v>12150</v>
      </c>
      <c r="AR839" s="9" t="n">
        <f aca="false">AF839*$V839</f>
        <v>12150</v>
      </c>
      <c r="AS839" s="9" t="n">
        <f aca="false">AG839*$V839</f>
        <v>12150</v>
      </c>
      <c r="AT839" s="9" t="n">
        <f aca="false">AH839*$V839</f>
        <v>12150</v>
      </c>
      <c r="AU839" s="9" t="n">
        <f aca="false">AI839*$V839</f>
        <v>12150</v>
      </c>
      <c r="AV839" s="9" t="n">
        <f aca="false">SUM(X839:AI839)/1000</f>
        <v>36</v>
      </c>
      <c r="AW839" s="9" t="n">
        <f aca="false">SUM(AJ839:AU839)</f>
        <v>145800</v>
      </c>
      <c r="AX839" s="9" t="n">
        <f aca="false">IF(D839="INR",AW839/88.24,AW839)/1000000</f>
        <v>0.00165231187669991</v>
      </c>
      <c r="AY839" s="27"/>
    </row>
    <row r="840" s="2" customFormat="true" ht="14.25" hidden="false" customHeight="false" outlineLevel="0" collapsed="false">
      <c r="A840" s="12" t="s">
        <v>1712</v>
      </c>
      <c r="B840" s="16" t="n">
        <v>5</v>
      </c>
      <c r="C840" s="15"/>
      <c r="D840" s="16" t="s">
        <v>102</v>
      </c>
      <c r="E840" s="16" t="s">
        <v>51</v>
      </c>
      <c r="F840" s="16" t="s">
        <v>52</v>
      </c>
      <c r="G840" s="16" t="s">
        <v>65</v>
      </c>
      <c r="H840" s="16" t="s">
        <v>66</v>
      </c>
      <c r="I840" s="16" t="s">
        <v>105</v>
      </c>
      <c r="J840" s="16" t="s">
        <v>270</v>
      </c>
      <c r="K840" s="16"/>
      <c r="L840" s="16" t="s">
        <v>105</v>
      </c>
      <c r="M840" s="16" t="s">
        <v>270</v>
      </c>
      <c r="N840" s="16" t="s">
        <v>67</v>
      </c>
      <c r="O840" s="16" t="s">
        <v>68</v>
      </c>
      <c r="P840" s="16" t="s">
        <v>182</v>
      </c>
      <c r="Q840" s="16" t="s">
        <v>182</v>
      </c>
      <c r="R840" s="16" t="s">
        <v>875</v>
      </c>
      <c r="S840" s="16" t="s">
        <v>363</v>
      </c>
      <c r="T840" s="16" t="s">
        <v>1713</v>
      </c>
      <c r="U840" s="16" t="s">
        <v>73</v>
      </c>
      <c r="V840" s="16" t="n">
        <v>0.0006</v>
      </c>
      <c r="W840" s="16" t="n">
        <v>0.00049</v>
      </c>
      <c r="X840" s="26" t="n">
        <v>1000000</v>
      </c>
      <c r="Y840" s="26" t="n">
        <v>1000000</v>
      </c>
      <c r="Z840" s="26" t="n">
        <v>1000000</v>
      </c>
      <c r="AA840" s="26" t="n">
        <v>1000000</v>
      </c>
      <c r="AB840" s="26" t="n">
        <v>1000000</v>
      </c>
      <c r="AC840" s="26" t="n">
        <v>1000000</v>
      </c>
      <c r="AD840" s="26" t="n">
        <v>1000000</v>
      </c>
      <c r="AE840" s="26" t="n">
        <v>1000000</v>
      </c>
      <c r="AF840" s="26" t="n">
        <v>1000000</v>
      </c>
      <c r="AG840" s="26" t="n">
        <v>1000000</v>
      </c>
      <c r="AH840" s="26" t="n">
        <v>1000000</v>
      </c>
      <c r="AI840" s="26" t="n">
        <v>1000000</v>
      </c>
      <c r="AJ840" s="9" t="n">
        <f aca="false">X840*$V840</f>
        <v>600</v>
      </c>
      <c r="AK840" s="9" t="n">
        <f aca="false">Y840*$V840</f>
        <v>600</v>
      </c>
      <c r="AL840" s="9" t="n">
        <f aca="false">Z840*$V840</f>
        <v>600</v>
      </c>
      <c r="AM840" s="9" t="n">
        <f aca="false">AA840*$V840</f>
        <v>600</v>
      </c>
      <c r="AN840" s="9" t="n">
        <f aca="false">AB840*$V840</f>
        <v>600</v>
      </c>
      <c r="AO840" s="9" t="n">
        <f aca="false">AC840*$V840</f>
        <v>600</v>
      </c>
      <c r="AP840" s="9" t="n">
        <f aca="false">AD840*$V840</f>
        <v>600</v>
      </c>
      <c r="AQ840" s="9" t="n">
        <f aca="false">AE840*$V840</f>
        <v>600</v>
      </c>
      <c r="AR840" s="9" t="n">
        <f aca="false">AF840*$V840</f>
        <v>600</v>
      </c>
      <c r="AS840" s="9" t="n">
        <f aca="false">AG840*$V840</f>
        <v>600</v>
      </c>
      <c r="AT840" s="9" t="n">
        <f aca="false">AH840*$V840</f>
        <v>600</v>
      </c>
      <c r="AU840" s="9" t="n">
        <f aca="false">AI840*$V840</f>
        <v>600</v>
      </c>
      <c r="AV840" s="9" t="n">
        <f aca="false">SUM(X840:AI840)/1000</f>
        <v>12000</v>
      </c>
      <c r="AW840" s="9" t="n">
        <f aca="false">SUM(AJ840:AU840)</f>
        <v>7200</v>
      </c>
      <c r="AX840" s="9" t="n">
        <f aca="false">IF(D840="INR",AW840/88.24,AW840)/1000000</f>
        <v>0.0072</v>
      </c>
    </row>
    <row r="841" s="2" customFormat="true" ht="16.4" hidden="false" customHeight="false" outlineLevel="0" collapsed="false">
      <c r="A841" s="35" t="s">
        <v>1714</v>
      </c>
      <c r="B841" s="9" t="n">
        <v>5</v>
      </c>
      <c r="C841" s="10"/>
      <c r="D841" s="9" t="s">
        <v>102</v>
      </c>
      <c r="E841" s="9" t="s">
        <v>51</v>
      </c>
      <c r="F841" s="9" t="s">
        <v>52</v>
      </c>
      <c r="G841" s="9" t="s">
        <v>65</v>
      </c>
      <c r="H841" s="9" t="s">
        <v>66</v>
      </c>
      <c r="I841" s="9" t="s">
        <v>105</v>
      </c>
      <c r="J841" s="9" t="s">
        <v>270</v>
      </c>
      <c r="K841" s="9"/>
      <c r="L841" s="9"/>
      <c r="M841" s="9"/>
      <c r="N841" s="9" t="s">
        <v>67</v>
      </c>
      <c r="O841" s="9" t="s">
        <v>68</v>
      </c>
      <c r="P841" s="9" t="str">
        <f aca="false">Q841</f>
        <v>RENESAS</v>
      </c>
      <c r="Q841" s="9" t="s">
        <v>110</v>
      </c>
      <c r="R841" s="9" t="s">
        <v>137</v>
      </c>
      <c r="S841" s="9" t="s">
        <v>272</v>
      </c>
      <c r="T841" s="9" t="s">
        <v>1473</v>
      </c>
      <c r="U841" s="9" t="s">
        <v>73</v>
      </c>
      <c r="V841" s="9" t="n">
        <v>1.1</v>
      </c>
      <c r="W841" s="9" t="n">
        <v>0</v>
      </c>
      <c r="X841" s="9" t="n">
        <v>750000</v>
      </c>
      <c r="Y841" s="9" t="n">
        <v>750000</v>
      </c>
      <c r="Z841" s="9" t="n">
        <v>750000</v>
      </c>
      <c r="AA841" s="9" t="n">
        <v>750000</v>
      </c>
      <c r="AB841" s="9" t="n">
        <v>750000</v>
      </c>
      <c r="AC841" s="9" t="n">
        <v>750000</v>
      </c>
      <c r="AD841" s="9" t="n">
        <v>750000</v>
      </c>
      <c r="AE841" s="9" t="n">
        <v>750000</v>
      </c>
      <c r="AF841" s="9" t="n">
        <v>750000</v>
      </c>
      <c r="AG841" s="9" t="n">
        <v>750000</v>
      </c>
      <c r="AH841" s="9" t="n">
        <v>750000</v>
      </c>
      <c r="AI841" s="9" t="n">
        <v>750000</v>
      </c>
      <c r="AJ841" s="9" t="n">
        <f aca="false">X841*$V841</f>
        <v>825000</v>
      </c>
      <c r="AK841" s="9" t="n">
        <f aca="false">Y841*$V841</f>
        <v>825000</v>
      </c>
      <c r="AL841" s="9" t="n">
        <f aca="false">Z841*$V841</f>
        <v>825000</v>
      </c>
      <c r="AM841" s="9" t="n">
        <f aca="false">AA841*$V841</f>
        <v>825000</v>
      </c>
      <c r="AN841" s="9" t="n">
        <f aca="false">AB841*$V841</f>
        <v>825000</v>
      </c>
      <c r="AO841" s="9" t="n">
        <f aca="false">AC841*$V841</f>
        <v>825000</v>
      </c>
      <c r="AP841" s="9" t="n">
        <f aca="false">AD841*$V841</f>
        <v>825000</v>
      </c>
      <c r="AQ841" s="9" t="n">
        <f aca="false">AE841*$V841</f>
        <v>825000</v>
      </c>
      <c r="AR841" s="9" t="n">
        <f aca="false">AF841*$V841</f>
        <v>825000</v>
      </c>
      <c r="AS841" s="9" t="n">
        <f aca="false">AG841*$V841</f>
        <v>825000</v>
      </c>
      <c r="AT841" s="9" t="n">
        <f aca="false">AH841*$V841</f>
        <v>825000</v>
      </c>
      <c r="AU841" s="9" t="n">
        <f aca="false">AI841*$V841</f>
        <v>825000</v>
      </c>
      <c r="AV841" s="9" t="n">
        <f aca="false">SUM(X841:AI841)/1000</f>
        <v>9000</v>
      </c>
      <c r="AW841" s="9" t="n">
        <f aca="false">SUM(AJ841:AU841)</f>
        <v>9900000</v>
      </c>
      <c r="AX841" s="9" t="n">
        <f aca="false">IF(D841="INR",AW841/88.24,AW841)/1000000</f>
        <v>9.9</v>
      </c>
    </row>
    <row r="842" s="2" customFormat="true" ht="14.25" hidden="false" customHeight="false" outlineLevel="0" collapsed="false">
      <c r="A842" s="12"/>
      <c r="B842" s="16" t="n">
        <v>1</v>
      </c>
      <c r="C842" s="15"/>
      <c r="D842" s="16" t="s">
        <v>102</v>
      </c>
      <c r="E842" s="16"/>
      <c r="F842" s="16" t="s">
        <v>52</v>
      </c>
      <c r="G842" s="16" t="s">
        <v>65</v>
      </c>
      <c r="H842" s="16" t="s">
        <v>66</v>
      </c>
      <c r="I842" s="16"/>
      <c r="J842" s="16"/>
      <c r="K842" s="16"/>
      <c r="L842" s="16"/>
      <c r="M842" s="16"/>
      <c r="N842" s="16" t="s">
        <v>67</v>
      </c>
      <c r="O842" s="16" t="s">
        <v>68</v>
      </c>
      <c r="P842" s="16" t="s">
        <v>182</v>
      </c>
      <c r="Q842" s="16" t="s">
        <v>182</v>
      </c>
      <c r="R842" s="16"/>
      <c r="S842" s="16"/>
      <c r="T842" s="16" t="s">
        <v>1715</v>
      </c>
      <c r="U842" s="16" t="s">
        <v>63</v>
      </c>
      <c r="V842" s="16" t="n">
        <v>0.00056</v>
      </c>
      <c r="W842" s="16"/>
      <c r="X842" s="22" t="n">
        <v>750000</v>
      </c>
      <c r="Y842" s="22" t="n">
        <v>750000</v>
      </c>
      <c r="Z842" s="22" t="n">
        <v>750000</v>
      </c>
      <c r="AA842" s="22" t="n">
        <v>750000</v>
      </c>
      <c r="AB842" s="22" t="n">
        <v>750000</v>
      </c>
      <c r="AC842" s="22" t="n">
        <v>750000</v>
      </c>
      <c r="AD842" s="22" t="n">
        <v>750000</v>
      </c>
      <c r="AE842" s="22" t="n">
        <v>750000</v>
      </c>
      <c r="AF842" s="22" t="n">
        <v>750000</v>
      </c>
      <c r="AG842" s="22" t="n">
        <v>750000</v>
      </c>
      <c r="AH842" s="22" t="n">
        <v>750000</v>
      </c>
      <c r="AI842" s="22" t="n">
        <v>750000</v>
      </c>
      <c r="AJ842" s="9" t="n">
        <f aca="false">X842*$V842</f>
        <v>420</v>
      </c>
      <c r="AK842" s="9" t="n">
        <f aca="false">Y842*$V842</f>
        <v>420</v>
      </c>
      <c r="AL842" s="9" t="n">
        <f aca="false">Z842*$V842</f>
        <v>420</v>
      </c>
      <c r="AM842" s="9" t="n">
        <f aca="false">AA842*$V842</f>
        <v>420</v>
      </c>
      <c r="AN842" s="9" t="n">
        <f aca="false">AB842*$V842</f>
        <v>420</v>
      </c>
      <c r="AO842" s="9" t="n">
        <f aca="false">AC842*$V842</f>
        <v>420</v>
      </c>
      <c r="AP842" s="9" t="n">
        <f aca="false">AD842*$V842</f>
        <v>420</v>
      </c>
      <c r="AQ842" s="9" t="n">
        <f aca="false">AE842*$V842</f>
        <v>420</v>
      </c>
      <c r="AR842" s="9" t="n">
        <f aca="false">AF842*$V842</f>
        <v>420</v>
      </c>
      <c r="AS842" s="9" t="n">
        <f aca="false">AG842*$V842</f>
        <v>420</v>
      </c>
      <c r="AT842" s="9" t="n">
        <f aca="false">AH842*$V842</f>
        <v>420</v>
      </c>
      <c r="AU842" s="9" t="n">
        <f aca="false">AI842*$V842</f>
        <v>420</v>
      </c>
      <c r="AV842" s="9" t="n">
        <f aca="false">SUM(X842:AI842)/1000</f>
        <v>9000</v>
      </c>
      <c r="AW842" s="9" t="n">
        <f aca="false">SUM(AJ842:AU842)</f>
        <v>5040</v>
      </c>
      <c r="AX842" s="9" t="n">
        <f aca="false">IF(D842="INR",AW842/88.24,AW842)/1000000</f>
        <v>0.00504</v>
      </c>
    </row>
    <row r="843" s="2" customFormat="true" ht="14.25" hidden="false" customHeight="false" outlineLevel="0" collapsed="false">
      <c r="A843" s="12"/>
      <c r="B843" s="16" t="n">
        <v>1</v>
      </c>
      <c r="C843" s="15"/>
      <c r="D843" s="16" t="s">
        <v>102</v>
      </c>
      <c r="E843" s="16"/>
      <c r="F843" s="16" t="s">
        <v>52</v>
      </c>
      <c r="G843" s="16" t="s">
        <v>65</v>
      </c>
      <c r="H843" s="16" t="s">
        <v>66</v>
      </c>
      <c r="I843" s="16"/>
      <c r="J843" s="16"/>
      <c r="K843" s="16"/>
      <c r="L843" s="16"/>
      <c r="M843" s="16"/>
      <c r="N843" s="16" t="s">
        <v>67</v>
      </c>
      <c r="O843" s="16" t="s">
        <v>68</v>
      </c>
      <c r="P843" s="16" t="s">
        <v>182</v>
      </c>
      <c r="Q843" s="16" t="s">
        <v>182</v>
      </c>
      <c r="R843" s="16"/>
      <c r="S843" s="16"/>
      <c r="T843" s="16" t="s">
        <v>1716</v>
      </c>
      <c r="U843" s="16" t="s">
        <v>63</v>
      </c>
      <c r="V843" s="16" t="n">
        <v>0.00056</v>
      </c>
      <c r="W843" s="16"/>
      <c r="X843" s="22" t="n">
        <v>750000</v>
      </c>
      <c r="Y843" s="22" t="n">
        <v>750000</v>
      </c>
      <c r="Z843" s="22" t="n">
        <v>750000</v>
      </c>
      <c r="AA843" s="22" t="n">
        <v>750000</v>
      </c>
      <c r="AB843" s="22" t="n">
        <v>750000</v>
      </c>
      <c r="AC843" s="22" t="n">
        <v>750000</v>
      </c>
      <c r="AD843" s="22" t="n">
        <v>750000</v>
      </c>
      <c r="AE843" s="22" t="n">
        <v>750000</v>
      </c>
      <c r="AF843" s="22" t="n">
        <v>750000</v>
      </c>
      <c r="AG843" s="22" t="n">
        <v>750000</v>
      </c>
      <c r="AH843" s="22" t="n">
        <v>750000</v>
      </c>
      <c r="AI843" s="22" t="n">
        <v>750000</v>
      </c>
      <c r="AJ843" s="9" t="n">
        <f aca="false">X843*$V843</f>
        <v>420</v>
      </c>
      <c r="AK843" s="9" t="n">
        <f aca="false">Y843*$V843</f>
        <v>420</v>
      </c>
      <c r="AL843" s="9" t="n">
        <f aca="false">Z843*$V843</f>
        <v>420</v>
      </c>
      <c r="AM843" s="9" t="n">
        <f aca="false">AA843*$V843</f>
        <v>420</v>
      </c>
      <c r="AN843" s="9" t="n">
        <f aca="false">AB843*$V843</f>
        <v>420</v>
      </c>
      <c r="AO843" s="9" t="n">
        <f aca="false">AC843*$V843</f>
        <v>420</v>
      </c>
      <c r="AP843" s="9" t="n">
        <f aca="false">AD843*$V843</f>
        <v>420</v>
      </c>
      <c r="AQ843" s="9" t="n">
        <f aca="false">AE843*$V843</f>
        <v>420</v>
      </c>
      <c r="AR843" s="9" t="n">
        <f aca="false">AF843*$V843</f>
        <v>420</v>
      </c>
      <c r="AS843" s="9" t="n">
        <f aca="false">AG843*$V843</f>
        <v>420</v>
      </c>
      <c r="AT843" s="9" t="n">
        <f aca="false">AH843*$V843</f>
        <v>420</v>
      </c>
      <c r="AU843" s="9" t="n">
        <f aca="false">AI843*$V843</f>
        <v>420</v>
      </c>
      <c r="AV843" s="9" t="n">
        <f aca="false">SUM(X843:AI843)/1000</f>
        <v>9000</v>
      </c>
      <c r="AW843" s="9" t="n">
        <f aca="false">SUM(AJ843:AU843)</f>
        <v>5040</v>
      </c>
      <c r="AX843" s="9" t="n">
        <f aca="false">IF(D843="INR",AW843/88.24,AW843)/1000000</f>
        <v>0.00504</v>
      </c>
    </row>
    <row r="844" s="2" customFormat="true" ht="14.25" hidden="false" customHeight="false" outlineLevel="0" collapsed="false">
      <c r="A844" s="12"/>
      <c r="B844" s="16" t="n">
        <v>1</v>
      </c>
      <c r="C844" s="15"/>
      <c r="D844" s="16" t="s">
        <v>102</v>
      </c>
      <c r="E844" s="16"/>
      <c r="F844" s="16" t="s">
        <v>52</v>
      </c>
      <c r="G844" s="16" t="s">
        <v>65</v>
      </c>
      <c r="H844" s="16" t="s">
        <v>66</v>
      </c>
      <c r="I844" s="16"/>
      <c r="J844" s="16"/>
      <c r="K844" s="16"/>
      <c r="L844" s="16"/>
      <c r="M844" s="16"/>
      <c r="N844" s="16" t="s">
        <v>67</v>
      </c>
      <c r="O844" s="16" t="s">
        <v>68</v>
      </c>
      <c r="P844" s="16" t="s">
        <v>182</v>
      </c>
      <c r="Q844" s="16" t="s">
        <v>182</v>
      </c>
      <c r="R844" s="16"/>
      <c r="S844" s="16"/>
      <c r="T844" s="16" t="s">
        <v>1717</v>
      </c>
      <c r="U844" s="16" t="s">
        <v>63</v>
      </c>
      <c r="V844" s="16" t="n">
        <v>0.00056</v>
      </c>
      <c r="W844" s="16"/>
      <c r="X844" s="22" t="n">
        <v>750000</v>
      </c>
      <c r="Y844" s="22" t="n">
        <v>750000</v>
      </c>
      <c r="Z844" s="22" t="n">
        <v>750000</v>
      </c>
      <c r="AA844" s="22" t="n">
        <v>750000</v>
      </c>
      <c r="AB844" s="22" t="n">
        <v>750000</v>
      </c>
      <c r="AC844" s="22" t="n">
        <v>750000</v>
      </c>
      <c r="AD844" s="22" t="n">
        <v>750000</v>
      </c>
      <c r="AE844" s="22" t="n">
        <v>750000</v>
      </c>
      <c r="AF844" s="22" t="n">
        <v>750000</v>
      </c>
      <c r="AG844" s="22" t="n">
        <v>750000</v>
      </c>
      <c r="AH844" s="22" t="n">
        <v>750000</v>
      </c>
      <c r="AI844" s="22" t="n">
        <v>750000</v>
      </c>
      <c r="AJ844" s="9" t="n">
        <f aca="false">X844*$V844</f>
        <v>420</v>
      </c>
      <c r="AK844" s="9" t="n">
        <f aca="false">Y844*$V844</f>
        <v>420</v>
      </c>
      <c r="AL844" s="9" t="n">
        <f aca="false">Z844*$V844</f>
        <v>420</v>
      </c>
      <c r="AM844" s="9" t="n">
        <f aca="false">AA844*$V844</f>
        <v>420</v>
      </c>
      <c r="AN844" s="9" t="n">
        <f aca="false">AB844*$V844</f>
        <v>420</v>
      </c>
      <c r="AO844" s="9" t="n">
        <f aca="false">AC844*$V844</f>
        <v>420</v>
      </c>
      <c r="AP844" s="9" t="n">
        <f aca="false">AD844*$V844</f>
        <v>420</v>
      </c>
      <c r="AQ844" s="9" t="n">
        <f aca="false">AE844*$V844</f>
        <v>420</v>
      </c>
      <c r="AR844" s="9" t="n">
        <f aca="false">AF844*$V844</f>
        <v>420</v>
      </c>
      <c r="AS844" s="9" t="n">
        <f aca="false">AG844*$V844</f>
        <v>420</v>
      </c>
      <c r="AT844" s="9" t="n">
        <f aca="false">AH844*$V844</f>
        <v>420</v>
      </c>
      <c r="AU844" s="9" t="n">
        <f aca="false">AI844*$V844</f>
        <v>420</v>
      </c>
      <c r="AV844" s="9" t="n">
        <f aca="false">SUM(X844:AI844)/1000</f>
        <v>9000</v>
      </c>
      <c r="AW844" s="9" t="n">
        <f aca="false">SUM(AJ844:AU844)</f>
        <v>5040</v>
      </c>
      <c r="AX844" s="9" t="n">
        <f aca="false">IF(D844="INR",AW844/88.24,AW844)/1000000</f>
        <v>0.00504</v>
      </c>
    </row>
    <row r="845" s="2" customFormat="true" ht="16.4" hidden="false" customHeight="false" outlineLevel="0" collapsed="false">
      <c r="A845" s="35" t="s">
        <v>1718</v>
      </c>
      <c r="B845" s="16" t="n">
        <v>5</v>
      </c>
      <c r="C845" s="15"/>
      <c r="D845" s="16" t="s">
        <v>50</v>
      </c>
      <c r="E845" s="16" t="s">
        <v>51</v>
      </c>
      <c r="F845" s="16" t="s">
        <v>404</v>
      </c>
      <c r="G845" s="35" t="s">
        <v>1586</v>
      </c>
      <c r="H845" s="35" t="s">
        <v>1587</v>
      </c>
      <c r="I845" s="35" t="s">
        <v>105</v>
      </c>
      <c r="J845" s="35" t="s">
        <v>368</v>
      </c>
      <c r="K845" s="35"/>
      <c r="L845" s="35" t="s">
        <v>105</v>
      </c>
      <c r="M845" s="16" t="s">
        <v>368</v>
      </c>
      <c r="N845" s="16" t="s">
        <v>271</v>
      </c>
      <c r="O845" s="16" t="s">
        <v>94</v>
      </c>
      <c r="P845" s="16" t="s">
        <v>69</v>
      </c>
      <c r="Q845" s="16" t="s">
        <v>69</v>
      </c>
      <c r="R845" s="16" t="s">
        <v>70</v>
      </c>
      <c r="S845" s="16" t="s">
        <v>71</v>
      </c>
      <c r="T845" s="50" t="s">
        <v>960</v>
      </c>
      <c r="U845" s="16" t="s">
        <v>73</v>
      </c>
      <c r="V845" s="35" t="n">
        <v>12</v>
      </c>
      <c r="W845" s="50" t="n">
        <v>0.09</v>
      </c>
      <c r="X845" s="22"/>
      <c r="Y845" s="16"/>
      <c r="Z845" s="16" t="n">
        <v>1000</v>
      </c>
      <c r="AA845" s="16"/>
      <c r="AB845" s="16"/>
      <c r="AC845" s="16"/>
      <c r="AD845" s="16" t="n">
        <v>1000</v>
      </c>
      <c r="AE845" s="16"/>
      <c r="AF845" s="16"/>
      <c r="AG845" s="16" t="n">
        <v>1000</v>
      </c>
      <c r="AH845" s="16"/>
      <c r="AI845" s="16"/>
      <c r="AJ845" s="9" t="n">
        <f aca="false">X845*$V845</f>
        <v>0</v>
      </c>
      <c r="AK845" s="9" t="n">
        <f aca="false">Y845*$V845</f>
        <v>0</v>
      </c>
      <c r="AL845" s="9" t="n">
        <f aca="false">Z845*$V845</f>
        <v>12000</v>
      </c>
      <c r="AM845" s="9" t="n">
        <f aca="false">AA845*$V845</f>
        <v>0</v>
      </c>
      <c r="AN845" s="9" t="n">
        <f aca="false">AB845*$V845</f>
        <v>0</v>
      </c>
      <c r="AO845" s="9" t="n">
        <f aca="false">AC845*$V845</f>
        <v>0</v>
      </c>
      <c r="AP845" s="9" t="n">
        <f aca="false">AD845*$V845</f>
        <v>12000</v>
      </c>
      <c r="AQ845" s="9" t="n">
        <f aca="false">AE845*$V845</f>
        <v>0</v>
      </c>
      <c r="AR845" s="9" t="n">
        <f aca="false">AF845*$V845</f>
        <v>0</v>
      </c>
      <c r="AS845" s="9" t="n">
        <f aca="false">AG845*$V845</f>
        <v>12000</v>
      </c>
      <c r="AT845" s="9" t="n">
        <f aca="false">AH845*$V845</f>
        <v>0</v>
      </c>
      <c r="AU845" s="9" t="n">
        <f aca="false">AI845*$V845</f>
        <v>0</v>
      </c>
      <c r="AV845" s="9" t="n">
        <f aca="false">SUM(X845:AI845)/1000</f>
        <v>3</v>
      </c>
      <c r="AW845" s="9" t="n">
        <f aca="false">SUM(AJ845:AU845)</f>
        <v>36000</v>
      </c>
      <c r="AX845" s="9" t="n">
        <f aca="false">IF(D845="INR",AW845/88.24,AW845)/1000000</f>
        <v>0.000407978241160471</v>
      </c>
    </row>
    <row r="846" s="2" customFormat="true" ht="14.25" hidden="false" customHeight="false" outlineLevel="0" collapsed="false">
      <c r="A846" s="45" t="s">
        <v>1719</v>
      </c>
      <c r="B846" s="51" t="n">
        <v>5</v>
      </c>
      <c r="C846" s="46"/>
      <c r="D846" s="18" t="s">
        <v>50</v>
      </c>
      <c r="E846" s="16" t="s">
        <v>51</v>
      </c>
      <c r="F846" s="18" t="s">
        <v>52</v>
      </c>
      <c r="G846" s="18" t="s">
        <v>274</v>
      </c>
      <c r="H846" s="18" t="s">
        <v>275</v>
      </c>
      <c r="I846" s="18" t="s">
        <v>260</v>
      </c>
      <c r="J846" s="18" t="s">
        <v>276</v>
      </c>
      <c r="K846" s="18"/>
      <c r="L846" s="18" t="s">
        <v>260</v>
      </c>
      <c r="M846" s="18" t="s">
        <v>276</v>
      </c>
      <c r="N846" s="18" t="s">
        <v>79</v>
      </c>
      <c r="O846" s="16" t="s">
        <v>68</v>
      </c>
      <c r="P846" s="18" t="s">
        <v>308</v>
      </c>
      <c r="Q846" s="18" t="s">
        <v>308</v>
      </c>
      <c r="R846" s="18" t="s">
        <v>309</v>
      </c>
      <c r="S846" s="18" t="s">
        <v>264</v>
      </c>
      <c r="T846" s="18" t="s">
        <v>1720</v>
      </c>
      <c r="U846" s="16" t="s">
        <v>73</v>
      </c>
      <c r="V846" s="18" t="n">
        <v>1.19</v>
      </c>
      <c r="W846" s="18" t="n">
        <v>1.05</v>
      </c>
      <c r="X846" s="18" t="n">
        <v>10000</v>
      </c>
      <c r="Y846" s="18" t="n">
        <v>10000</v>
      </c>
      <c r="Z846" s="18" t="n">
        <v>10000</v>
      </c>
      <c r="AA846" s="18" t="n">
        <v>10000</v>
      </c>
      <c r="AB846" s="18" t="n">
        <v>10000</v>
      </c>
      <c r="AC846" s="18" t="n">
        <v>10000</v>
      </c>
      <c r="AD846" s="18" t="n">
        <v>10000</v>
      </c>
      <c r="AE846" s="18" t="n">
        <v>10000</v>
      </c>
      <c r="AF846" s="18" t="n">
        <v>10000</v>
      </c>
      <c r="AG846" s="18" t="n">
        <v>10000</v>
      </c>
      <c r="AH846" s="18" t="n">
        <v>10000</v>
      </c>
      <c r="AI846" s="18" t="n">
        <v>10000</v>
      </c>
      <c r="AJ846" s="9" t="n">
        <f aca="false">X846*$V846</f>
        <v>11900</v>
      </c>
      <c r="AK846" s="9" t="n">
        <f aca="false">Y846*$V846</f>
        <v>11900</v>
      </c>
      <c r="AL846" s="9" t="n">
        <f aca="false">Z846*$V846</f>
        <v>11900</v>
      </c>
      <c r="AM846" s="9" t="n">
        <f aca="false">AA846*$V846</f>
        <v>11900</v>
      </c>
      <c r="AN846" s="9" t="n">
        <f aca="false">AB846*$V846</f>
        <v>11900</v>
      </c>
      <c r="AO846" s="9" t="n">
        <f aca="false">AC846*$V846</f>
        <v>11900</v>
      </c>
      <c r="AP846" s="9" t="n">
        <f aca="false">AD846*$V846</f>
        <v>11900</v>
      </c>
      <c r="AQ846" s="9" t="n">
        <f aca="false">AE846*$V846</f>
        <v>11900</v>
      </c>
      <c r="AR846" s="9" t="n">
        <f aca="false">AF846*$V846</f>
        <v>11900</v>
      </c>
      <c r="AS846" s="9" t="n">
        <f aca="false">AG846*$V846</f>
        <v>11900</v>
      </c>
      <c r="AT846" s="9" t="n">
        <f aca="false">AH846*$V846</f>
        <v>11900</v>
      </c>
      <c r="AU846" s="9" t="n">
        <f aca="false">AI846*$V846</f>
        <v>11900</v>
      </c>
      <c r="AV846" s="9" t="n">
        <f aca="false">SUM(X846:AI846)/1000</f>
        <v>120</v>
      </c>
      <c r="AW846" s="9" t="n">
        <f aca="false">SUM(AJ846:AU846)</f>
        <v>142800</v>
      </c>
      <c r="AX846" s="9" t="n">
        <f aca="false">IF(D846="INR",AW846/88.24,AW846)/1000000</f>
        <v>0.00161831368993654</v>
      </c>
      <c r="AY846" s="47"/>
    </row>
    <row r="847" s="2" customFormat="true" ht="14.25" hidden="false" customHeight="false" outlineLevel="0" collapsed="false">
      <c r="A847" s="12" t="s">
        <v>1721</v>
      </c>
      <c r="B847" s="16"/>
      <c r="C847" s="15"/>
      <c r="D847" s="16" t="s">
        <v>50</v>
      </c>
      <c r="E847" s="16" t="s">
        <v>51</v>
      </c>
      <c r="F847" s="16" t="s">
        <v>52</v>
      </c>
      <c r="G847" s="16" t="s">
        <v>258</v>
      </c>
      <c r="H847" s="16" t="s">
        <v>259</v>
      </c>
      <c r="I847" s="16" t="s">
        <v>260</v>
      </c>
      <c r="J847" s="16" t="s">
        <v>261</v>
      </c>
      <c r="K847" s="16"/>
      <c r="L847" s="16" t="s">
        <v>260</v>
      </c>
      <c r="M847" s="16" t="s">
        <v>261</v>
      </c>
      <c r="N847" s="16" t="s">
        <v>67</v>
      </c>
      <c r="O847" s="16" t="s">
        <v>107</v>
      </c>
      <c r="P847" s="16" t="s">
        <v>308</v>
      </c>
      <c r="Q847" s="16" t="s">
        <v>308</v>
      </c>
      <c r="R847" s="16" t="s">
        <v>309</v>
      </c>
      <c r="S847" s="16" t="s">
        <v>264</v>
      </c>
      <c r="T847" s="16" t="s">
        <v>1722</v>
      </c>
      <c r="U847" s="16" t="s">
        <v>73</v>
      </c>
      <c r="V847" s="16" t="n">
        <v>2.36</v>
      </c>
      <c r="W847" s="16" t="n">
        <v>2.14</v>
      </c>
      <c r="X847" s="16" t="n">
        <v>5000</v>
      </c>
      <c r="Y847" s="16" t="n">
        <v>5000</v>
      </c>
      <c r="Z847" s="16" t="n">
        <v>5000</v>
      </c>
      <c r="AA847" s="16" t="n">
        <v>5000</v>
      </c>
      <c r="AB847" s="16" t="n">
        <v>5000</v>
      </c>
      <c r="AC847" s="16" t="n">
        <v>5000</v>
      </c>
      <c r="AD847" s="16" t="n">
        <v>5000</v>
      </c>
      <c r="AE847" s="16" t="n">
        <v>5000</v>
      </c>
      <c r="AF847" s="16" t="n">
        <v>5000</v>
      </c>
      <c r="AG847" s="16" t="n">
        <v>5000</v>
      </c>
      <c r="AH847" s="16" t="n">
        <v>5000</v>
      </c>
      <c r="AI847" s="16" t="n">
        <v>5000</v>
      </c>
      <c r="AJ847" s="9" t="n">
        <f aca="false">X847*$V847</f>
        <v>11800</v>
      </c>
      <c r="AK847" s="9" t="n">
        <f aca="false">Y847*$V847</f>
        <v>11800</v>
      </c>
      <c r="AL847" s="9" t="n">
        <f aca="false">Z847*$V847</f>
        <v>11800</v>
      </c>
      <c r="AM847" s="9" t="n">
        <f aca="false">AA847*$V847</f>
        <v>11800</v>
      </c>
      <c r="AN847" s="9" t="n">
        <f aca="false">AB847*$V847</f>
        <v>11800</v>
      </c>
      <c r="AO847" s="9" t="n">
        <f aca="false">AC847*$V847</f>
        <v>11800</v>
      </c>
      <c r="AP847" s="9" t="n">
        <f aca="false">AD847*$V847</f>
        <v>11800</v>
      </c>
      <c r="AQ847" s="9" t="n">
        <f aca="false">AE847*$V847</f>
        <v>11800</v>
      </c>
      <c r="AR847" s="9" t="n">
        <f aca="false">AF847*$V847</f>
        <v>11800</v>
      </c>
      <c r="AS847" s="9" t="n">
        <f aca="false">AG847*$V847</f>
        <v>11800</v>
      </c>
      <c r="AT847" s="9" t="n">
        <f aca="false">AH847*$V847</f>
        <v>11800</v>
      </c>
      <c r="AU847" s="9" t="n">
        <f aca="false">AI847*$V847</f>
        <v>11800</v>
      </c>
      <c r="AV847" s="9" t="n">
        <f aca="false">SUM(X847:AI847)/1000</f>
        <v>60</v>
      </c>
      <c r="AW847" s="9" t="n">
        <f aca="false">SUM(AJ847:AU847)</f>
        <v>141600</v>
      </c>
      <c r="AX847" s="9" t="n">
        <f aca="false">IF(D847="INR",AW847/88.24,AW847)/1000000</f>
        <v>0.00160471441523119</v>
      </c>
      <c r="AY847" s="27"/>
    </row>
    <row r="848" s="2" customFormat="true" ht="16.4" hidden="false" customHeight="false" outlineLevel="0" collapsed="false">
      <c r="A848" s="35" t="s">
        <v>1723</v>
      </c>
      <c r="B848" s="9" t="n">
        <v>5</v>
      </c>
      <c r="C848" s="10"/>
      <c r="D848" s="9" t="s">
        <v>50</v>
      </c>
      <c r="E848" s="9" t="s">
        <v>51</v>
      </c>
      <c r="F848" s="9" t="s">
        <v>52</v>
      </c>
      <c r="G848" s="9" t="s">
        <v>1690</v>
      </c>
      <c r="H848" s="9" t="s">
        <v>1691</v>
      </c>
      <c r="I848" s="9" t="s">
        <v>298</v>
      </c>
      <c r="J848" s="9" t="s">
        <v>299</v>
      </c>
      <c r="K848" s="9"/>
      <c r="L848" s="9" t="s">
        <v>298</v>
      </c>
      <c r="M848" s="9" t="s">
        <v>299</v>
      </c>
      <c r="N848" s="9" t="s">
        <v>67</v>
      </c>
      <c r="O848" s="9" t="s">
        <v>107</v>
      </c>
      <c r="P848" s="9" t="s">
        <v>308</v>
      </c>
      <c r="Q848" s="9" t="s">
        <v>308</v>
      </c>
      <c r="R848" s="9" t="s">
        <v>309</v>
      </c>
      <c r="S848" s="9" t="s">
        <v>264</v>
      </c>
      <c r="T848" s="9" t="s">
        <v>1724</v>
      </c>
      <c r="U848" s="9" t="s">
        <v>73</v>
      </c>
      <c r="V848" s="9" t="n">
        <v>0.98</v>
      </c>
      <c r="W848" s="9" t="n">
        <v>0</v>
      </c>
      <c r="X848" s="9" t="n">
        <v>12000</v>
      </c>
      <c r="Y848" s="9"/>
      <c r="Z848" s="9" t="n">
        <v>12000</v>
      </c>
      <c r="AA848" s="9"/>
      <c r="AB848" s="9"/>
      <c r="AC848" s="9" t="n">
        <v>12000</v>
      </c>
      <c r="AD848" s="9"/>
      <c r="AE848" s="9"/>
      <c r="AF848" s="9" t="n">
        <v>12000</v>
      </c>
      <c r="AG848" s="9"/>
      <c r="AH848" s="9"/>
      <c r="AI848" s="9" t="n">
        <v>12000</v>
      </c>
      <c r="AJ848" s="9" t="n">
        <f aca="false">X848*$V848</f>
        <v>11760</v>
      </c>
      <c r="AK848" s="9" t="n">
        <f aca="false">Y848*$V848</f>
        <v>0</v>
      </c>
      <c r="AL848" s="9" t="n">
        <f aca="false">Z848*$V848</f>
        <v>11760</v>
      </c>
      <c r="AM848" s="9" t="n">
        <f aca="false">AA848*$V848</f>
        <v>0</v>
      </c>
      <c r="AN848" s="9" t="n">
        <f aca="false">AB848*$V848</f>
        <v>0</v>
      </c>
      <c r="AO848" s="9" t="n">
        <f aca="false">AC848*$V848</f>
        <v>11760</v>
      </c>
      <c r="AP848" s="9" t="n">
        <f aca="false">AD848*$V848</f>
        <v>0</v>
      </c>
      <c r="AQ848" s="9" t="n">
        <f aca="false">AE848*$V848</f>
        <v>0</v>
      </c>
      <c r="AR848" s="9" t="n">
        <f aca="false">AF848*$V848</f>
        <v>11760</v>
      </c>
      <c r="AS848" s="9" t="n">
        <f aca="false">AG848*$V848</f>
        <v>0</v>
      </c>
      <c r="AT848" s="9" t="n">
        <f aca="false">AH848*$V848</f>
        <v>0</v>
      </c>
      <c r="AU848" s="9" t="n">
        <f aca="false">AI848*$V848</f>
        <v>11760</v>
      </c>
      <c r="AV848" s="9" t="n">
        <f aca="false">SUM(X848:AI848)/1000</f>
        <v>60</v>
      </c>
      <c r="AW848" s="9" t="n">
        <f aca="false">SUM(AJ848:AU848)</f>
        <v>58800</v>
      </c>
      <c r="AX848" s="9" t="n">
        <f aca="false">IF(D848="INR",AW848/88.24,AW848)/1000000</f>
        <v>0.000666364460562103</v>
      </c>
    </row>
    <row r="849" s="2" customFormat="true" ht="14.25" hidden="false" customHeight="false" outlineLevel="0" collapsed="false">
      <c r="A849" s="12"/>
      <c r="B849" s="16" t="n">
        <v>1</v>
      </c>
      <c r="C849" s="15"/>
      <c r="D849" s="16" t="s">
        <v>102</v>
      </c>
      <c r="E849" s="16"/>
      <c r="F849" s="16" t="s">
        <v>52</v>
      </c>
      <c r="G849" s="16" t="s">
        <v>65</v>
      </c>
      <c r="H849" s="16" t="s">
        <v>66</v>
      </c>
      <c r="I849" s="16"/>
      <c r="J849" s="16"/>
      <c r="K849" s="16"/>
      <c r="L849" s="16"/>
      <c r="M849" s="16"/>
      <c r="N849" s="16" t="s">
        <v>67</v>
      </c>
      <c r="O849" s="16" t="s">
        <v>68</v>
      </c>
      <c r="P849" s="16" t="s">
        <v>182</v>
      </c>
      <c r="Q849" s="16" t="s">
        <v>182</v>
      </c>
      <c r="R849" s="16"/>
      <c r="S849" s="16"/>
      <c r="T849" s="16" t="s">
        <v>1725</v>
      </c>
      <c r="U849" s="16" t="s">
        <v>63</v>
      </c>
      <c r="V849" s="16" t="n">
        <v>0.00056</v>
      </c>
      <c r="W849" s="16"/>
      <c r="X849" s="22" t="n">
        <v>500000</v>
      </c>
      <c r="Y849" s="16" t="n">
        <v>500000</v>
      </c>
      <c r="Z849" s="16" t="n">
        <v>500000</v>
      </c>
      <c r="AA849" s="16" t="n">
        <v>500000</v>
      </c>
      <c r="AB849" s="16" t="n">
        <v>500000</v>
      </c>
      <c r="AC849" s="16" t="n">
        <v>500000</v>
      </c>
      <c r="AD849" s="16" t="n">
        <v>500000</v>
      </c>
      <c r="AE849" s="16" t="n">
        <v>500000</v>
      </c>
      <c r="AF849" s="16" t="n">
        <v>500000</v>
      </c>
      <c r="AG849" s="16" t="n">
        <v>500000</v>
      </c>
      <c r="AH849" s="16" t="n">
        <v>500000</v>
      </c>
      <c r="AI849" s="16" t="n">
        <v>500000</v>
      </c>
      <c r="AJ849" s="9" t="n">
        <f aca="false">X849*$V849</f>
        <v>280</v>
      </c>
      <c r="AK849" s="9" t="n">
        <f aca="false">Y849*$V849</f>
        <v>280</v>
      </c>
      <c r="AL849" s="9" t="n">
        <f aca="false">Z849*$V849</f>
        <v>280</v>
      </c>
      <c r="AM849" s="9" t="n">
        <f aca="false">AA849*$V849</f>
        <v>280</v>
      </c>
      <c r="AN849" s="9" t="n">
        <f aca="false">AB849*$V849</f>
        <v>280</v>
      </c>
      <c r="AO849" s="9" t="n">
        <f aca="false">AC849*$V849</f>
        <v>280</v>
      </c>
      <c r="AP849" s="9" t="n">
        <f aca="false">AD849*$V849</f>
        <v>280</v>
      </c>
      <c r="AQ849" s="9" t="n">
        <f aca="false">AE849*$V849</f>
        <v>280</v>
      </c>
      <c r="AR849" s="9" t="n">
        <f aca="false">AF849*$V849</f>
        <v>280</v>
      </c>
      <c r="AS849" s="9" t="n">
        <f aca="false">AG849*$V849</f>
        <v>280</v>
      </c>
      <c r="AT849" s="9" t="n">
        <f aca="false">AH849*$V849</f>
        <v>280</v>
      </c>
      <c r="AU849" s="9" t="n">
        <f aca="false">AI849*$V849</f>
        <v>280</v>
      </c>
      <c r="AV849" s="9" t="n">
        <f aca="false">SUM(X849:AI849)/1000</f>
        <v>6000</v>
      </c>
      <c r="AW849" s="9" t="n">
        <f aca="false">SUM(AJ849:AU849)</f>
        <v>3360</v>
      </c>
      <c r="AX849" s="9" t="n">
        <f aca="false">IF(D849="INR",AW849/88.24,AW849)/1000000</f>
        <v>0.00336</v>
      </c>
    </row>
    <row r="850" s="2" customFormat="true" ht="14.25" hidden="false" customHeight="false" outlineLevel="0" collapsed="false">
      <c r="A850" s="35"/>
      <c r="B850" s="9" t="n">
        <v>1</v>
      </c>
      <c r="C850" s="10"/>
      <c r="D850" s="9" t="s">
        <v>102</v>
      </c>
      <c r="E850" s="9"/>
      <c r="F850" s="9" t="s">
        <v>52</v>
      </c>
      <c r="G850" s="9" t="s">
        <v>65</v>
      </c>
      <c r="H850" s="9" t="s">
        <v>66</v>
      </c>
      <c r="I850" s="9"/>
      <c r="J850" s="9"/>
      <c r="K850" s="9"/>
      <c r="L850" s="9"/>
      <c r="M850" s="9"/>
      <c r="N850" s="9" t="s">
        <v>67</v>
      </c>
      <c r="O850" s="9" t="s">
        <v>68</v>
      </c>
      <c r="P850" s="9" t="s">
        <v>182</v>
      </c>
      <c r="Q850" s="9" t="s">
        <v>182</v>
      </c>
      <c r="R850" s="9"/>
      <c r="S850" s="9"/>
      <c r="T850" s="9" t="s">
        <v>1726</v>
      </c>
      <c r="U850" s="9" t="s">
        <v>63</v>
      </c>
      <c r="V850" s="9" t="n">
        <v>0.00056</v>
      </c>
      <c r="W850" s="9"/>
      <c r="X850" s="9" t="n">
        <v>375000</v>
      </c>
      <c r="Y850" s="9" t="n">
        <v>375000</v>
      </c>
      <c r="Z850" s="9" t="n">
        <v>375000</v>
      </c>
      <c r="AA850" s="9" t="n">
        <v>375000</v>
      </c>
      <c r="AB850" s="9" t="n">
        <v>375000</v>
      </c>
      <c r="AC850" s="9" t="n">
        <v>375000</v>
      </c>
      <c r="AD850" s="9" t="n">
        <v>375000</v>
      </c>
      <c r="AE850" s="9" t="n">
        <v>375000</v>
      </c>
      <c r="AF850" s="9" t="n">
        <v>375000</v>
      </c>
      <c r="AG850" s="9" t="n">
        <v>375000</v>
      </c>
      <c r="AH850" s="9" t="n">
        <v>375000</v>
      </c>
      <c r="AI850" s="9" t="n">
        <v>375000</v>
      </c>
      <c r="AJ850" s="9" t="n">
        <f aca="false">X850*$V850</f>
        <v>210</v>
      </c>
      <c r="AK850" s="9" t="n">
        <f aca="false">Y850*$V850</f>
        <v>210</v>
      </c>
      <c r="AL850" s="9" t="n">
        <f aca="false">Z850*$V850</f>
        <v>210</v>
      </c>
      <c r="AM850" s="9" t="n">
        <f aca="false">AA850*$V850</f>
        <v>210</v>
      </c>
      <c r="AN850" s="9" t="n">
        <f aca="false">AB850*$V850</f>
        <v>210</v>
      </c>
      <c r="AO850" s="9" t="n">
        <f aca="false">AC850*$V850</f>
        <v>210</v>
      </c>
      <c r="AP850" s="9" t="n">
        <f aca="false">AD850*$V850</f>
        <v>210</v>
      </c>
      <c r="AQ850" s="9" t="n">
        <f aca="false">AE850*$V850</f>
        <v>210</v>
      </c>
      <c r="AR850" s="9" t="n">
        <f aca="false">AF850*$V850</f>
        <v>210</v>
      </c>
      <c r="AS850" s="9" t="n">
        <f aca="false">AG850*$V850</f>
        <v>210</v>
      </c>
      <c r="AT850" s="9" t="n">
        <f aca="false">AH850*$V850</f>
        <v>210</v>
      </c>
      <c r="AU850" s="9" t="n">
        <f aca="false">AI850*$V850</f>
        <v>210</v>
      </c>
      <c r="AV850" s="9" t="n">
        <f aca="false">SUM(X850:AI850)/1000</f>
        <v>4500</v>
      </c>
      <c r="AW850" s="9" t="n">
        <f aca="false">SUM(AJ850:AU850)</f>
        <v>2520</v>
      </c>
      <c r="AX850" s="9" t="n">
        <f aca="false">IF(D850="INR",AW850/88.24,AW850)/1000000</f>
        <v>0.00252</v>
      </c>
    </row>
    <row r="851" s="2" customFormat="true" ht="14.25" hidden="false" customHeight="false" outlineLevel="0" collapsed="false">
      <c r="A851" s="12" t="s">
        <v>1727</v>
      </c>
      <c r="B851" s="16" t="n">
        <v>5</v>
      </c>
      <c r="C851" s="15"/>
      <c r="D851" s="16" t="s">
        <v>102</v>
      </c>
      <c r="E851" s="16" t="s">
        <v>51</v>
      </c>
      <c r="F851" s="16" t="s">
        <v>52</v>
      </c>
      <c r="G851" s="16" t="s">
        <v>65</v>
      </c>
      <c r="H851" s="9" t="s">
        <v>66</v>
      </c>
      <c r="I851" s="16" t="s">
        <v>105</v>
      </c>
      <c r="J851" s="16" t="s">
        <v>270</v>
      </c>
      <c r="K851" s="9"/>
      <c r="L851" s="16"/>
      <c r="M851" s="16"/>
      <c r="N851" s="16" t="s">
        <v>67</v>
      </c>
      <c r="O851" s="16" t="s">
        <v>68</v>
      </c>
      <c r="P851" s="16" t="s">
        <v>380</v>
      </c>
      <c r="Q851" s="16" t="s">
        <v>380</v>
      </c>
      <c r="R851" s="16" t="s">
        <v>442</v>
      </c>
      <c r="S851" s="16" t="s">
        <v>443</v>
      </c>
      <c r="T851" s="16" t="s">
        <v>1728</v>
      </c>
      <c r="U851" s="16" t="s">
        <v>73</v>
      </c>
      <c r="V851" s="16" t="n">
        <v>0.285</v>
      </c>
      <c r="W851" s="16" t="n">
        <v>0</v>
      </c>
      <c r="X851" s="16" t="n">
        <v>500000</v>
      </c>
      <c r="Y851" s="16" t="n">
        <v>500000</v>
      </c>
      <c r="Z851" s="16" t="n">
        <v>500000</v>
      </c>
      <c r="AA851" s="16" t="n">
        <v>500000</v>
      </c>
      <c r="AB851" s="16" t="n">
        <v>300000</v>
      </c>
      <c r="AC851" s="16" t="n">
        <v>300000</v>
      </c>
      <c r="AD851" s="16" t="n">
        <v>300000</v>
      </c>
      <c r="AE851" s="16" t="n">
        <v>300000</v>
      </c>
      <c r="AF851" s="16" t="n">
        <v>300000</v>
      </c>
      <c r="AG851" s="16" t="n">
        <v>300000</v>
      </c>
      <c r="AH851" s="16" t="n">
        <v>300000</v>
      </c>
      <c r="AI851" s="16" t="n">
        <v>300000</v>
      </c>
      <c r="AJ851" s="9" t="n">
        <f aca="false">X851*$V851</f>
        <v>142500</v>
      </c>
      <c r="AK851" s="9" t="n">
        <f aca="false">Y851*$V851</f>
        <v>142500</v>
      </c>
      <c r="AL851" s="9" t="n">
        <f aca="false">Z851*$V851</f>
        <v>142500</v>
      </c>
      <c r="AM851" s="9" t="n">
        <f aca="false">AA851*$V851</f>
        <v>142500</v>
      </c>
      <c r="AN851" s="9" t="n">
        <f aca="false">AB851*$V851</f>
        <v>85500</v>
      </c>
      <c r="AO851" s="9" t="n">
        <f aca="false">AC851*$V851</f>
        <v>85500</v>
      </c>
      <c r="AP851" s="9" t="n">
        <f aca="false">AD851*$V851</f>
        <v>85500</v>
      </c>
      <c r="AQ851" s="9" t="n">
        <f aca="false">AE851*$V851</f>
        <v>85500</v>
      </c>
      <c r="AR851" s="9" t="n">
        <f aca="false">AF851*$V851</f>
        <v>85500</v>
      </c>
      <c r="AS851" s="9" t="n">
        <f aca="false">AG851*$V851</f>
        <v>85500</v>
      </c>
      <c r="AT851" s="9" t="n">
        <f aca="false">AH851*$V851</f>
        <v>85500</v>
      </c>
      <c r="AU851" s="9" t="n">
        <f aca="false">AI851*$V851</f>
        <v>85500</v>
      </c>
      <c r="AV851" s="9" t="n">
        <f aca="false">SUM(X851:AI851)/1000</f>
        <v>4400</v>
      </c>
      <c r="AW851" s="9" t="n">
        <f aca="false">SUM(AJ851:AU851)</f>
        <v>1254000</v>
      </c>
      <c r="AX851" s="9" t="n">
        <f aca="false">IF(D851="INR",AW851/88.24,AW851)/1000000</f>
        <v>1.254</v>
      </c>
    </row>
    <row r="852" s="2" customFormat="true" ht="16.4" hidden="false" customHeight="false" outlineLevel="0" collapsed="false">
      <c r="A852" s="35" t="s">
        <v>1729</v>
      </c>
      <c r="B852" s="9" t="n">
        <v>5</v>
      </c>
      <c r="C852" s="10"/>
      <c r="D852" s="9" t="s">
        <v>102</v>
      </c>
      <c r="E852" s="9" t="s">
        <v>51</v>
      </c>
      <c r="F852" s="9" t="s">
        <v>52</v>
      </c>
      <c r="G852" s="9" t="s">
        <v>65</v>
      </c>
      <c r="H852" s="9" t="s">
        <v>66</v>
      </c>
      <c r="I852" s="9" t="s">
        <v>105</v>
      </c>
      <c r="J852" s="9" t="s">
        <v>270</v>
      </c>
      <c r="K852" s="9"/>
      <c r="L852" s="9" t="s">
        <v>105</v>
      </c>
      <c r="M852" s="9" t="s">
        <v>270</v>
      </c>
      <c r="N852" s="9" t="s">
        <v>67</v>
      </c>
      <c r="O852" s="9" t="s">
        <v>68</v>
      </c>
      <c r="P852" s="9" t="s">
        <v>182</v>
      </c>
      <c r="Q852" s="9" t="s">
        <v>182</v>
      </c>
      <c r="R852" s="9" t="s">
        <v>875</v>
      </c>
      <c r="S852" s="9" t="s">
        <v>363</v>
      </c>
      <c r="T852" s="9" t="s">
        <v>1730</v>
      </c>
      <c r="U852" s="9" t="s">
        <v>73</v>
      </c>
      <c r="V852" s="9" t="n">
        <v>0.00056</v>
      </c>
      <c r="W852" s="9" t="n">
        <v>0.00049</v>
      </c>
      <c r="X852" s="9" t="n">
        <v>287500</v>
      </c>
      <c r="Y852" s="9" t="n">
        <v>287500</v>
      </c>
      <c r="Z852" s="9" t="n">
        <v>287500</v>
      </c>
      <c r="AA852" s="9" t="n">
        <v>287500</v>
      </c>
      <c r="AB852" s="9" t="n">
        <v>287500</v>
      </c>
      <c r="AC852" s="9" t="n">
        <v>287500</v>
      </c>
      <c r="AD852" s="9" t="n">
        <v>287500</v>
      </c>
      <c r="AE852" s="9" t="n">
        <v>287500</v>
      </c>
      <c r="AF852" s="9" t="n">
        <v>287500</v>
      </c>
      <c r="AG852" s="9" t="n">
        <v>287500</v>
      </c>
      <c r="AH852" s="9" t="n">
        <v>287500</v>
      </c>
      <c r="AI852" s="9" t="n">
        <v>287500</v>
      </c>
      <c r="AJ852" s="9" t="n">
        <f aca="false">X852*$V852</f>
        <v>161</v>
      </c>
      <c r="AK852" s="9" t="n">
        <f aca="false">Y852*$V852</f>
        <v>161</v>
      </c>
      <c r="AL852" s="9" t="n">
        <f aca="false">Z852*$V852</f>
        <v>161</v>
      </c>
      <c r="AM852" s="9" t="n">
        <f aca="false">AA852*$V852</f>
        <v>161</v>
      </c>
      <c r="AN852" s="9" t="n">
        <f aca="false">AB852*$V852</f>
        <v>161</v>
      </c>
      <c r="AO852" s="9" t="n">
        <f aca="false">AC852*$V852</f>
        <v>161</v>
      </c>
      <c r="AP852" s="9" t="n">
        <f aca="false">AD852*$V852</f>
        <v>161</v>
      </c>
      <c r="AQ852" s="9" t="n">
        <f aca="false">AE852*$V852</f>
        <v>161</v>
      </c>
      <c r="AR852" s="9" t="n">
        <f aca="false">AF852*$V852</f>
        <v>161</v>
      </c>
      <c r="AS852" s="9" t="n">
        <f aca="false">AG852*$V852</f>
        <v>161</v>
      </c>
      <c r="AT852" s="9" t="n">
        <f aca="false">AH852*$V852</f>
        <v>161</v>
      </c>
      <c r="AU852" s="9" t="n">
        <f aca="false">AI852*$V852</f>
        <v>161</v>
      </c>
      <c r="AV852" s="9" t="n">
        <f aca="false">SUM(X852:AI852)/1000</f>
        <v>3450</v>
      </c>
      <c r="AW852" s="9" t="n">
        <f aca="false">SUM(AJ852:AU852)</f>
        <v>1932</v>
      </c>
      <c r="AX852" s="9" t="n">
        <f aca="false">IF(D852="INR",AW852/88.24,AW852)/1000000</f>
        <v>0.001932</v>
      </c>
    </row>
    <row r="853" s="2" customFormat="true" ht="16.4" hidden="false" customHeight="false" outlineLevel="0" collapsed="false">
      <c r="A853" s="16" t="s">
        <v>1731</v>
      </c>
      <c r="B853" s="16" t="n">
        <v>5</v>
      </c>
      <c r="C853" s="16"/>
      <c r="D853" s="16" t="s">
        <v>50</v>
      </c>
      <c r="E853" s="16" t="s">
        <v>51</v>
      </c>
      <c r="F853" s="16" t="s">
        <v>404</v>
      </c>
      <c r="G853" s="16" t="s">
        <v>405</v>
      </c>
      <c r="H853" s="16" t="s">
        <v>406</v>
      </c>
      <c r="I853" s="16" t="s">
        <v>105</v>
      </c>
      <c r="J853" s="16" t="s">
        <v>368</v>
      </c>
      <c r="K853" s="16"/>
      <c r="L853" s="16" t="s">
        <v>105</v>
      </c>
      <c r="M853" s="16" t="s">
        <v>368</v>
      </c>
      <c r="N853" s="16" t="s">
        <v>271</v>
      </c>
      <c r="O853" s="16" t="s">
        <v>94</v>
      </c>
      <c r="P853" s="16" t="s">
        <v>308</v>
      </c>
      <c r="Q853" s="16" t="s">
        <v>308</v>
      </c>
      <c r="R853" s="16" t="s">
        <v>309</v>
      </c>
      <c r="S853" s="26" t="s">
        <v>264</v>
      </c>
      <c r="T853" s="26" t="s">
        <v>1732</v>
      </c>
      <c r="U853" s="16" t="s">
        <v>73</v>
      </c>
      <c r="V853" s="16" t="n">
        <v>1.15</v>
      </c>
      <c r="W853" s="16" t="n">
        <v>0.95</v>
      </c>
      <c r="X853" s="16"/>
      <c r="Y853" s="16"/>
      <c r="Z853" s="16" t="n">
        <v>10000</v>
      </c>
      <c r="AA853" s="16"/>
      <c r="AB853" s="16"/>
      <c r="AC853" s="16"/>
      <c r="AD853" s="16"/>
      <c r="AE853" s="16"/>
      <c r="AF853" s="16"/>
      <c r="AG853" s="16"/>
      <c r="AH853" s="16"/>
      <c r="AI853" s="16"/>
      <c r="AJ853" s="9" t="n">
        <f aca="false">X853*$V853</f>
        <v>0</v>
      </c>
      <c r="AK853" s="9" t="n">
        <f aca="false">Y853*$V853</f>
        <v>0</v>
      </c>
      <c r="AL853" s="9" t="n">
        <f aca="false">Z853*$V853</f>
        <v>11500</v>
      </c>
      <c r="AM853" s="9" t="n">
        <f aca="false">AA853*$V853</f>
        <v>0</v>
      </c>
      <c r="AN853" s="9" t="n">
        <f aca="false">AB853*$V853</f>
        <v>0</v>
      </c>
      <c r="AO853" s="9" t="n">
        <f aca="false">AC853*$V853</f>
        <v>0</v>
      </c>
      <c r="AP853" s="9" t="n">
        <f aca="false">AD853*$V853</f>
        <v>0</v>
      </c>
      <c r="AQ853" s="9" t="n">
        <f aca="false">AE853*$V853</f>
        <v>0</v>
      </c>
      <c r="AR853" s="9" t="n">
        <f aca="false">AF853*$V853</f>
        <v>0</v>
      </c>
      <c r="AS853" s="9" t="n">
        <f aca="false">AG853*$V853</f>
        <v>0</v>
      </c>
      <c r="AT853" s="9" t="n">
        <f aca="false">AH853*$V853</f>
        <v>0</v>
      </c>
      <c r="AU853" s="9" t="n">
        <f aca="false">AI853*$V853</f>
        <v>0</v>
      </c>
      <c r="AV853" s="9" t="n">
        <f aca="false">SUM(X853:AI853)/1000</f>
        <v>10</v>
      </c>
      <c r="AW853" s="9" t="n">
        <f aca="false">SUM(AJ853:AU853)</f>
        <v>11500</v>
      </c>
      <c r="AX853" s="9" t="n">
        <f aca="false">IF(D853="INR",AW853/88.24,AW853)/1000000</f>
        <v>0.000130326382592928</v>
      </c>
    </row>
    <row r="854" s="2" customFormat="true" ht="14.25" hidden="false" customHeight="false" outlineLevel="0" collapsed="false">
      <c r="A854" s="35"/>
      <c r="B854" s="9" t="n">
        <v>1</v>
      </c>
      <c r="C854" s="15"/>
      <c r="D854" s="16" t="s">
        <v>102</v>
      </c>
      <c r="E854" s="16"/>
      <c r="F854" s="16" t="s">
        <v>52</v>
      </c>
      <c r="G854" s="16" t="s">
        <v>65</v>
      </c>
      <c r="H854" s="16" t="s">
        <v>66</v>
      </c>
      <c r="I854" s="16"/>
      <c r="J854" s="16"/>
      <c r="K854" s="16"/>
      <c r="L854" s="16"/>
      <c r="M854" s="16"/>
      <c r="N854" s="16" t="s">
        <v>67</v>
      </c>
      <c r="O854" s="16" t="s">
        <v>68</v>
      </c>
      <c r="P854" s="9" t="s">
        <v>182</v>
      </c>
      <c r="Q854" s="9" t="s">
        <v>182</v>
      </c>
      <c r="R854" s="9"/>
      <c r="S854" s="9"/>
      <c r="T854" s="9" t="s">
        <v>1733</v>
      </c>
      <c r="U854" s="9" t="s">
        <v>63</v>
      </c>
      <c r="V854" s="9" t="n">
        <v>0.001</v>
      </c>
      <c r="W854" s="9"/>
      <c r="X854" s="22" t="n">
        <v>250000</v>
      </c>
      <c r="Y854" s="9" t="n">
        <v>250000</v>
      </c>
      <c r="Z854" s="9" t="n">
        <v>250000</v>
      </c>
      <c r="AA854" s="9" t="n">
        <v>250000</v>
      </c>
      <c r="AB854" s="9" t="n">
        <v>250000</v>
      </c>
      <c r="AC854" s="9" t="n">
        <v>250000</v>
      </c>
      <c r="AD854" s="9" t="n">
        <v>250000</v>
      </c>
      <c r="AE854" s="9" t="n">
        <v>250000</v>
      </c>
      <c r="AF854" s="9" t="n">
        <v>250000</v>
      </c>
      <c r="AG854" s="9" t="n">
        <v>250000</v>
      </c>
      <c r="AH854" s="9" t="n">
        <v>250000</v>
      </c>
      <c r="AI854" s="9" t="n">
        <v>250000</v>
      </c>
      <c r="AJ854" s="9" t="n">
        <f aca="false">X854*$V854</f>
        <v>250</v>
      </c>
      <c r="AK854" s="9" t="n">
        <f aca="false">Y854*$V854</f>
        <v>250</v>
      </c>
      <c r="AL854" s="9" t="n">
        <f aca="false">Z854*$V854</f>
        <v>250</v>
      </c>
      <c r="AM854" s="9" t="n">
        <f aca="false">AA854*$V854</f>
        <v>250</v>
      </c>
      <c r="AN854" s="9" t="n">
        <f aca="false">AB854*$V854</f>
        <v>250</v>
      </c>
      <c r="AO854" s="9" t="n">
        <f aca="false">AC854*$V854</f>
        <v>250</v>
      </c>
      <c r="AP854" s="9" t="n">
        <f aca="false">AD854*$V854</f>
        <v>250</v>
      </c>
      <c r="AQ854" s="9" t="n">
        <f aca="false">AE854*$V854</f>
        <v>250</v>
      </c>
      <c r="AR854" s="9" t="n">
        <f aca="false">AF854*$V854</f>
        <v>250</v>
      </c>
      <c r="AS854" s="9" t="n">
        <f aca="false">AG854*$V854</f>
        <v>250</v>
      </c>
      <c r="AT854" s="9" t="n">
        <f aca="false">AH854*$V854</f>
        <v>250</v>
      </c>
      <c r="AU854" s="9" t="n">
        <f aca="false">AI854*$V854</f>
        <v>250</v>
      </c>
      <c r="AV854" s="9" t="n">
        <f aca="false">SUM(X854:AI854)/1000</f>
        <v>3000</v>
      </c>
      <c r="AW854" s="9" t="n">
        <f aca="false">SUM(AJ854:AU854)</f>
        <v>3000</v>
      </c>
      <c r="AX854" s="9" t="n">
        <f aca="false">IF(D854="INR",AW854/88.24,AW854)/1000000</f>
        <v>0.003</v>
      </c>
    </row>
    <row r="855" s="2" customFormat="true" ht="14.25" hidden="false" customHeight="false" outlineLevel="0" collapsed="false">
      <c r="A855" s="12"/>
      <c r="B855" s="16" t="n">
        <v>1</v>
      </c>
      <c r="C855" s="15"/>
      <c r="D855" s="16" t="s">
        <v>102</v>
      </c>
      <c r="E855" s="16"/>
      <c r="F855" s="16" t="s">
        <v>52</v>
      </c>
      <c r="G855" s="16" t="s">
        <v>65</v>
      </c>
      <c r="H855" s="16" t="s">
        <v>66</v>
      </c>
      <c r="I855" s="16"/>
      <c r="J855" s="16"/>
      <c r="K855" s="16"/>
      <c r="L855" s="16"/>
      <c r="M855" s="16"/>
      <c r="N855" s="16" t="s">
        <v>67</v>
      </c>
      <c r="O855" s="16" t="s">
        <v>68</v>
      </c>
      <c r="P855" s="16" t="s">
        <v>182</v>
      </c>
      <c r="Q855" s="16" t="s">
        <v>182</v>
      </c>
      <c r="R855" s="16"/>
      <c r="S855" s="16"/>
      <c r="T855" s="16" t="s">
        <v>1734</v>
      </c>
      <c r="U855" s="16" t="s">
        <v>63</v>
      </c>
      <c r="V855" s="16" t="n">
        <v>0.00056</v>
      </c>
      <c r="W855" s="16"/>
      <c r="X855" s="16" t="n">
        <v>250000</v>
      </c>
      <c r="Y855" s="16" t="n">
        <v>250000</v>
      </c>
      <c r="Z855" s="16" t="n">
        <v>250000</v>
      </c>
      <c r="AA855" s="16" t="n">
        <v>250000</v>
      </c>
      <c r="AB855" s="16" t="n">
        <v>250000</v>
      </c>
      <c r="AC855" s="16" t="n">
        <v>250000</v>
      </c>
      <c r="AD855" s="16" t="n">
        <v>250000</v>
      </c>
      <c r="AE855" s="16" t="n">
        <v>250000</v>
      </c>
      <c r="AF855" s="16" t="n">
        <v>250000</v>
      </c>
      <c r="AG855" s="16" t="n">
        <v>250000</v>
      </c>
      <c r="AH855" s="16" t="n">
        <v>250000</v>
      </c>
      <c r="AI855" s="16" t="n">
        <v>250000</v>
      </c>
      <c r="AJ855" s="9" t="n">
        <f aca="false">X855*$V855</f>
        <v>140</v>
      </c>
      <c r="AK855" s="9" t="n">
        <f aca="false">Y855*$V855</f>
        <v>140</v>
      </c>
      <c r="AL855" s="9" t="n">
        <f aca="false">Z855*$V855</f>
        <v>140</v>
      </c>
      <c r="AM855" s="9" t="n">
        <f aca="false">AA855*$V855</f>
        <v>140</v>
      </c>
      <c r="AN855" s="9" t="n">
        <f aca="false">AB855*$V855</f>
        <v>140</v>
      </c>
      <c r="AO855" s="9" t="n">
        <f aca="false">AC855*$V855</f>
        <v>140</v>
      </c>
      <c r="AP855" s="9" t="n">
        <f aca="false">AD855*$V855</f>
        <v>140</v>
      </c>
      <c r="AQ855" s="9" t="n">
        <f aca="false">AE855*$V855</f>
        <v>140</v>
      </c>
      <c r="AR855" s="9" t="n">
        <f aca="false">AF855*$V855</f>
        <v>140</v>
      </c>
      <c r="AS855" s="9" t="n">
        <f aca="false">AG855*$V855</f>
        <v>140</v>
      </c>
      <c r="AT855" s="9" t="n">
        <f aca="false">AH855*$V855</f>
        <v>140</v>
      </c>
      <c r="AU855" s="9" t="n">
        <f aca="false">AI855*$V855</f>
        <v>140</v>
      </c>
      <c r="AV855" s="9" t="n">
        <f aca="false">SUM(X855:AI855)/1000</f>
        <v>3000</v>
      </c>
      <c r="AW855" s="9" t="n">
        <f aca="false">SUM(AJ855:AU855)</f>
        <v>1680</v>
      </c>
      <c r="AX855" s="9" t="n">
        <f aca="false">IF(D855="INR",AW855/88.24,AW855)/1000000</f>
        <v>0.00168</v>
      </c>
      <c r="AY855" s="27"/>
    </row>
    <row r="856" s="2" customFormat="true" ht="14.25" hidden="false" customHeight="false" outlineLevel="0" collapsed="false">
      <c r="A856" s="12"/>
      <c r="B856" s="16" t="n">
        <v>1</v>
      </c>
      <c r="C856" s="15"/>
      <c r="D856" s="16" t="s">
        <v>102</v>
      </c>
      <c r="E856" s="16"/>
      <c r="F856" s="16" t="s">
        <v>52</v>
      </c>
      <c r="G856" s="16" t="s">
        <v>65</v>
      </c>
      <c r="H856" s="16" t="s">
        <v>66</v>
      </c>
      <c r="I856" s="16"/>
      <c r="J856" s="16"/>
      <c r="K856" s="16"/>
      <c r="L856" s="16"/>
      <c r="M856" s="16"/>
      <c r="N856" s="16" t="s">
        <v>67</v>
      </c>
      <c r="O856" s="16" t="s">
        <v>68</v>
      </c>
      <c r="P856" s="16" t="s">
        <v>182</v>
      </c>
      <c r="Q856" s="16" t="s">
        <v>182</v>
      </c>
      <c r="R856" s="16"/>
      <c r="S856" s="16"/>
      <c r="T856" s="16" t="s">
        <v>1735</v>
      </c>
      <c r="U856" s="16" t="s">
        <v>63</v>
      </c>
      <c r="V856" s="16" t="n">
        <v>0.00056</v>
      </c>
      <c r="W856" s="16"/>
      <c r="X856" s="16" t="n">
        <v>250000</v>
      </c>
      <c r="Y856" s="16" t="n">
        <v>250000</v>
      </c>
      <c r="Z856" s="16" t="n">
        <v>250000</v>
      </c>
      <c r="AA856" s="16" t="n">
        <v>250000</v>
      </c>
      <c r="AB856" s="16" t="n">
        <v>250000</v>
      </c>
      <c r="AC856" s="16" t="n">
        <v>250000</v>
      </c>
      <c r="AD856" s="16" t="n">
        <v>250000</v>
      </c>
      <c r="AE856" s="16" t="n">
        <v>250000</v>
      </c>
      <c r="AF856" s="16" t="n">
        <v>250000</v>
      </c>
      <c r="AG856" s="16" t="n">
        <v>250000</v>
      </c>
      <c r="AH856" s="16" t="n">
        <v>250000</v>
      </c>
      <c r="AI856" s="16" t="n">
        <v>250000</v>
      </c>
      <c r="AJ856" s="9" t="n">
        <f aca="false">X856*$V856</f>
        <v>140</v>
      </c>
      <c r="AK856" s="9" t="n">
        <f aca="false">Y856*$V856</f>
        <v>140</v>
      </c>
      <c r="AL856" s="9" t="n">
        <f aca="false">Z856*$V856</f>
        <v>140</v>
      </c>
      <c r="AM856" s="9" t="n">
        <f aca="false">AA856*$V856</f>
        <v>140</v>
      </c>
      <c r="AN856" s="9" t="n">
        <f aca="false">AB856*$V856</f>
        <v>140</v>
      </c>
      <c r="AO856" s="9" t="n">
        <f aca="false">AC856*$V856</f>
        <v>140</v>
      </c>
      <c r="AP856" s="9" t="n">
        <f aca="false">AD856*$V856</f>
        <v>140</v>
      </c>
      <c r="AQ856" s="9" t="n">
        <f aca="false">AE856*$V856</f>
        <v>140</v>
      </c>
      <c r="AR856" s="9" t="n">
        <f aca="false">AF856*$V856</f>
        <v>140</v>
      </c>
      <c r="AS856" s="9" t="n">
        <f aca="false">AG856*$V856</f>
        <v>140</v>
      </c>
      <c r="AT856" s="9" t="n">
        <f aca="false">AH856*$V856</f>
        <v>140</v>
      </c>
      <c r="AU856" s="9" t="n">
        <f aca="false">AI856*$V856</f>
        <v>140</v>
      </c>
      <c r="AV856" s="9" t="n">
        <f aca="false">SUM(X856:AI856)/1000</f>
        <v>3000</v>
      </c>
      <c r="AW856" s="9" t="n">
        <f aca="false">SUM(AJ856:AU856)</f>
        <v>1680</v>
      </c>
      <c r="AX856" s="9" t="n">
        <f aca="false">IF(D856="INR",AW856/88.24,AW856)/1000000</f>
        <v>0.00168</v>
      </c>
      <c r="AY856" s="27"/>
    </row>
    <row r="857" s="2" customFormat="true" ht="14.25" hidden="false" customHeight="false" outlineLevel="0" collapsed="false">
      <c r="A857" s="35"/>
      <c r="B857" s="9" t="n">
        <v>1</v>
      </c>
      <c r="C857" s="10"/>
      <c r="D857" s="9" t="s">
        <v>102</v>
      </c>
      <c r="E857" s="9"/>
      <c r="F857" s="9" t="s">
        <v>52</v>
      </c>
      <c r="G857" s="16" t="s">
        <v>65</v>
      </c>
      <c r="H857" s="16" t="s">
        <v>66</v>
      </c>
      <c r="I857" s="9"/>
      <c r="J857" s="9"/>
      <c r="K857" s="9"/>
      <c r="L857" s="9"/>
      <c r="M857" s="9"/>
      <c r="N857" s="16" t="s">
        <v>67</v>
      </c>
      <c r="O857" s="9" t="s">
        <v>68</v>
      </c>
      <c r="P857" s="9" t="s">
        <v>182</v>
      </c>
      <c r="Q857" s="9" t="s">
        <v>182</v>
      </c>
      <c r="R857" s="9"/>
      <c r="S857" s="9"/>
      <c r="T857" s="9" t="s">
        <v>1736</v>
      </c>
      <c r="U857" s="9" t="s">
        <v>63</v>
      </c>
      <c r="V857" s="9" t="n">
        <v>0.00038</v>
      </c>
      <c r="W857" s="9"/>
      <c r="X857" s="9" t="n">
        <v>250000</v>
      </c>
      <c r="Y857" s="9" t="n">
        <v>250000</v>
      </c>
      <c r="Z857" s="9" t="n">
        <v>250000</v>
      </c>
      <c r="AA857" s="9" t="n">
        <v>250000</v>
      </c>
      <c r="AB857" s="9" t="n">
        <v>250000</v>
      </c>
      <c r="AC857" s="9" t="n">
        <v>250000</v>
      </c>
      <c r="AD857" s="9" t="n">
        <v>250000</v>
      </c>
      <c r="AE857" s="9" t="n">
        <v>250000</v>
      </c>
      <c r="AF857" s="9" t="n">
        <v>250000</v>
      </c>
      <c r="AG857" s="9" t="n">
        <v>250000</v>
      </c>
      <c r="AH857" s="9" t="n">
        <v>250000</v>
      </c>
      <c r="AI857" s="9" t="n">
        <v>250000</v>
      </c>
      <c r="AJ857" s="9" t="n">
        <f aca="false">X857*$V857</f>
        <v>95</v>
      </c>
      <c r="AK857" s="9" t="n">
        <f aca="false">Y857*$V857</f>
        <v>95</v>
      </c>
      <c r="AL857" s="9" t="n">
        <f aca="false">Z857*$V857</f>
        <v>95</v>
      </c>
      <c r="AM857" s="9" t="n">
        <f aca="false">AA857*$V857</f>
        <v>95</v>
      </c>
      <c r="AN857" s="9" t="n">
        <f aca="false">AB857*$V857</f>
        <v>95</v>
      </c>
      <c r="AO857" s="9" t="n">
        <f aca="false">AC857*$V857</f>
        <v>95</v>
      </c>
      <c r="AP857" s="9" t="n">
        <f aca="false">AD857*$V857</f>
        <v>95</v>
      </c>
      <c r="AQ857" s="9" t="n">
        <f aca="false">AE857*$V857</f>
        <v>95</v>
      </c>
      <c r="AR857" s="9" t="n">
        <f aca="false">AF857*$V857</f>
        <v>95</v>
      </c>
      <c r="AS857" s="9" t="n">
        <f aca="false">AG857*$V857</f>
        <v>95</v>
      </c>
      <c r="AT857" s="9" t="n">
        <f aca="false">AH857*$V857</f>
        <v>95</v>
      </c>
      <c r="AU857" s="9" t="n">
        <f aca="false">AI857*$V857</f>
        <v>95</v>
      </c>
      <c r="AV857" s="9" t="n">
        <f aca="false">SUM(X857:AI857)/1000</f>
        <v>3000</v>
      </c>
      <c r="AW857" s="9" t="n">
        <f aca="false">SUM(AJ857:AU857)</f>
        <v>1140</v>
      </c>
      <c r="AX857" s="9" t="n">
        <f aca="false">IF(D857="INR",AW857/88.24,AW857)/1000000</f>
        <v>0.00114</v>
      </c>
    </row>
    <row r="858" s="2" customFormat="true" ht="14.25" hidden="false" customHeight="false" outlineLevel="0" collapsed="false">
      <c r="A858" s="35"/>
      <c r="B858" s="9" t="n">
        <v>1</v>
      </c>
      <c r="C858" s="10"/>
      <c r="D858" s="9" t="s">
        <v>102</v>
      </c>
      <c r="E858" s="9"/>
      <c r="F858" s="9" t="s">
        <v>52</v>
      </c>
      <c r="G858" s="16" t="s">
        <v>65</v>
      </c>
      <c r="H858" s="16" t="s">
        <v>66</v>
      </c>
      <c r="I858" s="9"/>
      <c r="J858" s="9"/>
      <c r="K858" s="9"/>
      <c r="L858" s="9"/>
      <c r="M858" s="9"/>
      <c r="N858" s="16" t="s">
        <v>67</v>
      </c>
      <c r="O858" s="9" t="s">
        <v>68</v>
      </c>
      <c r="P858" s="9" t="s">
        <v>182</v>
      </c>
      <c r="Q858" s="9" t="s">
        <v>182</v>
      </c>
      <c r="R858" s="9"/>
      <c r="S858" s="9"/>
      <c r="T858" s="9" t="s">
        <v>1737</v>
      </c>
      <c r="U858" s="9" t="s">
        <v>63</v>
      </c>
      <c r="V858" s="9" t="n">
        <v>0.00038</v>
      </c>
      <c r="W858" s="9"/>
      <c r="X858" s="9" t="n">
        <v>250000</v>
      </c>
      <c r="Y858" s="9" t="n">
        <v>250000</v>
      </c>
      <c r="Z858" s="9" t="n">
        <v>250000</v>
      </c>
      <c r="AA858" s="9" t="n">
        <v>250000</v>
      </c>
      <c r="AB858" s="9" t="n">
        <v>250000</v>
      </c>
      <c r="AC858" s="9" t="n">
        <v>250000</v>
      </c>
      <c r="AD858" s="9" t="n">
        <v>250000</v>
      </c>
      <c r="AE858" s="9" t="n">
        <v>250000</v>
      </c>
      <c r="AF858" s="9" t="n">
        <v>250000</v>
      </c>
      <c r="AG858" s="9" t="n">
        <v>250000</v>
      </c>
      <c r="AH858" s="9" t="n">
        <v>250000</v>
      </c>
      <c r="AI858" s="9" t="n">
        <v>250000</v>
      </c>
      <c r="AJ858" s="9" t="n">
        <f aca="false">X858*$V858</f>
        <v>95</v>
      </c>
      <c r="AK858" s="9" t="n">
        <f aca="false">Y858*$V858</f>
        <v>95</v>
      </c>
      <c r="AL858" s="9" t="n">
        <f aca="false">Z858*$V858</f>
        <v>95</v>
      </c>
      <c r="AM858" s="9" t="n">
        <f aca="false">AA858*$V858</f>
        <v>95</v>
      </c>
      <c r="AN858" s="9" t="n">
        <f aca="false">AB858*$V858</f>
        <v>95</v>
      </c>
      <c r="AO858" s="9" t="n">
        <f aca="false">AC858*$V858</f>
        <v>95</v>
      </c>
      <c r="AP858" s="9" t="n">
        <f aca="false">AD858*$V858</f>
        <v>95</v>
      </c>
      <c r="AQ858" s="9" t="n">
        <f aca="false">AE858*$V858</f>
        <v>95</v>
      </c>
      <c r="AR858" s="9" t="n">
        <f aca="false">AF858*$V858</f>
        <v>95</v>
      </c>
      <c r="AS858" s="9" t="n">
        <f aca="false">AG858*$V858</f>
        <v>95</v>
      </c>
      <c r="AT858" s="9" t="n">
        <f aca="false">AH858*$V858</f>
        <v>95</v>
      </c>
      <c r="AU858" s="9" t="n">
        <f aca="false">AI858*$V858</f>
        <v>95</v>
      </c>
      <c r="AV858" s="9" t="n">
        <f aca="false">SUM(X858:AI858)/1000</f>
        <v>3000</v>
      </c>
      <c r="AW858" s="9" t="n">
        <f aca="false">SUM(AJ858:AU858)</f>
        <v>1140</v>
      </c>
      <c r="AX858" s="9" t="n">
        <f aca="false">IF(D858="INR",AW858/88.24,AW858)/1000000</f>
        <v>0.00114</v>
      </c>
    </row>
    <row r="859" s="2" customFormat="true" ht="14.25" hidden="false" customHeight="false" outlineLevel="0" collapsed="false">
      <c r="A859" s="12" t="s">
        <v>1738</v>
      </c>
      <c r="B859" s="16" t="n">
        <v>5</v>
      </c>
      <c r="C859" s="15"/>
      <c r="D859" s="16" t="s">
        <v>50</v>
      </c>
      <c r="E859" s="16" t="s">
        <v>51</v>
      </c>
      <c r="F859" s="16" t="s">
        <v>52</v>
      </c>
      <c r="G859" s="16" t="s">
        <v>494</v>
      </c>
      <c r="H859" s="16" t="s">
        <v>495</v>
      </c>
      <c r="I859" s="16" t="s">
        <v>77</v>
      </c>
      <c r="J859" s="16" t="s">
        <v>496</v>
      </c>
      <c r="K859" s="16" t="s">
        <v>495</v>
      </c>
      <c r="L859" s="16" t="s">
        <v>77</v>
      </c>
      <c r="M859" s="16" t="s">
        <v>496</v>
      </c>
      <c r="N859" s="16" t="s">
        <v>57</v>
      </c>
      <c r="O859" s="16" t="s">
        <v>94</v>
      </c>
      <c r="P859" s="16" t="s">
        <v>308</v>
      </c>
      <c r="Q859" s="16" t="s">
        <v>308</v>
      </c>
      <c r="R859" s="16" t="s">
        <v>309</v>
      </c>
      <c r="S859" s="16" t="s">
        <v>264</v>
      </c>
      <c r="T859" s="16" t="s">
        <v>394</v>
      </c>
      <c r="U859" s="16" t="s">
        <v>73</v>
      </c>
      <c r="V859" s="16" t="n">
        <v>1.39</v>
      </c>
      <c r="W859" s="16" t="n">
        <v>1.2</v>
      </c>
      <c r="X859" s="16" t="n">
        <v>8000</v>
      </c>
      <c r="Y859" s="16" t="n">
        <v>8000</v>
      </c>
      <c r="Z859" s="16" t="n">
        <v>8000</v>
      </c>
      <c r="AA859" s="16" t="n">
        <v>8000</v>
      </c>
      <c r="AB859" s="16" t="n">
        <v>8000</v>
      </c>
      <c r="AC859" s="16" t="n">
        <v>8000</v>
      </c>
      <c r="AD859" s="16" t="n">
        <v>8000</v>
      </c>
      <c r="AE859" s="16" t="n">
        <v>8000</v>
      </c>
      <c r="AF859" s="16" t="n">
        <v>8000</v>
      </c>
      <c r="AG859" s="16" t="n">
        <v>8000</v>
      </c>
      <c r="AH859" s="16" t="n">
        <v>8000</v>
      </c>
      <c r="AI859" s="16" t="n">
        <v>8000</v>
      </c>
      <c r="AJ859" s="9" t="n">
        <f aca="false">X859*$V859</f>
        <v>11120</v>
      </c>
      <c r="AK859" s="9" t="n">
        <f aca="false">Y859*$V859</f>
        <v>11120</v>
      </c>
      <c r="AL859" s="9" t="n">
        <f aca="false">Z859*$V859</f>
        <v>11120</v>
      </c>
      <c r="AM859" s="9" t="n">
        <f aca="false">AA859*$V859</f>
        <v>11120</v>
      </c>
      <c r="AN859" s="9" t="n">
        <f aca="false">AB859*$V859</f>
        <v>11120</v>
      </c>
      <c r="AO859" s="9" t="n">
        <f aca="false">AC859*$V859</f>
        <v>11120</v>
      </c>
      <c r="AP859" s="9" t="n">
        <f aca="false">AD859*$V859</f>
        <v>11120</v>
      </c>
      <c r="AQ859" s="9" t="n">
        <f aca="false">AE859*$V859</f>
        <v>11120</v>
      </c>
      <c r="AR859" s="9" t="n">
        <f aca="false">AF859*$V859</f>
        <v>11120</v>
      </c>
      <c r="AS859" s="9" t="n">
        <f aca="false">AG859*$V859</f>
        <v>11120</v>
      </c>
      <c r="AT859" s="9" t="n">
        <f aca="false">AH859*$V859</f>
        <v>11120</v>
      </c>
      <c r="AU859" s="9" t="n">
        <f aca="false">AI859*$V859</f>
        <v>11120</v>
      </c>
      <c r="AV859" s="9" t="n">
        <f aca="false">SUM(X859:AI859)/1000</f>
        <v>96</v>
      </c>
      <c r="AW859" s="9" t="n">
        <f aca="false">SUM(AJ859:AU859)</f>
        <v>133440</v>
      </c>
      <c r="AX859" s="9" t="n">
        <f aca="false">IF(D859="INR",AW859/88.24,AW859)/1000000</f>
        <v>0.00151223934723481</v>
      </c>
      <c r="AY859" s="27"/>
    </row>
    <row r="860" s="2" customFormat="true" ht="14.25" hidden="false" customHeight="false" outlineLevel="0" collapsed="false">
      <c r="A860" s="12"/>
      <c r="B860" s="16" t="n">
        <v>1</v>
      </c>
      <c r="C860" s="15"/>
      <c r="D860" s="16" t="s">
        <v>102</v>
      </c>
      <c r="E860" s="16"/>
      <c r="F860" s="16" t="s">
        <v>52</v>
      </c>
      <c r="G860" s="16" t="s">
        <v>65</v>
      </c>
      <c r="H860" s="16" t="s">
        <v>66</v>
      </c>
      <c r="I860" s="16"/>
      <c r="J860" s="16"/>
      <c r="K860" s="16"/>
      <c r="L860" s="16"/>
      <c r="M860" s="16"/>
      <c r="N860" s="16" t="s">
        <v>67</v>
      </c>
      <c r="O860" s="16" t="s">
        <v>68</v>
      </c>
      <c r="P860" s="16" t="s">
        <v>182</v>
      </c>
      <c r="Q860" s="16" t="s">
        <v>182</v>
      </c>
      <c r="R860" s="16"/>
      <c r="S860" s="16"/>
      <c r="T860" s="16" t="s">
        <v>1739</v>
      </c>
      <c r="U860" s="16" t="s">
        <v>63</v>
      </c>
      <c r="V860" s="16" t="n">
        <v>0.0016</v>
      </c>
      <c r="W860" s="16"/>
      <c r="X860" s="22" t="n">
        <v>200000</v>
      </c>
      <c r="Y860" s="22" t="n">
        <v>200000</v>
      </c>
      <c r="Z860" s="22" t="n">
        <v>200000</v>
      </c>
      <c r="AA860" s="22" t="n">
        <v>200000</v>
      </c>
      <c r="AB860" s="22" t="n">
        <v>200000</v>
      </c>
      <c r="AC860" s="22" t="n">
        <v>200000</v>
      </c>
      <c r="AD860" s="22" t="n">
        <v>200000</v>
      </c>
      <c r="AE860" s="22" t="n">
        <v>200000</v>
      </c>
      <c r="AF860" s="22" t="n">
        <v>200000</v>
      </c>
      <c r="AG860" s="22" t="n">
        <v>200000</v>
      </c>
      <c r="AH860" s="22" t="n">
        <v>200000</v>
      </c>
      <c r="AI860" s="22" t="n">
        <v>200000</v>
      </c>
      <c r="AJ860" s="9" t="n">
        <f aca="false">X860*$V860</f>
        <v>320</v>
      </c>
      <c r="AK860" s="9" t="n">
        <f aca="false">Y860*$V860</f>
        <v>320</v>
      </c>
      <c r="AL860" s="9" t="n">
        <f aca="false">Z860*$V860</f>
        <v>320</v>
      </c>
      <c r="AM860" s="9" t="n">
        <f aca="false">AA860*$V860</f>
        <v>320</v>
      </c>
      <c r="AN860" s="9" t="n">
        <f aca="false">AB860*$V860</f>
        <v>320</v>
      </c>
      <c r="AO860" s="9" t="n">
        <f aca="false">AC860*$V860</f>
        <v>320</v>
      </c>
      <c r="AP860" s="9" t="n">
        <f aca="false">AD860*$V860</f>
        <v>320</v>
      </c>
      <c r="AQ860" s="9" t="n">
        <f aca="false">AE860*$V860</f>
        <v>320</v>
      </c>
      <c r="AR860" s="9" t="n">
        <f aca="false">AF860*$V860</f>
        <v>320</v>
      </c>
      <c r="AS860" s="9" t="n">
        <f aca="false">AG860*$V860</f>
        <v>320</v>
      </c>
      <c r="AT860" s="9" t="n">
        <f aca="false">AH860*$V860</f>
        <v>320</v>
      </c>
      <c r="AU860" s="9" t="n">
        <f aca="false">AI860*$V860</f>
        <v>320</v>
      </c>
      <c r="AV860" s="9" t="n">
        <f aca="false">SUM(X860:AI860)/1000</f>
        <v>2400</v>
      </c>
      <c r="AW860" s="9" t="n">
        <f aca="false">SUM(AJ860:AU860)</f>
        <v>3840</v>
      </c>
      <c r="AX860" s="9" t="n">
        <f aca="false">IF(D860="INR",AW860/88.24,AW860)/1000000</f>
        <v>0.00384</v>
      </c>
    </row>
    <row r="861" s="2" customFormat="true" ht="14.25" hidden="false" customHeight="false" outlineLevel="0" collapsed="false">
      <c r="A861" s="12"/>
      <c r="B861" s="13" t="n">
        <v>1</v>
      </c>
      <c r="C861" s="14"/>
      <c r="D861" s="16" t="s">
        <v>102</v>
      </c>
      <c r="E861" s="16"/>
      <c r="F861" s="16" t="s">
        <v>52</v>
      </c>
      <c r="G861" s="16" t="s">
        <v>65</v>
      </c>
      <c r="H861" s="16" t="s">
        <v>66</v>
      </c>
      <c r="I861" s="16"/>
      <c r="J861" s="16"/>
      <c r="K861" s="16"/>
      <c r="L861" s="16"/>
      <c r="M861" s="16"/>
      <c r="N861" s="16" t="s">
        <v>67</v>
      </c>
      <c r="O861" s="16" t="s">
        <v>68</v>
      </c>
      <c r="P861" s="16" t="s">
        <v>182</v>
      </c>
      <c r="Q861" s="16" t="s">
        <v>182</v>
      </c>
      <c r="R861" s="16"/>
      <c r="S861" s="16"/>
      <c r="T861" s="16" t="s">
        <v>1740</v>
      </c>
      <c r="U861" s="16" t="s">
        <v>63</v>
      </c>
      <c r="V861" s="16" t="n">
        <v>0.001</v>
      </c>
      <c r="W861" s="16"/>
      <c r="X861" s="16" t="n">
        <v>200000</v>
      </c>
      <c r="Y861" s="16" t="n">
        <v>200000</v>
      </c>
      <c r="Z861" s="16" t="n">
        <v>200000</v>
      </c>
      <c r="AA861" s="16" t="n">
        <v>200000</v>
      </c>
      <c r="AB861" s="16" t="n">
        <v>200000</v>
      </c>
      <c r="AC861" s="16" t="n">
        <v>200000</v>
      </c>
      <c r="AD861" s="16" t="n">
        <v>200000</v>
      </c>
      <c r="AE861" s="16" t="n">
        <v>200000</v>
      </c>
      <c r="AF861" s="16" t="n">
        <v>200000</v>
      </c>
      <c r="AG861" s="16" t="n">
        <v>200000</v>
      </c>
      <c r="AH861" s="16" t="n">
        <v>200000</v>
      </c>
      <c r="AI861" s="16" t="n">
        <v>200000</v>
      </c>
      <c r="AJ861" s="9" t="n">
        <f aca="false">X861*$V861</f>
        <v>200</v>
      </c>
      <c r="AK861" s="9" t="n">
        <f aca="false">Y861*$V861</f>
        <v>200</v>
      </c>
      <c r="AL861" s="9" t="n">
        <f aca="false">Z861*$V861</f>
        <v>200</v>
      </c>
      <c r="AM861" s="9" t="n">
        <f aca="false">AA861*$V861</f>
        <v>200</v>
      </c>
      <c r="AN861" s="9" t="n">
        <f aca="false">AB861*$V861</f>
        <v>200</v>
      </c>
      <c r="AO861" s="9" t="n">
        <f aca="false">AC861*$V861</f>
        <v>200</v>
      </c>
      <c r="AP861" s="9" t="n">
        <f aca="false">AD861*$V861</f>
        <v>200</v>
      </c>
      <c r="AQ861" s="9" t="n">
        <f aca="false">AE861*$V861</f>
        <v>200</v>
      </c>
      <c r="AR861" s="9" t="n">
        <f aca="false">AF861*$V861</f>
        <v>200</v>
      </c>
      <c r="AS861" s="9" t="n">
        <f aca="false">AG861*$V861</f>
        <v>200</v>
      </c>
      <c r="AT861" s="9" t="n">
        <f aca="false">AH861*$V861</f>
        <v>200</v>
      </c>
      <c r="AU861" s="9" t="n">
        <f aca="false">AI861*$V861</f>
        <v>200</v>
      </c>
      <c r="AV861" s="9" t="n">
        <f aca="false">SUM(X861:AI861)/1000</f>
        <v>2400</v>
      </c>
      <c r="AW861" s="9" t="n">
        <f aca="false">SUM(AJ861:AU861)</f>
        <v>2400</v>
      </c>
      <c r="AX861" s="9" t="n">
        <f aca="false">IF(D861="INR",AW861/88.24,AW861)/1000000</f>
        <v>0.0024</v>
      </c>
    </row>
    <row r="862" s="2" customFormat="true" ht="14.25" hidden="false" customHeight="false" outlineLevel="0" collapsed="false">
      <c r="A862" s="12"/>
      <c r="B862" s="16" t="n">
        <v>1</v>
      </c>
      <c r="C862" s="15"/>
      <c r="D862" s="16" t="s">
        <v>102</v>
      </c>
      <c r="E862" s="16"/>
      <c r="F862" s="16" t="s">
        <v>52</v>
      </c>
      <c r="G862" s="16" t="s">
        <v>65</v>
      </c>
      <c r="H862" s="16" t="s">
        <v>66</v>
      </c>
      <c r="I862" s="16"/>
      <c r="J862" s="16"/>
      <c r="K862" s="16"/>
      <c r="L862" s="16"/>
      <c r="M862" s="16"/>
      <c r="N862" s="16" t="s">
        <v>67</v>
      </c>
      <c r="O862" s="16" t="s">
        <v>68</v>
      </c>
      <c r="P862" s="16" t="s">
        <v>182</v>
      </c>
      <c r="Q862" s="16" t="s">
        <v>182</v>
      </c>
      <c r="R862" s="16"/>
      <c r="S862" s="16"/>
      <c r="T862" s="9" t="s">
        <v>1741</v>
      </c>
      <c r="U862" s="9" t="s">
        <v>63</v>
      </c>
      <c r="V862" s="9" t="n">
        <v>0.0016</v>
      </c>
      <c r="W862" s="16"/>
      <c r="X862" s="22" t="n">
        <v>150000</v>
      </c>
      <c r="Y862" s="22" t="n">
        <v>150000</v>
      </c>
      <c r="Z862" s="22" t="n">
        <v>150000</v>
      </c>
      <c r="AA862" s="22" t="n">
        <v>150000</v>
      </c>
      <c r="AB862" s="22" t="n">
        <v>150000</v>
      </c>
      <c r="AC862" s="22" t="n">
        <v>150000</v>
      </c>
      <c r="AD862" s="22" t="n">
        <v>150000</v>
      </c>
      <c r="AE862" s="22" t="n">
        <v>150000</v>
      </c>
      <c r="AF862" s="22" t="n">
        <v>150000</v>
      </c>
      <c r="AG862" s="22" t="n">
        <v>150000</v>
      </c>
      <c r="AH862" s="22" t="n">
        <v>150000</v>
      </c>
      <c r="AI862" s="22" t="n">
        <v>150000</v>
      </c>
      <c r="AJ862" s="9" t="n">
        <f aca="false">X862*$V862</f>
        <v>240</v>
      </c>
      <c r="AK862" s="9" t="n">
        <f aca="false">Y862*$V862</f>
        <v>240</v>
      </c>
      <c r="AL862" s="9" t="n">
        <f aca="false">Z862*$V862</f>
        <v>240</v>
      </c>
      <c r="AM862" s="9" t="n">
        <f aca="false">AA862*$V862</f>
        <v>240</v>
      </c>
      <c r="AN862" s="9" t="n">
        <f aca="false">AB862*$V862</f>
        <v>240</v>
      </c>
      <c r="AO862" s="9" t="n">
        <f aca="false">AC862*$V862</f>
        <v>240</v>
      </c>
      <c r="AP862" s="9" t="n">
        <f aca="false">AD862*$V862</f>
        <v>240</v>
      </c>
      <c r="AQ862" s="9" t="n">
        <f aca="false">AE862*$V862</f>
        <v>240</v>
      </c>
      <c r="AR862" s="9" t="n">
        <f aca="false">AF862*$V862</f>
        <v>240</v>
      </c>
      <c r="AS862" s="9" t="n">
        <f aca="false">AG862*$V862</f>
        <v>240</v>
      </c>
      <c r="AT862" s="9" t="n">
        <f aca="false">AH862*$V862</f>
        <v>240</v>
      </c>
      <c r="AU862" s="9" t="n">
        <f aca="false">AI862*$V862</f>
        <v>240</v>
      </c>
      <c r="AV862" s="9" t="n">
        <f aca="false">SUM(X862:AI862)/1000</f>
        <v>1800</v>
      </c>
      <c r="AW862" s="9" t="n">
        <f aca="false">SUM(AJ862:AU862)</f>
        <v>2880</v>
      </c>
      <c r="AX862" s="9" t="n">
        <f aca="false">IF(D862="INR",AW862/88.24,AW862)/1000000</f>
        <v>0.00288</v>
      </c>
    </row>
    <row r="863" s="2" customFormat="true" ht="14.25" hidden="false" customHeight="false" outlineLevel="0" collapsed="false">
      <c r="A863" s="12"/>
      <c r="B863" s="16" t="n">
        <v>1</v>
      </c>
      <c r="C863" s="15"/>
      <c r="D863" s="16" t="s">
        <v>102</v>
      </c>
      <c r="E863" s="16"/>
      <c r="F863" s="16" t="s">
        <v>52</v>
      </c>
      <c r="G863" s="16" t="s">
        <v>65</v>
      </c>
      <c r="H863" s="16" t="s">
        <v>66</v>
      </c>
      <c r="I863" s="16"/>
      <c r="J863" s="16"/>
      <c r="K863" s="16"/>
      <c r="L863" s="16"/>
      <c r="M863" s="16"/>
      <c r="N863" s="16" t="s">
        <v>67</v>
      </c>
      <c r="O863" s="16" t="s">
        <v>68</v>
      </c>
      <c r="P863" s="16" t="s">
        <v>182</v>
      </c>
      <c r="Q863" s="16" t="s">
        <v>182</v>
      </c>
      <c r="R863" s="16"/>
      <c r="S863" s="16"/>
      <c r="T863" s="16" t="s">
        <v>1742</v>
      </c>
      <c r="U863" s="16" t="s">
        <v>63</v>
      </c>
      <c r="V863" s="15" t="n">
        <v>0.00056</v>
      </c>
      <c r="W863" s="16"/>
      <c r="X863" s="16" t="n">
        <v>150000</v>
      </c>
      <c r="Y863" s="16" t="n">
        <v>150000</v>
      </c>
      <c r="Z863" s="16" t="n">
        <v>150000</v>
      </c>
      <c r="AA863" s="16" t="n">
        <v>150000</v>
      </c>
      <c r="AB863" s="16" t="n">
        <v>150000</v>
      </c>
      <c r="AC863" s="16" t="n">
        <v>150000</v>
      </c>
      <c r="AD863" s="16" t="n">
        <v>150000</v>
      </c>
      <c r="AE863" s="16" t="n">
        <v>150000</v>
      </c>
      <c r="AF863" s="16" t="n">
        <v>150000</v>
      </c>
      <c r="AG863" s="16" t="n">
        <v>150000</v>
      </c>
      <c r="AH863" s="16" t="n">
        <v>150000</v>
      </c>
      <c r="AI863" s="16" t="n">
        <v>150000</v>
      </c>
      <c r="AJ863" s="9" t="n">
        <f aca="false">X863*$V863</f>
        <v>84</v>
      </c>
      <c r="AK863" s="9" t="n">
        <f aca="false">Y863*$V863</f>
        <v>84</v>
      </c>
      <c r="AL863" s="9" t="n">
        <f aca="false">Z863*$V863</f>
        <v>84</v>
      </c>
      <c r="AM863" s="9" t="n">
        <f aca="false">AA863*$V863</f>
        <v>84</v>
      </c>
      <c r="AN863" s="9" t="n">
        <f aca="false">AB863*$V863</f>
        <v>84</v>
      </c>
      <c r="AO863" s="9" t="n">
        <f aca="false">AC863*$V863</f>
        <v>84</v>
      </c>
      <c r="AP863" s="9" t="n">
        <f aca="false">AD863*$V863</f>
        <v>84</v>
      </c>
      <c r="AQ863" s="9" t="n">
        <f aca="false">AE863*$V863</f>
        <v>84</v>
      </c>
      <c r="AR863" s="9" t="n">
        <f aca="false">AF863*$V863</f>
        <v>84</v>
      </c>
      <c r="AS863" s="9" t="n">
        <f aca="false">AG863*$V863</f>
        <v>84</v>
      </c>
      <c r="AT863" s="9" t="n">
        <f aca="false">AH863*$V863</f>
        <v>84</v>
      </c>
      <c r="AU863" s="9" t="n">
        <f aca="false">AI863*$V863</f>
        <v>84</v>
      </c>
      <c r="AV863" s="9" t="n">
        <f aca="false">SUM(X863:AI863)/1000</f>
        <v>1800</v>
      </c>
      <c r="AW863" s="9" t="n">
        <f aca="false">SUM(AJ863:AU863)</f>
        <v>1008</v>
      </c>
      <c r="AX863" s="9" t="n">
        <f aca="false">IF(D863="INR",AW863/88.24,AW863)/1000000</f>
        <v>0.001008</v>
      </c>
    </row>
    <row r="864" s="2" customFormat="true" ht="14.25" hidden="false" customHeight="false" outlineLevel="0" collapsed="false">
      <c r="A864" s="35"/>
      <c r="B864" s="9" t="n">
        <v>1</v>
      </c>
      <c r="C864" s="15"/>
      <c r="D864" s="9" t="s">
        <v>102</v>
      </c>
      <c r="E864" s="9"/>
      <c r="F864" s="9" t="s">
        <v>52</v>
      </c>
      <c r="G864" s="9" t="s">
        <v>65</v>
      </c>
      <c r="H864" s="9" t="s">
        <v>66</v>
      </c>
      <c r="I864" s="9"/>
      <c r="J864" s="9"/>
      <c r="K864" s="9"/>
      <c r="L864" s="9"/>
      <c r="M864" s="9"/>
      <c r="N864" s="16" t="s">
        <v>67</v>
      </c>
      <c r="O864" s="9" t="s">
        <v>68</v>
      </c>
      <c r="P864" s="9" t="s">
        <v>182</v>
      </c>
      <c r="Q864" s="9" t="s">
        <v>182</v>
      </c>
      <c r="R864" s="9"/>
      <c r="S864" s="9"/>
      <c r="T864" s="9" t="s">
        <v>1743</v>
      </c>
      <c r="U864" s="9" t="s">
        <v>63</v>
      </c>
      <c r="V864" s="9" t="n">
        <v>0.00056</v>
      </c>
      <c r="W864" s="9"/>
      <c r="X864" s="22" t="n">
        <v>150000</v>
      </c>
      <c r="Y864" s="9" t="n">
        <v>150000</v>
      </c>
      <c r="Z864" s="9" t="n">
        <v>150000</v>
      </c>
      <c r="AA864" s="9" t="n">
        <v>150000</v>
      </c>
      <c r="AB864" s="9" t="n">
        <v>150000</v>
      </c>
      <c r="AC864" s="9" t="n">
        <v>150000</v>
      </c>
      <c r="AD864" s="9" t="n">
        <v>150000</v>
      </c>
      <c r="AE864" s="9" t="n">
        <v>150000</v>
      </c>
      <c r="AF864" s="9" t="n">
        <v>150000</v>
      </c>
      <c r="AG864" s="9" t="n">
        <v>150000</v>
      </c>
      <c r="AH864" s="9" t="n">
        <v>150000</v>
      </c>
      <c r="AI864" s="9" t="n">
        <v>150000</v>
      </c>
      <c r="AJ864" s="9" t="n">
        <f aca="false">X864*$V864</f>
        <v>84</v>
      </c>
      <c r="AK864" s="9" t="n">
        <f aca="false">Y864*$V864</f>
        <v>84</v>
      </c>
      <c r="AL864" s="9" t="n">
        <f aca="false">Z864*$V864</f>
        <v>84</v>
      </c>
      <c r="AM864" s="9" t="n">
        <f aca="false">AA864*$V864</f>
        <v>84</v>
      </c>
      <c r="AN864" s="9" t="n">
        <f aca="false">AB864*$V864</f>
        <v>84</v>
      </c>
      <c r="AO864" s="9" t="n">
        <f aca="false">AC864*$V864</f>
        <v>84</v>
      </c>
      <c r="AP864" s="9" t="n">
        <f aca="false">AD864*$V864</f>
        <v>84</v>
      </c>
      <c r="AQ864" s="9" t="n">
        <f aca="false">AE864*$V864</f>
        <v>84</v>
      </c>
      <c r="AR864" s="9" t="n">
        <f aca="false">AF864*$V864</f>
        <v>84</v>
      </c>
      <c r="AS864" s="9" t="n">
        <f aca="false">AG864*$V864</f>
        <v>84</v>
      </c>
      <c r="AT864" s="9" t="n">
        <f aca="false">AH864*$V864</f>
        <v>84</v>
      </c>
      <c r="AU864" s="9" t="n">
        <f aca="false">AI864*$V864</f>
        <v>84</v>
      </c>
      <c r="AV864" s="9" t="n">
        <f aca="false">SUM(X864:AI864)/1000</f>
        <v>1800</v>
      </c>
      <c r="AW864" s="9" t="n">
        <f aca="false">SUM(AJ864:AU864)</f>
        <v>1008</v>
      </c>
      <c r="AX864" s="9" t="n">
        <f aca="false">IF(D864="INR",AW864/88.24,AW864)/1000000</f>
        <v>0.001008</v>
      </c>
    </row>
    <row r="865" s="2" customFormat="true" ht="14.25" hidden="false" customHeight="false" outlineLevel="0" collapsed="false">
      <c r="A865" s="35"/>
      <c r="B865" s="9" t="n">
        <v>1</v>
      </c>
      <c r="C865" s="15"/>
      <c r="D865" s="16" t="s">
        <v>102</v>
      </c>
      <c r="E865" s="16" t="s">
        <v>51</v>
      </c>
      <c r="F865" s="16" t="s">
        <v>52</v>
      </c>
      <c r="G865" s="16" t="s">
        <v>65</v>
      </c>
      <c r="H865" s="9" t="s">
        <v>66</v>
      </c>
      <c r="I865" s="16" t="s">
        <v>105</v>
      </c>
      <c r="J865" s="16" t="s">
        <v>270</v>
      </c>
      <c r="K865" s="9"/>
      <c r="L865" s="16"/>
      <c r="M865" s="16"/>
      <c r="N865" s="16" t="s">
        <v>67</v>
      </c>
      <c r="O865" s="16" t="s">
        <v>68</v>
      </c>
      <c r="P865" s="9" t="s">
        <v>380</v>
      </c>
      <c r="Q865" s="9" t="s">
        <v>380</v>
      </c>
      <c r="R865" s="9" t="s">
        <v>442</v>
      </c>
      <c r="S865" s="9" t="s">
        <v>443</v>
      </c>
      <c r="T865" s="9" t="s">
        <v>1744</v>
      </c>
      <c r="U865" s="16" t="s">
        <v>63</v>
      </c>
      <c r="V865" s="36" t="n">
        <v>0.245</v>
      </c>
      <c r="W865" s="9" t="n">
        <v>0.21</v>
      </c>
      <c r="X865" s="22"/>
      <c r="Y865" s="9"/>
      <c r="Z865" s="9"/>
      <c r="AA865" s="9"/>
      <c r="AB865" s="9" t="n">
        <v>200000</v>
      </c>
      <c r="AC865" s="9" t="n">
        <v>200000</v>
      </c>
      <c r="AD865" s="23" t="n">
        <v>200000</v>
      </c>
      <c r="AE865" s="9" t="n">
        <v>200000</v>
      </c>
      <c r="AF865" s="9" t="n">
        <v>200000</v>
      </c>
      <c r="AG865" s="9" t="n">
        <v>200000</v>
      </c>
      <c r="AH865" s="9" t="n">
        <v>200000</v>
      </c>
      <c r="AI865" s="9" t="n">
        <v>200000</v>
      </c>
      <c r="AJ865" s="9" t="n">
        <f aca="false">X865*$V865</f>
        <v>0</v>
      </c>
      <c r="AK865" s="9" t="n">
        <f aca="false">Y865*$V865</f>
        <v>0</v>
      </c>
      <c r="AL865" s="9" t="n">
        <f aca="false">Z865*$V865</f>
        <v>0</v>
      </c>
      <c r="AM865" s="9" t="n">
        <f aca="false">AA865*$V865</f>
        <v>0</v>
      </c>
      <c r="AN865" s="9" t="n">
        <f aca="false">AB865*$V865</f>
        <v>49000</v>
      </c>
      <c r="AO865" s="9" t="n">
        <f aca="false">AC865*$V865</f>
        <v>49000</v>
      </c>
      <c r="AP865" s="9" t="n">
        <f aca="false">AD865*$V865</f>
        <v>49000</v>
      </c>
      <c r="AQ865" s="9" t="n">
        <f aca="false">AE865*$V865</f>
        <v>49000</v>
      </c>
      <c r="AR865" s="9" t="n">
        <f aca="false">AF865*$V865</f>
        <v>49000</v>
      </c>
      <c r="AS865" s="9" t="n">
        <f aca="false">AG865*$V865</f>
        <v>49000</v>
      </c>
      <c r="AT865" s="9" t="n">
        <f aca="false">AH865*$V865</f>
        <v>49000</v>
      </c>
      <c r="AU865" s="9" t="n">
        <f aca="false">AI865*$V865</f>
        <v>49000</v>
      </c>
      <c r="AV865" s="9" t="n">
        <f aca="false">SUM(X865:AI865)/1000</f>
        <v>1600</v>
      </c>
      <c r="AW865" s="9" t="n">
        <f aca="false">SUM(AJ865:AU865)</f>
        <v>392000</v>
      </c>
      <c r="AX865" s="9" t="n">
        <f aca="false">IF(D865="INR",AW865/88.24,AW865)/1000000</f>
        <v>0.392</v>
      </c>
    </row>
    <row r="866" s="2" customFormat="true" ht="14.25" hidden="false" customHeight="false" outlineLevel="0" collapsed="false">
      <c r="A866" s="35"/>
      <c r="B866" s="9" t="n">
        <v>1</v>
      </c>
      <c r="C866" s="10"/>
      <c r="D866" s="9" t="s">
        <v>102</v>
      </c>
      <c r="E866" s="9" t="s">
        <v>51</v>
      </c>
      <c r="F866" s="9" t="s">
        <v>52</v>
      </c>
      <c r="G866" s="9" t="s">
        <v>65</v>
      </c>
      <c r="H866" s="9" t="s">
        <v>66</v>
      </c>
      <c r="I866" s="9"/>
      <c r="J866" s="9"/>
      <c r="K866" s="9"/>
      <c r="L866" s="9"/>
      <c r="M866" s="9"/>
      <c r="N866" s="16" t="s">
        <v>67</v>
      </c>
      <c r="O866" s="9"/>
      <c r="P866" s="9" t="s">
        <v>262</v>
      </c>
      <c r="Q866" s="9" t="s">
        <v>262</v>
      </c>
      <c r="R866" s="9" t="s">
        <v>263</v>
      </c>
      <c r="S866" s="9" t="s">
        <v>264</v>
      </c>
      <c r="T866" s="9" t="s">
        <v>1745</v>
      </c>
      <c r="U866" s="9" t="s">
        <v>63</v>
      </c>
      <c r="V866" s="9" t="n">
        <v>0.03245</v>
      </c>
      <c r="W866" s="9"/>
      <c r="X866" s="9"/>
      <c r="Y866" s="9"/>
      <c r="Z866" s="9"/>
      <c r="AA866" s="9"/>
      <c r="AB866" s="9" t="n">
        <v>200000</v>
      </c>
      <c r="AC866" s="9" t="n">
        <v>200000</v>
      </c>
      <c r="AD866" s="9" t="n">
        <v>200000</v>
      </c>
      <c r="AE866" s="9" t="n">
        <v>200000</v>
      </c>
      <c r="AF866" s="9" t="n">
        <v>200000</v>
      </c>
      <c r="AG866" s="9" t="n">
        <v>200000</v>
      </c>
      <c r="AH866" s="9" t="n">
        <v>200000</v>
      </c>
      <c r="AI866" s="9" t="n">
        <v>200000</v>
      </c>
      <c r="AJ866" s="9" t="n">
        <f aca="false">X866*$V866</f>
        <v>0</v>
      </c>
      <c r="AK866" s="9" t="n">
        <f aca="false">Y866*$V866</f>
        <v>0</v>
      </c>
      <c r="AL866" s="9" t="n">
        <f aca="false">Z866*$V866</f>
        <v>0</v>
      </c>
      <c r="AM866" s="9" t="n">
        <f aca="false">AA866*$V866</f>
        <v>0</v>
      </c>
      <c r="AN866" s="9" t="n">
        <f aca="false">AB866*$V866</f>
        <v>6490</v>
      </c>
      <c r="AO866" s="9" t="n">
        <f aca="false">AC866*$V866</f>
        <v>6490</v>
      </c>
      <c r="AP866" s="9" t="n">
        <f aca="false">AD866*$V866</f>
        <v>6490</v>
      </c>
      <c r="AQ866" s="9" t="n">
        <f aca="false">AE866*$V866</f>
        <v>6490</v>
      </c>
      <c r="AR866" s="9" t="n">
        <f aca="false">AF866*$V866</f>
        <v>6490</v>
      </c>
      <c r="AS866" s="9" t="n">
        <f aca="false">AG866*$V866</f>
        <v>6490</v>
      </c>
      <c r="AT866" s="9" t="n">
        <f aca="false">AH866*$V866</f>
        <v>6490</v>
      </c>
      <c r="AU866" s="9" t="n">
        <f aca="false">AI866*$V866</f>
        <v>6490</v>
      </c>
      <c r="AV866" s="9" t="n">
        <f aca="false">SUM(X866:AI866)/1000</f>
        <v>1600</v>
      </c>
      <c r="AW866" s="9" t="n">
        <f aca="false">SUM(AJ866:AU866)</f>
        <v>51920</v>
      </c>
      <c r="AX866" s="9" t="n">
        <f aca="false">IF(D866="INR",AW866/88.24,AW866)/1000000</f>
        <v>0.05192</v>
      </c>
    </row>
    <row r="867" s="2" customFormat="true" ht="14.25" hidden="false" customHeight="false" outlineLevel="0" collapsed="false">
      <c r="A867" s="12"/>
      <c r="B867" s="16" t="n">
        <v>1</v>
      </c>
      <c r="C867" s="15"/>
      <c r="D867" s="16" t="s">
        <v>102</v>
      </c>
      <c r="E867" s="16"/>
      <c r="F867" s="16" t="s">
        <v>52</v>
      </c>
      <c r="G867" s="16" t="s">
        <v>65</v>
      </c>
      <c r="H867" s="16" t="s">
        <v>66</v>
      </c>
      <c r="I867" s="16"/>
      <c r="J867" s="16"/>
      <c r="K867" s="16"/>
      <c r="L867" s="16"/>
      <c r="M867" s="16"/>
      <c r="N867" s="16" t="s">
        <v>67</v>
      </c>
      <c r="O867" s="16" t="s">
        <v>68</v>
      </c>
      <c r="P867" s="16" t="s">
        <v>906</v>
      </c>
      <c r="Q867" s="16" t="s">
        <v>906</v>
      </c>
      <c r="R867" s="16"/>
      <c r="S867" s="16"/>
      <c r="T867" s="16" t="s">
        <v>1746</v>
      </c>
      <c r="U867" s="16" t="s">
        <v>63</v>
      </c>
      <c r="V867" s="16" t="n">
        <v>0.0106</v>
      </c>
      <c r="W867" s="16"/>
      <c r="X867" s="16"/>
      <c r="Y867" s="16"/>
      <c r="Z867" s="16"/>
      <c r="AA867" s="16"/>
      <c r="AB867" s="16" t="n">
        <v>200000</v>
      </c>
      <c r="AC867" s="16" t="n">
        <v>200000</v>
      </c>
      <c r="AD867" s="16" t="n">
        <v>200000</v>
      </c>
      <c r="AE867" s="16" t="n">
        <v>200000</v>
      </c>
      <c r="AF867" s="16" t="n">
        <v>200000</v>
      </c>
      <c r="AG867" s="16" t="n">
        <v>200000</v>
      </c>
      <c r="AH867" s="16" t="n">
        <v>200000</v>
      </c>
      <c r="AI867" s="16" t="n">
        <v>200000</v>
      </c>
      <c r="AJ867" s="9" t="n">
        <f aca="false">X867*$V867</f>
        <v>0</v>
      </c>
      <c r="AK867" s="9" t="n">
        <f aca="false">Y867*$V867</f>
        <v>0</v>
      </c>
      <c r="AL867" s="9" t="n">
        <f aca="false">Z867*$V867</f>
        <v>0</v>
      </c>
      <c r="AM867" s="9" t="n">
        <f aca="false">AA867*$V867</f>
        <v>0</v>
      </c>
      <c r="AN867" s="9" t="n">
        <f aca="false">AB867*$V867</f>
        <v>2120</v>
      </c>
      <c r="AO867" s="9" t="n">
        <f aca="false">AC867*$V867</f>
        <v>2120</v>
      </c>
      <c r="AP867" s="9" t="n">
        <f aca="false">AD867*$V867</f>
        <v>2120</v>
      </c>
      <c r="AQ867" s="9" t="n">
        <f aca="false">AE867*$V867</f>
        <v>2120</v>
      </c>
      <c r="AR867" s="9" t="n">
        <f aca="false">AF867*$V867</f>
        <v>2120</v>
      </c>
      <c r="AS867" s="9" t="n">
        <f aca="false">AG867*$V867</f>
        <v>2120</v>
      </c>
      <c r="AT867" s="9" t="n">
        <f aca="false">AH867*$V867</f>
        <v>2120</v>
      </c>
      <c r="AU867" s="9" t="n">
        <f aca="false">AI867*$V867</f>
        <v>2120</v>
      </c>
      <c r="AV867" s="9" t="n">
        <f aca="false">SUM(X867:AI867)/1000</f>
        <v>1600</v>
      </c>
      <c r="AW867" s="9" t="n">
        <f aca="false">SUM(AJ867:AU867)</f>
        <v>16960</v>
      </c>
      <c r="AX867" s="9" t="n">
        <f aca="false">IF(D867="INR",AW867/88.24,AW867)/1000000</f>
        <v>0.01696</v>
      </c>
    </row>
    <row r="868" s="2" customFormat="true" ht="14.25" hidden="false" customHeight="false" outlineLevel="0" collapsed="false">
      <c r="A868" s="12"/>
      <c r="B868" s="16" t="n">
        <v>1</v>
      </c>
      <c r="C868" s="14"/>
      <c r="D868" s="16" t="s">
        <v>102</v>
      </c>
      <c r="E868" s="16"/>
      <c r="F868" s="16" t="s">
        <v>52</v>
      </c>
      <c r="G868" s="16" t="s">
        <v>65</v>
      </c>
      <c r="H868" s="16" t="s">
        <v>66</v>
      </c>
      <c r="I868" s="16"/>
      <c r="J868" s="16"/>
      <c r="K868" s="16"/>
      <c r="L868" s="16"/>
      <c r="M868" s="16"/>
      <c r="N868" s="16" t="s">
        <v>67</v>
      </c>
      <c r="O868" s="16" t="s">
        <v>68</v>
      </c>
      <c r="P868" s="16" t="s">
        <v>182</v>
      </c>
      <c r="Q868" s="16" t="s">
        <v>182</v>
      </c>
      <c r="R868" s="16"/>
      <c r="S868" s="16"/>
      <c r="T868" s="16" t="s">
        <v>1747</v>
      </c>
      <c r="U868" s="16" t="s">
        <v>63</v>
      </c>
      <c r="V868" s="16" t="n">
        <v>0.0016</v>
      </c>
      <c r="W868" s="52"/>
      <c r="X868" s="16" t="n">
        <v>125000</v>
      </c>
      <c r="Y868" s="16" t="n">
        <v>125000</v>
      </c>
      <c r="Z868" s="16" t="n">
        <v>125000</v>
      </c>
      <c r="AA868" s="16" t="n">
        <v>125000</v>
      </c>
      <c r="AB868" s="16" t="n">
        <v>125000</v>
      </c>
      <c r="AC868" s="16" t="n">
        <v>125000</v>
      </c>
      <c r="AD868" s="16" t="n">
        <v>125000</v>
      </c>
      <c r="AE868" s="16" t="n">
        <v>125000</v>
      </c>
      <c r="AF868" s="16" t="n">
        <v>125000</v>
      </c>
      <c r="AG868" s="16" t="n">
        <v>125000</v>
      </c>
      <c r="AH868" s="16" t="n">
        <v>125000</v>
      </c>
      <c r="AI868" s="16" t="n">
        <v>125000</v>
      </c>
      <c r="AJ868" s="9" t="n">
        <f aca="false">X868*$V868</f>
        <v>200</v>
      </c>
      <c r="AK868" s="9" t="n">
        <f aca="false">Y868*$V868</f>
        <v>200</v>
      </c>
      <c r="AL868" s="9" t="n">
        <f aca="false">Z868*$V868</f>
        <v>200</v>
      </c>
      <c r="AM868" s="9" t="n">
        <f aca="false">AA868*$V868</f>
        <v>200</v>
      </c>
      <c r="AN868" s="9" t="n">
        <f aca="false">AB868*$V868</f>
        <v>200</v>
      </c>
      <c r="AO868" s="9" t="n">
        <f aca="false">AC868*$V868</f>
        <v>200</v>
      </c>
      <c r="AP868" s="9" t="n">
        <f aca="false">AD868*$V868</f>
        <v>200</v>
      </c>
      <c r="AQ868" s="9" t="n">
        <f aca="false">AE868*$V868</f>
        <v>200</v>
      </c>
      <c r="AR868" s="9" t="n">
        <f aca="false">AF868*$V868</f>
        <v>200</v>
      </c>
      <c r="AS868" s="9" t="n">
        <f aca="false">AG868*$V868</f>
        <v>200</v>
      </c>
      <c r="AT868" s="9" t="n">
        <f aca="false">AH868*$V868</f>
        <v>200</v>
      </c>
      <c r="AU868" s="9" t="n">
        <f aca="false">AI868*$V868</f>
        <v>200</v>
      </c>
      <c r="AV868" s="9" t="n">
        <f aca="false">SUM(X868:AI868)/1000</f>
        <v>1500</v>
      </c>
      <c r="AW868" s="9" t="n">
        <f aca="false">SUM(AJ868:AU868)</f>
        <v>2400</v>
      </c>
      <c r="AX868" s="9" t="n">
        <f aca="false">IF(D868="INR",AW868/88.24,AW868)/1000000</f>
        <v>0.0024</v>
      </c>
    </row>
    <row r="869" s="2" customFormat="true" ht="14.25" hidden="false" customHeight="false" outlineLevel="0" collapsed="false">
      <c r="A869" s="12"/>
      <c r="B869" s="53" t="n">
        <v>1</v>
      </c>
      <c r="C869" s="14"/>
      <c r="D869" s="16" t="s">
        <v>102</v>
      </c>
      <c r="E869" s="16"/>
      <c r="F869" s="16" t="s">
        <v>52</v>
      </c>
      <c r="G869" s="16" t="s">
        <v>65</v>
      </c>
      <c r="H869" s="16" t="s">
        <v>66</v>
      </c>
      <c r="I869" s="16"/>
      <c r="J869" s="16"/>
      <c r="K869" s="16"/>
      <c r="L869" s="16"/>
      <c r="M869" s="16"/>
      <c r="N869" s="16" t="s">
        <v>67</v>
      </c>
      <c r="O869" s="16" t="s">
        <v>68</v>
      </c>
      <c r="P869" s="16" t="s">
        <v>182</v>
      </c>
      <c r="Q869" s="16" t="s">
        <v>182</v>
      </c>
      <c r="R869" s="16"/>
      <c r="S869" s="16"/>
      <c r="T869" s="16" t="s">
        <v>1748</v>
      </c>
      <c r="U869" s="16" t="s">
        <v>63</v>
      </c>
      <c r="V869" s="16" t="n">
        <v>0.0016</v>
      </c>
      <c r="W869" s="52"/>
      <c r="X869" s="16" t="n">
        <v>125000</v>
      </c>
      <c r="Y869" s="16" t="n">
        <v>125000</v>
      </c>
      <c r="Z869" s="16" t="n">
        <v>125000</v>
      </c>
      <c r="AA869" s="16" t="n">
        <v>125000</v>
      </c>
      <c r="AB869" s="16" t="n">
        <v>125000</v>
      </c>
      <c r="AC869" s="16" t="n">
        <v>125000</v>
      </c>
      <c r="AD869" s="16" t="n">
        <v>125000</v>
      </c>
      <c r="AE869" s="16" t="n">
        <v>125000</v>
      </c>
      <c r="AF869" s="16" t="n">
        <v>125000</v>
      </c>
      <c r="AG869" s="16" t="n">
        <v>125000</v>
      </c>
      <c r="AH869" s="16" t="n">
        <v>125000</v>
      </c>
      <c r="AI869" s="16" t="n">
        <v>125000</v>
      </c>
      <c r="AJ869" s="9" t="n">
        <f aca="false">X869*$V869</f>
        <v>200</v>
      </c>
      <c r="AK869" s="9" t="n">
        <f aca="false">Y869*$V869</f>
        <v>200</v>
      </c>
      <c r="AL869" s="9" t="n">
        <f aca="false">Z869*$V869</f>
        <v>200</v>
      </c>
      <c r="AM869" s="9" t="n">
        <f aca="false">AA869*$V869</f>
        <v>200</v>
      </c>
      <c r="AN869" s="9" t="n">
        <f aca="false">AB869*$V869</f>
        <v>200</v>
      </c>
      <c r="AO869" s="9" t="n">
        <f aca="false">AC869*$V869</f>
        <v>200</v>
      </c>
      <c r="AP869" s="9" t="n">
        <f aca="false">AD869*$V869</f>
        <v>200</v>
      </c>
      <c r="AQ869" s="9" t="n">
        <f aca="false">AE869*$V869</f>
        <v>200</v>
      </c>
      <c r="AR869" s="9" t="n">
        <f aca="false">AF869*$V869</f>
        <v>200</v>
      </c>
      <c r="AS869" s="9" t="n">
        <f aca="false">AG869*$V869</f>
        <v>200</v>
      </c>
      <c r="AT869" s="9" t="n">
        <f aca="false">AH869*$V869</f>
        <v>200</v>
      </c>
      <c r="AU869" s="9" t="n">
        <f aca="false">AI869*$V869</f>
        <v>200</v>
      </c>
      <c r="AV869" s="9" t="n">
        <f aca="false">SUM(X869:AI869)/1000</f>
        <v>1500</v>
      </c>
      <c r="AW869" s="9" t="n">
        <f aca="false">SUM(AJ869:AU869)</f>
        <v>2400</v>
      </c>
      <c r="AX869" s="9" t="n">
        <f aca="false">IF(D869="INR",AW869/88.24,AW869)/1000000</f>
        <v>0.0024</v>
      </c>
    </row>
    <row r="870" s="2" customFormat="true" ht="14.25" hidden="false" customHeight="false" outlineLevel="0" collapsed="false">
      <c r="A870" s="12"/>
      <c r="B870" s="13" t="n">
        <v>1</v>
      </c>
      <c r="C870" s="14"/>
      <c r="D870" s="16" t="s">
        <v>102</v>
      </c>
      <c r="E870" s="16"/>
      <c r="F870" s="16" t="s">
        <v>52</v>
      </c>
      <c r="G870" s="16" t="s">
        <v>65</v>
      </c>
      <c r="H870" s="16" t="s">
        <v>66</v>
      </c>
      <c r="I870" s="16"/>
      <c r="J870" s="16"/>
      <c r="K870" s="16"/>
      <c r="L870" s="16"/>
      <c r="M870" s="16"/>
      <c r="N870" s="16" t="s">
        <v>67</v>
      </c>
      <c r="O870" s="16" t="s">
        <v>68</v>
      </c>
      <c r="P870" s="16" t="s">
        <v>182</v>
      </c>
      <c r="Q870" s="16" t="s">
        <v>182</v>
      </c>
      <c r="R870" s="16"/>
      <c r="S870" s="16"/>
      <c r="T870" s="16" t="s">
        <v>1749</v>
      </c>
      <c r="U870" s="16" t="s">
        <v>63</v>
      </c>
      <c r="V870" s="16" t="n">
        <v>0.0016</v>
      </c>
      <c r="W870" s="16"/>
      <c r="X870" s="16" t="n">
        <v>125000</v>
      </c>
      <c r="Y870" s="16" t="n">
        <v>125000</v>
      </c>
      <c r="Z870" s="16" t="n">
        <v>125000</v>
      </c>
      <c r="AA870" s="16" t="n">
        <v>125000</v>
      </c>
      <c r="AB870" s="16" t="n">
        <v>125000</v>
      </c>
      <c r="AC870" s="16" t="n">
        <v>125000</v>
      </c>
      <c r="AD870" s="16" t="n">
        <v>125000</v>
      </c>
      <c r="AE870" s="16" t="n">
        <v>125000</v>
      </c>
      <c r="AF870" s="16" t="n">
        <v>125000</v>
      </c>
      <c r="AG870" s="16" t="n">
        <v>125000</v>
      </c>
      <c r="AH870" s="16" t="n">
        <v>125000</v>
      </c>
      <c r="AI870" s="16" t="n">
        <v>125000</v>
      </c>
      <c r="AJ870" s="9" t="n">
        <f aca="false">X870*$V870</f>
        <v>200</v>
      </c>
      <c r="AK870" s="9" t="n">
        <f aca="false">Y870*$V870</f>
        <v>200</v>
      </c>
      <c r="AL870" s="9" t="n">
        <f aca="false">Z870*$V870</f>
        <v>200</v>
      </c>
      <c r="AM870" s="9" t="n">
        <f aca="false">AA870*$V870</f>
        <v>200</v>
      </c>
      <c r="AN870" s="9" t="n">
        <f aca="false">AB870*$V870</f>
        <v>200</v>
      </c>
      <c r="AO870" s="9" t="n">
        <f aca="false">AC870*$V870</f>
        <v>200</v>
      </c>
      <c r="AP870" s="9" t="n">
        <f aca="false">AD870*$V870</f>
        <v>200</v>
      </c>
      <c r="AQ870" s="9" t="n">
        <f aca="false">AE870*$V870</f>
        <v>200</v>
      </c>
      <c r="AR870" s="9" t="n">
        <f aca="false">AF870*$V870</f>
        <v>200</v>
      </c>
      <c r="AS870" s="9" t="n">
        <f aca="false">AG870*$V870</f>
        <v>200</v>
      </c>
      <c r="AT870" s="9" t="n">
        <f aca="false">AH870*$V870</f>
        <v>200</v>
      </c>
      <c r="AU870" s="9" t="n">
        <f aca="false">AI870*$V870</f>
        <v>200</v>
      </c>
      <c r="AV870" s="9" t="n">
        <f aca="false">SUM(X870:AI870)/1000</f>
        <v>1500</v>
      </c>
      <c r="AW870" s="9" t="n">
        <f aca="false">SUM(AJ870:AU870)</f>
        <v>2400</v>
      </c>
      <c r="AX870" s="9" t="n">
        <f aca="false">IF(D870="INR",AW870/88.24,AW870)/1000000</f>
        <v>0.0024</v>
      </c>
    </row>
    <row r="871" s="2" customFormat="true" ht="14.25" hidden="false" customHeight="false" outlineLevel="0" collapsed="false">
      <c r="A871" s="12"/>
      <c r="B871" s="13" t="n">
        <v>1</v>
      </c>
      <c r="C871" s="14"/>
      <c r="D871" s="16" t="s">
        <v>102</v>
      </c>
      <c r="E871" s="16"/>
      <c r="F871" s="16" t="s">
        <v>52</v>
      </c>
      <c r="G871" s="16" t="s">
        <v>65</v>
      </c>
      <c r="H871" s="16" t="s">
        <v>66</v>
      </c>
      <c r="I871" s="16"/>
      <c r="J871" s="16"/>
      <c r="K871" s="16"/>
      <c r="L871" s="16"/>
      <c r="M871" s="16"/>
      <c r="N871" s="16" t="s">
        <v>67</v>
      </c>
      <c r="O871" s="16" t="s">
        <v>68</v>
      </c>
      <c r="P871" s="16" t="s">
        <v>182</v>
      </c>
      <c r="Q871" s="16" t="s">
        <v>182</v>
      </c>
      <c r="R871" s="16"/>
      <c r="S871" s="16"/>
      <c r="T871" s="16" t="s">
        <v>1750</v>
      </c>
      <c r="U871" s="16" t="s">
        <v>63</v>
      </c>
      <c r="V871" s="16" t="n">
        <v>0.0016</v>
      </c>
      <c r="W871" s="16"/>
      <c r="X871" s="16" t="n">
        <v>125000</v>
      </c>
      <c r="Y871" s="16" t="n">
        <v>125000</v>
      </c>
      <c r="Z871" s="16" t="n">
        <v>125000</v>
      </c>
      <c r="AA871" s="16" t="n">
        <v>125000</v>
      </c>
      <c r="AB871" s="16" t="n">
        <v>125000</v>
      </c>
      <c r="AC871" s="16" t="n">
        <v>125000</v>
      </c>
      <c r="AD871" s="16" t="n">
        <v>125000</v>
      </c>
      <c r="AE871" s="16" t="n">
        <v>125000</v>
      </c>
      <c r="AF871" s="16" t="n">
        <v>125000</v>
      </c>
      <c r="AG871" s="16" t="n">
        <v>125000</v>
      </c>
      <c r="AH871" s="16" t="n">
        <v>125000</v>
      </c>
      <c r="AI871" s="16" t="n">
        <v>125000</v>
      </c>
      <c r="AJ871" s="9" t="n">
        <f aca="false">X871*$V871</f>
        <v>200</v>
      </c>
      <c r="AK871" s="9" t="n">
        <f aca="false">Y871*$V871</f>
        <v>200</v>
      </c>
      <c r="AL871" s="9" t="n">
        <f aca="false">Z871*$V871</f>
        <v>200</v>
      </c>
      <c r="AM871" s="9" t="n">
        <f aca="false">AA871*$V871</f>
        <v>200</v>
      </c>
      <c r="AN871" s="9" t="n">
        <f aca="false">AB871*$V871</f>
        <v>200</v>
      </c>
      <c r="AO871" s="9" t="n">
        <f aca="false">AC871*$V871</f>
        <v>200</v>
      </c>
      <c r="AP871" s="9" t="n">
        <f aca="false">AD871*$V871</f>
        <v>200</v>
      </c>
      <c r="AQ871" s="9" t="n">
        <f aca="false">AE871*$V871</f>
        <v>200</v>
      </c>
      <c r="AR871" s="9" t="n">
        <f aca="false">AF871*$V871</f>
        <v>200</v>
      </c>
      <c r="AS871" s="9" t="n">
        <f aca="false">AG871*$V871</f>
        <v>200</v>
      </c>
      <c r="AT871" s="9" t="n">
        <f aca="false">AH871*$V871</f>
        <v>200</v>
      </c>
      <c r="AU871" s="9" t="n">
        <f aca="false">AI871*$V871</f>
        <v>200</v>
      </c>
      <c r="AV871" s="9" t="n">
        <f aca="false">SUM(X871:AI871)/1000</f>
        <v>1500</v>
      </c>
      <c r="AW871" s="9" t="n">
        <f aca="false">SUM(AJ871:AU871)</f>
        <v>2400</v>
      </c>
      <c r="AX871" s="9" t="n">
        <f aca="false">IF(D871="INR",AW871/88.24,AW871)/1000000</f>
        <v>0.0024</v>
      </c>
    </row>
    <row r="872" s="2" customFormat="true" ht="14.25" hidden="false" customHeight="false" outlineLevel="0" collapsed="false">
      <c r="A872" s="12"/>
      <c r="B872" s="13" t="n">
        <v>1</v>
      </c>
      <c r="C872" s="14"/>
      <c r="D872" s="16" t="s">
        <v>102</v>
      </c>
      <c r="E872" s="16"/>
      <c r="F872" s="16" t="s">
        <v>52</v>
      </c>
      <c r="G872" s="16" t="s">
        <v>65</v>
      </c>
      <c r="H872" s="16" t="s">
        <v>66</v>
      </c>
      <c r="I872" s="16"/>
      <c r="J872" s="16"/>
      <c r="K872" s="16"/>
      <c r="L872" s="16"/>
      <c r="M872" s="16"/>
      <c r="N872" s="16" t="s">
        <v>67</v>
      </c>
      <c r="O872" s="16" t="s">
        <v>68</v>
      </c>
      <c r="P872" s="16" t="s">
        <v>182</v>
      </c>
      <c r="Q872" s="16" t="s">
        <v>182</v>
      </c>
      <c r="R872" s="16"/>
      <c r="S872" s="16"/>
      <c r="T872" s="16" t="s">
        <v>1751</v>
      </c>
      <c r="U872" s="16" t="s">
        <v>63</v>
      </c>
      <c r="V872" s="16" t="n">
        <v>0.0016</v>
      </c>
      <c r="W872" s="16"/>
      <c r="X872" s="16" t="n">
        <v>125000</v>
      </c>
      <c r="Y872" s="16" t="n">
        <v>125000</v>
      </c>
      <c r="Z872" s="16" t="n">
        <v>125000</v>
      </c>
      <c r="AA872" s="16" t="n">
        <v>125000</v>
      </c>
      <c r="AB872" s="16" t="n">
        <v>125000</v>
      </c>
      <c r="AC872" s="16" t="n">
        <v>125000</v>
      </c>
      <c r="AD872" s="16" t="n">
        <v>125000</v>
      </c>
      <c r="AE872" s="16" t="n">
        <v>125000</v>
      </c>
      <c r="AF872" s="16" t="n">
        <v>125000</v>
      </c>
      <c r="AG872" s="16" t="n">
        <v>125000</v>
      </c>
      <c r="AH872" s="16" t="n">
        <v>125000</v>
      </c>
      <c r="AI872" s="16" t="n">
        <v>125000</v>
      </c>
      <c r="AJ872" s="9" t="n">
        <f aca="false">X872*$V872</f>
        <v>200</v>
      </c>
      <c r="AK872" s="9" t="n">
        <f aca="false">Y872*$V872</f>
        <v>200</v>
      </c>
      <c r="AL872" s="9" t="n">
        <f aca="false">Z872*$V872</f>
        <v>200</v>
      </c>
      <c r="AM872" s="9" t="n">
        <f aca="false">AA872*$V872</f>
        <v>200</v>
      </c>
      <c r="AN872" s="9" t="n">
        <f aca="false">AB872*$V872</f>
        <v>200</v>
      </c>
      <c r="AO872" s="9" t="n">
        <f aca="false">AC872*$V872</f>
        <v>200</v>
      </c>
      <c r="AP872" s="9" t="n">
        <f aca="false">AD872*$V872</f>
        <v>200</v>
      </c>
      <c r="AQ872" s="9" t="n">
        <f aca="false">AE872*$V872</f>
        <v>200</v>
      </c>
      <c r="AR872" s="9" t="n">
        <f aca="false">AF872*$V872</f>
        <v>200</v>
      </c>
      <c r="AS872" s="9" t="n">
        <f aca="false">AG872*$V872</f>
        <v>200</v>
      </c>
      <c r="AT872" s="9" t="n">
        <f aca="false">AH872*$V872</f>
        <v>200</v>
      </c>
      <c r="AU872" s="9" t="n">
        <f aca="false">AI872*$V872</f>
        <v>200</v>
      </c>
      <c r="AV872" s="9" t="n">
        <f aca="false">SUM(X872:AI872)/1000</f>
        <v>1500</v>
      </c>
      <c r="AW872" s="9" t="n">
        <f aca="false">SUM(AJ872:AU872)</f>
        <v>2400</v>
      </c>
      <c r="AX872" s="9" t="n">
        <f aca="false">IF(D872="INR",AW872/88.24,AW872)/1000000</f>
        <v>0.0024</v>
      </c>
    </row>
    <row r="873" s="2" customFormat="true" ht="14.25" hidden="false" customHeight="false" outlineLevel="0" collapsed="false">
      <c r="A873" s="12"/>
      <c r="B873" s="13" t="n">
        <v>1</v>
      </c>
      <c r="C873" s="14"/>
      <c r="D873" s="16" t="s">
        <v>102</v>
      </c>
      <c r="E873" s="16"/>
      <c r="F873" s="16" t="s">
        <v>52</v>
      </c>
      <c r="G873" s="16" t="s">
        <v>65</v>
      </c>
      <c r="H873" s="16" t="s">
        <v>66</v>
      </c>
      <c r="I873" s="16"/>
      <c r="J873" s="16"/>
      <c r="K873" s="16"/>
      <c r="L873" s="16"/>
      <c r="M873" s="16"/>
      <c r="N873" s="16" t="s">
        <v>67</v>
      </c>
      <c r="O873" s="16" t="s">
        <v>68</v>
      </c>
      <c r="P873" s="16" t="s">
        <v>182</v>
      </c>
      <c r="Q873" s="16" t="s">
        <v>182</v>
      </c>
      <c r="R873" s="16"/>
      <c r="S873" s="16"/>
      <c r="T873" s="16" t="s">
        <v>1752</v>
      </c>
      <c r="U873" s="16" t="s">
        <v>63</v>
      </c>
      <c r="V873" s="16" t="n">
        <v>0.0016</v>
      </c>
      <c r="W873" s="16"/>
      <c r="X873" s="16" t="n">
        <v>125000</v>
      </c>
      <c r="Y873" s="16" t="n">
        <v>125000</v>
      </c>
      <c r="Z873" s="16" t="n">
        <v>125000</v>
      </c>
      <c r="AA873" s="16" t="n">
        <v>125000</v>
      </c>
      <c r="AB873" s="16" t="n">
        <v>125000</v>
      </c>
      <c r="AC873" s="16" t="n">
        <v>125000</v>
      </c>
      <c r="AD873" s="16" t="n">
        <v>125000</v>
      </c>
      <c r="AE873" s="16" t="n">
        <v>125000</v>
      </c>
      <c r="AF873" s="16" t="n">
        <v>125000</v>
      </c>
      <c r="AG873" s="16" t="n">
        <v>125000</v>
      </c>
      <c r="AH873" s="16" t="n">
        <v>125000</v>
      </c>
      <c r="AI873" s="16" t="n">
        <v>125000</v>
      </c>
      <c r="AJ873" s="9" t="n">
        <f aca="false">X873*$V873</f>
        <v>200</v>
      </c>
      <c r="AK873" s="9" t="n">
        <f aca="false">Y873*$V873</f>
        <v>200</v>
      </c>
      <c r="AL873" s="9" t="n">
        <f aca="false">Z873*$V873</f>
        <v>200</v>
      </c>
      <c r="AM873" s="9" t="n">
        <f aca="false">AA873*$V873</f>
        <v>200</v>
      </c>
      <c r="AN873" s="9" t="n">
        <f aca="false">AB873*$V873</f>
        <v>200</v>
      </c>
      <c r="AO873" s="9" t="n">
        <f aca="false">AC873*$V873</f>
        <v>200</v>
      </c>
      <c r="AP873" s="9" t="n">
        <f aca="false">AD873*$V873</f>
        <v>200</v>
      </c>
      <c r="AQ873" s="9" t="n">
        <f aca="false">AE873*$V873</f>
        <v>200</v>
      </c>
      <c r="AR873" s="9" t="n">
        <f aca="false">AF873*$V873</f>
        <v>200</v>
      </c>
      <c r="AS873" s="9" t="n">
        <f aca="false">AG873*$V873</f>
        <v>200</v>
      </c>
      <c r="AT873" s="9" t="n">
        <f aca="false">AH873*$V873</f>
        <v>200</v>
      </c>
      <c r="AU873" s="9" t="n">
        <f aca="false">AI873*$V873</f>
        <v>200</v>
      </c>
      <c r="AV873" s="9" t="n">
        <f aca="false">SUM(X873:AI873)/1000</f>
        <v>1500</v>
      </c>
      <c r="AW873" s="9" t="n">
        <f aca="false">SUM(AJ873:AU873)</f>
        <v>2400</v>
      </c>
      <c r="AX873" s="9" t="n">
        <f aca="false">IF(D873="INR",AW873/88.24,AW873)/1000000</f>
        <v>0.0024</v>
      </c>
    </row>
    <row r="874" s="2" customFormat="true" ht="14.25" hidden="false" customHeight="false" outlineLevel="0" collapsed="false">
      <c r="A874" s="16"/>
      <c r="B874" s="16" t="n">
        <v>1</v>
      </c>
      <c r="C874" s="16"/>
      <c r="D874" s="16" t="s">
        <v>102</v>
      </c>
      <c r="E874" s="16"/>
      <c r="F874" s="16" t="s">
        <v>52</v>
      </c>
      <c r="G874" s="16" t="s">
        <v>65</v>
      </c>
      <c r="H874" s="16" t="s">
        <v>66</v>
      </c>
      <c r="I874" s="16"/>
      <c r="J874" s="16"/>
      <c r="K874" s="16"/>
      <c r="L874" s="16"/>
      <c r="M874" s="16"/>
      <c r="N874" s="16" t="s">
        <v>67</v>
      </c>
      <c r="O874" s="16" t="s">
        <v>68</v>
      </c>
      <c r="P874" s="16" t="s">
        <v>182</v>
      </c>
      <c r="Q874" s="16" t="s">
        <v>182</v>
      </c>
      <c r="R874" s="16"/>
      <c r="S874" s="16"/>
      <c r="T874" s="16" t="s">
        <v>1753</v>
      </c>
      <c r="U874" s="16" t="s">
        <v>63</v>
      </c>
      <c r="V874" s="16" t="n">
        <v>0.00056</v>
      </c>
      <c r="W874" s="16"/>
      <c r="X874" s="16" t="n">
        <v>125000</v>
      </c>
      <c r="Y874" s="16" t="n">
        <v>125000</v>
      </c>
      <c r="Z874" s="16" t="n">
        <v>125000</v>
      </c>
      <c r="AA874" s="16" t="n">
        <v>125000</v>
      </c>
      <c r="AB874" s="16" t="n">
        <v>125000</v>
      </c>
      <c r="AC874" s="16" t="n">
        <v>125000</v>
      </c>
      <c r="AD874" s="16" t="n">
        <v>125000</v>
      </c>
      <c r="AE874" s="16" t="n">
        <v>125000</v>
      </c>
      <c r="AF874" s="16" t="n">
        <v>125000</v>
      </c>
      <c r="AG874" s="16" t="n">
        <v>125000</v>
      </c>
      <c r="AH874" s="16" t="n">
        <v>125000</v>
      </c>
      <c r="AI874" s="16" t="n">
        <v>125000</v>
      </c>
      <c r="AJ874" s="9" t="n">
        <f aca="false">X874*$V874</f>
        <v>70</v>
      </c>
      <c r="AK874" s="9" t="n">
        <f aca="false">Y874*$V874</f>
        <v>70</v>
      </c>
      <c r="AL874" s="9" t="n">
        <f aca="false">Z874*$V874</f>
        <v>70</v>
      </c>
      <c r="AM874" s="9" t="n">
        <f aca="false">AA874*$V874</f>
        <v>70</v>
      </c>
      <c r="AN874" s="9" t="n">
        <f aca="false">AB874*$V874</f>
        <v>70</v>
      </c>
      <c r="AO874" s="9" t="n">
        <f aca="false">AC874*$V874</f>
        <v>70</v>
      </c>
      <c r="AP874" s="9" t="n">
        <f aca="false">AD874*$V874</f>
        <v>70</v>
      </c>
      <c r="AQ874" s="9" t="n">
        <f aca="false">AE874*$V874</f>
        <v>70</v>
      </c>
      <c r="AR874" s="9" t="n">
        <f aca="false">AF874*$V874</f>
        <v>70</v>
      </c>
      <c r="AS874" s="9" t="n">
        <f aca="false">AG874*$V874</f>
        <v>70</v>
      </c>
      <c r="AT874" s="9" t="n">
        <f aca="false">AH874*$V874</f>
        <v>70</v>
      </c>
      <c r="AU874" s="9" t="n">
        <f aca="false">AI874*$V874</f>
        <v>70</v>
      </c>
      <c r="AV874" s="9" t="n">
        <f aca="false">SUM(X874:AI874)/1000</f>
        <v>1500</v>
      </c>
      <c r="AW874" s="9" t="n">
        <f aca="false">SUM(AJ874:AU874)</f>
        <v>840</v>
      </c>
      <c r="AX874" s="9" t="n">
        <f aca="false">IF(D874="INR",AW874/88.24,AW874)/1000000</f>
        <v>0.00084</v>
      </c>
    </row>
    <row r="875" s="2" customFormat="true" ht="14.25" hidden="false" customHeight="false" outlineLevel="0" collapsed="false">
      <c r="A875" s="16"/>
      <c r="B875" s="16" t="n">
        <v>1</v>
      </c>
      <c r="C875" s="16"/>
      <c r="D875" s="16" t="s">
        <v>102</v>
      </c>
      <c r="E875" s="16"/>
      <c r="F875" s="16" t="s">
        <v>52</v>
      </c>
      <c r="G875" s="16" t="s">
        <v>65</v>
      </c>
      <c r="H875" s="16" t="s">
        <v>66</v>
      </c>
      <c r="I875" s="16"/>
      <c r="J875" s="16"/>
      <c r="K875" s="16"/>
      <c r="L875" s="16"/>
      <c r="M875" s="16"/>
      <c r="N875" s="16" t="s">
        <v>67</v>
      </c>
      <c r="O875" s="16" t="s">
        <v>68</v>
      </c>
      <c r="P875" s="16" t="s">
        <v>182</v>
      </c>
      <c r="Q875" s="16" t="s">
        <v>182</v>
      </c>
      <c r="R875" s="16"/>
      <c r="S875" s="16"/>
      <c r="T875" s="16" t="s">
        <v>1754</v>
      </c>
      <c r="U875" s="16" t="s">
        <v>63</v>
      </c>
      <c r="V875" s="26" t="n">
        <v>0.00056</v>
      </c>
      <c r="W875" s="16"/>
      <c r="X875" s="16" t="n">
        <v>125000</v>
      </c>
      <c r="Y875" s="16" t="n">
        <v>125000</v>
      </c>
      <c r="Z875" s="16" t="n">
        <v>125000</v>
      </c>
      <c r="AA875" s="16" t="n">
        <v>125000</v>
      </c>
      <c r="AB875" s="16" t="n">
        <v>125000</v>
      </c>
      <c r="AC875" s="16" t="n">
        <v>125000</v>
      </c>
      <c r="AD875" s="16" t="n">
        <v>125000</v>
      </c>
      <c r="AE875" s="16" t="n">
        <v>125000</v>
      </c>
      <c r="AF875" s="16" t="n">
        <v>125000</v>
      </c>
      <c r="AG875" s="16" t="n">
        <v>125000</v>
      </c>
      <c r="AH875" s="16" t="n">
        <v>125000</v>
      </c>
      <c r="AI875" s="16" t="n">
        <v>125000</v>
      </c>
      <c r="AJ875" s="9" t="n">
        <f aca="false">X875*$V875</f>
        <v>70</v>
      </c>
      <c r="AK875" s="9" t="n">
        <f aca="false">Y875*$V875</f>
        <v>70</v>
      </c>
      <c r="AL875" s="9" t="n">
        <f aca="false">Z875*$V875</f>
        <v>70</v>
      </c>
      <c r="AM875" s="9" t="n">
        <f aca="false">AA875*$V875</f>
        <v>70</v>
      </c>
      <c r="AN875" s="9" t="n">
        <f aca="false">AB875*$V875</f>
        <v>70</v>
      </c>
      <c r="AO875" s="9" t="n">
        <f aca="false">AC875*$V875</f>
        <v>70</v>
      </c>
      <c r="AP875" s="9" t="n">
        <f aca="false">AD875*$V875</f>
        <v>70</v>
      </c>
      <c r="AQ875" s="9" t="n">
        <f aca="false">AE875*$V875</f>
        <v>70</v>
      </c>
      <c r="AR875" s="9" t="n">
        <f aca="false">AF875*$V875</f>
        <v>70</v>
      </c>
      <c r="AS875" s="9" t="n">
        <f aca="false">AG875*$V875</f>
        <v>70</v>
      </c>
      <c r="AT875" s="9" t="n">
        <f aca="false">AH875*$V875</f>
        <v>70</v>
      </c>
      <c r="AU875" s="9" t="n">
        <f aca="false">AI875*$V875</f>
        <v>70</v>
      </c>
      <c r="AV875" s="9" t="n">
        <f aca="false">SUM(X875:AI875)/1000</f>
        <v>1500</v>
      </c>
      <c r="AW875" s="9" t="n">
        <f aca="false">SUM(AJ875:AU875)</f>
        <v>840</v>
      </c>
      <c r="AX875" s="9" t="n">
        <f aca="false">IF(D875="INR",AW875/88.24,AW875)/1000000</f>
        <v>0.00084</v>
      </c>
    </row>
    <row r="876" s="2" customFormat="true" ht="14.25" hidden="false" customHeight="false" outlineLevel="0" collapsed="false">
      <c r="A876" s="16"/>
      <c r="B876" s="16" t="n">
        <v>1</v>
      </c>
      <c r="C876" s="16"/>
      <c r="D876" s="16" t="s">
        <v>102</v>
      </c>
      <c r="E876" s="16"/>
      <c r="F876" s="16" t="s">
        <v>52</v>
      </c>
      <c r="G876" s="16" t="s">
        <v>65</v>
      </c>
      <c r="H876" s="16" t="s">
        <v>66</v>
      </c>
      <c r="I876" s="16"/>
      <c r="J876" s="16"/>
      <c r="K876" s="16"/>
      <c r="L876" s="16"/>
      <c r="M876" s="16"/>
      <c r="N876" s="16" t="s">
        <v>67</v>
      </c>
      <c r="O876" s="16" t="s">
        <v>68</v>
      </c>
      <c r="P876" s="16" t="s">
        <v>182</v>
      </c>
      <c r="Q876" s="16" t="s">
        <v>182</v>
      </c>
      <c r="R876" s="16"/>
      <c r="S876" s="16"/>
      <c r="T876" s="26" t="s">
        <v>1755</v>
      </c>
      <c r="U876" s="16" t="s">
        <v>63</v>
      </c>
      <c r="V876" s="26" t="n">
        <v>0.00056</v>
      </c>
      <c r="W876" s="16"/>
      <c r="X876" s="16" t="n">
        <v>125000</v>
      </c>
      <c r="Y876" s="16" t="n">
        <v>125000</v>
      </c>
      <c r="Z876" s="16" t="n">
        <v>125000</v>
      </c>
      <c r="AA876" s="16" t="n">
        <v>125000</v>
      </c>
      <c r="AB876" s="16" t="n">
        <v>125000</v>
      </c>
      <c r="AC876" s="16" t="n">
        <v>125000</v>
      </c>
      <c r="AD876" s="16" t="n">
        <v>125000</v>
      </c>
      <c r="AE876" s="16" t="n">
        <v>125000</v>
      </c>
      <c r="AF876" s="16" t="n">
        <v>125000</v>
      </c>
      <c r="AG876" s="16" t="n">
        <v>125000</v>
      </c>
      <c r="AH876" s="16" t="n">
        <v>125000</v>
      </c>
      <c r="AI876" s="16" t="n">
        <v>125000</v>
      </c>
      <c r="AJ876" s="9" t="n">
        <f aca="false">X876*$V876</f>
        <v>70</v>
      </c>
      <c r="AK876" s="9" t="n">
        <f aca="false">Y876*$V876</f>
        <v>70</v>
      </c>
      <c r="AL876" s="9" t="n">
        <f aca="false">Z876*$V876</f>
        <v>70</v>
      </c>
      <c r="AM876" s="9" t="n">
        <f aca="false">AA876*$V876</f>
        <v>70</v>
      </c>
      <c r="AN876" s="9" t="n">
        <f aca="false">AB876*$V876</f>
        <v>70</v>
      </c>
      <c r="AO876" s="9" t="n">
        <f aca="false">AC876*$V876</f>
        <v>70</v>
      </c>
      <c r="AP876" s="9" t="n">
        <f aca="false">AD876*$V876</f>
        <v>70</v>
      </c>
      <c r="AQ876" s="9" t="n">
        <f aca="false">AE876*$V876</f>
        <v>70</v>
      </c>
      <c r="AR876" s="9" t="n">
        <f aca="false">AF876*$V876</f>
        <v>70</v>
      </c>
      <c r="AS876" s="9" t="n">
        <f aca="false">AG876*$V876</f>
        <v>70</v>
      </c>
      <c r="AT876" s="9" t="n">
        <f aca="false">AH876*$V876</f>
        <v>70</v>
      </c>
      <c r="AU876" s="9" t="n">
        <f aca="false">AI876*$V876</f>
        <v>70</v>
      </c>
      <c r="AV876" s="9" t="n">
        <f aca="false">SUM(X876:AI876)/1000</f>
        <v>1500</v>
      </c>
      <c r="AW876" s="9" t="n">
        <f aca="false">SUM(AJ876:AU876)</f>
        <v>840</v>
      </c>
      <c r="AX876" s="9" t="n">
        <f aca="false">IF(D876="INR",AW876/88.24,AW876)/1000000</f>
        <v>0.00084</v>
      </c>
    </row>
    <row r="877" s="2" customFormat="true" ht="14.25" hidden="false" customHeight="false" outlineLevel="0" collapsed="false">
      <c r="A877" s="16"/>
      <c r="B877" s="16" t="n">
        <v>1</v>
      </c>
      <c r="C877" s="16"/>
      <c r="D877" s="16" t="s">
        <v>102</v>
      </c>
      <c r="E877" s="16"/>
      <c r="F877" s="16" t="s">
        <v>52</v>
      </c>
      <c r="G877" s="16" t="s">
        <v>65</v>
      </c>
      <c r="H877" s="16" t="s">
        <v>66</v>
      </c>
      <c r="I877" s="16"/>
      <c r="J877" s="16"/>
      <c r="K877" s="16"/>
      <c r="L877" s="16"/>
      <c r="M877" s="16"/>
      <c r="N877" s="16" t="s">
        <v>67</v>
      </c>
      <c r="O877" s="16" t="s">
        <v>68</v>
      </c>
      <c r="P877" s="16" t="s">
        <v>182</v>
      </c>
      <c r="Q877" s="16" t="s">
        <v>182</v>
      </c>
      <c r="R877" s="16"/>
      <c r="S877" s="16"/>
      <c r="T877" s="16" t="s">
        <v>1756</v>
      </c>
      <c r="U877" s="16" t="s">
        <v>63</v>
      </c>
      <c r="V877" s="16" t="n">
        <v>0.00056</v>
      </c>
      <c r="W877" s="16"/>
      <c r="X877" s="16" t="n">
        <v>125000</v>
      </c>
      <c r="Y877" s="16" t="n">
        <v>125000</v>
      </c>
      <c r="Z877" s="16" t="n">
        <v>125000</v>
      </c>
      <c r="AA877" s="16" t="n">
        <v>125000</v>
      </c>
      <c r="AB877" s="16" t="n">
        <v>125000</v>
      </c>
      <c r="AC877" s="16" t="n">
        <v>125000</v>
      </c>
      <c r="AD877" s="16" t="n">
        <v>125000</v>
      </c>
      <c r="AE877" s="16" t="n">
        <v>125000</v>
      </c>
      <c r="AF877" s="16" t="n">
        <v>125000</v>
      </c>
      <c r="AG877" s="16" t="n">
        <v>125000</v>
      </c>
      <c r="AH877" s="16" t="n">
        <v>125000</v>
      </c>
      <c r="AI877" s="16" t="n">
        <v>125000</v>
      </c>
      <c r="AJ877" s="9" t="n">
        <f aca="false">X877*$V877</f>
        <v>70</v>
      </c>
      <c r="AK877" s="9" t="n">
        <f aca="false">Y877*$V877</f>
        <v>70</v>
      </c>
      <c r="AL877" s="9" t="n">
        <f aca="false">Z877*$V877</f>
        <v>70</v>
      </c>
      <c r="AM877" s="9" t="n">
        <f aca="false">AA877*$V877</f>
        <v>70</v>
      </c>
      <c r="AN877" s="9" t="n">
        <f aca="false">AB877*$V877</f>
        <v>70</v>
      </c>
      <c r="AO877" s="9" t="n">
        <f aca="false">AC877*$V877</f>
        <v>70</v>
      </c>
      <c r="AP877" s="9" t="n">
        <f aca="false">AD877*$V877</f>
        <v>70</v>
      </c>
      <c r="AQ877" s="9" t="n">
        <f aca="false">AE877*$V877</f>
        <v>70</v>
      </c>
      <c r="AR877" s="9" t="n">
        <f aca="false">AF877*$V877</f>
        <v>70</v>
      </c>
      <c r="AS877" s="9" t="n">
        <f aca="false">AG877*$V877</f>
        <v>70</v>
      </c>
      <c r="AT877" s="9" t="n">
        <f aca="false">AH877*$V877</f>
        <v>70</v>
      </c>
      <c r="AU877" s="9" t="n">
        <f aca="false">AI877*$V877</f>
        <v>70</v>
      </c>
      <c r="AV877" s="9" t="n">
        <f aca="false">SUM(X877:AI877)/1000</f>
        <v>1500</v>
      </c>
      <c r="AW877" s="9" t="n">
        <f aca="false">SUM(AJ877:AU877)</f>
        <v>840</v>
      </c>
      <c r="AX877" s="9" t="n">
        <f aca="false">IF(D877="INR",AW877/88.24,AW877)/1000000</f>
        <v>0.00084</v>
      </c>
    </row>
    <row r="878" s="2" customFormat="true" ht="14.25" hidden="false" customHeight="false" outlineLevel="0" collapsed="false">
      <c r="A878" s="12"/>
      <c r="B878" s="9" t="n">
        <v>1</v>
      </c>
      <c r="C878" s="10"/>
      <c r="D878" s="9" t="s">
        <v>102</v>
      </c>
      <c r="E878" s="9"/>
      <c r="F878" s="9" t="s">
        <v>52</v>
      </c>
      <c r="G878" s="9" t="s">
        <v>65</v>
      </c>
      <c r="H878" s="9" t="s">
        <v>66</v>
      </c>
      <c r="I878" s="9"/>
      <c r="J878" s="9"/>
      <c r="K878" s="9"/>
      <c r="L878" s="9"/>
      <c r="M878" s="9"/>
      <c r="N878" s="9" t="s">
        <v>67</v>
      </c>
      <c r="O878" s="9" t="s">
        <v>68</v>
      </c>
      <c r="P878" s="9" t="s">
        <v>182</v>
      </c>
      <c r="Q878" s="9" t="s">
        <v>182</v>
      </c>
      <c r="R878" s="9"/>
      <c r="S878" s="9"/>
      <c r="T878" s="9" t="s">
        <v>1757</v>
      </c>
      <c r="U878" s="9" t="s">
        <v>63</v>
      </c>
      <c r="V878" s="9" t="n">
        <v>0.00053</v>
      </c>
      <c r="W878" s="9"/>
      <c r="X878" s="9" t="n">
        <v>125000</v>
      </c>
      <c r="Y878" s="9" t="n">
        <v>125000</v>
      </c>
      <c r="Z878" s="9" t="n">
        <v>125000</v>
      </c>
      <c r="AA878" s="9" t="n">
        <v>125000</v>
      </c>
      <c r="AB878" s="9" t="n">
        <v>125000</v>
      </c>
      <c r="AC878" s="9" t="n">
        <v>125000</v>
      </c>
      <c r="AD878" s="9" t="n">
        <v>125000</v>
      </c>
      <c r="AE878" s="9" t="n">
        <v>125000</v>
      </c>
      <c r="AF878" s="9" t="n">
        <v>125000</v>
      </c>
      <c r="AG878" s="9" t="n">
        <v>125000</v>
      </c>
      <c r="AH878" s="9" t="n">
        <v>125000</v>
      </c>
      <c r="AI878" s="9" t="n">
        <v>125000</v>
      </c>
      <c r="AJ878" s="9" t="n">
        <f aca="false">X878*$V878</f>
        <v>66.25</v>
      </c>
      <c r="AK878" s="9" t="n">
        <f aca="false">Y878*$V878</f>
        <v>66.25</v>
      </c>
      <c r="AL878" s="9" t="n">
        <f aca="false">Z878*$V878</f>
        <v>66.25</v>
      </c>
      <c r="AM878" s="9" t="n">
        <f aca="false">AA878*$V878</f>
        <v>66.25</v>
      </c>
      <c r="AN878" s="9" t="n">
        <f aca="false">AB878*$V878</f>
        <v>66.25</v>
      </c>
      <c r="AO878" s="9" t="n">
        <f aca="false">AC878*$V878</f>
        <v>66.25</v>
      </c>
      <c r="AP878" s="9" t="n">
        <f aca="false">AD878*$V878</f>
        <v>66.25</v>
      </c>
      <c r="AQ878" s="9" t="n">
        <f aca="false">AE878*$V878</f>
        <v>66.25</v>
      </c>
      <c r="AR878" s="9" t="n">
        <f aca="false">AF878*$V878</f>
        <v>66.25</v>
      </c>
      <c r="AS878" s="9" t="n">
        <f aca="false">AG878*$V878</f>
        <v>66.25</v>
      </c>
      <c r="AT878" s="9" t="n">
        <f aca="false">AH878*$V878</f>
        <v>66.25</v>
      </c>
      <c r="AU878" s="9" t="n">
        <f aca="false">AI878*$V878</f>
        <v>66.25</v>
      </c>
      <c r="AV878" s="9" t="n">
        <f aca="false">SUM(X878:AI878)/1000</f>
        <v>1500</v>
      </c>
      <c r="AW878" s="9" t="n">
        <f aca="false">SUM(AJ878:AU878)</f>
        <v>795</v>
      </c>
      <c r="AX878" s="9" t="n">
        <f aca="false">IF(D878="INR",AW878/88.24,AW878)/1000000</f>
        <v>0.000795</v>
      </c>
    </row>
    <row r="879" s="2" customFormat="true" ht="14.25" hidden="false" customHeight="false" outlineLevel="0" collapsed="false">
      <c r="A879" s="35"/>
      <c r="B879" s="9" t="n">
        <v>1</v>
      </c>
      <c r="C879" s="10"/>
      <c r="D879" s="9" t="s">
        <v>102</v>
      </c>
      <c r="E879" s="9"/>
      <c r="F879" s="9" t="s">
        <v>52</v>
      </c>
      <c r="G879" s="9" t="s">
        <v>65</v>
      </c>
      <c r="H879" s="9" t="s">
        <v>66</v>
      </c>
      <c r="I879" s="9"/>
      <c r="J879" s="9"/>
      <c r="K879" s="9"/>
      <c r="L879" s="9"/>
      <c r="M879" s="9"/>
      <c r="N879" s="9" t="s">
        <v>67</v>
      </c>
      <c r="O879" s="9" t="s">
        <v>68</v>
      </c>
      <c r="P879" s="9" t="s">
        <v>182</v>
      </c>
      <c r="Q879" s="9" t="s">
        <v>182</v>
      </c>
      <c r="R879" s="9"/>
      <c r="S879" s="9"/>
      <c r="T879" s="9" t="s">
        <v>1758</v>
      </c>
      <c r="U879" s="9" t="s">
        <v>63</v>
      </c>
      <c r="V879" s="9" t="n">
        <v>0.00038</v>
      </c>
      <c r="W879" s="9"/>
      <c r="X879" s="9" t="n">
        <v>125000</v>
      </c>
      <c r="Y879" s="9" t="n">
        <v>125000</v>
      </c>
      <c r="Z879" s="9" t="n">
        <v>125000</v>
      </c>
      <c r="AA879" s="9" t="n">
        <v>125000</v>
      </c>
      <c r="AB879" s="9" t="n">
        <v>125000</v>
      </c>
      <c r="AC879" s="9" t="n">
        <v>125000</v>
      </c>
      <c r="AD879" s="9" t="n">
        <v>125000</v>
      </c>
      <c r="AE879" s="9" t="n">
        <v>125000</v>
      </c>
      <c r="AF879" s="9" t="n">
        <v>125000</v>
      </c>
      <c r="AG879" s="9" t="n">
        <v>125000</v>
      </c>
      <c r="AH879" s="9" t="n">
        <v>125000</v>
      </c>
      <c r="AI879" s="9" t="n">
        <v>125000</v>
      </c>
      <c r="AJ879" s="9" t="n">
        <f aca="false">X879*$V879</f>
        <v>47.5</v>
      </c>
      <c r="AK879" s="9" t="n">
        <f aca="false">Y879*$V879</f>
        <v>47.5</v>
      </c>
      <c r="AL879" s="9" t="n">
        <f aca="false">Z879*$V879</f>
        <v>47.5</v>
      </c>
      <c r="AM879" s="9" t="n">
        <f aca="false">AA879*$V879</f>
        <v>47.5</v>
      </c>
      <c r="AN879" s="9" t="n">
        <f aca="false">AB879*$V879</f>
        <v>47.5</v>
      </c>
      <c r="AO879" s="9" t="n">
        <f aca="false">AC879*$V879</f>
        <v>47.5</v>
      </c>
      <c r="AP879" s="9" t="n">
        <f aca="false">AD879*$V879</f>
        <v>47.5</v>
      </c>
      <c r="AQ879" s="9" t="n">
        <f aca="false">AE879*$V879</f>
        <v>47.5</v>
      </c>
      <c r="AR879" s="9" t="n">
        <f aca="false">AF879*$V879</f>
        <v>47.5</v>
      </c>
      <c r="AS879" s="9" t="n">
        <f aca="false">AG879*$V879</f>
        <v>47.5</v>
      </c>
      <c r="AT879" s="9" t="n">
        <f aca="false">AH879*$V879</f>
        <v>47.5</v>
      </c>
      <c r="AU879" s="9" t="n">
        <f aca="false">AI879*$V879</f>
        <v>47.5</v>
      </c>
      <c r="AV879" s="9" t="n">
        <f aca="false">SUM(X879:AI879)/1000</f>
        <v>1500</v>
      </c>
      <c r="AW879" s="9" t="n">
        <f aca="false">SUM(AJ879:AU879)</f>
        <v>570</v>
      </c>
      <c r="AX879" s="9" t="n">
        <f aca="false">IF(D879="INR",AW879/88.24,AW879)/1000000</f>
        <v>0.00057</v>
      </c>
    </row>
    <row r="880" s="2" customFormat="true" ht="14.25" hidden="false" customHeight="false" outlineLevel="0" collapsed="false">
      <c r="A880" s="12" t="s">
        <v>1759</v>
      </c>
      <c r="B880" s="16" t="n">
        <v>5</v>
      </c>
      <c r="C880" s="15"/>
      <c r="D880" s="16" t="s">
        <v>102</v>
      </c>
      <c r="E880" s="16" t="s">
        <v>51</v>
      </c>
      <c r="F880" s="16" t="s">
        <v>52</v>
      </c>
      <c r="G880" s="16" t="s">
        <v>65</v>
      </c>
      <c r="H880" s="16" t="s">
        <v>66</v>
      </c>
      <c r="I880" s="16" t="s">
        <v>105</v>
      </c>
      <c r="J880" s="16" t="s">
        <v>270</v>
      </c>
      <c r="K880" s="16"/>
      <c r="L880" s="16" t="s">
        <v>105</v>
      </c>
      <c r="M880" s="16" t="s">
        <v>270</v>
      </c>
      <c r="N880" s="16" t="s">
        <v>67</v>
      </c>
      <c r="O880" s="16" t="s">
        <v>68</v>
      </c>
      <c r="P880" s="16" t="s">
        <v>182</v>
      </c>
      <c r="Q880" s="16" t="s">
        <v>182</v>
      </c>
      <c r="R880" s="16" t="s">
        <v>875</v>
      </c>
      <c r="S880" s="16" t="s">
        <v>363</v>
      </c>
      <c r="T880" s="16" t="s">
        <v>1760</v>
      </c>
      <c r="U880" s="16" t="s">
        <v>73</v>
      </c>
      <c r="V880" s="16" t="n">
        <v>0.001</v>
      </c>
      <c r="W880" s="16" t="n">
        <v>0.00084</v>
      </c>
      <c r="X880" s="16" t="n">
        <v>100000</v>
      </c>
      <c r="Y880" s="16" t="n">
        <v>100000</v>
      </c>
      <c r="Z880" s="16" t="n">
        <v>100000</v>
      </c>
      <c r="AA880" s="16" t="n">
        <v>100000</v>
      </c>
      <c r="AB880" s="16" t="n">
        <v>100000</v>
      </c>
      <c r="AC880" s="16" t="n">
        <v>100000</v>
      </c>
      <c r="AD880" s="16" t="n">
        <v>100000</v>
      </c>
      <c r="AE880" s="16" t="n">
        <v>100000</v>
      </c>
      <c r="AF880" s="16" t="n">
        <v>100000</v>
      </c>
      <c r="AG880" s="16" t="n">
        <v>100000</v>
      </c>
      <c r="AH880" s="16" t="n">
        <v>100000</v>
      </c>
      <c r="AI880" s="16" t="n">
        <v>100000</v>
      </c>
      <c r="AJ880" s="9" t="n">
        <f aca="false">X880*$V880</f>
        <v>100</v>
      </c>
      <c r="AK880" s="9" t="n">
        <f aca="false">Y880*$V880</f>
        <v>100</v>
      </c>
      <c r="AL880" s="9" t="n">
        <f aca="false">Z880*$V880</f>
        <v>100</v>
      </c>
      <c r="AM880" s="9" t="n">
        <f aca="false">AA880*$V880</f>
        <v>100</v>
      </c>
      <c r="AN880" s="9" t="n">
        <f aca="false">AB880*$V880</f>
        <v>100</v>
      </c>
      <c r="AO880" s="9" t="n">
        <f aca="false">AC880*$V880</f>
        <v>100</v>
      </c>
      <c r="AP880" s="9" t="n">
        <f aca="false">AD880*$V880</f>
        <v>100</v>
      </c>
      <c r="AQ880" s="9" t="n">
        <f aca="false">AE880*$V880</f>
        <v>100</v>
      </c>
      <c r="AR880" s="9" t="n">
        <f aca="false">AF880*$V880</f>
        <v>100</v>
      </c>
      <c r="AS880" s="9" t="n">
        <f aca="false">AG880*$V880</f>
        <v>100</v>
      </c>
      <c r="AT880" s="9" t="n">
        <f aca="false">AH880*$V880</f>
        <v>100</v>
      </c>
      <c r="AU880" s="9" t="n">
        <f aca="false">AI880*$V880</f>
        <v>100</v>
      </c>
      <c r="AV880" s="9" t="n">
        <f aca="false">SUM(X880:AI880)/1000</f>
        <v>1200</v>
      </c>
      <c r="AW880" s="9" t="n">
        <f aca="false">SUM(AJ880:AU880)</f>
        <v>1200</v>
      </c>
      <c r="AX880" s="9" t="n">
        <f aca="false">IF(D880="INR",AW880/88.24,AW880)/1000000</f>
        <v>0.0012</v>
      </c>
    </row>
    <row r="881" s="2" customFormat="true" ht="14.25" hidden="false" customHeight="false" outlineLevel="0" collapsed="false">
      <c r="A881" s="16"/>
      <c r="B881" s="16" t="n">
        <v>1</v>
      </c>
      <c r="C881" s="16"/>
      <c r="D881" s="16" t="s">
        <v>102</v>
      </c>
      <c r="E881" s="16"/>
      <c r="F881" s="16" t="s">
        <v>52</v>
      </c>
      <c r="G881" s="16" t="s">
        <v>65</v>
      </c>
      <c r="H881" s="16" t="s">
        <v>66</v>
      </c>
      <c r="I881" s="16"/>
      <c r="J881" s="16"/>
      <c r="K881" s="16"/>
      <c r="L881" s="16"/>
      <c r="M881" s="16"/>
      <c r="N881" s="16" t="s">
        <v>67</v>
      </c>
      <c r="O881" s="16" t="s">
        <v>68</v>
      </c>
      <c r="P881" s="16" t="s">
        <v>182</v>
      </c>
      <c r="Q881" s="16" t="s">
        <v>182</v>
      </c>
      <c r="R881" s="16"/>
      <c r="S881" s="16"/>
      <c r="T881" s="26" t="s">
        <v>1761</v>
      </c>
      <c r="U881" s="16" t="s">
        <v>63</v>
      </c>
      <c r="V881" s="16" t="n">
        <v>0.00038</v>
      </c>
      <c r="W881" s="16"/>
      <c r="X881" s="16" t="n">
        <v>100000</v>
      </c>
      <c r="Y881" s="16" t="n">
        <v>100000</v>
      </c>
      <c r="Z881" s="16" t="n">
        <v>100000</v>
      </c>
      <c r="AA881" s="16" t="n">
        <v>100000</v>
      </c>
      <c r="AB881" s="16" t="n">
        <v>100000</v>
      </c>
      <c r="AC881" s="16" t="n">
        <v>100000</v>
      </c>
      <c r="AD881" s="16" t="n">
        <v>100000</v>
      </c>
      <c r="AE881" s="16" t="n">
        <v>100000</v>
      </c>
      <c r="AF881" s="16" t="n">
        <v>100000</v>
      </c>
      <c r="AG881" s="16" t="n">
        <v>100000</v>
      </c>
      <c r="AH881" s="16" t="n">
        <v>100000</v>
      </c>
      <c r="AI881" s="16" t="n">
        <v>100000</v>
      </c>
      <c r="AJ881" s="9" t="n">
        <f aca="false">X881*$V881</f>
        <v>38</v>
      </c>
      <c r="AK881" s="9" t="n">
        <f aca="false">Y881*$V881</f>
        <v>38</v>
      </c>
      <c r="AL881" s="9" t="n">
        <f aca="false">Z881*$V881</f>
        <v>38</v>
      </c>
      <c r="AM881" s="9" t="n">
        <f aca="false">AA881*$V881</f>
        <v>38</v>
      </c>
      <c r="AN881" s="9" t="n">
        <f aca="false">AB881*$V881</f>
        <v>38</v>
      </c>
      <c r="AO881" s="9" t="n">
        <f aca="false">AC881*$V881</f>
        <v>38</v>
      </c>
      <c r="AP881" s="9" t="n">
        <f aca="false">AD881*$V881</f>
        <v>38</v>
      </c>
      <c r="AQ881" s="9" t="n">
        <f aca="false">AE881*$V881</f>
        <v>38</v>
      </c>
      <c r="AR881" s="9" t="n">
        <f aca="false">AF881*$V881</f>
        <v>38</v>
      </c>
      <c r="AS881" s="9" t="n">
        <f aca="false">AG881*$V881</f>
        <v>38</v>
      </c>
      <c r="AT881" s="9" t="n">
        <f aca="false">AH881*$V881</f>
        <v>38</v>
      </c>
      <c r="AU881" s="9" t="n">
        <f aca="false">AI881*$V881</f>
        <v>38</v>
      </c>
      <c r="AV881" s="9" t="n">
        <f aca="false">SUM(X881:AI881)/1000</f>
        <v>1200</v>
      </c>
      <c r="AW881" s="9" t="n">
        <f aca="false">SUM(AJ881:AU881)</f>
        <v>456</v>
      </c>
      <c r="AX881" s="9" t="n">
        <f aca="false">IF(D881="INR",AW881/88.24,AW881)/1000000</f>
        <v>0.000456</v>
      </c>
    </row>
    <row r="882" s="2" customFormat="true" ht="14.25" hidden="false" customHeight="false" outlineLevel="0" collapsed="false">
      <c r="A882" s="12"/>
      <c r="B882" s="16" t="n">
        <v>1</v>
      </c>
      <c r="C882" s="15"/>
      <c r="D882" s="16" t="s">
        <v>102</v>
      </c>
      <c r="E882" s="16"/>
      <c r="F882" s="16" t="s">
        <v>52</v>
      </c>
      <c r="G882" s="16" t="s">
        <v>65</v>
      </c>
      <c r="H882" s="16" t="s">
        <v>66</v>
      </c>
      <c r="I882" s="16"/>
      <c r="J882" s="16"/>
      <c r="K882" s="16"/>
      <c r="L882" s="16"/>
      <c r="M882" s="16"/>
      <c r="N882" s="16" t="s">
        <v>67</v>
      </c>
      <c r="O882" s="16" t="s">
        <v>68</v>
      </c>
      <c r="P882" s="16" t="s">
        <v>182</v>
      </c>
      <c r="Q882" s="16" t="s">
        <v>182</v>
      </c>
      <c r="R882" s="16"/>
      <c r="S882" s="16"/>
      <c r="T882" s="16" t="s">
        <v>1762</v>
      </c>
      <c r="U882" s="16" t="s">
        <v>63</v>
      </c>
      <c r="V882" s="16" t="n">
        <v>0.0232</v>
      </c>
      <c r="W882" s="16"/>
      <c r="X882" s="16"/>
      <c r="Y882" s="16"/>
      <c r="Z882" s="16"/>
      <c r="AA882" s="16"/>
      <c r="AB882" s="16" t="n">
        <v>125000</v>
      </c>
      <c r="AC882" s="16" t="n">
        <v>125000</v>
      </c>
      <c r="AD882" s="16" t="n">
        <v>125000</v>
      </c>
      <c r="AE882" s="16" t="n">
        <v>125000</v>
      </c>
      <c r="AF882" s="16" t="n">
        <v>125000</v>
      </c>
      <c r="AG882" s="16" t="n">
        <v>125000</v>
      </c>
      <c r="AH882" s="16" t="n">
        <v>125000</v>
      </c>
      <c r="AI882" s="16" t="n">
        <v>125000</v>
      </c>
      <c r="AJ882" s="9" t="n">
        <f aca="false">X882*$V882</f>
        <v>0</v>
      </c>
      <c r="AK882" s="9" t="n">
        <f aca="false">Y882*$V882</f>
        <v>0</v>
      </c>
      <c r="AL882" s="9" t="n">
        <f aca="false">Z882*$V882</f>
        <v>0</v>
      </c>
      <c r="AM882" s="9" t="n">
        <f aca="false">AA882*$V882</f>
        <v>0</v>
      </c>
      <c r="AN882" s="9" t="n">
        <f aca="false">AB882*$V882</f>
        <v>2900</v>
      </c>
      <c r="AO882" s="9" t="n">
        <f aca="false">AC882*$V882</f>
        <v>2900</v>
      </c>
      <c r="AP882" s="9" t="n">
        <f aca="false">AD882*$V882</f>
        <v>2900</v>
      </c>
      <c r="AQ882" s="9" t="n">
        <f aca="false">AE882*$V882</f>
        <v>2900</v>
      </c>
      <c r="AR882" s="9" t="n">
        <f aca="false">AF882*$V882</f>
        <v>2900</v>
      </c>
      <c r="AS882" s="9" t="n">
        <f aca="false">AG882*$V882</f>
        <v>2900</v>
      </c>
      <c r="AT882" s="9" t="n">
        <f aca="false">AH882*$V882</f>
        <v>2900</v>
      </c>
      <c r="AU882" s="9" t="n">
        <f aca="false">AI882*$V882</f>
        <v>2900</v>
      </c>
      <c r="AV882" s="9" t="n">
        <f aca="false">SUM(X882:AI882)/1000</f>
        <v>1000</v>
      </c>
      <c r="AW882" s="9" t="n">
        <f aca="false">SUM(AJ882:AU882)</f>
        <v>23200</v>
      </c>
      <c r="AX882" s="9" t="n">
        <f aca="false">IF(D882="INR",AW882/88.24,AW882)/1000000</f>
        <v>0.0232</v>
      </c>
    </row>
    <row r="883" s="2" customFormat="true" ht="14.25" hidden="false" customHeight="false" outlineLevel="0" collapsed="false">
      <c r="A883" s="12" t="s">
        <v>1763</v>
      </c>
      <c r="B883" s="16" t="n">
        <v>5</v>
      </c>
      <c r="C883" s="15"/>
      <c r="D883" s="16" t="s">
        <v>50</v>
      </c>
      <c r="E883" s="16" t="s">
        <v>51</v>
      </c>
      <c r="F883" s="16" t="s">
        <v>52</v>
      </c>
      <c r="G883" s="16" t="s">
        <v>1764</v>
      </c>
      <c r="H883" s="16" t="s">
        <v>495</v>
      </c>
      <c r="I883" s="16" t="s">
        <v>77</v>
      </c>
      <c r="J883" s="16" t="s">
        <v>496</v>
      </c>
      <c r="K883" s="16" t="s">
        <v>495</v>
      </c>
      <c r="L883" s="16" t="s">
        <v>77</v>
      </c>
      <c r="M883" s="16" t="s">
        <v>496</v>
      </c>
      <c r="N883" s="16" t="s">
        <v>57</v>
      </c>
      <c r="O883" s="16" t="s">
        <v>107</v>
      </c>
      <c r="P883" s="16" t="s">
        <v>308</v>
      </c>
      <c r="Q883" s="16" t="s">
        <v>308</v>
      </c>
      <c r="R883" s="16" t="s">
        <v>309</v>
      </c>
      <c r="S883" s="16" t="s">
        <v>264</v>
      </c>
      <c r="T883" s="16" t="s">
        <v>1765</v>
      </c>
      <c r="U883" s="16" t="s">
        <v>73</v>
      </c>
      <c r="V883" s="16" t="n">
        <v>1.39</v>
      </c>
      <c r="W883" s="16" t="n">
        <v>1.2</v>
      </c>
      <c r="X883" s="16" t="n">
        <v>8000</v>
      </c>
      <c r="Y883" s="16" t="n">
        <v>8000</v>
      </c>
      <c r="Z883" s="16" t="n">
        <v>8000</v>
      </c>
      <c r="AA883" s="16" t="n">
        <v>8000</v>
      </c>
      <c r="AB883" s="16" t="n">
        <v>8000</v>
      </c>
      <c r="AC883" s="16" t="n">
        <v>8000</v>
      </c>
      <c r="AD883" s="16" t="n">
        <v>8000</v>
      </c>
      <c r="AE883" s="16" t="n">
        <v>8000</v>
      </c>
      <c r="AF883" s="16" t="n">
        <v>8000</v>
      </c>
      <c r="AG883" s="16" t="n">
        <v>8000</v>
      </c>
      <c r="AH883" s="16" t="n">
        <v>8000</v>
      </c>
      <c r="AI883" s="16" t="n">
        <v>8000</v>
      </c>
      <c r="AJ883" s="9" t="n">
        <f aca="false">X883*$V883</f>
        <v>11120</v>
      </c>
      <c r="AK883" s="9" t="n">
        <f aca="false">Y883*$V883</f>
        <v>11120</v>
      </c>
      <c r="AL883" s="9" t="n">
        <f aca="false">Z883*$V883</f>
        <v>11120</v>
      </c>
      <c r="AM883" s="9" t="n">
        <f aca="false">AA883*$V883</f>
        <v>11120</v>
      </c>
      <c r="AN883" s="9" t="n">
        <f aca="false">AB883*$V883</f>
        <v>11120</v>
      </c>
      <c r="AO883" s="9" t="n">
        <f aca="false">AC883*$V883</f>
        <v>11120</v>
      </c>
      <c r="AP883" s="9" t="n">
        <f aca="false">AD883*$V883</f>
        <v>11120</v>
      </c>
      <c r="AQ883" s="9" t="n">
        <f aca="false">AE883*$V883</f>
        <v>11120</v>
      </c>
      <c r="AR883" s="9" t="n">
        <f aca="false">AF883*$V883</f>
        <v>11120</v>
      </c>
      <c r="AS883" s="9" t="n">
        <f aca="false">AG883*$V883</f>
        <v>11120</v>
      </c>
      <c r="AT883" s="9" t="n">
        <f aca="false">AH883*$V883</f>
        <v>11120</v>
      </c>
      <c r="AU883" s="9" t="n">
        <f aca="false">AI883*$V883</f>
        <v>11120</v>
      </c>
      <c r="AV883" s="9" t="n">
        <f aca="false">SUM(X883:AI883)/1000</f>
        <v>96</v>
      </c>
      <c r="AW883" s="9" t="n">
        <f aca="false">SUM(AJ883:AU883)</f>
        <v>133440</v>
      </c>
      <c r="AX883" s="9" t="n">
        <f aca="false">IF(D883="INR",AW883/88.24,AW883)/1000000</f>
        <v>0.00151223934723481</v>
      </c>
      <c r="AY883" s="27"/>
    </row>
    <row r="884" s="2" customFormat="true" ht="14.25" hidden="false" customHeight="false" outlineLevel="0" collapsed="false">
      <c r="A884" s="9"/>
      <c r="B884" s="9" t="n">
        <v>1</v>
      </c>
      <c r="C884" s="10"/>
      <c r="D884" s="9" t="s">
        <v>102</v>
      </c>
      <c r="E884" s="9"/>
      <c r="F884" s="9" t="s">
        <v>52</v>
      </c>
      <c r="G884" s="9" t="s">
        <v>65</v>
      </c>
      <c r="H884" s="9" t="s">
        <v>66</v>
      </c>
      <c r="I884" s="9"/>
      <c r="J884" s="9"/>
      <c r="K884" s="9"/>
      <c r="L884" s="9"/>
      <c r="M884" s="9"/>
      <c r="N884" s="9" t="s">
        <v>67</v>
      </c>
      <c r="O884" s="9" t="s">
        <v>68</v>
      </c>
      <c r="P884" s="9" t="s">
        <v>182</v>
      </c>
      <c r="Q884" s="9" t="s">
        <v>182</v>
      </c>
      <c r="R884" s="9"/>
      <c r="S884" s="9"/>
      <c r="T884" s="9" t="s">
        <v>1766</v>
      </c>
      <c r="U884" s="9" t="s">
        <v>63</v>
      </c>
      <c r="V884" s="9" t="n">
        <v>0.00056</v>
      </c>
      <c r="W884" s="9"/>
      <c r="X884" s="9" t="n">
        <v>75000</v>
      </c>
      <c r="Y884" s="9" t="n">
        <v>75000</v>
      </c>
      <c r="Z884" s="9" t="n">
        <v>75000</v>
      </c>
      <c r="AA884" s="9" t="n">
        <v>75000</v>
      </c>
      <c r="AB884" s="9" t="n">
        <v>75000</v>
      </c>
      <c r="AC884" s="9" t="n">
        <v>75000</v>
      </c>
      <c r="AD884" s="9" t="n">
        <v>75000</v>
      </c>
      <c r="AE884" s="9" t="n">
        <v>75000</v>
      </c>
      <c r="AF884" s="9" t="n">
        <v>75000</v>
      </c>
      <c r="AG884" s="9" t="n">
        <v>75000</v>
      </c>
      <c r="AH884" s="9" t="n">
        <v>75000</v>
      </c>
      <c r="AI884" s="9" t="n">
        <v>75000</v>
      </c>
      <c r="AJ884" s="9" t="n">
        <f aca="false">X884*$V884</f>
        <v>42</v>
      </c>
      <c r="AK884" s="9" t="n">
        <f aca="false">Y884*$V884</f>
        <v>42</v>
      </c>
      <c r="AL884" s="9" t="n">
        <f aca="false">Z884*$V884</f>
        <v>42</v>
      </c>
      <c r="AM884" s="9" t="n">
        <f aca="false">AA884*$V884</f>
        <v>42</v>
      </c>
      <c r="AN884" s="9" t="n">
        <f aca="false">AB884*$V884</f>
        <v>42</v>
      </c>
      <c r="AO884" s="9" t="n">
        <f aca="false">AC884*$V884</f>
        <v>42</v>
      </c>
      <c r="AP884" s="9" t="n">
        <f aca="false">AD884*$V884</f>
        <v>42</v>
      </c>
      <c r="AQ884" s="9" t="n">
        <f aca="false">AE884*$V884</f>
        <v>42</v>
      </c>
      <c r="AR884" s="9" t="n">
        <f aca="false">AF884*$V884</f>
        <v>42</v>
      </c>
      <c r="AS884" s="9" t="n">
        <f aca="false">AG884*$V884</f>
        <v>42</v>
      </c>
      <c r="AT884" s="9" t="n">
        <f aca="false">AH884*$V884</f>
        <v>42</v>
      </c>
      <c r="AU884" s="9" t="n">
        <f aca="false">AI884*$V884</f>
        <v>42</v>
      </c>
      <c r="AV884" s="9" t="n">
        <f aca="false">SUM(X884:AI884)/1000</f>
        <v>900</v>
      </c>
      <c r="AW884" s="9" t="n">
        <f aca="false">SUM(AJ884:AU884)</f>
        <v>504</v>
      </c>
      <c r="AX884" s="9" t="n">
        <f aca="false">IF(D884="INR",AW884/88.24,AW884)/1000000</f>
        <v>0.000504</v>
      </c>
    </row>
    <row r="885" s="2" customFormat="true" ht="14.25" hidden="false" customHeight="false" outlineLevel="0" collapsed="false">
      <c r="A885" s="16"/>
      <c r="B885" s="16" t="n">
        <v>1</v>
      </c>
      <c r="C885" s="16"/>
      <c r="D885" s="16" t="s">
        <v>102</v>
      </c>
      <c r="E885" s="16"/>
      <c r="F885" s="16" t="s">
        <v>52</v>
      </c>
      <c r="G885" s="16" t="s">
        <v>65</v>
      </c>
      <c r="H885" s="16" t="s">
        <v>66</v>
      </c>
      <c r="I885" s="16"/>
      <c r="J885" s="16"/>
      <c r="K885" s="16"/>
      <c r="L885" s="16"/>
      <c r="M885" s="16"/>
      <c r="N885" s="16" t="s">
        <v>67</v>
      </c>
      <c r="O885" s="16" t="s">
        <v>68</v>
      </c>
      <c r="P885" s="16" t="s">
        <v>182</v>
      </c>
      <c r="Q885" s="16" t="s">
        <v>182</v>
      </c>
      <c r="R885" s="16"/>
      <c r="S885" s="16"/>
      <c r="T885" s="16" t="s">
        <v>1767</v>
      </c>
      <c r="U885" s="26" t="s">
        <v>63</v>
      </c>
      <c r="V885" s="16" t="n">
        <v>0.00038</v>
      </c>
      <c r="W885" s="16"/>
      <c r="X885" s="16" t="n">
        <v>75000</v>
      </c>
      <c r="Y885" s="16" t="n">
        <v>75000</v>
      </c>
      <c r="Z885" s="16" t="n">
        <v>75000</v>
      </c>
      <c r="AA885" s="16" t="n">
        <v>75000</v>
      </c>
      <c r="AB885" s="16" t="n">
        <v>75000</v>
      </c>
      <c r="AC885" s="16" t="n">
        <v>75000</v>
      </c>
      <c r="AD885" s="16" t="n">
        <v>75000</v>
      </c>
      <c r="AE885" s="16" t="n">
        <v>75000</v>
      </c>
      <c r="AF885" s="16" t="n">
        <v>75000</v>
      </c>
      <c r="AG885" s="16" t="n">
        <v>75000</v>
      </c>
      <c r="AH885" s="16" t="n">
        <v>75000</v>
      </c>
      <c r="AI885" s="16" t="n">
        <v>75000</v>
      </c>
      <c r="AJ885" s="9" t="n">
        <f aca="false">X885*$V885</f>
        <v>28.5</v>
      </c>
      <c r="AK885" s="9" t="n">
        <f aca="false">Y885*$V885</f>
        <v>28.5</v>
      </c>
      <c r="AL885" s="9" t="n">
        <f aca="false">Z885*$V885</f>
        <v>28.5</v>
      </c>
      <c r="AM885" s="9" t="n">
        <f aca="false">AA885*$V885</f>
        <v>28.5</v>
      </c>
      <c r="AN885" s="9" t="n">
        <f aca="false">AB885*$V885</f>
        <v>28.5</v>
      </c>
      <c r="AO885" s="9" t="n">
        <f aca="false">AC885*$V885</f>
        <v>28.5</v>
      </c>
      <c r="AP885" s="9" t="n">
        <f aca="false">AD885*$V885</f>
        <v>28.5</v>
      </c>
      <c r="AQ885" s="9" t="n">
        <f aca="false">AE885*$V885</f>
        <v>28.5</v>
      </c>
      <c r="AR885" s="9" t="n">
        <f aca="false">AF885*$V885</f>
        <v>28.5</v>
      </c>
      <c r="AS885" s="9" t="n">
        <f aca="false">AG885*$V885</f>
        <v>28.5</v>
      </c>
      <c r="AT885" s="9" t="n">
        <f aca="false">AH885*$V885</f>
        <v>28.5</v>
      </c>
      <c r="AU885" s="9" t="n">
        <f aca="false">AI885*$V885</f>
        <v>28.5</v>
      </c>
      <c r="AV885" s="9" t="n">
        <f aca="false">SUM(X885:AI885)/1000</f>
        <v>900</v>
      </c>
      <c r="AW885" s="9" t="n">
        <f aca="false">SUM(AJ885:AU885)</f>
        <v>342</v>
      </c>
      <c r="AX885" s="9" t="n">
        <f aca="false">IF(D885="INR",AW885/88.24,AW885)/1000000</f>
        <v>0.000342</v>
      </c>
    </row>
    <row r="886" s="2" customFormat="true" ht="14.25" hidden="false" customHeight="false" outlineLevel="0" collapsed="false">
      <c r="A886" s="9"/>
      <c r="B886" s="9" t="n">
        <v>1</v>
      </c>
      <c r="C886" s="10"/>
      <c r="D886" s="9" t="s">
        <v>102</v>
      </c>
      <c r="E886" s="9"/>
      <c r="F886" s="9" t="s">
        <v>52</v>
      </c>
      <c r="G886" s="9" t="s">
        <v>65</v>
      </c>
      <c r="H886" s="9" t="s">
        <v>66</v>
      </c>
      <c r="I886" s="9"/>
      <c r="J886" s="9"/>
      <c r="K886" s="9"/>
      <c r="L886" s="9"/>
      <c r="M886" s="9"/>
      <c r="N886" s="9" t="s">
        <v>67</v>
      </c>
      <c r="O886" s="9" t="s">
        <v>68</v>
      </c>
      <c r="P886" s="9" t="s">
        <v>906</v>
      </c>
      <c r="Q886" s="9" t="s">
        <v>906</v>
      </c>
      <c r="R886" s="9"/>
      <c r="S886" s="9"/>
      <c r="T886" s="9" t="s">
        <v>1768</v>
      </c>
      <c r="U886" s="9" t="s">
        <v>63</v>
      </c>
      <c r="V886" s="9" t="n">
        <v>0.0235</v>
      </c>
      <c r="W886" s="9"/>
      <c r="X886" s="9"/>
      <c r="Y886" s="9"/>
      <c r="Z886" s="9"/>
      <c r="AA886" s="9"/>
      <c r="AB886" s="9" t="n">
        <v>100000</v>
      </c>
      <c r="AC886" s="9" t="n">
        <v>100000</v>
      </c>
      <c r="AD886" s="9" t="n">
        <v>100000</v>
      </c>
      <c r="AE886" s="9" t="n">
        <v>100000</v>
      </c>
      <c r="AF886" s="9" t="n">
        <v>100000</v>
      </c>
      <c r="AG886" s="9" t="n">
        <v>100000</v>
      </c>
      <c r="AH886" s="9" t="n">
        <v>100000</v>
      </c>
      <c r="AI886" s="9" t="n">
        <v>100000</v>
      </c>
      <c r="AJ886" s="9" t="n">
        <f aca="false">X886*$V886</f>
        <v>0</v>
      </c>
      <c r="AK886" s="9" t="n">
        <f aca="false">Y886*$V886</f>
        <v>0</v>
      </c>
      <c r="AL886" s="9" t="n">
        <f aca="false">Z886*$V886</f>
        <v>0</v>
      </c>
      <c r="AM886" s="9" t="n">
        <f aca="false">AA886*$V886</f>
        <v>0</v>
      </c>
      <c r="AN886" s="9" t="n">
        <f aca="false">AB886*$V886</f>
        <v>2350</v>
      </c>
      <c r="AO886" s="9" t="n">
        <f aca="false">AC886*$V886</f>
        <v>2350</v>
      </c>
      <c r="AP886" s="9" t="n">
        <f aca="false">AD886*$V886</f>
        <v>2350</v>
      </c>
      <c r="AQ886" s="9" t="n">
        <f aca="false">AE886*$V886</f>
        <v>2350</v>
      </c>
      <c r="AR886" s="9" t="n">
        <f aca="false">AF886*$V886</f>
        <v>2350</v>
      </c>
      <c r="AS886" s="9" t="n">
        <f aca="false">AG886*$V886</f>
        <v>2350</v>
      </c>
      <c r="AT886" s="9" t="n">
        <f aca="false">AH886*$V886</f>
        <v>2350</v>
      </c>
      <c r="AU886" s="9" t="n">
        <f aca="false">AI886*$V886</f>
        <v>2350</v>
      </c>
      <c r="AV886" s="9" t="n">
        <f aca="false">SUM(X886:AI886)/1000</f>
        <v>800</v>
      </c>
      <c r="AW886" s="9" t="n">
        <f aca="false">SUM(AJ886:AU886)</f>
        <v>18800</v>
      </c>
      <c r="AX886" s="9" t="n">
        <f aca="false">IF(D886="INR",AW886/88.24,AW886)/1000000</f>
        <v>0.0188</v>
      </c>
    </row>
    <row r="887" s="2" customFormat="true" ht="14.25" hidden="false" customHeight="false" outlineLevel="0" collapsed="false">
      <c r="A887" s="12"/>
      <c r="B887" s="9" t="n">
        <v>1</v>
      </c>
      <c r="C887" s="10"/>
      <c r="D887" s="16" t="s">
        <v>102</v>
      </c>
      <c r="E887" s="16" t="s">
        <v>51</v>
      </c>
      <c r="F887" s="16" t="s">
        <v>52</v>
      </c>
      <c r="G887" s="16" t="s">
        <v>65</v>
      </c>
      <c r="H887" s="16" t="s">
        <v>66</v>
      </c>
      <c r="I887" s="16"/>
      <c r="J887" s="16"/>
      <c r="K887" s="16"/>
      <c r="L887" s="16"/>
      <c r="M887" s="16"/>
      <c r="N887" s="16" t="s">
        <v>67</v>
      </c>
      <c r="O887" s="16"/>
      <c r="P887" s="16" t="s">
        <v>262</v>
      </c>
      <c r="Q887" s="16" t="s">
        <v>262</v>
      </c>
      <c r="R887" s="16" t="s">
        <v>263</v>
      </c>
      <c r="S887" s="16" t="s">
        <v>264</v>
      </c>
      <c r="T887" s="16" t="s">
        <v>1769</v>
      </c>
      <c r="U887" s="16" t="s">
        <v>63</v>
      </c>
      <c r="V887" s="16" t="n">
        <v>0.0202</v>
      </c>
      <c r="W887" s="16"/>
      <c r="X887" s="16"/>
      <c r="Y887" s="16"/>
      <c r="Z887" s="16"/>
      <c r="AA887" s="16"/>
      <c r="AB887" s="16" t="n">
        <v>100000</v>
      </c>
      <c r="AC887" s="16" t="n">
        <v>100000</v>
      </c>
      <c r="AD887" s="16" t="n">
        <v>100000</v>
      </c>
      <c r="AE887" s="16" t="n">
        <v>100000</v>
      </c>
      <c r="AF887" s="16" t="n">
        <v>100000</v>
      </c>
      <c r="AG887" s="16" t="n">
        <v>100000</v>
      </c>
      <c r="AH887" s="16" t="n">
        <v>100000</v>
      </c>
      <c r="AI887" s="16" t="n">
        <v>100000</v>
      </c>
      <c r="AJ887" s="9" t="n">
        <f aca="false">X887*$V887</f>
        <v>0</v>
      </c>
      <c r="AK887" s="9" t="n">
        <f aca="false">Y887*$V887</f>
        <v>0</v>
      </c>
      <c r="AL887" s="9" t="n">
        <f aca="false">Z887*$V887</f>
        <v>0</v>
      </c>
      <c r="AM887" s="9" t="n">
        <f aca="false">AA887*$V887</f>
        <v>0</v>
      </c>
      <c r="AN887" s="9" t="n">
        <f aca="false">AB887*$V887</f>
        <v>2020</v>
      </c>
      <c r="AO887" s="9" t="n">
        <f aca="false">AC887*$V887</f>
        <v>2020</v>
      </c>
      <c r="AP887" s="9" t="n">
        <f aca="false">AD887*$V887</f>
        <v>2020</v>
      </c>
      <c r="AQ887" s="9" t="n">
        <f aca="false">AE887*$V887</f>
        <v>2020</v>
      </c>
      <c r="AR887" s="9" t="n">
        <f aca="false">AF887*$V887</f>
        <v>2020</v>
      </c>
      <c r="AS887" s="9" t="n">
        <f aca="false">AG887*$V887</f>
        <v>2020</v>
      </c>
      <c r="AT887" s="9" t="n">
        <f aca="false">AH887*$V887</f>
        <v>2020</v>
      </c>
      <c r="AU887" s="9" t="n">
        <f aca="false">AI887*$V887</f>
        <v>2020</v>
      </c>
      <c r="AV887" s="9" t="n">
        <f aca="false">SUM(X887:AI887)/1000</f>
        <v>800</v>
      </c>
      <c r="AW887" s="9" t="n">
        <f aca="false">SUM(AJ887:AU887)</f>
        <v>16160</v>
      </c>
      <c r="AX887" s="9" t="n">
        <f aca="false">IF(D887="INR",AW887/88.24,AW887)/1000000</f>
        <v>0.01616</v>
      </c>
    </row>
    <row r="888" s="2" customFormat="true" ht="14.25" hidden="false" customHeight="false" outlineLevel="0" collapsed="false">
      <c r="A888" s="12" t="s">
        <v>1770</v>
      </c>
      <c r="B888" s="16" t="n">
        <v>5</v>
      </c>
      <c r="C888" s="15"/>
      <c r="D888" s="16" t="s">
        <v>50</v>
      </c>
      <c r="E888" s="16" t="s">
        <v>51</v>
      </c>
      <c r="F888" s="16" t="s">
        <v>404</v>
      </c>
      <c r="G888" s="16" t="s">
        <v>1771</v>
      </c>
      <c r="H888" s="16" t="s">
        <v>1772</v>
      </c>
      <c r="I888" s="16" t="s">
        <v>105</v>
      </c>
      <c r="J888" s="16" t="s">
        <v>900</v>
      </c>
      <c r="K888" s="16"/>
      <c r="L888" s="16" t="s">
        <v>105</v>
      </c>
      <c r="M888" s="16" t="s">
        <v>900</v>
      </c>
      <c r="N888" s="16" t="s">
        <v>271</v>
      </c>
      <c r="O888" s="16" t="s">
        <v>94</v>
      </c>
      <c r="P888" s="16" t="s">
        <v>308</v>
      </c>
      <c r="Q888" s="16" t="s">
        <v>308</v>
      </c>
      <c r="R888" s="16" t="s">
        <v>309</v>
      </c>
      <c r="S888" s="16" t="s">
        <v>264</v>
      </c>
      <c r="T888" s="16" t="s">
        <v>1773</v>
      </c>
      <c r="U888" s="16" t="s">
        <v>73</v>
      </c>
      <c r="V888" s="15" t="n">
        <v>4.32</v>
      </c>
      <c r="W888" s="16" t="n">
        <v>3.83</v>
      </c>
      <c r="X888" s="16" t="n">
        <v>2500</v>
      </c>
      <c r="Y888" s="16" t="n">
        <v>2500</v>
      </c>
      <c r="Z888" s="16" t="n">
        <v>2500</v>
      </c>
      <c r="AA888" s="16" t="n">
        <v>2500</v>
      </c>
      <c r="AB888" s="16" t="n">
        <v>2500</v>
      </c>
      <c r="AC888" s="16" t="n">
        <v>2500</v>
      </c>
      <c r="AD888" s="16" t="n">
        <v>2500</v>
      </c>
      <c r="AE888" s="16" t="n">
        <v>2500</v>
      </c>
      <c r="AF888" s="16" t="n">
        <v>2500</v>
      </c>
      <c r="AG888" s="16" t="n">
        <v>2500</v>
      </c>
      <c r="AH888" s="16" t="n">
        <v>2500</v>
      </c>
      <c r="AI888" s="16" t="n">
        <v>2500</v>
      </c>
      <c r="AJ888" s="9" t="n">
        <f aca="false">X888*$V888</f>
        <v>10800</v>
      </c>
      <c r="AK888" s="9" t="n">
        <f aca="false">Y888*$V888</f>
        <v>10800</v>
      </c>
      <c r="AL888" s="9" t="n">
        <f aca="false">Z888*$V888</f>
        <v>10800</v>
      </c>
      <c r="AM888" s="9" t="n">
        <f aca="false">AA888*$V888</f>
        <v>10800</v>
      </c>
      <c r="AN888" s="9" t="n">
        <f aca="false">AB888*$V888</f>
        <v>10800</v>
      </c>
      <c r="AO888" s="9" t="n">
        <f aca="false">AC888*$V888</f>
        <v>10800</v>
      </c>
      <c r="AP888" s="9" t="n">
        <f aca="false">AD888*$V888</f>
        <v>10800</v>
      </c>
      <c r="AQ888" s="9" t="n">
        <f aca="false">AE888*$V888</f>
        <v>10800</v>
      </c>
      <c r="AR888" s="9" t="n">
        <f aca="false">AF888*$V888</f>
        <v>10800</v>
      </c>
      <c r="AS888" s="9" t="n">
        <f aca="false">AG888*$V888</f>
        <v>10800</v>
      </c>
      <c r="AT888" s="9" t="n">
        <f aca="false">AH888*$V888</f>
        <v>10800</v>
      </c>
      <c r="AU888" s="9" t="n">
        <f aca="false">AI888*$V888</f>
        <v>10800</v>
      </c>
      <c r="AV888" s="9" t="n">
        <f aca="false">SUM(X888:AI888)/1000</f>
        <v>30</v>
      </c>
      <c r="AW888" s="9" t="n">
        <f aca="false">SUM(AJ888:AU888)</f>
        <v>129600</v>
      </c>
      <c r="AX888" s="9" t="n">
        <f aca="false">IF(D888="INR",AW888/88.24,AW888)/1000000</f>
        <v>0.0014687216681777</v>
      </c>
    </row>
    <row r="889" s="2" customFormat="true" ht="16.4" hidden="false" customHeight="false" outlineLevel="0" collapsed="false">
      <c r="A889" s="35" t="s">
        <v>1774</v>
      </c>
      <c r="B889" s="9" t="n">
        <v>5</v>
      </c>
      <c r="C889" s="15"/>
      <c r="D889" s="16" t="s">
        <v>102</v>
      </c>
      <c r="E889" s="16" t="s">
        <v>51</v>
      </c>
      <c r="F889" s="16" t="s">
        <v>52</v>
      </c>
      <c r="G889" s="16" t="s">
        <v>65</v>
      </c>
      <c r="H889" s="9" t="s">
        <v>66</v>
      </c>
      <c r="I889" s="16" t="s">
        <v>105</v>
      </c>
      <c r="J889" s="16" t="s">
        <v>270</v>
      </c>
      <c r="K889" s="9"/>
      <c r="L889" s="16" t="s">
        <v>105</v>
      </c>
      <c r="M889" s="16" t="s">
        <v>270</v>
      </c>
      <c r="N889" s="16" t="s">
        <v>67</v>
      </c>
      <c r="O889" s="16" t="s">
        <v>68</v>
      </c>
      <c r="P889" s="9" t="s">
        <v>380</v>
      </c>
      <c r="Q889" s="9" t="s">
        <v>380</v>
      </c>
      <c r="R889" s="9" t="s">
        <v>442</v>
      </c>
      <c r="S889" s="9" t="s">
        <v>443</v>
      </c>
      <c r="T889" s="9" t="s">
        <v>1775</v>
      </c>
      <c r="U889" s="16" t="s">
        <v>73</v>
      </c>
      <c r="V889" s="36" t="n">
        <v>0.41</v>
      </c>
      <c r="W889" s="9" t="n">
        <v>0.39</v>
      </c>
      <c r="X889" s="22" t="n">
        <v>50000</v>
      </c>
      <c r="Y889" s="9" t="n">
        <v>50000</v>
      </c>
      <c r="Z889" s="9" t="n">
        <v>50000</v>
      </c>
      <c r="AA889" s="9" t="n">
        <v>50000</v>
      </c>
      <c r="AB889" s="9" t="n">
        <v>50000</v>
      </c>
      <c r="AC889" s="9" t="n">
        <v>50000</v>
      </c>
      <c r="AD889" s="23" t="n">
        <v>50000</v>
      </c>
      <c r="AE889" s="9" t="n">
        <v>50000</v>
      </c>
      <c r="AF889" s="9" t="n">
        <v>50000</v>
      </c>
      <c r="AG889" s="9" t="n">
        <v>50000</v>
      </c>
      <c r="AH889" s="9" t="n">
        <v>50000</v>
      </c>
      <c r="AI889" s="9" t="n">
        <v>50000</v>
      </c>
      <c r="AJ889" s="9" t="n">
        <f aca="false">X889*$V889</f>
        <v>20500</v>
      </c>
      <c r="AK889" s="9" t="n">
        <f aca="false">Y889*$V889</f>
        <v>20500</v>
      </c>
      <c r="AL889" s="9" t="n">
        <f aca="false">Z889*$V889</f>
        <v>20500</v>
      </c>
      <c r="AM889" s="9" t="n">
        <f aca="false">AA889*$V889</f>
        <v>20500</v>
      </c>
      <c r="AN889" s="9" t="n">
        <f aca="false">AB889*$V889</f>
        <v>20500</v>
      </c>
      <c r="AO889" s="9" t="n">
        <f aca="false">AC889*$V889</f>
        <v>20500</v>
      </c>
      <c r="AP889" s="9" t="n">
        <f aca="false">AD889*$V889</f>
        <v>20500</v>
      </c>
      <c r="AQ889" s="9" t="n">
        <f aca="false">AE889*$V889</f>
        <v>20500</v>
      </c>
      <c r="AR889" s="9" t="n">
        <f aca="false">AF889*$V889</f>
        <v>20500</v>
      </c>
      <c r="AS889" s="9" t="n">
        <f aca="false">AG889*$V889</f>
        <v>20500</v>
      </c>
      <c r="AT889" s="9" t="n">
        <f aca="false">AH889*$V889</f>
        <v>20500</v>
      </c>
      <c r="AU889" s="9" t="n">
        <f aca="false">AI889*$V889</f>
        <v>20500</v>
      </c>
      <c r="AV889" s="9" t="n">
        <f aca="false">SUM(X889:AI889)/1000</f>
        <v>600</v>
      </c>
      <c r="AW889" s="9" t="n">
        <f aca="false">SUM(AJ889:AU889)</f>
        <v>246000</v>
      </c>
      <c r="AX889" s="9" t="n">
        <f aca="false">IF(D889="INR",AW889/88.24,AW889)/1000000</f>
        <v>0.246</v>
      </c>
    </row>
    <row r="890" s="2" customFormat="true" ht="14.25" hidden="false" customHeight="false" outlineLevel="0" collapsed="false">
      <c r="A890" s="12"/>
      <c r="B890" s="16" t="n">
        <v>1</v>
      </c>
      <c r="C890" s="15"/>
      <c r="D890" s="16" t="s">
        <v>50</v>
      </c>
      <c r="E890" s="16" t="s">
        <v>51</v>
      </c>
      <c r="F890" s="16" t="s">
        <v>52</v>
      </c>
      <c r="G890" s="16" t="s">
        <v>506</v>
      </c>
      <c r="H890" s="16" t="s">
        <v>507</v>
      </c>
      <c r="I890" s="16"/>
      <c r="J890" s="16"/>
      <c r="K890" s="16"/>
      <c r="L890" s="16" t="s">
        <v>77</v>
      </c>
      <c r="M890" s="16" t="s">
        <v>325</v>
      </c>
      <c r="N890" s="16" t="s">
        <v>79</v>
      </c>
      <c r="O890" s="16" t="s">
        <v>58</v>
      </c>
      <c r="P890" s="16"/>
      <c r="Q890" s="16" t="s">
        <v>199</v>
      </c>
      <c r="R890" s="16"/>
      <c r="S890" s="16"/>
      <c r="T890" s="16" t="s">
        <v>1776</v>
      </c>
      <c r="U890" s="16" t="s">
        <v>73</v>
      </c>
      <c r="V890" s="16" t="n">
        <v>0.71</v>
      </c>
      <c r="W890" s="16"/>
      <c r="X890" s="16" t="n">
        <v>15000</v>
      </c>
      <c r="Y890" s="16" t="n">
        <v>15000</v>
      </c>
      <c r="Z890" s="16" t="n">
        <v>15000</v>
      </c>
      <c r="AA890" s="16" t="n">
        <v>15000</v>
      </c>
      <c r="AB890" s="16" t="n">
        <v>15000</v>
      </c>
      <c r="AC890" s="16" t="n">
        <v>15000</v>
      </c>
      <c r="AD890" s="16" t="n">
        <v>15000</v>
      </c>
      <c r="AE890" s="16" t="n">
        <v>15000</v>
      </c>
      <c r="AF890" s="16" t="n">
        <v>15000</v>
      </c>
      <c r="AG890" s="16" t="n">
        <v>15000</v>
      </c>
      <c r="AH890" s="16" t="n">
        <v>15000</v>
      </c>
      <c r="AI890" s="16" t="n">
        <v>15000</v>
      </c>
      <c r="AJ890" s="9" t="n">
        <f aca="false">X890*$V890</f>
        <v>10650</v>
      </c>
      <c r="AK890" s="9" t="n">
        <f aca="false">Y890*$V890</f>
        <v>10650</v>
      </c>
      <c r="AL890" s="9" t="n">
        <f aca="false">Z890*$V890</f>
        <v>10650</v>
      </c>
      <c r="AM890" s="9" t="n">
        <f aca="false">AA890*$V890</f>
        <v>10650</v>
      </c>
      <c r="AN890" s="9" t="n">
        <f aca="false">AB890*$V890</f>
        <v>10650</v>
      </c>
      <c r="AO890" s="9" t="n">
        <f aca="false">AC890*$V890</f>
        <v>10650</v>
      </c>
      <c r="AP890" s="9" t="n">
        <f aca="false">AD890*$V890</f>
        <v>10650</v>
      </c>
      <c r="AQ890" s="9" t="n">
        <f aca="false">AE890*$V890</f>
        <v>10650</v>
      </c>
      <c r="AR890" s="9" t="n">
        <f aca="false">AF890*$V890</f>
        <v>10650</v>
      </c>
      <c r="AS890" s="9" t="n">
        <f aca="false">AG890*$V890</f>
        <v>10650</v>
      </c>
      <c r="AT890" s="9" t="n">
        <f aca="false">AH890*$V890</f>
        <v>10650</v>
      </c>
      <c r="AU890" s="9" t="n">
        <f aca="false">AI890*$V890</f>
        <v>10650</v>
      </c>
      <c r="AV890" s="9" t="n">
        <f aca="false">SUM(X890:AI890)/1000</f>
        <v>180</v>
      </c>
      <c r="AW890" s="9" t="n">
        <f aca="false">SUM(AJ890:AU890)</f>
        <v>127800</v>
      </c>
      <c r="AX890" s="9" t="n">
        <f aca="false">IF(D890="INR",AW890/88.24,AW890)/1000000</f>
        <v>0.00144832275611967</v>
      </c>
    </row>
    <row r="891" s="2" customFormat="true" ht="14.25" hidden="false" customHeight="false" outlineLevel="0" collapsed="false">
      <c r="A891" s="35"/>
      <c r="B891" s="9" t="n">
        <v>1</v>
      </c>
      <c r="C891" s="10"/>
      <c r="D891" s="9" t="s">
        <v>102</v>
      </c>
      <c r="E891" s="9" t="s">
        <v>51</v>
      </c>
      <c r="F891" s="9" t="s">
        <v>52</v>
      </c>
      <c r="G891" s="9" t="s">
        <v>65</v>
      </c>
      <c r="H891" s="9" t="s">
        <v>66</v>
      </c>
      <c r="I891" s="9" t="s">
        <v>303</v>
      </c>
      <c r="J891" s="9" t="s">
        <v>806</v>
      </c>
      <c r="K891" s="9"/>
      <c r="L891" s="9" t="s">
        <v>298</v>
      </c>
      <c r="M891" s="9" t="s">
        <v>806</v>
      </c>
      <c r="N891" s="16" t="s">
        <v>67</v>
      </c>
      <c r="O891" s="9" t="s">
        <v>1777</v>
      </c>
      <c r="P891" s="9" t="s">
        <v>779</v>
      </c>
      <c r="Q891" s="9" t="s">
        <v>779</v>
      </c>
      <c r="R891" s="9" t="s">
        <v>330</v>
      </c>
      <c r="S891" s="9" t="s">
        <v>521</v>
      </c>
      <c r="T891" s="9" t="s">
        <v>1778</v>
      </c>
      <c r="U891" s="9" t="s">
        <v>63</v>
      </c>
      <c r="V891" s="9" t="n">
        <v>0.1</v>
      </c>
      <c r="W891" s="9" t="n">
        <v>0.1</v>
      </c>
      <c r="X891" s="9"/>
      <c r="Y891" s="9"/>
      <c r="Z891" s="9"/>
      <c r="AA891" s="9"/>
      <c r="AB891" s="9" t="n">
        <v>50000</v>
      </c>
      <c r="AC891" s="9" t="n">
        <v>50000</v>
      </c>
      <c r="AD891" s="9" t="n">
        <v>50000</v>
      </c>
      <c r="AE891" s="9" t="n">
        <v>50000</v>
      </c>
      <c r="AF891" s="9" t="n">
        <v>50000</v>
      </c>
      <c r="AG891" s="9" t="n">
        <v>100000</v>
      </c>
      <c r="AH891" s="9" t="n">
        <v>100000</v>
      </c>
      <c r="AI891" s="9" t="n">
        <v>100000</v>
      </c>
      <c r="AJ891" s="9" t="n">
        <f aca="false">X891*$V891</f>
        <v>0</v>
      </c>
      <c r="AK891" s="9" t="n">
        <f aca="false">Y891*$V891</f>
        <v>0</v>
      </c>
      <c r="AL891" s="9" t="n">
        <f aca="false">Z891*$V891</f>
        <v>0</v>
      </c>
      <c r="AM891" s="9" t="n">
        <f aca="false">AA891*$V891</f>
        <v>0</v>
      </c>
      <c r="AN891" s="9" t="n">
        <f aca="false">AB891*$V891</f>
        <v>5000</v>
      </c>
      <c r="AO891" s="9" t="n">
        <f aca="false">AC891*$V891</f>
        <v>5000</v>
      </c>
      <c r="AP891" s="9" t="n">
        <f aca="false">AD891*$V891</f>
        <v>5000</v>
      </c>
      <c r="AQ891" s="9" t="n">
        <f aca="false">AE891*$V891</f>
        <v>5000</v>
      </c>
      <c r="AR891" s="9" t="n">
        <f aca="false">AF891*$V891</f>
        <v>5000</v>
      </c>
      <c r="AS891" s="9" t="n">
        <f aca="false">AG891*$V891</f>
        <v>10000</v>
      </c>
      <c r="AT891" s="9" t="n">
        <f aca="false">AH891*$V891</f>
        <v>10000</v>
      </c>
      <c r="AU891" s="9" t="n">
        <f aca="false">AI891*$V891</f>
        <v>10000</v>
      </c>
      <c r="AV891" s="9" t="n">
        <f aca="false">SUM(X891:AI891)/1000</f>
        <v>550</v>
      </c>
      <c r="AW891" s="9" t="n">
        <f aca="false">SUM(AJ891:AU891)</f>
        <v>55000</v>
      </c>
      <c r="AX891" s="9" t="n">
        <f aca="false">IF(D891="INR",AW891/88.24,AW891)/1000000</f>
        <v>0.055</v>
      </c>
      <c r="AY891" s="2" t="s">
        <v>1779</v>
      </c>
    </row>
    <row r="892" s="2" customFormat="true" ht="14.25" hidden="false" customHeight="false" outlineLevel="0" collapsed="false">
      <c r="A892" s="12" t="s">
        <v>1780</v>
      </c>
      <c r="B892" s="16" t="n">
        <v>5</v>
      </c>
      <c r="C892" s="15"/>
      <c r="D892" s="16" t="s">
        <v>50</v>
      </c>
      <c r="E892" s="16" t="s">
        <v>51</v>
      </c>
      <c r="F892" s="16" t="s">
        <v>52</v>
      </c>
      <c r="G892" s="16" t="s">
        <v>388</v>
      </c>
      <c r="H892" s="16" t="s">
        <v>389</v>
      </c>
      <c r="I892" s="16" t="s">
        <v>260</v>
      </c>
      <c r="J892" s="16" t="s">
        <v>276</v>
      </c>
      <c r="K892" s="16"/>
      <c r="L892" s="16" t="s">
        <v>260</v>
      </c>
      <c r="M892" s="16" t="s">
        <v>276</v>
      </c>
      <c r="N892" s="16" t="s">
        <v>93</v>
      </c>
      <c r="O892" s="16" t="s">
        <v>58</v>
      </c>
      <c r="P892" s="16" t="s">
        <v>308</v>
      </c>
      <c r="Q892" s="16" t="s">
        <v>308</v>
      </c>
      <c r="R892" s="16" t="s">
        <v>309</v>
      </c>
      <c r="S892" s="16" t="s">
        <v>264</v>
      </c>
      <c r="T892" s="16" t="s">
        <v>1144</v>
      </c>
      <c r="U892" s="16" t="s">
        <v>73</v>
      </c>
      <c r="V892" s="16" t="n">
        <v>0.7</v>
      </c>
      <c r="W892" s="16" t="n">
        <v>0.61</v>
      </c>
      <c r="X892" s="16" t="n">
        <v>15000</v>
      </c>
      <c r="Y892" s="16" t="n">
        <v>15000</v>
      </c>
      <c r="Z892" s="16" t="n">
        <v>15000</v>
      </c>
      <c r="AA892" s="16" t="n">
        <v>15000</v>
      </c>
      <c r="AB892" s="16" t="n">
        <v>15000</v>
      </c>
      <c r="AC892" s="16" t="n">
        <v>15000</v>
      </c>
      <c r="AD892" s="16" t="n">
        <v>15000</v>
      </c>
      <c r="AE892" s="16" t="n">
        <v>15000</v>
      </c>
      <c r="AF892" s="16" t="n">
        <v>15000</v>
      </c>
      <c r="AG892" s="16" t="n">
        <v>15000</v>
      </c>
      <c r="AH892" s="16" t="n">
        <v>15000</v>
      </c>
      <c r="AI892" s="16" t="n">
        <v>15000</v>
      </c>
      <c r="AJ892" s="9" t="n">
        <f aca="false">X892*$V892</f>
        <v>10500</v>
      </c>
      <c r="AK892" s="9" t="n">
        <f aca="false">Y892*$V892</f>
        <v>10500</v>
      </c>
      <c r="AL892" s="9" t="n">
        <f aca="false">Z892*$V892</f>
        <v>10500</v>
      </c>
      <c r="AM892" s="9" t="n">
        <f aca="false">AA892*$V892</f>
        <v>10500</v>
      </c>
      <c r="AN892" s="9" t="n">
        <f aca="false">AB892*$V892</f>
        <v>10500</v>
      </c>
      <c r="AO892" s="9" t="n">
        <f aca="false">AC892*$V892</f>
        <v>10500</v>
      </c>
      <c r="AP892" s="9" t="n">
        <f aca="false">AD892*$V892</f>
        <v>10500</v>
      </c>
      <c r="AQ892" s="9" t="n">
        <f aca="false">AE892*$V892</f>
        <v>10500</v>
      </c>
      <c r="AR892" s="9" t="n">
        <f aca="false">AF892*$V892</f>
        <v>10500</v>
      </c>
      <c r="AS892" s="9" t="n">
        <f aca="false">AG892*$V892</f>
        <v>10500</v>
      </c>
      <c r="AT892" s="9" t="n">
        <f aca="false">AH892*$V892</f>
        <v>10500</v>
      </c>
      <c r="AU892" s="9" t="n">
        <f aca="false">AI892*$V892</f>
        <v>10500</v>
      </c>
      <c r="AV892" s="9" t="n">
        <f aca="false">SUM(X892:AI892)/1000</f>
        <v>180</v>
      </c>
      <c r="AW892" s="9" t="n">
        <f aca="false">SUM(AJ892:AU892)</f>
        <v>126000</v>
      </c>
      <c r="AX892" s="9" t="n">
        <f aca="false">IF(D892="INR",AW892/88.24,AW892)/1000000</f>
        <v>0.00142792384406165</v>
      </c>
    </row>
    <row r="893" s="2" customFormat="true" ht="14.25" hidden="false" customHeight="false" outlineLevel="0" collapsed="false">
      <c r="A893" s="28"/>
      <c r="B893" s="16" t="n">
        <v>1</v>
      </c>
      <c r="C893" s="16"/>
      <c r="D893" s="16" t="s">
        <v>102</v>
      </c>
      <c r="E893" s="16"/>
      <c r="F893" s="16" t="s">
        <v>52</v>
      </c>
      <c r="G893" s="16" t="s">
        <v>65</v>
      </c>
      <c r="H893" s="16" t="s">
        <v>66</v>
      </c>
      <c r="I893" s="16"/>
      <c r="J893" s="16"/>
      <c r="K893" s="16"/>
      <c r="L893" s="16"/>
      <c r="M893" s="16"/>
      <c r="N893" s="16" t="s">
        <v>67</v>
      </c>
      <c r="O893" s="16" t="s">
        <v>68</v>
      </c>
      <c r="P893" s="16" t="s">
        <v>182</v>
      </c>
      <c r="Q893" s="16" t="s">
        <v>182</v>
      </c>
      <c r="R893" s="16"/>
      <c r="S893" s="16"/>
      <c r="T893" s="16" t="s">
        <v>1781</v>
      </c>
      <c r="U893" s="16" t="s">
        <v>63</v>
      </c>
      <c r="V893" s="16" t="n">
        <v>0.0016</v>
      </c>
      <c r="W893" s="16"/>
      <c r="X893" s="16" t="n">
        <v>25000</v>
      </c>
      <c r="Y893" s="16" t="n">
        <v>25000</v>
      </c>
      <c r="Z893" s="16" t="n">
        <v>25000</v>
      </c>
      <c r="AA893" s="16" t="n">
        <v>25000</v>
      </c>
      <c r="AB893" s="16" t="n">
        <v>25000</v>
      </c>
      <c r="AC893" s="16" t="n">
        <v>25000</v>
      </c>
      <c r="AD893" s="16" t="n">
        <v>25000</v>
      </c>
      <c r="AE893" s="16" t="n">
        <v>25000</v>
      </c>
      <c r="AF893" s="16" t="n">
        <v>25000</v>
      </c>
      <c r="AG893" s="16" t="n">
        <v>25000</v>
      </c>
      <c r="AH893" s="16" t="n">
        <v>25000</v>
      </c>
      <c r="AI893" s="16" t="n">
        <v>25000</v>
      </c>
      <c r="AJ893" s="9" t="n">
        <f aca="false">X893*$V893</f>
        <v>40</v>
      </c>
      <c r="AK893" s="9" t="n">
        <f aca="false">Y893*$V893</f>
        <v>40</v>
      </c>
      <c r="AL893" s="9" t="n">
        <f aca="false">Z893*$V893</f>
        <v>40</v>
      </c>
      <c r="AM893" s="9" t="n">
        <f aca="false">AA893*$V893</f>
        <v>40</v>
      </c>
      <c r="AN893" s="9" t="n">
        <f aca="false">AB893*$V893</f>
        <v>40</v>
      </c>
      <c r="AO893" s="9" t="n">
        <f aca="false">AC893*$V893</f>
        <v>40</v>
      </c>
      <c r="AP893" s="9" t="n">
        <f aca="false">AD893*$V893</f>
        <v>40</v>
      </c>
      <c r="AQ893" s="9" t="n">
        <f aca="false">AE893*$V893</f>
        <v>40</v>
      </c>
      <c r="AR893" s="9" t="n">
        <f aca="false">AF893*$V893</f>
        <v>40</v>
      </c>
      <c r="AS893" s="9" t="n">
        <f aca="false">AG893*$V893</f>
        <v>40</v>
      </c>
      <c r="AT893" s="9" t="n">
        <f aca="false">AH893*$V893</f>
        <v>40</v>
      </c>
      <c r="AU893" s="9" t="n">
        <f aca="false">AI893*$V893</f>
        <v>40</v>
      </c>
      <c r="AV893" s="9" t="n">
        <f aca="false">SUM(X893:AI893)/1000</f>
        <v>300</v>
      </c>
      <c r="AW893" s="9" t="n">
        <f aca="false">SUM(AJ893:AU893)</f>
        <v>480</v>
      </c>
      <c r="AX893" s="9" t="n">
        <f aca="false">IF(D893="INR",AW893/88.24,AW893)/1000000</f>
        <v>0.00048</v>
      </c>
    </row>
    <row r="894" s="2" customFormat="true" ht="14.25" hidden="false" customHeight="false" outlineLevel="0" collapsed="false">
      <c r="A894" s="28"/>
      <c r="B894" s="16" t="n">
        <v>1</v>
      </c>
      <c r="C894" s="16"/>
      <c r="D894" s="16" t="s">
        <v>102</v>
      </c>
      <c r="E894" s="16"/>
      <c r="F894" s="16" t="s">
        <v>52</v>
      </c>
      <c r="G894" s="16" t="s">
        <v>65</v>
      </c>
      <c r="H894" s="16" t="s">
        <v>66</v>
      </c>
      <c r="I894" s="16"/>
      <c r="J894" s="16"/>
      <c r="K894" s="16"/>
      <c r="L894" s="16"/>
      <c r="M894" s="16"/>
      <c r="N894" s="16" t="s">
        <v>67</v>
      </c>
      <c r="O894" s="16" t="s">
        <v>68</v>
      </c>
      <c r="P894" s="16" t="s">
        <v>182</v>
      </c>
      <c r="Q894" s="16" t="s">
        <v>182</v>
      </c>
      <c r="R894" s="16"/>
      <c r="S894" s="16"/>
      <c r="T894" s="16" t="s">
        <v>1782</v>
      </c>
      <c r="U894" s="16" t="s">
        <v>63</v>
      </c>
      <c r="V894" s="16" t="n">
        <v>0.0016</v>
      </c>
      <c r="W894" s="16"/>
      <c r="X894" s="16" t="n">
        <v>25000</v>
      </c>
      <c r="Y894" s="16" t="n">
        <v>25000</v>
      </c>
      <c r="Z894" s="16" t="n">
        <v>25000</v>
      </c>
      <c r="AA894" s="16" t="n">
        <v>25000</v>
      </c>
      <c r="AB894" s="16" t="n">
        <v>25000</v>
      </c>
      <c r="AC894" s="16" t="n">
        <v>25000</v>
      </c>
      <c r="AD894" s="16" t="n">
        <v>25000</v>
      </c>
      <c r="AE894" s="16" t="n">
        <v>25000</v>
      </c>
      <c r="AF894" s="16" t="n">
        <v>25000</v>
      </c>
      <c r="AG894" s="16" t="n">
        <v>25000</v>
      </c>
      <c r="AH894" s="16" t="n">
        <v>25000</v>
      </c>
      <c r="AI894" s="16" t="n">
        <v>25000</v>
      </c>
      <c r="AJ894" s="9" t="n">
        <f aca="false">X894*$V894</f>
        <v>40</v>
      </c>
      <c r="AK894" s="9" t="n">
        <f aca="false">Y894*$V894</f>
        <v>40</v>
      </c>
      <c r="AL894" s="9" t="n">
        <f aca="false">Z894*$V894</f>
        <v>40</v>
      </c>
      <c r="AM894" s="9" t="n">
        <f aca="false">AA894*$V894</f>
        <v>40</v>
      </c>
      <c r="AN894" s="9" t="n">
        <f aca="false">AB894*$V894</f>
        <v>40</v>
      </c>
      <c r="AO894" s="9" t="n">
        <f aca="false">AC894*$V894</f>
        <v>40</v>
      </c>
      <c r="AP894" s="9" t="n">
        <f aca="false">AD894*$V894</f>
        <v>40</v>
      </c>
      <c r="AQ894" s="9" t="n">
        <f aca="false">AE894*$V894</f>
        <v>40</v>
      </c>
      <c r="AR894" s="9" t="n">
        <f aca="false">AF894*$V894</f>
        <v>40</v>
      </c>
      <c r="AS894" s="9" t="n">
        <f aca="false">AG894*$V894</f>
        <v>40</v>
      </c>
      <c r="AT894" s="9" t="n">
        <f aca="false">AH894*$V894</f>
        <v>40</v>
      </c>
      <c r="AU894" s="9" t="n">
        <f aca="false">AI894*$V894</f>
        <v>40</v>
      </c>
      <c r="AV894" s="9" t="n">
        <f aca="false">SUM(X894:AI894)/1000</f>
        <v>300</v>
      </c>
      <c r="AW894" s="9" t="n">
        <f aca="false">SUM(AJ894:AU894)</f>
        <v>480</v>
      </c>
      <c r="AX894" s="9" t="n">
        <f aca="false">IF(D894="INR",AW894/88.24,AW894)/1000000</f>
        <v>0.00048</v>
      </c>
    </row>
    <row r="895" s="2" customFormat="true" ht="14.25" hidden="false" customHeight="false" outlineLevel="0" collapsed="false">
      <c r="A895" s="28"/>
      <c r="B895" s="16" t="n">
        <v>1</v>
      </c>
      <c r="C895" s="16"/>
      <c r="D895" s="16" t="s">
        <v>102</v>
      </c>
      <c r="E895" s="16"/>
      <c r="F895" s="16" t="s">
        <v>52</v>
      </c>
      <c r="G895" s="16" t="s">
        <v>65</v>
      </c>
      <c r="H895" s="16" t="s">
        <v>66</v>
      </c>
      <c r="I895" s="16"/>
      <c r="J895" s="16"/>
      <c r="K895" s="16"/>
      <c r="L895" s="16"/>
      <c r="M895" s="16"/>
      <c r="N895" s="16" t="s">
        <v>67</v>
      </c>
      <c r="O895" s="16" t="s">
        <v>68</v>
      </c>
      <c r="P895" s="16" t="s">
        <v>182</v>
      </c>
      <c r="Q895" s="16" t="s">
        <v>182</v>
      </c>
      <c r="R895" s="16"/>
      <c r="S895" s="16"/>
      <c r="T895" s="16" t="s">
        <v>1783</v>
      </c>
      <c r="U895" s="16" t="s">
        <v>63</v>
      </c>
      <c r="V895" s="16" t="n">
        <v>0.00056</v>
      </c>
      <c r="W895" s="16"/>
      <c r="X895" s="16" t="n">
        <v>25000</v>
      </c>
      <c r="Y895" s="16" t="n">
        <v>25000</v>
      </c>
      <c r="Z895" s="16" t="n">
        <v>25000</v>
      </c>
      <c r="AA895" s="16" t="n">
        <v>25000</v>
      </c>
      <c r="AB895" s="16" t="n">
        <v>25000</v>
      </c>
      <c r="AC895" s="16" t="n">
        <v>25000</v>
      </c>
      <c r="AD895" s="16" t="n">
        <v>25000</v>
      </c>
      <c r="AE895" s="16" t="n">
        <v>25000</v>
      </c>
      <c r="AF895" s="16" t="n">
        <v>25000</v>
      </c>
      <c r="AG895" s="16" t="n">
        <v>25000</v>
      </c>
      <c r="AH895" s="16" t="n">
        <v>25000</v>
      </c>
      <c r="AI895" s="16" t="n">
        <v>25000</v>
      </c>
      <c r="AJ895" s="9" t="n">
        <f aca="false">X895*$V895</f>
        <v>14</v>
      </c>
      <c r="AK895" s="9" t="n">
        <f aca="false">Y895*$V895</f>
        <v>14</v>
      </c>
      <c r="AL895" s="9" t="n">
        <f aca="false">Z895*$V895</f>
        <v>14</v>
      </c>
      <c r="AM895" s="9" t="n">
        <f aca="false">AA895*$V895</f>
        <v>14</v>
      </c>
      <c r="AN895" s="9" t="n">
        <f aca="false">AB895*$V895</f>
        <v>14</v>
      </c>
      <c r="AO895" s="9" t="n">
        <f aca="false">AC895*$V895</f>
        <v>14</v>
      </c>
      <c r="AP895" s="9" t="n">
        <f aca="false">AD895*$V895</f>
        <v>14</v>
      </c>
      <c r="AQ895" s="9" t="n">
        <f aca="false">AE895*$V895</f>
        <v>14</v>
      </c>
      <c r="AR895" s="9" t="n">
        <f aca="false">AF895*$V895</f>
        <v>14</v>
      </c>
      <c r="AS895" s="9" t="n">
        <f aca="false">AG895*$V895</f>
        <v>14</v>
      </c>
      <c r="AT895" s="9" t="n">
        <f aca="false">AH895*$V895</f>
        <v>14</v>
      </c>
      <c r="AU895" s="9" t="n">
        <f aca="false">AI895*$V895</f>
        <v>14</v>
      </c>
      <c r="AV895" s="9" t="n">
        <f aca="false">SUM(X895:AI895)/1000</f>
        <v>300</v>
      </c>
      <c r="AW895" s="9" t="n">
        <f aca="false">SUM(AJ895:AU895)</f>
        <v>168</v>
      </c>
      <c r="AX895" s="9" t="n">
        <f aca="false">IF(D895="INR",AW895/88.24,AW895)/1000000</f>
        <v>0.000168</v>
      </c>
    </row>
    <row r="896" s="2" customFormat="true" ht="14.25" hidden="false" customHeight="false" outlineLevel="0" collapsed="false">
      <c r="A896" s="28"/>
      <c r="B896" s="16" t="n">
        <v>1</v>
      </c>
      <c r="C896" s="16"/>
      <c r="D896" s="16" t="s">
        <v>102</v>
      </c>
      <c r="E896" s="16"/>
      <c r="F896" s="16" t="s">
        <v>52</v>
      </c>
      <c r="G896" s="16" t="s">
        <v>65</v>
      </c>
      <c r="H896" s="16" t="s">
        <v>66</v>
      </c>
      <c r="I896" s="16"/>
      <c r="J896" s="16"/>
      <c r="K896" s="16"/>
      <c r="L896" s="16"/>
      <c r="M896" s="16"/>
      <c r="N896" s="16" t="s">
        <v>67</v>
      </c>
      <c r="O896" s="16" t="s">
        <v>68</v>
      </c>
      <c r="P896" s="16" t="s">
        <v>182</v>
      </c>
      <c r="Q896" s="16" t="s">
        <v>182</v>
      </c>
      <c r="R896" s="16"/>
      <c r="S896" s="16"/>
      <c r="T896" s="16" t="s">
        <v>1784</v>
      </c>
      <c r="U896" s="16" t="s">
        <v>63</v>
      </c>
      <c r="V896" s="16" t="n">
        <v>0.00038</v>
      </c>
      <c r="W896" s="16"/>
      <c r="X896" s="16" t="n">
        <v>25000</v>
      </c>
      <c r="Y896" s="16" t="n">
        <v>25000</v>
      </c>
      <c r="Z896" s="16" t="n">
        <v>25000</v>
      </c>
      <c r="AA896" s="16" t="n">
        <v>25000</v>
      </c>
      <c r="AB896" s="16" t="n">
        <v>25000</v>
      </c>
      <c r="AC896" s="16" t="n">
        <v>25000</v>
      </c>
      <c r="AD896" s="16" t="n">
        <v>25000</v>
      </c>
      <c r="AE896" s="16" t="n">
        <v>25000</v>
      </c>
      <c r="AF896" s="16" t="n">
        <v>25000</v>
      </c>
      <c r="AG896" s="16" t="n">
        <v>25000</v>
      </c>
      <c r="AH896" s="16" t="n">
        <v>25000</v>
      </c>
      <c r="AI896" s="16" t="n">
        <v>25000</v>
      </c>
      <c r="AJ896" s="9" t="n">
        <f aca="false">X896*$V896</f>
        <v>9.5</v>
      </c>
      <c r="AK896" s="9" t="n">
        <f aca="false">Y896*$V896</f>
        <v>9.5</v>
      </c>
      <c r="AL896" s="9" t="n">
        <f aca="false">Z896*$V896</f>
        <v>9.5</v>
      </c>
      <c r="AM896" s="9" t="n">
        <f aca="false">AA896*$V896</f>
        <v>9.5</v>
      </c>
      <c r="AN896" s="9" t="n">
        <f aca="false">AB896*$V896</f>
        <v>9.5</v>
      </c>
      <c r="AO896" s="9" t="n">
        <f aca="false">AC896*$V896</f>
        <v>9.5</v>
      </c>
      <c r="AP896" s="9" t="n">
        <f aca="false">AD896*$V896</f>
        <v>9.5</v>
      </c>
      <c r="AQ896" s="9" t="n">
        <f aca="false">AE896*$V896</f>
        <v>9.5</v>
      </c>
      <c r="AR896" s="9" t="n">
        <f aca="false">AF896*$V896</f>
        <v>9.5</v>
      </c>
      <c r="AS896" s="9" t="n">
        <f aca="false">AG896*$V896</f>
        <v>9.5</v>
      </c>
      <c r="AT896" s="9" t="n">
        <f aca="false">AH896*$V896</f>
        <v>9.5</v>
      </c>
      <c r="AU896" s="9" t="n">
        <f aca="false">AI896*$V896</f>
        <v>9.5</v>
      </c>
      <c r="AV896" s="9" t="n">
        <f aca="false">SUM(X896:AI896)/1000</f>
        <v>300</v>
      </c>
      <c r="AW896" s="9" t="n">
        <f aca="false">SUM(AJ896:AU896)</f>
        <v>114</v>
      </c>
      <c r="AX896" s="9" t="n">
        <f aca="false">IF(D896="INR",AW896/88.24,AW896)/1000000</f>
        <v>0.000114</v>
      </c>
    </row>
    <row r="897" s="2" customFormat="true" ht="14.25" hidden="false" customHeight="false" outlineLevel="0" collapsed="false">
      <c r="A897" s="35"/>
      <c r="B897" s="9" t="n">
        <v>1</v>
      </c>
      <c r="C897" s="15"/>
      <c r="D897" s="16" t="s">
        <v>102</v>
      </c>
      <c r="E897" s="16"/>
      <c r="F897" s="16" t="s">
        <v>52</v>
      </c>
      <c r="G897" s="16" t="s">
        <v>65</v>
      </c>
      <c r="H897" s="9" t="s">
        <v>66</v>
      </c>
      <c r="I897" s="16"/>
      <c r="J897" s="16"/>
      <c r="K897" s="9"/>
      <c r="L897" s="16"/>
      <c r="M897" s="16"/>
      <c r="N897" s="16" t="s">
        <v>67</v>
      </c>
      <c r="O897" s="16" t="s">
        <v>68</v>
      </c>
      <c r="P897" s="9" t="s">
        <v>110</v>
      </c>
      <c r="Q897" s="9" t="s">
        <v>110</v>
      </c>
      <c r="R897" s="9"/>
      <c r="S897" s="9"/>
      <c r="T897" s="9" t="s">
        <v>624</v>
      </c>
      <c r="U897" s="16" t="s">
        <v>63</v>
      </c>
      <c r="V897" s="36" t="n">
        <v>0.75</v>
      </c>
      <c r="W897" s="9"/>
      <c r="X897" s="22"/>
      <c r="Y897" s="9"/>
      <c r="Z897" s="9"/>
      <c r="AA897" s="9"/>
      <c r="AB897" s="9" t="n">
        <v>10000</v>
      </c>
      <c r="AC897" s="9" t="n">
        <v>10000</v>
      </c>
      <c r="AD897" s="23" t="n">
        <v>10000</v>
      </c>
      <c r="AE897" s="9" t="n">
        <v>10000</v>
      </c>
      <c r="AF897" s="9" t="n">
        <v>10000</v>
      </c>
      <c r="AG897" s="9" t="n">
        <v>50000</v>
      </c>
      <c r="AH897" s="9" t="n">
        <v>50000</v>
      </c>
      <c r="AI897" s="9" t="n">
        <v>50000</v>
      </c>
      <c r="AJ897" s="9" t="n">
        <f aca="false">X897*$V897</f>
        <v>0</v>
      </c>
      <c r="AK897" s="9" t="n">
        <f aca="false">Y897*$V897</f>
        <v>0</v>
      </c>
      <c r="AL897" s="9" t="n">
        <f aca="false">Z897*$V897</f>
        <v>0</v>
      </c>
      <c r="AM897" s="9" t="n">
        <f aca="false">AA897*$V897</f>
        <v>0</v>
      </c>
      <c r="AN897" s="9" t="n">
        <f aca="false">AB897*$V897</f>
        <v>7500</v>
      </c>
      <c r="AO897" s="9" t="n">
        <f aca="false">AC897*$V897</f>
        <v>7500</v>
      </c>
      <c r="AP897" s="9" t="n">
        <f aca="false">AD897*$V897</f>
        <v>7500</v>
      </c>
      <c r="AQ897" s="9" t="n">
        <f aca="false">AE897*$V897</f>
        <v>7500</v>
      </c>
      <c r="AR897" s="9" t="n">
        <f aca="false">AF897*$V897</f>
        <v>7500</v>
      </c>
      <c r="AS897" s="9" t="n">
        <f aca="false">AG897*$V897</f>
        <v>37500</v>
      </c>
      <c r="AT897" s="9" t="n">
        <f aca="false">AH897*$V897</f>
        <v>37500</v>
      </c>
      <c r="AU897" s="9" t="n">
        <f aca="false">AI897*$V897</f>
        <v>37500</v>
      </c>
      <c r="AV897" s="9" t="n">
        <f aca="false">SUM(X897:AI897)/1000</f>
        <v>200</v>
      </c>
      <c r="AW897" s="9" t="n">
        <f aca="false">SUM(AJ897:AU897)</f>
        <v>150000</v>
      </c>
      <c r="AX897" s="9" t="n">
        <f aca="false">IF(D897="INR",AW897/88.24,AW897)/1000000</f>
        <v>0.15</v>
      </c>
    </row>
    <row r="898" s="2" customFormat="true" ht="14.25" hidden="false" customHeight="false" outlineLevel="0" collapsed="false">
      <c r="A898" s="12"/>
      <c r="B898" s="16" t="n">
        <v>1</v>
      </c>
      <c r="C898" s="15"/>
      <c r="D898" s="16" t="s">
        <v>102</v>
      </c>
      <c r="E898" s="16"/>
      <c r="F898" s="16" t="s">
        <v>52</v>
      </c>
      <c r="G898" s="16" t="s">
        <v>65</v>
      </c>
      <c r="H898" s="16" t="s">
        <v>66</v>
      </c>
      <c r="I898" s="16"/>
      <c r="J898" s="16"/>
      <c r="K898" s="16"/>
      <c r="L898" s="16"/>
      <c r="M898" s="16"/>
      <c r="N898" s="16" t="s">
        <v>67</v>
      </c>
      <c r="O898" s="16" t="s">
        <v>68</v>
      </c>
      <c r="P898" s="16" t="s">
        <v>110</v>
      </c>
      <c r="Q898" s="16" t="s">
        <v>110</v>
      </c>
      <c r="R898" s="16"/>
      <c r="S898" s="16"/>
      <c r="T898" s="16" t="s">
        <v>1785</v>
      </c>
      <c r="U898" s="16" t="s">
        <v>63</v>
      </c>
      <c r="V898" s="16" t="n">
        <v>0.2</v>
      </c>
      <c r="W898" s="16"/>
      <c r="X898" s="16"/>
      <c r="Y898" s="16"/>
      <c r="Z898" s="16"/>
      <c r="AA898" s="16"/>
      <c r="AB898" s="16" t="n">
        <v>10000</v>
      </c>
      <c r="AC898" s="16" t="n">
        <v>10000</v>
      </c>
      <c r="AD898" s="16" t="n">
        <v>10000</v>
      </c>
      <c r="AE898" s="16" t="n">
        <v>10000</v>
      </c>
      <c r="AF898" s="16" t="n">
        <v>10000</v>
      </c>
      <c r="AG898" s="16" t="n">
        <v>50000</v>
      </c>
      <c r="AH898" s="16" t="n">
        <v>50000</v>
      </c>
      <c r="AI898" s="16" t="n">
        <v>50000</v>
      </c>
      <c r="AJ898" s="9" t="n">
        <f aca="false">X898*$V898</f>
        <v>0</v>
      </c>
      <c r="AK898" s="9" t="n">
        <f aca="false">Y898*$V898</f>
        <v>0</v>
      </c>
      <c r="AL898" s="9" t="n">
        <f aca="false">Z898*$V898</f>
        <v>0</v>
      </c>
      <c r="AM898" s="9" t="n">
        <f aca="false">AA898*$V898</f>
        <v>0</v>
      </c>
      <c r="AN898" s="9" t="n">
        <f aca="false">AB898*$V898</f>
        <v>2000</v>
      </c>
      <c r="AO898" s="9" t="n">
        <f aca="false">AC898*$V898</f>
        <v>2000</v>
      </c>
      <c r="AP898" s="9" t="n">
        <f aca="false">AD898*$V898</f>
        <v>2000</v>
      </c>
      <c r="AQ898" s="9" t="n">
        <f aca="false">AE898*$V898</f>
        <v>2000</v>
      </c>
      <c r="AR898" s="9" t="n">
        <f aca="false">AF898*$V898</f>
        <v>2000</v>
      </c>
      <c r="AS898" s="9" t="n">
        <f aca="false">AG898*$V898</f>
        <v>10000</v>
      </c>
      <c r="AT898" s="9" t="n">
        <f aca="false">AH898*$V898</f>
        <v>10000</v>
      </c>
      <c r="AU898" s="9" t="n">
        <f aca="false">AI898*$V898</f>
        <v>10000</v>
      </c>
      <c r="AV898" s="9" t="n">
        <f aca="false">SUM(X898:AI898)/1000</f>
        <v>200</v>
      </c>
      <c r="AW898" s="9" t="n">
        <f aca="false">SUM(AJ898:AU898)</f>
        <v>40000</v>
      </c>
      <c r="AX898" s="9" t="n">
        <f aca="false">IF(D898="INR",AW898/88.24,AW898)/1000000</f>
        <v>0.04</v>
      </c>
    </row>
    <row r="899" s="2" customFormat="true" ht="14.25" hidden="false" customHeight="false" outlineLevel="0" collapsed="false">
      <c r="A899" s="12"/>
      <c r="B899" s="16" t="n">
        <v>1</v>
      </c>
      <c r="C899" s="15"/>
      <c r="D899" s="16" t="s">
        <v>102</v>
      </c>
      <c r="E899" s="16"/>
      <c r="F899" s="16" t="s">
        <v>52</v>
      </c>
      <c r="G899" s="16" t="s">
        <v>65</v>
      </c>
      <c r="H899" s="16" t="s">
        <v>66</v>
      </c>
      <c r="I899" s="16"/>
      <c r="J899" s="16"/>
      <c r="K899" s="16"/>
      <c r="L899" s="16"/>
      <c r="M899" s="16"/>
      <c r="N899" s="16" t="s">
        <v>67</v>
      </c>
      <c r="O899" s="16"/>
      <c r="P899" s="16" t="s">
        <v>859</v>
      </c>
      <c r="Q899" s="16" t="s">
        <v>859</v>
      </c>
      <c r="R899" s="16"/>
      <c r="S899" s="16"/>
      <c r="T899" s="16" t="s">
        <v>1786</v>
      </c>
      <c r="U899" s="16" t="s">
        <v>63</v>
      </c>
      <c r="V899" s="16" t="n">
        <v>0.079</v>
      </c>
      <c r="W899" s="16"/>
      <c r="X899" s="16" t="n">
        <v>50000</v>
      </c>
      <c r="Y899" s="16" t="n">
        <v>50000</v>
      </c>
      <c r="Z899" s="16" t="n">
        <v>50000</v>
      </c>
      <c r="AA899" s="16" t="n">
        <v>50000</v>
      </c>
      <c r="AB899" s="16"/>
      <c r="AC899" s="16"/>
      <c r="AD899" s="26"/>
      <c r="AE899" s="26"/>
      <c r="AF899" s="16"/>
      <c r="AG899" s="16"/>
      <c r="AH899" s="16"/>
      <c r="AI899" s="16"/>
      <c r="AJ899" s="9" t="n">
        <f aca="false">X899*$V899</f>
        <v>3950</v>
      </c>
      <c r="AK899" s="9" t="n">
        <f aca="false">Y899*$V899</f>
        <v>3950</v>
      </c>
      <c r="AL899" s="9" t="n">
        <f aca="false">Z899*$V899</f>
        <v>3950</v>
      </c>
      <c r="AM899" s="9" t="n">
        <f aca="false">AA899*$V899</f>
        <v>3950</v>
      </c>
      <c r="AN899" s="9" t="n">
        <f aca="false">AB899*$V899</f>
        <v>0</v>
      </c>
      <c r="AO899" s="9" t="n">
        <f aca="false">AC899*$V899</f>
        <v>0</v>
      </c>
      <c r="AP899" s="9" t="n">
        <f aca="false">AD899*$V899</f>
        <v>0</v>
      </c>
      <c r="AQ899" s="9" t="n">
        <f aca="false">AE899*$V899</f>
        <v>0</v>
      </c>
      <c r="AR899" s="9" t="n">
        <f aca="false">AF899*$V899</f>
        <v>0</v>
      </c>
      <c r="AS899" s="9" t="n">
        <f aca="false">AG899*$V899</f>
        <v>0</v>
      </c>
      <c r="AT899" s="9" t="n">
        <f aca="false">AH899*$V899</f>
        <v>0</v>
      </c>
      <c r="AU899" s="9" t="n">
        <f aca="false">AI899*$V899</f>
        <v>0</v>
      </c>
      <c r="AV899" s="9" t="n">
        <f aca="false">SUM(X899:AI899)/1000</f>
        <v>200</v>
      </c>
      <c r="AW899" s="9" t="n">
        <f aca="false">SUM(AJ899:AU899)</f>
        <v>15800</v>
      </c>
      <c r="AX899" s="9" t="n">
        <f aca="false">IF(D899="INR",AW899/88.24,AW899)/1000000</f>
        <v>0.0158</v>
      </c>
    </row>
    <row r="900" s="2" customFormat="true" ht="14.25" hidden="false" customHeight="false" outlineLevel="0" collapsed="false">
      <c r="A900" s="12"/>
      <c r="B900" s="16" t="n">
        <v>1</v>
      </c>
      <c r="C900" s="15"/>
      <c r="D900" s="16" t="s">
        <v>102</v>
      </c>
      <c r="E900" s="16" t="s">
        <v>51</v>
      </c>
      <c r="F900" s="16" t="s">
        <v>52</v>
      </c>
      <c r="G900" s="16" t="s">
        <v>65</v>
      </c>
      <c r="H900" s="16" t="s">
        <v>66</v>
      </c>
      <c r="I900" s="16"/>
      <c r="J900" s="16"/>
      <c r="K900" s="16"/>
      <c r="L900" s="16"/>
      <c r="M900" s="16"/>
      <c r="N900" s="16" t="s">
        <v>67</v>
      </c>
      <c r="O900" s="16"/>
      <c r="P900" s="16" t="s">
        <v>262</v>
      </c>
      <c r="Q900" s="16" t="s">
        <v>262</v>
      </c>
      <c r="R900" s="16" t="s">
        <v>263</v>
      </c>
      <c r="S900" s="16" t="s">
        <v>264</v>
      </c>
      <c r="T900" s="16" t="s">
        <v>1787</v>
      </c>
      <c r="U900" s="16" t="s">
        <v>63</v>
      </c>
      <c r="V900" s="16" t="n">
        <v>0.011</v>
      </c>
      <c r="W900" s="16"/>
      <c r="X900" s="16"/>
      <c r="Y900" s="16"/>
      <c r="Z900" s="16"/>
      <c r="AA900" s="16"/>
      <c r="AB900" s="16" t="n">
        <v>50000</v>
      </c>
      <c r="AC900" s="16"/>
      <c r="AD900" s="16"/>
      <c r="AE900" s="16"/>
      <c r="AF900" s="16" t="n">
        <v>50000</v>
      </c>
      <c r="AG900" s="16"/>
      <c r="AH900" s="16"/>
      <c r="AI900" s="16" t="n">
        <v>50000</v>
      </c>
      <c r="AJ900" s="9" t="n">
        <f aca="false">X900*$V900</f>
        <v>0</v>
      </c>
      <c r="AK900" s="9" t="n">
        <f aca="false">Y900*$V900</f>
        <v>0</v>
      </c>
      <c r="AL900" s="9" t="n">
        <f aca="false">Z900*$V900</f>
        <v>0</v>
      </c>
      <c r="AM900" s="9" t="n">
        <f aca="false">AA900*$V900</f>
        <v>0</v>
      </c>
      <c r="AN900" s="9" t="n">
        <f aca="false">AB900*$V900</f>
        <v>550</v>
      </c>
      <c r="AO900" s="9" t="n">
        <f aca="false">AC900*$V900</f>
        <v>0</v>
      </c>
      <c r="AP900" s="9" t="n">
        <f aca="false">AD900*$V900</f>
        <v>0</v>
      </c>
      <c r="AQ900" s="9" t="n">
        <f aca="false">AE900*$V900</f>
        <v>0</v>
      </c>
      <c r="AR900" s="9" t="n">
        <f aca="false">AF900*$V900</f>
        <v>550</v>
      </c>
      <c r="AS900" s="9" t="n">
        <f aca="false">AG900*$V900</f>
        <v>0</v>
      </c>
      <c r="AT900" s="9" t="n">
        <f aca="false">AH900*$V900</f>
        <v>0</v>
      </c>
      <c r="AU900" s="9" t="n">
        <f aca="false">AI900*$V900</f>
        <v>550</v>
      </c>
      <c r="AV900" s="9" t="n">
        <f aca="false">SUM(X900:AI900)/1000</f>
        <v>150</v>
      </c>
      <c r="AW900" s="9" t="n">
        <f aca="false">SUM(AJ900:AU900)</f>
        <v>1650</v>
      </c>
      <c r="AX900" s="9" t="n">
        <f aca="false">IF(D900="INR",AW900/88.24,AW900)/1000000</f>
        <v>0.00165</v>
      </c>
      <c r="AY900" s="27"/>
    </row>
    <row r="901" s="2" customFormat="true" ht="14.25" hidden="false" customHeight="true" outlineLevel="0" collapsed="false">
      <c r="A901" s="28"/>
      <c r="B901" s="16" t="n">
        <v>1</v>
      </c>
      <c r="C901" s="16"/>
      <c r="D901" s="16" t="s">
        <v>102</v>
      </c>
      <c r="E901" s="16"/>
      <c r="F901" s="16" t="s">
        <v>52</v>
      </c>
      <c r="G901" s="16" t="s">
        <v>65</v>
      </c>
      <c r="H901" s="16" t="s">
        <v>66</v>
      </c>
      <c r="I901" s="16"/>
      <c r="J901" s="16"/>
      <c r="K901" s="16"/>
      <c r="L901" s="16"/>
      <c r="M901" s="16"/>
      <c r="N901" s="16" t="s">
        <v>67</v>
      </c>
      <c r="O901" s="16" t="s">
        <v>68</v>
      </c>
      <c r="P901" s="16" t="s">
        <v>182</v>
      </c>
      <c r="Q901" s="16" t="s">
        <v>182</v>
      </c>
      <c r="R901" s="16"/>
      <c r="S901" s="16"/>
      <c r="T901" s="26" t="s">
        <v>1788</v>
      </c>
      <c r="U901" s="16" t="s">
        <v>63</v>
      </c>
      <c r="V901" s="16" t="n">
        <v>0.00038</v>
      </c>
      <c r="W901" s="16"/>
      <c r="X901" s="30" t="n">
        <v>12500</v>
      </c>
      <c r="Y901" s="30" t="n">
        <v>12500</v>
      </c>
      <c r="Z901" s="30" t="n">
        <v>12500</v>
      </c>
      <c r="AA901" s="30" t="n">
        <v>12500</v>
      </c>
      <c r="AB901" s="30" t="n">
        <v>12500</v>
      </c>
      <c r="AC901" s="30" t="n">
        <v>12500</v>
      </c>
      <c r="AD901" s="30" t="n">
        <v>12500</v>
      </c>
      <c r="AE901" s="30" t="n">
        <v>12500</v>
      </c>
      <c r="AF901" s="30" t="n">
        <v>12500</v>
      </c>
      <c r="AG901" s="30" t="n">
        <v>12500</v>
      </c>
      <c r="AH901" s="30" t="n">
        <v>12500</v>
      </c>
      <c r="AI901" s="30" t="n">
        <v>12500</v>
      </c>
      <c r="AJ901" s="9" t="n">
        <f aca="false">X901*$V901</f>
        <v>4.75</v>
      </c>
      <c r="AK901" s="9" t="n">
        <f aca="false">Y901*$V901</f>
        <v>4.75</v>
      </c>
      <c r="AL901" s="9" t="n">
        <f aca="false">Z901*$V901</f>
        <v>4.75</v>
      </c>
      <c r="AM901" s="9" t="n">
        <f aca="false">AA901*$V901</f>
        <v>4.75</v>
      </c>
      <c r="AN901" s="9" t="n">
        <f aca="false">AB901*$V901</f>
        <v>4.75</v>
      </c>
      <c r="AO901" s="9" t="n">
        <f aca="false">AC901*$V901</f>
        <v>4.75</v>
      </c>
      <c r="AP901" s="9" t="n">
        <f aca="false">AD901*$V901</f>
        <v>4.75</v>
      </c>
      <c r="AQ901" s="9" t="n">
        <f aca="false">AE901*$V901</f>
        <v>4.75</v>
      </c>
      <c r="AR901" s="9" t="n">
        <f aca="false">AF901*$V901</f>
        <v>4.75</v>
      </c>
      <c r="AS901" s="9" t="n">
        <f aca="false">AG901*$V901</f>
        <v>4.75</v>
      </c>
      <c r="AT901" s="9" t="n">
        <f aca="false">AH901*$V901</f>
        <v>4.75</v>
      </c>
      <c r="AU901" s="9" t="n">
        <f aca="false">AI901*$V901</f>
        <v>4.75</v>
      </c>
      <c r="AV901" s="9" t="n">
        <f aca="false">SUM(X901:AI901)/1000</f>
        <v>150</v>
      </c>
      <c r="AW901" s="9" t="n">
        <f aca="false">SUM(AJ901:AU901)</f>
        <v>57</v>
      </c>
      <c r="AX901" s="9" t="n">
        <f aca="false">IF(D901="INR",AW901/88.24,AW901)/1000000</f>
        <v>5.7E-005</v>
      </c>
    </row>
    <row r="902" s="2" customFormat="true" ht="14.25" hidden="false" customHeight="false" outlineLevel="0" collapsed="false">
      <c r="A902" s="12"/>
      <c r="B902" s="16" t="n">
        <v>1</v>
      </c>
      <c r="C902" s="15"/>
      <c r="D902" s="16" t="s">
        <v>50</v>
      </c>
      <c r="E902" s="16" t="s">
        <v>51</v>
      </c>
      <c r="F902" s="16" t="s">
        <v>404</v>
      </c>
      <c r="G902" s="16" t="s">
        <v>1789</v>
      </c>
      <c r="H902" s="16" t="s">
        <v>1790</v>
      </c>
      <c r="I902" s="16" t="s">
        <v>105</v>
      </c>
      <c r="J902" s="16" t="s">
        <v>368</v>
      </c>
      <c r="K902" s="16"/>
      <c r="L902" s="16" t="s">
        <v>105</v>
      </c>
      <c r="M902" s="16" t="s">
        <v>368</v>
      </c>
      <c r="N902" s="16" t="s">
        <v>271</v>
      </c>
      <c r="O902" s="16" t="s">
        <v>94</v>
      </c>
      <c r="P902" s="16" t="s">
        <v>110</v>
      </c>
      <c r="Q902" s="16" t="s">
        <v>110</v>
      </c>
      <c r="R902" s="16" t="s">
        <v>137</v>
      </c>
      <c r="S902" s="16" t="s">
        <v>272</v>
      </c>
      <c r="T902" s="16" t="s">
        <v>1437</v>
      </c>
      <c r="U902" s="16"/>
      <c r="V902" s="16" t="n">
        <v>52</v>
      </c>
      <c r="W902" s="16"/>
      <c r="X902" s="16" t="n">
        <v>200</v>
      </c>
      <c r="Y902" s="16" t="n">
        <v>200</v>
      </c>
      <c r="Z902" s="16" t="n">
        <v>200</v>
      </c>
      <c r="AA902" s="16" t="n">
        <v>200</v>
      </c>
      <c r="AB902" s="16" t="n">
        <v>200</v>
      </c>
      <c r="AC902" s="16" t="n">
        <v>200</v>
      </c>
      <c r="AD902" s="16" t="n">
        <v>200</v>
      </c>
      <c r="AE902" s="16" t="n">
        <v>200</v>
      </c>
      <c r="AF902" s="16" t="n">
        <v>200</v>
      </c>
      <c r="AG902" s="16" t="n">
        <v>200</v>
      </c>
      <c r="AH902" s="16" t="n">
        <v>200</v>
      </c>
      <c r="AI902" s="16" t="n">
        <v>200</v>
      </c>
      <c r="AJ902" s="9" t="n">
        <f aca="false">X902*$V902</f>
        <v>10400</v>
      </c>
      <c r="AK902" s="9" t="n">
        <f aca="false">Y902*$V902</f>
        <v>10400</v>
      </c>
      <c r="AL902" s="9" t="n">
        <f aca="false">Z902*$V902</f>
        <v>10400</v>
      </c>
      <c r="AM902" s="9" t="n">
        <f aca="false">AA902*$V902</f>
        <v>10400</v>
      </c>
      <c r="AN902" s="9" t="n">
        <f aca="false">AB902*$V902</f>
        <v>10400</v>
      </c>
      <c r="AO902" s="9" t="n">
        <f aca="false">AC902*$V902</f>
        <v>10400</v>
      </c>
      <c r="AP902" s="9" t="n">
        <f aca="false">AD902*$V902</f>
        <v>10400</v>
      </c>
      <c r="AQ902" s="9" t="n">
        <f aca="false">AE902*$V902</f>
        <v>10400</v>
      </c>
      <c r="AR902" s="9" t="n">
        <f aca="false">AF902*$V902</f>
        <v>10400</v>
      </c>
      <c r="AS902" s="9" t="n">
        <f aca="false">AG902*$V902</f>
        <v>10400</v>
      </c>
      <c r="AT902" s="9" t="n">
        <f aca="false">AH902*$V902</f>
        <v>10400</v>
      </c>
      <c r="AU902" s="9" t="n">
        <f aca="false">AI902*$V902</f>
        <v>10400</v>
      </c>
      <c r="AV902" s="9" t="n">
        <f aca="false">SUM(X902:AI902)/1000</f>
        <v>2.4</v>
      </c>
      <c r="AW902" s="9" t="n">
        <f aca="false">SUM(AJ902:AU902)</f>
        <v>124800</v>
      </c>
      <c r="AX902" s="9" t="n">
        <f aca="false">IF(D902="INR",AW902/88.24,AW902)/1000000</f>
        <v>0.0014143245693563</v>
      </c>
    </row>
    <row r="903" s="2" customFormat="true" ht="14.25" hidden="false" customHeight="false" outlineLevel="0" collapsed="false">
      <c r="A903" s="12" t="s">
        <v>1791</v>
      </c>
      <c r="B903" s="16"/>
      <c r="C903" s="15"/>
      <c r="D903" s="16" t="s">
        <v>50</v>
      </c>
      <c r="E903" s="16" t="s">
        <v>51</v>
      </c>
      <c r="F903" s="16" t="s">
        <v>52</v>
      </c>
      <c r="G903" s="16" t="s">
        <v>258</v>
      </c>
      <c r="H903" s="16" t="s">
        <v>259</v>
      </c>
      <c r="I903" s="16" t="s">
        <v>260</v>
      </c>
      <c r="J903" s="16" t="s">
        <v>261</v>
      </c>
      <c r="K903" s="16"/>
      <c r="L903" s="16" t="s">
        <v>260</v>
      </c>
      <c r="M903" s="16" t="s">
        <v>261</v>
      </c>
      <c r="N903" s="16" t="s">
        <v>67</v>
      </c>
      <c r="O903" s="16" t="s">
        <v>107</v>
      </c>
      <c r="P903" s="16" t="s">
        <v>283</v>
      </c>
      <c r="Q903" s="16" t="s">
        <v>283</v>
      </c>
      <c r="R903" s="16" t="s">
        <v>81</v>
      </c>
      <c r="S903" s="16" t="s">
        <v>264</v>
      </c>
      <c r="T903" s="16" t="s">
        <v>1792</v>
      </c>
      <c r="U903" s="16" t="s">
        <v>73</v>
      </c>
      <c r="V903" s="16" t="n">
        <v>0.64</v>
      </c>
      <c r="W903" s="16" t="n">
        <v>0.58</v>
      </c>
      <c r="X903" s="16" t="n">
        <v>16000</v>
      </c>
      <c r="Y903" s="16" t="n">
        <v>16000</v>
      </c>
      <c r="Z903" s="16" t="n">
        <v>16000</v>
      </c>
      <c r="AA903" s="16" t="n">
        <v>16000</v>
      </c>
      <c r="AB903" s="16" t="n">
        <v>16000</v>
      </c>
      <c r="AC903" s="16" t="n">
        <v>16000</v>
      </c>
      <c r="AD903" s="16" t="n">
        <v>16000</v>
      </c>
      <c r="AE903" s="16" t="n">
        <v>16000</v>
      </c>
      <c r="AF903" s="16" t="n">
        <v>16000</v>
      </c>
      <c r="AG903" s="16" t="n">
        <v>16000</v>
      </c>
      <c r="AH903" s="16" t="n">
        <v>16000</v>
      </c>
      <c r="AI903" s="16" t="n">
        <v>16000</v>
      </c>
      <c r="AJ903" s="9" t="n">
        <f aca="false">X903*$V903</f>
        <v>10240</v>
      </c>
      <c r="AK903" s="9" t="n">
        <f aca="false">Y903*$V903</f>
        <v>10240</v>
      </c>
      <c r="AL903" s="9" t="n">
        <f aca="false">Z903*$V903</f>
        <v>10240</v>
      </c>
      <c r="AM903" s="9" t="n">
        <f aca="false">AA903*$V903</f>
        <v>10240</v>
      </c>
      <c r="AN903" s="9" t="n">
        <f aca="false">AB903*$V903</f>
        <v>10240</v>
      </c>
      <c r="AO903" s="9" t="n">
        <f aca="false">AC903*$V903</f>
        <v>10240</v>
      </c>
      <c r="AP903" s="9" t="n">
        <f aca="false">AD903*$V903</f>
        <v>10240</v>
      </c>
      <c r="AQ903" s="9" t="n">
        <f aca="false">AE903*$V903</f>
        <v>10240</v>
      </c>
      <c r="AR903" s="9" t="n">
        <f aca="false">AF903*$V903</f>
        <v>10240</v>
      </c>
      <c r="AS903" s="9" t="n">
        <f aca="false">AG903*$V903</f>
        <v>10240</v>
      </c>
      <c r="AT903" s="9" t="n">
        <f aca="false">AH903*$V903</f>
        <v>10240</v>
      </c>
      <c r="AU903" s="9" t="n">
        <f aca="false">AI903*$V903</f>
        <v>10240</v>
      </c>
      <c r="AV903" s="9" t="n">
        <f aca="false">SUM(X903:AI903)/1000</f>
        <v>192</v>
      </c>
      <c r="AW903" s="9" t="n">
        <f aca="false">SUM(AJ903:AU903)</f>
        <v>122880</v>
      </c>
      <c r="AX903" s="9" t="n">
        <f aca="false">IF(D903="INR",AW903/88.24,AW903)/1000000</f>
        <v>0.00139256572982774</v>
      </c>
    </row>
    <row r="904" s="2" customFormat="true" ht="16.4" hidden="false" customHeight="false" outlineLevel="0" collapsed="false">
      <c r="A904" s="35" t="s">
        <v>1793</v>
      </c>
      <c r="B904" s="9" t="n">
        <v>5</v>
      </c>
      <c r="C904" s="10"/>
      <c r="D904" s="9" t="s">
        <v>50</v>
      </c>
      <c r="E904" s="9" t="s">
        <v>51</v>
      </c>
      <c r="F904" s="9" t="s">
        <v>52</v>
      </c>
      <c r="G904" s="9" t="s">
        <v>494</v>
      </c>
      <c r="H904" s="9" t="s">
        <v>495</v>
      </c>
      <c r="I904" s="9" t="s">
        <v>77</v>
      </c>
      <c r="J904" s="9" t="s">
        <v>496</v>
      </c>
      <c r="K904" s="9" t="s">
        <v>495</v>
      </c>
      <c r="L904" s="9" t="s">
        <v>77</v>
      </c>
      <c r="M904" s="9" t="s">
        <v>496</v>
      </c>
      <c r="N904" s="9" t="s">
        <v>57</v>
      </c>
      <c r="O904" s="9" t="s">
        <v>94</v>
      </c>
      <c r="P904" s="9" t="s">
        <v>1794</v>
      </c>
      <c r="Q904" s="9" t="s">
        <v>1794</v>
      </c>
      <c r="R904" s="9" t="s">
        <v>792</v>
      </c>
      <c r="S904" s="9" t="s">
        <v>968</v>
      </c>
      <c r="T904" s="9" t="s">
        <v>1795</v>
      </c>
      <c r="U904" s="9" t="s">
        <v>73</v>
      </c>
      <c r="V904" s="9" t="n">
        <v>10</v>
      </c>
      <c r="W904" s="9" t="n">
        <v>0.037</v>
      </c>
      <c r="X904" s="9"/>
      <c r="Y904" s="9"/>
      <c r="Z904" s="9" t="n">
        <v>1000</v>
      </c>
      <c r="AA904" s="9"/>
      <c r="AB904" s="9"/>
      <c r="AC904" s="9"/>
      <c r="AD904" s="9" t="n">
        <v>1000</v>
      </c>
      <c r="AE904" s="9"/>
      <c r="AF904" s="9" t="n">
        <v>1000</v>
      </c>
      <c r="AG904" s="9"/>
      <c r="AH904" s="9" t="n">
        <v>1000</v>
      </c>
      <c r="AI904" s="9" t="n">
        <v>1000</v>
      </c>
      <c r="AJ904" s="9" t="n">
        <f aca="false">X904*$V904</f>
        <v>0</v>
      </c>
      <c r="AK904" s="9" t="n">
        <f aca="false">Y904*$V904</f>
        <v>0</v>
      </c>
      <c r="AL904" s="9" t="n">
        <f aca="false">Z904*$V904</f>
        <v>10000</v>
      </c>
      <c r="AM904" s="9" t="n">
        <f aca="false">AA904*$V904</f>
        <v>0</v>
      </c>
      <c r="AN904" s="9" t="n">
        <f aca="false">AB904*$V904</f>
        <v>0</v>
      </c>
      <c r="AO904" s="9" t="n">
        <f aca="false">AC904*$V904</f>
        <v>0</v>
      </c>
      <c r="AP904" s="9" t="n">
        <f aca="false">AD904*$V904</f>
        <v>10000</v>
      </c>
      <c r="AQ904" s="9" t="n">
        <f aca="false">AE904*$V904</f>
        <v>0</v>
      </c>
      <c r="AR904" s="9" t="n">
        <f aca="false">AF904*$V904</f>
        <v>10000</v>
      </c>
      <c r="AS904" s="9" t="n">
        <f aca="false">AG904*$V904</f>
        <v>0</v>
      </c>
      <c r="AT904" s="9" t="n">
        <f aca="false">AH904*$V904</f>
        <v>10000</v>
      </c>
      <c r="AU904" s="9" t="n">
        <f aca="false">AI904*$V904</f>
        <v>10000</v>
      </c>
      <c r="AV904" s="9" t="n">
        <f aca="false">SUM(X904:AI904)/1000</f>
        <v>5</v>
      </c>
      <c r="AW904" s="9" t="n">
        <f aca="false">SUM(AJ904:AU904)</f>
        <v>50000</v>
      </c>
      <c r="AX904" s="9" t="n">
        <f aca="false">IF(D904="INR",AW904/88.24,AW904)/1000000</f>
        <v>0.00056663644605621</v>
      </c>
    </row>
    <row r="905" s="2" customFormat="true" ht="16.4" hidden="false" customHeight="false" outlineLevel="0" collapsed="false">
      <c r="A905" s="35" t="s">
        <v>1796</v>
      </c>
      <c r="B905" s="9"/>
      <c r="C905" s="15"/>
      <c r="D905" s="9" t="s">
        <v>50</v>
      </c>
      <c r="E905" s="9" t="s">
        <v>51</v>
      </c>
      <c r="F905" s="9" t="s">
        <v>52</v>
      </c>
      <c r="G905" s="9" t="s">
        <v>65</v>
      </c>
      <c r="H905" s="9" t="s">
        <v>66</v>
      </c>
      <c r="I905" s="9" t="s">
        <v>55</v>
      </c>
      <c r="J905" s="9" t="s">
        <v>56</v>
      </c>
      <c r="K905" s="9"/>
      <c r="L905" s="9" t="s">
        <v>55</v>
      </c>
      <c r="M905" s="9" t="s">
        <v>56</v>
      </c>
      <c r="N905" s="16" t="s">
        <v>67</v>
      </c>
      <c r="O905" s="9" t="s">
        <v>68</v>
      </c>
      <c r="P905" s="9" t="s">
        <v>85</v>
      </c>
      <c r="Q905" s="9" t="s">
        <v>85</v>
      </c>
      <c r="R905" s="9" t="s">
        <v>86</v>
      </c>
      <c r="S905" s="9" t="s">
        <v>87</v>
      </c>
      <c r="T905" s="9" t="s">
        <v>1797</v>
      </c>
      <c r="U905" s="9" t="s">
        <v>73</v>
      </c>
      <c r="V905" s="9" t="n">
        <v>9.8</v>
      </c>
      <c r="W905" s="9" t="n">
        <v>0.095</v>
      </c>
      <c r="X905" s="22"/>
      <c r="Y905" s="9"/>
      <c r="Z905" s="9" t="n">
        <v>1000</v>
      </c>
      <c r="AA905" s="9"/>
      <c r="AB905" s="9" t="n">
        <v>1000</v>
      </c>
      <c r="AC905" s="9"/>
      <c r="AD905" s="9" t="n">
        <v>1000</v>
      </c>
      <c r="AE905" s="9"/>
      <c r="AF905" s="9"/>
      <c r="AG905" s="9"/>
      <c r="AH905" s="9"/>
      <c r="AI905" s="9"/>
      <c r="AJ905" s="9" t="n">
        <f aca="false">X905*$V905</f>
        <v>0</v>
      </c>
      <c r="AK905" s="9" t="n">
        <f aca="false">Y905*$V905</f>
        <v>0</v>
      </c>
      <c r="AL905" s="9" t="n">
        <f aca="false">Z905*$V905</f>
        <v>9800</v>
      </c>
      <c r="AM905" s="9" t="n">
        <f aca="false">AA905*$V905</f>
        <v>0</v>
      </c>
      <c r="AN905" s="9" t="n">
        <f aca="false">AB905*$V905</f>
        <v>9800</v>
      </c>
      <c r="AO905" s="9" t="n">
        <f aca="false">AC905*$V905</f>
        <v>0</v>
      </c>
      <c r="AP905" s="9" t="n">
        <f aca="false">AD905*$V905</f>
        <v>9800</v>
      </c>
      <c r="AQ905" s="9" t="n">
        <f aca="false">AE905*$V905</f>
        <v>0</v>
      </c>
      <c r="AR905" s="9" t="n">
        <f aca="false">AF905*$V905</f>
        <v>0</v>
      </c>
      <c r="AS905" s="9" t="n">
        <f aca="false">AG905*$V905</f>
        <v>0</v>
      </c>
      <c r="AT905" s="9" t="n">
        <f aca="false">AH905*$V905</f>
        <v>0</v>
      </c>
      <c r="AU905" s="9" t="n">
        <f aca="false">AI905*$V905</f>
        <v>0</v>
      </c>
      <c r="AV905" s="9" t="n">
        <f aca="false">SUM(X905:AI905)/1000</f>
        <v>3</v>
      </c>
      <c r="AW905" s="9" t="n">
        <f aca="false">SUM(AJ905:AU905)</f>
        <v>29400</v>
      </c>
      <c r="AX905" s="9" t="n">
        <f aca="false">IF(D905="INR",AW905/88.24,AW905)/1000000</f>
        <v>0.000333182230281052</v>
      </c>
    </row>
    <row r="906" s="2" customFormat="true" ht="14.25" hidden="false" customHeight="false" outlineLevel="0" collapsed="false">
      <c r="A906" s="35"/>
      <c r="B906" s="9" t="n">
        <v>5</v>
      </c>
      <c r="C906" s="15"/>
      <c r="D906" s="16" t="s">
        <v>102</v>
      </c>
      <c r="E906" s="16" t="s">
        <v>51</v>
      </c>
      <c r="F906" s="16" t="s">
        <v>52</v>
      </c>
      <c r="G906" s="16" t="s">
        <v>65</v>
      </c>
      <c r="H906" s="9" t="s">
        <v>66</v>
      </c>
      <c r="I906" s="16"/>
      <c r="J906" s="16"/>
      <c r="K906" s="9"/>
      <c r="L906" s="16"/>
      <c r="M906" s="16"/>
      <c r="N906" s="16" t="s">
        <v>67</v>
      </c>
      <c r="O906" s="16"/>
      <c r="P906" s="9" t="s">
        <v>59</v>
      </c>
      <c r="Q906" s="9" t="s">
        <v>59</v>
      </c>
      <c r="R906" s="9" t="s">
        <v>60</v>
      </c>
      <c r="S906" s="9" t="s">
        <v>61</v>
      </c>
      <c r="T906" s="9" t="s">
        <v>1798</v>
      </c>
      <c r="U906" s="16" t="s">
        <v>63</v>
      </c>
      <c r="V906" s="36" t="n">
        <v>44.5</v>
      </c>
      <c r="W906" s="9" t="n">
        <v>36</v>
      </c>
      <c r="X906" s="22"/>
      <c r="Y906" s="9"/>
      <c r="Z906" s="9" t="n">
        <v>1000</v>
      </c>
      <c r="AA906" s="9"/>
      <c r="AB906" s="9"/>
      <c r="AC906" s="9" t="n">
        <v>1000</v>
      </c>
      <c r="AD906" s="23"/>
      <c r="AE906" s="9"/>
      <c r="AF906" s="9" t="n">
        <v>1500</v>
      </c>
      <c r="AG906" s="9"/>
      <c r="AH906" s="9"/>
      <c r="AI906" s="9" t="n">
        <v>1500</v>
      </c>
      <c r="AJ906" s="9" t="n">
        <f aca="false">X906*$V906</f>
        <v>0</v>
      </c>
      <c r="AK906" s="9" t="n">
        <f aca="false">Y906*$V906</f>
        <v>0</v>
      </c>
      <c r="AL906" s="9" t="n">
        <f aca="false">Z906*$V906</f>
        <v>44500</v>
      </c>
      <c r="AM906" s="9" t="n">
        <f aca="false">AA906*$V906</f>
        <v>0</v>
      </c>
      <c r="AN906" s="9" t="n">
        <f aca="false">AB906*$V906</f>
        <v>0</v>
      </c>
      <c r="AO906" s="9" t="n">
        <f aca="false">AC906*$V906</f>
        <v>44500</v>
      </c>
      <c r="AP906" s="9" t="n">
        <f aca="false">AD906*$V906</f>
        <v>0</v>
      </c>
      <c r="AQ906" s="9" t="n">
        <f aca="false">AE906*$V906</f>
        <v>0</v>
      </c>
      <c r="AR906" s="9" t="n">
        <f aca="false">AF906*$V906</f>
        <v>66750</v>
      </c>
      <c r="AS906" s="9" t="n">
        <f aca="false">AG906*$V906</f>
        <v>0</v>
      </c>
      <c r="AT906" s="9" t="n">
        <f aca="false">AH906*$V906</f>
        <v>0</v>
      </c>
      <c r="AU906" s="9" t="n">
        <f aca="false">AI906*$V906</f>
        <v>66750</v>
      </c>
      <c r="AV906" s="9" t="n">
        <f aca="false">SUM(X906:AI906)/1000</f>
        <v>5</v>
      </c>
      <c r="AW906" s="9" t="n">
        <f aca="false">SUM(AJ906:AU906)</f>
        <v>222500</v>
      </c>
      <c r="AX906" s="9" t="n">
        <f aca="false">IF(D906="INR",AW906/88.24,AW906)/1000000</f>
        <v>0.2225</v>
      </c>
    </row>
    <row r="907" s="2" customFormat="true" ht="14.25" hidden="false" customHeight="false" outlineLevel="0" collapsed="false">
      <c r="A907" s="35"/>
      <c r="B907" s="9" t="n">
        <v>1</v>
      </c>
      <c r="C907" s="10"/>
      <c r="D907" s="9" t="s">
        <v>102</v>
      </c>
      <c r="E907" s="9"/>
      <c r="F907" s="9" t="s">
        <v>52</v>
      </c>
      <c r="G907" s="9" t="s">
        <v>65</v>
      </c>
      <c r="H907" s="9" t="s">
        <v>66</v>
      </c>
      <c r="I907" s="9"/>
      <c r="J907" s="9"/>
      <c r="K907" s="9"/>
      <c r="L907" s="9"/>
      <c r="M907" s="9"/>
      <c r="N907" s="9" t="s">
        <v>67</v>
      </c>
      <c r="O907" s="9" t="s">
        <v>68</v>
      </c>
      <c r="P907" s="9" t="s">
        <v>170</v>
      </c>
      <c r="Q907" s="9" t="s">
        <v>170</v>
      </c>
      <c r="R907" s="9"/>
      <c r="S907" s="9"/>
      <c r="T907" s="9" t="s">
        <v>175</v>
      </c>
      <c r="U907" s="9" t="s">
        <v>63</v>
      </c>
      <c r="V907" s="9" t="n">
        <v>0.12</v>
      </c>
      <c r="W907" s="9"/>
      <c r="X907" s="9"/>
      <c r="Y907" s="9"/>
      <c r="Z907" s="9" t="n">
        <v>1000</v>
      </c>
      <c r="AA907" s="9"/>
      <c r="AB907" s="9"/>
      <c r="AC907" s="9" t="n">
        <v>1000</v>
      </c>
      <c r="AD907" s="9"/>
      <c r="AE907" s="9"/>
      <c r="AF907" s="9" t="n">
        <v>1500</v>
      </c>
      <c r="AG907" s="9"/>
      <c r="AH907" s="9"/>
      <c r="AI907" s="9" t="n">
        <v>1500</v>
      </c>
      <c r="AJ907" s="9" t="n">
        <f aca="false">X907*$V907</f>
        <v>0</v>
      </c>
      <c r="AK907" s="9" t="n">
        <f aca="false">Y907*$V907</f>
        <v>0</v>
      </c>
      <c r="AL907" s="9" t="n">
        <f aca="false">Z907*$V907</f>
        <v>120</v>
      </c>
      <c r="AM907" s="9" t="n">
        <f aca="false">AA907*$V907</f>
        <v>0</v>
      </c>
      <c r="AN907" s="9" t="n">
        <f aca="false">AB907*$V907</f>
        <v>0</v>
      </c>
      <c r="AO907" s="9" t="n">
        <f aca="false">AC907*$V907</f>
        <v>120</v>
      </c>
      <c r="AP907" s="9" t="n">
        <f aca="false">AD907*$V907</f>
        <v>0</v>
      </c>
      <c r="AQ907" s="9" t="n">
        <f aca="false">AE907*$V907</f>
        <v>0</v>
      </c>
      <c r="AR907" s="9" t="n">
        <f aca="false">AF907*$V907</f>
        <v>180</v>
      </c>
      <c r="AS907" s="9" t="n">
        <f aca="false">AG907*$V907</f>
        <v>0</v>
      </c>
      <c r="AT907" s="9" t="n">
        <f aca="false">AH907*$V907</f>
        <v>0</v>
      </c>
      <c r="AU907" s="9" t="n">
        <f aca="false">AI907*$V907</f>
        <v>180</v>
      </c>
      <c r="AV907" s="9" t="n">
        <f aca="false">SUM(X907:AI907)/1000</f>
        <v>5</v>
      </c>
      <c r="AW907" s="9" t="n">
        <f aca="false">SUM(AJ907:AU907)</f>
        <v>600</v>
      </c>
      <c r="AX907" s="9" t="n">
        <f aca="false">IF(D907="INR",AW907/88.24,AW907)/1000000</f>
        <v>0.0006</v>
      </c>
    </row>
    <row r="908" s="2" customFormat="true" ht="14.25" hidden="false" customHeight="false" outlineLevel="0" collapsed="false">
      <c r="A908" s="35"/>
      <c r="B908" s="9"/>
      <c r="C908" s="10"/>
      <c r="D908" s="9" t="s">
        <v>102</v>
      </c>
      <c r="E908" s="9"/>
      <c r="F908" s="9" t="s">
        <v>52</v>
      </c>
      <c r="G908" s="9" t="s">
        <v>65</v>
      </c>
      <c r="H908" s="9" t="s">
        <v>66</v>
      </c>
      <c r="I908" s="9"/>
      <c r="J908" s="9"/>
      <c r="K908" s="9"/>
      <c r="L908" s="9"/>
      <c r="M908" s="9"/>
      <c r="N908" s="9" t="s">
        <v>67</v>
      </c>
      <c r="O908" s="9" t="s">
        <v>68</v>
      </c>
      <c r="P908" s="9" t="s">
        <v>170</v>
      </c>
      <c r="Q908" s="9" t="s">
        <v>170</v>
      </c>
      <c r="R908" s="9"/>
      <c r="S908" s="9"/>
      <c r="T908" s="9" t="s">
        <v>1799</v>
      </c>
      <c r="U908" s="9" t="s">
        <v>63</v>
      </c>
      <c r="V908" s="9" t="n">
        <v>0.1</v>
      </c>
      <c r="W908" s="9"/>
      <c r="X908" s="9"/>
      <c r="Y908" s="9"/>
      <c r="Z908" s="9" t="n">
        <v>1000</v>
      </c>
      <c r="AA908" s="9"/>
      <c r="AB908" s="9"/>
      <c r="AC908" s="9" t="n">
        <v>1000</v>
      </c>
      <c r="AD908" s="9"/>
      <c r="AE908" s="9"/>
      <c r="AF908" s="9" t="n">
        <v>1500</v>
      </c>
      <c r="AG908" s="9"/>
      <c r="AH908" s="9"/>
      <c r="AI908" s="9" t="n">
        <v>1500</v>
      </c>
      <c r="AJ908" s="9" t="n">
        <f aca="false">X908*$V908</f>
        <v>0</v>
      </c>
      <c r="AK908" s="9" t="n">
        <f aca="false">Y908*$V908</f>
        <v>0</v>
      </c>
      <c r="AL908" s="9" t="n">
        <f aca="false">Z908*$V908</f>
        <v>100</v>
      </c>
      <c r="AM908" s="9" t="n">
        <f aca="false">AA908*$V908</f>
        <v>0</v>
      </c>
      <c r="AN908" s="9" t="n">
        <f aca="false">AB908*$V908</f>
        <v>0</v>
      </c>
      <c r="AO908" s="9" t="n">
        <f aca="false">AC908*$V908</f>
        <v>100</v>
      </c>
      <c r="AP908" s="9" t="n">
        <f aca="false">AD908*$V908</f>
        <v>0</v>
      </c>
      <c r="AQ908" s="9" t="n">
        <f aca="false">AE908*$V908</f>
        <v>0</v>
      </c>
      <c r="AR908" s="9" t="n">
        <f aca="false">AF908*$V908</f>
        <v>150</v>
      </c>
      <c r="AS908" s="9" t="n">
        <f aca="false">AG908*$V908</f>
        <v>0</v>
      </c>
      <c r="AT908" s="9" t="n">
        <f aca="false">AH908*$V908</f>
        <v>0</v>
      </c>
      <c r="AU908" s="9" t="n">
        <f aca="false">AI908*$V908</f>
        <v>150</v>
      </c>
      <c r="AV908" s="9" t="n">
        <f aca="false">SUM(X908:AI908)/1000</f>
        <v>5</v>
      </c>
      <c r="AW908" s="9" t="n">
        <f aca="false">SUM(AJ908:AU908)</f>
        <v>500</v>
      </c>
      <c r="AX908" s="9" t="n">
        <f aca="false">IF(D908="INR",AW908/88.24,AW908)/1000000</f>
        <v>0.0005</v>
      </c>
    </row>
    <row r="909" s="2" customFormat="true" ht="14.25" hidden="false" customHeight="false" outlineLevel="0" collapsed="false">
      <c r="A909" s="35"/>
      <c r="B909" s="9"/>
      <c r="C909" s="10"/>
      <c r="D909" s="9" t="s">
        <v>102</v>
      </c>
      <c r="E909" s="9"/>
      <c r="F909" s="9" t="s">
        <v>52</v>
      </c>
      <c r="G909" s="9" t="s">
        <v>65</v>
      </c>
      <c r="H909" s="9" t="s">
        <v>66</v>
      </c>
      <c r="I909" s="9"/>
      <c r="J909" s="9"/>
      <c r="K909" s="9"/>
      <c r="L909" s="9"/>
      <c r="M909" s="9"/>
      <c r="N909" s="9" t="s">
        <v>67</v>
      </c>
      <c r="O909" s="9" t="s">
        <v>68</v>
      </c>
      <c r="P909" s="9" t="s">
        <v>170</v>
      </c>
      <c r="Q909" s="9" t="s">
        <v>170</v>
      </c>
      <c r="R909" s="9"/>
      <c r="S909" s="9"/>
      <c r="T909" s="9" t="s">
        <v>1800</v>
      </c>
      <c r="U909" s="9" t="s">
        <v>63</v>
      </c>
      <c r="V909" s="9" t="n">
        <v>0.1</v>
      </c>
      <c r="W909" s="9"/>
      <c r="X909" s="9"/>
      <c r="Y909" s="9"/>
      <c r="Z909" s="9" t="n">
        <v>1000</v>
      </c>
      <c r="AA909" s="9"/>
      <c r="AB909" s="9"/>
      <c r="AC909" s="9" t="n">
        <v>1000</v>
      </c>
      <c r="AD909" s="9"/>
      <c r="AE909" s="9"/>
      <c r="AF909" s="9" t="n">
        <v>1500</v>
      </c>
      <c r="AG909" s="9"/>
      <c r="AH909" s="9"/>
      <c r="AI909" s="9" t="n">
        <v>1500</v>
      </c>
      <c r="AJ909" s="9" t="n">
        <f aca="false">X909*$V909</f>
        <v>0</v>
      </c>
      <c r="AK909" s="9" t="n">
        <f aca="false">Y909*$V909</f>
        <v>0</v>
      </c>
      <c r="AL909" s="9" t="n">
        <f aca="false">Z909*$V909</f>
        <v>100</v>
      </c>
      <c r="AM909" s="9" t="n">
        <f aca="false">AA909*$V909</f>
        <v>0</v>
      </c>
      <c r="AN909" s="9" t="n">
        <f aca="false">AB909*$V909</f>
        <v>0</v>
      </c>
      <c r="AO909" s="9" t="n">
        <f aca="false">AC909*$V909</f>
        <v>100</v>
      </c>
      <c r="AP909" s="9" t="n">
        <f aca="false">AD909*$V909</f>
        <v>0</v>
      </c>
      <c r="AQ909" s="9" t="n">
        <f aca="false">AE909*$V909</f>
        <v>0</v>
      </c>
      <c r="AR909" s="9" t="n">
        <f aca="false">AF909*$V909</f>
        <v>150</v>
      </c>
      <c r="AS909" s="9" t="n">
        <f aca="false">AG909*$V909</f>
        <v>0</v>
      </c>
      <c r="AT909" s="9" t="n">
        <f aca="false">AH909*$V909</f>
        <v>0</v>
      </c>
      <c r="AU909" s="9" t="n">
        <f aca="false">AI909*$V909</f>
        <v>150</v>
      </c>
      <c r="AV909" s="9" t="n">
        <f aca="false">SUM(X909:AI909)/1000</f>
        <v>5</v>
      </c>
      <c r="AW909" s="9" t="n">
        <f aca="false">SUM(AJ909:AU909)</f>
        <v>500</v>
      </c>
      <c r="AX909" s="9" t="n">
        <f aca="false">IF(D909="INR",AW909/88.24,AW909)/1000000</f>
        <v>0.0005</v>
      </c>
    </row>
    <row r="910" s="2" customFormat="true" ht="16.4" hidden="false" customHeight="false" outlineLevel="0" collapsed="false">
      <c r="A910" s="28" t="s">
        <v>1801</v>
      </c>
      <c r="B910" s="16" t="n">
        <v>5</v>
      </c>
      <c r="C910" s="16"/>
      <c r="D910" s="16" t="s">
        <v>50</v>
      </c>
      <c r="E910" s="16" t="s">
        <v>51</v>
      </c>
      <c r="F910" s="16" t="s">
        <v>52</v>
      </c>
      <c r="G910" s="16" t="s">
        <v>296</v>
      </c>
      <c r="H910" s="16" t="s">
        <v>297</v>
      </c>
      <c r="I910" s="16" t="s">
        <v>298</v>
      </c>
      <c r="J910" s="16" t="s">
        <v>299</v>
      </c>
      <c r="K910" s="16"/>
      <c r="L910" s="16" t="s">
        <v>298</v>
      </c>
      <c r="M910" s="16" t="s">
        <v>299</v>
      </c>
      <c r="N910" s="16" t="s">
        <v>67</v>
      </c>
      <c r="O910" s="16" t="s">
        <v>94</v>
      </c>
      <c r="P910" s="16" t="s">
        <v>308</v>
      </c>
      <c r="Q910" s="16" t="s">
        <v>308</v>
      </c>
      <c r="R910" s="16" t="s">
        <v>309</v>
      </c>
      <c r="S910" s="16" t="s">
        <v>264</v>
      </c>
      <c r="T910" s="16" t="s">
        <v>646</v>
      </c>
      <c r="U910" s="16" t="s">
        <v>73</v>
      </c>
      <c r="V910" s="16" t="n">
        <v>3.23</v>
      </c>
      <c r="W910" s="16" t="n">
        <v>2.44</v>
      </c>
      <c r="X910" s="16" t="n">
        <v>3000</v>
      </c>
      <c r="Y910" s="16" t="n">
        <v>3000</v>
      </c>
      <c r="Z910" s="16" t="n">
        <v>3000</v>
      </c>
      <c r="AA910" s="16" t="n">
        <v>3000</v>
      </c>
      <c r="AB910" s="16" t="n">
        <v>3000</v>
      </c>
      <c r="AC910" s="16" t="n">
        <v>3000</v>
      </c>
      <c r="AD910" s="16" t="n">
        <v>3000</v>
      </c>
      <c r="AE910" s="16" t="n">
        <v>3000</v>
      </c>
      <c r="AF910" s="16" t="n">
        <v>3000</v>
      </c>
      <c r="AG910" s="16" t="n">
        <v>3000</v>
      </c>
      <c r="AH910" s="16" t="n">
        <v>3000</v>
      </c>
      <c r="AI910" s="16" t="n">
        <v>3000</v>
      </c>
      <c r="AJ910" s="9" t="n">
        <f aca="false">X910*$V910</f>
        <v>9690</v>
      </c>
      <c r="AK910" s="9" t="n">
        <f aca="false">Y910*$V910</f>
        <v>9690</v>
      </c>
      <c r="AL910" s="9" t="n">
        <f aca="false">Z910*$V910</f>
        <v>9690</v>
      </c>
      <c r="AM910" s="9" t="n">
        <f aca="false">AA910*$V910</f>
        <v>9690</v>
      </c>
      <c r="AN910" s="9" t="n">
        <f aca="false">AB910*$V910</f>
        <v>9690</v>
      </c>
      <c r="AO910" s="9" t="n">
        <f aca="false">AC910*$V910</f>
        <v>9690</v>
      </c>
      <c r="AP910" s="9" t="n">
        <f aca="false">AD910*$V910</f>
        <v>9690</v>
      </c>
      <c r="AQ910" s="9" t="n">
        <f aca="false">AE910*$V910</f>
        <v>9690</v>
      </c>
      <c r="AR910" s="9" t="n">
        <f aca="false">AF910*$V910</f>
        <v>9690</v>
      </c>
      <c r="AS910" s="9" t="n">
        <f aca="false">AG910*$V910</f>
        <v>9690</v>
      </c>
      <c r="AT910" s="9" t="n">
        <f aca="false">AH910*$V910</f>
        <v>9690</v>
      </c>
      <c r="AU910" s="9" t="n">
        <f aca="false">AI910*$V910</f>
        <v>9690</v>
      </c>
      <c r="AV910" s="9" t="n">
        <f aca="false">SUM(X910:AI910)/1000</f>
        <v>36</v>
      </c>
      <c r="AW910" s="9" t="n">
        <f aca="false">SUM(AJ910:AU910)</f>
        <v>116280</v>
      </c>
      <c r="AX910" s="9" t="n">
        <f aca="false">IF(D910="INR",AW910/88.24,AW910)/1000000</f>
        <v>0.00131776971894832</v>
      </c>
    </row>
    <row r="911" s="2" customFormat="true" ht="16.4" hidden="false" customHeight="false" outlineLevel="0" collapsed="false">
      <c r="A911" s="35" t="s">
        <v>1802</v>
      </c>
      <c r="B911" s="9" t="n">
        <v>5</v>
      </c>
      <c r="C911" s="10"/>
      <c r="D911" s="9" t="s">
        <v>50</v>
      </c>
      <c r="E911" s="9" t="s">
        <v>51</v>
      </c>
      <c r="F911" s="9" t="s">
        <v>52</v>
      </c>
      <c r="G911" s="9" t="s">
        <v>65</v>
      </c>
      <c r="H911" s="9" t="s">
        <v>66</v>
      </c>
      <c r="I911" s="9" t="s">
        <v>55</v>
      </c>
      <c r="J911" s="9" t="s">
        <v>56</v>
      </c>
      <c r="K911" s="9"/>
      <c r="L911" s="9" t="s">
        <v>55</v>
      </c>
      <c r="M911" s="9" t="s">
        <v>56</v>
      </c>
      <c r="N911" s="16" t="s">
        <v>67</v>
      </c>
      <c r="O911" s="9" t="s">
        <v>68</v>
      </c>
      <c r="P911" s="9" t="s">
        <v>85</v>
      </c>
      <c r="Q911" s="9" t="s">
        <v>85</v>
      </c>
      <c r="R911" s="9" t="s">
        <v>86</v>
      </c>
      <c r="S911" s="9" t="s">
        <v>87</v>
      </c>
      <c r="T911" s="9" t="s">
        <v>1803</v>
      </c>
      <c r="U911" s="9" t="s">
        <v>73</v>
      </c>
      <c r="V911" s="9" t="n">
        <v>9.2</v>
      </c>
      <c r="W911" s="9" t="n">
        <v>0.0744</v>
      </c>
      <c r="X911" s="9" t="n">
        <v>1000</v>
      </c>
      <c r="Y911" s="9" t="n">
        <v>1000</v>
      </c>
      <c r="Z911" s="9" t="n">
        <v>1000</v>
      </c>
      <c r="AA911" s="9" t="n">
        <v>1000</v>
      </c>
      <c r="AB911" s="9" t="n">
        <v>1000</v>
      </c>
      <c r="AC911" s="9" t="n">
        <v>1000</v>
      </c>
      <c r="AD911" s="9"/>
      <c r="AE911" s="9"/>
      <c r="AF911" s="9"/>
      <c r="AG911" s="9"/>
      <c r="AH911" s="9" t="n">
        <v>1000</v>
      </c>
      <c r="AI911" s="9" t="n">
        <v>1000</v>
      </c>
      <c r="AJ911" s="9" t="n">
        <f aca="false">X911*$V911</f>
        <v>9200</v>
      </c>
      <c r="AK911" s="9" t="n">
        <f aca="false">Y911*$V911</f>
        <v>9200</v>
      </c>
      <c r="AL911" s="9" t="n">
        <f aca="false">Z911*$V911</f>
        <v>9200</v>
      </c>
      <c r="AM911" s="9" t="n">
        <f aca="false">AA911*$V911</f>
        <v>9200</v>
      </c>
      <c r="AN911" s="9" t="n">
        <f aca="false">AB911*$V911</f>
        <v>9200</v>
      </c>
      <c r="AO911" s="9" t="n">
        <f aca="false">AC911*$V911</f>
        <v>9200</v>
      </c>
      <c r="AP911" s="9" t="n">
        <f aca="false">AD911*$V911</f>
        <v>0</v>
      </c>
      <c r="AQ911" s="9" t="n">
        <f aca="false">AE911*$V911</f>
        <v>0</v>
      </c>
      <c r="AR911" s="9" t="n">
        <f aca="false">AF911*$V911</f>
        <v>0</v>
      </c>
      <c r="AS911" s="9" t="n">
        <f aca="false">AG911*$V911</f>
        <v>0</v>
      </c>
      <c r="AT911" s="9" t="n">
        <f aca="false">AH911*$V911</f>
        <v>9200</v>
      </c>
      <c r="AU911" s="9" t="n">
        <f aca="false">AI911*$V911</f>
        <v>9200</v>
      </c>
      <c r="AV911" s="9" t="n">
        <f aca="false">SUM(X911:AI911)/1000</f>
        <v>8</v>
      </c>
      <c r="AW911" s="9" t="n">
        <f aca="false">SUM(AJ911:AU911)</f>
        <v>73600</v>
      </c>
      <c r="AX911" s="9" t="n">
        <f aca="false">IF(D911="INR",AW911/88.24,AW911)/1000000</f>
        <v>0.000834088848594742</v>
      </c>
    </row>
    <row r="912" s="2" customFormat="true" ht="16.4" hidden="false" customHeight="false" outlineLevel="0" collapsed="false">
      <c r="A912" s="28" t="s">
        <v>1804</v>
      </c>
      <c r="B912" s="16" t="n">
        <v>5</v>
      </c>
      <c r="C912" s="16"/>
      <c r="D912" s="16" t="s">
        <v>50</v>
      </c>
      <c r="E912" s="16" t="s">
        <v>51</v>
      </c>
      <c r="F912" s="16" t="s">
        <v>52</v>
      </c>
      <c r="G912" s="16" t="s">
        <v>391</v>
      </c>
      <c r="H912" s="16" t="s">
        <v>392</v>
      </c>
      <c r="I912" s="16" t="s">
        <v>260</v>
      </c>
      <c r="J912" s="16" t="s">
        <v>276</v>
      </c>
      <c r="K912" s="16"/>
      <c r="L912" s="16" t="s">
        <v>260</v>
      </c>
      <c r="M912" s="16" t="s">
        <v>276</v>
      </c>
      <c r="N912" s="16" t="s">
        <v>93</v>
      </c>
      <c r="O912" s="16" t="s">
        <v>58</v>
      </c>
      <c r="P912" s="16" t="s">
        <v>308</v>
      </c>
      <c r="Q912" s="16" t="s">
        <v>308</v>
      </c>
      <c r="R912" s="16" t="s">
        <v>309</v>
      </c>
      <c r="S912" s="16" t="s">
        <v>264</v>
      </c>
      <c r="T912" s="16" t="s">
        <v>1805</v>
      </c>
      <c r="U912" s="16" t="s">
        <v>73</v>
      </c>
      <c r="V912" s="16" t="n">
        <v>2.24</v>
      </c>
      <c r="W912" s="16" t="n">
        <v>1.97</v>
      </c>
      <c r="X912" s="16" t="n">
        <v>4000</v>
      </c>
      <c r="Y912" s="16" t="n">
        <v>4000</v>
      </c>
      <c r="Z912" s="26" t="n">
        <v>4000</v>
      </c>
      <c r="AA912" s="16" t="n">
        <v>4000</v>
      </c>
      <c r="AB912" s="16" t="n">
        <v>4000</v>
      </c>
      <c r="AC912" s="16" t="n">
        <v>4000</v>
      </c>
      <c r="AD912" s="16" t="n">
        <v>4000</v>
      </c>
      <c r="AE912" s="16" t="n">
        <v>4000</v>
      </c>
      <c r="AF912" s="16" t="n">
        <v>4000</v>
      </c>
      <c r="AG912" s="16" t="n">
        <v>4000</v>
      </c>
      <c r="AH912" s="16" t="n">
        <v>4000</v>
      </c>
      <c r="AI912" s="16" t="n">
        <v>4000</v>
      </c>
      <c r="AJ912" s="9" t="n">
        <f aca="false">X912*$V912</f>
        <v>8960</v>
      </c>
      <c r="AK912" s="9" t="n">
        <f aca="false">Y912*$V912</f>
        <v>8960</v>
      </c>
      <c r="AL912" s="9" t="n">
        <f aca="false">Z912*$V912</f>
        <v>8960</v>
      </c>
      <c r="AM912" s="9" t="n">
        <f aca="false">AA912*$V912</f>
        <v>8960</v>
      </c>
      <c r="AN912" s="9" t="n">
        <f aca="false">AB912*$V912</f>
        <v>8960</v>
      </c>
      <c r="AO912" s="9" t="n">
        <f aca="false">AC912*$V912</f>
        <v>8960</v>
      </c>
      <c r="AP912" s="9" t="n">
        <f aca="false">AD912*$V912</f>
        <v>8960</v>
      </c>
      <c r="AQ912" s="9" t="n">
        <f aca="false">AE912*$V912</f>
        <v>8960</v>
      </c>
      <c r="AR912" s="9" t="n">
        <f aca="false">AF912*$V912</f>
        <v>8960</v>
      </c>
      <c r="AS912" s="9" t="n">
        <f aca="false">AG912*$V912</f>
        <v>8960</v>
      </c>
      <c r="AT912" s="9" t="n">
        <f aca="false">AH912*$V912</f>
        <v>8960</v>
      </c>
      <c r="AU912" s="9" t="n">
        <f aca="false">AI912*$V912</f>
        <v>8960</v>
      </c>
      <c r="AV912" s="9" t="n">
        <f aca="false">SUM(X912:AI912)/1000</f>
        <v>48</v>
      </c>
      <c r="AW912" s="9" t="n">
        <f aca="false">SUM(AJ912:AU912)</f>
        <v>107520</v>
      </c>
      <c r="AX912" s="9" t="n">
        <f aca="false">IF(D912="INR",AW912/88.24,AW912)/1000000</f>
        <v>0.00121849501359927</v>
      </c>
    </row>
    <row r="913" s="2" customFormat="true" ht="16.4" hidden="false" customHeight="false" outlineLevel="0" collapsed="false">
      <c r="A913" s="35" t="s">
        <v>1806</v>
      </c>
      <c r="B913" s="9" t="n">
        <v>5</v>
      </c>
      <c r="C913" s="10"/>
      <c r="D913" s="9" t="s">
        <v>50</v>
      </c>
      <c r="E913" s="9" t="s">
        <v>51</v>
      </c>
      <c r="F913" s="9" t="s">
        <v>52</v>
      </c>
      <c r="G913" s="9" t="s">
        <v>1690</v>
      </c>
      <c r="H913" s="9" t="s">
        <v>1691</v>
      </c>
      <c r="I913" s="9" t="s">
        <v>298</v>
      </c>
      <c r="J913" s="9" t="s">
        <v>299</v>
      </c>
      <c r="K913" s="9"/>
      <c r="L913" s="9" t="s">
        <v>298</v>
      </c>
      <c r="M913" s="9" t="s">
        <v>299</v>
      </c>
      <c r="N913" s="9" t="s">
        <v>67</v>
      </c>
      <c r="O913" s="9" t="s">
        <v>107</v>
      </c>
      <c r="P913" s="9" t="s">
        <v>308</v>
      </c>
      <c r="Q913" s="9" t="s">
        <v>308</v>
      </c>
      <c r="R913" s="9" t="s">
        <v>309</v>
      </c>
      <c r="S913" s="9" t="s">
        <v>264</v>
      </c>
      <c r="T913" s="9" t="s">
        <v>1807</v>
      </c>
      <c r="U913" s="9" t="s">
        <v>73</v>
      </c>
      <c r="V913" s="9" t="n">
        <v>0.74</v>
      </c>
      <c r="W913" s="9" t="n">
        <v>0.67</v>
      </c>
      <c r="X913" s="9" t="n">
        <v>12000</v>
      </c>
      <c r="Y913" s="9"/>
      <c r="Z913" s="9" t="n">
        <v>12000</v>
      </c>
      <c r="AA913" s="9"/>
      <c r="AB913" s="9"/>
      <c r="AC913" s="9" t="n">
        <v>12000</v>
      </c>
      <c r="AD913" s="9"/>
      <c r="AE913" s="9"/>
      <c r="AF913" s="9" t="n">
        <v>12000</v>
      </c>
      <c r="AG913" s="9"/>
      <c r="AH913" s="9"/>
      <c r="AI913" s="9" t="n">
        <v>12000</v>
      </c>
      <c r="AJ913" s="9" t="n">
        <f aca="false">X913*$V913</f>
        <v>8880</v>
      </c>
      <c r="AK913" s="9" t="n">
        <f aca="false">Y913*$V913</f>
        <v>0</v>
      </c>
      <c r="AL913" s="9" t="n">
        <f aca="false">Z913*$V913</f>
        <v>8880</v>
      </c>
      <c r="AM913" s="9" t="n">
        <f aca="false">AA913*$V913</f>
        <v>0</v>
      </c>
      <c r="AN913" s="9" t="n">
        <f aca="false">AB913*$V913</f>
        <v>0</v>
      </c>
      <c r="AO913" s="9" t="n">
        <f aca="false">AC913*$V913</f>
        <v>8880</v>
      </c>
      <c r="AP913" s="9" t="n">
        <f aca="false">AD913*$V913</f>
        <v>0</v>
      </c>
      <c r="AQ913" s="9" t="n">
        <f aca="false">AE913*$V913</f>
        <v>0</v>
      </c>
      <c r="AR913" s="9" t="n">
        <f aca="false">AF913*$V913</f>
        <v>8880</v>
      </c>
      <c r="AS913" s="9" t="n">
        <f aca="false">AG913*$V913</f>
        <v>0</v>
      </c>
      <c r="AT913" s="9" t="n">
        <f aca="false">AH913*$V913</f>
        <v>0</v>
      </c>
      <c r="AU913" s="9" t="n">
        <f aca="false">AI913*$V913</f>
        <v>8880</v>
      </c>
      <c r="AV913" s="9" t="n">
        <f aca="false">SUM(X913:AI913)/1000</f>
        <v>60</v>
      </c>
      <c r="AW913" s="9" t="n">
        <f aca="false">SUM(AJ913:AU913)</f>
        <v>44400</v>
      </c>
      <c r="AX913" s="9" t="n">
        <f aca="false">IF(D913="INR",AW913/88.24,AW913)/1000000</f>
        <v>0.000503173164097915</v>
      </c>
    </row>
    <row r="914" s="2" customFormat="true" ht="16.4" hidden="false" customHeight="false" outlineLevel="0" collapsed="false">
      <c r="A914" s="35" t="s">
        <v>1808</v>
      </c>
      <c r="B914" s="9" t="n">
        <v>5</v>
      </c>
      <c r="C914" s="10"/>
      <c r="D914" s="9" t="s">
        <v>50</v>
      </c>
      <c r="E914" s="9" t="s">
        <v>51</v>
      </c>
      <c r="F914" s="9" t="s">
        <v>52</v>
      </c>
      <c r="G914" s="9" t="s">
        <v>439</v>
      </c>
      <c r="H914" s="9" t="s">
        <v>440</v>
      </c>
      <c r="I914" s="9" t="s">
        <v>260</v>
      </c>
      <c r="J914" s="9" t="s">
        <v>261</v>
      </c>
      <c r="K914" s="9"/>
      <c r="L914" s="9" t="s">
        <v>260</v>
      </c>
      <c r="M914" s="9" t="s">
        <v>261</v>
      </c>
      <c r="N914" s="9" t="s">
        <v>67</v>
      </c>
      <c r="O914" s="9" t="s">
        <v>58</v>
      </c>
      <c r="P914" s="9" t="s">
        <v>80</v>
      </c>
      <c r="Q914" s="9" t="s">
        <v>80</v>
      </c>
      <c r="R914" s="9" t="s">
        <v>81</v>
      </c>
      <c r="S914" s="9" t="s">
        <v>82</v>
      </c>
      <c r="T914" s="9" t="s">
        <v>1809</v>
      </c>
      <c r="U914" s="9" t="s">
        <v>73</v>
      </c>
      <c r="V914" s="9" t="n">
        <v>0.88</v>
      </c>
      <c r="W914" s="9" t="n">
        <v>0.773</v>
      </c>
      <c r="X914" s="9" t="n">
        <v>10000</v>
      </c>
      <c r="Y914" s="9"/>
      <c r="Z914" s="9" t="n">
        <v>10000</v>
      </c>
      <c r="AA914" s="9"/>
      <c r="AB914" s="9" t="n">
        <v>10000</v>
      </c>
      <c r="AC914" s="9"/>
      <c r="AD914" s="9" t="n">
        <v>10000</v>
      </c>
      <c r="AE914" s="9"/>
      <c r="AF914" s="9" t="n">
        <v>10000</v>
      </c>
      <c r="AG914" s="9"/>
      <c r="AH914" s="9" t="n">
        <v>10000</v>
      </c>
      <c r="AI914" s="9"/>
      <c r="AJ914" s="9" t="n">
        <f aca="false">X914*$V914</f>
        <v>8800</v>
      </c>
      <c r="AK914" s="9" t="n">
        <f aca="false">Y914*$V914</f>
        <v>0</v>
      </c>
      <c r="AL914" s="9" t="n">
        <f aca="false">Z914*$V914</f>
        <v>8800</v>
      </c>
      <c r="AM914" s="9" t="n">
        <f aca="false">AA914*$V914</f>
        <v>0</v>
      </c>
      <c r="AN914" s="9" t="n">
        <f aca="false">AB914*$V914</f>
        <v>8800</v>
      </c>
      <c r="AO914" s="9" t="n">
        <f aca="false">AC914*$V914</f>
        <v>0</v>
      </c>
      <c r="AP914" s="9" t="n">
        <f aca="false">AD914*$V914</f>
        <v>8800</v>
      </c>
      <c r="AQ914" s="9" t="n">
        <f aca="false">AE914*$V914</f>
        <v>0</v>
      </c>
      <c r="AR914" s="9" t="n">
        <f aca="false">AF914*$V914</f>
        <v>8800</v>
      </c>
      <c r="AS914" s="9" t="n">
        <f aca="false">AG914*$V914</f>
        <v>0</v>
      </c>
      <c r="AT914" s="9" t="n">
        <f aca="false">AH914*$V914</f>
        <v>8800</v>
      </c>
      <c r="AU914" s="9" t="n">
        <f aca="false">AI914*$V914</f>
        <v>0</v>
      </c>
      <c r="AV914" s="9" t="n">
        <f aca="false">SUM(X914:AI914)/1000</f>
        <v>60</v>
      </c>
      <c r="AW914" s="9" t="n">
        <f aca="false">SUM(AJ914:AU914)</f>
        <v>52800</v>
      </c>
      <c r="AX914" s="9" t="n">
        <f aca="false">IF(D914="INR",AW914/88.24,AW914)/1000000</f>
        <v>0.000598368087035358</v>
      </c>
    </row>
    <row r="915" s="2" customFormat="true" ht="16.4" hidden="false" customHeight="false" outlineLevel="0" collapsed="false">
      <c r="A915" s="28" t="s">
        <v>1810</v>
      </c>
      <c r="B915" s="16"/>
      <c r="C915" s="16"/>
      <c r="D915" s="16" t="s">
        <v>50</v>
      </c>
      <c r="E915" s="16" t="s">
        <v>51</v>
      </c>
      <c r="F915" s="16" t="s">
        <v>404</v>
      </c>
      <c r="G915" s="16" t="s">
        <v>1137</v>
      </c>
      <c r="H915" s="16" t="s">
        <v>1138</v>
      </c>
      <c r="I915" s="16" t="s">
        <v>105</v>
      </c>
      <c r="J915" s="16" t="s">
        <v>368</v>
      </c>
      <c r="K915" s="16"/>
      <c r="L915" s="16" t="s">
        <v>105</v>
      </c>
      <c r="M915" s="16" t="s">
        <v>368</v>
      </c>
      <c r="N915" s="16" t="s">
        <v>271</v>
      </c>
      <c r="O915" s="16" t="s">
        <v>94</v>
      </c>
      <c r="P915" s="16" t="s">
        <v>308</v>
      </c>
      <c r="Q915" s="16" t="s">
        <v>308</v>
      </c>
      <c r="R915" s="16" t="s">
        <v>309</v>
      </c>
      <c r="S915" s="16" t="s">
        <v>264</v>
      </c>
      <c r="T915" s="16" t="s">
        <v>1811</v>
      </c>
      <c r="U915" s="16" t="s">
        <v>73</v>
      </c>
      <c r="V915" s="26" t="n">
        <v>3.5</v>
      </c>
      <c r="W915" s="16" t="n">
        <v>3.3</v>
      </c>
      <c r="X915" s="16"/>
      <c r="Y915" s="16"/>
      <c r="Z915" s="16" t="n">
        <v>2500</v>
      </c>
      <c r="AA915" s="16"/>
      <c r="AB915" s="16"/>
      <c r="AC915" s="16" t="n">
        <v>2500</v>
      </c>
      <c r="AD915" s="16"/>
      <c r="AE915" s="16"/>
      <c r="AF915" s="16" t="n">
        <v>2500</v>
      </c>
      <c r="AG915" s="16"/>
      <c r="AH915" s="16"/>
      <c r="AI915" s="16"/>
      <c r="AJ915" s="9" t="n">
        <f aca="false">X915*$V915</f>
        <v>0</v>
      </c>
      <c r="AK915" s="9" t="n">
        <f aca="false">Y915*$V915</f>
        <v>0</v>
      </c>
      <c r="AL915" s="9" t="n">
        <f aca="false">Z915*$V915</f>
        <v>8750</v>
      </c>
      <c r="AM915" s="9" t="n">
        <f aca="false">AA915*$V915</f>
        <v>0</v>
      </c>
      <c r="AN915" s="9" t="n">
        <f aca="false">AB915*$V915</f>
        <v>0</v>
      </c>
      <c r="AO915" s="9" t="n">
        <f aca="false">AC915*$V915</f>
        <v>8750</v>
      </c>
      <c r="AP915" s="9" t="n">
        <f aca="false">AD915*$V915</f>
        <v>0</v>
      </c>
      <c r="AQ915" s="9" t="n">
        <f aca="false">AE915*$V915</f>
        <v>0</v>
      </c>
      <c r="AR915" s="9" t="n">
        <f aca="false">AF915*$V915</f>
        <v>8750</v>
      </c>
      <c r="AS915" s="9" t="n">
        <f aca="false">AG915*$V915</f>
        <v>0</v>
      </c>
      <c r="AT915" s="9" t="n">
        <f aca="false">AH915*$V915</f>
        <v>0</v>
      </c>
      <c r="AU915" s="9" t="n">
        <f aca="false">AI915*$V915</f>
        <v>0</v>
      </c>
      <c r="AV915" s="9" t="n">
        <f aca="false">SUM(X915:AI915)/1000</f>
        <v>7.5</v>
      </c>
      <c r="AW915" s="9" t="n">
        <f aca="false">SUM(AJ915:AU915)</f>
        <v>26250</v>
      </c>
      <c r="AX915" s="9" t="n">
        <f aca="false">IF(D915="INR",AW915/88.24,AW915)/1000000</f>
        <v>0.00029748413417951</v>
      </c>
    </row>
    <row r="916" s="2" customFormat="true" ht="14.25" hidden="false" customHeight="false" outlineLevel="0" collapsed="false">
      <c r="A916" s="35"/>
      <c r="B916" s="9" t="n">
        <v>1</v>
      </c>
      <c r="C916" s="10"/>
      <c r="D916" s="9" t="s">
        <v>50</v>
      </c>
      <c r="E916" s="9" t="s">
        <v>51</v>
      </c>
      <c r="F916" s="9" t="s">
        <v>52</v>
      </c>
      <c r="G916" s="9" t="s">
        <v>781</v>
      </c>
      <c r="H916" s="9" t="s">
        <v>495</v>
      </c>
      <c r="I916" s="9" t="s">
        <v>77</v>
      </c>
      <c r="J916" s="9" t="s">
        <v>496</v>
      </c>
      <c r="K916" s="9" t="s">
        <v>495</v>
      </c>
      <c r="L916" s="9" t="s">
        <v>77</v>
      </c>
      <c r="M916" s="9" t="s">
        <v>496</v>
      </c>
      <c r="N916" s="9" t="s">
        <v>57</v>
      </c>
      <c r="O916" s="9" t="s">
        <v>94</v>
      </c>
      <c r="P916" s="9" t="s">
        <v>308</v>
      </c>
      <c r="Q916" s="9" t="s">
        <v>308</v>
      </c>
      <c r="R916" s="9"/>
      <c r="S916" s="9"/>
      <c r="T916" s="9" t="s">
        <v>1812</v>
      </c>
      <c r="U916" s="9"/>
      <c r="V916" s="9" t="n">
        <v>8.7</v>
      </c>
      <c r="W916" s="9"/>
      <c r="X916" s="9"/>
      <c r="Y916" s="9"/>
      <c r="Z916" s="9" t="n">
        <v>1000</v>
      </c>
      <c r="AA916" s="9"/>
      <c r="AB916" s="9"/>
      <c r="AC916" s="9"/>
      <c r="AD916" s="9" t="n">
        <v>1000</v>
      </c>
      <c r="AE916" s="9"/>
      <c r="AF916" s="9" t="n">
        <v>1000</v>
      </c>
      <c r="AG916" s="9"/>
      <c r="AH916" s="9" t="n">
        <v>1000</v>
      </c>
      <c r="AI916" s="9" t="n">
        <v>1000</v>
      </c>
      <c r="AJ916" s="9" t="n">
        <f aca="false">X916*$V916</f>
        <v>0</v>
      </c>
      <c r="AK916" s="9" t="n">
        <f aca="false">Y916*$V916</f>
        <v>0</v>
      </c>
      <c r="AL916" s="9" t="n">
        <f aca="false">Z916*$V916</f>
        <v>8700</v>
      </c>
      <c r="AM916" s="9" t="n">
        <f aca="false">AA916*$V916</f>
        <v>0</v>
      </c>
      <c r="AN916" s="9" t="n">
        <f aca="false">AB916*$V916</f>
        <v>0</v>
      </c>
      <c r="AO916" s="9" t="n">
        <f aca="false">AC916*$V916</f>
        <v>0</v>
      </c>
      <c r="AP916" s="9" t="n">
        <f aca="false">AD916*$V916</f>
        <v>8700</v>
      </c>
      <c r="AQ916" s="9" t="n">
        <f aca="false">AE916*$V916</f>
        <v>0</v>
      </c>
      <c r="AR916" s="9" t="n">
        <f aca="false">AF916*$V916</f>
        <v>8700</v>
      </c>
      <c r="AS916" s="9" t="n">
        <f aca="false">AG916*$V916</f>
        <v>0</v>
      </c>
      <c r="AT916" s="9" t="n">
        <f aca="false">AH916*$V916</f>
        <v>8700</v>
      </c>
      <c r="AU916" s="9" t="n">
        <f aca="false">AI916*$V916</f>
        <v>8700</v>
      </c>
      <c r="AV916" s="9" t="n">
        <f aca="false">SUM(X916:AI916)/1000</f>
        <v>5</v>
      </c>
      <c r="AW916" s="9" t="n">
        <f aca="false">SUM(AJ916:AU916)</f>
        <v>43500</v>
      </c>
      <c r="AX916" s="9" t="n">
        <f aca="false">IF(D916="INR",AW916/88.24,AW916)/1000000</f>
        <v>0.000492973708068903</v>
      </c>
    </row>
    <row r="917" s="2" customFormat="true" ht="14.25" hidden="false" customHeight="true" outlineLevel="0" collapsed="false">
      <c r="A917" s="12" t="s">
        <v>1813</v>
      </c>
      <c r="B917" s="16" t="n">
        <v>5</v>
      </c>
      <c r="C917" s="15"/>
      <c r="D917" s="16" t="s">
        <v>50</v>
      </c>
      <c r="E917" s="16" t="s">
        <v>51</v>
      </c>
      <c r="F917" s="16" t="s">
        <v>267</v>
      </c>
      <c r="G917" s="16" t="s">
        <v>846</v>
      </c>
      <c r="H917" s="16" t="s">
        <v>847</v>
      </c>
      <c r="I917" s="16" t="s">
        <v>848</v>
      </c>
      <c r="J917" s="16" t="s">
        <v>304</v>
      </c>
      <c r="K917" s="16"/>
      <c r="L917" s="16" t="s">
        <v>848</v>
      </c>
      <c r="M917" s="16" t="s">
        <v>304</v>
      </c>
      <c r="N917" s="16" t="s">
        <v>271</v>
      </c>
      <c r="O917" s="16" t="s">
        <v>94</v>
      </c>
      <c r="P917" s="16" t="s">
        <v>308</v>
      </c>
      <c r="Q917" s="16" t="s">
        <v>308</v>
      </c>
      <c r="R917" s="16" t="s">
        <v>309</v>
      </c>
      <c r="S917" s="16" t="s">
        <v>264</v>
      </c>
      <c r="T917" s="16" t="s">
        <v>1811</v>
      </c>
      <c r="U917" s="16" t="s">
        <v>73</v>
      </c>
      <c r="V917" s="16" t="n">
        <v>3.45</v>
      </c>
      <c r="W917" s="16" t="n">
        <v>2.93</v>
      </c>
      <c r="X917" s="16" t="n">
        <v>2500</v>
      </c>
      <c r="Y917" s="16" t="n">
        <v>2500</v>
      </c>
      <c r="Z917" s="16" t="n">
        <v>2500</v>
      </c>
      <c r="AA917" s="16" t="n">
        <v>2500</v>
      </c>
      <c r="AB917" s="16" t="n">
        <v>2500</v>
      </c>
      <c r="AC917" s="16" t="n">
        <v>2500</v>
      </c>
      <c r="AD917" s="16" t="n">
        <v>2500</v>
      </c>
      <c r="AE917" s="16" t="n">
        <v>2500</v>
      </c>
      <c r="AF917" s="16" t="n">
        <v>2500</v>
      </c>
      <c r="AG917" s="16" t="n">
        <v>2500</v>
      </c>
      <c r="AH917" s="16" t="n">
        <v>2500</v>
      </c>
      <c r="AI917" s="16" t="n">
        <v>2500</v>
      </c>
      <c r="AJ917" s="9" t="n">
        <f aca="false">X917*$V917</f>
        <v>8625</v>
      </c>
      <c r="AK917" s="9" t="n">
        <f aca="false">Y917*$V917</f>
        <v>8625</v>
      </c>
      <c r="AL917" s="9" t="n">
        <f aca="false">Z917*$V917</f>
        <v>8625</v>
      </c>
      <c r="AM917" s="9" t="n">
        <f aca="false">AA917*$V917</f>
        <v>8625</v>
      </c>
      <c r="AN917" s="9" t="n">
        <f aca="false">AB917*$V917</f>
        <v>8625</v>
      </c>
      <c r="AO917" s="9" t="n">
        <f aca="false">AC917*$V917</f>
        <v>8625</v>
      </c>
      <c r="AP917" s="9" t="n">
        <f aca="false">AD917*$V917</f>
        <v>8625</v>
      </c>
      <c r="AQ917" s="9" t="n">
        <f aca="false">AE917*$V917</f>
        <v>8625</v>
      </c>
      <c r="AR917" s="9" t="n">
        <f aca="false">AF917*$V917</f>
        <v>8625</v>
      </c>
      <c r="AS917" s="9" t="n">
        <f aca="false">AG917*$V917</f>
        <v>8625</v>
      </c>
      <c r="AT917" s="9" t="n">
        <f aca="false">AH917*$V917</f>
        <v>8625</v>
      </c>
      <c r="AU917" s="9" t="n">
        <f aca="false">AI917*$V917</f>
        <v>8625</v>
      </c>
      <c r="AV917" s="9" t="n">
        <f aca="false">SUM(X917:AI917)/1000</f>
        <v>30</v>
      </c>
      <c r="AW917" s="9" t="n">
        <f aca="false">SUM(AJ917:AU917)</f>
        <v>103500</v>
      </c>
      <c r="AX917" s="9" t="n">
        <f aca="false">IF(D917="INR",AW917/88.24,AW917)/1000000</f>
        <v>0.00117293744333636</v>
      </c>
    </row>
    <row r="918" s="2" customFormat="true" ht="14.25" hidden="false" customHeight="false" outlineLevel="0" collapsed="false">
      <c r="A918" s="35"/>
      <c r="B918" s="9" t="n">
        <v>1</v>
      </c>
      <c r="C918" s="10"/>
      <c r="D918" s="9" t="s">
        <v>50</v>
      </c>
      <c r="E918" s="9" t="s">
        <v>51</v>
      </c>
      <c r="F918" s="9" t="s">
        <v>267</v>
      </c>
      <c r="G918" s="9" t="s">
        <v>1230</v>
      </c>
      <c r="H918" s="9" t="s">
        <v>1231</v>
      </c>
      <c r="I918" s="9" t="s">
        <v>55</v>
      </c>
      <c r="J918" s="9" t="s">
        <v>100</v>
      </c>
      <c r="K918" s="9"/>
      <c r="L918" s="9" t="s">
        <v>55</v>
      </c>
      <c r="M918" s="9" t="s">
        <v>100</v>
      </c>
      <c r="N918" s="9" t="s">
        <v>271</v>
      </c>
      <c r="O918" s="9"/>
      <c r="P918" s="9"/>
      <c r="Q918" s="9" t="s">
        <v>85</v>
      </c>
      <c r="R918" s="9"/>
      <c r="S918" s="9"/>
      <c r="T918" s="9" t="s">
        <v>1814</v>
      </c>
      <c r="U918" s="9" t="s">
        <v>63</v>
      </c>
      <c r="V918" s="10" t="n">
        <v>4.29</v>
      </c>
      <c r="W918" s="9"/>
      <c r="X918" s="9"/>
      <c r="Y918" s="9"/>
      <c r="Z918" s="9" t="n">
        <v>2000</v>
      </c>
      <c r="AA918" s="9"/>
      <c r="AB918" s="9" t="n">
        <v>2000</v>
      </c>
      <c r="AC918" s="9"/>
      <c r="AD918" s="9" t="n">
        <v>2000</v>
      </c>
      <c r="AE918" s="9"/>
      <c r="AF918" s="9"/>
      <c r="AG918" s="9" t="n">
        <v>2000</v>
      </c>
      <c r="AH918" s="9"/>
      <c r="AI918" s="9" t="n">
        <v>2000</v>
      </c>
      <c r="AJ918" s="9" t="n">
        <f aca="false">X918*$V918</f>
        <v>0</v>
      </c>
      <c r="AK918" s="9" t="n">
        <f aca="false">Y918*$V918</f>
        <v>0</v>
      </c>
      <c r="AL918" s="9" t="n">
        <f aca="false">Z918*$V918</f>
        <v>8580</v>
      </c>
      <c r="AM918" s="9" t="n">
        <f aca="false">AA918*$V918</f>
        <v>0</v>
      </c>
      <c r="AN918" s="9" t="n">
        <f aca="false">AB918*$V918</f>
        <v>8580</v>
      </c>
      <c r="AO918" s="9" t="n">
        <f aca="false">AC918*$V918</f>
        <v>0</v>
      </c>
      <c r="AP918" s="9" t="n">
        <f aca="false">AD918*$V918</f>
        <v>8580</v>
      </c>
      <c r="AQ918" s="9" t="n">
        <f aca="false">AE918*$V918</f>
        <v>0</v>
      </c>
      <c r="AR918" s="9" t="n">
        <f aca="false">AF918*$V918</f>
        <v>0</v>
      </c>
      <c r="AS918" s="9" t="n">
        <f aca="false">AG918*$V918</f>
        <v>8580</v>
      </c>
      <c r="AT918" s="9" t="n">
        <f aca="false">AH918*$V918</f>
        <v>0</v>
      </c>
      <c r="AU918" s="9" t="n">
        <f aca="false">AI918*$V918</f>
        <v>8580</v>
      </c>
      <c r="AV918" s="9" t="n">
        <f aca="false">SUM(X918:AI918)/1000</f>
        <v>10</v>
      </c>
      <c r="AW918" s="9" t="n">
        <f aca="false">SUM(AJ918:AU918)</f>
        <v>42900</v>
      </c>
      <c r="AX918" s="9" t="n">
        <f aca="false">IF(D918="INR",AW918/88.24,AW918)/1000000</f>
        <v>0.000486174070716228</v>
      </c>
    </row>
    <row r="919" s="2" customFormat="true" ht="14.25" hidden="false" customHeight="false" outlineLevel="0" collapsed="false">
      <c r="A919" s="12" t="s">
        <v>1815</v>
      </c>
      <c r="B919" s="16" t="n">
        <v>5</v>
      </c>
      <c r="C919" s="15"/>
      <c r="D919" s="16" t="s">
        <v>50</v>
      </c>
      <c r="E919" s="16" t="s">
        <v>51</v>
      </c>
      <c r="F919" s="16" t="s">
        <v>52</v>
      </c>
      <c r="G919" s="16" t="s">
        <v>323</v>
      </c>
      <c r="H919" s="16" t="s">
        <v>324</v>
      </c>
      <c r="I919" s="16" t="s">
        <v>77</v>
      </c>
      <c r="J919" s="16" t="s">
        <v>325</v>
      </c>
      <c r="K919" s="16"/>
      <c r="L919" s="16" t="s">
        <v>77</v>
      </c>
      <c r="M919" s="16" t="s">
        <v>325</v>
      </c>
      <c r="N919" s="16" t="s">
        <v>67</v>
      </c>
      <c r="O919" s="16" t="s">
        <v>68</v>
      </c>
      <c r="P919" s="16" t="s">
        <v>80</v>
      </c>
      <c r="Q919" s="16" t="s">
        <v>80</v>
      </c>
      <c r="R919" s="16" t="s">
        <v>81</v>
      </c>
      <c r="S919" s="16" t="s">
        <v>82</v>
      </c>
      <c r="T919" s="16" t="s">
        <v>1816</v>
      </c>
      <c r="U919" s="16" t="s">
        <v>73</v>
      </c>
      <c r="V919" s="16" t="n">
        <v>0.85</v>
      </c>
      <c r="W919" s="16" t="n">
        <v>0.6267</v>
      </c>
      <c r="X919" s="16" t="n">
        <v>10000</v>
      </c>
      <c r="Y919" s="16" t="n">
        <v>10000</v>
      </c>
      <c r="Z919" s="16" t="n">
        <v>10000</v>
      </c>
      <c r="AA919" s="16" t="n">
        <v>10000</v>
      </c>
      <c r="AB919" s="16" t="n">
        <v>10000</v>
      </c>
      <c r="AC919" s="16" t="n">
        <v>10000</v>
      </c>
      <c r="AD919" s="16" t="n">
        <v>10000</v>
      </c>
      <c r="AE919" s="16" t="n">
        <v>10000</v>
      </c>
      <c r="AF919" s="16" t="n">
        <v>10000</v>
      </c>
      <c r="AG919" s="16" t="n">
        <v>10000</v>
      </c>
      <c r="AH919" s="16" t="n">
        <v>10000</v>
      </c>
      <c r="AI919" s="16" t="n">
        <v>10000</v>
      </c>
      <c r="AJ919" s="9" t="n">
        <f aca="false">X919*$V919</f>
        <v>8500</v>
      </c>
      <c r="AK919" s="9" t="n">
        <f aca="false">Y919*$V919</f>
        <v>8500</v>
      </c>
      <c r="AL919" s="9" t="n">
        <f aca="false">Z919*$V919</f>
        <v>8500</v>
      </c>
      <c r="AM919" s="9" t="n">
        <f aca="false">AA919*$V919</f>
        <v>8500</v>
      </c>
      <c r="AN919" s="9" t="n">
        <f aca="false">AB919*$V919</f>
        <v>8500</v>
      </c>
      <c r="AO919" s="9" t="n">
        <f aca="false">AC919*$V919</f>
        <v>8500</v>
      </c>
      <c r="AP919" s="9" t="n">
        <f aca="false">AD919*$V919</f>
        <v>8500</v>
      </c>
      <c r="AQ919" s="9" t="n">
        <f aca="false">AE919*$V919</f>
        <v>8500</v>
      </c>
      <c r="AR919" s="9" t="n">
        <f aca="false">AF919*$V919</f>
        <v>8500</v>
      </c>
      <c r="AS919" s="9" t="n">
        <f aca="false">AG919*$V919</f>
        <v>8500</v>
      </c>
      <c r="AT919" s="9" t="n">
        <f aca="false">AH919*$V919</f>
        <v>8500</v>
      </c>
      <c r="AU919" s="9" t="n">
        <f aca="false">AI919*$V919</f>
        <v>8500</v>
      </c>
      <c r="AV919" s="9" t="n">
        <f aca="false">SUM(X919:AI919)/1000</f>
        <v>120</v>
      </c>
      <c r="AW919" s="9" t="n">
        <f aca="false">SUM(AJ919:AU919)</f>
        <v>102000</v>
      </c>
      <c r="AX919" s="9" t="n">
        <f aca="false">IF(D919="INR",AW919/88.24,AW919)/1000000</f>
        <v>0.00115593834995467</v>
      </c>
    </row>
    <row r="920" s="2" customFormat="true" ht="14.25" hidden="false" customHeight="false" outlineLevel="0" collapsed="false">
      <c r="A920" s="12" t="s">
        <v>1817</v>
      </c>
      <c r="B920" s="16"/>
      <c r="C920" s="15"/>
      <c r="D920" s="16" t="s">
        <v>50</v>
      </c>
      <c r="E920" s="16" t="s">
        <v>51</v>
      </c>
      <c r="F920" s="16" t="s">
        <v>52</v>
      </c>
      <c r="G920" s="16" t="s">
        <v>258</v>
      </c>
      <c r="H920" s="16" t="s">
        <v>259</v>
      </c>
      <c r="I920" s="16" t="s">
        <v>260</v>
      </c>
      <c r="J920" s="16" t="s">
        <v>261</v>
      </c>
      <c r="K920" s="16"/>
      <c r="L920" s="16" t="s">
        <v>260</v>
      </c>
      <c r="M920" s="16" t="s">
        <v>261</v>
      </c>
      <c r="N920" s="16" t="s">
        <v>67</v>
      </c>
      <c r="O920" s="16" t="s">
        <v>107</v>
      </c>
      <c r="P920" s="16" t="s">
        <v>197</v>
      </c>
      <c r="Q920" s="16" t="s">
        <v>197</v>
      </c>
      <c r="R920" s="16" t="s">
        <v>86</v>
      </c>
      <c r="S920" s="16" t="s">
        <v>521</v>
      </c>
      <c r="T920" s="16" t="s">
        <v>1818</v>
      </c>
      <c r="U920" s="16" t="s">
        <v>73</v>
      </c>
      <c r="V920" s="16" t="n">
        <v>0.31</v>
      </c>
      <c r="W920" s="16" t="n">
        <v>0.00034</v>
      </c>
      <c r="X920" s="16" t="n">
        <v>26000</v>
      </c>
      <c r="Y920" s="16" t="n">
        <v>26000</v>
      </c>
      <c r="Z920" s="16" t="n">
        <v>26000</v>
      </c>
      <c r="AA920" s="16" t="n">
        <v>26000</v>
      </c>
      <c r="AB920" s="16" t="n">
        <v>26000</v>
      </c>
      <c r="AC920" s="16" t="n">
        <v>26000</v>
      </c>
      <c r="AD920" s="16" t="n">
        <v>26000</v>
      </c>
      <c r="AE920" s="16" t="n">
        <v>26000</v>
      </c>
      <c r="AF920" s="16" t="n">
        <v>26000</v>
      </c>
      <c r="AG920" s="16" t="n">
        <v>26000</v>
      </c>
      <c r="AH920" s="16" t="n">
        <v>26000</v>
      </c>
      <c r="AI920" s="16" t="n">
        <v>26000</v>
      </c>
      <c r="AJ920" s="9" t="n">
        <f aca="false">X920*$V920</f>
        <v>8060</v>
      </c>
      <c r="AK920" s="9" t="n">
        <f aca="false">Y920*$V920</f>
        <v>8060</v>
      </c>
      <c r="AL920" s="9" t="n">
        <f aca="false">Z920*$V920</f>
        <v>8060</v>
      </c>
      <c r="AM920" s="9" t="n">
        <f aca="false">AA920*$V920</f>
        <v>8060</v>
      </c>
      <c r="AN920" s="9" t="n">
        <f aca="false">AB920*$V920</f>
        <v>8060</v>
      </c>
      <c r="AO920" s="9" t="n">
        <f aca="false">AC920*$V920</f>
        <v>8060</v>
      </c>
      <c r="AP920" s="9" t="n">
        <f aca="false">AD920*$V920</f>
        <v>8060</v>
      </c>
      <c r="AQ920" s="9" t="n">
        <f aca="false">AE920*$V920</f>
        <v>8060</v>
      </c>
      <c r="AR920" s="9" t="n">
        <f aca="false">AF920*$V920</f>
        <v>8060</v>
      </c>
      <c r="AS920" s="9" t="n">
        <f aca="false">AG920*$V920</f>
        <v>8060</v>
      </c>
      <c r="AT920" s="9" t="n">
        <f aca="false">AH920*$V920</f>
        <v>8060</v>
      </c>
      <c r="AU920" s="9" t="n">
        <f aca="false">AI920*$V920</f>
        <v>8060</v>
      </c>
      <c r="AV920" s="9" t="n">
        <f aca="false">SUM(X920:AI920)/1000</f>
        <v>312</v>
      </c>
      <c r="AW920" s="9" t="n">
        <f aca="false">SUM(AJ920:AU920)</f>
        <v>96720</v>
      </c>
      <c r="AX920" s="9" t="n">
        <f aca="false">IF(D920="INR",AW920/88.24,AW920)/1000000</f>
        <v>0.00109610154125113</v>
      </c>
    </row>
    <row r="921" s="2" customFormat="true" ht="14.25" hidden="false" customHeight="false" outlineLevel="0" collapsed="false">
      <c r="A921" s="28"/>
      <c r="B921" s="16"/>
      <c r="C921" s="16"/>
      <c r="D921" s="16" t="s">
        <v>50</v>
      </c>
      <c r="E921" s="16"/>
      <c r="F921" s="16" t="s">
        <v>52</v>
      </c>
      <c r="G921" s="16" t="s">
        <v>1819</v>
      </c>
      <c r="H921" s="16" t="s">
        <v>259</v>
      </c>
      <c r="I921" s="16"/>
      <c r="J921" s="16"/>
      <c r="K921" s="16"/>
      <c r="L921" s="16"/>
      <c r="M921" s="16"/>
      <c r="N921" s="16" t="s">
        <v>67</v>
      </c>
      <c r="O921" s="16" t="s">
        <v>107</v>
      </c>
      <c r="P921" s="16"/>
      <c r="Q921" s="16" t="s">
        <v>308</v>
      </c>
      <c r="R921" s="16"/>
      <c r="S921" s="16"/>
      <c r="T921" s="16" t="s">
        <v>1820</v>
      </c>
      <c r="U921" s="16" t="s">
        <v>73</v>
      </c>
      <c r="V921" s="16" t="n">
        <v>0.74</v>
      </c>
      <c r="W921" s="16"/>
      <c r="X921" s="16" t="n">
        <v>10000</v>
      </c>
      <c r="Y921" s="16" t="n">
        <v>10000</v>
      </c>
      <c r="Z921" s="16" t="n">
        <v>10000</v>
      </c>
      <c r="AA921" s="16" t="n">
        <v>10000</v>
      </c>
      <c r="AB921" s="16" t="n">
        <v>10000</v>
      </c>
      <c r="AC921" s="16" t="n">
        <v>10000</v>
      </c>
      <c r="AD921" s="16" t="n">
        <v>10000</v>
      </c>
      <c r="AE921" s="16" t="n">
        <v>10000</v>
      </c>
      <c r="AF921" s="16" t="n">
        <v>10000</v>
      </c>
      <c r="AG921" s="16" t="n">
        <v>10000</v>
      </c>
      <c r="AH921" s="16" t="n">
        <v>10000</v>
      </c>
      <c r="AI921" s="16" t="n">
        <v>10000</v>
      </c>
      <c r="AJ921" s="9" t="n">
        <f aca="false">X921*$V921</f>
        <v>7400</v>
      </c>
      <c r="AK921" s="9" t="n">
        <f aca="false">Y921*$V921</f>
        <v>7400</v>
      </c>
      <c r="AL921" s="9" t="n">
        <f aca="false">Z921*$V921</f>
        <v>7400</v>
      </c>
      <c r="AM921" s="9" t="n">
        <f aca="false">AA921*$V921</f>
        <v>7400</v>
      </c>
      <c r="AN921" s="9" t="n">
        <f aca="false">AB921*$V921</f>
        <v>7400</v>
      </c>
      <c r="AO921" s="9" t="n">
        <f aca="false">AC921*$V921</f>
        <v>7400</v>
      </c>
      <c r="AP921" s="9" t="n">
        <f aca="false">AD921*$V921</f>
        <v>7400</v>
      </c>
      <c r="AQ921" s="9" t="n">
        <f aca="false">AE921*$V921</f>
        <v>7400</v>
      </c>
      <c r="AR921" s="9" t="n">
        <f aca="false">AF921*$V921</f>
        <v>7400</v>
      </c>
      <c r="AS921" s="9" t="n">
        <f aca="false">AG921*$V921</f>
        <v>7400</v>
      </c>
      <c r="AT921" s="9" t="n">
        <f aca="false">AH921*$V921</f>
        <v>7400</v>
      </c>
      <c r="AU921" s="9" t="n">
        <f aca="false">AI921*$V921</f>
        <v>7400</v>
      </c>
      <c r="AV921" s="9" t="n">
        <f aca="false">SUM(X921:AI921)/1000</f>
        <v>120</v>
      </c>
      <c r="AW921" s="9" t="n">
        <f aca="false">SUM(AJ921:AU921)</f>
        <v>88800</v>
      </c>
      <c r="AX921" s="9" t="n">
        <f aca="false">IF(D921="INR",AW921/88.24,AW921)/1000000</f>
        <v>0.00100634632819583</v>
      </c>
    </row>
    <row r="922" s="2" customFormat="true" ht="14.25" hidden="false" customHeight="false" outlineLevel="0" collapsed="false">
      <c r="A922" s="28"/>
      <c r="B922" s="16" t="n">
        <v>1</v>
      </c>
      <c r="C922" s="16"/>
      <c r="D922" s="16" t="s">
        <v>50</v>
      </c>
      <c r="E922" s="16" t="s">
        <v>51</v>
      </c>
      <c r="F922" s="16" t="s">
        <v>52</v>
      </c>
      <c r="G922" s="16" t="s">
        <v>781</v>
      </c>
      <c r="H922" s="16" t="s">
        <v>495</v>
      </c>
      <c r="I922" s="16" t="s">
        <v>77</v>
      </c>
      <c r="J922" s="16" t="s">
        <v>496</v>
      </c>
      <c r="K922" s="16" t="s">
        <v>495</v>
      </c>
      <c r="L922" s="16" t="s">
        <v>77</v>
      </c>
      <c r="M922" s="16" t="s">
        <v>496</v>
      </c>
      <c r="N922" s="16" t="s">
        <v>57</v>
      </c>
      <c r="O922" s="16" t="s">
        <v>94</v>
      </c>
      <c r="P922" s="16" t="s">
        <v>1085</v>
      </c>
      <c r="Q922" s="16" t="s">
        <v>1085</v>
      </c>
      <c r="R922" s="16"/>
      <c r="S922" s="16"/>
      <c r="T922" s="26" t="s">
        <v>1821</v>
      </c>
      <c r="U922" s="16"/>
      <c r="V922" s="16" t="n">
        <v>0.92</v>
      </c>
      <c r="W922" s="16"/>
      <c r="X922" s="16" t="n">
        <v>8000</v>
      </c>
      <c r="Y922" s="16" t="n">
        <v>8000</v>
      </c>
      <c r="Z922" s="16" t="n">
        <v>8000</v>
      </c>
      <c r="AA922" s="16" t="n">
        <v>8000</v>
      </c>
      <c r="AB922" s="16" t="n">
        <v>8000</v>
      </c>
      <c r="AC922" s="16" t="n">
        <v>8000</v>
      </c>
      <c r="AD922" s="16" t="n">
        <v>8000</v>
      </c>
      <c r="AE922" s="16" t="n">
        <v>8000</v>
      </c>
      <c r="AF922" s="16" t="n">
        <v>8000</v>
      </c>
      <c r="AG922" s="16" t="n">
        <v>8000</v>
      </c>
      <c r="AH922" s="16" t="n">
        <v>8000</v>
      </c>
      <c r="AI922" s="16" t="n">
        <v>8000</v>
      </c>
      <c r="AJ922" s="9" t="n">
        <f aca="false">X922*$V922</f>
        <v>7360</v>
      </c>
      <c r="AK922" s="9" t="n">
        <f aca="false">Y922*$V922</f>
        <v>7360</v>
      </c>
      <c r="AL922" s="9" t="n">
        <f aca="false">Z922*$V922</f>
        <v>7360</v>
      </c>
      <c r="AM922" s="9" t="n">
        <f aca="false">AA922*$V922</f>
        <v>7360</v>
      </c>
      <c r="AN922" s="9" t="n">
        <f aca="false">AB922*$V922</f>
        <v>7360</v>
      </c>
      <c r="AO922" s="9" t="n">
        <f aca="false">AC922*$V922</f>
        <v>7360</v>
      </c>
      <c r="AP922" s="9" t="n">
        <f aca="false">AD922*$V922</f>
        <v>7360</v>
      </c>
      <c r="AQ922" s="9" t="n">
        <f aca="false">AE922*$V922</f>
        <v>7360</v>
      </c>
      <c r="AR922" s="9" t="n">
        <f aca="false">AF922*$V922</f>
        <v>7360</v>
      </c>
      <c r="AS922" s="9" t="n">
        <f aca="false">AG922*$V922</f>
        <v>7360</v>
      </c>
      <c r="AT922" s="9" t="n">
        <f aca="false">AH922*$V922</f>
        <v>7360</v>
      </c>
      <c r="AU922" s="9" t="n">
        <f aca="false">AI922*$V922</f>
        <v>7360</v>
      </c>
      <c r="AV922" s="9" t="n">
        <f aca="false">SUM(X922:AI922)/1000</f>
        <v>96</v>
      </c>
      <c r="AW922" s="9" t="n">
        <f aca="false">SUM(AJ922:AU922)</f>
        <v>88320</v>
      </c>
      <c r="AX922" s="9" t="n">
        <f aca="false">IF(D922="INR",AW922/88.24,AW922)/1000000</f>
        <v>0.00100090661831369</v>
      </c>
    </row>
    <row r="923" s="2" customFormat="true" ht="16.4" hidden="false" customHeight="false" outlineLevel="0" collapsed="false">
      <c r="A923" s="35" t="s">
        <v>1822</v>
      </c>
      <c r="B923" s="9"/>
      <c r="C923" s="15"/>
      <c r="D923" s="9" t="s">
        <v>50</v>
      </c>
      <c r="E923" s="9" t="s">
        <v>51</v>
      </c>
      <c r="F923" s="9" t="s">
        <v>52</v>
      </c>
      <c r="G923" s="9" t="s">
        <v>258</v>
      </c>
      <c r="H923" s="9" t="s">
        <v>259</v>
      </c>
      <c r="I923" s="9" t="s">
        <v>260</v>
      </c>
      <c r="J923" s="9" t="s">
        <v>261</v>
      </c>
      <c r="K923" s="9"/>
      <c r="L923" s="9" t="s">
        <v>260</v>
      </c>
      <c r="M923" s="9" t="s">
        <v>261</v>
      </c>
      <c r="N923" s="16" t="s">
        <v>67</v>
      </c>
      <c r="O923" s="9" t="s">
        <v>107</v>
      </c>
      <c r="P923" s="9" t="s">
        <v>308</v>
      </c>
      <c r="Q923" s="9" t="s">
        <v>308</v>
      </c>
      <c r="R923" s="9" t="s">
        <v>309</v>
      </c>
      <c r="S923" s="9" t="s">
        <v>264</v>
      </c>
      <c r="T923" s="9" t="s">
        <v>1823</v>
      </c>
      <c r="U923" s="9" t="s">
        <v>73</v>
      </c>
      <c r="V923" s="9" t="n">
        <v>0.53</v>
      </c>
      <c r="W923" s="9" t="n">
        <v>0.48</v>
      </c>
      <c r="X923" s="22" t="n">
        <v>13500</v>
      </c>
      <c r="Y923" s="9" t="n">
        <v>13500</v>
      </c>
      <c r="Z923" s="9" t="n">
        <v>13500</v>
      </c>
      <c r="AA923" s="9" t="n">
        <v>13500</v>
      </c>
      <c r="AB923" s="9" t="n">
        <v>13500</v>
      </c>
      <c r="AC923" s="9" t="n">
        <v>13500</v>
      </c>
      <c r="AD923" s="9" t="n">
        <v>13500</v>
      </c>
      <c r="AE923" s="9" t="n">
        <v>13500</v>
      </c>
      <c r="AF923" s="9" t="n">
        <v>13500</v>
      </c>
      <c r="AG923" s="9"/>
      <c r="AH923" s="9" t="n">
        <v>13500</v>
      </c>
      <c r="AI923" s="9" t="n">
        <v>13500</v>
      </c>
      <c r="AJ923" s="9" t="n">
        <f aca="false">X923*$V923</f>
        <v>7155</v>
      </c>
      <c r="AK923" s="9" t="n">
        <f aca="false">Y923*$V923</f>
        <v>7155</v>
      </c>
      <c r="AL923" s="9" t="n">
        <f aca="false">Z923*$V923</f>
        <v>7155</v>
      </c>
      <c r="AM923" s="9" t="n">
        <f aca="false">AA923*$V923</f>
        <v>7155</v>
      </c>
      <c r="AN923" s="9" t="n">
        <f aca="false">AB923*$V923</f>
        <v>7155</v>
      </c>
      <c r="AO923" s="9" t="n">
        <f aca="false">AC923*$V923</f>
        <v>7155</v>
      </c>
      <c r="AP923" s="9" t="n">
        <f aca="false">AD923*$V923</f>
        <v>7155</v>
      </c>
      <c r="AQ923" s="9" t="n">
        <f aca="false">AE923*$V923</f>
        <v>7155</v>
      </c>
      <c r="AR923" s="9" t="n">
        <f aca="false">AF923*$V923</f>
        <v>7155</v>
      </c>
      <c r="AS923" s="9" t="n">
        <f aca="false">AG923*$V923</f>
        <v>0</v>
      </c>
      <c r="AT923" s="9" t="n">
        <f aca="false">AH923*$V923</f>
        <v>7155</v>
      </c>
      <c r="AU923" s="9" t="n">
        <f aca="false">AI923*$V923</f>
        <v>7155</v>
      </c>
      <c r="AV923" s="9" t="n">
        <f aca="false">SUM(X923:AI923)/1000</f>
        <v>148.5</v>
      </c>
      <c r="AW923" s="9" t="n">
        <f aca="false">SUM(AJ923:AU923)</f>
        <v>78705</v>
      </c>
      <c r="AX923" s="9" t="n">
        <f aca="false">IF(D923="INR",AW923/88.24,AW923)/1000000</f>
        <v>0.000891942429737081</v>
      </c>
    </row>
    <row r="924" s="2" customFormat="true" ht="16.4" hidden="false" customHeight="false" outlineLevel="0" collapsed="false">
      <c r="A924" s="28" t="s">
        <v>1824</v>
      </c>
      <c r="B924" s="16" t="n">
        <v>5</v>
      </c>
      <c r="C924" s="16" t="n">
        <v>5</v>
      </c>
      <c r="D924" s="16" t="s">
        <v>50</v>
      </c>
      <c r="E924" s="16" t="s">
        <v>51</v>
      </c>
      <c r="F924" s="16" t="s">
        <v>267</v>
      </c>
      <c r="G924" s="16" t="s">
        <v>1825</v>
      </c>
      <c r="H924" s="16" t="s">
        <v>1826</v>
      </c>
      <c r="I924" s="16" t="s">
        <v>105</v>
      </c>
      <c r="J924" s="16" t="s">
        <v>1827</v>
      </c>
      <c r="K924" s="16"/>
      <c r="L924" s="16" t="s">
        <v>105</v>
      </c>
      <c r="M924" s="16" t="s">
        <v>1827</v>
      </c>
      <c r="N924" s="16" t="s">
        <v>271</v>
      </c>
      <c r="O924" s="16" t="s">
        <v>94</v>
      </c>
      <c r="P924" s="16" t="s">
        <v>308</v>
      </c>
      <c r="Q924" s="16" t="s">
        <v>308</v>
      </c>
      <c r="R924" s="16" t="s">
        <v>309</v>
      </c>
      <c r="S924" s="16" t="s">
        <v>264</v>
      </c>
      <c r="T924" s="16" t="s">
        <v>1828</v>
      </c>
      <c r="U924" s="16" t="s">
        <v>73</v>
      </c>
      <c r="V924" s="16" t="n">
        <v>4.7</v>
      </c>
      <c r="W924" s="26" t="n">
        <v>4.14</v>
      </c>
      <c r="X924" s="16" t="n">
        <v>1500</v>
      </c>
      <c r="Y924" s="16" t="n">
        <v>1500</v>
      </c>
      <c r="Z924" s="16" t="n">
        <v>1500</v>
      </c>
      <c r="AA924" s="16"/>
      <c r="AB924" s="16"/>
      <c r="AC924" s="16"/>
      <c r="AD924" s="16"/>
      <c r="AE924" s="16"/>
      <c r="AF924" s="16"/>
      <c r="AG924" s="16"/>
      <c r="AH924" s="16" t="n">
        <v>1500</v>
      </c>
      <c r="AI924" s="16" t="n">
        <v>1500</v>
      </c>
      <c r="AJ924" s="9" t="n">
        <f aca="false">X924*$V924</f>
        <v>7050</v>
      </c>
      <c r="AK924" s="9" t="n">
        <f aca="false">Y924*$V924</f>
        <v>7050</v>
      </c>
      <c r="AL924" s="9" t="n">
        <f aca="false">Z924*$V924</f>
        <v>7050</v>
      </c>
      <c r="AM924" s="9" t="n">
        <f aca="false">AA924*$V924</f>
        <v>0</v>
      </c>
      <c r="AN924" s="9" t="n">
        <f aca="false">AB924*$V924</f>
        <v>0</v>
      </c>
      <c r="AO924" s="9" t="n">
        <f aca="false">AC924*$V924</f>
        <v>0</v>
      </c>
      <c r="AP924" s="9" t="n">
        <f aca="false">AD924*$V924</f>
        <v>0</v>
      </c>
      <c r="AQ924" s="9" t="n">
        <f aca="false">AE924*$V924</f>
        <v>0</v>
      </c>
      <c r="AR924" s="9" t="n">
        <f aca="false">AF924*$V924</f>
        <v>0</v>
      </c>
      <c r="AS924" s="9" t="n">
        <f aca="false">AG924*$V924</f>
        <v>0</v>
      </c>
      <c r="AT924" s="9" t="n">
        <f aca="false">AH924*$V924</f>
        <v>7050</v>
      </c>
      <c r="AU924" s="9" t="n">
        <f aca="false">AI924*$V924</f>
        <v>7050</v>
      </c>
      <c r="AV924" s="9" t="n">
        <f aca="false">SUM(X924:AI924)/1000</f>
        <v>7.5</v>
      </c>
      <c r="AW924" s="9" t="n">
        <f aca="false">SUM(AJ924:AU924)</f>
        <v>35250</v>
      </c>
      <c r="AX924" s="9" t="n">
        <f aca="false">IF(D924="INR",AW924/88.24,AW924)/1000000</f>
        <v>0.000399478694469628</v>
      </c>
    </row>
    <row r="925" s="2" customFormat="true" ht="16.4" hidden="false" customHeight="false" outlineLevel="0" collapsed="false">
      <c r="A925" s="28" t="s">
        <v>1829</v>
      </c>
      <c r="B925" s="16" t="n">
        <v>5</v>
      </c>
      <c r="C925" s="16"/>
      <c r="D925" s="16" t="s">
        <v>50</v>
      </c>
      <c r="E925" s="16" t="s">
        <v>51</v>
      </c>
      <c r="F925" s="16" t="s">
        <v>52</v>
      </c>
      <c r="G925" s="16" t="s">
        <v>781</v>
      </c>
      <c r="H925" s="16" t="s">
        <v>495</v>
      </c>
      <c r="I925" s="16" t="s">
        <v>77</v>
      </c>
      <c r="J925" s="16" t="s">
        <v>496</v>
      </c>
      <c r="K925" s="16" t="s">
        <v>495</v>
      </c>
      <c r="L925" s="16" t="s">
        <v>77</v>
      </c>
      <c r="M925" s="16" t="s">
        <v>496</v>
      </c>
      <c r="N925" s="16" t="s">
        <v>57</v>
      </c>
      <c r="O925" s="16" t="s">
        <v>94</v>
      </c>
      <c r="P925" s="16" t="s">
        <v>308</v>
      </c>
      <c r="Q925" s="16" t="s">
        <v>308</v>
      </c>
      <c r="R925" s="16" t="s">
        <v>309</v>
      </c>
      <c r="S925" s="33" t="s">
        <v>264</v>
      </c>
      <c r="T925" s="16" t="s">
        <v>1830</v>
      </c>
      <c r="U925" s="16" t="s">
        <v>73</v>
      </c>
      <c r="V925" s="16" t="n">
        <v>7</v>
      </c>
      <c r="W925" s="16" t="n">
        <v>6.13</v>
      </c>
      <c r="X925" s="16"/>
      <c r="Y925" s="16"/>
      <c r="Z925" s="16" t="n">
        <v>1000</v>
      </c>
      <c r="AA925" s="16"/>
      <c r="AB925" s="16"/>
      <c r="AC925" s="16"/>
      <c r="AD925" s="16" t="n">
        <v>1000</v>
      </c>
      <c r="AE925" s="16"/>
      <c r="AF925" s="16" t="n">
        <v>1000</v>
      </c>
      <c r="AG925" s="16"/>
      <c r="AH925" s="16" t="n">
        <v>1000</v>
      </c>
      <c r="AI925" s="16" t="n">
        <v>1000</v>
      </c>
      <c r="AJ925" s="9" t="n">
        <f aca="false">X925*$V925</f>
        <v>0</v>
      </c>
      <c r="AK925" s="9" t="n">
        <f aca="false">Y925*$V925</f>
        <v>0</v>
      </c>
      <c r="AL925" s="9" t="n">
        <f aca="false">Z925*$V925</f>
        <v>7000</v>
      </c>
      <c r="AM925" s="9" t="n">
        <f aca="false">AA925*$V925</f>
        <v>0</v>
      </c>
      <c r="AN925" s="9" t="n">
        <f aca="false">AB925*$V925</f>
        <v>0</v>
      </c>
      <c r="AO925" s="9" t="n">
        <f aca="false">AC925*$V925</f>
        <v>0</v>
      </c>
      <c r="AP925" s="9" t="n">
        <f aca="false">AD925*$V925</f>
        <v>7000</v>
      </c>
      <c r="AQ925" s="9" t="n">
        <f aca="false">AE925*$V925</f>
        <v>0</v>
      </c>
      <c r="AR925" s="9" t="n">
        <f aca="false">AF925*$V925</f>
        <v>7000</v>
      </c>
      <c r="AS925" s="9" t="n">
        <f aca="false">AG925*$V925</f>
        <v>0</v>
      </c>
      <c r="AT925" s="9" t="n">
        <f aca="false">AH925*$V925</f>
        <v>7000</v>
      </c>
      <c r="AU925" s="9" t="n">
        <f aca="false">AI925*$V925</f>
        <v>7000</v>
      </c>
      <c r="AV925" s="9" t="n">
        <f aca="false">SUM(X925:AI925)/1000</f>
        <v>5</v>
      </c>
      <c r="AW925" s="9" t="n">
        <f aca="false">SUM(AJ925:AU925)</f>
        <v>35000</v>
      </c>
      <c r="AX925" s="9" t="n">
        <f aca="false">IF(D925="INR",AW925/88.24,AW925)/1000000</f>
        <v>0.000396645512239347</v>
      </c>
    </row>
    <row r="926" s="2" customFormat="true" ht="14.25" hidden="false" customHeight="false" outlineLevel="0" collapsed="false">
      <c r="A926" s="12"/>
      <c r="B926" s="9" t="n">
        <v>1</v>
      </c>
      <c r="C926" s="10"/>
      <c r="D926" s="9" t="s">
        <v>50</v>
      </c>
      <c r="E926" s="9" t="s">
        <v>51</v>
      </c>
      <c r="F926" s="9" t="s">
        <v>52</v>
      </c>
      <c r="G926" s="9" t="s">
        <v>781</v>
      </c>
      <c r="H926" s="9" t="s">
        <v>495</v>
      </c>
      <c r="I926" s="9" t="s">
        <v>77</v>
      </c>
      <c r="J926" s="9" t="s">
        <v>496</v>
      </c>
      <c r="K926" s="9" t="s">
        <v>495</v>
      </c>
      <c r="L926" s="9" t="s">
        <v>77</v>
      </c>
      <c r="M926" s="9" t="s">
        <v>496</v>
      </c>
      <c r="N926" s="9" t="s">
        <v>57</v>
      </c>
      <c r="O926" s="9" t="s">
        <v>94</v>
      </c>
      <c r="P926" s="9" t="s">
        <v>1085</v>
      </c>
      <c r="Q926" s="9" t="s">
        <v>1085</v>
      </c>
      <c r="R926" s="9"/>
      <c r="S926" s="9"/>
      <c r="T926" s="9" t="s">
        <v>1831</v>
      </c>
      <c r="U926" s="9"/>
      <c r="V926" s="9" t="n">
        <v>0.86</v>
      </c>
      <c r="W926" s="9"/>
      <c r="X926" s="54" t="n">
        <v>8000</v>
      </c>
      <c r="Y926" s="54" t="n">
        <v>8000</v>
      </c>
      <c r="Z926" s="54" t="n">
        <v>8000</v>
      </c>
      <c r="AA926" s="54" t="n">
        <v>8000</v>
      </c>
      <c r="AB926" s="54" t="n">
        <v>8000</v>
      </c>
      <c r="AC926" s="54" t="n">
        <v>8000</v>
      </c>
      <c r="AD926" s="54" t="n">
        <v>8000</v>
      </c>
      <c r="AE926" s="54" t="n">
        <v>8000</v>
      </c>
      <c r="AF926" s="54" t="n">
        <v>8000</v>
      </c>
      <c r="AG926" s="54" t="n">
        <v>8000</v>
      </c>
      <c r="AH926" s="54" t="n">
        <v>8000</v>
      </c>
      <c r="AI926" s="54" t="n">
        <v>8000</v>
      </c>
      <c r="AJ926" s="9" t="n">
        <f aca="false">X926*$V926</f>
        <v>6880</v>
      </c>
      <c r="AK926" s="9" t="n">
        <f aca="false">Y926*$V926</f>
        <v>6880</v>
      </c>
      <c r="AL926" s="9" t="n">
        <f aca="false">Z926*$V926</f>
        <v>6880</v>
      </c>
      <c r="AM926" s="9" t="n">
        <f aca="false">AA926*$V926</f>
        <v>6880</v>
      </c>
      <c r="AN926" s="9" t="n">
        <f aca="false">AB926*$V926</f>
        <v>6880</v>
      </c>
      <c r="AO926" s="9" t="n">
        <f aca="false">AC926*$V926</f>
        <v>6880</v>
      </c>
      <c r="AP926" s="9" t="n">
        <f aca="false">AD926*$V926</f>
        <v>6880</v>
      </c>
      <c r="AQ926" s="9" t="n">
        <f aca="false">AE926*$V926</f>
        <v>6880</v>
      </c>
      <c r="AR926" s="9" t="n">
        <f aca="false">AF926*$V926</f>
        <v>6880</v>
      </c>
      <c r="AS926" s="9" t="n">
        <f aca="false">AG926*$V926</f>
        <v>6880</v>
      </c>
      <c r="AT926" s="9" t="n">
        <f aca="false">AH926*$V926</f>
        <v>6880</v>
      </c>
      <c r="AU926" s="9" t="n">
        <f aca="false">AI926*$V926</f>
        <v>6880</v>
      </c>
      <c r="AV926" s="9" t="n">
        <f aca="false">SUM(X926:AI926)/1000</f>
        <v>96</v>
      </c>
      <c r="AW926" s="9" t="n">
        <f aca="false">SUM(AJ926:AU926)</f>
        <v>82560</v>
      </c>
      <c r="AX926" s="9" t="n">
        <f aca="false">IF(D926="INR",AW926/88.24,AW926)/1000000</f>
        <v>0.000935630099728015</v>
      </c>
    </row>
    <row r="927" s="2" customFormat="true" ht="16.4" hidden="false" customHeight="false" outlineLevel="0" collapsed="false">
      <c r="A927" s="35" t="s">
        <v>1832</v>
      </c>
      <c r="B927" s="16" t="n">
        <v>5</v>
      </c>
      <c r="C927" s="9"/>
      <c r="D927" s="16" t="s">
        <v>50</v>
      </c>
      <c r="E927" s="9" t="s">
        <v>51</v>
      </c>
      <c r="F927" s="9" t="s">
        <v>404</v>
      </c>
      <c r="G927" s="9" t="s">
        <v>1771</v>
      </c>
      <c r="H927" s="9" t="s">
        <v>1772</v>
      </c>
      <c r="I927" s="9" t="s">
        <v>105</v>
      </c>
      <c r="J927" s="9" t="s">
        <v>900</v>
      </c>
      <c r="K927" s="9"/>
      <c r="L927" s="9" t="s">
        <v>105</v>
      </c>
      <c r="M927" s="9" t="s">
        <v>900</v>
      </c>
      <c r="N927" s="9" t="s">
        <v>271</v>
      </c>
      <c r="O927" s="9" t="s">
        <v>94</v>
      </c>
      <c r="P927" s="9" t="s">
        <v>308</v>
      </c>
      <c r="Q927" s="9" t="s">
        <v>308</v>
      </c>
      <c r="R927" s="9" t="s">
        <v>309</v>
      </c>
      <c r="S927" s="9" t="s">
        <v>264</v>
      </c>
      <c r="T927" s="9" t="s">
        <v>1833</v>
      </c>
      <c r="U927" s="9" t="s">
        <v>73</v>
      </c>
      <c r="V927" s="9" t="n">
        <v>2.65</v>
      </c>
      <c r="W927" s="9" t="n">
        <v>2.28</v>
      </c>
      <c r="X927" s="9" t="n">
        <v>2500</v>
      </c>
      <c r="Y927" s="9" t="n">
        <v>2500</v>
      </c>
      <c r="Z927" s="9" t="n">
        <v>2500</v>
      </c>
      <c r="AA927" s="9" t="n">
        <v>2500</v>
      </c>
      <c r="AB927" s="9" t="n">
        <v>2500</v>
      </c>
      <c r="AC927" s="9" t="n">
        <v>2500</v>
      </c>
      <c r="AD927" s="9" t="n">
        <v>2500</v>
      </c>
      <c r="AE927" s="9" t="n">
        <v>2500</v>
      </c>
      <c r="AF927" s="9" t="n">
        <v>2500</v>
      </c>
      <c r="AG927" s="9" t="n">
        <v>2500</v>
      </c>
      <c r="AH927" s="9" t="n">
        <v>2500</v>
      </c>
      <c r="AI927" s="9" t="n">
        <v>2500</v>
      </c>
      <c r="AJ927" s="9" t="n">
        <f aca="false">X927*$V927</f>
        <v>6625</v>
      </c>
      <c r="AK927" s="9" t="n">
        <f aca="false">Y927*$V927</f>
        <v>6625</v>
      </c>
      <c r="AL927" s="9" t="n">
        <f aca="false">Z927*$V927</f>
        <v>6625</v>
      </c>
      <c r="AM927" s="9" t="n">
        <f aca="false">AA927*$V927</f>
        <v>6625</v>
      </c>
      <c r="AN927" s="9" t="n">
        <f aca="false">AB927*$V927</f>
        <v>6625</v>
      </c>
      <c r="AO927" s="9" t="n">
        <f aca="false">AC927*$V927</f>
        <v>6625</v>
      </c>
      <c r="AP927" s="9" t="n">
        <f aca="false">AD927*$V927</f>
        <v>6625</v>
      </c>
      <c r="AQ927" s="9" t="n">
        <f aca="false">AE927*$V927</f>
        <v>6625</v>
      </c>
      <c r="AR927" s="9" t="n">
        <f aca="false">AF927*$V927</f>
        <v>6625</v>
      </c>
      <c r="AS927" s="9" t="n">
        <f aca="false">AG927*$V927</f>
        <v>6625</v>
      </c>
      <c r="AT927" s="9" t="n">
        <f aca="false">AH927*$V927</f>
        <v>6625</v>
      </c>
      <c r="AU927" s="9" t="n">
        <f aca="false">AI927*$V927</f>
        <v>6625</v>
      </c>
      <c r="AV927" s="9" t="n">
        <f aca="false">SUM(X927:AI927)/1000</f>
        <v>30</v>
      </c>
      <c r="AW927" s="9" t="n">
        <f aca="false">SUM(AJ927:AU927)</f>
        <v>79500</v>
      </c>
      <c r="AX927" s="9" t="n">
        <f aca="false">IF(D927="INR",AW927/88.24,AW927)/1000000</f>
        <v>0.000900951949229375</v>
      </c>
    </row>
    <row r="928" s="2" customFormat="true" ht="16.4" hidden="false" customHeight="false" outlineLevel="0" collapsed="false">
      <c r="A928" s="35" t="s">
        <v>1834</v>
      </c>
      <c r="B928" s="9" t="n">
        <v>5</v>
      </c>
      <c r="C928" s="10"/>
      <c r="D928" s="9" t="s">
        <v>50</v>
      </c>
      <c r="E928" s="9" t="s">
        <v>51</v>
      </c>
      <c r="F928" s="9" t="s">
        <v>52</v>
      </c>
      <c r="G928" s="9" t="s">
        <v>323</v>
      </c>
      <c r="H928" s="9" t="s">
        <v>324</v>
      </c>
      <c r="I928" s="9" t="s">
        <v>77</v>
      </c>
      <c r="J928" s="9" t="s">
        <v>325</v>
      </c>
      <c r="K928" s="9"/>
      <c r="L928" s="9" t="s">
        <v>77</v>
      </c>
      <c r="M928" s="9" t="s">
        <v>325</v>
      </c>
      <c r="N928" s="9" t="s">
        <v>67</v>
      </c>
      <c r="O928" s="9" t="s">
        <v>68</v>
      </c>
      <c r="P928" s="9" t="s">
        <v>80</v>
      </c>
      <c r="Q928" s="9" t="s">
        <v>80</v>
      </c>
      <c r="R928" s="9" t="s">
        <v>81</v>
      </c>
      <c r="S928" s="9" t="s">
        <v>82</v>
      </c>
      <c r="T928" s="9" t="s">
        <v>1835</v>
      </c>
      <c r="U928" s="9" t="s">
        <v>73</v>
      </c>
      <c r="V928" s="10" t="n">
        <v>0.65</v>
      </c>
      <c r="W928" s="9" t="n">
        <v>0.6267</v>
      </c>
      <c r="X928" s="9" t="n">
        <v>10000</v>
      </c>
      <c r="Y928" s="9" t="n">
        <v>10000</v>
      </c>
      <c r="Z928" s="9" t="n">
        <v>10000</v>
      </c>
      <c r="AA928" s="9" t="n">
        <v>10000</v>
      </c>
      <c r="AB928" s="9" t="n">
        <v>10000</v>
      </c>
      <c r="AC928" s="9" t="n">
        <v>10000</v>
      </c>
      <c r="AD928" s="9" t="n">
        <v>10000</v>
      </c>
      <c r="AE928" s="9" t="n">
        <v>10000</v>
      </c>
      <c r="AF928" s="9" t="n">
        <v>10000</v>
      </c>
      <c r="AG928" s="9" t="n">
        <v>10000</v>
      </c>
      <c r="AH928" s="9" t="n">
        <v>10000</v>
      </c>
      <c r="AI928" s="9" t="n">
        <v>10000</v>
      </c>
      <c r="AJ928" s="9" t="n">
        <f aca="false">X928*$V928</f>
        <v>6500</v>
      </c>
      <c r="AK928" s="9" t="n">
        <f aca="false">Y928*$V928</f>
        <v>6500</v>
      </c>
      <c r="AL928" s="9" t="n">
        <f aca="false">Z928*$V928</f>
        <v>6500</v>
      </c>
      <c r="AM928" s="9" t="n">
        <f aca="false">AA928*$V928</f>
        <v>6500</v>
      </c>
      <c r="AN928" s="9" t="n">
        <f aca="false">AB928*$V928</f>
        <v>6500</v>
      </c>
      <c r="AO928" s="9" t="n">
        <f aca="false">AC928*$V928</f>
        <v>6500</v>
      </c>
      <c r="AP928" s="9" t="n">
        <f aca="false">AD928*$V928</f>
        <v>6500</v>
      </c>
      <c r="AQ928" s="9" t="n">
        <f aca="false">AE928*$V928</f>
        <v>6500</v>
      </c>
      <c r="AR928" s="9" t="n">
        <f aca="false">AF928*$V928</f>
        <v>6500</v>
      </c>
      <c r="AS928" s="9" t="n">
        <f aca="false">AG928*$V928</f>
        <v>6500</v>
      </c>
      <c r="AT928" s="9" t="n">
        <f aca="false">AH928*$V928</f>
        <v>6500</v>
      </c>
      <c r="AU928" s="9" t="n">
        <f aca="false">AI928*$V928</f>
        <v>6500</v>
      </c>
      <c r="AV928" s="9" t="n">
        <f aca="false">SUM(X928:AI928)/1000</f>
        <v>120</v>
      </c>
      <c r="AW928" s="9" t="n">
        <f aca="false">SUM(AJ928:AU928)</f>
        <v>78000</v>
      </c>
      <c r="AX928" s="9" t="n">
        <f aca="false">IF(D928="INR",AW928/88.24,AW928)/1000000</f>
        <v>0.000883952855847688</v>
      </c>
    </row>
    <row r="929" s="2" customFormat="true" ht="16.4" hidden="false" customHeight="false" outlineLevel="0" collapsed="false">
      <c r="A929" s="35" t="s">
        <v>1836</v>
      </c>
      <c r="B929" s="9" t="n">
        <v>5</v>
      </c>
      <c r="C929" s="10"/>
      <c r="D929" s="9" t="s">
        <v>50</v>
      </c>
      <c r="E929" s="9" t="s">
        <v>51</v>
      </c>
      <c r="F929" s="9" t="s">
        <v>52</v>
      </c>
      <c r="G929" s="9" t="s">
        <v>323</v>
      </c>
      <c r="H929" s="9" t="s">
        <v>324</v>
      </c>
      <c r="I929" s="9" t="s">
        <v>77</v>
      </c>
      <c r="J929" s="9" t="s">
        <v>325</v>
      </c>
      <c r="K929" s="9"/>
      <c r="L929" s="9" t="s">
        <v>77</v>
      </c>
      <c r="M929" s="9" t="s">
        <v>325</v>
      </c>
      <c r="N929" s="9" t="s">
        <v>67</v>
      </c>
      <c r="O929" s="9" t="s">
        <v>68</v>
      </c>
      <c r="P929" s="9" t="s">
        <v>80</v>
      </c>
      <c r="Q929" s="9" t="s">
        <v>80</v>
      </c>
      <c r="R929" s="9" t="s">
        <v>81</v>
      </c>
      <c r="S929" s="9" t="s">
        <v>82</v>
      </c>
      <c r="T929" s="9" t="s">
        <v>1837</v>
      </c>
      <c r="U929" s="9" t="s">
        <v>73</v>
      </c>
      <c r="V929" s="9" t="n">
        <v>0.65</v>
      </c>
      <c r="W929" s="9" t="n">
        <v>0.6267</v>
      </c>
      <c r="X929" s="9" t="n">
        <v>10000</v>
      </c>
      <c r="Y929" s="9" t="n">
        <v>10000</v>
      </c>
      <c r="Z929" s="9" t="n">
        <v>10000</v>
      </c>
      <c r="AA929" s="9" t="n">
        <v>10000</v>
      </c>
      <c r="AB929" s="9" t="n">
        <v>10000</v>
      </c>
      <c r="AC929" s="9" t="n">
        <v>10000</v>
      </c>
      <c r="AD929" s="9" t="n">
        <v>10000</v>
      </c>
      <c r="AE929" s="9" t="n">
        <v>10000</v>
      </c>
      <c r="AF929" s="9" t="n">
        <v>10000</v>
      </c>
      <c r="AG929" s="9" t="n">
        <v>10000</v>
      </c>
      <c r="AH929" s="9" t="n">
        <v>10000</v>
      </c>
      <c r="AI929" s="9" t="n">
        <v>10000</v>
      </c>
      <c r="AJ929" s="9" t="n">
        <f aca="false">X929*$V929</f>
        <v>6500</v>
      </c>
      <c r="AK929" s="9" t="n">
        <f aca="false">Y929*$V929</f>
        <v>6500</v>
      </c>
      <c r="AL929" s="9" t="n">
        <f aca="false">Z929*$V929</f>
        <v>6500</v>
      </c>
      <c r="AM929" s="9" t="n">
        <f aca="false">AA929*$V929</f>
        <v>6500</v>
      </c>
      <c r="AN929" s="9" t="n">
        <f aca="false">AB929*$V929</f>
        <v>6500</v>
      </c>
      <c r="AO929" s="9" t="n">
        <f aca="false">AC929*$V929</f>
        <v>6500</v>
      </c>
      <c r="AP929" s="9" t="n">
        <f aca="false">AD929*$V929</f>
        <v>6500</v>
      </c>
      <c r="AQ929" s="9" t="n">
        <f aca="false">AE929*$V929</f>
        <v>6500</v>
      </c>
      <c r="AR929" s="9" t="n">
        <f aca="false">AF929*$V929</f>
        <v>6500</v>
      </c>
      <c r="AS929" s="9" t="n">
        <f aca="false">AG929*$V929</f>
        <v>6500</v>
      </c>
      <c r="AT929" s="9" t="n">
        <f aca="false">AH929*$V929</f>
        <v>6500</v>
      </c>
      <c r="AU929" s="9" t="n">
        <f aca="false">AI929*$V929</f>
        <v>6500</v>
      </c>
      <c r="AV929" s="9" t="n">
        <f aca="false">SUM(X929:AI929)/1000</f>
        <v>120</v>
      </c>
      <c r="AW929" s="9" t="n">
        <f aca="false">SUM(AJ929:AU929)</f>
        <v>78000</v>
      </c>
      <c r="AX929" s="9" t="n">
        <f aca="false">IF(D929="INR",AW929/88.24,AW929)/1000000</f>
        <v>0.000883952855847688</v>
      </c>
    </row>
    <row r="930" s="2" customFormat="true" ht="16.4" hidden="false" customHeight="false" outlineLevel="0" collapsed="false">
      <c r="A930" s="35" t="s">
        <v>1838</v>
      </c>
      <c r="B930" s="9" t="n">
        <v>5</v>
      </c>
      <c r="C930" s="10"/>
      <c r="D930" s="9" t="s">
        <v>50</v>
      </c>
      <c r="E930" s="9" t="s">
        <v>51</v>
      </c>
      <c r="F930" s="9" t="s">
        <v>52</v>
      </c>
      <c r="G930" s="9" t="s">
        <v>323</v>
      </c>
      <c r="H930" s="9" t="s">
        <v>324</v>
      </c>
      <c r="I930" s="9" t="s">
        <v>77</v>
      </c>
      <c r="J930" s="9" t="s">
        <v>325</v>
      </c>
      <c r="K930" s="9"/>
      <c r="L930" s="9" t="s">
        <v>77</v>
      </c>
      <c r="M930" s="9" t="s">
        <v>325</v>
      </c>
      <c r="N930" s="9" t="s">
        <v>67</v>
      </c>
      <c r="O930" s="9" t="s">
        <v>68</v>
      </c>
      <c r="P930" s="9" t="s">
        <v>80</v>
      </c>
      <c r="Q930" s="9" t="s">
        <v>80</v>
      </c>
      <c r="R930" s="9" t="s">
        <v>81</v>
      </c>
      <c r="S930" s="9" t="s">
        <v>82</v>
      </c>
      <c r="T930" s="9" t="s">
        <v>1839</v>
      </c>
      <c r="U930" s="9" t="s">
        <v>73</v>
      </c>
      <c r="V930" s="9" t="n">
        <v>0.65</v>
      </c>
      <c r="W930" s="9" t="n">
        <v>0.6267</v>
      </c>
      <c r="X930" s="9" t="n">
        <v>10000</v>
      </c>
      <c r="Y930" s="9" t="n">
        <v>10000</v>
      </c>
      <c r="Z930" s="9" t="n">
        <v>10000</v>
      </c>
      <c r="AA930" s="9" t="n">
        <v>10000</v>
      </c>
      <c r="AB930" s="9" t="n">
        <v>10000</v>
      </c>
      <c r="AC930" s="9" t="n">
        <v>10000</v>
      </c>
      <c r="AD930" s="9" t="n">
        <v>10000</v>
      </c>
      <c r="AE930" s="9" t="n">
        <v>10000</v>
      </c>
      <c r="AF930" s="9" t="n">
        <v>10000</v>
      </c>
      <c r="AG930" s="9" t="n">
        <v>10000</v>
      </c>
      <c r="AH930" s="9" t="n">
        <v>10000</v>
      </c>
      <c r="AI930" s="9" t="n">
        <v>10000</v>
      </c>
      <c r="AJ930" s="9" t="n">
        <f aca="false">X930*$V930</f>
        <v>6500</v>
      </c>
      <c r="AK930" s="9" t="n">
        <f aca="false">Y930*$V930</f>
        <v>6500</v>
      </c>
      <c r="AL930" s="9" t="n">
        <f aca="false">Z930*$V930</f>
        <v>6500</v>
      </c>
      <c r="AM930" s="9" t="n">
        <f aca="false">AA930*$V930</f>
        <v>6500</v>
      </c>
      <c r="AN930" s="9" t="n">
        <f aca="false">AB930*$V930</f>
        <v>6500</v>
      </c>
      <c r="AO930" s="9" t="n">
        <f aca="false">AC930*$V930</f>
        <v>6500</v>
      </c>
      <c r="AP930" s="9" t="n">
        <f aca="false">AD930*$V930</f>
        <v>6500</v>
      </c>
      <c r="AQ930" s="9" t="n">
        <f aca="false">AE930*$V930</f>
        <v>6500</v>
      </c>
      <c r="AR930" s="9" t="n">
        <f aca="false">AF930*$V930</f>
        <v>6500</v>
      </c>
      <c r="AS930" s="9" t="n">
        <f aca="false">AG930*$V930</f>
        <v>6500</v>
      </c>
      <c r="AT930" s="9" t="n">
        <f aca="false">AH930*$V930</f>
        <v>6500</v>
      </c>
      <c r="AU930" s="9" t="n">
        <f aca="false">AI930*$V930</f>
        <v>6500</v>
      </c>
      <c r="AV930" s="9" t="n">
        <f aca="false">SUM(X930:AI930)/1000</f>
        <v>120</v>
      </c>
      <c r="AW930" s="9" t="n">
        <f aca="false">SUM(AJ930:AU930)</f>
        <v>78000</v>
      </c>
      <c r="AX930" s="9" t="n">
        <f aca="false">IF(D930="INR",AW930/88.24,AW930)/1000000</f>
        <v>0.000883952855847688</v>
      </c>
    </row>
    <row r="931" s="2" customFormat="true" ht="16.4" hidden="false" customHeight="false" outlineLevel="0" collapsed="false">
      <c r="A931" s="28" t="s">
        <v>1840</v>
      </c>
      <c r="B931" s="16"/>
      <c r="C931" s="16"/>
      <c r="D931" s="16" t="s">
        <v>50</v>
      </c>
      <c r="E931" s="16" t="s">
        <v>51</v>
      </c>
      <c r="F931" s="16" t="s">
        <v>52</v>
      </c>
      <c r="G931" s="16" t="s">
        <v>1841</v>
      </c>
      <c r="H931" s="16" t="s">
        <v>1842</v>
      </c>
      <c r="I931" s="16" t="s">
        <v>105</v>
      </c>
      <c r="J931" s="16" t="s">
        <v>900</v>
      </c>
      <c r="K931" s="16"/>
      <c r="L931" s="16" t="s">
        <v>105</v>
      </c>
      <c r="M931" s="16" t="s">
        <v>900</v>
      </c>
      <c r="N931" s="16" t="s">
        <v>67</v>
      </c>
      <c r="O931" s="16" t="s">
        <v>246</v>
      </c>
      <c r="P931" s="16" t="s">
        <v>308</v>
      </c>
      <c r="Q931" s="16" t="s">
        <v>308</v>
      </c>
      <c r="R931" s="16" t="s">
        <v>309</v>
      </c>
      <c r="S931" s="16" t="s">
        <v>264</v>
      </c>
      <c r="T931" s="16" t="s">
        <v>1843</v>
      </c>
      <c r="U931" s="16" t="s">
        <v>73</v>
      </c>
      <c r="V931" s="26" t="n">
        <v>2.07</v>
      </c>
      <c r="W931" s="16" t="n">
        <v>1.88</v>
      </c>
      <c r="X931" s="16"/>
      <c r="Y931" s="16"/>
      <c r="Z931" s="16" t="n">
        <v>3000</v>
      </c>
      <c r="AA931" s="16"/>
      <c r="AB931" s="16"/>
      <c r="AC931" s="16"/>
      <c r="AD931" s="16"/>
      <c r="AE931" s="16"/>
      <c r="AF931" s="16"/>
      <c r="AG931" s="16"/>
      <c r="AH931" s="16"/>
      <c r="AI931" s="16"/>
      <c r="AJ931" s="9" t="n">
        <f aca="false">X931*$V931</f>
        <v>0</v>
      </c>
      <c r="AK931" s="9" t="n">
        <f aca="false">Y931*$V931</f>
        <v>0</v>
      </c>
      <c r="AL931" s="9" t="n">
        <f aca="false">Z931*$V931</f>
        <v>6210</v>
      </c>
      <c r="AM931" s="9" t="n">
        <f aca="false">AA931*$V931</f>
        <v>0</v>
      </c>
      <c r="AN931" s="9" t="n">
        <f aca="false">AB931*$V931</f>
        <v>0</v>
      </c>
      <c r="AO931" s="9" t="n">
        <f aca="false">AC931*$V931</f>
        <v>0</v>
      </c>
      <c r="AP931" s="9" t="n">
        <f aca="false">AD931*$V931</f>
        <v>0</v>
      </c>
      <c r="AQ931" s="9" t="n">
        <f aca="false">AE931*$V931</f>
        <v>0</v>
      </c>
      <c r="AR931" s="9" t="n">
        <f aca="false">AF931*$V931</f>
        <v>0</v>
      </c>
      <c r="AS931" s="9" t="n">
        <f aca="false">AG931*$V931</f>
        <v>0</v>
      </c>
      <c r="AT931" s="9" t="n">
        <f aca="false">AH931*$V931</f>
        <v>0</v>
      </c>
      <c r="AU931" s="9" t="n">
        <f aca="false">AI931*$V931</f>
        <v>0</v>
      </c>
      <c r="AV931" s="9" t="n">
        <f aca="false">SUM(X931:AI931)/1000</f>
        <v>3</v>
      </c>
      <c r="AW931" s="9" t="n">
        <f aca="false">SUM(AJ931:AU931)</f>
        <v>6210</v>
      </c>
      <c r="AX931" s="9" t="n">
        <f aca="false">IF(D931="INR",AW931/88.24,AW931)/1000000</f>
        <v>7.03762466001813E-005</v>
      </c>
    </row>
    <row r="932" s="2" customFormat="true" ht="14.25" hidden="false" customHeight="false" outlineLevel="0" collapsed="false">
      <c r="A932" s="35"/>
      <c r="B932" s="9" t="n">
        <v>1</v>
      </c>
      <c r="C932" s="10"/>
      <c r="D932" s="9" t="s">
        <v>50</v>
      </c>
      <c r="E932" s="9" t="s">
        <v>51</v>
      </c>
      <c r="F932" s="9" t="s">
        <v>52</v>
      </c>
      <c r="G932" s="9" t="s">
        <v>781</v>
      </c>
      <c r="H932" s="9" t="s">
        <v>495</v>
      </c>
      <c r="I932" s="9" t="s">
        <v>77</v>
      </c>
      <c r="J932" s="9" t="s">
        <v>496</v>
      </c>
      <c r="K932" s="9" t="s">
        <v>495</v>
      </c>
      <c r="L932" s="9" t="s">
        <v>77</v>
      </c>
      <c r="M932" s="9" t="s">
        <v>496</v>
      </c>
      <c r="N932" s="16" t="s">
        <v>57</v>
      </c>
      <c r="O932" s="9" t="s">
        <v>94</v>
      </c>
      <c r="P932" s="9" t="s">
        <v>1085</v>
      </c>
      <c r="Q932" s="9" t="s">
        <v>1085</v>
      </c>
      <c r="R932" s="9"/>
      <c r="S932" s="9"/>
      <c r="T932" s="9" t="s">
        <v>1844</v>
      </c>
      <c r="U932" s="9"/>
      <c r="V932" s="9" t="n">
        <v>0.76</v>
      </c>
      <c r="W932" s="9"/>
      <c r="X932" s="9" t="n">
        <v>8000</v>
      </c>
      <c r="Y932" s="9" t="n">
        <v>8000</v>
      </c>
      <c r="Z932" s="9" t="n">
        <v>8000</v>
      </c>
      <c r="AA932" s="9" t="n">
        <v>8000</v>
      </c>
      <c r="AB932" s="9" t="n">
        <v>8000</v>
      </c>
      <c r="AC932" s="9" t="n">
        <v>8000</v>
      </c>
      <c r="AD932" s="9" t="n">
        <v>8000</v>
      </c>
      <c r="AE932" s="9" t="n">
        <v>8000</v>
      </c>
      <c r="AF932" s="9" t="n">
        <v>8000</v>
      </c>
      <c r="AG932" s="9" t="n">
        <v>8000</v>
      </c>
      <c r="AH932" s="9" t="n">
        <v>8000</v>
      </c>
      <c r="AI932" s="9" t="n">
        <v>8000</v>
      </c>
      <c r="AJ932" s="9" t="n">
        <f aca="false">X932*$V932</f>
        <v>6080</v>
      </c>
      <c r="AK932" s="9" t="n">
        <f aca="false">Y932*$V932</f>
        <v>6080</v>
      </c>
      <c r="AL932" s="9" t="n">
        <f aca="false">Z932*$V932</f>
        <v>6080</v>
      </c>
      <c r="AM932" s="9" t="n">
        <f aca="false">AA932*$V932</f>
        <v>6080</v>
      </c>
      <c r="AN932" s="9" t="n">
        <f aca="false">AB932*$V932</f>
        <v>6080</v>
      </c>
      <c r="AO932" s="9" t="n">
        <f aca="false">AC932*$V932</f>
        <v>6080</v>
      </c>
      <c r="AP932" s="9" t="n">
        <f aca="false">AD932*$V932</f>
        <v>6080</v>
      </c>
      <c r="AQ932" s="9" t="n">
        <f aca="false">AE932*$V932</f>
        <v>6080</v>
      </c>
      <c r="AR932" s="9" t="n">
        <f aca="false">AF932*$V932</f>
        <v>6080</v>
      </c>
      <c r="AS932" s="9" t="n">
        <f aca="false">AG932*$V932</f>
        <v>6080</v>
      </c>
      <c r="AT932" s="9" t="n">
        <f aca="false">AH932*$V932</f>
        <v>6080</v>
      </c>
      <c r="AU932" s="9" t="n">
        <f aca="false">AI932*$V932</f>
        <v>6080</v>
      </c>
      <c r="AV932" s="9" t="n">
        <f aca="false">SUM(X932:AI932)/1000</f>
        <v>96</v>
      </c>
      <c r="AW932" s="9" t="n">
        <f aca="false">SUM(AJ932:AU932)</f>
        <v>72960</v>
      </c>
      <c r="AX932" s="9" t="n">
        <f aca="false">IF(D932="INR",AW932/88.24,AW932)/1000000</f>
        <v>0.000826835902085222</v>
      </c>
    </row>
    <row r="933" s="2" customFormat="true" ht="14.25" hidden="false" customHeight="false" outlineLevel="0" collapsed="false">
      <c r="A933" s="12"/>
      <c r="B933" s="9" t="n">
        <v>1</v>
      </c>
      <c r="C933" s="10"/>
      <c r="D933" s="9" t="s">
        <v>50</v>
      </c>
      <c r="E933" s="9" t="s">
        <v>51</v>
      </c>
      <c r="F933" s="9" t="s">
        <v>52</v>
      </c>
      <c r="G933" s="9" t="s">
        <v>781</v>
      </c>
      <c r="H933" s="9" t="s">
        <v>495</v>
      </c>
      <c r="I933" s="9" t="s">
        <v>77</v>
      </c>
      <c r="J933" s="9" t="s">
        <v>496</v>
      </c>
      <c r="K933" s="9" t="s">
        <v>495</v>
      </c>
      <c r="L933" s="9" t="s">
        <v>77</v>
      </c>
      <c r="M933" s="9" t="s">
        <v>496</v>
      </c>
      <c r="N933" s="9" t="s">
        <v>57</v>
      </c>
      <c r="O933" s="9" t="s">
        <v>94</v>
      </c>
      <c r="P933" s="9" t="s">
        <v>1085</v>
      </c>
      <c r="Q933" s="9" t="s">
        <v>1085</v>
      </c>
      <c r="R933" s="9"/>
      <c r="S933" s="9"/>
      <c r="T933" s="9" t="s">
        <v>1845</v>
      </c>
      <c r="U933" s="9"/>
      <c r="V933" s="9" t="n">
        <v>0.73</v>
      </c>
      <c r="W933" s="9"/>
      <c r="X933" s="9" t="n">
        <v>8000</v>
      </c>
      <c r="Y933" s="9" t="n">
        <v>8000</v>
      </c>
      <c r="Z933" s="9" t="n">
        <v>8000</v>
      </c>
      <c r="AA933" s="9" t="n">
        <v>8000</v>
      </c>
      <c r="AB933" s="9" t="n">
        <v>8000</v>
      </c>
      <c r="AC933" s="9" t="n">
        <v>8000</v>
      </c>
      <c r="AD933" s="9" t="n">
        <v>8000</v>
      </c>
      <c r="AE933" s="9" t="n">
        <v>8000</v>
      </c>
      <c r="AF933" s="9" t="n">
        <v>8000</v>
      </c>
      <c r="AG933" s="9" t="n">
        <v>8000</v>
      </c>
      <c r="AH933" s="9" t="n">
        <v>8000</v>
      </c>
      <c r="AI933" s="9" t="n">
        <v>8000</v>
      </c>
      <c r="AJ933" s="9" t="n">
        <f aca="false">X933*$V933</f>
        <v>5840</v>
      </c>
      <c r="AK933" s="9" t="n">
        <f aca="false">Y933*$V933</f>
        <v>5840</v>
      </c>
      <c r="AL933" s="9" t="n">
        <f aca="false">Z933*$V933</f>
        <v>5840</v>
      </c>
      <c r="AM933" s="9" t="n">
        <f aca="false">AA933*$V933</f>
        <v>5840</v>
      </c>
      <c r="AN933" s="9" t="n">
        <f aca="false">AB933*$V933</f>
        <v>5840</v>
      </c>
      <c r="AO933" s="9" t="n">
        <f aca="false">AC933*$V933</f>
        <v>5840</v>
      </c>
      <c r="AP933" s="9" t="n">
        <f aca="false">AD933*$V933</f>
        <v>5840</v>
      </c>
      <c r="AQ933" s="9" t="n">
        <f aca="false">AE933*$V933</f>
        <v>5840</v>
      </c>
      <c r="AR933" s="9" t="n">
        <f aca="false">AF933*$V933</f>
        <v>5840</v>
      </c>
      <c r="AS933" s="9" t="n">
        <f aca="false">AG933*$V933</f>
        <v>5840</v>
      </c>
      <c r="AT933" s="9" t="n">
        <f aca="false">AH933*$V933</f>
        <v>5840</v>
      </c>
      <c r="AU933" s="9" t="n">
        <f aca="false">AI933*$V933</f>
        <v>5840</v>
      </c>
      <c r="AV933" s="9" t="n">
        <f aca="false">SUM(X933:AI933)/1000</f>
        <v>96</v>
      </c>
      <c r="AW933" s="9" t="n">
        <f aca="false">SUM(AJ933:AU933)</f>
        <v>70080</v>
      </c>
      <c r="AX933" s="9" t="n">
        <f aca="false">IF(D933="INR",AW933/88.24,AW933)/1000000</f>
        <v>0.000794197642792385</v>
      </c>
    </row>
    <row r="934" s="2" customFormat="true" ht="14.25" hidden="false" customHeight="false" outlineLevel="0" collapsed="false">
      <c r="A934" s="12" t="s">
        <v>1846</v>
      </c>
      <c r="B934" s="9"/>
      <c r="C934" s="10"/>
      <c r="D934" s="9" t="s">
        <v>50</v>
      </c>
      <c r="E934" s="9" t="s">
        <v>51</v>
      </c>
      <c r="F934" s="9" t="s">
        <v>52</v>
      </c>
      <c r="G934" s="9" t="s">
        <v>258</v>
      </c>
      <c r="H934" s="9" t="s">
        <v>259</v>
      </c>
      <c r="I934" s="9" t="s">
        <v>260</v>
      </c>
      <c r="J934" s="9" t="s">
        <v>261</v>
      </c>
      <c r="K934" s="9"/>
      <c r="L934" s="9" t="s">
        <v>260</v>
      </c>
      <c r="M934" s="9" t="s">
        <v>261</v>
      </c>
      <c r="N934" s="16" t="s">
        <v>67</v>
      </c>
      <c r="O934" s="9" t="s">
        <v>107</v>
      </c>
      <c r="P934" s="9" t="s">
        <v>283</v>
      </c>
      <c r="Q934" s="9" t="s">
        <v>283</v>
      </c>
      <c r="R934" s="9" t="s">
        <v>81</v>
      </c>
      <c r="S934" s="9" t="s">
        <v>264</v>
      </c>
      <c r="T934" s="9" t="s">
        <v>1847</v>
      </c>
      <c r="U934" s="9" t="s">
        <v>73</v>
      </c>
      <c r="V934" s="9" t="n">
        <v>1.45</v>
      </c>
      <c r="W934" s="9" t="n">
        <v>1.32</v>
      </c>
      <c r="X934" s="9" t="n">
        <v>4000</v>
      </c>
      <c r="Y934" s="9" t="n">
        <v>4000</v>
      </c>
      <c r="Z934" s="9" t="n">
        <v>4000</v>
      </c>
      <c r="AA934" s="9" t="n">
        <v>4000</v>
      </c>
      <c r="AB934" s="9" t="n">
        <v>4000</v>
      </c>
      <c r="AC934" s="9" t="n">
        <v>4000</v>
      </c>
      <c r="AD934" s="9" t="n">
        <v>4000</v>
      </c>
      <c r="AE934" s="9" t="n">
        <v>4000</v>
      </c>
      <c r="AF934" s="9" t="n">
        <v>4000</v>
      </c>
      <c r="AG934" s="9" t="n">
        <v>4000</v>
      </c>
      <c r="AH934" s="9" t="n">
        <v>4000</v>
      </c>
      <c r="AI934" s="9" t="n">
        <v>4000</v>
      </c>
      <c r="AJ934" s="9" t="n">
        <f aca="false">X934*$V934</f>
        <v>5800</v>
      </c>
      <c r="AK934" s="9" t="n">
        <f aca="false">Y934*$V934</f>
        <v>5800</v>
      </c>
      <c r="AL934" s="9" t="n">
        <f aca="false">Z934*$V934</f>
        <v>5800</v>
      </c>
      <c r="AM934" s="9" t="n">
        <f aca="false">AA934*$V934</f>
        <v>5800</v>
      </c>
      <c r="AN934" s="9" t="n">
        <f aca="false">AB934*$V934</f>
        <v>5800</v>
      </c>
      <c r="AO934" s="9" t="n">
        <f aca="false">AC934*$V934</f>
        <v>5800</v>
      </c>
      <c r="AP934" s="9" t="n">
        <f aca="false">AD934*$V934</f>
        <v>5800</v>
      </c>
      <c r="AQ934" s="9" t="n">
        <f aca="false">AE934*$V934</f>
        <v>5800</v>
      </c>
      <c r="AR934" s="9" t="n">
        <f aca="false">AF934*$V934</f>
        <v>5800</v>
      </c>
      <c r="AS934" s="9" t="n">
        <f aca="false">AG934*$V934</f>
        <v>5800</v>
      </c>
      <c r="AT934" s="9" t="n">
        <f aca="false">AH934*$V934</f>
        <v>5800</v>
      </c>
      <c r="AU934" s="9" t="n">
        <f aca="false">AI934*$V934</f>
        <v>5800</v>
      </c>
      <c r="AV934" s="9" t="n">
        <f aca="false">SUM(X934:AI934)/1000</f>
        <v>48</v>
      </c>
      <c r="AW934" s="9" t="n">
        <f aca="false">SUM(AJ934:AU934)</f>
        <v>69600</v>
      </c>
      <c r="AX934" s="9" t="n">
        <f aca="false">IF(D934="INR",AW934/88.24,AW934)/1000000</f>
        <v>0.000788757932910245</v>
      </c>
    </row>
    <row r="935" s="2" customFormat="true" ht="14.25" hidden="false" customHeight="false" outlineLevel="0" collapsed="false">
      <c r="A935" s="35"/>
      <c r="B935" s="9" t="n">
        <v>1</v>
      </c>
      <c r="C935" s="10"/>
      <c r="D935" s="9" t="s">
        <v>102</v>
      </c>
      <c r="E935" s="9" t="s">
        <v>51</v>
      </c>
      <c r="F935" s="9" t="s">
        <v>52</v>
      </c>
      <c r="G935" s="9"/>
      <c r="H935" s="9" t="s">
        <v>1848</v>
      </c>
      <c r="I935" s="9"/>
      <c r="J935" s="9"/>
      <c r="K935" s="9"/>
      <c r="L935" s="9"/>
      <c r="M935" s="9"/>
      <c r="N935" s="9" t="s">
        <v>79</v>
      </c>
      <c r="O935" s="9"/>
      <c r="P935" s="9"/>
      <c r="Q935" s="9" t="s">
        <v>906</v>
      </c>
      <c r="R935" s="9"/>
      <c r="S935" s="9"/>
      <c r="T935" s="9" t="s">
        <v>1849</v>
      </c>
      <c r="U935" s="9" t="s">
        <v>63</v>
      </c>
      <c r="V935" s="9" t="n">
        <v>0.0554</v>
      </c>
      <c r="W935" s="9"/>
      <c r="X935" s="9"/>
      <c r="Y935" s="9"/>
      <c r="Z935" s="9"/>
      <c r="AA935" s="9"/>
      <c r="AB935" s="9"/>
      <c r="AC935" s="9"/>
      <c r="AD935" s="9" t="n">
        <v>10000</v>
      </c>
      <c r="AE935" s="9"/>
      <c r="AF935" s="9"/>
      <c r="AG935" s="9"/>
      <c r="AH935" s="9"/>
      <c r="AI935" s="9"/>
      <c r="AJ935" s="9" t="n">
        <f aca="false">X935*$V935</f>
        <v>0</v>
      </c>
      <c r="AK935" s="9" t="n">
        <f aca="false">Y935*$V935</f>
        <v>0</v>
      </c>
      <c r="AL935" s="9" t="n">
        <f aca="false">Z935*$V935</f>
        <v>0</v>
      </c>
      <c r="AM935" s="9" t="n">
        <f aca="false">AA935*$V935</f>
        <v>0</v>
      </c>
      <c r="AN935" s="9" t="n">
        <f aca="false">AB935*$V935</f>
        <v>0</v>
      </c>
      <c r="AO935" s="9" t="n">
        <f aca="false">AC935*$V935</f>
        <v>0</v>
      </c>
      <c r="AP935" s="9" t="n">
        <f aca="false">AD935*$V935</f>
        <v>554</v>
      </c>
      <c r="AQ935" s="9" t="n">
        <f aca="false">AE935*$V935</f>
        <v>0</v>
      </c>
      <c r="AR935" s="9" t="n">
        <f aca="false">AF935*$V935</f>
        <v>0</v>
      </c>
      <c r="AS935" s="9" t="n">
        <f aca="false">AG935*$V935</f>
        <v>0</v>
      </c>
      <c r="AT935" s="9" t="n">
        <f aca="false">AH935*$V935</f>
        <v>0</v>
      </c>
      <c r="AU935" s="9" t="n">
        <f aca="false">AI935*$V935</f>
        <v>0</v>
      </c>
      <c r="AV935" s="9" t="n">
        <f aca="false">SUM(X935:AI935)/1000</f>
        <v>10</v>
      </c>
      <c r="AW935" s="9" t="n">
        <f aca="false">SUM(AJ935:AU935)</f>
        <v>554</v>
      </c>
      <c r="AX935" s="9" t="n">
        <f aca="false">IF(D935="INR",AW935/88.24,AW935)/1000000</f>
        <v>0.000554</v>
      </c>
    </row>
    <row r="936" s="2" customFormat="true" ht="14.25" hidden="false" customHeight="false" outlineLevel="0" collapsed="false">
      <c r="A936" s="28"/>
      <c r="B936" s="16" t="n">
        <v>1</v>
      </c>
      <c r="C936" s="16"/>
      <c r="D936" s="16" t="s">
        <v>102</v>
      </c>
      <c r="E936" s="16" t="s">
        <v>51</v>
      </c>
      <c r="F936" s="16" t="s">
        <v>52</v>
      </c>
      <c r="G936" s="16"/>
      <c r="H936" s="16" t="s">
        <v>1848</v>
      </c>
      <c r="I936" s="16"/>
      <c r="J936" s="16"/>
      <c r="K936" s="16"/>
      <c r="L936" s="16"/>
      <c r="M936" s="16"/>
      <c r="N936" s="16" t="s">
        <v>79</v>
      </c>
      <c r="O936" s="16"/>
      <c r="P936" s="16"/>
      <c r="Q936" s="9" t="s">
        <v>906</v>
      </c>
      <c r="R936" s="16"/>
      <c r="S936" s="16"/>
      <c r="T936" s="16" t="s">
        <v>1850</v>
      </c>
      <c r="U936" s="16" t="s">
        <v>63</v>
      </c>
      <c r="V936" s="16" t="n">
        <v>0.0168</v>
      </c>
      <c r="W936" s="16"/>
      <c r="X936" s="16"/>
      <c r="Y936" s="16"/>
      <c r="Z936" s="16"/>
      <c r="AA936" s="16"/>
      <c r="AB936" s="16"/>
      <c r="AC936" s="16"/>
      <c r="AD936" s="16" t="n">
        <v>10000</v>
      </c>
      <c r="AE936" s="16"/>
      <c r="AF936" s="16"/>
      <c r="AG936" s="16"/>
      <c r="AH936" s="16"/>
      <c r="AI936" s="16"/>
      <c r="AJ936" s="9" t="n">
        <f aca="false">X936*$V936</f>
        <v>0</v>
      </c>
      <c r="AK936" s="9" t="n">
        <f aca="false">Y936*$V936</f>
        <v>0</v>
      </c>
      <c r="AL936" s="9" t="n">
        <f aca="false">Z936*$V936</f>
        <v>0</v>
      </c>
      <c r="AM936" s="9" t="n">
        <f aca="false">AA936*$V936</f>
        <v>0</v>
      </c>
      <c r="AN936" s="9" t="n">
        <f aca="false">AB936*$V936</f>
        <v>0</v>
      </c>
      <c r="AO936" s="9" t="n">
        <f aca="false">AC936*$V936</f>
        <v>0</v>
      </c>
      <c r="AP936" s="9" t="n">
        <f aca="false">AD936*$V936</f>
        <v>168</v>
      </c>
      <c r="AQ936" s="9" t="n">
        <f aca="false">AE936*$V936</f>
        <v>0</v>
      </c>
      <c r="AR936" s="9" t="n">
        <f aca="false">AF936*$V936</f>
        <v>0</v>
      </c>
      <c r="AS936" s="9" t="n">
        <f aca="false">AG936*$V936</f>
        <v>0</v>
      </c>
      <c r="AT936" s="9" t="n">
        <f aca="false">AH936*$V936</f>
        <v>0</v>
      </c>
      <c r="AU936" s="9" t="n">
        <f aca="false">AI936*$V936</f>
        <v>0</v>
      </c>
      <c r="AV936" s="9" t="n">
        <f aca="false">SUM(X936:AI936)/1000</f>
        <v>10</v>
      </c>
      <c r="AW936" s="9" t="n">
        <f aca="false">SUM(AJ936:AU936)</f>
        <v>168</v>
      </c>
      <c r="AX936" s="9" t="n">
        <f aca="false">IF(D936="INR",AW936/88.24,AW936)/1000000</f>
        <v>0.000168</v>
      </c>
    </row>
    <row r="937" s="2" customFormat="true" ht="14.25" hidden="false" customHeight="false" outlineLevel="0" collapsed="false">
      <c r="A937" s="28"/>
      <c r="B937" s="16" t="n">
        <v>1</v>
      </c>
      <c r="C937" s="16"/>
      <c r="D937" s="16" t="s">
        <v>102</v>
      </c>
      <c r="E937" s="16" t="s">
        <v>51</v>
      </c>
      <c r="F937" s="16" t="s">
        <v>52</v>
      </c>
      <c r="G937" s="16"/>
      <c r="H937" s="16" t="s">
        <v>1848</v>
      </c>
      <c r="I937" s="16"/>
      <c r="J937" s="16"/>
      <c r="K937" s="16"/>
      <c r="L937" s="16"/>
      <c r="M937" s="16"/>
      <c r="N937" s="16" t="s">
        <v>79</v>
      </c>
      <c r="O937" s="16"/>
      <c r="P937" s="16"/>
      <c r="Q937" s="9" t="s">
        <v>906</v>
      </c>
      <c r="R937" s="16"/>
      <c r="S937" s="16"/>
      <c r="T937" s="16" t="s">
        <v>1851</v>
      </c>
      <c r="U937" s="16" t="s">
        <v>63</v>
      </c>
      <c r="V937" s="16" t="n">
        <v>0.0151</v>
      </c>
      <c r="W937" s="16"/>
      <c r="X937" s="16"/>
      <c r="Y937" s="16"/>
      <c r="Z937" s="16"/>
      <c r="AA937" s="16"/>
      <c r="AB937" s="16"/>
      <c r="AC937" s="16"/>
      <c r="AD937" s="16" t="n">
        <v>10000</v>
      </c>
      <c r="AE937" s="16"/>
      <c r="AF937" s="16"/>
      <c r="AG937" s="16"/>
      <c r="AH937" s="16"/>
      <c r="AI937" s="16"/>
      <c r="AJ937" s="9" t="n">
        <f aca="false">X937*$V937</f>
        <v>0</v>
      </c>
      <c r="AK937" s="9" t="n">
        <f aca="false">Y937*$V937</f>
        <v>0</v>
      </c>
      <c r="AL937" s="9" t="n">
        <f aca="false">Z937*$V937</f>
        <v>0</v>
      </c>
      <c r="AM937" s="9" t="n">
        <f aca="false">AA937*$V937</f>
        <v>0</v>
      </c>
      <c r="AN937" s="9" t="n">
        <f aca="false">AB937*$V937</f>
        <v>0</v>
      </c>
      <c r="AO937" s="9" t="n">
        <f aca="false">AC937*$V937</f>
        <v>0</v>
      </c>
      <c r="AP937" s="9" t="n">
        <f aca="false">AD937*$V937</f>
        <v>151</v>
      </c>
      <c r="AQ937" s="9" t="n">
        <f aca="false">AE937*$V937</f>
        <v>0</v>
      </c>
      <c r="AR937" s="9" t="n">
        <f aca="false">AF937*$V937</f>
        <v>0</v>
      </c>
      <c r="AS937" s="9" t="n">
        <f aca="false">AG937*$V937</f>
        <v>0</v>
      </c>
      <c r="AT937" s="9" t="n">
        <f aca="false">AH937*$V937</f>
        <v>0</v>
      </c>
      <c r="AU937" s="9" t="n">
        <f aca="false">AI937*$V937</f>
        <v>0</v>
      </c>
      <c r="AV937" s="9" t="n">
        <f aca="false">SUM(X937:AI937)/1000</f>
        <v>10</v>
      </c>
      <c r="AW937" s="9" t="n">
        <f aca="false">SUM(AJ937:AU937)</f>
        <v>151</v>
      </c>
      <c r="AX937" s="9" t="n">
        <f aca="false">IF(D937="INR",AW937/88.24,AW937)/1000000</f>
        <v>0.000151</v>
      </c>
    </row>
    <row r="938" s="2" customFormat="true" ht="14.25" hidden="false" customHeight="false" outlineLevel="0" collapsed="false">
      <c r="A938" s="28"/>
      <c r="B938" s="16" t="n">
        <v>1</v>
      </c>
      <c r="C938" s="16"/>
      <c r="D938" s="16" t="s">
        <v>102</v>
      </c>
      <c r="E938" s="16" t="s">
        <v>51</v>
      </c>
      <c r="F938" s="16" t="s">
        <v>52</v>
      </c>
      <c r="G938" s="16"/>
      <c r="H938" s="16" t="s">
        <v>1848</v>
      </c>
      <c r="I938" s="16"/>
      <c r="J938" s="16"/>
      <c r="K938" s="16"/>
      <c r="L938" s="16"/>
      <c r="M938" s="16"/>
      <c r="N938" s="16" t="s">
        <v>79</v>
      </c>
      <c r="O938" s="16"/>
      <c r="P938" s="16"/>
      <c r="Q938" s="9" t="s">
        <v>906</v>
      </c>
      <c r="R938" s="16"/>
      <c r="S938" s="16"/>
      <c r="T938" s="16" t="s">
        <v>1852</v>
      </c>
      <c r="U938" s="16" t="s">
        <v>63</v>
      </c>
      <c r="V938" s="16" t="n">
        <v>0.0157</v>
      </c>
      <c r="W938" s="16"/>
      <c r="X938" s="16"/>
      <c r="Y938" s="16"/>
      <c r="Z938" s="16"/>
      <c r="AA938" s="16"/>
      <c r="AB938" s="16"/>
      <c r="AC938" s="16"/>
      <c r="AD938" s="16" t="n">
        <v>8000</v>
      </c>
      <c r="AE938" s="16"/>
      <c r="AF938" s="16"/>
      <c r="AG938" s="16"/>
      <c r="AH938" s="16"/>
      <c r="AI938" s="16"/>
      <c r="AJ938" s="9" t="n">
        <f aca="false">X938*$V938</f>
        <v>0</v>
      </c>
      <c r="AK938" s="9" t="n">
        <f aca="false">Y938*$V938</f>
        <v>0</v>
      </c>
      <c r="AL938" s="9" t="n">
        <f aca="false">Z938*$V938</f>
        <v>0</v>
      </c>
      <c r="AM938" s="9" t="n">
        <f aca="false">AA938*$V938</f>
        <v>0</v>
      </c>
      <c r="AN938" s="9" t="n">
        <f aca="false">AB938*$V938</f>
        <v>0</v>
      </c>
      <c r="AO938" s="9" t="n">
        <f aca="false">AC938*$V938</f>
        <v>0</v>
      </c>
      <c r="AP938" s="9" t="n">
        <f aca="false">AD938*$V938</f>
        <v>125.6</v>
      </c>
      <c r="AQ938" s="9" t="n">
        <f aca="false">AE938*$V938</f>
        <v>0</v>
      </c>
      <c r="AR938" s="9" t="n">
        <f aca="false">AF938*$V938</f>
        <v>0</v>
      </c>
      <c r="AS938" s="9" t="n">
        <f aca="false">AG938*$V938</f>
        <v>0</v>
      </c>
      <c r="AT938" s="9" t="n">
        <f aca="false">AH938*$V938</f>
        <v>0</v>
      </c>
      <c r="AU938" s="9" t="n">
        <f aca="false">AI938*$V938</f>
        <v>0</v>
      </c>
      <c r="AV938" s="9" t="n">
        <f aca="false">SUM(X938:AI938)/1000</f>
        <v>8</v>
      </c>
      <c r="AW938" s="9" t="n">
        <f aca="false">SUM(AJ938:AU938)</f>
        <v>125.6</v>
      </c>
      <c r="AX938" s="9" t="n">
        <f aca="false">IF(D938="INR",AW938/88.24,AW938)/1000000</f>
        <v>0.0001256</v>
      </c>
    </row>
    <row r="939" s="2" customFormat="true" ht="14.25" hidden="false" customHeight="true" outlineLevel="0" collapsed="false">
      <c r="A939" s="28"/>
      <c r="B939" s="16" t="n">
        <v>1</v>
      </c>
      <c r="C939" s="16"/>
      <c r="D939" s="16" t="s">
        <v>102</v>
      </c>
      <c r="E939" s="16" t="s">
        <v>51</v>
      </c>
      <c r="F939" s="16" t="s">
        <v>52</v>
      </c>
      <c r="G939" s="16"/>
      <c r="H939" s="16" t="s">
        <v>1848</v>
      </c>
      <c r="I939" s="16"/>
      <c r="J939" s="16"/>
      <c r="K939" s="16"/>
      <c r="L939" s="16"/>
      <c r="M939" s="16"/>
      <c r="N939" s="16" t="s">
        <v>79</v>
      </c>
      <c r="O939" s="16"/>
      <c r="P939" s="16"/>
      <c r="Q939" s="9" t="s">
        <v>906</v>
      </c>
      <c r="R939" s="16"/>
      <c r="S939" s="33"/>
      <c r="T939" s="16" t="s">
        <v>1853</v>
      </c>
      <c r="U939" s="16" t="s">
        <v>63</v>
      </c>
      <c r="V939" s="16" t="n">
        <v>0.0185</v>
      </c>
      <c r="W939" s="16"/>
      <c r="X939" s="34"/>
      <c r="Y939" s="34"/>
      <c r="Z939" s="34"/>
      <c r="AA939" s="34"/>
      <c r="AB939" s="34"/>
      <c r="AC939" s="34"/>
      <c r="AD939" s="34" t="n">
        <v>5000</v>
      </c>
      <c r="AE939" s="34"/>
      <c r="AF939" s="34"/>
      <c r="AG939" s="34"/>
      <c r="AH939" s="34"/>
      <c r="AI939" s="34"/>
      <c r="AJ939" s="9" t="n">
        <f aca="false">X939*$V939</f>
        <v>0</v>
      </c>
      <c r="AK939" s="9" t="n">
        <f aca="false">Y939*$V939</f>
        <v>0</v>
      </c>
      <c r="AL939" s="9" t="n">
        <f aca="false">Z939*$V939</f>
        <v>0</v>
      </c>
      <c r="AM939" s="9" t="n">
        <f aca="false">AA939*$V939</f>
        <v>0</v>
      </c>
      <c r="AN939" s="9" t="n">
        <f aca="false">AB939*$V939</f>
        <v>0</v>
      </c>
      <c r="AO939" s="9" t="n">
        <f aca="false">AC939*$V939</f>
        <v>0</v>
      </c>
      <c r="AP939" s="9" t="n">
        <f aca="false">AD939*$V939</f>
        <v>92.5</v>
      </c>
      <c r="AQ939" s="9" t="n">
        <f aca="false">AE939*$V939</f>
        <v>0</v>
      </c>
      <c r="AR939" s="9" t="n">
        <f aca="false">AF939*$V939</f>
        <v>0</v>
      </c>
      <c r="AS939" s="9" t="n">
        <f aca="false">AG939*$V939</f>
        <v>0</v>
      </c>
      <c r="AT939" s="9" t="n">
        <f aca="false">AH939*$V939</f>
        <v>0</v>
      </c>
      <c r="AU939" s="9" t="n">
        <f aca="false">AI939*$V939</f>
        <v>0</v>
      </c>
      <c r="AV939" s="9" t="n">
        <f aca="false">SUM(X939:AI939)/1000</f>
        <v>5</v>
      </c>
      <c r="AW939" s="9" t="n">
        <f aca="false">SUM(AJ939:AU939)</f>
        <v>92.5</v>
      </c>
      <c r="AX939" s="9" t="n">
        <f aca="false">IF(D939="INR",AW939/88.24,AW939)/1000000</f>
        <v>9.25E-005</v>
      </c>
    </row>
    <row r="940" s="2" customFormat="true" ht="14.25" hidden="false" customHeight="false" outlineLevel="0" collapsed="false">
      <c r="A940" s="12" t="s">
        <v>1854</v>
      </c>
      <c r="B940" s="16" t="n">
        <v>5</v>
      </c>
      <c r="C940" s="15"/>
      <c r="D940" s="16" t="s">
        <v>50</v>
      </c>
      <c r="E940" s="16" t="s">
        <v>51</v>
      </c>
      <c r="F940" s="16" t="s">
        <v>52</v>
      </c>
      <c r="G940" s="16" t="s">
        <v>947</v>
      </c>
      <c r="H940" s="16" t="s">
        <v>948</v>
      </c>
      <c r="I940" s="16" t="s">
        <v>1005</v>
      </c>
      <c r="J940" s="16" t="s">
        <v>1094</v>
      </c>
      <c r="K940" s="16"/>
      <c r="L940" s="16" t="s">
        <v>1005</v>
      </c>
      <c r="M940" s="16" t="s">
        <v>1094</v>
      </c>
      <c r="N940" s="16" t="s">
        <v>79</v>
      </c>
      <c r="O940" s="16" t="s">
        <v>315</v>
      </c>
      <c r="P940" s="16" t="s">
        <v>308</v>
      </c>
      <c r="Q940" s="16" t="s">
        <v>308</v>
      </c>
      <c r="R940" s="16" t="s">
        <v>309</v>
      </c>
      <c r="S940" s="16" t="s">
        <v>264</v>
      </c>
      <c r="T940" s="16" t="s">
        <v>1855</v>
      </c>
      <c r="U940" s="16" t="s">
        <v>73</v>
      </c>
      <c r="V940" s="16" t="n">
        <v>0.94</v>
      </c>
      <c r="W940" s="16" t="n">
        <v>0.828</v>
      </c>
      <c r="X940" s="16" t="n">
        <v>6000</v>
      </c>
      <c r="Y940" s="16" t="n">
        <v>6000</v>
      </c>
      <c r="Z940" s="16" t="n">
        <v>6000</v>
      </c>
      <c r="AA940" s="16"/>
      <c r="AB940" s="16" t="n">
        <v>6000</v>
      </c>
      <c r="AC940" s="16" t="n">
        <v>6000</v>
      </c>
      <c r="AD940" s="16" t="n">
        <v>6000</v>
      </c>
      <c r="AE940" s="16" t="n">
        <v>6000</v>
      </c>
      <c r="AF940" s="16" t="n">
        <v>6000</v>
      </c>
      <c r="AG940" s="16" t="n">
        <v>6000</v>
      </c>
      <c r="AH940" s="16" t="n">
        <v>6000</v>
      </c>
      <c r="AI940" s="16" t="n">
        <v>6000</v>
      </c>
      <c r="AJ940" s="9" t="n">
        <f aca="false">X940*$V940</f>
        <v>5640</v>
      </c>
      <c r="AK940" s="9" t="n">
        <f aca="false">Y940*$V940</f>
        <v>5640</v>
      </c>
      <c r="AL940" s="9" t="n">
        <f aca="false">Z940*$V940</f>
        <v>5640</v>
      </c>
      <c r="AM940" s="9" t="n">
        <f aca="false">AA940*$V940</f>
        <v>0</v>
      </c>
      <c r="AN940" s="9" t="n">
        <f aca="false">AB940*$V940</f>
        <v>5640</v>
      </c>
      <c r="AO940" s="9" t="n">
        <f aca="false">AC940*$V940</f>
        <v>5640</v>
      </c>
      <c r="AP940" s="9" t="n">
        <f aca="false">AD940*$V940</f>
        <v>5640</v>
      </c>
      <c r="AQ940" s="9" t="n">
        <f aca="false">AE940*$V940</f>
        <v>5640</v>
      </c>
      <c r="AR940" s="9" t="n">
        <f aca="false">AF940*$V940</f>
        <v>5640</v>
      </c>
      <c r="AS940" s="9" t="n">
        <f aca="false">AG940*$V940</f>
        <v>5640</v>
      </c>
      <c r="AT940" s="9" t="n">
        <f aca="false">AH940*$V940</f>
        <v>5640</v>
      </c>
      <c r="AU940" s="9" t="n">
        <f aca="false">AI940*$V940</f>
        <v>5640</v>
      </c>
      <c r="AV940" s="9" t="n">
        <f aca="false">SUM(X940:AI940)/1000</f>
        <v>66</v>
      </c>
      <c r="AW940" s="9" t="n">
        <f aca="false">SUM(AJ940:AU940)</f>
        <v>62040</v>
      </c>
      <c r="AX940" s="9" t="n">
        <f aca="false">IF(D940="INR",AW940/88.24,AW940)/1000000</f>
        <v>0.000703082502266546</v>
      </c>
    </row>
    <row r="941" s="2" customFormat="true" ht="16.4" hidden="false" customHeight="false" outlineLevel="0" collapsed="false">
      <c r="A941" s="35" t="s">
        <v>1856</v>
      </c>
      <c r="B941" s="9" t="n">
        <v>5</v>
      </c>
      <c r="C941" s="15"/>
      <c r="D941" s="16" t="s">
        <v>102</v>
      </c>
      <c r="E941" s="16" t="s">
        <v>51</v>
      </c>
      <c r="F941" s="16" t="s">
        <v>52</v>
      </c>
      <c r="G941" s="16" t="s">
        <v>274</v>
      </c>
      <c r="H941" s="9" t="s">
        <v>275</v>
      </c>
      <c r="I941" s="16" t="s">
        <v>260</v>
      </c>
      <c r="J941" s="16" t="s">
        <v>1661</v>
      </c>
      <c r="K941" s="9"/>
      <c r="L941" s="16" t="s">
        <v>260</v>
      </c>
      <c r="M941" s="16" t="s">
        <v>1661</v>
      </c>
      <c r="N941" s="16" t="s">
        <v>79</v>
      </c>
      <c r="O941" s="16" t="s">
        <v>68</v>
      </c>
      <c r="P941" s="9" t="s">
        <v>262</v>
      </c>
      <c r="Q941" s="9" t="s">
        <v>262</v>
      </c>
      <c r="R941" s="9" t="s">
        <v>263</v>
      </c>
      <c r="S941" s="9" t="s">
        <v>264</v>
      </c>
      <c r="T941" s="9" t="s">
        <v>1178</v>
      </c>
      <c r="U941" s="16" t="s">
        <v>73</v>
      </c>
      <c r="V941" s="36" t="n">
        <v>0.079</v>
      </c>
      <c r="W941" s="9" t="n">
        <v>0.066</v>
      </c>
      <c r="X941" s="22" t="n">
        <v>300000</v>
      </c>
      <c r="Y941" s="9" t="n">
        <v>300000</v>
      </c>
      <c r="Z941" s="9" t="n">
        <v>300000</v>
      </c>
      <c r="AA941" s="9" t="n">
        <v>300000</v>
      </c>
      <c r="AB941" s="9" t="n">
        <v>300000</v>
      </c>
      <c r="AC941" s="9" t="n">
        <v>300000</v>
      </c>
      <c r="AD941" s="23" t="n">
        <v>300000</v>
      </c>
      <c r="AE941" s="9" t="n">
        <v>300000</v>
      </c>
      <c r="AF941" s="9" t="n">
        <v>300000</v>
      </c>
      <c r="AG941" s="9" t="n">
        <v>300000</v>
      </c>
      <c r="AH941" s="9" t="n">
        <v>300000</v>
      </c>
      <c r="AI941" s="9" t="n">
        <v>300000</v>
      </c>
      <c r="AJ941" s="9" t="n">
        <f aca="false">X941*$V941</f>
        <v>23700</v>
      </c>
      <c r="AK941" s="9" t="n">
        <f aca="false">Y941*$V941</f>
        <v>23700</v>
      </c>
      <c r="AL941" s="9" t="n">
        <f aca="false">Z941*$V941</f>
        <v>23700</v>
      </c>
      <c r="AM941" s="9" t="n">
        <f aca="false">AA941*$V941</f>
        <v>23700</v>
      </c>
      <c r="AN941" s="9" t="n">
        <f aca="false">AB941*$V941</f>
        <v>23700</v>
      </c>
      <c r="AO941" s="9" t="n">
        <f aca="false">AC941*$V941</f>
        <v>23700</v>
      </c>
      <c r="AP941" s="9" t="n">
        <f aca="false">AD941*$V941</f>
        <v>23700</v>
      </c>
      <c r="AQ941" s="9" t="n">
        <f aca="false">AE941*$V941</f>
        <v>23700</v>
      </c>
      <c r="AR941" s="9" t="n">
        <f aca="false">AF941*$V941</f>
        <v>23700</v>
      </c>
      <c r="AS941" s="9" t="n">
        <f aca="false">AG941*$V941</f>
        <v>23700</v>
      </c>
      <c r="AT941" s="9" t="n">
        <f aca="false">AH941*$V941</f>
        <v>23700</v>
      </c>
      <c r="AU941" s="9" t="n">
        <f aca="false">AI941*$V941</f>
        <v>23700</v>
      </c>
      <c r="AV941" s="9" t="n">
        <f aca="false">SUM(X941:AI941)/1000</f>
        <v>3600</v>
      </c>
      <c r="AW941" s="9" t="n">
        <f aca="false">SUM(AJ941:AU941)</f>
        <v>284400</v>
      </c>
      <c r="AX941" s="9" t="n">
        <f aca="false">IF(D941="INR",AW941/88.24,AW941)/1000000</f>
        <v>0.2844</v>
      </c>
    </row>
    <row r="942" s="2" customFormat="true" ht="14.25" hidden="false" customHeight="false" outlineLevel="0" collapsed="false">
      <c r="A942" s="12" t="s">
        <v>1857</v>
      </c>
      <c r="B942" s="9" t="n">
        <v>5</v>
      </c>
      <c r="C942" s="10"/>
      <c r="D942" s="9" t="s">
        <v>50</v>
      </c>
      <c r="E942" s="9" t="s">
        <v>51</v>
      </c>
      <c r="F942" s="9" t="s">
        <v>52</v>
      </c>
      <c r="G942" s="9" t="s">
        <v>254</v>
      </c>
      <c r="H942" s="9" t="s">
        <v>255</v>
      </c>
      <c r="I942" s="9" t="s">
        <v>55</v>
      </c>
      <c r="J942" s="9" t="s">
        <v>256</v>
      </c>
      <c r="K942" s="9"/>
      <c r="L942" s="9" t="s">
        <v>55</v>
      </c>
      <c r="M942" s="9" t="s">
        <v>256</v>
      </c>
      <c r="N942" s="9" t="s">
        <v>67</v>
      </c>
      <c r="O942" s="9" t="s">
        <v>246</v>
      </c>
      <c r="P942" s="9" t="s">
        <v>308</v>
      </c>
      <c r="Q942" s="9" t="s">
        <v>308</v>
      </c>
      <c r="R942" s="9" t="s">
        <v>309</v>
      </c>
      <c r="S942" s="9" t="s">
        <v>264</v>
      </c>
      <c r="T942" s="9" t="s">
        <v>701</v>
      </c>
      <c r="U942" s="9" t="s">
        <v>73</v>
      </c>
      <c r="V942" s="9" t="n">
        <v>0.55</v>
      </c>
      <c r="W942" s="9" t="n">
        <v>0</v>
      </c>
      <c r="X942" s="9" t="n">
        <v>10000</v>
      </c>
      <c r="Y942" s="9" t="n">
        <v>10000</v>
      </c>
      <c r="Z942" s="9" t="n">
        <v>10000</v>
      </c>
      <c r="AA942" s="9" t="n">
        <v>10000</v>
      </c>
      <c r="AB942" s="9" t="n">
        <v>10000</v>
      </c>
      <c r="AC942" s="9" t="n">
        <v>10000</v>
      </c>
      <c r="AD942" s="9" t="n">
        <v>10000</v>
      </c>
      <c r="AE942" s="9" t="n">
        <v>10000</v>
      </c>
      <c r="AF942" s="9" t="n">
        <v>10000</v>
      </c>
      <c r="AG942" s="9" t="n">
        <v>10000</v>
      </c>
      <c r="AH942" s="9" t="n">
        <v>10000</v>
      </c>
      <c r="AI942" s="9" t="n">
        <v>10000</v>
      </c>
      <c r="AJ942" s="9" t="n">
        <f aca="false">X942*$V942</f>
        <v>5500</v>
      </c>
      <c r="AK942" s="9" t="n">
        <f aca="false">Y942*$V942</f>
        <v>5500</v>
      </c>
      <c r="AL942" s="9" t="n">
        <f aca="false">Z942*$V942</f>
        <v>5500</v>
      </c>
      <c r="AM942" s="9" t="n">
        <f aca="false">AA942*$V942</f>
        <v>5500</v>
      </c>
      <c r="AN942" s="9" t="n">
        <f aca="false">AB942*$V942</f>
        <v>5500</v>
      </c>
      <c r="AO942" s="9" t="n">
        <f aca="false">AC942*$V942</f>
        <v>5500</v>
      </c>
      <c r="AP942" s="9" t="n">
        <f aca="false">AD942*$V942</f>
        <v>5500</v>
      </c>
      <c r="AQ942" s="9" t="n">
        <f aca="false">AE942*$V942</f>
        <v>5500</v>
      </c>
      <c r="AR942" s="9" t="n">
        <f aca="false">AF942*$V942</f>
        <v>5500</v>
      </c>
      <c r="AS942" s="9" t="n">
        <f aca="false">AG942*$V942</f>
        <v>5500</v>
      </c>
      <c r="AT942" s="9" t="n">
        <f aca="false">AH942*$V942</f>
        <v>5500</v>
      </c>
      <c r="AU942" s="9" t="n">
        <f aca="false">AI942*$V942</f>
        <v>5500</v>
      </c>
      <c r="AV942" s="9" t="n">
        <f aca="false">SUM(X942:AI942)/1000</f>
        <v>120</v>
      </c>
      <c r="AW942" s="9" t="n">
        <f aca="false">SUM(AJ942:AU942)</f>
        <v>66000</v>
      </c>
      <c r="AX942" s="9" t="n">
        <f aca="false">IF(D942="INR",AW942/88.24,AW942)/1000000</f>
        <v>0.000747960108794198</v>
      </c>
    </row>
    <row r="943" s="2" customFormat="true" ht="16.4" hidden="false" customHeight="false" outlineLevel="0" collapsed="false">
      <c r="A943" s="35" t="s">
        <v>1858</v>
      </c>
      <c r="B943" s="9" t="n">
        <v>5</v>
      </c>
      <c r="C943" s="15"/>
      <c r="D943" s="9" t="s">
        <v>50</v>
      </c>
      <c r="E943" s="9" t="s">
        <v>51</v>
      </c>
      <c r="F943" s="9" t="s">
        <v>267</v>
      </c>
      <c r="G943" s="9" t="s">
        <v>1825</v>
      </c>
      <c r="H943" s="9" t="s">
        <v>1826</v>
      </c>
      <c r="I943" s="9" t="s">
        <v>105</v>
      </c>
      <c r="J943" s="9" t="s">
        <v>1827</v>
      </c>
      <c r="K943" s="9"/>
      <c r="L943" s="9" t="s">
        <v>105</v>
      </c>
      <c r="M943" s="9" t="s">
        <v>1827</v>
      </c>
      <c r="N943" s="16" t="s">
        <v>271</v>
      </c>
      <c r="O943" s="9" t="s">
        <v>94</v>
      </c>
      <c r="P943" s="9" t="s">
        <v>69</v>
      </c>
      <c r="Q943" s="9" t="s">
        <v>69</v>
      </c>
      <c r="R943" s="9" t="s">
        <v>70</v>
      </c>
      <c r="S943" s="9" t="s">
        <v>71</v>
      </c>
      <c r="T943" s="9" t="s">
        <v>1619</v>
      </c>
      <c r="U943" s="9" t="s">
        <v>73</v>
      </c>
      <c r="V943" s="9" t="n">
        <v>11</v>
      </c>
      <c r="W943" s="9" t="n">
        <v>0.085</v>
      </c>
      <c r="X943" s="22" t="n">
        <v>500</v>
      </c>
      <c r="Y943" s="9" t="n">
        <v>500</v>
      </c>
      <c r="Z943" s="9" t="n">
        <v>500</v>
      </c>
      <c r="AA943" s="9"/>
      <c r="AB943" s="9"/>
      <c r="AC943" s="9"/>
      <c r="AD943" s="9"/>
      <c r="AE943" s="9"/>
      <c r="AF943" s="9"/>
      <c r="AG943" s="9" t="n">
        <v>600</v>
      </c>
      <c r="AH943" s="9" t="n">
        <v>600</v>
      </c>
      <c r="AI943" s="9" t="n">
        <v>0</v>
      </c>
      <c r="AJ943" s="9" t="n">
        <f aca="false">X943*$V943</f>
        <v>5500</v>
      </c>
      <c r="AK943" s="9" t="n">
        <f aca="false">Y943*$V943</f>
        <v>5500</v>
      </c>
      <c r="AL943" s="9" t="n">
        <f aca="false">Z943*$V943</f>
        <v>5500</v>
      </c>
      <c r="AM943" s="9" t="n">
        <f aca="false">AA943*$V943</f>
        <v>0</v>
      </c>
      <c r="AN943" s="9" t="n">
        <f aca="false">AB943*$V943</f>
        <v>0</v>
      </c>
      <c r="AO943" s="9" t="n">
        <f aca="false">AC943*$V943</f>
        <v>0</v>
      </c>
      <c r="AP943" s="9" t="n">
        <f aca="false">AD943*$V943</f>
        <v>0</v>
      </c>
      <c r="AQ943" s="9" t="n">
        <f aca="false">AE943*$V943</f>
        <v>0</v>
      </c>
      <c r="AR943" s="9" t="n">
        <f aca="false">AF943*$V943</f>
        <v>0</v>
      </c>
      <c r="AS943" s="9" t="n">
        <f aca="false">AG943*$V943</f>
        <v>6600</v>
      </c>
      <c r="AT943" s="9" t="n">
        <f aca="false">AH943*$V943</f>
        <v>6600</v>
      </c>
      <c r="AU943" s="9" t="n">
        <f aca="false">AI943*$V943</f>
        <v>0</v>
      </c>
      <c r="AV943" s="9" t="n">
        <f aca="false">SUM(X943:AI943)/1000</f>
        <v>2.7</v>
      </c>
      <c r="AW943" s="9" t="n">
        <f aca="false">SUM(AJ943:AU943)</f>
        <v>29700</v>
      </c>
      <c r="AX943" s="9" t="n">
        <f aca="false">IF(D943="INR",AW943/88.24,AW943)/1000000</f>
        <v>0.000336582048957389</v>
      </c>
    </row>
    <row r="944" s="2" customFormat="true" ht="16.4" hidden="false" customHeight="false" outlineLevel="0" collapsed="false">
      <c r="A944" s="35" t="s">
        <v>1859</v>
      </c>
      <c r="B944" s="9" t="n">
        <v>5</v>
      </c>
      <c r="C944" s="10"/>
      <c r="D944" s="9" t="s">
        <v>50</v>
      </c>
      <c r="E944" s="9" t="s">
        <v>51</v>
      </c>
      <c r="F944" s="9" t="s">
        <v>52</v>
      </c>
      <c r="G944" s="9" t="s">
        <v>947</v>
      </c>
      <c r="H944" s="9" t="s">
        <v>948</v>
      </c>
      <c r="I944" s="9" t="s">
        <v>1005</v>
      </c>
      <c r="J944" s="9" t="s">
        <v>1094</v>
      </c>
      <c r="K944" s="9"/>
      <c r="L944" s="9" t="s">
        <v>1005</v>
      </c>
      <c r="M944" s="9" t="s">
        <v>1094</v>
      </c>
      <c r="N944" s="9" t="s">
        <v>79</v>
      </c>
      <c r="O944" s="9" t="s">
        <v>315</v>
      </c>
      <c r="P944" s="9" t="s">
        <v>308</v>
      </c>
      <c r="Q944" s="9" t="s">
        <v>308</v>
      </c>
      <c r="R944" s="9" t="s">
        <v>309</v>
      </c>
      <c r="S944" s="9" t="s">
        <v>264</v>
      </c>
      <c r="T944" s="9" t="s">
        <v>1860</v>
      </c>
      <c r="U944" s="9" t="s">
        <v>73</v>
      </c>
      <c r="V944" s="9" t="n">
        <v>0.6</v>
      </c>
      <c r="W944" s="9" t="n">
        <v>0.53</v>
      </c>
      <c r="X944" s="9" t="n">
        <v>9000</v>
      </c>
      <c r="Y944" s="9"/>
      <c r="Z944" s="9" t="n">
        <v>9000</v>
      </c>
      <c r="AA944" s="9" t="n">
        <v>9000</v>
      </c>
      <c r="AB944" s="9"/>
      <c r="AC944" s="9" t="n">
        <v>9000</v>
      </c>
      <c r="AD944" s="9" t="n">
        <v>9000</v>
      </c>
      <c r="AE944" s="9" t="n">
        <v>9000</v>
      </c>
      <c r="AF944" s="9" t="n">
        <v>9000</v>
      </c>
      <c r="AG944" s="9"/>
      <c r="AH944" s="9" t="n">
        <v>9000</v>
      </c>
      <c r="AI944" s="9" t="n">
        <v>9000</v>
      </c>
      <c r="AJ944" s="9" t="n">
        <f aca="false">X944*$V944</f>
        <v>5400</v>
      </c>
      <c r="AK944" s="9" t="n">
        <f aca="false">Y944*$V944</f>
        <v>0</v>
      </c>
      <c r="AL944" s="9" t="n">
        <f aca="false">Z944*$V944</f>
        <v>5400</v>
      </c>
      <c r="AM944" s="9" t="n">
        <f aca="false">AA944*$V944</f>
        <v>5400</v>
      </c>
      <c r="AN944" s="9" t="n">
        <f aca="false">AB944*$V944</f>
        <v>0</v>
      </c>
      <c r="AO944" s="9" t="n">
        <f aca="false">AC944*$V944</f>
        <v>5400</v>
      </c>
      <c r="AP944" s="9" t="n">
        <f aca="false">AD944*$V944</f>
        <v>5400</v>
      </c>
      <c r="AQ944" s="9" t="n">
        <f aca="false">AE944*$V944</f>
        <v>5400</v>
      </c>
      <c r="AR944" s="9" t="n">
        <f aca="false">AF944*$V944</f>
        <v>5400</v>
      </c>
      <c r="AS944" s="9" t="n">
        <f aca="false">AG944*$V944</f>
        <v>0</v>
      </c>
      <c r="AT944" s="9" t="n">
        <f aca="false">AH944*$V944</f>
        <v>5400</v>
      </c>
      <c r="AU944" s="9" t="n">
        <f aca="false">AI944*$V944</f>
        <v>5400</v>
      </c>
      <c r="AV944" s="9" t="n">
        <f aca="false">SUM(X944:AI944)/1000</f>
        <v>81</v>
      </c>
      <c r="AW944" s="9" t="n">
        <f aca="false">SUM(AJ944:AU944)</f>
        <v>48600</v>
      </c>
      <c r="AX944" s="9" t="n">
        <f aca="false">IF(D944="INR",AW944/88.24,AW944)/1000000</f>
        <v>0.000550770625566637</v>
      </c>
    </row>
    <row r="945" s="2" customFormat="true" ht="16.4" hidden="false" customHeight="false" outlineLevel="0" collapsed="false">
      <c r="A945" s="28" t="s">
        <v>1861</v>
      </c>
      <c r="B945" s="16" t="n">
        <v>5</v>
      </c>
      <c r="C945" s="16"/>
      <c r="D945" s="16" t="s">
        <v>50</v>
      </c>
      <c r="E945" s="16" t="s">
        <v>51</v>
      </c>
      <c r="F945" s="16" t="s">
        <v>52</v>
      </c>
      <c r="G945" s="16" t="s">
        <v>1690</v>
      </c>
      <c r="H945" s="16" t="s">
        <v>1691</v>
      </c>
      <c r="I945" s="16" t="s">
        <v>298</v>
      </c>
      <c r="J945" s="16" t="s">
        <v>299</v>
      </c>
      <c r="K945" s="16"/>
      <c r="L945" s="16" t="s">
        <v>298</v>
      </c>
      <c r="M945" s="16" t="s">
        <v>299</v>
      </c>
      <c r="N945" s="16" t="s">
        <v>67</v>
      </c>
      <c r="O945" s="16" t="s">
        <v>107</v>
      </c>
      <c r="P945" s="16" t="s">
        <v>308</v>
      </c>
      <c r="Q945" s="16" t="s">
        <v>308</v>
      </c>
      <c r="R945" s="16" t="s">
        <v>309</v>
      </c>
      <c r="S945" s="16" t="s">
        <v>264</v>
      </c>
      <c r="T945" s="16" t="s">
        <v>513</v>
      </c>
      <c r="U945" s="16" t="s">
        <v>73</v>
      </c>
      <c r="V945" s="16" t="n">
        <v>0.45</v>
      </c>
      <c r="W945" s="16" t="n">
        <v>0.39</v>
      </c>
      <c r="X945" s="16" t="n">
        <v>12000</v>
      </c>
      <c r="Y945" s="16"/>
      <c r="Z945" s="16" t="n">
        <v>12000</v>
      </c>
      <c r="AA945" s="16"/>
      <c r="AB945" s="16"/>
      <c r="AC945" s="16" t="n">
        <v>12000</v>
      </c>
      <c r="AD945" s="16"/>
      <c r="AE945" s="16"/>
      <c r="AF945" s="16" t="n">
        <v>12000</v>
      </c>
      <c r="AG945" s="16"/>
      <c r="AH945" s="16"/>
      <c r="AI945" s="16" t="n">
        <v>12000</v>
      </c>
      <c r="AJ945" s="9" t="n">
        <f aca="false">X945*$V945</f>
        <v>5400</v>
      </c>
      <c r="AK945" s="9" t="n">
        <f aca="false">Y945*$V945</f>
        <v>0</v>
      </c>
      <c r="AL945" s="9" t="n">
        <f aca="false">Z945*$V945</f>
        <v>5400</v>
      </c>
      <c r="AM945" s="9" t="n">
        <f aca="false">AA945*$V945</f>
        <v>0</v>
      </c>
      <c r="AN945" s="9" t="n">
        <f aca="false">AB945*$V945</f>
        <v>0</v>
      </c>
      <c r="AO945" s="9" t="n">
        <f aca="false">AC945*$V945</f>
        <v>5400</v>
      </c>
      <c r="AP945" s="9" t="n">
        <f aca="false">AD945*$V945</f>
        <v>0</v>
      </c>
      <c r="AQ945" s="9" t="n">
        <f aca="false">AE945*$V945</f>
        <v>0</v>
      </c>
      <c r="AR945" s="9" t="n">
        <f aca="false">AF945*$V945</f>
        <v>5400</v>
      </c>
      <c r="AS945" s="9" t="n">
        <f aca="false">AG945*$V945</f>
        <v>0</v>
      </c>
      <c r="AT945" s="9" t="n">
        <f aca="false">AH945*$V945</f>
        <v>0</v>
      </c>
      <c r="AU945" s="9" t="n">
        <f aca="false">AI945*$V945</f>
        <v>5400</v>
      </c>
      <c r="AV945" s="9" t="n">
        <f aca="false">SUM(X945:AI945)/1000</f>
        <v>60</v>
      </c>
      <c r="AW945" s="9" t="n">
        <f aca="false">SUM(AJ945:AU945)</f>
        <v>27000</v>
      </c>
      <c r="AX945" s="9" t="n">
        <f aca="false">IF(D945="INR",AW945/88.24,AW945)/1000000</f>
        <v>0.000305983680870354</v>
      </c>
    </row>
    <row r="946" s="2" customFormat="true" ht="14.25" hidden="false" customHeight="false" outlineLevel="0" collapsed="false">
      <c r="A946" s="12" t="s">
        <v>1862</v>
      </c>
      <c r="B946" s="9"/>
      <c r="C946" s="10"/>
      <c r="D946" s="9" t="s">
        <v>50</v>
      </c>
      <c r="E946" s="9" t="s">
        <v>51</v>
      </c>
      <c r="F946" s="9" t="s">
        <v>52</v>
      </c>
      <c r="G946" s="9" t="s">
        <v>258</v>
      </c>
      <c r="H946" s="9" t="s">
        <v>259</v>
      </c>
      <c r="I946" s="9" t="s">
        <v>260</v>
      </c>
      <c r="J946" s="9" t="s">
        <v>261</v>
      </c>
      <c r="K946" s="9"/>
      <c r="L946" s="9" t="s">
        <v>260</v>
      </c>
      <c r="M946" s="9" t="s">
        <v>261</v>
      </c>
      <c r="N946" s="16" t="s">
        <v>67</v>
      </c>
      <c r="O946" s="9" t="s">
        <v>107</v>
      </c>
      <c r="P946" s="9" t="s">
        <v>197</v>
      </c>
      <c r="Q946" s="9" t="s">
        <v>197</v>
      </c>
      <c r="R946" s="9" t="s">
        <v>86</v>
      </c>
      <c r="S946" s="9" t="s">
        <v>521</v>
      </c>
      <c r="T946" s="9" t="s">
        <v>1863</v>
      </c>
      <c r="U946" s="9" t="s">
        <v>73</v>
      </c>
      <c r="V946" s="9" t="n">
        <v>0.21</v>
      </c>
      <c r="W946" s="9" t="n">
        <v>0.0019</v>
      </c>
      <c r="X946" s="9" t="n">
        <v>25000</v>
      </c>
      <c r="Y946" s="9" t="n">
        <v>25000</v>
      </c>
      <c r="Z946" s="9" t="n">
        <v>25000</v>
      </c>
      <c r="AA946" s="9" t="n">
        <v>25000</v>
      </c>
      <c r="AB946" s="9" t="n">
        <v>25000</v>
      </c>
      <c r="AC946" s="9" t="n">
        <v>25000</v>
      </c>
      <c r="AD946" s="9" t="n">
        <v>25000</v>
      </c>
      <c r="AE946" s="9" t="n">
        <v>25000</v>
      </c>
      <c r="AF946" s="9" t="n">
        <v>25000</v>
      </c>
      <c r="AG946" s="9" t="n">
        <v>25000</v>
      </c>
      <c r="AH946" s="9" t="n">
        <v>25000</v>
      </c>
      <c r="AI946" s="9" t="n">
        <v>25000</v>
      </c>
      <c r="AJ946" s="9" t="n">
        <f aca="false">X946*$V946</f>
        <v>5250</v>
      </c>
      <c r="AK946" s="9" t="n">
        <f aca="false">Y946*$V946</f>
        <v>5250</v>
      </c>
      <c r="AL946" s="9" t="n">
        <f aca="false">Z946*$V946</f>
        <v>5250</v>
      </c>
      <c r="AM946" s="9" t="n">
        <f aca="false">AA946*$V946</f>
        <v>5250</v>
      </c>
      <c r="AN946" s="9" t="n">
        <f aca="false">AB946*$V946</f>
        <v>5250</v>
      </c>
      <c r="AO946" s="9" t="n">
        <f aca="false">AC946*$V946</f>
        <v>5250</v>
      </c>
      <c r="AP946" s="9" t="n">
        <f aca="false">AD946*$V946</f>
        <v>5250</v>
      </c>
      <c r="AQ946" s="9" t="n">
        <f aca="false">AE946*$V946</f>
        <v>5250</v>
      </c>
      <c r="AR946" s="9" t="n">
        <f aca="false">AF946*$V946</f>
        <v>5250</v>
      </c>
      <c r="AS946" s="9" t="n">
        <f aca="false">AG946*$V946</f>
        <v>5250</v>
      </c>
      <c r="AT946" s="9" t="n">
        <f aca="false">AH946*$V946</f>
        <v>5250</v>
      </c>
      <c r="AU946" s="9" t="n">
        <f aca="false">AI946*$V946</f>
        <v>5250</v>
      </c>
      <c r="AV946" s="9" t="n">
        <f aca="false">SUM(X946:AI946)/1000</f>
        <v>300</v>
      </c>
      <c r="AW946" s="9" t="n">
        <f aca="false">SUM(AJ946:AU946)</f>
        <v>63000</v>
      </c>
      <c r="AX946" s="9" t="n">
        <f aca="false">IF(D946="INR",AW946/88.24,AW946)/1000000</f>
        <v>0.000713961922030825</v>
      </c>
    </row>
    <row r="947" s="2" customFormat="true" ht="16.4" hidden="false" customHeight="false" outlineLevel="0" collapsed="false">
      <c r="A947" s="35" t="s">
        <v>1864</v>
      </c>
      <c r="B947" s="9" t="n">
        <v>5</v>
      </c>
      <c r="C947" s="9"/>
      <c r="D947" s="9" t="s">
        <v>50</v>
      </c>
      <c r="E947" s="9" t="s">
        <v>51</v>
      </c>
      <c r="F947" s="16" t="s">
        <v>52</v>
      </c>
      <c r="G947" s="9" t="s">
        <v>439</v>
      </c>
      <c r="H947" s="16" t="s">
        <v>440</v>
      </c>
      <c r="I947" s="9" t="s">
        <v>260</v>
      </c>
      <c r="J947" s="9" t="s">
        <v>261</v>
      </c>
      <c r="K947" s="9"/>
      <c r="L947" s="9" t="s">
        <v>260</v>
      </c>
      <c r="M947" s="9" t="s">
        <v>261</v>
      </c>
      <c r="N947" s="9" t="s">
        <v>67</v>
      </c>
      <c r="O947" s="9" t="s">
        <v>58</v>
      </c>
      <c r="P947" s="9" t="s">
        <v>80</v>
      </c>
      <c r="Q947" s="9" t="s">
        <v>80</v>
      </c>
      <c r="R947" s="9" t="s">
        <v>81</v>
      </c>
      <c r="S947" s="9" t="s">
        <v>82</v>
      </c>
      <c r="T947" s="9" t="s">
        <v>1865</v>
      </c>
      <c r="U947" s="9" t="s">
        <v>73</v>
      </c>
      <c r="V947" s="9" t="n">
        <v>0.51</v>
      </c>
      <c r="W947" s="9" t="n">
        <v>0.453</v>
      </c>
      <c r="X947" s="9" t="n">
        <v>10000</v>
      </c>
      <c r="Y947" s="9"/>
      <c r="Z947" s="9" t="n">
        <v>10000</v>
      </c>
      <c r="AA947" s="9"/>
      <c r="AB947" s="9" t="n">
        <v>10000</v>
      </c>
      <c r="AC947" s="9"/>
      <c r="AD947" s="9" t="n">
        <v>10000</v>
      </c>
      <c r="AE947" s="9"/>
      <c r="AF947" s="9" t="n">
        <v>10000</v>
      </c>
      <c r="AG947" s="9"/>
      <c r="AH947" s="9" t="n">
        <v>10000</v>
      </c>
      <c r="AI947" s="9"/>
      <c r="AJ947" s="9" t="n">
        <f aca="false">X947*$V947</f>
        <v>5100</v>
      </c>
      <c r="AK947" s="9" t="n">
        <f aca="false">Y947*$V947</f>
        <v>0</v>
      </c>
      <c r="AL947" s="9" t="n">
        <f aca="false">Z947*$V947</f>
        <v>5100</v>
      </c>
      <c r="AM947" s="9" t="n">
        <f aca="false">AA947*$V947</f>
        <v>0</v>
      </c>
      <c r="AN947" s="9" t="n">
        <f aca="false">AB947*$V947</f>
        <v>5100</v>
      </c>
      <c r="AO947" s="9" t="n">
        <f aca="false">AC947*$V947</f>
        <v>0</v>
      </c>
      <c r="AP947" s="9" t="n">
        <f aca="false">AD947*$V947</f>
        <v>5100</v>
      </c>
      <c r="AQ947" s="9" t="n">
        <f aca="false">AE947*$V947</f>
        <v>0</v>
      </c>
      <c r="AR947" s="9" t="n">
        <f aca="false">AF947*$V947</f>
        <v>5100</v>
      </c>
      <c r="AS947" s="9" t="n">
        <f aca="false">AG947*$V947</f>
        <v>0</v>
      </c>
      <c r="AT947" s="9" t="n">
        <f aca="false">AH947*$V947</f>
        <v>5100</v>
      </c>
      <c r="AU947" s="9" t="n">
        <f aca="false">AI947*$V947</f>
        <v>0</v>
      </c>
      <c r="AV947" s="9" t="n">
        <f aca="false">SUM(X947:AI947)/1000</f>
        <v>60</v>
      </c>
      <c r="AW947" s="9" t="n">
        <f aca="false">SUM(AJ947:AU947)</f>
        <v>30600</v>
      </c>
      <c r="AX947" s="9" t="n">
        <f aca="false">IF(D947="INR",AW947/88.24,AW947)/1000000</f>
        <v>0.000346781504986401</v>
      </c>
    </row>
    <row r="948" s="2" customFormat="true" ht="16.4" hidden="false" customHeight="false" outlineLevel="0" collapsed="false">
      <c r="A948" s="35" t="s">
        <v>1866</v>
      </c>
      <c r="B948" s="9" t="n">
        <v>5</v>
      </c>
      <c r="C948" s="10"/>
      <c r="D948" s="9" t="s">
        <v>50</v>
      </c>
      <c r="E948" s="9" t="s">
        <v>51</v>
      </c>
      <c r="F948" s="9" t="s">
        <v>52</v>
      </c>
      <c r="G948" s="9" t="s">
        <v>296</v>
      </c>
      <c r="H948" s="9" t="s">
        <v>297</v>
      </c>
      <c r="I948" s="9" t="s">
        <v>298</v>
      </c>
      <c r="J948" s="9" t="s">
        <v>299</v>
      </c>
      <c r="K948" s="9"/>
      <c r="L948" s="9" t="s">
        <v>298</v>
      </c>
      <c r="M948" s="9" t="s">
        <v>299</v>
      </c>
      <c r="N948" s="9" t="s">
        <v>67</v>
      </c>
      <c r="O948" s="9" t="s">
        <v>107</v>
      </c>
      <c r="P948" s="9" t="s">
        <v>308</v>
      </c>
      <c r="Q948" s="9" t="s">
        <v>308</v>
      </c>
      <c r="R948" s="9" t="s">
        <v>309</v>
      </c>
      <c r="S948" s="9" t="s">
        <v>264</v>
      </c>
      <c r="T948" s="9" t="s">
        <v>1266</v>
      </c>
      <c r="U948" s="9" t="s">
        <v>73</v>
      </c>
      <c r="V948" s="9" t="n">
        <v>1.02</v>
      </c>
      <c r="W948" s="9" t="n">
        <v>0.82</v>
      </c>
      <c r="X948" s="9" t="n">
        <v>5000</v>
      </c>
      <c r="Y948" s="9" t="n">
        <v>5000</v>
      </c>
      <c r="Z948" s="9" t="n">
        <v>5000</v>
      </c>
      <c r="AA948" s="9" t="n">
        <v>5000</v>
      </c>
      <c r="AB948" s="9" t="n">
        <v>5000</v>
      </c>
      <c r="AC948" s="9" t="n">
        <v>5000</v>
      </c>
      <c r="AD948" s="9" t="n">
        <v>5000</v>
      </c>
      <c r="AE948" s="9" t="n">
        <v>5000</v>
      </c>
      <c r="AF948" s="9" t="n">
        <v>5000</v>
      </c>
      <c r="AG948" s="9" t="n">
        <v>5000</v>
      </c>
      <c r="AH948" s="9" t="n">
        <v>5000</v>
      </c>
      <c r="AI948" s="9" t="n">
        <v>5000</v>
      </c>
      <c r="AJ948" s="9" t="n">
        <f aca="false">X948*$V948</f>
        <v>5100</v>
      </c>
      <c r="AK948" s="9" t="n">
        <f aca="false">Y948*$V948</f>
        <v>5100</v>
      </c>
      <c r="AL948" s="9" t="n">
        <f aca="false">Z948*$V948</f>
        <v>5100</v>
      </c>
      <c r="AM948" s="9" t="n">
        <f aca="false">AA948*$V948</f>
        <v>5100</v>
      </c>
      <c r="AN948" s="9" t="n">
        <f aca="false">AB948*$V948</f>
        <v>5100</v>
      </c>
      <c r="AO948" s="9" t="n">
        <f aca="false">AC948*$V948</f>
        <v>5100</v>
      </c>
      <c r="AP948" s="9" t="n">
        <f aca="false">AD948*$V948</f>
        <v>5100</v>
      </c>
      <c r="AQ948" s="9" t="n">
        <f aca="false">AE948*$V948</f>
        <v>5100</v>
      </c>
      <c r="AR948" s="9" t="n">
        <f aca="false">AF948*$V948</f>
        <v>5100</v>
      </c>
      <c r="AS948" s="9" t="n">
        <f aca="false">AG948*$V948</f>
        <v>5100</v>
      </c>
      <c r="AT948" s="9" t="n">
        <f aca="false">AH948*$V948</f>
        <v>5100</v>
      </c>
      <c r="AU948" s="9" t="n">
        <f aca="false">AI948*$V948</f>
        <v>5100</v>
      </c>
      <c r="AV948" s="9" t="n">
        <f aca="false">SUM(X948:AI948)/1000</f>
        <v>60</v>
      </c>
      <c r="AW948" s="9" t="n">
        <f aca="false">SUM(AJ948:AU948)</f>
        <v>61200</v>
      </c>
      <c r="AX948" s="9" t="n">
        <f aca="false">IF(D948="INR",AW948/88.24,AW948)/1000000</f>
        <v>0.000693563009972802</v>
      </c>
    </row>
    <row r="949" s="2" customFormat="true" ht="16.4" hidden="false" customHeight="false" outlineLevel="0" collapsed="false">
      <c r="A949" s="35" t="s">
        <v>1867</v>
      </c>
      <c r="B949" s="9" t="n">
        <v>5</v>
      </c>
      <c r="C949" s="10"/>
      <c r="D949" s="9" t="s">
        <v>50</v>
      </c>
      <c r="E949" s="9" t="s">
        <v>51</v>
      </c>
      <c r="F949" s="9" t="s">
        <v>52</v>
      </c>
      <c r="G949" s="9" t="s">
        <v>296</v>
      </c>
      <c r="H949" s="9" t="s">
        <v>297</v>
      </c>
      <c r="I949" s="9" t="s">
        <v>298</v>
      </c>
      <c r="J949" s="9" t="s">
        <v>299</v>
      </c>
      <c r="K949" s="9"/>
      <c r="L949" s="9" t="s">
        <v>298</v>
      </c>
      <c r="M949" s="9" t="s">
        <v>299</v>
      </c>
      <c r="N949" s="9" t="s">
        <v>67</v>
      </c>
      <c r="O949" s="9" t="s">
        <v>107</v>
      </c>
      <c r="P949" s="9" t="s">
        <v>308</v>
      </c>
      <c r="Q949" s="9" t="s">
        <v>308</v>
      </c>
      <c r="R949" s="9" t="s">
        <v>309</v>
      </c>
      <c r="S949" s="9" t="s">
        <v>264</v>
      </c>
      <c r="T949" s="9" t="s">
        <v>864</v>
      </c>
      <c r="U949" s="9" t="s">
        <v>73</v>
      </c>
      <c r="V949" s="9" t="n">
        <v>1.02</v>
      </c>
      <c r="W949" s="9" t="n">
        <v>0.87</v>
      </c>
      <c r="X949" s="9" t="n">
        <v>5000</v>
      </c>
      <c r="Y949" s="9" t="n">
        <v>5000</v>
      </c>
      <c r="Z949" s="9" t="n">
        <v>5000</v>
      </c>
      <c r="AA949" s="9" t="n">
        <v>5000</v>
      </c>
      <c r="AB949" s="9" t="n">
        <v>5000</v>
      </c>
      <c r="AC949" s="9" t="n">
        <v>5000</v>
      </c>
      <c r="AD949" s="9" t="n">
        <v>5000</v>
      </c>
      <c r="AE949" s="9" t="n">
        <v>5000</v>
      </c>
      <c r="AF949" s="9" t="n">
        <v>5000</v>
      </c>
      <c r="AG949" s="9" t="n">
        <v>5000</v>
      </c>
      <c r="AH949" s="9" t="n">
        <v>5000</v>
      </c>
      <c r="AI949" s="9" t="n">
        <v>5000</v>
      </c>
      <c r="AJ949" s="9" t="n">
        <f aca="false">X949*$V949</f>
        <v>5100</v>
      </c>
      <c r="AK949" s="9" t="n">
        <f aca="false">Y949*$V949</f>
        <v>5100</v>
      </c>
      <c r="AL949" s="9" t="n">
        <f aca="false">Z949*$V949</f>
        <v>5100</v>
      </c>
      <c r="AM949" s="9" t="n">
        <f aca="false">AA949*$V949</f>
        <v>5100</v>
      </c>
      <c r="AN949" s="9" t="n">
        <f aca="false">AB949*$V949</f>
        <v>5100</v>
      </c>
      <c r="AO949" s="9" t="n">
        <f aca="false">AC949*$V949</f>
        <v>5100</v>
      </c>
      <c r="AP949" s="9" t="n">
        <f aca="false">AD949*$V949</f>
        <v>5100</v>
      </c>
      <c r="AQ949" s="9" t="n">
        <f aca="false">AE949*$V949</f>
        <v>5100</v>
      </c>
      <c r="AR949" s="9" t="n">
        <f aca="false">AF949*$V949</f>
        <v>5100</v>
      </c>
      <c r="AS949" s="9" t="n">
        <f aca="false">AG949*$V949</f>
        <v>5100</v>
      </c>
      <c r="AT949" s="9" t="n">
        <f aca="false">AH949*$V949</f>
        <v>5100</v>
      </c>
      <c r="AU949" s="9" t="n">
        <f aca="false">AI949*$V949</f>
        <v>5100</v>
      </c>
      <c r="AV949" s="9" t="n">
        <f aca="false">SUM(X949:AI949)/1000</f>
        <v>60</v>
      </c>
      <c r="AW949" s="9" t="n">
        <f aca="false">SUM(AJ949:AU949)</f>
        <v>61200</v>
      </c>
      <c r="AX949" s="9" t="n">
        <f aca="false">IF(D949="INR",AW949/88.24,AW949)/1000000</f>
        <v>0.000693563009972802</v>
      </c>
    </row>
    <row r="950" s="2" customFormat="true" ht="16.4" hidden="false" customHeight="false" outlineLevel="0" collapsed="false">
      <c r="A950" s="28" t="s">
        <v>1868</v>
      </c>
      <c r="B950" s="16" t="n">
        <v>5</v>
      </c>
      <c r="C950" s="16"/>
      <c r="D950" s="16" t="s">
        <v>102</v>
      </c>
      <c r="E950" s="16" t="s">
        <v>51</v>
      </c>
      <c r="F950" s="16" t="s">
        <v>52</v>
      </c>
      <c r="G950" s="16" t="s">
        <v>274</v>
      </c>
      <c r="H950" s="16" t="s">
        <v>275</v>
      </c>
      <c r="I950" s="16" t="s">
        <v>260</v>
      </c>
      <c r="J950" s="16" t="s">
        <v>1661</v>
      </c>
      <c r="K950" s="16"/>
      <c r="L950" s="16" t="s">
        <v>260</v>
      </c>
      <c r="M950" s="16" t="s">
        <v>1661</v>
      </c>
      <c r="N950" s="16" t="s">
        <v>79</v>
      </c>
      <c r="O950" s="16" t="s">
        <v>68</v>
      </c>
      <c r="P950" s="16" t="s">
        <v>199</v>
      </c>
      <c r="Q950" s="16" t="s">
        <v>199</v>
      </c>
      <c r="R950" s="16" t="s">
        <v>377</v>
      </c>
      <c r="S950" s="16" t="s">
        <v>528</v>
      </c>
      <c r="T950" s="16" t="s">
        <v>1869</v>
      </c>
      <c r="U950" s="16" t="s">
        <v>73</v>
      </c>
      <c r="V950" s="26" t="n">
        <v>0.131</v>
      </c>
      <c r="W950" s="16" t="n">
        <v>0.114</v>
      </c>
      <c r="X950" s="16" t="n">
        <v>50000</v>
      </c>
      <c r="Y950" s="16" t="n">
        <v>50000</v>
      </c>
      <c r="Z950" s="16" t="n">
        <v>50000</v>
      </c>
      <c r="AA950" s="16" t="n">
        <v>50000</v>
      </c>
      <c r="AB950" s="16" t="n">
        <v>50000</v>
      </c>
      <c r="AC950" s="16" t="n">
        <v>50000</v>
      </c>
      <c r="AD950" s="16" t="n">
        <v>50000</v>
      </c>
      <c r="AE950" s="16" t="n">
        <v>50000</v>
      </c>
      <c r="AF950" s="16" t="n">
        <v>50000</v>
      </c>
      <c r="AG950" s="16" t="n">
        <v>50000</v>
      </c>
      <c r="AH950" s="16" t="n">
        <v>50000</v>
      </c>
      <c r="AI950" s="16" t="n">
        <v>50000</v>
      </c>
      <c r="AJ950" s="9" t="n">
        <f aca="false">X950*$V950</f>
        <v>6550</v>
      </c>
      <c r="AK950" s="9" t="n">
        <f aca="false">Y950*$V950</f>
        <v>6550</v>
      </c>
      <c r="AL950" s="9" t="n">
        <f aca="false">Z950*$V950</f>
        <v>6550</v>
      </c>
      <c r="AM950" s="9" t="n">
        <f aca="false">AA950*$V950</f>
        <v>6550</v>
      </c>
      <c r="AN950" s="9" t="n">
        <f aca="false">AB950*$V950</f>
        <v>6550</v>
      </c>
      <c r="AO950" s="9" t="n">
        <f aca="false">AC950*$V950</f>
        <v>6550</v>
      </c>
      <c r="AP950" s="9" t="n">
        <f aca="false">AD950*$V950</f>
        <v>6550</v>
      </c>
      <c r="AQ950" s="9" t="n">
        <f aca="false">AE950*$V950</f>
        <v>6550</v>
      </c>
      <c r="AR950" s="9" t="n">
        <f aca="false">AF950*$V950</f>
        <v>6550</v>
      </c>
      <c r="AS950" s="9" t="n">
        <f aca="false">AG950*$V950</f>
        <v>6550</v>
      </c>
      <c r="AT950" s="9" t="n">
        <f aca="false">AH950*$V950</f>
        <v>6550</v>
      </c>
      <c r="AU950" s="9" t="n">
        <f aca="false">AI950*$V950</f>
        <v>6550</v>
      </c>
      <c r="AV950" s="9" t="n">
        <f aca="false">SUM(X950:AI950)/1000</f>
        <v>600</v>
      </c>
      <c r="AW950" s="9" t="n">
        <f aca="false">SUM(AJ950:AU950)</f>
        <v>78600</v>
      </c>
      <c r="AX950" s="9" t="n">
        <f aca="false">IF(D950="INR",AW950/88.24,AW950)/1000000</f>
        <v>0.0786</v>
      </c>
    </row>
    <row r="951" s="2" customFormat="true" ht="14.25" hidden="false" customHeight="false" outlineLevel="0" collapsed="false">
      <c r="A951" s="12" t="s">
        <v>1870</v>
      </c>
      <c r="B951" s="16" t="n">
        <v>5</v>
      </c>
      <c r="C951" s="15"/>
      <c r="D951" s="16" t="s">
        <v>102</v>
      </c>
      <c r="E951" s="16" t="s">
        <v>51</v>
      </c>
      <c r="F951" s="16" t="s">
        <v>52</v>
      </c>
      <c r="G951" s="16" t="s">
        <v>274</v>
      </c>
      <c r="H951" s="16" t="s">
        <v>275</v>
      </c>
      <c r="I951" s="16" t="s">
        <v>260</v>
      </c>
      <c r="J951" s="16" t="s">
        <v>1661</v>
      </c>
      <c r="K951" s="16"/>
      <c r="L951" s="16" t="s">
        <v>260</v>
      </c>
      <c r="M951" s="16" t="s">
        <v>1661</v>
      </c>
      <c r="N951" s="16" t="s">
        <v>79</v>
      </c>
      <c r="O951" s="16" t="s">
        <v>68</v>
      </c>
      <c r="P951" s="16" t="s">
        <v>199</v>
      </c>
      <c r="Q951" s="16" t="s">
        <v>199</v>
      </c>
      <c r="R951" s="16" t="s">
        <v>377</v>
      </c>
      <c r="S951" s="16" t="s">
        <v>528</v>
      </c>
      <c r="T951" s="16" t="s">
        <v>1871</v>
      </c>
      <c r="U951" s="16" t="s">
        <v>73</v>
      </c>
      <c r="V951" s="16" t="n">
        <v>0.05</v>
      </c>
      <c r="W951" s="16" t="n">
        <v>0.0438</v>
      </c>
      <c r="X951" s="16" t="n">
        <v>50000</v>
      </c>
      <c r="Y951" s="16" t="n">
        <v>50000</v>
      </c>
      <c r="Z951" s="26" t="n">
        <v>50000</v>
      </c>
      <c r="AA951" s="16" t="n">
        <v>50000</v>
      </c>
      <c r="AB951" s="16" t="n">
        <v>50000</v>
      </c>
      <c r="AC951" s="16" t="n">
        <v>50000</v>
      </c>
      <c r="AD951" s="16" t="n">
        <v>50000</v>
      </c>
      <c r="AE951" s="16" t="n">
        <v>50000</v>
      </c>
      <c r="AF951" s="16" t="n">
        <v>50000</v>
      </c>
      <c r="AG951" s="16" t="n">
        <v>50000</v>
      </c>
      <c r="AH951" s="16" t="n">
        <v>50000</v>
      </c>
      <c r="AI951" s="16" t="n">
        <v>50000</v>
      </c>
      <c r="AJ951" s="9" t="n">
        <f aca="false">X951*$V951</f>
        <v>2500</v>
      </c>
      <c r="AK951" s="9" t="n">
        <f aca="false">Y951*$V951</f>
        <v>2500</v>
      </c>
      <c r="AL951" s="9" t="n">
        <f aca="false">Z951*$V951</f>
        <v>2500</v>
      </c>
      <c r="AM951" s="9" t="n">
        <f aca="false">AA951*$V951</f>
        <v>2500</v>
      </c>
      <c r="AN951" s="9" t="n">
        <f aca="false">AB951*$V951</f>
        <v>2500</v>
      </c>
      <c r="AO951" s="9" t="n">
        <f aca="false">AC951*$V951</f>
        <v>2500</v>
      </c>
      <c r="AP951" s="9" t="n">
        <f aca="false">AD951*$V951</f>
        <v>2500</v>
      </c>
      <c r="AQ951" s="9" t="n">
        <f aca="false">AE951*$V951</f>
        <v>2500</v>
      </c>
      <c r="AR951" s="9" t="n">
        <f aca="false">AF951*$V951</f>
        <v>2500</v>
      </c>
      <c r="AS951" s="9" t="n">
        <f aca="false">AG951*$V951</f>
        <v>2500</v>
      </c>
      <c r="AT951" s="9" t="n">
        <f aca="false">AH951*$V951</f>
        <v>2500</v>
      </c>
      <c r="AU951" s="9" t="n">
        <f aca="false">AI951*$V951</f>
        <v>2500</v>
      </c>
      <c r="AV951" s="9" t="n">
        <f aca="false">SUM(X951:AI951)/1000</f>
        <v>600</v>
      </c>
      <c r="AW951" s="9" t="n">
        <f aca="false">SUM(AJ951:AU951)</f>
        <v>30000</v>
      </c>
      <c r="AX951" s="9" t="n">
        <f aca="false">IF(D951="INR",AW951/88.24,AW951)/1000000</f>
        <v>0.03</v>
      </c>
    </row>
    <row r="952" s="2" customFormat="true" ht="16.4" hidden="false" customHeight="false" outlineLevel="0" collapsed="false">
      <c r="A952" s="35" t="s">
        <v>1872</v>
      </c>
      <c r="B952" s="9" t="n">
        <v>5</v>
      </c>
      <c r="C952" s="10"/>
      <c r="D952" s="9" t="s">
        <v>50</v>
      </c>
      <c r="E952" s="9" t="s">
        <v>51</v>
      </c>
      <c r="F952" s="9" t="s">
        <v>52</v>
      </c>
      <c r="G952" s="9" t="s">
        <v>494</v>
      </c>
      <c r="H952" s="9" t="s">
        <v>495</v>
      </c>
      <c r="I952" s="9" t="s">
        <v>77</v>
      </c>
      <c r="J952" s="9" t="s">
        <v>496</v>
      </c>
      <c r="K952" s="9" t="s">
        <v>495</v>
      </c>
      <c r="L952" s="9" t="s">
        <v>77</v>
      </c>
      <c r="M952" s="9" t="s">
        <v>496</v>
      </c>
      <c r="N952" s="9" t="s">
        <v>57</v>
      </c>
      <c r="O952" s="9" t="s">
        <v>94</v>
      </c>
      <c r="P952" s="9" t="s">
        <v>308</v>
      </c>
      <c r="Q952" s="9" t="s">
        <v>308</v>
      </c>
      <c r="R952" s="9" t="s">
        <v>309</v>
      </c>
      <c r="S952" s="9" t="s">
        <v>264</v>
      </c>
      <c r="T952" s="9" t="s">
        <v>1320</v>
      </c>
      <c r="U952" s="9" t="s">
        <v>73</v>
      </c>
      <c r="V952" s="9" t="n">
        <v>0.61</v>
      </c>
      <c r="W952" s="9" t="n">
        <v>0.53</v>
      </c>
      <c r="X952" s="9" t="n">
        <v>8000</v>
      </c>
      <c r="Y952" s="9" t="n">
        <v>8000</v>
      </c>
      <c r="Z952" s="9" t="n">
        <v>8000</v>
      </c>
      <c r="AA952" s="9" t="n">
        <v>8000</v>
      </c>
      <c r="AB952" s="9" t="n">
        <v>8000</v>
      </c>
      <c r="AC952" s="9" t="n">
        <v>8000</v>
      </c>
      <c r="AD952" s="9" t="n">
        <v>8000</v>
      </c>
      <c r="AE952" s="9" t="n">
        <v>8000</v>
      </c>
      <c r="AF952" s="9" t="n">
        <v>8000</v>
      </c>
      <c r="AG952" s="9" t="n">
        <v>8000</v>
      </c>
      <c r="AH952" s="9" t="n">
        <v>8000</v>
      </c>
      <c r="AI952" s="9" t="n">
        <v>8000</v>
      </c>
      <c r="AJ952" s="9" t="n">
        <f aca="false">X952*$V952</f>
        <v>4880</v>
      </c>
      <c r="AK952" s="9" t="n">
        <f aca="false">Y952*$V952</f>
        <v>4880</v>
      </c>
      <c r="AL952" s="9" t="n">
        <f aca="false">Z952*$V952</f>
        <v>4880</v>
      </c>
      <c r="AM952" s="9" t="n">
        <f aca="false">AA952*$V952</f>
        <v>4880</v>
      </c>
      <c r="AN952" s="9" t="n">
        <f aca="false">AB952*$V952</f>
        <v>4880</v>
      </c>
      <c r="AO952" s="9" t="n">
        <f aca="false">AC952*$V952</f>
        <v>4880</v>
      </c>
      <c r="AP952" s="9" t="n">
        <f aca="false">AD952*$V952</f>
        <v>4880</v>
      </c>
      <c r="AQ952" s="9" t="n">
        <f aca="false">AE952*$V952</f>
        <v>4880</v>
      </c>
      <c r="AR952" s="9" t="n">
        <f aca="false">AF952*$V952</f>
        <v>4880</v>
      </c>
      <c r="AS952" s="9" t="n">
        <f aca="false">AG952*$V952</f>
        <v>4880</v>
      </c>
      <c r="AT952" s="9" t="n">
        <f aca="false">AH952*$V952</f>
        <v>4880</v>
      </c>
      <c r="AU952" s="9" t="n">
        <f aca="false">AI952*$V952</f>
        <v>4880</v>
      </c>
      <c r="AV952" s="9" t="n">
        <f aca="false">SUM(X952:AI952)/1000</f>
        <v>96</v>
      </c>
      <c r="AW952" s="9" t="n">
        <f aca="false">SUM(AJ952:AU952)</f>
        <v>58560</v>
      </c>
      <c r="AX952" s="9" t="n">
        <f aca="false">IF(D952="INR",AW952/88.24,AW952)/1000000</f>
        <v>0.000663644605621034</v>
      </c>
    </row>
    <row r="953" s="2" customFormat="true" ht="16.4" hidden="false" customHeight="false" outlineLevel="0" collapsed="false">
      <c r="A953" s="35" t="s">
        <v>1873</v>
      </c>
      <c r="B953" s="9" t="n">
        <v>5</v>
      </c>
      <c r="C953" s="10"/>
      <c r="D953" s="9" t="s">
        <v>50</v>
      </c>
      <c r="E953" s="9" t="s">
        <v>51</v>
      </c>
      <c r="F953" s="9" t="s">
        <v>52</v>
      </c>
      <c r="G953" s="9" t="s">
        <v>947</v>
      </c>
      <c r="H953" s="9" t="s">
        <v>948</v>
      </c>
      <c r="I953" s="9" t="s">
        <v>1005</v>
      </c>
      <c r="J953" s="9" t="s">
        <v>1094</v>
      </c>
      <c r="K953" s="9"/>
      <c r="L953" s="9" t="s">
        <v>1005</v>
      </c>
      <c r="M953" s="9" t="s">
        <v>1094</v>
      </c>
      <c r="N953" s="9" t="s">
        <v>79</v>
      </c>
      <c r="O953" s="9" t="s">
        <v>315</v>
      </c>
      <c r="P953" s="9" t="s">
        <v>308</v>
      </c>
      <c r="Q953" s="9" t="s">
        <v>308</v>
      </c>
      <c r="R953" s="9" t="s">
        <v>309</v>
      </c>
      <c r="S953" s="9" t="s">
        <v>264</v>
      </c>
      <c r="T953" s="9" t="s">
        <v>1032</v>
      </c>
      <c r="U953" s="9" t="s">
        <v>73</v>
      </c>
      <c r="V953" s="9" t="n">
        <v>1.5</v>
      </c>
      <c r="W953" s="9" t="n">
        <v>1.34</v>
      </c>
      <c r="X953" s="9" t="n">
        <v>3000</v>
      </c>
      <c r="Y953" s="9" t="n">
        <v>3000</v>
      </c>
      <c r="Z953" s="9" t="n">
        <v>3000</v>
      </c>
      <c r="AA953" s="9" t="n">
        <v>3000</v>
      </c>
      <c r="AB953" s="9" t="n">
        <v>3000</v>
      </c>
      <c r="AC953" s="9" t="n">
        <v>3000</v>
      </c>
      <c r="AD953" s="9" t="n">
        <v>3000</v>
      </c>
      <c r="AE953" s="9" t="n">
        <v>3000</v>
      </c>
      <c r="AF953" s="9" t="n">
        <v>3000</v>
      </c>
      <c r="AG953" s="9" t="n">
        <v>3000</v>
      </c>
      <c r="AH953" s="9"/>
      <c r="AI953" s="9"/>
      <c r="AJ953" s="9" t="n">
        <f aca="false">X953*$V953</f>
        <v>4500</v>
      </c>
      <c r="AK953" s="9" t="n">
        <f aca="false">Y953*$V953</f>
        <v>4500</v>
      </c>
      <c r="AL953" s="9" t="n">
        <f aca="false">Z953*$V953</f>
        <v>4500</v>
      </c>
      <c r="AM953" s="9" t="n">
        <f aca="false">AA953*$V953</f>
        <v>4500</v>
      </c>
      <c r="AN953" s="9" t="n">
        <f aca="false">AB953*$V953</f>
        <v>4500</v>
      </c>
      <c r="AO953" s="9" t="n">
        <f aca="false">AC953*$V953</f>
        <v>4500</v>
      </c>
      <c r="AP953" s="9" t="n">
        <f aca="false">AD953*$V953</f>
        <v>4500</v>
      </c>
      <c r="AQ953" s="9" t="n">
        <f aca="false">AE953*$V953</f>
        <v>4500</v>
      </c>
      <c r="AR953" s="9" t="n">
        <f aca="false">AF953*$V953</f>
        <v>4500</v>
      </c>
      <c r="AS953" s="9" t="n">
        <f aca="false">AG953*$V953</f>
        <v>4500</v>
      </c>
      <c r="AT953" s="9" t="n">
        <f aca="false">AH953*$V953</f>
        <v>0</v>
      </c>
      <c r="AU953" s="9" t="n">
        <f aca="false">AI953*$V953</f>
        <v>0</v>
      </c>
      <c r="AV953" s="9" t="n">
        <f aca="false">SUM(X953:AI953)/1000</f>
        <v>30</v>
      </c>
      <c r="AW953" s="9" t="n">
        <f aca="false">SUM(AJ953:AU953)</f>
        <v>45000</v>
      </c>
      <c r="AX953" s="9" t="n">
        <f aca="false">IF(D953="INR",AW953/88.24,AW953)/1000000</f>
        <v>0.000509972801450589</v>
      </c>
    </row>
    <row r="954" s="2" customFormat="true" ht="14.25" hidden="false" customHeight="false" outlineLevel="0" collapsed="false">
      <c r="A954" s="28"/>
      <c r="B954" s="16" t="n">
        <v>1</v>
      </c>
      <c r="C954" s="16"/>
      <c r="D954" s="16" t="s">
        <v>50</v>
      </c>
      <c r="E954" s="16" t="s">
        <v>51</v>
      </c>
      <c r="F954" s="16" t="s">
        <v>52</v>
      </c>
      <c r="G954" s="16" t="s">
        <v>781</v>
      </c>
      <c r="H954" s="16" t="s">
        <v>495</v>
      </c>
      <c r="I954" s="16" t="s">
        <v>77</v>
      </c>
      <c r="J954" s="16" t="s">
        <v>496</v>
      </c>
      <c r="K954" s="16" t="s">
        <v>495</v>
      </c>
      <c r="L954" s="16" t="s">
        <v>77</v>
      </c>
      <c r="M954" s="16" t="s">
        <v>496</v>
      </c>
      <c r="N954" s="16" t="s">
        <v>57</v>
      </c>
      <c r="O954" s="16" t="s">
        <v>94</v>
      </c>
      <c r="P954" s="16" t="s">
        <v>308</v>
      </c>
      <c r="Q954" s="16" t="s">
        <v>308</v>
      </c>
      <c r="R954" s="16"/>
      <c r="S954" s="16"/>
      <c r="T954" s="16" t="s">
        <v>1811</v>
      </c>
      <c r="U954" s="16"/>
      <c r="V954" s="16" t="n">
        <v>4.3</v>
      </c>
      <c r="W954" s="16"/>
      <c r="X954" s="16"/>
      <c r="Y954" s="16"/>
      <c r="Z954" s="16" t="n">
        <v>1000</v>
      </c>
      <c r="AA954" s="16"/>
      <c r="AB954" s="16"/>
      <c r="AC954" s="16"/>
      <c r="AD954" s="16" t="n">
        <v>1000</v>
      </c>
      <c r="AE954" s="16"/>
      <c r="AF954" s="16" t="n">
        <v>1000</v>
      </c>
      <c r="AG954" s="16"/>
      <c r="AH954" s="16" t="n">
        <v>1000</v>
      </c>
      <c r="AI954" s="16" t="n">
        <v>1000</v>
      </c>
      <c r="AJ954" s="9" t="n">
        <f aca="false">X954*$V954</f>
        <v>0</v>
      </c>
      <c r="AK954" s="9" t="n">
        <f aca="false">Y954*$V954</f>
        <v>0</v>
      </c>
      <c r="AL954" s="9" t="n">
        <f aca="false">Z954*$V954</f>
        <v>4300</v>
      </c>
      <c r="AM954" s="9" t="n">
        <f aca="false">AA954*$V954</f>
        <v>0</v>
      </c>
      <c r="AN954" s="9" t="n">
        <f aca="false">AB954*$V954</f>
        <v>0</v>
      </c>
      <c r="AO954" s="9" t="n">
        <f aca="false">AC954*$V954</f>
        <v>0</v>
      </c>
      <c r="AP954" s="9" t="n">
        <f aca="false">AD954*$V954</f>
        <v>4300</v>
      </c>
      <c r="AQ954" s="9" t="n">
        <f aca="false">AE954*$V954</f>
        <v>0</v>
      </c>
      <c r="AR954" s="9" t="n">
        <f aca="false">AF954*$V954</f>
        <v>4300</v>
      </c>
      <c r="AS954" s="9" t="n">
        <f aca="false">AG954*$V954</f>
        <v>0</v>
      </c>
      <c r="AT954" s="9" t="n">
        <f aca="false">AH954*$V954</f>
        <v>4300</v>
      </c>
      <c r="AU954" s="9" t="n">
        <f aca="false">AI954*$V954</f>
        <v>4300</v>
      </c>
      <c r="AV954" s="9" t="n">
        <f aca="false">SUM(X954:AI954)/1000</f>
        <v>5</v>
      </c>
      <c r="AW954" s="9" t="n">
        <f aca="false">SUM(AJ954:AU954)</f>
        <v>21500</v>
      </c>
      <c r="AX954" s="9" t="n">
        <f aca="false">IF(D954="INR",AW954/88.24,AW954)/1000000</f>
        <v>0.00024365367180417</v>
      </c>
    </row>
    <row r="955" s="2" customFormat="true" ht="16.4" hidden="false" customHeight="false" outlineLevel="0" collapsed="false">
      <c r="A955" s="35" t="s">
        <v>1874</v>
      </c>
      <c r="B955" s="9" t="n">
        <v>5</v>
      </c>
      <c r="C955" s="10"/>
      <c r="D955" s="9" t="s">
        <v>102</v>
      </c>
      <c r="E955" s="9" t="s">
        <v>51</v>
      </c>
      <c r="F955" s="9" t="s">
        <v>52</v>
      </c>
      <c r="G955" s="9" t="s">
        <v>274</v>
      </c>
      <c r="H955" s="9" t="s">
        <v>275</v>
      </c>
      <c r="I955" s="9" t="s">
        <v>260</v>
      </c>
      <c r="J955" s="9" t="s">
        <v>1661</v>
      </c>
      <c r="K955" s="9"/>
      <c r="L955" s="9"/>
      <c r="M955" s="9"/>
      <c r="N955" s="9" t="s">
        <v>79</v>
      </c>
      <c r="O955" s="9" t="s">
        <v>68</v>
      </c>
      <c r="P955" s="9" t="str">
        <f aca="false">Q955</f>
        <v>TDK</v>
      </c>
      <c r="Q955" s="9" t="s">
        <v>199</v>
      </c>
      <c r="R955" s="9" t="s">
        <v>377</v>
      </c>
      <c r="S955" s="9" t="s">
        <v>528</v>
      </c>
      <c r="T955" s="9" t="s">
        <v>1875</v>
      </c>
      <c r="U955" s="9" t="s">
        <v>73</v>
      </c>
      <c r="V955" s="9" t="n">
        <v>0.089</v>
      </c>
      <c r="W955" s="9" t="n">
        <v>0</v>
      </c>
      <c r="X955" s="9" t="n">
        <v>20000</v>
      </c>
      <c r="Y955" s="9" t="n">
        <v>20000</v>
      </c>
      <c r="Z955" s="9" t="n">
        <v>20000</v>
      </c>
      <c r="AA955" s="9" t="n">
        <v>20000</v>
      </c>
      <c r="AB955" s="9"/>
      <c r="AC955" s="9" t="n">
        <v>20000</v>
      </c>
      <c r="AD955" s="9" t="n">
        <v>20000</v>
      </c>
      <c r="AE955" s="9" t="n">
        <v>20000</v>
      </c>
      <c r="AF955" s="9"/>
      <c r="AG955" s="9" t="n">
        <v>20000</v>
      </c>
      <c r="AH955" s="9" t="n">
        <v>20000</v>
      </c>
      <c r="AI955" s="9" t="n">
        <v>20000</v>
      </c>
      <c r="AJ955" s="9" t="n">
        <f aca="false">X955*$V955</f>
        <v>1780</v>
      </c>
      <c r="AK955" s="9" t="n">
        <f aca="false">Y955*$V955</f>
        <v>1780</v>
      </c>
      <c r="AL955" s="9" t="n">
        <f aca="false">Z955*$V955</f>
        <v>1780</v>
      </c>
      <c r="AM955" s="9" t="n">
        <f aca="false">AA955*$V955</f>
        <v>1780</v>
      </c>
      <c r="AN955" s="9" t="n">
        <f aca="false">AB955*$V955</f>
        <v>0</v>
      </c>
      <c r="AO955" s="9" t="n">
        <f aca="false">AC955*$V955</f>
        <v>1780</v>
      </c>
      <c r="AP955" s="9" t="n">
        <f aca="false">AD955*$V955</f>
        <v>1780</v>
      </c>
      <c r="AQ955" s="9" t="n">
        <f aca="false">AE955*$V955</f>
        <v>1780</v>
      </c>
      <c r="AR955" s="9" t="n">
        <f aca="false">AF955*$V955</f>
        <v>0</v>
      </c>
      <c r="AS955" s="9" t="n">
        <f aca="false">AG955*$V955</f>
        <v>1780</v>
      </c>
      <c r="AT955" s="9" t="n">
        <f aca="false">AH955*$V955</f>
        <v>1780</v>
      </c>
      <c r="AU955" s="9" t="n">
        <f aca="false">AI955*$V955</f>
        <v>1780</v>
      </c>
      <c r="AV955" s="9" t="n">
        <f aca="false">SUM(X955:AI955)/1000</f>
        <v>200</v>
      </c>
      <c r="AW955" s="9" t="n">
        <f aca="false">SUM(AJ955:AU955)</f>
        <v>17800</v>
      </c>
      <c r="AX955" s="9" t="n">
        <f aca="false">IF(D955="INR",AW955/88.24,AW955)/1000000</f>
        <v>0.0178</v>
      </c>
    </row>
    <row r="956" s="2" customFormat="true" ht="14.25" hidden="false" customHeight="false" outlineLevel="0" collapsed="false">
      <c r="A956" s="12" t="s">
        <v>1876</v>
      </c>
      <c r="B956" s="16" t="n">
        <v>5</v>
      </c>
      <c r="C956" s="15"/>
      <c r="D956" s="16" t="s">
        <v>102</v>
      </c>
      <c r="E956" s="16" t="s">
        <v>51</v>
      </c>
      <c r="F956" s="16" t="s">
        <v>52</v>
      </c>
      <c r="G956" s="16" t="s">
        <v>274</v>
      </c>
      <c r="H956" s="16" t="s">
        <v>275</v>
      </c>
      <c r="I956" s="16" t="s">
        <v>260</v>
      </c>
      <c r="J956" s="16" t="s">
        <v>1661</v>
      </c>
      <c r="K956" s="16"/>
      <c r="L956" s="16" t="s">
        <v>260</v>
      </c>
      <c r="M956" s="16" t="s">
        <v>1661</v>
      </c>
      <c r="N956" s="16" t="s">
        <v>79</v>
      </c>
      <c r="O956" s="16" t="s">
        <v>68</v>
      </c>
      <c r="P956" s="16" t="s">
        <v>199</v>
      </c>
      <c r="Q956" s="16" t="s">
        <v>199</v>
      </c>
      <c r="R956" s="16" t="s">
        <v>377</v>
      </c>
      <c r="S956" s="16" t="s">
        <v>528</v>
      </c>
      <c r="T956" s="16" t="s">
        <v>400</v>
      </c>
      <c r="U956" s="16" t="s">
        <v>73</v>
      </c>
      <c r="V956" s="16" t="n">
        <v>0.157</v>
      </c>
      <c r="W956" s="16" t="n">
        <v>0.14</v>
      </c>
      <c r="X956" s="16" t="n">
        <v>30000</v>
      </c>
      <c r="Y956" s="16" t="n">
        <v>30000</v>
      </c>
      <c r="Z956" s="16" t="n">
        <v>30000</v>
      </c>
      <c r="AA956" s="16" t="n">
        <v>30000</v>
      </c>
      <c r="AB956" s="16" t="n">
        <v>30000</v>
      </c>
      <c r="AC956" s="16"/>
      <c r="AD956" s="16"/>
      <c r="AE956" s="16"/>
      <c r="AF956" s="16"/>
      <c r="AG956" s="16"/>
      <c r="AH956" s="16"/>
      <c r="AI956" s="16"/>
      <c r="AJ956" s="9" t="n">
        <f aca="false">X956*$V956</f>
        <v>4710</v>
      </c>
      <c r="AK956" s="9" t="n">
        <f aca="false">Y956*$V956</f>
        <v>4710</v>
      </c>
      <c r="AL956" s="9" t="n">
        <f aca="false">Z956*$V956</f>
        <v>4710</v>
      </c>
      <c r="AM956" s="9" t="n">
        <f aca="false">AA956*$V956</f>
        <v>4710</v>
      </c>
      <c r="AN956" s="9" t="n">
        <f aca="false">AB956*$V956</f>
        <v>4710</v>
      </c>
      <c r="AO956" s="9" t="n">
        <f aca="false">AC956*$V956</f>
        <v>0</v>
      </c>
      <c r="AP956" s="9" t="n">
        <f aca="false">AD956*$V956</f>
        <v>0</v>
      </c>
      <c r="AQ956" s="9" t="n">
        <f aca="false">AE956*$V956</f>
        <v>0</v>
      </c>
      <c r="AR956" s="9" t="n">
        <f aca="false">AF956*$V956</f>
        <v>0</v>
      </c>
      <c r="AS956" s="9" t="n">
        <f aca="false">AG956*$V956</f>
        <v>0</v>
      </c>
      <c r="AT956" s="9" t="n">
        <f aca="false">AH956*$V956</f>
        <v>0</v>
      </c>
      <c r="AU956" s="9" t="n">
        <f aca="false">AI956*$V956</f>
        <v>0</v>
      </c>
      <c r="AV956" s="9" t="n">
        <f aca="false">SUM(X956:AI956)/1000</f>
        <v>150</v>
      </c>
      <c r="AW956" s="9" t="n">
        <f aca="false">SUM(AJ956:AU956)</f>
        <v>23550</v>
      </c>
      <c r="AX956" s="9" t="n">
        <f aca="false">IF(D956="INR",AW956/88.24,AW956)/1000000</f>
        <v>0.02355</v>
      </c>
    </row>
    <row r="957" s="2" customFormat="true" ht="14.25" hidden="false" customHeight="false" outlineLevel="0" collapsed="false">
      <c r="A957" s="12"/>
      <c r="B957" s="16" t="n">
        <v>1</v>
      </c>
      <c r="C957" s="15"/>
      <c r="D957" s="16" t="s">
        <v>102</v>
      </c>
      <c r="E957" s="16"/>
      <c r="F957" s="16" t="s">
        <v>52</v>
      </c>
      <c r="G957" s="16" t="s">
        <v>274</v>
      </c>
      <c r="H957" s="16" t="s">
        <v>275</v>
      </c>
      <c r="I957" s="16"/>
      <c r="J957" s="16"/>
      <c r="K957" s="16"/>
      <c r="L957" s="16"/>
      <c r="M957" s="16"/>
      <c r="N957" s="16" t="s">
        <v>79</v>
      </c>
      <c r="O957" s="16" t="s">
        <v>68</v>
      </c>
      <c r="P957" s="16"/>
      <c r="Q957" s="16" t="s">
        <v>199</v>
      </c>
      <c r="R957" s="16"/>
      <c r="S957" s="16"/>
      <c r="T957" s="16" t="s">
        <v>1877</v>
      </c>
      <c r="U957" s="16" t="s">
        <v>73</v>
      </c>
      <c r="V957" s="16" t="n">
        <v>0.0644</v>
      </c>
      <c r="W957" s="16"/>
      <c r="X957" s="16" t="n">
        <v>12000</v>
      </c>
      <c r="Y957" s="16" t="n">
        <v>12000</v>
      </c>
      <c r="Z957" s="16" t="n">
        <v>12000</v>
      </c>
      <c r="AA957" s="16" t="n">
        <v>12000</v>
      </c>
      <c r="AB957" s="16" t="n">
        <v>12000</v>
      </c>
      <c r="AC957" s="16" t="n">
        <v>12000</v>
      </c>
      <c r="AD957" s="16" t="n">
        <v>12000</v>
      </c>
      <c r="AE957" s="16" t="n">
        <v>12000</v>
      </c>
      <c r="AF957" s="16" t="n">
        <v>12000</v>
      </c>
      <c r="AG957" s="16" t="n">
        <v>12000</v>
      </c>
      <c r="AH957" s="16" t="n">
        <v>12000</v>
      </c>
      <c r="AI957" s="16" t="n">
        <v>12000</v>
      </c>
      <c r="AJ957" s="9" t="n">
        <f aca="false">X957*$V957</f>
        <v>772.8</v>
      </c>
      <c r="AK957" s="9" t="n">
        <f aca="false">Y957*$V957</f>
        <v>772.8</v>
      </c>
      <c r="AL957" s="9" t="n">
        <f aca="false">Z957*$V957</f>
        <v>772.8</v>
      </c>
      <c r="AM957" s="9" t="n">
        <f aca="false">AA957*$V957</f>
        <v>772.8</v>
      </c>
      <c r="AN957" s="9" t="n">
        <f aca="false">AB957*$V957</f>
        <v>772.8</v>
      </c>
      <c r="AO957" s="9" t="n">
        <f aca="false">AC957*$V957</f>
        <v>772.8</v>
      </c>
      <c r="AP957" s="9" t="n">
        <f aca="false">AD957*$V957</f>
        <v>772.8</v>
      </c>
      <c r="AQ957" s="9" t="n">
        <f aca="false">AE957*$V957</f>
        <v>772.8</v>
      </c>
      <c r="AR957" s="9" t="n">
        <f aca="false">AF957*$V957</f>
        <v>772.8</v>
      </c>
      <c r="AS957" s="9" t="n">
        <f aca="false">AG957*$V957</f>
        <v>772.8</v>
      </c>
      <c r="AT957" s="9" t="n">
        <f aca="false">AH957*$V957</f>
        <v>772.8</v>
      </c>
      <c r="AU957" s="9" t="n">
        <f aca="false">AI957*$V957</f>
        <v>772.8</v>
      </c>
      <c r="AV957" s="9" t="n">
        <f aca="false">SUM(X957:AI957)/1000</f>
        <v>144</v>
      </c>
      <c r="AW957" s="9" t="n">
        <f aca="false">SUM(AJ957:AU957)</f>
        <v>9273.6</v>
      </c>
      <c r="AX957" s="9" t="n">
        <f aca="false">IF(D957="INR",AW957/88.24,AW957)/1000000</f>
        <v>0.0092736</v>
      </c>
    </row>
    <row r="958" s="2" customFormat="true" ht="14.25" hidden="false" customHeight="false" outlineLevel="0" collapsed="false">
      <c r="A958" s="12"/>
      <c r="B958" s="16" t="n">
        <v>1</v>
      </c>
      <c r="C958" s="15"/>
      <c r="D958" s="16" t="s">
        <v>102</v>
      </c>
      <c r="E958" s="16"/>
      <c r="F958" s="16" t="s">
        <v>52</v>
      </c>
      <c r="G958" s="16" t="s">
        <v>274</v>
      </c>
      <c r="H958" s="16" t="s">
        <v>275</v>
      </c>
      <c r="I958" s="16"/>
      <c r="J958" s="16"/>
      <c r="K958" s="16"/>
      <c r="L958" s="16"/>
      <c r="M958" s="16"/>
      <c r="N958" s="16" t="s">
        <v>79</v>
      </c>
      <c r="O958" s="16" t="s">
        <v>68</v>
      </c>
      <c r="P958" s="16"/>
      <c r="Q958" s="16" t="s">
        <v>1012</v>
      </c>
      <c r="R958" s="16"/>
      <c r="S958" s="16"/>
      <c r="T958" s="16" t="s">
        <v>1877</v>
      </c>
      <c r="U958" s="16" t="s">
        <v>73</v>
      </c>
      <c r="V958" s="16" t="n">
        <v>0.0644</v>
      </c>
      <c r="W958" s="16"/>
      <c r="X958" s="16" t="n">
        <v>12000</v>
      </c>
      <c r="Y958" s="16" t="n">
        <v>12000</v>
      </c>
      <c r="Z958" s="16" t="n">
        <v>12000</v>
      </c>
      <c r="AA958" s="16" t="n">
        <v>12000</v>
      </c>
      <c r="AB958" s="16" t="n">
        <v>12000</v>
      </c>
      <c r="AC958" s="16" t="n">
        <v>12000</v>
      </c>
      <c r="AD958" s="16" t="n">
        <v>12000</v>
      </c>
      <c r="AE958" s="16" t="n">
        <v>12000</v>
      </c>
      <c r="AF958" s="16" t="n">
        <v>12000</v>
      </c>
      <c r="AG958" s="16" t="n">
        <v>12000</v>
      </c>
      <c r="AH958" s="16" t="n">
        <v>12000</v>
      </c>
      <c r="AI958" s="16" t="n">
        <v>12000</v>
      </c>
      <c r="AJ958" s="9" t="n">
        <f aca="false">X958*$V958</f>
        <v>772.8</v>
      </c>
      <c r="AK958" s="9" t="n">
        <f aca="false">Y958*$V958</f>
        <v>772.8</v>
      </c>
      <c r="AL958" s="9" t="n">
        <f aca="false">Z958*$V958</f>
        <v>772.8</v>
      </c>
      <c r="AM958" s="9" t="n">
        <f aca="false">AA958*$V958</f>
        <v>772.8</v>
      </c>
      <c r="AN958" s="9" t="n">
        <f aca="false">AB958*$V958</f>
        <v>772.8</v>
      </c>
      <c r="AO958" s="9" t="n">
        <f aca="false">AC958*$V958</f>
        <v>772.8</v>
      </c>
      <c r="AP958" s="9" t="n">
        <f aca="false">AD958*$V958</f>
        <v>772.8</v>
      </c>
      <c r="AQ958" s="9" t="n">
        <f aca="false">AE958*$V958</f>
        <v>772.8</v>
      </c>
      <c r="AR958" s="9" t="n">
        <f aca="false">AF958*$V958</f>
        <v>772.8</v>
      </c>
      <c r="AS958" s="9" t="n">
        <f aca="false">AG958*$V958</f>
        <v>772.8</v>
      </c>
      <c r="AT958" s="9" t="n">
        <f aca="false">AH958*$V958</f>
        <v>772.8</v>
      </c>
      <c r="AU958" s="9" t="n">
        <f aca="false">AI958*$V958</f>
        <v>772.8</v>
      </c>
      <c r="AV958" s="9" t="n">
        <f aca="false">SUM(X958:AI958)/1000</f>
        <v>144</v>
      </c>
      <c r="AW958" s="9" t="n">
        <f aca="false">SUM(AJ958:AU958)</f>
        <v>9273.6</v>
      </c>
      <c r="AX958" s="9" t="n">
        <f aca="false">IF(D958="INR",AW958/88.24,AW958)/1000000</f>
        <v>0.0092736</v>
      </c>
    </row>
    <row r="959" s="2" customFormat="true" ht="14.25" hidden="false" customHeight="false" outlineLevel="0" collapsed="false">
      <c r="A959" s="12" t="s">
        <v>1878</v>
      </c>
      <c r="B959" s="16" t="n">
        <v>5</v>
      </c>
      <c r="C959" s="15"/>
      <c r="D959" s="16" t="s">
        <v>102</v>
      </c>
      <c r="E959" s="16" t="s">
        <v>51</v>
      </c>
      <c r="F959" s="16" t="s">
        <v>52</v>
      </c>
      <c r="G959" s="16" t="s">
        <v>274</v>
      </c>
      <c r="H959" s="16" t="s">
        <v>275</v>
      </c>
      <c r="I959" s="16" t="s">
        <v>260</v>
      </c>
      <c r="J959" s="16" t="s">
        <v>1661</v>
      </c>
      <c r="K959" s="16"/>
      <c r="L959" s="16"/>
      <c r="M959" s="16"/>
      <c r="N959" s="16" t="s">
        <v>79</v>
      </c>
      <c r="O959" s="16" t="s">
        <v>68</v>
      </c>
      <c r="P959" s="16" t="str">
        <f aca="false">Q959</f>
        <v>TAIWAN SEMI</v>
      </c>
      <c r="Q959" s="16" t="s">
        <v>262</v>
      </c>
      <c r="R959" s="16" t="s">
        <v>263</v>
      </c>
      <c r="S959" s="16" t="s">
        <v>264</v>
      </c>
      <c r="T959" s="16" t="s">
        <v>1879</v>
      </c>
      <c r="U959" s="16" t="s">
        <v>73</v>
      </c>
      <c r="V959" s="16" t="n">
        <v>0.0265</v>
      </c>
      <c r="W959" s="16" t="n">
        <v>0</v>
      </c>
      <c r="X959" s="22"/>
      <c r="Y959" s="22"/>
      <c r="Z959" s="22"/>
      <c r="AA959" s="22" t="n">
        <v>30000</v>
      </c>
      <c r="AB959" s="22"/>
      <c r="AC959" s="22"/>
      <c r="AD959" s="22" t="n">
        <v>30000</v>
      </c>
      <c r="AE959" s="22"/>
      <c r="AF959" s="22"/>
      <c r="AG959" s="22"/>
      <c r="AH959" s="22" t="n">
        <v>30000</v>
      </c>
      <c r="AI959" s="22" t="n">
        <v>30000</v>
      </c>
      <c r="AJ959" s="9" t="n">
        <f aca="false">X959*$V959</f>
        <v>0</v>
      </c>
      <c r="AK959" s="9" t="n">
        <f aca="false">Y959*$V959</f>
        <v>0</v>
      </c>
      <c r="AL959" s="9" t="n">
        <f aca="false">Z959*$V959</f>
        <v>0</v>
      </c>
      <c r="AM959" s="9" t="n">
        <f aca="false">AA959*$V959</f>
        <v>795</v>
      </c>
      <c r="AN959" s="9" t="n">
        <f aca="false">AB959*$V959</f>
        <v>0</v>
      </c>
      <c r="AO959" s="9" t="n">
        <f aca="false">AC959*$V959</f>
        <v>0</v>
      </c>
      <c r="AP959" s="9" t="n">
        <f aca="false">AD959*$V959</f>
        <v>795</v>
      </c>
      <c r="AQ959" s="9" t="n">
        <f aca="false">AE959*$V959</f>
        <v>0</v>
      </c>
      <c r="AR959" s="9" t="n">
        <f aca="false">AF959*$V959</f>
        <v>0</v>
      </c>
      <c r="AS959" s="9" t="n">
        <f aca="false">AG959*$V959</f>
        <v>0</v>
      </c>
      <c r="AT959" s="9" t="n">
        <f aca="false">AH959*$V959</f>
        <v>795</v>
      </c>
      <c r="AU959" s="9" t="n">
        <f aca="false">AI959*$V959</f>
        <v>795</v>
      </c>
      <c r="AV959" s="9" t="n">
        <f aca="false">SUM(X959:AI959)/1000</f>
        <v>120</v>
      </c>
      <c r="AW959" s="9" t="n">
        <f aca="false">SUM(AJ959:AU959)</f>
        <v>3180</v>
      </c>
      <c r="AX959" s="9" t="n">
        <f aca="false">IF(D959="INR",AW959/88.24,AW959)/1000000</f>
        <v>0.00318</v>
      </c>
    </row>
    <row r="960" s="2" customFormat="true" ht="14.25" hidden="false" customHeight="false" outlineLevel="0" collapsed="false">
      <c r="A960" s="28"/>
      <c r="B960" s="16" t="n">
        <v>1</v>
      </c>
      <c r="C960" s="16"/>
      <c r="D960" s="16" t="s">
        <v>50</v>
      </c>
      <c r="E960" s="16"/>
      <c r="F960" s="16" t="s">
        <v>52</v>
      </c>
      <c r="G960" s="16"/>
      <c r="H960" s="16" t="s">
        <v>656</v>
      </c>
      <c r="I960" s="16"/>
      <c r="J960" s="16"/>
      <c r="K960" s="16"/>
      <c r="L960" s="16"/>
      <c r="M960" s="16"/>
      <c r="N960" s="16" t="s">
        <v>290</v>
      </c>
      <c r="O960" s="16" t="s">
        <v>58</v>
      </c>
      <c r="P960" s="16"/>
      <c r="Q960" s="16" t="s">
        <v>85</v>
      </c>
      <c r="R960" s="16" t="s">
        <v>1880</v>
      </c>
      <c r="S960" s="16" t="n">
        <v>0.21</v>
      </c>
      <c r="T960" s="16" t="s">
        <v>1880</v>
      </c>
      <c r="U960" s="16"/>
      <c r="V960" s="16" t="n">
        <v>0.21</v>
      </c>
      <c r="W960" s="16"/>
      <c r="X960" s="26"/>
      <c r="Y960" s="16"/>
      <c r="Z960" s="16" t="n">
        <v>20000</v>
      </c>
      <c r="AA960" s="16"/>
      <c r="AB960" s="16"/>
      <c r="AC960" s="16" t="n">
        <v>20000</v>
      </c>
      <c r="AD960" s="16"/>
      <c r="AE960" s="16"/>
      <c r="AF960" s="16" t="n">
        <v>20000</v>
      </c>
      <c r="AG960" s="16"/>
      <c r="AH960" s="16"/>
      <c r="AI960" s="16" t="n">
        <v>20000</v>
      </c>
      <c r="AJ960" s="9" t="n">
        <f aca="false">X960*$V960</f>
        <v>0</v>
      </c>
      <c r="AK960" s="9" t="n">
        <f aca="false">Y960*$V960</f>
        <v>0</v>
      </c>
      <c r="AL960" s="9" t="n">
        <f aca="false">Z960*$V960</f>
        <v>4200</v>
      </c>
      <c r="AM960" s="9" t="n">
        <f aca="false">AA960*$V960</f>
        <v>0</v>
      </c>
      <c r="AN960" s="9" t="n">
        <f aca="false">AB960*$V960</f>
        <v>0</v>
      </c>
      <c r="AO960" s="9" t="n">
        <f aca="false">AC960*$V960</f>
        <v>4200</v>
      </c>
      <c r="AP960" s="9" t="n">
        <f aca="false">AD960*$V960</f>
        <v>0</v>
      </c>
      <c r="AQ960" s="9" t="n">
        <f aca="false">AE960*$V960</f>
        <v>0</v>
      </c>
      <c r="AR960" s="9" t="n">
        <f aca="false">AF960*$V960</f>
        <v>4200</v>
      </c>
      <c r="AS960" s="9" t="n">
        <f aca="false">AG960*$V960</f>
        <v>0</v>
      </c>
      <c r="AT960" s="9" t="n">
        <f aca="false">AH960*$V960</f>
        <v>0</v>
      </c>
      <c r="AU960" s="9" t="n">
        <f aca="false">AI960*$V960</f>
        <v>4200</v>
      </c>
      <c r="AV960" s="9" t="n">
        <f aca="false">SUM(X960:AI960)/1000</f>
        <v>80</v>
      </c>
      <c r="AW960" s="9" t="n">
        <f aca="false">SUM(AJ960:AU960)</f>
        <v>16800</v>
      </c>
      <c r="AX960" s="9" t="n">
        <f aca="false">IF(D960="INR",AW960/88.24,AW960)/1000000</f>
        <v>0.000190389845874887</v>
      </c>
    </row>
    <row r="961" s="2" customFormat="true" ht="14.25" hidden="false" customHeight="false" outlineLevel="0" collapsed="false">
      <c r="A961" s="28"/>
      <c r="B961" s="16" t="n">
        <v>1</v>
      </c>
      <c r="C961" s="15"/>
      <c r="D961" s="16" t="s">
        <v>50</v>
      </c>
      <c r="E961" s="16" t="s">
        <v>51</v>
      </c>
      <c r="F961" s="16" t="s">
        <v>52</v>
      </c>
      <c r="G961" s="16" t="s">
        <v>781</v>
      </c>
      <c r="H961" s="16" t="s">
        <v>495</v>
      </c>
      <c r="I961" s="16" t="s">
        <v>77</v>
      </c>
      <c r="J961" s="16" t="s">
        <v>496</v>
      </c>
      <c r="K961" s="16" t="s">
        <v>495</v>
      </c>
      <c r="L961" s="16" t="s">
        <v>77</v>
      </c>
      <c r="M961" s="16" t="s">
        <v>496</v>
      </c>
      <c r="N961" s="16" t="s">
        <v>57</v>
      </c>
      <c r="O961" s="16" t="s">
        <v>94</v>
      </c>
      <c r="P961" s="16" t="s">
        <v>308</v>
      </c>
      <c r="Q961" s="16" t="s">
        <v>308</v>
      </c>
      <c r="R961" s="16"/>
      <c r="S961" s="16"/>
      <c r="T961" s="16" t="s">
        <v>1881</v>
      </c>
      <c r="U961" s="16"/>
      <c r="V961" s="16" t="n">
        <v>4.05</v>
      </c>
      <c r="W961" s="16"/>
      <c r="X961" s="16"/>
      <c r="Y961" s="16"/>
      <c r="Z961" s="16" t="n">
        <v>1000</v>
      </c>
      <c r="AA961" s="16"/>
      <c r="AB961" s="16"/>
      <c r="AC961" s="16"/>
      <c r="AD961" s="16" t="n">
        <v>1000</v>
      </c>
      <c r="AE961" s="16"/>
      <c r="AF961" s="16" t="n">
        <v>1000</v>
      </c>
      <c r="AG961" s="16"/>
      <c r="AH961" s="16" t="n">
        <v>1000</v>
      </c>
      <c r="AI961" s="16" t="n">
        <v>1000</v>
      </c>
      <c r="AJ961" s="9" t="n">
        <f aca="false">X961*$V961</f>
        <v>0</v>
      </c>
      <c r="AK961" s="9" t="n">
        <f aca="false">Y961*$V961</f>
        <v>0</v>
      </c>
      <c r="AL961" s="9" t="n">
        <f aca="false">Z961*$V961</f>
        <v>4050</v>
      </c>
      <c r="AM961" s="9" t="n">
        <f aca="false">AA961*$V961</f>
        <v>0</v>
      </c>
      <c r="AN961" s="9" t="n">
        <f aca="false">AB961*$V961</f>
        <v>0</v>
      </c>
      <c r="AO961" s="9" t="n">
        <f aca="false">AC961*$V961</f>
        <v>0</v>
      </c>
      <c r="AP961" s="9" t="n">
        <f aca="false">AD961*$V961</f>
        <v>4050</v>
      </c>
      <c r="AQ961" s="9" t="n">
        <f aca="false">AE961*$V961</f>
        <v>0</v>
      </c>
      <c r="AR961" s="9" t="n">
        <f aca="false">AF961*$V961</f>
        <v>4050</v>
      </c>
      <c r="AS961" s="9" t="n">
        <f aca="false">AG961*$V961</f>
        <v>0</v>
      </c>
      <c r="AT961" s="9" t="n">
        <f aca="false">AH961*$V961</f>
        <v>4050</v>
      </c>
      <c r="AU961" s="9" t="n">
        <f aca="false">AI961*$V961</f>
        <v>4050</v>
      </c>
      <c r="AV961" s="9" t="n">
        <f aca="false">SUM(X961:AI961)/1000</f>
        <v>5</v>
      </c>
      <c r="AW961" s="9" t="n">
        <f aca="false">SUM(AJ961:AU961)</f>
        <v>20250</v>
      </c>
      <c r="AX961" s="9" t="n">
        <f aca="false">IF(D961="INR",AW961/88.24,AW961)/1000000</f>
        <v>0.000229487760652765</v>
      </c>
    </row>
    <row r="962" s="2" customFormat="true" ht="14.25" hidden="false" customHeight="false" outlineLevel="0" collapsed="false">
      <c r="A962" s="12" t="s">
        <v>1882</v>
      </c>
      <c r="B962" s="16" t="n">
        <v>5</v>
      </c>
      <c r="C962" s="15"/>
      <c r="D962" s="16" t="s">
        <v>102</v>
      </c>
      <c r="E962" s="16" t="s">
        <v>51</v>
      </c>
      <c r="F962" s="16" t="s">
        <v>52</v>
      </c>
      <c r="G962" s="16" t="s">
        <v>274</v>
      </c>
      <c r="H962" s="16" t="s">
        <v>275</v>
      </c>
      <c r="I962" s="16" t="s">
        <v>260</v>
      </c>
      <c r="J962" s="16" t="s">
        <v>1661</v>
      </c>
      <c r="K962" s="16"/>
      <c r="L962" s="16" t="s">
        <v>260</v>
      </c>
      <c r="M962" s="16" t="s">
        <v>1661</v>
      </c>
      <c r="N962" s="16" t="s">
        <v>79</v>
      </c>
      <c r="O962" s="16" t="s">
        <v>68</v>
      </c>
      <c r="P962" s="16" t="s">
        <v>188</v>
      </c>
      <c r="Q962" s="16" t="s">
        <v>188</v>
      </c>
      <c r="R962" s="16" t="s">
        <v>550</v>
      </c>
      <c r="S962" s="16" t="s">
        <v>528</v>
      </c>
      <c r="T962" s="16" t="s">
        <v>1657</v>
      </c>
      <c r="U962" s="16" t="s">
        <v>73</v>
      </c>
      <c r="V962" s="16" t="n">
        <v>0.28</v>
      </c>
      <c r="W962" s="16" t="n">
        <v>0.186</v>
      </c>
      <c r="X962" s="16" t="n">
        <v>30000</v>
      </c>
      <c r="Y962" s="16" t="n">
        <v>30000</v>
      </c>
      <c r="Z962" s="16" t="n">
        <v>30000</v>
      </c>
      <c r="AA962" s="16"/>
      <c r="AB962" s="16"/>
      <c r="AC962" s="16"/>
      <c r="AD962" s="16"/>
      <c r="AE962" s="16"/>
      <c r="AF962" s="16"/>
      <c r="AG962" s="16"/>
      <c r="AH962" s="16"/>
      <c r="AI962" s="16"/>
      <c r="AJ962" s="9" t="n">
        <f aca="false">X962*$V962</f>
        <v>8400</v>
      </c>
      <c r="AK962" s="9" t="n">
        <f aca="false">Y962*$V962</f>
        <v>8400</v>
      </c>
      <c r="AL962" s="9" t="n">
        <f aca="false">Z962*$V962</f>
        <v>8400</v>
      </c>
      <c r="AM962" s="9" t="n">
        <f aca="false">AA962*$V962</f>
        <v>0</v>
      </c>
      <c r="AN962" s="9" t="n">
        <f aca="false">AB962*$V962</f>
        <v>0</v>
      </c>
      <c r="AO962" s="9" t="n">
        <f aca="false">AC962*$V962</f>
        <v>0</v>
      </c>
      <c r="AP962" s="9" t="n">
        <f aca="false">AD962*$V962</f>
        <v>0</v>
      </c>
      <c r="AQ962" s="9" t="n">
        <f aca="false">AE962*$V962</f>
        <v>0</v>
      </c>
      <c r="AR962" s="9" t="n">
        <f aca="false">AF962*$V962</f>
        <v>0</v>
      </c>
      <c r="AS962" s="9" t="n">
        <f aca="false">AG962*$V962</f>
        <v>0</v>
      </c>
      <c r="AT962" s="9" t="n">
        <f aca="false">AH962*$V962</f>
        <v>0</v>
      </c>
      <c r="AU962" s="9" t="n">
        <f aca="false">AI962*$V962</f>
        <v>0</v>
      </c>
      <c r="AV962" s="9" t="n">
        <f aca="false">SUM(X962:AI962)/1000</f>
        <v>90</v>
      </c>
      <c r="AW962" s="9" t="n">
        <f aca="false">SUM(AJ962:AU962)</f>
        <v>25200</v>
      </c>
      <c r="AX962" s="9" t="n">
        <f aca="false">IF(D962="INR",AW962/88.24,AW962)/1000000</f>
        <v>0.0252</v>
      </c>
    </row>
    <row r="963" s="2" customFormat="true" ht="14.25" hidden="false" customHeight="false" outlineLevel="0" collapsed="false">
      <c r="A963" s="12" t="s">
        <v>1883</v>
      </c>
      <c r="B963" s="16" t="n">
        <v>5</v>
      </c>
      <c r="C963" s="15"/>
      <c r="D963" s="16" t="s">
        <v>102</v>
      </c>
      <c r="E963" s="16" t="s">
        <v>51</v>
      </c>
      <c r="F963" s="16" t="s">
        <v>52</v>
      </c>
      <c r="G963" s="16" t="s">
        <v>274</v>
      </c>
      <c r="H963" s="16" t="s">
        <v>275</v>
      </c>
      <c r="I963" s="16" t="s">
        <v>260</v>
      </c>
      <c r="J963" s="16" t="s">
        <v>1661</v>
      </c>
      <c r="K963" s="16"/>
      <c r="L963" s="16"/>
      <c r="M963" s="16"/>
      <c r="N963" s="16" t="s">
        <v>79</v>
      </c>
      <c r="O963" s="16" t="s">
        <v>68</v>
      </c>
      <c r="P963" s="16" t="str">
        <f aca="false">Q963</f>
        <v>TDK</v>
      </c>
      <c r="Q963" s="16" t="s">
        <v>199</v>
      </c>
      <c r="R963" s="16" t="s">
        <v>377</v>
      </c>
      <c r="S963" s="16" t="s">
        <v>528</v>
      </c>
      <c r="T963" s="16" t="s">
        <v>1884</v>
      </c>
      <c r="U963" s="16" t="s">
        <v>73</v>
      </c>
      <c r="V963" s="16" t="n">
        <v>0.168</v>
      </c>
      <c r="W963" s="16" t="n">
        <v>0</v>
      </c>
      <c r="X963" s="16" t="n">
        <v>6000</v>
      </c>
      <c r="Y963" s="16" t="n">
        <v>6000</v>
      </c>
      <c r="Z963" s="16" t="n">
        <v>6000</v>
      </c>
      <c r="AA963" s="16" t="n">
        <v>6000</v>
      </c>
      <c r="AB963" s="16" t="n">
        <v>6000</v>
      </c>
      <c r="AC963" s="16" t="n">
        <v>6000</v>
      </c>
      <c r="AD963" s="16" t="n">
        <v>6000</v>
      </c>
      <c r="AE963" s="16" t="n">
        <v>6000</v>
      </c>
      <c r="AF963" s="16" t="n">
        <v>6000</v>
      </c>
      <c r="AG963" s="16" t="n">
        <v>6000</v>
      </c>
      <c r="AH963" s="16" t="n">
        <v>6000</v>
      </c>
      <c r="AI963" s="16" t="n">
        <v>6000</v>
      </c>
      <c r="AJ963" s="9" t="n">
        <f aca="false">X963*$V963</f>
        <v>1008</v>
      </c>
      <c r="AK963" s="9" t="n">
        <f aca="false">Y963*$V963</f>
        <v>1008</v>
      </c>
      <c r="AL963" s="9" t="n">
        <f aca="false">Z963*$V963</f>
        <v>1008</v>
      </c>
      <c r="AM963" s="9" t="n">
        <f aca="false">AA963*$V963</f>
        <v>1008</v>
      </c>
      <c r="AN963" s="9" t="n">
        <f aca="false">AB963*$V963</f>
        <v>1008</v>
      </c>
      <c r="AO963" s="9" t="n">
        <f aca="false">AC963*$V963</f>
        <v>1008</v>
      </c>
      <c r="AP963" s="9" t="n">
        <f aca="false">AD963*$V963</f>
        <v>1008</v>
      </c>
      <c r="AQ963" s="9" t="n">
        <f aca="false">AE963*$V963</f>
        <v>1008</v>
      </c>
      <c r="AR963" s="9" t="n">
        <f aca="false">AF963*$V963</f>
        <v>1008</v>
      </c>
      <c r="AS963" s="9" t="n">
        <f aca="false">AG963*$V963</f>
        <v>1008</v>
      </c>
      <c r="AT963" s="9" t="n">
        <f aca="false">AH963*$V963</f>
        <v>1008</v>
      </c>
      <c r="AU963" s="9" t="n">
        <f aca="false">AI963*$V963</f>
        <v>1008</v>
      </c>
      <c r="AV963" s="9" t="n">
        <f aca="false">SUM(X963:AI963)/1000</f>
        <v>72</v>
      </c>
      <c r="AW963" s="9" t="n">
        <f aca="false">SUM(AJ963:AU963)</f>
        <v>12096</v>
      </c>
      <c r="AX963" s="9" t="n">
        <f aca="false">IF(D963="INR",AW963/88.24,AW963)/1000000</f>
        <v>0.012096</v>
      </c>
    </row>
    <row r="964" s="2" customFormat="true" ht="16.4" hidden="false" customHeight="false" outlineLevel="0" collapsed="false">
      <c r="A964" s="28" t="s">
        <v>1885</v>
      </c>
      <c r="B964" s="16" t="n">
        <v>5</v>
      </c>
      <c r="C964" s="16"/>
      <c r="D964" s="16" t="s">
        <v>50</v>
      </c>
      <c r="E964" s="16" t="s">
        <v>51</v>
      </c>
      <c r="F964" s="16" t="s">
        <v>52</v>
      </c>
      <c r="G964" s="16" t="s">
        <v>345</v>
      </c>
      <c r="H964" s="16" t="s">
        <v>346</v>
      </c>
      <c r="I964" s="16" t="s">
        <v>55</v>
      </c>
      <c r="J964" s="16" t="s">
        <v>56</v>
      </c>
      <c r="K964" s="16"/>
      <c r="L964" s="16" t="s">
        <v>55</v>
      </c>
      <c r="M964" s="16" t="s">
        <v>56</v>
      </c>
      <c r="N964" s="16" t="s">
        <v>290</v>
      </c>
      <c r="O964" s="16" t="s">
        <v>94</v>
      </c>
      <c r="P964" s="16" t="s">
        <v>85</v>
      </c>
      <c r="Q964" s="16" t="s">
        <v>85</v>
      </c>
      <c r="R964" s="16" t="s">
        <v>86</v>
      </c>
      <c r="S964" s="16" t="s">
        <v>87</v>
      </c>
      <c r="T964" s="16" t="s">
        <v>1886</v>
      </c>
      <c r="U964" s="16" t="s">
        <v>73</v>
      </c>
      <c r="V964" s="16" t="n">
        <v>4.04</v>
      </c>
      <c r="W964" s="16" t="n">
        <v>0.038</v>
      </c>
      <c r="X964" s="16"/>
      <c r="Y964" s="16"/>
      <c r="Z964" s="16" t="n">
        <v>1000</v>
      </c>
      <c r="AA964" s="16"/>
      <c r="AB964" s="16"/>
      <c r="AC964" s="16"/>
      <c r="AD964" s="16"/>
      <c r="AE964" s="16"/>
      <c r="AF964" s="16"/>
      <c r="AG964" s="16"/>
      <c r="AH964" s="16"/>
      <c r="AI964" s="16"/>
      <c r="AJ964" s="9" t="n">
        <f aca="false">X964*$V964</f>
        <v>0</v>
      </c>
      <c r="AK964" s="9" t="n">
        <f aca="false">Y964*$V964</f>
        <v>0</v>
      </c>
      <c r="AL964" s="9" t="n">
        <f aca="false">Z964*$V964</f>
        <v>4040</v>
      </c>
      <c r="AM964" s="9" t="n">
        <f aca="false">AA964*$V964</f>
        <v>0</v>
      </c>
      <c r="AN964" s="9" t="n">
        <f aca="false">AB964*$V964</f>
        <v>0</v>
      </c>
      <c r="AO964" s="9" t="n">
        <f aca="false">AC964*$V964</f>
        <v>0</v>
      </c>
      <c r="AP964" s="9" t="n">
        <f aca="false">AD964*$V964</f>
        <v>0</v>
      </c>
      <c r="AQ964" s="9" t="n">
        <f aca="false">AE964*$V964</f>
        <v>0</v>
      </c>
      <c r="AR964" s="9" t="n">
        <f aca="false">AF964*$V964</f>
        <v>0</v>
      </c>
      <c r="AS964" s="9" t="n">
        <f aca="false">AG964*$V964</f>
        <v>0</v>
      </c>
      <c r="AT964" s="9" t="n">
        <f aca="false">AH964*$V964</f>
        <v>0</v>
      </c>
      <c r="AU964" s="9" t="n">
        <f aca="false">AI964*$V964</f>
        <v>0</v>
      </c>
      <c r="AV964" s="9" t="n">
        <f aca="false">SUM(X964:AI964)/1000</f>
        <v>1</v>
      </c>
      <c r="AW964" s="9" t="n">
        <f aca="false">SUM(AJ964:AU964)</f>
        <v>4040</v>
      </c>
      <c r="AX964" s="9" t="n">
        <f aca="false">IF(D964="INR",AW964/88.24,AW964)/1000000</f>
        <v>4.57842248413418E-005</v>
      </c>
    </row>
    <row r="965" s="2" customFormat="true" ht="14.25" hidden="false" customHeight="false" outlineLevel="0" collapsed="false">
      <c r="A965" s="12" t="s">
        <v>1887</v>
      </c>
      <c r="B965" s="16" t="n">
        <v>5</v>
      </c>
      <c r="C965" s="15"/>
      <c r="D965" s="16" t="s">
        <v>102</v>
      </c>
      <c r="E965" s="16" t="s">
        <v>51</v>
      </c>
      <c r="F965" s="16" t="s">
        <v>52</v>
      </c>
      <c r="G965" s="16" t="s">
        <v>274</v>
      </c>
      <c r="H965" s="16" t="s">
        <v>275</v>
      </c>
      <c r="I965" s="16" t="s">
        <v>260</v>
      </c>
      <c r="J965" s="16" t="s">
        <v>1661</v>
      </c>
      <c r="K965" s="16"/>
      <c r="L965" s="16" t="s">
        <v>260</v>
      </c>
      <c r="M965" s="16" t="s">
        <v>1661</v>
      </c>
      <c r="N965" s="16" t="s">
        <v>79</v>
      </c>
      <c r="O965" s="16" t="s">
        <v>68</v>
      </c>
      <c r="P965" s="16" t="s">
        <v>188</v>
      </c>
      <c r="Q965" s="16" t="s">
        <v>188</v>
      </c>
      <c r="R965" s="16" t="s">
        <v>550</v>
      </c>
      <c r="S965" s="16" t="s">
        <v>528</v>
      </c>
      <c r="T965" s="16" t="s">
        <v>1888</v>
      </c>
      <c r="U965" s="16" t="s">
        <v>73</v>
      </c>
      <c r="V965" s="16" t="n">
        <v>0.132</v>
      </c>
      <c r="W965" s="16" t="n">
        <v>0.1221</v>
      </c>
      <c r="X965" s="16" t="n">
        <v>20000</v>
      </c>
      <c r="Y965" s="16" t="n">
        <v>20000</v>
      </c>
      <c r="Z965" s="16" t="n">
        <v>20000</v>
      </c>
      <c r="AA965" s="16"/>
      <c r="AB965" s="16"/>
      <c r="AC965" s="16"/>
      <c r="AD965" s="16"/>
      <c r="AE965" s="16"/>
      <c r="AF965" s="16"/>
      <c r="AG965" s="16"/>
      <c r="AH965" s="16"/>
      <c r="AI965" s="16"/>
      <c r="AJ965" s="9" t="n">
        <f aca="false">X965*$V965</f>
        <v>2640</v>
      </c>
      <c r="AK965" s="9" t="n">
        <f aca="false">Y965*$V965</f>
        <v>2640</v>
      </c>
      <c r="AL965" s="9" t="n">
        <f aca="false">Z965*$V965</f>
        <v>2640</v>
      </c>
      <c r="AM965" s="9" t="n">
        <f aca="false">AA965*$V965</f>
        <v>0</v>
      </c>
      <c r="AN965" s="9" t="n">
        <f aca="false">AB965*$V965</f>
        <v>0</v>
      </c>
      <c r="AO965" s="9" t="n">
        <f aca="false">AC965*$V965</f>
        <v>0</v>
      </c>
      <c r="AP965" s="9" t="n">
        <f aca="false">AD965*$V965</f>
        <v>0</v>
      </c>
      <c r="AQ965" s="9" t="n">
        <f aca="false">AE965*$V965</f>
        <v>0</v>
      </c>
      <c r="AR965" s="9" t="n">
        <f aca="false">AF965*$V965</f>
        <v>0</v>
      </c>
      <c r="AS965" s="9" t="n">
        <f aca="false">AG965*$V965</f>
        <v>0</v>
      </c>
      <c r="AT965" s="9" t="n">
        <f aca="false">AH965*$V965</f>
        <v>0</v>
      </c>
      <c r="AU965" s="9" t="n">
        <f aca="false">AI965*$V965</f>
        <v>0</v>
      </c>
      <c r="AV965" s="9" t="n">
        <f aca="false">SUM(X965:AI965)/1000</f>
        <v>60</v>
      </c>
      <c r="AW965" s="9" t="n">
        <f aca="false">SUM(AJ965:AU965)</f>
        <v>7920</v>
      </c>
      <c r="AX965" s="9" t="n">
        <f aca="false">IF(D965="INR",AW965/88.24,AW965)/1000000</f>
        <v>0.00792</v>
      </c>
    </row>
    <row r="966" s="2" customFormat="true" ht="14.25" hidden="false" customHeight="false" outlineLevel="0" collapsed="false">
      <c r="A966" s="12"/>
      <c r="B966" s="16" t="n">
        <v>1</v>
      </c>
      <c r="C966" s="15"/>
      <c r="D966" s="16" t="s">
        <v>102</v>
      </c>
      <c r="E966" s="16"/>
      <c r="F966" s="16" t="s">
        <v>52</v>
      </c>
      <c r="G966" s="16" t="s">
        <v>274</v>
      </c>
      <c r="H966" s="16" t="s">
        <v>275</v>
      </c>
      <c r="I966" s="16"/>
      <c r="J966" s="16"/>
      <c r="K966" s="16"/>
      <c r="L966" s="16"/>
      <c r="M966" s="16"/>
      <c r="N966" s="16" t="s">
        <v>79</v>
      </c>
      <c r="O966" s="16" t="s">
        <v>68</v>
      </c>
      <c r="P966" s="16"/>
      <c r="Q966" s="16" t="s">
        <v>85</v>
      </c>
      <c r="R966" s="16"/>
      <c r="S966" s="16"/>
      <c r="T966" s="16" t="s">
        <v>1889</v>
      </c>
      <c r="U966" s="16" t="s">
        <v>73</v>
      </c>
      <c r="V966" s="16" t="n">
        <v>0.2</v>
      </c>
      <c r="W966" s="16"/>
      <c r="X966" s="16"/>
      <c r="Y966" s="16"/>
      <c r="Z966" s="16"/>
      <c r="AA966" s="16"/>
      <c r="AB966" s="16"/>
      <c r="AC966" s="16"/>
      <c r="AD966" s="16" t="n">
        <v>10000</v>
      </c>
      <c r="AE966" s="16" t="n">
        <v>10000</v>
      </c>
      <c r="AF966" s="16" t="n">
        <v>10000</v>
      </c>
      <c r="AG966" s="16" t="n">
        <v>10000</v>
      </c>
      <c r="AH966" s="16" t="n">
        <v>10000</v>
      </c>
      <c r="AI966" s="16"/>
      <c r="AJ966" s="9" t="n">
        <f aca="false">X966*$V966</f>
        <v>0</v>
      </c>
      <c r="AK966" s="9" t="n">
        <f aca="false">Y966*$V966</f>
        <v>0</v>
      </c>
      <c r="AL966" s="9" t="n">
        <f aca="false">Z966*$V966</f>
        <v>0</v>
      </c>
      <c r="AM966" s="9" t="n">
        <f aca="false">AA966*$V966</f>
        <v>0</v>
      </c>
      <c r="AN966" s="9" t="n">
        <f aca="false">AB966*$V966</f>
        <v>0</v>
      </c>
      <c r="AO966" s="9" t="n">
        <f aca="false">AC966*$V966</f>
        <v>0</v>
      </c>
      <c r="AP966" s="9" t="n">
        <f aca="false">AD966*$V966</f>
        <v>2000</v>
      </c>
      <c r="AQ966" s="9" t="n">
        <f aca="false">AE966*$V966</f>
        <v>2000</v>
      </c>
      <c r="AR966" s="9" t="n">
        <f aca="false">AF966*$V966</f>
        <v>2000</v>
      </c>
      <c r="AS966" s="9" t="n">
        <f aca="false">AG966*$V966</f>
        <v>2000</v>
      </c>
      <c r="AT966" s="9" t="n">
        <f aca="false">AH966*$V966</f>
        <v>2000</v>
      </c>
      <c r="AU966" s="9" t="n">
        <f aca="false">AI966*$V966</f>
        <v>0</v>
      </c>
      <c r="AV966" s="9" t="n">
        <f aca="false">SUM(X966:AI966)/1000</f>
        <v>50</v>
      </c>
      <c r="AW966" s="9" t="n">
        <f aca="false">SUM(AJ966:AU966)</f>
        <v>10000</v>
      </c>
      <c r="AX966" s="9" t="n">
        <f aca="false">IF(D966="INR",AW966/88.24,AW966)/1000000</f>
        <v>0.01</v>
      </c>
    </row>
    <row r="967" s="2" customFormat="true" ht="14.25" hidden="false" customHeight="false" outlineLevel="0" collapsed="false">
      <c r="A967" s="12"/>
      <c r="B967" s="16" t="n">
        <v>1</v>
      </c>
      <c r="C967" s="15"/>
      <c r="D967" s="16" t="s">
        <v>102</v>
      </c>
      <c r="E967" s="16"/>
      <c r="F967" s="16" t="s">
        <v>52</v>
      </c>
      <c r="G967" s="16" t="s">
        <v>274</v>
      </c>
      <c r="H967" s="16" t="s">
        <v>275</v>
      </c>
      <c r="I967" s="16"/>
      <c r="J967" s="16"/>
      <c r="K967" s="16"/>
      <c r="L967" s="16"/>
      <c r="M967" s="16"/>
      <c r="N967" s="16" t="s">
        <v>79</v>
      </c>
      <c r="O967" s="16" t="s">
        <v>68</v>
      </c>
      <c r="P967" s="16"/>
      <c r="Q967" s="16" t="s">
        <v>85</v>
      </c>
      <c r="R967" s="16"/>
      <c r="S967" s="16"/>
      <c r="T967" s="16" t="s">
        <v>1890</v>
      </c>
      <c r="U967" s="16" t="s">
        <v>73</v>
      </c>
      <c r="V967" s="16" t="n">
        <v>0.139</v>
      </c>
      <c r="W967" s="16"/>
      <c r="X967" s="22"/>
      <c r="Y967" s="22"/>
      <c r="Z967" s="22"/>
      <c r="AA967" s="22"/>
      <c r="AB967" s="22"/>
      <c r="AC967" s="22"/>
      <c r="AD967" s="22" t="n">
        <v>10000</v>
      </c>
      <c r="AE967" s="22" t="n">
        <v>10000</v>
      </c>
      <c r="AF967" s="22" t="n">
        <v>10000</v>
      </c>
      <c r="AG967" s="22" t="n">
        <v>10000</v>
      </c>
      <c r="AH967" s="22" t="n">
        <v>10000</v>
      </c>
      <c r="AI967" s="22"/>
      <c r="AJ967" s="9" t="n">
        <f aca="false">X967*$V967</f>
        <v>0</v>
      </c>
      <c r="AK967" s="9" t="n">
        <f aca="false">Y967*$V967</f>
        <v>0</v>
      </c>
      <c r="AL967" s="9" t="n">
        <f aca="false">Z967*$V967</f>
        <v>0</v>
      </c>
      <c r="AM967" s="9" t="n">
        <f aca="false">AA967*$V967</f>
        <v>0</v>
      </c>
      <c r="AN967" s="9" t="n">
        <f aca="false">AB967*$V967</f>
        <v>0</v>
      </c>
      <c r="AO967" s="9" t="n">
        <f aca="false">AC967*$V967</f>
        <v>0</v>
      </c>
      <c r="AP967" s="9" t="n">
        <f aca="false">AD967*$V967</f>
        <v>1390</v>
      </c>
      <c r="AQ967" s="9" t="n">
        <f aca="false">AE967*$V967</f>
        <v>1390</v>
      </c>
      <c r="AR967" s="9" t="n">
        <f aca="false">AF967*$V967</f>
        <v>1390</v>
      </c>
      <c r="AS967" s="9" t="n">
        <f aca="false">AG967*$V967</f>
        <v>1390</v>
      </c>
      <c r="AT967" s="9" t="n">
        <f aca="false">AH967*$V967</f>
        <v>1390</v>
      </c>
      <c r="AU967" s="9" t="n">
        <f aca="false">AI967*$V967</f>
        <v>0</v>
      </c>
      <c r="AV967" s="9" t="n">
        <f aca="false">SUM(X967:AI967)/1000</f>
        <v>50</v>
      </c>
      <c r="AW967" s="9" t="n">
        <f aca="false">SUM(AJ967:AU967)</f>
        <v>6950</v>
      </c>
      <c r="AX967" s="9" t="n">
        <f aca="false">IF(D967="INR",AW967/88.24,AW967)/1000000</f>
        <v>0.00695</v>
      </c>
    </row>
    <row r="968" s="2" customFormat="true" ht="14.25" hidden="false" customHeight="false" outlineLevel="0" collapsed="false">
      <c r="A968" s="12"/>
      <c r="B968" s="16" t="n">
        <v>1</v>
      </c>
      <c r="C968" s="15"/>
      <c r="D968" s="16" t="s">
        <v>102</v>
      </c>
      <c r="E968" s="16"/>
      <c r="F968" s="16" t="s">
        <v>52</v>
      </c>
      <c r="G968" s="16" t="s">
        <v>274</v>
      </c>
      <c r="H968" s="16" t="s">
        <v>275</v>
      </c>
      <c r="I968" s="16"/>
      <c r="J968" s="16"/>
      <c r="K968" s="16"/>
      <c r="L968" s="16"/>
      <c r="M968" s="16"/>
      <c r="N968" s="16" t="s">
        <v>79</v>
      </c>
      <c r="O968" s="16" t="s">
        <v>68</v>
      </c>
      <c r="P968" s="16"/>
      <c r="Q968" s="16" t="s">
        <v>85</v>
      </c>
      <c r="R968" s="16"/>
      <c r="S968" s="16"/>
      <c r="T968" s="16" t="s">
        <v>1891</v>
      </c>
      <c r="U968" s="16" t="s">
        <v>73</v>
      </c>
      <c r="V968" s="16" t="n">
        <v>0.112</v>
      </c>
      <c r="W968" s="16"/>
      <c r="X968" s="22"/>
      <c r="Y968" s="22"/>
      <c r="Z968" s="22"/>
      <c r="AA968" s="22"/>
      <c r="AB968" s="22"/>
      <c r="AC968" s="22"/>
      <c r="AD968" s="22" t="n">
        <v>10000</v>
      </c>
      <c r="AE968" s="22" t="n">
        <v>10000</v>
      </c>
      <c r="AF968" s="22" t="n">
        <v>10000</v>
      </c>
      <c r="AG968" s="22" t="n">
        <v>10000</v>
      </c>
      <c r="AH968" s="22" t="n">
        <v>10000</v>
      </c>
      <c r="AI968" s="22"/>
      <c r="AJ968" s="9" t="n">
        <f aca="false">X968*$V968</f>
        <v>0</v>
      </c>
      <c r="AK968" s="9" t="n">
        <f aca="false">Y968*$V968</f>
        <v>0</v>
      </c>
      <c r="AL968" s="9" t="n">
        <f aca="false">Z968*$V968</f>
        <v>0</v>
      </c>
      <c r="AM968" s="9" t="n">
        <f aca="false">AA968*$V968</f>
        <v>0</v>
      </c>
      <c r="AN968" s="9" t="n">
        <f aca="false">AB968*$V968</f>
        <v>0</v>
      </c>
      <c r="AO968" s="9" t="n">
        <f aca="false">AC968*$V968</f>
        <v>0</v>
      </c>
      <c r="AP968" s="9" t="n">
        <f aca="false">AD968*$V968</f>
        <v>1120</v>
      </c>
      <c r="AQ968" s="9" t="n">
        <f aca="false">AE968*$V968</f>
        <v>1120</v>
      </c>
      <c r="AR968" s="9" t="n">
        <f aca="false">AF968*$V968</f>
        <v>1120</v>
      </c>
      <c r="AS968" s="9" t="n">
        <f aca="false">AG968*$V968</f>
        <v>1120</v>
      </c>
      <c r="AT968" s="9" t="n">
        <f aca="false">AH968*$V968</f>
        <v>1120</v>
      </c>
      <c r="AU968" s="9" t="n">
        <f aca="false">AI968*$V968</f>
        <v>0</v>
      </c>
      <c r="AV968" s="9" t="n">
        <f aca="false">SUM(X968:AI968)/1000</f>
        <v>50</v>
      </c>
      <c r="AW968" s="9" t="n">
        <f aca="false">SUM(AJ968:AU968)</f>
        <v>5600</v>
      </c>
      <c r="AX968" s="9" t="n">
        <f aca="false">IF(D968="INR",AW968/88.24,AW968)/1000000</f>
        <v>0.0056</v>
      </c>
    </row>
    <row r="969" s="2" customFormat="true" ht="14.25" hidden="false" customHeight="false" outlineLevel="0" collapsed="false">
      <c r="A969" s="12"/>
      <c r="B969" s="16" t="n">
        <v>1</v>
      </c>
      <c r="C969" s="15"/>
      <c r="D969" s="16" t="s">
        <v>102</v>
      </c>
      <c r="E969" s="16"/>
      <c r="F969" s="16" t="s">
        <v>52</v>
      </c>
      <c r="G969" s="16" t="s">
        <v>274</v>
      </c>
      <c r="H969" s="16" t="s">
        <v>275</v>
      </c>
      <c r="I969" s="16"/>
      <c r="J969" s="16"/>
      <c r="K969" s="16"/>
      <c r="L969" s="16"/>
      <c r="M969" s="16"/>
      <c r="N969" s="16" t="s">
        <v>79</v>
      </c>
      <c r="O969" s="16" t="s">
        <v>68</v>
      </c>
      <c r="P969" s="16"/>
      <c r="Q969" s="16" t="s">
        <v>789</v>
      </c>
      <c r="R969" s="16"/>
      <c r="S969" s="16"/>
      <c r="T969" s="16" t="s">
        <v>1892</v>
      </c>
      <c r="U969" s="16" t="s">
        <v>73</v>
      </c>
      <c r="V969" s="16" t="n">
        <v>0.0437</v>
      </c>
      <c r="W969" s="16"/>
      <c r="X969" s="16"/>
      <c r="Y969" s="16"/>
      <c r="Z969" s="16"/>
      <c r="AA969" s="16"/>
      <c r="AB969" s="16"/>
      <c r="AC969" s="16"/>
      <c r="AD969" s="16" t="n">
        <v>20000</v>
      </c>
      <c r="AE969" s="16"/>
      <c r="AF969" s="16"/>
      <c r="AG969" s="16"/>
      <c r="AH969" s="16" t="n">
        <v>20000</v>
      </c>
      <c r="AI969" s="16"/>
      <c r="AJ969" s="9" t="n">
        <f aca="false">X969*$V969</f>
        <v>0</v>
      </c>
      <c r="AK969" s="9" t="n">
        <f aca="false">Y969*$V969</f>
        <v>0</v>
      </c>
      <c r="AL969" s="9" t="n">
        <f aca="false">Z969*$V969</f>
        <v>0</v>
      </c>
      <c r="AM969" s="9" t="n">
        <f aca="false">AA969*$V969</f>
        <v>0</v>
      </c>
      <c r="AN969" s="9" t="n">
        <f aca="false">AB969*$V969</f>
        <v>0</v>
      </c>
      <c r="AO969" s="9" t="n">
        <f aca="false">AC969*$V969</f>
        <v>0</v>
      </c>
      <c r="AP969" s="9" t="n">
        <f aca="false">AD969*$V969</f>
        <v>874</v>
      </c>
      <c r="AQ969" s="9" t="n">
        <f aca="false">AE969*$V969</f>
        <v>0</v>
      </c>
      <c r="AR969" s="9" t="n">
        <f aca="false">AF969*$V969</f>
        <v>0</v>
      </c>
      <c r="AS969" s="9" t="n">
        <f aca="false">AG969*$V969</f>
        <v>0</v>
      </c>
      <c r="AT969" s="9" t="n">
        <f aca="false">AH969*$V969</f>
        <v>874</v>
      </c>
      <c r="AU969" s="9" t="n">
        <f aca="false">AI969*$V969</f>
        <v>0</v>
      </c>
      <c r="AV969" s="9" t="n">
        <f aca="false">SUM(X969:AI969)/1000</f>
        <v>40</v>
      </c>
      <c r="AW969" s="9" t="n">
        <f aca="false">SUM(AJ969:AU969)</f>
        <v>1748</v>
      </c>
      <c r="AX969" s="9" t="n">
        <f aca="false">IF(D969="INR",AW969/88.24,AW969)/1000000</f>
        <v>0.001748</v>
      </c>
      <c r="AY969" s="27"/>
    </row>
    <row r="970" s="2" customFormat="true" ht="14.25" hidden="false" customHeight="false" outlineLevel="0" collapsed="false">
      <c r="A970" s="28"/>
      <c r="B970" s="16" t="n">
        <v>1</v>
      </c>
      <c r="C970" s="16"/>
      <c r="D970" s="16" t="s">
        <v>102</v>
      </c>
      <c r="E970" s="16"/>
      <c r="F970" s="16" t="s">
        <v>52</v>
      </c>
      <c r="G970" s="16" t="s">
        <v>274</v>
      </c>
      <c r="H970" s="16" t="s">
        <v>275</v>
      </c>
      <c r="I970" s="16"/>
      <c r="J970" s="16"/>
      <c r="K970" s="16"/>
      <c r="L970" s="16"/>
      <c r="M970" s="16"/>
      <c r="N970" s="16" t="s">
        <v>79</v>
      </c>
      <c r="O970" s="16" t="s">
        <v>68</v>
      </c>
      <c r="P970" s="16"/>
      <c r="Q970" s="16" t="s">
        <v>199</v>
      </c>
      <c r="R970" s="16"/>
      <c r="S970" s="16"/>
      <c r="T970" s="16" t="s">
        <v>1893</v>
      </c>
      <c r="U970" s="16" t="s">
        <v>73</v>
      </c>
      <c r="V970" s="26" t="n">
        <v>0.0102</v>
      </c>
      <c r="W970" s="16"/>
      <c r="X970" s="16"/>
      <c r="Y970" s="16"/>
      <c r="Z970" s="16"/>
      <c r="AA970" s="16"/>
      <c r="AB970" s="26"/>
      <c r="AC970" s="16"/>
      <c r="AD970" s="16" t="n">
        <v>20000</v>
      </c>
      <c r="AE970" s="16"/>
      <c r="AF970" s="16"/>
      <c r="AG970" s="16"/>
      <c r="AH970" s="16" t="n">
        <v>20000</v>
      </c>
      <c r="AI970" s="16"/>
      <c r="AJ970" s="9" t="n">
        <f aca="false">X970*$V970</f>
        <v>0</v>
      </c>
      <c r="AK970" s="9" t="n">
        <f aca="false">Y970*$V970</f>
        <v>0</v>
      </c>
      <c r="AL970" s="9" t="n">
        <f aca="false">Z970*$V970</f>
        <v>0</v>
      </c>
      <c r="AM970" s="9" t="n">
        <f aca="false">AA970*$V970</f>
        <v>0</v>
      </c>
      <c r="AN970" s="9" t="n">
        <f aca="false">AB970*$V970</f>
        <v>0</v>
      </c>
      <c r="AO970" s="9" t="n">
        <f aca="false">AC970*$V970</f>
        <v>0</v>
      </c>
      <c r="AP970" s="9" t="n">
        <f aca="false">AD970*$V970</f>
        <v>204</v>
      </c>
      <c r="AQ970" s="9" t="n">
        <f aca="false">AE970*$V970</f>
        <v>0</v>
      </c>
      <c r="AR970" s="9" t="n">
        <f aca="false">AF970*$V970</f>
        <v>0</v>
      </c>
      <c r="AS970" s="9" t="n">
        <f aca="false">AG970*$V970</f>
        <v>0</v>
      </c>
      <c r="AT970" s="9" t="n">
        <f aca="false">AH970*$V970</f>
        <v>204</v>
      </c>
      <c r="AU970" s="9" t="n">
        <f aca="false">AI970*$V970</f>
        <v>0</v>
      </c>
      <c r="AV970" s="9" t="n">
        <f aca="false">SUM(X970:AI970)/1000</f>
        <v>40</v>
      </c>
      <c r="AW970" s="9" t="n">
        <f aca="false">SUM(AJ970:AU970)</f>
        <v>408</v>
      </c>
      <c r="AX970" s="9" t="n">
        <f aca="false">IF(D970="INR",AW970/88.24,AW970)/1000000</f>
        <v>0.000408</v>
      </c>
    </row>
    <row r="971" s="2" customFormat="true" ht="14.25" hidden="false" customHeight="false" outlineLevel="0" collapsed="false">
      <c r="A971" s="28"/>
      <c r="B971" s="16" t="n">
        <v>1</v>
      </c>
      <c r="C971" s="16"/>
      <c r="D971" s="16" t="s">
        <v>102</v>
      </c>
      <c r="E971" s="16"/>
      <c r="F971" s="16" t="s">
        <v>52</v>
      </c>
      <c r="G971" s="16" t="s">
        <v>274</v>
      </c>
      <c r="H971" s="16" t="s">
        <v>275</v>
      </c>
      <c r="I971" s="16"/>
      <c r="J971" s="16"/>
      <c r="K971" s="16"/>
      <c r="L971" s="16"/>
      <c r="M971" s="16"/>
      <c r="N971" s="16" t="s">
        <v>79</v>
      </c>
      <c r="O971" s="16" t="s">
        <v>68</v>
      </c>
      <c r="P971" s="16"/>
      <c r="Q971" s="16" t="s">
        <v>199</v>
      </c>
      <c r="R971" s="16"/>
      <c r="S971" s="16"/>
      <c r="T971" s="16" t="s">
        <v>1894</v>
      </c>
      <c r="U971" s="16" t="s">
        <v>73</v>
      </c>
      <c r="V971" s="26" t="n">
        <v>0.0036</v>
      </c>
      <c r="W971" s="26"/>
      <c r="X971" s="16"/>
      <c r="Y971" s="16"/>
      <c r="Z971" s="16"/>
      <c r="AA971" s="16"/>
      <c r="AB971" s="16"/>
      <c r="AC971" s="16"/>
      <c r="AD971" s="16" t="n">
        <v>20000</v>
      </c>
      <c r="AE971" s="16"/>
      <c r="AF971" s="16"/>
      <c r="AG971" s="16"/>
      <c r="AH971" s="16" t="n">
        <v>20000</v>
      </c>
      <c r="AI971" s="16"/>
      <c r="AJ971" s="9" t="n">
        <f aca="false">X971*$V971</f>
        <v>0</v>
      </c>
      <c r="AK971" s="9" t="n">
        <f aca="false">Y971*$V971</f>
        <v>0</v>
      </c>
      <c r="AL971" s="9" t="n">
        <f aca="false">Z971*$V971</f>
        <v>0</v>
      </c>
      <c r="AM971" s="9" t="n">
        <f aca="false">AA971*$V971</f>
        <v>0</v>
      </c>
      <c r="AN971" s="9" t="n">
        <f aca="false">AB971*$V971</f>
        <v>0</v>
      </c>
      <c r="AO971" s="9" t="n">
        <f aca="false">AC971*$V971</f>
        <v>0</v>
      </c>
      <c r="AP971" s="9" t="n">
        <f aca="false">AD971*$V971</f>
        <v>72</v>
      </c>
      <c r="AQ971" s="9" t="n">
        <f aca="false">AE971*$V971</f>
        <v>0</v>
      </c>
      <c r="AR971" s="9" t="n">
        <f aca="false">AF971*$V971</f>
        <v>0</v>
      </c>
      <c r="AS971" s="9" t="n">
        <f aca="false">AG971*$V971</f>
        <v>0</v>
      </c>
      <c r="AT971" s="9" t="n">
        <f aca="false">AH971*$V971</f>
        <v>72</v>
      </c>
      <c r="AU971" s="9" t="n">
        <f aca="false">AI971*$V971</f>
        <v>0</v>
      </c>
      <c r="AV971" s="9" t="n">
        <f aca="false">SUM(X971:AI971)/1000</f>
        <v>40</v>
      </c>
      <c r="AW971" s="9" t="n">
        <f aca="false">SUM(AJ971:AU971)</f>
        <v>144</v>
      </c>
      <c r="AX971" s="9" t="n">
        <f aca="false">IF(D971="INR",AW971/88.24,AW971)/1000000</f>
        <v>0.000144</v>
      </c>
    </row>
    <row r="972" s="2" customFormat="true" ht="14.25" hidden="false" customHeight="false" outlineLevel="0" collapsed="false">
      <c r="A972" s="28"/>
      <c r="B972" s="16" t="n">
        <v>1</v>
      </c>
      <c r="C972" s="16"/>
      <c r="D972" s="16" t="s">
        <v>50</v>
      </c>
      <c r="E972" s="16"/>
      <c r="F972" s="16" t="s">
        <v>52</v>
      </c>
      <c r="G972" s="16"/>
      <c r="H972" s="16" t="s">
        <v>656</v>
      </c>
      <c r="I972" s="16"/>
      <c r="J972" s="16"/>
      <c r="K972" s="16"/>
      <c r="L972" s="16"/>
      <c r="M972" s="16"/>
      <c r="N972" s="16" t="s">
        <v>290</v>
      </c>
      <c r="O972" s="16" t="s">
        <v>58</v>
      </c>
      <c r="P972" s="16"/>
      <c r="Q972" s="16" t="s">
        <v>85</v>
      </c>
      <c r="R972" s="16" t="s">
        <v>1895</v>
      </c>
      <c r="S972" s="16" t="n">
        <v>0.191</v>
      </c>
      <c r="T972" s="16" t="s">
        <v>1895</v>
      </c>
      <c r="U972" s="16"/>
      <c r="V972" s="16" t="n">
        <v>0.191</v>
      </c>
      <c r="W972" s="16"/>
      <c r="X972" s="16"/>
      <c r="Y972" s="16"/>
      <c r="Z972" s="16" t="n">
        <v>20000</v>
      </c>
      <c r="AA972" s="16"/>
      <c r="AB972" s="16"/>
      <c r="AC972" s="16" t="n">
        <v>20000</v>
      </c>
      <c r="AD972" s="16"/>
      <c r="AE972" s="16"/>
      <c r="AF972" s="16" t="n">
        <v>20000</v>
      </c>
      <c r="AG972" s="16"/>
      <c r="AH972" s="16"/>
      <c r="AI972" s="16" t="n">
        <v>20000</v>
      </c>
      <c r="AJ972" s="9" t="n">
        <f aca="false">X972*$V972</f>
        <v>0</v>
      </c>
      <c r="AK972" s="9" t="n">
        <f aca="false">Y972*$V972</f>
        <v>0</v>
      </c>
      <c r="AL972" s="9" t="n">
        <f aca="false">Z972*$V972</f>
        <v>3820</v>
      </c>
      <c r="AM972" s="9" t="n">
        <f aca="false">AA972*$V972</f>
        <v>0</v>
      </c>
      <c r="AN972" s="9" t="n">
        <f aca="false">AB972*$V972</f>
        <v>0</v>
      </c>
      <c r="AO972" s="9" t="n">
        <f aca="false">AC972*$V972</f>
        <v>3820</v>
      </c>
      <c r="AP972" s="9" t="n">
        <f aca="false">AD972*$V972</f>
        <v>0</v>
      </c>
      <c r="AQ972" s="9" t="n">
        <f aca="false">AE972*$V972</f>
        <v>0</v>
      </c>
      <c r="AR972" s="9" t="n">
        <f aca="false">AF972*$V972</f>
        <v>3820</v>
      </c>
      <c r="AS972" s="9" t="n">
        <f aca="false">AG972*$V972</f>
        <v>0</v>
      </c>
      <c r="AT972" s="9" t="n">
        <f aca="false">AH972*$V972</f>
        <v>0</v>
      </c>
      <c r="AU972" s="9" t="n">
        <f aca="false">AI972*$V972</f>
        <v>3820</v>
      </c>
      <c r="AV972" s="9" t="n">
        <f aca="false">SUM(X972:AI972)/1000</f>
        <v>80</v>
      </c>
      <c r="AW972" s="9" t="n">
        <f aca="false">SUM(AJ972:AU972)</f>
        <v>15280</v>
      </c>
      <c r="AX972" s="9" t="n">
        <f aca="false">IF(D972="INR",AW972/88.24,AW972)/1000000</f>
        <v>0.000173164097914778</v>
      </c>
    </row>
    <row r="973" s="2" customFormat="true" ht="16.4" hidden="false" customHeight="false" outlineLevel="0" collapsed="false">
      <c r="A973" s="35" t="s">
        <v>1896</v>
      </c>
      <c r="B973" s="9"/>
      <c r="C973" s="10"/>
      <c r="D973" s="9" t="s">
        <v>50</v>
      </c>
      <c r="E973" s="9" t="s">
        <v>51</v>
      </c>
      <c r="F973" s="9" t="s">
        <v>52</v>
      </c>
      <c r="G973" s="9" t="s">
        <v>258</v>
      </c>
      <c r="H973" s="9" t="s">
        <v>259</v>
      </c>
      <c r="I973" s="9" t="s">
        <v>260</v>
      </c>
      <c r="J973" s="9" t="s">
        <v>261</v>
      </c>
      <c r="K973" s="9"/>
      <c r="L973" s="9" t="s">
        <v>260</v>
      </c>
      <c r="M973" s="9" t="s">
        <v>261</v>
      </c>
      <c r="N973" s="16" t="s">
        <v>67</v>
      </c>
      <c r="O973" s="9" t="s">
        <v>246</v>
      </c>
      <c r="P973" s="9" t="s">
        <v>80</v>
      </c>
      <c r="Q973" s="9" t="s">
        <v>80</v>
      </c>
      <c r="R973" s="9" t="s">
        <v>81</v>
      </c>
      <c r="S973" s="9" t="s">
        <v>82</v>
      </c>
      <c r="T973" s="9" t="s">
        <v>1897</v>
      </c>
      <c r="U973" s="9" t="s">
        <v>63</v>
      </c>
      <c r="V973" s="9" t="n">
        <v>0.0751</v>
      </c>
      <c r="W973" s="9" t="n">
        <v>0</v>
      </c>
      <c r="X973" s="9" t="n">
        <v>50000</v>
      </c>
      <c r="Y973" s="9" t="n">
        <v>50000</v>
      </c>
      <c r="Z973" s="9" t="n">
        <v>50000</v>
      </c>
      <c r="AA973" s="9" t="n">
        <v>50000</v>
      </c>
      <c r="AB973" s="9" t="n">
        <v>50000</v>
      </c>
      <c r="AC973" s="9" t="n">
        <v>50000</v>
      </c>
      <c r="AD973" s="9" t="n">
        <v>50000</v>
      </c>
      <c r="AE973" s="9" t="n">
        <v>50000</v>
      </c>
      <c r="AF973" s="9" t="n">
        <v>50000</v>
      </c>
      <c r="AG973" s="9" t="n">
        <v>50000</v>
      </c>
      <c r="AH973" s="9" t="n">
        <v>50000</v>
      </c>
      <c r="AI973" s="9" t="n">
        <v>50000</v>
      </c>
      <c r="AJ973" s="9" t="n">
        <f aca="false">X973*$V973</f>
        <v>3755</v>
      </c>
      <c r="AK973" s="9" t="n">
        <f aca="false">Y973*$V973</f>
        <v>3755</v>
      </c>
      <c r="AL973" s="9" t="n">
        <f aca="false">Z973*$V973</f>
        <v>3755</v>
      </c>
      <c r="AM973" s="9" t="n">
        <f aca="false">AA973*$V973</f>
        <v>3755</v>
      </c>
      <c r="AN973" s="9" t="n">
        <f aca="false">AB973*$V973</f>
        <v>3755</v>
      </c>
      <c r="AO973" s="9" t="n">
        <f aca="false">AC973*$V973</f>
        <v>3755</v>
      </c>
      <c r="AP973" s="9" t="n">
        <f aca="false">AD973*$V973</f>
        <v>3755</v>
      </c>
      <c r="AQ973" s="9" t="n">
        <f aca="false">AE973*$V973</f>
        <v>3755</v>
      </c>
      <c r="AR973" s="9" t="n">
        <f aca="false">AF973*$V973</f>
        <v>3755</v>
      </c>
      <c r="AS973" s="9" t="n">
        <f aca="false">AG973*$V973</f>
        <v>3755</v>
      </c>
      <c r="AT973" s="9" t="n">
        <f aca="false">AH973*$V973</f>
        <v>3755</v>
      </c>
      <c r="AU973" s="9" t="n">
        <f aca="false">AI973*$V973</f>
        <v>3755</v>
      </c>
      <c r="AV973" s="9" t="n">
        <f aca="false">SUM(X973:AI973)/1000</f>
        <v>600</v>
      </c>
      <c r="AW973" s="9" t="n">
        <f aca="false">SUM(AJ973:AU973)</f>
        <v>45060</v>
      </c>
      <c r="AX973" s="9" t="n">
        <f aca="false">IF(D973="INR",AW973/88.24,AW973)/1000000</f>
        <v>0.000510652765185857</v>
      </c>
    </row>
    <row r="974" s="2" customFormat="true" ht="14.25" hidden="false" customHeight="false" outlineLevel="0" collapsed="false">
      <c r="A974" s="35"/>
      <c r="B974" s="9" t="n">
        <v>1</v>
      </c>
      <c r="C974" s="10"/>
      <c r="D974" s="9" t="s">
        <v>50</v>
      </c>
      <c r="E974" s="9"/>
      <c r="F974" s="9" t="s">
        <v>52</v>
      </c>
      <c r="G974" s="9" t="s">
        <v>274</v>
      </c>
      <c r="H974" s="9" t="s">
        <v>275</v>
      </c>
      <c r="I974" s="9"/>
      <c r="J974" s="9"/>
      <c r="K974" s="9"/>
      <c r="L974" s="9"/>
      <c r="M974" s="9"/>
      <c r="N974" s="9" t="s">
        <v>79</v>
      </c>
      <c r="O974" s="9" t="s">
        <v>68</v>
      </c>
      <c r="P974" s="9"/>
      <c r="Q974" s="9" t="s">
        <v>80</v>
      </c>
      <c r="R974" s="9"/>
      <c r="S974" s="9"/>
      <c r="T974" s="9" t="s">
        <v>1898</v>
      </c>
      <c r="U974" s="9" t="s">
        <v>73</v>
      </c>
      <c r="V974" s="9" t="n">
        <v>1.21</v>
      </c>
      <c r="W974" s="9"/>
      <c r="X974" s="9" t="n">
        <v>3000</v>
      </c>
      <c r="Y974" s="9" t="n">
        <v>3000</v>
      </c>
      <c r="Z974" s="9" t="n">
        <v>3000</v>
      </c>
      <c r="AA974" s="9" t="n">
        <v>3000</v>
      </c>
      <c r="AB974" s="9" t="n">
        <v>3000</v>
      </c>
      <c r="AC974" s="9" t="n">
        <v>3000</v>
      </c>
      <c r="AD974" s="9" t="n">
        <v>3000</v>
      </c>
      <c r="AE974" s="9" t="n">
        <v>3000</v>
      </c>
      <c r="AF974" s="9" t="n">
        <v>3000</v>
      </c>
      <c r="AG974" s="9" t="n">
        <v>3000</v>
      </c>
      <c r="AH974" s="9" t="n">
        <v>3000</v>
      </c>
      <c r="AI974" s="9" t="n">
        <v>3000</v>
      </c>
      <c r="AJ974" s="9" t="n">
        <f aca="false">X974*$V974</f>
        <v>3630</v>
      </c>
      <c r="AK974" s="9" t="n">
        <f aca="false">Y974*$V974</f>
        <v>3630</v>
      </c>
      <c r="AL974" s="9" t="n">
        <f aca="false">Z974*$V974</f>
        <v>3630</v>
      </c>
      <c r="AM974" s="9" t="n">
        <f aca="false">AA974*$V974</f>
        <v>3630</v>
      </c>
      <c r="AN974" s="9" t="n">
        <f aca="false">AB974*$V974</f>
        <v>3630</v>
      </c>
      <c r="AO974" s="9" t="n">
        <f aca="false">AC974*$V974</f>
        <v>3630</v>
      </c>
      <c r="AP974" s="9" t="n">
        <f aca="false">AD974*$V974</f>
        <v>3630</v>
      </c>
      <c r="AQ974" s="9" t="n">
        <f aca="false">AE974*$V974</f>
        <v>3630</v>
      </c>
      <c r="AR974" s="9" t="n">
        <f aca="false">AF974*$V974</f>
        <v>3630</v>
      </c>
      <c r="AS974" s="9" t="n">
        <f aca="false">AG974*$V974</f>
        <v>3630</v>
      </c>
      <c r="AT974" s="9" t="n">
        <f aca="false">AH974*$V974</f>
        <v>3630</v>
      </c>
      <c r="AU974" s="9" t="n">
        <f aca="false">AI974*$V974</f>
        <v>3630</v>
      </c>
      <c r="AV974" s="9" t="n">
        <f aca="false">SUM(X974:AI974)/1000</f>
        <v>36</v>
      </c>
      <c r="AW974" s="9" t="n">
        <f aca="false">SUM(AJ974:AU974)</f>
        <v>43560</v>
      </c>
      <c r="AX974" s="9" t="n">
        <f aca="false">IF(D974="INR",AW974/88.24,AW974)/1000000</f>
        <v>0.000493653671804171</v>
      </c>
    </row>
    <row r="975" s="2" customFormat="true" ht="16.4" hidden="false" customHeight="false" outlineLevel="0" collapsed="false">
      <c r="A975" s="35" t="s">
        <v>1899</v>
      </c>
      <c r="B975" s="9" t="n">
        <v>5</v>
      </c>
      <c r="C975" s="10"/>
      <c r="D975" s="9" t="s">
        <v>102</v>
      </c>
      <c r="E975" s="9" t="s">
        <v>51</v>
      </c>
      <c r="F975" s="9" t="s">
        <v>52</v>
      </c>
      <c r="G975" s="9" t="s">
        <v>274</v>
      </c>
      <c r="H975" s="9" t="s">
        <v>275</v>
      </c>
      <c r="I975" s="9" t="s">
        <v>260</v>
      </c>
      <c r="J975" s="9" t="s">
        <v>1661</v>
      </c>
      <c r="K975" s="9"/>
      <c r="L975" s="9" t="s">
        <v>260</v>
      </c>
      <c r="M975" s="9" t="s">
        <v>1661</v>
      </c>
      <c r="N975" s="9" t="s">
        <v>79</v>
      </c>
      <c r="O975" s="9" t="s">
        <v>68</v>
      </c>
      <c r="P975" s="9" t="s">
        <v>188</v>
      </c>
      <c r="Q975" s="9" t="s">
        <v>188</v>
      </c>
      <c r="R975" s="9" t="s">
        <v>550</v>
      </c>
      <c r="S975" s="9" t="s">
        <v>528</v>
      </c>
      <c r="T975" s="9" t="s">
        <v>1900</v>
      </c>
      <c r="U975" s="9" t="s">
        <v>73</v>
      </c>
      <c r="V975" s="9" t="n">
        <v>0.046</v>
      </c>
      <c r="W975" s="9" t="n">
        <v>0.04144</v>
      </c>
      <c r="X975" s="9" t="n">
        <v>5000</v>
      </c>
      <c r="Y975" s="9" t="n">
        <v>5000</v>
      </c>
      <c r="Z975" s="9" t="n">
        <v>5000</v>
      </c>
      <c r="AA975" s="9"/>
      <c r="AB975" s="9"/>
      <c r="AC975" s="9"/>
      <c r="AD975" s="9"/>
      <c r="AE975" s="9"/>
      <c r="AF975" s="9"/>
      <c r="AG975" s="9"/>
      <c r="AH975" s="9"/>
      <c r="AI975" s="9"/>
      <c r="AJ975" s="9" t="n">
        <f aca="false">X975*$V975</f>
        <v>230</v>
      </c>
      <c r="AK975" s="9" t="n">
        <f aca="false">Y975*$V975</f>
        <v>230</v>
      </c>
      <c r="AL975" s="9" t="n">
        <f aca="false">Z975*$V975</f>
        <v>230</v>
      </c>
      <c r="AM975" s="9" t="n">
        <f aca="false">AA975*$V975</f>
        <v>0</v>
      </c>
      <c r="AN975" s="9" t="n">
        <f aca="false">AB975*$V975</f>
        <v>0</v>
      </c>
      <c r="AO975" s="9" t="n">
        <f aca="false">AC975*$V975</f>
        <v>0</v>
      </c>
      <c r="AP975" s="9" t="n">
        <f aca="false">AD975*$V975</f>
        <v>0</v>
      </c>
      <c r="AQ975" s="9" t="n">
        <f aca="false">AE975*$V975</f>
        <v>0</v>
      </c>
      <c r="AR975" s="9" t="n">
        <f aca="false">AF975*$V975</f>
        <v>0</v>
      </c>
      <c r="AS975" s="9" t="n">
        <f aca="false">AG975*$V975</f>
        <v>0</v>
      </c>
      <c r="AT975" s="9" t="n">
        <f aca="false">AH975*$V975</f>
        <v>0</v>
      </c>
      <c r="AU975" s="9" t="n">
        <f aca="false">AI975*$V975</f>
        <v>0</v>
      </c>
      <c r="AV975" s="9" t="n">
        <f aca="false">SUM(X975:AI975)/1000</f>
        <v>15</v>
      </c>
      <c r="AW975" s="9" t="n">
        <f aca="false">SUM(AJ975:AU975)</f>
        <v>690</v>
      </c>
      <c r="AX975" s="9" t="n">
        <f aca="false">IF(D975="INR",AW975/88.24,AW975)/1000000</f>
        <v>0.00069</v>
      </c>
    </row>
    <row r="976" s="2" customFormat="true" ht="14.25" hidden="false" customHeight="false" outlineLevel="0" collapsed="false">
      <c r="A976" s="35"/>
      <c r="B976" s="9" t="n">
        <v>1</v>
      </c>
      <c r="C976" s="10"/>
      <c r="D976" s="9" t="s">
        <v>102</v>
      </c>
      <c r="E976" s="9"/>
      <c r="F976" s="9" t="s">
        <v>52</v>
      </c>
      <c r="G976" s="9" t="s">
        <v>274</v>
      </c>
      <c r="H976" s="9" t="s">
        <v>275</v>
      </c>
      <c r="I976" s="9"/>
      <c r="J976" s="9"/>
      <c r="K976" s="9"/>
      <c r="L976" s="9"/>
      <c r="M976" s="9"/>
      <c r="N976" s="9" t="s">
        <v>79</v>
      </c>
      <c r="O976" s="9" t="s">
        <v>68</v>
      </c>
      <c r="P976" s="9"/>
      <c r="Q976" s="9" t="s">
        <v>85</v>
      </c>
      <c r="R976" s="9"/>
      <c r="S976" s="9"/>
      <c r="T976" s="9" t="s">
        <v>1901</v>
      </c>
      <c r="U976" s="9" t="s">
        <v>73</v>
      </c>
      <c r="V976" s="9" t="n">
        <v>0.058</v>
      </c>
      <c r="W976" s="9"/>
      <c r="X976" s="9"/>
      <c r="Y976" s="9"/>
      <c r="Z976" s="9"/>
      <c r="AA976" s="9"/>
      <c r="AB976" s="9"/>
      <c r="AC976" s="9"/>
      <c r="AD976" s="9" t="n">
        <v>2000</v>
      </c>
      <c r="AE976" s="9" t="n">
        <v>2000</v>
      </c>
      <c r="AF976" s="9" t="n">
        <v>2000</v>
      </c>
      <c r="AG976" s="9" t="n">
        <v>2000</v>
      </c>
      <c r="AH976" s="9" t="n">
        <v>2000</v>
      </c>
      <c r="AI976" s="9"/>
      <c r="AJ976" s="9" t="n">
        <f aca="false">X976*$V976</f>
        <v>0</v>
      </c>
      <c r="AK976" s="9" t="n">
        <f aca="false">Y976*$V976</f>
        <v>0</v>
      </c>
      <c r="AL976" s="9" t="n">
        <f aca="false">Z976*$V976</f>
        <v>0</v>
      </c>
      <c r="AM976" s="9" t="n">
        <f aca="false">AA976*$V976</f>
        <v>0</v>
      </c>
      <c r="AN976" s="9" t="n">
        <f aca="false">AB976*$V976</f>
        <v>0</v>
      </c>
      <c r="AO976" s="9" t="n">
        <f aca="false">AC976*$V976</f>
        <v>0</v>
      </c>
      <c r="AP976" s="9" t="n">
        <f aca="false">AD976*$V976</f>
        <v>116</v>
      </c>
      <c r="AQ976" s="9" t="n">
        <f aca="false">AE976*$V976</f>
        <v>116</v>
      </c>
      <c r="AR976" s="9" t="n">
        <f aca="false">AF976*$V976</f>
        <v>116</v>
      </c>
      <c r="AS976" s="9" t="n">
        <f aca="false">AG976*$V976</f>
        <v>116</v>
      </c>
      <c r="AT976" s="9" t="n">
        <f aca="false">AH976*$V976</f>
        <v>116</v>
      </c>
      <c r="AU976" s="9" t="n">
        <f aca="false">AI976*$V976</f>
        <v>0</v>
      </c>
      <c r="AV976" s="9" t="n">
        <f aca="false">SUM(X976:AI976)/1000</f>
        <v>10</v>
      </c>
      <c r="AW976" s="9" t="n">
        <f aca="false">SUM(AJ976:AU976)</f>
        <v>580</v>
      </c>
      <c r="AX976" s="9" t="n">
        <f aca="false">IF(D976="INR",AW976/88.24,AW976)/1000000</f>
        <v>0.00058</v>
      </c>
    </row>
    <row r="977" s="2" customFormat="true" ht="14.25" hidden="false" customHeight="false" outlineLevel="0" collapsed="false">
      <c r="A977" s="12" t="s">
        <v>1902</v>
      </c>
      <c r="B977" s="16" t="n">
        <v>5</v>
      </c>
      <c r="C977" s="15"/>
      <c r="D977" s="16" t="s">
        <v>102</v>
      </c>
      <c r="E977" s="16" t="s">
        <v>51</v>
      </c>
      <c r="F977" s="16" t="s">
        <v>52</v>
      </c>
      <c r="G977" s="16" t="s">
        <v>274</v>
      </c>
      <c r="H977" s="16" t="s">
        <v>275</v>
      </c>
      <c r="I977" s="16" t="s">
        <v>260</v>
      </c>
      <c r="J977" s="16" t="s">
        <v>1661</v>
      </c>
      <c r="K977" s="16"/>
      <c r="L977" s="16" t="s">
        <v>260</v>
      </c>
      <c r="M977" s="16" t="s">
        <v>1661</v>
      </c>
      <c r="N977" s="16" t="s">
        <v>79</v>
      </c>
      <c r="O977" s="16" t="s">
        <v>68</v>
      </c>
      <c r="P977" s="16" t="s">
        <v>188</v>
      </c>
      <c r="Q977" s="16" t="s">
        <v>188</v>
      </c>
      <c r="R977" s="16" t="s">
        <v>550</v>
      </c>
      <c r="S977" s="16" t="s">
        <v>528</v>
      </c>
      <c r="T977" s="16" t="s">
        <v>1903</v>
      </c>
      <c r="U977" s="16" t="s">
        <v>73</v>
      </c>
      <c r="V977" s="16" t="n">
        <v>0.246</v>
      </c>
      <c r="W977" s="16" t="n">
        <v>0.22624</v>
      </c>
      <c r="X977" s="16" t="n">
        <v>2500</v>
      </c>
      <c r="Y977" s="16" t="n">
        <v>2500</v>
      </c>
      <c r="Z977" s="16" t="n">
        <v>2500</v>
      </c>
      <c r="AA977" s="16"/>
      <c r="AB977" s="16"/>
      <c r="AC977" s="16"/>
      <c r="AD977" s="16"/>
      <c r="AE977" s="16"/>
      <c r="AF977" s="16"/>
      <c r="AG977" s="16"/>
      <c r="AH977" s="16"/>
      <c r="AI977" s="16"/>
      <c r="AJ977" s="9" t="n">
        <f aca="false">X977*$V977</f>
        <v>615</v>
      </c>
      <c r="AK977" s="9" t="n">
        <f aca="false">Y977*$V977</f>
        <v>615</v>
      </c>
      <c r="AL977" s="9" t="n">
        <f aca="false">Z977*$V977</f>
        <v>615</v>
      </c>
      <c r="AM977" s="9" t="n">
        <f aca="false">AA977*$V977</f>
        <v>0</v>
      </c>
      <c r="AN977" s="9" t="n">
        <f aca="false">AB977*$V977</f>
        <v>0</v>
      </c>
      <c r="AO977" s="9" t="n">
        <f aca="false">AC977*$V977</f>
        <v>0</v>
      </c>
      <c r="AP977" s="9" t="n">
        <f aca="false">AD977*$V977</f>
        <v>0</v>
      </c>
      <c r="AQ977" s="9" t="n">
        <f aca="false">AE977*$V977</f>
        <v>0</v>
      </c>
      <c r="AR977" s="9" t="n">
        <f aca="false">AF977*$V977</f>
        <v>0</v>
      </c>
      <c r="AS977" s="9" t="n">
        <f aca="false">AG977*$V977</f>
        <v>0</v>
      </c>
      <c r="AT977" s="9" t="n">
        <f aca="false">AH977*$V977</f>
        <v>0</v>
      </c>
      <c r="AU977" s="9" t="n">
        <f aca="false">AI977*$V977</f>
        <v>0</v>
      </c>
      <c r="AV977" s="9" t="n">
        <f aca="false">SUM(X977:AI977)/1000</f>
        <v>7.5</v>
      </c>
      <c r="AW977" s="9" t="n">
        <f aca="false">SUM(AJ977:AU977)</f>
        <v>1845</v>
      </c>
      <c r="AX977" s="9" t="n">
        <f aca="false">IF(D977="INR",AW977/88.24,AW977)/1000000</f>
        <v>0.001845</v>
      </c>
      <c r="AY977" s="27"/>
    </row>
    <row r="978" s="2" customFormat="true" ht="14.25" hidden="false" customHeight="false" outlineLevel="0" collapsed="false">
      <c r="A978" s="12"/>
      <c r="B978" s="16" t="n">
        <v>1</v>
      </c>
      <c r="C978" s="15"/>
      <c r="D978" s="16" t="s">
        <v>102</v>
      </c>
      <c r="E978" s="16"/>
      <c r="F978" s="16" t="s">
        <v>52</v>
      </c>
      <c r="G978" s="16" t="s">
        <v>274</v>
      </c>
      <c r="H978" s="16" t="s">
        <v>275</v>
      </c>
      <c r="I978" s="16"/>
      <c r="J978" s="16"/>
      <c r="K978" s="16"/>
      <c r="L978" s="16"/>
      <c r="M978" s="16"/>
      <c r="N978" s="16" t="s">
        <v>79</v>
      </c>
      <c r="O978" s="16" t="s">
        <v>68</v>
      </c>
      <c r="P978" s="16"/>
      <c r="Q978" s="16" t="s">
        <v>199</v>
      </c>
      <c r="R978" s="16"/>
      <c r="S978" s="16"/>
      <c r="T978" s="16" t="s">
        <v>1904</v>
      </c>
      <c r="U978" s="16" t="s">
        <v>73</v>
      </c>
      <c r="V978" s="16" t="n">
        <v>1.725</v>
      </c>
      <c r="W978" s="16"/>
      <c r="X978" s="26"/>
      <c r="Y978" s="26"/>
      <c r="Z978" s="16"/>
      <c r="AA978" s="16"/>
      <c r="AB978" s="16"/>
      <c r="AC978" s="16"/>
      <c r="AD978" s="26" t="n">
        <v>500</v>
      </c>
      <c r="AE978" s="26"/>
      <c r="AF978" s="16"/>
      <c r="AG978" s="16"/>
      <c r="AH978" s="16" t="n">
        <v>500</v>
      </c>
      <c r="AI978" s="16"/>
      <c r="AJ978" s="9" t="n">
        <f aca="false">X978*$V978</f>
        <v>0</v>
      </c>
      <c r="AK978" s="9" t="n">
        <f aca="false">Y978*$V978</f>
        <v>0</v>
      </c>
      <c r="AL978" s="9" t="n">
        <f aca="false">Z978*$V978</f>
        <v>0</v>
      </c>
      <c r="AM978" s="9" t="n">
        <f aca="false">AA978*$V978</f>
        <v>0</v>
      </c>
      <c r="AN978" s="9" t="n">
        <f aca="false">AB978*$V978</f>
        <v>0</v>
      </c>
      <c r="AO978" s="9" t="n">
        <f aca="false">AC978*$V978</f>
        <v>0</v>
      </c>
      <c r="AP978" s="9" t="n">
        <f aca="false">AD978*$V978</f>
        <v>862.5</v>
      </c>
      <c r="AQ978" s="9" t="n">
        <f aca="false">AE978*$V978</f>
        <v>0</v>
      </c>
      <c r="AR978" s="9" t="n">
        <f aca="false">AF978*$V978</f>
        <v>0</v>
      </c>
      <c r="AS978" s="9" t="n">
        <f aca="false">AG978*$V978</f>
        <v>0</v>
      </c>
      <c r="AT978" s="9" t="n">
        <f aca="false">AH978*$V978</f>
        <v>862.5</v>
      </c>
      <c r="AU978" s="9" t="n">
        <f aca="false">AI978*$V978</f>
        <v>0</v>
      </c>
      <c r="AV978" s="9" t="n">
        <f aca="false">SUM(X978:AI978)/1000</f>
        <v>1</v>
      </c>
      <c r="AW978" s="9" t="n">
        <f aca="false">SUM(AJ978:AU978)</f>
        <v>1725</v>
      </c>
      <c r="AX978" s="9" t="n">
        <f aca="false">IF(D978="INR",AW978/88.24,AW978)/1000000</f>
        <v>0.001725</v>
      </c>
      <c r="AY978" s="27"/>
    </row>
    <row r="979" s="2" customFormat="true" ht="14.25" hidden="false" customHeight="false" outlineLevel="0" collapsed="false">
      <c r="A979" s="12"/>
      <c r="B979" s="16" t="n">
        <v>5</v>
      </c>
      <c r="C979" s="15"/>
      <c r="D979" s="16" t="s">
        <v>102</v>
      </c>
      <c r="E979" s="16"/>
      <c r="F979" s="16" t="s">
        <v>52</v>
      </c>
      <c r="G979" s="16" t="s">
        <v>274</v>
      </c>
      <c r="H979" s="16" t="s">
        <v>275</v>
      </c>
      <c r="I979" s="16"/>
      <c r="J979" s="16"/>
      <c r="K979" s="16"/>
      <c r="L979" s="16"/>
      <c r="M979" s="16"/>
      <c r="N979" s="16" t="s">
        <v>79</v>
      </c>
      <c r="O979" s="16" t="s">
        <v>68</v>
      </c>
      <c r="P979" s="16"/>
      <c r="Q979" s="16" t="s">
        <v>199</v>
      </c>
      <c r="R979" s="16"/>
      <c r="S979" s="16"/>
      <c r="T979" s="16" t="s">
        <v>1905</v>
      </c>
      <c r="U979" s="16" t="s">
        <v>73</v>
      </c>
      <c r="V979" s="16" t="n">
        <v>1.725</v>
      </c>
      <c r="W979" s="16"/>
      <c r="X979" s="16"/>
      <c r="Y979" s="16"/>
      <c r="Z979" s="16"/>
      <c r="AA979" s="16"/>
      <c r="AB979" s="16"/>
      <c r="AC979" s="16"/>
      <c r="AD979" s="16" t="n">
        <v>500</v>
      </c>
      <c r="AE979" s="16"/>
      <c r="AF979" s="16"/>
      <c r="AG979" s="16"/>
      <c r="AH979" s="16" t="n">
        <v>500</v>
      </c>
      <c r="AI979" s="16"/>
      <c r="AJ979" s="9" t="n">
        <f aca="false">X979*$V979</f>
        <v>0</v>
      </c>
      <c r="AK979" s="9" t="n">
        <f aca="false">Y979*$V979</f>
        <v>0</v>
      </c>
      <c r="AL979" s="9" t="n">
        <f aca="false">Z979*$V979</f>
        <v>0</v>
      </c>
      <c r="AM979" s="9" t="n">
        <f aca="false">AA979*$V979</f>
        <v>0</v>
      </c>
      <c r="AN979" s="9" t="n">
        <f aca="false">AB979*$V979</f>
        <v>0</v>
      </c>
      <c r="AO979" s="9" t="n">
        <f aca="false">AC979*$V979</f>
        <v>0</v>
      </c>
      <c r="AP979" s="9" t="n">
        <f aca="false">AD979*$V979</f>
        <v>862.5</v>
      </c>
      <c r="AQ979" s="9" t="n">
        <f aca="false">AE979*$V979</f>
        <v>0</v>
      </c>
      <c r="AR979" s="9" t="n">
        <f aca="false">AF979*$V979</f>
        <v>0</v>
      </c>
      <c r="AS979" s="9" t="n">
        <f aca="false">AG979*$V979</f>
        <v>0</v>
      </c>
      <c r="AT979" s="9" t="n">
        <f aca="false">AH979*$V979</f>
        <v>862.5</v>
      </c>
      <c r="AU979" s="9" t="n">
        <f aca="false">AI979*$V979</f>
        <v>0</v>
      </c>
      <c r="AV979" s="9" t="n">
        <f aca="false">SUM(X979:AI979)/1000</f>
        <v>1</v>
      </c>
      <c r="AW979" s="9" t="n">
        <f aca="false">SUM(AJ979:AU979)</f>
        <v>1725</v>
      </c>
      <c r="AX979" s="9" t="n">
        <f aca="false">IF(D979="INR",AW979/88.24,AW979)/1000000</f>
        <v>0.001725</v>
      </c>
      <c r="AY979" s="27"/>
    </row>
    <row r="980" s="2" customFormat="true" ht="14.25" hidden="false" customHeight="false" outlineLevel="0" collapsed="false">
      <c r="A980" s="35"/>
      <c r="B980" s="9" t="n">
        <v>1</v>
      </c>
      <c r="C980" s="10"/>
      <c r="D980" s="9" t="s">
        <v>50</v>
      </c>
      <c r="E980" s="9"/>
      <c r="F980" s="9" t="s">
        <v>52</v>
      </c>
      <c r="G980" s="9" t="s">
        <v>258</v>
      </c>
      <c r="H980" s="9" t="s">
        <v>259</v>
      </c>
      <c r="I980" s="9"/>
      <c r="J980" s="9"/>
      <c r="K980" s="9"/>
      <c r="L980" s="9"/>
      <c r="M980" s="9"/>
      <c r="N980" s="16" t="s">
        <v>67</v>
      </c>
      <c r="O980" s="9" t="s">
        <v>107</v>
      </c>
      <c r="P980" s="9"/>
      <c r="Q980" s="9" t="s">
        <v>80</v>
      </c>
      <c r="R980" s="9"/>
      <c r="S980" s="9"/>
      <c r="T980" s="9" t="s">
        <v>1906</v>
      </c>
      <c r="U980" s="9" t="s">
        <v>63</v>
      </c>
      <c r="V980" s="9" t="n">
        <v>1.21</v>
      </c>
      <c r="W980" s="9"/>
      <c r="X980" s="9" t="n">
        <v>3000</v>
      </c>
      <c r="Y980" s="9" t="n">
        <v>3000</v>
      </c>
      <c r="Z980" s="9" t="n">
        <v>3000</v>
      </c>
      <c r="AA980" s="9" t="n">
        <v>3000</v>
      </c>
      <c r="AB980" s="9" t="n">
        <v>3000</v>
      </c>
      <c r="AC980" s="9" t="n">
        <v>3000</v>
      </c>
      <c r="AD980" s="9" t="n">
        <v>3000</v>
      </c>
      <c r="AE980" s="9" t="n">
        <v>3000</v>
      </c>
      <c r="AF980" s="9" t="n">
        <v>3000</v>
      </c>
      <c r="AG980" s="9" t="n">
        <v>3000</v>
      </c>
      <c r="AH980" s="9" t="n">
        <v>3000</v>
      </c>
      <c r="AI980" s="9" t="n">
        <v>3000</v>
      </c>
      <c r="AJ980" s="9" t="n">
        <f aca="false">X980*$V980</f>
        <v>3630</v>
      </c>
      <c r="AK980" s="9" t="n">
        <f aca="false">Y980*$V980</f>
        <v>3630</v>
      </c>
      <c r="AL980" s="9" t="n">
        <f aca="false">Z980*$V980</f>
        <v>3630</v>
      </c>
      <c r="AM980" s="9" t="n">
        <f aca="false">AA980*$V980</f>
        <v>3630</v>
      </c>
      <c r="AN980" s="9" t="n">
        <f aca="false">AB980*$V980</f>
        <v>3630</v>
      </c>
      <c r="AO980" s="9" t="n">
        <f aca="false">AC980*$V980</f>
        <v>3630</v>
      </c>
      <c r="AP980" s="9" t="n">
        <f aca="false">AD980*$V980</f>
        <v>3630</v>
      </c>
      <c r="AQ980" s="9" t="n">
        <f aca="false">AE980*$V980</f>
        <v>3630</v>
      </c>
      <c r="AR980" s="9" t="n">
        <f aca="false">AF980*$V980</f>
        <v>3630</v>
      </c>
      <c r="AS980" s="9" t="n">
        <f aca="false">AG980*$V980</f>
        <v>3630</v>
      </c>
      <c r="AT980" s="9" t="n">
        <f aca="false">AH980*$V980</f>
        <v>3630</v>
      </c>
      <c r="AU980" s="9" t="n">
        <f aca="false">AI980*$V980</f>
        <v>3630</v>
      </c>
      <c r="AV980" s="9" t="n">
        <f aca="false">SUM(X980:AI980)/1000</f>
        <v>36</v>
      </c>
      <c r="AW980" s="9" t="n">
        <f aca="false">SUM(AJ980:AU980)</f>
        <v>43560</v>
      </c>
      <c r="AX980" s="9" t="n">
        <f aca="false">IF(D980="INR",AW980/88.24,AW980)/1000000</f>
        <v>0.000493653671804171</v>
      </c>
    </row>
    <row r="981" s="2" customFormat="true" ht="14.25" hidden="false" customHeight="false" outlineLevel="0" collapsed="false">
      <c r="A981" s="35"/>
      <c r="B981" s="16" t="n">
        <v>1</v>
      </c>
      <c r="C981" s="15"/>
      <c r="D981" s="16" t="s">
        <v>50</v>
      </c>
      <c r="E981" s="16"/>
      <c r="F981" s="16" t="s">
        <v>52</v>
      </c>
      <c r="G981" s="16" t="s">
        <v>1630</v>
      </c>
      <c r="H981" s="9" t="s">
        <v>1631</v>
      </c>
      <c r="I981" s="55"/>
      <c r="J981" s="55"/>
      <c r="K981" s="35"/>
      <c r="L981" s="55"/>
      <c r="M981" s="55"/>
      <c r="N981" s="16" t="s">
        <v>79</v>
      </c>
      <c r="O981" s="16" t="s">
        <v>94</v>
      </c>
      <c r="P981" s="16"/>
      <c r="Q981" s="16" t="s">
        <v>308</v>
      </c>
      <c r="R981" s="16"/>
      <c r="S981" s="16"/>
      <c r="T981" s="50" t="s">
        <v>1075</v>
      </c>
      <c r="U981" s="16" t="s">
        <v>63</v>
      </c>
      <c r="V981" s="50" t="n">
        <v>1.175</v>
      </c>
      <c r="W981" s="16"/>
      <c r="X981" s="16" t="n">
        <v>3000</v>
      </c>
      <c r="Y981" s="16"/>
      <c r="Z981" s="16" t="n">
        <v>3000</v>
      </c>
      <c r="AA981" s="16"/>
      <c r="AB981" s="16" t="n">
        <v>3000</v>
      </c>
      <c r="AC981" s="16"/>
      <c r="AD981" s="16" t="n">
        <v>3000</v>
      </c>
      <c r="AE981" s="16"/>
      <c r="AF981" s="16" t="n">
        <v>3000</v>
      </c>
      <c r="AG981" s="16"/>
      <c r="AH981" s="16" t="n">
        <v>3000</v>
      </c>
      <c r="AI981" s="16"/>
      <c r="AJ981" s="9" t="n">
        <f aca="false">X981*$V981</f>
        <v>3525</v>
      </c>
      <c r="AK981" s="9" t="n">
        <f aca="false">Y981*$V981</f>
        <v>0</v>
      </c>
      <c r="AL981" s="9" t="n">
        <f aca="false">Z981*$V981</f>
        <v>3525</v>
      </c>
      <c r="AM981" s="9" t="n">
        <f aca="false">AA981*$V981</f>
        <v>0</v>
      </c>
      <c r="AN981" s="9" t="n">
        <f aca="false">AB981*$V981</f>
        <v>3525</v>
      </c>
      <c r="AO981" s="9" t="n">
        <f aca="false">AC981*$V981</f>
        <v>0</v>
      </c>
      <c r="AP981" s="9" t="n">
        <f aca="false">AD981*$V981</f>
        <v>3525</v>
      </c>
      <c r="AQ981" s="9" t="n">
        <f aca="false">AE981*$V981</f>
        <v>0</v>
      </c>
      <c r="AR981" s="9" t="n">
        <f aca="false">AF981*$V981</f>
        <v>3525</v>
      </c>
      <c r="AS981" s="9" t="n">
        <f aca="false">AG981*$V981</f>
        <v>0</v>
      </c>
      <c r="AT981" s="9" t="n">
        <f aca="false">AH981*$V981</f>
        <v>3525</v>
      </c>
      <c r="AU981" s="9" t="n">
        <f aca="false">AI981*$V981</f>
        <v>0</v>
      </c>
      <c r="AV981" s="9" t="n">
        <f aca="false">SUM(X981:AI981)/1000</f>
        <v>18</v>
      </c>
      <c r="AW981" s="9" t="n">
        <f aca="false">SUM(AJ981:AU981)</f>
        <v>21150</v>
      </c>
      <c r="AX981" s="9" t="n">
        <f aca="false">IF(D981="INR",AW981/88.24,AW981)/1000000</f>
        <v>0.000239687216681777</v>
      </c>
    </row>
    <row r="982" s="2" customFormat="true" ht="16.4" hidden="false" customHeight="false" outlineLevel="0" collapsed="false">
      <c r="A982" s="35" t="s">
        <v>1907</v>
      </c>
      <c r="B982" s="9"/>
      <c r="C982" s="15"/>
      <c r="D982" s="16" t="s">
        <v>102</v>
      </c>
      <c r="E982" s="16" t="s">
        <v>51</v>
      </c>
      <c r="F982" s="16" t="s">
        <v>52</v>
      </c>
      <c r="G982" s="16" t="s">
        <v>476</v>
      </c>
      <c r="H982" s="9" t="s">
        <v>477</v>
      </c>
      <c r="I982" s="16" t="s">
        <v>105</v>
      </c>
      <c r="J982" s="16" t="s">
        <v>1053</v>
      </c>
      <c r="K982" s="9"/>
      <c r="L982" s="16"/>
      <c r="M982" s="16"/>
      <c r="N982" s="16" t="s">
        <v>93</v>
      </c>
      <c r="O982" s="16" t="s">
        <v>315</v>
      </c>
      <c r="P982" s="9" t="str">
        <f aca="false">Q982</f>
        <v>RENESAS</v>
      </c>
      <c r="Q982" s="16" t="s">
        <v>110</v>
      </c>
      <c r="R982" s="9" t="s">
        <v>137</v>
      </c>
      <c r="S982" s="9" t="s">
        <v>272</v>
      </c>
      <c r="T982" s="9" t="s">
        <v>1908</v>
      </c>
      <c r="U982" s="16" t="s">
        <v>73</v>
      </c>
      <c r="V982" s="36" t="n">
        <v>0.34</v>
      </c>
      <c r="W982" s="9" t="n">
        <v>0</v>
      </c>
      <c r="X982" s="22" t="n">
        <v>30000</v>
      </c>
      <c r="Y982" s="9" t="n">
        <v>30000</v>
      </c>
      <c r="Z982" s="9" t="n">
        <v>30000</v>
      </c>
      <c r="AA982" s="9" t="n">
        <v>30000</v>
      </c>
      <c r="AB982" s="9" t="n">
        <v>30000</v>
      </c>
      <c r="AC982" s="9" t="n">
        <v>30000</v>
      </c>
      <c r="AD982" s="23" t="n">
        <v>30000</v>
      </c>
      <c r="AE982" s="9" t="n">
        <v>30000</v>
      </c>
      <c r="AF982" s="9" t="n">
        <v>30000</v>
      </c>
      <c r="AG982" s="9" t="n">
        <v>30000</v>
      </c>
      <c r="AH982" s="9" t="n">
        <v>30000</v>
      </c>
      <c r="AI982" s="9" t="n">
        <v>30000</v>
      </c>
      <c r="AJ982" s="9" t="n">
        <f aca="false">X982*$V982</f>
        <v>10200</v>
      </c>
      <c r="AK982" s="9" t="n">
        <f aca="false">Y982*$V982</f>
        <v>10200</v>
      </c>
      <c r="AL982" s="9" t="n">
        <f aca="false">Z982*$V982</f>
        <v>10200</v>
      </c>
      <c r="AM982" s="9" t="n">
        <f aca="false">AA982*$V982</f>
        <v>10200</v>
      </c>
      <c r="AN982" s="9" t="n">
        <f aca="false">AB982*$V982</f>
        <v>10200</v>
      </c>
      <c r="AO982" s="9" t="n">
        <f aca="false">AC982*$V982</f>
        <v>10200</v>
      </c>
      <c r="AP982" s="9" t="n">
        <f aca="false">AD982*$V982</f>
        <v>10200</v>
      </c>
      <c r="AQ982" s="9" t="n">
        <f aca="false">AE982*$V982</f>
        <v>10200</v>
      </c>
      <c r="AR982" s="9" t="n">
        <f aca="false">AF982*$V982</f>
        <v>10200</v>
      </c>
      <c r="AS982" s="9" t="n">
        <f aca="false">AG982*$V982</f>
        <v>10200</v>
      </c>
      <c r="AT982" s="9" t="n">
        <f aca="false">AH982*$V982</f>
        <v>10200</v>
      </c>
      <c r="AU982" s="9" t="n">
        <f aca="false">AI982*$V982</f>
        <v>10200</v>
      </c>
      <c r="AV982" s="9" t="n">
        <f aca="false">SUM(X982:AI982)/1000</f>
        <v>360</v>
      </c>
      <c r="AW982" s="9" t="n">
        <f aca="false">SUM(AJ982:AU982)</f>
        <v>122400</v>
      </c>
      <c r="AX982" s="9" t="n">
        <f aca="false">IF(D982="INR",AW982/88.24,AW982)/1000000</f>
        <v>0.1224</v>
      </c>
    </row>
    <row r="983" s="2" customFormat="true" ht="16.4" hidden="false" customHeight="false" outlineLevel="0" collapsed="false">
      <c r="A983" s="35" t="s">
        <v>1909</v>
      </c>
      <c r="B983" s="9" t="n">
        <v>5</v>
      </c>
      <c r="C983" s="15"/>
      <c r="D983" s="16" t="s">
        <v>102</v>
      </c>
      <c r="E983" s="16" t="s">
        <v>51</v>
      </c>
      <c r="F983" s="16" t="s">
        <v>52</v>
      </c>
      <c r="G983" s="16" t="s">
        <v>476</v>
      </c>
      <c r="H983" s="9" t="s">
        <v>477</v>
      </c>
      <c r="I983" s="16" t="s">
        <v>105</v>
      </c>
      <c r="J983" s="16" t="s">
        <v>1053</v>
      </c>
      <c r="K983" s="9" t="s">
        <v>477</v>
      </c>
      <c r="L983" s="16" t="s">
        <v>105</v>
      </c>
      <c r="M983" s="16" t="s">
        <v>1053</v>
      </c>
      <c r="N983" s="16" t="s">
        <v>93</v>
      </c>
      <c r="O983" s="16" t="s">
        <v>315</v>
      </c>
      <c r="P983" s="9" t="s">
        <v>110</v>
      </c>
      <c r="Q983" s="9" t="s">
        <v>110</v>
      </c>
      <c r="R983" s="9" t="s">
        <v>137</v>
      </c>
      <c r="S983" s="9" t="s">
        <v>272</v>
      </c>
      <c r="T983" s="9" t="s">
        <v>1910</v>
      </c>
      <c r="U983" s="16" t="s">
        <v>73</v>
      </c>
      <c r="V983" s="36" t="n">
        <v>0.63</v>
      </c>
      <c r="W983" s="9" t="n">
        <v>0.591</v>
      </c>
      <c r="X983" s="22" t="n">
        <v>15000</v>
      </c>
      <c r="Y983" s="9" t="n">
        <v>15000</v>
      </c>
      <c r="Z983" s="9" t="n">
        <v>15000</v>
      </c>
      <c r="AA983" s="9" t="n">
        <v>15000</v>
      </c>
      <c r="AB983" s="9" t="n">
        <v>15000</v>
      </c>
      <c r="AC983" s="9" t="n">
        <v>15000</v>
      </c>
      <c r="AD983" s="9" t="n">
        <v>15000</v>
      </c>
      <c r="AE983" s="9" t="n">
        <v>15000</v>
      </c>
      <c r="AF983" s="9" t="n">
        <v>15000</v>
      </c>
      <c r="AG983" s="9" t="n">
        <v>15000</v>
      </c>
      <c r="AH983" s="9" t="n">
        <v>15000</v>
      </c>
      <c r="AI983" s="9" t="n">
        <v>15000</v>
      </c>
      <c r="AJ983" s="9" t="n">
        <f aca="false">X983*$V983</f>
        <v>9450</v>
      </c>
      <c r="AK983" s="9" t="n">
        <f aca="false">Y983*$V983</f>
        <v>9450</v>
      </c>
      <c r="AL983" s="9" t="n">
        <f aca="false">Z983*$V983</f>
        <v>9450</v>
      </c>
      <c r="AM983" s="9" t="n">
        <f aca="false">AA983*$V983</f>
        <v>9450</v>
      </c>
      <c r="AN983" s="9" t="n">
        <f aca="false">AB983*$V983</f>
        <v>9450</v>
      </c>
      <c r="AO983" s="9" t="n">
        <f aca="false">AC983*$V983</f>
        <v>9450</v>
      </c>
      <c r="AP983" s="9" t="n">
        <f aca="false">AD983*$V983</f>
        <v>9450</v>
      </c>
      <c r="AQ983" s="9" t="n">
        <f aca="false">AE983*$V983</f>
        <v>9450</v>
      </c>
      <c r="AR983" s="9" t="n">
        <f aca="false">AF983*$V983</f>
        <v>9450</v>
      </c>
      <c r="AS983" s="9" t="n">
        <f aca="false">AG983*$V983</f>
        <v>9450</v>
      </c>
      <c r="AT983" s="9" t="n">
        <f aca="false">AH983*$V983</f>
        <v>9450</v>
      </c>
      <c r="AU983" s="9" t="n">
        <f aca="false">AI983*$V983</f>
        <v>9450</v>
      </c>
      <c r="AV983" s="9" t="n">
        <f aca="false">SUM(X983:AI983)/1000</f>
        <v>180</v>
      </c>
      <c r="AW983" s="9" t="n">
        <f aca="false">SUM(AJ983:AU983)</f>
        <v>113400</v>
      </c>
      <c r="AX983" s="9" t="n">
        <f aca="false">IF(D983="INR",AW983/88.24,AW983)/1000000</f>
        <v>0.1134</v>
      </c>
    </row>
    <row r="984" s="2" customFormat="true" ht="14.25" hidden="false" customHeight="false" outlineLevel="0" collapsed="false">
      <c r="A984" s="28"/>
      <c r="B984" s="16" t="n">
        <v>1</v>
      </c>
      <c r="C984" s="16"/>
      <c r="D984" s="16" t="s">
        <v>50</v>
      </c>
      <c r="E984" s="16" t="s">
        <v>51</v>
      </c>
      <c r="F984" s="16" t="s">
        <v>52</v>
      </c>
      <c r="G984" s="16"/>
      <c r="H984" s="16" t="s">
        <v>1158</v>
      </c>
      <c r="I984" s="16"/>
      <c r="J984" s="16"/>
      <c r="K984" s="16"/>
      <c r="L984" s="16"/>
      <c r="M984" s="16"/>
      <c r="N984" s="16" t="s">
        <v>79</v>
      </c>
      <c r="O984" s="16"/>
      <c r="P984" s="16"/>
      <c r="Q984" s="16" t="s">
        <v>85</v>
      </c>
      <c r="R984" s="16"/>
      <c r="S984" s="16"/>
      <c r="T984" s="16" t="s">
        <v>1911</v>
      </c>
      <c r="U984" s="16" t="s">
        <v>63</v>
      </c>
      <c r="V984" s="16" t="n">
        <v>3.45</v>
      </c>
      <c r="W984" s="16"/>
      <c r="X984" s="16" t="n">
        <v>1000</v>
      </c>
      <c r="Y984" s="16" t="n">
        <v>1000</v>
      </c>
      <c r="Z984" s="16" t="n">
        <v>1000</v>
      </c>
      <c r="AA984" s="16" t="n">
        <v>1000</v>
      </c>
      <c r="AB984" s="26" t="n">
        <v>1000</v>
      </c>
      <c r="AC984" s="16"/>
      <c r="AD984" s="16" t="n">
        <v>1000</v>
      </c>
      <c r="AE984" s="16" t="n">
        <v>1000</v>
      </c>
      <c r="AF984" s="16" t="n">
        <v>1000</v>
      </c>
      <c r="AG984" s="16"/>
      <c r="AH984" s="16" t="n">
        <v>1000</v>
      </c>
      <c r="AI984" s="16" t="n">
        <v>1000</v>
      </c>
      <c r="AJ984" s="9" t="n">
        <f aca="false">X984*$V984</f>
        <v>3450</v>
      </c>
      <c r="AK984" s="9" t="n">
        <f aca="false">Y984*$V984</f>
        <v>3450</v>
      </c>
      <c r="AL984" s="9" t="n">
        <f aca="false">Z984*$V984</f>
        <v>3450</v>
      </c>
      <c r="AM984" s="9" t="n">
        <f aca="false">AA984*$V984</f>
        <v>3450</v>
      </c>
      <c r="AN984" s="9" t="n">
        <f aca="false">AB984*$V984</f>
        <v>3450</v>
      </c>
      <c r="AO984" s="9" t="n">
        <f aca="false">AC984*$V984</f>
        <v>0</v>
      </c>
      <c r="AP984" s="9" t="n">
        <f aca="false">AD984*$V984</f>
        <v>3450</v>
      </c>
      <c r="AQ984" s="9" t="n">
        <f aca="false">AE984*$V984</f>
        <v>3450</v>
      </c>
      <c r="AR984" s="9" t="n">
        <f aca="false">AF984*$V984</f>
        <v>3450</v>
      </c>
      <c r="AS984" s="9" t="n">
        <f aca="false">AG984*$V984</f>
        <v>0</v>
      </c>
      <c r="AT984" s="9" t="n">
        <f aca="false">AH984*$V984</f>
        <v>3450</v>
      </c>
      <c r="AU984" s="9" t="n">
        <f aca="false">AI984*$V984</f>
        <v>3450</v>
      </c>
      <c r="AV984" s="9" t="n">
        <f aca="false">SUM(X984:AI984)/1000</f>
        <v>10</v>
      </c>
      <c r="AW984" s="9" t="n">
        <f aca="false">SUM(AJ984:AU984)</f>
        <v>34500</v>
      </c>
      <c r="AX984" s="9" t="n">
        <f aca="false">IF(D984="INR",AW984/88.24,AW984)/1000000</f>
        <v>0.000390979147778785</v>
      </c>
    </row>
    <row r="985" s="2" customFormat="true" ht="14.25" hidden="false" customHeight="false" outlineLevel="0" collapsed="false">
      <c r="A985" s="12" t="s">
        <v>1912</v>
      </c>
      <c r="B985" s="16" t="n">
        <v>5</v>
      </c>
      <c r="C985" s="15"/>
      <c r="D985" s="16" t="s">
        <v>102</v>
      </c>
      <c r="E985" s="16" t="s">
        <v>51</v>
      </c>
      <c r="F985" s="16" t="s">
        <v>52</v>
      </c>
      <c r="G985" s="16" t="s">
        <v>1913</v>
      </c>
      <c r="H985" s="16" t="s">
        <v>1914</v>
      </c>
      <c r="I985" s="16" t="s">
        <v>303</v>
      </c>
      <c r="J985" s="16" t="s">
        <v>304</v>
      </c>
      <c r="K985" s="16" t="s">
        <v>1914</v>
      </c>
      <c r="L985" s="16" t="s">
        <v>303</v>
      </c>
      <c r="M985" s="16" t="s">
        <v>304</v>
      </c>
      <c r="N985" s="16" t="s">
        <v>290</v>
      </c>
      <c r="O985" s="16" t="s">
        <v>294</v>
      </c>
      <c r="P985" s="16" t="s">
        <v>110</v>
      </c>
      <c r="Q985" s="16" t="s">
        <v>110</v>
      </c>
      <c r="R985" s="16" t="s">
        <v>137</v>
      </c>
      <c r="S985" s="16" t="s">
        <v>272</v>
      </c>
      <c r="T985" s="16" t="s">
        <v>849</v>
      </c>
      <c r="U985" s="16" t="s">
        <v>73</v>
      </c>
      <c r="V985" s="16" t="n">
        <v>0.3</v>
      </c>
      <c r="W985" s="16" t="n">
        <v>0.263</v>
      </c>
      <c r="X985" s="16" t="n">
        <v>10000</v>
      </c>
      <c r="Y985" s="16" t="n">
        <v>10000</v>
      </c>
      <c r="Z985" s="16" t="n">
        <v>10000</v>
      </c>
      <c r="AA985" s="16" t="n">
        <v>10000</v>
      </c>
      <c r="AB985" s="16" t="n">
        <v>10000</v>
      </c>
      <c r="AC985" s="16" t="n">
        <v>10000</v>
      </c>
      <c r="AD985" s="16" t="n">
        <v>10000</v>
      </c>
      <c r="AE985" s="16" t="n">
        <v>10000</v>
      </c>
      <c r="AF985" s="16" t="n">
        <v>10000</v>
      </c>
      <c r="AG985" s="16" t="n">
        <v>10000</v>
      </c>
      <c r="AH985" s="16" t="n">
        <v>10000</v>
      </c>
      <c r="AI985" s="16" t="n">
        <v>10000</v>
      </c>
      <c r="AJ985" s="9" t="n">
        <f aca="false">X985*$V985</f>
        <v>3000</v>
      </c>
      <c r="AK985" s="9" t="n">
        <f aca="false">Y985*$V985</f>
        <v>3000</v>
      </c>
      <c r="AL985" s="9" t="n">
        <f aca="false">Z985*$V985</f>
        <v>3000</v>
      </c>
      <c r="AM985" s="9" t="n">
        <f aca="false">AA985*$V985</f>
        <v>3000</v>
      </c>
      <c r="AN985" s="9" t="n">
        <f aca="false">AB985*$V985</f>
        <v>3000</v>
      </c>
      <c r="AO985" s="9" t="n">
        <f aca="false">AC985*$V985</f>
        <v>3000</v>
      </c>
      <c r="AP985" s="9" t="n">
        <f aca="false">AD985*$V985</f>
        <v>3000</v>
      </c>
      <c r="AQ985" s="9" t="n">
        <f aca="false">AE985*$V985</f>
        <v>3000</v>
      </c>
      <c r="AR985" s="9" t="n">
        <f aca="false">AF985*$V985</f>
        <v>3000</v>
      </c>
      <c r="AS985" s="9" t="n">
        <f aca="false">AG985*$V985</f>
        <v>3000</v>
      </c>
      <c r="AT985" s="9" t="n">
        <f aca="false">AH985*$V985</f>
        <v>3000</v>
      </c>
      <c r="AU985" s="9" t="n">
        <f aca="false">AI985*$V985</f>
        <v>3000</v>
      </c>
      <c r="AV985" s="9" t="n">
        <f aca="false">SUM(X985:AI985)/1000</f>
        <v>120</v>
      </c>
      <c r="AW985" s="9" t="n">
        <f aca="false">SUM(AJ985:AU985)</f>
        <v>36000</v>
      </c>
      <c r="AX985" s="9" t="n">
        <f aca="false">IF(D985="INR",AW985/88.24,AW985)/1000000</f>
        <v>0.036</v>
      </c>
    </row>
    <row r="986" s="2" customFormat="true" ht="14.25" hidden="false" customHeight="false" outlineLevel="0" collapsed="false">
      <c r="A986" s="12" t="s">
        <v>1915</v>
      </c>
      <c r="B986" s="16" t="n">
        <v>5</v>
      </c>
      <c r="C986" s="15"/>
      <c r="D986" s="16" t="s">
        <v>102</v>
      </c>
      <c r="E986" s="16" t="s">
        <v>51</v>
      </c>
      <c r="F986" s="16" t="s">
        <v>52</v>
      </c>
      <c r="G986" s="16" t="s">
        <v>1913</v>
      </c>
      <c r="H986" s="16" t="s">
        <v>1914</v>
      </c>
      <c r="I986" s="16" t="s">
        <v>303</v>
      </c>
      <c r="J986" s="16" t="s">
        <v>304</v>
      </c>
      <c r="K986" s="16"/>
      <c r="L986" s="16" t="s">
        <v>303</v>
      </c>
      <c r="M986" s="16" t="s">
        <v>304</v>
      </c>
      <c r="N986" s="16" t="s">
        <v>290</v>
      </c>
      <c r="O986" s="16" t="s">
        <v>294</v>
      </c>
      <c r="P986" s="16" t="s">
        <v>199</v>
      </c>
      <c r="Q986" s="16" t="s">
        <v>199</v>
      </c>
      <c r="R986" s="16" t="s">
        <v>377</v>
      </c>
      <c r="S986" s="16" t="s">
        <v>528</v>
      </c>
      <c r="T986" s="16" t="s">
        <v>1916</v>
      </c>
      <c r="U986" s="16" t="s">
        <v>73</v>
      </c>
      <c r="V986" s="16" t="n">
        <v>0.063</v>
      </c>
      <c r="W986" s="16" t="n">
        <v>0.06</v>
      </c>
      <c r="X986" s="22"/>
      <c r="Y986" s="22"/>
      <c r="Z986" s="22" t="n">
        <v>25000</v>
      </c>
      <c r="AA986" s="22"/>
      <c r="AB986" s="22"/>
      <c r="AC986" s="22" t="n">
        <v>25000</v>
      </c>
      <c r="AD986" s="22"/>
      <c r="AE986" s="22"/>
      <c r="AF986" s="22" t="n">
        <v>25000</v>
      </c>
      <c r="AG986" s="22"/>
      <c r="AH986" s="22"/>
      <c r="AI986" s="22"/>
      <c r="AJ986" s="9" t="n">
        <f aca="false">X986*$V986</f>
        <v>0</v>
      </c>
      <c r="AK986" s="9" t="n">
        <f aca="false">Y986*$V986</f>
        <v>0</v>
      </c>
      <c r="AL986" s="9" t="n">
        <f aca="false">Z986*$V986</f>
        <v>1575</v>
      </c>
      <c r="AM986" s="9" t="n">
        <f aca="false">AA986*$V986</f>
        <v>0</v>
      </c>
      <c r="AN986" s="9" t="n">
        <f aca="false">AB986*$V986</f>
        <v>0</v>
      </c>
      <c r="AO986" s="9" t="n">
        <f aca="false">AC986*$V986</f>
        <v>1575</v>
      </c>
      <c r="AP986" s="9" t="n">
        <f aca="false">AD986*$V986</f>
        <v>0</v>
      </c>
      <c r="AQ986" s="9" t="n">
        <f aca="false">AE986*$V986</f>
        <v>0</v>
      </c>
      <c r="AR986" s="9" t="n">
        <f aca="false">AF986*$V986</f>
        <v>1575</v>
      </c>
      <c r="AS986" s="9" t="n">
        <f aca="false">AG986*$V986</f>
        <v>0</v>
      </c>
      <c r="AT986" s="9" t="n">
        <f aca="false">AH986*$V986</f>
        <v>0</v>
      </c>
      <c r="AU986" s="9" t="n">
        <f aca="false">AI986*$V986</f>
        <v>0</v>
      </c>
      <c r="AV986" s="9" t="n">
        <f aca="false">SUM(X986:AI986)/1000</f>
        <v>75</v>
      </c>
      <c r="AW986" s="9" t="n">
        <f aca="false">SUM(AJ986:AU986)</f>
        <v>4725</v>
      </c>
      <c r="AX986" s="9" t="n">
        <f aca="false">IF(D986="INR",AW986/88.24,AW986)/1000000</f>
        <v>0.004725</v>
      </c>
    </row>
    <row r="987" s="2" customFormat="true" ht="14.25" hidden="false" customHeight="false" outlineLevel="0" collapsed="false">
      <c r="A987" s="12" t="s">
        <v>1917</v>
      </c>
      <c r="B987" s="16"/>
      <c r="C987" s="15"/>
      <c r="D987" s="16" t="s">
        <v>102</v>
      </c>
      <c r="E987" s="16" t="s">
        <v>51</v>
      </c>
      <c r="F987" s="16" t="s">
        <v>52</v>
      </c>
      <c r="G987" s="16" t="s">
        <v>1918</v>
      </c>
      <c r="H987" s="16" t="s">
        <v>1919</v>
      </c>
      <c r="I987" s="16" t="s">
        <v>303</v>
      </c>
      <c r="J987" s="16" t="s">
        <v>1920</v>
      </c>
      <c r="K987" s="16"/>
      <c r="L987" s="16" t="s">
        <v>303</v>
      </c>
      <c r="M987" s="16" t="s">
        <v>1920</v>
      </c>
      <c r="N987" s="16" t="s">
        <v>57</v>
      </c>
      <c r="O987" s="16" t="s">
        <v>246</v>
      </c>
      <c r="P987" s="16" t="s">
        <v>182</v>
      </c>
      <c r="Q987" s="16" t="s">
        <v>182</v>
      </c>
      <c r="R987" s="16" t="s">
        <v>875</v>
      </c>
      <c r="S987" s="16" t="s">
        <v>363</v>
      </c>
      <c r="T987" s="16" t="s">
        <v>1921</v>
      </c>
      <c r="U987" s="16" t="s">
        <v>73</v>
      </c>
      <c r="V987" s="16" t="n">
        <v>0.035</v>
      </c>
      <c r="W987" s="16" t="n">
        <v>0.033</v>
      </c>
      <c r="X987" s="16"/>
      <c r="Y987" s="16"/>
      <c r="Z987" s="16"/>
      <c r="AA987" s="16" t="n">
        <v>25000</v>
      </c>
      <c r="AB987" s="16"/>
      <c r="AC987" s="16"/>
      <c r="AD987" s="16"/>
      <c r="AE987" s="16"/>
      <c r="AF987" s="16" t="n">
        <v>20000</v>
      </c>
      <c r="AG987" s="16"/>
      <c r="AH987" s="16"/>
      <c r="AI987" s="16"/>
      <c r="AJ987" s="9" t="n">
        <f aca="false">X987*$V987</f>
        <v>0</v>
      </c>
      <c r="AK987" s="9" t="n">
        <f aca="false">Y987*$V987</f>
        <v>0</v>
      </c>
      <c r="AL987" s="9" t="n">
        <f aca="false">Z987*$V987</f>
        <v>0</v>
      </c>
      <c r="AM987" s="9" t="n">
        <f aca="false">AA987*$V987</f>
        <v>875</v>
      </c>
      <c r="AN987" s="9" t="n">
        <f aca="false">AB987*$V987</f>
        <v>0</v>
      </c>
      <c r="AO987" s="9" t="n">
        <f aca="false">AC987*$V987</f>
        <v>0</v>
      </c>
      <c r="AP987" s="9" t="n">
        <f aca="false">AD987*$V987</f>
        <v>0</v>
      </c>
      <c r="AQ987" s="9" t="n">
        <f aca="false">AE987*$V987</f>
        <v>0</v>
      </c>
      <c r="AR987" s="9" t="n">
        <f aca="false">AF987*$V987</f>
        <v>700</v>
      </c>
      <c r="AS987" s="9" t="n">
        <f aca="false">AG987*$V987</f>
        <v>0</v>
      </c>
      <c r="AT987" s="9" t="n">
        <f aca="false">AH987*$V987</f>
        <v>0</v>
      </c>
      <c r="AU987" s="9" t="n">
        <f aca="false">AI987*$V987</f>
        <v>0</v>
      </c>
      <c r="AV987" s="9" t="n">
        <f aca="false">SUM(X987:AI987)/1000</f>
        <v>45</v>
      </c>
      <c r="AW987" s="9" t="n">
        <f aca="false">SUM(AJ987:AU987)</f>
        <v>1575</v>
      </c>
      <c r="AX987" s="9" t="n">
        <f aca="false">IF(D987="INR",AW987/88.24,AW987)/1000000</f>
        <v>0.001575</v>
      </c>
    </row>
    <row r="988" s="2" customFormat="true" ht="16.4" hidden="false" customHeight="false" outlineLevel="0" collapsed="false">
      <c r="A988" s="28" t="s">
        <v>1922</v>
      </c>
      <c r="B988" s="16"/>
      <c r="C988" s="16"/>
      <c r="D988" s="16" t="s">
        <v>102</v>
      </c>
      <c r="E988" s="16" t="s">
        <v>51</v>
      </c>
      <c r="F988" s="16" t="s">
        <v>52</v>
      </c>
      <c r="G988" s="16" t="s">
        <v>1918</v>
      </c>
      <c r="H988" s="16" t="s">
        <v>1919</v>
      </c>
      <c r="I988" s="16" t="s">
        <v>303</v>
      </c>
      <c r="J988" s="16" t="s">
        <v>1920</v>
      </c>
      <c r="K988" s="16"/>
      <c r="L988" s="16" t="s">
        <v>303</v>
      </c>
      <c r="M988" s="16" t="s">
        <v>1920</v>
      </c>
      <c r="N988" s="16" t="s">
        <v>57</v>
      </c>
      <c r="O988" s="16" t="s">
        <v>246</v>
      </c>
      <c r="P988" s="16" t="s">
        <v>182</v>
      </c>
      <c r="Q988" s="16" t="s">
        <v>182</v>
      </c>
      <c r="R988" s="16" t="s">
        <v>875</v>
      </c>
      <c r="S988" s="16" t="s">
        <v>363</v>
      </c>
      <c r="T988" s="16" t="s">
        <v>1923</v>
      </c>
      <c r="U988" s="16" t="s">
        <v>73</v>
      </c>
      <c r="V988" s="26" t="n">
        <v>0.029</v>
      </c>
      <c r="W988" s="16" t="n">
        <v>0.0265</v>
      </c>
      <c r="X988" s="16"/>
      <c r="Y988" s="16"/>
      <c r="Z988" s="26"/>
      <c r="AA988" s="16" t="n">
        <v>25000</v>
      </c>
      <c r="AB988" s="16"/>
      <c r="AC988" s="16"/>
      <c r="AD988" s="16"/>
      <c r="AE988" s="16"/>
      <c r="AF988" s="16" t="n">
        <v>20000</v>
      </c>
      <c r="AG988" s="16"/>
      <c r="AH988" s="16"/>
      <c r="AI988" s="16"/>
      <c r="AJ988" s="9" t="n">
        <f aca="false">X988*$V988</f>
        <v>0</v>
      </c>
      <c r="AK988" s="9" t="n">
        <f aca="false">Y988*$V988</f>
        <v>0</v>
      </c>
      <c r="AL988" s="9" t="n">
        <f aca="false">Z988*$V988</f>
        <v>0</v>
      </c>
      <c r="AM988" s="9" t="n">
        <f aca="false">AA988*$V988</f>
        <v>725</v>
      </c>
      <c r="AN988" s="9" t="n">
        <f aca="false">AB988*$V988</f>
        <v>0</v>
      </c>
      <c r="AO988" s="9" t="n">
        <f aca="false">AC988*$V988</f>
        <v>0</v>
      </c>
      <c r="AP988" s="9" t="n">
        <f aca="false">AD988*$V988</f>
        <v>0</v>
      </c>
      <c r="AQ988" s="9" t="n">
        <f aca="false">AE988*$V988</f>
        <v>0</v>
      </c>
      <c r="AR988" s="9" t="n">
        <f aca="false">AF988*$V988</f>
        <v>580</v>
      </c>
      <c r="AS988" s="9" t="n">
        <f aca="false">AG988*$V988</f>
        <v>0</v>
      </c>
      <c r="AT988" s="9" t="n">
        <f aca="false">AH988*$V988</f>
        <v>0</v>
      </c>
      <c r="AU988" s="9" t="n">
        <f aca="false">AI988*$V988</f>
        <v>0</v>
      </c>
      <c r="AV988" s="9" t="n">
        <f aca="false">SUM(X988:AI988)/1000</f>
        <v>45</v>
      </c>
      <c r="AW988" s="9" t="n">
        <f aca="false">SUM(AJ988:AU988)</f>
        <v>1305</v>
      </c>
      <c r="AX988" s="9" t="n">
        <f aca="false">IF(D988="INR",AW988/88.24,AW988)/1000000</f>
        <v>0.001305</v>
      </c>
    </row>
    <row r="989" s="2" customFormat="true" ht="14.25" hidden="false" customHeight="false" outlineLevel="0" collapsed="false">
      <c r="A989" s="12" t="s">
        <v>1924</v>
      </c>
      <c r="B989" s="16"/>
      <c r="C989" s="15"/>
      <c r="D989" s="16" t="s">
        <v>102</v>
      </c>
      <c r="E989" s="16" t="s">
        <v>51</v>
      </c>
      <c r="F989" s="16" t="s">
        <v>52</v>
      </c>
      <c r="G989" s="16" t="s">
        <v>1918</v>
      </c>
      <c r="H989" s="16" t="s">
        <v>1919</v>
      </c>
      <c r="I989" s="16" t="s">
        <v>303</v>
      </c>
      <c r="J989" s="16" t="s">
        <v>1920</v>
      </c>
      <c r="K989" s="16"/>
      <c r="L989" s="16" t="s">
        <v>303</v>
      </c>
      <c r="M989" s="16" t="s">
        <v>1920</v>
      </c>
      <c r="N989" s="16" t="s">
        <v>57</v>
      </c>
      <c r="O989" s="16" t="s">
        <v>246</v>
      </c>
      <c r="P989" s="16" t="s">
        <v>182</v>
      </c>
      <c r="Q989" s="16" t="s">
        <v>182</v>
      </c>
      <c r="R989" s="16" t="s">
        <v>875</v>
      </c>
      <c r="S989" s="16" t="s">
        <v>363</v>
      </c>
      <c r="T989" s="16" t="s">
        <v>1925</v>
      </c>
      <c r="U989" s="16" t="s">
        <v>73</v>
      </c>
      <c r="V989" s="16" t="n">
        <v>0.88</v>
      </c>
      <c r="W989" s="16" t="n">
        <v>0.81</v>
      </c>
      <c r="X989" s="16"/>
      <c r="Y989" s="16"/>
      <c r="Z989" s="16"/>
      <c r="AA989" s="16" t="n">
        <v>6000</v>
      </c>
      <c r="AB989" s="16"/>
      <c r="AC989" s="16"/>
      <c r="AD989" s="16"/>
      <c r="AE989" s="16"/>
      <c r="AF989" s="16" t="n">
        <v>6000</v>
      </c>
      <c r="AG989" s="16"/>
      <c r="AH989" s="16"/>
      <c r="AI989" s="16"/>
      <c r="AJ989" s="9" t="n">
        <f aca="false">X989*$V989</f>
        <v>0</v>
      </c>
      <c r="AK989" s="9" t="n">
        <f aca="false">Y989*$V989</f>
        <v>0</v>
      </c>
      <c r="AL989" s="9" t="n">
        <f aca="false">Z989*$V989</f>
        <v>0</v>
      </c>
      <c r="AM989" s="9" t="n">
        <f aca="false">AA989*$V989</f>
        <v>5280</v>
      </c>
      <c r="AN989" s="9" t="n">
        <f aca="false">AB989*$V989</f>
        <v>0</v>
      </c>
      <c r="AO989" s="9" t="n">
        <f aca="false">AC989*$V989</f>
        <v>0</v>
      </c>
      <c r="AP989" s="9" t="n">
        <f aca="false">AD989*$V989</f>
        <v>0</v>
      </c>
      <c r="AQ989" s="9" t="n">
        <f aca="false">AE989*$V989</f>
        <v>0</v>
      </c>
      <c r="AR989" s="9" t="n">
        <f aca="false">AF989*$V989</f>
        <v>5280</v>
      </c>
      <c r="AS989" s="9" t="n">
        <f aca="false">AG989*$V989</f>
        <v>0</v>
      </c>
      <c r="AT989" s="9" t="n">
        <f aca="false">AH989*$V989</f>
        <v>0</v>
      </c>
      <c r="AU989" s="9" t="n">
        <f aca="false">AI989*$V989</f>
        <v>0</v>
      </c>
      <c r="AV989" s="9" t="n">
        <f aca="false">SUM(X989:AI989)/1000</f>
        <v>12</v>
      </c>
      <c r="AW989" s="9" t="n">
        <f aca="false">SUM(AJ989:AU989)</f>
        <v>10560</v>
      </c>
      <c r="AX989" s="9" t="n">
        <f aca="false">IF(D989="INR",AW989/88.24,AW989)/1000000</f>
        <v>0.01056</v>
      </c>
    </row>
    <row r="990" s="2" customFormat="true" ht="14.25" hidden="false" customHeight="true" outlineLevel="0" collapsed="false">
      <c r="A990" s="28"/>
      <c r="B990" s="16" t="n">
        <v>1</v>
      </c>
      <c r="C990" s="16"/>
      <c r="D990" s="16" t="s">
        <v>50</v>
      </c>
      <c r="E990" s="16" t="s">
        <v>51</v>
      </c>
      <c r="F990" s="16" t="s">
        <v>52</v>
      </c>
      <c r="G990" s="16" t="s">
        <v>781</v>
      </c>
      <c r="H990" s="16" t="s">
        <v>495</v>
      </c>
      <c r="I990" s="16" t="s">
        <v>77</v>
      </c>
      <c r="J990" s="16" t="s">
        <v>496</v>
      </c>
      <c r="K990" s="16" t="s">
        <v>495</v>
      </c>
      <c r="L990" s="16" t="s">
        <v>77</v>
      </c>
      <c r="M990" s="16" t="s">
        <v>496</v>
      </c>
      <c r="N990" s="16" t="s">
        <v>57</v>
      </c>
      <c r="O990" s="16" t="s">
        <v>94</v>
      </c>
      <c r="P990" s="16" t="s">
        <v>308</v>
      </c>
      <c r="Q990" s="9" t="s">
        <v>308</v>
      </c>
      <c r="R990" s="16"/>
      <c r="S990" s="16"/>
      <c r="T990" s="16" t="s">
        <v>1926</v>
      </c>
      <c r="U990" s="16"/>
      <c r="V990" s="16" t="n">
        <v>3.38</v>
      </c>
      <c r="W990" s="16"/>
      <c r="X990" s="16"/>
      <c r="Y990" s="16"/>
      <c r="Z990" s="16" t="n">
        <v>1000</v>
      </c>
      <c r="AA990" s="16"/>
      <c r="AB990" s="16"/>
      <c r="AC990" s="16"/>
      <c r="AD990" s="16" t="n">
        <v>1000</v>
      </c>
      <c r="AE990" s="16"/>
      <c r="AF990" s="16" t="n">
        <v>1000</v>
      </c>
      <c r="AG990" s="16"/>
      <c r="AH990" s="16" t="n">
        <v>1000</v>
      </c>
      <c r="AI990" s="16" t="n">
        <v>1000</v>
      </c>
      <c r="AJ990" s="9" t="n">
        <f aca="false">X990*$V990</f>
        <v>0</v>
      </c>
      <c r="AK990" s="9" t="n">
        <f aca="false">Y990*$V990</f>
        <v>0</v>
      </c>
      <c r="AL990" s="9" t="n">
        <f aca="false">Z990*$V990</f>
        <v>3380</v>
      </c>
      <c r="AM990" s="9" t="n">
        <f aca="false">AA990*$V990</f>
        <v>0</v>
      </c>
      <c r="AN990" s="9" t="n">
        <f aca="false">AB990*$V990</f>
        <v>0</v>
      </c>
      <c r="AO990" s="9" t="n">
        <f aca="false">AC990*$V990</f>
        <v>0</v>
      </c>
      <c r="AP990" s="9" t="n">
        <f aca="false">AD990*$V990</f>
        <v>3380</v>
      </c>
      <c r="AQ990" s="9" t="n">
        <f aca="false">AE990*$V990</f>
        <v>0</v>
      </c>
      <c r="AR990" s="9" t="n">
        <f aca="false">AF990*$V990</f>
        <v>3380</v>
      </c>
      <c r="AS990" s="9" t="n">
        <f aca="false">AG990*$V990</f>
        <v>0</v>
      </c>
      <c r="AT990" s="9" t="n">
        <f aca="false">AH990*$V990</f>
        <v>3380</v>
      </c>
      <c r="AU990" s="9" t="n">
        <f aca="false">AI990*$V990</f>
        <v>3380</v>
      </c>
      <c r="AV990" s="9" t="n">
        <f aca="false">SUM(X990:AI990)/1000</f>
        <v>5</v>
      </c>
      <c r="AW990" s="9" t="n">
        <f aca="false">SUM(AJ990:AU990)</f>
        <v>16900</v>
      </c>
      <c r="AX990" s="9" t="n">
        <f aca="false">IF(D990="INR",AW990/88.24,AW990)/1000000</f>
        <v>0.000191523118766999</v>
      </c>
    </row>
    <row r="991" s="2" customFormat="true" ht="16.4" hidden="false" customHeight="false" outlineLevel="0" collapsed="false">
      <c r="A991" s="28" t="s">
        <v>1927</v>
      </c>
      <c r="B991" s="16"/>
      <c r="C991" s="16" t="n">
        <v>5</v>
      </c>
      <c r="D991" s="16" t="s">
        <v>50</v>
      </c>
      <c r="E991" s="16" t="s">
        <v>51</v>
      </c>
      <c r="F991" s="16" t="s">
        <v>52</v>
      </c>
      <c r="G991" s="16" t="s">
        <v>1041</v>
      </c>
      <c r="H991" s="16" t="s">
        <v>1042</v>
      </c>
      <c r="I991" s="16" t="s">
        <v>105</v>
      </c>
      <c r="J991" s="16" t="s">
        <v>368</v>
      </c>
      <c r="K991" s="16"/>
      <c r="L991" s="16" t="s">
        <v>105</v>
      </c>
      <c r="M991" s="16" t="s">
        <v>368</v>
      </c>
      <c r="N991" s="16" t="s">
        <v>290</v>
      </c>
      <c r="O991" s="16" t="s">
        <v>107</v>
      </c>
      <c r="P991" s="16" t="s">
        <v>308</v>
      </c>
      <c r="Q991" s="16" t="s">
        <v>308</v>
      </c>
      <c r="R991" s="16" t="s">
        <v>309</v>
      </c>
      <c r="S991" s="16" t="s">
        <v>264</v>
      </c>
      <c r="T991" s="16" t="s">
        <v>513</v>
      </c>
      <c r="U991" s="16" t="s">
        <v>73</v>
      </c>
      <c r="V991" s="16" t="n">
        <v>0.45</v>
      </c>
      <c r="W991" s="16" t="n">
        <v>0.38</v>
      </c>
      <c r="X991" s="16"/>
      <c r="Y991" s="16"/>
      <c r="Z991" s="16" t="n">
        <v>7500</v>
      </c>
      <c r="AA991" s="16"/>
      <c r="AB991" s="16"/>
      <c r="AC991" s="16"/>
      <c r="AD991" s="16"/>
      <c r="AE991" s="16" t="n">
        <v>7500</v>
      </c>
      <c r="AF991" s="16"/>
      <c r="AG991" s="16"/>
      <c r="AH991" s="16"/>
      <c r="AI991" s="16"/>
      <c r="AJ991" s="9" t="n">
        <f aca="false">X991*$V991</f>
        <v>0</v>
      </c>
      <c r="AK991" s="9" t="n">
        <f aca="false">Y991*$V991</f>
        <v>0</v>
      </c>
      <c r="AL991" s="9" t="n">
        <f aca="false">Z991*$V991</f>
        <v>3375</v>
      </c>
      <c r="AM991" s="9" t="n">
        <f aca="false">AA991*$V991</f>
        <v>0</v>
      </c>
      <c r="AN991" s="9" t="n">
        <f aca="false">AB991*$V991</f>
        <v>0</v>
      </c>
      <c r="AO991" s="9" t="n">
        <f aca="false">AC991*$V991</f>
        <v>0</v>
      </c>
      <c r="AP991" s="9" t="n">
        <f aca="false">AD991*$V991</f>
        <v>0</v>
      </c>
      <c r="AQ991" s="9" t="n">
        <f aca="false">AE991*$V991</f>
        <v>3375</v>
      </c>
      <c r="AR991" s="9" t="n">
        <f aca="false">AF991*$V991</f>
        <v>0</v>
      </c>
      <c r="AS991" s="9" t="n">
        <f aca="false">AG991*$V991</f>
        <v>0</v>
      </c>
      <c r="AT991" s="9" t="n">
        <f aca="false">AH991*$V991</f>
        <v>0</v>
      </c>
      <c r="AU991" s="9" t="n">
        <f aca="false">AI991*$V991</f>
        <v>0</v>
      </c>
      <c r="AV991" s="9" t="n">
        <f aca="false">SUM(X991:AI991)/1000</f>
        <v>15</v>
      </c>
      <c r="AW991" s="9" t="n">
        <f aca="false">SUM(AJ991:AU991)</f>
        <v>6750</v>
      </c>
      <c r="AX991" s="9" t="n">
        <f aca="false">IF(D991="INR",AW991/88.24,AW991)/1000000</f>
        <v>7.64959202175884E-005</v>
      </c>
    </row>
    <row r="992" s="2" customFormat="true" ht="16.4" hidden="false" customHeight="false" outlineLevel="0" collapsed="false">
      <c r="A992" s="28" t="s">
        <v>1928</v>
      </c>
      <c r="B992" s="16"/>
      <c r="C992" s="16"/>
      <c r="D992" s="16" t="s">
        <v>50</v>
      </c>
      <c r="E992" s="16" t="s">
        <v>51</v>
      </c>
      <c r="F992" s="16" t="s">
        <v>52</v>
      </c>
      <c r="G992" s="16" t="s">
        <v>494</v>
      </c>
      <c r="H992" s="16" t="s">
        <v>495</v>
      </c>
      <c r="I992" s="16" t="s">
        <v>77</v>
      </c>
      <c r="J992" s="16" t="s">
        <v>496</v>
      </c>
      <c r="K992" s="16" t="s">
        <v>495</v>
      </c>
      <c r="L992" s="16" t="s">
        <v>77</v>
      </c>
      <c r="M992" s="16" t="s">
        <v>496</v>
      </c>
      <c r="N992" s="16" t="s">
        <v>57</v>
      </c>
      <c r="O992" s="16" t="s">
        <v>94</v>
      </c>
      <c r="P992" s="16" t="s">
        <v>308</v>
      </c>
      <c r="Q992" s="16" t="s">
        <v>308</v>
      </c>
      <c r="R992" s="16" t="s">
        <v>309</v>
      </c>
      <c r="S992" s="16" t="s">
        <v>264</v>
      </c>
      <c r="T992" s="26" t="s">
        <v>1929</v>
      </c>
      <c r="U992" s="16" t="s">
        <v>73</v>
      </c>
      <c r="V992" s="16" t="n">
        <v>3.35</v>
      </c>
      <c r="W992" s="16" t="n">
        <v>2.91</v>
      </c>
      <c r="X992" s="16"/>
      <c r="Y992" s="16"/>
      <c r="Z992" s="16" t="n">
        <v>1000</v>
      </c>
      <c r="AA992" s="16"/>
      <c r="AB992" s="16"/>
      <c r="AC992" s="16"/>
      <c r="AD992" s="16" t="n">
        <v>1000</v>
      </c>
      <c r="AE992" s="16"/>
      <c r="AF992" s="16" t="n">
        <v>1000</v>
      </c>
      <c r="AG992" s="16"/>
      <c r="AH992" s="16" t="n">
        <v>1000</v>
      </c>
      <c r="AI992" s="16" t="n">
        <v>1000</v>
      </c>
      <c r="AJ992" s="9" t="n">
        <f aca="false">X992*$V992</f>
        <v>0</v>
      </c>
      <c r="AK992" s="9" t="n">
        <f aca="false">Y992*$V992</f>
        <v>0</v>
      </c>
      <c r="AL992" s="9" t="n">
        <f aca="false">Z992*$V992</f>
        <v>3350</v>
      </c>
      <c r="AM992" s="9" t="n">
        <f aca="false">AA992*$V992</f>
        <v>0</v>
      </c>
      <c r="AN992" s="9" t="n">
        <f aca="false">AB992*$V992</f>
        <v>0</v>
      </c>
      <c r="AO992" s="9" t="n">
        <f aca="false">AC992*$V992</f>
        <v>0</v>
      </c>
      <c r="AP992" s="9" t="n">
        <f aca="false">AD992*$V992</f>
        <v>3350</v>
      </c>
      <c r="AQ992" s="9" t="n">
        <f aca="false">AE992*$V992</f>
        <v>0</v>
      </c>
      <c r="AR992" s="9" t="n">
        <f aca="false">AF992*$V992</f>
        <v>3350</v>
      </c>
      <c r="AS992" s="9" t="n">
        <f aca="false">AG992*$V992</f>
        <v>0</v>
      </c>
      <c r="AT992" s="9" t="n">
        <f aca="false">AH992*$V992</f>
        <v>3350</v>
      </c>
      <c r="AU992" s="9" t="n">
        <f aca="false">AI992*$V992</f>
        <v>3350</v>
      </c>
      <c r="AV992" s="9" t="n">
        <f aca="false">SUM(X992:AI992)/1000</f>
        <v>5</v>
      </c>
      <c r="AW992" s="9" t="n">
        <f aca="false">SUM(AJ992:AU992)</f>
        <v>16750</v>
      </c>
      <c r="AX992" s="9" t="n">
        <f aca="false">IF(D992="INR",AW992/88.24,AW992)/1000000</f>
        <v>0.00018982320942883</v>
      </c>
    </row>
    <row r="993" s="2" customFormat="true" ht="16.4" hidden="false" customHeight="false" outlineLevel="0" collapsed="false">
      <c r="A993" s="28" t="s">
        <v>1930</v>
      </c>
      <c r="B993" s="16" t="n">
        <v>5</v>
      </c>
      <c r="C993" s="16"/>
      <c r="D993" s="16" t="s">
        <v>50</v>
      </c>
      <c r="E993" s="16" t="s">
        <v>51</v>
      </c>
      <c r="F993" s="16" t="s">
        <v>404</v>
      </c>
      <c r="G993" s="16" t="s">
        <v>1015</v>
      </c>
      <c r="H993" s="16" t="s">
        <v>1016</v>
      </c>
      <c r="I993" s="16" t="s">
        <v>105</v>
      </c>
      <c r="J993" s="16" t="s">
        <v>368</v>
      </c>
      <c r="K993" s="16"/>
      <c r="L993" s="16" t="s">
        <v>105</v>
      </c>
      <c r="M993" s="16" t="s">
        <v>368</v>
      </c>
      <c r="N993" s="16" t="s">
        <v>271</v>
      </c>
      <c r="O993" s="16" t="s">
        <v>94</v>
      </c>
      <c r="P993" s="16" t="s">
        <v>308</v>
      </c>
      <c r="Q993" s="16" t="s">
        <v>308</v>
      </c>
      <c r="R993" s="16" t="s">
        <v>309</v>
      </c>
      <c r="S993" s="16" t="s">
        <v>264</v>
      </c>
      <c r="T993" s="16" t="s">
        <v>1121</v>
      </c>
      <c r="U993" s="16" t="s">
        <v>73</v>
      </c>
      <c r="V993" s="16" t="n">
        <v>0.41</v>
      </c>
      <c r="W993" s="16" t="n">
        <v>0.36</v>
      </c>
      <c r="X993" s="16" t="n">
        <v>8000</v>
      </c>
      <c r="Y993" s="16" t="n">
        <v>8000</v>
      </c>
      <c r="Z993" s="16" t="n">
        <v>8000</v>
      </c>
      <c r="AA993" s="16" t="n">
        <v>8000</v>
      </c>
      <c r="AB993" s="16" t="n">
        <v>8000</v>
      </c>
      <c r="AC993" s="16" t="n">
        <v>8000</v>
      </c>
      <c r="AD993" s="16" t="n">
        <v>8000</v>
      </c>
      <c r="AE993" s="16" t="n">
        <v>8000</v>
      </c>
      <c r="AF993" s="16" t="n">
        <v>8000</v>
      </c>
      <c r="AG993" s="16" t="n">
        <v>8000</v>
      </c>
      <c r="AH993" s="16" t="n">
        <v>8000</v>
      </c>
      <c r="AI993" s="16" t="n">
        <v>8000</v>
      </c>
      <c r="AJ993" s="9" t="n">
        <f aca="false">X993*$V993</f>
        <v>3280</v>
      </c>
      <c r="AK993" s="9" t="n">
        <f aca="false">Y993*$V993</f>
        <v>3280</v>
      </c>
      <c r="AL993" s="9" t="n">
        <f aca="false">Z993*$V993</f>
        <v>3280</v>
      </c>
      <c r="AM993" s="9" t="n">
        <f aca="false">AA993*$V993</f>
        <v>3280</v>
      </c>
      <c r="AN993" s="9" t="n">
        <f aca="false">AB993*$V993</f>
        <v>3280</v>
      </c>
      <c r="AO993" s="9" t="n">
        <f aca="false">AC993*$V993</f>
        <v>3280</v>
      </c>
      <c r="AP993" s="9" t="n">
        <f aca="false">AD993*$V993</f>
        <v>3280</v>
      </c>
      <c r="AQ993" s="9" t="n">
        <f aca="false">AE993*$V993</f>
        <v>3280</v>
      </c>
      <c r="AR993" s="9" t="n">
        <f aca="false">AF993*$V993</f>
        <v>3280</v>
      </c>
      <c r="AS993" s="9" t="n">
        <f aca="false">AG993*$V993</f>
        <v>3280</v>
      </c>
      <c r="AT993" s="9" t="n">
        <f aca="false">AH993*$V993</f>
        <v>3280</v>
      </c>
      <c r="AU993" s="9" t="n">
        <f aca="false">AI993*$V993</f>
        <v>3280</v>
      </c>
      <c r="AV993" s="9" t="n">
        <f aca="false">SUM(X993:AI993)/1000</f>
        <v>96</v>
      </c>
      <c r="AW993" s="9" t="n">
        <f aca="false">SUM(AJ993:AU993)</f>
        <v>39360</v>
      </c>
      <c r="AX993" s="9" t="n">
        <f aca="false">IF(D993="INR",AW993/88.24,AW993)/1000000</f>
        <v>0.000446056210335449</v>
      </c>
    </row>
    <row r="994" s="2" customFormat="true" ht="14.25" hidden="false" customHeight="true" outlineLevel="0" collapsed="false">
      <c r="A994" s="28" t="s">
        <v>1931</v>
      </c>
      <c r="B994" s="16"/>
      <c r="C994" s="16"/>
      <c r="D994" s="16" t="s">
        <v>50</v>
      </c>
      <c r="E994" s="16" t="s">
        <v>51</v>
      </c>
      <c r="F994" s="16" t="s">
        <v>52</v>
      </c>
      <c r="G994" s="16" t="s">
        <v>258</v>
      </c>
      <c r="H994" s="16" t="s">
        <v>259</v>
      </c>
      <c r="I994" s="16" t="s">
        <v>260</v>
      </c>
      <c r="J994" s="16" t="s">
        <v>261</v>
      </c>
      <c r="K994" s="16"/>
      <c r="L994" s="16" t="s">
        <v>260</v>
      </c>
      <c r="M994" s="16" t="s">
        <v>261</v>
      </c>
      <c r="N994" s="16" t="s">
        <v>67</v>
      </c>
      <c r="O994" s="16" t="s">
        <v>107</v>
      </c>
      <c r="P994" s="16" t="s">
        <v>80</v>
      </c>
      <c r="Q994" s="16" t="s">
        <v>80</v>
      </c>
      <c r="R994" s="16" t="s">
        <v>81</v>
      </c>
      <c r="S994" s="16" t="s">
        <v>82</v>
      </c>
      <c r="T994" s="16" t="s">
        <v>1932</v>
      </c>
      <c r="U994" s="16" t="s">
        <v>63</v>
      </c>
      <c r="V994" s="16" t="n">
        <v>0.065</v>
      </c>
      <c r="W994" s="16" t="n">
        <v>0</v>
      </c>
      <c r="X994" s="16" t="n">
        <v>50000</v>
      </c>
      <c r="Y994" s="16" t="n">
        <v>50000</v>
      </c>
      <c r="Z994" s="16" t="n">
        <v>50000</v>
      </c>
      <c r="AA994" s="16" t="n">
        <v>50000</v>
      </c>
      <c r="AB994" s="16" t="n">
        <v>50000</v>
      </c>
      <c r="AC994" s="16" t="n">
        <v>50000</v>
      </c>
      <c r="AD994" s="16" t="n">
        <v>50000</v>
      </c>
      <c r="AE994" s="16" t="n">
        <v>50000</v>
      </c>
      <c r="AF994" s="16" t="n">
        <v>50000</v>
      </c>
      <c r="AG994" s="16" t="n">
        <v>50000</v>
      </c>
      <c r="AH994" s="16" t="n">
        <v>50000</v>
      </c>
      <c r="AI994" s="16" t="n">
        <v>50000</v>
      </c>
      <c r="AJ994" s="9" t="n">
        <f aca="false">X994*$V994</f>
        <v>3250</v>
      </c>
      <c r="AK994" s="9" t="n">
        <f aca="false">Y994*$V994</f>
        <v>3250</v>
      </c>
      <c r="AL994" s="9" t="n">
        <f aca="false">Z994*$V994</f>
        <v>3250</v>
      </c>
      <c r="AM994" s="9" t="n">
        <f aca="false">AA994*$V994</f>
        <v>3250</v>
      </c>
      <c r="AN994" s="9" t="n">
        <f aca="false">AB994*$V994</f>
        <v>3250</v>
      </c>
      <c r="AO994" s="9" t="n">
        <f aca="false">AC994*$V994</f>
        <v>3250</v>
      </c>
      <c r="AP994" s="9" t="n">
        <f aca="false">AD994*$V994</f>
        <v>3250</v>
      </c>
      <c r="AQ994" s="9" t="n">
        <f aca="false">AE994*$V994</f>
        <v>3250</v>
      </c>
      <c r="AR994" s="9" t="n">
        <f aca="false">AF994*$V994</f>
        <v>3250</v>
      </c>
      <c r="AS994" s="9" t="n">
        <f aca="false">AG994*$V994</f>
        <v>3250</v>
      </c>
      <c r="AT994" s="9" t="n">
        <f aca="false">AH994*$V994</f>
        <v>3250</v>
      </c>
      <c r="AU994" s="9" t="n">
        <f aca="false">AI994*$V994</f>
        <v>3250</v>
      </c>
      <c r="AV994" s="9" t="n">
        <f aca="false">SUM(X994:AI994)/1000</f>
        <v>600</v>
      </c>
      <c r="AW994" s="9" t="n">
        <f aca="false">SUM(AJ994:AU994)</f>
        <v>39000</v>
      </c>
      <c r="AX994" s="9" t="n">
        <f aca="false">IF(D994="INR",AW994/88.24,AW994)/1000000</f>
        <v>0.000441976427923844</v>
      </c>
    </row>
    <row r="995" s="2" customFormat="true" ht="14.25" hidden="false" customHeight="false" outlineLevel="0" collapsed="false">
      <c r="A995" s="12"/>
      <c r="B995" s="16" t="n">
        <v>5</v>
      </c>
      <c r="C995" s="15"/>
      <c r="D995" s="16" t="s">
        <v>102</v>
      </c>
      <c r="E995" s="16" t="s">
        <v>51</v>
      </c>
      <c r="F995" s="16" t="s">
        <v>404</v>
      </c>
      <c r="G995" s="16"/>
      <c r="H995" s="16" t="s">
        <v>1933</v>
      </c>
      <c r="I995" s="16"/>
      <c r="J995" s="16"/>
      <c r="K995" s="16"/>
      <c r="L995" s="16"/>
      <c r="M995" s="16"/>
      <c r="N995" s="16" t="s">
        <v>271</v>
      </c>
      <c r="O995" s="16"/>
      <c r="P995" s="16" t="s">
        <v>695</v>
      </c>
      <c r="Q995" s="16" t="s">
        <v>695</v>
      </c>
      <c r="R995" s="16"/>
      <c r="S995" s="16"/>
      <c r="T995" s="16" t="s">
        <v>1934</v>
      </c>
      <c r="U995" s="16"/>
      <c r="V995" s="16" t="n">
        <v>0.79</v>
      </c>
      <c r="W995" s="16"/>
      <c r="X995" s="22" t="n">
        <v>0</v>
      </c>
      <c r="Y995" s="22" t="n">
        <v>0</v>
      </c>
      <c r="Z995" s="22" t="n">
        <v>5000</v>
      </c>
      <c r="AA995" s="22"/>
      <c r="AB995" s="22"/>
      <c r="AC995" s="22"/>
      <c r="AD995" s="22"/>
      <c r="AE995" s="22"/>
      <c r="AF995" s="22"/>
      <c r="AG995" s="22"/>
      <c r="AH995" s="22"/>
      <c r="AI995" s="22"/>
      <c r="AJ995" s="9" t="n">
        <f aca="false">X995*$V995</f>
        <v>0</v>
      </c>
      <c r="AK995" s="9" t="n">
        <f aca="false">Y995*$V995</f>
        <v>0</v>
      </c>
      <c r="AL995" s="9" t="n">
        <f aca="false">Z995*$V995</f>
        <v>3950</v>
      </c>
      <c r="AM995" s="9" t="n">
        <f aca="false">AA995*$V995</f>
        <v>0</v>
      </c>
      <c r="AN995" s="9" t="n">
        <f aca="false">AB995*$V995</f>
        <v>0</v>
      </c>
      <c r="AO995" s="9" t="n">
        <f aca="false">AC995*$V995</f>
        <v>0</v>
      </c>
      <c r="AP995" s="9" t="n">
        <f aca="false">AD995*$V995</f>
        <v>0</v>
      </c>
      <c r="AQ995" s="9" t="n">
        <f aca="false">AE995*$V995</f>
        <v>0</v>
      </c>
      <c r="AR995" s="9" t="n">
        <f aca="false">AF995*$V995</f>
        <v>0</v>
      </c>
      <c r="AS995" s="9" t="n">
        <f aca="false">AG995*$V995</f>
        <v>0</v>
      </c>
      <c r="AT995" s="9" t="n">
        <f aca="false">AH995*$V995</f>
        <v>0</v>
      </c>
      <c r="AU995" s="9" t="n">
        <f aca="false">AI995*$V995</f>
        <v>0</v>
      </c>
      <c r="AV995" s="9" t="n">
        <f aca="false">SUM(X995:AI995)/1000</f>
        <v>5</v>
      </c>
      <c r="AW995" s="9" t="n">
        <f aca="false">SUM(AJ995:AU995)</f>
        <v>3950</v>
      </c>
      <c r="AX995" s="9" t="n">
        <f aca="false">IF(D995="INR",AW995/88.24,AW995)/1000000</f>
        <v>0.00395</v>
      </c>
    </row>
    <row r="996" s="2" customFormat="true" ht="14.25" hidden="false" customHeight="false" outlineLevel="0" collapsed="false">
      <c r="A996" s="28"/>
      <c r="B996" s="16" t="n">
        <v>1</v>
      </c>
      <c r="C996" s="16"/>
      <c r="D996" s="16" t="s">
        <v>50</v>
      </c>
      <c r="E996" s="16" t="s">
        <v>51</v>
      </c>
      <c r="F996" s="16" t="s">
        <v>52</v>
      </c>
      <c r="G996" s="16" t="s">
        <v>781</v>
      </c>
      <c r="H996" s="16" t="s">
        <v>495</v>
      </c>
      <c r="I996" s="16" t="s">
        <v>77</v>
      </c>
      <c r="J996" s="16" t="s">
        <v>496</v>
      </c>
      <c r="K996" s="16" t="s">
        <v>495</v>
      </c>
      <c r="L996" s="16" t="s">
        <v>77</v>
      </c>
      <c r="M996" s="16" t="s">
        <v>496</v>
      </c>
      <c r="N996" s="16" t="s">
        <v>57</v>
      </c>
      <c r="O996" s="16" t="s">
        <v>94</v>
      </c>
      <c r="P996" s="16" t="s">
        <v>1935</v>
      </c>
      <c r="Q996" s="16" t="s">
        <v>1935</v>
      </c>
      <c r="R996" s="16"/>
      <c r="S996" s="16"/>
      <c r="T996" s="16" t="s">
        <v>1936</v>
      </c>
      <c r="U996" s="16"/>
      <c r="V996" s="16" t="n">
        <v>2.8</v>
      </c>
      <c r="W996" s="16"/>
      <c r="X996" s="16"/>
      <c r="Y996" s="16"/>
      <c r="Z996" s="16" t="n">
        <v>1000</v>
      </c>
      <c r="AA996" s="16"/>
      <c r="AB996" s="16"/>
      <c r="AC996" s="16"/>
      <c r="AD996" s="16" t="n">
        <v>1000</v>
      </c>
      <c r="AE996" s="16"/>
      <c r="AF996" s="16" t="n">
        <v>1000</v>
      </c>
      <c r="AG996" s="16"/>
      <c r="AH996" s="16" t="n">
        <v>1000</v>
      </c>
      <c r="AI996" s="16" t="n">
        <v>1000</v>
      </c>
      <c r="AJ996" s="9" t="n">
        <f aca="false">X996*$V996</f>
        <v>0</v>
      </c>
      <c r="AK996" s="9" t="n">
        <f aca="false">Y996*$V996</f>
        <v>0</v>
      </c>
      <c r="AL996" s="9" t="n">
        <f aca="false">Z996*$V996</f>
        <v>2800</v>
      </c>
      <c r="AM996" s="9" t="n">
        <f aca="false">AA996*$V996</f>
        <v>0</v>
      </c>
      <c r="AN996" s="9" t="n">
        <f aca="false">AB996*$V996</f>
        <v>0</v>
      </c>
      <c r="AO996" s="9" t="n">
        <f aca="false">AC996*$V996</f>
        <v>0</v>
      </c>
      <c r="AP996" s="9" t="n">
        <f aca="false">AD996*$V996</f>
        <v>2800</v>
      </c>
      <c r="AQ996" s="9" t="n">
        <f aca="false">AE996*$V996</f>
        <v>0</v>
      </c>
      <c r="AR996" s="9" t="n">
        <f aca="false">AF996*$V996</f>
        <v>2800</v>
      </c>
      <c r="AS996" s="9" t="n">
        <f aca="false">AG996*$V996</f>
        <v>0</v>
      </c>
      <c r="AT996" s="9" t="n">
        <f aca="false">AH996*$V996</f>
        <v>2800</v>
      </c>
      <c r="AU996" s="9" t="n">
        <f aca="false">AI996*$V996</f>
        <v>2800</v>
      </c>
      <c r="AV996" s="9" t="n">
        <f aca="false">SUM(X996:AI996)/1000</f>
        <v>5</v>
      </c>
      <c r="AW996" s="9" t="n">
        <f aca="false">SUM(AJ996:AU996)</f>
        <v>14000</v>
      </c>
      <c r="AX996" s="9" t="n">
        <f aca="false">IF(D996="INR",AW996/88.24,AW996)/1000000</f>
        <v>0.000158658204895739</v>
      </c>
    </row>
    <row r="997" s="2" customFormat="true" ht="16.4" hidden="false" customHeight="false" outlineLevel="0" collapsed="false">
      <c r="A997" s="35" t="s">
        <v>1937</v>
      </c>
      <c r="B997" s="9" t="n">
        <v>5</v>
      </c>
      <c r="C997" s="10"/>
      <c r="D997" s="9" t="s">
        <v>813</v>
      </c>
      <c r="E997" s="9" t="s">
        <v>51</v>
      </c>
      <c r="F997" s="9" t="s">
        <v>267</v>
      </c>
      <c r="G997" s="9" t="s">
        <v>1938</v>
      </c>
      <c r="H997" s="9" t="s">
        <v>1939</v>
      </c>
      <c r="I997" s="9"/>
      <c r="J997" s="9" t="s">
        <v>298</v>
      </c>
      <c r="K997" s="9" t="s">
        <v>1939</v>
      </c>
      <c r="L997" s="9"/>
      <c r="M997" s="9" t="s">
        <v>298</v>
      </c>
      <c r="N997" s="9" t="s">
        <v>271</v>
      </c>
      <c r="O997" s="9" t="s">
        <v>94</v>
      </c>
      <c r="P997" s="9" t="s">
        <v>760</v>
      </c>
      <c r="Q997" s="9" t="s">
        <v>760</v>
      </c>
      <c r="R997" s="9" t="s">
        <v>800</v>
      </c>
      <c r="S997" s="9" t="s">
        <v>968</v>
      </c>
      <c r="T997" s="9" t="s">
        <v>1940</v>
      </c>
      <c r="U997" s="9" t="s">
        <v>73</v>
      </c>
      <c r="V997" s="9" t="n">
        <v>0.316</v>
      </c>
      <c r="W997" s="9" t="n">
        <v>0.27</v>
      </c>
      <c r="X997" s="9" t="n">
        <v>30000</v>
      </c>
      <c r="Y997" s="9" t="n">
        <v>30000</v>
      </c>
      <c r="Z997" s="9" t="n">
        <v>20000</v>
      </c>
      <c r="AA997" s="9" t="n">
        <v>30000</v>
      </c>
      <c r="AB997" s="9" t="n">
        <v>20000</v>
      </c>
      <c r="AC997" s="9" t="n">
        <v>30000</v>
      </c>
      <c r="AD997" s="9" t="n">
        <v>20000</v>
      </c>
      <c r="AE997" s="9" t="n">
        <v>30000</v>
      </c>
      <c r="AF997" s="9" t="n">
        <v>30000</v>
      </c>
      <c r="AG997" s="9" t="n">
        <v>20000</v>
      </c>
      <c r="AH997" s="9" t="n">
        <v>10000</v>
      </c>
      <c r="AI997" s="9" t="n">
        <v>10000</v>
      </c>
      <c r="AJ997" s="9" t="n">
        <f aca="false">X997*$V997</f>
        <v>9480</v>
      </c>
      <c r="AK997" s="9" t="n">
        <f aca="false">Y997*$V997</f>
        <v>9480</v>
      </c>
      <c r="AL997" s="9" t="n">
        <f aca="false">Z997*$V997</f>
        <v>6320</v>
      </c>
      <c r="AM997" s="9" t="n">
        <f aca="false">AA997*$V997</f>
        <v>9480</v>
      </c>
      <c r="AN997" s="9" t="n">
        <f aca="false">AB997*$V997</f>
        <v>6320</v>
      </c>
      <c r="AO997" s="9" t="n">
        <f aca="false">AC997*$V997</f>
        <v>9480</v>
      </c>
      <c r="AP997" s="9" t="n">
        <f aca="false">AD997*$V997</f>
        <v>6320</v>
      </c>
      <c r="AQ997" s="9" t="n">
        <f aca="false">AE997*$V997</f>
        <v>9480</v>
      </c>
      <c r="AR997" s="9" t="n">
        <f aca="false">AF997*$V997</f>
        <v>9480</v>
      </c>
      <c r="AS997" s="9" t="n">
        <f aca="false">AG997*$V997</f>
        <v>6320</v>
      </c>
      <c r="AT997" s="9" t="n">
        <f aca="false">AH997*$V997</f>
        <v>3160</v>
      </c>
      <c r="AU997" s="9" t="n">
        <f aca="false">AI997*$V997</f>
        <v>3160</v>
      </c>
      <c r="AV997" s="9" t="n">
        <f aca="false">SUM(X997:AI997)/1000</f>
        <v>280</v>
      </c>
      <c r="AW997" s="9" t="n">
        <f aca="false">SUM(AJ997:AU997)</f>
        <v>88480</v>
      </c>
      <c r="AX997" s="9" t="n">
        <f aca="false">IF(D997="INR",AW997/88.24,AW997)/1000000</f>
        <v>0.08848</v>
      </c>
    </row>
    <row r="998" s="2" customFormat="true" ht="16.4" hidden="false" customHeight="false" outlineLevel="0" collapsed="false">
      <c r="A998" s="35" t="s">
        <v>1941</v>
      </c>
      <c r="B998" s="9" t="n">
        <v>5</v>
      </c>
      <c r="C998" s="10"/>
      <c r="D998" s="9" t="s">
        <v>813</v>
      </c>
      <c r="E998" s="9" t="s">
        <v>51</v>
      </c>
      <c r="F998" s="9" t="s">
        <v>267</v>
      </c>
      <c r="G998" s="9" t="s">
        <v>1938</v>
      </c>
      <c r="H998" s="9" t="s">
        <v>1939</v>
      </c>
      <c r="I998" s="9"/>
      <c r="J998" s="9" t="s">
        <v>298</v>
      </c>
      <c r="K998" s="9" t="s">
        <v>1939</v>
      </c>
      <c r="L998" s="9"/>
      <c r="M998" s="9" t="s">
        <v>298</v>
      </c>
      <c r="N998" s="9" t="s">
        <v>271</v>
      </c>
      <c r="O998" s="9" t="s">
        <v>94</v>
      </c>
      <c r="P998" s="9" t="s">
        <v>760</v>
      </c>
      <c r="Q998" s="9" t="s">
        <v>760</v>
      </c>
      <c r="R998" s="9" t="s">
        <v>800</v>
      </c>
      <c r="S998" s="9" t="s">
        <v>968</v>
      </c>
      <c r="T998" s="9" t="s">
        <v>1942</v>
      </c>
      <c r="U998" s="9" t="s">
        <v>73</v>
      </c>
      <c r="V998" s="9" t="n">
        <v>0.52</v>
      </c>
      <c r="W998" s="9" t="n">
        <v>0.43</v>
      </c>
      <c r="X998" s="9" t="n">
        <v>15000</v>
      </c>
      <c r="Y998" s="9" t="n">
        <v>15000</v>
      </c>
      <c r="Z998" s="9" t="n">
        <v>15000</v>
      </c>
      <c r="AA998" s="9" t="n">
        <v>15000</v>
      </c>
      <c r="AB998" s="9" t="n">
        <v>15000</v>
      </c>
      <c r="AC998" s="9" t="n">
        <v>15000</v>
      </c>
      <c r="AD998" s="9" t="n">
        <v>15000</v>
      </c>
      <c r="AE998" s="9" t="n">
        <v>15000</v>
      </c>
      <c r="AF998" s="9" t="n">
        <v>15000</v>
      </c>
      <c r="AG998" s="9" t="n">
        <v>15000</v>
      </c>
      <c r="AH998" s="9" t="n">
        <v>15000</v>
      </c>
      <c r="AI998" s="9" t="n">
        <v>15000</v>
      </c>
      <c r="AJ998" s="9" t="n">
        <f aca="false">X998*$V998</f>
        <v>7800</v>
      </c>
      <c r="AK998" s="9" t="n">
        <f aca="false">Y998*$V998</f>
        <v>7800</v>
      </c>
      <c r="AL998" s="9" t="n">
        <f aca="false">Z998*$V998</f>
        <v>7800</v>
      </c>
      <c r="AM998" s="9" t="n">
        <f aca="false">AA998*$V998</f>
        <v>7800</v>
      </c>
      <c r="AN998" s="9" t="n">
        <f aca="false">AB998*$V998</f>
        <v>7800</v>
      </c>
      <c r="AO998" s="9" t="n">
        <f aca="false">AC998*$V998</f>
        <v>7800</v>
      </c>
      <c r="AP998" s="9" t="n">
        <f aca="false">AD998*$V998</f>
        <v>7800</v>
      </c>
      <c r="AQ998" s="9" t="n">
        <f aca="false">AE998*$V998</f>
        <v>7800</v>
      </c>
      <c r="AR998" s="9" t="n">
        <f aca="false">AF998*$V998</f>
        <v>7800</v>
      </c>
      <c r="AS998" s="9" t="n">
        <f aca="false">AG998*$V998</f>
        <v>7800</v>
      </c>
      <c r="AT998" s="9" t="n">
        <f aca="false">AH998*$V998</f>
        <v>7800</v>
      </c>
      <c r="AU998" s="9" t="n">
        <f aca="false">AI998*$V998</f>
        <v>7800</v>
      </c>
      <c r="AV998" s="9" t="n">
        <f aca="false">SUM(X998:AI998)/1000</f>
        <v>180</v>
      </c>
      <c r="AW998" s="9" t="n">
        <f aca="false">SUM(AJ998:AU998)</f>
        <v>93600</v>
      </c>
      <c r="AX998" s="9" t="n">
        <f aca="false">IF(D998="INR",AW998/88.24,AW998)/1000000</f>
        <v>0.0936</v>
      </c>
    </row>
    <row r="999" s="2" customFormat="true" ht="14.25" hidden="false" customHeight="false" outlineLevel="0" collapsed="false">
      <c r="A999" s="12" t="s">
        <v>1943</v>
      </c>
      <c r="B999" s="16" t="n">
        <v>5</v>
      </c>
      <c r="C999" s="15"/>
      <c r="D999" s="16" t="s">
        <v>813</v>
      </c>
      <c r="E999" s="16" t="s">
        <v>51</v>
      </c>
      <c r="F999" s="16" t="s">
        <v>267</v>
      </c>
      <c r="G999" s="16" t="s">
        <v>1938</v>
      </c>
      <c r="H999" s="16" t="s">
        <v>1939</v>
      </c>
      <c r="I999" s="16"/>
      <c r="J999" s="16" t="s">
        <v>298</v>
      </c>
      <c r="K999" s="16" t="s">
        <v>1939</v>
      </c>
      <c r="L999" s="16"/>
      <c r="M999" s="16" t="s">
        <v>298</v>
      </c>
      <c r="N999" s="16" t="s">
        <v>271</v>
      </c>
      <c r="O999" s="16" t="s">
        <v>94</v>
      </c>
      <c r="P999" s="16" t="s">
        <v>760</v>
      </c>
      <c r="Q999" s="16" t="s">
        <v>760</v>
      </c>
      <c r="R999" s="16" t="s">
        <v>800</v>
      </c>
      <c r="S999" s="16" t="s">
        <v>968</v>
      </c>
      <c r="T999" s="16" t="s">
        <v>1944</v>
      </c>
      <c r="U999" s="16" t="s">
        <v>73</v>
      </c>
      <c r="V999" s="16" t="n">
        <v>0.335</v>
      </c>
      <c r="W999" s="16" t="n">
        <v>0.306</v>
      </c>
      <c r="X999" s="16" t="n">
        <v>10000</v>
      </c>
      <c r="Y999" s="16" t="n">
        <v>10000</v>
      </c>
      <c r="Z999" s="16" t="n">
        <v>10000</v>
      </c>
      <c r="AA999" s="26" t="n">
        <v>10000</v>
      </c>
      <c r="AB999" s="26"/>
      <c r="AC999" s="16" t="n">
        <v>10000</v>
      </c>
      <c r="AD999" s="16"/>
      <c r="AE999" s="16" t="n">
        <v>10000</v>
      </c>
      <c r="AF999" s="16" t="n">
        <v>10000</v>
      </c>
      <c r="AG999" s="16"/>
      <c r="AH999" s="16" t="n">
        <v>10000</v>
      </c>
      <c r="AI999" s="16" t="n">
        <v>10000</v>
      </c>
      <c r="AJ999" s="9" t="n">
        <f aca="false">X999*$V999</f>
        <v>3350</v>
      </c>
      <c r="AK999" s="9" t="n">
        <f aca="false">Y999*$V999</f>
        <v>3350</v>
      </c>
      <c r="AL999" s="9" t="n">
        <f aca="false">Z999*$V999</f>
        <v>3350</v>
      </c>
      <c r="AM999" s="9" t="n">
        <f aca="false">AA999*$V999</f>
        <v>3350</v>
      </c>
      <c r="AN999" s="9" t="n">
        <f aca="false">AB999*$V999</f>
        <v>0</v>
      </c>
      <c r="AO999" s="9" t="n">
        <f aca="false">AC999*$V999</f>
        <v>3350</v>
      </c>
      <c r="AP999" s="9" t="n">
        <f aca="false">AD999*$V999</f>
        <v>0</v>
      </c>
      <c r="AQ999" s="9" t="n">
        <f aca="false">AE999*$V999</f>
        <v>3350</v>
      </c>
      <c r="AR999" s="9" t="n">
        <f aca="false">AF999*$V999</f>
        <v>3350</v>
      </c>
      <c r="AS999" s="9" t="n">
        <f aca="false">AG999*$V999</f>
        <v>0</v>
      </c>
      <c r="AT999" s="9" t="n">
        <f aca="false">AH999*$V999</f>
        <v>3350</v>
      </c>
      <c r="AU999" s="9" t="n">
        <f aca="false">AI999*$V999</f>
        <v>3350</v>
      </c>
      <c r="AV999" s="9" t="n">
        <f aca="false">SUM(X999:AI999)/1000</f>
        <v>90</v>
      </c>
      <c r="AW999" s="9" t="n">
        <f aca="false">SUM(AJ999:AU999)</f>
        <v>30150</v>
      </c>
      <c r="AX999" s="9" t="n">
        <f aca="false">IF(D999="INR",AW999/88.24,AW999)/1000000</f>
        <v>0.03015</v>
      </c>
    </row>
    <row r="1000" s="2" customFormat="true" ht="16.4" hidden="false" customHeight="false" outlineLevel="0" collapsed="false">
      <c r="A1000" s="35" t="s">
        <v>1945</v>
      </c>
      <c r="B1000" s="9" t="n">
        <v>5</v>
      </c>
      <c r="C1000" s="10"/>
      <c r="D1000" s="9" t="s">
        <v>813</v>
      </c>
      <c r="E1000" s="9" t="s">
        <v>51</v>
      </c>
      <c r="F1000" s="9" t="s">
        <v>267</v>
      </c>
      <c r="G1000" s="9" t="s">
        <v>1938</v>
      </c>
      <c r="H1000" s="9" t="s">
        <v>1939</v>
      </c>
      <c r="I1000" s="9"/>
      <c r="J1000" s="9" t="s">
        <v>298</v>
      </c>
      <c r="K1000" s="9" t="s">
        <v>1939</v>
      </c>
      <c r="L1000" s="9"/>
      <c r="M1000" s="9" t="s">
        <v>298</v>
      </c>
      <c r="N1000" s="9" t="s">
        <v>271</v>
      </c>
      <c r="O1000" s="9" t="s">
        <v>94</v>
      </c>
      <c r="P1000" s="9" t="s">
        <v>760</v>
      </c>
      <c r="Q1000" s="9" t="s">
        <v>760</v>
      </c>
      <c r="R1000" s="9" t="s">
        <v>800</v>
      </c>
      <c r="S1000" s="9" t="s">
        <v>968</v>
      </c>
      <c r="T1000" s="9" t="s">
        <v>1946</v>
      </c>
      <c r="U1000" s="9" t="s">
        <v>73</v>
      </c>
      <c r="V1000" s="10" t="n">
        <v>0.4</v>
      </c>
      <c r="W1000" s="9" t="n">
        <v>0.358</v>
      </c>
      <c r="X1000" s="9" t="n">
        <v>4000</v>
      </c>
      <c r="Y1000" s="9" t="n">
        <v>4000</v>
      </c>
      <c r="Z1000" s="9" t="n">
        <v>4000</v>
      </c>
      <c r="AA1000" s="9" t="n">
        <v>4000</v>
      </c>
      <c r="AB1000" s="9" t="n">
        <v>4000</v>
      </c>
      <c r="AC1000" s="9" t="n">
        <v>4000</v>
      </c>
      <c r="AD1000" s="9" t="n">
        <v>4000</v>
      </c>
      <c r="AE1000" s="9" t="n">
        <v>4000</v>
      </c>
      <c r="AF1000" s="9" t="n">
        <v>4000</v>
      </c>
      <c r="AG1000" s="9" t="n">
        <v>4000</v>
      </c>
      <c r="AH1000" s="9" t="n">
        <v>4000</v>
      </c>
      <c r="AI1000" s="9" t="n">
        <v>4000</v>
      </c>
      <c r="AJ1000" s="9" t="n">
        <f aca="false">X1000*$V1000</f>
        <v>1600</v>
      </c>
      <c r="AK1000" s="9" t="n">
        <f aca="false">Y1000*$V1000</f>
        <v>1600</v>
      </c>
      <c r="AL1000" s="9" t="n">
        <f aca="false">Z1000*$V1000</f>
        <v>1600</v>
      </c>
      <c r="AM1000" s="9" t="n">
        <f aca="false">AA1000*$V1000</f>
        <v>1600</v>
      </c>
      <c r="AN1000" s="9" t="n">
        <f aca="false">AB1000*$V1000</f>
        <v>1600</v>
      </c>
      <c r="AO1000" s="9" t="n">
        <f aca="false">AC1000*$V1000</f>
        <v>1600</v>
      </c>
      <c r="AP1000" s="9" t="n">
        <f aca="false">AD1000*$V1000</f>
        <v>1600</v>
      </c>
      <c r="AQ1000" s="9" t="n">
        <f aca="false">AE1000*$V1000</f>
        <v>1600</v>
      </c>
      <c r="AR1000" s="9" t="n">
        <f aca="false">AF1000*$V1000</f>
        <v>1600</v>
      </c>
      <c r="AS1000" s="9" t="n">
        <f aca="false">AG1000*$V1000</f>
        <v>1600</v>
      </c>
      <c r="AT1000" s="9" t="n">
        <f aca="false">AH1000*$V1000</f>
        <v>1600</v>
      </c>
      <c r="AU1000" s="9" t="n">
        <f aca="false">AI1000*$V1000</f>
        <v>1600</v>
      </c>
      <c r="AV1000" s="9" t="n">
        <f aca="false">SUM(X1000:AI1000)/1000</f>
        <v>48</v>
      </c>
      <c r="AW1000" s="9" t="n">
        <f aca="false">SUM(AJ1000:AU1000)</f>
        <v>19200</v>
      </c>
      <c r="AX1000" s="9" t="n">
        <f aca="false">IF(D1000="INR",AW1000/88.24,AW1000)/1000000</f>
        <v>0.0192</v>
      </c>
    </row>
    <row r="1001" s="2" customFormat="true" ht="14.25" hidden="false" customHeight="false" outlineLevel="0" collapsed="false">
      <c r="A1001" s="12" t="s">
        <v>1947</v>
      </c>
      <c r="B1001" s="16" t="n">
        <v>5</v>
      </c>
      <c r="C1001" s="15"/>
      <c r="D1001" s="16" t="s">
        <v>813</v>
      </c>
      <c r="E1001" s="16" t="s">
        <v>51</v>
      </c>
      <c r="F1001" s="16" t="s">
        <v>267</v>
      </c>
      <c r="G1001" s="16" t="s">
        <v>1938</v>
      </c>
      <c r="H1001" s="16" t="s">
        <v>1939</v>
      </c>
      <c r="I1001" s="16"/>
      <c r="J1001" s="16" t="s">
        <v>298</v>
      </c>
      <c r="K1001" s="16" t="s">
        <v>1939</v>
      </c>
      <c r="L1001" s="16"/>
      <c r="M1001" s="16" t="s">
        <v>298</v>
      </c>
      <c r="N1001" s="16" t="s">
        <v>271</v>
      </c>
      <c r="O1001" s="16" t="s">
        <v>94</v>
      </c>
      <c r="P1001" s="16" t="s">
        <v>760</v>
      </c>
      <c r="Q1001" s="16" t="s">
        <v>760</v>
      </c>
      <c r="R1001" s="16" t="s">
        <v>800</v>
      </c>
      <c r="S1001" s="16" t="s">
        <v>968</v>
      </c>
      <c r="T1001" s="16" t="s">
        <v>1948</v>
      </c>
      <c r="U1001" s="16" t="s">
        <v>73</v>
      </c>
      <c r="V1001" s="16" t="n">
        <v>0.48</v>
      </c>
      <c r="W1001" s="16" t="n">
        <v>0.444</v>
      </c>
      <c r="X1001" s="16" t="n">
        <v>2000</v>
      </c>
      <c r="Y1001" s="16" t="n">
        <v>2000</v>
      </c>
      <c r="Z1001" s="16" t="n">
        <v>2000</v>
      </c>
      <c r="AA1001" s="16" t="n">
        <v>2000</v>
      </c>
      <c r="AB1001" s="16" t="n">
        <v>2000</v>
      </c>
      <c r="AC1001" s="16" t="n">
        <v>2000</v>
      </c>
      <c r="AD1001" s="16"/>
      <c r="AE1001" s="16" t="n">
        <v>2000</v>
      </c>
      <c r="AF1001" s="16" t="n">
        <v>2000</v>
      </c>
      <c r="AG1001" s="16" t="n">
        <v>2000</v>
      </c>
      <c r="AH1001" s="16" t="n">
        <v>2000</v>
      </c>
      <c r="AI1001" s="16" t="n">
        <v>2000</v>
      </c>
      <c r="AJ1001" s="9" t="n">
        <f aca="false">X1001*$V1001</f>
        <v>960</v>
      </c>
      <c r="AK1001" s="9" t="n">
        <f aca="false">Y1001*$V1001</f>
        <v>960</v>
      </c>
      <c r="AL1001" s="9" t="n">
        <f aca="false">Z1001*$V1001</f>
        <v>960</v>
      </c>
      <c r="AM1001" s="9" t="n">
        <f aca="false">AA1001*$V1001</f>
        <v>960</v>
      </c>
      <c r="AN1001" s="9" t="n">
        <f aca="false">AB1001*$V1001</f>
        <v>960</v>
      </c>
      <c r="AO1001" s="9" t="n">
        <f aca="false">AC1001*$V1001</f>
        <v>960</v>
      </c>
      <c r="AP1001" s="9" t="n">
        <f aca="false">AD1001*$V1001</f>
        <v>0</v>
      </c>
      <c r="AQ1001" s="9" t="n">
        <f aca="false">AE1001*$V1001</f>
        <v>960</v>
      </c>
      <c r="AR1001" s="9" t="n">
        <f aca="false">AF1001*$V1001</f>
        <v>960</v>
      </c>
      <c r="AS1001" s="9" t="n">
        <f aca="false">AG1001*$V1001</f>
        <v>960</v>
      </c>
      <c r="AT1001" s="9" t="n">
        <f aca="false">AH1001*$V1001</f>
        <v>960</v>
      </c>
      <c r="AU1001" s="9" t="n">
        <f aca="false">AI1001*$V1001</f>
        <v>960</v>
      </c>
      <c r="AV1001" s="9" t="n">
        <f aca="false">SUM(X1001:AI1001)/1000</f>
        <v>22</v>
      </c>
      <c r="AW1001" s="9" t="n">
        <f aca="false">SUM(AJ1001:AU1001)</f>
        <v>10560</v>
      </c>
      <c r="AX1001" s="9" t="n">
        <f aca="false">IF(D1001="INR",AW1001/88.24,AW1001)/1000000</f>
        <v>0.01056</v>
      </c>
    </row>
    <row r="1002" s="2" customFormat="true" ht="14.25" hidden="false" customHeight="false" outlineLevel="0" collapsed="false">
      <c r="A1002" s="12" t="s">
        <v>1949</v>
      </c>
      <c r="B1002" s="16" t="n">
        <v>1</v>
      </c>
      <c r="C1002" s="15"/>
      <c r="D1002" s="16" t="s">
        <v>813</v>
      </c>
      <c r="E1002" s="16" t="s">
        <v>51</v>
      </c>
      <c r="F1002" s="16" t="s">
        <v>267</v>
      </c>
      <c r="G1002" s="16" t="s">
        <v>1938</v>
      </c>
      <c r="H1002" s="16" t="s">
        <v>1939</v>
      </c>
      <c r="I1002" s="16"/>
      <c r="J1002" s="16" t="s">
        <v>298</v>
      </c>
      <c r="K1002" s="16" t="s">
        <v>1939</v>
      </c>
      <c r="L1002" s="16"/>
      <c r="M1002" s="16" t="s">
        <v>298</v>
      </c>
      <c r="N1002" s="16" t="s">
        <v>271</v>
      </c>
      <c r="O1002" s="16" t="s">
        <v>94</v>
      </c>
      <c r="P1002" s="16" t="s">
        <v>760</v>
      </c>
      <c r="Q1002" s="16" t="s">
        <v>760</v>
      </c>
      <c r="R1002" s="16" t="s">
        <v>800</v>
      </c>
      <c r="S1002" s="16" t="s">
        <v>968</v>
      </c>
      <c r="T1002" s="16" t="s">
        <v>1950</v>
      </c>
      <c r="U1002" s="16" t="s">
        <v>73</v>
      </c>
      <c r="V1002" s="16" t="n">
        <v>0.73</v>
      </c>
      <c r="W1002" s="16" t="n">
        <v>0.65</v>
      </c>
      <c r="X1002" s="16" t="n">
        <v>2000</v>
      </c>
      <c r="Y1002" s="16" t="n">
        <v>2000</v>
      </c>
      <c r="Z1002" s="16" t="n">
        <v>2000</v>
      </c>
      <c r="AA1002" s="16" t="n">
        <v>2000</v>
      </c>
      <c r="AB1002" s="16"/>
      <c r="AC1002" s="16" t="n">
        <v>2000</v>
      </c>
      <c r="AD1002" s="16"/>
      <c r="AE1002" s="16" t="n">
        <v>2000</v>
      </c>
      <c r="AF1002" s="16" t="n">
        <v>2000</v>
      </c>
      <c r="AG1002" s="16"/>
      <c r="AH1002" s="16" t="n">
        <v>2000</v>
      </c>
      <c r="AI1002" s="16" t="n">
        <v>2000</v>
      </c>
      <c r="AJ1002" s="9" t="n">
        <f aca="false">X1002*$V1002</f>
        <v>1460</v>
      </c>
      <c r="AK1002" s="9" t="n">
        <f aca="false">Y1002*$V1002</f>
        <v>1460</v>
      </c>
      <c r="AL1002" s="9" t="n">
        <f aca="false">Z1002*$V1002</f>
        <v>1460</v>
      </c>
      <c r="AM1002" s="9" t="n">
        <f aca="false">AA1002*$V1002</f>
        <v>1460</v>
      </c>
      <c r="AN1002" s="9" t="n">
        <f aca="false">AB1002*$V1002</f>
        <v>0</v>
      </c>
      <c r="AO1002" s="9" t="n">
        <f aca="false">AC1002*$V1002</f>
        <v>1460</v>
      </c>
      <c r="AP1002" s="9" t="n">
        <f aca="false">AD1002*$V1002</f>
        <v>0</v>
      </c>
      <c r="AQ1002" s="9" t="n">
        <f aca="false">AE1002*$V1002</f>
        <v>1460</v>
      </c>
      <c r="AR1002" s="9" t="n">
        <f aca="false">AF1002*$V1002</f>
        <v>1460</v>
      </c>
      <c r="AS1002" s="9" t="n">
        <f aca="false">AG1002*$V1002</f>
        <v>0</v>
      </c>
      <c r="AT1002" s="9" t="n">
        <f aca="false">AH1002*$V1002</f>
        <v>1460</v>
      </c>
      <c r="AU1002" s="9" t="n">
        <f aca="false">AI1002*$V1002</f>
        <v>1460</v>
      </c>
      <c r="AV1002" s="9" t="n">
        <f aca="false">SUM(X1002:AI1002)/1000</f>
        <v>18</v>
      </c>
      <c r="AW1002" s="9" t="n">
        <f aca="false">SUM(AJ1002:AU1002)</f>
        <v>13140</v>
      </c>
      <c r="AX1002" s="9" t="n">
        <f aca="false">IF(D1002="INR",AW1002/88.24,AW1002)/1000000</f>
        <v>0.01314</v>
      </c>
    </row>
    <row r="1003" s="2" customFormat="true" ht="14.25" hidden="false" customHeight="false" outlineLevel="0" collapsed="false">
      <c r="A1003" s="12" t="s">
        <v>1951</v>
      </c>
      <c r="B1003" s="16"/>
      <c r="C1003" s="15"/>
      <c r="D1003" s="16" t="s">
        <v>102</v>
      </c>
      <c r="E1003" s="16" t="s">
        <v>51</v>
      </c>
      <c r="F1003" s="16" t="s">
        <v>404</v>
      </c>
      <c r="G1003" s="16" t="s">
        <v>1952</v>
      </c>
      <c r="H1003" s="16" t="s">
        <v>1953</v>
      </c>
      <c r="I1003" s="16" t="s">
        <v>105</v>
      </c>
      <c r="J1003" s="16" t="s">
        <v>270</v>
      </c>
      <c r="K1003" s="16"/>
      <c r="L1003" s="16" t="s">
        <v>105</v>
      </c>
      <c r="M1003" s="16" t="s">
        <v>270</v>
      </c>
      <c r="N1003" s="16" t="s">
        <v>271</v>
      </c>
      <c r="O1003" s="16" t="s">
        <v>94</v>
      </c>
      <c r="P1003" s="16" t="s">
        <v>85</v>
      </c>
      <c r="Q1003" s="16" t="s">
        <v>85</v>
      </c>
      <c r="R1003" s="16" t="s">
        <v>86</v>
      </c>
      <c r="S1003" s="16" t="s">
        <v>87</v>
      </c>
      <c r="T1003" s="16" t="s">
        <v>1954</v>
      </c>
      <c r="U1003" s="16" t="s">
        <v>73</v>
      </c>
      <c r="V1003" s="16" t="n">
        <v>0.57</v>
      </c>
      <c r="W1003" s="16" t="n">
        <v>0.52</v>
      </c>
      <c r="X1003" s="16"/>
      <c r="Y1003" s="16" t="n">
        <v>20000</v>
      </c>
      <c r="Z1003" s="16"/>
      <c r="AA1003" s="16"/>
      <c r="AB1003" s="16" t="n">
        <v>30000</v>
      </c>
      <c r="AC1003" s="16"/>
      <c r="AD1003" s="16"/>
      <c r="AE1003" s="16" t="n">
        <v>20000</v>
      </c>
      <c r="AF1003" s="16"/>
      <c r="AG1003" s="16"/>
      <c r="AH1003" s="16"/>
      <c r="AI1003" s="16"/>
      <c r="AJ1003" s="9" t="n">
        <f aca="false">X1003*$V1003</f>
        <v>0</v>
      </c>
      <c r="AK1003" s="9" t="n">
        <f aca="false">Y1003*$V1003</f>
        <v>11400</v>
      </c>
      <c r="AL1003" s="9" t="n">
        <f aca="false">Z1003*$V1003</f>
        <v>0</v>
      </c>
      <c r="AM1003" s="9" t="n">
        <f aca="false">AA1003*$V1003</f>
        <v>0</v>
      </c>
      <c r="AN1003" s="9" t="n">
        <f aca="false">AB1003*$V1003</f>
        <v>17100</v>
      </c>
      <c r="AO1003" s="9" t="n">
        <f aca="false">AC1003*$V1003</f>
        <v>0</v>
      </c>
      <c r="AP1003" s="9" t="n">
        <f aca="false">AD1003*$V1003</f>
        <v>0</v>
      </c>
      <c r="AQ1003" s="9" t="n">
        <f aca="false">AE1003*$V1003</f>
        <v>11400</v>
      </c>
      <c r="AR1003" s="9" t="n">
        <f aca="false">AF1003*$V1003</f>
        <v>0</v>
      </c>
      <c r="AS1003" s="9" t="n">
        <f aca="false">AG1003*$V1003</f>
        <v>0</v>
      </c>
      <c r="AT1003" s="9" t="n">
        <f aca="false">AH1003*$V1003</f>
        <v>0</v>
      </c>
      <c r="AU1003" s="9" t="n">
        <f aca="false">AI1003*$V1003</f>
        <v>0</v>
      </c>
      <c r="AV1003" s="9" t="n">
        <f aca="false">SUM(X1003:AI1003)/1000</f>
        <v>70</v>
      </c>
      <c r="AW1003" s="9" t="n">
        <f aca="false">SUM(AJ1003:AU1003)</f>
        <v>39900</v>
      </c>
      <c r="AX1003" s="9" t="n">
        <f aca="false">IF(D1003="INR",AW1003/88.24,AW1003)/1000000</f>
        <v>0.0399</v>
      </c>
    </row>
    <row r="1004" s="2" customFormat="true" ht="14.25" hidden="false" customHeight="false" outlineLevel="0" collapsed="false">
      <c r="A1004" s="12" t="s">
        <v>1955</v>
      </c>
      <c r="B1004" s="16"/>
      <c r="C1004" s="15"/>
      <c r="D1004" s="16" t="s">
        <v>102</v>
      </c>
      <c r="E1004" s="16" t="s">
        <v>51</v>
      </c>
      <c r="F1004" s="16" t="s">
        <v>404</v>
      </c>
      <c r="G1004" s="16" t="s">
        <v>1952</v>
      </c>
      <c r="H1004" s="16" t="s">
        <v>1953</v>
      </c>
      <c r="I1004" s="16" t="s">
        <v>105</v>
      </c>
      <c r="J1004" s="16" t="s">
        <v>270</v>
      </c>
      <c r="K1004" s="16"/>
      <c r="L1004" s="16" t="s">
        <v>105</v>
      </c>
      <c r="M1004" s="16" t="s">
        <v>270</v>
      </c>
      <c r="N1004" s="16" t="s">
        <v>271</v>
      </c>
      <c r="O1004" s="16" t="s">
        <v>94</v>
      </c>
      <c r="P1004" s="16" t="s">
        <v>85</v>
      </c>
      <c r="Q1004" s="16" t="s">
        <v>85</v>
      </c>
      <c r="R1004" s="16" t="s">
        <v>86</v>
      </c>
      <c r="S1004" s="16" t="s">
        <v>87</v>
      </c>
      <c r="T1004" s="16" t="s">
        <v>1956</v>
      </c>
      <c r="U1004" s="16" t="s">
        <v>73</v>
      </c>
      <c r="V1004" s="16" t="n">
        <v>0.034</v>
      </c>
      <c r="W1004" s="16" t="n">
        <v>0.0308</v>
      </c>
      <c r="X1004" s="16"/>
      <c r="Y1004" s="16"/>
      <c r="Z1004" s="16" t="n">
        <v>30000</v>
      </c>
      <c r="AA1004" s="16"/>
      <c r="AB1004" s="16"/>
      <c r="AC1004" s="16"/>
      <c r="AD1004" s="16" t="n">
        <v>20000</v>
      </c>
      <c r="AE1004" s="16"/>
      <c r="AF1004" s="16"/>
      <c r="AG1004" s="16"/>
      <c r="AH1004" s="16"/>
      <c r="AI1004" s="16"/>
      <c r="AJ1004" s="9" t="n">
        <f aca="false">X1004*$V1004</f>
        <v>0</v>
      </c>
      <c r="AK1004" s="9" t="n">
        <f aca="false">Y1004*$V1004</f>
        <v>0</v>
      </c>
      <c r="AL1004" s="9" t="n">
        <f aca="false">Z1004*$V1004</f>
        <v>1020</v>
      </c>
      <c r="AM1004" s="9" t="n">
        <f aca="false">AA1004*$V1004</f>
        <v>0</v>
      </c>
      <c r="AN1004" s="9" t="n">
        <f aca="false">AB1004*$V1004</f>
        <v>0</v>
      </c>
      <c r="AO1004" s="9" t="n">
        <f aca="false">AC1004*$V1004</f>
        <v>0</v>
      </c>
      <c r="AP1004" s="9" t="n">
        <f aca="false">AD1004*$V1004</f>
        <v>680</v>
      </c>
      <c r="AQ1004" s="9" t="n">
        <f aca="false">AE1004*$V1004</f>
        <v>0</v>
      </c>
      <c r="AR1004" s="9" t="n">
        <f aca="false">AF1004*$V1004</f>
        <v>0</v>
      </c>
      <c r="AS1004" s="9" t="n">
        <f aca="false">AG1004*$V1004</f>
        <v>0</v>
      </c>
      <c r="AT1004" s="9" t="n">
        <f aca="false">AH1004*$V1004</f>
        <v>0</v>
      </c>
      <c r="AU1004" s="9" t="n">
        <f aca="false">AI1004*$V1004</f>
        <v>0</v>
      </c>
      <c r="AV1004" s="9" t="n">
        <f aca="false">SUM(X1004:AI1004)/1000</f>
        <v>50</v>
      </c>
      <c r="AW1004" s="9" t="n">
        <f aca="false">SUM(AJ1004:AU1004)</f>
        <v>1700</v>
      </c>
      <c r="AX1004" s="9" t="n">
        <f aca="false">IF(D1004="INR",AW1004/88.24,AW1004)/1000000</f>
        <v>0.0017</v>
      </c>
      <c r="AY1004" s="27"/>
    </row>
    <row r="1005" s="2" customFormat="true" ht="16.4" hidden="false" customHeight="false" outlineLevel="0" collapsed="false">
      <c r="A1005" s="28" t="s">
        <v>1957</v>
      </c>
      <c r="B1005" s="16"/>
      <c r="C1005" s="16"/>
      <c r="D1005" s="16" t="s">
        <v>50</v>
      </c>
      <c r="E1005" s="16" t="s">
        <v>51</v>
      </c>
      <c r="F1005" s="16" t="s">
        <v>52</v>
      </c>
      <c r="G1005" s="16" t="s">
        <v>781</v>
      </c>
      <c r="H1005" s="16" t="s">
        <v>495</v>
      </c>
      <c r="I1005" s="16" t="s">
        <v>77</v>
      </c>
      <c r="J1005" s="16" t="s">
        <v>496</v>
      </c>
      <c r="K1005" s="16" t="s">
        <v>495</v>
      </c>
      <c r="L1005" s="16" t="s">
        <v>77</v>
      </c>
      <c r="M1005" s="16" t="s">
        <v>496</v>
      </c>
      <c r="N1005" s="16" t="s">
        <v>57</v>
      </c>
      <c r="O1005" s="16" t="s">
        <v>94</v>
      </c>
      <c r="P1005" s="16" t="s">
        <v>308</v>
      </c>
      <c r="Q1005" s="16" t="s">
        <v>308</v>
      </c>
      <c r="R1005" s="16" t="s">
        <v>309</v>
      </c>
      <c r="S1005" s="16" t="s">
        <v>264</v>
      </c>
      <c r="T1005" s="16" t="s">
        <v>1958</v>
      </c>
      <c r="U1005" s="16" t="s">
        <v>73</v>
      </c>
      <c r="V1005" s="16" t="n">
        <v>2.77</v>
      </c>
      <c r="W1005" s="26" t="n">
        <v>2.43</v>
      </c>
      <c r="X1005" s="16"/>
      <c r="Y1005" s="16"/>
      <c r="Z1005" s="16" t="n">
        <v>1000</v>
      </c>
      <c r="AA1005" s="16"/>
      <c r="AB1005" s="16"/>
      <c r="AC1005" s="16"/>
      <c r="AD1005" s="16" t="n">
        <v>1000</v>
      </c>
      <c r="AE1005" s="16"/>
      <c r="AF1005" s="16" t="n">
        <v>1000</v>
      </c>
      <c r="AG1005" s="16"/>
      <c r="AH1005" s="16" t="n">
        <v>1000</v>
      </c>
      <c r="AI1005" s="16" t="n">
        <v>1000</v>
      </c>
      <c r="AJ1005" s="9" t="n">
        <f aca="false">X1005*$V1005</f>
        <v>0</v>
      </c>
      <c r="AK1005" s="9" t="n">
        <f aca="false">Y1005*$V1005</f>
        <v>0</v>
      </c>
      <c r="AL1005" s="9" t="n">
        <f aca="false">Z1005*$V1005</f>
        <v>2770</v>
      </c>
      <c r="AM1005" s="9" t="n">
        <f aca="false">AA1005*$V1005</f>
        <v>0</v>
      </c>
      <c r="AN1005" s="9" t="n">
        <f aca="false">AB1005*$V1005</f>
        <v>0</v>
      </c>
      <c r="AO1005" s="9" t="n">
        <f aca="false">AC1005*$V1005</f>
        <v>0</v>
      </c>
      <c r="AP1005" s="9" t="n">
        <f aca="false">AD1005*$V1005</f>
        <v>2770</v>
      </c>
      <c r="AQ1005" s="9" t="n">
        <f aca="false">AE1005*$V1005</f>
        <v>0</v>
      </c>
      <c r="AR1005" s="9" t="n">
        <f aca="false">AF1005*$V1005</f>
        <v>2770</v>
      </c>
      <c r="AS1005" s="9" t="n">
        <f aca="false">AG1005*$V1005</f>
        <v>0</v>
      </c>
      <c r="AT1005" s="9" t="n">
        <f aca="false">AH1005*$V1005</f>
        <v>2770</v>
      </c>
      <c r="AU1005" s="9" t="n">
        <f aca="false">AI1005*$V1005</f>
        <v>2770</v>
      </c>
      <c r="AV1005" s="9" t="n">
        <f aca="false">SUM(X1005:AI1005)/1000</f>
        <v>5</v>
      </c>
      <c r="AW1005" s="9" t="n">
        <f aca="false">SUM(AJ1005:AU1005)</f>
        <v>13850</v>
      </c>
      <c r="AX1005" s="9" t="n">
        <f aca="false">IF(D1005="INR",AW1005/88.24,AW1005)/1000000</f>
        <v>0.00015695829555757</v>
      </c>
    </row>
    <row r="1006" s="2" customFormat="true" ht="16.4" hidden="false" customHeight="false" outlineLevel="0" collapsed="false">
      <c r="A1006" s="35" t="s">
        <v>1959</v>
      </c>
      <c r="B1006" s="9"/>
      <c r="C1006" s="15" t="n">
        <v>5</v>
      </c>
      <c r="D1006" s="9" t="s">
        <v>50</v>
      </c>
      <c r="E1006" s="9" t="s">
        <v>51</v>
      </c>
      <c r="F1006" s="9" t="s">
        <v>52</v>
      </c>
      <c r="G1006" s="9" t="s">
        <v>1960</v>
      </c>
      <c r="H1006" s="9" t="s">
        <v>1961</v>
      </c>
      <c r="I1006" s="9" t="s">
        <v>105</v>
      </c>
      <c r="J1006" s="9" t="s">
        <v>478</v>
      </c>
      <c r="K1006" s="9"/>
      <c r="L1006" s="9" t="s">
        <v>105</v>
      </c>
      <c r="M1006" s="9" t="s">
        <v>478</v>
      </c>
      <c r="N1006" s="16" t="s">
        <v>290</v>
      </c>
      <c r="O1006" s="9" t="s">
        <v>107</v>
      </c>
      <c r="P1006" s="9" t="s">
        <v>308</v>
      </c>
      <c r="Q1006" s="9" t="s">
        <v>308</v>
      </c>
      <c r="R1006" s="9" t="s">
        <v>309</v>
      </c>
      <c r="S1006" s="9" t="s">
        <v>264</v>
      </c>
      <c r="T1006" s="9" t="s">
        <v>1962</v>
      </c>
      <c r="U1006" s="9" t="s">
        <v>73</v>
      </c>
      <c r="V1006" s="9" t="n">
        <v>9.1</v>
      </c>
      <c r="W1006" s="9" t="n">
        <v>7.67</v>
      </c>
      <c r="X1006" s="22"/>
      <c r="Y1006" s="9"/>
      <c r="Z1006" s="9" t="n">
        <v>300</v>
      </c>
      <c r="AA1006" s="9"/>
      <c r="AB1006" s="9"/>
      <c r="AC1006" s="9"/>
      <c r="AD1006" s="9" t="n">
        <v>3000</v>
      </c>
      <c r="AE1006" s="9"/>
      <c r="AF1006" s="9"/>
      <c r="AG1006" s="9"/>
      <c r="AH1006" s="9"/>
      <c r="AI1006" s="9"/>
      <c r="AJ1006" s="9" t="n">
        <f aca="false">X1006*$V1006</f>
        <v>0</v>
      </c>
      <c r="AK1006" s="9" t="n">
        <f aca="false">Y1006*$V1006</f>
        <v>0</v>
      </c>
      <c r="AL1006" s="9" t="n">
        <f aca="false">Z1006*$V1006</f>
        <v>2730</v>
      </c>
      <c r="AM1006" s="9" t="n">
        <f aca="false">AA1006*$V1006</f>
        <v>0</v>
      </c>
      <c r="AN1006" s="9" t="n">
        <f aca="false">AB1006*$V1006</f>
        <v>0</v>
      </c>
      <c r="AO1006" s="9" t="n">
        <f aca="false">AC1006*$V1006</f>
        <v>0</v>
      </c>
      <c r="AP1006" s="9" t="n">
        <f aca="false">AD1006*$V1006</f>
        <v>27300</v>
      </c>
      <c r="AQ1006" s="9" t="n">
        <f aca="false">AE1006*$V1006</f>
        <v>0</v>
      </c>
      <c r="AR1006" s="9" t="n">
        <f aca="false">AF1006*$V1006</f>
        <v>0</v>
      </c>
      <c r="AS1006" s="9" t="n">
        <f aca="false">AG1006*$V1006</f>
        <v>0</v>
      </c>
      <c r="AT1006" s="9" t="n">
        <f aca="false">AH1006*$V1006</f>
        <v>0</v>
      </c>
      <c r="AU1006" s="9" t="n">
        <f aca="false">AI1006*$V1006</f>
        <v>0</v>
      </c>
      <c r="AV1006" s="9" t="n">
        <f aca="false">SUM(X1006:AI1006)/1000</f>
        <v>3.3</v>
      </c>
      <c r="AW1006" s="9" t="n">
        <f aca="false">SUM(AJ1006:AU1006)</f>
        <v>30030</v>
      </c>
      <c r="AX1006" s="9" t="n">
        <f aca="false">IF(D1006="INR",AW1006/88.24,AW1006)/1000000</f>
        <v>0.00034032184950136</v>
      </c>
    </row>
    <row r="1007" s="2" customFormat="true" ht="14.25" hidden="false" customHeight="false" outlineLevel="0" collapsed="false">
      <c r="A1007" s="28"/>
      <c r="B1007" s="16" t="n">
        <v>1</v>
      </c>
      <c r="C1007" s="16"/>
      <c r="D1007" s="16" t="s">
        <v>50</v>
      </c>
      <c r="E1007" s="16" t="s">
        <v>51</v>
      </c>
      <c r="F1007" s="16" t="s">
        <v>52</v>
      </c>
      <c r="G1007" s="16" t="s">
        <v>781</v>
      </c>
      <c r="H1007" s="16" t="s">
        <v>495</v>
      </c>
      <c r="I1007" s="16" t="s">
        <v>77</v>
      </c>
      <c r="J1007" s="16" t="s">
        <v>496</v>
      </c>
      <c r="K1007" s="16" t="s">
        <v>495</v>
      </c>
      <c r="L1007" s="16" t="s">
        <v>77</v>
      </c>
      <c r="M1007" s="16" t="s">
        <v>496</v>
      </c>
      <c r="N1007" s="16" t="s">
        <v>57</v>
      </c>
      <c r="O1007" s="16" t="s">
        <v>94</v>
      </c>
      <c r="P1007" s="9" t="s">
        <v>308</v>
      </c>
      <c r="Q1007" s="16" t="s">
        <v>308</v>
      </c>
      <c r="R1007" s="9"/>
      <c r="S1007" s="9"/>
      <c r="T1007" s="9" t="s">
        <v>1963</v>
      </c>
      <c r="U1007" s="9"/>
      <c r="V1007" s="9" t="n">
        <v>2.71</v>
      </c>
      <c r="W1007" s="9"/>
      <c r="X1007" s="16"/>
      <c r="Y1007" s="16"/>
      <c r="Z1007" s="16" t="n">
        <v>1000</v>
      </c>
      <c r="AA1007" s="16"/>
      <c r="AB1007" s="16"/>
      <c r="AC1007" s="16"/>
      <c r="AD1007" s="16" t="n">
        <v>1000</v>
      </c>
      <c r="AE1007" s="16"/>
      <c r="AF1007" s="16" t="n">
        <v>1000</v>
      </c>
      <c r="AG1007" s="16"/>
      <c r="AH1007" s="16" t="n">
        <v>1000</v>
      </c>
      <c r="AI1007" s="16" t="n">
        <v>1000</v>
      </c>
      <c r="AJ1007" s="9" t="n">
        <f aca="false">X1007*$V1007</f>
        <v>0</v>
      </c>
      <c r="AK1007" s="9" t="n">
        <f aca="false">Y1007*$V1007</f>
        <v>0</v>
      </c>
      <c r="AL1007" s="9" t="n">
        <f aca="false">Z1007*$V1007</f>
        <v>2710</v>
      </c>
      <c r="AM1007" s="9" t="n">
        <f aca="false">AA1007*$V1007</f>
        <v>0</v>
      </c>
      <c r="AN1007" s="9" t="n">
        <f aca="false">AB1007*$V1007</f>
        <v>0</v>
      </c>
      <c r="AO1007" s="9" t="n">
        <f aca="false">AC1007*$V1007</f>
        <v>0</v>
      </c>
      <c r="AP1007" s="9" t="n">
        <f aca="false">AD1007*$V1007</f>
        <v>2710</v>
      </c>
      <c r="AQ1007" s="9" t="n">
        <f aca="false">AE1007*$V1007</f>
        <v>0</v>
      </c>
      <c r="AR1007" s="9" t="n">
        <f aca="false">AF1007*$V1007</f>
        <v>2710</v>
      </c>
      <c r="AS1007" s="9" t="n">
        <f aca="false">AG1007*$V1007</f>
        <v>0</v>
      </c>
      <c r="AT1007" s="9" t="n">
        <f aca="false">AH1007*$V1007</f>
        <v>2710</v>
      </c>
      <c r="AU1007" s="9" t="n">
        <f aca="false">AI1007*$V1007</f>
        <v>2710</v>
      </c>
      <c r="AV1007" s="9" t="n">
        <f aca="false">SUM(X1007:AI1007)/1000</f>
        <v>5</v>
      </c>
      <c r="AW1007" s="9" t="n">
        <f aca="false">SUM(AJ1007:AU1007)</f>
        <v>13550</v>
      </c>
      <c r="AX1007" s="9" t="n">
        <f aca="false">IF(D1007="INR",AW1007/88.24,AW1007)/1000000</f>
        <v>0.000153558476881233</v>
      </c>
    </row>
    <row r="1008" s="2" customFormat="true" ht="16.4" hidden="false" customHeight="false" outlineLevel="0" collapsed="false">
      <c r="A1008" s="28" t="s">
        <v>1964</v>
      </c>
      <c r="B1008" s="16" t="n">
        <v>5</v>
      </c>
      <c r="C1008" s="16" t="n">
        <v>5</v>
      </c>
      <c r="D1008" s="16" t="s">
        <v>50</v>
      </c>
      <c r="E1008" s="16" t="s">
        <v>51</v>
      </c>
      <c r="F1008" s="16" t="s">
        <v>267</v>
      </c>
      <c r="G1008" s="16" t="s">
        <v>1825</v>
      </c>
      <c r="H1008" s="16" t="s">
        <v>1826</v>
      </c>
      <c r="I1008" s="16" t="s">
        <v>105</v>
      </c>
      <c r="J1008" s="16" t="s">
        <v>1827</v>
      </c>
      <c r="K1008" s="16"/>
      <c r="L1008" s="16" t="s">
        <v>105</v>
      </c>
      <c r="M1008" s="16" t="s">
        <v>1827</v>
      </c>
      <c r="N1008" s="16" t="s">
        <v>271</v>
      </c>
      <c r="O1008" s="16" t="s">
        <v>94</v>
      </c>
      <c r="P1008" s="16" t="s">
        <v>308</v>
      </c>
      <c r="Q1008" s="16" t="s">
        <v>308</v>
      </c>
      <c r="R1008" s="16" t="s">
        <v>309</v>
      </c>
      <c r="S1008" s="16" t="s">
        <v>264</v>
      </c>
      <c r="T1008" s="16" t="s">
        <v>1965</v>
      </c>
      <c r="U1008" s="16" t="s">
        <v>73</v>
      </c>
      <c r="V1008" s="26" t="n">
        <v>1.8</v>
      </c>
      <c r="W1008" s="16" t="n">
        <v>0.53</v>
      </c>
      <c r="X1008" s="16" t="n">
        <v>0</v>
      </c>
      <c r="Y1008" s="16"/>
      <c r="Z1008" s="16" t="n">
        <v>1500</v>
      </c>
      <c r="AA1008" s="16" t="n">
        <v>0</v>
      </c>
      <c r="AB1008" s="16" t="n">
        <v>1500</v>
      </c>
      <c r="AC1008" s="16"/>
      <c r="AD1008" s="16" t="n">
        <v>0</v>
      </c>
      <c r="AE1008" s="16" t="n">
        <v>1500</v>
      </c>
      <c r="AF1008" s="16" t="n">
        <v>0</v>
      </c>
      <c r="AG1008" s="16" t="n">
        <v>0</v>
      </c>
      <c r="AH1008" s="16" t="n">
        <v>1500</v>
      </c>
      <c r="AI1008" s="16" t="n">
        <v>0</v>
      </c>
      <c r="AJ1008" s="9" t="n">
        <f aca="false">X1008*$V1008</f>
        <v>0</v>
      </c>
      <c r="AK1008" s="9" t="n">
        <f aca="false">Y1008*$V1008</f>
        <v>0</v>
      </c>
      <c r="AL1008" s="9" t="n">
        <f aca="false">Z1008*$V1008</f>
        <v>2700</v>
      </c>
      <c r="AM1008" s="9" t="n">
        <f aca="false">AA1008*$V1008</f>
        <v>0</v>
      </c>
      <c r="AN1008" s="9" t="n">
        <f aca="false">AB1008*$V1008</f>
        <v>2700</v>
      </c>
      <c r="AO1008" s="9" t="n">
        <f aca="false">AC1008*$V1008</f>
        <v>0</v>
      </c>
      <c r="AP1008" s="9" t="n">
        <f aca="false">AD1008*$V1008</f>
        <v>0</v>
      </c>
      <c r="AQ1008" s="9" t="n">
        <f aca="false">AE1008*$V1008</f>
        <v>2700</v>
      </c>
      <c r="AR1008" s="9" t="n">
        <f aca="false">AF1008*$V1008</f>
        <v>0</v>
      </c>
      <c r="AS1008" s="9" t="n">
        <f aca="false">AG1008*$V1008</f>
        <v>0</v>
      </c>
      <c r="AT1008" s="9" t="n">
        <f aca="false">AH1008*$V1008</f>
        <v>2700</v>
      </c>
      <c r="AU1008" s="9" t="n">
        <f aca="false">AI1008*$V1008</f>
        <v>0</v>
      </c>
      <c r="AV1008" s="9" t="n">
        <f aca="false">SUM(X1008:AI1008)/1000</f>
        <v>6</v>
      </c>
      <c r="AW1008" s="9" t="n">
        <f aca="false">SUM(AJ1008:AU1008)</f>
        <v>10800</v>
      </c>
      <c r="AX1008" s="9" t="n">
        <f aca="false">IF(D1008="INR",AW1008/88.24,AW1008)/1000000</f>
        <v>0.000122393472348141</v>
      </c>
    </row>
    <row r="1009" s="2" customFormat="true" ht="14.25" hidden="false" customHeight="false" outlineLevel="0" collapsed="false">
      <c r="A1009" s="28"/>
      <c r="B1009" s="16" t="n">
        <v>1</v>
      </c>
      <c r="C1009" s="16"/>
      <c r="D1009" s="16" t="s">
        <v>50</v>
      </c>
      <c r="E1009" s="16" t="s">
        <v>51</v>
      </c>
      <c r="F1009" s="16" t="s">
        <v>52</v>
      </c>
      <c r="G1009" s="16" t="s">
        <v>781</v>
      </c>
      <c r="H1009" s="16" t="s">
        <v>495</v>
      </c>
      <c r="I1009" s="16" t="s">
        <v>77</v>
      </c>
      <c r="J1009" s="16" t="s">
        <v>496</v>
      </c>
      <c r="K1009" s="16" t="s">
        <v>495</v>
      </c>
      <c r="L1009" s="16" t="s">
        <v>77</v>
      </c>
      <c r="M1009" s="16" t="s">
        <v>496</v>
      </c>
      <c r="N1009" s="16" t="s">
        <v>57</v>
      </c>
      <c r="O1009" s="16" t="s">
        <v>94</v>
      </c>
      <c r="P1009" s="16" t="s">
        <v>1085</v>
      </c>
      <c r="Q1009" s="16" t="s">
        <v>1085</v>
      </c>
      <c r="R1009" s="16"/>
      <c r="S1009" s="16"/>
      <c r="T1009" s="16" t="s">
        <v>1966</v>
      </c>
      <c r="U1009" s="16"/>
      <c r="V1009" s="16" t="n">
        <v>2.57</v>
      </c>
      <c r="W1009" s="16"/>
      <c r="X1009" s="16"/>
      <c r="Y1009" s="16"/>
      <c r="Z1009" s="16" t="n">
        <v>1000</v>
      </c>
      <c r="AA1009" s="16"/>
      <c r="AB1009" s="16"/>
      <c r="AC1009" s="16"/>
      <c r="AD1009" s="16" t="n">
        <v>1000</v>
      </c>
      <c r="AE1009" s="16"/>
      <c r="AF1009" s="16" t="n">
        <v>1000</v>
      </c>
      <c r="AG1009" s="16"/>
      <c r="AH1009" s="16" t="n">
        <v>1000</v>
      </c>
      <c r="AI1009" s="16" t="n">
        <v>1000</v>
      </c>
      <c r="AJ1009" s="9" t="n">
        <f aca="false">X1009*$V1009</f>
        <v>0</v>
      </c>
      <c r="AK1009" s="9" t="n">
        <f aca="false">Y1009*$V1009</f>
        <v>0</v>
      </c>
      <c r="AL1009" s="9" t="n">
        <f aca="false">Z1009*$V1009</f>
        <v>2570</v>
      </c>
      <c r="AM1009" s="9" t="n">
        <f aca="false">AA1009*$V1009</f>
        <v>0</v>
      </c>
      <c r="AN1009" s="9" t="n">
        <f aca="false">AB1009*$V1009</f>
        <v>0</v>
      </c>
      <c r="AO1009" s="9" t="n">
        <f aca="false">AC1009*$V1009</f>
        <v>0</v>
      </c>
      <c r="AP1009" s="9" t="n">
        <f aca="false">AD1009*$V1009</f>
        <v>2570</v>
      </c>
      <c r="AQ1009" s="9" t="n">
        <f aca="false">AE1009*$V1009</f>
        <v>0</v>
      </c>
      <c r="AR1009" s="9" t="n">
        <f aca="false">AF1009*$V1009</f>
        <v>2570</v>
      </c>
      <c r="AS1009" s="9" t="n">
        <f aca="false">AG1009*$V1009</f>
        <v>0</v>
      </c>
      <c r="AT1009" s="9" t="n">
        <f aca="false">AH1009*$V1009</f>
        <v>2570</v>
      </c>
      <c r="AU1009" s="9" t="n">
        <f aca="false">AI1009*$V1009</f>
        <v>2570</v>
      </c>
      <c r="AV1009" s="9" t="n">
        <f aca="false">SUM(X1009:AI1009)/1000</f>
        <v>5</v>
      </c>
      <c r="AW1009" s="9" t="n">
        <f aca="false">SUM(AJ1009:AU1009)</f>
        <v>12850</v>
      </c>
      <c r="AX1009" s="9" t="n">
        <f aca="false">IF(D1009="INR",AW1009/88.24,AW1009)/1000000</f>
        <v>0.000145625566636446</v>
      </c>
    </row>
    <row r="1010" s="2" customFormat="true" ht="14.25" hidden="false" customHeight="true" outlineLevel="0" collapsed="false">
      <c r="A1010" s="28"/>
      <c r="B1010" s="16" t="n">
        <v>1</v>
      </c>
      <c r="C1010" s="16"/>
      <c r="D1010" s="16" t="s">
        <v>50</v>
      </c>
      <c r="E1010" s="16"/>
      <c r="F1010" s="16" t="s">
        <v>52</v>
      </c>
      <c r="G1010" s="16" t="s">
        <v>258</v>
      </c>
      <c r="H1010" s="16" t="s">
        <v>259</v>
      </c>
      <c r="I1010" s="16"/>
      <c r="J1010" s="16"/>
      <c r="K1010" s="16"/>
      <c r="L1010" s="16"/>
      <c r="M1010" s="16"/>
      <c r="N1010" s="16" t="s">
        <v>67</v>
      </c>
      <c r="O1010" s="16" t="s">
        <v>107</v>
      </c>
      <c r="P1010" s="16"/>
      <c r="Q1010" s="16" t="s">
        <v>1935</v>
      </c>
      <c r="R1010" s="16"/>
      <c r="S1010" s="16"/>
      <c r="T1010" s="16" t="s">
        <v>1967</v>
      </c>
      <c r="U1010" s="16" t="s">
        <v>63</v>
      </c>
      <c r="V1010" s="16" t="n">
        <v>0.84</v>
      </c>
      <c r="W1010" s="16"/>
      <c r="X1010" s="16" t="n">
        <v>3000</v>
      </c>
      <c r="Y1010" s="16" t="n">
        <v>3000</v>
      </c>
      <c r="Z1010" s="16" t="n">
        <v>3000</v>
      </c>
      <c r="AA1010" s="16" t="n">
        <v>3000</v>
      </c>
      <c r="AB1010" s="16" t="n">
        <v>3000</v>
      </c>
      <c r="AC1010" s="16" t="n">
        <v>3000</v>
      </c>
      <c r="AD1010" s="16" t="n">
        <v>3000</v>
      </c>
      <c r="AE1010" s="16" t="n">
        <v>3000</v>
      </c>
      <c r="AF1010" s="16" t="n">
        <v>3000</v>
      </c>
      <c r="AG1010" s="16" t="n">
        <v>3000</v>
      </c>
      <c r="AH1010" s="16" t="n">
        <v>3000</v>
      </c>
      <c r="AI1010" s="16" t="n">
        <v>3000</v>
      </c>
      <c r="AJ1010" s="9" t="n">
        <f aca="false">X1010*$V1010</f>
        <v>2520</v>
      </c>
      <c r="AK1010" s="9" t="n">
        <f aca="false">Y1010*$V1010</f>
        <v>2520</v>
      </c>
      <c r="AL1010" s="9" t="n">
        <f aca="false">Z1010*$V1010</f>
        <v>2520</v>
      </c>
      <c r="AM1010" s="9" t="n">
        <f aca="false">AA1010*$V1010</f>
        <v>2520</v>
      </c>
      <c r="AN1010" s="9" t="n">
        <f aca="false">AB1010*$V1010</f>
        <v>2520</v>
      </c>
      <c r="AO1010" s="9" t="n">
        <f aca="false">AC1010*$V1010</f>
        <v>2520</v>
      </c>
      <c r="AP1010" s="9" t="n">
        <f aca="false">AD1010*$V1010</f>
        <v>2520</v>
      </c>
      <c r="AQ1010" s="9" t="n">
        <f aca="false">AE1010*$V1010</f>
        <v>2520</v>
      </c>
      <c r="AR1010" s="9" t="n">
        <f aca="false">AF1010*$V1010</f>
        <v>2520</v>
      </c>
      <c r="AS1010" s="9" t="n">
        <f aca="false">AG1010*$V1010</f>
        <v>2520</v>
      </c>
      <c r="AT1010" s="9" t="n">
        <f aca="false">AH1010*$V1010</f>
        <v>2520</v>
      </c>
      <c r="AU1010" s="9" t="n">
        <f aca="false">AI1010*$V1010</f>
        <v>2520</v>
      </c>
      <c r="AV1010" s="9" t="n">
        <f aca="false">SUM(X1010:AI1010)/1000</f>
        <v>36</v>
      </c>
      <c r="AW1010" s="9" t="n">
        <f aca="false">SUM(AJ1010:AU1010)</f>
        <v>30240</v>
      </c>
      <c r="AX1010" s="9" t="n">
        <f aca="false">IF(D1010="INR",AW1010/88.24,AW1010)/1000000</f>
        <v>0.000342701722574796</v>
      </c>
    </row>
    <row r="1011" s="2" customFormat="true" ht="14.25" hidden="false" customHeight="false" outlineLevel="0" collapsed="false">
      <c r="A1011" s="28"/>
      <c r="B1011" s="16" t="n">
        <v>1</v>
      </c>
      <c r="C1011" s="16"/>
      <c r="D1011" s="16" t="s">
        <v>50</v>
      </c>
      <c r="E1011" s="16"/>
      <c r="F1011" s="16" t="s">
        <v>52</v>
      </c>
      <c r="G1011" s="16"/>
      <c r="H1011" s="16" t="s">
        <v>656</v>
      </c>
      <c r="I1011" s="16"/>
      <c r="J1011" s="16"/>
      <c r="K1011" s="16"/>
      <c r="L1011" s="16"/>
      <c r="M1011" s="16"/>
      <c r="N1011" s="16" t="s">
        <v>290</v>
      </c>
      <c r="O1011" s="16" t="s">
        <v>58</v>
      </c>
      <c r="P1011" s="16"/>
      <c r="Q1011" s="16" t="s">
        <v>85</v>
      </c>
      <c r="R1011" s="16" t="s">
        <v>1968</v>
      </c>
      <c r="S1011" s="16" t="n">
        <v>0.108</v>
      </c>
      <c r="T1011" s="26" t="s">
        <v>1968</v>
      </c>
      <c r="U1011" s="16"/>
      <c r="V1011" s="16" t="n">
        <v>0.108</v>
      </c>
      <c r="W1011" s="16"/>
      <c r="X1011" s="16"/>
      <c r="Y1011" s="16"/>
      <c r="Z1011" s="16" t="n">
        <v>20000</v>
      </c>
      <c r="AA1011" s="16"/>
      <c r="AB1011" s="16"/>
      <c r="AC1011" s="16" t="n">
        <v>20000</v>
      </c>
      <c r="AD1011" s="16"/>
      <c r="AE1011" s="16"/>
      <c r="AF1011" s="16" t="n">
        <v>20000</v>
      </c>
      <c r="AG1011" s="16"/>
      <c r="AH1011" s="16"/>
      <c r="AI1011" s="16" t="n">
        <v>20000</v>
      </c>
      <c r="AJ1011" s="9" t="n">
        <f aca="false">X1011*$V1011</f>
        <v>0</v>
      </c>
      <c r="AK1011" s="9" t="n">
        <f aca="false">Y1011*$V1011</f>
        <v>0</v>
      </c>
      <c r="AL1011" s="9" t="n">
        <f aca="false">Z1011*$V1011</f>
        <v>2160</v>
      </c>
      <c r="AM1011" s="9" t="n">
        <f aca="false">AA1011*$V1011</f>
        <v>0</v>
      </c>
      <c r="AN1011" s="9" t="n">
        <f aca="false">AB1011*$V1011</f>
        <v>0</v>
      </c>
      <c r="AO1011" s="9" t="n">
        <f aca="false">AC1011*$V1011</f>
        <v>2160</v>
      </c>
      <c r="AP1011" s="9" t="n">
        <f aca="false">AD1011*$V1011</f>
        <v>0</v>
      </c>
      <c r="AQ1011" s="9" t="n">
        <f aca="false">AE1011*$V1011</f>
        <v>0</v>
      </c>
      <c r="AR1011" s="9" t="n">
        <f aca="false">AF1011*$V1011</f>
        <v>2160</v>
      </c>
      <c r="AS1011" s="9" t="n">
        <f aca="false">AG1011*$V1011</f>
        <v>0</v>
      </c>
      <c r="AT1011" s="9" t="n">
        <f aca="false">AH1011*$V1011</f>
        <v>0</v>
      </c>
      <c r="AU1011" s="9" t="n">
        <f aca="false">AI1011*$V1011</f>
        <v>2160</v>
      </c>
      <c r="AV1011" s="9" t="n">
        <f aca="false">SUM(X1011:AI1011)/1000</f>
        <v>80</v>
      </c>
      <c r="AW1011" s="9" t="n">
        <f aca="false">SUM(AJ1011:AU1011)</f>
        <v>8640</v>
      </c>
      <c r="AX1011" s="9" t="n">
        <f aca="false">IF(D1011="INR",AW1011/88.24,AW1011)/1000000</f>
        <v>9.79147778785132E-005</v>
      </c>
    </row>
    <row r="1012" s="2" customFormat="true" ht="14.25" hidden="false" customHeight="false" outlineLevel="0" collapsed="false">
      <c r="A1012" s="28"/>
      <c r="B1012" s="16" t="n">
        <v>1</v>
      </c>
      <c r="C1012" s="16"/>
      <c r="D1012" s="16" t="s">
        <v>50</v>
      </c>
      <c r="E1012" s="16" t="s">
        <v>51</v>
      </c>
      <c r="F1012" s="16" t="s">
        <v>52</v>
      </c>
      <c r="G1012" s="16" t="s">
        <v>781</v>
      </c>
      <c r="H1012" s="16" t="s">
        <v>495</v>
      </c>
      <c r="I1012" s="16" t="s">
        <v>77</v>
      </c>
      <c r="J1012" s="16" t="s">
        <v>496</v>
      </c>
      <c r="K1012" s="16" t="s">
        <v>495</v>
      </c>
      <c r="L1012" s="16" t="s">
        <v>77</v>
      </c>
      <c r="M1012" s="16" t="s">
        <v>496</v>
      </c>
      <c r="N1012" s="16" t="s">
        <v>57</v>
      </c>
      <c r="O1012" s="16" t="s">
        <v>94</v>
      </c>
      <c r="P1012" s="16" t="s">
        <v>308</v>
      </c>
      <c r="Q1012" s="16" t="s">
        <v>308</v>
      </c>
      <c r="R1012" s="16"/>
      <c r="S1012" s="16"/>
      <c r="T1012" s="16" t="s">
        <v>1969</v>
      </c>
      <c r="U1012" s="16"/>
      <c r="V1012" s="26" t="n">
        <v>2.13</v>
      </c>
      <c r="W1012" s="16"/>
      <c r="X1012" s="16"/>
      <c r="Y1012" s="16"/>
      <c r="Z1012" s="16" t="n">
        <v>1000</v>
      </c>
      <c r="AA1012" s="16"/>
      <c r="AB1012" s="16"/>
      <c r="AC1012" s="16"/>
      <c r="AD1012" s="16" t="n">
        <v>1000</v>
      </c>
      <c r="AE1012" s="16"/>
      <c r="AF1012" s="16" t="n">
        <v>1000</v>
      </c>
      <c r="AG1012" s="16"/>
      <c r="AH1012" s="16" t="n">
        <v>1000</v>
      </c>
      <c r="AI1012" s="16" t="n">
        <v>1000</v>
      </c>
      <c r="AJ1012" s="9" t="n">
        <f aca="false">X1012*$V1012</f>
        <v>0</v>
      </c>
      <c r="AK1012" s="9" t="n">
        <f aca="false">Y1012*$V1012</f>
        <v>0</v>
      </c>
      <c r="AL1012" s="9" t="n">
        <f aca="false">Z1012*$V1012</f>
        <v>2130</v>
      </c>
      <c r="AM1012" s="9" t="n">
        <f aca="false">AA1012*$V1012</f>
        <v>0</v>
      </c>
      <c r="AN1012" s="9" t="n">
        <f aca="false">AB1012*$V1012</f>
        <v>0</v>
      </c>
      <c r="AO1012" s="9" t="n">
        <f aca="false">AC1012*$V1012</f>
        <v>0</v>
      </c>
      <c r="AP1012" s="9" t="n">
        <f aca="false">AD1012*$V1012</f>
        <v>2130</v>
      </c>
      <c r="AQ1012" s="9" t="n">
        <f aca="false">AE1012*$V1012</f>
        <v>0</v>
      </c>
      <c r="AR1012" s="9" t="n">
        <f aca="false">AF1012*$V1012</f>
        <v>2130</v>
      </c>
      <c r="AS1012" s="9" t="n">
        <f aca="false">AG1012*$V1012</f>
        <v>0</v>
      </c>
      <c r="AT1012" s="9" t="n">
        <f aca="false">AH1012*$V1012</f>
        <v>2130</v>
      </c>
      <c r="AU1012" s="9" t="n">
        <f aca="false">AI1012*$V1012</f>
        <v>2130</v>
      </c>
      <c r="AV1012" s="9" t="n">
        <f aca="false">SUM(X1012:AI1012)/1000</f>
        <v>5</v>
      </c>
      <c r="AW1012" s="9" t="n">
        <f aca="false">SUM(AJ1012:AU1012)</f>
        <v>10650</v>
      </c>
      <c r="AX1012" s="9" t="n">
        <f aca="false">IF(D1012="INR",AW1012/88.24,AW1012)/1000000</f>
        <v>0.000120693563009973</v>
      </c>
    </row>
    <row r="1013" s="2" customFormat="true" ht="14.25" hidden="false" customHeight="false" outlineLevel="0" collapsed="false">
      <c r="A1013" s="28"/>
      <c r="B1013" s="16" t="n">
        <v>5</v>
      </c>
      <c r="C1013" s="16"/>
      <c r="D1013" s="16" t="s">
        <v>50</v>
      </c>
      <c r="E1013" s="16" t="s">
        <v>51</v>
      </c>
      <c r="F1013" s="16" t="s">
        <v>52</v>
      </c>
      <c r="G1013" s="16" t="s">
        <v>781</v>
      </c>
      <c r="H1013" s="16" t="s">
        <v>495</v>
      </c>
      <c r="I1013" s="16" t="s">
        <v>77</v>
      </c>
      <c r="J1013" s="16" t="s">
        <v>496</v>
      </c>
      <c r="K1013" s="16" t="s">
        <v>495</v>
      </c>
      <c r="L1013" s="16" t="s">
        <v>77</v>
      </c>
      <c r="M1013" s="16" t="s">
        <v>496</v>
      </c>
      <c r="N1013" s="16" t="s">
        <v>57</v>
      </c>
      <c r="O1013" s="16" t="s">
        <v>94</v>
      </c>
      <c r="P1013" s="16" t="s">
        <v>1794</v>
      </c>
      <c r="Q1013" s="16" t="s">
        <v>1794</v>
      </c>
      <c r="R1013" s="16" t="s">
        <v>792</v>
      </c>
      <c r="S1013" s="16" t="s">
        <v>1970</v>
      </c>
      <c r="T1013" s="16" t="n">
        <v>4772300200</v>
      </c>
      <c r="U1013" s="16" t="s">
        <v>63</v>
      </c>
      <c r="V1013" s="16" t="n">
        <v>1.8</v>
      </c>
      <c r="W1013" s="26"/>
      <c r="X1013" s="16"/>
      <c r="Y1013" s="16"/>
      <c r="Z1013" s="16" t="n">
        <v>1000</v>
      </c>
      <c r="AA1013" s="16"/>
      <c r="AB1013" s="16"/>
      <c r="AC1013" s="16"/>
      <c r="AD1013" s="16" t="n">
        <v>1000</v>
      </c>
      <c r="AE1013" s="16"/>
      <c r="AF1013" s="16" t="n">
        <v>1000</v>
      </c>
      <c r="AG1013" s="16"/>
      <c r="AH1013" s="16" t="n">
        <v>1000</v>
      </c>
      <c r="AI1013" s="16" t="n">
        <v>1000</v>
      </c>
      <c r="AJ1013" s="9" t="n">
        <f aca="false">X1013*$V1013</f>
        <v>0</v>
      </c>
      <c r="AK1013" s="9" t="n">
        <f aca="false">Y1013*$V1013</f>
        <v>0</v>
      </c>
      <c r="AL1013" s="9" t="n">
        <f aca="false">Z1013*$V1013</f>
        <v>1800</v>
      </c>
      <c r="AM1013" s="9" t="n">
        <f aca="false">AA1013*$V1013</f>
        <v>0</v>
      </c>
      <c r="AN1013" s="9" t="n">
        <f aca="false">AB1013*$V1013</f>
        <v>0</v>
      </c>
      <c r="AO1013" s="9" t="n">
        <f aca="false">AC1013*$V1013</f>
        <v>0</v>
      </c>
      <c r="AP1013" s="9" t="n">
        <f aca="false">AD1013*$V1013</f>
        <v>1800</v>
      </c>
      <c r="AQ1013" s="9" t="n">
        <f aca="false">AE1013*$V1013</f>
        <v>0</v>
      </c>
      <c r="AR1013" s="9" t="n">
        <f aca="false">AF1013*$V1013</f>
        <v>1800</v>
      </c>
      <c r="AS1013" s="9" t="n">
        <f aca="false">AG1013*$V1013</f>
        <v>0</v>
      </c>
      <c r="AT1013" s="9" t="n">
        <f aca="false">AH1013*$V1013</f>
        <v>1800</v>
      </c>
      <c r="AU1013" s="9" t="n">
        <f aca="false">AI1013*$V1013</f>
        <v>1800</v>
      </c>
      <c r="AV1013" s="9" t="n">
        <f aca="false">SUM(X1013:AI1013)/1000</f>
        <v>5</v>
      </c>
      <c r="AW1013" s="9" t="n">
        <f aca="false">SUM(AJ1013:AU1013)</f>
        <v>9000</v>
      </c>
      <c r="AX1013" s="9" t="n">
        <f aca="false">IF(D1013="INR",AW1013/88.24,AW1013)/1000000</f>
        <v>0.000101994560290118</v>
      </c>
    </row>
    <row r="1014" s="2" customFormat="true" ht="16.4" hidden="false" customHeight="false" outlineLevel="0" collapsed="false">
      <c r="A1014" s="28" t="s">
        <v>1971</v>
      </c>
      <c r="B1014" s="16" t="n">
        <v>5</v>
      </c>
      <c r="C1014" s="16"/>
      <c r="D1014" s="16" t="s">
        <v>50</v>
      </c>
      <c r="E1014" s="16" t="s">
        <v>51</v>
      </c>
      <c r="F1014" s="16" t="s">
        <v>52</v>
      </c>
      <c r="G1014" s="16" t="s">
        <v>506</v>
      </c>
      <c r="H1014" s="16" t="s">
        <v>507</v>
      </c>
      <c r="I1014" s="16" t="s">
        <v>77</v>
      </c>
      <c r="J1014" s="16" t="s">
        <v>325</v>
      </c>
      <c r="K1014" s="16"/>
      <c r="L1014" s="16" t="s">
        <v>77</v>
      </c>
      <c r="M1014" s="16" t="s">
        <v>325</v>
      </c>
      <c r="N1014" s="16" t="s">
        <v>79</v>
      </c>
      <c r="O1014" s="16" t="s">
        <v>68</v>
      </c>
      <c r="P1014" s="16" t="s">
        <v>197</v>
      </c>
      <c r="Q1014" s="16" t="s">
        <v>197</v>
      </c>
      <c r="R1014" s="16" t="s">
        <v>86</v>
      </c>
      <c r="S1014" s="16" t="s">
        <v>521</v>
      </c>
      <c r="T1014" s="16" t="s">
        <v>1972</v>
      </c>
      <c r="U1014" s="16" t="s">
        <v>73</v>
      </c>
      <c r="V1014" s="16" t="n">
        <v>0.17</v>
      </c>
      <c r="W1014" s="16" t="n">
        <v>0.00137</v>
      </c>
      <c r="X1014" s="16" t="n">
        <v>10000</v>
      </c>
      <c r="Y1014" s="16" t="n">
        <v>10000</v>
      </c>
      <c r="Z1014" s="16" t="n">
        <v>10000</v>
      </c>
      <c r="AA1014" s="16" t="n">
        <v>10000</v>
      </c>
      <c r="AB1014" s="16" t="n">
        <v>10000</v>
      </c>
      <c r="AC1014" s="16" t="n">
        <v>10000</v>
      </c>
      <c r="AD1014" s="16" t="n">
        <v>10000</v>
      </c>
      <c r="AE1014" s="16" t="n">
        <v>10000</v>
      </c>
      <c r="AF1014" s="16"/>
      <c r="AG1014" s="16"/>
      <c r="AH1014" s="16"/>
      <c r="AI1014" s="16"/>
      <c r="AJ1014" s="9" t="n">
        <f aca="false">X1014*$V1014</f>
        <v>1700</v>
      </c>
      <c r="AK1014" s="9" t="n">
        <f aca="false">Y1014*$V1014</f>
        <v>1700</v>
      </c>
      <c r="AL1014" s="9" t="n">
        <f aca="false">Z1014*$V1014</f>
        <v>1700</v>
      </c>
      <c r="AM1014" s="9" t="n">
        <f aca="false">AA1014*$V1014</f>
        <v>1700</v>
      </c>
      <c r="AN1014" s="9" t="n">
        <f aca="false">AB1014*$V1014</f>
        <v>1700</v>
      </c>
      <c r="AO1014" s="9" t="n">
        <f aca="false">AC1014*$V1014</f>
        <v>1700</v>
      </c>
      <c r="AP1014" s="9" t="n">
        <f aca="false">AD1014*$V1014</f>
        <v>1700</v>
      </c>
      <c r="AQ1014" s="9" t="n">
        <f aca="false">AE1014*$V1014</f>
        <v>1700</v>
      </c>
      <c r="AR1014" s="9" t="n">
        <f aca="false">AF1014*$V1014</f>
        <v>0</v>
      </c>
      <c r="AS1014" s="9" t="n">
        <f aca="false">AG1014*$V1014</f>
        <v>0</v>
      </c>
      <c r="AT1014" s="9" t="n">
        <f aca="false">AH1014*$V1014</f>
        <v>0</v>
      </c>
      <c r="AU1014" s="9" t="n">
        <f aca="false">AI1014*$V1014</f>
        <v>0</v>
      </c>
      <c r="AV1014" s="9" t="n">
        <f aca="false">SUM(X1014:AI1014)/1000</f>
        <v>80</v>
      </c>
      <c r="AW1014" s="9" t="n">
        <f aca="false">SUM(AJ1014:AU1014)</f>
        <v>13600</v>
      </c>
      <c r="AX1014" s="9" t="n">
        <f aca="false">IF(D1014="INR",AW1014/88.24,AW1014)/1000000</f>
        <v>0.000154125113327289</v>
      </c>
    </row>
    <row r="1015" s="2" customFormat="true" ht="14.25" hidden="false" customHeight="false" outlineLevel="0" collapsed="false">
      <c r="A1015" s="28"/>
      <c r="B1015" s="16" t="n">
        <v>1</v>
      </c>
      <c r="C1015" s="16"/>
      <c r="D1015" s="16" t="s">
        <v>50</v>
      </c>
      <c r="E1015" s="16"/>
      <c r="F1015" s="16" t="s">
        <v>52</v>
      </c>
      <c r="G1015" s="16"/>
      <c r="H1015" s="16" t="s">
        <v>656</v>
      </c>
      <c r="I1015" s="16"/>
      <c r="J1015" s="16"/>
      <c r="K1015" s="16"/>
      <c r="L1015" s="16"/>
      <c r="M1015" s="16"/>
      <c r="N1015" s="16" t="s">
        <v>290</v>
      </c>
      <c r="O1015" s="16" t="s">
        <v>58</v>
      </c>
      <c r="P1015" s="16"/>
      <c r="Q1015" s="16" t="s">
        <v>85</v>
      </c>
      <c r="R1015" s="16" t="s">
        <v>816</v>
      </c>
      <c r="S1015" s="16" t="n">
        <v>0.077</v>
      </c>
      <c r="T1015" s="16" t="s">
        <v>816</v>
      </c>
      <c r="U1015" s="16"/>
      <c r="V1015" s="16" t="n">
        <v>0.077</v>
      </c>
      <c r="W1015" s="16"/>
      <c r="X1015" s="16"/>
      <c r="Y1015" s="16"/>
      <c r="Z1015" s="16" t="n">
        <v>20000</v>
      </c>
      <c r="AA1015" s="16"/>
      <c r="AB1015" s="16"/>
      <c r="AC1015" s="16" t="n">
        <v>20000</v>
      </c>
      <c r="AD1015" s="16"/>
      <c r="AE1015" s="16"/>
      <c r="AF1015" s="16" t="n">
        <v>20000</v>
      </c>
      <c r="AG1015" s="16"/>
      <c r="AH1015" s="16"/>
      <c r="AI1015" s="16" t="n">
        <v>20000</v>
      </c>
      <c r="AJ1015" s="9" t="n">
        <f aca="false">X1015*$V1015</f>
        <v>0</v>
      </c>
      <c r="AK1015" s="9" t="n">
        <f aca="false">Y1015*$V1015</f>
        <v>0</v>
      </c>
      <c r="AL1015" s="9" t="n">
        <f aca="false">Z1015*$V1015</f>
        <v>1540</v>
      </c>
      <c r="AM1015" s="9" t="n">
        <f aca="false">AA1015*$V1015</f>
        <v>0</v>
      </c>
      <c r="AN1015" s="9" t="n">
        <f aca="false">AB1015*$V1015</f>
        <v>0</v>
      </c>
      <c r="AO1015" s="9" t="n">
        <f aca="false">AC1015*$V1015</f>
        <v>1540</v>
      </c>
      <c r="AP1015" s="9" t="n">
        <f aca="false">AD1015*$V1015</f>
        <v>0</v>
      </c>
      <c r="AQ1015" s="9" t="n">
        <f aca="false">AE1015*$V1015</f>
        <v>0</v>
      </c>
      <c r="AR1015" s="9" t="n">
        <f aca="false">AF1015*$V1015</f>
        <v>1540</v>
      </c>
      <c r="AS1015" s="9" t="n">
        <f aca="false">AG1015*$V1015</f>
        <v>0</v>
      </c>
      <c r="AT1015" s="9" t="n">
        <f aca="false">AH1015*$V1015</f>
        <v>0</v>
      </c>
      <c r="AU1015" s="9" t="n">
        <f aca="false">AI1015*$V1015</f>
        <v>1540</v>
      </c>
      <c r="AV1015" s="9" t="n">
        <f aca="false">SUM(X1015:AI1015)/1000</f>
        <v>80</v>
      </c>
      <c r="AW1015" s="9" t="n">
        <f aca="false">SUM(AJ1015:AU1015)</f>
        <v>6160</v>
      </c>
      <c r="AX1015" s="9" t="n">
        <f aca="false">IF(D1015="INR",AW1015/88.24,AW1015)/1000000</f>
        <v>6.98096101541251E-005</v>
      </c>
    </row>
    <row r="1016" s="2" customFormat="true" ht="16.4" hidden="false" customHeight="false" outlineLevel="0" collapsed="false">
      <c r="A1016" s="28" t="s">
        <v>1973</v>
      </c>
      <c r="B1016" s="16"/>
      <c r="C1016" s="15"/>
      <c r="D1016" s="16" t="s">
        <v>50</v>
      </c>
      <c r="E1016" s="16" t="s">
        <v>51</v>
      </c>
      <c r="F1016" s="16" t="s">
        <v>52</v>
      </c>
      <c r="G1016" s="16" t="s">
        <v>258</v>
      </c>
      <c r="H1016" s="16" t="s">
        <v>259</v>
      </c>
      <c r="I1016" s="16" t="s">
        <v>260</v>
      </c>
      <c r="J1016" s="16" t="s">
        <v>261</v>
      </c>
      <c r="K1016" s="16"/>
      <c r="L1016" s="16" t="s">
        <v>260</v>
      </c>
      <c r="M1016" s="16" t="s">
        <v>261</v>
      </c>
      <c r="N1016" s="16" t="s">
        <v>67</v>
      </c>
      <c r="O1016" s="16" t="s">
        <v>107</v>
      </c>
      <c r="P1016" s="16" t="s">
        <v>197</v>
      </c>
      <c r="Q1016" s="16" t="s">
        <v>197</v>
      </c>
      <c r="R1016" s="16" t="s">
        <v>86</v>
      </c>
      <c r="S1016" s="16" t="s">
        <v>521</v>
      </c>
      <c r="T1016" s="16" t="s">
        <v>1974</v>
      </c>
      <c r="U1016" s="16" t="s">
        <v>73</v>
      </c>
      <c r="V1016" s="16" t="n">
        <v>0.18</v>
      </c>
      <c r="W1016" s="16" t="n">
        <v>0.00031</v>
      </c>
      <c r="X1016" s="16" t="n">
        <v>8000</v>
      </c>
      <c r="Y1016" s="16" t="n">
        <v>8000</v>
      </c>
      <c r="Z1016" s="16" t="n">
        <v>8000</v>
      </c>
      <c r="AA1016" s="16" t="n">
        <v>8000</v>
      </c>
      <c r="AB1016" s="16" t="n">
        <v>8000</v>
      </c>
      <c r="AC1016" s="16" t="n">
        <v>8000</v>
      </c>
      <c r="AD1016" s="16" t="n">
        <v>8000</v>
      </c>
      <c r="AE1016" s="16" t="n">
        <v>8000</v>
      </c>
      <c r="AF1016" s="16" t="n">
        <v>8000</v>
      </c>
      <c r="AG1016" s="16" t="n">
        <v>8000</v>
      </c>
      <c r="AH1016" s="16" t="n">
        <v>8000</v>
      </c>
      <c r="AI1016" s="16" t="n">
        <v>8000</v>
      </c>
      <c r="AJ1016" s="9" t="n">
        <f aca="false">X1016*$V1016</f>
        <v>1440</v>
      </c>
      <c r="AK1016" s="9" t="n">
        <f aca="false">Y1016*$V1016</f>
        <v>1440</v>
      </c>
      <c r="AL1016" s="9" t="n">
        <f aca="false">Z1016*$V1016</f>
        <v>1440</v>
      </c>
      <c r="AM1016" s="9" t="n">
        <f aca="false">AA1016*$V1016</f>
        <v>1440</v>
      </c>
      <c r="AN1016" s="9" t="n">
        <f aca="false">AB1016*$V1016</f>
        <v>1440</v>
      </c>
      <c r="AO1016" s="9" t="n">
        <f aca="false">AC1016*$V1016</f>
        <v>1440</v>
      </c>
      <c r="AP1016" s="9" t="n">
        <f aca="false">AD1016*$V1016</f>
        <v>1440</v>
      </c>
      <c r="AQ1016" s="9" t="n">
        <f aca="false">AE1016*$V1016</f>
        <v>1440</v>
      </c>
      <c r="AR1016" s="9" t="n">
        <f aca="false">AF1016*$V1016</f>
        <v>1440</v>
      </c>
      <c r="AS1016" s="9" t="n">
        <f aca="false">AG1016*$V1016</f>
        <v>1440</v>
      </c>
      <c r="AT1016" s="9" t="n">
        <f aca="false">AH1016*$V1016</f>
        <v>1440</v>
      </c>
      <c r="AU1016" s="9" t="n">
        <f aca="false">AI1016*$V1016</f>
        <v>1440</v>
      </c>
      <c r="AV1016" s="9" t="n">
        <f aca="false">SUM(X1016:AI1016)/1000</f>
        <v>96</v>
      </c>
      <c r="AW1016" s="9" t="n">
        <f aca="false">SUM(AJ1016:AU1016)</f>
        <v>17280</v>
      </c>
      <c r="AX1016" s="9" t="n">
        <f aca="false">IF(D1016="INR",AW1016/88.24,AW1016)/1000000</f>
        <v>0.000195829555757026</v>
      </c>
      <c r="AZ1016" s="1"/>
    </row>
    <row r="1017" s="2" customFormat="true" ht="14.25" hidden="false" customHeight="false" outlineLevel="0" collapsed="false">
      <c r="A1017" s="28"/>
      <c r="B1017" s="16" t="n">
        <v>1</v>
      </c>
      <c r="C1017" s="16"/>
      <c r="D1017" s="16" t="s">
        <v>50</v>
      </c>
      <c r="E1017" s="16"/>
      <c r="F1017" s="16" t="s">
        <v>52</v>
      </c>
      <c r="G1017" s="16"/>
      <c r="H1017" s="16" t="s">
        <v>656</v>
      </c>
      <c r="I1017" s="16"/>
      <c r="J1017" s="16"/>
      <c r="K1017" s="16"/>
      <c r="L1017" s="16"/>
      <c r="M1017" s="16"/>
      <c r="N1017" s="16" t="s">
        <v>290</v>
      </c>
      <c r="O1017" s="16" t="s">
        <v>58</v>
      </c>
      <c r="P1017" s="16"/>
      <c r="Q1017" s="16" t="s">
        <v>85</v>
      </c>
      <c r="R1017" s="16" t="s">
        <v>1975</v>
      </c>
      <c r="S1017" s="16" t="n">
        <v>0.063</v>
      </c>
      <c r="T1017" s="26" t="s">
        <v>1975</v>
      </c>
      <c r="U1017" s="16"/>
      <c r="V1017" s="16" t="n">
        <v>0.063</v>
      </c>
      <c r="W1017" s="16"/>
      <c r="X1017" s="16"/>
      <c r="Y1017" s="16"/>
      <c r="Z1017" s="16" t="n">
        <v>20000</v>
      </c>
      <c r="AA1017" s="16"/>
      <c r="AB1017" s="16"/>
      <c r="AC1017" s="16" t="n">
        <v>20000</v>
      </c>
      <c r="AD1017" s="16"/>
      <c r="AE1017" s="16"/>
      <c r="AF1017" s="16" t="n">
        <v>20000</v>
      </c>
      <c r="AG1017" s="16"/>
      <c r="AH1017" s="16"/>
      <c r="AI1017" s="16" t="n">
        <v>20000</v>
      </c>
      <c r="AJ1017" s="9" t="n">
        <f aca="false">X1017*$V1017</f>
        <v>0</v>
      </c>
      <c r="AK1017" s="9" t="n">
        <f aca="false">Y1017*$V1017</f>
        <v>0</v>
      </c>
      <c r="AL1017" s="9" t="n">
        <f aca="false">Z1017*$V1017</f>
        <v>1260</v>
      </c>
      <c r="AM1017" s="9" t="n">
        <f aca="false">AA1017*$V1017</f>
        <v>0</v>
      </c>
      <c r="AN1017" s="9" t="n">
        <f aca="false">AB1017*$V1017</f>
        <v>0</v>
      </c>
      <c r="AO1017" s="9" t="n">
        <f aca="false">AC1017*$V1017</f>
        <v>1260</v>
      </c>
      <c r="AP1017" s="9" t="n">
        <f aca="false">AD1017*$V1017</f>
        <v>0</v>
      </c>
      <c r="AQ1017" s="9" t="n">
        <f aca="false">AE1017*$V1017</f>
        <v>0</v>
      </c>
      <c r="AR1017" s="9" t="n">
        <f aca="false">AF1017*$V1017</f>
        <v>1260</v>
      </c>
      <c r="AS1017" s="9" t="n">
        <f aca="false">AG1017*$V1017</f>
        <v>0</v>
      </c>
      <c r="AT1017" s="9" t="n">
        <f aca="false">AH1017*$V1017</f>
        <v>0</v>
      </c>
      <c r="AU1017" s="9" t="n">
        <f aca="false">AI1017*$V1017</f>
        <v>1260</v>
      </c>
      <c r="AV1017" s="9" t="n">
        <f aca="false">SUM(X1017:AI1017)/1000</f>
        <v>80</v>
      </c>
      <c r="AW1017" s="9" t="n">
        <f aca="false">SUM(AJ1017:AU1017)</f>
        <v>5040</v>
      </c>
      <c r="AX1017" s="9" t="n">
        <f aca="false">IF(D1017="INR",AW1017/88.24,AW1017)/1000000</f>
        <v>5.7116953762466E-005</v>
      </c>
    </row>
    <row r="1018" s="2" customFormat="true" ht="14.25" hidden="false" customHeight="false" outlineLevel="0" collapsed="false">
      <c r="A1018" s="28"/>
      <c r="B1018" s="16" t="n">
        <v>1</v>
      </c>
      <c r="C1018" s="16"/>
      <c r="D1018" s="16" t="s">
        <v>50</v>
      </c>
      <c r="E1018" s="16"/>
      <c r="F1018" s="16" t="s">
        <v>52</v>
      </c>
      <c r="G1018" s="16"/>
      <c r="H1018" s="16" t="s">
        <v>656</v>
      </c>
      <c r="I1018" s="16"/>
      <c r="J1018" s="16"/>
      <c r="K1018" s="16"/>
      <c r="L1018" s="16"/>
      <c r="M1018" s="16"/>
      <c r="N1018" s="16" t="s">
        <v>290</v>
      </c>
      <c r="O1018" s="16" t="s">
        <v>58</v>
      </c>
      <c r="P1018" s="16"/>
      <c r="Q1018" s="16" t="s">
        <v>85</v>
      </c>
      <c r="R1018" s="16" t="s">
        <v>1976</v>
      </c>
      <c r="S1018" s="16" t="n">
        <v>0.0432</v>
      </c>
      <c r="T1018" s="16" t="s">
        <v>1976</v>
      </c>
      <c r="U1018" s="26"/>
      <c r="V1018" s="16" t="n">
        <v>0.0432</v>
      </c>
      <c r="W1018" s="16"/>
      <c r="X1018" s="16"/>
      <c r="Y1018" s="16"/>
      <c r="Z1018" s="16" t="n">
        <v>20000</v>
      </c>
      <c r="AA1018" s="16"/>
      <c r="AB1018" s="16"/>
      <c r="AC1018" s="16" t="n">
        <v>20000</v>
      </c>
      <c r="AD1018" s="16"/>
      <c r="AE1018" s="16"/>
      <c r="AF1018" s="16" t="n">
        <v>20000</v>
      </c>
      <c r="AG1018" s="16"/>
      <c r="AH1018" s="16"/>
      <c r="AI1018" s="16" t="n">
        <v>20000</v>
      </c>
      <c r="AJ1018" s="9" t="n">
        <f aca="false">X1018*$V1018</f>
        <v>0</v>
      </c>
      <c r="AK1018" s="9" t="n">
        <f aca="false">Y1018*$V1018</f>
        <v>0</v>
      </c>
      <c r="AL1018" s="9" t="n">
        <f aca="false">Z1018*$V1018</f>
        <v>864</v>
      </c>
      <c r="AM1018" s="9" t="n">
        <f aca="false">AA1018*$V1018</f>
        <v>0</v>
      </c>
      <c r="AN1018" s="9" t="n">
        <f aca="false">AB1018*$V1018</f>
        <v>0</v>
      </c>
      <c r="AO1018" s="9" t="n">
        <f aca="false">AC1018*$V1018</f>
        <v>864</v>
      </c>
      <c r="AP1018" s="9" t="n">
        <f aca="false">AD1018*$V1018</f>
        <v>0</v>
      </c>
      <c r="AQ1018" s="9" t="n">
        <f aca="false">AE1018*$V1018</f>
        <v>0</v>
      </c>
      <c r="AR1018" s="9" t="n">
        <f aca="false">AF1018*$V1018</f>
        <v>864</v>
      </c>
      <c r="AS1018" s="9" t="n">
        <f aca="false">AG1018*$V1018</f>
        <v>0</v>
      </c>
      <c r="AT1018" s="9" t="n">
        <f aca="false">AH1018*$V1018</f>
        <v>0</v>
      </c>
      <c r="AU1018" s="9" t="n">
        <f aca="false">AI1018*$V1018</f>
        <v>864</v>
      </c>
      <c r="AV1018" s="9" t="n">
        <f aca="false">SUM(X1018:AI1018)/1000</f>
        <v>80</v>
      </c>
      <c r="AW1018" s="9" t="n">
        <f aca="false">SUM(AJ1018:AU1018)</f>
        <v>3456</v>
      </c>
      <c r="AX1018" s="9" t="n">
        <f aca="false">IF(D1018="INR",AW1018/88.24,AW1018)/1000000</f>
        <v>3.91659111514053E-005</v>
      </c>
    </row>
    <row r="1019" s="2" customFormat="true" ht="14.25" hidden="false" customHeight="false" outlineLevel="0" collapsed="false">
      <c r="A1019" s="28"/>
      <c r="B1019" s="16" t="n">
        <v>1</v>
      </c>
      <c r="C1019" s="16"/>
      <c r="D1019" s="16" t="s">
        <v>50</v>
      </c>
      <c r="E1019" s="16" t="s">
        <v>51</v>
      </c>
      <c r="F1019" s="16" t="s">
        <v>52</v>
      </c>
      <c r="G1019" s="16" t="s">
        <v>781</v>
      </c>
      <c r="H1019" s="16" t="s">
        <v>495</v>
      </c>
      <c r="I1019" s="16" t="s">
        <v>77</v>
      </c>
      <c r="J1019" s="16" t="s">
        <v>496</v>
      </c>
      <c r="K1019" s="16" t="s">
        <v>495</v>
      </c>
      <c r="L1019" s="16" t="s">
        <v>77</v>
      </c>
      <c r="M1019" s="16" t="s">
        <v>496</v>
      </c>
      <c r="N1019" s="16" t="s">
        <v>57</v>
      </c>
      <c r="O1019" s="16" t="s">
        <v>94</v>
      </c>
      <c r="P1019" s="16" t="s">
        <v>308</v>
      </c>
      <c r="Q1019" s="16" t="s">
        <v>308</v>
      </c>
      <c r="R1019" s="16"/>
      <c r="S1019" s="16"/>
      <c r="T1019" s="26" t="s">
        <v>1977</v>
      </c>
      <c r="U1019" s="16"/>
      <c r="V1019" s="16" t="n">
        <v>0.85</v>
      </c>
      <c r="W1019" s="16"/>
      <c r="X1019" s="16"/>
      <c r="Y1019" s="16"/>
      <c r="Z1019" s="16" t="n">
        <v>1000</v>
      </c>
      <c r="AA1019" s="16"/>
      <c r="AB1019" s="16"/>
      <c r="AC1019" s="16"/>
      <c r="AD1019" s="16" t="n">
        <v>1000</v>
      </c>
      <c r="AE1019" s="16"/>
      <c r="AF1019" s="16" t="n">
        <v>1000</v>
      </c>
      <c r="AG1019" s="16"/>
      <c r="AH1019" s="16" t="n">
        <v>1000</v>
      </c>
      <c r="AI1019" s="16" t="n">
        <v>1000</v>
      </c>
      <c r="AJ1019" s="9" t="n">
        <f aca="false">X1019*$V1019</f>
        <v>0</v>
      </c>
      <c r="AK1019" s="9" t="n">
        <f aca="false">Y1019*$V1019</f>
        <v>0</v>
      </c>
      <c r="AL1019" s="9" t="n">
        <f aca="false">Z1019*$V1019</f>
        <v>850</v>
      </c>
      <c r="AM1019" s="9" t="n">
        <f aca="false">AA1019*$V1019</f>
        <v>0</v>
      </c>
      <c r="AN1019" s="9" t="n">
        <f aca="false">AB1019*$V1019</f>
        <v>0</v>
      </c>
      <c r="AO1019" s="9" t="n">
        <f aca="false">AC1019*$V1019</f>
        <v>0</v>
      </c>
      <c r="AP1019" s="9" t="n">
        <f aca="false">AD1019*$V1019</f>
        <v>850</v>
      </c>
      <c r="AQ1019" s="9" t="n">
        <f aca="false">AE1019*$V1019</f>
        <v>0</v>
      </c>
      <c r="AR1019" s="9" t="n">
        <f aca="false">AF1019*$V1019</f>
        <v>850</v>
      </c>
      <c r="AS1019" s="9" t="n">
        <f aca="false">AG1019*$V1019</f>
        <v>0</v>
      </c>
      <c r="AT1019" s="9" t="n">
        <f aca="false">AH1019*$V1019</f>
        <v>850</v>
      </c>
      <c r="AU1019" s="9" t="n">
        <f aca="false">AI1019*$V1019</f>
        <v>850</v>
      </c>
      <c r="AV1019" s="9" t="n">
        <f aca="false">SUM(X1019:AI1019)/1000</f>
        <v>5</v>
      </c>
      <c r="AW1019" s="9" t="n">
        <f aca="false">SUM(AJ1019:AU1019)</f>
        <v>4250</v>
      </c>
      <c r="AX1019" s="9" t="n">
        <f aca="false">IF(D1019="INR",AW1019/88.24,AW1019)/1000000</f>
        <v>4.81640979147779E-005</v>
      </c>
    </row>
    <row r="1020" s="2" customFormat="true" ht="16.4" hidden="false" customHeight="false" outlineLevel="0" collapsed="false">
      <c r="A1020" s="28" t="s">
        <v>1978</v>
      </c>
      <c r="B1020" s="16"/>
      <c r="C1020" s="16"/>
      <c r="D1020" s="16" t="s">
        <v>50</v>
      </c>
      <c r="E1020" s="16" t="s">
        <v>51</v>
      </c>
      <c r="F1020" s="16" t="s">
        <v>52</v>
      </c>
      <c r="G1020" s="16" t="s">
        <v>258</v>
      </c>
      <c r="H1020" s="16" t="s">
        <v>259</v>
      </c>
      <c r="I1020" s="16" t="s">
        <v>260</v>
      </c>
      <c r="J1020" s="16" t="s">
        <v>261</v>
      </c>
      <c r="K1020" s="16"/>
      <c r="L1020" s="16" t="s">
        <v>260</v>
      </c>
      <c r="M1020" s="16" t="s">
        <v>261</v>
      </c>
      <c r="N1020" s="16" t="s">
        <v>67</v>
      </c>
      <c r="O1020" s="16" t="s">
        <v>107</v>
      </c>
      <c r="P1020" s="16" t="s">
        <v>197</v>
      </c>
      <c r="Q1020" s="16" t="s">
        <v>197</v>
      </c>
      <c r="R1020" s="16" t="s">
        <v>86</v>
      </c>
      <c r="S1020" s="33" t="s">
        <v>521</v>
      </c>
      <c r="T1020" s="16" t="s">
        <v>1979</v>
      </c>
      <c r="U1020" s="16" t="s">
        <v>73</v>
      </c>
      <c r="V1020" s="16" t="n">
        <v>0.06</v>
      </c>
      <c r="W1020" s="16" t="n">
        <v>0.0006</v>
      </c>
      <c r="X1020" s="16" t="n">
        <v>10000</v>
      </c>
      <c r="Y1020" s="16" t="n">
        <v>10000</v>
      </c>
      <c r="Z1020" s="16" t="n">
        <v>10000</v>
      </c>
      <c r="AA1020" s="16" t="n">
        <v>10000</v>
      </c>
      <c r="AB1020" s="16" t="n">
        <v>10000</v>
      </c>
      <c r="AC1020" s="16" t="n">
        <v>10000</v>
      </c>
      <c r="AD1020" s="16" t="n">
        <v>10000</v>
      </c>
      <c r="AE1020" s="16" t="n">
        <v>10000</v>
      </c>
      <c r="AF1020" s="16" t="n">
        <v>10000</v>
      </c>
      <c r="AG1020" s="16" t="n">
        <v>10000</v>
      </c>
      <c r="AH1020" s="16" t="n">
        <v>10000</v>
      </c>
      <c r="AI1020" s="16" t="n">
        <v>10000</v>
      </c>
      <c r="AJ1020" s="9" t="n">
        <f aca="false">X1020*$V1020</f>
        <v>600</v>
      </c>
      <c r="AK1020" s="9" t="n">
        <f aca="false">Y1020*$V1020</f>
        <v>600</v>
      </c>
      <c r="AL1020" s="9" t="n">
        <f aca="false">Z1020*$V1020</f>
        <v>600</v>
      </c>
      <c r="AM1020" s="9" t="n">
        <f aca="false">AA1020*$V1020</f>
        <v>600</v>
      </c>
      <c r="AN1020" s="9" t="n">
        <f aca="false">AB1020*$V1020</f>
        <v>600</v>
      </c>
      <c r="AO1020" s="9" t="n">
        <f aca="false">AC1020*$V1020</f>
        <v>600</v>
      </c>
      <c r="AP1020" s="9" t="n">
        <f aca="false">AD1020*$V1020</f>
        <v>600</v>
      </c>
      <c r="AQ1020" s="9" t="n">
        <f aca="false">AE1020*$V1020</f>
        <v>600</v>
      </c>
      <c r="AR1020" s="9" t="n">
        <f aca="false">AF1020*$V1020</f>
        <v>600</v>
      </c>
      <c r="AS1020" s="9" t="n">
        <f aca="false">AG1020*$V1020</f>
        <v>600</v>
      </c>
      <c r="AT1020" s="9" t="n">
        <f aca="false">AH1020*$V1020</f>
        <v>600</v>
      </c>
      <c r="AU1020" s="9" t="n">
        <f aca="false">AI1020*$V1020</f>
        <v>600</v>
      </c>
      <c r="AV1020" s="9" t="n">
        <f aca="false">SUM(X1020:AI1020)/1000</f>
        <v>120</v>
      </c>
      <c r="AW1020" s="9" t="n">
        <f aca="false">SUM(AJ1020:AU1020)</f>
        <v>7200</v>
      </c>
      <c r="AX1020" s="9" t="n">
        <f aca="false">IF(D1020="INR",AW1020/88.24,AW1020)/1000000</f>
        <v>8.15956482320943E-005</v>
      </c>
    </row>
    <row r="1021" s="2" customFormat="true" ht="14.25" hidden="false" customHeight="false" outlineLevel="0" collapsed="false">
      <c r="A1021" s="35"/>
      <c r="B1021" s="9" t="n">
        <v>1</v>
      </c>
      <c r="C1021" s="15"/>
      <c r="D1021" s="16" t="s">
        <v>50</v>
      </c>
      <c r="E1021" s="16" t="s">
        <v>51</v>
      </c>
      <c r="F1021" s="16" t="s">
        <v>52</v>
      </c>
      <c r="G1021" s="16" t="s">
        <v>103</v>
      </c>
      <c r="H1021" s="16" t="s">
        <v>104</v>
      </c>
      <c r="I1021" s="16" t="s">
        <v>105</v>
      </c>
      <c r="J1021" s="16" t="s">
        <v>106</v>
      </c>
      <c r="K1021" s="16" t="s">
        <v>104</v>
      </c>
      <c r="L1021" s="16" t="s">
        <v>105</v>
      </c>
      <c r="M1021" s="16" t="s">
        <v>106</v>
      </c>
      <c r="N1021" s="16" t="s">
        <v>57</v>
      </c>
      <c r="O1021" s="16" t="s">
        <v>107</v>
      </c>
      <c r="P1021" s="9" t="s">
        <v>110</v>
      </c>
      <c r="Q1021" s="9" t="s">
        <v>110</v>
      </c>
      <c r="R1021" s="9"/>
      <c r="S1021" s="9"/>
      <c r="T1021" s="9" t="s">
        <v>1980</v>
      </c>
      <c r="U1021" s="9" t="s">
        <v>63</v>
      </c>
      <c r="V1021" s="9" t="n">
        <v>180</v>
      </c>
      <c r="W1021" s="9"/>
      <c r="X1021" s="23"/>
      <c r="Y1021" s="23" t="n">
        <v>1280</v>
      </c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9" t="n">
        <f aca="false">X1021*$V1021</f>
        <v>0</v>
      </c>
      <c r="AK1021" s="9" t="n">
        <f aca="false">Y1021*$V1021</f>
        <v>230400</v>
      </c>
      <c r="AL1021" s="9" t="n">
        <f aca="false">Z1021*$V1021</f>
        <v>0</v>
      </c>
      <c r="AM1021" s="9" t="n">
        <f aca="false">AA1021*$V1021</f>
        <v>0</v>
      </c>
      <c r="AN1021" s="9" t="n">
        <f aca="false">AB1021*$V1021</f>
        <v>0</v>
      </c>
      <c r="AO1021" s="9" t="n">
        <f aca="false">AC1021*$V1021</f>
        <v>0</v>
      </c>
      <c r="AP1021" s="9" t="n">
        <f aca="false">AD1021*$V1021</f>
        <v>0</v>
      </c>
      <c r="AQ1021" s="9" t="n">
        <f aca="false">AE1021*$V1021</f>
        <v>0</v>
      </c>
      <c r="AR1021" s="9" t="n">
        <f aca="false">AF1021*$V1021</f>
        <v>0</v>
      </c>
      <c r="AS1021" s="9" t="n">
        <f aca="false">AG1021*$V1021</f>
        <v>0</v>
      </c>
      <c r="AT1021" s="9" t="n">
        <f aca="false">AH1021*$V1021</f>
        <v>0</v>
      </c>
      <c r="AU1021" s="9" t="n">
        <f aca="false">AI1021*$V1021</f>
        <v>0</v>
      </c>
      <c r="AV1021" s="9" t="n">
        <f aca="false">SUM(X1021:AI1021)/1000</f>
        <v>1.28</v>
      </c>
      <c r="AW1021" s="9" t="n">
        <f aca="false">SUM(AJ1021:AU1021)</f>
        <v>230400</v>
      </c>
      <c r="AX1021" s="9" t="n">
        <f aca="false">IF(D1021="INR",AW1021/88.24,AW1021)/1000000</f>
        <v>0.00261106074342702</v>
      </c>
    </row>
    <row r="1022" s="2" customFormat="true" ht="14.25" hidden="false" customHeight="false" outlineLevel="0" collapsed="false">
      <c r="A1022" s="12" t="s">
        <v>1981</v>
      </c>
      <c r="B1022" s="16" t="n">
        <v>5</v>
      </c>
      <c r="C1022" s="15"/>
      <c r="D1022" s="16" t="s">
        <v>50</v>
      </c>
      <c r="E1022" s="16" t="s">
        <v>51</v>
      </c>
      <c r="F1022" s="16" t="s">
        <v>404</v>
      </c>
      <c r="G1022" s="16" t="s">
        <v>1000</v>
      </c>
      <c r="H1022" s="16" t="s">
        <v>1001</v>
      </c>
      <c r="I1022" s="16" t="s">
        <v>105</v>
      </c>
      <c r="J1022" s="16" t="s">
        <v>368</v>
      </c>
      <c r="K1022" s="16"/>
      <c r="L1022" s="16" t="s">
        <v>105</v>
      </c>
      <c r="M1022" s="16" t="s">
        <v>368</v>
      </c>
      <c r="N1022" s="16" t="s">
        <v>271</v>
      </c>
      <c r="O1022" s="16" t="s">
        <v>94</v>
      </c>
      <c r="P1022" s="16" t="s">
        <v>110</v>
      </c>
      <c r="Q1022" s="16" t="s">
        <v>110</v>
      </c>
      <c r="R1022" s="16" t="s">
        <v>137</v>
      </c>
      <c r="S1022" s="16" t="s">
        <v>272</v>
      </c>
      <c r="T1022" s="16" t="s">
        <v>1982</v>
      </c>
      <c r="U1022" s="16" t="s">
        <v>73</v>
      </c>
      <c r="V1022" s="16" t="n">
        <v>106</v>
      </c>
      <c r="W1022" s="16" t="n">
        <v>0.935</v>
      </c>
      <c r="X1022" s="22" t="n">
        <v>1600</v>
      </c>
      <c r="Y1022" s="22"/>
      <c r="Z1022" s="22"/>
      <c r="AA1022" s="22"/>
      <c r="AB1022" s="22" t="n">
        <v>1600</v>
      </c>
      <c r="AC1022" s="22"/>
      <c r="AD1022" s="22"/>
      <c r="AE1022" s="22"/>
      <c r="AF1022" s="22" t="n">
        <v>1600</v>
      </c>
      <c r="AG1022" s="22"/>
      <c r="AH1022" s="22"/>
      <c r="AI1022" s="22"/>
      <c r="AJ1022" s="9" t="n">
        <f aca="false">X1022*$V1022</f>
        <v>169600</v>
      </c>
      <c r="AK1022" s="9" t="n">
        <f aca="false">Y1022*$V1022</f>
        <v>0</v>
      </c>
      <c r="AL1022" s="9" t="n">
        <f aca="false">Z1022*$V1022</f>
        <v>0</v>
      </c>
      <c r="AM1022" s="9" t="n">
        <f aca="false">AA1022*$V1022</f>
        <v>0</v>
      </c>
      <c r="AN1022" s="9" t="n">
        <f aca="false">AB1022*$V1022</f>
        <v>169600</v>
      </c>
      <c r="AO1022" s="9" t="n">
        <f aca="false">AC1022*$V1022</f>
        <v>0</v>
      </c>
      <c r="AP1022" s="9" t="n">
        <f aca="false">AD1022*$V1022</f>
        <v>0</v>
      </c>
      <c r="AQ1022" s="9" t="n">
        <f aca="false">AE1022*$V1022</f>
        <v>0</v>
      </c>
      <c r="AR1022" s="9" t="n">
        <f aca="false">AF1022*$V1022</f>
        <v>169600</v>
      </c>
      <c r="AS1022" s="9" t="n">
        <f aca="false">AG1022*$V1022</f>
        <v>0</v>
      </c>
      <c r="AT1022" s="9" t="n">
        <f aca="false">AH1022*$V1022</f>
        <v>0</v>
      </c>
      <c r="AU1022" s="9" t="n">
        <f aca="false">AI1022*$V1022</f>
        <v>0</v>
      </c>
      <c r="AV1022" s="9" t="n">
        <f aca="false">SUM(X1022:AI1022)/1000</f>
        <v>4.8</v>
      </c>
      <c r="AW1022" s="9" t="n">
        <f aca="false">SUM(AJ1022:AU1022)</f>
        <v>508800</v>
      </c>
      <c r="AX1022" s="9" t="n">
        <f aca="false">IF(D1022="INR",AW1022/88.24,AW1022)/1000000</f>
        <v>0.005766092475068</v>
      </c>
    </row>
    <row r="1023" s="2" customFormat="true" ht="14.25" hidden="false" customHeight="false" outlineLevel="0" collapsed="false">
      <c r="A1023" s="35"/>
      <c r="B1023" s="16" t="n">
        <v>1</v>
      </c>
      <c r="C1023" s="15"/>
      <c r="D1023" s="16" t="s">
        <v>50</v>
      </c>
      <c r="E1023" s="16" t="s">
        <v>51</v>
      </c>
      <c r="F1023" s="16" t="s">
        <v>267</v>
      </c>
      <c r="G1023" s="16" t="s">
        <v>268</v>
      </c>
      <c r="H1023" s="16" t="s">
        <v>269</v>
      </c>
      <c r="I1023" s="16"/>
      <c r="J1023" s="16"/>
      <c r="K1023" s="16"/>
      <c r="L1023" s="16"/>
      <c r="M1023" s="16"/>
      <c r="N1023" s="16" t="s">
        <v>271</v>
      </c>
      <c r="O1023" s="16"/>
      <c r="P1023" s="16" t="s">
        <v>59</v>
      </c>
      <c r="Q1023" s="16" t="s">
        <v>59</v>
      </c>
      <c r="R1023" s="16" t="s">
        <v>60</v>
      </c>
      <c r="S1023" s="16" t="s">
        <v>61</v>
      </c>
      <c r="T1023" s="16" t="s">
        <v>1983</v>
      </c>
      <c r="U1023" s="16" t="s">
        <v>63</v>
      </c>
      <c r="V1023" s="16" t="n">
        <v>1000</v>
      </c>
      <c r="W1023" s="16" t="n">
        <v>3.9</v>
      </c>
      <c r="X1023" s="16"/>
      <c r="Y1023" s="16"/>
      <c r="Z1023" s="16"/>
      <c r="AA1023" s="16"/>
      <c r="AB1023" s="16" t="n">
        <v>100</v>
      </c>
      <c r="AC1023" s="16"/>
      <c r="AD1023" s="16"/>
      <c r="AE1023" s="16"/>
      <c r="AF1023" s="16"/>
      <c r="AG1023" s="16"/>
      <c r="AH1023" s="29"/>
      <c r="AI1023" s="16"/>
      <c r="AJ1023" s="9" t="n">
        <f aca="false">X1023*$V1023</f>
        <v>0</v>
      </c>
      <c r="AK1023" s="9" t="n">
        <f aca="false">Y1023*$V1023</f>
        <v>0</v>
      </c>
      <c r="AL1023" s="9" t="n">
        <f aca="false">Z1023*$V1023</f>
        <v>0</v>
      </c>
      <c r="AM1023" s="9" t="n">
        <f aca="false">AA1023*$V1023</f>
        <v>0</v>
      </c>
      <c r="AN1023" s="9" t="n">
        <f aca="false">AB1023*$V1023</f>
        <v>100000</v>
      </c>
      <c r="AO1023" s="9" t="n">
        <f aca="false">AC1023*$V1023</f>
        <v>0</v>
      </c>
      <c r="AP1023" s="9" t="n">
        <f aca="false">AD1023*$V1023</f>
        <v>0</v>
      </c>
      <c r="AQ1023" s="9" t="n">
        <f aca="false">AE1023*$V1023</f>
        <v>0</v>
      </c>
      <c r="AR1023" s="9" t="n">
        <f aca="false">AF1023*$V1023</f>
        <v>0</v>
      </c>
      <c r="AS1023" s="9" t="n">
        <f aca="false">AG1023*$V1023</f>
        <v>0</v>
      </c>
      <c r="AT1023" s="9" t="n">
        <f aca="false">AH1023*$V1023</f>
        <v>0</v>
      </c>
      <c r="AU1023" s="9" t="n">
        <f aca="false">AI1023*$V1023</f>
        <v>0</v>
      </c>
      <c r="AV1023" s="9" t="n">
        <f aca="false">SUM(X1023:AI1023)/1000</f>
        <v>0.1</v>
      </c>
      <c r="AW1023" s="9" t="n">
        <f aca="false">SUM(AJ1023:AU1023)</f>
        <v>100000</v>
      </c>
      <c r="AX1023" s="9" t="n">
        <f aca="false">IF(D1023="INR",AW1023/88.24,AW1023)/1000000</f>
        <v>0.00113327289211242</v>
      </c>
    </row>
    <row r="1024" s="2" customFormat="true" ht="14.25" hidden="false" customHeight="false" outlineLevel="0" collapsed="false">
      <c r="A1024" s="12"/>
      <c r="B1024" s="16" t="n">
        <v>1</v>
      </c>
      <c r="C1024" s="15"/>
      <c r="D1024" s="16" t="s">
        <v>102</v>
      </c>
      <c r="E1024" s="16" t="s">
        <v>51</v>
      </c>
      <c r="F1024" s="16" t="s">
        <v>52</v>
      </c>
      <c r="G1024" s="16"/>
      <c r="H1024" s="16" t="s">
        <v>421</v>
      </c>
      <c r="I1024" s="16" t="s">
        <v>77</v>
      </c>
      <c r="J1024" s="16" t="s">
        <v>1984</v>
      </c>
      <c r="K1024" s="16" t="s">
        <v>1985</v>
      </c>
      <c r="L1024" s="16" t="s">
        <v>77</v>
      </c>
      <c r="M1024" s="16" t="s">
        <v>1984</v>
      </c>
      <c r="N1024" s="16" t="s">
        <v>79</v>
      </c>
      <c r="O1024" s="16"/>
      <c r="P1024" s="9" t="s">
        <v>1986</v>
      </c>
      <c r="Q1024" s="16" t="s">
        <v>1986</v>
      </c>
      <c r="R1024" s="16" t="s">
        <v>377</v>
      </c>
      <c r="S1024" s="16" t="s">
        <v>264</v>
      </c>
      <c r="T1024" s="16" t="s">
        <v>1987</v>
      </c>
      <c r="U1024" s="16" t="s">
        <v>63</v>
      </c>
      <c r="V1024" s="16" t="n">
        <v>2</v>
      </c>
      <c r="W1024" s="16" t="n">
        <v>1.8</v>
      </c>
      <c r="X1024" s="16"/>
      <c r="Y1024" s="16"/>
      <c r="Z1024" s="16" t="n">
        <v>1200</v>
      </c>
      <c r="AA1024" s="16"/>
      <c r="AB1024" s="16"/>
      <c r="AC1024" s="16" t="n">
        <v>2500</v>
      </c>
      <c r="AD1024" s="16"/>
      <c r="AE1024" s="16"/>
      <c r="AF1024" s="16" t="n">
        <v>2500</v>
      </c>
      <c r="AG1024" s="16"/>
      <c r="AH1024" s="16"/>
      <c r="AI1024" s="16" t="n">
        <v>2500</v>
      </c>
      <c r="AJ1024" s="9" t="n">
        <f aca="false">X1024*$V1024</f>
        <v>0</v>
      </c>
      <c r="AK1024" s="9" t="n">
        <f aca="false">Y1024*$V1024</f>
        <v>0</v>
      </c>
      <c r="AL1024" s="9" t="n">
        <f aca="false">Z1024*$V1024</f>
        <v>2400</v>
      </c>
      <c r="AM1024" s="9" t="n">
        <f aca="false">AA1024*$V1024</f>
        <v>0</v>
      </c>
      <c r="AN1024" s="9" t="n">
        <f aca="false">AB1024*$V1024</f>
        <v>0</v>
      </c>
      <c r="AO1024" s="9" t="n">
        <f aca="false">AC1024*$V1024</f>
        <v>5000</v>
      </c>
      <c r="AP1024" s="9" t="n">
        <f aca="false">AD1024*$V1024</f>
        <v>0</v>
      </c>
      <c r="AQ1024" s="9" t="n">
        <f aca="false">AE1024*$V1024</f>
        <v>0</v>
      </c>
      <c r="AR1024" s="9" t="n">
        <f aca="false">AF1024*$V1024</f>
        <v>5000</v>
      </c>
      <c r="AS1024" s="9" t="n">
        <f aca="false">AG1024*$V1024</f>
        <v>0</v>
      </c>
      <c r="AT1024" s="9" t="n">
        <f aca="false">AH1024*$V1024</f>
        <v>0</v>
      </c>
      <c r="AU1024" s="9" t="n">
        <f aca="false">AI1024*$V1024</f>
        <v>5000</v>
      </c>
      <c r="AV1024" s="9" t="n">
        <f aca="false">SUM(X1024:AI1024)/1000</f>
        <v>8.7</v>
      </c>
      <c r="AW1024" s="9" t="n">
        <f aca="false">SUM(AJ1024:AU1024)</f>
        <v>17400</v>
      </c>
      <c r="AX1024" s="9" t="n">
        <f aca="false">IF(D1024="INR",AW1024/88.24,AW1024)/1000000</f>
        <v>0.0174</v>
      </c>
    </row>
    <row r="1025" s="2" customFormat="true" ht="14.25" hidden="false" customHeight="false" outlineLevel="0" collapsed="false">
      <c r="A1025" s="12"/>
      <c r="B1025" s="9" t="n">
        <v>1</v>
      </c>
      <c r="C1025" s="10"/>
      <c r="D1025" s="9" t="s">
        <v>102</v>
      </c>
      <c r="E1025" s="9" t="s">
        <v>51</v>
      </c>
      <c r="F1025" s="9" t="s">
        <v>52</v>
      </c>
      <c r="G1025" s="9" t="s">
        <v>420</v>
      </c>
      <c r="H1025" s="9" t="s">
        <v>421</v>
      </c>
      <c r="I1025" s="9"/>
      <c r="J1025" s="9"/>
      <c r="K1025" s="9"/>
      <c r="L1025" s="9"/>
      <c r="M1025" s="9"/>
      <c r="N1025" s="9" t="s">
        <v>79</v>
      </c>
      <c r="O1025" s="9" t="s">
        <v>107</v>
      </c>
      <c r="P1025" s="9"/>
      <c r="Q1025" s="9" t="s">
        <v>197</v>
      </c>
      <c r="R1025" s="9"/>
      <c r="S1025" s="9"/>
      <c r="T1025" s="9" t="s">
        <v>1988</v>
      </c>
      <c r="U1025" s="9" t="s">
        <v>63</v>
      </c>
      <c r="V1025" s="9" t="n">
        <v>0.1419</v>
      </c>
      <c r="W1025" s="9"/>
      <c r="X1025" s="9"/>
      <c r="Y1025" s="9" t="n">
        <v>2000</v>
      </c>
      <c r="Z1025" s="9"/>
      <c r="AA1025" s="9"/>
      <c r="AB1025" s="9"/>
      <c r="AC1025" s="9"/>
      <c r="AD1025" s="9"/>
      <c r="AE1025" s="9" t="n">
        <v>2000</v>
      </c>
      <c r="AF1025" s="9"/>
      <c r="AG1025" s="9"/>
      <c r="AH1025" s="9"/>
      <c r="AI1025" s="9" t="n">
        <v>2000</v>
      </c>
      <c r="AJ1025" s="9" t="n">
        <f aca="false">X1025*$V1025</f>
        <v>0</v>
      </c>
      <c r="AK1025" s="9" t="n">
        <f aca="false">Y1025*$V1025</f>
        <v>283.8</v>
      </c>
      <c r="AL1025" s="9" t="n">
        <f aca="false">Z1025*$V1025</f>
        <v>0</v>
      </c>
      <c r="AM1025" s="9" t="n">
        <f aca="false">AA1025*$V1025</f>
        <v>0</v>
      </c>
      <c r="AN1025" s="9" t="n">
        <f aca="false">AB1025*$V1025</f>
        <v>0</v>
      </c>
      <c r="AO1025" s="9" t="n">
        <f aca="false">AC1025*$V1025</f>
        <v>0</v>
      </c>
      <c r="AP1025" s="9" t="n">
        <f aca="false">AD1025*$V1025</f>
        <v>0</v>
      </c>
      <c r="AQ1025" s="9" t="n">
        <f aca="false">AE1025*$V1025</f>
        <v>283.8</v>
      </c>
      <c r="AR1025" s="9" t="n">
        <f aca="false">AF1025*$V1025</f>
        <v>0</v>
      </c>
      <c r="AS1025" s="9" t="n">
        <f aca="false">AG1025*$V1025</f>
        <v>0</v>
      </c>
      <c r="AT1025" s="9" t="n">
        <f aca="false">AH1025*$V1025</f>
        <v>0</v>
      </c>
      <c r="AU1025" s="9" t="n">
        <f aca="false">AI1025*$V1025</f>
        <v>283.8</v>
      </c>
      <c r="AV1025" s="9" t="n">
        <f aca="false">SUM(X1025:AI1025)/1000</f>
        <v>6</v>
      </c>
      <c r="AW1025" s="9" t="n">
        <f aca="false">SUM(AJ1025:AU1025)</f>
        <v>851.4</v>
      </c>
      <c r="AX1025" s="9" t="n">
        <f aca="false">IF(D1025="INR",AW1025/88.24,AW1025)/1000000</f>
        <v>0.0008514</v>
      </c>
    </row>
    <row r="1026" s="2" customFormat="true" ht="14.25" hidden="false" customHeight="false" outlineLevel="0" collapsed="false">
      <c r="A1026" s="12"/>
      <c r="B1026" s="16" t="n">
        <v>1</v>
      </c>
      <c r="C1026" s="15"/>
      <c r="D1026" s="16" t="s">
        <v>102</v>
      </c>
      <c r="E1026" s="16"/>
      <c r="F1026" s="16" t="s">
        <v>52</v>
      </c>
      <c r="G1026" s="16"/>
      <c r="H1026" s="16" t="s">
        <v>1989</v>
      </c>
      <c r="I1026" s="16"/>
      <c r="J1026" s="16"/>
      <c r="K1026" s="16"/>
      <c r="L1026" s="16"/>
      <c r="M1026" s="16"/>
      <c r="N1026" s="16" t="s">
        <v>67</v>
      </c>
      <c r="O1026" s="16"/>
      <c r="P1026" s="16" t="s">
        <v>1990</v>
      </c>
      <c r="Q1026" s="16" t="s">
        <v>1990</v>
      </c>
      <c r="R1026" s="16"/>
      <c r="S1026" s="16"/>
      <c r="T1026" s="16" t="s">
        <v>1991</v>
      </c>
      <c r="U1026" s="16" t="s">
        <v>63</v>
      </c>
      <c r="V1026" s="16" t="n">
        <v>0.3</v>
      </c>
      <c r="W1026" s="16"/>
      <c r="X1026" s="26"/>
      <c r="Y1026" s="16"/>
      <c r="Z1026" s="16"/>
      <c r="AA1026" s="16"/>
      <c r="AB1026" s="16"/>
      <c r="AC1026" s="16"/>
      <c r="AD1026" s="16"/>
      <c r="AE1026" s="26" t="n">
        <v>20000</v>
      </c>
      <c r="AF1026" s="16" t="n">
        <v>20000</v>
      </c>
      <c r="AG1026" s="16" t="n">
        <v>20000</v>
      </c>
      <c r="AH1026" s="16" t="n">
        <v>20000</v>
      </c>
      <c r="AI1026" s="16" t="n">
        <v>20000</v>
      </c>
      <c r="AJ1026" s="9" t="n">
        <f aca="false">X1026*$V1026</f>
        <v>0</v>
      </c>
      <c r="AK1026" s="9" t="n">
        <f aca="false">Y1026*$V1026</f>
        <v>0</v>
      </c>
      <c r="AL1026" s="9" t="n">
        <f aca="false">Z1026*$V1026</f>
        <v>0</v>
      </c>
      <c r="AM1026" s="9" t="n">
        <f aca="false">AA1026*$V1026</f>
        <v>0</v>
      </c>
      <c r="AN1026" s="9" t="n">
        <f aca="false">AB1026*$V1026</f>
        <v>0</v>
      </c>
      <c r="AO1026" s="9" t="n">
        <f aca="false">AC1026*$V1026</f>
        <v>0</v>
      </c>
      <c r="AP1026" s="9" t="n">
        <f aca="false">AD1026*$V1026</f>
        <v>0</v>
      </c>
      <c r="AQ1026" s="9" t="n">
        <f aca="false">AE1026*$V1026</f>
        <v>6000</v>
      </c>
      <c r="AR1026" s="9" t="n">
        <f aca="false">AF1026*$V1026</f>
        <v>6000</v>
      </c>
      <c r="AS1026" s="9" t="n">
        <f aca="false">AG1026*$V1026</f>
        <v>6000</v>
      </c>
      <c r="AT1026" s="9" t="n">
        <f aca="false">AH1026*$V1026</f>
        <v>6000</v>
      </c>
      <c r="AU1026" s="9" t="n">
        <f aca="false">AI1026*$V1026</f>
        <v>6000</v>
      </c>
      <c r="AV1026" s="9" t="n">
        <f aca="false">SUM(X1026:AI1026)/1000</f>
        <v>100</v>
      </c>
      <c r="AW1026" s="9" t="n">
        <f aca="false">SUM(AJ1026:AU1026)</f>
        <v>30000</v>
      </c>
      <c r="AX1026" s="9" t="n">
        <f aca="false">IF(D1026="INR",AW1026/88.24,AW1026)/1000000</f>
        <v>0.03</v>
      </c>
    </row>
    <row r="1027" s="2" customFormat="true" ht="14.25" hidden="false" customHeight="false" outlineLevel="0" collapsed="false">
      <c r="A1027" s="12"/>
      <c r="B1027" s="16" t="n">
        <v>1</v>
      </c>
      <c r="C1027" s="15"/>
      <c r="D1027" s="16" t="s">
        <v>102</v>
      </c>
      <c r="E1027" s="16"/>
      <c r="F1027" s="16" t="s">
        <v>52</v>
      </c>
      <c r="G1027" s="16"/>
      <c r="H1027" s="16" t="s">
        <v>1989</v>
      </c>
      <c r="I1027" s="16"/>
      <c r="J1027" s="16"/>
      <c r="K1027" s="16"/>
      <c r="L1027" s="16"/>
      <c r="M1027" s="16"/>
      <c r="N1027" s="16" t="s">
        <v>67</v>
      </c>
      <c r="O1027" s="16"/>
      <c r="P1027" s="16" t="s">
        <v>906</v>
      </c>
      <c r="Q1027" s="16" t="s">
        <v>906</v>
      </c>
      <c r="R1027" s="16"/>
      <c r="S1027" s="16"/>
      <c r="T1027" s="16" t="s">
        <v>1992</v>
      </c>
      <c r="U1027" s="16" t="s">
        <v>63</v>
      </c>
      <c r="V1027" s="16" t="n">
        <v>0.3</v>
      </c>
      <c r="W1027" s="16"/>
      <c r="X1027" s="16"/>
      <c r="Y1027" s="16"/>
      <c r="Z1027" s="16"/>
      <c r="AA1027" s="16"/>
      <c r="AB1027" s="16"/>
      <c r="AC1027" s="16"/>
      <c r="AD1027" s="16"/>
      <c r="AE1027" s="16" t="n">
        <v>20000</v>
      </c>
      <c r="AF1027" s="26" t="n">
        <v>20000</v>
      </c>
      <c r="AG1027" s="16" t="n">
        <v>20000</v>
      </c>
      <c r="AH1027" s="16" t="n">
        <v>20000</v>
      </c>
      <c r="AI1027" s="16" t="n">
        <v>20000</v>
      </c>
      <c r="AJ1027" s="9" t="n">
        <f aca="false">X1027*$V1027</f>
        <v>0</v>
      </c>
      <c r="AK1027" s="9" t="n">
        <f aca="false">Y1027*$V1027</f>
        <v>0</v>
      </c>
      <c r="AL1027" s="9" t="n">
        <f aca="false">Z1027*$V1027</f>
        <v>0</v>
      </c>
      <c r="AM1027" s="9" t="n">
        <f aca="false">AA1027*$V1027</f>
        <v>0</v>
      </c>
      <c r="AN1027" s="9" t="n">
        <f aca="false">AB1027*$V1027</f>
        <v>0</v>
      </c>
      <c r="AO1027" s="9" t="n">
        <f aca="false">AC1027*$V1027</f>
        <v>0</v>
      </c>
      <c r="AP1027" s="9" t="n">
        <f aca="false">AD1027*$V1027</f>
        <v>0</v>
      </c>
      <c r="AQ1027" s="9" t="n">
        <f aca="false">AE1027*$V1027</f>
        <v>6000</v>
      </c>
      <c r="AR1027" s="9" t="n">
        <f aca="false">AF1027*$V1027</f>
        <v>6000</v>
      </c>
      <c r="AS1027" s="9" t="n">
        <f aca="false">AG1027*$V1027</f>
        <v>6000</v>
      </c>
      <c r="AT1027" s="9" t="n">
        <f aca="false">AH1027*$V1027</f>
        <v>6000</v>
      </c>
      <c r="AU1027" s="9" t="n">
        <f aca="false">AI1027*$V1027</f>
        <v>6000</v>
      </c>
      <c r="AV1027" s="9" t="n">
        <f aca="false">SUM(X1027:AI1027)/1000</f>
        <v>100</v>
      </c>
      <c r="AW1027" s="9" t="n">
        <f aca="false">SUM(AJ1027:AU1027)</f>
        <v>30000</v>
      </c>
      <c r="AX1027" s="9" t="n">
        <f aca="false">IF(D1027="INR",AW1027/88.24,AW1027)/1000000</f>
        <v>0.03</v>
      </c>
    </row>
    <row r="1028" s="2" customFormat="true" ht="14.25" hidden="false" customHeight="false" outlineLevel="0" collapsed="false">
      <c r="A1028" s="35"/>
      <c r="B1028" s="9" t="n">
        <v>1</v>
      </c>
      <c r="C1028" s="10"/>
      <c r="D1028" s="9" t="s">
        <v>50</v>
      </c>
      <c r="E1028" s="9" t="s">
        <v>51</v>
      </c>
      <c r="F1028" s="9" t="s">
        <v>267</v>
      </c>
      <c r="G1028" s="9" t="s">
        <v>268</v>
      </c>
      <c r="H1028" s="9" t="s">
        <v>269</v>
      </c>
      <c r="I1028" s="9"/>
      <c r="J1028" s="9"/>
      <c r="K1028" s="9"/>
      <c r="L1028" s="9"/>
      <c r="M1028" s="9"/>
      <c r="N1028" s="9" t="s">
        <v>271</v>
      </c>
      <c r="O1028" s="9"/>
      <c r="P1028" s="9" t="s">
        <v>59</v>
      </c>
      <c r="Q1028" s="9" t="s">
        <v>59</v>
      </c>
      <c r="R1028" s="9" t="s">
        <v>60</v>
      </c>
      <c r="S1028" s="9" t="s">
        <v>61</v>
      </c>
      <c r="T1028" s="9" t="s">
        <v>1993</v>
      </c>
      <c r="U1028" s="9" t="s">
        <v>63</v>
      </c>
      <c r="V1028" s="9" t="n">
        <v>465</v>
      </c>
      <c r="W1028" s="9" t="n">
        <v>3.43</v>
      </c>
      <c r="X1028" s="9"/>
      <c r="Y1028" s="9"/>
      <c r="Z1028" s="9"/>
      <c r="AA1028" s="9"/>
      <c r="AB1028" s="9" t="n">
        <v>100</v>
      </c>
      <c r="AC1028" s="9"/>
      <c r="AD1028" s="9"/>
      <c r="AE1028" s="9"/>
      <c r="AF1028" s="9"/>
      <c r="AG1028" s="9"/>
      <c r="AH1028" s="9"/>
      <c r="AI1028" s="9"/>
      <c r="AJ1028" s="9" t="n">
        <f aca="false">X1028*$V1028</f>
        <v>0</v>
      </c>
      <c r="AK1028" s="9" t="n">
        <f aca="false">Y1028*$V1028</f>
        <v>0</v>
      </c>
      <c r="AL1028" s="9" t="n">
        <f aca="false">Z1028*$V1028</f>
        <v>0</v>
      </c>
      <c r="AM1028" s="9" t="n">
        <f aca="false">AA1028*$V1028</f>
        <v>0</v>
      </c>
      <c r="AN1028" s="9" t="n">
        <f aca="false">AB1028*$V1028</f>
        <v>46500</v>
      </c>
      <c r="AO1028" s="9" t="n">
        <f aca="false">AC1028*$V1028</f>
        <v>0</v>
      </c>
      <c r="AP1028" s="9" t="n">
        <f aca="false">AD1028*$V1028</f>
        <v>0</v>
      </c>
      <c r="AQ1028" s="9" t="n">
        <f aca="false">AE1028*$V1028</f>
        <v>0</v>
      </c>
      <c r="AR1028" s="9" t="n">
        <f aca="false">AF1028*$V1028</f>
        <v>0</v>
      </c>
      <c r="AS1028" s="9" t="n">
        <f aca="false">AG1028*$V1028</f>
        <v>0</v>
      </c>
      <c r="AT1028" s="9" t="n">
        <f aca="false">AH1028*$V1028</f>
        <v>0</v>
      </c>
      <c r="AU1028" s="9" t="n">
        <f aca="false">AI1028*$V1028</f>
        <v>0</v>
      </c>
      <c r="AV1028" s="9" t="n">
        <f aca="false">SUM(X1028:AI1028)/1000</f>
        <v>0.1</v>
      </c>
      <c r="AW1028" s="9" t="n">
        <f aca="false">SUM(AJ1028:AU1028)</f>
        <v>46500</v>
      </c>
      <c r="AX1028" s="9" t="n">
        <f aca="false">IF(D1028="INR",AW1028/88.24,AW1028)/1000000</f>
        <v>0.000526971894832276</v>
      </c>
    </row>
    <row r="1029" s="2" customFormat="true" ht="16.4" hidden="false" customHeight="false" outlineLevel="0" collapsed="false">
      <c r="A1029" s="35" t="s">
        <v>1994</v>
      </c>
      <c r="B1029" s="9"/>
      <c r="C1029" s="15"/>
      <c r="D1029" s="16" t="s">
        <v>102</v>
      </c>
      <c r="E1029" s="16" t="s">
        <v>51</v>
      </c>
      <c r="F1029" s="16" t="s">
        <v>52</v>
      </c>
      <c r="G1029" s="16" t="s">
        <v>857</v>
      </c>
      <c r="H1029" s="9" t="s">
        <v>858</v>
      </c>
      <c r="I1029" s="16" t="s">
        <v>298</v>
      </c>
      <c r="J1029" s="16" t="s">
        <v>298</v>
      </c>
      <c r="K1029" s="9" t="s">
        <v>858</v>
      </c>
      <c r="L1029" s="16" t="s">
        <v>298</v>
      </c>
      <c r="M1029" s="16" t="s">
        <v>298</v>
      </c>
      <c r="N1029" s="16" t="s">
        <v>79</v>
      </c>
      <c r="O1029" s="16" t="s">
        <v>294</v>
      </c>
      <c r="P1029" s="9" t="s">
        <v>110</v>
      </c>
      <c r="Q1029" s="9" t="s">
        <v>110</v>
      </c>
      <c r="R1029" s="9" t="s">
        <v>137</v>
      </c>
      <c r="S1029" s="9" t="s">
        <v>272</v>
      </c>
      <c r="T1029" s="9" t="s">
        <v>974</v>
      </c>
      <c r="U1029" s="16" t="s">
        <v>73</v>
      </c>
      <c r="V1029" s="36" t="n">
        <v>0.5</v>
      </c>
      <c r="W1029" s="9" t="n">
        <v>0.46</v>
      </c>
      <c r="X1029" s="22" t="n">
        <v>30000</v>
      </c>
      <c r="Y1029" s="9" t="n">
        <v>30000</v>
      </c>
      <c r="Z1029" s="9" t="n">
        <v>20000</v>
      </c>
      <c r="AA1029" s="9" t="n">
        <v>10000</v>
      </c>
      <c r="AB1029" s="9" t="n">
        <v>10000</v>
      </c>
      <c r="AC1029" s="9" t="n">
        <v>30000</v>
      </c>
      <c r="AD1029" s="23" t="n">
        <v>40000</v>
      </c>
      <c r="AE1029" s="9" t="n">
        <v>40000</v>
      </c>
      <c r="AF1029" s="9" t="n">
        <v>40000</v>
      </c>
      <c r="AG1029" s="9" t="n">
        <v>40000</v>
      </c>
      <c r="AH1029" s="9" t="n">
        <v>40000</v>
      </c>
      <c r="AI1029" s="9" t="n">
        <v>40000</v>
      </c>
      <c r="AJ1029" s="9" t="n">
        <f aca="false">X1029*$V1029</f>
        <v>15000</v>
      </c>
      <c r="AK1029" s="9" t="n">
        <f aca="false">Y1029*$V1029</f>
        <v>15000</v>
      </c>
      <c r="AL1029" s="9" t="n">
        <f aca="false">Z1029*$V1029</f>
        <v>10000</v>
      </c>
      <c r="AM1029" s="9" t="n">
        <f aca="false">AA1029*$V1029</f>
        <v>5000</v>
      </c>
      <c r="AN1029" s="9" t="n">
        <f aca="false">AB1029*$V1029</f>
        <v>5000</v>
      </c>
      <c r="AO1029" s="9" t="n">
        <f aca="false">AC1029*$V1029</f>
        <v>15000</v>
      </c>
      <c r="AP1029" s="9" t="n">
        <f aca="false">AD1029*$V1029</f>
        <v>20000</v>
      </c>
      <c r="AQ1029" s="9" t="n">
        <f aca="false">AE1029*$V1029</f>
        <v>20000</v>
      </c>
      <c r="AR1029" s="9" t="n">
        <f aca="false">AF1029*$V1029</f>
        <v>20000</v>
      </c>
      <c r="AS1029" s="9" t="n">
        <f aca="false">AG1029*$V1029</f>
        <v>20000</v>
      </c>
      <c r="AT1029" s="9" t="n">
        <f aca="false">AH1029*$V1029</f>
        <v>20000</v>
      </c>
      <c r="AU1029" s="9" t="n">
        <f aca="false">AI1029*$V1029</f>
        <v>20000</v>
      </c>
      <c r="AV1029" s="9" t="n">
        <f aca="false">SUM(X1029:AI1029)/1000</f>
        <v>370</v>
      </c>
      <c r="AW1029" s="9" t="n">
        <f aca="false">SUM(AJ1029:AU1029)</f>
        <v>185000</v>
      </c>
      <c r="AX1029" s="9" t="n">
        <f aca="false">IF(D1029="INR",AW1029/88.24,AW1029)/1000000</f>
        <v>0.185</v>
      </c>
    </row>
    <row r="1030" s="2" customFormat="true" ht="16.4" hidden="false" customHeight="false" outlineLevel="0" collapsed="false">
      <c r="A1030" s="35" t="s">
        <v>1995</v>
      </c>
      <c r="B1030" s="9"/>
      <c r="C1030" s="10"/>
      <c r="D1030" s="9" t="s">
        <v>102</v>
      </c>
      <c r="E1030" s="9" t="s">
        <v>51</v>
      </c>
      <c r="F1030" s="9" t="s">
        <v>52</v>
      </c>
      <c r="G1030" s="9" t="s">
        <v>857</v>
      </c>
      <c r="H1030" s="9" t="s">
        <v>858</v>
      </c>
      <c r="I1030" s="9" t="s">
        <v>298</v>
      </c>
      <c r="J1030" s="9" t="s">
        <v>298</v>
      </c>
      <c r="K1030" s="9" t="s">
        <v>858</v>
      </c>
      <c r="L1030" s="9" t="s">
        <v>298</v>
      </c>
      <c r="M1030" s="9" t="s">
        <v>298</v>
      </c>
      <c r="N1030" s="9" t="s">
        <v>79</v>
      </c>
      <c r="O1030" s="9" t="s">
        <v>294</v>
      </c>
      <c r="P1030" s="9" t="s">
        <v>110</v>
      </c>
      <c r="Q1030" s="9" t="s">
        <v>110</v>
      </c>
      <c r="R1030" s="9" t="s">
        <v>137</v>
      </c>
      <c r="S1030" s="9" t="s">
        <v>272</v>
      </c>
      <c r="T1030" s="9" t="s">
        <v>1996</v>
      </c>
      <c r="U1030" s="9" t="s">
        <v>73</v>
      </c>
      <c r="V1030" s="10" t="n">
        <v>0.53</v>
      </c>
      <c r="W1030" s="9" t="n">
        <v>0.482</v>
      </c>
      <c r="X1030" s="9" t="n">
        <v>10000</v>
      </c>
      <c r="Y1030" s="9" t="n">
        <v>10000</v>
      </c>
      <c r="Z1030" s="9" t="n">
        <v>10000</v>
      </c>
      <c r="AA1030" s="9" t="n">
        <v>10000</v>
      </c>
      <c r="AB1030" s="9" t="n">
        <v>10000</v>
      </c>
      <c r="AC1030" s="9" t="n">
        <v>10000</v>
      </c>
      <c r="AD1030" s="9" t="n">
        <v>10000</v>
      </c>
      <c r="AE1030" s="9" t="n">
        <v>10000</v>
      </c>
      <c r="AF1030" s="9" t="n">
        <v>10000</v>
      </c>
      <c r="AG1030" s="9" t="n">
        <v>10000</v>
      </c>
      <c r="AH1030" s="9" t="n">
        <v>10000</v>
      </c>
      <c r="AI1030" s="9" t="n">
        <v>10000</v>
      </c>
      <c r="AJ1030" s="9" t="n">
        <f aca="false">X1030*$V1030</f>
        <v>5300</v>
      </c>
      <c r="AK1030" s="9" t="n">
        <f aca="false">Y1030*$V1030</f>
        <v>5300</v>
      </c>
      <c r="AL1030" s="9" t="n">
        <f aca="false">Z1030*$V1030</f>
        <v>5300</v>
      </c>
      <c r="AM1030" s="9" t="n">
        <f aca="false">AA1030*$V1030</f>
        <v>5300</v>
      </c>
      <c r="AN1030" s="9" t="n">
        <f aca="false">AB1030*$V1030</f>
        <v>5300</v>
      </c>
      <c r="AO1030" s="9" t="n">
        <f aca="false">AC1030*$V1030</f>
        <v>5300</v>
      </c>
      <c r="AP1030" s="9" t="n">
        <f aca="false">AD1030*$V1030</f>
        <v>5300</v>
      </c>
      <c r="AQ1030" s="9" t="n">
        <f aca="false">AE1030*$V1030</f>
        <v>5300</v>
      </c>
      <c r="AR1030" s="9" t="n">
        <f aca="false">AF1030*$V1030</f>
        <v>5300</v>
      </c>
      <c r="AS1030" s="9" t="n">
        <f aca="false">AG1030*$V1030</f>
        <v>5300</v>
      </c>
      <c r="AT1030" s="9" t="n">
        <f aca="false">AH1030*$V1030</f>
        <v>5300</v>
      </c>
      <c r="AU1030" s="9" t="n">
        <f aca="false">AI1030*$V1030</f>
        <v>5300</v>
      </c>
      <c r="AV1030" s="9" t="n">
        <f aca="false">SUM(X1030:AI1030)/1000</f>
        <v>120</v>
      </c>
      <c r="AW1030" s="9" t="n">
        <f aca="false">SUM(AJ1030:AU1030)</f>
        <v>63600</v>
      </c>
      <c r="AX1030" s="9" t="n">
        <f aca="false">IF(D1030="INR",AW1030/88.24,AW1030)/1000000</f>
        <v>0.0636</v>
      </c>
    </row>
    <row r="1031" s="2" customFormat="true" ht="14.25" hidden="false" customHeight="false" outlineLevel="0" collapsed="false">
      <c r="A1031" s="12" t="s">
        <v>1997</v>
      </c>
      <c r="B1031" s="13"/>
      <c r="C1031" s="14"/>
      <c r="D1031" s="16" t="s">
        <v>102</v>
      </c>
      <c r="E1031" s="16" t="s">
        <v>51</v>
      </c>
      <c r="F1031" s="16" t="s">
        <v>52</v>
      </c>
      <c r="G1031" s="16" t="s">
        <v>857</v>
      </c>
      <c r="H1031" s="16" t="s">
        <v>858</v>
      </c>
      <c r="I1031" s="16" t="s">
        <v>298</v>
      </c>
      <c r="J1031" s="16" t="s">
        <v>298</v>
      </c>
      <c r="K1031" s="16"/>
      <c r="L1031" s="16" t="s">
        <v>298</v>
      </c>
      <c r="M1031" s="16" t="s">
        <v>298</v>
      </c>
      <c r="N1031" s="16" t="s">
        <v>79</v>
      </c>
      <c r="O1031" s="16" t="s">
        <v>294</v>
      </c>
      <c r="P1031" s="16" t="s">
        <v>460</v>
      </c>
      <c r="Q1031" s="16" t="s">
        <v>460</v>
      </c>
      <c r="R1031" s="16" t="s">
        <v>137</v>
      </c>
      <c r="S1031" s="16" t="s">
        <v>272</v>
      </c>
      <c r="T1031" s="16" t="s">
        <v>1998</v>
      </c>
      <c r="U1031" s="16" t="s">
        <v>73</v>
      </c>
      <c r="V1031" s="16" t="n">
        <v>0.766</v>
      </c>
      <c r="W1031" s="16" t="n">
        <v>0.689</v>
      </c>
      <c r="X1031" s="16" t="n">
        <v>3000</v>
      </c>
      <c r="Y1031" s="16" t="n">
        <v>3000</v>
      </c>
      <c r="Z1031" s="16" t="n">
        <v>3000</v>
      </c>
      <c r="AA1031" s="16" t="n">
        <v>3000</v>
      </c>
      <c r="AB1031" s="16" t="n">
        <v>3000</v>
      </c>
      <c r="AC1031" s="16" t="n">
        <v>3000</v>
      </c>
      <c r="AD1031" s="16" t="n">
        <v>3000</v>
      </c>
      <c r="AE1031" s="16" t="n">
        <v>3000</v>
      </c>
      <c r="AF1031" s="16" t="n">
        <v>3000</v>
      </c>
      <c r="AG1031" s="16" t="n">
        <v>3000</v>
      </c>
      <c r="AH1031" s="16" t="n">
        <v>3000</v>
      </c>
      <c r="AI1031" s="16" t="n">
        <v>3000</v>
      </c>
      <c r="AJ1031" s="9" t="n">
        <f aca="false">X1031*$V1031</f>
        <v>2298</v>
      </c>
      <c r="AK1031" s="9" t="n">
        <f aca="false">Y1031*$V1031</f>
        <v>2298</v>
      </c>
      <c r="AL1031" s="9" t="n">
        <f aca="false">Z1031*$V1031</f>
        <v>2298</v>
      </c>
      <c r="AM1031" s="9" t="n">
        <f aca="false">AA1031*$V1031</f>
        <v>2298</v>
      </c>
      <c r="AN1031" s="9" t="n">
        <f aca="false">AB1031*$V1031</f>
        <v>2298</v>
      </c>
      <c r="AO1031" s="9" t="n">
        <f aca="false">AC1031*$V1031</f>
        <v>2298</v>
      </c>
      <c r="AP1031" s="9" t="n">
        <f aca="false">AD1031*$V1031</f>
        <v>2298</v>
      </c>
      <c r="AQ1031" s="9" t="n">
        <f aca="false">AE1031*$V1031</f>
        <v>2298</v>
      </c>
      <c r="AR1031" s="9" t="n">
        <f aca="false">AF1031*$V1031</f>
        <v>2298</v>
      </c>
      <c r="AS1031" s="9" t="n">
        <f aca="false">AG1031*$V1031</f>
        <v>2298</v>
      </c>
      <c r="AT1031" s="9" t="n">
        <f aca="false">AH1031*$V1031</f>
        <v>2298</v>
      </c>
      <c r="AU1031" s="9" t="n">
        <f aca="false">AI1031*$V1031</f>
        <v>2298</v>
      </c>
      <c r="AV1031" s="9" t="n">
        <f aca="false">SUM(X1031:AI1031)/1000</f>
        <v>36</v>
      </c>
      <c r="AW1031" s="9" t="n">
        <f aca="false">SUM(AJ1031:AU1031)</f>
        <v>27576</v>
      </c>
      <c r="AX1031" s="9" t="n">
        <f aca="false">IF(D1031="INR",AW1031/88.24,AW1031)/1000000</f>
        <v>0.027576</v>
      </c>
    </row>
    <row r="1032" s="2" customFormat="true" ht="14.25" hidden="false" customHeight="false" outlineLevel="0" collapsed="false">
      <c r="A1032" s="12" t="s">
        <v>1999</v>
      </c>
      <c r="B1032" s="16"/>
      <c r="C1032" s="15"/>
      <c r="D1032" s="16" t="s">
        <v>102</v>
      </c>
      <c r="E1032" s="16" t="s">
        <v>51</v>
      </c>
      <c r="F1032" s="16" t="s">
        <v>52</v>
      </c>
      <c r="G1032" s="16" t="s">
        <v>857</v>
      </c>
      <c r="H1032" s="16" t="s">
        <v>858</v>
      </c>
      <c r="I1032" s="16" t="s">
        <v>298</v>
      </c>
      <c r="J1032" s="16" t="s">
        <v>298</v>
      </c>
      <c r="K1032" s="16" t="s">
        <v>858</v>
      </c>
      <c r="L1032" s="16" t="s">
        <v>298</v>
      </c>
      <c r="M1032" s="16" t="s">
        <v>298</v>
      </c>
      <c r="N1032" s="16" t="s">
        <v>79</v>
      </c>
      <c r="O1032" s="16" t="s">
        <v>294</v>
      </c>
      <c r="P1032" s="16" t="s">
        <v>110</v>
      </c>
      <c r="Q1032" s="16" t="s">
        <v>110</v>
      </c>
      <c r="R1032" s="16" t="s">
        <v>137</v>
      </c>
      <c r="S1032" s="16" t="s">
        <v>272</v>
      </c>
      <c r="T1032" s="16" t="s">
        <v>757</v>
      </c>
      <c r="U1032" s="16" t="s">
        <v>73</v>
      </c>
      <c r="V1032" s="16" t="n">
        <v>0.344</v>
      </c>
      <c r="W1032" s="16" t="n">
        <v>0.314</v>
      </c>
      <c r="X1032" s="16" t="n">
        <v>3000</v>
      </c>
      <c r="Y1032" s="16" t="n">
        <v>3000</v>
      </c>
      <c r="Z1032" s="16" t="n">
        <v>3000</v>
      </c>
      <c r="AA1032" s="16" t="n">
        <v>3000</v>
      </c>
      <c r="AB1032" s="16" t="n">
        <v>3000</v>
      </c>
      <c r="AC1032" s="16" t="n">
        <v>3000</v>
      </c>
      <c r="AD1032" s="16" t="n">
        <v>3000</v>
      </c>
      <c r="AE1032" s="16" t="n">
        <v>3000</v>
      </c>
      <c r="AF1032" s="16" t="n">
        <v>3000</v>
      </c>
      <c r="AG1032" s="16" t="n">
        <v>3000</v>
      </c>
      <c r="AH1032" s="16" t="n">
        <v>3000</v>
      </c>
      <c r="AI1032" s="16" t="n">
        <v>3000</v>
      </c>
      <c r="AJ1032" s="9" t="n">
        <f aca="false">X1032*$V1032</f>
        <v>1032</v>
      </c>
      <c r="AK1032" s="9" t="n">
        <f aca="false">Y1032*$V1032</f>
        <v>1032</v>
      </c>
      <c r="AL1032" s="9" t="n">
        <f aca="false">Z1032*$V1032</f>
        <v>1032</v>
      </c>
      <c r="AM1032" s="9" t="n">
        <f aca="false">AA1032*$V1032</f>
        <v>1032</v>
      </c>
      <c r="AN1032" s="9" t="n">
        <f aca="false">AB1032*$V1032</f>
        <v>1032</v>
      </c>
      <c r="AO1032" s="9" t="n">
        <f aca="false">AC1032*$V1032</f>
        <v>1032</v>
      </c>
      <c r="AP1032" s="9" t="n">
        <f aca="false">AD1032*$V1032</f>
        <v>1032</v>
      </c>
      <c r="AQ1032" s="9" t="n">
        <f aca="false">AE1032*$V1032</f>
        <v>1032</v>
      </c>
      <c r="AR1032" s="9" t="n">
        <f aca="false">AF1032*$V1032</f>
        <v>1032</v>
      </c>
      <c r="AS1032" s="9" t="n">
        <f aca="false">AG1032*$V1032</f>
        <v>1032</v>
      </c>
      <c r="AT1032" s="9" t="n">
        <f aca="false">AH1032*$V1032</f>
        <v>1032</v>
      </c>
      <c r="AU1032" s="9" t="n">
        <f aca="false">AI1032*$V1032</f>
        <v>1032</v>
      </c>
      <c r="AV1032" s="9" t="n">
        <f aca="false">SUM(X1032:AI1032)/1000</f>
        <v>36</v>
      </c>
      <c r="AW1032" s="9" t="n">
        <f aca="false">SUM(AJ1032:AU1032)</f>
        <v>12384</v>
      </c>
      <c r="AX1032" s="9" t="n">
        <f aca="false">IF(D1032="INR",AW1032/88.24,AW1032)/1000000</f>
        <v>0.012384</v>
      </c>
    </row>
    <row r="1033" s="2" customFormat="true" ht="14.25" hidden="false" customHeight="false" outlineLevel="0" collapsed="false">
      <c r="A1033" s="12" t="s">
        <v>2000</v>
      </c>
      <c r="B1033" s="16"/>
      <c r="C1033" s="15"/>
      <c r="D1033" s="16" t="s">
        <v>102</v>
      </c>
      <c r="E1033" s="16" t="s">
        <v>51</v>
      </c>
      <c r="F1033" s="16" t="s">
        <v>52</v>
      </c>
      <c r="G1033" s="16" t="s">
        <v>857</v>
      </c>
      <c r="H1033" s="16" t="s">
        <v>858</v>
      </c>
      <c r="I1033" s="16" t="s">
        <v>298</v>
      </c>
      <c r="J1033" s="16" t="s">
        <v>298</v>
      </c>
      <c r="K1033" s="16" t="s">
        <v>858</v>
      </c>
      <c r="L1033" s="16" t="s">
        <v>298</v>
      </c>
      <c r="M1033" s="16" t="s">
        <v>298</v>
      </c>
      <c r="N1033" s="16" t="s">
        <v>79</v>
      </c>
      <c r="O1033" s="16" t="s">
        <v>294</v>
      </c>
      <c r="P1033" s="9" t="s">
        <v>434</v>
      </c>
      <c r="Q1033" s="16" t="s">
        <v>434</v>
      </c>
      <c r="R1033" s="16" t="s">
        <v>137</v>
      </c>
      <c r="S1033" s="16" t="s">
        <v>272</v>
      </c>
      <c r="T1033" s="16" t="s">
        <v>2001</v>
      </c>
      <c r="U1033" s="16" t="s">
        <v>73</v>
      </c>
      <c r="V1033" s="16" t="n">
        <v>0.33</v>
      </c>
      <c r="W1033" s="16" t="n">
        <v>0.304</v>
      </c>
      <c r="X1033" s="16" t="n">
        <v>3000</v>
      </c>
      <c r="Y1033" s="16" t="n">
        <v>3000</v>
      </c>
      <c r="Z1033" s="16" t="n">
        <v>3000</v>
      </c>
      <c r="AA1033" s="16" t="n">
        <v>3000</v>
      </c>
      <c r="AB1033" s="16" t="n">
        <v>3000</v>
      </c>
      <c r="AC1033" s="16" t="n">
        <v>3000</v>
      </c>
      <c r="AD1033" s="16" t="n">
        <v>3000</v>
      </c>
      <c r="AE1033" s="16" t="n">
        <v>3000</v>
      </c>
      <c r="AF1033" s="16" t="n">
        <v>3000</v>
      </c>
      <c r="AG1033" s="16" t="n">
        <v>3000</v>
      </c>
      <c r="AH1033" s="16" t="n">
        <v>3000</v>
      </c>
      <c r="AI1033" s="16" t="n">
        <v>3000</v>
      </c>
      <c r="AJ1033" s="9" t="n">
        <f aca="false">X1033*$V1033</f>
        <v>990</v>
      </c>
      <c r="AK1033" s="9" t="n">
        <f aca="false">Y1033*$V1033</f>
        <v>990</v>
      </c>
      <c r="AL1033" s="9" t="n">
        <f aca="false">Z1033*$V1033</f>
        <v>990</v>
      </c>
      <c r="AM1033" s="9" t="n">
        <f aca="false">AA1033*$V1033</f>
        <v>990</v>
      </c>
      <c r="AN1033" s="9" t="n">
        <f aca="false">AB1033*$V1033</f>
        <v>990</v>
      </c>
      <c r="AO1033" s="9" t="n">
        <f aca="false">AC1033*$V1033</f>
        <v>990</v>
      </c>
      <c r="AP1033" s="9" t="n">
        <f aca="false">AD1033*$V1033</f>
        <v>990</v>
      </c>
      <c r="AQ1033" s="9" t="n">
        <f aca="false">AE1033*$V1033</f>
        <v>990</v>
      </c>
      <c r="AR1033" s="9" t="n">
        <f aca="false">AF1033*$V1033</f>
        <v>990</v>
      </c>
      <c r="AS1033" s="9" t="n">
        <f aca="false">AG1033*$V1033</f>
        <v>990</v>
      </c>
      <c r="AT1033" s="9" t="n">
        <f aca="false">AH1033*$V1033</f>
        <v>990</v>
      </c>
      <c r="AU1033" s="9" t="n">
        <f aca="false">AI1033*$V1033</f>
        <v>990</v>
      </c>
      <c r="AV1033" s="9" t="n">
        <f aca="false">SUM(X1033:AI1033)/1000</f>
        <v>36</v>
      </c>
      <c r="AW1033" s="9" t="n">
        <f aca="false">SUM(AJ1033:AU1033)</f>
        <v>11880</v>
      </c>
      <c r="AX1033" s="9" t="n">
        <f aca="false">IF(D1033="INR",AW1033/88.24,AW1033)/1000000</f>
        <v>0.01188</v>
      </c>
    </row>
    <row r="1034" s="2" customFormat="true" ht="14.25" hidden="false" customHeight="false" outlineLevel="0" collapsed="false">
      <c r="A1034" s="28"/>
      <c r="B1034" s="16" t="n">
        <v>1</v>
      </c>
      <c r="C1034" s="16"/>
      <c r="D1034" s="16" t="s">
        <v>50</v>
      </c>
      <c r="E1034" s="16"/>
      <c r="F1034" s="16" t="s">
        <v>243</v>
      </c>
      <c r="G1034" s="16"/>
      <c r="H1034" s="16" t="s">
        <v>471</v>
      </c>
      <c r="I1034" s="16"/>
      <c r="J1034" s="16"/>
      <c r="K1034" s="16"/>
      <c r="L1034" s="16"/>
      <c r="M1034" s="16"/>
      <c r="N1034" s="16" t="s">
        <v>93</v>
      </c>
      <c r="O1034" s="16"/>
      <c r="P1034" s="16"/>
      <c r="Q1034" s="16" t="s">
        <v>308</v>
      </c>
      <c r="R1034" s="16"/>
      <c r="S1034" s="16"/>
      <c r="T1034" s="16" t="s">
        <v>1569</v>
      </c>
      <c r="U1034" s="16" t="s">
        <v>382</v>
      </c>
      <c r="V1034" s="26" t="n">
        <v>0.79</v>
      </c>
      <c r="W1034" s="26"/>
      <c r="X1034" s="26"/>
      <c r="Y1034" s="16"/>
      <c r="Z1034" s="16"/>
      <c r="AA1034" s="16" t="n">
        <v>5000</v>
      </c>
      <c r="AB1034" s="16"/>
      <c r="AC1034" s="16"/>
      <c r="AD1034" s="16"/>
      <c r="AE1034" s="16"/>
      <c r="AF1034" s="16"/>
      <c r="AG1034" s="16"/>
      <c r="AH1034" s="16"/>
      <c r="AI1034" s="16"/>
      <c r="AJ1034" s="9" t="n">
        <f aca="false">X1034*$V1034</f>
        <v>0</v>
      </c>
      <c r="AK1034" s="9" t="n">
        <f aca="false">Y1034*$V1034</f>
        <v>0</v>
      </c>
      <c r="AL1034" s="9" t="n">
        <f aca="false">Z1034*$V1034</f>
        <v>0</v>
      </c>
      <c r="AM1034" s="9" t="n">
        <f aca="false">AA1034*$V1034</f>
        <v>3950</v>
      </c>
      <c r="AN1034" s="9" t="n">
        <f aca="false">AB1034*$V1034</f>
        <v>0</v>
      </c>
      <c r="AO1034" s="9" t="n">
        <f aca="false">AC1034*$V1034</f>
        <v>0</v>
      </c>
      <c r="AP1034" s="9" t="n">
        <f aca="false">AD1034*$V1034</f>
        <v>0</v>
      </c>
      <c r="AQ1034" s="9" t="n">
        <f aca="false">AE1034*$V1034</f>
        <v>0</v>
      </c>
      <c r="AR1034" s="9" t="n">
        <f aca="false">AF1034*$V1034</f>
        <v>0</v>
      </c>
      <c r="AS1034" s="9" t="n">
        <f aca="false">AG1034*$V1034</f>
        <v>0</v>
      </c>
      <c r="AT1034" s="9" t="n">
        <f aca="false">AH1034*$V1034</f>
        <v>0</v>
      </c>
      <c r="AU1034" s="9" t="n">
        <f aca="false">AI1034*$V1034</f>
        <v>0</v>
      </c>
      <c r="AV1034" s="9" t="n">
        <f aca="false">SUM(X1034:AI1034)/1000</f>
        <v>5</v>
      </c>
      <c r="AW1034" s="9" t="n">
        <f aca="false">SUM(AJ1034:AU1034)</f>
        <v>3950</v>
      </c>
      <c r="AX1034" s="56" t="n">
        <f aca="false">IF(D1034="INR",AW1034/88.24,AW1034)/1000000</f>
        <v>4.47642792384406E-005</v>
      </c>
    </row>
    <row r="1035" s="2" customFormat="true" ht="14.25" hidden="false" customHeight="false" outlineLevel="0" collapsed="false">
      <c r="A1035" s="12"/>
      <c r="B1035" s="16" t="n">
        <v>1</v>
      </c>
      <c r="C1035" s="15"/>
      <c r="D1035" s="16" t="s">
        <v>102</v>
      </c>
      <c r="E1035" s="16"/>
      <c r="F1035" s="16" t="s">
        <v>52</v>
      </c>
      <c r="G1035" s="16" t="s">
        <v>857</v>
      </c>
      <c r="H1035" s="16" t="s">
        <v>858</v>
      </c>
      <c r="I1035" s="16"/>
      <c r="J1035" s="16"/>
      <c r="K1035" s="16"/>
      <c r="L1035" s="16"/>
      <c r="M1035" s="16"/>
      <c r="N1035" s="16" t="s">
        <v>79</v>
      </c>
      <c r="O1035" s="16" t="s">
        <v>294</v>
      </c>
      <c r="P1035" s="16"/>
      <c r="Q1035" s="16" t="s">
        <v>110</v>
      </c>
      <c r="R1035" s="16"/>
      <c r="S1035" s="16"/>
      <c r="T1035" s="16" t="s">
        <v>2002</v>
      </c>
      <c r="U1035" s="16" t="s">
        <v>73</v>
      </c>
      <c r="V1035" s="16"/>
      <c r="W1035" s="16"/>
      <c r="X1035" s="16"/>
      <c r="Y1035" s="16"/>
      <c r="Z1035" s="16"/>
      <c r="AA1035" s="16"/>
      <c r="AB1035" s="16"/>
      <c r="AC1035" s="16" t="n">
        <v>5000</v>
      </c>
      <c r="AD1035" s="16" t="n">
        <v>5000</v>
      </c>
      <c r="AE1035" s="16" t="n">
        <v>5000</v>
      </c>
      <c r="AF1035" s="16" t="n">
        <v>5000</v>
      </c>
      <c r="AG1035" s="16" t="n">
        <v>5000</v>
      </c>
      <c r="AH1035" s="16" t="n">
        <v>5000</v>
      </c>
      <c r="AI1035" s="16" t="n">
        <v>5000</v>
      </c>
      <c r="AJ1035" s="9" t="n">
        <f aca="false">X1035*$V1035</f>
        <v>0</v>
      </c>
      <c r="AK1035" s="9" t="n">
        <f aca="false">Y1035*$V1035</f>
        <v>0</v>
      </c>
      <c r="AL1035" s="9" t="n">
        <f aca="false">Z1035*$V1035</f>
        <v>0</v>
      </c>
      <c r="AM1035" s="9" t="n">
        <f aca="false">AA1035*$V1035</f>
        <v>0</v>
      </c>
      <c r="AN1035" s="9" t="n">
        <f aca="false">AB1035*$V1035</f>
        <v>0</v>
      </c>
      <c r="AO1035" s="9" t="n">
        <f aca="false">AC1035*$V1035</f>
        <v>0</v>
      </c>
      <c r="AP1035" s="9" t="n">
        <f aca="false">AD1035*$V1035</f>
        <v>0</v>
      </c>
      <c r="AQ1035" s="9" t="n">
        <f aca="false">AE1035*$V1035</f>
        <v>0</v>
      </c>
      <c r="AR1035" s="9" t="n">
        <f aca="false">AF1035*$V1035</f>
        <v>0</v>
      </c>
      <c r="AS1035" s="9" t="n">
        <f aca="false">AG1035*$V1035</f>
        <v>0</v>
      </c>
      <c r="AT1035" s="9" t="n">
        <f aca="false">AH1035*$V1035</f>
        <v>0</v>
      </c>
      <c r="AU1035" s="9" t="n">
        <f aca="false">AI1035*$V1035</f>
        <v>0</v>
      </c>
      <c r="AV1035" s="9" t="n">
        <f aca="false">SUM(X1035:AI1035)/1000</f>
        <v>35</v>
      </c>
      <c r="AW1035" s="9" t="n">
        <f aca="false">SUM(AJ1035:AU1035)</f>
        <v>0</v>
      </c>
      <c r="AX1035" s="9" t="n">
        <f aca="false">IF(D1035="INR",AW1035/88.24,AW1035)/1000000</f>
        <v>0</v>
      </c>
    </row>
    <row r="1036" s="2" customFormat="true" ht="14.25" hidden="false" customHeight="false" outlineLevel="0" collapsed="false">
      <c r="A1036" s="12" t="s">
        <v>2003</v>
      </c>
      <c r="B1036" s="16"/>
      <c r="C1036" s="15"/>
      <c r="D1036" s="16" t="s">
        <v>102</v>
      </c>
      <c r="E1036" s="16" t="s">
        <v>51</v>
      </c>
      <c r="F1036" s="16" t="s">
        <v>52</v>
      </c>
      <c r="G1036" s="16" t="s">
        <v>857</v>
      </c>
      <c r="H1036" s="16" t="s">
        <v>858</v>
      </c>
      <c r="I1036" s="16" t="s">
        <v>298</v>
      </c>
      <c r="J1036" s="16" t="s">
        <v>298</v>
      </c>
      <c r="K1036" s="16"/>
      <c r="L1036" s="16" t="s">
        <v>298</v>
      </c>
      <c r="M1036" s="16" t="s">
        <v>298</v>
      </c>
      <c r="N1036" s="16" t="s">
        <v>79</v>
      </c>
      <c r="O1036" s="16" t="s">
        <v>294</v>
      </c>
      <c r="P1036" s="16" t="s">
        <v>2004</v>
      </c>
      <c r="Q1036" s="16" t="s">
        <v>2004</v>
      </c>
      <c r="R1036" s="16" t="s">
        <v>81</v>
      </c>
      <c r="S1036" s="16" t="s">
        <v>87</v>
      </c>
      <c r="T1036" s="16" t="s">
        <v>2005</v>
      </c>
      <c r="U1036" s="16" t="s">
        <v>73</v>
      </c>
      <c r="V1036" s="16" t="n">
        <v>0.169</v>
      </c>
      <c r="W1036" s="16" t="n">
        <v>0.1426</v>
      </c>
      <c r="X1036" s="22" t="n">
        <v>2000</v>
      </c>
      <c r="Y1036" s="22" t="n">
        <v>2000</v>
      </c>
      <c r="Z1036" s="22" t="n">
        <v>2000</v>
      </c>
      <c r="AA1036" s="22" t="n">
        <v>2000</v>
      </c>
      <c r="AB1036" s="22" t="n">
        <v>2000</v>
      </c>
      <c r="AC1036" s="22" t="n">
        <v>2000</v>
      </c>
      <c r="AD1036" s="22" t="n">
        <v>2000</v>
      </c>
      <c r="AE1036" s="22" t="n">
        <v>2000</v>
      </c>
      <c r="AF1036" s="22" t="n">
        <v>2000</v>
      </c>
      <c r="AG1036" s="22" t="n">
        <v>2000</v>
      </c>
      <c r="AH1036" s="22" t="n">
        <v>2000</v>
      </c>
      <c r="AI1036" s="22" t="n">
        <v>5000</v>
      </c>
      <c r="AJ1036" s="9" t="n">
        <f aca="false">X1036*$V1036</f>
        <v>338</v>
      </c>
      <c r="AK1036" s="9" t="n">
        <f aca="false">Y1036*$V1036</f>
        <v>338</v>
      </c>
      <c r="AL1036" s="9" t="n">
        <f aca="false">Z1036*$V1036</f>
        <v>338</v>
      </c>
      <c r="AM1036" s="9" t="n">
        <f aca="false">AA1036*$V1036</f>
        <v>338</v>
      </c>
      <c r="AN1036" s="9" t="n">
        <f aca="false">AB1036*$V1036</f>
        <v>338</v>
      </c>
      <c r="AO1036" s="9" t="n">
        <f aca="false">AC1036*$V1036</f>
        <v>338</v>
      </c>
      <c r="AP1036" s="9" t="n">
        <f aca="false">AD1036*$V1036</f>
        <v>338</v>
      </c>
      <c r="AQ1036" s="9" t="n">
        <f aca="false">AE1036*$V1036</f>
        <v>338</v>
      </c>
      <c r="AR1036" s="9" t="n">
        <f aca="false">AF1036*$V1036</f>
        <v>338</v>
      </c>
      <c r="AS1036" s="9" t="n">
        <f aca="false">AG1036*$V1036</f>
        <v>338</v>
      </c>
      <c r="AT1036" s="9" t="n">
        <f aca="false">AH1036*$V1036</f>
        <v>338</v>
      </c>
      <c r="AU1036" s="9" t="n">
        <f aca="false">AI1036*$V1036</f>
        <v>845</v>
      </c>
      <c r="AV1036" s="9" t="n">
        <f aca="false">SUM(X1036:AI1036)/1000</f>
        <v>27</v>
      </c>
      <c r="AW1036" s="9" t="n">
        <f aca="false">SUM(AJ1036:AU1036)</f>
        <v>4563</v>
      </c>
      <c r="AX1036" s="9" t="n">
        <f aca="false">IF(D1036="INR",AW1036/88.24,AW1036)/1000000</f>
        <v>0.004563</v>
      </c>
    </row>
    <row r="1037" s="2" customFormat="true" ht="14.25" hidden="false" customHeight="false" outlineLevel="0" collapsed="false">
      <c r="A1037" s="12" t="s">
        <v>2006</v>
      </c>
      <c r="B1037" s="16"/>
      <c r="C1037" s="15"/>
      <c r="D1037" s="16" t="s">
        <v>102</v>
      </c>
      <c r="E1037" s="16" t="s">
        <v>51</v>
      </c>
      <c r="F1037" s="16" t="s">
        <v>52</v>
      </c>
      <c r="G1037" s="16" t="s">
        <v>857</v>
      </c>
      <c r="H1037" s="16" t="s">
        <v>858</v>
      </c>
      <c r="I1037" s="16" t="s">
        <v>298</v>
      </c>
      <c r="J1037" s="16" t="s">
        <v>298</v>
      </c>
      <c r="K1037" s="16"/>
      <c r="L1037" s="16" t="s">
        <v>298</v>
      </c>
      <c r="M1037" s="16" t="s">
        <v>298</v>
      </c>
      <c r="N1037" s="16" t="s">
        <v>79</v>
      </c>
      <c r="O1037" s="16" t="s">
        <v>294</v>
      </c>
      <c r="P1037" s="16" t="s">
        <v>2004</v>
      </c>
      <c r="Q1037" s="16" t="s">
        <v>2004</v>
      </c>
      <c r="R1037" s="16" t="s">
        <v>81</v>
      </c>
      <c r="S1037" s="16" t="s">
        <v>87</v>
      </c>
      <c r="T1037" s="9" t="s">
        <v>2007</v>
      </c>
      <c r="U1037" s="9" t="s">
        <v>73</v>
      </c>
      <c r="V1037" s="9" t="n">
        <v>0.117</v>
      </c>
      <c r="W1037" s="16" t="n">
        <v>0.1032</v>
      </c>
      <c r="X1037" s="22" t="n">
        <v>0</v>
      </c>
      <c r="Y1037" s="16" t="n">
        <v>0</v>
      </c>
      <c r="Z1037" s="16" t="n">
        <v>0</v>
      </c>
      <c r="AA1037" s="16" t="n">
        <v>5000</v>
      </c>
      <c r="AB1037" s="16" t="n">
        <v>0</v>
      </c>
      <c r="AC1037" s="16" t="n">
        <v>5000</v>
      </c>
      <c r="AD1037" s="16" t="n">
        <v>0</v>
      </c>
      <c r="AE1037" s="16" t="n">
        <v>5000</v>
      </c>
      <c r="AF1037" s="16" t="n">
        <v>0</v>
      </c>
      <c r="AG1037" s="16" t="n">
        <v>5000</v>
      </c>
      <c r="AH1037" s="16" t="n">
        <v>0</v>
      </c>
      <c r="AI1037" s="16" t="n">
        <v>5000</v>
      </c>
      <c r="AJ1037" s="9" t="n">
        <f aca="false">X1037*$V1037</f>
        <v>0</v>
      </c>
      <c r="AK1037" s="9" t="n">
        <f aca="false">Y1037*$V1037</f>
        <v>0</v>
      </c>
      <c r="AL1037" s="9" t="n">
        <f aca="false">Z1037*$V1037</f>
        <v>0</v>
      </c>
      <c r="AM1037" s="9" t="n">
        <f aca="false">AA1037*$V1037</f>
        <v>585</v>
      </c>
      <c r="AN1037" s="9" t="n">
        <f aca="false">AB1037*$V1037</f>
        <v>0</v>
      </c>
      <c r="AO1037" s="9" t="n">
        <f aca="false">AC1037*$V1037</f>
        <v>585</v>
      </c>
      <c r="AP1037" s="9" t="n">
        <f aca="false">AD1037*$V1037</f>
        <v>0</v>
      </c>
      <c r="AQ1037" s="9" t="n">
        <f aca="false">AE1037*$V1037</f>
        <v>585</v>
      </c>
      <c r="AR1037" s="9" t="n">
        <f aca="false">AF1037*$V1037</f>
        <v>0</v>
      </c>
      <c r="AS1037" s="9" t="n">
        <f aca="false">AG1037*$V1037</f>
        <v>585</v>
      </c>
      <c r="AT1037" s="9" t="n">
        <f aca="false">AH1037*$V1037</f>
        <v>0</v>
      </c>
      <c r="AU1037" s="9" t="n">
        <f aca="false">AI1037*$V1037</f>
        <v>585</v>
      </c>
      <c r="AV1037" s="9" t="n">
        <f aca="false">SUM(X1037:AI1037)/1000</f>
        <v>25</v>
      </c>
      <c r="AW1037" s="9" t="n">
        <f aca="false">SUM(AJ1037:AU1037)</f>
        <v>2925</v>
      </c>
      <c r="AX1037" s="9" t="n">
        <f aca="false">IF(D1037="INR",AW1037/88.24,AW1037)/1000000</f>
        <v>0.002925</v>
      </c>
    </row>
    <row r="1038" s="2" customFormat="true" ht="14.25" hidden="false" customHeight="false" outlineLevel="0" collapsed="false">
      <c r="A1038" s="28"/>
      <c r="B1038" s="16" t="n">
        <v>1</v>
      </c>
      <c r="C1038" s="16"/>
      <c r="D1038" s="16" t="s">
        <v>50</v>
      </c>
      <c r="E1038" s="16"/>
      <c r="F1038" s="16" t="s">
        <v>243</v>
      </c>
      <c r="G1038" s="16"/>
      <c r="H1038" s="16" t="s">
        <v>471</v>
      </c>
      <c r="I1038" s="16"/>
      <c r="J1038" s="16"/>
      <c r="K1038" s="16"/>
      <c r="L1038" s="16"/>
      <c r="M1038" s="16"/>
      <c r="N1038" s="16" t="s">
        <v>93</v>
      </c>
      <c r="O1038" s="16"/>
      <c r="P1038" s="16"/>
      <c r="Q1038" s="16" t="s">
        <v>308</v>
      </c>
      <c r="R1038" s="16"/>
      <c r="S1038" s="16"/>
      <c r="T1038" s="16" t="s">
        <v>320</v>
      </c>
      <c r="U1038" s="16" t="s">
        <v>382</v>
      </c>
      <c r="V1038" s="16" t="n">
        <v>0.85</v>
      </c>
      <c r="W1038" s="26"/>
      <c r="X1038" s="16"/>
      <c r="Y1038" s="16"/>
      <c r="Z1038" s="16"/>
      <c r="AA1038" s="26" t="n">
        <v>3000</v>
      </c>
      <c r="AB1038" s="16"/>
      <c r="AC1038" s="16"/>
      <c r="AD1038" s="16"/>
      <c r="AE1038" s="16"/>
      <c r="AF1038" s="16"/>
      <c r="AG1038" s="16"/>
      <c r="AH1038" s="16"/>
      <c r="AI1038" s="16"/>
      <c r="AJ1038" s="9" t="n">
        <f aca="false">X1038*$V1038</f>
        <v>0</v>
      </c>
      <c r="AK1038" s="9" t="n">
        <f aca="false">Y1038*$V1038</f>
        <v>0</v>
      </c>
      <c r="AL1038" s="9" t="n">
        <f aca="false">Z1038*$V1038</f>
        <v>0</v>
      </c>
      <c r="AM1038" s="9" t="n">
        <f aca="false">AA1038*$V1038</f>
        <v>2550</v>
      </c>
      <c r="AN1038" s="9" t="n">
        <f aca="false">AB1038*$V1038</f>
        <v>0</v>
      </c>
      <c r="AO1038" s="9" t="n">
        <f aca="false">AC1038*$V1038</f>
        <v>0</v>
      </c>
      <c r="AP1038" s="9" t="n">
        <f aca="false">AD1038*$V1038</f>
        <v>0</v>
      </c>
      <c r="AQ1038" s="9" t="n">
        <f aca="false">AE1038*$V1038</f>
        <v>0</v>
      </c>
      <c r="AR1038" s="9" t="n">
        <f aca="false">AF1038*$V1038</f>
        <v>0</v>
      </c>
      <c r="AS1038" s="9" t="n">
        <f aca="false">AG1038*$V1038</f>
        <v>0</v>
      </c>
      <c r="AT1038" s="9" t="n">
        <f aca="false">AH1038*$V1038</f>
        <v>0</v>
      </c>
      <c r="AU1038" s="9" t="n">
        <f aca="false">AI1038*$V1038</f>
        <v>0</v>
      </c>
      <c r="AV1038" s="9" t="n">
        <f aca="false">SUM(X1038:AI1038)/1000</f>
        <v>3</v>
      </c>
      <c r="AW1038" s="9" t="n">
        <f aca="false">SUM(AJ1038:AU1038)</f>
        <v>2550</v>
      </c>
      <c r="AX1038" s="9" t="n">
        <f aca="false">IF(D1038="INR",AW1038/88.24,AW1038)/1000000</f>
        <v>2.88984587488667E-005</v>
      </c>
    </row>
    <row r="1039" s="2" customFormat="true" ht="14.25" hidden="false" customHeight="false" outlineLevel="0" collapsed="false">
      <c r="A1039" s="12" t="s">
        <v>2008</v>
      </c>
      <c r="B1039" s="16"/>
      <c r="C1039" s="15"/>
      <c r="D1039" s="16" t="s">
        <v>102</v>
      </c>
      <c r="E1039" s="16" t="s">
        <v>51</v>
      </c>
      <c r="F1039" s="16" t="s">
        <v>52</v>
      </c>
      <c r="G1039" s="16" t="s">
        <v>857</v>
      </c>
      <c r="H1039" s="16" t="s">
        <v>858</v>
      </c>
      <c r="I1039" s="16" t="s">
        <v>298</v>
      </c>
      <c r="J1039" s="16" t="s">
        <v>298</v>
      </c>
      <c r="K1039" s="16" t="s">
        <v>858</v>
      </c>
      <c r="L1039" s="16" t="s">
        <v>298</v>
      </c>
      <c r="M1039" s="16" t="s">
        <v>298</v>
      </c>
      <c r="N1039" s="16" t="s">
        <v>79</v>
      </c>
      <c r="O1039" s="16" t="s">
        <v>294</v>
      </c>
      <c r="P1039" s="16" t="s">
        <v>110</v>
      </c>
      <c r="Q1039" s="16" t="s">
        <v>110</v>
      </c>
      <c r="R1039" s="16" t="s">
        <v>137</v>
      </c>
      <c r="S1039" s="16" t="s">
        <v>272</v>
      </c>
      <c r="T1039" s="16" t="s">
        <v>1054</v>
      </c>
      <c r="U1039" s="16" t="s">
        <v>73</v>
      </c>
      <c r="V1039" s="16" t="n">
        <v>0.585</v>
      </c>
      <c r="W1039" s="16" t="n">
        <v>0.552</v>
      </c>
      <c r="X1039" s="16" t="n">
        <v>2000</v>
      </c>
      <c r="Y1039" s="16" t="n">
        <v>2000</v>
      </c>
      <c r="Z1039" s="16" t="n">
        <v>2000</v>
      </c>
      <c r="AA1039" s="16" t="n">
        <v>2000</v>
      </c>
      <c r="AB1039" s="16" t="n">
        <v>2000</v>
      </c>
      <c r="AC1039" s="16" t="n">
        <v>2000</v>
      </c>
      <c r="AD1039" s="16" t="n">
        <v>2000</v>
      </c>
      <c r="AE1039" s="16" t="n">
        <v>2000</v>
      </c>
      <c r="AF1039" s="16" t="n">
        <v>2000</v>
      </c>
      <c r="AG1039" s="16" t="n">
        <v>2000</v>
      </c>
      <c r="AH1039" s="16" t="n">
        <v>2000</v>
      </c>
      <c r="AI1039" s="16" t="n">
        <v>2000</v>
      </c>
      <c r="AJ1039" s="9" t="n">
        <f aca="false">X1039*$V1039</f>
        <v>1170</v>
      </c>
      <c r="AK1039" s="9" t="n">
        <f aca="false">Y1039*$V1039</f>
        <v>1170</v>
      </c>
      <c r="AL1039" s="9" t="n">
        <f aca="false">Z1039*$V1039</f>
        <v>1170</v>
      </c>
      <c r="AM1039" s="9" t="n">
        <f aca="false">AA1039*$V1039</f>
        <v>1170</v>
      </c>
      <c r="AN1039" s="9" t="n">
        <f aca="false">AB1039*$V1039</f>
        <v>1170</v>
      </c>
      <c r="AO1039" s="9" t="n">
        <f aca="false">AC1039*$V1039</f>
        <v>1170</v>
      </c>
      <c r="AP1039" s="9" t="n">
        <f aca="false">AD1039*$V1039</f>
        <v>1170</v>
      </c>
      <c r="AQ1039" s="9" t="n">
        <f aca="false">AE1039*$V1039</f>
        <v>1170</v>
      </c>
      <c r="AR1039" s="9" t="n">
        <f aca="false">AF1039*$V1039</f>
        <v>1170</v>
      </c>
      <c r="AS1039" s="9" t="n">
        <f aca="false">AG1039*$V1039</f>
        <v>1170</v>
      </c>
      <c r="AT1039" s="9" t="n">
        <f aca="false">AH1039*$V1039</f>
        <v>1170</v>
      </c>
      <c r="AU1039" s="9" t="n">
        <f aca="false">AI1039*$V1039</f>
        <v>1170</v>
      </c>
      <c r="AV1039" s="9" t="n">
        <f aca="false">SUM(X1039:AI1039)/1000</f>
        <v>24</v>
      </c>
      <c r="AW1039" s="9" t="n">
        <f aca="false">SUM(AJ1039:AU1039)</f>
        <v>14040</v>
      </c>
      <c r="AX1039" s="9" t="n">
        <f aca="false">IF(D1039="INR",AW1039/88.24,AW1039)/1000000</f>
        <v>0.01404</v>
      </c>
    </row>
    <row r="1040" s="2" customFormat="true" ht="14.25" hidden="false" customHeight="false" outlineLevel="0" collapsed="false">
      <c r="A1040" s="12" t="s">
        <v>2009</v>
      </c>
      <c r="B1040" s="16" t="n">
        <v>5</v>
      </c>
      <c r="C1040" s="15"/>
      <c r="D1040" s="16" t="s">
        <v>50</v>
      </c>
      <c r="E1040" s="16" t="s">
        <v>51</v>
      </c>
      <c r="F1040" s="16" t="s">
        <v>404</v>
      </c>
      <c r="G1040" s="16" t="s">
        <v>650</v>
      </c>
      <c r="H1040" s="16" t="s">
        <v>651</v>
      </c>
      <c r="I1040" s="16" t="s">
        <v>105</v>
      </c>
      <c r="J1040" s="16" t="s">
        <v>368</v>
      </c>
      <c r="K1040" s="16"/>
      <c r="L1040" s="16" t="s">
        <v>105</v>
      </c>
      <c r="M1040" s="16" t="s">
        <v>368</v>
      </c>
      <c r="N1040" s="16" t="s">
        <v>271</v>
      </c>
      <c r="O1040" s="16" t="s">
        <v>94</v>
      </c>
      <c r="P1040" s="16" t="s">
        <v>376</v>
      </c>
      <c r="Q1040" s="16" t="s">
        <v>376</v>
      </c>
      <c r="R1040" s="16" t="s">
        <v>377</v>
      </c>
      <c r="S1040" s="16" t="s">
        <v>264</v>
      </c>
      <c r="T1040" s="16" t="s">
        <v>2010</v>
      </c>
      <c r="U1040" s="16" t="s">
        <v>73</v>
      </c>
      <c r="V1040" s="16" t="n">
        <v>1.73</v>
      </c>
      <c r="W1040" s="16" t="n">
        <v>0.0145</v>
      </c>
      <c r="X1040" s="16" t="n">
        <v>15000</v>
      </c>
      <c r="Y1040" s="16" t="n">
        <v>15000</v>
      </c>
      <c r="Z1040" s="16"/>
      <c r="AA1040" s="16"/>
      <c r="AB1040" s="16" t="n">
        <v>15000</v>
      </c>
      <c r="AC1040" s="16"/>
      <c r="AD1040" s="16"/>
      <c r="AE1040" s="16" t="n">
        <v>15000</v>
      </c>
      <c r="AF1040" s="16" t="n">
        <v>15000</v>
      </c>
      <c r="AG1040" s="16"/>
      <c r="AH1040" s="16" t="n">
        <v>15000</v>
      </c>
      <c r="AI1040" s="16" t="n">
        <v>15000</v>
      </c>
      <c r="AJ1040" s="9" t="n">
        <f aca="false">X1040*$V1040</f>
        <v>25950</v>
      </c>
      <c r="AK1040" s="9" t="n">
        <f aca="false">Y1040*$V1040</f>
        <v>25950</v>
      </c>
      <c r="AL1040" s="9" t="n">
        <f aca="false">Z1040*$V1040</f>
        <v>0</v>
      </c>
      <c r="AM1040" s="9" t="n">
        <f aca="false">AA1040*$V1040</f>
        <v>0</v>
      </c>
      <c r="AN1040" s="9" t="n">
        <f aca="false">AB1040*$V1040</f>
        <v>25950</v>
      </c>
      <c r="AO1040" s="9" t="n">
        <f aca="false">AC1040*$V1040</f>
        <v>0</v>
      </c>
      <c r="AP1040" s="9" t="n">
        <f aca="false">AD1040*$V1040</f>
        <v>0</v>
      </c>
      <c r="AQ1040" s="9" t="n">
        <f aca="false">AE1040*$V1040</f>
        <v>25950</v>
      </c>
      <c r="AR1040" s="9" t="n">
        <f aca="false">AF1040*$V1040</f>
        <v>25950</v>
      </c>
      <c r="AS1040" s="9" t="n">
        <f aca="false">AG1040*$V1040</f>
        <v>0</v>
      </c>
      <c r="AT1040" s="9" t="n">
        <f aca="false">AH1040*$V1040</f>
        <v>25950</v>
      </c>
      <c r="AU1040" s="9" t="n">
        <f aca="false">AI1040*$V1040</f>
        <v>25950</v>
      </c>
      <c r="AV1040" s="9" t="n">
        <f aca="false">SUM(X1040:AI1040)/1000</f>
        <v>105</v>
      </c>
      <c r="AW1040" s="9" t="n">
        <f aca="false">SUM(AJ1040:AU1040)</f>
        <v>181650</v>
      </c>
      <c r="AX1040" s="9" t="n">
        <f aca="false">IF(D1040="INR",AW1040/88.24,AW1040)/1000000</f>
        <v>0.00205859020852221</v>
      </c>
    </row>
    <row r="1041" s="2" customFormat="true" ht="14.25" hidden="false" customHeight="false" outlineLevel="0" collapsed="false">
      <c r="A1041" s="12" t="s">
        <v>2011</v>
      </c>
      <c r="B1041" s="16"/>
      <c r="C1041" s="15"/>
      <c r="D1041" s="16" t="s">
        <v>102</v>
      </c>
      <c r="E1041" s="16" t="s">
        <v>51</v>
      </c>
      <c r="F1041" s="16" t="s">
        <v>52</v>
      </c>
      <c r="G1041" s="16" t="s">
        <v>857</v>
      </c>
      <c r="H1041" s="16" t="s">
        <v>858</v>
      </c>
      <c r="I1041" s="16" t="s">
        <v>298</v>
      </c>
      <c r="J1041" s="16" t="s">
        <v>298</v>
      </c>
      <c r="K1041" s="16"/>
      <c r="L1041" s="16" t="s">
        <v>298</v>
      </c>
      <c r="M1041" s="16" t="s">
        <v>298</v>
      </c>
      <c r="N1041" s="16" t="s">
        <v>79</v>
      </c>
      <c r="O1041" s="16" t="s">
        <v>294</v>
      </c>
      <c r="P1041" s="16" t="s">
        <v>2004</v>
      </c>
      <c r="Q1041" s="16" t="s">
        <v>2004</v>
      </c>
      <c r="R1041" s="16" t="s">
        <v>81</v>
      </c>
      <c r="S1041" s="16" t="s">
        <v>87</v>
      </c>
      <c r="T1041" s="16" t="s">
        <v>2012</v>
      </c>
      <c r="U1041" s="16" t="s">
        <v>73</v>
      </c>
      <c r="V1041" s="16" t="n">
        <v>0.1465</v>
      </c>
      <c r="W1041" s="16" t="n">
        <v>0.1344</v>
      </c>
      <c r="X1041" s="22" t="n">
        <v>2000</v>
      </c>
      <c r="Y1041" s="16" t="n">
        <v>2000</v>
      </c>
      <c r="Z1041" s="16" t="n">
        <v>2000</v>
      </c>
      <c r="AA1041" s="16" t="n">
        <v>2000</v>
      </c>
      <c r="AB1041" s="16" t="n">
        <v>2000</v>
      </c>
      <c r="AC1041" s="16" t="n">
        <v>2000</v>
      </c>
      <c r="AD1041" s="16" t="n">
        <v>2000</v>
      </c>
      <c r="AE1041" s="16" t="n">
        <v>2000</v>
      </c>
      <c r="AF1041" s="16" t="n">
        <v>2000</v>
      </c>
      <c r="AG1041" s="16" t="n">
        <v>2000</v>
      </c>
      <c r="AH1041" s="16" t="n">
        <v>2000</v>
      </c>
      <c r="AI1041" s="16" t="n">
        <v>2000</v>
      </c>
      <c r="AJ1041" s="9" t="n">
        <f aca="false">X1041*$V1041</f>
        <v>293</v>
      </c>
      <c r="AK1041" s="9" t="n">
        <f aca="false">Y1041*$V1041</f>
        <v>293</v>
      </c>
      <c r="AL1041" s="9" t="n">
        <f aca="false">Z1041*$V1041</f>
        <v>293</v>
      </c>
      <c r="AM1041" s="9" t="n">
        <f aca="false">AA1041*$V1041</f>
        <v>293</v>
      </c>
      <c r="AN1041" s="9" t="n">
        <f aca="false">AB1041*$V1041</f>
        <v>293</v>
      </c>
      <c r="AO1041" s="9" t="n">
        <f aca="false">AC1041*$V1041</f>
        <v>293</v>
      </c>
      <c r="AP1041" s="9" t="n">
        <f aca="false">AD1041*$V1041</f>
        <v>293</v>
      </c>
      <c r="AQ1041" s="9" t="n">
        <f aca="false">AE1041*$V1041</f>
        <v>293</v>
      </c>
      <c r="AR1041" s="9" t="n">
        <f aca="false">AF1041*$V1041</f>
        <v>293</v>
      </c>
      <c r="AS1041" s="9" t="n">
        <f aca="false">AG1041*$V1041</f>
        <v>293</v>
      </c>
      <c r="AT1041" s="9" t="n">
        <f aca="false">AH1041*$V1041</f>
        <v>293</v>
      </c>
      <c r="AU1041" s="9" t="n">
        <f aca="false">AI1041*$V1041</f>
        <v>293</v>
      </c>
      <c r="AV1041" s="9" t="n">
        <f aca="false">SUM(X1041:AI1041)/1000</f>
        <v>24</v>
      </c>
      <c r="AW1041" s="9" t="n">
        <f aca="false">SUM(AJ1041:AU1041)</f>
        <v>3516</v>
      </c>
      <c r="AX1041" s="9" t="n">
        <f aca="false">IF(D1041="INR",AW1041/88.24,AW1041)/1000000</f>
        <v>0.003516</v>
      </c>
    </row>
    <row r="1042" s="2" customFormat="true" ht="14.25" hidden="false" customHeight="false" outlineLevel="0" collapsed="false">
      <c r="A1042" s="16"/>
      <c r="B1042" s="16" t="n">
        <v>1</v>
      </c>
      <c r="C1042" s="16"/>
      <c r="D1042" s="16" t="s">
        <v>50</v>
      </c>
      <c r="E1042" s="16" t="s">
        <v>51</v>
      </c>
      <c r="F1042" s="16" t="s">
        <v>52</v>
      </c>
      <c r="G1042" s="16"/>
      <c r="H1042" s="16" t="s">
        <v>336</v>
      </c>
      <c r="I1042" s="16"/>
      <c r="J1042" s="16"/>
      <c r="K1042" s="16"/>
      <c r="L1042" s="16"/>
      <c r="M1042" s="16"/>
      <c r="N1042" s="16" t="s">
        <v>79</v>
      </c>
      <c r="O1042" s="16"/>
      <c r="P1042" s="16"/>
      <c r="Q1042" s="16" t="s">
        <v>199</v>
      </c>
      <c r="R1042" s="16"/>
      <c r="S1042" s="16"/>
      <c r="T1042" s="16" t="s">
        <v>2013</v>
      </c>
      <c r="U1042" s="16" t="s">
        <v>63</v>
      </c>
      <c r="V1042" s="26" t="n">
        <v>0.307</v>
      </c>
      <c r="W1042" s="16"/>
      <c r="X1042" s="16"/>
      <c r="Y1042" s="16"/>
      <c r="Z1042" s="16"/>
      <c r="AA1042" s="16" t="n">
        <v>30000</v>
      </c>
      <c r="AB1042" s="16"/>
      <c r="AC1042" s="16"/>
      <c r="AD1042" s="16"/>
      <c r="AE1042" s="16"/>
      <c r="AF1042" s="16"/>
      <c r="AG1042" s="16"/>
      <c r="AH1042" s="16"/>
      <c r="AI1042" s="16"/>
      <c r="AJ1042" s="9" t="n">
        <f aca="false">X1042*$V1042</f>
        <v>0</v>
      </c>
      <c r="AK1042" s="9" t="n">
        <f aca="false">Y1042*$V1042</f>
        <v>0</v>
      </c>
      <c r="AL1042" s="9" t="n">
        <f aca="false">Z1042*$V1042</f>
        <v>0</v>
      </c>
      <c r="AM1042" s="9" t="n">
        <f aca="false">AA1042*$V1042</f>
        <v>9210</v>
      </c>
      <c r="AN1042" s="9" t="n">
        <f aca="false">AB1042*$V1042</f>
        <v>0</v>
      </c>
      <c r="AO1042" s="9" t="n">
        <f aca="false">AC1042*$V1042</f>
        <v>0</v>
      </c>
      <c r="AP1042" s="9" t="n">
        <f aca="false">AD1042*$V1042</f>
        <v>0</v>
      </c>
      <c r="AQ1042" s="9" t="n">
        <f aca="false">AE1042*$V1042</f>
        <v>0</v>
      </c>
      <c r="AR1042" s="9" t="n">
        <f aca="false">AF1042*$V1042</f>
        <v>0</v>
      </c>
      <c r="AS1042" s="9" t="n">
        <f aca="false">AG1042*$V1042</f>
        <v>0</v>
      </c>
      <c r="AT1042" s="9" t="n">
        <f aca="false">AH1042*$V1042</f>
        <v>0</v>
      </c>
      <c r="AU1042" s="9" t="n">
        <f aca="false">AI1042*$V1042</f>
        <v>0</v>
      </c>
      <c r="AV1042" s="9" t="n">
        <f aca="false">SUM(X1042:AI1042)/1000</f>
        <v>30</v>
      </c>
      <c r="AW1042" s="9" t="n">
        <f aca="false">SUM(AJ1042:AU1042)</f>
        <v>9210</v>
      </c>
      <c r="AX1042" s="9" t="n">
        <f aca="false">IF(D1042="INR",AW1042/88.24,AW1042)/1000000</f>
        <v>0.000104374433363554</v>
      </c>
    </row>
    <row r="1043" s="2" customFormat="true" ht="14.25" hidden="false" customHeight="false" outlineLevel="0" collapsed="false">
      <c r="A1043" s="12" t="s">
        <v>2014</v>
      </c>
      <c r="B1043" s="16"/>
      <c r="C1043" s="15"/>
      <c r="D1043" s="16" t="s">
        <v>102</v>
      </c>
      <c r="E1043" s="16" t="s">
        <v>51</v>
      </c>
      <c r="F1043" s="16" t="s">
        <v>52</v>
      </c>
      <c r="G1043" s="16" t="s">
        <v>857</v>
      </c>
      <c r="H1043" s="16" t="s">
        <v>858</v>
      </c>
      <c r="I1043" s="16" t="s">
        <v>298</v>
      </c>
      <c r="J1043" s="16" t="s">
        <v>298</v>
      </c>
      <c r="K1043" s="16"/>
      <c r="L1043" s="16"/>
      <c r="M1043" s="16"/>
      <c r="N1043" s="16" t="s">
        <v>79</v>
      </c>
      <c r="O1043" s="16" t="s">
        <v>294</v>
      </c>
      <c r="P1043" s="16" t="str">
        <f aca="false">Q1043</f>
        <v>RENESAS</v>
      </c>
      <c r="Q1043" s="16" t="s">
        <v>110</v>
      </c>
      <c r="R1043" s="16" t="s">
        <v>137</v>
      </c>
      <c r="S1043" s="16" t="s">
        <v>272</v>
      </c>
      <c r="T1043" s="16" t="s">
        <v>849</v>
      </c>
      <c r="U1043" s="16" t="s">
        <v>73</v>
      </c>
      <c r="V1043" s="16" t="n">
        <v>0.4</v>
      </c>
      <c r="W1043" s="16" t="n">
        <v>0</v>
      </c>
      <c r="X1043" s="16" t="n">
        <v>5000</v>
      </c>
      <c r="Y1043" s="16"/>
      <c r="Z1043" s="16"/>
      <c r="AA1043" s="16" t="n">
        <v>5000</v>
      </c>
      <c r="AB1043" s="16"/>
      <c r="AC1043" s="16"/>
      <c r="AD1043" s="16" t="n">
        <v>5000</v>
      </c>
      <c r="AE1043" s="16"/>
      <c r="AF1043" s="16"/>
      <c r="AG1043" s="16" t="n">
        <v>5000</v>
      </c>
      <c r="AH1043" s="16"/>
      <c r="AI1043" s="16"/>
      <c r="AJ1043" s="9" t="n">
        <f aca="false">X1043*$V1043</f>
        <v>2000</v>
      </c>
      <c r="AK1043" s="9" t="n">
        <f aca="false">Y1043*$V1043</f>
        <v>0</v>
      </c>
      <c r="AL1043" s="9" t="n">
        <f aca="false">Z1043*$V1043</f>
        <v>0</v>
      </c>
      <c r="AM1043" s="9" t="n">
        <f aca="false">AA1043*$V1043</f>
        <v>2000</v>
      </c>
      <c r="AN1043" s="9" t="n">
        <f aca="false">AB1043*$V1043</f>
        <v>0</v>
      </c>
      <c r="AO1043" s="9" t="n">
        <f aca="false">AC1043*$V1043</f>
        <v>0</v>
      </c>
      <c r="AP1043" s="9" t="n">
        <f aca="false">AD1043*$V1043</f>
        <v>2000</v>
      </c>
      <c r="AQ1043" s="9" t="n">
        <f aca="false">AE1043*$V1043</f>
        <v>0</v>
      </c>
      <c r="AR1043" s="9" t="n">
        <f aca="false">AF1043*$V1043</f>
        <v>0</v>
      </c>
      <c r="AS1043" s="9" t="n">
        <f aca="false">AG1043*$V1043</f>
        <v>2000</v>
      </c>
      <c r="AT1043" s="9" t="n">
        <f aca="false">AH1043*$V1043</f>
        <v>0</v>
      </c>
      <c r="AU1043" s="9" t="n">
        <f aca="false">AI1043*$V1043</f>
        <v>0</v>
      </c>
      <c r="AV1043" s="9" t="n">
        <f aca="false">SUM(X1043:AI1043)/1000</f>
        <v>20</v>
      </c>
      <c r="AW1043" s="9" t="n">
        <f aca="false">SUM(AJ1043:AU1043)</f>
        <v>8000</v>
      </c>
      <c r="AX1043" s="9" t="n">
        <f aca="false">IF(D1043="INR",AW1043/88.24,AW1043)/1000000</f>
        <v>0.008</v>
      </c>
    </row>
    <row r="1044" s="2" customFormat="true" ht="14.25" hidden="false" customHeight="false" outlineLevel="0" collapsed="false">
      <c r="A1044" s="16" t="s">
        <v>2015</v>
      </c>
      <c r="B1044" s="16"/>
      <c r="C1044" s="16"/>
      <c r="D1044" s="16" t="s">
        <v>102</v>
      </c>
      <c r="E1044" s="16" t="s">
        <v>51</v>
      </c>
      <c r="F1044" s="16" t="s">
        <v>52</v>
      </c>
      <c r="G1044" s="16" t="s">
        <v>857</v>
      </c>
      <c r="H1044" s="16" t="s">
        <v>858</v>
      </c>
      <c r="I1044" s="16" t="s">
        <v>298</v>
      </c>
      <c r="J1044" s="16" t="s">
        <v>298</v>
      </c>
      <c r="K1044" s="16" t="s">
        <v>858</v>
      </c>
      <c r="L1044" s="16" t="s">
        <v>298</v>
      </c>
      <c r="M1044" s="16" t="s">
        <v>298</v>
      </c>
      <c r="N1044" s="16" t="s">
        <v>79</v>
      </c>
      <c r="O1044" s="16" t="s">
        <v>294</v>
      </c>
      <c r="P1044" s="16" t="s">
        <v>188</v>
      </c>
      <c r="Q1044" s="16" t="s">
        <v>188</v>
      </c>
      <c r="R1044" s="16" t="s">
        <v>550</v>
      </c>
      <c r="S1044" s="16" t="s">
        <v>528</v>
      </c>
      <c r="T1044" s="16" t="s">
        <v>2016</v>
      </c>
      <c r="U1044" s="16" t="s">
        <v>73</v>
      </c>
      <c r="V1044" s="16" t="n">
        <v>0.09</v>
      </c>
      <c r="W1044" s="16" t="n">
        <v>0.0763</v>
      </c>
      <c r="X1044" s="16" t="n">
        <v>3000</v>
      </c>
      <c r="Y1044" s="16" t="n">
        <v>3000</v>
      </c>
      <c r="Z1044" s="16" t="n">
        <v>3000</v>
      </c>
      <c r="AA1044" s="16" t="n">
        <v>3000</v>
      </c>
      <c r="AB1044" s="16"/>
      <c r="AC1044" s="16"/>
      <c r="AD1044" s="16"/>
      <c r="AE1044" s="16"/>
      <c r="AF1044" s="16"/>
      <c r="AG1044" s="16"/>
      <c r="AH1044" s="16"/>
      <c r="AI1044" s="16"/>
      <c r="AJ1044" s="9" t="n">
        <f aca="false">X1044*$V1044</f>
        <v>270</v>
      </c>
      <c r="AK1044" s="9" t="n">
        <f aca="false">Y1044*$V1044</f>
        <v>270</v>
      </c>
      <c r="AL1044" s="9" t="n">
        <f aca="false">Z1044*$V1044</f>
        <v>270</v>
      </c>
      <c r="AM1044" s="9" t="n">
        <f aca="false">AA1044*$V1044</f>
        <v>270</v>
      </c>
      <c r="AN1044" s="9" t="n">
        <f aca="false">AB1044*$V1044</f>
        <v>0</v>
      </c>
      <c r="AO1044" s="9" t="n">
        <f aca="false">AC1044*$V1044</f>
        <v>0</v>
      </c>
      <c r="AP1044" s="9" t="n">
        <f aca="false">AD1044*$V1044</f>
        <v>0</v>
      </c>
      <c r="AQ1044" s="9" t="n">
        <f aca="false">AE1044*$V1044</f>
        <v>0</v>
      </c>
      <c r="AR1044" s="9" t="n">
        <f aca="false">AF1044*$V1044</f>
        <v>0</v>
      </c>
      <c r="AS1044" s="9" t="n">
        <f aca="false">AG1044*$V1044</f>
        <v>0</v>
      </c>
      <c r="AT1044" s="9" t="n">
        <f aca="false">AH1044*$V1044</f>
        <v>0</v>
      </c>
      <c r="AU1044" s="9" t="n">
        <f aca="false">AI1044*$V1044</f>
        <v>0</v>
      </c>
      <c r="AV1044" s="9" t="n">
        <f aca="false">SUM(X1044:AI1044)/1000</f>
        <v>12</v>
      </c>
      <c r="AW1044" s="9" t="n">
        <f aca="false">SUM(AJ1044:AU1044)</f>
        <v>1080</v>
      </c>
      <c r="AX1044" s="9" t="n">
        <f aca="false">IF(D1044="INR",AW1044/88.24,AW1044)/1000000</f>
        <v>0.00108</v>
      </c>
    </row>
    <row r="1045" s="2" customFormat="true" ht="14.25" hidden="false" customHeight="false" outlineLevel="0" collapsed="false">
      <c r="A1045" s="9" t="s">
        <v>2017</v>
      </c>
      <c r="B1045" s="9"/>
      <c r="C1045" s="10"/>
      <c r="D1045" s="16" t="s">
        <v>102</v>
      </c>
      <c r="E1045" s="16" t="s">
        <v>51</v>
      </c>
      <c r="F1045" s="16" t="s">
        <v>52</v>
      </c>
      <c r="G1045" s="16" t="s">
        <v>857</v>
      </c>
      <c r="H1045" s="16" t="s">
        <v>858</v>
      </c>
      <c r="I1045" s="16" t="s">
        <v>298</v>
      </c>
      <c r="J1045" s="16" t="s">
        <v>298</v>
      </c>
      <c r="K1045" s="16" t="s">
        <v>858</v>
      </c>
      <c r="L1045" s="16" t="s">
        <v>298</v>
      </c>
      <c r="M1045" s="16" t="s">
        <v>298</v>
      </c>
      <c r="N1045" s="16" t="s">
        <v>79</v>
      </c>
      <c r="O1045" s="16" t="s">
        <v>294</v>
      </c>
      <c r="P1045" s="9" t="s">
        <v>110</v>
      </c>
      <c r="Q1045" s="9" t="s">
        <v>110</v>
      </c>
      <c r="R1045" s="9" t="s">
        <v>137</v>
      </c>
      <c r="S1045" s="9" t="s">
        <v>272</v>
      </c>
      <c r="T1045" s="9" t="s">
        <v>1056</v>
      </c>
      <c r="U1045" s="9" t="s">
        <v>73</v>
      </c>
      <c r="V1045" s="36" t="n">
        <v>0.448</v>
      </c>
      <c r="W1045" s="9" t="n">
        <v>0.396</v>
      </c>
      <c r="X1045" s="22"/>
      <c r="Y1045" s="9" t="n">
        <v>2000</v>
      </c>
      <c r="Z1045" s="9"/>
      <c r="AA1045" s="9"/>
      <c r="AB1045" s="9" t="n">
        <v>2000</v>
      </c>
      <c r="AC1045" s="9"/>
      <c r="AD1045" s="9"/>
      <c r="AE1045" s="9" t="n">
        <v>2000</v>
      </c>
      <c r="AF1045" s="9"/>
      <c r="AG1045" s="9"/>
      <c r="AH1045" s="9" t="n">
        <v>2000</v>
      </c>
      <c r="AI1045" s="9"/>
      <c r="AJ1045" s="9" t="n">
        <f aca="false">X1045*$V1045</f>
        <v>0</v>
      </c>
      <c r="AK1045" s="9" t="n">
        <f aca="false">Y1045*$V1045</f>
        <v>896</v>
      </c>
      <c r="AL1045" s="9" t="n">
        <f aca="false">Z1045*$V1045</f>
        <v>0</v>
      </c>
      <c r="AM1045" s="9" t="n">
        <f aca="false">AA1045*$V1045</f>
        <v>0</v>
      </c>
      <c r="AN1045" s="9" t="n">
        <f aca="false">AB1045*$V1045</f>
        <v>896</v>
      </c>
      <c r="AO1045" s="9" t="n">
        <f aca="false">AC1045*$V1045</f>
        <v>0</v>
      </c>
      <c r="AP1045" s="9" t="n">
        <f aca="false">AD1045*$V1045</f>
        <v>0</v>
      </c>
      <c r="AQ1045" s="9" t="n">
        <f aca="false">AE1045*$V1045</f>
        <v>896</v>
      </c>
      <c r="AR1045" s="9" t="n">
        <f aca="false">AF1045*$V1045</f>
        <v>0</v>
      </c>
      <c r="AS1045" s="9" t="n">
        <f aca="false">AG1045*$V1045</f>
        <v>0</v>
      </c>
      <c r="AT1045" s="9" t="n">
        <f aca="false">AH1045*$V1045</f>
        <v>896</v>
      </c>
      <c r="AU1045" s="9" t="n">
        <f aca="false">AI1045*$V1045</f>
        <v>0</v>
      </c>
      <c r="AV1045" s="9" t="n">
        <f aca="false">SUM(X1045:AI1045)/1000</f>
        <v>8</v>
      </c>
      <c r="AW1045" s="9" t="n">
        <f aca="false">SUM(AJ1045:AU1045)</f>
        <v>3584</v>
      </c>
      <c r="AX1045" s="9" t="n">
        <f aca="false">IF(D1045="INR",AW1045/88.24,AW1045)/1000000</f>
        <v>0.003584</v>
      </c>
    </row>
    <row r="1046" s="2" customFormat="true" ht="14.25" hidden="false" customHeight="false" outlineLevel="0" collapsed="false">
      <c r="A1046" s="16"/>
      <c r="B1046" s="16" t="n">
        <v>1</v>
      </c>
      <c r="C1046" s="16"/>
      <c r="D1046" s="16" t="s">
        <v>50</v>
      </c>
      <c r="E1046" s="16" t="s">
        <v>51</v>
      </c>
      <c r="F1046" s="16" t="s">
        <v>52</v>
      </c>
      <c r="G1046" s="16"/>
      <c r="H1046" s="16" t="s">
        <v>336</v>
      </c>
      <c r="I1046" s="16"/>
      <c r="J1046" s="16"/>
      <c r="K1046" s="16"/>
      <c r="L1046" s="16"/>
      <c r="M1046" s="16"/>
      <c r="N1046" s="16" t="s">
        <v>79</v>
      </c>
      <c r="O1046" s="16"/>
      <c r="P1046" s="16"/>
      <c r="Q1046" s="16" t="s">
        <v>199</v>
      </c>
      <c r="R1046" s="16"/>
      <c r="S1046" s="16"/>
      <c r="T1046" s="26" t="s">
        <v>2018</v>
      </c>
      <c r="U1046" s="16" t="s">
        <v>63</v>
      </c>
      <c r="V1046" s="16" t="n">
        <v>0.22</v>
      </c>
      <c r="W1046" s="16"/>
      <c r="X1046" s="16"/>
      <c r="Y1046" s="16"/>
      <c r="Z1046" s="16"/>
      <c r="AA1046" s="16" t="n">
        <v>25000</v>
      </c>
      <c r="AB1046" s="16"/>
      <c r="AC1046" s="16"/>
      <c r="AD1046" s="16"/>
      <c r="AE1046" s="16"/>
      <c r="AF1046" s="16"/>
      <c r="AG1046" s="16"/>
      <c r="AH1046" s="16"/>
      <c r="AI1046" s="16"/>
      <c r="AJ1046" s="9" t="n">
        <f aca="false">X1046*$V1046</f>
        <v>0</v>
      </c>
      <c r="AK1046" s="9" t="n">
        <f aca="false">Y1046*$V1046</f>
        <v>0</v>
      </c>
      <c r="AL1046" s="9" t="n">
        <f aca="false">Z1046*$V1046</f>
        <v>0</v>
      </c>
      <c r="AM1046" s="9" t="n">
        <f aca="false">AA1046*$V1046</f>
        <v>5500</v>
      </c>
      <c r="AN1046" s="9" t="n">
        <f aca="false">AB1046*$V1046</f>
        <v>0</v>
      </c>
      <c r="AO1046" s="9" t="n">
        <f aca="false">AC1046*$V1046</f>
        <v>0</v>
      </c>
      <c r="AP1046" s="9" t="n">
        <f aca="false">AD1046*$V1046</f>
        <v>0</v>
      </c>
      <c r="AQ1046" s="9" t="n">
        <f aca="false">AE1046*$V1046</f>
        <v>0</v>
      </c>
      <c r="AR1046" s="9" t="n">
        <f aca="false">AF1046*$V1046</f>
        <v>0</v>
      </c>
      <c r="AS1046" s="9" t="n">
        <f aca="false">AG1046*$V1046</f>
        <v>0</v>
      </c>
      <c r="AT1046" s="9" t="n">
        <f aca="false">AH1046*$V1046</f>
        <v>0</v>
      </c>
      <c r="AU1046" s="9" t="n">
        <f aca="false">AI1046*$V1046</f>
        <v>0</v>
      </c>
      <c r="AV1046" s="9" t="n">
        <f aca="false">SUM(X1046:AI1046)/1000</f>
        <v>25</v>
      </c>
      <c r="AW1046" s="9" t="n">
        <f aca="false">SUM(AJ1046:AU1046)</f>
        <v>5500</v>
      </c>
      <c r="AX1046" s="9" t="n">
        <f aca="false">IF(D1046="INR",AW1046/88.24,AW1046)/1000000</f>
        <v>6.23300090661831E-005</v>
      </c>
    </row>
    <row r="1047" s="2" customFormat="true" ht="14.25" hidden="false" customHeight="true" outlineLevel="0" collapsed="false">
      <c r="A1047" s="16"/>
      <c r="B1047" s="16" t="n">
        <v>1</v>
      </c>
      <c r="C1047" s="16"/>
      <c r="D1047" s="16" t="s">
        <v>50</v>
      </c>
      <c r="E1047" s="16" t="s">
        <v>51</v>
      </c>
      <c r="F1047" s="16" t="s">
        <v>52</v>
      </c>
      <c r="G1047" s="16"/>
      <c r="H1047" s="16" t="s">
        <v>336</v>
      </c>
      <c r="I1047" s="16"/>
      <c r="J1047" s="16"/>
      <c r="K1047" s="16"/>
      <c r="L1047" s="16"/>
      <c r="M1047" s="16"/>
      <c r="N1047" s="16" t="s">
        <v>79</v>
      </c>
      <c r="O1047" s="16"/>
      <c r="P1047" s="16"/>
      <c r="Q1047" s="16" t="s">
        <v>199</v>
      </c>
      <c r="R1047" s="16"/>
      <c r="S1047" s="16"/>
      <c r="T1047" s="16" t="s">
        <v>2019</v>
      </c>
      <c r="U1047" s="16" t="s">
        <v>63</v>
      </c>
      <c r="V1047" s="16" t="n">
        <v>0.307</v>
      </c>
      <c r="W1047" s="16"/>
      <c r="X1047" s="30"/>
      <c r="Y1047" s="30"/>
      <c r="Z1047" s="30"/>
      <c r="AA1047" s="30" t="n">
        <v>20000</v>
      </c>
      <c r="AB1047" s="30"/>
      <c r="AC1047" s="30"/>
      <c r="AD1047" s="30"/>
      <c r="AE1047" s="30"/>
      <c r="AF1047" s="30"/>
      <c r="AG1047" s="30"/>
      <c r="AH1047" s="30"/>
      <c r="AI1047" s="30"/>
      <c r="AJ1047" s="9" t="n">
        <f aca="false">X1047*$V1047</f>
        <v>0</v>
      </c>
      <c r="AK1047" s="9" t="n">
        <f aca="false">Y1047*$V1047</f>
        <v>0</v>
      </c>
      <c r="AL1047" s="9" t="n">
        <f aca="false">Z1047*$V1047</f>
        <v>0</v>
      </c>
      <c r="AM1047" s="9" t="n">
        <f aca="false">AA1047*$V1047</f>
        <v>6140</v>
      </c>
      <c r="AN1047" s="9" t="n">
        <f aca="false">AB1047*$V1047</f>
        <v>0</v>
      </c>
      <c r="AO1047" s="9" t="n">
        <f aca="false">AC1047*$V1047</f>
        <v>0</v>
      </c>
      <c r="AP1047" s="9" t="n">
        <f aca="false">AD1047*$V1047</f>
        <v>0</v>
      </c>
      <c r="AQ1047" s="9" t="n">
        <f aca="false">AE1047*$V1047</f>
        <v>0</v>
      </c>
      <c r="AR1047" s="9" t="n">
        <f aca="false">AF1047*$V1047</f>
        <v>0</v>
      </c>
      <c r="AS1047" s="9" t="n">
        <f aca="false">AG1047*$V1047</f>
        <v>0</v>
      </c>
      <c r="AT1047" s="9" t="n">
        <f aca="false">AH1047*$V1047</f>
        <v>0</v>
      </c>
      <c r="AU1047" s="9" t="n">
        <f aca="false">AI1047*$V1047</f>
        <v>0</v>
      </c>
      <c r="AV1047" s="9" t="n">
        <f aca="false">SUM(X1047:AI1047)/1000</f>
        <v>20</v>
      </c>
      <c r="AW1047" s="9" t="n">
        <f aca="false">SUM(AJ1047:AU1047)</f>
        <v>6140</v>
      </c>
      <c r="AX1047" s="9" t="n">
        <f aca="false">IF(D1047="INR",AW1047/88.24,AW1047)/1000000</f>
        <v>6.95829555757026E-005</v>
      </c>
    </row>
    <row r="1048" s="2" customFormat="true" ht="14.25" hidden="false" customHeight="false" outlineLevel="0" collapsed="false">
      <c r="A1048" s="28"/>
      <c r="B1048" s="16" t="n">
        <v>1</v>
      </c>
      <c r="C1048" s="16"/>
      <c r="D1048" s="16" t="s">
        <v>50</v>
      </c>
      <c r="E1048" s="16" t="s">
        <v>51</v>
      </c>
      <c r="F1048" s="16" t="s">
        <v>52</v>
      </c>
      <c r="G1048" s="16"/>
      <c r="H1048" s="16" t="s">
        <v>336</v>
      </c>
      <c r="I1048" s="16"/>
      <c r="J1048" s="16"/>
      <c r="K1048" s="16"/>
      <c r="L1048" s="16"/>
      <c r="M1048" s="16"/>
      <c r="N1048" s="16" t="s">
        <v>79</v>
      </c>
      <c r="O1048" s="16"/>
      <c r="P1048" s="16"/>
      <c r="Q1048" s="16" t="s">
        <v>199</v>
      </c>
      <c r="R1048" s="16"/>
      <c r="S1048" s="16"/>
      <c r="T1048" s="16" t="s">
        <v>2020</v>
      </c>
      <c r="U1048" s="16" t="s">
        <v>63</v>
      </c>
      <c r="V1048" s="16" t="n">
        <v>0.307</v>
      </c>
      <c r="W1048" s="16"/>
      <c r="X1048" s="16"/>
      <c r="Y1048" s="16"/>
      <c r="Z1048" s="16"/>
      <c r="AA1048" s="16" t="n">
        <v>15000</v>
      </c>
      <c r="AB1048" s="16"/>
      <c r="AC1048" s="16"/>
      <c r="AD1048" s="16"/>
      <c r="AE1048" s="16"/>
      <c r="AF1048" s="16"/>
      <c r="AG1048" s="16"/>
      <c r="AH1048" s="16"/>
      <c r="AI1048" s="16"/>
      <c r="AJ1048" s="9" t="n">
        <f aca="false">X1048*$V1048</f>
        <v>0</v>
      </c>
      <c r="AK1048" s="9" t="n">
        <f aca="false">Y1048*$V1048</f>
        <v>0</v>
      </c>
      <c r="AL1048" s="9" t="n">
        <f aca="false">Z1048*$V1048</f>
        <v>0</v>
      </c>
      <c r="AM1048" s="9" t="n">
        <f aca="false">AA1048*$V1048</f>
        <v>4605</v>
      </c>
      <c r="AN1048" s="9" t="n">
        <f aca="false">AB1048*$V1048</f>
        <v>0</v>
      </c>
      <c r="AO1048" s="9" t="n">
        <f aca="false">AC1048*$V1048</f>
        <v>0</v>
      </c>
      <c r="AP1048" s="9" t="n">
        <f aca="false">AD1048*$V1048</f>
        <v>0</v>
      </c>
      <c r="AQ1048" s="9" t="n">
        <f aca="false">AE1048*$V1048</f>
        <v>0</v>
      </c>
      <c r="AR1048" s="9" t="n">
        <f aca="false">AF1048*$V1048</f>
        <v>0</v>
      </c>
      <c r="AS1048" s="9" t="n">
        <f aca="false">AG1048*$V1048</f>
        <v>0</v>
      </c>
      <c r="AT1048" s="9" t="n">
        <f aca="false">AH1048*$V1048</f>
        <v>0</v>
      </c>
      <c r="AU1048" s="9" t="n">
        <f aca="false">AI1048*$V1048</f>
        <v>0</v>
      </c>
      <c r="AV1048" s="9" t="n">
        <f aca="false">SUM(X1048:AI1048)/1000</f>
        <v>15</v>
      </c>
      <c r="AW1048" s="9" t="n">
        <f aca="false">SUM(AJ1048:AU1048)</f>
        <v>4605</v>
      </c>
      <c r="AX1048" s="9" t="n">
        <f aca="false">IF(D1048="INR",AW1048/88.24,AW1048)/1000000</f>
        <v>5.2187216681777E-005</v>
      </c>
    </row>
    <row r="1049" s="2" customFormat="true" ht="14.25" hidden="false" customHeight="false" outlineLevel="0" collapsed="false">
      <c r="A1049" s="28"/>
      <c r="B1049" s="16" t="n">
        <v>1</v>
      </c>
      <c r="C1049" s="16"/>
      <c r="D1049" s="16" t="s">
        <v>50</v>
      </c>
      <c r="E1049" s="16" t="s">
        <v>51</v>
      </c>
      <c r="F1049" s="16" t="s">
        <v>52</v>
      </c>
      <c r="G1049" s="16"/>
      <c r="H1049" s="16" t="s">
        <v>336</v>
      </c>
      <c r="I1049" s="16"/>
      <c r="J1049" s="16"/>
      <c r="K1049" s="16"/>
      <c r="L1049" s="16"/>
      <c r="M1049" s="16"/>
      <c r="N1049" s="16" t="s">
        <v>79</v>
      </c>
      <c r="O1049" s="16"/>
      <c r="P1049" s="16"/>
      <c r="Q1049" s="16" t="s">
        <v>348</v>
      </c>
      <c r="R1049" s="16"/>
      <c r="S1049" s="16"/>
      <c r="T1049" s="16" t="s">
        <v>2021</v>
      </c>
      <c r="U1049" s="16" t="s">
        <v>63</v>
      </c>
      <c r="V1049" s="16" t="n">
        <v>0.307</v>
      </c>
      <c r="W1049" s="16"/>
      <c r="X1049" s="16"/>
      <c r="Y1049" s="16"/>
      <c r="Z1049" s="16"/>
      <c r="AA1049" s="26" t="n">
        <v>10000</v>
      </c>
      <c r="AB1049" s="16"/>
      <c r="AC1049" s="16"/>
      <c r="AD1049" s="16"/>
      <c r="AE1049" s="16"/>
      <c r="AF1049" s="16"/>
      <c r="AG1049" s="16"/>
      <c r="AH1049" s="16"/>
      <c r="AI1049" s="16"/>
      <c r="AJ1049" s="9" t="n">
        <f aca="false">X1049*$V1049</f>
        <v>0</v>
      </c>
      <c r="AK1049" s="9" t="n">
        <f aca="false">Y1049*$V1049</f>
        <v>0</v>
      </c>
      <c r="AL1049" s="9" t="n">
        <f aca="false">Z1049*$V1049</f>
        <v>0</v>
      </c>
      <c r="AM1049" s="9" t="n">
        <f aca="false">AA1049*$V1049</f>
        <v>3070</v>
      </c>
      <c r="AN1049" s="9" t="n">
        <f aca="false">AB1049*$V1049</f>
        <v>0</v>
      </c>
      <c r="AO1049" s="9" t="n">
        <f aca="false">AC1049*$V1049</f>
        <v>0</v>
      </c>
      <c r="AP1049" s="9" t="n">
        <f aca="false">AD1049*$V1049</f>
        <v>0</v>
      </c>
      <c r="AQ1049" s="9" t="n">
        <f aca="false">AE1049*$V1049</f>
        <v>0</v>
      </c>
      <c r="AR1049" s="9" t="n">
        <f aca="false">AF1049*$V1049</f>
        <v>0</v>
      </c>
      <c r="AS1049" s="9" t="n">
        <f aca="false">AG1049*$V1049</f>
        <v>0</v>
      </c>
      <c r="AT1049" s="9" t="n">
        <f aca="false">AH1049*$V1049</f>
        <v>0</v>
      </c>
      <c r="AU1049" s="9" t="n">
        <f aca="false">AI1049*$V1049</f>
        <v>0</v>
      </c>
      <c r="AV1049" s="9" t="n">
        <f aca="false">SUM(X1049:AI1049)/1000</f>
        <v>10</v>
      </c>
      <c r="AW1049" s="9" t="n">
        <f aca="false">SUM(AJ1049:AU1049)</f>
        <v>3070</v>
      </c>
      <c r="AX1049" s="9" t="n">
        <f aca="false">IF(D1049="INR",AW1049/88.24,AW1049)/1000000</f>
        <v>3.47914777878513E-005</v>
      </c>
    </row>
    <row r="1050" s="2" customFormat="true" ht="14.25" hidden="false" customHeight="false" outlineLevel="0" collapsed="false">
      <c r="A1050" s="28"/>
      <c r="B1050" s="16" t="n">
        <v>1</v>
      </c>
      <c r="C1050" s="16"/>
      <c r="D1050" s="16" t="s">
        <v>50</v>
      </c>
      <c r="E1050" s="16" t="s">
        <v>51</v>
      </c>
      <c r="F1050" s="16" t="s">
        <v>52</v>
      </c>
      <c r="G1050" s="16"/>
      <c r="H1050" s="16" t="s">
        <v>336</v>
      </c>
      <c r="I1050" s="16"/>
      <c r="J1050" s="16"/>
      <c r="K1050" s="16"/>
      <c r="L1050" s="16"/>
      <c r="M1050" s="16"/>
      <c r="N1050" s="16" t="s">
        <v>79</v>
      </c>
      <c r="O1050" s="16"/>
      <c r="P1050" s="16"/>
      <c r="Q1050" s="16" t="s">
        <v>199</v>
      </c>
      <c r="R1050" s="16"/>
      <c r="S1050" s="16"/>
      <c r="T1050" s="16" t="s">
        <v>2022</v>
      </c>
      <c r="U1050" s="16" t="s">
        <v>63</v>
      </c>
      <c r="V1050" s="16" t="n">
        <v>0.307</v>
      </c>
      <c r="W1050" s="26"/>
      <c r="X1050" s="16"/>
      <c r="Y1050" s="16"/>
      <c r="Z1050" s="26"/>
      <c r="AA1050" s="16" t="n">
        <v>10000</v>
      </c>
      <c r="AB1050" s="16"/>
      <c r="AC1050" s="16"/>
      <c r="AD1050" s="16"/>
      <c r="AE1050" s="16"/>
      <c r="AF1050" s="16"/>
      <c r="AG1050" s="16"/>
      <c r="AH1050" s="16"/>
      <c r="AI1050" s="16"/>
      <c r="AJ1050" s="9" t="n">
        <f aca="false">X1050*$V1050</f>
        <v>0</v>
      </c>
      <c r="AK1050" s="9" t="n">
        <f aca="false">Y1050*$V1050</f>
        <v>0</v>
      </c>
      <c r="AL1050" s="9" t="n">
        <f aca="false">Z1050*$V1050</f>
        <v>0</v>
      </c>
      <c r="AM1050" s="9" t="n">
        <f aca="false">AA1050*$V1050</f>
        <v>3070</v>
      </c>
      <c r="AN1050" s="9" t="n">
        <f aca="false">AB1050*$V1050</f>
        <v>0</v>
      </c>
      <c r="AO1050" s="9" t="n">
        <f aca="false">AC1050*$V1050</f>
        <v>0</v>
      </c>
      <c r="AP1050" s="9" t="n">
        <f aca="false">AD1050*$V1050</f>
        <v>0</v>
      </c>
      <c r="AQ1050" s="9" t="n">
        <f aca="false">AE1050*$V1050</f>
        <v>0</v>
      </c>
      <c r="AR1050" s="9" t="n">
        <f aca="false">AF1050*$V1050</f>
        <v>0</v>
      </c>
      <c r="AS1050" s="9" t="n">
        <f aca="false">AG1050*$V1050</f>
        <v>0</v>
      </c>
      <c r="AT1050" s="9" t="n">
        <f aca="false">AH1050*$V1050</f>
        <v>0</v>
      </c>
      <c r="AU1050" s="9" t="n">
        <f aca="false">AI1050*$V1050</f>
        <v>0</v>
      </c>
      <c r="AV1050" s="9" t="n">
        <f aca="false">SUM(X1050:AI1050)/1000</f>
        <v>10</v>
      </c>
      <c r="AW1050" s="9" t="n">
        <f aca="false">SUM(AJ1050:AU1050)</f>
        <v>3070</v>
      </c>
      <c r="AX1050" s="9" t="n">
        <f aca="false">IF(D1050="INR",AW1050/88.24,AW1050)/1000000</f>
        <v>3.47914777878513E-005</v>
      </c>
    </row>
    <row r="1051" s="2" customFormat="true" ht="14.25" hidden="false" customHeight="false" outlineLevel="0" collapsed="false">
      <c r="A1051" s="28"/>
      <c r="B1051" s="16" t="n">
        <v>1</v>
      </c>
      <c r="C1051" s="16"/>
      <c r="D1051" s="16" t="s">
        <v>50</v>
      </c>
      <c r="E1051" s="16" t="s">
        <v>51</v>
      </c>
      <c r="F1051" s="16" t="s">
        <v>52</v>
      </c>
      <c r="G1051" s="16"/>
      <c r="H1051" s="16" t="s">
        <v>336</v>
      </c>
      <c r="I1051" s="16"/>
      <c r="J1051" s="16"/>
      <c r="K1051" s="16"/>
      <c r="L1051" s="16"/>
      <c r="M1051" s="16"/>
      <c r="N1051" s="16" t="s">
        <v>79</v>
      </c>
      <c r="O1051" s="16"/>
      <c r="P1051" s="16"/>
      <c r="Q1051" s="16" t="s">
        <v>199</v>
      </c>
      <c r="R1051" s="16"/>
      <c r="S1051" s="16"/>
      <c r="T1051" s="16" t="s">
        <v>2023</v>
      </c>
      <c r="U1051" s="16" t="s">
        <v>63</v>
      </c>
      <c r="V1051" s="16" t="n">
        <v>0.222</v>
      </c>
      <c r="W1051" s="16"/>
      <c r="X1051" s="26"/>
      <c r="Y1051" s="16"/>
      <c r="Z1051" s="16"/>
      <c r="AA1051" s="16" t="n">
        <v>10000</v>
      </c>
      <c r="AB1051" s="16"/>
      <c r="AC1051" s="16"/>
      <c r="AD1051" s="16"/>
      <c r="AE1051" s="16"/>
      <c r="AF1051" s="16"/>
      <c r="AG1051" s="16"/>
      <c r="AH1051" s="16"/>
      <c r="AI1051" s="16"/>
      <c r="AJ1051" s="9" t="n">
        <f aca="false">X1051*$V1051</f>
        <v>0</v>
      </c>
      <c r="AK1051" s="9" t="n">
        <f aca="false">Y1051*$V1051</f>
        <v>0</v>
      </c>
      <c r="AL1051" s="9" t="n">
        <f aca="false">Z1051*$V1051</f>
        <v>0</v>
      </c>
      <c r="AM1051" s="9" t="n">
        <f aca="false">AA1051*$V1051</f>
        <v>2220</v>
      </c>
      <c r="AN1051" s="9" t="n">
        <f aca="false">AB1051*$V1051</f>
        <v>0</v>
      </c>
      <c r="AO1051" s="9" t="n">
        <f aca="false">AC1051*$V1051</f>
        <v>0</v>
      </c>
      <c r="AP1051" s="9" t="n">
        <f aca="false">AD1051*$V1051</f>
        <v>0</v>
      </c>
      <c r="AQ1051" s="9" t="n">
        <f aca="false">AE1051*$V1051</f>
        <v>0</v>
      </c>
      <c r="AR1051" s="9" t="n">
        <f aca="false">AF1051*$V1051</f>
        <v>0</v>
      </c>
      <c r="AS1051" s="9" t="n">
        <f aca="false">AG1051*$V1051</f>
        <v>0</v>
      </c>
      <c r="AT1051" s="9" t="n">
        <f aca="false">AH1051*$V1051</f>
        <v>0</v>
      </c>
      <c r="AU1051" s="9" t="n">
        <f aca="false">AI1051*$V1051</f>
        <v>0</v>
      </c>
      <c r="AV1051" s="9" t="n">
        <f aca="false">SUM(X1051:AI1051)/1000</f>
        <v>10</v>
      </c>
      <c r="AW1051" s="9" t="n">
        <f aca="false">SUM(AJ1051:AU1051)</f>
        <v>2220</v>
      </c>
      <c r="AX1051" s="9" t="n">
        <f aca="false">IF(D1051="INR",AW1051/88.24,AW1051)/1000000</f>
        <v>2.51586582048957E-005</v>
      </c>
    </row>
    <row r="1052" s="2" customFormat="true" ht="14.25" hidden="false" customHeight="false" outlineLevel="0" collapsed="false">
      <c r="A1052" s="28"/>
      <c r="B1052" s="16" t="n">
        <v>1</v>
      </c>
      <c r="C1052" s="16"/>
      <c r="D1052" s="16" t="s">
        <v>50</v>
      </c>
      <c r="E1052" s="16" t="s">
        <v>51</v>
      </c>
      <c r="F1052" s="16" t="s">
        <v>52</v>
      </c>
      <c r="G1052" s="16"/>
      <c r="H1052" s="16" t="s">
        <v>336</v>
      </c>
      <c r="I1052" s="16"/>
      <c r="J1052" s="16"/>
      <c r="K1052" s="16"/>
      <c r="L1052" s="16"/>
      <c r="M1052" s="16"/>
      <c r="N1052" s="16" t="s">
        <v>79</v>
      </c>
      <c r="O1052" s="16"/>
      <c r="P1052" s="16"/>
      <c r="Q1052" s="16" t="s">
        <v>80</v>
      </c>
      <c r="R1052" s="16"/>
      <c r="S1052" s="16"/>
      <c r="T1052" s="16" t="s">
        <v>2024</v>
      </c>
      <c r="U1052" s="16" t="s">
        <v>63</v>
      </c>
      <c r="V1052" s="16" t="n">
        <v>0.22</v>
      </c>
      <c r="W1052" s="16"/>
      <c r="X1052" s="26"/>
      <c r="Y1052" s="16"/>
      <c r="Z1052" s="16"/>
      <c r="AA1052" s="16" t="n">
        <v>10000</v>
      </c>
      <c r="AB1052" s="26"/>
      <c r="AC1052" s="16"/>
      <c r="AD1052" s="16"/>
      <c r="AE1052" s="16"/>
      <c r="AF1052" s="16"/>
      <c r="AG1052" s="16"/>
      <c r="AH1052" s="16"/>
      <c r="AI1052" s="16"/>
      <c r="AJ1052" s="9" t="n">
        <f aca="false">X1052*$V1052</f>
        <v>0</v>
      </c>
      <c r="AK1052" s="9" t="n">
        <f aca="false">Y1052*$V1052</f>
        <v>0</v>
      </c>
      <c r="AL1052" s="9" t="n">
        <f aca="false">Z1052*$V1052</f>
        <v>0</v>
      </c>
      <c r="AM1052" s="9" t="n">
        <f aca="false">AA1052*$V1052</f>
        <v>2200</v>
      </c>
      <c r="AN1052" s="9" t="n">
        <f aca="false">AB1052*$V1052</f>
        <v>0</v>
      </c>
      <c r="AO1052" s="9" t="n">
        <f aca="false">AC1052*$V1052</f>
        <v>0</v>
      </c>
      <c r="AP1052" s="9" t="n">
        <f aca="false">AD1052*$V1052</f>
        <v>0</v>
      </c>
      <c r="AQ1052" s="9" t="n">
        <f aca="false">AE1052*$V1052</f>
        <v>0</v>
      </c>
      <c r="AR1052" s="9" t="n">
        <f aca="false">AF1052*$V1052</f>
        <v>0</v>
      </c>
      <c r="AS1052" s="9" t="n">
        <f aca="false">AG1052*$V1052</f>
        <v>0</v>
      </c>
      <c r="AT1052" s="9" t="n">
        <f aca="false">AH1052*$V1052</f>
        <v>0</v>
      </c>
      <c r="AU1052" s="9" t="n">
        <f aca="false">AI1052*$V1052</f>
        <v>0</v>
      </c>
      <c r="AV1052" s="9" t="n">
        <f aca="false">SUM(X1052:AI1052)/1000</f>
        <v>10</v>
      </c>
      <c r="AW1052" s="9" t="n">
        <f aca="false">SUM(AJ1052:AU1052)</f>
        <v>2200</v>
      </c>
      <c r="AX1052" s="9" t="n">
        <f aca="false">IF(D1052="INR",AW1052/88.24,AW1052)/1000000</f>
        <v>2.49320036264733E-005</v>
      </c>
    </row>
    <row r="1053" s="2" customFormat="true" ht="14.25" hidden="false" customHeight="false" outlineLevel="0" collapsed="false">
      <c r="A1053" s="28"/>
      <c r="B1053" s="16" t="n">
        <v>1</v>
      </c>
      <c r="C1053" s="16"/>
      <c r="D1053" s="16" t="s">
        <v>50</v>
      </c>
      <c r="E1053" s="16" t="s">
        <v>51</v>
      </c>
      <c r="F1053" s="16" t="s">
        <v>52</v>
      </c>
      <c r="G1053" s="16"/>
      <c r="H1053" s="16" t="s">
        <v>336</v>
      </c>
      <c r="I1053" s="16"/>
      <c r="J1053" s="16"/>
      <c r="K1053" s="16"/>
      <c r="L1053" s="16"/>
      <c r="M1053" s="16"/>
      <c r="N1053" s="16" t="s">
        <v>79</v>
      </c>
      <c r="O1053" s="16"/>
      <c r="P1053" s="16"/>
      <c r="Q1053" s="16" t="s">
        <v>80</v>
      </c>
      <c r="R1053" s="16"/>
      <c r="S1053" s="16"/>
      <c r="T1053" s="16" t="s">
        <v>2025</v>
      </c>
      <c r="U1053" s="16" t="s">
        <v>63</v>
      </c>
      <c r="V1053" s="26" t="n">
        <v>2.55</v>
      </c>
      <c r="W1053" s="16"/>
      <c r="X1053" s="16"/>
      <c r="Y1053" s="16"/>
      <c r="Z1053" s="16"/>
      <c r="AA1053" s="16" t="n">
        <v>5000</v>
      </c>
      <c r="AB1053" s="16"/>
      <c r="AC1053" s="16"/>
      <c r="AD1053" s="16"/>
      <c r="AE1053" s="16"/>
      <c r="AF1053" s="16"/>
      <c r="AG1053" s="16"/>
      <c r="AH1053" s="16"/>
      <c r="AI1053" s="16"/>
      <c r="AJ1053" s="9" t="n">
        <f aca="false">X1053*$V1053</f>
        <v>0</v>
      </c>
      <c r="AK1053" s="9" t="n">
        <f aca="false">Y1053*$V1053</f>
        <v>0</v>
      </c>
      <c r="AL1053" s="9" t="n">
        <f aca="false">Z1053*$V1053</f>
        <v>0</v>
      </c>
      <c r="AM1053" s="9" t="n">
        <f aca="false">AA1053*$V1053</f>
        <v>12750</v>
      </c>
      <c r="AN1053" s="9" t="n">
        <f aca="false">AB1053*$V1053</f>
        <v>0</v>
      </c>
      <c r="AO1053" s="9" t="n">
        <f aca="false">AC1053*$V1053</f>
        <v>0</v>
      </c>
      <c r="AP1053" s="9" t="n">
        <f aca="false">AD1053*$V1053</f>
        <v>0</v>
      </c>
      <c r="AQ1053" s="9" t="n">
        <f aca="false">AE1053*$V1053</f>
        <v>0</v>
      </c>
      <c r="AR1053" s="9" t="n">
        <f aca="false">AF1053*$V1053</f>
        <v>0</v>
      </c>
      <c r="AS1053" s="9" t="n">
        <f aca="false">AG1053*$V1053</f>
        <v>0</v>
      </c>
      <c r="AT1053" s="9" t="n">
        <f aca="false">AH1053*$V1053</f>
        <v>0</v>
      </c>
      <c r="AU1053" s="9" t="n">
        <f aca="false">AI1053*$V1053</f>
        <v>0</v>
      </c>
      <c r="AV1053" s="9" t="n">
        <f aca="false">SUM(X1053:AI1053)/1000</f>
        <v>5</v>
      </c>
      <c r="AW1053" s="9" t="n">
        <f aca="false">SUM(AJ1053:AU1053)</f>
        <v>12750</v>
      </c>
      <c r="AX1053" s="9" t="n">
        <f aca="false">IF(D1053="INR",AW1053/88.24,AW1053)/1000000</f>
        <v>0.000144492293744334</v>
      </c>
    </row>
    <row r="1054" s="2" customFormat="true" ht="14.25" hidden="false" customHeight="false" outlineLevel="0" collapsed="false">
      <c r="A1054" s="28"/>
      <c r="B1054" s="16" t="n">
        <v>1</v>
      </c>
      <c r="C1054" s="16"/>
      <c r="D1054" s="16" t="s">
        <v>50</v>
      </c>
      <c r="E1054" s="16" t="s">
        <v>51</v>
      </c>
      <c r="F1054" s="16" t="s">
        <v>52</v>
      </c>
      <c r="G1054" s="16"/>
      <c r="H1054" s="16" t="s">
        <v>336</v>
      </c>
      <c r="I1054" s="16"/>
      <c r="J1054" s="16"/>
      <c r="K1054" s="16"/>
      <c r="L1054" s="16"/>
      <c r="M1054" s="16"/>
      <c r="N1054" s="16" t="s">
        <v>79</v>
      </c>
      <c r="O1054" s="16"/>
      <c r="P1054" s="16"/>
      <c r="Q1054" s="16" t="s">
        <v>80</v>
      </c>
      <c r="R1054" s="16"/>
      <c r="S1054" s="16"/>
      <c r="T1054" s="16" t="s">
        <v>2026</v>
      </c>
      <c r="U1054" s="26" t="s">
        <v>63</v>
      </c>
      <c r="V1054" s="16" t="n">
        <v>2.55</v>
      </c>
      <c r="W1054" s="16"/>
      <c r="X1054" s="16"/>
      <c r="Y1054" s="16"/>
      <c r="Z1054" s="16"/>
      <c r="AA1054" s="16" t="n">
        <v>5000</v>
      </c>
      <c r="AB1054" s="16"/>
      <c r="AC1054" s="16"/>
      <c r="AD1054" s="16"/>
      <c r="AE1054" s="16"/>
      <c r="AF1054" s="16"/>
      <c r="AG1054" s="16"/>
      <c r="AH1054" s="16"/>
      <c r="AI1054" s="16"/>
      <c r="AJ1054" s="9" t="n">
        <f aca="false">X1054*$V1054</f>
        <v>0</v>
      </c>
      <c r="AK1054" s="9" t="n">
        <f aca="false">Y1054*$V1054</f>
        <v>0</v>
      </c>
      <c r="AL1054" s="9" t="n">
        <f aca="false">Z1054*$V1054</f>
        <v>0</v>
      </c>
      <c r="AM1054" s="9" t="n">
        <f aca="false">AA1054*$V1054</f>
        <v>12750</v>
      </c>
      <c r="AN1054" s="9" t="n">
        <f aca="false">AB1054*$V1054</f>
        <v>0</v>
      </c>
      <c r="AO1054" s="9" t="n">
        <f aca="false">AC1054*$V1054</f>
        <v>0</v>
      </c>
      <c r="AP1054" s="9" t="n">
        <f aca="false">AD1054*$V1054</f>
        <v>0</v>
      </c>
      <c r="AQ1054" s="9" t="n">
        <f aca="false">AE1054*$V1054</f>
        <v>0</v>
      </c>
      <c r="AR1054" s="9" t="n">
        <f aca="false">AF1054*$V1054</f>
        <v>0</v>
      </c>
      <c r="AS1054" s="9" t="n">
        <f aca="false">AG1054*$V1054</f>
        <v>0</v>
      </c>
      <c r="AT1054" s="9" t="n">
        <f aca="false">AH1054*$V1054</f>
        <v>0</v>
      </c>
      <c r="AU1054" s="9" t="n">
        <f aca="false">AI1054*$V1054</f>
        <v>0</v>
      </c>
      <c r="AV1054" s="9" t="n">
        <f aca="false">SUM(X1054:AI1054)/1000</f>
        <v>5</v>
      </c>
      <c r="AW1054" s="9" t="n">
        <f aca="false">SUM(AJ1054:AU1054)</f>
        <v>12750</v>
      </c>
      <c r="AX1054" s="9" t="n">
        <f aca="false">IF(D1054="INR",AW1054/88.24,AW1054)/1000000</f>
        <v>0.000144492293744334</v>
      </c>
    </row>
    <row r="1055" s="2" customFormat="true" ht="14.25" hidden="false" customHeight="false" outlineLevel="0" collapsed="false">
      <c r="A1055" s="28"/>
      <c r="B1055" s="16" t="n">
        <v>1</v>
      </c>
      <c r="C1055" s="16"/>
      <c r="D1055" s="16" t="s">
        <v>50</v>
      </c>
      <c r="E1055" s="16" t="s">
        <v>51</v>
      </c>
      <c r="F1055" s="16" t="s">
        <v>52</v>
      </c>
      <c r="G1055" s="16"/>
      <c r="H1055" s="16" t="s">
        <v>336</v>
      </c>
      <c r="I1055" s="16"/>
      <c r="J1055" s="16"/>
      <c r="K1055" s="16"/>
      <c r="L1055" s="16"/>
      <c r="M1055" s="16"/>
      <c r="N1055" s="16" t="s">
        <v>79</v>
      </c>
      <c r="O1055" s="16"/>
      <c r="P1055" s="16"/>
      <c r="Q1055" s="16" t="s">
        <v>80</v>
      </c>
      <c r="R1055" s="16"/>
      <c r="S1055" s="16"/>
      <c r="T1055" s="16" t="s">
        <v>2027</v>
      </c>
      <c r="U1055" s="16" t="s">
        <v>63</v>
      </c>
      <c r="V1055" s="16" t="n">
        <v>2.55</v>
      </c>
      <c r="W1055" s="16"/>
      <c r="X1055" s="16"/>
      <c r="Y1055" s="16"/>
      <c r="Z1055" s="16"/>
      <c r="AA1055" s="16" t="n">
        <v>5000</v>
      </c>
      <c r="AB1055" s="16"/>
      <c r="AC1055" s="16"/>
      <c r="AD1055" s="16"/>
      <c r="AE1055" s="16"/>
      <c r="AF1055" s="16"/>
      <c r="AG1055" s="16"/>
      <c r="AH1055" s="16"/>
      <c r="AI1055" s="16"/>
      <c r="AJ1055" s="9" t="n">
        <f aca="false">X1055*$V1055</f>
        <v>0</v>
      </c>
      <c r="AK1055" s="9" t="n">
        <f aca="false">Y1055*$V1055</f>
        <v>0</v>
      </c>
      <c r="AL1055" s="9" t="n">
        <f aca="false">Z1055*$V1055</f>
        <v>0</v>
      </c>
      <c r="AM1055" s="9" t="n">
        <f aca="false">AA1055*$V1055</f>
        <v>12750</v>
      </c>
      <c r="AN1055" s="9" t="n">
        <f aca="false">AB1055*$V1055</f>
        <v>0</v>
      </c>
      <c r="AO1055" s="9" t="n">
        <f aca="false">AC1055*$V1055</f>
        <v>0</v>
      </c>
      <c r="AP1055" s="9" t="n">
        <f aca="false">AD1055*$V1055</f>
        <v>0</v>
      </c>
      <c r="AQ1055" s="9" t="n">
        <f aca="false">AE1055*$V1055</f>
        <v>0</v>
      </c>
      <c r="AR1055" s="9" t="n">
        <f aca="false">AF1055*$V1055</f>
        <v>0</v>
      </c>
      <c r="AS1055" s="9" t="n">
        <f aca="false">AG1055*$V1055</f>
        <v>0</v>
      </c>
      <c r="AT1055" s="9" t="n">
        <f aca="false">AH1055*$V1055</f>
        <v>0</v>
      </c>
      <c r="AU1055" s="9" t="n">
        <f aca="false">AI1055*$V1055</f>
        <v>0</v>
      </c>
      <c r="AV1055" s="9" t="n">
        <f aca="false">SUM(X1055:AI1055)/1000</f>
        <v>5</v>
      </c>
      <c r="AW1055" s="9" t="n">
        <f aca="false">SUM(AJ1055:AU1055)</f>
        <v>12750</v>
      </c>
      <c r="AX1055" s="9" t="n">
        <f aca="false">IF(D1055="INR",AW1055/88.24,AW1055)/1000000</f>
        <v>0.000144492293744334</v>
      </c>
    </row>
    <row r="1056" s="2" customFormat="true" ht="14.25" hidden="false" customHeight="false" outlineLevel="0" collapsed="false">
      <c r="A1056" s="28"/>
      <c r="B1056" s="16" t="n">
        <v>1</v>
      </c>
      <c r="C1056" s="16"/>
      <c r="D1056" s="16" t="s">
        <v>50</v>
      </c>
      <c r="E1056" s="16" t="s">
        <v>51</v>
      </c>
      <c r="F1056" s="16" t="s">
        <v>52</v>
      </c>
      <c r="G1056" s="16"/>
      <c r="H1056" s="16" t="s">
        <v>336</v>
      </c>
      <c r="I1056" s="16"/>
      <c r="J1056" s="16"/>
      <c r="K1056" s="16"/>
      <c r="L1056" s="16"/>
      <c r="M1056" s="16"/>
      <c r="N1056" s="16" t="s">
        <v>79</v>
      </c>
      <c r="O1056" s="16"/>
      <c r="P1056" s="16"/>
      <c r="Q1056" s="16" t="s">
        <v>80</v>
      </c>
      <c r="R1056" s="16"/>
      <c r="S1056" s="16"/>
      <c r="T1056" s="16" t="s">
        <v>2028</v>
      </c>
      <c r="U1056" s="16" t="s">
        <v>63</v>
      </c>
      <c r="V1056" s="16" t="n">
        <v>0.307</v>
      </c>
      <c r="W1056" s="16"/>
      <c r="X1056" s="26"/>
      <c r="Y1056" s="16"/>
      <c r="Z1056" s="16"/>
      <c r="AA1056" s="16" t="n">
        <v>5000</v>
      </c>
      <c r="AB1056" s="16"/>
      <c r="AC1056" s="16"/>
      <c r="AD1056" s="16"/>
      <c r="AE1056" s="16"/>
      <c r="AF1056" s="16"/>
      <c r="AG1056" s="16"/>
      <c r="AH1056" s="16"/>
      <c r="AI1056" s="16"/>
      <c r="AJ1056" s="9" t="n">
        <f aca="false">X1056*$V1056</f>
        <v>0</v>
      </c>
      <c r="AK1056" s="9" t="n">
        <f aca="false">Y1056*$V1056</f>
        <v>0</v>
      </c>
      <c r="AL1056" s="9" t="n">
        <f aca="false">Z1056*$V1056</f>
        <v>0</v>
      </c>
      <c r="AM1056" s="9" t="n">
        <f aca="false">AA1056*$V1056</f>
        <v>1535</v>
      </c>
      <c r="AN1056" s="9" t="n">
        <f aca="false">AB1056*$V1056</f>
        <v>0</v>
      </c>
      <c r="AO1056" s="9" t="n">
        <f aca="false">AC1056*$V1056</f>
        <v>0</v>
      </c>
      <c r="AP1056" s="9" t="n">
        <f aca="false">AD1056*$V1056</f>
        <v>0</v>
      </c>
      <c r="AQ1056" s="9" t="n">
        <f aca="false">AE1056*$V1056</f>
        <v>0</v>
      </c>
      <c r="AR1056" s="9" t="n">
        <f aca="false">AF1056*$V1056</f>
        <v>0</v>
      </c>
      <c r="AS1056" s="9" t="n">
        <f aca="false">AG1056*$V1056</f>
        <v>0</v>
      </c>
      <c r="AT1056" s="9" t="n">
        <f aca="false">AH1056*$V1056</f>
        <v>0</v>
      </c>
      <c r="AU1056" s="9" t="n">
        <f aca="false">AI1056*$V1056</f>
        <v>0</v>
      </c>
      <c r="AV1056" s="9" t="n">
        <f aca="false">SUM(X1056:AI1056)/1000</f>
        <v>5</v>
      </c>
      <c r="AW1056" s="9" t="n">
        <f aca="false">SUM(AJ1056:AU1056)</f>
        <v>1535</v>
      </c>
      <c r="AX1056" s="9" t="n">
        <f aca="false">IF(D1056="INR",AW1056/88.24,AW1056)/1000000</f>
        <v>1.73957388939257E-005</v>
      </c>
    </row>
    <row r="1057" s="2" customFormat="true" ht="14.25" hidden="false" customHeight="false" outlineLevel="0" collapsed="false">
      <c r="A1057" s="28"/>
      <c r="B1057" s="16" t="n">
        <v>1</v>
      </c>
      <c r="C1057" s="16"/>
      <c r="D1057" s="16" t="s">
        <v>50</v>
      </c>
      <c r="E1057" s="16" t="s">
        <v>51</v>
      </c>
      <c r="F1057" s="16" t="s">
        <v>52</v>
      </c>
      <c r="G1057" s="16"/>
      <c r="H1057" s="16" t="s">
        <v>336</v>
      </c>
      <c r="I1057" s="16"/>
      <c r="J1057" s="16"/>
      <c r="K1057" s="16"/>
      <c r="L1057" s="16"/>
      <c r="M1057" s="16"/>
      <c r="N1057" s="16" t="s">
        <v>79</v>
      </c>
      <c r="O1057" s="16"/>
      <c r="P1057" s="16"/>
      <c r="Q1057" s="16" t="s">
        <v>80</v>
      </c>
      <c r="R1057" s="16"/>
      <c r="S1057" s="16"/>
      <c r="T1057" s="16" t="s">
        <v>2029</v>
      </c>
      <c r="U1057" s="26" t="s">
        <v>63</v>
      </c>
      <c r="V1057" s="15" t="n">
        <v>0.307</v>
      </c>
      <c r="W1057" s="16"/>
      <c r="X1057" s="16"/>
      <c r="Y1057" s="16"/>
      <c r="Z1057" s="26"/>
      <c r="AA1057" s="16" t="n">
        <v>5000</v>
      </c>
      <c r="AB1057" s="16"/>
      <c r="AC1057" s="16"/>
      <c r="AD1057" s="16"/>
      <c r="AE1057" s="16"/>
      <c r="AF1057" s="16"/>
      <c r="AG1057" s="16"/>
      <c r="AH1057" s="16"/>
      <c r="AI1057" s="16"/>
      <c r="AJ1057" s="9" t="n">
        <f aca="false">X1057*$V1057</f>
        <v>0</v>
      </c>
      <c r="AK1057" s="9" t="n">
        <f aca="false">Y1057*$V1057</f>
        <v>0</v>
      </c>
      <c r="AL1057" s="9" t="n">
        <f aca="false">Z1057*$V1057</f>
        <v>0</v>
      </c>
      <c r="AM1057" s="9" t="n">
        <f aca="false">AA1057*$V1057</f>
        <v>1535</v>
      </c>
      <c r="AN1057" s="9" t="n">
        <f aca="false">AB1057*$V1057</f>
        <v>0</v>
      </c>
      <c r="AO1057" s="9" t="n">
        <f aca="false">AC1057*$V1057</f>
        <v>0</v>
      </c>
      <c r="AP1057" s="9" t="n">
        <f aca="false">AD1057*$V1057</f>
        <v>0</v>
      </c>
      <c r="AQ1057" s="9" t="n">
        <f aca="false">AE1057*$V1057</f>
        <v>0</v>
      </c>
      <c r="AR1057" s="9" t="n">
        <f aca="false">AF1057*$V1057</f>
        <v>0</v>
      </c>
      <c r="AS1057" s="9" t="n">
        <f aca="false">AG1057*$V1057</f>
        <v>0</v>
      </c>
      <c r="AT1057" s="9" t="n">
        <f aca="false">AH1057*$V1057</f>
        <v>0</v>
      </c>
      <c r="AU1057" s="9" t="n">
        <f aca="false">AI1057*$V1057</f>
        <v>0</v>
      </c>
      <c r="AV1057" s="9" t="n">
        <f aca="false">SUM(X1057:AI1057)/1000</f>
        <v>5</v>
      </c>
      <c r="AW1057" s="9" t="n">
        <f aca="false">SUM(AJ1057:AU1057)</f>
        <v>1535</v>
      </c>
      <c r="AX1057" s="9" t="n">
        <f aca="false">IF(D1057="INR",AW1057/88.24,AW1057)/1000000</f>
        <v>1.73957388939257E-005</v>
      </c>
    </row>
    <row r="1058" s="2" customFormat="true" ht="14.25" hidden="false" customHeight="false" outlineLevel="0" collapsed="false">
      <c r="A1058" s="28"/>
      <c r="B1058" s="16" t="n">
        <v>1</v>
      </c>
      <c r="C1058" s="16"/>
      <c r="D1058" s="16" t="s">
        <v>50</v>
      </c>
      <c r="E1058" s="16" t="s">
        <v>51</v>
      </c>
      <c r="F1058" s="16" t="s">
        <v>52</v>
      </c>
      <c r="G1058" s="16"/>
      <c r="H1058" s="16" t="s">
        <v>336</v>
      </c>
      <c r="I1058" s="16"/>
      <c r="J1058" s="16"/>
      <c r="K1058" s="16"/>
      <c r="L1058" s="16"/>
      <c r="M1058" s="16"/>
      <c r="N1058" s="16" t="s">
        <v>79</v>
      </c>
      <c r="O1058" s="16"/>
      <c r="P1058" s="16"/>
      <c r="Q1058" s="16" t="s">
        <v>80</v>
      </c>
      <c r="R1058" s="16"/>
      <c r="S1058" s="16"/>
      <c r="T1058" s="16" t="s">
        <v>2030</v>
      </c>
      <c r="U1058" s="16" t="s">
        <v>63</v>
      </c>
      <c r="V1058" s="16" t="n">
        <v>0.307</v>
      </c>
      <c r="W1058" s="16"/>
      <c r="X1058" s="16"/>
      <c r="Y1058" s="16"/>
      <c r="Z1058" s="16"/>
      <c r="AA1058" s="16" t="n">
        <v>5000</v>
      </c>
      <c r="AB1058" s="26"/>
      <c r="AC1058" s="16"/>
      <c r="AD1058" s="16"/>
      <c r="AE1058" s="16"/>
      <c r="AF1058" s="16"/>
      <c r="AG1058" s="16"/>
      <c r="AH1058" s="16"/>
      <c r="AI1058" s="16"/>
      <c r="AJ1058" s="9" t="n">
        <f aca="false">X1058*$V1058</f>
        <v>0</v>
      </c>
      <c r="AK1058" s="9" t="n">
        <f aca="false">Y1058*$V1058</f>
        <v>0</v>
      </c>
      <c r="AL1058" s="9" t="n">
        <f aca="false">Z1058*$V1058</f>
        <v>0</v>
      </c>
      <c r="AM1058" s="9" t="n">
        <f aca="false">AA1058*$V1058</f>
        <v>1535</v>
      </c>
      <c r="AN1058" s="9" t="n">
        <f aca="false">AB1058*$V1058</f>
        <v>0</v>
      </c>
      <c r="AO1058" s="9" t="n">
        <f aca="false">AC1058*$V1058</f>
        <v>0</v>
      </c>
      <c r="AP1058" s="9" t="n">
        <f aca="false">AD1058*$V1058</f>
        <v>0</v>
      </c>
      <c r="AQ1058" s="9" t="n">
        <f aca="false">AE1058*$V1058</f>
        <v>0</v>
      </c>
      <c r="AR1058" s="9" t="n">
        <f aca="false">AF1058*$V1058</f>
        <v>0</v>
      </c>
      <c r="AS1058" s="9" t="n">
        <f aca="false">AG1058*$V1058</f>
        <v>0</v>
      </c>
      <c r="AT1058" s="9" t="n">
        <f aca="false">AH1058*$V1058</f>
        <v>0</v>
      </c>
      <c r="AU1058" s="9" t="n">
        <f aca="false">AI1058*$V1058</f>
        <v>0</v>
      </c>
      <c r="AV1058" s="9" t="n">
        <f aca="false">SUM(X1058:AI1058)/1000</f>
        <v>5</v>
      </c>
      <c r="AW1058" s="9" t="n">
        <f aca="false">SUM(AJ1058:AU1058)</f>
        <v>1535</v>
      </c>
      <c r="AX1058" s="9" t="n">
        <f aca="false">IF(D1058="INR",AW1058/88.24,AW1058)/1000000</f>
        <v>1.73957388939257E-005</v>
      </c>
    </row>
    <row r="1059" s="2" customFormat="true" ht="14.25" hidden="false" customHeight="false" outlineLevel="0" collapsed="false">
      <c r="A1059" s="28"/>
      <c r="B1059" s="16" t="n">
        <v>1</v>
      </c>
      <c r="C1059" s="16"/>
      <c r="D1059" s="16" t="s">
        <v>50</v>
      </c>
      <c r="E1059" s="16" t="s">
        <v>51</v>
      </c>
      <c r="F1059" s="16" t="s">
        <v>52</v>
      </c>
      <c r="G1059" s="16"/>
      <c r="H1059" s="16" t="s">
        <v>336</v>
      </c>
      <c r="I1059" s="16"/>
      <c r="J1059" s="16"/>
      <c r="K1059" s="16"/>
      <c r="L1059" s="16"/>
      <c r="M1059" s="16"/>
      <c r="N1059" s="16" t="s">
        <v>79</v>
      </c>
      <c r="O1059" s="16"/>
      <c r="P1059" s="16"/>
      <c r="Q1059" s="16" t="s">
        <v>80</v>
      </c>
      <c r="R1059" s="16"/>
      <c r="S1059" s="16"/>
      <c r="T1059" s="16" t="s">
        <v>2031</v>
      </c>
      <c r="U1059" s="16" t="s">
        <v>63</v>
      </c>
      <c r="V1059" s="16" t="n">
        <v>0.307</v>
      </c>
      <c r="W1059" s="16"/>
      <c r="X1059" s="26"/>
      <c r="Y1059" s="16"/>
      <c r="Z1059" s="16"/>
      <c r="AA1059" s="16" t="n">
        <v>5000</v>
      </c>
      <c r="AB1059" s="16"/>
      <c r="AC1059" s="16"/>
      <c r="AD1059" s="16"/>
      <c r="AE1059" s="16"/>
      <c r="AF1059" s="16"/>
      <c r="AG1059" s="16"/>
      <c r="AH1059" s="16"/>
      <c r="AI1059" s="16"/>
      <c r="AJ1059" s="9" t="n">
        <f aca="false">X1059*$V1059</f>
        <v>0</v>
      </c>
      <c r="AK1059" s="9" t="n">
        <f aca="false">Y1059*$V1059</f>
        <v>0</v>
      </c>
      <c r="AL1059" s="9" t="n">
        <f aca="false">Z1059*$V1059</f>
        <v>0</v>
      </c>
      <c r="AM1059" s="9" t="n">
        <f aca="false">AA1059*$V1059</f>
        <v>1535</v>
      </c>
      <c r="AN1059" s="9" t="n">
        <f aca="false">AB1059*$V1059</f>
        <v>0</v>
      </c>
      <c r="AO1059" s="9" t="n">
        <f aca="false">AC1059*$V1059</f>
        <v>0</v>
      </c>
      <c r="AP1059" s="9" t="n">
        <f aca="false">AD1059*$V1059</f>
        <v>0</v>
      </c>
      <c r="AQ1059" s="9" t="n">
        <f aca="false">AE1059*$V1059</f>
        <v>0</v>
      </c>
      <c r="AR1059" s="9" t="n">
        <f aca="false">AF1059*$V1059</f>
        <v>0</v>
      </c>
      <c r="AS1059" s="9" t="n">
        <f aca="false">AG1059*$V1059</f>
        <v>0</v>
      </c>
      <c r="AT1059" s="9" t="n">
        <f aca="false">AH1059*$V1059</f>
        <v>0</v>
      </c>
      <c r="AU1059" s="9" t="n">
        <f aca="false">AI1059*$V1059</f>
        <v>0</v>
      </c>
      <c r="AV1059" s="9" t="n">
        <f aca="false">SUM(X1059:AI1059)/1000</f>
        <v>5</v>
      </c>
      <c r="AW1059" s="9" t="n">
        <f aca="false">SUM(AJ1059:AU1059)</f>
        <v>1535</v>
      </c>
      <c r="AX1059" s="9" t="n">
        <f aca="false">IF(D1059="INR",AW1059/88.24,AW1059)/1000000</f>
        <v>1.73957388939257E-005</v>
      </c>
    </row>
    <row r="1060" s="2" customFormat="true" ht="14.25" hidden="false" customHeight="false" outlineLevel="0" collapsed="false">
      <c r="A1060" s="28"/>
      <c r="B1060" s="16" t="n">
        <v>1</v>
      </c>
      <c r="C1060" s="16"/>
      <c r="D1060" s="16" t="s">
        <v>50</v>
      </c>
      <c r="E1060" s="16" t="s">
        <v>51</v>
      </c>
      <c r="F1060" s="16" t="s">
        <v>52</v>
      </c>
      <c r="G1060" s="16"/>
      <c r="H1060" s="16" t="s">
        <v>336</v>
      </c>
      <c r="I1060" s="16"/>
      <c r="J1060" s="16"/>
      <c r="K1060" s="16"/>
      <c r="L1060" s="16"/>
      <c r="M1060" s="16"/>
      <c r="N1060" s="16" t="s">
        <v>79</v>
      </c>
      <c r="O1060" s="16"/>
      <c r="P1060" s="16"/>
      <c r="Q1060" s="16" t="s">
        <v>80</v>
      </c>
      <c r="R1060" s="16"/>
      <c r="S1060" s="16"/>
      <c r="T1060" s="16" t="s">
        <v>2032</v>
      </c>
      <c r="U1060" s="16" t="s">
        <v>63</v>
      </c>
      <c r="V1060" s="16" t="n">
        <v>0.307</v>
      </c>
      <c r="W1060" s="26"/>
      <c r="X1060" s="16"/>
      <c r="Y1060" s="16"/>
      <c r="Z1060" s="16"/>
      <c r="AA1060" s="16" t="n">
        <v>5000</v>
      </c>
      <c r="AB1060" s="16"/>
      <c r="AC1060" s="16"/>
      <c r="AD1060" s="16"/>
      <c r="AE1060" s="16"/>
      <c r="AF1060" s="16"/>
      <c r="AG1060" s="16"/>
      <c r="AH1060" s="16"/>
      <c r="AI1060" s="16"/>
      <c r="AJ1060" s="9" t="n">
        <f aca="false">X1060*$V1060</f>
        <v>0</v>
      </c>
      <c r="AK1060" s="9" t="n">
        <f aca="false">Y1060*$V1060</f>
        <v>0</v>
      </c>
      <c r="AL1060" s="9" t="n">
        <f aca="false">Z1060*$V1060</f>
        <v>0</v>
      </c>
      <c r="AM1060" s="9" t="n">
        <f aca="false">AA1060*$V1060</f>
        <v>1535</v>
      </c>
      <c r="AN1060" s="9" t="n">
        <f aca="false">AB1060*$V1060</f>
        <v>0</v>
      </c>
      <c r="AO1060" s="9" t="n">
        <f aca="false">AC1060*$V1060</f>
        <v>0</v>
      </c>
      <c r="AP1060" s="9" t="n">
        <f aca="false">AD1060*$V1060</f>
        <v>0</v>
      </c>
      <c r="AQ1060" s="9" t="n">
        <f aca="false">AE1060*$V1060</f>
        <v>0</v>
      </c>
      <c r="AR1060" s="9" t="n">
        <f aca="false">AF1060*$V1060</f>
        <v>0</v>
      </c>
      <c r="AS1060" s="9" t="n">
        <f aca="false">AG1060*$V1060</f>
        <v>0</v>
      </c>
      <c r="AT1060" s="9" t="n">
        <f aca="false">AH1060*$V1060</f>
        <v>0</v>
      </c>
      <c r="AU1060" s="9" t="n">
        <f aca="false">AI1060*$V1060</f>
        <v>0</v>
      </c>
      <c r="AV1060" s="9" t="n">
        <f aca="false">SUM(X1060:AI1060)/1000</f>
        <v>5</v>
      </c>
      <c r="AW1060" s="9" t="n">
        <f aca="false">SUM(AJ1060:AU1060)</f>
        <v>1535</v>
      </c>
      <c r="AX1060" s="9" t="n">
        <f aca="false">IF(D1060="INR",AW1060/88.24,AW1060)/1000000</f>
        <v>1.73957388939257E-005</v>
      </c>
    </row>
    <row r="1061" s="2" customFormat="true" ht="14.25" hidden="false" customHeight="false" outlineLevel="0" collapsed="false">
      <c r="A1061" s="12"/>
      <c r="B1061" s="16" t="n">
        <v>1</v>
      </c>
      <c r="C1061" s="15"/>
      <c r="D1061" s="16" t="s">
        <v>50</v>
      </c>
      <c r="E1061" s="16" t="s">
        <v>51</v>
      </c>
      <c r="F1061" s="16" t="s">
        <v>52</v>
      </c>
      <c r="G1061" s="16"/>
      <c r="H1061" s="16" t="s">
        <v>336</v>
      </c>
      <c r="I1061" s="16"/>
      <c r="J1061" s="16"/>
      <c r="K1061" s="16"/>
      <c r="L1061" s="16"/>
      <c r="M1061" s="16"/>
      <c r="N1061" s="16" t="s">
        <v>79</v>
      </c>
      <c r="O1061" s="16"/>
      <c r="P1061" s="16"/>
      <c r="Q1061" s="16" t="s">
        <v>80</v>
      </c>
      <c r="R1061" s="16"/>
      <c r="S1061" s="16"/>
      <c r="T1061" s="16" t="s">
        <v>2033</v>
      </c>
      <c r="U1061" s="16" t="s">
        <v>63</v>
      </c>
      <c r="V1061" s="16" t="n">
        <v>5.33</v>
      </c>
      <c r="W1061" s="16"/>
      <c r="X1061" s="22"/>
      <c r="Y1061" s="9"/>
      <c r="Z1061" s="9"/>
      <c r="AA1061" s="9" t="n">
        <v>4500</v>
      </c>
      <c r="AB1061" s="9"/>
      <c r="AC1061" s="9"/>
      <c r="AD1061" s="9"/>
      <c r="AE1061" s="9"/>
      <c r="AF1061" s="9"/>
      <c r="AG1061" s="9"/>
      <c r="AH1061" s="9"/>
      <c r="AI1061" s="9"/>
      <c r="AJ1061" s="9" t="n">
        <f aca="false">X1061*$V1061</f>
        <v>0</v>
      </c>
      <c r="AK1061" s="9" t="n">
        <f aca="false">Y1061*$V1061</f>
        <v>0</v>
      </c>
      <c r="AL1061" s="9" t="n">
        <f aca="false">Z1061*$V1061</f>
        <v>0</v>
      </c>
      <c r="AM1061" s="9" t="n">
        <f aca="false">AA1061*$V1061</f>
        <v>23985</v>
      </c>
      <c r="AN1061" s="9" t="n">
        <f aca="false">AB1061*$V1061</f>
        <v>0</v>
      </c>
      <c r="AO1061" s="9" t="n">
        <f aca="false">AC1061*$V1061</f>
        <v>0</v>
      </c>
      <c r="AP1061" s="9" t="n">
        <f aca="false">AD1061*$V1061</f>
        <v>0</v>
      </c>
      <c r="AQ1061" s="9" t="n">
        <f aca="false">AE1061*$V1061</f>
        <v>0</v>
      </c>
      <c r="AR1061" s="9" t="n">
        <f aca="false">AF1061*$V1061</f>
        <v>0</v>
      </c>
      <c r="AS1061" s="9" t="n">
        <f aca="false">AG1061*$V1061</f>
        <v>0</v>
      </c>
      <c r="AT1061" s="9" t="n">
        <f aca="false">AH1061*$V1061</f>
        <v>0</v>
      </c>
      <c r="AU1061" s="9" t="n">
        <f aca="false">AI1061*$V1061</f>
        <v>0</v>
      </c>
      <c r="AV1061" s="9" t="n">
        <f aca="false">SUM(X1061:AI1061)/1000</f>
        <v>4.5</v>
      </c>
      <c r="AW1061" s="9" t="n">
        <f aca="false">SUM(AJ1061:AU1061)</f>
        <v>23985</v>
      </c>
      <c r="AX1061" s="9" t="n">
        <f aca="false">IF(D1061="INR",AW1061/88.24,AW1061)/1000000</f>
        <v>0.000271815503173164</v>
      </c>
      <c r="AZ1061" s="9"/>
    </row>
    <row r="1062" s="2" customFormat="true" ht="14.25" hidden="false" customHeight="false" outlineLevel="0" collapsed="false">
      <c r="A1062" s="12" t="s">
        <v>2034</v>
      </c>
      <c r="B1062" s="16" t="n">
        <v>5</v>
      </c>
      <c r="C1062" s="15"/>
      <c r="D1062" s="16" t="s">
        <v>50</v>
      </c>
      <c r="E1062" s="16" t="s">
        <v>51</v>
      </c>
      <c r="F1062" s="16" t="s">
        <v>52</v>
      </c>
      <c r="G1062" s="16" t="s">
        <v>929</v>
      </c>
      <c r="H1062" s="16" t="s">
        <v>930</v>
      </c>
      <c r="I1062" s="16" t="s">
        <v>105</v>
      </c>
      <c r="J1062" s="16" t="s">
        <v>900</v>
      </c>
      <c r="K1062" s="16"/>
      <c r="L1062" s="16" t="s">
        <v>105</v>
      </c>
      <c r="M1062" s="16" t="s">
        <v>900</v>
      </c>
      <c r="N1062" s="16" t="s">
        <v>93</v>
      </c>
      <c r="O1062" s="16" t="s">
        <v>294</v>
      </c>
      <c r="P1062" s="16" t="s">
        <v>308</v>
      </c>
      <c r="Q1062" s="16" t="s">
        <v>308</v>
      </c>
      <c r="R1062" s="16" t="s">
        <v>309</v>
      </c>
      <c r="S1062" s="16" t="s">
        <v>264</v>
      </c>
      <c r="T1062" s="16" t="s">
        <v>513</v>
      </c>
      <c r="U1062" s="16" t="s">
        <v>73</v>
      </c>
      <c r="V1062" s="26" t="n">
        <v>0.36</v>
      </c>
      <c r="W1062" s="16" t="n">
        <v>0.99</v>
      </c>
      <c r="X1062" s="16" t="n">
        <v>100000</v>
      </c>
      <c r="Y1062" s="16"/>
      <c r="Z1062" s="16"/>
      <c r="AA1062" s="16"/>
      <c r="AB1062" s="16"/>
      <c r="AC1062" s="16"/>
      <c r="AD1062" s="16"/>
      <c r="AE1062" s="16"/>
      <c r="AF1062" s="16"/>
      <c r="AG1062" s="16" t="n">
        <v>100000</v>
      </c>
      <c r="AH1062" s="16"/>
      <c r="AI1062" s="16" t="n">
        <v>40000</v>
      </c>
      <c r="AJ1062" s="9" t="n">
        <f aca="false">X1062*$V1062</f>
        <v>36000</v>
      </c>
      <c r="AK1062" s="9" t="n">
        <f aca="false">Y1062*$V1062</f>
        <v>0</v>
      </c>
      <c r="AL1062" s="9" t="n">
        <f aca="false">Z1062*$V1062</f>
        <v>0</v>
      </c>
      <c r="AM1062" s="9" t="n">
        <f aca="false">AA1062*$V1062</f>
        <v>0</v>
      </c>
      <c r="AN1062" s="9" t="n">
        <f aca="false">AB1062*$V1062</f>
        <v>0</v>
      </c>
      <c r="AO1062" s="9" t="n">
        <f aca="false">AC1062*$V1062</f>
        <v>0</v>
      </c>
      <c r="AP1062" s="9" t="n">
        <f aca="false">AD1062*$V1062</f>
        <v>0</v>
      </c>
      <c r="AQ1062" s="9" t="n">
        <f aca="false">AE1062*$V1062</f>
        <v>0</v>
      </c>
      <c r="AR1062" s="9" t="n">
        <f aca="false">AF1062*$V1062</f>
        <v>0</v>
      </c>
      <c r="AS1062" s="9" t="n">
        <f aca="false">AG1062*$V1062</f>
        <v>36000</v>
      </c>
      <c r="AT1062" s="9" t="n">
        <f aca="false">AH1062*$V1062</f>
        <v>0</v>
      </c>
      <c r="AU1062" s="9" t="n">
        <f aca="false">AI1062*$V1062</f>
        <v>14400</v>
      </c>
      <c r="AV1062" s="9" t="n">
        <f aca="false">SUM(X1062:AI1062)/1000</f>
        <v>240</v>
      </c>
      <c r="AW1062" s="9" t="n">
        <f aca="false">SUM(AJ1062:AU1062)</f>
        <v>86400</v>
      </c>
      <c r="AX1062" s="9" t="n">
        <f aca="false">IF(D1062="INR",AW1062/88.24,AW1062)/1000000</f>
        <v>0.000979147778785132</v>
      </c>
    </row>
    <row r="1063" s="2" customFormat="true" ht="14.25" hidden="false" customHeight="false" outlineLevel="0" collapsed="false">
      <c r="A1063" s="12"/>
      <c r="B1063" s="16" t="n">
        <v>1</v>
      </c>
      <c r="C1063" s="15"/>
      <c r="D1063" s="16" t="s">
        <v>50</v>
      </c>
      <c r="E1063" s="16"/>
      <c r="F1063" s="16" t="s">
        <v>97</v>
      </c>
      <c r="G1063" s="16" t="s">
        <v>2035</v>
      </c>
      <c r="H1063" s="16" t="s">
        <v>2036</v>
      </c>
      <c r="I1063" s="16"/>
      <c r="J1063" s="16"/>
      <c r="K1063" s="16"/>
      <c r="L1063" s="16"/>
      <c r="M1063" s="16"/>
      <c r="N1063" s="16" t="s">
        <v>79</v>
      </c>
      <c r="O1063" s="16"/>
      <c r="P1063" s="16"/>
      <c r="Q1063" s="16" t="s">
        <v>760</v>
      </c>
      <c r="R1063" s="16"/>
      <c r="S1063" s="16"/>
      <c r="T1063" s="16" t="s">
        <v>2037</v>
      </c>
      <c r="U1063" s="16" t="s">
        <v>63</v>
      </c>
      <c r="V1063" s="16" t="n">
        <v>180</v>
      </c>
      <c r="W1063" s="16"/>
      <c r="X1063" s="22"/>
      <c r="Y1063" s="16"/>
      <c r="Z1063" s="16"/>
      <c r="AA1063" s="16"/>
      <c r="AB1063" s="16"/>
      <c r="AC1063" s="16"/>
      <c r="AD1063" s="16"/>
      <c r="AE1063" s="16" t="n">
        <v>1000</v>
      </c>
      <c r="AF1063" s="16"/>
      <c r="AG1063" s="16"/>
      <c r="AH1063" s="16"/>
      <c r="AI1063" s="16"/>
      <c r="AJ1063" s="9" t="n">
        <f aca="false">X1063*$V1063</f>
        <v>0</v>
      </c>
      <c r="AK1063" s="9" t="n">
        <f aca="false">Y1063*$V1063</f>
        <v>0</v>
      </c>
      <c r="AL1063" s="9" t="n">
        <f aca="false">Z1063*$V1063</f>
        <v>0</v>
      </c>
      <c r="AM1063" s="9" t="n">
        <f aca="false">AA1063*$V1063</f>
        <v>0</v>
      </c>
      <c r="AN1063" s="9" t="n">
        <f aca="false">AB1063*$V1063</f>
        <v>0</v>
      </c>
      <c r="AO1063" s="9" t="n">
        <f aca="false">AC1063*$V1063</f>
        <v>0</v>
      </c>
      <c r="AP1063" s="9" t="n">
        <f aca="false">AD1063*$V1063</f>
        <v>0</v>
      </c>
      <c r="AQ1063" s="9" t="n">
        <f aca="false">AE1063*$V1063</f>
        <v>180000</v>
      </c>
      <c r="AR1063" s="9" t="n">
        <f aca="false">AF1063*$V1063</f>
        <v>0</v>
      </c>
      <c r="AS1063" s="9" t="n">
        <f aca="false">AG1063*$V1063</f>
        <v>0</v>
      </c>
      <c r="AT1063" s="9" t="n">
        <f aca="false">AH1063*$V1063</f>
        <v>0</v>
      </c>
      <c r="AU1063" s="9" t="n">
        <f aca="false">AI1063*$V1063</f>
        <v>0</v>
      </c>
      <c r="AV1063" s="9" t="n">
        <f aca="false">SUM(X1063:AI1063)/1000</f>
        <v>1</v>
      </c>
      <c r="AW1063" s="9" t="n">
        <f aca="false">SUM(AJ1063:AU1063)</f>
        <v>180000</v>
      </c>
      <c r="AX1063" s="9" t="n">
        <f aca="false">IF(D1063="INR",AW1063/88.24,AW1063)/1000000</f>
        <v>0.00203989120580236</v>
      </c>
    </row>
    <row r="1064" s="2" customFormat="true" ht="14.25" hidden="false" customHeight="false" outlineLevel="0" collapsed="false">
      <c r="A1064" s="12"/>
      <c r="B1064" s="16" t="n">
        <v>1</v>
      </c>
      <c r="C1064" s="15"/>
      <c r="D1064" s="16" t="s">
        <v>50</v>
      </c>
      <c r="E1064" s="16" t="s">
        <v>51</v>
      </c>
      <c r="F1064" s="16" t="s">
        <v>52</v>
      </c>
      <c r="G1064" s="16" t="s">
        <v>53</v>
      </c>
      <c r="H1064" s="16" t="s">
        <v>54</v>
      </c>
      <c r="I1064" s="16" t="s">
        <v>55</v>
      </c>
      <c r="J1064" s="16" t="s">
        <v>56</v>
      </c>
      <c r="K1064" s="16" t="s">
        <v>54</v>
      </c>
      <c r="L1064" s="16" t="s">
        <v>55</v>
      </c>
      <c r="M1064" s="16" t="s">
        <v>56</v>
      </c>
      <c r="N1064" s="16" t="s">
        <v>57</v>
      </c>
      <c r="O1064" s="16" t="s">
        <v>58</v>
      </c>
      <c r="P1064" s="16" t="s">
        <v>208</v>
      </c>
      <c r="Q1064" s="16" t="s">
        <v>208</v>
      </c>
      <c r="R1064" s="16" t="s">
        <v>309</v>
      </c>
      <c r="S1064" s="16" t="s">
        <v>87</v>
      </c>
      <c r="T1064" s="16" t="s">
        <v>636</v>
      </c>
      <c r="U1064" s="16" t="s">
        <v>63</v>
      </c>
      <c r="V1064" s="15" t="n">
        <v>0.223</v>
      </c>
      <c r="W1064" s="16"/>
      <c r="X1064" s="16"/>
      <c r="Y1064" s="16"/>
      <c r="Z1064" s="16"/>
      <c r="AA1064" s="16" t="n">
        <v>50000</v>
      </c>
      <c r="AB1064" s="16" t="n">
        <v>50000</v>
      </c>
      <c r="AC1064" s="16" t="n">
        <v>50000</v>
      </c>
      <c r="AD1064" s="16" t="n">
        <v>50000</v>
      </c>
      <c r="AE1064" s="16" t="n">
        <v>50000</v>
      </c>
      <c r="AF1064" s="16" t="n">
        <v>50000</v>
      </c>
      <c r="AG1064" s="16" t="n">
        <v>50000</v>
      </c>
      <c r="AH1064" s="16" t="n">
        <v>50000</v>
      </c>
      <c r="AI1064" s="16" t="n">
        <v>50000</v>
      </c>
      <c r="AJ1064" s="9" t="n">
        <f aca="false">X1064*$V1064</f>
        <v>0</v>
      </c>
      <c r="AK1064" s="9" t="n">
        <f aca="false">Y1064*$V1064</f>
        <v>0</v>
      </c>
      <c r="AL1064" s="9" t="n">
        <f aca="false">Z1064*$V1064</f>
        <v>0</v>
      </c>
      <c r="AM1064" s="9" t="n">
        <f aca="false">AA1064*$V1064</f>
        <v>11150</v>
      </c>
      <c r="AN1064" s="9" t="n">
        <f aca="false">AB1064*$V1064</f>
        <v>11150</v>
      </c>
      <c r="AO1064" s="9" t="n">
        <f aca="false">AC1064*$V1064</f>
        <v>11150</v>
      </c>
      <c r="AP1064" s="9" t="n">
        <f aca="false">AD1064*$V1064</f>
        <v>11150</v>
      </c>
      <c r="AQ1064" s="9" t="n">
        <f aca="false">AE1064*$V1064</f>
        <v>11150</v>
      </c>
      <c r="AR1064" s="9" t="n">
        <f aca="false">AF1064*$V1064</f>
        <v>11150</v>
      </c>
      <c r="AS1064" s="9" t="n">
        <f aca="false">AG1064*$V1064</f>
        <v>11150</v>
      </c>
      <c r="AT1064" s="9" t="n">
        <f aca="false">AH1064*$V1064</f>
        <v>11150</v>
      </c>
      <c r="AU1064" s="9" t="n">
        <f aca="false">AI1064*$V1064</f>
        <v>11150</v>
      </c>
      <c r="AV1064" s="9" t="n">
        <f aca="false">SUM(X1064:AI1064)/1000</f>
        <v>450</v>
      </c>
      <c r="AW1064" s="9" t="n">
        <f aca="false">SUM(AJ1064:AU1064)</f>
        <v>100350</v>
      </c>
      <c r="AX1064" s="9" t="n">
        <f aca="false">IF(D1064="INR",AW1064/88.24,AW1064)/1000000</f>
        <v>0.00113723934723481</v>
      </c>
    </row>
    <row r="1065" s="2" customFormat="true" ht="14.25" hidden="false" customHeight="true" outlineLevel="0" collapsed="false">
      <c r="A1065" s="28"/>
      <c r="B1065" s="16" t="n">
        <v>1</v>
      </c>
      <c r="C1065" s="16"/>
      <c r="D1065" s="16" t="s">
        <v>50</v>
      </c>
      <c r="E1065" s="16" t="s">
        <v>51</v>
      </c>
      <c r="F1065" s="16" t="s">
        <v>52</v>
      </c>
      <c r="G1065" s="16" t="s">
        <v>53</v>
      </c>
      <c r="H1065" s="16" t="s">
        <v>54</v>
      </c>
      <c r="I1065" s="16" t="s">
        <v>55</v>
      </c>
      <c r="J1065" s="16" t="s">
        <v>56</v>
      </c>
      <c r="K1065" s="16" t="s">
        <v>54</v>
      </c>
      <c r="L1065" s="16" t="s">
        <v>55</v>
      </c>
      <c r="M1065" s="16" t="s">
        <v>56</v>
      </c>
      <c r="N1065" s="16" t="s">
        <v>57</v>
      </c>
      <c r="O1065" s="16" t="s">
        <v>58</v>
      </c>
      <c r="P1065" s="16" t="s">
        <v>859</v>
      </c>
      <c r="Q1065" s="16" t="s">
        <v>859</v>
      </c>
      <c r="R1065" s="16"/>
      <c r="S1065" s="16" t="s">
        <v>1663</v>
      </c>
      <c r="T1065" s="16" t="s">
        <v>2038</v>
      </c>
      <c r="U1065" s="16" t="s">
        <v>63</v>
      </c>
      <c r="V1065" s="16" t="n">
        <v>0.062</v>
      </c>
      <c r="W1065" s="16"/>
      <c r="X1065" s="16" t="n">
        <v>40000</v>
      </c>
      <c r="Y1065" s="16"/>
      <c r="Z1065" s="16"/>
      <c r="AA1065" s="16" t="n">
        <v>40000</v>
      </c>
      <c r="AB1065" s="16"/>
      <c r="AC1065" s="16"/>
      <c r="AD1065" s="16" t="n">
        <v>40000</v>
      </c>
      <c r="AE1065" s="16"/>
      <c r="AF1065" s="16"/>
      <c r="AG1065" s="16" t="n">
        <v>40000</v>
      </c>
      <c r="AH1065" s="16"/>
      <c r="AI1065" s="16"/>
      <c r="AJ1065" s="9" t="n">
        <f aca="false">X1065*$V1065</f>
        <v>2480</v>
      </c>
      <c r="AK1065" s="9" t="n">
        <f aca="false">Y1065*$V1065</f>
        <v>0</v>
      </c>
      <c r="AL1065" s="9" t="n">
        <f aca="false">Z1065*$V1065</f>
        <v>0</v>
      </c>
      <c r="AM1065" s="9" t="n">
        <f aca="false">AA1065*$V1065</f>
        <v>2480</v>
      </c>
      <c r="AN1065" s="9" t="n">
        <f aca="false">AB1065*$V1065</f>
        <v>0</v>
      </c>
      <c r="AO1065" s="9" t="n">
        <f aca="false">AC1065*$V1065</f>
        <v>0</v>
      </c>
      <c r="AP1065" s="9" t="n">
        <f aca="false">AD1065*$V1065</f>
        <v>2480</v>
      </c>
      <c r="AQ1065" s="9" t="n">
        <f aca="false">AE1065*$V1065</f>
        <v>0</v>
      </c>
      <c r="AR1065" s="9" t="n">
        <f aca="false">AF1065*$V1065</f>
        <v>0</v>
      </c>
      <c r="AS1065" s="9" t="n">
        <f aca="false">AG1065*$V1065</f>
        <v>2480</v>
      </c>
      <c r="AT1065" s="9" t="n">
        <f aca="false">AH1065*$V1065</f>
        <v>0</v>
      </c>
      <c r="AU1065" s="9" t="n">
        <f aca="false">AI1065*$V1065</f>
        <v>0</v>
      </c>
      <c r="AV1065" s="9" t="n">
        <f aca="false">SUM(X1065:AI1065)/1000</f>
        <v>160</v>
      </c>
      <c r="AW1065" s="9" t="n">
        <f aca="false">SUM(AJ1065:AU1065)</f>
        <v>9920</v>
      </c>
      <c r="AX1065" s="9" t="n">
        <f aca="false">IF(D1065="INR",AW1065/88.24,AW1065)/1000000</f>
        <v>0.000112420670897552</v>
      </c>
    </row>
    <row r="1066" s="2" customFormat="true" ht="16.4" hidden="false" customHeight="false" outlineLevel="0" collapsed="false">
      <c r="A1066" s="35" t="s">
        <v>2039</v>
      </c>
      <c r="B1066" s="9" t="n">
        <v>5</v>
      </c>
      <c r="C1066" s="15"/>
      <c r="D1066" s="16" t="s">
        <v>102</v>
      </c>
      <c r="E1066" s="16" t="s">
        <v>51</v>
      </c>
      <c r="F1066" s="16" t="s">
        <v>404</v>
      </c>
      <c r="G1066" s="16" t="s">
        <v>405</v>
      </c>
      <c r="H1066" s="9" t="s">
        <v>406</v>
      </c>
      <c r="I1066" s="16" t="s">
        <v>105</v>
      </c>
      <c r="J1066" s="16" t="s">
        <v>270</v>
      </c>
      <c r="K1066" s="9" t="s">
        <v>406</v>
      </c>
      <c r="L1066" s="16" t="s">
        <v>105</v>
      </c>
      <c r="M1066" s="16" t="s">
        <v>270</v>
      </c>
      <c r="N1066" s="16" t="s">
        <v>271</v>
      </c>
      <c r="O1066" s="16" t="s">
        <v>94</v>
      </c>
      <c r="P1066" s="9" t="s">
        <v>110</v>
      </c>
      <c r="Q1066" s="9" t="s">
        <v>110</v>
      </c>
      <c r="R1066" s="9" t="s">
        <v>137</v>
      </c>
      <c r="S1066" s="9" t="s">
        <v>272</v>
      </c>
      <c r="T1066" s="9" t="s">
        <v>849</v>
      </c>
      <c r="U1066" s="16" t="s">
        <v>73</v>
      </c>
      <c r="V1066" s="36" t="n">
        <v>0.27</v>
      </c>
      <c r="W1066" s="9" t="n">
        <v>0.256</v>
      </c>
      <c r="X1066" s="22" t="n">
        <v>100000</v>
      </c>
      <c r="Y1066" s="9" t="n">
        <v>50000</v>
      </c>
      <c r="Z1066" s="9" t="n">
        <v>50000</v>
      </c>
      <c r="AA1066" s="9" t="n">
        <v>50000</v>
      </c>
      <c r="AB1066" s="9" t="n">
        <v>100000</v>
      </c>
      <c r="AC1066" s="9" t="n">
        <v>50000</v>
      </c>
      <c r="AD1066" s="23" t="n">
        <v>100000</v>
      </c>
      <c r="AE1066" s="9" t="n">
        <v>100000</v>
      </c>
      <c r="AF1066" s="9" t="n">
        <v>100000</v>
      </c>
      <c r="AG1066" s="9" t="n">
        <v>50000</v>
      </c>
      <c r="AH1066" s="9" t="n">
        <v>50000</v>
      </c>
      <c r="AI1066" s="9" t="n">
        <v>100000</v>
      </c>
      <c r="AJ1066" s="9" t="n">
        <f aca="false">X1066*$V1066</f>
        <v>27000</v>
      </c>
      <c r="AK1066" s="9" t="n">
        <f aca="false">Y1066*$V1066</f>
        <v>13500</v>
      </c>
      <c r="AL1066" s="9" t="n">
        <f aca="false">Z1066*$V1066</f>
        <v>13500</v>
      </c>
      <c r="AM1066" s="9" t="n">
        <f aca="false">AA1066*$V1066</f>
        <v>13500</v>
      </c>
      <c r="AN1066" s="9" t="n">
        <f aca="false">AB1066*$V1066</f>
        <v>27000</v>
      </c>
      <c r="AO1066" s="9" t="n">
        <f aca="false">AC1066*$V1066</f>
        <v>13500</v>
      </c>
      <c r="AP1066" s="9" t="n">
        <f aca="false">AD1066*$V1066</f>
        <v>27000</v>
      </c>
      <c r="AQ1066" s="9" t="n">
        <f aca="false">AE1066*$V1066</f>
        <v>27000</v>
      </c>
      <c r="AR1066" s="9" t="n">
        <f aca="false">AF1066*$V1066</f>
        <v>27000</v>
      </c>
      <c r="AS1066" s="9" t="n">
        <f aca="false">AG1066*$V1066</f>
        <v>13500</v>
      </c>
      <c r="AT1066" s="9" t="n">
        <f aca="false">AH1066*$V1066</f>
        <v>13500</v>
      </c>
      <c r="AU1066" s="9" t="n">
        <f aca="false">AI1066*$V1066</f>
        <v>27000</v>
      </c>
      <c r="AV1066" s="9" t="n">
        <f aca="false">SUM(X1066:AI1066)/1000</f>
        <v>900</v>
      </c>
      <c r="AW1066" s="9" t="n">
        <f aca="false">SUM(AJ1066:AU1066)</f>
        <v>243000</v>
      </c>
      <c r="AX1066" s="9" t="n">
        <f aca="false">IF(D1066="INR",AW1066/88.24,AW1066)/1000000</f>
        <v>0.243</v>
      </c>
    </row>
    <row r="1067" s="2" customFormat="true" ht="14.25" hidden="false" customHeight="false" outlineLevel="0" collapsed="false">
      <c r="A1067" s="12" t="s">
        <v>2040</v>
      </c>
      <c r="B1067" s="13" t="n">
        <v>5</v>
      </c>
      <c r="C1067" s="14"/>
      <c r="D1067" s="16" t="s">
        <v>50</v>
      </c>
      <c r="E1067" s="16" t="s">
        <v>51</v>
      </c>
      <c r="F1067" s="16" t="s">
        <v>52</v>
      </c>
      <c r="G1067" s="16" t="s">
        <v>2041</v>
      </c>
      <c r="H1067" s="16" t="s">
        <v>2042</v>
      </c>
      <c r="I1067" s="16" t="s">
        <v>992</v>
      </c>
      <c r="J1067" s="16" t="s">
        <v>2043</v>
      </c>
      <c r="K1067" s="16"/>
      <c r="L1067" s="16" t="s">
        <v>992</v>
      </c>
      <c r="M1067" s="16" t="s">
        <v>2043</v>
      </c>
      <c r="N1067" s="16" t="s">
        <v>57</v>
      </c>
      <c r="O1067" s="16" t="s">
        <v>246</v>
      </c>
      <c r="P1067" s="16" t="s">
        <v>361</v>
      </c>
      <c r="Q1067" s="16" t="s">
        <v>361</v>
      </c>
      <c r="R1067" s="16" t="s">
        <v>362</v>
      </c>
      <c r="S1067" s="16" t="s">
        <v>363</v>
      </c>
      <c r="T1067" s="16" t="s">
        <v>2044</v>
      </c>
      <c r="U1067" s="16" t="s">
        <v>73</v>
      </c>
      <c r="V1067" s="16" t="n">
        <v>1528</v>
      </c>
      <c r="W1067" s="16" t="n">
        <v>1324.99</v>
      </c>
      <c r="X1067" s="16"/>
      <c r="Y1067" s="16" t="n">
        <v>500</v>
      </c>
      <c r="Z1067" s="16"/>
      <c r="AA1067" s="16"/>
      <c r="AB1067" s="16"/>
      <c r="AC1067" s="16"/>
      <c r="AD1067" s="16" t="n">
        <v>500</v>
      </c>
      <c r="AE1067" s="16"/>
      <c r="AF1067" s="16"/>
      <c r="AG1067" s="16"/>
      <c r="AH1067" s="16"/>
      <c r="AI1067" s="16" t="n">
        <v>500</v>
      </c>
      <c r="AJ1067" s="9" t="n">
        <f aca="false">X1067*$V1067</f>
        <v>0</v>
      </c>
      <c r="AK1067" s="9" t="n">
        <f aca="false">Y1067*$V1067</f>
        <v>764000</v>
      </c>
      <c r="AL1067" s="9" t="n">
        <f aca="false">Z1067*$V1067</f>
        <v>0</v>
      </c>
      <c r="AM1067" s="9" t="n">
        <f aca="false">AA1067*$V1067</f>
        <v>0</v>
      </c>
      <c r="AN1067" s="9" t="n">
        <f aca="false">AB1067*$V1067</f>
        <v>0</v>
      </c>
      <c r="AO1067" s="9" t="n">
        <f aca="false">AC1067*$V1067</f>
        <v>0</v>
      </c>
      <c r="AP1067" s="9" t="n">
        <f aca="false">AD1067*$V1067</f>
        <v>764000</v>
      </c>
      <c r="AQ1067" s="9" t="n">
        <f aca="false">AE1067*$V1067</f>
        <v>0</v>
      </c>
      <c r="AR1067" s="9" t="n">
        <f aca="false">AF1067*$V1067</f>
        <v>0</v>
      </c>
      <c r="AS1067" s="9" t="n">
        <f aca="false">AG1067*$V1067</f>
        <v>0</v>
      </c>
      <c r="AT1067" s="9" t="n">
        <f aca="false">AH1067*$V1067</f>
        <v>0</v>
      </c>
      <c r="AU1067" s="9" t="n">
        <f aca="false">AI1067*$V1067</f>
        <v>764000</v>
      </c>
      <c r="AV1067" s="9" t="n">
        <f aca="false">SUM(X1067:AI1067)/1000</f>
        <v>1.5</v>
      </c>
      <c r="AW1067" s="9" t="n">
        <f aca="false">SUM(AJ1067:AU1067)</f>
        <v>2292000</v>
      </c>
      <c r="AX1067" s="9" t="n">
        <f aca="false">IF(D1067="INR",AW1067/88.24,AW1067)/1000000</f>
        <v>0.0259746146872167</v>
      </c>
    </row>
    <row r="1068" s="2" customFormat="true" ht="14.25" hidden="false" customHeight="false" outlineLevel="0" collapsed="false">
      <c r="A1068" s="12" t="s">
        <v>2045</v>
      </c>
      <c r="B1068" s="16" t="n">
        <v>5</v>
      </c>
      <c r="C1068" s="15"/>
      <c r="D1068" s="16" t="s">
        <v>50</v>
      </c>
      <c r="E1068" s="16" t="s">
        <v>51</v>
      </c>
      <c r="F1068" s="16" t="s">
        <v>52</v>
      </c>
      <c r="G1068" s="16" t="s">
        <v>2041</v>
      </c>
      <c r="H1068" s="16" t="s">
        <v>2042</v>
      </c>
      <c r="I1068" s="16" t="s">
        <v>992</v>
      </c>
      <c r="J1068" s="16" t="s">
        <v>2043</v>
      </c>
      <c r="K1068" s="16"/>
      <c r="L1068" s="16" t="s">
        <v>992</v>
      </c>
      <c r="M1068" s="16" t="s">
        <v>2043</v>
      </c>
      <c r="N1068" s="16" t="s">
        <v>57</v>
      </c>
      <c r="O1068" s="16" t="s">
        <v>246</v>
      </c>
      <c r="P1068" s="16" t="s">
        <v>361</v>
      </c>
      <c r="Q1068" s="16" t="s">
        <v>361</v>
      </c>
      <c r="R1068" s="16" t="s">
        <v>362</v>
      </c>
      <c r="S1068" s="16" t="s">
        <v>363</v>
      </c>
      <c r="T1068" s="16" t="s">
        <v>2046</v>
      </c>
      <c r="U1068" s="16" t="s">
        <v>73</v>
      </c>
      <c r="V1068" s="16" t="n">
        <v>878</v>
      </c>
      <c r="W1068" s="16" t="n">
        <v>760</v>
      </c>
      <c r="X1068" s="26"/>
      <c r="Y1068" s="16" t="n">
        <v>500</v>
      </c>
      <c r="Z1068" s="16"/>
      <c r="AA1068" s="16"/>
      <c r="AB1068" s="16"/>
      <c r="AC1068" s="16"/>
      <c r="AD1068" s="16" t="n">
        <v>500</v>
      </c>
      <c r="AE1068" s="16"/>
      <c r="AF1068" s="26"/>
      <c r="AG1068" s="26"/>
      <c r="AH1068" s="16"/>
      <c r="AI1068" s="26" t="n">
        <v>500</v>
      </c>
      <c r="AJ1068" s="9" t="n">
        <f aca="false">X1068*$V1068</f>
        <v>0</v>
      </c>
      <c r="AK1068" s="9" t="n">
        <f aca="false">Y1068*$V1068</f>
        <v>439000</v>
      </c>
      <c r="AL1068" s="9" t="n">
        <f aca="false">Z1068*$V1068</f>
        <v>0</v>
      </c>
      <c r="AM1068" s="9" t="n">
        <f aca="false">AA1068*$V1068</f>
        <v>0</v>
      </c>
      <c r="AN1068" s="9" t="n">
        <f aca="false">AB1068*$V1068</f>
        <v>0</v>
      </c>
      <c r="AO1068" s="9" t="n">
        <f aca="false">AC1068*$V1068</f>
        <v>0</v>
      </c>
      <c r="AP1068" s="9" t="n">
        <f aca="false">AD1068*$V1068</f>
        <v>439000</v>
      </c>
      <c r="AQ1068" s="9" t="n">
        <f aca="false">AE1068*$V1068</f>
        <v>0</v>
      </c>
      <c r="AR1068" s="9" t="n">
        <f aca="false">AF1068*$V1068</f>
        <v>0</v>
      </c>
      <c r="AS1068" s="9" t="n">
        <f aca="false">AG1068*$V1068</f>
        <v>0</v>
      </c>
      <c r="AT1068" s="9" t="n">
        <f aca="false">AH1068*$V1068</f>
        <v>0</v>
      </c>
      <c r="AU1068" s="9" t="n">
        <f aca="false">AI1068*$V1068</f>
        <v>439000</v>
      </c>
      <c r="AV1068" s="9" t="n">
        <f aca="false">SUM(X1068:AI1068)/1000</f>
        <v>1.5</v>
      </c>
      <c r="AW1068" s="9" t="n">
        <f aca="false">SUM(AJ1068:AU1068)</f>
        <v>1317000</v>
      </c>
      <c r="AX1068" s="9" t="n">
        <f aca="false">IF(D1068="INR",AW1068/88.24,AW1068)/1000000</f>
        <v>0.0149252039891206</v>
      </c>
    </row>
    <row r="1069" s="2" customFormat="true" ht="14.25" hidden="false" customHeight="false" outlineLevel="0" collapsed="false">
      <c r="A1069" s="12" t="s">
        <v>2047</v>
      </c>
      <c r="B1069" s="16" t="n">
        <v>5</v>
      </c>
      <c r="C1069" s="15"/>
      <c r="D1069" s="16" t="s">
        <v>50</v>
      </c>
      <c r="E1069" s="16" t="s">
        <v>51</v>
      </c>
      <c r="F1069" s="16" t="s">
        <v>52</v>
      </c>
      <c r="G1069" s="16" t="s">
        <v>2041</v>
      </c>
      <c r="H1069" s="16" t="s">
        <v>2042</v>
      </c>
      <c r="I1069" s="16" t="s">
        <v>992</v>
      </c>
      <c r="J1069" s="16" t="s">
        <v>2043</v>
      </c>
      <c r="K1069" s="16"/>
      <c r="L1069" s="16" t="s">
        <v>992</v>
      </c>
      <c r="M1069" s="16" t="s">
        <v>2043</v>
      </c>
      <c r="N1069" s="16" t="s">
        <v>57</v>
      </c>
      <c r="O1069" s="16" t="s">
        <v>246</v>
      </c>
      <c r="P1069" s="16" t="s">
        <v>361</v>
      </c>
      <c r="Q1069" s="16" t="s">
        <v>361</v>
      </c>
      <c r="R1069" s="16" t="s">
        <v>362</v>
      </c>
      <c r="S1069" s="16" t="s">
        <v>363</v>
      </c>
      <c r="T1069" s="16" t="s">
        <v>2048</v>
      </c>
      <c r="U1069" s="16" t="s">
        <v>73</v>
      </c>
      <c r="V1069" s="16" t="n">
        <v>512</v>
      </c>
      <c r="W1069" s="16" t="n">
        <v>410</v>
      </c>
      <c r="X1069" s="16"/>
      <c r="Y1069" s="16" t="n">
        <v>500</v>
      </c>
      <c r="Z1069" s="16"/>
      <c r="AA1069" s="26"/>
      <c r="AB1069" s="16"/>
      <c r="AC1069" s="16"/>
      <c r="AD1069" s="16" t="n">
        <v>500</v>
      </c>
      <c r="AE1069" s="16"/>
      <c r="AF1069" s="16"/>
      <c r="AG1069" s="16"/>
      <c r="AH1069" s="16"/>
      <c r="AI1069" s="16" t="n">
        <v>500</v>
      </c>
      <c r="AJ1069" s="9" t="n">
        <f aca="false">X1069*$V1069</f>
        <v>0</v>
      </c>
      <c r="AK1069" s="9" t="n">
        <f aca="false">Y1069*$V1069</f>
        <v>256000</v>
      </c>
      <c r="AL1069" s="9" t="n">
        <f aca="false">Z1069*$V1069</f>
        <v>0</v>
      </c>
      <c r="AM1069" s="9" t="n">
        <f aca="false">AA1069*$V1069</f>
        <v>0</v>
      </c>
      <c r="AN1069" s="9" t="n">
        <f aca="false">AB1069*$V1069</f>
        <v>0</v>
      </c>
      <c r="AO1069" s="9" t="n">
        <f aca="false">AC1069*$V1069</f>
        <v>0</v>
      </c>
      <c r="AP1069" s="9" t="n">
        <f aca="false">AD1069*$V1069</f>
        <v>256000</v>
      </c>
      <c r="AQ1069" s="9" t="n">
        <f aca="false">AE1069*$V1069</f>
        <v>0</v>
      </c>
      <c r="AR1069" s="9" t="n">
        <f aca="false">AF1069*$V1069</f>
        <v>0</v>
      </c>
      <c r="AS1069" s="9" t="n">
        <f aca="false">AG1069*$V1069</f>
        <v>0</v>
      </c>
      <c r="AT1069" s="9" t="n">
        <f aca="false">AH1069*$V1069</f>
        <v>0</v>
      </c>
      <c r="AU1069" s="9" t="n">
        <f aca="false">AI1069*$V1069</f>
        <v>256000</v>
      </c>
      <c r="AV1069" s="9" t="n">
        <f aca="false">SUM(X1069:AI1069)/1000</f>
        <v>1.5</v>
      </c>
      <c r="AW1069" s="9" t="n">
        <f aca="false">SUM(AJ1069:AU1069)</f>
        <v>768000</v>
      </c>
      <c r="AX1069" s="9" t="n">
        <f aca="false">IF(D1069="INR",AW1069/88.24,AW1069)/1000000</f>
        <v>0.00870353581142339</v>
      </c>
    </row>
    <row r="1070" s="2" customFormat="true" ht="16.4" hidden="false" customHeight="false" outlineLevel="0" collapsed="false">
      <c r="A1070" s="35" t="s">
        <v>2049</v>
      </c>
      <c r="B1070" s="9" t="n">
        <v>5</v>
      </c>
      <c r="C1070" s="15"/>
      <c r="D1070" s="16" t="s">
        <v>50</v>
      </c>
      <c r="E1070" s="16" t="s">
        <v>51</v>
      </c>
      <c r="F1070" s="16" t="s">
        <v>404</v>
      </c>
      <c r="G1070" s="16" t="s">
        <v>1789</v>
      </c>
      <c r="H1070" s="16" t="s">
        <v>1790</v>
      </c>
      <c r="I1070" s="16" t="s">
        <v>105</v>
      </c>
      <c r="J1070" s="16" t="s">
        <v>368</v>
      </c>
      <c r="K1070" s="16"/>
      <c r="L1070" s="16" t="s">
        <v>105</v>
      </c>
      <c r="M1070" s="16" t="s">
        <v>368</v>
      </c>
      <c r="N1070" s="16" t="s">
        <v>271</v>
      </c>
      <c r="O1070" s="16" t="s">
        <v>246</v>
      </c>
      <c r="P1070" s="9" t="s">
        <v>110</v>
      </c>
      <c r="Q1070" s="9" t="s">
        <v>110</v>
      </c>
      <c r="R1070" s="9" t="s">
        <v>137</v>
      </c>
      <c r="S1070" s="9" t="s">
        <v>272</v>
      </c>
      <c r="T1070" s="9" t="s">
        <v>1443</v>
      </c>
      <c r="U1070" s="9" t="s">
        <v>73</v>
      </c>
      <c r="V1070" s="9" t="n">
        <v>46</v>
      </c>
      <c r="W1070" s="9" t="n">
        <v>34</v>
      </c>
      <c r="X1070" s="23"/>
      <c r="Y1070" s="23" t="n">
        <v>500</v>
      </c>
      <c r="Z1070" s="23"/>
      <c r="AA1070" s="23" t="n">
        <v>500</v>
      </c>
      <c r="AB1070" s="23" t="n">
        <v>500</v>
      </c>
      <c r="AC1070" s="23" t="n">
        <v>500</v>
      </c>
      <c r="AD1070" s="23" t="n">
        <v>500</v>
      </c>
      <c r="AE1070" s="23" t="n">
        <v>500</v>
      </c>
      <c r="AF1070" s="23" t="n">
        <v>500</v>
      </c>
      <c r="AG1070" s="23" t="n">
        <v>500</v>
      </c>
      <c r="AH1070" s="23" t="n">
        <v>500</v>
      </c>
      <c r="AI1070" s="23" t="n">
        <v>500</v>
      </c>
      <c r="AJ1070" s="9" t="n">
        <f aca="false">X1070*$V1070</f>
        <v>0</v>
      </c>
      <c r="AK1070" s="9" t="n">
        <f aca="false">Y1070*$V1070</f>
        <v>23000</v>
      </c>
      <c r="AL1070" s="9" t="n">
        <f aca="false">Z1070*$V1070</f>
        <v>0</v>
      </c>
      <c r="AM1070" s="9" t="n">
        <f aca="false">AA1070*$V1070</f>
        <v>23000</v>
      </c>
      <c r="AN1070" s="9" t="n">
        <f aca="false">AB1070*$V1070</f>
        <v>23000</v>
      </c>
      <c r="AO1070" s="9" t="n">
        <f aca="false">AC1070*$V1070</f>
        <v>23000</v>
      </c>
      <c r="AP1070" s="9" t="n">
        <f aca="false">AD1070*$V1070</f>
        <v>23000</v>
      </c>
      <c r="AQ1070" s="9" t="n">
        <f aca="false">AE1070*$V1070</f>
        <v>23000</v>
      </c>
      <c r="AR1070" s="9" t="n">
        <f aca="false">AF1070*$V1070</f>
        <v>23000</v>
      </c>
      <c r="AS1070" s="9" t="n">
        <f aca="false">AG1070*$V1070</f>
        <v>23000</v>
      </c>
      <c r="AT1070" s="9" t="n">
        <f aca="false">AH1070*$V1070</f>
        <v>23000</v>
      </c>
      <c r="AU1070" s="9" t="n">
        <f aca="false">AI1070*$V1070</f>
        <v>23000</v>
      </c>
      <c r="AV1070" s="9" t="n">
        <f aca="false">SUM(X1070:AI1070)/1000</f>
        <v>5</v>
      </c>
      <c r="AW1070" s="9" t="n">
        <f aca="false">SUM(AJ1070:AU1070)</f>
        <v>230000</v>
      </c>
      <c r="AX1070" s="9" t="n">
        <f aca="false">IF(D1070="INR",AW1070/88.24,AW1070)/1000000</f>
        <v>0.00260652765185857</v>
      </c>
    </row>
    <row r="1071" s="2" customFormat="true" ht="14.25" hidden="false" customHeight="false" outlineLevel="0" collapsed="false">
      <c r="A1071" s="12" t="s">
        <v>2050</v>
      </c>
      <c r="B1071" s="13" t="n">
        <v>5</v>
      </c>
      <c r="C1071" s="14"/>
      <c r="D1071" s="16" t="s">
        <v>50</v>
      </c>
      <c r="E1071" s="16" t="s">
        <v>51</v>
      </c>
      <c r="F1071" s="16" t="s">
        <v>404</v>
      </c>
      <c r="G1071" s="16" t="s">
        <v>1789</v>
      </c>
      <c r="H1071" s="16" t="s">
        <v>1790</v>
      </c>
      <c r="I1071" s="16" t="s">
        <v>105</v>
      </c>
      <c r="J1071" s="16" t="s">
        <v>368</v>
      </c>
      <c r="K1071" s="16"/>
      <c r="L1071" s="16" t="s">
        <v>105</v>
      </c>
      <c r="M1071" s="16" t="s">
        <v>368</v>
      </c>
      <c r="N1071" s="16" t="s">
        <v>271</v>
      </c>
      <c r="O1071" s="16" t="s">
        <v>94</v>
      </c>
      <c r="P1071" s="16" t="s">
        <v>110</v>
      </c>
      <c r="Q1071" s="16" t="s">
        <v>110</v>
      </c>
      <c r="R1071" s="16" t="s">
        <v>137</v>
      </c>
      <c r="S1071" s="16" t="s">
        <v>272</v>
      </c>
      <c r="T1071" s="16" t="s">
        <v>757</v>
      </c>
      <c r="U1071" s="16" t="s">
        <v>73</v>
      </c>
      <c r="V1071" s="15" t="n">
        <v>39</v>
      </c>
      <c r="W1071" s="16" t="n">
        <v>0.312</v>
      </c>
      <c r="X1071" s="16" t="n">
        <v>500</v>
      </c>
      <c r="Y1071" s="16" t="n">
        <v>500</v>
      </c>
      <c r="Z1071" s="16"/>
      <c r="AA1071" s="16" t="n">
        <v>500</v>
      </c>
      <c r="AB1071" s="16"/>
      <c r="AC1071" s="16" t="n">
        <v>500</v>
      </c>
      <c r="AD1071" s="16" t="n">
        <v>500</v>
      </c>
      <c r="AE1071" s="16" t="n">
        <v>500</v>
      </c>
      <c r="AF1071" s="16" t="n">
        <v>500</v>
      </c>
      <c r="AG1071" s="16" t="n">
        <v>500</v>
      </c>
      <c r="AH1071" s="16" t="n">
        <v>500</v>
      </c>
      <c r="AI1071" s="16" t="n">
        <v>500</v>
      </c>
      <c r="AJ1071" s="9" t="n">
        <f aca="false">X1071*$V1071</f>
        <v>19500</v>
      </c>
      <c r="AK1071" s="9" t="n">
        <f aca="false">Y1071*$V1071</f>
        <v>19500</v>
      </c>
      <c r="AL1071" s="9" t="n">
        <f aca="false">Z1071*$V1071</f>
        <v>0</v>
      </c>
      <c r="AM1071" s="9" t="n">
        <f aca="false">AA1071*$V1071</f>
        <v>19500</v>
      </c>
      <c r="AN1071" s="9" t="n">
        <f aca="false">AB1071*$V1071</f>
        <v>0</v>
      </c>
      <c r="AO1071" s="9" t="n">
        <f aca="false">AC1071*$V1071</f>
        <v>19500</v>
      </c>
      <c r="AP1071" s="9" t="n">
        <f aca="false">AD1071*$V1071</f>
        <v>19500</v>
      </c>
      <c r="AQ1071" s="9" t="n">
        <f aca="false">AE1071*$V1071</f>
        <v>19500</v>
      </c>
      <c r="AR1071" s="9" t="n">
        <f aca="false">AF1071*$V1071</f>
        <v>19500</v>
      </c>
      <c r="AS1071" s="9" t="n">
        <f aca="false">AG1071*$V1071</f>
        <v>19500</v>
      </c>
      <c r="AT1071" s="9" t="n">
        <f aca="false">AH1071*$V1071</f>
        <v>19500</v>
      </c>
      <c r="AU1071" s="9" t="n">
        <f aca="false">AI1071*$V1071</f>
        <v>19500</v>
      </c>
      <c r="AV1071" s="9" t="n">
        <f aca="false">SUM(X1071:AI1071)/1000</f>
        <v>5</v>
      </c>
      <c r="AW1071" s="9" t="n">
        <f aca="false">SUM(AJ1071:AU1071)</f>
        <v>195000</v>
      </c>
      <c r="AX1071" s="9" t="n">
        <f aca="false">IF(D1071="INR",AW1071/88.24,AW1071)/1000000</f>
        <v>0.00220988213961922</v>
      </c>
    </row>
    <row r="1072" s="2" customFormat="true" ht="14.25" hidden="false" customHeight="false" outlineLevel="0" collapsed="false">
      <c r="A1072" s="12" t="s">
        <v>2051</v>
      </c>
      <c r="B1072" s="16" t="n">
        <v>5</v>
      </c>
      <c r="C1072" s="15"/>
      <c r="D1072" s="16" t="s">
        <v>50</v>
      </c>
      <c r="E1072" s="16" t="s">
        <v>51</v>
      </c>
      <c r="F1072" s="16" t="s">
        <v>267</v>
      </c>
      <c r="G1072" s="16" t="s">
        <v>1681</v>
      </c>
      <c r="H1072" s="16" t="s">
        <v>1682</v>
      </c>
      <c r="I1072" s="16" t="s">
        <v>105</v>
      </c>
      <c r="J1072" s="16" t="s">
        <v>900</v>
      </c>
      <c r="K1072" s="16"/>
      <c r="L1072" s="16" t="s">
        <v>105</v>
      </c>
      <c r="M1072" s="16" t="s">
        <v>900</v>
      </c>
      <c r="N1072" s="16" t="s">
        <v>271</v>
      </c>
      <c r="O1072" s="16" t="s">
        <v>94</v>
      </c>
      <c r="P1072" s="16" t="s">
        <v>110</v>
      </c>
      <c r="Q1072" s="16" t="s">
        <v>110</v>
      </c>
      <c r="R1072" s="16" t="s">
        <v>137</v>
      </c>
      <c r="S1072" s="16" t="s">
        <v>272</v>
      </c>
      <c r="T1072" s="16" t="s">
        <v>2052</v>
      </c>
      <c r="U1072" s="16" t="s">
        <v>73</v>
      </c>
      <c r="V1072" s="16" t="n">
        <v>138</v>
      </c>
      <c r="W1072" s="16" t="n">
        <v>1.197</v>
      </c>
      <c r="X1072" s="22"/>
      <c r="Y1072" s="22" t="n">
        <v>3000</v>
      </c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9" t="n">
        <f aca="false">X1072*$V1072</f>
        <v>0</v>
      </c>
      <c r="AK1072" s="9" t="n">
        <f aca="false">Y1072*$V1072</f>
        <v>414000</v>
      </c>
      <c r="AL1072" s="9" t="n">
        <f aca="false">Z1072*$V1072</f>
        <v>0</v>
      </c>
      <c r="AM1072" s="9" t="n">
        <f aca="false">AA1072*$V1072</f>
        <v>0</v>
      </c>
      <c r="AN1072" s="9" t="n">
        <f aca="false">AB1072*$V1072</f>
        <v>0</v>
      </c>
      <c r="AO1072" s="9" t="n">
        <f aca="false">AC1072*$V1072</f>
        <v>0</v>
      </c>
      <c r="AP1072" s="9" t="n">
        <f aca="false">AD1072*$V1072</f>
        <v>0</v>
      </c>
      <c r="AQ1072" s="9" t="n">
        <f aca="false">AE1072*$V1072</f>
        <v>0</v>
      </c>
      <c r="AR1072" s="9" t="n">
        <f aca="false">AF1072*$V1072</f>
        <v>0</v>
      </c>
      <c r="AS1072" s="9" t="n">
        <f aca="false">AG1072*$V1072</f>
        <v>0</v>
      </c>
      <c r="AT1072" s="9" t="n">
        <f aca="false">AH1072*$V1072</f>
        <v>0</v>
      </c>
      <c r="AU1072" s="9" t="n">
        <f aca="false">AI1072*$V1072</f>
        <v>0</v>
      </c>
      <c r="AV1072" s="9" t="n">
        <f aca="false">SUM(X1072:AI1072)/1000</f>
        <v>3</v>
      </c>
      <c r="AW1072" s="9" t="n">
        <f aca="false">SUM(AJ1072:AU1072)</f>
        <v>414000</v>
      </c>
      <c r="AX1072" s="9" t="n">
        <f aca="false">IF(D1072="INR",AW1072/88.24,AW1072)/1000000</f>
        <v>0.00469174977334542</v>
      </c>
    </row>
    <row r="1073" s="2" customFormat="true" ht="16.4" hidden="false" customHeight="false" outlineLevel="0" collapsed="false">
      <c r="A1073" s="28" t="s">
        <v>2053</v>
      </c>
      <c r="B1073" s="16" t="n">
        <v>5</v>
      </c>
      <c r="C1073" s="16"/>
      <c r="D1073" s="16" t="s">
        <v>50</v>
      </c>
      <c r="E1073" s="16" t="s">
        <v>51</v>
      </c>
      <c r="F1073" s="16" t="s">
        <v>267</v>
      </c>
      <c r="G1073" s="16" t="s">
        <v>1681</v>
      </c>
      <c r="H1073" s="16" t="s">
        <v>1682</v>
      </c>
      <c r="I1073" s="16" t="s">
        <v>105</v>
      </c>
      <c r="J1073" s="16" t="s">
        <v>900</v>
      </c>
      <c r="K1073" s="16"/>
      <c r="L1073" s="16" t="s">
        <v>105</v>
      </c>
      <c r="M1073" s="16" t="s">
        <v>900</v>
      </c>
      <c r="N1073" s="16" t="s">
        <v>271</v>
      </c>
      <c r="O1073" s="16" t="s">
        <v>94</v>
      </c>
      <c r="P1073" s="16" t="s">
        <v>308</v>
      </c>
      <c r="Q1073" s="16" t="s">
        <v>308</v>
      </c>
      <c r="R1073" s="16" t="s">
        <v>309</v>
      </c>
      <c r="S1073" s="16" t="s">
        <v>264</v>
      </c>
      <c r="T1073" s="16" t="s">
        <v>2054</v>
      </c>
      <c r="U1073" s="16" t="s">
        <v>73</v>
      </c>
      <c r="V1073" s="16" t="n">
        <v>0.69</v>
      </c>
      <c r="W1073" s="16" t="n">
        <v>0.59</v>
      </c>
      <c r="X1073" s="16" t="n">
        <v>3000</v>
      </c>
      <c r="Y1073" s="2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9" t="n">
        <f aca="false">X1073*$V1073</f>
        <v>2070</v>
      </c>
      <c r="AK1073" s="9" t="n">
        <f aca="false">Y1073*$V1073</f>
        <v>0</v>
      </c>
      <c r="AL1073" s="9" t="n">
        <f aca="false">Z1073*$V1073</f>
        <v>0</v>
      </c>
      <c r="AM1073" s="9" t="n">
        <f aca="false">AA1073*$V1073</f>
        <v>0</v>
      </c>
      <c r="AN1073" s="9" t="n">
        <f aca="false">AB1073*$V1073</f>
        <v>0</v>
      </c>
      <c r="AO1073" s="9" t="n">
        <f aca="false">AC1073*$V1073</f>
        <v>0</v>
      </c>
      <c r="AP1073" s="9" t="n">
        <f aca="false">AD1073*$V1073</f>
        <v>0</v>
      </c>
      <c r="AQ1073" s="9" t="n">
        <f aca="false">AE1073*$V1073</f>
        <v>0</v>
      </c>
      <c r="AR1073" s="9" t="n">
        <f aca="false">AF1073*$V1073</f>
        <v>0</v>
      </c>
      <c r="AS1073" s="9" t="n">
        <f aca="false">AG1073*$V1073</f>
        <v>0</v>
      </c>
      <c r="AT1073" s="9" t="n">
        <f aca="false">AH1073*$V1073</f>
        <v>0</v>
      </c>
      <c r="AU1073" s="9" t="n">
        <f aca="false">AI1073*$V1073</f>
        <v>0</v>
      </c>
      <c r="AV1073" s="9" t="n">
        <f aca="false">SUM(X1073:AI1073)/1000</f>
        <v>3</v>
      </c>
      <c r="AW1073" s="9" t="n">
        <f aca="false">SUM(AJ1073:AU1073)</f>
        <v>2070</v>
      </c>
      <c r="AX1073" s="9" t="n">
        <f aca="false">IF(D1073="INR",AW1073/88.24,AW1073)/1000000</f>
        <v>2.34587488667271E-005</v>
      </c>
    </row>
    <row r="1074" s="2" customFormat="true" ht="14.25" hidden="false" customHeight="false" outlineLevel="0" collapsed="false">
      <c r="A1074" s="12" t="s">
        <v>2055</v>
      </c>
      <c r="B1074" s="16"/>
      <c r="C1074" s="15"/>
      <c r="D1074" s="16" t="s">
        <v>50</v>
      </c>
      <c r="E1074" s="16" t="s">
        <v>51</v>
      </c>
      <c r="F1074" s="16" t="s">
        <v>267</v>
      </c>
      <c r="G1074" s="16" t="s">
        <v>1681</v>
      </c>
      <c r="H1074" s="16" t="s">
        <v>1682</v>
      </c>
      <c r="I1074" s="16" t="s">
        <v>105</v>
      </c>
      <c r="J1074" s="16" t="s">
        <v>900</v>
      </c>
      <c r="K1074" s="16"/>
      <c r="L1074" s="16" t="s">
        <v>105</v>
      </c>
      <c r="M1074" s="16" t="s">
        <v>900</v>
      </c>
      <c r="N1074" s="16" t="s">
        <v>271</v>
      </c>
      <c r="O1074" s="16" t="s">
        <v>94</v>
      </c>
      <c r="P1074" s="16" t="s">
        <v>380</v>
      </c>
      <c r="Q1074" s="16" t="s">
        <v>380</v>
      </c>
      <c r="R1074" s="16" t="s">
        <v>442</v>
      </c>
      <c r="S1074" s="16" t="s">
        <v>443</v>
      </c>
      <c r="T1074" s="16" t="s">
        <v>2056</v>
      </c>
      <c r="U1074" s="16" t="s">
        <v>73</v>
      </c>
      <c r="V1074" s="16" t="n">
        <v>473</v>
      </c>
      <c r="W1074" s="16" t="n">
        <v>2.87</v>
      </c>
      <c r="X1074" s="16"/>
      <c r="Y1074" s="16"/>
      <c r="Z1074" s="16"/>
      <c r="AA1074" s="16" t="n">
        <v>200</v>
      </c>
      <c r="AB1074" s="16" t="n">
        <v>200</v>
      </c>
      <c r="AC1074" s="16" t="n">
        <v>200</v>
      </c>
      <c r="AD1074" s="16" t="n">
        <v>200</v>
      </c>
      <c r="AE1074" s="16" t="n">
        <v>200</v>
      </c>
      <c r="AF1074" s="16" t="n">
        <v>200</v>
      </c>
      <c r="AG1074" s="16" t="n">
        <v>200</v>
      </c>
      <c r="AH1074" s="16" t="n">
        <v>200</v>
      </c>
      <c r="AI1074" s="16" t="n">
        <v>200</v>
      </c>
      <c r="AJ1074" s="9" t="n">
        <f aca="false">X1074*$V1074</f>
        <v>0</v>
      </c>
      <c r="AK1074" s="9" t="n">
        <f aca="false">Y1074*$V1074</f>
        <v>0</v>
      </c>
      <c r="AL1074" s="9" t="n">
        <f aca="false">Z1074*$V1074</f>
        <v>0</v>
      </c>
      <c r="AM1074" s="9" t="n">
        <f aca="false">AA1074*$V1074</f>
        <v>94600</v>
      </c>
      <c r="AN1074" s="9" t="n">
        <f aca="false">AB1074*$V1074</f>
        <v>94600</v>
      </c>
      <c r="AO1074" s="9" t="n">
        <f aca="false">AC1074*$V1074</f>
        <v>94600</v>
      </c>
      <c r="AP1074" s="9" t="n">
        <f aca="false">AD1074*$V1074</f>
        <v>94600</v>
      </c>
      <c r="AQ1074" s="9" t="n">
        <f aca="false">AE1074*$V1074</f>
        <v>94600</v>
      </c>
      <c r="AR1074" s="9" t="n">
        <f aca="false">AF1074*$V1074</f>
        <v>94600</v>
      </c>
      <c r="AS1074" s="9" t="n">
        <f aca="false">AG1074*$V1074</f>
        <v>94600</v>
      </c>
      <c r="AT1074" s="9" t="n">
        <f aca="false">AH1074*$V1074</f>
        <v>94600</v>
      </c>
      <c r="AU1074" s="9" t="n">
        <f aca="false">AI1074*$V1074</f>
        <v>94600</v>
      </c>
      <c r="AV1074" s="9" t="n">
        <f aca="false">SUM(X1074:AI1074)/1000</f>
        <v>1.8</v>
      </c>
      <c r="AW1074" s="9" t="n">
        <f aca="false">SUM(AJ1074:AU1074)</f>
        <v>851400</v>
      </c>
      <c r="AX1074" s="9" t="n">
        <f aca="false">IF(D1074="INR",AW1074/88.24,AW1074)/1000000</f>
        <v>0.00964868540344515</v>
      </c>
    </row>
    <row r="1075" s="2" customFormat="true" ht="16.4" hidden="false" customHeight="false" outlineLevel="0" collapsed="false">
      <c r="A1075" s="35" t="s">
        <v>2057</v>
      </c>
      <c r="B1075" s="9" t="n">
        <v>5</v>
      </c>
      <c r="C1075" s="10"/>
      <c r="D1075" s="9" t="s">
        <v>50</v>
      </c>
      <c r="E1075" s="9" t="s">
        <v>51</v>
      </c>
      <c r="F1075" s="9" t="s">
        <v>267</v>
      </c>
      <c r="G1075" s="9" t="s">
        <v>1681</v>
      </c>
      <c r="H1075" s="9" t="s">
        <v>1682</v>
      </c>
      <c r="I1075" s="9" t="s">
        <v>105</v>
      </c>
      <c r="J1075" s="9" t="s">
        <v>900</v>
      </c>
      <c r="K1075" s="9"/>
      <c r="L1075" s="9" t="s">
        <v>105</v>
      </c>
      <c r="M1075" s="9" t="s">
        <v>900</v>
      </c>
      <c r="N1075" s="9" t="s">
        <v>271</v>
      </c>
      <c r="O1075" s="9" t="s">
        <v>94</v>
      </c>
      <c r="P1075" s="9" t="s">
        <v>262</v>
      </c>
      <c r="Q1075" s="9" t="s">
        <v>262</v>
      </c>
      <c r="R1075" s="9" t="s">
        <v>263</v>
      </c>
      <c r="S1075" s="9" t="s">
        <v>264</v>
      </c>
      <c r="T1075" s="9" t="s">
        <v>2058</v>
      </c>
      <c r="U1075" s="9" t="s">
        <v>73</v>
      </c>
      <c r="V1075" s="9" t="n">
        <v>25.2</v>
      </c>
      <c r="W1075" s="9" t="n">
        <v>0.2247</v>
      </c>
      <c r="X1075" s="9" t="n">
        <v>0</v>
      </c>
      <c r="Y1075" s="9"/>
      <c r="Z1075" s="9"/>
      <c r="AA1075" s="9"/>
      <c r="AB1075" s="9"/>
      <c r="AC1075" s="9" t="n">
        <v>1600</v>
      </c>
      <c r="AD1075" s="9"/>
      <c r="AE1075" s="9"/>
      <c r="AF1075" s="9" t="n">
        <v>0</v>
      </c>
      <c r="AG1075" s="9" t="n">
        <v>0</v>
      </c>
      <c r="AH1075" s="9" t="n">
        <v>0</v>
      </c>
      <c r="AI1075" s="9" t="n">
        <v>0</v>
      </c>
      <c r="AJ1075" s="9" t="n">
        <f aca="false">X1075*$V1075</f>
        <v>0</v>
      </c>
      <c r="AK1075" s="9" t="n">
        <f aca="false">Y1075*$V1075</f>
        <v>0</v>
      </c>
      <c r="AL1075" s="9" t="n">
        <f aca="false">Z1075*$V1075</f>
        <v>0</v>
      </c>
      <c r="AM1075" s="9" t="n">
        <f aca="false">AA1075*$V1075</f>
        <v>0</v>
      </c>
      <c r="AN1075" s="9" t="n">
        <f aca="false">AB1075*$V1075</f>
        <v>0</v>
      </c>
      <c r="AO1075" s="9" t="n">
        <f aca="false">AC1075*$V1075</f>
        <v>40320</v>
      </c>
      <c r="AP1075" s="9" t="n">
        <f aca="false">AD1075*$V1075</f>
        <v>0</v>
      </c>
      <c r="AQ1075" s="9" t="n">
        <f aca="false">AE1075*$V1075</f>
        <v>0</v>
      </c>
      <c r="AR1075" s="9" t="n">
        <f aca="false">AF1075*$V1075</f>
        <v>0</v>
      </c>
      <c r="AS1075" s="9" t="n">
        <f aca="false">AG1075*$V1075</f>
        <v>0</v>
      </c>
      <c r="AT1075" s="9" t="n">
        <f aca="false">AH1075*$V1075</f>
        <v>0</v>
      </c>
      <c r="AU1075" s="9" t="n">
        <f aca="false">AI1075*$V1075</f>
        <v>0</v>
      </c>
      <c r="AV1075" s="9" t="n">
        <f aca="false">SUM(X1075:AI1075)/1000</f>
        <v>1.6</v>
      </c>
      <c r="AW1075" s="9" t="n">
        <f aca="false">SUM(AJ1075:AU1075)</f>
        <v>40320</v>
      </c>
      <c r="AX1075" s="9" t="n">
        <f aca="false">IF(D1075="INR",AW1075/88.24,AW1075)/1000000</f>
        <v>0.000456935630099728</v>
      </c>
    </row>
    <row r="1076" s="2" customFormat="true" ht="14.25" hidden="false" customHeight="false" outlineLevel="0" collapsed="false">
      <c r="A1076" s="12" t="s">
        <v>2059</v>
      </c>
      <c r="B1076" s="16" t="n">
        <v>5</v>
      </c>
      <c r="C1076" s="15"/>
      <c r="D1076" s="16" t="s">
        <v>50</v>
      </c>
      <c r="E1076" s="16" t="s">
        <v>51</v>
      </c>
      <c r="F1076" s="16" t="s">
        <v>267</v>
      </c>
      <c r="G1076" s="16" t="s">
        <v>1681</v>
      </c>
      <c r="H1076" s="16" t="s">
        <v>1682</v>
      </c>
      <c r="I1076" s="16" t="s">
        <v>105</v>
      </c>
      <c r="J1076" s="16" t="s">
        <v>900</v>
      </c>
      <c r="K1076" s="16"/>
      <c r="L1076" s="16" t="s">
        <v>105</v>
      </c>
      <c r="M1076" s="16" t="s">
        <v>900</v>
      </c>
      <c r="N1076" s="16" t="s">
        <v>271</v>
      </c>
      <c r="O1076" s="16" t="s">
        <v>94</v>
      </c>
      <c r="P1076" s="16" t="s">
        <v>110</v>
      </c>
      <c r="Q1076" s="16" t="s">
        <v>110</v>
      </c>
      <c r="R1076" s="16" t="s">
        <v>137</v>
      </c>
      <c r="S1076" s="16" t="s">
        <v>272</v>
      </c>
      <c r="T1076" s="16" t="s">
        <v>2060</v>
      </c>
      <c r="U1076" s="16" t="s">
        <v>73</v>
      </c>
      <c r="V1076" s="15" t="n">
        <v>150</v>
      </c>
      <c r="W1076" s="16" t="n">
        <v>1.207</v>
      </c>
      <c r="X1076" s="16"/>
      <c r="Y1076" s="16" t="n">
        <v>1280</v>
      </c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9" t="n">
        <f aca="false">X1076*$V1076</f>
        <v>0</v>
      </c>
      <c r="AK1076" s="9" t="n">
        <f aca="false">Y1076*$V1076</f>
        <v>192000</v>
      </c>
      <c r="AL1076" s="9" t="n">
        <f aca="false">Z1076*$V1076</f>
        <v>0</v>
      </c>
      <c r="AM1076" s="9" t="n">
        <f aca="false">AA1076*$V1076</f>
        <v>0</v>
      </c>
      <c r="AN1076" s="9" t="n">
        <f aca="false">AB1076*$V1076</f>
        <v>0</v>
      </c>
      <c r="AO1076" s="9" t="n">
        <f aca="false">AC1076*$V1076</f>
        <v>0</v>
      </c>
      <c r="AP1076" s="9" t="n">
        <f aca="false">AD1076*$V1076</f>
        <v>0</v>
      </c>
      <c r="AQ1076" s="9" t="n">
        <f aca="false">AE1076*$V1076</f>
        <v>0</v>
      </c>
      <c r="AR1076" s="9" t="n">
        <f aca="false">AF1076*$V1076</f>
        <v>0</v>
      </c>
      <c r="AS1076" s="9" t="n">
        <f aca="false">AG1076*$V1076</f>
        <v>0</v>
      </c>
      <c r="AT1076" s="9" t="n">
        <f aca="false">AH1076*$V1076</f>
        <v>0</v>
      </c>
      <c r="AU1076" s="9" t="n">
        <f aca="false">AI1076*$V1076</f>
        <v>0</v>
      </c>
      <c r="AV1076" s="9" t="n">
        <f aca="false">SUM(X1076:AI1076)/1000</f>
        <v>1.28</v>
      </c>
      <c r="AW1076" s="9" t="n">
        <f aca="false">SUM(AJ1076:AU1076)</f>
        <v>192000</v>
      </c>
      <c r="AX1076" s="9" t="n">
        <f aca="false">IF(D1076="INR",AW1076/88.24,AW1076)/1000000</f>
        <v>0.00217588395285585</v>
      </c>
    </row>
    <row r="1077" s="2" customFormat="true" ht="14.25" hidden="false" customHeight="false" outlineLevel="0" collapsed="false">
      <c r="A1077" s="12"/>
      <c r="B1077" s="9" t="n">
        <v>5</v>
      </c>
      <c r="C1077" s="10"/>
      <c r="D1077" s="9" t="s">
        <v>50</v>
      </c>
      <c r="E1077" s="9" t="s">
        <v>51</v>
      </c>
      <c r="F1077" s="9" t="s">
        <v>404</v>
      </c>
      <c r="G1077" s="9"/>
      <c r="H1077" s="9" t="s">
        <v>1682</v>
      </c>
      <c r="I1077" s="9"/>
      <c r="J1077" s="9"/>
      <c r="K1077" s="9"/>
      <c r="L1077" s="9"/>
      <c r="M1077" s="9"/>
      <c r="N1077" s="9" t="s">
        <v>271</v>
      </c>
      <c r="O1077" s="9" t="s">
        <v>94</v>
      </c>
      <c r="P1077" s="9" t="s">
        <v>110</v>
      </c>
      <c r="Q1077" s="9" t="s">
        <v>110</v>
      </c>
      <c r="R1077" s="9"/>
      <c r="S1077" s="9"/>
      <c r="T1077" s="9" t="s">
        <v>2061</v>
      </c>
      <c r="U1077" s="9"/>
      <c r="V1077" s="9" t="n">
        <v>63</v>
      </c>
      <c r="W1077" s="9"/>
      <c r="X1077" s="9"/>
      <c r="Y1077" s="9"/>
      <c r="Z1077" s="9"/>
      <c r="AA1077" s="9" t="n">
        <v>1000</v>
      </c>
      <c r="AB1077" s="9"/>
      <c r="AC1077" s="9"/>
      <c r="AD1077" s="9"/>
      <c r="AE1077" s="9"/>
      <c r="AF1077" s="9"/>
      <c r="AG1077" s="9"/>
      <c r="AH1077" s="9"/>
      <c r="AI1077" s="9"/>
      <c r="AJ1077" s="9" t="n">
        <f aca="false">X1077*$V1077</f>
        <v>0</v>
      </c>
      <c r="AK1077" s="9" t="n">
        <f aca="false">Y1077*$V1077</f>
        <v>0</v>
      </c>
      <c r="AL1077" s="9" t="n">
        <f aca="false">Z1077*$V1077</f>
        <v>0</v>
      </c>
      <c r="AM1077" s="9" t="n">
        <f aca="false">AA1077*$V1077</f>
        <v>63000</v>
      </c>
      <c r="AN1077" s="9" t="n">
        <f aca="false">AB1077*$V1077</f>
        <v>0</v>
      </c>
      <c r="AO1077" s="9" t="n">
        <f aca="false">AC1077*$V1077</f>
        <v>0</v>
      </c>
      <c r="AP1077" s="9" t="n">
        <f aca="false">AD1077*$V1077</f>
        <v>0</v>
      </c>
      <c r="AQ1077" s="9" t="n">
        <f aca="false">AE1077*$V1077</f>
        <v>0</v>
      </c>
      <c r="AR1077" s="9" t="n">
        <f aca="false">AF1077*$V1077</f>
        <v>0</v>
      </c>
      <c r="AS1077" s="9" t="n">
        <f aca="false">AG1077*$V1077</f>
        <v>0</v>
      </c>
      <c r="AT1077" s="9" t="n">
        <f aca="false">AH1077*$V1077</f>
        <v>0</v>
      </c>
      <c r="AU1077" s="9" t="n">
        <f aca="false">AI1077*$V1077</f>
        <v>0</v>
      </c>
      <c r="AV1077" s="9" t="n">
        <f aca="false">SUM(X1077:AI1077)/1000</f>
        <v>1</v>
      </c>
      <c r="AW1077" s="9" t="n">
        <f aca="false">SUM(AJ1077:AU1077)</f>
        <v>63000</v>
      </c>
      <c r="AX1077" s="9" t="n">
        <f aca="false">IF(D1077="INR",AW1077/88.24,AW1077)/1000000</f>
        <v>0.000713961922030825</v>
      </c>
    </row>
    <row r="1078" s="2" customFormat="true" ht="16.4" hidden="false" customHeight="false" outlineLevel="0" collapsed="false">
      <c r="A1078" s="28" t="s">
        <v>2062</v>
      </c>
      <c r="B1078" s="16"/>
      <c r="C1078" s="16"/>
      <c r="D1078" s="16" t="s">
        <v>50</v>
      </c>
      <c r="E1078" s="16" t="s">
        <v>51</v>
      </c>
      <c r="F1078" s="16" t="s">
        <v>267</v>
      </c>
      <c r="G1078" s="16" t="s">
        <v>1681</v>
      </c>
      <c r="H1078" s="16" t="s">
        <v>1682</v>
      </c>
      <c r="I1078" s="16" t="s">
        <v>105</v>
      </c>
      <c r="J1078" s="16" t="s">
        <v>900</v>
      </c>
      <c r="K1078" s="16"/>
      <c r="L1078" s="16" t="s">
        <v>105</v>
      </c>
      <c r="M1078" s="16" t="s">
        <v>900</v>
      </c>
      <c r="N1078" s="16" t="s">
        <v>271</v>
      </c>
      <c r="O1078" s="16" t="s">
        <v>94</v>
      </c>
      <c r="P1078" s="16" t="s">
        <v>69</v>
      </c>
      <c r="Q1078" s="16" t="s">
        <v>69</v>
      </c>
      <c r="R1078" s="16" t="s">
        <v>70</v>
      </c>
      <c r="S1078" s="16" t="s">
        <v>71</v>
      </c>
      <c r="T1078" s="16" t="s">
        <v>1619</v>
      </c>
      <c r="U1078" s="16" t="s">
        <v>73</v>
      </c>
      <c r="V1078" s="16" t="n">
        <v>8.25</v>
      </c>
      <c r="W1078" s="16" t="n">
        <v>0.085</v>
      </c>
      <c r="X1078" s="26" t="n">
        <v>100</v>
      </c>
      <c r="Y1078" s="16"/>
      <c r="Z1078" s="26"/>
      <c r="AA1078" s="16"/>
      <c r="AB1078" s="16"/>
      <c r="AC1078" s="26"/>
      <c r="AD1078" s="16"/>
      <c r="AE1078" s="16"/>
      <c r="AF1078" s="16"/>
      <c r="AG1078" s="16"/>
      <c r="AH1078" s="16"/>
      <c r="AI1078" s="16"/>
      <c r="AJ1078" s="9" t="n">
        <f aca="false">X1078*$V1078</f>
        <v>825</v>
      </c>
      <c r="AK1078" s="9" t="n">
        <f aca="false">Y1078*$V1078</f>
        <v>0</v>
      </c>
      <c r="AL1078" s="9" t="n">
        <f aca="false">Z1078*$V1078</f>
        <v>0</v>
      </c>
      <c r="AM1078" s="9" t="n">
        <f aca="false">AA1078*$V1078</f>
        <v>0</v>
      </c>
      <c r="AN1078" s="9" t="n">
        <f aca="false">AB1078*$V1078</f>
        <v>0</v>
      </c>
      <c r="AO1078" s="9" t="n">
        <f aca="false">AC1078*$V1078</f>
        <v>0</v>
      </c>
      <c r="AP1078" s="9" t="n">
        <f aca="false">AD1078*$V1078</f>
        <v>0</v>
      </c>
      <c r="AQ1078" s="9" t="n">
        <f aca="false">AE1078*$V1078</f>
        <v>0</v>
      </c>
      <c r="AR1078" s="9" t="n">
        <f aca="false">AF1078*$V1078</f>
        <v>0</v>
      </c>
      <c r="AS1078" s="9" t="n">
        <f aca="false">AG1078*$V1078</f>
        <v>0</v>
      </c>
      <c r="AT1078" s="9" t="n">
        <f aca="false">AH1078*$V1078</f>
        <v>0</v>
      </c>
      <c r="AU1078" s="9" t="n">
        <f aca="false">AI1078*$V1078</f>
        <v>0</v>
      </c>
      <c r="AV1078" s="9" t="n">
        <f aca="false">SUM(X1078:AI1078)/1000</f>
        <v>0.1</v>
      </c>
      <c r="AW1078" s="9" t="n">
        <f aca="false">SUM(AJ1078:AU1078)</f>
        <v>825</v>
      </c>
      <c r="AX1078" s="9" t="n">
        <f aca="false">IF(D1078="INR",AW1078/88.24,AW1078)/1000000</f>
        <v>9.34950135992747E-006</v>
      </c>
    </row>
    <row r="1079" s="2" customFormat="true" ht="14.25" hidden="false" customHeight="false" outlineLevel="0" collapsed="false">
      <c r="A1079" s="12" t="s">
        <v>2063</v>
      </c>
      <c r="B1079" s="9" t="n">
        <v>5</v>
      </c>
      <c r="C1079" s="10"/>
      <c r="D1079" s="9" t="s">
        <v>50</v>
      </c>
      <c r="E1079" s="9" t="s">
        <v>51</v>
      </c>
      <c r="F1079" s="9" t="s">
        <v>52</v>
      </c>
      <c r="G1079" s="9" t="s">
        <v>2064</v>
      </c>
      <c r="H1079" s="9" t="s">
        <v>2065</v>
      </c>
      <c r="I1079" s="9" t="s">
        <v>105</v>
      </c>
      <c r="J1079" s="9" t="s">
        <v>2066</v>
      </c>
      <c r="K1079" s="9"/>
      <c r="L1079" s="9" t="s">
        <v>105</v>
      </c>
      <c r="M1079" s="9" t="s">
        <v>2066</v>
      </c>
      <c r="N1079" s="9" t="s">
        <v>57</v>
      </c>
      <c r="O1079" s="9" t="s">
        <v>246</v>
      </c>
      <c r="P1079" s="9" t="s">
        <v>140</v>
      </c>
      <c r="Q1079" s="9" t="s">
        <v>110</v>
      </c>
      <c r="R1079" s="9" t="s">
        <v>137</v>
      </c>
      <c r="S1079" s="9" t="s">
        <v>272</v>
      </c>
      <c r="T1079" s="9" t="s">
        <v>757</v>
      </c>
      <c r="U1079" s="9" t="s">
        <v>73</v>
      </c>
      <c r="V1079" s="9" t="n">
        <v>58.8</v>
      </c>
      <c r="W1079" s="9" t="n">
        <v>0.312</v>
      </c>
      <c r="X1079" s="9" t="n">
        <v>300</v>
      </c>
      <c r="Y1079" s="9"/>
      <c r="Z1079" s="9"/>
      <c r="AA1079" s="9" t="n">
        <v>300</v>
      </c>
      <c r="AB1079" s="9"/>
      <c r="AC1079" s="9"/>
      <c r="AD1079" s="9"/>
      <c r="AE1079" s="9" t="n">
        <v>300</v>
      </c>
      <c r="AF1079" s="9"/>
      <c r="AG1079" s="9"/>
      <c r="AH1079" s="9" t="n">
        <v>300</v>
      </c>
      <c r="AI1079" s="9"/>
      <c r="AJ1079" s="9" t="n">
        <f aca="false">X1079*$V1079</f>
        <v>17640</v>
      </c>
      <c r="AK1079" s="9" t="n">
        <f aca="false">Y1079*$V1079</f>
        <v>0</v>
      </c>
      <c r="AL1079" s="9" t="n">
        <f aca="false">Z1079*$V1079</f>
        <v>0</v>
      </c>
      <c r="AM1079" s="9" t="n">
        <f aca="false">AA1079*$V1079</f>
        <v>17640</v>
      </c>
      <c r="AN1079" s="9" t="n">
        <f aca="false">AB1079*$V1079</f>
        <v>0</v>
      </c>
      <c r="AO1079" s="9" t="n">
        <f aca="false">AC1079*$V1079</f>
        <v>0</v>
      </c>
      <c r="AP1079" s="9" t="n">
        <f aca="false">AD1079*$V1079</f>
        <v>0</v>
      </c>
      <c r="AQ1079" s="9" t="n">
        <f aca="false">AE1079*$V1079</f>
        <v>17640</v>
      </c>
      <c r="AR1079" s="9" t="n">
        <f aca="false">AF1079*$V1079</f>
        <v>0</v>
      </c>
      <c r="AS1079" s="9" t="n">
        <f aca="false">AG1079*$V1079</f>
        <v>0</v>
      </c>
      <c r="AT1079" s="9" t="n">
        <f aca="false">AH1079*$V1079</f>
        <v>17640</v>
      </c>
      <c r="AU1079" s="9" t="n">
        <f aca="false">AI1079*$V1079</f>
        <v>0</v>
      </c>
      <c r="AV1079" s="9" t="n">
        <f aca="false">SUM(X1079:AI1079)/1000</f>
        <v>1.2</v>
      </c>
      <c r="AW1079" s="9" t="n">
        <f aca="false">SUM(AJ1079:AU1079)</f>
        <v>70560</v>
      </c>
      <c r="AX1079" s="9" t="n">
        <f aca="false">IF(D1079="INR",AW1079/88.24,AW1079)/1000000</f>
        <v>0.000799637352674524</v>
      </c>
    </row>
    <row r="1080" s="2" customFormat="true" ht="16.4" hidden="false" customHeight="false" outlineLevel="0" collapsed="false">
      <c r="A1080" s="28" t="s">
        <v>2067</v>
      </c>
      <c r="B1080" s="16" t="n">
        <v>5</v>
      </c>
      <c r="C1080" s="16"/>
      <c r="D1080" s="16" t="s">
        <v>50</v>
      </c>
      <c r="E1080" s="16" t="s">
        <v>51</v>
      </c>
      <c r="F1080" s="16" t="s">
        <v>52</v>
      </c>
      <c r="G1080" s="16" t="s">
        <v>2064</v>
      </c>
      <c r="H1080" s="16" t="s">
        <v>2065</v>
      </c>
      <c r="I1080" s="16" t="s">
        <v>105</v>
      </c>
      <c r="J1080" s="16" t="s">
        <v>2066</v>
      </c>
      <c r="K1080" s="16"/>
      <c r="L1080" s="16" t="s">
        <v>105</v>
      </c>
      <c r="M1080" s="16" t="s">
        <v>2066</v>
      </c>
      <c r="N1080" s="16" t="s">
        <v>57</v>
      </c>
      <c r="O1080" s="16" t="s">
        <v>246</v>
      </c>
      <c r="P1080" s="16" t="s">
        <v>108</v>
      </c>
      <c r="Q1080" s="16" t="s">
        <v>110</v>
      </c>
      <c r="R1080" s="16" t="s">
        <v>137</v>
      </c>
      <c r="S1080" s="16" t="s">
        <v>272</v>
      </c>
      <c r="T1080" s="16" t="s">
        <v>2068</v>
      </c>
      <c r="U1080" s="16" t="s">
        <v>73</v>
      </c>
      <c r="V1080" s="16" t="n">
        <v>109.18</v>
      </c>
      <c r="W1080" s="16" t="n">
        <v>0.998</v>
      </c>
      <c r="X1080" s="16" t="n">
        <v>200</v>
      </c>
      <c r="Y1080" s="16"/>
      <c r="Z1080" s="16"/>
      <c r="AA1080" s="16" t="n">
        <v>200</v>
      </c>
      <c r="AB1080" s="16"/>
      <c r="AC1080" s="16"/>
      <c r="AD1080" s="16"/>
      <c r="AE1080" s="16" t="n">
        <v>200</v>
      </c>
      <c r="AF1080" s="16"/>
      <c r="AG1080" s="16"/>
      <c r="AH1080" s="16" t="n">
        <v>200</v>
      </c>
      <c r="AI1080" s="16"/>
      <c r="AJ1080" s="9" t="n">
        <f aca="false">X1080*$V1080</f>
        <v>21836</v>
      </c>
      <c r="AK1080" s="9" t="n">
        <f aca="false">Y1080*$V1080</f>
        <v>0</v>
      </c>
      <c r="AL1080" s="9" t="n">
        <f aca="false">Z1080*$V1080</f>
        <v>0</v>
      </c>
      <c r="AM1080" s="9" t="n">
        <f aca="false">AA1080*$V1080</f>
        <v>21836</v>
      </c>
      <c r="AN1080" s="9" t="n">
        <f aca="false">AB1080*$V1080</f>
        <v>0</v>
      </c>
      <c r="AO1080" s="9" t="n">
        <f aca="false">AC1080*$V1080</f>
        <v>0</v>
      </c>
      <c r="AP1080" s="9" t="n">
        <f aca="false">AD1080*$V1080</f>
        <v>0</v>
      </c>
      <c r="AQ1080" s="9" t="n">
        <f aca="false">AE1080*$V1080</f>
        <v>21836</v>
      </c>
      <c r="AR1080" s="9" t="n">
        <f aca="false">AF1080*$V1080</f>
        <v>0</v>
      </c>
      <c r="AS1080" s="9" t="n">
        <f aca="false">AG1080*$V1080</f>
        <v>0</v>
      </c>
      <c r="AT1080" s="9" t="n">
        <f aca="false">AH1080*$V1080</f>
        <v>21836</v>
      </c>
      <c r="AU1080" s="9" t="n">
        <f aca="false">AI1080*$V1080</f>
        <v>0</v>
      </c>
      <c r="AV1080" s="9" t="n">
        <f aca="false">SUM(X1080:AI1080)/1000</f>
        <v>0.8</v>
      </c>
      <c r="AW1080" s="9" t="n">
        <f aca="false">SUM(AJ1080:AU1080)</f>
        <v>87344</v>
      </c>
      <c r="AX1080" s="9" t="n">
        <f aca="false">IF(D1080="INR",AW1080/88.24,AW1080)/1000000</f>
        <v>0.000989845874886673</v>
      </c>
    </row>
    <row r="1081" s="2" customFormat="true" ht="14.25" hidden="false" customHeight="false" outlineLevel="0" collapsed="false">
      <c r="A1081" s="12" t="s">
        <v>2069</v>
      </c>
      <c r="B1081" s="16"/>
      <c r="C1081" s="15"/>
      <c r="D1081" s="16" t="s">
        <v>50</v>
      </c>
      <c r="E1081" s="16" t="s">
        <v>51</v>
      </c>
      <c r="F1081" s="16" t="s">
        <v>52</v>
      </c>
      <c r="G1081" s="16" t="s">
        <v>781</v>
      </c>
      <c r="H1081" s="16" t="s">
        <v>495</v>
      </c>
      <c r="I1081" s="16" t="s">
        <v>77</v>
      </c>
      <c r="J1081" s="16" t="s">
        <v>496</v>
      </c>
      <c r="K1081" s="16" t="s">
        <v>495</v>
      </c>
      <c r="L1081" s="16" t="s">
        <v>77</v>
      </c>
      <c r="M1081" s="16" t="s">
        <v>496</v>
      </c>
      <c r="N1081" s="16" t="s">
        <v>57</v>
      </c>
      <c r="O1081" s="16" t="s">
        <v>94</v>
      </c>
      <c r="P1081" s="16" t="s">
        <v>308</v>
      </c>
      <c r="Q1081" s="16" t="s">
        <v>308</v>
      </c>
      <c r="R1081" s="16" t="s">
        <v>309</v>
      </c>
      <c r="S1081" s="16" t="s">
        <v>264</v>
      </c>
      <c r="T1081" s="16" t="s">
        <v>1628</v>
      </c>
      <c r="U1081" s="16" t="s">
        <v>73</v>
      </c>
      <c r="V1081" s="16" t="n">
        <v>2.79</v>
      </c>
      <c r="W1081" s="16" t="n">
        <v>2.44</v>
      </c>
      <c r="X1081" s="22"/>
      <c r="Y1081" s="22"/>
      <c r="Z1081" s="22"/>
      <c r="AA1081" s="22"/>
      <c r="AB1081" s="22"/>
      <c r="AC1081" s="22" t="n">
        <v>150000</v>
      </c>
      <c r="AD1081" s="22"/>
      <c r="AE1081" s="22"/>
      <c r="AF1081" s="22"/>
      <c r="AG1081" s="22"/>
      <c r="AH1081" s="22"/>
      <c r="AI1081" s="22"/>
      <c r="AJ1081" s="9" t="n">
        <f aca="false">X1081*$V1081</f>
        <v>0</v>
      </c>
      <c r="AK1081" s="9" t="n">
        <f aca="false">Y1081*$V1081</f>
        <v>0</v>
      </c>
      <c r="AL1081" s="9" t="n">
        <f aca="false">Z1081*$V1081</f>
        <v>0</v>
      </c>
      <c r="AM1081" s="9" t="n">
        <f aca="false">AA1081*$V1081</f>
        <v>0</v>
      </c>
      <c r="AN1081" s="9" t="n">
        <f aca="false">AB1081*$V1081</f>
        <v>0</v>
      </c>
      <c r="AO1081" s="9" t="n">
        <f aca="false">AC1081*$V1081</f>
        <v>418500</v>
      </c>
      <c r="AP1081" s="9" t="n">
        <f aca="false">AD1081*$V1081</f>
        <v>0</v>
      </c>
      <c r="AQ1081" s="9" t="n">
        <f aca="false">AE1081*$V1081</f>
        <v>0</v>
      </c>
      <c r="AR1081" s="9" t="n">
        <f aca="false">AF1081*$V1081</f>
        <v>0</v>
      </c>
      <c r="AS1081" s="9" t="n">
        <f aca="false">AG1081*$V1081</f>
        <v>0</v>
      </c>
      <c r="AT1081" s="9" t="n">
        <f aca="false">AH1081*$V1081</f>
        <v>0</v>
      </c>
      <c r="AU1081" s="9" t="n">
        <f aca="false">AI1081*$V1081</f>
        <v>0</v>
      </c>
      <c r="AV1081" s="9" t="n">
        <f aca="false">SUM(X1081:AI1081)/1000</f>
        <v>150</v>
      </c>
      <c r="AW1081" s="9" t="n">
        <f aca="false">SUM(AJ1081:AU1081)</f>
        <v>418500</v>
      </c>
      <c r="AX1081" s="9" t="n">
        <f aca="false">IF(D1081="INR",AW1081/88.24,AW1081)/1000000</f>
        <v>0.00474274705349048</v>
      </c>
    </row>
    <row r="1082" s="2" customFormat="true" ht="14.25" hidden="false" customHeight="false" outlineLevel="0" collapsed="false">
      <c r="A1082" s="35"/>
      <c r="B1082" s="9" t="n">
        <v>1</v>
      </c>
      <c r="C1082" s="10"/>
      <c r="D1082" s="9" t="s">
        <v>50</v>
      </c>
      <c r="E1082" s="9" t="s">
        <v>51</v>
      </c>
      <c r="F1082" s="9" t="s">
        <v>52</v>
      </c>
      <c r="G1082" s="9"/>
      <c r="H1082" s="16" t="s">
        <v>1116</v>
      </c>
      <c r="I1082" s="9"/>
      <c r="J1082" s="9"/>
      <c r="K1082" s="9"/>
      <c r="L1082" s="9"/>
      <c r="M1082" s="9"/>
      <c r="N1082" s="16" t="s">
        <v>79</v>
      </c>
      <c r="O1082" s="9"/>
      <c r="P1082" s="9"/>
      <c r="Q1082" s="16" t="s">
        <v>80</v>
      </c>
      <c r="R1082" s="9"/>
      <c r="S1082" s="9"/>
      <c r="T1082" s="9" t="s">
        <v>1119</v>
      </c>
      <c r="U1082" s="9" t="s">
        <v>63</v>
      </c>
      <c r="V1082" s="9" t="n">
        <v>38.5</v>
      </c>
      <c r="W1082" s="9"/>
      <c r="X1082" s="9"/>
      <c r="Y1082" s="9"/>
      <c r="Z1082" s="9"/>
      <c r="AA1082" s="9"/>
      <c r="AB1082" s="9"/>
      <c r="AC1082" s="9"/>
      <c r="AD1082" s="9" t="n">
        <v>1000</v>
      </c>
      <c r="AE1082" s="9"/>
      <c r="AF1082" s="9"/>
      <c r="AG1082" s="9"/>
      <c r="AH1082" s="9" t="n">
        <v>1000</v>
      </c>
      <c r="AI1082" s="9"/>
      <c r="AJ1082" s="9" t="n">
        <f aca="false">X1082*$V1082</f>
        <v>0</v>
      </c>
      <c r="AK1082" s="9" t="n">
        <f aca="false">Y1082*$V1082</f>
        <v>0</v>
      </c>
      <c r="AL1082" s="9" t="n">
        <f aca="false">Z1082*$V1082</f>
        <v>0</v>
      </c>
      <c r="AM1082" s="9" t="n">
        <f aca="false">AA1082*$V1082</f>
        <v>0</v>
      </c>
      <c r="AN1082" s="9" t="n">
        <f aca="false">AB1082*$V1082</f>
        <v>0</v>
      </c>
      <c r="AO1082" s="9" t="n">
        <f aca="false">AC1082*$V1082</f>
        <v>0</v>
      </c>
      <c r="AP1082" s="9" t="n">
        <f aca="false">AD1082*$V1082</f>
        <v>38500</v>
      </c>
      <c r="AQ1082" s="9" t="n">
        <f aca="false">AE1082*$V1082</f>
        <v>0</v>
      </c>
      <c r="AR1082" s="9" t="n">
        <f aca="false">AF1082*$V1082</f>
        <v>0</v>
      </c>
      <c r="AS1082" s="9" t="n">
        <f aca="false">AG1082*$V1082</f>
        <v>0</v>
      </c>
      <c r="AT1082" s="9" t="n">
        <f aca="false">AH1082*$V1082</f>
        <v>38500</v>
      </c>
      <c r="AU1082" s="9" t="n">
        <f aca="false">AI1082*$V1082</f>
        <v>0</v>
      </c>
      <c r="AV1082" s="9" t="n">
        <f aca="false">SUM(X1082:AI1082)/1000</f>
        <v>2</v>
      </c>
      <c r="AW1082" s="9" t="n">
        <f aca="false">SUM(AJ1082:AU1082)</f>
        <v>77000</v>
      </c>
      <c r="AX1082" s="9" t="n">
        <f aca="false">IF(D1082="INR",AW1082/88.24,AW1082)/1000000</f>
        <v>0.000872620126926564</v>
      </c>
    </row>
    <row r="1083" s="2" customFormat="true" ht="14.25" hidden="false" customHeight="false" outlineLevel="0" collapsed="false">
      <c r="A1083" s="12"/>
      <c r="B1083" s="13" t="n">
        <v>1</v>
      </c>
      <c r="C1083" s="14"/>
      <c r="D1083" s="16" t="s">
        <v>102</v>
      </c>
      <c r="E1083" s="16" t="s">
        <v>51</v>
      </c>
      <c r="F1083" s="16" t="s">
        <v>404</v>
      </c>
      <c r="G1083" s="16" t="s">
        <v>405</v>
      </c>
      <c r="H1083" s="16" t="s">
        <v>406</v>
      </c>
      <c r="I1083" s="16" t="s">
        <v>105</v>
      </c>
      <c r="J1083" s="16" t="s">
        <v>368</v>
      </c>
      <c r="K1083" s="16"/>
      <c r="L1083" s="16" t="s">
        <v>105</v>
      </c>
      <c r="M1083" s="16" t="s">
        <v>368</v>
      </c>
      <c r="N1083" s="16" t="s">
        <v>271</v>
      </c>
      <c r="O1083" s="16"/>
      <c r="P1083" s="16"/>
      <c r="Q1083" s="16" t="s">
        <v>2070</v>
      </c>
      <c r="R1083" s="16"/>
      <c r="S1083" s="16"/>
      <c r="T1083" s="16" t="s">
        <v>2071</v>
      </c>
      <c r="U1083" s="16" t="s">
        <v>63</v>
      </c>
      <c r="V1083" s="16" t="n">
        <v>0.61</v>
      </c>
      <c r="W1083" s="16"/>
      <c r="X1083" s="16"/>
      <c r="Y1083" s="16"/>
      <c r="Z1083" s="16" t="n">
        <v>5000</v>
      </c>
      <c r="AA1083" s="16" t="n">
        <v>5000</v>
      </c>
      <c r="AB1083" s="16" t="n">
        <v>5000</v>
      </c>
      <c r="AC1083" s="16" t="n">
        <v>5000</v>
      </c>
      <c r="AD1083" s="16" t="n">
        <v>5000</v>
      </c>
      <c r="AE1083" s="16"/>
      <c r="AF1083" s="16" t="n">
        <v>5000</v>
      </c>
      <c r="AG1083" s="16" t="n">
        <v>5000</v>
      </c>
      <c r="AH1083" s="16" t="n">
        <v>5000</v>
      </c>
      <c r="AI1083" s="16" t="n">
        <v>5000</v>
      </c>
      <c r="AJ1083" s="9" t="n">
        <f aca="false">X1083*$V1083</f>
        <v>0</v>
      </c>
      <c r="AK1083" s="9" t="n">
        <f aca="false">Y1083*$V1083</f>
        <v>0</v>
      </c>
      <c r="AL1083" s="9" t="n">
        <f aca="false">Z1083*$V1083</f>
        <v>3050</v>
      </c>
      <c r="AM1083" s="9" t="n">
        <f aca="false">AA1083*$V1083</f>
        <v>3050</v>
      </c>
      <c r="AN1083" s="9" t="n">
        <f aca="false">AB1083*$V1083</f>
        <v>3050</v>
      </c>
      <c r="AO1083" s="9" t="n">
        <f aca="false">AC1083*$V1083</f>
        <v>3050</v>
      </c>
      <c r="AP1083" s="9" t="n">
        <f aca="false">AD1083*$V1083</f>
        <v>3050</v>
      </c>
      <c r="AQ1083" s="9" t="n">
        <f aca="false">AE1083*$V1083</f>
        <v>0</v>
      </c>
      <c r="AR1083" s="9" t="n">
        <f aca="false">AF1083*$V1083</f>
        <v>3050</v>
      </c>
      <c r="AS1083" s="9" t="n">
        <f aca="false">AG1083*$V1083</f>
        <v>3050</v>
      </c>
      <c r="AT1083" s="9" t="n">
        <f aca="false">AH1083*$V1083</f>
        <v>3050</v>
      </c>
      <c r="AU1083" s="9" t="n">
        <f aca="false">AI1083*$V1083</f>
        <v>3050</v>
      </c>
      <c r="AV1083" s="9" t="n">
        <f aca="false">SUM(X1083:AI1083)/1000</f>
        <v>45</v>
      </c>
      <c r="AW1083" s="9" t="n">
        <f aca="false">SUM(AJ1083:AU1083)</f>
        <v>27450</v>
      </c>
      <c r="AX1083" s="9" t="n">
        <f aca="false">IF(D1083="INR",AW1083/88.24,AW1083)/1000000</f>
        <v>0.02745</v>
      </c>
    </row>
    <row r="1084" s="2" customFormat="true" ht="14.25" hidden="false" customHeight="false" outlineLevel="0" collapsed="false">
      <c r="A1084" s="12" t="s">
        <v>2072</v>
      </c>
      <c r="B1084" s="16" t="n">
        <v>5</v>
      </c>
      <c r="C1084" s="15"/>
      <c r="D1084" s="16" t="s">
        <v>50</v>
      </c>
      <c r="E1084" s="16" t="s">
        <v>51</v>
      </c>
      <c r="F1084" s="16" t="s">
        <v>52</v>
      </c>
      <c r="G1084" s="16" t="s">
        <v>2073</v>
      </c>
      <c r="H1084" s="16" t="s">
        <v>2074</v>
      </c>
      <c r="I1084" s="16" t="s">
        <v>298</v>
      </c>
      <c r="J1084" s="16" t="s">
        <v>664</v>
      </c>
      <c r="K1084" s="16"/>
      <c r="L1084" s="16" t="s">
        <v>298</v>
      </c>
      <c r="M1084" s="16" t="s">
        <v>664</v>
      </c>
      <c r="N1084" s="16" t="s">
        <v>57</v>
      </c>
      <c r="O1084" s="16" t="s">
        <v>246</v>
      </c>
      <c r="P1084" s="16" t="s">
        <v>110</v>
      </c>
      <c r="Q1084" s="16" t="s">
        <v>110</v>
      </c>
      <c r="R1084" s="16" t="s">
        <v>137</v>
      </c>
      <c r="S1084" s="16" t="s">
        <v>272</v>
      </c>
      <c r="T1084" s="16" t="s">
        <v>849</v>
      </c>
      <c r="U1084" s="16" t="s">
        <v>73</v>
      </c>
      <c r="V1084" s="16" t="n">
        <v>42.58</v>
      </c>
      <c r="W1084" s="16" t="n">
        <v>0.275</v>
      </c>
      <c r="X1084" s="16" t="n">
        <v>5000</v>
      </c>
      <c r="Y1084" s="16"/>
      <c r="Z1084" s="16"/>
      <c r="AA1084" s="16"/>
      <c r="AB1084" s="16"/>
      <c r="AC1084" s="16"/>
      <c r="AD1084" s="16" t="n">
        <v>5000</v>
      </c>
      <c r="AE1084" s="16"/>
      <c r="AF1084" s="16"/>
      <c r="AG1084" s="16"/>
      <c r="AH1084" s="16"/>
      <c r="AI1084" s="16" t="n">
        <v>5000</v>
      </c>
      <c r="AJ1084" s="9" t="n">
        <f aca="false">X1084*$V1084</f>
        <v>212900</v>
      </c>
      <c r="AK1084" s="9" t="n">
        <f aca="false">Y1084*$V1084</f>
        <v>0</v>
      </c>
      <c r="AL1084" s="9" t="n">
        <f aca="false">Z1084*$V1084</f>
        <v>0</v>
      </c>
      <c r="AM1084" s="9" t="n">
        <f aca="false">AA1084*$V1084</f>
        <v>0</v>
      </c>
      <c r="AN1084" s="9" t="n">
        <f aca="false">AB1084*$V1084</f>
        <v>0</v>
      </c>
      <c r="AO1084" s="9" t="n">
        <f aca="false">AC1084*$V1084</f>
        <v>0</v>
      </c>
      <c r="AP1084" s="9" t="n">
        <f aca="false">AD1084*$V1084</f>
        <v>212900</v>
      </c>
      <c r="AQ1084" s="9" t="n">
        <f aca="false">AE1084*$V1084</f>
        <v>0</v>
      </c>
      <c r="AR1084" s="9" t="n">
        <f aca="false">AF1084*$V1084</f>
        <v>0</v>
      </c>
      <c r="AS1084" s="9" t="n">
        <f aca="false">AG1084*$V1084</f>
        <v>0</v>
      </c>
      <c r="AT1084" s="9" t="n">
        <f aca="false">AH1084*$V1084</f>
        <v>0</v>
      </c>
      <c r="AU1084" s="9" t="n">
        <f aca="false">AI1084*$V1084</f>
        <v>212900</v>
      </c>
      <c r="AV1084" s="9" t="n">
        <f aca="false">SUM(X1084:AI1084)/1000</f>
        <v>15</v>
      </c>
      <c r="AW1084" s="9" t="n">
        <f aca="false">SUM(AJ1084:AU1084)</f>
        <v>638700</v>
      </c>
      <c r="AX1084" s="9" t="n">
        <f aca="false">IF(D1084="INR",AW1084/88.24,AW1084)/1000000</f>
        <v>0.00723821396192203</v>
      </c>
    </row>
    <row r="1085" s="2" customFormat="true" ht="14.25" hidden="false" customHeight="false" outlineLevel="0" collapsed="false">
      <c r="A1085" s="12" t="s">
        <v>2075</v>
      </c>
      <c r="B1085" s="16" t="n">
        <v>5</v>
      </c>
      <c r="C1085" s="15"/>
      <c r="D1085" s="16" t="s">
        <v>102</v>
      </c>
      <c r="E1085" s="16" t="s">
        <v>51</v>
      </c>
      <c r="F1085" s="16" t="s">
        <v>404</v>
      </c>
      <c r="G1085" s="16" t="s">
        <v>405</v>
      </c>
      <c r="H1085" s="16" t="s">
        <v>406</v>
      </c>
      <c r="I1085" s="16" t="s">
        <v>105</v>
      </c>
      <c r="J1085" s="16" t="s">
        <v>368</v>
      </c>
      <c r="K1085" s="16"/>
      <c r="L1085" s="16" t="s">
        <v>105</v>
      </c>
      <c r="M1085" s="16" t="s">
        <v>368</v>
      </c>
      <c r="N1085" s="16" t="s">
        <v>271</v>
      </c>
      <c r="O1085" s="16" t="s">
        <v>94</v>
      </c>
      <c r="P1085" s="16" t="s">
        <v>110</v>
      </c>
      <c r="Q1085" s="16" t="s">
        <v>110</v>
      </c>
      <c r="R1085" s="16" t="s">
        <v>137</v>
      </c>
      <c r="S1085" s="16" t="s">
        <v>272</v>
      </c>
      <c r="T1085" s="16" t="s">
        <v>2076</v>
      </c>
      <c r="U1085" s="16" t="s">
        <v>73</v>
      </c>
      <c r="V1085" s="16" t="n">
        <v>0.67</v>
      </c>
      <c r="W1085" s="16" t="n">
        <v>0.689</v>
      </c>
      <c r="X1085" s="16" t="n">
        <v>3000</v>
      </c>
      <c r="Y1085" s="16" t="n">
        <v>3000</v>
      </c>
      <c r="Z1085" s="16" t="n">
        <v>3000</v>
      </c>
      <c r="AA1085" s="16" t="n">
        <v>3000</v>
      </c>
      <c r="AB1085" s="16" t="n">
        <v>3000</v>
      </c>
      <c r="AC1085" s="16" t="n">
        <v>3000</v>
      </c>
      <c r="AD1085" s="16" t="n">
        <v>3000</v>
      </c>
      <c r="AE1085" s="16" t="n">
        <v>3000</v>
      </c>
      <c r="AF1085" s="16" t="n">
        <v>3000</v>
      </c>
      <c r="AG1085" s="16" t="n">
        <v>3000</v>
      </c>
      <c r="AH1085" s="16" t="n">
        <v>3000</v>
      </c>
      <c r="AI1085" s="16" t="n">
        <v>3000</v>
      </c>
      <c r="AJ1085" s="9" t="n">
        <f aca="false">X1085*$V1085</f>
        <v>2010</v>
      </c>
      <c r="AK1085" s="9" t="n">
        <f aca="false">Y1085*$V1085</f>
        <v>2010</v>
      </c>
      <c r="AL1085" s="9" t="n">
        <f aca="false">Z1085*$V1085</f>
        <v>2010</v>
      </c>
      <c r="AM1085" s="9" t="n">
        <f aca="false">AA1085*$V1085</f>
        <v>2010</v>
      </c>
      <c r="AN1085" s="9" t="n">
        <f aca="false">AB1085*$V1085</f>
        <v>2010</v>
      </c>
      <c r="AO1085" s="9" t="n">
        <f aca="false">AC1085*$V1085</f>
        <v>2010</v>
      </c>
      <c r="AP1085" s="9" t="n">
        <f aca="false">AD1085*$V1085</f>
        <v>2010</v>
      </c>
      <c r="AQ1085" s="9" t="n">
        <f aca="false">AE1085*$V1085</f>
        <v>2010</v>
      </c>
      <c r="AR1085" s="9" t="n">
        <f aca="false">AF1085*$V1085</f>
        <v>2010</v>
      </c>
      <c r="AS1085" s="9" t="n">
        <f aca="false">AG1085*$V1085</f>
        <v>2010</v>
      </c>
      <c r="AT1085" s="9" t="n">
        <f aca="false">AH1085*$V1085</f>
        <v>2010</v>
      </c>
      <c r="AU1085" s="9" t="n">
        <f aca="false">AI1085*$V1085</f>
        <v>2010</v>
      </c>
      <c r="AV1085" s="9" t="n">
        <f aca="false">SUM(X1085:AI1085)/1000</f>
        <v>36</v>
      </c>
      <c r="AW1085" s="9" t="n">
        <f aca="false">SUM(AJ1085:AU1085)</f>
        <v>24120</v>
      </c>
      <c r="AX1085" s="9" t="n">
        <f aca="false">IF(D1085="INR",AW1085/88.24,AW1085)/1000000</f>
        <v>0.02412</v>
      </c>
    </row>
    <row r="1086" s="2" customFormat="true" ht="14.25" hidden="false" customHeight="false" outlineLevel="0" collapsed="false">
      <c r="A1086" s="12"/>
      <c r="B1086" s="9" t="n">
        <v>1</v>
      </c>
      <c r="C1086" s="10"/>
      <c r="D1086" s="9" t="s">
        <v>50</v>
      </c>
      <c r="E1086" s="9" t="s">
        <v>51</v>
      </c>
      <c r="F1086" s="9" t="s">
        <v>52</v>
      </c>
      <c r="G1086" s="9" t="s">
        <v>1035</v>
      </c>
      <c r="H1086" s="9" t="s">
        <v>1036</v>
      </c>
      <c r="I1086" s="9" t="s">
        <v>105</v>
      </c>
      <c r="J1086" s="9" t="s">
        <v>900</v>
      </c>
      <c r="K1086" s="9"/>
      <c r="L1086" s="9" t="s">
        <v>105</v>
      </c>
      <c r="M1086" s="9" t="s">
        <v>900</v>
      </c>
      <c r="N1086" s="9" t="s">
        <v>57</v>
      </c>
      <c r="O1086" s="9" t="s">
        <v>246</v>
      </c>
      <c r="P1086" s="9" t="s">
        <v>110</v>
      </c>
      <c r="Q1086" s="9" t="s">
        <v>110</v>
      </c>
      <c r="R1086" s="9" t="s">
        <v>137</v>
      </c>
      <c r="S1086" s="9" t="s">
        <v>272</v>
      </c>
      <c r="T1086" s="9" t="s">
        <v>2077</v>
      </c>
      <c r="U1086" s="9" t="s">
        <v>63</v>
      </c>
      <c r="V1086" s="9" t="n">
        <v>14</v>
      </c>
      <c r="W1086" s="9"/>
      <c r="X1086" s="9"/>
      <c r="Y1086" s="9"/>
      <c r="Z1086" s="9"/>
      <c r="AA1086" s="9"/>
      <c r="AB1086" s="9"/>
      <c r="AC1086" s="9"/>
      <c r="AD1086" s="9"/>
      <c r="AE1086" s="9"/>
      <c r="AF1086" s="9" t="n">
        <v>5600</v>
      </c>
      <c r="AG1086" s="9"/>
      <c r="AH1086" s="9"/>
      <c r="AI1086" s="9"/>
      <c r="AJ1086" s="9" t="n">
        <f aca="false">X1086*$V1086</f>
        <v>0</v>
      </c>
      <c r="AK1086" s="9" t="n">
        <f aca="false">Y1086*$V1086</f>
        <v>0</v>
      </c>
      <c r="AL1086" s="9" t="n">
        <f aca="false">Z1086*$V1086</f>
        <v>0</v>
      </c>
      <c r="AM1086" s="9" t="n">
        <f aca="false">AA1086*$V1086</f>
        <v>0</v>
      </c>
      <c r="AN1086" s="9" t="n">
        <f aca="false">AB1086*$V1086</f>
        <v>0</v>
      </c>
      <c r="AO1086" s="9" t="n">
        <f aca="false">AC1086*$V1086</f>
        <v>0</v>
      </c>
      <c r="AP1086" s="9" t="n">
        <f aca="false">AD1086*$V1086</f>
        <v>0</v>
      </c>
      <c r="AQ1086" s="9" t="n">
        <f aca="false">AE1086*$V1086</f>
        <v>0</v>
      </c>
      <c r="AR1086" s="9" t="n">
        <f aca="false">AF1086*$V1086</f>
        <v>78400</v>
      </c>
      <c r="AS1086" s="9" t="n">
        <f aca="false">AG1086*$V1086</f>
        <v>0</v>
      </c>
      <c r="AT1086" s="9" t="n">
        <f aca="false">AH1086*$V1086</f>
        <v>0</v>
      </c>
      <c r="AU1086" s="9" t="n">
        <f aca="false">AI1086*$V1086</f>
        <v>0</v>
      </c>
      <c r="AV1086" s="9" t="n">
        <f aca="false">SUM(X1086:AI1086)/1000</f>
        <v>5.6</v>
      </c>
      <c r="AW1086" s="9" t="n">
        <f aca="false">SUM(AJ1086:AU1086)</f>
        <v>78400</v>
      </c>
      <c r="AX1086" s="9" t="n">
        <f aca="false">IF(D1086="INR",AW1086/88.24,AW1086)/1000000</f>
        <v>0.000888485947416138</v>
      </c>
    </row>
    <row r="1087" s="2" customFormat="true" ht="16.4" hidden="false" customHeight="false" outlineLevel="0" collapsed="false">
      <c r="A1087" s="28" t="s">
        <v>2078</v>
      </c>
      <c r="B1087" s="16"/>
      <c r="C1087" s="16"/>
      <c r="D1087" s="16" t="s">
        <v>50</v>
      </c>
      <c r="E1087" s="16" t="s">
        <v>51</v>
      </c>
      <c r="F1087" s="16" t="s">
        <v>52</v>
      </c>
      <c r="G1087" s="16" t="s">
        <v>254</v>
      </c>
      <c r="H1087" s="16" t="s">
        <v>255</v>
      </c>
      <c r="I1087" s="16" t="s">
        <v>55</v>
      </c>
      <c r="J1087" s="16" t="s">
        <v>256</v>
      </c>
      <c r="K1087" s="16"/>
      <c r="L1087" s="16" t="s">
        <v>55</v>
      </c>
      <c r="M1087" s="16" t="s">
        <v>256</v>
      </c>
      <c r="N1087" s="16" t="s">
        <v>67</v>
      </c>
      <c r="O1087" s="16" t="s">
        <v>246</v>
      </c>
      <c r="P1087" s="16" t="s">
        <v>308</v>
      </c>
      <c r="Q1087" s="16" t="s">
        <v>308</v>
      </c>
      <c r="R1087" s="16" t="s">
        <v>309</v>
      </c>
      <c r="S1087" s="16" t="s">
        <v>264</v>
      </c>
      <c r="T1087" s="16" t="s">
        <v>402</v>
      </c>
      <c r="U1087" s="16" t="s">
        <v>73</v>
      </c>
      <c r="V1087" s="16" t="n">
        <v>2.15</v>
      </c>
      <c r="W1087" s="16" t="n">
        <v>1.38</v>
      </c>
      <c r="X1087" s="16"/>
      <c r="Y1087" s="16" t="n">
        <v>7500</v>
      </c>
      <c r="Z1087" s="16"/>
      <c r="AA1087" s="16"/>
      <c r="AB1087" s="16"/>
      <c r="AC1087" s="16"/>
      <c r="AD1087" s="16"/>
      <c r="AE1087" s="16" t="n">
        <v>7500</v>
      </c>
      <c r="AF1087" s="16"/>
      <c r="AG1087" s="16"/>
      <c r="AH1087" s="16"/>
      <c r="AI1087" s="16"/>
      <c r="AJ1087" s="9" t="n">
        <f aca="false">X1087*$V1087</f>
        <v>0</v>
      </c>
      <c r="AK1087" s="9" t="n">
        <f aca="false">Y1087*$V1087</f>
        <v>16125</v>
      </c>
      <c r="AL1087" s="9" t="n">
        <f aca="false">Z1087*$V1087</f>
        <v>0</v>
      </c>
      <c r="AM1087" s="9" t="n">
        <f aca="false">AA1087*$V1087</f>
        <v>0</v>
      </c>
      <c r="AN1087" s="9" t="n">
        <f aca="false">AB1087*$V1087</f>
        <v>0</v>
      </c>
      <c r="AO1087" s="9" t="n">
        <f aca="false">AC1087*$V1087</f>
        <v>0</v>
      </c>
      <c r="AP1087" s="9" t="n">
        <f aca="false">AD1087*$V1087</f>
        <v>0</v>
      </c>
      <c r="AQ1087" s="9" t="n">
        <f aca="false">AE1087*$V1087</f>
        <v>16125</v>
      </c>
      <c r="AR1087" s="9" t="n">
        <f aca="false">AF1087*$V1087</f>
        <v>0</v>
      </c>
      <c r="AS1087" s="9" t="n">
        <f aca="false">AG1087*$V1087</f>
        <v>0</v>
      </c>
      <c r="AT1087" s="9" t="n">
        <f aca="false">AH1087*$V1087</f>
        <v>0</v>
      </c>
      <c r="AU1087" s="9" t="n">
        <f aca="false">AI1087*$V1087</f>
        <v>0</v>
      </c>
      <c r="AV1087" s="9" t="n">
        <f aca="false">SUM(X1087:AI1087)/1000</f>
        <v>15</v>
      </c>
      <c r="AW1087" s="9" t="n">
        <f aca="false">SUM(AJ1087:AU1087)</f>
        <v>32250</v>
      </c>
      <c r="AX1087" s="9" t="n">
        <f aca="false">IF(D1087="INR",AW1087/88.24,AW1087)/1000000</f>
        <v>0.000365480507706256</v>
      </c>
    </row>
    <row r="1088" s="2" customFormat="true" ht="14.25" hidden="false" customHeight="false" outlineLevel="0" collapsed="false">
      <c r="A1088" s="28"/>
      <c r="B1088" s="16" t="n">
        <v>1</v>
      </c>
      <c r="C1088" s="16"/>
      <c r="D1088" s="16" t="s">
        <v>50</v>
      </c>
      <c r="E1088" s="16"/>
      <c r="F1088" s="16" t="s">
        <v>52</v>
      </c>
      <c r="G1088" s="16" t="s">
        <v>254</v>
      </c>
      <c r="H1088" s="16" t="s">
        <v>255</v>
      </c>
      <c r="I1088" s="16"/>
      <c r="J1088" s="16"/>
      <c r="K1088" s="16"/>
      <c r="L1088" s="16"/>
      <c r="M1088" s="16"/>
      <c r="N1088" s="16" t="s">
        <v>67</v>
      </c>
      <c r="O1088" s="16" t="s">
        <v>246</v>
      </c>
      <c r="P1088" s="9" t="s">
        <v>308</v>
      </c>
      <c r="Q1088" s="16" t="s">
        <v>308</v>
      </c>
      <c r="R1088" s="9"/>
      <c r="S1088" s="9"/>
      <c r="T1088" s="9" t="s">
        <v>2079</v>
      </c>
      <c r="U1088" s="9" t="s">
        <v>63</v>
      </c>
      <c r="V1088" s="9" t="n">
        <v>4.89</v>
      </c>
      <c r="W1088" s="9"/>
      <c r="X1088" s="16"/>
      <c r="Y1088" s="16" t="n">
        <v>3000</v>
      </c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9" t="n">
        <f aca="false">X1088*$V1088</f>
        <v>0</v>
      </c>
      <c r="AK1088" s="9" t="n">
        <f aca="false">Y1088*$V1088</f>
        <v>14670</v>
      </c>
      <c r="AL1088" s="9" t="n">
        <f aca="false">Z1088*$V1088</f>
        <v>0</v>
      </c>
      <c r="AM1088" s="9" t="n">
        <f aca="false">AA1088*$V1088</f>
        <v>0</v>
      </c>
      <c r="AN1088" s="9" t="n">
        <f aca="false">AB1088*$V1088</f>
        <v>0</v>
      </c>
      <c r="AO1088" s="9" t="n">
        <f aca="false">AC1088*$V1088</f>
        <v>0</v>
      </c>
      <c r="AP1088" s="9" t="n">
        <f aca="false">AD1088*$V1088</f>
        <v>0</v>
      </c>
      <c r="AQ1088" s="9" t="n">
        <f aca="false">AE1088*$V1088</f>
        <v>0</v>
      </c>
      <c r="AR1088" s="9" t="n">
        <f aca="false">AF1088*$V1088</f>
        <v>0</v>
      </c>
      <c r="AS1088" s="9" t="n">
        <f aca="false">AG1088*$V1088</f>
        <v>0</v>
      </c>
      <c r="AT1088" s="9" t="n">
        <f aca="false">AH1088*$V1088</f>
        <v>0</v>
      </c>
      <c r="AU1088" s="9" t="n">
        <f aca="false">AI1088*$V1088</f>
        <v>0</v>
      </c>
      <c r="AV1088" s="9" t="n">
        <f aca="false">SUM(X1088:AI1088)/1000</f>
        <v>3</v>
      </c>
      <c r="AW1088" s="9" t="n">
        <f aca="false">SUM(AJ1088:AU1088)</f>
        <v>14670</v>
      </c>
      <c r="AX1088" s="9" t="n">
        <f aca="false">IF(D1088="INR",AW1088/88.24,AW1088)/1000000</f>
        <v>0.000166251133272892</v>
      </c>
    </row>
    <row r="1089" s="2" customFormat="true" ht="14.25" hidden="false" customHeight="false" outlineLevel="0" collapsed="false">
      <c r="A1089" s="12" t="s">
        <v>2080</v>
      </c>
      <c r="B1089" s="16"/>
      <c r="C1089" s="15"/>
      <c r="D1089" s="16" t="s">
        <v>50</v>
      </c>
      <c r="E1089" s="16" t="s">
        <v>51</v>
      </c>
      <c r="F1089" s="16" t="s">
        <v>52</v>
      </c>
      <c r="G1089" s="16" t="s">
        <v>2081</v>
      </c>
      <c r="H1089" s="16" t="s">
        <v>2082</v>
      </c>
      <c r="I1089" s="16" t="s">
        <v>105</v>
      </c>
      <c r="J1089" s="16" t="s">
        <v>900</v>
      </c>
      <c r="K1089" s="16"/>
      <c r="L1089" s="16" t="s">
        <v>105</v>
      </c>
      <c r="M1089" s="16" t="s">
        <v>900</v>
      </c>
      <c r="N1089" s="16" t="s">
        <v>67</v>
      </c>
      <c r="O1089" s="16" t="s">
        <v>107</v>
      </c>
      <c r="P1089" s="16" t="s">
        <v>69</v>
      </c>
      <c r="Q1089" s="16" t="s">
        <v>69</v>
      </c>
      <c r="R1089" s="16" t="s">
        <v>70</v>
      </c>
      <c r="S1089" s="16" t="s">
        <v>71</v>
      </c>
      <c r="T1089" s="16" t="s">
        <v>2083</v>
      </c>
      <c r="U1089" s="16" t="s">
        <v>73</v>
      </c>
      <c r="V1089" s="16" t="n">
        <v>59.36</v>
      </c>
      <c r="W1089" s="16" t="n">
        <v>0.39</v>
      </c>
      <c r="X1089" s="16"/>
      <c r="Y1089" s="16"/>
      <c r="Z1089" s="16"/>
      <c r="AA1089" s="16" t="n">
        <v>5000</v>
      </c>
      <c r="AB1089" s="16"/>
      <c r="AC1089" s="16"/>
      <c r="AD1089" s="16"/>
      <c r="AE1089" s="16" t="n">
        <v>5000</v>
      </c>
      <c r="AF1089" s="16"/>
      <c r="AG1089" s="16"/>
      <c r="AH1089" s="16" t="n">
        <v>5000</v>
      </c>
      <c r="AI1089" s="16"/>
      <c r="AJ1089" s="9" t="n">
        <f aca="false">X1089*$V1089</f>
        <v>0</v>
      </c>
      <c r="AK1089" s="9" t="n">
        <f aca="false">Y1089*$V1089</f>
        <v>0</v>
      </c>
      <c r="AL1089" s="9" t="n">
        <f aca="false">Z1089*$V1089</f>
        <v>0</v>
      </c>
      <c r="AM1089" s="9" t="n">
        <f aca="false">AA1089*$V1089</f>
        <v>296800</v>
      </c>
      <c r="AN1089" s="9" t="n">
        <f aca="false">AB1089*$V1089</f>
        <v>0</v>
      </c>
      <c r="AO1089" s="9" t="n">
        <f aca="false">AC1089*$V1089</f>
        <v>0</v>
      </c>
      <c r="AP1089" s="9" t="n">
        <f aca="false">AD1089*$V1089</f>
        <v>0</v>
      </c>
      <c r="AQ1089" s="9" t="n">
        <f aca="false">AE1089*$V1089</f>
        <v>296800</v>
      </c>
      <c r="AR1089" s="9" t="n">
        <f aca="false">AF1089*$V1089</f>
        <v>0</v>
      </c>
      <c r="AS1089" s="9" t="n">
        <f aca="false">AG1089*$V1089</f>
        <v>0</v>
      </c>
      <c r="AT1089" s="9" t="n">
        <f aca="false">AH1089*$V1089</f>
        <v>296800</v>
      </c>
      <c r="AU1089" s="9" t="n">
        <f aca="false">AI1089*$V1089</f>
        <v>0</v>
      </c>
      <c r="AV1089" s="9" t="n">
        <f aca="false">SUM(X1089:AI1089)/1000</f>
        <v>15</v>
      </c>
      <c r="AW1089" s="9" t="n">
        <f aca="false">SUM(AJ1089:AU1089)</f>
        <v>890400</v>
      </c>
      <c r="AX1089" s="9" t="n">
        <f aca="false">IF(D1089="INR",AW1089/88.24,AW1089)/1000000</f>
        <v>0.010090661831369</v>
      </c>
    </row>
    <row r="1090" s="2" customFormat="true" ht="16.4" hidden="false" customHeight="false" outlineLevel="0" collapsed="false">
      <c r="A1090" s="35" t="s">
        <v>2084</v>
      </c>
      <c r="B1090" s="9"/>
      <c r="C1090" s="10"/>
      <c r="D1090" s="9" t="s">
        <v>50</v>
      </c>
      <c r="E1090" s="9" t="s">
        <v>51</v>
      </c>
      <c r="F1090" s="9" t="s">
        <v>52</v>
      </c>
      <c r="G1090" s="9" t="s">
        <v>2081</v>
      </c>
      <c r="H1090" s="9" t="s">
        <v>2082</v>
      </c>
      <c r="I1090" s="9" t="s">
        <v>105</v>
      </c>
      <c r="J1090" s="9" t="s">
        <v>900</v>
      </c>
      <c r="K1090" s="9"/>
      <c r="L1090" s="9" t="s">
        <v>105</v>
      </c>
      <c r="M1090" s="9" t="s">
        <v>900</v>
      </c>
      <c r="N1090" s="9" t="s">
        <v>67</v>
      </c>
      <c r="O1090" s="9" t="s">
        <v>107</v>
      </c>
      <c r="P1090" s="9" t="s">
        <v>69</v>
      </c>
      <c r="Q1090" s="9" t="s">
        <v>69</v>
      </c>
      <c r="R1090" s="9" t="s">
        <v>70</v>
      </c>
      <c r="S1090" s="9" t="s">
        <v>71</v>
      </c>
      <c r="T1090" s="9" t="s">
        <v>960</v>
      </c>
      <c r="U1090" s="9" t="s">
        <v>73</v>
      </c>
      <c r="V1090" s="9" t="n">
        <v>11.3</v>
      </c>
      <c r="W1090" s="9" t="n">
        <v>0.085</v>
      </c>
      <c r="X1090" s="9"/>
      <c r="Y1090" s="9"/>
      <c r="Z1090" s="9"/>
      <c r="AA1090" s="9" t="n">
        <v>5000</v>
      </c>
      <c r="AB1090" s="9"/>
      <c r="AC1090" s="9"/>
      <c r="AD1090" s="9"/>
      <c r="AE1090" s="9" t="n">
        <v>5000</v>
      </c>
      <c r="AF1090" s="9"/>
      <c r="AG1090" s="9"/>
      <c r="AH1090" s="9" t="n">
        <v>5000</v>
      </c>
      <c r="AI1090" s="9"/>
      <c r="AJ1090" s="9" t="n">
        <f aca="false">X1090*$V1090</f>
        <v>0</v>
      </c>
      <c r="AK1090" s="9" t="n">
        <f aca="false">Y1090*$V1090</f>
        <v>0</v>
      </c>
      <c r="AL1090" s="9" t="n">
        <f aca="false">Z1090*$V1090</f>
        <v>0</v>
      </c>
      <c r="AM1090" s="9" t="n">
        <f aca="false">AA1090*$V1090</f>
        <v>56500</v>
      </c>
      <c r="AN1090" s="9" t="n">
        <f aca="false">AB1090*$V1090</f>
        <v>0</v>
      </c>
      <c r="AO1090" s="9" t="n">
        <f aca="false">AC1090*$V1090</f>
        <v>0</v>
      </c>
      <c r="AP1090" s="9" t="n">
        <f aca="false">AD1090*$V1090</f>
        <v>0</v>
      </c>
      <c r="AQ1090" s="9" t="n">
        <f aca="false">AE1090*$V1090</f>
        <v>56500</v>
      </c>
      <c r="AR1090" s="9" t="n">
        <f aca="false">AF1090*$V1090</f>
        <v>0</v>
      </c>
      <c r="AS1090" s="9" t="n">
        <f aca="false">AG1090*$V1090</f>
        <v>0</v>
      </c>
      <c r="AT1090" s="9" t="n">
        <f aca="false">AH1090*$V1090</f>
        <v>56500</v>
      </c>
      <c r="AU1090" s="9" t="n">
        <f aca="false">AI1090*$V1090</f>
        <v>0</v>
      </c>
      <c r="AV1090" s="9" t="n">
        <f aca="false">SUM(X1090:AI1090)/1000</f>
        <v>15</v>
      </c>
      <c r="AW1090" s="9" t="n">
        <f aca="false">SUM(AJ1090:AU1090)</f>
        <v>169500</v>
      </c>
      <c r="AX1090" s="9" t="n">
        <f aca="false">IF(D1090="INR",AW1090/88.24,AW1090)/1000000</f>
        <v>0.00192089755213055</v>
      </c>
    </row>
    <row r="1091" s="2" customFormat="true" ht="16.4" hidden="false" customHeight="false" outlineLevel="0" collapsed="false">
      <c r="A1091" s="57"/>
      <c r="B1091" s="58" t="n">
        <v>5</v>
      </c>
      <c r="C1091" s="14"/>
      <c r="D1091" s="15" t="s">
        <v>50</v>
      </c>
      <c r="E1091" s="16" t="s">
        <v>51</v>
      </c>
      <c r="F1091" s="16" t="s">
        <v>404</v>
      </c>
      <c r="G1091" s="15" t="s">
        <v>455</v>
      </c>
      <c r="H1091" s="15" t="s">
        <v>456</v>
      </c>
      <c r="I1091" s="16" t="s">
        <v>105</v>
      </c>
      <c r="J1091" s="16" t="s">
        <v>457</v>
      </c>
      <c r="K1091" s="16"/>
      <c r="L1091" s="16" t="s">
        <v>105</v>
      </c>
      <c r="M1091" s="16" t="s">
        <v>457</v>
      </c>
      <c r="N1091" s="15" t="s">
        <v>271</v>
      </c>
      <c r="O1091" s="15" t="s">
        <v>94</v>
      </c>
      <c r="P1091" s="15" t="s">
        <v>85</v>
      </c>
      <c r="Q1091" s="15" t="s">
        <v>85</v>
      </c>
      <c r="R1091" s="16" t="s">
        <v>86</v>
      </c>
      <c r="S1091" s="16" t="s">
        <v>87</v>
      </c>
      <c r="T1091" s="15" t="s">
        <v>2085</v>
      </c>
      <c r="U1091" s="15" t="s">
        <v>63</v>
      </c>
      <c r="V1091" s="17" t="n">
        <v>225</v>
      </c>
      <c r="W1091" s="16" t="n">
        <v>2.18</v>
      </c>
      <c r="X1091" s="16" t="n">
        <v>2000</v>
      </c>
      <c r="Y1091" s="16" t="n">
        <v>2000</v>
      </c>
      <c r="Z1091" s="16"/>
      <c r="AA1091" s="16"/>
      <c r="AB1091" s="16" t="n">
        <v>2000</v>
      </c>
      <c r="AC1091" s="16" t="n">
        <v>2000</v>
      </c>
      <c r="AD1091" s="16"/>
      <c r="AE1091" s="16" t="n">
        <v>2000</v>
      </c>
      <c r="AF1091" s="16" t="n">
        <v>2000</v>
      </c>
      <c r="AG1091" s="16"/>
      <c r="AH1091" s="16" t="n">
        <v>2000</v>
      </c>
      <c r="AI1091" s="16" t="n">
        <v>2000</v>
      </c>
      <c r="AJ1091" s="9" t="n">
        <f aca="false">X1091*$V1091</f>
        <v>450000</v>
      </c>
      <c r="AK1091" s="9" t="n">
        <f aca="false">Y1091*$V1091</f>
        <v>450000</v>
      </c>
      <c r="AL1091" s="9" t="n">
        <f aca="false">Z1091*$V1091</f>
        <v>0</v>
      </c>
      <c r="AM1091" s="9" t="n">
        <f aca="false">AA1091*$V1091</f>
        <v>0</v>
      </c>
      <c r="AN1091" s="9" t="n">
        <f aca="false">AB1091*$V1091</f>
        <v>450000</v>
      </c>
      <c r="AO1091" s="9" t="n">
        <f aca="false">AC1091*$V1091</f>
        <v>450000</v>
      </c>
      <c r="AP1091" s="9" t="n">
        <f aca="false">AD1091*$V1091</f>
        <v>0</v>
      </c>
      <c r="AQ1091" s="9" t="n">
        <f aca="false">AE1091*$V1091</f>
        <v>450000</v>
      </c>
      <c r="AR1091" s="9" t="n">
        <f aca="false">AF1091*$V1091</f>
        <v>450000</v>
      </c>
      <c r="AS1091" s="9" t="n">
        <f aca="false">AG1091*$V1091</f>
        <v>0</v>
      </c>
      <c r="AT1091" s="9" t="n">
        <f aca="false">AH1091*$V1091</f>
        <v>450000</v>
      </c>
      <c r="AU1091" s="9" t="n">
        <f aca="false">AI1091*$V1091</f>
        <v>450000</v>
      </c>
      <c r="AV1091" s="9" t="n">
        <f aca="false">SUM(X1091:AI1091)/1000</f>
        <v>16</v>
      </c>
      <c r="AW1091" s="9" t="n">
        <f aca="false">SUM(AJ1091:AU1091)</f>
        <v>3600000</v>
      </c>
      <c r="AX1091" s="9" t="n">
        <f aca="false">IF(D1091="INR",AW1091/88.24,AW1091)/1000000</f>
        <v>0.0407978241160472</v>
      </c>
      <c r="AY1091" s="11"/>
    </row>
    <row r="1092" s="2" customFormat="true" ht="16.4" hidden="false" customHeight="false" outlineLevel="0" collapsed="false">
      <c r="A1092" s="28" t="s">
        <v>2086</v>
      </c>
      <c r="B1092" s="16" t="n">
        <v>5</v>
      </c>
      <c r="C1092" s="16"/>
      <c r="D1092" s="16" t="s">
        <v>50</v>
      </c>
      <c r="E1092" s="16" t="s">
        <v>51</v>
      </c>
      <c r="F1092" s="16" t="s">
        <v>97</v>
      </c>
      <c r="G1092" s="16" t="s">
        <v>2087</v>
      </c>
      <c r="H1092" s="16" t="s">
        <v>2088</v>
      </c>
      <c r="I1092" s="16" t="s">
        <v>992</v>
      </c>
      <c r="J1092" s="16" t="s">
        <v>2089</v>
      </c>
      <c r="K1092" s="16"/>
      <c r="L1092" s="16" t="s">
        <v>992</v>
      </c>
      <c r="M1092" s="16" t="s">
        <v>2089</v>
      </c>
      <c r="N1092" s="16" t="s">
        <v>79</v>
      </c>
      <c r="O1092" s="16" t="s">
        <v>107</v>
      </c>
      <c r="P1092" s="16" t="s">
        <v>69</v>
      </c>
      <c r="Q1092" s="16" t="s">
        <v>69</v>
      </c>
      <c r="R1092" s="16" t="s">
        <v>70</v>
      </c>
      <c r="S1092" s="16" t="s">
        <v>71</v>
      </c>
      <c r="T1092" s="16" t="s">
        <v>960</v>
      </c>
      <c r="U1092" s="16" t="s">
        <v>73</v>
      </c>
      <c r="V1092" s="16" t="n">
        <v>12.5</v>
      </c>
      <c r="W1092" s="16" t="n">
        <v>0</v>
      </c>
      <c r="X1092" s="16" t="n">
        <v>500</v>
      </c>
      <c r="Y1092" s="16"/>
      <c r="Z1092" s="16"/>
      <c r="AA1092" s="16" t="n">
        <v>500</v>
      </c>
      <c r="AB1092" s="16"/>
      <c r="AC1092" s="16" t="n">
        <v>500</v>
      </c>
      <c r="AD1092" s="16"/>
      <c r="AE1092" s="16"/>
      <c r="AF1092" s="16" t="n">
        <v>500</v>
      </c>
      <c r="AG1092" s="16"/>
      <c r="AH1092" s="16"/>
      <c r="AI1092" s="16"/>
      <c r="AJ1092" s="9" t="n">
        <f aca="false">X1092*$V1092</f>
        <v>6250</v>
      </c>
      <c r="AK1092" s="9" t="n">
        <f aca="false">Y1092*$V1092</f>
        <v>0</v>
      </c>
      <c r="AL1092" s="9" t="n">
        <f aca="false">Z1092*$V1092</f>
        <v>0</v>
      </c>
      <c r="AM1092" s="9" t="n">
        <f aca="false">AA1092*$V1092</f>
        <v>6250</v>
      </c>
      <c r="AN1092" s="9" t="n">
        <f aca="false">AB1092*$V1092</f>
        <v>0</v>
      </c>
      <c r="AO1092" s="9" t="n">
        <f aca="false">AC1092*$V1092</f>
        <v>6250</v>
      </c>
      <c r="AP1092" s="9" t="n">
        <f aca="false">AD1092*$V1092</f>
        <v>0</v>
      </c>
      <c r="AQ1092" s="9" t="n">
        <f aca="false">AE1092*$V1092</f>
        <v>0</v>
      </c>
      <c r="AR1092" s="9" t="n">
        <f aca="false">AF1092*$V1092</f>
        <v>6250</v>
      </c>
      <c r="AS1092" s="9" t="n">
        <f aca="false">AG1092*$V1092</f>
        <v>0</v>
      </c>
      <c r="AT1092" s="9" t="n">
        <f aca="false">AH1092*$V1092</f>
        <v>0</v>
      </c>
      <c r="AU1092" s="9" t="n">
        <f aca="false">AI1092*$V1092</f>
        <v>0</v>
      </c>
      <c r="AV1092" s="9" t="n">
        <f aca="false">SUM(X1092:AI1092)/1000</f>
        <v>2</v>
      </c>
      <c r="AW1092" s="9" t="n">
        <f aca="false">SUM(AJ1092:AU1092)</f>
        <v>25000</v>
      </c>
      <c r="AX1092" s="9" t="n">
        <f aca="false">IF(D1092="INR",AW1092/88.24,AW1092)/1000000</f>
        <v>0.000283318223028105</v>
      </c>
    </row>
    <row r="1093" s="2" customFormat="true" ht="14.25" hidden="false" customHeight="false" outlineLevel="0" collapsed="false">
      <c r="A1093" s="12" t="s">
        <v>2090</v>
      </c>
      <c r="B1093" s="16" t="n">
        <v>5</v>
      </c>
      <c r="C1093" s="15"/>
      <c r="D1093" s="16" t="s">
        <v>50</v>
      </c>
      <c r="E1093" s="16" t="s">
        <v>51</v>
      </c>
      <c r="F1093" s="16" t="s">
        <v>52</v>
      </c>
      <c r="G1093" s="16" t="s">
        <v>2091</v>
      </c>
      <c r="H1093" s="16" t="s">
        <v>2092</v>
      </c>
      <c r="I1093" s="16" t="s">
        <v>1005</v>
      </c>
      <c r="J1093" s="16" t="s">
        <v>1006</v>
      </c>
      <c r="K1093" s="16"/>
      <c r="L1093" s="16" t="s">
        <v>1005</v>
      </c>
      <c r="M1093" s="16" t="s">
        <v>1006</v>
      </c>
      <c r="N1093" s="16" t="s">
        <v>67</v>
      </c>
      <c r="O1093" s="16" t="s">
        <v>294</v>
      </c>
      <c r="P1093" s="9" t="s">
        <v>110</v>
      </c>
      <c r="Q1093" s="16" t="s">
        <v>110</v>
      </c>
      <c r="R1093" s="16" t="s">
        <v>137</v>
      </c>
      <c r="S1093" s="16" t="s">
        <v>272</v>
      </c>
      <c r="T1093" s="16" t="s">
        <v>2093</v>
      </c>
      <c r="U1093" s="16" t="s">
        <v>73</v>
      </c>
      <c r="V1093" s="16" t="n">
        <v>412.18</v>
      </c>
      <c r="W1093" s="16" t="n">
        <v>380.42</v>
      </c>
      <c r="X1093" s="16"/>
      <c r="Y1093" s="16"/>
      <c r="Z1093" s="16"/>
      <c r="AA1093" s="16" t="n">
        <v>270</v>
      </c>
      <c r="AB1093" s="16" t="n">
        <v>1440</v>
      </c>
      <c r="AC1093" s="16"/>
      <c r="AD1093" s="16"/>
      <c r="AE1093" s="16" t="n">
        <v>360</v>
      </c>
      <c r="AF1093" s="16" t="n">
        <v>360</v>
      </c>
      <c r="AG1093" s="16" t="n">
        <v>720</v>
      </c>
      <c r="AH1093" s="16" t="n">
        <v>270</v>
      </c>
      <c r="AI1093" s="16"/>
      <c r="AJ1093" s="9" t="n">
        <f aca="false">X1093*$V1093</f>
        <v>0</v>
      </c>
      <c r="AK1093" s="9" t="n">
        <f aca="false">Y1093*$V1093</f>
        <v>0</v>
      </c>
      <c r="AL1093" s="9" t="n">
        <f aca="false">Z1093*$V1093</f>
        <v>0</v>
      </c>
      <c r="AM1093" s="9" t="n">
        <f aca="false">AA1093*$V1093</f>
        <v>111288.6</v>
      </c>
      <c r="AN1093" s="9" t="n">
        <f aca="false">AB1093*$V1093</f>
        <v>593539.2</v>
      </c>
      <c r="AO1093" s="9" t="n">
        <f aca="false">AC1093*$V1093</f>
        <v>0</v>
      </c>
      <c r="AP1093" s="9" t="n">
        <f aca="false">AD1093*$V1093</f>
        <v>0</v>
      </c>
      <c r="AQ1093" s="9" t="n">
        <f aca="false">AE1093*$V1093</f>
        <v>148384.8</v>
      </c>
      <c r="AR1093" s="9" t="n">
        <f aca="false">AF1093*$V1093</f>
        <v>148384.8</v>
      </c>
      <c r="AS1093" s="9" t="n">
        <f aca="false">AG1093*$V1093</f>
        <v>296769.6</v>
      </c>
      <c r="AT1093" s="9" t="n">
        <f aca="false">AH1093*$V1093</f>
        <v>111288.6</v>
      </c>
      <c r="AU1093" s="9" t="n">
        <f aca="false">AI1093*$V1093</f>
        <v>0</v>
      </c>
      <c r="AV1093" s="9" t="n">
        <f aca="false">SUM(X1093:AI1093)/1000</f>
        <v>3.42</v>
      </c>
      <c r="AW1093" s="9" t="n">
        <f aca="false">SUM(AJ1093:AU1093)</f>
        <v>1409655.6</v>
      </c>
      <c r="AX1093" s="9" t="n">
        <f aca="false">IF(D1093="INR",AW1093/88.24,AW1093)/1000000</f>
        <v>0.0159752447869447</v>
      </c>
    </row>
    <row r="1094" s="2" customFormat="true" ht="14.25" hidden="false" customHeight="false" outlineLevel="0" collapsed="false">
      <c r="A1094" s="12" t="s">
        <v>2094</v>
      </c>
      <c r="B1094" s="16" t="n">
        <v>5</v>
      </c>
      <c r="C1094" s="15"/>
      <c r="D1094" s="16" t="s">
        <v>50</v>
      </c>
      <c r="E1094" s="16" t="s">
        <v>51</v>
      </c>
      <c r="F1094" s="16" t="s">
        <v>52</v>
      </c>
      <c r="G1094" s="16" t="s">
        <v>2091</v>
      </c>
      <c r="H1094" s="16" t="s">
        <v>2092</v>
      </c>
      <c r="I1094" s="16" t="s">
        <v>1005</v>
      </c>
      <c r="J1094" s="16" t="s">
        <v>1006</v>
      </c>
      <c r="K1094" s="16"/>
      <c r="L1094" s="16" t="s">
        <v>1005</v>
      </c>
      <c r="M1094" s="16" t="s">
        <v>1006</v>
      </c>
      <c r="N1094" s="16" t="s">
        <v>67</v>
      </c>
      <c r="O1094" s="16" t="s">
        <v>58</v>
      </c>
      <c r="P1094" s="16" t="s">
        <v>110</v>
      </c>
      <c r="Q1094" s="16" t="s">
        <v>110</v>
      </c>
      <c r="R1094" s="16" t="s">
        <v>137</v>
      </c>
      <c r="S1094" s="16" t="s">
        <v>272</v>
      </c>
      <c r="T1094" s="16" t="s">
        <v>944</v>
      </c>
      <c r="U1094" s="16" t="s">
        <v>73</v>
      </c>
      <c r="V1094" s="16" t="n">
        <v>157.55</v>
      </c>
      <c r="W1094" s="16" t="n">
        <v>1.15</v>
      </c>
      <c r="X1094" s="22" t="n">
        <v>952</v>
      </c>
      <c r="Y1094" s="22"/>
      <c r="Z1094" s="22"/>
      <c r="AA1094" s="22" t="n">
        <v>952</v>
      </c>
      <c r="AB1094" s="22"/>
      <c r="AC1094" s="22"/>
      <c r="AD1094" s="22"/>
      <c r="AE1094" s="22" t="n">
        <v>952</v>
      </c>
      <c r="AF1094" s="22"/>
      <c r="AG1094" s="22"/>
      <c r="AH1094" s="22"/>
      <c r="AI1094" s="22"/>
      <c r="AJ1094" s="9" t="n">
        <f aca="false">X1094*$V1094</f>
        <v>149987.6</v>
      </c>
      <c r="AK1094" s="9" t="n">
        <f aca="false">Y1094*$V1094</f>
        <v>0</v>
      </c>
      <c r="AL1094" s="9" t="n">
        <f aca="false">Z1094*$V1094</f>
        <v>0</v>
      </c>
      <c r="AM1094" s="9" t="n">
        <f aca="false">AA1094*$V1094</f>
        <v>149987.6</v>
      </c>
      <c r="AN1094" s="9" t="n">
        <f aca="false">AB1094*$V1094</f>
        <v>0</v>
      </c>
      <c r="AO1094" s="9" t="n">
        <f aca="false">AC1094*$V1094</f>
        <v>0</v>
      </c>
      <c r="AP1094" s="9" t="n">
        <f aca="false">AD1094*$V1094</f>
        <v>0</v>
      </c>
      <c r="AQ1094" s="9" t="n">
        <f aca="false">AE1094*$V1094</f>
        <v>149987.6</v>
      </c>
      <c r="AR1094" s="9" t="n">
        <f aca="false">AF1094*$V1094</f>
        <v>0</v>
      </c>
      <c r="AS1094" s="9" t="n">
        <f aca="false">AG1094*$V1094</f>
        <v>0</v>
      </c>
      <c r="AT1094" s="9" t="n">
        <f aca="false">AH1094*$V1094</f>
        <v>0</v>
      </c>
      <c r="AU1094" s="9" t="n">
        <f aca="false">AI1094*$V1094</f>
        <v>0</v>
      </c>
      <c r="AV1094" s="9" t="n">
        <f aca="false">SUM(X1094:AI1094)/1000</f>
        <v>2.856</v>
      </c>
      <c r="AW1094" s="9" t="n">
        <f aca="false">SUM(AJ1094:AU1094)</f>
        <v>449962.8</v>
      </c>
      <c r="AX1094" s="9" t="n">
        <f aca="false">IF(D1094="INR",AW1094/88.24,AW1094)/1000000</f>
        <v>0.00509930643699003</v>
      </c>
    </row>
    <row r="1095" s="2" customFormat="true" ht="14.25" hidden="false" customHeight="false" outlineLevel="0" collapsed="false">
      <c r="A1095" s="12" t="s">
        <v>2095</v>
      </c>
      <c r="B1095" s="16"/>
      <c r="C1095" s="15"/>
      <c r="D1095" s="16" t="s">
        <v>50</v>
      </c>
      <c r="E1095" s="16" t="s">
        <v>51</v>
      </c>
      <c r="F1095" s="16" t="s">
        <v>97</v>
      </c>
      <c r="G1095" s="16" t="s">
        <v>978</v>
      </c>
      <c r="H1095" s="16" t="s">
        <v>979</v>
      </c>
      <c r="I1095" s="16" t="s">
        <v>303</v>
      </c>
      <c r="J1095" s="16" t="s">
        <v>276</v>
      </c>
      <c r="K1095" s="16"/>
      <c r="L1095" s="16" t="s">
        <v>303</v>
      </c>
      <c r="M1095" s="16" t="s">
        <v>276</v>
      </c>
      <c r="N1095" s="16" t="s">
        <v>79</v>
      </c>
      <c r="O1095" s="16" t="s">
        <v>107</v>
      </c>
      <c r="P1095" s="16" t="s">
        <v>110</v>
      </c>
      <c r="Q1095" s="16" t="s">
        <v>110</v>
      </c>
      <c r="R1095" s="16" t="s">
        <v>137</v>
      </c>
      <c r="S1095" s="16" t="s">
        <v>272</v>
      </c>
      <c r="T1095" s="16" t="s">
        <v>1011</v>
      </c>
      <c r="U1095" s="16" t="s">
        <v>73</v>
      </c>
      <c r="V1095" s="16" t="n">
        <v>72.76</v>
      </c>
      <c r="W1095" s="26" t="n">
        <v>0.489</v>
      </c>
      <c r="X1095" s="22"/>
      <c r="Y1095" s="22" t="n">
        <v>952</v>
      </c>
      <c r="Z1095" s="22"/>
      <c r="AA1095" s="22" t="n">
        <v>952</v>
      </c>
      <c r="AB1095" s="22"/>
      <c r="AC1095" s="22" t="n">
        <v>952</v>
      </c>
      <c r="AD1095" s="22"/>
      <c r="AE1095" s="22" t="n">
        <v>952</v>
      </c>
      <c r="AF1095" s="22"/>
      <c r="AG1095" s="22" t="n">
        <v>952</v>
      </c>
      <c r="AH1095" s="22"/>
      <c r="AI1095" s="22" t="n">
        <v>952</v>
      </c>
      <c r="AJ1095" s="9" t="n">
        <f aca="false">X1095*$V1095</f>
        <v>0</v>
      </c>
      <c r="AK1095" s="9" t="n">
        <f aca="false">Y1095*$V1095</f>
        <v>69267.52</v>
      </c>
      <c r="AL1095" s="9" t="n">
        <f aca="false">Z1095*$V1095</f>
        <v>0</v>
      </c>
      <c r="AM1095" s="9" t="n">
        <f aca="false">AA1095*$V1095</f>
        <v>69267.52</v>
      </c>
      <c r="AN1095" s="9" t="n">
        <f aca="false">AB1095*$V1095</f>
        <v>0</v>
      </c>
      <c r="AO1095" s="9" t="n">
        <f aca="false">AC1095*$V1095</f>
        <v>69267.52</v>
      </c>
      <c r="AP1095" s="9" t="n">
        <f aca="false">AD1095*$V1095</f>
        <v>0</v>
      </c>
      <c r="AQ1095" s="9" t="n">
        <f aca="false">AE1095*$V1095</f>
        <v>69267.52</v>
      </c>
      <c r="AR1095" s="9" t="n">
        <f aca="false">AF1095*$V1095</f>
        <v>0</v>
      </c>
      <c r="AS1095" s="9" t="n">
        <f aca="false">AG1095*$V1095</f>
        <v>69267.52</v>
      </c>
      <c r="AT1095" s="9" t="n">
        <f aca="false">AH1095*$V1095</f>
        <v>0</v>
      </c>
      <c r="AU1095" s="9" t="n">
        <f aca="false">AI1095*$V1095</f>
        <v>69267.52</v>
      </c>
      <c r="AV1095" s="9" t="n">
        <f aca="false">SUM(X1095:AI1095)/1000</f>
        <v>5.712</v>
      </c>
      <c r="AW1095" s="9" t="n">
        <f aca="false">SUM(AJ1095:AU1095)</f>
        <v>415605.12</v>
      </c>
      <c r="AX1095" s="9" t="n">
        <f aca="false">IF(D1095="INR",AW1095/88.24,AW1095)/1000000</f>
        <v>0.0047099401631913</v>
      </c>
    </row>
    <row r="1096" s="2" customFormat="true" ht="16.4" hidden="false" customHeight="false" outlineLevel="0" collapsed="false">
      <c r="A1096" s="35" t="s">
        <v>2096</v>
      </c>
      <c r="B1096" s="9" t="n">
        <v>5</v>
      </c>
      <c r="C1096" s="10"/>
      <c r="D1096" s="9" t="s">
        <v>102</v>
      </c>
      <c r="E1096" s="9" t="s">
        <v>51</v>
      </c>
      <c r="F1096" s="9" t="s">
        <v>404</v>
      </c>
      <c r="G1096" s="9" t="s">
        <v>405</v>
      </c>
      <c r="H1096" s="9" t="s">
        <v>406</v>
      </c>
      <c r="I1096" s="9" t="s">
        <v>105</v>
      </c>
      <c r="J1096" s="9" t="s">
        <v>368</v>
      </c>
      <c r="K1096" s="9"/>
      <c r="L1096" s="9" t="s">
        <v>105</v>
      </c>
      <c r="M1096" s="9" t="s">
        <v>368</v>
      </c>
      <c r="N1096" s="9" t="s">
        <v>271</v>
      </c>
      <c r="O1096" s="9" t="s">
        <v>94</v>
      </c>
      <c r="P1096" s="9" t="s">
        <v>380</v>
      </c>
      <c r="Q1096" s="9" t="s">
        <v>380</v>
      </c>
      <c r="R1096" s="9" t="s">
        <v>442</v>
      </c>
      <c r="S1096" s="9" t="s">
        <v>443</v>
      </c>
      <c r="T1096" s="9" t="s">
        <v>2097</v>
      </c>
      <c r="U1096" s="9" t="s">
        <v>73</v>
      </c>
      <c r="V1096" s="9" t="n">
        <v>9.6</v>
      </c>
      <c r="W1096" s="9" t="n">
        <v>742</v>
      </c>
      <c r="X1096" s="9"/>
      <c r="Y1096" s="9"/>
      <c r="Z1096" s="9"/>
      <c r="AA1096" s="9"/>
      <c r="AB1096" s="9" t="n">
        <v>1000</v>
      </c>
      <c r="AC1096" s="9"/>
      <c r="AD1096" s="9"/>
      <c r="AE1096" s="9"/>
      <c r="AF1096" s="9"/>
      <c r="AG1096" s="9" t="n">
        <v>1000</v>
      </c>
      <c r="AH1096" s="9"/>
      <c r="AI1096" s="9"/>
      <c r="AJ1096" s="9" t="n">
        <f aca="false">X1096*$V1096</f>
        <v>0</v>
      </c>
      <c r="AK1096" s="9" t="n">
        <f aca="false">Y1096*$V1096</f>
        <v>0</v>
      </c>
      <c r="AL1096" s="9" t="n">
        <f aca="false">Z1096*$V1096</f>
        <v>0</v>
      </c>
      <c r="AM1096" s="9" t="n">
        <f aca="false">AA1096*$V1096</f>
        <v>0</v>
      </c>
      <c r="AN1096" s="9" t="n">
        <f aca="false">AB1096*$V1096</f>
        <v>9600</v>
      </c>
      <c r="AO1096" s="9" t="n">
        <f aca="false">AC1096*$V1096</f>
        <v>0</v>
      </c>
      <c r="AP1096" s="9" t="n">
        <f aca="false">AD1096*$V1096</f>
        <v>0</v>
      </c>
      <c r="AQ1096" s="9" t="n">
        <f aca="false">AE1096*$V1096</f>
        <v>0</v>
      </c>
      <c r="AR1096" s="9" t="n">
        <f aca="false">AF1096*$V1096</f>
        <v>0</v>
      </c>
      <c r="AS1096" s="9" t="n">
        <f aca="false">AG1096*$V1096</f>
        <v>9600</v>
      </c>
      <c r="AT1096" s="9" t="n">
        <f aca="false">AH1096*$V1096</f>
        <v>0</v>
      </c>
      <c r="AU1096" s="9" t="n">
        <f aca="false">AI1096*$V1096</f>
        <v>0</v>
      </c>
      <c r="AV1096" s="9" t="n">
        <f aca="false">SUM(X1096:AI1096)/1000</f>
        <v>2</v>
      </c>
      <c r="AW1096" s="9" t="n">
        <f aca="false">SUM(AJ1096:AU1096)</f>
        <v>19200</v>
      </c>
      <c r="AX1096" s="9" t="n">
        <f aca="false">IF(D1096="INR",AW1096/88.24,AW1096)/1000000</f>
        <v>0.0192</v>
      </c>
    </row>
    <row r="1097" s="2" customFormat="true" ht="14.25" hidden="false" customHeight="false" outlineLevel="0" collapsed="false">
      <c r="A1097" s="12" t="s">
        <v>2098</v>
      </c>
      <c r="B1097" s="16"/>
      <c r="C1097" s="15"/>
      <c r="D1097" s="16" t="s">
        <v>50</v>
      </c>
      <c r="E1097" s="16" t="s">
        <v>51</v>
      </c>
      <c r="F1097" s="16" t="s">
        <v>97</v>
      </c>
      <c r="G1097" s="16" t="s">
        <v>978</v>
      </c>
      <c r="H1097" s="16" t="s">
        <v>979</v>
      </c>
      <c r="I1097" s="16" t="s">
        <v>303</v>
      </c>
      <c r="J1097" s="16" t="s">
        <v>276</v>
      </c>
      <c r="K1097" s="16"/>
      <c r="L1097" s="16" t="s">
        <v>303</v>
      </c>
      <c r="M1097" s="16" t="s">
        <v>276</v>
      </c>
      <c r="N1097" s="16" t="s">
        <v>79</v>
      </c>
      <c r="O1097" s="16" t="s">
        <v>107</v>
      </c>
      <c r="P1097" s="16" t="s">
        <v>110</v>
      </c>
      <c r="Q1097" s="16" t="s">
        <v>110</v>
      </c>
      <c r="R1097" s="16" t="s">
        <v>137</v>
      </c>
      <c r="S1097" s="16" t="s">
        <v>272</v>
      </c>
      <c r="T1097" s="16" t="s">
        <v>757</v>
      </c>
      <c r="U1097" s="16" t="s">
        <v>73</v>
      </c>
      <c r="V1097" s="16" t="n">
        <v>35</v>
      </c>
      <c r="W1097" s="16" t="n">
        <v>0.312</v>
      </c>
      <c r="X1097" s="16"/>
      <c r="Y1097" s="16" t="n">
        <v>1000</v>
      </c>
      <c r="Z1097" s="16"/>
      <c r="AA1097" s="16"/>
      <c r="AB1097" s="16" t="n">
        <v>1000</v>
      </c>
      <c r="AC1097" s="16"/>
      <c r="AD1097" s="16"/>
      <c r="AE1097" s="16"/>
      <c r="AF1097" s="16" t="n">
        <v>1000</v>
      </c>
      <c r="AG1097" s="16"/>
      <c r="AH1097" s="16"/>
      <c r="AI1097" s="16" t="n">
        <v>1000</v>
      </c>
      <c r="AJ1097" s="9" t="n">
        <f aca="false">X1097*$V1097</f>
        <v>0</v>
      </c>
      <c r="AK1097" s="9" t="n">
        <f aca="false">Y1097*$V1097</f>
        <v>35000</v>
      </c>
      <c r="AL1097" s="9" t="n">
        <f aca="false">Z1097*$V1097</f>
        <v>0</v>
      </c>
      <c r="AM1097" s="9" t="n">
        <f aca="false">AA1097*$V1097</f>
        <v>0</v>
      </c>
      <c r="AN1097" s="9" t="n">
        <f aca="false">AB1097*$V1097</f>
        <v>35000</v>
      </c>
      <c r="AO1097" s="9" t="n">
        <f aca="false">AC1097*$V1097</f>
        <v>0</v>
      </c>
      <c r="AP1097" s="9" t="n">
        <f aca="false">AD1097*$V1097</f>
        <v>0</v>
      </c>
      <c r="AQ1097" s="9" t="n">
        <f aca="false">AE1097*$V1097</f>
        <v>0</v>
      </c>
      <c r="AR1097" s="9" t="n">
        <f aca="false">AF1097*$V1097</f>
        <v>35000</v>
      </c>
      <c r="AS1097" s="9" t="n">
        <f aca="false">AG1097*$V1097</f>
        <v>0</v>
      </c>
      <c r="AT1097" s="9" t="n">
        <f aca="false">AH1097*$V1097</f>
        <v>0</v>
      </c>
      <c r="AU1097" s="9" t="n">
        <f aca="false">AI1097*$V1097</f>
        <v>35000</v>
      </c>
      <c r="AV1097" s="9" t="n">
        <f aca="false">SUM(X1097:AI1097)/1000</f>
        <v>4</v>
      </c>
      <c r="AW1097" s="9" t="n">
        <f aca="false">SUM(AJ1097:AU1097)</f>
        <v>140000</v>
      </c>
      <c r="AX1097" s="9" t="n">
        <f aca="false">IF(D1097="INR",AW1097/88.24,AW1097)/1000000</f>
        <v>0.00158658204895739</v>
      </c>
      <c r="AY1097" s="27"/>
    </row>
    <row r="1098" s="2" customFormat="true" ht="14.25" hidden="false" customHeight="false" outlineLevel="0" collapsed="false">
      <c r="A1098" s="12" t="s">
        <v>2099</v>
      </c>
      <c r="B1098" s="16"/>
      <c r="C1098" s="15"/>
      <c r="D1098" s="16" t="s">
        <v>102</v>
      </c>
      <c r="E1098" s="16" t="s">
        <v>51</v>
      </c>
      <c r="F1098" s="16" t="s">
        <v>52</v>
      </c>
      <c r="G1098" s="16" t="s">
        <v>452</v>
      </c>
      <c r="H1098" s="16" t="s">
        <v>453</v>
      </c>
      <c r="I1098" s="16" t="s">
        <v>260</v>
      </c>
      <c r="J1098" s="16" t="s">
        <v>276</v>
      </c>
      <c r="K1098" s="16" t="s">
        <v>453</v>
      </c>
      <c r="L1098" s="16" t="s">
        <v>260</v>
      </c>
      <c r="M1098" s="16" t="s">
        <v>276</v>
      </c>
      <c r="N1098" s="16" t="s">
        <v>67</v>
      </c>
      <c r="O1098" s="16" t="s">
        <v>107</v>
      </c>
      <c r="P1098" s="16" t="s">
        <v>188</v>
      </c>
      <c r="Q1098" s="16" t="s">
        <v>188</v>
      </c>
      <c r="R1098" s="16" t="s">
        <v>550</v>
      </c>
      <c r="S1098" s="16" t="s">
        <v>528</v>
      </c>
      <c r="T1098" s="16" t="s">
        <v>2100</v>
      </c>
      <c r="U1098" s="16" t="s">
        <v>73</v>
      </c>
      <c r="V1098" s="16" t="n">
        <v>0.0094</v>
      </c>
      <c r="W1098" s="16" t="n">
        <v>0.0088</v>
      </c>
      <c r="X1098" s="16" t="n">
        <v>1506700</v>
      </c>
      <c r="Y1098" s="16" t="n">
        <v>1506700</v>
      </c>
      <c r="Z1098" s="16"/>
      <c r="AA1098" s="26" t="n">
        <v>0</v>
      </c>
      <c r="AB1098" s="16" t="n">
        <v>0</v>
      </c>
      <c r="AC1098" s="26" t="n">
        <v>0</v>
      </c>
      <c r="AD1098" s="16" t="n">
        <v>0</v>
      </c>
      <c r="AE1098" s="16" t="n">
        <v>0</v>
      </c>
      <c r="AF1098" s="16" t="n">
        <v>0</v>
      </c>
      <c r="AG1098" s="16" t="n">
        <v>0</v>
      </c>
      <c r="AH1098" s="16" t="n">
        <v>0</v>
      </c>
      <c r="AI1098" s="16" t="n">
        <v>0</v>
      </c>
      <c r="AJ1098" s="9" t="n">
        <f aca="false">X1098*$V1098</f>
        <v>14162.98</v>
      </c>
      <c r="AK1098" s="9" t="n">
        <f aca="false">Y1098*$V1098</f>
        <v>14162.98</v>
      </c>
      <c r="AL1098" s="9" t="n">
        <f aca="false">Z1098*$V1098</f>
        <v>0</v>
      </c>
      <c r="AM1098" s="9" t="n">
        <f aca="false">AA1098*$V1098</f>
        <v>0</v>
      </c>
      <c r="AN1098" s="9" t="n">
        <f aca="false">AB1098*$V1098</f>
        <v>0</v>
      </c>
      <c r="AO1098" s="9" t="n">
        <f aca="false">AC1098*$V1098</f>
        <v>0</v>
      </c>
      <c r="AP1098" s="9" t="n">
        <f aca="false">AD1098*$V1098</f>
        <v>0</v>
      </c>
      <c r="AQ1098" s="9" t="n">
        <f aca="false">AE1098*$V1098</f>
        <v>0</v>
      </c>
      <c r="AR1098" s="9" t="n">
        <f aca="false">AF1098*$V1098</f>
        <v>0</v>
      </c>
      <c r="AS1098" s="9" t="n">
        <f aca="false">AG1098*$V1098</f>
        <v>0</v>
      </c>
      <c r="AT1098" s="9" t="n">
        <f aca="false">AH1098*$V1098</f>
        <v>0</v>
      </c>
      <c r="AU1098" s="9" t="n">
        <f aca="false">AI1098*$V1098</f>
        <v>0</v>
      </c>
      <c r="AV1098" s="9" t="n">
        <f aca="false">SUM(X1098:AI1098)/1000</f>
        <v>3013.4</v>
      </c>
      <c r="AW1098" s="9" t="n">
        <f aca="false">SUM(AJ1098:AU1098)</f>
        <v>28325.96</v>
      </c>
      <c r="AX1098" s="9" t="n">
        <f aca="false">IF(D1098="INR",AW1098/88.24,AW1098)/1000000</f>
        <v>0.02832596</v>
      </c>
    </row>
    <row r="1099" s="2" customFormat="true" ht="14.25" hidden="false" customHeight="false" outlineLevel="0" collapsed="false">
      <c r="A1099" s="12" t="s">
        <v>2101</v>
      </c>
      <c r="B1099" s="16"/>
      <c r="C1099" s="15"/>
      <c r="D1099" s="16" t="s">
        <v>102</v>
      </c>
      <c r="E1099" s="16" t="s">
        <v>51</v>
      </c>
      <c r="F1099" s="16" t="s">
        <v>52</v>
      </c>
      <c r="G1099" s="16" t="s">
        <v>452</v>
      </c>
      <c r="H1099" s="16" t="s">
        <v>453</v>
      </c>
      <c r="I1099" s="16" t="s">
        <v>260</v>
      </c>
      <c r="J1099" s="16" t="s">
        <v>276</v>
      </c>
      <c r="K1099" s="16" t="s">
        <v>453</v>
      </c>
      <c r="L1099" s="16" t="s">
        <v>260</v>
      </c>
      <c r="M1099" s="16" t="s">
        <v>276</v>
      </c>
      <c r="N1099" s="16" t="s">
        <v>67</v>
      </c>
      <c r="O1099" s="16" t="s">
        <v>107</v>
      </c>
      <c r="P1099" s="16" t="s">
        <v>188</v>
      </c>
      <c r="Q1099" s="16" t="s">
        <v>188</v>
      </c>
      <c r="R1099" s="16" t="s">
        <v>550</v>
      </c>
      <c r="S1099" s="16" t="s">
        <v>528</v>
      </c>
      <c r="T1099" s="16" t="s">
        <v>2102</v>
      </c>
      <c r="U1099" s="16" t="s">
        <v>73</v>
      </c>
      <c r="V1099" s="15" t="n">
        <v>0.15</v>
      </c>
      <c r="W1099" s="16" t="n">
        <v>0.14</v>
      </c>
      <c r="X1099" s="16" t="n">
        <v>30000</v>
      </c>
      <c r="Y1099" s="16" t="n">
        <v>30000</v>
      </c>
      <c r="Z1099" s="16" t="n">
        <v>30000</v>
      </c>
      <c r="AA1099" s="16" t="n">
        <v>0</v>
      </c>
      <c r="AB1099" s="16" t="n">
        <v>0</v>
      </c>
      <c r="AC1099" s="16" t="n">
        <v>0</v>
      </c>
      <c r="AD1099" s="16" t="n">
        <v>0</v>
      </c>
      <c r="AE1099" s="16" t="n">
        <v>0</v>
      </c>
      <c r="AF1099" s="16" t="n">
        <v>0</v>
      </c>
      <c r="AG1099" s="16" t="n">
        <v>0</v>
      </c>
      <c r="AH1099" s="16" t="n">
        <v>0</v>
      </c>
      <c r="AI1099" s="16" t="n">
        <v>0</v>
      </c>
      <c r="AJ1099" s="9" t="n">
        <f aca="false">X1099*$V1099</f>
        <v>4500</v>
      </c>
      <c r="AK1099" s="9" t="n">
        <f aca="false">Y1099*$V1099</f>
        <v>4500</v>
      </c>
      <c r="AL1099" s="9" t="n">
        <f aca="false">Z1099*$V1099</f>
        <v>4500</v>
      </c>
      <c r="AM1099" s="9" t="n">
        <f aca="false">AA1099*$V1099</f>
        <v>0</v>
      </c>
      <c r="AN1099" s="9" t="n">
        <f aca="false">AB1099*$V1099</f>
        <v>0</v>
      </c>
      <c r="AO1099" s="9" t="n">
        <f aca="false">AC1099*$V1099</f>
        <v>0</v>
      </c>
      <c r="AP1099" s="9" t="n">
        <f aca="false">AD1099*$V1099</f>
        <v>0</v>
      </c>
      <c r="AQ1099" s="9" t="n">
        <f aca="false">AE1099*$V1099</f>
        <v>0</v>
      </c>
      <c r="AR1099" s="9" t="n">
        <f aca="false">AF1099*$V1099</f>
        <v>0</v>
      </c>
      <c r="AS1099" s="9" t="n">
        <f aca="false">AG1099*$V1099</f>
        <v>0</v>
      </c>
      <c r="AT1099" s="9" t="n">
        <f aca="false">AH1099*$V1099</f>
        <v>0</v>
      </c>
      <c r="AU1099" s="9" t="n">
        <f aca="false">AI1099*$V1099</f>
        <v>0</v>
      </c>
      <c r="AV1099" s="9" t="n">
        <f aca="false">SUM(X1099:AI1099)/1000</f>
        <v>90</v>
      </c>
      <c r="AW1099" s="9" t="n">
        <f aca="false">SUM(AJ1099:AU1099)</f>
        <v>13500</v>
      </c>
      <c r="AX1099" s="9" t="n">
        <f aca="false">IF(D1099="INR",AW1099/88.24,AW1099)/1000000</f>
        <v>0.0135</v>
      </c>
    </row>
    <row r="1100" s="2" customFormat="true" ht="14.25" hidden="false" customHeight="false" outlineLevel="0" collapsed="false">
      <c r="A1100" s="35"/>
      <c r="B1100" s="9" t="n">
        <v>1</v>
      </c>
      <c r="C1100" s="15"/>
      <c r="D1100" s="16" t="s">
        <v>102</v>
      </c>
      <c r="E1100" s="16"/>
      <c r="F1100" s="16" t="s">
        <v>52</v>
      </c>
      <c r="G1100" s="16" t="s">
        <v>258</v>
      </c>
      <c r="H1100" s="9" t="s">
        <v>259</v>
      </c>
      <c r="I1100" s="16"/>
      <c r="J1100" s="16"/>
      <c r="K1100" s="9"/>
      <c r="L1100" s="16"/>
      <c r="M1100" s="16"/>
      <c r="N1100" s="16" t="s">
        <v>67</v>
      </c>
      <c r="O1100" s="16" t="s">
        <v>107</v>
      </c>
      <c r="P1100" s="9"/>
      <c r="Q1100" s="9" t="s">
        <v>2103</v>
      </c>
      <c r="R1100" s="9"/>
      <c r="S1100" s="9"/>
      <c r="T1100" s="9" t="s">
        <v>2104</v>
      </c>
      <c r="U1100" s="16" t="s">
        <v>63</v>
      </c>
      <c r="V1100" s="36" t="n">
        <v>0.009</v>
      </c>
      <c r="W1100" s="9"/>
      <c r="X1100" s="22" t="n">
        <v>4788100</v>
      </c>
      <c r="Y1100" s="9" t="n">
        <v>4788100</v>
      </c>
      <c r="Z1100" s="9" t="n">
        <v>4788100</v>
      </c>
      <c r="AA1100" s="9" t="n">
        <v>4788100</v>
      </c>
      <c r="AB1100" s="9" t="n">
        <v>4788100</v>
      </c>
      <c r="AC1100" s="9" t="n">
        <v>4788100</v>
      </c>
      <c r="AD1100" s="23" t="n">
        <v>4788100</v>
      </c>
      <c r="AE1100" s="9" t="n">
        <v>4788100</v>
      </c>
      <c r="AF1100" s="9" t="n">
        <v>4788100</v>
      </c>
      <c r="AG1100" s="9" t="n">
        <v>4788100</v>
      </c>
      <c r="AH1100" s="9" t="n">
        <v>4788100</v>
      </c>
      <c r="AI1100" s="9" t="n">
        <v>4788100</v>
      </c>
      <c r="AJ1100" s="9" t="n">
        <f aca="false">X1100*$V1100</f>
        <v>43092.9</v>
      </c>
      <c r="AK1100" s="9" t="n">
        <f aca="false">Y1100*$V1100</f>
        <v>43092.9</v>
      </c>
      <c r="AL1100" s="9" t="n">
        <f aca="false">Z1100*$V1100</f>
        <v>43092.9</v>
      </c>
      <c r="AM1100" s="9" t="n">
        <f aca="false">AA1100*$V1100</f>
        <v>43092.9</v>
      </c>
      <c r="AN1100" s="9" t="n">
        <f aca="false">AB1100*$V1100</f>
        <v>43092.9</v>
      </c>
      <c r="AO1100" s="9" t="n">
        <f aca="false">AC1100*$V1100</f>
        <v>43092.9</v>
      </c>
      <c r="AP1100" s="9" t="n">
        <f aca="false">AD1100*$V1100</f>
        <v>43092.9</v>
      </c>
      <c r="AQ1100" s="9" t="n">
        <f aca="false">AE1100*$V1100</f>
        <v>43092.9</v>
      </c>
      <c r="AR1100" s="9" t="n">
        <f aca="false">AF1100*$V1100</f>
        <v>43092.9</v>
      </c>
      <c r="AS1100" s="9" t="n">
        <f aca="false">AG1100*$V1100</f>
        <v>43092.9</v>
      </c>
      <c r="AT1100" s="9" t="n">
        <f aca="false">AH1100*$V1100</f>
        <v>43092.9</v>
      </c>
      <c r="AU1100" s="9" t="n">
        <f aca="false">AI1100*$V1100</f>
        <v>43092.9</v>
      </c>
      <c r="AV1100" s="9" t="n">
        <f aca="false">SUM(X1100:AI1100)/1000</f>
        <v>57457.2</v>
      </c>
      <c r="AW1100" s="9" t="n">
        <f aca="false">SUM(AJ1100:AU1100)</f>
        <v>517114.8</v>
      </c>
      <c r="AX1100" s="9" t="n">
        <f aca="false">IF(D1100="INR",AW1100/88.24,AW1100)/1000000</f>
        <v>0.5171148</v>
      </c>
    </row>
    <row r="1101" s="2" customFormat="true" ht="14.25" hidden="false" customHeight="false" outlineLevel="0" collapsed="false">
      <c r="A1101" s="28"/>
      <c r="B1101" s="16" t="n">
        <v>1</v>
      </c>
      <c r="C1101" s="16"/>
      <c r="D1101" s="16" t="s">
        <v>102</v>
      </c>
      <c r="E1101" s="16" t="s">
        <v>51</v>
      </c>
      <c r="F1101" s="16" t="s">
        <v>52</v>
      </c>
      <c r="G1101" s="16" t="s">
        <v>258</v>
      </c>
      <c r="H1101" s="16" t="s">
        <v>259</v>
      </c>
      <c r="I1101" s="16"/>
      <c r="J1101" s="16"/>
      <c r="K1101" s="16"/>
      <c r="L1101" s="16"/>
      <c r="M1101" s="16"/>
      <c r="N1101" s="16" t="s">
        <v>67</v>
      </c>
      <c r="O1101" s="16"/>
      <c r="P1101" s="16" t="s">
        <v>262</v>
      </c>
      <c r="Q1101" s="16" t="s">
        <v>262</v>
      </c>
      <c r="R1101" s="16" t="s">
        <v>263</v>
      </c>
      <c r="S1101" s="16" t="s">
        <v>264</v>
      </c>
      <c r="T1101" s="26" t="s">
        <v>2105</v>
      </c>
      <c r="U1101" s="16" t="s">
        <v>63</v>
      </c>
      <c r="V1101" s="16" t="n">
        <v>0.01523</v>
      </c>
      <c r="W1101" s="16"/>
      <c r="X1101" s="16" t="n">
        <v>500000</v>
      </c>
      <c r="Y1101" s="16" t="n">
        <v>500000</v>
      </c>
      <c r="Z1101" s="16" t="n">
        <v>500000</v>
      </c>
      <c r="AA1101" s="16" t="n">
        <v>500000</v>
      </c>
      <c r="AB1101" s="16" t="n">
        <v>500000</v>
      </c>
      <c r="AC1101" s="16" t="n">
        <v>500000</v>
      </c>
      <c r="AD1101" s="16" t="n">
        <v>500000</v>
      </c>
      <c r="AE1101" s="16" t="n">
        <v>500000</v>
      </c>
      <c r="AF1101" s="16"/>
      <c r="AG1101" s="16" t="n">
        <v>500000</v>
      </c>
      <c r="AH1101" s="16" t="n">
        <v>500000</v>
      </c>
      <c r="AI1101" s="16"/>
      <c r="AJ1101" s="9" t="n">
        <f aca="false">X1101*$V1101</f>
        <v>7615</v>
      </c>
      <c r="AK1101" s="9" t="n">
        <f aca="false">Y1101*$V1101</f>
        <v>7615</v>
      </c>
      <c r="AL1101" s="9" t="n">
        <f aca="false">Z1101*$V1101</f>
        <v>7615</v>
      </c>
      <c r="AM1101" s="9" t="n">
        <f aca="false">AA1101*$V1101</f>
        <v>7615</v>
      </c>
      <c r="AN1101" s="9" t="n">
        <f aca="false">AB1101*$V1101</f>
        <v>7615</v>
      </c>
      <c r="AO1101" s="9" t="n">
        <f aca="false">AC1101*$V1101</f>
        <v>7615</v>
      </c>
      <c r="AP1101" s="9" t="n">
        <f aca="false">AD1101*$V1101</f>
        <v>7615</v>
      </c>
      <c r="AQ1101" s="9" t="n">
        <f aca="false">AE1101*$V1101</f>
        <v>7615</v>
      </c>
      <c r="AR1101" s="9" t="n">
        <f aca="false">AF1101*$V1101</f>
        <v>0</v>
      </c>
      <c r="AS1101" s="9" t="n">
        <f aca="false">AG1101*$V1101</f>
        <v>7615</v>
      </c>
      <c r="AT1101" s="9" t="n">
        <f aca="false">AH1101*$V1101</f>
        <v>7615</v>
      </c>
      <c r="AU1101" s="9" t="n">
        <f aca="false">AI1101*$V1101</f>
        <v>0</v>
      </c>
      <c r="AV1101" s="9" t="n">
        <f aca="false">SUM(X1101:AI1101)/1000</f>
        <v>5000</v>
      </c>
      <c r="AW1101" s="9" t="n">
        <f aca="false">SUM(AJ1101:AU1101)</f>
        <v>76150</v>
      </c>
      <c r="AX1101" s="9" t="n">
        <f aca="false">IF(D1101="INR",AW1101/88.24,AW1101)/1000000</f>
        <v>0.07615</v>
      </c>
    </row>
    <row r="1102" s="2" customFormat="true" ht="14.25" hidden="false" customHeight="false" outlineLevel="0" collapsed="false">
      <c r="A1102" s="12" t="s">
        <v>2106</v>
      </c>
      <c r="B1102" s="16"/>
      <c r="C1102" s="15" t="n">
        <v>5</v>
      </c>
      <c r="D1102" s="16" t="s">
        <v>50</v>
      </c>
      <c r="E1102" s="16" t="s">
        <v>51</v>
      </c>
      <c r="F1102" s="16" t="s">
        <v>52</v>
      </c>
      <c r="G1102" s="16" t="s">
        <v>1284</v>
      </c>
      <c r="H1102" s="16" t="s">
        <v>1285</v>
      </c>
      <c r="I1102" s="16" t="s">
        <v>260</v>
      </c>
      <c r="J1102" s="16" t="s">
        <v>276</v>
      </c>
      <c r="K1102" s="16"/>
      <c r="L1102" s="16" t="s">
        <v>260</v>
      </c>
      <c r="M1102" s="16" t="s">
        <v>276</v>
      </c>
      <c r="N1102" s="16" t="s">
        <v>290</v>
      </c>
      <c r="O1102" s="16" t="s">
        <v>107</v>
      </c>
      <c r="P1102" s="16" t="s">
        <v>182</v>
      </c>
      <c r="Q1102" s="16" t="s">
        <v>182</v>
      </c>
      <c r="R1102" s="16" t="s">
        <v>875</v>
      </c>
      <c r="S1102" s="16" t="s">
        <v>363</v>
      </c>
      <c r="T1102" s="16" t="s">
        <v>2107</v>
      </c>
      <c r="U1102" s="16" t="s">
        <v>73</v>
      </c>
      <c r="V1102" s="16" t="n">
        <v>16.75</v>
      </c>
      <c r="W1102" s="16" t="n">
        <v>13.96</v>
      </c>
      <c r="X1102" s="22"/>
      <c r="Y1102" s="22"/>
      <c r="Z1102" s="22"/>
      <c r="AA1102" s="22" t="n">
        <v>8000</v>
      </c>
      <c r="AB1102" s="22"/>
      <c r="AC1102" s="22"/>
      <c r="AD1102" s="22"/>
      <c r="AE1102" s="22" t="n">
        <v>8000</v>
      </c>
      <c r="AF1102" s="22"/>
      <c r="AG1102" s="22"/>
      <c r="AH1102" s="22" t="n">
        <v>8000</v>
      </c>
      <c r="AI1102" s="22"/>
      <c r="AJ1102" s="9" t="n">
        <f aca="false">X1102*$V1102</f>
        <v>0</v>
      </c>
      <c r="AK1102" s="9" t="n">
        <f aca="false">Y1102*$V1102</f>
        <v>0</v>
      </c>
      <c r="AL1102" s="9" t="n">
        <f aca="false">Z1102*$V1102</f>
        <v>0</v>
      </c>
      <c r="AM1102" s="9" t="n">
        <f aca="false">AA1102*$V1102</f>
        <v>134000</v>
      </c>
      <c r="AN1102" s="9" t="n">
        <f aca="false">AB1102*$V1102</f>
        <v>0</v>
      </c>
      <c r="AO1102" s="9" t="n">
        <f aca="false">AC1102*$V1102</f>
        <v>0</v>
      </c>
      <c r="AP1102" s="9" t="n">
        <f aca="false">AD1102*$V1102</f>
        <v>0</v>
      </c>
      <c r="AQ1102" s="9" t="n">
        <f aca="false">AE1102*$V1102</f>
        <v>134000</v>
      </c>
      <c r="AR1102" s="9" t="n">
        <f aca="false">AF1102*$V1102</f>
        <v>0</v>
      </c>
      <c r="AS1102" s="9" t="n">
        <f aca="false">AG1102*$V1102</f>
        <v>0</v>
      </c>
      <c r="AT1102" s="9" t="n">
        <f aca="false">AH1102*$V1102</f>
        <v>134000</v>
      </c>
      <c r="AU1102" s="9" t="n">
        <f aca="false">AI1102*$V1102</f>
        <v>0</v>
      </c>
      <c r="AV1102" s="9" t="n">
        <f aca="false">SUM(X1102:AI1102)/1000</f>
        <v>24</v>
      </c>
      <c r="AW1102" s="9" t="n">
        <f aca="false">SUM(AJ1102:AU1102)</f>
        <v>402000</v>
      </c>
      <c r="AX1102" s="9" t="n">
        <f aca="false">IF(D1102="INR",AW1102/88.24,AW1102)/1000000</f>
        <v>0.00455575702629193</v>
      </c>
    </row>
    <row r="1103" s="2" customFormat="true" ht="14.25" hidden="false" customHeight="false" outlineLevel="0" collapsed="false">
      <c r="A1103" s="12" t="s">
        <v>2108</v>
      </c>
      <c r="B1103" s="16"/>
      <c r="C1103" s="15"/>
      <c r="D1103" s="16" t="s">
        <v>102</v>
      </c>
      <c r="E1103" s="16" t="s">
        <v>51</v>
      </c>
      <c r="F1103" s="16" t="s">
        <v>52</v>
      </c>
      <c r="G1103" s="16" t="s">
        <v>258</v>
      </c>
      <c r="H1103" s="16" t="s">
        <v>259</v>
      </c>
      <c r="I1103" s="16" t="s">
        <v>260</v>
      </c>
      <c r="J1103" s="16" t="s">
        <v>1381</v>
      </c>
      <c r="K1103" s="16"/>
      <c r="L1103" s="16" t="s">
        <v>260</v>
      </c>
      <c r="M1103" s="16" t="s">
        <v>1381</v>
      </c>
      <c r="N1103" s="16" t="s">
        <v>67</v>
      </c>
      <c r="O1103" s="16" t="s">
        <v>107</v>
      </c>
      <c r="P1103" s="16" t="s">
        <v>188</v>
      </c>
      <c r="Q1103" s="16" t="s">
        <v>188</v>
      </c>
      <c r="R1103" s="16" t="s">
        <v>550</v>
      </c>
      <c r="S1103" s="16" t="s">
        <v>528</v>
      </c>
      <c r="T1103" s="16" t="s">
        <v>2109</v>
      </c>
      <c r="U1103" s="16" t="s">
        <v>73</v>
      </c>
      <c r="V1103" s="16" t="n">
        <v>0.0094</v>
      </c>
      <c r="W1103" s="16" t="n">
        <v>0.0088</v>
      </c>
      <c r="X1103" s="16" t="n">
        <v>1127300</v>
      </c>
      <c r="Y1103" s="26" t="n">
        <v>1127300</v>
      </c>
      <c r="Z1103" s="16" t="n">
        <v>1127300</v>
      </c>
      <c r="AA1103" s="16"/>
      <c r="AB1103" s="16"/>
      <c r="AC1103" s="16"/>
      <c r="AD1103" s="16"/>
      <c r="AE1103" s="16"/>
      <c r="AF1103" s="26"/>
      <c r="AG1103" s="16"/>
      <c r="AH1103" s="16"/>
      <c r="AI1103" s="16"/>
      <c r="AJ1103" s="9" t="n">
        <f aca="false">X1103*$V1103</f>
        <v>10596.62</v>
      </c>
      <c r="AK1103" s="9" t="n">
        <f aca="false">Y1103*$V1103</f>
        <v>10596.62</v>
      </c>
      <c r="AL1103" s="9" t="n">
        <f aca="false">Z1103*$V1103</f>
        <v>10596.62</v>
      </c>
      <c r="AM1103" s="9" t="n">
        <f aca="false">AA1103*$V1103</f>
        <v>0</v>
      </c>
      <c r="AN1103" s="9" t="n">
        <f aca="false">AB1103*$V1103</f>
        <v>0</v>
      </c>
      <c r="AO1103" s="9" t="n">
        <f aca="false">AC1103*$V1103</f>
        <v>0</v>
      </c>
      <c r="AP1103" s="9" t="n">
        <f aca="false">AD1103*$V1103</f>
        <v>0</v>
      </c>
      <c r="AQ1103" s="9" t="n">
        <f aca="false">AE1103*$V1103</f>
        <v>0</v>
      </c>
      <c r="AR1103" s="9" t="n">
        <f aca="false">AF1103*$V1103</f>
        <v>0</v>
      </c>
      <c r="AS1103" s="9" t="n">
        <f aca="false">AG1103*$V1103</f>
        <v>0</v>
      </c>
      <c r="AT1103" s="9" t="n">
        <f aca="false">AH1103*$V1103</f>
        <v>0</v>
      </c>
      <c r="AU1103" s="9" t="n">
        <f aca="false">AI1103*$V1103</f>
        <v>0</v>
      </c>
      <c r="AV1103" s="9" t="n">
        <f aca="false">SUM(X1103:AI1103)/1000</f>
        <v>3381.9</v>
      </c>
      <c r="AW1103" s="9" t="n">
        <f aca="false">SUM(AJ1103:AU1103)</f>
        <v>31789.86</v>
      </c>
      <c r="AX1103" s="9" t="n">
        <f aca="false">IF(D1103="INR",AW1103/88.24,AW1103)/1000000</f>
        <v>0.03178986</v>
      </c>
    </row>
    <row r="1104" s="2" customFormat="true" ht="16.4" hidden="false" customHeight="false" outlineLevel="0" collapsed="false">
      <c r="A1104" s="35" t="s">
        <v>2110</v>
      </c>
      <c r="B1104" s="9"/>
      <c r="C1104" s="10"/>
      <c r="D1104" s="9" t="s">
        <v>102</v>
      </c>
      <c r="E1104" s="9" t="s">
        <v>51</v>
      </c>
      <c r="F1104" s="9" t="s">
        <v>52</v>
      </c>
      <c r="G1104" s="9" t="s">
        <v>258</v>
      </c>
      <c r="H1104" s="9" t="s">
        <v>259</v>
      </c>
      <c r="I1104" s="9" t="s">
        <v>260</v>
      </c>
      <c r="J1104" s="9" t="s">
        <v>1381</v>
      </c>
      <c r="K1104" s="9"/>
      <c r="L1104" s="9" t="s">
        <v>260</v>
      </c>
      <c r="M1104" s="9" t="s">
        <v>1381</v>
      </c>
      <c r="N1104" s="16" t="s">
        <v>67</v>
      </c>
      <c r="O1104" s="9" t="s">
        <v>107</v>
      </c>
      <c r="P1104" s="9" t="s">
        <v>262</v>
      </c>
      <c r="Q1104" s="9" t="s">
        <v>262</v>
      </c>
      <c r="R1104" s="9" t="s">
        <v>263</v>
      </c>
      <c r="S1104" s="9" t="s">
        <v>264</v>
      </c>
      <c r="T1104" s="9" t="s">
        <v>2111</v>
      </c>
      <c r="U1104" s="9" t="s">
        <v>73</v>
      </c>
      <c r="V1104" s="9" t="n">
        <v>0.0085</v>
      </c>
      <c r="W1104" s="9" t="n">
        <v>0.00756</v>
      </c>
      <c r="X1104" s="9" t="n">
        <v>200000</v>
      </c>
      <c r="Y1104" s="9" t="n">
        <v>200000</v>
      </c>
      <c r="Z1104" s="9" t="n">
        <v>200000</v>
      </c>
      <c r="AA1104" s="9" t="n">
        <v>200000</v>
      </c>
      <c r="AB1104" s="9" t="n">
        <v>200000</v>
      </c>
      <c r="AC1104" s="9" t="n">
        <v>200000</v>
      </c>
      <c r="AD1104" s="9" t="n">
        <v>200000</v>
      </c>
      <c r="AE1104" s="9" t="n">
        <v>200000</v>
      </c>
      <c r="AF1104" s="9" t="n">
        <v>200000</v>
      </c>
      <c r="AG1104" s="9" t="n">
        <v>200000</v>
      </c>
      <c r="AH1104" s="9" t="n">
        <v>200000</v>
      </c>
      <c r="AI1104" s="9" t="n">
        <v>200000</v>
      </c>
      <c r="AJ1104" s="9" t="n">
        <f aca="false">X1104*$V1104</f>
        <v>1700</v>
      </c>
      <c r="AK1104" s="9" t="n">
        <f aca="false">Y1104*$V1104</f>
        <v>1700</v>
      </c>
      <c r="AL1104" s="9" t="n">
        <f aca="false">Z1104*$V1104</f>
        <v>1700</v>
      </c>
      <c r="AM1104" s="9" t="n">
        <f aca="false">AA1104*$V1104</f>
        <v>1700</v>
      </c>
      <c r="AN1104" s="9" t="n">
        <f aca="false">AB1104*$V1104</f>
        <v>1700</v>
      </c>
      <c r="AO1104" s="9" t="n">
        <f aca="false">AC1104*$V1104</f>
        <v>1700</v>
      </c>
      <c r="AP1104" s="9" t="n">
        <f aca="false">AD1104*$V1104</f>
        <v>1700</v>
      </c>
      <c r="AQ1104" s="9" t="n">
        <f aca="false">AE1104*$V1104</f>
        <v>1700</v>
      </c>
      <c r="AR1104" s="9" t="n">
        <f aca="false">AF1104*$V1104</f>
        <v>1700</v>
      </c>
      <c r="AS1104" s="9" t="n">
        <f aca="false">AG1104*$V1104</f>
        <v>1700</v>
      </c>
      <c r="AT1104" s="9" t="n">
        <f aca="false">AH1104*$V1104</f>
        <v>1700</v>
      </c>
      <c r="AU1104" s="9" t="n">
        <f aca="false">AI1104*$V1104</f>
        <v>1700</v>
      </c>
      <c r="AV1104" s="9" t="n">
        <f aca="false">SUM(X1104:AI1104)/1000</f>
        <v>2400</v>
      </c>
      <c r="AW1104" s="9" t="n">
        <f aca="false">SUM(AJ1104:AU1104)</f>
        <v>20400</v>
      </c>
      <c r="AX1104" s="9" t="n">
        <f aca="false">IF(D1104="INR",AW1104/88.24,AW1104)/1000000</f>
        <v>0.0204</v>
      </c>
    </row>
    <row r="1105" s="2" customFormat="true" ht="16.4" hidden="false" customHeight="false" outlineLevel="0" collapsed="false">
      <c r="A1105" s="35" t="s">
        <v>2112</v>
      </c>
      <c r="B1105" s="9"/>
      <c r="C1105" s="10"/>
      <c r="D1105" s="9" t="s">
        <v>102</v>
      </c>
      <c r="E1105" s="9" t="s">
        <v>51</v>
      </c>
      <c r="F1105" s="9" t="s">
        <v>52</v>
      </c>
      <c r="G1105" s="9" t="s">
        <v>258</v>
      </c>
      <c r="H1105" s="9" t="s">
        <v>259</v>
      </c>
      <c r="I1105" s="9" t="s">
        <v>260</v>
      </c>
      <c r="J1105" s="9" t="s">
        <v>1381</v>
      </c>
      <c r="K1105" s="9"/>
      <c r="L1105" s="9"/>
      <c r="M1105" s="9"/>
      <c r="N1105" s="16" t="s">
        <v>67</v>
      </c>
      <c r="O1105" s="9" t="s">
        <v>107</v>
      </c>
      <c r="P1105" s="9" t="str">
        <f aca="false">Q1105</f>
        <v>TAIWAN SEMI</v>
      </c>
      <c r="Q1105" s="9" t="s">
        <v>262</v>
      </c>
      <c r="R1105" s="9" t="s">
        <v>263</v>
      </c>
      <c r="S1105" s="9" t="s">
        <v>264</v>
      </c>
      <c r="T1105" s="9" t="s">
        <v>2113</v>
      </c>
      <c r="U1105" s="9" t="s">
        <v>73</v>
      </c>
      <c r="V1105" s="9" t="n">
        <v>0.0285</v>
      </c>
      <c r="W1105" s="9" t="n">
        <v>0</v>
      </c>
      <c r="X1105" s="9" t="n">
        <v>200000</v>
      </c>
      <c r="Y1105" s="9" t="n">
        <v>200000</v>
      </c>
      <c r="Z1105" s="9" t="n">
        <v>200000</v>
      </c>
      <c r="AA1105" s="9" t="n">
        <v>200000</v>
      </c>
      <c r="AB1105" s="9" t="n">
        <v>200000</v>
      </c>
      <c r="AC1105" s="9" t="n">
        <v>200000</v>
      </c>
      <c r="AD1105" s="9" t="n">
        <v>200000</v>
      </c>
      <c r="AE1105" s="9"/>
      <c r="AF1105" s="9" t="n">
        <v>200000</v>
      </c>
      <c r="AG1105" s="9" t="n">
        <v>200000</v>
      </c>
      <c r="AH1105" s="9" t="n">
        <v>200000</v>
      </c>
      <c r="AI1105" s="9" t="n">
        <v>200000</v>
      </c>
      <c r="AJ1105" s="9" t="n">
        <f aca="false">X1105*$V1105</f>
        <v>5700</v>
      </c>
      <c r="AK1105" s="9" t="n">
        <f aca="false">Y1105*$V1105</f>
        <v>5700</v>
      </c>
      <c r="AL1105" s="9" t="n">
        <f aca="false">Z1105*$V1105</f>
        <v>5700</v>
      </c>
      <c r="AM1105" s="9" t="n">
        <f aca="false">AA1105*$V1105</f>
        <v>5700</v>
      </c>
      <c r="AN1105" s="9" t="n">
        <f aca="false">AB1105*$V1105</f>
        <v>5700</v>
      </c>
      <c r="AO1105" s="9" t="n">
        <f aca="false">AC1105*$V1105</f>
        <v>5700</v>
      </c>
      <c r="AP1105" s="9" t="n">
        <f aca="false">AD1105*$V1105</f>
        <v>5700</v>
      </c>
      <c r="AQ1105" s="9" t="n">
        <f aca="false">AE1105*$V1105</f>
        <v>0</v>
      </c>
      <c r="AR1105" s="9" t="n">
        <f aca="false">AF1105*$V1105</f>
        <v>5700</v>
      </c>
      <c r="AS1105" s="9" t="n">
        <f aca="false">AG1105*$V1105</f>
        <v>5700</v>
      </c>
      <c r="AT1105" s="9" t="n">
        <f aca="false">AH1105*$V1105</f>
        <v>5700</v>
      </c>
      <c r="AU1105" s="9" t="n">
        <f aca="false">AI1105*$V1105</f>
        <v>5700</v>
      </c>
      <c r="AV1105" s="9" t="n">
        <f aca="false">SUM(X1105:AI1105)/1000</f>
        <v>2200</v>
      </c>
      <c r="AW1105" s="9" t="n">
        <f aca="false">SUM(AJ1105:AU1105)</f>
        <v>62700</v>
      </c>
      <c r="AX1105" s="9" t="n">
        <f aca="false">IF(D1105="INR",AW1105/88.24,AW1105)/1000000</f>
        <v>0.0627</v>
      </c>
    </row>
    <row r="1106" s="2" customFormat="true" ht="14.25" hidden="false" customHeight="false" outlineLevel="0" collapsed="false">
      <c r="A1106" s="12" t="s">
        <v>2114</v>
      </c>
      <c r="B1106" s="16"/>
      <c r="C1106" s="15"/>
      <c r="D1106" s="16" t="s">
        <v>102</v>
      </c>
      <c r="E1106" s="16" t="s">
        <v>51</v>
      </c>
      <c r="F1106" s="16" t="s">
        <v>52</v>
      </c>
      <c r="G1106" s="16" t="s">
        <v>258</v>
      </c>
      <c r="H1106" s="16" t="s">
        <v>259</v>
      </c>
      <c r="I1106" s="16" t="s">
        <v>260</v>
      </c>
      <c r="J1106" s="16" t="s">
        <v>1381</v>
      </c>
      <c r="K1106" s="16"/>
      <c r="L1106" s="16" t="s">
        <v>260</v>
      </c>
      <c r="M1106" s="16" t="s">
        <v>1381</v>
      </c>
      <c r="N1106" s="16" t="s">
        <v>67</v>
      </c>
      <c r="O1106" s="16" t="s">
        <v>107</v>
      </c>
      <c r="P1106" s="16" t="s">
        <v>188</v>
      </c>
      <c r="Q1106" s="16" t="s">
        <v>188</v>
      </c>
      <c r="R1106" s="16" t="s">
        <v>550</v>
      </c>
      <c r="S1106" s="16" t="s">
        <v>528</v>
      </c>
      <c r="T1106" s="16" t="s">
        <v>2115</v>
      </c>
      <c r="U1106" s="16" t="s">
        <v>73</v>
      </c>
      <c r="V1106" s="16" t="n">
        <v>0.0058</v>
      </c>
      <c r="W1106" s="16" t="n">
        <v>0.0052</v>
      </c>
      <c r="X1106" s="16" t="n">
        <v>625000</v>
      </c>
      <c r="Y1106" s="16" t="n">
        <v>625000</v>
      </c>
      <c r="Z1106" s="16" t="n">
        <v>625000</v>
      </c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9" t="n">
        <f aca="false">X1106*$V1106</f>
        <v>3625</v>
      </c>
      <c r="AK1106" s="9" t="n">
        <f aca="false">Y1106*$V1106</f>
        <v>3625</v>
      </c>
      <c r="AL1106" s="9" t="n">
        <f aca="false">Z1106*$V1106</f>
        <v>3625</v>
      </c>
      <c r="AM1106" s="9" t="n">
        <f aca="false">AA1106*$V1106</f>
        <v>0</v>
      </c>
      <c r="AN1106" s="9" t="n">
        <f aca="false">AB1106*$V1106</f>
        <v>0</v>
      </c>
      <c r="AO1106" s="9" t="n">
        <f aca="false">AC1106*$V1106</f>
        <v>0</v>
      </c>
      <c r="AP1106" s="9" t="n">
        <f aca="false">AD1106*$V1106</f>
        <v>0</v>
      </c>
      <c r="AQ1106" s="9" t="n">
        <f aca="false">AE1106*$V1106</f>
        <v>0</v>
      </c>
      <c r="AR1106" s="9" t="n">
        <f aca="false">AF1106*$V1106</f>
        <v>0</v>
      </c>
      <c r="AS1106" s="9" t="n">
        <f aca="false">AG1106*$V1106</f>
        <v>0</v>
      </c>
      <c r="AT1106" s="9" t="n">
        <f aca="false">AH1106*$V1106</f>
        <v>0</v>
      </c>
      <c r="AU1106" s="9" t="n">
        <f aca="false">AI1106*$V1106</f>
        <v>0</v>
      </c>
      <c r="AV1106" s="9" t="n">
        <f aca="false">SUM(X1106:AI1106)/1000</f>
        <v>1875</v>
      </c>
      <c r="AW1106" s="9" t="n">
        <f aca="false">SUM(AJ1106:AU1106)</f>
        <v>10875</v>
      </c>
      <c r="AX1106" s="9" t="n">
        <f aca="false">IF(D1106="INR",AW1106/88.24,AW1106)/1000000</f>
        <v>0.010875</v>
      </c>
    </row>
    <row r="1107" s="2" customFormat="true" ht="14.25" hidden="false" customHeight="false" outlineLevel="0" collapsed="false">
      <c r="A1107" s="12" t="s">
        <v>2116</v>
      </c>
      <c r="B1107" s="16"/>
      <c r="C1107" s="15"/>
      <c r="D1107" s="16" t="s">
        <v>102</v>
      </c>
      <c r="E1107" s="16" t="s">
        <v>51</v>
      </c>
      <c r="F1107" s="16" t="s">
        <v>52</v>
      </c>
      <c r="G1107" s="16" t="s">
        <v>258</v>
      </c>
      <c r="H1107" s="16" t="s">
        <v>259</v>
      </c>
      <c r="I1107" s="16" t="s">
        <v>260</v>
      </c>
      <c r="J1107" s="16" t="s">
        <v>1381</v>
      </c>
      <c r="K1107" s="16"/>
      <c r="L1107" s="16" t="s">
        <v>260</v>
      </c>
      <c r="M1107" s="16" t="s">
        <v>1381</v>
      </c>
      <c r="N1107" s="16" t="s">
        <v>67</v>
      </c>
      <c r="O1107" s="16" t="s">
        <v>107</v>
      </c>
      <c r="P1107" s="16" t="s">
        <v>188</v>
      </c>
      <c r="Q1107" s="16" t="s">
        <v>188</v>
      </c>
      <c r="R1107" s="16" t="s">
        <v>550</v>
      </c>
      <c r="S1107" s="16" t="s">
        <v>528</v>
      </c>
      <c r="T1107" s="16" t="s">
        <v>2117</v>
      </c>
      <c r="U1107" s="16" t="s">
        <v>73</v>
      </c>
      <c r="V1107" s="16" t="n">
        <v>0.0044</v>
      </c>
      <c r="W1107" s="16" t="n">
        <v>0</v>
      </c>
      <c r="X1107" s="22" t="n">
        <v>706200</v>
      </c>
      <c r="Y1107" s="22"/>
      <c r="Z1107" s="22" t="n">
        <v>706200</v>
      </c>
      <c r="AA1107" s="22"/>
      <c r="AB1107" s="22"/>
      <c r="AC1107" s="22"/>
      <c r="AD1107" s="22"/>
      <c r="AE1107" s="22"/>
      <c r="AF1107" s="22"/>
      <c r="AG1107" s="22"/>
      <c r="AH1107" s="22"/>
      <c r="AI1107" s="22"/>
      <c r="AJ1107" s="9" t="n">
        <f aca="false">X1107*$V1107</f>
        <v>3107.28</v>
      </c>
      <c r="AK1107" s="9" t="n">
        <f aca="false">Y1107*$V1107</f>
        <v>0</v>
      </c>
      <c r="AL1107" s="9" t="n">
        <f aca="false">Z1107*$V1107</f>
        <v>3107.28</v>
      </c>
      <c r="AM1107" s="9" t="n">
        <f aca="false">AA1107*$V1107</f>
        <v>0</v>
      </c>
      <c r="AN1107" s="9" t="n">
        <f aca="false">AB1107*$V1107</f>
        <v>0</v>
      </c>
      <c r="AO1107" s="9" t="n">
        <f aca="false">AC1107*$V1107</f>
        <v>0</v>
      </c>
      <c r="AP1107" s="9" t="n">
        <f aca="false">AD1107*$V1107</f>
        <v>0</v>
      </c>
      <c r="AQ1107" s="9" t="n">
        <f aca="false">AE1107*$V1107</f>
        <v>0</v>
      </c>
      <c r="AR1107" s="9" t="n">
        <f aca="false">AF1107*$V1107</f>
        <v>0</v>
      </c>
      <c r="AS1107" s="9" t="n">
        <f aca="false">AG1107*$V1107</f>
        <v>0</v>
      </c>
      <c r="AT1107" s="9" t="n">
        <f aca="false">AH1107*$V1107</f>
        <v>0</v>
      </c>
      <c r="AU1107" s="9" t="n">
        <f aca="false">AI1107*$V1107</f>
        <v>0</v>
      </c>
      <c r="AV1107" s="9" t="n">
        <f aca="false">SUM(X1107:AI1107)/1000</f>
        <v>1412.4</v>
      </c>
      <c r="AW1107" s="9" t="n">
        <f aca="false">SUM(AJ1107:AU1107)</f>
        <v>6214.56</v>
      </c>
      <c r="AX1107" s="9" t="n">
        <f aca="false">IF(D1107="INR",AW1107/88.24,AW1107)/1000000</f>
        <v>0.00621456</v>
      </c>
    </row>
    <row r="1108" s="2" customFormat="true" ht="14.25" hidden="false" customHeight="false" outlineLevel="0" collapsed="false">
      <c r="A1108" s="12" t="s">
        <v>2118</v>
      </c>
      <c r="B1108" s="16"/>
      <c r="C1108" s="15"/>
      <c r="D1108" s="16" t="s">
        <v>102</v>
      </c>
      <c r="E1108" s="16" t="s">
        <v>51</v>
      </c>
      <c r="F1108" s="16" t="s">
        <v>52</v>
      </c>
      <c r="G1108" s="16" t="s">
        <v>258</v>
      </c>
      <c r="H1108" s="16" t="s">
        <v>259</v>
      </c>
      <c r="I1108" s="16" t="s">
        <v>260</v>
      </c>
      <c r="J1108" s="16" t="s">
        <v>1381</v>
      </c>
      <c r="K1108" s="16"/>
      <c r="L1108" s="16" t="s">
        <v>260</v>
      </c>
      <c r="M1108" s="16" t="s">
        <v>1381</v>
      </c>
      <c r="N1108" s="16" t="s">
        <v>67</v>
      </c>
      <c r="O1108" s="16" t="s">
        <v>107</v>
      </c>
      <c r="P1108" s="16" t="s">
        <v>188</v>
      </c>
      <c r="Q1108" s="16" t="s">
        <v>188</v>
      </c>
      <c r="R1108" s="16" t="s">
        <v>550</v>
      </c>
      <c r="S1108" s="16" t="s">
        <v>528</v>
      </c>
      <c r="T1108" s="16" t="s">
        <v>2119</v>
      </c>
      <c r="U1108" s="16" t="s">
        <v>73</v>
      </c>
      <c r="V1108" s="16" t="n">
        <v>0.0044</v>
      </c>
      <c r="W1108" s="16" t="n">
        <v>0.0041</v>
      </c>
      <c r="X1108" s="22" t="n">
        <v>356200</v>
      </c>
      <c r="Y1108" s="22" t="n">
        <v>356200</v>
      </c>
      <c r="Z1108" s="22" t="n">
        <v>356200</v>
      </c>
      <c r="AA1108" s="22"/>
      <c r="AB1108" s="22"/>
      <c r="AC1108" s="22"/>
      <c r="AD1108" s="22"/>
      <c r="AE1108" s="22"/>
      <c r="AF1108" s="22"/>
      <c r="AG1108" s="22"/>
      <c r="AH1108" s="22"/>
      <c r="AI1108" s="22"/>
      <c r="AJ1108" s="9" t="n">
        <f aca="false">X1108*$V1108</f>
        <v>1567.28</v>
      </c>
      <c r="AK1108" s="9" t="n">
        <f aca="false">Y1108*$V1108</f>
        <v>1567.28</v>
      </c>
      <c r="AL1108" s="9" t="n">
        <f aca="false">Z1108*$V1108</f>
        <v>1567.28</v>
      </c>
      <c r="AM1108" s="9" t="n">
        <f aca="false">AA1108*$V1108</f>
        <v>0</v>
      </c>
      <c r="AN1108" s="9" t="n">
        <f aca="false">AB1108*$V1108</f>
        <v>0</v>
      </c>
      <c r="AO1108" s="9" t="n">
        <f aca="false">AC1108*$V1108</f>
        <v>0</v>
      </c>
      <c r="AP1108" s="9" t="n">
        <f aca="false">AD1108*$V1108</f>
        <v>0</v>
      </c>
      <c r="AQ1108" s="9" t="n">
        <f aca="false">AE1108*$V1108</f>
        <v>0</v>
      </c>
      <c r="AR1108" s="9" t="n">
        <f aca="false">AF1108*$V1108</f>
        <v>0</v>
      </c>
      <c r="AS1108" s="9" t="n">
        <f aca="false">AG1108*$V1108</f>
        <v>0</v>
      </c>
      <c r="AT1108" s="9" t="n">
        <f aca="false">AH1108*$V1108</f>
        <v>0</v>
      </c>
      <c r="AU1108" s="9" t="n">
        <f aca="false">AI1108*$V1108</f>
        <v>0</v>
      </c>
      <c r="AV1108" s="9" t="n">
        <f aca="false">SUM(X1108:AI1108)/1000</f>
        <v>1068.6</v>
      </c>
      <c r="AW1108" s="9" t="n">
        <f aca="false">SUM(AJ1108:AU1108)</f>
        <v>4701.84</v>
      </c>
      <c r="AX1108" s="9" t="n">
        <f aca="false">IF(D1108="INR",AW1108/88.24,AW1108)/1000000</f>
        <v>0.00470184</v>
      </c>
    </row>
    <row r="1109" s="2" customFormat="true" ht="14.25" hidden="false" customHeight="false" outlineLevel="0" collapsed="false">
      <c r="A1109" s="12" t="s">
        <v>2120</v>
      </c>
      <c r="B1109" s="16"/>
      <c r="C1109" s="15"/>
      <c r="D1109" s="16" t="s">
        <v>102</v>
      </c>
      <c r="E1109" s="16" t="s">
        <v>51</v>
      </c>
      <c r="F1109" s="16" t="s">
        <v>52</v>
      </c>
      <c r="G1109" s="16" t="s">
        <v>258</v>
      </c>
      <c r="H1109" s="16" t="s">
        <v>259</v>
      </c>
      <c r="I1109" s="16" t="s">
        <v>260</v>
      </c>
      <c r="J1109" s="16" t="s">
        <v>1381</v>
      </c>
      <c r="K1109" s="16"/>
      <c r="L1109" s="16" t="s">
        <v>260</v>
      </c>
      <c r="M1109" s="16" t="s">
        <v>1381</v>
      </c>
      <c r="N1109" s="16" t="s">
        <v>67</v>
      </c>
      <c r="O1109" s="16" t="s">
        <v>107</v>
      </c>
      <c r="P1109" s="16" t="s">
        <v>188</v>
      </c>
      <c r="Q1109" s="16" t="s">
        <v>188</v>
      </c>
      <c r="R1109" s="16" t="s">
        <v>550</v>
      </c>
      <c r="S1109" s="16" t="s">
        <v>528</v>
      </c>
      <c r="T1109" s="16" t="s">
        <v>2121</v>
      </c>
      <c r="U1109" s="16" t="s">
        <v>73</v>
      </c>
      <c r="V1109" s="16" t="n">
        <v>0.0044</v>
      </c>
      <c r="W1109" s="16" t="n">
        <v>0.0041</v>
      </c>
      <c r="X1109" s="22" t="n">
        <v>353100</v>
      </c>
      <c r="Y1109" s="22" t="n">
        <v>353100</v>
      </c>
      <c r="Z1109" s="22" t="n">
        <v>353100</v>
      </c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9" t="n">
        <f aca="false">X1109*$V1109</f>
        <v>1553.64</v>
      </c>
      <c r="AK1109" s="9" t="n">
        <f aca="false">Y1109*$V1109</f>
        <v>1553.64</v>
      </c>
      <c r="AL1109" s="9" t="n">
        <f aca="false">Z1109*$V1109</f>
        <v>1553.64</v>
      </c>
      <c r="AM1109" s="9" t="n">
        <f aca="false">AA1109*$V1109</f>
        <v>0</v>
      </c>
      <c r="AN1109" s="9" t="n">
        <f aca="false">AB1109*$V1109</f>
        <v>0</v>
      </c>
      <c r="AO1109" s="9" t="n">
        <f aca="false">AC1109*$V1109</f>
        <v>0</v>
      </c>
      <c r="AP1109" s="9" t="n">
        <f aca="false">AD1109*$V1109</f>
        <v>0</v>
      </c>
      <c r="AQ1109" s="9" t="n">
        <f aca="false">AE1109*$V1109</f>
        <v>0</v>
      </c>
      <c r="AR1109" s="9" t="n">
        <f aca="false">AF1109*$V1109</f>
        <v>0</v>
      </c>
      <c r="AS1109" s="9" t="n">
        <f aca="false">AG1109*$V1109</f>
        <v>0</v>
      </c>
      <c r="AT1109" s="9" t="n">
        <f aca="false">AH1109*$V1109</f>
        <v>0</v>
      </c>
      <c r="AU1109" s="9" t="n">
        <f aca="false">AI1109*$V1109</f>
        <v>0</v>
      </c>
      <c r="AV1109" s="9" t="n">
        <f aca="false">SUM(X1109:AI1109)/1000</f>
        <v>1059.3</v>
      </c>
      <c r="AW1109" s="9" t="n">
        <f aca="false">SUM(AJ1109:AU1109)</f>
        <v>4660.92</v>
      </c>
      <c r="AX1109" s="9" t="n">
        <f aca="false">IF(D1109="INR",AW1109/88.24,AW1109)/1000000</f>
        <v>0.00466092</v>
      </c>
    </row>
    <row r="1110" s="2" customFormat="true" ht="14.25" hidden="false" customHeight="false" outlineLevel="0" collapsed="false">
      <c r="A1110" s="12" t="s">
        <v>2122</v>
      </c>
      <c r="B1110" s="16"/>
      <c r="C1110" s="15"/>
      <c r="D1110" s="16" t="s">
        <v>102</v>
      </c>
      <c r="E1110" s="16" t="s">
        <v>51</v>
      </c>
      <c r="F1110" s="16" t="s">
        <v>52</v>
      </c>
      <c r="G1110" s="16" t="s">
        <v>258</v>
      </c>
      <c r="H1110" s="16" t="s">
        <v>259</v>
      </c>
      <c r="I1110" s="16" t="s">
        <v>260</v>
      </c>
      <c r="J1110" s="16" t="s">
        <v>1381</v>
      </c>
      <c r="K1110" s="16"/>
      <c r="L1110" s="16" t="s">
        <v>260</v>
      </c>
      <c r="M1110" s="16" t="s">
        <v>1381</v>
      </c>
      <c r="N1110" s="16" t="s">
        <v>67</v>
      </c>
      <c r="O1110" s="16" t="s">
        <v>107</v>
      </c>
      <c r="P1110" s="16" t="s">
        <v>188</v>
      </c>
      <c r="Q1110" s="16" t="s">
        <v>188</v>
      </c>
      <c r="R1110" s="16" t="s">
        <v>550</v>
      </c>
      <c r="S1110" s="16" t="s">
        <v>528</v>
      </c>
      <c r="T1110" s="16" t="s">
        <v>2123</v>
      </c>
      <c r="U1110" s="16" t="s">
        <v>73</v>
      </c>
      <c r="V1110" s="16" t="n">
        <v>0.0044</v>
      </c>
      <c r="W1110" s="16" t="n">
        <v>0</v>
      </c>
      <c r="X1110" s="22" t="n">
        <v>353100</v>
      </c>
      <c r="Y1110" s="22" t="n">
        <v>353100</v>
      </c>
      <c r="Z1110" s="22" t="n">
        <v>353100</v>
      </c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9" t="n">
        <f aca="false">X1110*$V1110</f>
        <v>1553.64</v>
      </c>
      <c r="AK1110" s="9" t="n">
        <f aca="false">Y1110*$V1110</f>
        <v>1553.64</v>
      </c>
      <c r="AL1110" s="9" t="n">
        <f aca="false">Z1110*$V1110</f>
        <v>1553.64</v>
      </c>
      <c r="AM1110" s="9" t="n">
        <f aca="false">AA1110*$V1110</f>
        <v>0</v>
      </c>
      <c r="AN1110" s="9" t="n">
        <f aca="false">AB1110*$V1110</f>
        <v>0</v>
      </c>
      <c r="AO1110" s="9" t="n">
        <f aca="false">AC1110*$V1110</f>
        <v>0</v>
      </c>
      <c r="AP1110" s="9" t="n">
        <f aca="false">AD1110*$V1110</f>
        <v>0</v>
      </c>
      <c r="AQ1110" s="9" t="n">
        <f aca="false">AE1110*$V1110</f>
        <v>0</v>
      </c>
      <c r="AR1110" s="9" t="n">
        <f aca="false">AF1110*$V1110</f>
        <v>0</v>
      </c>
      <c r="AS1110" s="9" t="n">
        <f aca="false">AG1110*$V1110</f>
        <v>0</v>
      </c>
      <c r="AT1110" s="9" t="n">
        <f aca="false">AH1110*$V1110</f>
        <v>0</v>
      </c>
      <c r="AU1110" s="9" t="n">
        <f aca="false">AI1110*$V1110</f>
        <v>0</v>
      </c>
      <c r="AV1110" s="9" t="n">
        <f aca="false">SUM(X1110:AI1110)/1000</f>
        <v>1059.3</v>
      </c>
      <c r="AW1110" s="9" t="n">
        <f aca="false">SUM(AJ1110:AU1110)</f>
        <v>4660.92</v>
      </c>
      <c r="AX1110" s="9" t="n">
        <f aca="false">IF(D1110="INR",AW1110/88.24,AW1110)/1000000</f>
        <v>0.00466092</v>
      </c>
    </row>
    <row r="1111" s="2" customFormat="true" ht="14.25" hidden="false" customHeight="false" outlineLevel="0" collapsed="false">
      <c r="A1111" s="12"/>
      <c r="B1111" s="16" t="n">
        <v>1</v>
      </c>
      <c r="C1111" s="15"/>
      <c r="D1111" s="16" t="s">
        <v>50</v>
      </c>
      <c r="E1111" s="16"/>
      <c r="F1111" s="16" t="s">
        <v>52</v>
      </c>
      <c r="G1111" s="16"/>
      <c r="H1111" s="16" t="s">
        <v>2124</v>
      </c>
      <c r="I1111" s="16"/>
      <c r="J1111" s="16"/>
      <c r="K1111" s="16"/>
      <c r="L1111" s="16"/>
      <c r="M1111" s="16"/>
      <c r="N1111" s="16" t="s">
        <v>57</v>
      </c>
      <c r="O1111" s="16"/>
      <c r="P1111" s="16"/>
      <c r="Q1111" s="16" t="s">
        <v>2125</v>
      </c>
      <c r="R1111" s="16"/>
      <c r="S1111" s="16"/>
      <c r="T1111" s="16" t="s">
        <v>2126</v>
      </c>
      <c r="U1111" s="16"/>
      <c r="V1111" s="16" t="n">
        <v>3.2</v>
      </c>
      <c r="W1111" s="16"/>
      <c r="X1111" s="16" t="n">
        <v>20000</v>
      </c>
      <c r="Y1111" s="16"/>
      <c r="Z1111" s="16"/>
      <c r="AA1111" s="16"/>
      <c r="AB1111" s="16" t="n">
        <v>20000</v>
      </c>
      <c r="AC1111" s="16"/>
      <c r="AD1111" s="16"/>
      <c r="AE1111" s="16" t="n">
        <v>20000</v>
      </c>
      <c r="AF1111" s="16"/>
      <c r="AG1111" s="16"/>
      <c r="AH1111" s="16"/>
      <c r="AI1111" s="16"/>
      <c r="AJ1111" s="9" t="n">
        <f aca="false">X1111*$V1111</f>
        <v>64000</v>
      </c>
      <c r="AK1111" s="9" t="n">
        <f aca="false">Y1111*$V1111</f>
        <v>0</v>
      </c>
      <c r="AL1111" s="9" t="n">
        <f aca="false">Z1111*$V1111</f>
        <v>0</v>
      </c>
      <c r="AM1111" s="9" t="n">
        <f aca="false">AA1111*$V1111</f>
        <v>0</v>
      </c>
      <c r="AN1111" s="9" t="n">
        <f aca="false">AB1111*$V1111</f>
        <v>64000</v>
      </c>
      <c r="AO1111" s="9" t="n">
        <f aca="false">AC1111*$V1111</f>
        <v>0</v>
      </c>
      <c r="AP1111" s="9" t="n">
        <f aca="false">AD1111*$V1111</f>
        <v>0</v>
      </c>
      <c r="AQ1111" s="9" t="n">
        <f aca="false">AE1111*$V1111</f>
        <v>64000</v>
      </c>
      <c r="AR1111" s="9" t="n">
        <f aca="false">AF1111*$V1111</f>
        <v>0</v>
      </c>
      <c r="AS1111" s="9" t="n">
        <f aca="false">AG1111*$V1111</f>
        <v>0</v>
      </c>
      <c r="AT1111" s="9" t="n">
        <f aca="false">AH1111*$V1111</f>
        <v>0</v>
      </c>
      <c r="AU1111" s="9" t="n">
        <f aca="false">AI1111*$V1111</f>
        <v>0</v>
      </c>
      <c r="AV1111" s="9" t="n">
        <f aca="false">SUM(X1111:AI1111)/1000</f>
        <v>60</v>
      </c>
      <c r="AW1111" s="9" t="n">
        <f aca="false">SUM(AJ1111:AU1111)</f>
        <v>192000</v>
      </c>
      <c r="AX1111" s="9" t="n">
        <f aca="false">IF(D1111="INR",AW1111/88.24,AW1111)/1000000</f>
        <v>0.00217588395285585</v>
      </c>
    </row>
    <row r="1112" s="2" customFormat="true" ht="14.25" hidden="false" customHeight="false" outlineLevel="0" collapsed="false">
      <c r="A1112" s="12" t="s">
        <v>2127</v>
      </c>
      <c r="B1112" s="16"/>
      <c r="C1112" s="15"/>
      <c r="D1112" s="16" t="s">
        <v>102</v>
      </c>
      <c r="E1112" s="16" t="s">
        <v>51</v>
      </c>
      <c r="F1112" s="16" t="s">
        <v>52</v>
      </c>
      <c r="G1112" s="16" t="s">
        <v>258</v>
      </c>
      <c r="H1112" s="16" t="s">
        <v>259</v>
      </c>
      <c r="I1112" s="16" t="s">
        <v>260</v>
      </c>
      <c r="J1112" s="16" t="s">
        <v>1381</v>
      </c>
      <c r="K1112" s="16"/>
      <c r="L1112" s="16" t="s">
        <v>260</v>
      </c>
      <c r="M1112" s="16" t="s">
        <v>1381</v>
      </c>
      <c r="N1112" s="16" t="s">
        <v>67</v>
      </c>
      <c r="O1112" s="16" t="s">
        <v>107</v>
      </c>
      <c r="P1112" s="16" t="s">
        <v>188</v>
      </c>
      <c r="Q1112" s="16" t="s">
        <v>188</v>
      </c>
      <c r="R1112" s="16" t="s">
        <v>550</v>
      </c>
      <c r="S1112" s="16" t="s">
        <v>528</v>
      </c>
      <c r="T1112" s="16" t="s">
        <v>2128</v>
      </c>
      <c r="U1112" s="16" t="s">
        <v>73</v>
      </c>
      <c r="V1112" s="16" t="n">
        <v>0.0158</v>
      </c>
      <c r="W1112" s="16" t="n">
        <v>0.0147</v>
      </c>
      <c r="X1112" s="16" t="n">
        <v>353300</v>
      </c>
      <c r="Y1112" s="16"/>
      <c r="Z1112" s="16" t="n">
        <v>353300</v>
      </c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9" t="n">
        <f aca="false">X1112*$V1112</f>
        <v>5582.14</v>
      </c>
      <c r="AK1112" s="9" t="n">
        <f aca="false">Y1112*$V1112</f>
        <v>0</v>
      </c>
      <c r="AL1112" s="9" t="n">
        <f aca="false">Z1112*$V1112</f>
        <v>5582.14</v>
      </c>
      <c r="AM1112" s="9" t="n">
        <f aca="false">AA1112*$V1112</f>
        <v>0</v>
      </c>
      <c r="AN1112" s="9" t="n">
        <f aca="false">AB1112*$V1112</f>
        <v>0</v>
      </c>
      <c r="AO1112" s="9" t="n">
        <f aca="false">AC1112*$V1112</f>
        <v>0</v>
      </c>
      <c r="AP1112" s="9" t="n">
        <f aca="false">AD1112*$V1112</f>
        <v>0</v>
      </c>
      <c r="AQ1112" s="9" t="n">
        <f aca="false">AE1112*$V1112</f>
        <v>0</v>
      </c>
      <c r="AR1112" s="9" t="n">
        <f aca="false">AF1112*$V1112</f>
        <v>0</v>
      </c>
      <c r="AS1112" s="9" t="n">
        <f aca="false">AG1112*$V1112</f>
        <v>0</v>
      </c>
      <c r="AT1112" s="9" t="n">
        <f aca="false">AH1112*$V1112</f>
        <v>0</v>
      </c>
      <c r="AU1112" s="9" t="n">
        <f aca="false">AI1112*$V1112</f>
        <v>0</v>
      </c>
      <c r="AV1112" s="9" t="n">
        <f aca="false">SUM(X1112:AI1112)/1000</f>
        <v>706.6</v>
      </c>
      <c r="AW1112" s="9" t="n">
        <f aca="false">SUM(AJ1112:AU1112)</f>
        <v>11164.28</v>
      </c>
      <c r="AX1112" s="9" t="n">
        <f aca="false">IF(D1112="INR",AW1112/88.24,AW1112)/1000000</f>
        <v>0.01116428</v>
      </c>
    </row>
    <row r="1113" s="2" customFormat="true" ht="14.25" hidden="false" customHeight="false" outlineLevel="0" collapsed="false">
      <c r="A1113" s="35"/>
      <c r="B1113" s="16" t="n">
        <v>1</v>
      </c>
      <c r="C1113" s="9"/>
      <c r="D1113" s="16" t="s">
        <v>50</v>
      </c>
      <c r="E1113" s="9"/>
      <c r="F1113" s="16" t="s">
        <v>52</v>
      </c>
      <c r="G1113" s="16"/>
      <c r="H1113" s="16" t="s">
        <v>2124</v>
      </c>
      <c r="I1113" s="9"/>
      <c r="J1113" s="9"/>
      <c r="K1113" s="9"/>
      <c r="L1113" s="9"/>
      <c r="M1113" s="9"/>
      <c r="N1113" s="16" t="s">
        <v>57</v>
      </c>
      <c r="O1113" s="9"/>
      <c r="P1113" s="9"/>
      <c r="Q1113" s="16" t="s">
        <v>2125</v>
      </c>
      <c r="R1113" s="9"/>
      <c r="S1113" s="9"/>
      <c r="T1113" s="9" t="s">
        <v>2129</v>
      </c>
      <c r="U1113" s="9"/>
      <c r="V1113" s="16" t="n">
        <v>3.5</v>
      </c>
      <c r="W1113" s="9"/>
      <c r="X1113" s="9" t="n">
        <v>10000</v>
      </c>
      <c r="Y1113" s="9"/>
      <c r="Z1113" s="9"/>
      <c r="AA1113" s="9"/>
      <c r="AB1113" s="9" t="n">
        <v>10000</v>
      </c>
      <c r="AC1113" s="9"/>
      <c r="AD1113" s="9"/>
      <c r="AE1113" s="9" t="n">
        <v>10000</v>
      </c>
      <c r="AF1113" s="9"/>
      <c r="AG1113" s="9"/>
      <c r="AH1113" s="9"/>
      <c r="AI1113" s="9"/>
      <c r="AJ1113" s="9" t="n">
        <f aca="false">X1113*$V1113</f>
        <v>35000</v>
      </c>
      <c r="AK1113" s="9" t="n">
        <f aca="false">Y1113*$V1113</f>
        <v>0</v>
      </c>
      <c r="AL1113" s="9" t="n">
        <f aca="false">Z1113*$V1113</f>
        <v>0</v>
      </c>
      <c r="AM1113" s="9" t="n">
        <f aca="false">AA1113*$V1113</f>
        <v>0</v>
      </c>
      <c r="AN1113" s="9" t="n">
        <f aca="false">AB1113*$V1113</f>
        <v>35000</v>
      </c>
      <c r="AO1113" s="9" t="n">
        <f aca="false">AC1113*$V1113</f>
        <v>0</v>
      </c>
      <c r="AP1113" s="9" t="n">
        <f aca="false">AD1113*$V1113</f>
        <v>0</v>
      </c>
      <c r="AQ1113" s="9" t="n">
        <f aca="false">AE1113*$V1113</f>
        <v>35000</v>
      </c>
      <c r="AR1113" s="9" t="n">
        <f aca="false">AF1113*$V1113</f>
        <v>0</v>
      </c>
      <c r="AS1113" s="9" t="n">
        <f aca="false">AG1113*$V1113</f>
        <v>0</v>
      </c>
      <c r="AT1113" s="9" t="n">
        <f aca="false">AH1113*$V1113</f>
        <v>0</v>
      </c>
      <c r="AU1113" s="9" t="n">
        <f aca="false">AI1113*$V1113</f>
        <v>0</v>
      </c>
      <c r="AV1113" s="9" t="n">
        <f aca="false">SUM(X1113:AI1113)/1000</f>
        <v>30</v>
      </c>
      <c r="AW1113" s="9" t="n">
        <f aca="false">SUM(AJ1113:AU1113)</f>
        <v>105000</v>
      </c>
      <c r="AX1113" s="9" t="n">
        <f aca="false">IF(D1113="INR",AW1113/88.24,AW1113)/1000000</f>
        <v>0.00118993653671804</v>
      </c>
    </row>
    <row r="1114" s="2" customFormat="true" ht="14.25" hidden="false" customHeight="false" outlineLevel="0" collapsed="false">
      <c r="A1114" s="35"/>
      <c r="B1114" s="9" t="n">
        <v>1</v>
      </c>
      <c r="C1114" s="10"/>
      <c r="D1114" s="9" t="s">
        <v>50</v>
      </c>
      <c r="E1114" s="9"/>
      <c r="F1114" s="9" t="s">
        <v>52</v>
      </c>
      <c r="G1114" s="9"/>
      <c r="H1114" s="9" t="s">
        <v>2124</v>
      </c>
      <c r="I1114" s="9"/>
      <c r="J1114" s="9"/>
      <c r="K1114" s="9"/>
      <c r="L1114" s="9"/>
      <c r="M1114" s="9"/>
      <c r="N1114" s="9" t="s">
        <v>57</v>
      </c>
      <c r="O1114" s="9"/>
      <c r="P1114" s="9"/>
      <c r="Q1114" s="9" t="s">
        <v>2125</v>
      </c>
      <c r="R1114" s="9"/>
      <c r="S1114" s="9"/>
      <c r="T1114" s="9" t="s">
        <v>2130</v>
      </c>
      <c r="U1114" s="9"/>
      <c r="V1114" s="9" t="n">
        <v>3.5</v>
      </c>
      <c r="W1114" s="9"/>
      <c r="X1114" s="9" t="n">
        <v>10000</v>
      </c>
      <c r="Y1114" s="9"/>
      <c r="Z1114" s="9"/>
      <c r="AA1114" s="9"/>
      <c r="AB1114" s="9" t="n">
        <v>10000</v>
      </c>
      <c r="AC1114" s="9"/>
      <c r="AD1114" s="9"/>
      <c r="AE1114" s="9" t="n">
        <v>10000</v>
      </c>
      <c r="AF1114" s="9"/>
      <c r="AG1114" s="9"/>
      <c r="AH1114" s="9"/>
      <c r="AI1114" s="9"/>
      <c r="AJ1114" s="9" t="n">
        <f aca="false">X1114*$V1114</f>
        <v>35000</v>
      </c>
      <c r="AK1114" s="9" t="n">
        <f aca="false">Y1114*$V1114</f>
        <v>0</v>
      </c>
      <c r="AL1114" s="9" t="n">
        <f aca="false">Z1114*$V1114</f>
        <v>0</v>
      </c>
      <c r="AM1114" s="9" t="n">
        <f aca="false">AA1114*$V1114</f>
        <v>0</v>
      </c>
      <c r="AN1114" s="9" t="n">
        <f aca="false">AB1114*$V1114</f>
        <v>35000</v>
      </c>
      <c r="AO1114" s="9" t="n">
        <f aca="false">AC1114*$V1114</f>
        <v>0</v>
      </c>
      <c r="AP1114" s="9" t="n">
        <f aca="false">AD1114*$V1114</f>
        <v>0</v>
      </c>
      <c r="AQ1114" s="9" t="n">
        <f aca="false">AE1114*$V1114</f>
        <v>35000</v>
      </c>
      <c r="AR1114" s="9" t="n">
        <f aca="false">AF1114*$V1114</f>
        <v>0</v>
      </c>
      <c r="AS1114" s="9" t="n">
        <f aca="false">AG1114*$V1114</f>
        <v>0</v>
      </c>
      <c r="AT1114" s="9" t="n">
        <f aca="false">AH1114*$V1114</f>
        <v>0</v>
      </c>
      <c r="AU1114" s="9" t="n">
        <f aca="false">AI1114*$V1114</f>
        <v>0</v>
      </c>
      <c r="AV1114" s="9" t="n">
        <f aca="false">SUM(X1114:AI1114)/1000</f>
        <v>30</v>
      </c>
      <c r="AW1114" s="9" t="n">
        <f aca="false">SUM(AJ1114:AU1114)</f>
        <v>105000</v>
      </c>
      <c r="AX1114" s="9" t="n">
        <f aca="false">IF(D1114="INR",AW1114/88.24,AW1114)/1000000</f>
        <v>0.00118993653671804</v>
      </c>
    </row>
    <row r="1115" s="2" customFormat="true" ht="14.25" hidden="false" customHeight="false" outlineLevel="0" collapsed="false">
      <c r="A1115" s="12" t="s">
        <v>2131</v>
      </c>
      <c r="B1115" s="16"/>
      <c r="C1115" s="15"/>
      <c r="D1115" s="16" t="s">
        <v>102</v>
      </c>
      <c r="E1115" s="16" t="s">
        <v>51</v>
      </c>
      <c r="F1115" s="16" t="s">
        <v>52</v>
      </c>
      <c r="G1115" s="16" t="s">
        <v>258</v>
      </c>
      <c r="H1115" s="16" t="s">
        <v>259</v>
      </c>
      <c r="I1115" s="16" t="s">
        <v>260</v>
      </c>
      <c r="J1115" s="16" t="s">
        <v>1381</v>
      </c>
      <c r="K1115" s="16"/>
      <c r="L1115" s="16"/>
      <c r="M1115" s="16"/>
      <c r="N1115" s="16" t="s">
        <v>67</v>
      </c>
      <c r="O1115" s="16" t="s">
        <v>107</v>
      </c>
      <c r="P1115" s="16" t="str">
        <f aca="false">Q1115</f>
        <v>TAIWAN SEMI</v>
      </c>
      <c r="Q1115" s="16" t="s">
        <v>262</v>
      </c>
      <c r="R1115" s="16" t="s">
        <v>263</v>
      </c>
      <c r="S1115" s="16" t="s">
        <v>264</v>
      </c>
      <c r="T1115" s="16" t="s">
        <v>2132</v>
      </c>
      <c r="U1115" s="16" t="s">
        <v>73</v>
      </c>
      <c r="V1115" s="16" t="n">
        <v>0.021</v>
      </c>
      <c r="W1115" s="16" t="n">
        <v>0</v>
      </c>
      <c r="X1115" s="16" t="n">
        <v>50000</v>
      </c>
      <c r="Y1115" s="16" t="n">
        <v>50000</v>
      </c>
      <c r="Z1115" s="16" t="n">
        <v>50000</v>
      </c>
      <c r="AA1115" s="16" t="n">
        <v>50000</v>
      </c>
      <c r="AB1115" s="16" t="n">
        <v>50000</v>
      </c>
      <c r="AC1115" s="16" t="n">
        <v>50000</v>
      </c>
      <c r="AD1115" s="16" t="n">
        <v>50000</v>
      </c>
      <c r="AE1115" s="16" t="n">
        <v>50000</v>
      </c>
      <c r="AF1115" s="16" t="n">
        <v>50000</v>
      </c>
      <c r="AG1115" s="16" t="n">
        <v>50000</v>
      </c>
      <c r="AH1115" s="16" t="n">
        <v>50000</v>
      </c>
      <c r="AI1115" s="16" t="n">
        <v>50000</v>
      </c>
      <c r="AJ1115" s="9" t="n">
        <f aca="false">X1115*$V1115</f>
        <v>1050</v>
      </c>
      <c r="AK1115" s="9" t="n">
        <f aca="false">Y1115*$V1115</f>
        <v>1050</v>
      </c>
      <c r="AL1115" s="9" t="n">
        <f aca="false">Z1115*$V1115</f>
        <v>1050</v>
      </c>
      <c r="AM1115" s="9" t="n">
        <f aca="false">AA1115*$V1115</f>
        <v>1050</v>
      </c>
      <c r="AN1115" s="9" t="n">
        <f aca="false">AB1115*$V1115</f>
        <v>1050</v>
      </c>
      <c r="AO1115" s="9" t="n">
        <f aca="false">AC1115*$V1115</f>
        <v>1050</v>
      </c>
      <c r="AP1115" s="9" t="n">
        <f aca="false">AD1115*$V1115</f>
        <v>1050</v>
      </c>
      <c r="AQ1115" s="9" t="n">
        <f aca="false">AE1115*$V1115</f>
        <v>1050</v>
      </c>
      <c r="AR1115" s="9" t="n">
        <f aca="false">AF1115*$V1115</f>
        <v>1050</v>
      </c>
      <c r="AS1115" s="9" t="n">
        <f aca="false">AG1115*$V1115</f>
        <v>1050</v>
      </c>
      <c r="AT1115" s="9" t="n">
        <f aca="false">AH1115*$V1115</f>
        <v>1050</v>
      </c>
      <c r="AU1115" s="9" t="n">
        <f aca="false">AI1115*$V1115</f>
        <v>1050</v>
      </c>
      <c r="AV1115" s="9" t="n">
        <f aca="false">SUM(X1115:AI1115)/1000</f>
        <v>600</v>
      </c>
      <c r="AW1115" s="9" t="n">
        <f aca="false">SUM(AJ1115:AU1115)</f>
        <v>12600</v>
      </c>
      <c r="AX1115" s="9" t="n">
        <f aca="false">IF(D1115="INR",AW1115/88.24,AW1115)/1000000</f>
        <v>0.0126</v>
      </c>
    </row>
    <row r="1116" s="2" customFormat="true" ht="14.25" hidden="false" customHeight="true" outlineLevel="0" collapsed="false">
      <c r="A1116" s="12" t="s">
        <v>2133</v>
      </c>
      <c r="B1116" s="16"/>
      <c r="C1116" s="15" t="n">
        <v>5</v>
      </c>
      <c r="D1116" s="16" t="s">
        <v>50</v>
      </c>
      <c r="E1116" s="16" t="s">
        <v>51</v>
      </c>
      <c r="F1116" s="16" t="s">
        <v>52</v>
      </c>
      <c r="G1116" s="16" t="s">
        <v>2134</v>
      </c>
      <c r="H1116" s="16" t="s">
        <v>2135</v>
      </c>
      <c r="I1116" s="16" t="s">
        <v>303</v>
      </c>
      <c r="J1116" s="16" t="s">
        <v>304</v>
      </c>
      <c r="K1116" s="16"/>
      <c r="L1116" s="16" t="s">
        <v>303</v>
      </c>
      <c r="M1116" s="16" t="s">
        <v>304</v>
      </c>
      <c r="N1116" s="16" t="s">
        <v>57</v>
      </c>
      <c r="O1116" s="16" t="s">
        <v>315</v>
      </c>
      <c r="P1116" s="16" t="s">
        <v>2136</v>
      </c>
      <c r="Q1116" s="16" t="s">
        <v>2136</v>
      </c>
      <c r="R1116" s="16" t="s">
        <v>792</v>
      </c>
      <c r="S1116" s="16" t="s">
        <v>667</v>
      </c>
      <c r="T1116" s="16" t="s">
        <v>2137</v>
      </c>
      <c r="U1116" s="16" t="s">
        <v>73</v>
      </c>
      <c r="V1116" s="16" t="n">
        <v>48.9</v>
      </c>
      <c r="W1116" s="16" t="n">
        <v>42.299</v>
      </c>
      <c r="X1116" s="16"/>
      <c r="Y1116" s="16"/>
      <c r="Z1116" s="16"/>
      <c r="AA1116" s="16" t="n">
        <v>2000</v>
      </c>
      <c r="AB1116" s="16" t="n">
        <v>2000</v>
      </c>
      <c r="AC1116" s="16" t="n">
        <v>2000</v>
      </c>
      <c r="AD1116" s="16" t="n">
        <v>2000</v>
      </c>
      <c r="AE1116" s="16"/>
      <c r="AF1116" s="16" t="n">
        <v>2000</v>
      </c>
      <c r="AG1116" s="16" t="n">
        <v>2000</v>
      </c>
      <c r="AH1116" s="16" t="n">
        <v>2000</v>
      </c>
      <c r="AI1116" s="16"/>
      <c r="AJ1116" s="9" t="n">
        <f aca="false">X1116*$V1116</f>
        <v>0</v>
      </c>
      <c r="AK1116" s="9" t="n">
        <f aca="false">Y1116*$V1116</f>
        <v>0</v>
      </c>
      <c r="AL1116" s="9" t="n">
        <f aca="false">Z1116*$V1116</f>
        <v>0</v>
      </c>
      <c r="AM1116" s="9" t="n">
        <f aca="false">AA1116*$V1116</f>
        <v>97800</v>
      </c>
      <c r="AN1116" s="9" t="n">
        <f aca="false">AB1116*$V1116</f>
        <v>97800</v>
      </c>
      <c r="AO1116" s="9" t="n">
        <f aca="false">AC1116*$V1116</f>
        <v>97800</v>
      </c>
      <c r="AP1116" s="9" t="n">
        <f aca="false">AD1116*$V1116</f>
        <v>97800</v>
      </c>
      <c r="AQ1116" s="9" t="n">
        <f aca="false">AE1116*$V1116</f>
        <v>0</v>
      </c>
      <c r="AR1116" s="9" t="n">
        <f aca="false">AF1116*$V1116</f>
        <v>97800</v>
      </c>
      <c r="AS1116" s="9" t="n">
        <f aca="false">AG1116*$V1116</f>
        <v>97800</v>
      </c>
      <c r="AT1116" s="9" t="n">
        <f aca="false">AH1116*$V1116</f>
        <v>97800</v>
      </c>
      <c r="AU1116" s="9" t="n">
        <f aca="false">AI1116*$V1116</f>
        <v>0</v>
      </c>
      <c r="AV1116" s="9" t="n">
        <f aca="false">SUM(X1116:AI1116)/1000</f>
        <v>14</v>
      </c>
      <c r="AW1116" s="9" t="n">
        <f aca="false">SUM(AJ1116:AU1116)</f>
        <v>684600</v>
      </c>
      <c r="AX1116" s="9" t="n">
        <f aca="false">IF(D1116="INR",AW1116/88.24,AW1116)/1000000</f>
        <v>0.00775838621940163</v>
      </c>
    </row>
    <row r="1117" s="2" customFormat="true" ht="14.25" hidden="false" customHeight="false" outlineLevel="0" collapsed="false">
      <c r="A1117" s="12"/>
      <c r="B1117" s="16" t="n">
        <v>1</v>
      </c>
      <c r="C1117" s="15"/>
      <c r="D1117" s="16" t="s">
        <v>50</v>
      </c>
      <c r="E1117" s="16"/>
      <c r="F1117" s="16" t="s">
        <v>52</v>
      </c>
      <c r="G1117" s="16"/>
      <c r="H1117" s="16" t="s">
        <v>2135</v>
      </c>
      <c r="I1117" s="16"/>
      <c r="J1117" s="16"/>
      <c r="K1117" s="16"/>
      <c r="L1117" s="16"/>
      <c r="M1117" s="16"/>
      <c r="N1117" s="16" t="s">
        <v>57</v>
      </c>
      <c r="O1117" s="16"/>
      <c r="P1117" s="16"/>
      <c r="Q1117" s="16" t="s">
        <v>2138</v>
      </c>
      <c r="R1117" s="16"/>
      <c r="S1117" s="16"/>
      <c r="T1117" s="16" t="s">
        <v>2137</v>
      </c>
      <c r="U1117" s="16"/>
      <c r="V1117" s="16" t="n">
        <v>48.9</v>
      </c>
      <c r="W1117" s="16"/>
      <c r="X1117" s="22" t="n">
        <v>2500</v>
      </c>
      <c r="Y1117" s="22"/>
      <c r="Z1117" s="22"/>
      <c r="AA1117" s="22"/>
      <c r="AB1117" s="22" t="n">
        <v>2500</v>
      </c>
      <c r="AC1117" s="22"/>
      <c r="AD1117" s="22"/>
      <c r="AE1117" s="22" t="n">
        <v>2500</v>
      </c>
      <c r="AF1117" s="22"/>
      <c r="AG1117" s="22"/>
      <c r="AH1117" s="22"/>
      <c r="AI1117" s="22"/>
      <c r="AJ1117" s="9" t="n">
        <f aca="false">X1117*$V1117</f>
        <v>122250</v>
      </c>
      <c r="AK1117" s="9" t="n">
        <f aca="false">Y1117*$V1117</f>
        <v>0</v>
      </c>
      <c r="AL1117" s="9" t="n">
        <f aca="false">Z1117*$V1117</f>
        <v>0</v>
      </c>
      <c r="AM1117" s="9" t="n">
        <f aca="false">AA1117*$V1117</f>
        <v>0</v>
      </c>
      <c r="AN1117" s="9" t="n">
        <f aca="false">AB1117*$V1117</f>
        <v>122250</v>
      </c>
      <c r="AO1117" s="9" t="n">
        <f aca="false">AC1117*$V1117</f>
        <v>0</v>
      </c>
      <c r="AP1117" s="9" t="n">
        <f aca="false">AD1117*$V1117</f>
        <v>0</v>
      </c>
      <c r="AQ1117" s="9" t="n">
        <f aca="false">AE1117*$V1117</f>
        <v>122250</v>
      </c>
      <c r="AR1117" s="9" t="n">
        <f aca="false">AF1117*$V1117</f>
        <v>0</v>
      </c>
      <c r="AS1117" s="9" t="n">
        <f aca="false">AG1117*$V1117</f>
        <v>0</v>
      </c>
      <c r="AT1117" s="9" t="n">
        <f aca="false">AH1117*$V1117</f>
        <v>0</v>
      </c>
      <c r="AU1117" s="9" t="n">
        <f aca="false">AI1117*$V1117</f>
        <v>0</v>
      </c>
      <c r="AV1117" s="9" t="n">
        <f aca="false">SUM(X1117:AI1117)/1000</f>
        <v>7.5</v>
      </c>
      <c r="AW1117" s="9" t="n">
        <f aca="false">SUM(AJ1117:AU1117)</f>
        <v>366750</v>
      </c>
      <c r="AX1117" s="9" t="n">
        <f aca="false">IF(D1117="INR",AW1117/88.24,AW1117)/1000000</f>
        <v>0.0041562783318223</v>
      </c>
    </row>
    <row r="1118" s="2" customFormat="true" ht="14.25" hidden="false" customHeight="false" outlineLevel="0" collapsed="false">
      <c r="A1118" s="12"/>
      <c r="B1118" s="9" t="n">
        <v>1</v>
      </c>
      <c r="C1118" s="10"/>
      <c r="D1118" s="9" t="s">
        <v>50</v>
      </c>
      <c r="E1118" s="9" t="s">
        <v>51</v>
      </c>
      <c r="F1118" s="9" t="s">
        <v>52</v>
      </c>
      <c r="G1118" s="9"/>
      <c r="H1118" s="9" t="s">
        <v>1158</v>
      </c>
      <c r="I1118" s="9"/>
      <c r="J1118" s="9"/>
      <c r="K1118" s="9"/>
      <c r="L1118" s="9"/>
      <c r="M1118" s="9"/>
      <c r="N1118" s="9" t="s">
        <v>79</v>
      </c>
      <c r="O1118" s="9"/>
      <c r="P1118" s="9"/>
      <c r="Q1118" s="9" t="s">
        <v>85</v>
      </c>
      <c r="R1118" s="9"/>
      <c r="S1118" s="9"/>
      <c r="T1118" s="9" t="s">
        <v>2139</v>
      </c>
      <c r="U1118" s="9" t="s">
        <v>63</v>
      </c>
      <c r="V1118" s="9" t="n">
        <v>6.67</v>
      </c>
      <c r="W1118" s="9"/>
      <c r="X1118" s="9"/>
      <c r="Y1118" s="9"/>
      <c r="Z1118" s="9"/>
      <c r="AA1118" s="9"/>
      <c r="AB1118" s="9"/>
      <c r="AC1118" s="9"/>
      <c r="AD1118" s="9" t="n">
        <v>5000</v>
      </c>
      <c r="AE1118" s="9"/>
      <c r="AF1118" s="9"/>
      <c r="AG1118" s="9"/>
      <c r="AH1118" s="9" t="n">
        <v>5000</v>
      </c>
      <c r="AI1118" s="9"/>
      <c r="AJ1118" s="9" t="n">
        <f aca="false">X1118*$V1118</f>
        <v>0</v>
      </c>
      <c r="AK1118" s="9" t="n">
        <f aca="false">Y1118*$V1118</f>
        <v>0</v>
      </c>
      <c r="AL1118" s="9" t="n">
        <f aca="false">Z1118*$V1118</f>
        <v>0</v>
      </c>
      <c r="AM1118" s="9" t="n">
        <f aca="false">AA1118*$V1118</f>
        <v>0</v>
      </c>
      <c r="AN1118" s="9" t="n">
        <f aca="false">AB1118*$V1118</f>
        <v>0</v>
      </c>
      <c r="AO1118" s="9" t="n">
        <f aca="false">AC1118*$V1118</f>
        <v>0</v>
      </c>
      <c r="AP1118" s="9" t="n">
        <f aca="false">AD1118*$V1118</f>
        <v>33350</v>
      </c>
      <c r="AQ1118" s="9" t="n">
        <f aca="false">AE1118*$V1118</f>
        <v>0</v>
      </c>
      <c r="AR1118" s="9" t="n">
        <f aca="false">AF1118*$V1118</f>
        <v>0</v>
      </c>
      <c r="AS1118" s="9" t="n">
        <f aca="false">AG1118*$V1118</f>
        <v>0</v>
      </c>
      <c r="AT1118" s="9" t="n">
        <f aca="false">AH1118*$V1118</f>
        <v>33350</v>
      </c>
      <c r="AU1118" s="9" t="n">
        <f aca="false">AI1118*$V1118</f>
        <v>0</v>
      </c>
      <c r="AV1118" s="9" t="n">
        <f aca="false">SUM(X1118:AI1118)/1000</f>
        <v>10</v>
      </c>
      <c r="AW1118" s="9" t="n">
        <f aca="false">SUM(AJ1118:AU1118)</f>
        <v>66700</v>
      </c>
      <c r="AX1118" s="9" t="n">
        <f aca="false">IF(D1118="INR",AW1118/88.24,AW1118)/1000000</f>
        <v>0.000755893019038985</v>
      </c>
    </row>
    <row r="1119" s="2" customFormat="true" ht="14.25" hidden="false" customHeight="true" outlineLevel="0" collapsed="false">
      <c r="A1119" s="12" t="s">
        <v>2140</v>
      </c>
      <c r="B1119" s="16"/>
      <c r="C1119" s="15"/>
      <c r="D1119" s="16" t="s">
        <v>102</v>
      </c>
      <c r="E1119" s="16" t="s">
        <v>51</v>
      </c>
      <c r="F1119" s="16" t="s">
        <v>52</v>
      </c>
      <c r="G1119" s="16" t="s">
        <v>258</v>
      </c>
      <c r="H1119" s="16" t="s">
        <v>259</v>
      </c>
      <c r="I1119" s="16" t="s">
        <v>260</v>
      </c>
      <c r="J1119" s="16" t="s">
        <v>1381</v>
      </c>
      <c r="K1119" s="16"/>
      <c r="L1119" s="16" t="s">
        <v>260</v>
      </c>
      <c r="M1119" s="16" t="s">
        <v>1381</v>
      </c>
      <c r="N1119" s="16" t="s">
        <v>67</v>
      </c>
      <c r="O1119" s="16" t="s">
        <v>107</v>
      </c>
      <c r="P1119" s="16" t="s">
        <v>188</v>
      </c>
      <c r="Q1119" s="16" t="s">
        <v>188</v>
      </c>
      <c r="R1119" s="16" t="s">
        <v>550</v>
      </c>
      <c r="S1119" s="16" t="s">
        <v>528</v>
      </c>
      <c r="T1119" s="16" t="s">
        <v>2141</v>
      </c>
      <c r="U1119" s="16" t="s">
        <v>73</v>
      </c>
      <c r="V1119" s="16" t="n">
        <v>0.0058</v>
      </c>
      <c r="W1119" s="16" t="n">
        <v>0.0051</v>
      </c>
      <c r="X1119" s="22" t="n">
        <v>200000</v>
      </c>
      <c r="Y1119" s="16" t="n">
        <v>200000</v>
      </c>
      <c r="Z1119" s="16" t="n">
        <v>200000</v>
      </c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9" t="n">
        <f aca="false">X1119*$V1119</f>
        <v>1160</v>
      </c>
      <c r="AK1119" s="9" t="n">
        <f aca="false">Y1119*$V1119</f>
        <v>1160</v>
      </c>
      <c r="AL1119" s="9" t="n">
        <f aca="false">Z1119*$V1119</f>
        <v>1160</v>
      </c>
      <c r="AM1119" s="9" t="n">
        <f aca="false">AA1119*$V1119</f>
        <v>0</v>
      </c>
      <c r="AN1119" s="9" t="n">
        <f aca="false">AB1119*$V1119</f>
        <v>0</v>
      </c>
      <c r="AO1119" s="9" t="n">
        <f aca="false">AC1119*$V1119</f>
        <v>0</v>
      </c>
      <c r="AP1119" s="9" t="n">
        <f aca="false">AD1119*$V1119</f>
        <v>0</v>
      </c>
      <c r="AQ1119" s="9" t="n">
        <f aca="false">AE1119*$V1119</f>
        <v>0</v>
      </c>
      <c r="AR1119" s="9" t="n">
        <f aca="false">AF1119*$V1119</f>
        <v>0</v>
      </c>
      <c r="AS1119" s="9" t="n">
        <f aca="false">AG1119*$V1119</f>
        <v>0</v>
      </c>
      <c r="AT1119" s="9" t="n">
        <f aca="false">AH1119*$V1119</f>
        <v>0</v>
      </c>
      <c r="AU1119" s="9" t="n">
        <f aca="false">AI1119*$V1119</f>
        <v>0</v>
      </c>
      <c r="AV1119" s="9" t="n">
        <f aca="false">SUM(X1119:AI1119)/1000</f>
        <v>600</v>
      </c>
      <c r="AW1119" s="9" t="n">
        <f aca="false">SUM(AJ1119:AU1119)</f>
        <v>3480</v>
      </c>
      <c r="AX1119" s="9" t="n">
        <f aca="false">IF(D1119="INR",AW1119/88.24,AW1119)/1000000</f>
        <v>0.00348</v>
      </c>
    </row>
    <row r="1120" s="2" customFormat="true" ht="16.4" hidden="false" customHeight="false" outlineLevel="0" collapsed="false">
      <c r="A1120" s="35" t="s">
        <v>2142</v>
      </c>
      <c r="B1120" s="9"/>
      <c r="C1120" s="15"/>
      <c r="D1120" s="16" t="s">
        <v>102</v>
      </c>
      <c r="E1120" s="16" t="s">
        <v>51</v>
      </c>
      <c r="F1120" s="16" t="s">
        <v>52</v>
      </c>
      <c r="G1120" s="16" t="s">
        <v>258</v>
      </c>
      <c r="H1120" s="16" t="s">
        <v>259</v>
      </c>
      <c r="I1120" s="16" t="s">
        <v>260</v>
      </c>
      <c r="J1120" s="16" t="s">
        <v>1381</v>
      </c>
      <c r="K1120" s="16"/>
      <c r="L1120" s="16" t="s">
        <v>260</v>
      </c>
      <c r="M1120" s="16" t="s">
        <v>1381</v>
      </c>
      <c r="N1120" s="16" t="s">
        <v>67</v>
      </c>
      <c r="O1120" s="16" t="s">
        <v>107</v>
      </c>
      <c r="P1120" s="9" t="s">
        <v>188</v>
      </c>
      <c r="Q1120" s="9" t="s">
        <v>188</v>
      </c>
      <c r="R1120" s="16" t="s">
        <v>550</v>
      </c>
      <c r="S1120" s="16" t="s">
        <v>528</v>
      </c>
      <c r="T1120" s="9" t="s">
        <v>2143</v>
      </c>
      <c r="U1120" s="16" t="s">
        <v>73</v>
      </c>
      <c r="V1120" s="9" t="n">
        <v>0.0044</v>
      </c>
      <c r="W1120" s="9" t="n">
        <v>0.0041</v>
      </c>
      <c r="X1120" s="22" t="n">
        <v>200000</v>
      </c>
      <c r="Y1120" s="9" t="n">
        <v>200000</v>
      </c>
      <c r="Z1120" s="9" t="n">
        <v>200000</v>
      </c>
      <c r="AA1120" s="9"/>
      <c r="AB1120" s="9"/>
      <c r="AC1120" s="9"/>
      <c r="AD1120" s="9"/>
      <c r="AE1120" s="9"/>
      <c r="AF1120" s="9"/>
      <c r="AG1120" s="9"/>
      <c r="AH1120" s="9"/>
      <c r="AI1120" s="9"/>
      <c r="AJ1120" s="9" t="n">
        <f aca="false">X1120*$V1120</f>
        <v>880</v>
      </c>
      <c r="AK1120" s="9" t="n">
        <f aca="false">Y1120*$V1120</f>
        <v>880</v>
      </c>
      <c r="AL1120" s="9" t="n">
        <f aca="false">Z1120*$V1120</f>
        <v>880</v>
      </c>
      <c r="AM1120" s="9" t="n">
        <f aca="false">AA1120*$V1120</f>
        <v>0</v>
      </c>
      <c r="AN1120" s="9" t="n">
        <f aca="false">AB1120*$V1120</f>
        <v>0</v>
      </c>
      <c r="AO1120" s="9" t="n">
        <f aca="false">AC1120*$V1120</f>
        <v>0</v>
      </c>
      <c r="AP1120" s="9" t="n">
        <f aca="false">AD1120*$V1120</f>
        <v>0</v>
      </c>
      <c r="AQ1120" s="9" t="n">
        <f aca="false">AE1120*$V1120</f>
        <v>0</v>
      </c>
      <c r="AR1120" s="9" t="n">
        <f aca="false">AF1120*$V1120</f>
        <v>0</v>
      </c>
      <c r="AS1120" s="9" t="n">
        <f aca="false">AG1120*$V1120</f>
        <v>0</v>
      </c>
      <c r="AT1120" s="9" t="n">
        <f aca="false">AH1120*$V1120</f>
        <v>0</v>
      </c>
      <c r="AU1120" s="9" t="n">
        <f aca="false">AI1120*$V1120</f>
        <v>0</v>
      </c>
      <c r="AV1120" s="9" t="n">
        <f aca="false">SUM(X1120:AI1120)/1000</f>
        <v>600</v>
      </c>
      <c r="AW1120" s="9" t="n">
        <f aca="false">SUM(AJ1120:AU1120)</f>
        <v>2640</v>
      </c>
      <c r="AX1120" s="9" t="n">
        <f aca="false">IF(D1120="INR",AW1120/88.24,AW1120)/1000000</f>
        <v>0.00264</v>
      </c>
    </row>
    <row r="1121" s="2" customFormat="true" ht="14.25" hidden="false" customHeight="false" outlineLevel="0" collapsed="false">
      <c r="A1121" s="35"/>
      <c r="B1121" s="9" t="n">
        <v>1</v>
      </c>
      <c r="C1121" s="10"/>
      <c r="D1121" s="9" t="s">
        <v>50</v>
      </c>
      <c r="E1121" s="9" t="s">
        <v>51</v>
      </c>
      <c r="F1121" s="9" t="s">
        <v>52</v>
      </c>
      <c r="G1121" s="9"/>
      <c r="H1121" s="9" t="s">
        <v>1158</v>
      </c>
      <c r="I1121" s="9"/>
      <c r="J1121" s="9"/>
      <c r="K1121" s="9"/>
      <c r="L1121" s="9"/>
      <c r="M1121" s="9"/>
      <c r="N1121" s="9" t="s">
        <v>79</v>
      </c>
      <c r="O1121" s="9"/>
      <c r="P1121" s="9"/>
      <c r="Q1121" s="9" t="s">
        <v>85</v>
      </c>
      <c r="R1121" s="9"/>
      <c r="S1121" s="9"/>
      <c r="T1121" s="9" t="s">
        <v>1502</v>
      </c>
      <c r="U1121" s="9" t="s">
        <v>63</v>
      </c>
      <c r="V1121" s="9" t="n">
        <v>6.4</v>
      </c>
      <c r="W1121" s="9"/>
      <c r="X1121" s="9"/>
      <c r="Y1121" s="9"/>
      <c r="Z1121" s="9"/>
      <c r="AA1121" s="9"/>
      <c r="AB1121" s="9"/>
      <c r="AC1121" s="9"/>
      <c r="AD1121" s="9" t="n">
        <v>5000</v>
      </c>
      <c r="AE1121" s="9"/>
      <c r="AF1121" s="9"/>
      <c r="AG1121" s="9"/>
      <c r="AH1121" s="9" t="n">
        <v>5000</v>
      </c>
      <c r="AI1121" s="9"/>
      <c r="AJ1121" s="9" t="n">
        <f aca="false">X1121*$V1121</f>
        <v>0</v>
      </c>
      <c r="AK1121" s="9" t="n">
        <f aca="false">Y1121*$V1121</f>
        <v>0</v>
      </c>
      <c r="AL1121" s="9" t="n">
        <f aca="false">Z1121*$V1121</f>
        <v>0</v>
      </c>
      <c r="AM1121" s="9" t="n">
        <f aca="false">AA1121*$V1121</f>
        <v>0</v>
      </c>
      <c r="AN1121" s="9" t="n">
        <f aca="false">AB1121*$V1121</f>
        <v>0</v>
      </c>
      <c r="AO1121" s="9" t="n">
        <f aca="false">AC1121*$V1121</f>
        <v>0</v>
      </c>
      <c r="AP1121" s="9" t="n">
        <f aca="false">AD1121*$V1121</f>
        <v>32000</v>
      </c>
      <c r="AQ1121" s="9" t="n">
        <f aca="false">AE1121*$V1121</f>
        <v>0</v>
      </c>
      <c r="AR1121" s="9" t="n">
        <f aca="false">AF1121*$V1121</f>
        <v>0</v>
      </c>
      <c r="AS1121" s="9" t="n">
        <f aca="false">AG1121*$V1121</f>
        <v>0</v>
      </c>
      <c r="AT1121" s="9" t="n">
        <f aca="false">AH1121*$V1121</f>
        <v>32000</v>
      </c>
      <c r="AU1121" s="9" t="n">
        <f aca="false">AI1121*$V1121</f>
        <v>0</v>
      </c>
      <c r="AV1121" s="9" t="n">
        <f aca="false">SUM(X1121:AI1121)/1000</f>
        <v>10</v>
      </c>
      <c r="AW1121" s="9" t="n">
        <f aca="false">SUM(AJ1121:AU1121)</f>
        <v>64000</v>
      </c>
      <c r="AX1121" s="9" t="n">
        <f aca="false">IF(D1121="INR",AW1121/88.24,AW1121)/1000000</f>
        <v>0.000725294650951949</v>
      </c>
    </row>
    <row r="1122" s="2" customFormat="true" ht="14.25" hidden="false" customHeight="false" outlineLevel="0" collapsed="false">
      <c r="A1122" s="28"/>
      <c r="B1122" s="16" t="n">
        <v>1</v>
      </c>
      <c r="C1122" s="16"/>
      <c r="D1122" s="16" t="s">
        <v>50</v>
      </c>
      <c r="E1122" s="16" t="s">
        <v>51</v>
      </c>
      <c r="F1122" s="16" t="s">
        <v>52</v>
      </c>
      <c r="G1122" s="16"/>
      <c r="H1122" s="16" t="s">
        <v>1158</v>
      </c>
      <c r="I1122" s="16"/>
      <c r="J1122" s="16"/>
      <c r="K1122" s="16"/>
      <c r="L1122" s="16"/>
      <c r="M1122" s="16"/>
      <c r="N1122" s="16" t="s">
        <v>79</v>
      </c>
      <c r="O1122" s="16"/>
      <c r="P1122" s="16"/>
      <c r="Q1122" s="16" t="s">
        <v>85</v>
      </c>
      <c r="R1122" s="16"/>
      <c r="S1122" s="16"/>
      <c r="T1122" s="26" t="s">
        <v>2144</v>
      </c>
      <c r="U1122" s="16" t="s">
        <v>63</v>
      </c>
      <c r="V1122" s="15" t="n">
        <v>12.65</v>
      </c>
      <c r="W1122" s="16"/>
      <c r="X1122" s="16" t="n">
        <v>1000</v>
      </c>
      <c r="Y1122" s="16" t="n">
        <v>1000</v>
      </c>
      <c r="Z1122" s="16"/>
      <c r="AA1122" s="16" t="n">
        <v>1000</v>
      </c>
      <c r="AB1122" s="16" t="n">
        <v>1000</v>
      </c>
      <c r="AC1122" s="16" t="n">
        <v>1000</v>
      </c>
      <c r="AD1122" s="16"/>
      <c r="AE1122" s="16" t="n">
        <v>1000</v>
      </c>
      <c r="AF1122" s="16" t="n">
        <v>1000</v>
      </c>
      <c r="AG1122" s="16" t="n">
        <v>1000</v>
      </c>
      <c r="AH1122" s="16"/>
      <c r="AI1122" s="16" t="n">
        <v>1000</v>
      </c>
      <c r="AJ1122" s="9" t="n">
        <f aca="false">X1122*$V1122</f>
        <v>12650</v>
      </c>
      <c r="AK1122" s="9" t="n">
        <f aca="false">Y1122*$V1122</f>
        <v>12650</v>
      </c>
      <c r="AL1122" s="9" t="n">
        <f aca="false">Z1122*$V1122</f>
        <v>0</v>
      </c>
      <c r="AM1122" s="9" t="n">
        <f aca="false">AA1122*$V1122</f>
        <v>12650</v>
      </c>
      <c r="AN1122" s="9" t="n">
        <f aca="false">AB1122*$V1122</f>
        <v>12650</v>
      </c>
      <c r="AO1122" s="9" t="n">
        <f aca="false">AC1122*$V1122</f>
        <v>12650</v>
      </c>
      <c r="AP1122" s="9" t="n">
        <f aca="false">AD1122*$V1122</f>
        <v>0</v>
      </c>
      <c r="AQ1122" s="9" t="n">
        <f aca="false">AE1122*$V1122</f>
        <v>12650</v>
      </c>
      <c r="AR1122" s="9" t="n">
        <f aca="false">AF1122*$V1122</f>
        <v>12650</v>
      </c>
      <c r="AS1122" s="9" t="n">
        <f aca="false">AG1122*$V1122</f>
        <v>12650</v>
      </c>
      <c r="AT1122" s="9" t="n">
        <f aca="false">AH1122*$V1122</f>
        <v>0</v>
      </c>
      <c r="AU1122" s="9" t="n">
        <f aca="false">AI1122*$V1122</f>
        <v>12650</v>
      </c>
      <c r="AV1122" s="9" t="n">
        <f aca="false">SUM(X1122:AI1122)/1000</f>
        <v>9</v>
      </c>
      <c r="AW1122" s="9" t="n">
        <f aca="false">SUM(AJ1122:AU1122)</f>
        <v>113850</v>
      </c>
      <c r="AX1122" s="9" t="n">
        <f aca="false">IF(D1122="INR",AW1122/88.24,AW1122)/1000000</f>
        <v>0.00129023118766999</v>
      </c>
    </row>
    <row r="1123" s="2" customFormat="true" ht="14.25" hidden="false" customHeight="false" outlineLevel="0" collapsed="false">
      <c r="A1123" s="28"/>
      <c r="B1123" s="16" t="n">
        <v>1</v>
      </c>
      <c r="C1123" s="15"/>
      <c r="D1123" s="16" t="s">
        <v>50</v>
      </c>
      <c r="E1123" s="16" t="s">
        <v>51</v>
      </c>
      <c r="F1123" s="16" t="s">
        <v>52</v>
      </c>
      <c r="G1123" s="16"/>
      <c r="H1123" s="16" t="s">
        <v>1158</v>
      </c>
      <c r="I1123" s="16"/>
      <c r="J1123" s="16"/>
      <c r="K1123" s="16"/>
      <c r="L1123" s="16"/>
      <c r="M1123" s="16"/>
      <c r="N1123" s="16" t="s">
        <v>79</v>
      </c>
      <c r="O1123" s="16"/>
      <c r="P1123" s="16"/>
      <c r="Q1123" s="16" t="s">
        <v>85</v>
      </c>
      <c r="R1123" s="16"/>
      <c r="S1123" s="16"/>
      <c r="T1123" s="16" t="s">
        <v>2145</v>
      </c>
      <c r="U1123" s="16" t="s">
        <v>63</v>
      </c>
      <c r="V1123" s="16" t="n">
        <v>3.45</v>
      </c>
      <c r="W1123" s="16"/>
      <c r="X1123" s="16"/>
      <c r="Y1123" s="16" t="n">
        <v>1000</v>
      </c>
      <c r="Z1123" s="16"/>
      <c r="AA1123" s="16"/>
      <c r="AB1123" s="16" t="n">
        <v>1000</v>
      </c>
      <c r="AC1123" s="16"/>
      <c r="AD1123" s="16"/>
      <c r="AE1123" s="16" t="n">
        <v>1000</v>
      </c>
      <c r="AF1123" s="16"/>
      <c r="AG1123" s="16" t="n">
        <v>1000</v>
      </c>
      <c r="AH1123" s="16" t="n">
        <v>1000</v>
      </c>
      <c r="AI1123" s="16"/>
      <c r="AJ1123" s="9" t="n">
        <f aca="false">X1123*$V1123</f>
        <v>0</v>
      </c>
      <c r="AK1123" s="9" t="n">
        <f aca="false">Y1123*$V1123</f>
        <v>3450</v>
      </c>
      <c r="AL1123" s="9" t="n">
        <f aca="false">Z1123*$V1123</f>
        <v>0</v>
      </c>
      <c r="AM1123" s="9" t="n">
        <f aca="false">AA1123*$V1123</f>
        <v>0</v>
      </c>
      <c r="AN1123" s="9" t="n">
        <f aca="false">AB1123*$V1123</f>
        <v>3450</v>
      </c>
      <c r="AO1123" s="9" t="n">
        <f aca="false">AC1123*$V1123</f>
        <v>0</v>
      </c>
      <c r="AP1123" s="9" t="n">
        <f aca="false">AD1123*$V1123</f>
        <v>0</v>
      </c>
      <c r="AQ1123" s="9" t="n">
        <f aca="false">AE1123*$V1123</f>
        <v>3450</v>
      </c>
      <c r="AR1123" s="9" t="n">
        <f aca="false">AF1123*$V1123</f>
        <v>0</v>
      </c>
      <c r="AS1123" s="9" t="n">
        <f aca="false">AG1123*$V1123</f>
        <v>3450</v>
      </c>
      <c r="AT1123" s="9" t="n">
        <f aca="false">AH1123*$V1123</f>
        <v>3450</v>
      </c>
      <c r="AU1123" s="9" t="n">
        <f aca="false">AI1123*$V1123</f>
        <v>0</v>
      </c>
      <c r="AV1123" s="9" t="n">
        <f aca="false">SUM(X1123:AI1123)/1000</f>
        <v>5</v>
      </c>
      <c r="AW1123" s="9" t="n">
        <f aca="false">SUM(AJ1123:AU1123)</f>
        <v>17250</v>
      </c>
      <c r="AX1123" s="9" t="n">
        <f aca="false">IF(D1123="INR",AW1123/88.24,AW1123)/1000000</f>
        <v>0.000195489573889393</v>
      </c>
      <c r="AZ1123" s="1"/>
    </row>
    <row r="1124" s="2" customFormat="true" ht="14.25" hidden="false" customHeight="false" outlineLevel="0" collapsed="false">
      <c r="A1124" s="12" t="s">
        <v>2146</v>
      </c>
      <c r="B1124" s="16"/>
      <c r="C1124" s="15"/>
      <c r="D1124" s="16" t="s">
        <v>102</v>
      </c>
      <c r="E1124" s="16" t="s">
        <v>51</v>
      </c>
      <c r="F1124" s="16" t="s">
        <v>52</v>
      </c>
      <c r="G1124" s="16" t="s">
        <v>258</v>
      </c>
      <c r="H1124" s="16" t="s">
        <v>259</v>
      </c>
      <c r="I1124" s="16" t="s">
        <v>260</v>
      </c>
      <c r="J1124" s="16" t="s">
        <v>1381</v>
      </c>
      <c r="K1124" s="16"/>
      <c r="L1124" s="16" t="s">
        <v>260</v>
      </c>
      <c r="M1124" s="16" t="s">
        <v>1381</v>
      </c>
      <c r="N1124" s="16" t="s">
        <v>67</v>
      </c>
      <c r="O1124" s="16" t="s">
        <v>107</v>
      </c>
      <c r="P1124" s="16" t="s">
        <v>188</v>
      </c>
      <c r="Q1124" s="16" t="s">
        <v>188</v>
      </c>
      <c r="R1124" s="16" t="s">
        <v>550</v>
      </c>
      <c r="S1124" s="16" t="s">
        <v>528</v>
      </c>
      <c r="T1124" s="16" t="s">
        <v>2147</v>
      </c>
      <c r="U1124" s="16" t="s">
        <v>73</v>
      </c>
      <c r="V1124" s="16" t="n">
        <v>0.0058</v>
      </c>
      <c r="W1124" s="16" t="n">
        <v>0.0052</v>
      </c>
      <c r="X1124" s="16"/>
      <c r="Y1124" s="16" t="n">
        <v>404200</v>
      </c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9" t="n">
        <f aca="false">X1124*$V1124</f>
        <v>0</v>
      </c>
      <c r="AK1124" s="9" t="n">
        <f aca="false">Y1124*$V1124</f>
        <v>2344.36</v>
      </c>
      <c r="AL1124" s="9" t="n">
        <f aca="false">Z1124*$V1124</f>
        <v>0</v>
      </c>
      <c r="AM1124" s="9" t="n">
        <f aca="false">AA1124*$V1124</f>
        <v>0</v>
      </c>
      <c r="AN1124" s="9" t="n">
        <f aca="false">AB1124*$V1124</f>
        <v>0</v>
      </c>
      <c r="AO1124" s="9" t="n">
        <f aca="false">AC1124*$V1124</f>
        <v>0</v>
      </c>
      <c r="AP1124" s="9" t="n">
        <f aca="false">AD1124*$V1124</f>
        <v>0</v>
      </c>
      <c r="AQ1124" s="9" t="n">
        <f aca="false">AE1124*$V1124</f>
        <v>0</v>
      </c>
      <c r="AR1124" s="9" t="n">
        <f aca="false">AF1124*$V1124</f>
        <v>0</v>
      </c>
      <c r="AS1124" s="9" t="n">
        <f aca="false">AG1124*$V1124</f>
        <v>0</v>
      </c>
      <c r="AT1124" s="9" t="n">
        <f aca="false">AH1124*$V1124</f>
        <v>0</v>
      </c>
      <c r="AU1124" s="9" t="n">
        <f aca="false">AI1124*$V1124</f>
        <v>0</v>
      </c>
      <c r="AV1124" s="9" t="n">
        <f aca="false">SUM(X1124:AI1124)/1000</f>
        <v>404.2</v>
      </c>
      <c r="AW1124" s="9" t="n">
        <f aca="false">SUM(AJ1124:AU1124)</f>
        <v>2344.36</v>
      </c>
      <c r="AX1124" s="9" t="n">
        <f aca="false">IF(D1124="INR",AW1124/88.24,AW1124)/1000000</f>
        <v>0.00234436</v>
      </c>
    </row>
    <row r="1125" s="2" customFormat="true" ht="14.25" hidden="false" customHeight="false" outlineLevel="0" collapsed="false">
      <c r="A1125" s="12"/>
      <c r="B1125" s="16" t="n">
        <v>1</v>
      </c>
      <c r="C1125" s="15"/>
      <c r="D1125" s="16" t="s">
        <v>102</v>
      </c>
      <c r="E1125" s="16"/>
      <c r="F1125" s="16" t="s">
        <v>52</v>
      </c>
      <c r="G1125" s="16" t="s">
        <v>258</v>
      </c>
      <c r="H1125" s="16" t="s">
        <v>259</v>
      </c>
      <c r="I1125" s="16"/>
      <c r="J1125" s="16"/>
      <c r="K1125" s="16"/>
      <c r="L1125" s="16"/>
      <c r="M1125" s="16"/>
      <c r="N1125" s="16" t="s">
        <v>67</v>
      </c>
      <c r="O1125" s="16" t="s">
        <v>107</v>
      </c>
      <c r="P1125" s="16"/>
      <c r="Q1125" s="16" t="s">
        <v>2103</v>
      </c>
      <c r="R1125" s="16"/>
      <c r="S1125" s="16"/>
      <c r="T1125" s="16" t="s">
        <v>2148</v>
      </c>
      <c r="U1125" s="16" t="s">
        <v>63</v>
      </c>
      <c r="V1125" s="16" t="n">
        <v>0.115</v>
      </c>
      <c r="W1125" s="16"/>
      <c r="X1125" s="16"/>
      <c r="Y1125" s="16"/>
      <c r="Z1125" s="16"/>
      <c r="AA1125" s="16"/>
      <c r="AB1125" s="16"/>
      <c r="AC1125" s="16" t="n">
        <v>50000</v>
      </c>
      <c r="AD1125" s="16" t="n">
        <v>50000</v>
      </c>
      <c r="AE1125" s="16" t="n">
        <v>50000</v>
      </c>
      <c r="AF1125" s="16" t="n">
        <v>50000</v>
      </c>
      <c r="AG1125" s="16" t="n">
        <v>50000</v>
      </c>
      <c r="AH1125" s="16" t="n">
        <v>50000</v>
      </c>
      <c r="AI1125" s="16" t="n">
        <v>50000</v>
      </c>
      <c r="AJ1125" s="9" t="n">
        <f aca="false">X1125*$V1125</f>
        <v>0</v>
      </c>
      <c r="AK1125" s="9" t="n">
        <f aca="false">Y1125*$V1125</f>
        <v>0</v>
      </c>
      <c r="AL1125" s="9" t="n">
        <f aca="false">Z1125*$V1125</f>
        <v>0</v>
      </c>
      <c r="AM1125" s="9" t="n">
        <f aca="false">AA1125*$V1125</f>
        <v>0</v>
      </c>
      <c r="AN1125" s="9" t="n">
        <f aca="false">AB1125*$V1125</f>
        <v>0</v>
      </c>
      <c r="AO1125" s="9" t="n">
        <f aca="false">AC1125*$V1125</f>
        <v>5750</v>
      </c>
      <c r="AP1125" s="9" t="n">
        <f aca="false">AD1125*$V1125</f>
        <v>5750</v>
      </c>
      <c r="AQ1125" s="9" t="n">
        <f aca="false">AE1125*$V1125</f>
        <v>5750</v>
      </c>
      <c r="AR1125" s="9" t="n">
        <f aca="false">AF1125*$V1125</f>
        <v>5750</v>
      </c>
      <c r="AS1125" s="9" t="n">
        <f aca="false">AG1125*$V1125</f>
        <v>5750</v>
      </c>
      <c r="AT1125" s="9" t="n">
        <f aca="false">AH1125*$V1125</f>
        <v>5750</v>
      </c>
      <c r="AU1125" s="9" t="n">
        <f aca="false">AI1125*$V1125</f>
        <v>5750</v>
      </c>
      <c r="AV1125" s="9" t="n">
        <f aca="false">SUM(X1125:AI1125)/1000</f>
        <v>350</v>
      </c>
      <c r="AW1125" s="9" t="n">
        <f aca="false">SUM(AJ1125:AU1125)</f>
        <v>40250</v>
      </c>
      <c r="AX1125" s="9" t="n">
        <f aca="false">IF(D1125="INR",AW1125/88.24,AW1125)/1000000</f>
        <v>0.04025</v>
      </c>
    </row>
    <row r="1126" s="2" customFormat="true" ht="14.25" hidden="false" customHeight="false" outlineLevel="0" collapsed="false">
      <c r="A1126" s="12" t="s">
        <v>2149</v>
      </c>
      <c r="B1126" s="16"/>
      <c r="C1126" s="15" t="n">
        <v>5</v>
      </c>
      <c r="D1126" s="16" t="s">
        <v>50</v>
      </c>
      <c r="E1126" s="16" t="s">
        <v>51</v>
      </c>
      <c r="F1126" s="16" t="s">
        <v>52</v>
      </c>
      <c r="G1126" s="16" t="s">
        <v>2150</v>
      </c>
      <c r="H1126" s="16" t="s">
        <v>2151</v>
      </c>
      <c r="I1126" s="16" t="s">
        <v>105</v>
      </c>
      <c r="J1126" s="16" t="s">
        <v>106</v>
      </c>
      <c r="K1126" s="16"/>
      <c r="L1126" s="16" t="s">
        <v>105</v>
      </c>
      <c r="M1126" s="16" t="s">
        <v>106</v>
      </c>
      <c r="N1126" s="16" t="s">
        <v>290</v>
      </c>
      <c r="O1126" s="16" t="s">
        <v>107</v>
      </c>
      <c r="P1126" s="16" t="s">
        <v>110</v>
      </c>
      <c r="Q1126" s="16" t="s">
        <v>110</v>
      </c>
      <c r="R1126" s="16" t="s">
        <v>137</v>
      </c>
      <c r="S1126" s="16" t="s">
        <v>272</v>
      </c>
      <c r="T1126" s="16" t="s">
        <v>2076</v>
      </c>
      <c r="U1126" s="16" t="s">
        <v>73</v>
      </c>
      <c r="V1126" s="16" t="n">
        <v>90</v>
      </c>
      <c r="W1126" s="16" t="n">
        <v>0.63</v>
      </c>
      <c r="X1126" s="16"/>
      <c r="Y1126" s="16" t="n">
        <v>3000</v>
      </c>
      <c r="Z1126" s="16"/>
      <c r="AA1126" s="16"/>
      <c r="AB1126" s="16" t="n">
        <v>3000</v>
      </c>
      <c r="AC1126" s="16"/>
      <c r="AD1126" s="16"/>
      <c r="AE1126" s="16" t="n">
        <v>3000</v>
      </c>
      <c r="AF1126" s="16"/>
      <c r="AG1126" s="16"/>
      <c r="AH1126" s="16"/>
      <c r="AI1126" s="16" t="n">
        <v>3000</v>
      </c>
      <c r="AJ1126" s="9" t="n">
        <f aca="false">X1126*$V1126</f>
        <v>0</v>
      </c>
      <c r="AK1126" s="9" t="n">
        <f aca="false">Y1126*$V1126</f>
        <v>270000</v>
      </c>
      <c r="AL1126" s="9" t="n">
        <f aca="false">Z1126*$V1126</f>
        <v>0</v>
      </c>
      <c r="AM1126" s="9" t="n">
        <f aca="false">AA1126*$V1126</f>
        <v>0</v>
      </c>
      <c r="AN1126" s="9" t="n">
        <f aca="false">AB1126*$V1126</f>
        <v>270000</v>
      </c>
      <c r="AO1126" s="9" t="n">
        <f aca="false">AC1126*$V1126</f>
        <v>0</v>
      </c>
      <c r="AP1126" s="9" t="n">
        <f aca="false">AD1126*$V1126</f>
        <v>0</v>
      </c>
      <c r="AQ1126" s="9" t="n">
        <f aca="false">AE1126*$V1126</f>
        <v>270000</v>
      </c>
      <c r="AR1126" s="9" t="n">
        <f aca="false">AF1126*$V1126</f>
        <v>0</v>
      </c>
      <c r="AS1126" s="9" t="n">
        <f aca="false">AG1126*$V1126</f>
        <v>0</v>
      </c>
      <c r="AT1126" s="9" t="n">
        <f aca="false">AH1126*$V1126</f>
        <v>0</v>
      </c>
      <c r="AU1126" s="9" t="n">
        <f aca="false">AI1126*$V1126</f>
        <v>270000</v>
      </c>
      <c r="AV1126" s="9" t="n">
        <f aca="false">SUM(X1126:AI1126)/1000</f>
        <v>12</v>
      </c>
      <c r="AW1126" s="9" t="n">
        <f aca="false">SUM(AJ1126:AU1126)</f>
        <v>1080000</v>
      </c>
      <c r="AX1126" s="9" t="n">
        <f aca="false">IF(D1126="INR",AW1126/88.24,AW1126)/1000000</f>
        <v>0.0122393472348141</v>
      </c>
    </row>
    <row r="1127" s="2" customFormat="true" ht="14.25" hidden="false" customHeight="false" outlineLevel="0" collapsed="false">
      <c r="A1127" s="12" t="s">
        <v>2152</v>
      </c>
      <c r="B1127" s="16"/>
      <c r="C1127" s="15" t="n">
        <v>5</v>
      </c>
      <c r="D1127" s="16" t="s">
        <v>50</v>
      </c>
      <c r="E1127" s="16" t="s">
        <v>51</v>
      </c>
      <c r="F1127" s="16" t="s">
        <v>52</v>
      </c>
      <c r="G1127" s="16" t="s">
        <v>2150</v>
      </c>
      <c r="H1127" s="16" t="s">
        <v>2151</v>
      </c>
      <c r="I1127" s="16" t="s">
        <v>105</v>
      </c>
      <c r="J1127" s="16" t="s">
        <v>106</v>
      </c>
      <c r="K1127" s="16"/>
      <c r="L1127" s="16" t="s">
        <v>105</v>
      </c>
      <c r="M1127" s="16" t="s">
        <v>106</v>
      </c>
      <c r="N1127" s="16" t="s">
        <v>290</v>
      </c>
      <c r="O1127" s="16" t="s">
        <v>107</v>
      </c>
      <c r="P1127" s="16" t="s">
        <v>199</v>
      </c>
      <c r="Q1127" s="16" t="s">
        <v>199</v>
      </c>
      <c r="R1127" s="16" t="s">
        <v>377</v>
      </c>
      <c r="S1127" s="16" t="s">
        <v>528</v>
      </c>
      <c r="T1127" s="16" t="s">
        <v>2153</v>
      </c>
      <c r="U1127" s="16" t="s">
        <v>73</v>
      </c>
      <c r="V1127" s="16" t="n">
        <v>24</v>
      </c>
      <c r="W1127" s="16" t="n">
        <v>0.2</v>
      </c>
      <c r="X1127" s="26" t="n">
        <v>0</v>
      </c>
      <c r="Y1127" s="16" t="n">
        <v>0</v>
      </c>
      <c r="Z1127" s="16" t="n">
        <v>0</v>
      </c>
      <c r="AA1127" s="16" t="n">
        <v>0</v>
      </c>
      <c r="AB1127" s="26" t="n">
        <v>0</v>
      </c>
      <c r="AC1127" s="16" t="n">
        <v>3000</v>
      </c>
      <c r="AD1127" s="26" t="n">
        <v>0</v>
      </c>
      <c r="AE1127" s="16" t="n">
        <v>0</v>
      </c>
      <c r="AF1127" s="16" t="n">
        <v>0</v>
      </c>
      <c r="AG1127" s="16" t="n">
        <v>0</v>
      </c>
      <c r="AH1127" s="16" t="n">
        <v>0</v>
      </c>
      <c r="AI1127" s="16" t="n">
        <v>0</v>
      </c>
      <c r="AJ1127" s="9" t="n">
        <f aca="false">X1127*$V1127</f>
        <v>0</v>
      </c>
      <c r="AK1127" s="9" t="n">
        <f aca="false">Y1127*$V1127</f>
        <v>0</v>
      </c>
      <c r="AL1127" s="9" t="n">
        <f aca="false">Z1127*$V1127</f>
        <v>0</v>
      </c>
      <c r="AM1127" s="9" t="n">
        <f aca="false">AA1127*$V1127</f>
        <v>0</v>
      </c>
      <c r="AN1127" s="9" t="n">
        <f aca="false">AB1127*$V1127</f>
        <v>0</v>
      </c>
      <c r="AO1127" s="9" t="n">
        <f aca="false">AC1127*$V1127</f>
        <v>72000</v>
      </c>
      <c r="AP1127" s="9" t="n">
        <f aca="false">AD1127*$V1127</f>
        <v>0</v>
      </c>
      <c r="AQ1127" s="9" t="n">
        <f aca="false">AE1127*$V1127</f>
        <v>0</v>
      </c>
      <c r="AR1127" s="9" t="n">
        <f aca="false">AF1127*$V1127</f>
        <v>0</v>
      </c>
      <c r="AS1127" s="9" t="n">
        <f aca="false">AG1127*$V1127</f>
        <v>0</v>
      </c>
      <c r="AT1127" s="9" t="n">
        <f aca="false">AH1127*$V1127</f>
        <v>0</v>
      </c>
      <c r="AU1127" s="9" t="n">
        <f aca="false">AI1127*$V1127</f>
        <v>0</v>
      </c>
      <c r="AV1127" s="9" t="n">
        <f aca="false">SUM(X1127:AI1127)/1000</f>
        <v>3</v>
      </c>
      <c r="AW1127" s="9" t="n">
        <f aca="false">SUM(AJ1127:AU1127)</f>
        <v>72000</v>
      </c>
      <c r="AX1127" s="9" t="n">
        <f aca="false">IF(D1127="INR",AW1127/88.24,AW1127)/1000000</f>
        <v>0.000815956482320943</v>
      </c>
    </row>
    <row r="1128" s="2" customFormat="true" ht="14.25" hidden="false" customHeight="false" outlineLevel="0" collapsed="false">
      <c r="A1128" s="12" t="s">
        <v>2154</v>
      </c>
      <c r="B1128" s="16"/>
      <c r="C1128" s="15" t="n">
        <v>5</v>
      </c>
      <c r="D1128" s="16" t="s">
        <v>50</v>
      </c>
      <c r="E1128" s="16" t="s">
        <v>51</v>
      </c>
      <c r="F1128" s="16" t="s">
        <v>52</v>
      </c>
      <c r="G1128" s="16" t="s">
        <v>2150</v>
      </c>
      <c r="H1128" s="16" t="s">
        <v>2151</v>
      </c>
      <c r="I1128" s="16" t="s">
        <v>105</v>
      </c>
      <c r="J1128" s="16" t="s">
        <v>106</v>
      </c>
      <c r="K1128" s="16"/>
      <c r="L1128" s="16" t="s">
        <v>105</v>
      </c>
      <c r="M1128" s="16" t="s">
        <v>106</v>
      </c>
      <c r="N1128" s="16" t="s">
        <v>290</v>
      </c>
      <c r="O1128" s="16" t="s">
        <v>107</v>
      </c>
      <c r="P1128" s="16" t="s">
        <v>110</v>
      </c>
      <c r="Q1128" s="16" t="s">
        <v>110</v>
      </c>
      <c r="R1128" s="16" t="s">
        <v>137</v>
      </c>
      <c r="S1128" s="16" t="s">
        <v>272</v>
      </c>
      <c r="T1128" s="16" t="s">
        <v>2155</v>
      </c>
      <c r="U1128" s="16" t="s">
        <v>73</v>
      </c>
      <c r="V1128" s="16" t="n">
        <v>160.91</v>
      </c>
      <c r="W1128" s="16" t="n">
        <v>1.38</v>
      </c>
      <c r="X1128" s="16" t="n">
        <v>180</v>
      </c>
      <c r="Y1128" s="16"/>
      <c r="Z1128" s="16"/>
      <c r="AA1128" s="16" t="n">
        <v>180</v>
      </c>
      <c r="AB1128" s="16"/>
      <c r="AC1128" s="16"/>
      <c r="AD1128" s="16"/>
      <c r="AE1128" s="16" t="n">
        <v>180</v>
      </c>
      <c r="AF1128" s="16"/>
      <c r="AG1128" s="16"/>
      <c r="AH1128" s="16"/>
      <c r="AI1128" s="16"/>
      <c r="AJ1128" s="9" t="n">
        <f aca="false">X1128*$V1128</f>
        <v>28963.8</v>
      </c>
      <c r="AK1128" s="9" t="n">
        <f aca="false">Y1128*$V1128</f>
        <v>0</v>
      </c>
      <c r="AL1128" s="9" t="n">
        <f aca="false">Z1128*$V1128</f>
        <v>0</v>
      </c>
      <c r="AM1128" s="9" t="n">
        <f aca="false">AA1128*$V1128</f>
        <v>28963.8</v>
      </c>
      <c r="AN1128" s="9" t="n">
        <f aca="false">AB1128*$V1128</f>
        <v>0</v>
      </c>
      <c r="AO1128" s="9" t="n">
        <f aca="false">AC1128*$V1128</f>
        <v>0</v>
      </c>
      <c r="AP1128" s="9" t="n">
        <f aca="false">AD1128*$V1128</f>
        <v>0</v>
      </c>
      <c r="AQ1128" s="9" t="n">
        <f aca="false">AE1128*$V1128</f>
        <v>28963.8</v>
      </c>
      <c r="AR1128" s="9" t="n">
        <f aca="false">AF1128*$V1128</f>
        <v>0</v>
      </c>
      <c r="AS1128" s="9" t="n">
        <f aca="false">AG1128*$V1128</f>
        <v>0</v>
      </c>
      <c r="AT1128" s="9" t="n">
        <f aca="false">AH1128*$V1128</f>
        <v>0</v>
      </c>
      <c r="AU1128" s="9" t="n">
        <f aca="false">AI1128*$V1128</f>
        <v>0</v>
      </c>
      <c r="AV1128" s="9" t="n">
        <f aca="false">SUM(X1128:AI1128)/1000</f>
        <v>0.54</v>
      </c>
      <c r="AW1128" s="9" t="n">
        <f aca="false">SUM(AJ1128:AU1128)</f>
        <v>86891.4</v>
      </c>
      <c r="AX1128" s="9" t="n">
        <f aca="false">IF(D1128="INR",AW1128/88.24,AW1128)/1000000</f>
        <v>0.000984716681776972</v>
      </c>
    </row>
    <row r="1129" s="2" customFormat="true" ht="14.25" hidden="false" customHeight="false" outlineLevel="0" collapsed="false">
      <c r="A1129" s="12" t="s">
        <v>2156</v>
      </c>
      <c r="B1129" s="16"/>
      <c r="C1129" s="15"/>
      <c r="D1129" s="16" t="s">
        <v>102</v>
      </c>
      <c r="E1129" s="16" t="s">
        <v>51</v>
      </c>
      <c r="F1129" s="16" t="s">
        <v>52</v>
      </c>
      <c r="G1129" s="16" t="s">
        <v>258</v>
      </c>
      <c r="H1129" s="16" t="s">
        <v>259</v>
      </c>
      <c r="I1129" s="16" t="s">
        <v>260</v>
      </c>
      <c r="J1129" s="16" t="s">
        <v>1381</v>
      </c>
      <c r="K1129" s="16"/>
      <c r="L1129" s="16" t="s">
        <v>260</v>
      </c>
      <c r="M1129" s="16" t="s">
        <v>1381</v>
      </c>
      <c r="N1129" s="16" t="s">
        <v>67</v>
      </c>
      <c r="O1129" s="16" t="s">
        <v>107</v>
      </c>
      <c r="P1129" s="16" t="s">
        <v>188</v>
      </c>
      <c r="Q1129" s="16" t="s">
        <v>188</v>
      </c>
      <c r="R1129" s="16" t="s">
        <v>550</v>
      </c>
      <c r="S1129" s="16" t="s">
        <v>528</v>
      </c>
      <c r="T1129" s="16" t="s">
        <v>2157</v>
      </c>
      <c r="U1129" s="16" t="s">
        <v>73</v>
      </c>
      <c r="V1129" s="16" t="n">
        <v>0.0058</v>
      </c>
      <c r="W1129" s="16" t="n">
        <v>0.0052</v>
      </c>
      <c r="X1129" s="16" t="n">
        <v>100000</v>
      </c>
      <c r="Y1129" s="16" t="n">
        <v>100000</v>
      </c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9" t="n">
        <f aca="false">X1129*$V1129</f>
        <v>580</v>
      </c>
      <c r="AK1129" s="9" t="n">
        <f aca="false">Y1129*$V1129</f>
        <v>580</v>
      </c>
      <c r="AL1129" s="9" t="n">
        <f aca="false">Z1129*$V1129</f>
        <v>0</v>
      </c>
      <c r="AM1129" s="9" t="n">
        <f aca="false">AA1129*$V1129</f>
        <v>0</v>
      </c>
      <c r="AN1129" s="9" t="n">
        <f aca="false">AB1129*$V1129</f>
        <v>0</v>
      </c>
      <c r="AO1129" s="9" t="n">
        <f aca="false">AC1129*$V1129</f>
        <v>0</v>
      </c>
      <c r="AP1129" s="9" t="n">
        <f aca="false">AD1129*$V1129</f>
        <v>0</v>
      </c>
      <c r="AQ1129" s="9" t="n">
        <f aca="false">AE1129*$V1129</f>
        <v>0</v>
      </c>
      <c r="AR1129" s="9" t="n">
        <f aca="false">AF1129*$V1129</f>
        <v>0</v>
      </c>
      <c r="AS1129" s="9" t="n">
        <f aca="false">AG1129*$V1129</f>
        <v>0</v>
      </c>
      <c r="AT1129" s="9" t="n">
        <f aca="false">AH1129*$V1129</f>
        <v>0</v>
      </c>
      <c r="AU1129" s="9" t="n">
        <f aca="false">AI1129*$V1129</f>
        <v>0</v>
      </c>
      <c r="AV1129" s="9" t="n">
        <f aca="false">SUM(X1129:AI1129)/1000</f>
        <v>200</v>
      </c>
      <c r="AW1129" s="9" t="n">
        <f aca="false">SUM(AJ1129:AU1129)</f>
        <v>1160</v>
      </c>
      <c r="AX1129" s="9" t="n">
        <f aca="false">IF(D1129="INR",AW1129/88.24,AW1129)/1000000</f>
        <v>0.00116</v>
      </c>
    </row>
    <row r="1130" s="2" customFormat="true" ht="16.4" hidden="false" customHeight="false" outlineLevel="0" collapsed="false">
      <c r="A1130" s="28" t="s">
        <v>2158</v>
      </c>
      <c r="B1130" s="16"/>
      <c r="C1130" s="16" t="n">
        <v>5</v>
      </c>
      <c r="D1130" s="16" t="s">
        <v>50</v>
      </c>
      <c r="E1130" s="16" t="s">
        <v>51</v>
      </c>
      <c r="F1130" s="16" t="s">
        <v>52</v>
      </c>
      <c r="G1130" s="16" t="s">
        <v>2159</v>
      </c>
      <c r="H1130" s="16" t="s">
        <v>2160</v>
      </c>
      <c r="I1130" s="16" t="s">
        <v>105</v>
      </c>
      <c r="J1130" s="16" t="s">
        <v>106</v>
      </c>
      <c r="K1130" s="16"/>
      <c r="L1130" s="16" t="s">
        <v>105</v>
      </c>
      <c r="M1130" s="16" t="s">
        <v>106</v>
      </c>
      <c r="N1130" s="16" t="s">
        <v>290</v>
      </c>
      <c r="O1130" s="16" t="s">
        <v>294</v>
      </c>
      <c r="P1130" s="16" t="s">
        <v>657</v>
      </c>
      <c r="Q1130" s="16" t="s">
        <v>657</v>
      </c>
      <c r="R1130" s="16" t="s">
        <v>81</v>
      </c>
      <c r="S1130" s="16" t="s">
        <v>82</v>
      </c>
      <c r="T1130" s="16" t="s">
        <v>2161</v>
      </c>
      <c r="U1130" s="26" t="s">
        <v>73</v>
      </c>
      <c r="V1130" s="16" t="n">
        <v>27.85</v>
      </c>
      <c r="W1130" s="16" t="n">
        <v>0.25</v>
      </c>
      <c r="X1130" s="16"/>
      <c r="Y1130" s="16"/>
      <c r="Z1130" s="26"/>
      <c r="AA1130" s="16"/>
      <c r="AB1130" s="16" t="n">
        <v>4000</v>
      </c>
      <c r="AC1130" s="16"/>
      <c r="AD1130" s="16"/>
      <c r="AE1130" s="16"/>
      <c r="AF1130" s="16"/>
      <c r="AG1130" s="16"/>
      <c r="AH1130" s="16"/>
      <c r="AI1130" s="16"/>
      <c r="AJ1130" s="9" t="n">
        <f aca="false">X1130*$V1130</f>
        <v>0</v>
      </c>
      <c r="AK1130" s="9" t="n">
        <f aca="false">Y1130*$V1130</f>
        <v>0</v>
      </c>
      <c r="AL1130" s="9" t="n">
        <f aca="false">Z1130*$V1130</f>
        <v>0</v>
      </c>
      <c r="AM1130" s="9" t="n">
        <f aca="false">AA1130*$V1130</f>
        <v>0</v>
      </c>
      <c r="AN1130" s="9" t="n">
        <f aca="false">AB1130*$V1130</f>
        <v>111400</v>
      </c>
      <c r="AO1130" s="9" t="n">
        <f aca="false">AC1130*$V1130</f>
        <v>0</v>
      </c>
      <c r="AP1130" s="9" t="n">
        <f aca="false">AD1130*$V1130</f>
        <v>0</v>
      </c>
      <c r="AQ1130" s="9" t="n">
        <f aca="false">AE1130*$V1130</f>
        <v>0</v>
      </c>
      <c r="AR1130" s="9" t="n">
        <f aca="false">AF1130*$V1130</f>
        <v>0</v>
      </c>
      <c r="AS1130" s="9" t="n">
        <f aca="false">AG1130*$V1130</f>
        <v>0</v>
      </c>
      <c r="AT1130" s="9" t="n">
        <f aca="false">AH1130*$V1130</f>
        <v>0</v>
      </c>
      <c r="AU1130" s="9" t="n">
        <f aca="false">AI1130*$V1130</f>
        <v>0</v>
      </c>
      <c r="AV1130" s="9" t="n">
        <f aca="false">SUM(X1130:AI1130)/1000</f>
        <v>4</v>
      </c>
      <c r="AW1130" s="9" t="n">
        <f aca="false">SUM(AJ1130:AU1130)</f>
        <v>111400</v>
      </c>
      <c r="AX1130" s="9" t="n">
        <f aca="false">IF(D1130="INR",AW1130/88.24,AW1130)/1000000</f>
        <v>0.00126246600181324</v>
      </c>
    </row>
    <row r="1131" s="2" customFormat="true" ht="16.4" hidden="false" customHeight="false" outlineLevel="0" collapsed="false">
      <c r="A1131" s="28" t="s">
        <v>2162</v>
      </c>
      <c r="B1131" s="16"/>
      <c r="C1131" s="16" t="n">
        <v>5</v>
      </c>
      <c r="D1131" s="16" t="s">
        <v>50</v>
      </c>
      <c r="E1131" s="16" t="s">
        <v>51</v>
      </c>
      <c r="F1131" s="16" t="s">
        <v>52</v>
      </c>
      <c r="G1131" s="16" t="s">
        <v>2163</v>
      </c>
      <c r="H1131" s="16" t="s">
        <v>2164</v>
      </c>
      <c r="I1131" s="16" t="s">
        <v>1117</v>
      </c>
      <c r="J1131" s="16" t="s">
        <v>2165</v>
      </c>
      <c r="K1131" s="16"/>
      <c r="L1131" s="16" t="s">
        <v>1117</v>
      </c>
      <c r="M1131" s="16" t="s">
        <v>2165</v>
      </c>
      <c r="N1131" s="16" t="s">
        <v>290</v>
      </c>
      <c r="O1131" s="16" t="s">
        <v>58</v>
      </c>
      <c r="P1131" s="16" t="s">
        <v>308</v>
      </c>
      <c r="Q1131" s="16" t="s">
        <v>308</v>
      </c>
      <c r="R1131" s="16" t="s">
        <v>309</v>
      </c>
      <c r="S1131" s="16" t="s">
        <v>264</v>
      </c>
      <c r="T1131" s="16" t="s">
        <v>394</v>
      </c>
      <c r="U1131" s="16" t="s">
        <v>73</v>
      </c>
      <c r="V1131" s="16" t="n">
        <v>1.05</v>
      </c>
      <c r="W1131" s="16" t="n">
        <v>0.92</v>
      </c>
      <c r="X1131" s="16"/>
      <c r="Y1131" s="16"/>
      <c r="Z1131" s="16"/>
      <c r="AA1131" s="16"/>
      <c r="AB1131" s="16"/>
      <c r="AC1131" s="16"/>
      <c r="AD1131" s="16" t="n">
        <v>5000</v>
      </c>
      <c r="AE1131" s="16"/>
      <c r="AF1131" s="16"/>
      <c r="AG1131" s="16" t="n">
        <v>5000</v>
      </c>
      <c r="AH1131" s="16"/>
      <c r="AI1131" s="16"/>
      <c r="AJ1131" s="9" t="n">
        <f aca="false">X1131*$V1131</f>
        <v>0</v>
      </c>
      <c r="AK1131" s="9" t="n">
        <f aca="false">Y1131*$V1131</f>
        <v>0</v>
      </c>
      <c r="AL1131" s="9" t="n">
        <f aca="false">Z1131*$V1131</f>
        <v>0</v>
      </c>
      <c r="AM1131" s="9" t="n">
        <f aca="false">AA1131*$V1131</f>
        <v>0</v>
      </c>
      <c r="AN1131" s="9" t="n">
        <f aca="false">AB1131*$V1131</f>
        <v>0</v>
      </c>
      <c r="AO1131" s="9" t="n">
        <f aca="false">AC1131*$V1131</f>
        <v>0</v>
      </c>
      <c r="AP1131" s="9" t="n">
        <f aca="false">AD1131*$V1131</f>
        <v>5250</v>
      </c>
      <c r="AQ1131" s="9" t="n">
        <f aca="false">AE1131*$V1131</f>
        <v>0</v>
      </c>
      <c r="AR1131" s="9" t="n">
        <f aca="false">AF1131*$V1131</f>
        <v>0</v>
      </c>
      <c r="AS1131" s="9" t="n">
        <f aca="false">AG1131*$V1131</f>
        <v>5250</v>
      </c>
      <c r="AT1131" s="9" t="n">
        <f aca="false">AH1131*$V1131</f>
        <v>0</v>
      </c>
      <c r="AU1131" s="9" t="n">
        <f aca="false">AI1131*$V1131</f>
        <v>0</v>
      </c>
      <c r="AV1131" s="9" t="n">
        <f aca="false">SUM(X1131:AI1131)/1000</f>
        <v>10</v>
      </c>
      <c r="AW1131" s="9" t="n">
        <f aca="false">SUM(AJ1131:AU1131)</f>
        <v>10500</v>
      </c>
      <c r="AX1131" s="9" t="n">
        <f aca="false">IF(D1131="INR",AW1131/88.24,AW1131)/1000000</f>
        <v>0.000118993653671804</v>
      </c>
    </row>
    <row r="1132" s="2" customFormat="true" ht="16.4" hidden="false" customHeight="false" outlineLevel="0" collapsed="false">
      <c r="A1132" s="35" t="s">
        <v>2166</v>
      </c>
      <c r="B1132" s="9"/>
      <c r="C1132" s="10" t="n">
        <v>5</v>
      </c>
      <c r="D1132" s="9" t="s">
        <v>50</v>
      </c>
      <c r="E1132" s="9" t="s">
        <v>51</v>
      </c>
      <c r="F1132" s="9" t="s">
        <v>52</v>
      </c>
      <c r="G1132" s="9" t="s">
        <v>2163</v>
      </c>
      <c r="H1132" s="9" t="s">
        <v>2164</v>
      </c>
      <c r="I1132" s="9" t="s">
        <v>1117</v>
      </c>
      <c r="J1132" s="9" t="s">
        <v>2165</v>
      </c>
      <c r="K1132" s="9"/>
      <c r="L1132" s="9" t="s">
        <v>1117</v>
      </c>
      <c r="M1132" s="9" t="s">
        <v>2165</v>
      </c>
      <c r="N1132" s="9" t="s">
        <v>290</v>
      </c>
      <c r="O1132" s="9" t="s">
        <v>58</v>
      </c>
      <c r="P1132" s="9" t="s">
        <v>308</v>
      </c>
      <c r="Q1132" s="9" t="s">
        <v>308</v>
      </c>
      <c r="R1132" s="9" t="s">
        <v>309</v>
      </c>
      <c r="S1132" s="9" t="s">
        <v>264</v>
      </c>
      <c r="T1132" s="9" t="s">
        <v>2167</v>
      </c>
      <c r="U1132" s="9" t="s">
        <v>73</v>
      </c>
      <c r="V1132" s="9" t="n">
        <v>28.95</v>
      </c>
      <c r="W1132" s="9" t="n">
        <v>24.13</v>
      </c>
      <c r="X1132" s="9"/>
      <c r="Y1132" s="9"/>
      <c r="Z1132" s="9"/>
      <c r="AA1132" s="9"/>
      <c r="AB1132" s="9"/>
      <c r="AC1132" s="9"/>
      <c r="AD1132" s="9" t="n">
        <v>1000</v>
      </c>
      <c r="AE1132" s="9"/>
      <c r="AF1132" s="9"/>
      <c r="AG1132" s="9" t="n">
        <v>1000</v>
      </c>
      <c r="AH1132" s="9"/>
      <c r="AI1132" s="9"/>
      <c r="AJ1132" s="9" t="n">
        <f aca="false">X1132*$V1132</f>
        <v>0</v>
      </c>
      <c r="AK1132" s="9" t="n">
        <f aca="false">Y1132*$V1132</f>
        <v>0</v>
      </c>
      <c r="AL1132" s="9" t="n">
        <f aca="false">Z1132*$V1132</f>
        <v>0</v>
      </c>
      <c r="AM1132" s="9" t="n">
        <f aca="false">AA1132*$V1132</f>
        <v>0</v>
      </c>
      <c r="AN1132" s="9" t="n">
        <f aca="false">AB1132*$V1132</f>
        <v>0</v>
      </c>
      <c r="AO1132" s="9" t="n">
        <f aca="false">AC1132*$V1132</f>
        <v>0</v>
      </c>
      <c r="AP1132" s="9" t="n">
        <f aca="false">AD1132*$V1132</f>
        <v>28950</v>
      </c>
      <c r="AQ1132" s="9" t="n">
        <f aca="false">AE1132*$V1132</f>
        <v>0</v>
      </c>
      <c r="AR1132" s="9" t="n">
        <f aca="false">AF1132*$V1132</f>
        <v>0</v>
      </c>
      <c r="AS1132" s="9" t="n">
        <f aca="false">AG1132*$V1132</f>
        <v>28950</v>
      </c>
      <c r="AT1132" s="9" t="n">
        <f aca="false">AH1132*$V1132</f>
        <v>0</v>
      </c>
      <c r="AU1132" s="9" t="n">
        <f aca="false">AI1132*$V1132</f>
        <v>0</v>
      </c>
      <c r="AV1132" s="9" t="n">
        <f aca="false">SUM(X1132:AI1132)/1000</f>
        <v>2</v>
      </c>
      <c r="AW1132" s="9" t="n">
        <f aca="false">SUM(AJ1132:AU1132)</f>
        <v>57900</v>
      </c>
      <c r="AX1132" s="9" t="n">
        <f aca="false">IF(D1132="INR",AW1132/88.24,AW1132)/1000000</f>
        <v>0.000656165004533092</v>
      </c>
    </row>
    <row r="1133" s="2" customFormat="true" ht="16.4" hidden="false" customHeight="false" outlineLevel="0" collapsed="false">
      <c r="A1133" s="35" t="s">
        <v>2168</v>
      </c>
      <c r="B1133" s="9"/>
      <c r="C1133" s="10" t="n">
        <v>5</v>
      </c>
      <c r="D1133" s="9" t="s">
        <v>50</v>
      </c>
      <c r="E1133" s="9" t="s">
        <v>51</v>
      </c>
      <c r="F1133" s="9" t="s">
        <v>52</v>
      </c>
      <c r="G1133" s="9" t="s">
        <v>2163</v>
      </c>
      <c r="H1133" s="9" t="s">
        <v>2164</v>
      </c>
      <c r="I1133" s="9" t="s">
        <v>1117</v>
      </c>
      <c r="J1133" s="9" t="s">
        <v>2165</v>
      </c>
      <c r="K1133" s="9"/>
      <c r="L1133" s="9" t="s">
        <v>1117</v>
      </c>
      <c r="M1133" s="9" t="s">
        <v>2165</v>
      </c>
      <c r="N1133" s="9" t="s">
        <v>290</v>
      </c>
      <c r="O1133" s="9" t="s">
        <v>58</v>
      </c>
      <c r="P1133" s="9" t="s">
        <v>85</v>
      </c>
      <c r="Q1133" s="9" t="s">
        <v>85</v>
      </c>
      <c r="R1133" s="9" t="s">
        <v>86</v>
      </c>
      <c r="S1133" s="9" t="s">
        <v>87</v>
      </c>
      <c r="T1133" s="9" t="s">
        <v>2169</v>
      </c>
      <c r="U1133" s="9" t="s">
        <v>73</v>
      </c>
      <c r="V1133" s="9" t="n">
        <v>115</v>
      </c>
      <c r="W1133" s="9" t="n">
        <v>1.1</v>
      </c>
      <c r="X1133" s="9"/>
      <c r="Y1133" s="9" t="n">
        <v>200</v>
      </c>
      <c r="Z1133" s="9"/>
      <c r="AA1133" s="9"/>
      <c r="AB1133" s="9" t="n">
        <v>200</v>
      </c>
      <c r="AC1133" s="9" t="n">
        <v>200</v>
      </c>
      <c r="AD1133" s="9"/>
      <c r="AE1133" s="9"/>
      <c r="AF1133" s="9"/>
      <c r="AG1133" s="9"/>
      <c r="AH1133" s="9"/>
      <c r="AI1133" s="9"/>
      <c r="AJ1133" s="9" t="n">
        <f aca="false">X1133*$V1133</f>
        <v>0</v>
      </c>
      <c r="AK1133" s="9" t="n">
        <f aca="false">Y1133*$V1133</f>
        <v>23000</v>
      </c>
      <c r="AL1133" s="9" t="n">
        <f aca="false">Z1133*$V1133</f>
        <v>0</v>
      </c>
      <c r="AM1133" s="9" t="n">
        <f aca="false">AA1133*$V1133</f>
        <v>0</v>
      </c>
      <c r="AN1133" s="9" t="n">
        <f aca="false">AB1133*$V1133</f>
        <v>23000</v>
      </c>
      <c r="AO1133" s="9" t="n">
        <f aca="false">AC1133*$V1133</f>
        <v>23000</v>
      </c>
      <c r="AP1133" s="9" t="n">
        <f aca="false">AD1133*$V1133</f>
        <v>0</v>
      </c>
      <c r="AQ1133" s="9" t="n">
        <f aca="false">AE1133*$V1133</f>
        <v>0</v>
      </c>
      <c r="AR1133" s="9" t="n">
        <f aca="false">AF1133*$V1133</f>
        <v>0</v>
      </c>
      <c r="AS1133" s="9" t="n">
        <f aca="false">AG1133*$V1133</f>
        <v>0</v>
      </c>
      <c r="AT1133" s="9" t="n">
        <f aca="false">AH1133*$V1133</f>
        <v>0</v>
      </c>
      <c r="AU1133" s="9" t="n">
        <f aca="false">AI1133*$V1133</f>
        <v>0</v>
      </c>
      <c r="AV1133" s="9" t="n">
        <f aca="false">SUM(X1133:AI1133)/1000</f>
        <v>0.6</v>
      </c>
      <c r="AW1133" s="9" t="n">
        <f aca="false">SUM(AJ1133:AU1133)</f>
        <v>69000</v>
      </c>
      <c r="AX1133" s="9" t="n">
        <f aca="false">IF(D1133="INR",AW1133/88.24,AW1133)/1000000</f>
        <v>0.00078195829555757</v>
      </c>
    </row>
    <row r="1134" s="2" customFormat="true" ht="16.4" hidden="false" customHeight="false" outlineLevel="0" collapsed="false">
      <c r="A1134" s="35" t="s">
        <v>2170</v>
      </c>
      <c r="B1134" s="9"/>
      <c r="C1134" s="10"/>
      <c r="D1134" s="9" t="s">
        <v>102</v>
      </c>
      <c r="E1134" s="9" t="s">
        <v>51</v>
      </c>
      <c r="F1134" s="9" t="s">
        <v>52</v>
      </c>
      <c r="G1134" s="9" t="s">
        <v>258</v>
      </c>
      <c r="H1134" s="9" t="s">
        <v>259</v>
      </c>
      <c r="I1134" s="9" t="s">
        <v>260</v>
      </c>
      <c r="J1134" s="9" t="s">
        <v>1381</v>
      </c>
      <c r="K1134" s="9"/>
      <c r="L1134" s="9" t="s">
        <v>260</v>
      </c>
      <c r="M1134" s="9" t="s">
        <v>1381</v>
      </c>
      <c r="N1134" s="16" t="s">
        <v>67</v>
      </c>
      <c r="O1134" s="9" t="s">
        <v>107</v>
      </c>
      <c r="P1134" s="9" t="s">
        <v>188</v>
      </c>
      <c r="Q1134" s="9" t="s">
        <v>188</v>
      </c>
      <c r="R1134" s="9" t="s">
        <v>550</v>
      </c>
      <c r="S1134" s="9" t="s">
        <v>528</v>
      </c>
      <c r="T1134" s="9" t="s">
        <v>2171</v>
      </c>
      <c r="U1134" s="9" t="s">
        <v>73</v>
      </c>
      <c r="V1134" s="9" t="n">
        <v>0.0058</v>
      </c>
      <c r="W1134" s="9" t="n">
        <v>0.0052</v>
      </c>
      <c r="X1134" s="9" t="n">
        <v>51000</v>
      </c>
      <c r="Y1134" s="9" t="n">
        <v>51000</v>
      </c>
      <c r="Z1134" s="9" t="n">
        <v>51000</v>
      </c>
      <c r="AA1134" s="9"/>
      <c r="AB1134" s="9"/>
      <c r="AC1134" s="9"/>
      <c r="AD1134" s="9"/>
      <c r="AE1134" s="9"/>
      <c r="AF1134" s="9"/>
      <c r="AG1134" s="9"/>
      <c r="AH1134" s="9"/>
      <c r="AI1134" s="9"/>
      <c r="AJ1134" s="9" t="n">
        <f aca="false">X1134*$V1134</f>
        <v>295.8</v>
      </c>
      <c r="AK1134" s="9" t="n">
        <f aca="false">Y1134*$V1134</f>
        <v>295.8</v>
      </c>
      <c r="AL1134" s="9" t="n">
        <f aca="false">Z1134*$V1134</f>
        <v>295.8</v>
      </c>
      <c r="AM1134" s="9" t="n">
        <f aca="false">AA1134*$V1134</f>
        <v>0</v>
      </c>
      <c r="AN1134" s="9" t="n">
        <f aca="false">AB1134*$V1134</f>
        <v>0</v>
      </c>
      <c r="AO1134" s="9" t="n">
        <f aca="false">AC1134*$V1134</f>
        <v>0</v>
      </c>
      <c r="AP1134" s="9" t="n">
        <f aca="false">AD1134*$V1134</f>
        <v>0</v>
      </c>
      <c r="AQ1134" s="9" t="n">
        <f aca="false">AE1134*$V1134</f>
        <v>0</v>
      </c>
      <c r="AR1134" s="9" t="n">
        <f aca="false">AF1134*$V1134</f>
        <v>0</v>
      </c>
      <c r="AS1134" s="9" t="n">
        <f aca="false">AG1134*$V1134</f>
        <v>0</v>
      </c>
      <c r="AT1134" s="9" t="n">
        <f aca="false">AH1134*$V1134</f>
        <v>0</v>
      </c>
      <c r="AU1134" s="9" t="n">
        <f aca="false">AI1134*$V1134</f>
        <v>0</v>
      </c>
      <c r="AV1134" s="9" t="n">
        <f aca="false">SUM(X1134:AI1134)/1000</f>
        <v>153</v>
      </c>
      <c r="AW1134" s="9" t="n">
        <f aca="false">SUM(AJ1134:AU1134)</f>
        <v>887.4</v>
      </c>
      <c r="AX1134" s="9" t="n">
        <f aca="false">IF(D1134="INR",AW1134/88.24,AW1134)/1000000</f>
        <v>0.0008874</v>
      </c>
    </row>
    <row r="1135" s="2" customFormat="true" ht="16.4" hidden="false" customHeight="false" outlineLevel="0" collapsed="false">
      <c r="A1135" s="28" t="s">
        <v>2172</v>
      </c>
      <c r="B1135" s="16"/>
      <c r="C1135" s="16" t="n">
        <v>5</v>
      </c>
      <c r="D1135" s="16" t="s">
        <v>50</v>
      </c>
      <c r="E1135" s="16" t="s">
        <v>51</v>
      </c>
      <c r="F1135" s="16" t="s">
        <v>52</v>
      </c>
      <c r="G1135" s="16" t="s">
        <v>1960</v>
      </c>
      <c r="H1135" s="16" t="s">
        <v>1961</v>
      </c>
      <c r="I1135" s="16" t="s">
        <v>105</v>
      </c>
      <c r="J1135" s="16" t="s">
        <v>478</v>
      </c>
      <c r="K1135" s="16"/>
      <c r="L1135" s="16" t="s">
        <v>105</v>
      </c>
      <c r="M1135" s="16" t="s">
        <v>478</v>
      </c>
      <c r="N1135" s="16" t="s">
        <v>290</v>
      </c>
      <c r="O1135" s="16" t="s">
        <v>107</v>
      </c>
      <c r="P1135" s="16" t="s">
        <v>308</v>
      </c>
      <c r="Q1135" s="16" t="s">
        <v>308</v>
      </c>
      <c r="R1135" s="16" t="s">
        <v>309</v>
      </c>
      <c r="S1135" s="16" t="s">
        <v>264</v>
      </c>
      <c r="T1135" s="16" t="s">
        <v>2173</v>
      </c>
      <c r="U1135" s="16" t="s">
        <v>73</v>
      </c>
      <c r="V1135" s="16" t="n">
        <v>4.3</v>
      </c>
      <c r="W1135" s="16" t="n">
        <v>3.71</v>
      </c>
      <c r="X1135" s="16"/>
      <c r="Y1135" s="16"/>
      <c r="Z1135" s="16"/>
      <c r="AA1135" s="16"/>
      <c r="AB1135" s="16"/>
      <c r="AC1135" s="16"/>
      <c r="AD1135" s="16" t="n">
        <v>6000</v>
      </c>
      <c r="AE1135" s="16"/>
      <c r="AF1135" s="16"/>
      <c r="AG1135" s="16"/>
      <c r="AH1135" s="16"/>
      <c r="AI1135" s="16"/>
      <c r="AJ1135" s="9" t="n">
        <f aca="false">X1135*$V1135</f>
        <v>0</v>
      </c>
      <c r="AK1135" s="9" t="n">
        <f aca="false">Y1135*$V1135</f>
        <v>0</v>
      </c>
      <c r="AL1135" s="9" t="n">
        <f aca="false">Z1135*$V1135</f>
        <v>0</v>
      </c>
      <c r="AM1135" s="9" t="n">
        <f aca="false">AA1135*$V1135</f>
        <v>0</v>
      </c>
      <c r="AN1135" s="9" t="n">
        <f aca="false">AB1135*$V1135</f>
        <v>0</v>
      </c>
      <c r="AO1135" s="9" t="n">
        <f aca="false">AC1135*$V1135</f>
        <v>0</v>
      </c>
      <c r="AP1135" s="9" t="n">
        <f aca="false">AD1135*$V1135</f>
        <v>25800</v>
      </c>
      <c r="AQ1135" s="9" t="n">
        <f aca="false">AE1135*$V1135</f>
        <v>0</v>
      </c>
      <c r="AR1135" s="9" t="n">
        <f aca="false">AF1135*$V1135</f>
        <v>0</v>
      </c>
      <c r="AS1135" s="9" t="n">
        <f aca="false">AG1135*$V1135</f>
        <v>0</v>
      </c>
      <c r="AT1135" s="9" t="n">
        <f aca="false">AH1135*$V1135</f>
        <v>0</v>
      </c>
      <c r="AU1135" s="9" t="n">
        <f aca="false">AI1135*$V1135</f>
        <v>0</v>
      </c>
      <c r="AV1135" s="9" t="n">
        <f aca="false">SUM(X1135:AI1135)/1000</f>
        <v>6</v>
      </c>
      <c r="AW1135" s="9" t="n">
        <f aca="false">SUM(AJ1135:AU1135)</f>
        <v>25800</v>
      </c>
      <c r="AX1135" s="9" t="n">
        <f aca="false">IF(D1135="INR",AW1135/88.24,AW1135)/1000000</f>
        <v>0.000292384406165005</v>
      </c>
    </row>
    <row r="1136" s="2" customFormat="true" ht="14.25" hidden="false" customHeight="false" outlineLevel="0" collapsed="false">
      <c r="A1136" s="12" t="s">
        <v>2174</v>
      </c>
      <c r="B1136" s="16"/>
      <c r="C1136" s="15"/>
      <c r="D1136" s="16" t="s">
        <v>50</v>
      </c>
      <c r="E1136" s="16" t="s">
        <v>51</v>
      </c>
      <c r="F1136" s="16" t="s">
        <v>97</v>
      </c>
      <c r="G1136" s="16" t="s">
        <v>1598</v>
      </c>
      <c r="H1136" s="16" t="s">
        <v>1599</v>
      </c>
      <c r="I1136" s="16" t="s">
        <v>105</v>
      </c>
      <c r="J1136" s="16" t="s">
        <v>1073</v>
      </c>
      <c r="K1136" s="16"/>
      <c r="L1136" s="16" t="s">
        <v>105</v>
      </c>
      <c r="M1136" s="16" t="s">
        <v>1073</v>
      </c>
      <c r="N1136" s="16" t="s">
        <v>79</v>
      </c>
      <c r="O1136" s="16" t="s">
        <v>107</v>
      </c>
      <c r="P1136" s="16" t="s">
        <v>85</v>
      </c>
      <c r="Q1136" s="16" t="s">
        <v>85</v>
      </c>
      <c r="R1136" s="16" t="s">
        <v>86</v>
      </c>
      <c r="S1136" s="16" t="s">
        <v>87</v>
      </c>
      <c r="T1136" s="16" t="s">
        <v>2175</v>
      </c>
      <c r="U1136" s="16" t="s">
        <v>73</v>
      </c>
      <c r="V1136" s="16" t="n">
        <v>262.65</v>
      </c>
      <c r="W1136" s="16" t="n">
        <v>2.23</v>
      </c>
      <c r="X1136" s="22"/>
      <c r="Y1136" s="22" t="n">
        <v>400</v>
      </c>
      <c r="Z1136" s="22"/>
      <c r="AA1136" s="22"/>
      <c r="AB1136" s="22"/>
      <c r="AC1136" s="22" t="n">
        <v>400</v>
      </c>
      <c r="AD1136" s="22"/>
      <c r="AE1136" s="22"/>
      <c r="AF1136" s="22" t="n">
        <v>400</v>
      </c>
      <c r="AG1136" s="22"/>
      <c r="AH1136" s="22"/>
      <c r="AI1136" s="22"/>
      <c r="AJ1136" s="9" t="n">
        <f aca="false">X1136*$V1136</f>
        <v>0</v>
      </c>
      <c r="AK1136" s="9" t="n">
        <f aca="false">Y1136*$V1136</f>
        <v>105060</v>
      </c>
      <c r="AL1136" s="9" t="n">
        <f aca="false">Z1136*$V1136</f>
        <v>0</v>
      </c>
      <c r="AM1136" s="9" t="n">
        <f aca="false">AA1136*$V1136</f>
        <v>0</v>
      </c>
      <c r="AN1136" s="9" t="n">
        <f aca="false">AB1136*$V1136</f>
        <v>0</v>
      </c>
      <c r="AO1136" s="9" t="n">
        <f aca="false">AC1136*$V1136</f>
        <v>105060</v>
      </c>
      <c r="AP1136" s="9" t="n">
        <f aca="false">AD1136*$V1136</f>
        <v>0</v>
      </c>
      <c r="AQ1136" s="9" t="n">
        <f aca="false">AE1136*$V1136</f>
        <v>0</v>
      </c>
      <c r="AR1136" s="9" t="n">
        <f aca="false">AF1136*$V1136</f>
        <v>105060</v>
      </c>
      <c r="AS1136" s="9" t="n">
        <f aca="false">AG1136*$V1136</f>
        <v>0</v>
      </c>
      <c r="AT1136" s="9" t="n">
        <f aca="false">AH1136*$V1136</f>
        <v>0</v>
      </c>
      <c r="AU1136" s="9" t="n">
        <f aca="false">AI1136*$V1136</f>
        <v>0</v>
      </c>
      <c r="AV1136" s="9" t="n">
        <f aca="false">SUM(X1136:AI1136)/1000</f>
        <v>1.2</v>
      </c>
      <c r="AW1136" s="9" t="n">
        <f aca="false">SUM(AJ1136:AU1136)</f>
        <v>315180</v>
      </c>
      <c r="AX1136" s="9" t="n">
        <f aca="false">IF(D1136="INR",AW1136/88.24,AW1136)/1000000</f>
        <v>0.00357184950135993</v>
      </c>
    </row>
    <row r="1137" s="2" customFormat="true" ht="16.4" hidden="false" customHeight="false" outlineLevel="0" collapsed="false">
      <c r="A1137" s="35" t="s">
        <v>2176</v>
      </c>
      <c r="B1137" s="9" t="n">
        <v>5</v>
      </c>
      <c r="C1137" s="10"/>
      <c r="D1137" s="9" t="s">
        <v>50</v>
      </c>
      <c r="E1137" s="9" t="s">
        <v>51</v>
      </c>
      <c r="F1137" s="9" t="s">
        <v>404</v>
      </c>
      <c r="G1137" s="9" t="s">
        <v>2177</v>
      </c>
      <c r="H1137" s="9" t="s">
        <v>2178</v>
      </c>
      <c r="I1137" s="9" t="s">
        <v>105</v>
      </c>
      <c r="J1137" s="9" t="s">
        <v>368</v>
      </c>
      <c r="K1137" s="9"/>
      <c r="L1137" s="9" t="s">
        <v>105</v>
      </c>
      <c r="M1137" s="9" t="s">
        <v>368</v>
      </c>
      <c r="N1137" s="9" t="s">
        <v>271</v>
      </c>
      <c r="O1137" s="9" t="s">
        <v>94</v>
      </c>
      <c r="P1137" s="9" t="s">
        <v>69</v>
      </c>
      <c r="Q1137" s="9" t="s">
        <v>69</v>
      </c>
      <c r="R1137" s="9" t="s">
        <v>70</v>
      </c>
      <c r="S1137" s="9" t="s">
        <v>71</v>
      </c>
      <c r="T1137" s="9" t="s">
        <v>960</v>
      </c>
      <c r="U1137" s="9" t="s">
        <v>73</v>
      </c>
      <c r="V1137" s="9" t="n">
        <v>12</v>
      </c>
      <c r="W1137" s="9" t="n">
        <v>0.0805</v>
      </c>
      <c r="X1137" s="9"/>
      <c r="Y1137" s="9" t="n">
        <v>1000</v>
      </c>
      <c r="Z1137" s="9"/>
      <c r="AA1137" s="9"/>
      <c r="AB1137" s="9" t="n">
        <v>1000</v>
      </c>
      <c r="AC1137" s="9"/>
      <c r="AD1137" s="9"/>
      <c r="AE1137" s="9" t="n">
        <v>1000</v>
      </c>
      <c r="AF1137" s="9"/>
      <c r="AG1137" s="9"/>
      <c r="AH1137" s="9" t="n">
        <v>1000</v>
      </c>
      <c r="AI1137" s="9"/>
      <c r="AJ1137" s="9" t="n">
        <f aca="false">X1137*$V1137</f>
        <v>0</v>
      </c>
      <c r="AK1137" s="9" t="n">
        <f aca="false">Y1137*$V1137</f>
        <v>12000</v>
      </c>
      <c r="AL1137" s="9" t="n">
        <f aca="false">Z1137*$V1137</f>
        <v>0</v>
      </c>
      <c r="AM1137" s="9" t="n">
        <f aca="false">AA1137*$V1137</f>
        <v>0</v>
      </c>
      <c r="AN1137" s="9" t="n">
        <f aca="false">AB1137*$V1137</f>
        <v>12000</v>
      </c>
      <c r="AO1137" s="9" t="n">
        <f aca="false">AC1137*$V1137</f>
        <v>0</v>
      </c>
      <c r="AP1137" s="9" t="n">
        <f aca="false">AD1137*$V1137</f>
        <v>0</v>
      </c>
      <c r="AQ1137" s="9" t="n">
        <f aca="false">AE1137*$V1137</f>
        <v>12000</v>
      </c>
      <c r="AR1137" s="9" t="n">
        <f aca="false">AF1137*$V1137</f>
        <v>0</v>
      </c>
      <c r="AS1137" s="9" t="n">
        <f aca="false">AG1137*$V1137</f>
        <v>0</v>
      </c>
      <c r="AT1137" s="9" t="n">
        <f aca="false">AH1137*$V1137</f>
        <v>12000</v>
      </c>
      <c r="AU1137" s="9" t="n">
        <f aca="false">AI1137*$V1137</f>
        <v>0</v>
      </c>
      <c r="AV1137" s="9" t="n">
        <f aca="false">SUM(X1137:AI1137)/1000</f>
        <v>4</v>
      </c>
      <c r="AW1137" s="9" t="n">
        <f aca="false">SUM(AJ1137:AU1137)</f>
        <v>48000</v>
      </c>
      <c r="AX1137" s="9" t="n">
        <f aca="false">IF(D1137="INR",AW1137/88.24,AW1137)/1000000</f>
        <v>0.000543970988213962</v>
      </c>
    </row>
    <row r="1138" s="2" customFormat="true" ht="14.25" hidden="false" customHeight="false" outlineLevel="0" collapsed="false">
      <c r="A1138" s="28"/>
      <c r="B1138" s="16" t="n">
        <v>1</v>
      </c>
      <c r="C1138" s="16"/>
      <c r="D1138" s="16" t="s">
        <v>50</v>
      </c>
      <c r="E1138" s="16"/>
      <c r="F1138" s="16" t="s">
        <v>243</v>
      </c>
      <c r="G1138" s="16"/>
      <c r="H1138" s="16" t="s">
        <v>1272</v>
      </c>
      <c r="I1138" s="16"/>
      <c r="J1138" s="16"/>
      <c r="K1138" s="16"/>
      <c r="L1138" s="16"/>
      <c r="M1138" s="16"/>
      <c r="N1138" s="16" t="s">
        <v>93</v>
      </c>
      <c r="O1138" s="16"/>
      <c r="P1138" s="16"/>
      <c r="Q1138" s="16" t="s">
        <v>1507</v>
      </c>
      <c r="R1138" s="16"/>
      <c r="S1138" s="16"/>
      <c r="T1138" s="16" t="s">
        <v>2179</v>
      </c>
      <c r="U1138" s="16"/>
      <c r="V1138" s="16" t="n">
        <v>1.19</v>
      </c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 t="n">
        <v>75000</v>
      </c>
      <c r="AG1138" s="16"/>
      <c r="AH1138" s="16"/>
      <c r="AI1138" s="16"/>
      <c r="AJ1138" s="9" t="n">
        <f aca="false">X1138*$V1138</f>
        <v>0</v>
      </c>
      <c r="AK1138" s="9" t="n">
        <f aca="false">Y1138*$V1138</f>
        <v>0</v>
      </c>
      <c r="AL1138" s="9" t="n">
        <f aca="false">Z1138*$V1138</f>
        <v>0</v>
      </c>
      <c r="AM1138" s="9" t="n">
        <f aca="false">AA1138*$V1138</f>
        <v>0</v>
      </c>
      <c r="AN1138" s="9" t="n">
        <f aca="false">AB1138*$V1138</f>
        <v>0</v>
      </c>
      <c r="AO1138" s="9" t="n">
        <f aca="false">AC1138*$V1138</f>
        <v>0</v>
      </c>
      <c r="AP1138" s="9" t="n">
        <f aca="false">AD1138*$V1138</f>
        <v>0</v>
      </c>
      <c r="AQ1138" s="9" t="n">
        <f aca="false">AE1138*$V1138</f>
        <v>0</v>
      </c>
      <c r="AR1138" s="9" t="n">
        <f aca="false">AF1138*$V1138</f>
        <v>89250</v>
      </c>
      <c r="AS1138" s="9" t="n">
        <f aca="false">AG1138*$V1138</f>
        <v>0</v>
      </c>
      <c r="AT1138" s="9" t="n">
        <f aca="false">AH1138*$V1138</f>
        <v>0</v>
      </c>
      <c r="AU1138" s="9" t="n">
        <f aca="false">AI1138*$V1138</f>
        <v>0</v>
      </c>
      <c r="AV1138" s="9" t="n">
        <f aca="false">SUM(X1138:AI1138)/1000</f>
        <v>75</v>
      </c>
      <c r="AW1138" s="9" t="n">
        <f aca="false">SUM(AJ1138:AU1138)</f>
        <v>89250</v>
      </c>
      <c r="AX1138" s="9" t="n">
        <f aca="false">IF(D1138="INR",AW1138/88.24,AW1138)/1000000</f>
        <v>0.00101144605621034</v>
      </c>
    </row>
    <row r="1139" s="2" customFormat="true" ht="14.25" hidden="false" customHeight="false" outlineLevel="0" collapsed="false">
      <c r="A1139" s="28"/>
      <c r="B1139" s="16" t="n">
        <v>1</v>
      </c>
      <c r="C1139" s="16"/>
      <c r="D1139" s="16" t="s">
        <v>50</v>
      </c>
      <c r="E1139" s="16"/>
      <c r="F1139" s="16" t="s">
        <v>243</v>
      </c>
      <c r="G1139" s="16"/>
      <c r="H1139" s="16" t="s">
        <v>1272</v>
      </c>
      <c r="I1139" s="16"/>
      <c r="J1139" s="16"/>
      <c r="K1139" s="16"/>
      <c r="L1139" s="16"/>
      <c r="M1139" s="16"/>
      <c r="N1139" s="16" t="s">
        <v>93</v>
      </c>
      <c r="O1139" s="16"/>
      <c r="P1139" s="16"/>
      <c r="Q1139" s="16" t="s">
        <v>1507</v>
      </c>
      <c r="R1139" s="16"/>
      <c r="S1139" s="16"/>
      <c r="T1139" s="16" t="s">
        <v>2180</v>
      </c>
      <c r="U1139" s="16"/>
      <c r="V1139" s="16" t="n">
        <v>1.06</v>
      </c>
      <c r="W1139" s="16"/>
      <c r="X1139" s="16"/>
      <c r="Y1139" s="16"/>
      <c r="Z1139" s="16"/>
      <c r="AA1139" s="16" t="n">
        <v>8000</v>
      </c>
      <c r="AB1139" s="16" t="n">
        <v>12000</v>
      </c>
      <c r="AC1139" s="16"/>
      <c r="AD1139" s="16"/>
      <c r="AE1139" s="16"/>
      <c r="AF1139" s="16"/>
      <c r="AG1139" s="16"/>
      <c r="AH1139" s="16"/>
      <c r="AI1139" s="16"/>
      <c r="AJ1139" s="9" t="n">
        <f aca="false">X1139*$V1139</f>
        <v>0</v>
      </c>
      <c r="AK1139" s="9" t="n">
        <f aca="false">Y1139*$V1139</f>
        <v>0</v>
      </c>
      <c r="AL1139" s="9" t="n">
        <f aca="false">Z1139*$V1139</f>
        <v>0</v>
      </c>
      <c r="AM1139" s="9" t="n">
        <f aca="false">AA1139*$V1139</f>
        <v>8480</v>
      </c>
      <c r="AN1139" s="9" t="n">
        <f aca="false">AB1139*$V1139</f>
        <v>12720</v>
      </c>
      <c r="AO1139" s="9" t="n">
        <f aca="false">AC1139*$V1139</f>
        <v>0</v>
      </c>
      <c r="AP1139" s="9" t="n">
        <f aca="false">AD1139*$V1139</f>
        <v>0</v>
      </c>
      <c r="AQ1139" s="9" t="n">
        <f aca="false">AE1139*$V1139</f>
        <v>0</v>
      </c>
      <c r="AR1139" s="9" t="n">
        <f aca="false">AF1139*$V1139</f>
        <v>0</v>
      </c>
      <c r="AS1139" s="9" t="n">
        <f aca="false">AG1139*$V1139</f>
        <v>0</v>
      </c>
      <c r="AT1139" s="9" t="n">
        <f aca="false">AH1139*$V1139</f>
        <v>0</v>
      </c>
      <c r="AU1139" s="9" t="n">
        <f aca="false">AI1139*$V1139</f>
        <v>0</v>
      </c>
      <c r="AV1139" s="9" t="n">
        <f aca="false">SUM(X1139:AI1139)/1000</f>
        <v>20</v>
      </c>
      <c r="AW1139" s="9" t="n">
        <f aca="false">SUM(AJ1139:AU1139)</f>
        <v>21200</v>
      </c>
      <c r="AX1139" s="9" t="n">
        <f aca="false">IF(D1139="INR",AW1139/88.24,AW1139)/1000000</f>
        <v>0.000240253853127833</v>
      </c>
    </row>
    <row r="1140" s="2" customFormat="true" ht="14.25" hidden="false" customHeight="false" outlineLevel="0" collapsed="false">
      <c r="A1140" s="12"/>
      <c r="B1140" s="16" t="n">
        <v>1</v>
      </c>
      <c r="C1140" s="15"/>
      <c r="D1140" s="16" t="s">
        <v>102</v>
      </c>
      <c r="E1140" s="16"/>
      <c r="F1140" s="16" t="s">
        <v>52</v>
      </c>
      <c r="G1140" s="16" t="s">
        <v>258</v>
      </c>
      <c r="H1140" s="16" t="s">
        <v>259</v>
      </c>
      <c r="I1140" s="16"/>
      <c r="J1140" s="16"/>
      <c r="K1140" s="16"/>
      <c r="L1140" s="16"/>
      <c r="M1140" s="16"/>
      <c r="N1140" s="16" t="s">
        <v>67</v>
      </c>
      <c r="O1140" s="16"/>
      <c r="P1140" s="16"/>
      <c r="Q1140" s="16" t="s">
        <v>2103</v>
      </c>
      <c r="R1140" s="16"/>
      <c r="S1140" s="16"/>
      <c r="T1140" s="16" t="s">
        <v>2181</v>
      </c>
      <c r="U1140" s="16" t="s">
        <v>63</v>
      </c>
      <c r="V1140" s="16" t="n">
        <v>0.03451</v>
      </c>
      <c r="W1140" s="16"/>
      <c r="X1140" s="22" t="n">
        <v>12000</v>
      </c>
      <c r="Y1140" s="22" t="n">
        <v>12000</v>
      </c>
      <c r="Z1140" s="22" t="n">
        <v>12000</v>
      </c>
      <c r="AA1140" s="22" t="n">
        <v>12000</v>
      </c>
      <c r="AB1140" s="22" t="n">
        <v>12000</v>
      </c>
      <c r="AC1140" s="22"/>
      <c r="AD1140" s="22" t="n">
        <v>12000</v>
      </c>
      <c r="AE1140" s="22"/>
      <c r="AF1140" s="22" t="n">
        <v>12000</v>
      </c>
      <c r="AG1140" s="22" t="n">
        <v>12000</v>
      </c>
      <c r="AH1140" s="22" t="n">
        <v>12000</v>
      </c>
      <c r="AI1140" s="22" t="n">
        <v>12000</v>
      </c>
      <c r="AJ1140" s="9" t="n">
        <f aca="false">X1140*$V1140</f>
        <v>414.12</v>
      </c>
      <c r="AK1140" s="9" t="n">
        <f aca="false">Y1140*$V1140</f>
        <v>414.12</v>
      </c>
      <c r="AL1140" s="9" t="n">
        <f aca="false">Z1140*$V1140</f>
        <v>414.12</v>
      </c>
      <c r="AM1140" s="9" t="n">
        <f aca="false">AA1140*$V1140</f>
        <v>414.12</v>
      </c>
      <c r="AN1140" s="9" t="n">
        <f aca="false">AB1140*$V1140</f>
        <v>414.12</v>
      </c>
      <c r="AO1140" s="9" t="n">
        <f aca="false">AC1140*$V1140</f>
        <v>0</v>
      </c>
      <c r="AP1140" s="9" t="n">
        <f aca="false">AD1140*$V1140</f>
        <v>414.12</v>
      </c>
      <c r="AQ1140" s="9" t="n">
        <f aca="false">AE1140*$V1140</f>
        <v>0</v>
      </c>
      <c r="AR1140" s="9" t="n">
        <f aca="false">AF1140*$V1140</f>
        <v>414.12</v>
      </c>
      <c r="AS1140" s="9" t="n">
        <f aca="false">AG1140*$V1140</f>
        <v>414.12</v>
      </c>
      <c r="AT1140" s="9" t="n">
        <f aca="false">AH1140*$V1140</f>
        <v>414.12</v>
      </c>
      <c r="AU1140" s="9" t="n">
        <f aca="false">AI1140*$V1140</f>
        <v>414.12</v>
      </c>
      <c r="AV1140" s="9" t="n">
        <f aca="false">SUM(X1140:AI1140)/1000</f>
        <v>120</v>
      </c>
      <c r="AW1140" s="9" t="n">
        <f aca="false">SUM(AJ1140:AU1140)</f>
        <v>4141.2</v>
      </c>
      <c r="AX1140" s="9" t="n">
        <f aca="false">IF(D1140="INR",AW1140/88.24,AW1140)/1000000</f>
        <v>0.0041412</v>
      </c>
    </row>
    <row r="1141" s="2" customFormat="true" ht="14.25" hidden="false" customHeight="false" outlineLevel="0" collapsed="false">
      <c r="A1141" s="28"/>
      <c r="B1141" s="16"/>
      <c r="C1141" s="15"/>
      <c r="D1141" s="16" t="s">
        <v>50</v>
      </c>
      <c r="E1141" s="16"/>
      <c r="F1141" s="16" t="s">
        <v>243</v>
      </c>
      <c r="G1141" s="16"/>
      <c r="H1141" s="16" t="s">
        <v>1272</v>
      </c>
      <c r="I1141" s="16"/>
      <c r="J1141" s="16"/>
      <c r="K1141" s="16"/>
      <c r="L1141" s="16"/>
      <c r="M1141" s="16"/>
      <c r="N1141" s="16" t="s">
        <v>93</v>
      </c>
      <c r="O1141" s="16"/>
      <c r="P1141" s="16"/>
      <c r="Q1141" s="16" t="s">
        <v>308</v>
      </c>
      <c r="R1141" s="16"/>
      <c r="S1141" s="16"/>
      <c r="T1141" s="16" t="s">
        <v>2182</v>
      </c>
      <c r="U1141" s="16"/>
      <c r="V1141" s="16" t="n">
        <v>2.51</v>
      </c>
      <c r="W1141" s="16"/>
      <c r="X1141" s="16"/>
      <c r="Y1141" s="16"/>
      <c r="Z1141" s="16"/>
      <c r="AA1141" s="16"/>
      <c r="AB1141" s="16" t="n">
        <v>7500</v>
      </c>
      <c r="AC1141" s="16"/>
      <c r="AD1141" s="16"/>
      <c r="AE1141" s="16"/>
      <c r="AF1141" s="16"/>
      <c r="AG1141" s="16"/>
      <c r="AH1141" s="16"/>
      <c r="AI1141" s="16"/>
      <c r="AJ1141" s="9" t="n">
        <f aca="false">X1141*$V1141</f>
        <v>0</v>
      </c>
      <c r="AK1141" s="9" t="n">
        <f aca="false">Y1141*$V1141</f>
        <v>0</v>
      </c>
      <c r="AL1141" s="9" t="n">
        <f aca="false">Z1141*$V1141</f>
        <v>0</v>
      </c>
      <c r="AM1141" s="9" t="n">
        <f aca="false">AA1141*$V1141</f>
        <v>0</v>
      </c>
      <c r="AN1141" s="9" t="n">
        <f aca="false">AB1141*$V1141</f>
        <v>18825</v>
      </c>
      <c r="AO1141" s="9" t="n">
        <f aca="false">AC1141*$V1141</f>
        <v>0</v>
      </c>
      <c r="AP1141" s="9" t="n">
        <f aca="false">AD1141*$V1141</f>
        <v>0</v>
      </c>
      <c r="AQ1141" s="9" t="n">
        <f aca="false">AE1141*$V1141</f>
        <v>0</v>
      </c>
      <c r="AR1141" s="9" t="n">
        <f aca="false">AF1141*$V1141</f>
        <v>0</v>
      </c>
      <c r="AS1141" s="9" t="n">
        <f aca="false">AG1141*$V1141</f>
        <v>0</v>
      </c>
      <c r="AT1141" s="9" t="n">
        <f aca="false">AH1141*$V1141</f>
        <v>0</v>
      </c>
      <c r="AU1141" s="9" t="n">
        <f aca="false">AI1141*$V1141</f>
        <v>0</v>
      </c>
      <c r="AV1141" s="9" t="n">
        <f aca="false">SUM(X1141:AI1141)/1000</f>
        <v>7.5</v>
      </c>
      <c r="AW1141" s="9" t="n">
        <f aca="false">SUM(AJ1141:AU1141)</f>
        <v>18825</v>
      </c>
      <c r="AX1141" s="9" t="n">
        <f aca="false">IF(D1141="INR",AW1141/88.24,AW1141)/1000000</f>
        <v>0.000213338621940163</v>
      </c>
    </row>
    <row r="1142" s="2" customFormat="true" ht="16.4" hidden="false" customHeight="false" outlineLevel="0" collapsed="false">
      <c r="A1142" s="28" t="s">
        <v>2183</v>
      </c>
      <c r="B1142" s="16" t="n">
        <v>5</v>
      </c>
      <c r="C1142" s="16"/>
      <c r="D1142" s="16" t="s">
        <v>50</v>
      </c>
      <c r="E1142" s="16" t="s">
        <v>51</v>
      </c>
      <c r="F1142" s="16" t="s">
        <v>243</v>
      </c>
      <c r="G1142" s="16" t="s">
        <v>1271</v>
      </c>
      <c r="H1142" s="16" t="s">
        <v>1272</v>
      </c>
      <c r="I1142" s="16" t="s">
        <v>105</v>
      </c>
      <c r="J1142" s="16" t="s">
        <v>368</v>
      </c>
      <c r="K1142" s="16"/>
      <c r="L1142" s="16" t="s">
        <v>105</v>
      </c>
      <c r="M1142" s="16" t="s">
        <v>368</v>
      </c>
      <c r="N1142" s="16" t="s">
        <v>93</v>
      </c>
      <c r="O1142" s="16" t="s">
        <v>246</v>
      </c>
      <c r="P1142" s="16" t="s">
        <v>308</v>
      </c>
      <c r="Q1142" s="16" t="s">
        <v>308</v>
      </c>
      <c r="R1142" s="16" t="s">
        <v>309</v>
      </c>
      <c r="S1142" s="16" t="s">
        <v>264</v>
      </c>
      <c r="T1142" s="26" t="s">
        <v>2184</v>
      </c>
      <c r="U1142" s="16" t="s">
        <v>73</v>
      </c>
      <c r="V1142" s="16" t="n">
        <v>4.66</v>
      </c>
      <c r="W1142" s="16" t="n">
        <v>2.95</v>
      </c>
      <c r="X1142" s="16"/>
      <c r="Y1142" s="16"/>
      <c r="Z1142" s="16"/>
      <c r="AA1142" s="16"/>
      <c r="AB1142" s="16" t="n">
        <v>3400</v>
      </c>
      <c r="AC1142" s="16"/>
      <c r="AD1142" s="16"/>
      <c r="AE1142" s="16"/>
      <c r="AF1142" s="16"/>
      <c r="AG1142" s="16"/>
      <c r="AH1142" s="16"/>
      <c r="AI1142" s="16"/>
      <c r="AJ1142" s="9" t="n">
        <f aca="false">X1142*$V1142</f>
        <v>0</v>
      </c>
      <c r="AK1142" s="9" t="n">
        <f aca="false">Y1142*$V1142</f>
        <v>0</v>
      </c>
      <c r="AL1142" s="9" t="n">
        <f aca="false">Z1142*$V1142</f>
        <v>0</v>
      </c>
      <c r="AM1142" s="9" t="n">
        <f aca="false">AA1142*$V1142</f>
        <v>0</v>
      </c>
      <c r="AN1142" s="9" t="n">
        <f aca="false">AB1142*$V1142</f>
        <v>15844</v>
      </c>
      <c r="AO1142" s="9" t="n">
        <f aca="false">AC1142*$V1142</f>
        <v>0</v>
      </c>
      <c r="AP1142" s="9" t="n">
        <f aca="false">AD1142*$V1142</f>
        <v>0</v>
      </c>
      <c r="AQ1142" s="9" t="n">
        <f aca="false">AE1142*$V1142</f>
        <v>0</v>
      </c>
      <c r="AR1142" s="9" t="n">
        <f aca="false">AF1142*$V1142</f>
        <v>0</v>
      </c>
      <c r="AS1142" s="9" t="n">
        <f aca="false">AG1142*$V1142</f>
        <v>0</v>
      </c>
      <c r="AT1142" s="9" t="n">
        <f aca="false">AH1142*$V1142</f>
        <v>0</v>
      </c>
      <c r="AU1142" s="9" t="n">
        <f aca="false">AI1142*$V1142</f>
        <v>0</v>
      </c>
      <c r="AV1142" s="9" t="n">
        <f aca="false">SUM(X1142:AI1142)/1000</f>
        <v>3.4</v>
      </c>
      <c r="AW1142" s="9" t="n">
        <f aca="false">SUM(AJ1142:AU1142)</f>
        <v>15844</v>
      </c>
      <c r="AX1142" s="9" t="n">
        <f aca="false">IF(D1142="INR",AW1142/88.24,AW1142)/1000000</f>
        <v>0.000179555757026292</v>
      </c>
    </row>
    <row r="1143" s="2" customFormat="true" ht="16.4" hidden="false" customHeight="false" outlineLevel="0" collapsed="false">
      <c r="A1143" s="35" t="s">
        <v>2185</v>
      </c>
      <c r="B1143" s="9"/>
      <c r="C1143" s="10"/>
      <c r="D1143" s="9" t="s">
        <v>102</v>
      </c>
      <c r="E1143" s="9" t="s">
        <v>51</v>
      </c>
      <c r="F1143" s="9" t="s">
        <v>52</v>
      </c>
      <c r="G1143" s="9" t="s">
        <v>258</v>
      </c>
      <c r="H1143" s="9" t="s">
        <v>259</v>
      </c>
      <c r="I1143" s="9" t="s">
        <v>260</v>
      </c>
      <c r="J1143" s="9" t="s">
        <v>1381</v>
      </c>
      <c r="K1143" s="9"/>
      <c r="L1143" s="9" t="s">
        <v>260</v>
      </c>
      <c r="M1143" s="9" t="s">
        <v>1381</v>
      </c>
      <c r="N1143" s="16" t="s">
        <v>67</v>
      </c>
      <c r="O1143" s="9" t="s">
        <v>107</v>
      </c>
      <c r="P1143" s="9" t="s">
        <v>188</v>
      </c>
      <c r="Q1143" s="9" t="s">
        <v>188</v>
      </c>
      <c r="R1143" s="9" t="s">
        <v>550</v>
      </c>
      <c r="S1143" s="9" t="s">
        <v>528</v>
      </c>
      <c r="T1143" s="9" t="s">
        <v>2186</v>
      </c>
      <c r="U1143" s="9" t="s">
        <v>73</v>
      </c>
      <c r="V1143" s="9" t="n">
        <v>0.0058</v>
      </c>
      <c r="W1143" s="9" t="n">
        <v>0.0052</v>
      </c>
      <c r="X1143" s="9" t="n">
        <v>38600</v>
      </c>
      <c r="Y1143" s="9" t="n">
        <v>38600</v>
      </c>
      <c r="Z1143" s="9" t="n">
        <v>38600</v>
      </c>
      <c r="AA1143" s="9"/>
      <c r="AB1143" s="9"/>
      <c r="AC1143" s="9"/>
      <c r="AD1143" s="9"/>
      <c r="AE1143" s="9"/>
      <c r="AF1143" s="9"/>
      <c r="AG1143" s="9"/>
      <c r="AH1143" s="9"/>
      <c r="AI1143" s="9"/>
      <c r="AJ1143" s="9" t="n">
        <f aca="false">X1143*$V1143</f>
        <v>223.88</v>
      </c>
      <c r="AK1143" s="9" t="n">
        <f aca="false">Y1143*$V1143</f>
        <v>223.88</v>
      </c>
      <c r="AL1143" s="9" t="n">
        <f aca="false">Z1143*$V1143</f>
        <v>223.88</v>
      </c>
      <c r="AM1143" s="9" t="n">
        <f aca="false">AA1143*$V1143</f>
        <v>0</v>
      </c>
      <c r="AN1143" s="9" t="n">
        <f aca="false">AB1143*$V1143</f>
        <v>0</v>
      </c>
      <c r="AO1143" s="9" t="n">
        <f aca="false">AC1143*$V1143</f>
        <v>0</v>
      </c>
      <c r="AP1143" s="9" t="n">
        <f aca="false">AD1143*$V1143</f>
        <v>0</v>
      </c>
      <c r="AQ1143" s="9" t="n">
        <f aca="false">AE1143*$V1143</f>
        <v>0</v>
      </c>
      <c r="AR1143" s="9" t="n">
        <f aca="false">AF1143*$V1143</f>
        <v>0</v>
      </c>
      <c r="AS1143" s="9" t="n">
        <f aca="false">AG1143*$V1143</f>
        <v>0</v>
      </c>
      <c r="AT1143" s="9" t="n">
        <f aca="false">AH1143*$V1143</f>
        <v>0</v>
      </c>
      <c r="AU1143" s="9" t="n">
        <f aca="false">AI1143*$V1143</f>
        <v>0</v>
      </c>
      <c r="AV1143" s="9" t="n">
        <f aca="false">SUM(X1143:AI1143)/1000</f>
        <v>115.8</v>
      </c>
      <c r="AW1143" s="9" t="n">
        <f aca="false">SUM(AJ1143:AU1143)</f>
        <v>671.64</v>
      </c>
      <c r="AX1143" s="9" t="n">
        <f aca="false">IF(D1143="INR",AW1143/88.24,AW1143)/1000000</f>
        <v>0.00067164</v>
      </c>
    </row>
    <row r="1144" s="2" customFormat="true" ht="14.25" hidden="false" customHeight="false" outlineLevel="0" collapsed="false">
      <c r="A1144" s="12" t="s">
        <v>2187</v>
      </c>
      <c r="B1144" s="16"/>
      <c r="C1144" s="15"/>
      <c r="D1144" s="16" t="s">
        <v>102</v>
      </c>
      <c r="E1144" s="16" t="s">
        <v>51</v>
      </c>
      <c r="F1144" s="16" t="s">
        <v>52</v>
      </c>
      <c r="G1144" s="16" t="s">
        <v>258</v>
      </c>
      <c r="H1144" s="16" t="s">
        <v>259</v>
      </c>
      <c r="I1144" s="16" t="s">
        <v>260</v>
      </c>
      <c r="J1144" s="16" t="s">
        <v>1381</v>
      </c>
      <c r="K1144" s="16"/>
      <c r="L1144" s="16" t="s">
        <v>260</v>
      </c>
      <c r="M1144" s="16" t="s">
        <v>1381</v>
      </c>
      <c r="N1144" s="16" t="s">
        <v>67</v>
      </c>
      <c r="O1144" s="16" t="s">
        <v>107</v>
      </c>
      <c r="P1144" s="16" t="s">
        <v>188</v>
      </c>
      <c r="Q1144" s="16" t="s">
        <v>188</v>
      </c>
      <c r="R1144" s="16" t="s">
        <v>550</v>
      </c>
      <c r="S1144" s="16" t="s">
        <v>528</v>
      </c>
      <c r="T1144" s="16" t="s">
        <v>2188</v>
      </c>
      <c r="U1144" s="16" t="s">
        <v>73</v>
      </c>
      <c r="V1144" s="16" t="n">
        <v>0.013</v>
      </c>
      <c r="W1144" s="16" t="n">
        <v>0.012</v>
      </c>
      <c r="X1144" s="16" t="n">
        <v>37000</v>
      </c>
      <c r="Y1144" s="16" t="n">
        <v>37000</v>
      </c>
      <c r="Z1144" s="16" t="n">
        <v>37000</v>
      </c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9" t="n">
        <f aca="false">X1144*$V1144</f>
        <v>481</v>
      </c>
      <c r="AK1144" s="9" t="n">
        <f aca="false">Y1144*$V1144</f>
        <v>481</v>
      </c>
      <c r="AL1144" s="9" t="n">
        <f aca="false">Z1144*$V1144</f>
        <v>481</v>
      </c>
      <c r="AM1144" s="9" t="n">
        <f aca="false">AA1144*$V1144</f>
        <v>0</v>
      </c>
      <c r="AN1144" s="9" t="n">
        <f aca="false">AB1144*$V1144</f>
        <v>0</v>
      </c>
      <c r="AO1144" s="9" t="n">
        <f aca="false">AC1144*$V1144</f>
        <v>0</v>
      </c>
      <c r="AP1144" s="9" t="n">
        <f aca="false">AD1144*$V1144</f>
        <v>0</v>
      </c>
      <c r="AQ1144" s="9" t="n">
        <f aca="false">AE1144*$V1144</f>
        <v>0</v>
      </c>
      <c r="AR1144" s="9" t="n">
        <f aca="false">AF1144*$V1144</f>
        <v>0</v>
      </c>
      <c r="AS1144" s="9" t="n">
        <f aca="false">AG1144*$V1144</f>
        <v>0</v>
      </c>
      <c r="AT1144" s="9" t="n">
        <f aca="false">AH1144*$V1144</f>
        <v>0</v>
      </c>
      <c r="AU1144" s="9" t="n">
        <f aca="false">AI1144*$V1144</f>
        <v>0</v>
      </c>
      <c r="AV1144" s="9" t="n">
        <f aca="false">SUM(X1144:AI1144)/1000</f>
        <v>111</v>
      </c>
      <c r="AW1144" s="9" t="n">
        <f aca="false">SUM(AJ1144:AU1144)</f>
        <v>1443</v>
      </c>
      <c r="AX1144" s="9" t="n">
        <f aca="false">IF(D1144="INR",AW1144/88.24,AW1144)/1000000</f>
        <v>0.001443</v>
      </c>
    </row>
    <row r="1145" s="2" customFormat="true" ht="14.25" hidden="false" customHeight="false" outlineLevel="0" collapsed="false">
      <c r="A1145" s="12" t="s">
        <v>2189</v>
      </c>
      <c r="B1145" s="16"/>
      <c r="C1145" s="15"/>
      <c r="D1145" s="16" t="s">
        <v>102</v>
      </c>
      <c r="E1145" s="16" t="s">
        <v>51</v>
      </c>
      <c r="F1145" s="16" t="s">
        <v>52</v>
      </c>
      <c r="G1145" s="16" t="s">
        <v>258</v>
      </c>
      <c r="H1145" s="16" t="s">
        <v>259</v>
      </c>
      <c r="I1145" s="16" t="s">
        <v>260</v>
      </c>
      <c r="J1145" s="16" t="s">
        <v>1381</v>
      </c>
      <c r="K1145" s="16"/>
      <c r="L1145" s="16" t="s">
        <v>260</v>
      </c>
      <c r="M1145" s="16" t="s">
        <v>1381</v>
      </c>
      <c r="N1145" s="16" t="s">
        <v>67</v>
      </c>
      <c r="O1145" s="16" t="s">
        <v>107</v>
      </c>
      <c r="P1145" s="16" t="s">
        <v>188</v>
      </c>
      <c r="Q1145" s="16" t="s">
        <v>188</v>
      </c>
      <c r="R1145" s="16" t="s">
        <v>550</v>
      </c>
      <c r="S1145" s="16" t="s">
        <v>528</v>
      </c>
      <c r="T1145" s="16" t="s">
        <v>2190</v>
      </c>
      <c r="U1145" s="16" t="s">
        <v>73</v>
      </c>
      <c r="V1145" s="16" t="n">
        <v>0.013</v>
      </c>
      <c r="W1145" s="16" t="n">
        <v>0.012</v>
      </c>
      <c r="X1145" s="16" t="n">
        <v>37000</v>
      </c>
      <c r="Y1145" s="16" t="n">
        <v>37000</v>
      </c>
      <c r="Z1145" s="16" t="n">
        <v>37000</v>
      </c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9" t="n">
        <f aca="false">X1145*$V1145</f>
        <v>481</v>
      </c>
      <c r="AK1145" s="9" t="n">
        <f aca="false">Y1145*$V1145</f>
        <v>481</v>
      </c>
      <c r="AL1145" s="9" t="n">
        <f aca="false">Z1145*$V1145</f>
        <v>481</v>
      </c>
      <c r="AM1145" s="9" t="n">
        <f aca="false">AA1145*$V1145</f>
        <v>0</v>
      </c>
      <c r="AN1145" s="9" t="n">
        <f aca="false">AB1145*$V1145</f>
        <v>0</v>
      </c>
      <c r="AO1145" s="9" t="n">
        <f aca="false">AC1145*$V1145</f>
        <v>0</v>
      </c>
      <c r="AP1145" s="9" t="n">
        <f aca="false">AD1145*$V1145</f>
        <v>0</v>
      </c>
      <c r="AQ1145" s="9" t="n">
        <f aca="false">AE1145*$V1145</f>
        <v>0</v>
      </c>
      <c r="AR1145" s="9" t="n">
        <f aca="false">AF1145*$V1145</f>
        <v>0</v>
      </c>
      <c r="AS1145" s="9" t="n">
        <f aca="false">AG1145*$V1145</f>
        <v>0</v>
      </c>
      <c r="AT1145" s="9" t="n">
        <f aca="false">AH1145*$V1145</f>
        <v>0</v>
      </c>
      <c r="AU1145" s="9" t="n">
        <f aca="false">AI1145*$V1145</f>
        <v>0</v>
      </c>
      <c r="AV1145" s="9" t="n">
        <f aca="false">SUM(X1145:AI1145)/1000</f>
        <v>111</v>
      </c>
      <c r="AW1145" s="9" t="n">
        <f aca="false">SUM(AJ1145:AU1145)</f>
        <v>1443</v>
      </c>
      <c r="AX1145" s="9" t="n">
        <f aca="false">IF(D1145="INR",AW1145/88.24,AW1145)/1000000</f>
        <v>0.001443</v>
      </c>
    </row>
    <row r="1146" s="2" customFormat="true" ht="16.4" hidden="false" customHeight="false" outlineLevel="0" collapsed="false">
      <c r="A1146" s="35" t="s">
        <v>2191</v>
      </c>
      <c r="B1146" s="9"/>
      <c r="C1146" s="10"/>
      <c r="D1146" s="9" t="s">
        <v>102</v>
      </c>
      <c r="E1146" s="9" t="s">
        <v>51</v>
      </c>
      <c r="F1146" s="9" t="s">
        <v>52</v>
      </c>
      <c r="G1146" s="9" t="s">
        <v>258</v>
      </c>
      <c r="H1146" s="9" t="s">
        <v>259</v>
      </c>
      <c r="I1146" s="9" t="s">
        <v>260</v>
      </c>
      <c r="J1146" s="9" t="s">
        <v>1381</v>
      </c>
      <c r="K1146" s="9"/>
      <c r="L1146" s="9" t="s">
        <v>260</v>
      </c>
      <c r="M1146" s="9" t="s">
        <v>1381</v>
      </c>
      <c r="N1146" s="16" t="s">
        <v>67</v>
      </c>
      <c r="O1146" s="9" t="s">
        <v>107</v>
      </c>
      <c r="P1146" s="9" t="s">
        <v>188</v>
      </c>
      <c r="Q1146" s="9" t="s">
        <v>188</v>
      </c>
      <c r="R1146" s="9" t="s">
        <v>550</v>
      </c>
      <c r="S1146" s="9" t="s">
        <v>528</v>
      </c>
      <c r="T1146" s="9" t="s">
        <v>2192</v>
      </c>
      <c r="U1146" s="9" t="s">
        <v>73</v>
      </c>
      <c r="V1146" s="9" t="n">
        <v>0.0058</v>
      </c>
      <c r="W1146" s="9" t="n">
        <v>0.0052</v>
      </c>
      <c r="X1146" s="9" t="n">
        <v>37000</v>
      </c>
      <c r="Y1146" s="9" t="n">
        <v>37000</v>
      </c>
      <c r="Z1146" s="9" t="n">
        <v>37000</v>
      </c>
      <c r="AA1146" s="9"/>
      <c r="AB1146" s="9"/>
      <c r="AC1146" s="9"/>
      <c r="AD1146" s="9"/>
      <c r="AE1146" s="9"/>
      <c r="AF1146" s="9"/>
      <c r="AG1146" s="9"/>
      <c r="AH1146" s="9"/>
      <c r="AI1146" s="9"/>
      <c r="AJ1146" s="9" t="n">
        <f aca="false">X1146*$V1146</f>
        <v>214.6</v>
      </c>
      <c r="AK1146" s="9" t="n">
        <f aca="false">Y1146*$V1146</f>
        <v>214.6</v>
      </c>
      <c r="AL1146" s="9" t="n">
        <f aca="false">Z1146*$V1146</f>
        <v>214.6</v>
      </c>
      <c r="AM1146" s="9" t="n">
        <f aca="false">AA1146*$V1146</f>
        <v>0</v>
      </c>
      <c r="AN1146" s="9" t="n">
        <f aca="false">AB1146*$V1146</f>
        <v>0</v>
      </c>
      <c r="AO1146" s="9" t="n">
        <f aca="false">AC1146*$V1146</f>
        <v>0</v>
      </c>
      <c r="AP1146" s="9" t="n">
        <f aca="false">AD1146*$V1146</f>
        <v>0</v>
      </c>
      <c r="AQ1146" s="9" t="n">
        <f aca="false">AE1146*$V1146</f>
        <v>0</v>
      </c>
      <c r="AR1146" s="9" t="n">
        <f aca="false">AF1146*$V1146</f>
        <v>0</v>
      </c>
      <c r="AS1146" s="9" t="n">
        <f aca="false">AG1146*$V1146</f>
        <v>0</v>
      </c>
      <c r="AT1146" s="9" t="n">
        <f aca="false">AH1146*$V1146</f>
        <v>0</v>
      </c>
      <c r="AU1146" s="9" t="n">
        <f aca="false">AI1146*$V1146</f>
        <v>0</v>
      </c>
      <c r="AV1146" s="9" t="n">
        <f aca="false">SUM(X1146:AI1146)/1000</f>
        <v>111</v>
      </c>
      <c r="AW1146" s="9" t="n">
        <f aca="false">SUM(AJ1146:AU1146)</f>
        <v>643.8</v>
      </c>
      <c r="AX1146" s="9" t="n">
        <f aca="false">IF(D1146="INR",AW1146/88.24,AW1146)/1000000</f>
        <v>0.0006438</v>
      </c>
    </row>
    <row r="1147" s="2" customFormat="true" ht="14.25" hidden="false" customHeight="false" outlineLevel="0" collapsed="false">
      <c r="A1147" s="35"/>
      <c r="B1147" s="9" t="n">
        <v>1</v>
      </c>
      <c r="C1147" s="15"/>
      <c r="D1147" s="16" t="s">
        <v>50</v>
      </c>
      <c r="E1147" s="16"/>
      <c r="F1147" s="16" t="s">
        <v>52</v>
      </c>
      <c r="G1147" s="16"/>
      <c r="H1147" s="9" t="s">
        <v>92</v>
      </c>
      <c r="I1147" s="16"/>
      <c r="J1147" s="16"/>
      <c r="K1147" s="9"/>
      <c r="L1147" s="16"/>
      <c r="M1147" s="16"/>
      <c r="N1147" s="16" t="s">
        <v>93</v>
      </c>
      <c r="O1147" s="16"/>
      <c r="P1147" s="9"/>
      <c r="Q1147" s="9" t="s">
        <v>59</v>
      </c>
      <c r="R1147" s="9"/>
      <c r="S1147" s="9"/>
      <c r="T1147" s="9" t="s">
        <v>252</v>
      </c>
      <c r="U1147" s="16"/>
      <c r="V1147" s="36" t="n">
        <v>400</v>
      </c>
      <c r="W1147" s="9"/>
      <c r="X1147" s="22" t="n">
        <v>500</v>
      </c>
      <c r="Y1147" s="9"/>
      <c r="Z1147" s="9"/>
      <c r="AA1147" s="9" t="n">
        <v>10000</v>
      </c>
      <c r="AB1147" s="9"/>
      <c r="AC1147" s="9"/>
      <c r="AD1147" s="23" t="n">
        <v>10000</v>
      </c>
      <c r="AE1147" s="9"/>
      <c r="AF1147" s="9"/>
      <c r="AG1147" s="9" t="n">
        <v>10000</v>
      </c>
      <c r="AH1147" s="9"/>
      <c r="AI1147" s="9"/>
      <c r="AJ1147" s="9" t="n">
        <f aca="false">X1147*$V1147</f>
        <v>200000</v>
      </c>
      <c r="AK1147" s="9" t="n">
        <f aca="false">Y1147*$V1147</f>
        <v>0</v>
      </c>
      <c r="AL1147" s="9" t="n">
        <f aca="false">Z1147*$V1147</f>
        <v>0</v>
      </c>
      <c r="AM1147" s="9" t="n">
        <f aca="false">AA1147*$V1147</f>
        <v>4000000</v>
      </c>
      <c r="AN1147" s="9" t="n">
        <f aca="false">AB1147*$V1147</f>
        <v>0</v>
      </c>
      <c r="AO1147" s="9" t="n">
        <f aca="false">AC1147*$V1147</f>
        <v>0</v>
      </c>
      <c r="AP1147" s="9" t="n">
        <f aca="false">AD1147*$V1147</f>
        <v>4000000</v>
      </c>
      <c r="AQ1147" s="9" t="n">
        <f aca="false">AE1147*$V1147</f>
        <v>0</v>
      </c>
      <c r="AR1147" s="9" t="n">
        <f aca="false">AF1147*$V1147</f>
        <v>0</v>
      </c>
      <c r="AS1147" s="9" t="n">
        <f aca="false">AG1147*$V1147</f>
        <v>4000000</v>
      </c>
      <c r="AT1147" s="9" t="n">
        <f aca="false">AH1147*$V1147</f>
        <v>0</v>
      </c>
      <c r="AU1147" s="9" t="n">
        <f aca="false">AI1147*$V1147</f>
        <v>0</v>
      </c>
      <c r="AV1147" s="9" t="n">
        <f aca="false">SUM(X1147:AI1147)/1000</f>
        <v>30.5</v>
      </c>
      <c r="AW1147" s="9" t="n">
        <f aca="false">SUM(AJ1147:AU1147)</f>
        <v>12200000</v>
      </c>
      <c r="AX1147" s="9" t="n">
        <f aca="false">IF(D1147="INR",AW1147/88.24,AW1147)/1000000</f>
        <v>0.138259292837715</v>
      </c>
    </row>
    <row r="1148" s="2" customFormat="true" ht="16.4" hidden="false" customHeight="false" outlineLevel="0" collapsed="false">
      <c r="A1148" s="28" t="s">
        <v>2193</v>
      </c>
      <c r="B1148" s="16" t="n">
        <v>5</v>
      </c>
      <c r="C1148" s="16" t="n">
        <v>5</v>
      </c>
      <c r="D1148" s="16" t="s">
        <v>50</v>
      </c>
      <c r="E1148" s="16" t="s">
        <v>51</v>
      </c>
      <c r="F1148" s="16" t="s">
        <v>243</v>
      </c>
      <c r="G1148" s="16" t="s">
        <v>2194</v>
      </c>
      <c r="H1148" s="16" t="s">
        <v>2195</v>
      </c>
      <c r="I1148" s="16" t="s">
        <v>992</v>
      </c>
      <c r="J1148" s="16" t="s">
        <v>2089</v>
      </c>
      <c r="K1148" s="16"/>
      <c r="L1148" s="16" t="s">
        <v>992</v>
      </c>
      <c r="M1148" s="16" t="s">
        <v>2089</v>
      </c>
      <c r="N1148" s="16" t="s">
        <v>57</v>
      </c>
      <c r="O1148" s="16" t="s">
        <v>94</v>
      </c>
      <c r="P1148" s="16" t="s">
        <v>308</v>
      </c>
      <c r="Q1148" s="16" t="s">
        <v>308</v>
      </c>
      <c r="R1148" s="16" t="s">
        <v>309</v>
      </c>
      <c r="S1148" s="16" t="s">
        <v>264</v>
      </c>
      <c r="T1148" s="16" t="s">
        <v>2196</v>
      </c>
      <c r="U1148" s="16" t="s">
        <v>73</v>
      </c>
      <c r="V1148" s="16" t="n">
        <v>0.4</v>
      </c>
      <c r="W1148" s="16" t="n">
        <v>0.33</v>
      </c>
      <c r="X1148" s="16"/>
      <c r="Y1148" s="16"/>
      <c r="Z1148" s="16"/>
      <c r="AA1148" s="16"/>
      <c r="AB1148" s="16" t="n">
        <v>7500</v>
      </c>
      <c r="AC1148" s="16"/>
      <c r="AD1148" s="16"/>
      <c r="AE1148" s="16"/>
      <c r="AF1148" s="16" t="n">
        <v>7500</v>
      </c>
      <c r="AG1148" s="16"/>
      <c r="AH1148" s="16"/>
      <c r="AI1148" s="16" t="n">
        <v>7500</v>
      </c>
      <c r="AJ1148" s="9" t="n">
        <f aca="false">X1148*$V1148</f>
        <v>0</v>
      </c>
      <c r="AK1148" s="9" t="n">
        <f aca="false">Y1148*$V1148</f>
        <v>0</v>
      </c>
      <c r="AL1148" s="9" t="n">
        <f aca="false">Z1148*$V1148</f>
        <v>0</v>
      </c>
      <c r="AM1148" s="9" t="n">
        <f aca="false">AA1148*$V1148</f>
        <v>0</v>
      </c>
      <c r="AN1148" s="9" t="n">
        <f aca="false">AB1148*$V1148</f>
        <v>3000</v>
      </c>
      <c r="AO1148" s="9" t="n">
        <f aca="false">AC1148*$V1148</f>
        <v>0</v>
      </c>
      <c r="AP1148" s="9" t="n">
        <f aca="false">AD1148*$V1148</f>
        <v>0</v>
      </c>
      <c r="AQ1148" s="9" t="n">
        <f aca="false">AE1148*$V1148</f>
        <v>0</v>
      </c>
      <c r="AR1148" s="9" t="n">
        <f aca="false">AF1148*$V1148</f>
        <v>3000</v>
      </c>
      <c r="AS1148" s="9" t="n">
        <f aca="false">AG1148*$V1148</f>
        <v>0</v>
      </c>
      <c r="AT1148" s="9" t="n">
        <f aca="false">AH1148*$V1148</f>
        <v>0</v>
      </c>
      <c r="AU1148" s="9" t="n">
        <f aca="false">AI1148*$V1148</f>
        <v>3000</v>
      </c>
      <c r="AV1148" s="9" t="n">
        <f aca="false">SUM(X1148:AI1148)/1000</f>
        <v>22.5</v>
      </c>
      <c r="AW1148" s="9" t="n">
        <f aca="false">SUM(AJ1148:AU1148)</f>
        <v>9000</v>
      </c>
      <c r="AX1148" s="9" t="n">
        <f aca="false">IF(D1148="INR",AW1148/88.24,AW1148)/1000000</f>
        <v>0.000101994560290118</v>
      </c>
    </row>
    <row r="1149" s="2" customFormat="true" ht="16.4" hidden="false" customHeight="false" outlineLevel="0" collapsed="false">
      <c r="A1149" s="35" t="s">
        <v>2197</v>
      </c>
      <c r="B1149" s="9" t="n">
        <v>5</v>
      </c>
      <c r="C1149" s="10" t="n">
        <v>5</v>
      </c>
      <c r="D1149" s="9" t="s">
        <v>50</v>
      </c>
      <c r="E1149" s="9" t="s">
        <v>51</v>
      </c>
      <c r="F1149" s="9" t="s">
        <v>243</v>
      </c>
      <c r="G1149" s="9" t="s">
        <v>2194</v>
      </c>
      <c r="H1149" s="9" t="s">
        <v>2195</v>
      </c>
      <c r="I1149" s="9" t="s">
        <v>992</v>
      </c>
      <c r="J1149" s="9" t="s">
        <v>2089</v>
      </c>
      <c r="K1149" s="9"/>
      <c r="L1149" s="9" t="s">
        <v>992</v>
      </c>
      <c r="M1149" s="9" t="s">
        <v>2089</v>
      </c>
      <c r="N1149" s="9" t="s">
        <v>57</v>
      </c>
      <c r="O1149" s="9" t="s">
        <v>94</v>
      </c>
      <c r="P1149" s="9" t="s">
        <v>789</v>
      </c>
      <c r="Q1149" s="9" t="s">
        <v>789</v>
      </c>
      <c r="R1149" s="9" t="s">
        <v>377</v>
      </c>
      <c r="S1149" s="9" t="s">
        <v>528</v>
      </c>
      <c r="T1149" s="9" t="s">
        <v>2198</v>
      </c>
      <c r="U1149" s="9" t="s">
        <v>73</v>
      </c>
      <c r="V1149" s="9" t="n">
        <v>3.37</v>
      </c>
      <c r="W1149" s="9" t="n">
        <v>2.9</v>
      </c>
      <c r="X1149" s="9" t="n">
        <v>0</v>
      </c>
      <c r="Y1149" s="9" t="n">
        <v>0</v>
      </c>
      <c r="Z1149" s="9" t="n">
        <v>0</v>
      </c>
      <c r="AA1149" s="9" t="n">
        <v>0</v>
      </c>
      <c r="AB1149" s="9" t="n">
        <v>5000</v>
      </c>
      <c r="AC1149" s="9" t="n">
        <v>0</v>
      </c>
      <c r="AD1149" s="9" t="n">
        <v>0</v>
      </c>
      <c r="AE1149" s="9" t="n">
        <v>0</v>
      </c>
      <c r="AF1149" s="9" t="n">
        <v>5000</v>
      </c>
      <c r="AG1149" s="9" t="n">
        <v>0</v>
      </c>
      <c r="AH1149" s="9" t="n">
        <v>0</v>
      </c>
      <c r="AI1149" s="9" t="n">
        <v>5000</v>
      </c>
      <c r="AJ1149" s="9" t="n">
        <f aca="false">X1149*$V1149</f>
        <v>0</v>
      </c>
      <c r="AK1149" s="9" t="n">
        <f aca="false">Y1149*$V1149</f>
        <v>0</v>
      </c>
      <c r="AL1149" s="9" t="n">
        <f aca="false">Z1149*$V1149</f>
        <v>0</v>
      </c>
      <c r="AM1149" s="9" t="n">
        <f aca="false">AA1149*$V1149</f>
        <v>0</v>
      </c>
      <c r="AN1149" s="9" t="n">
        <f aca="false">AB1149*$V1149</f>
        <v>16850</v>
      </c>
      <c r="AO1149" s="9" t="n">
        <f aca="false">AC1149*$V1149</f>
        <v>0</v>
      </c>
      <c r="AP1149" s="9" t="n">
        <f aca="false">AD1149*$V1149</f>
        <v>0</v>
      </c>
      <c r="AQ1149" s="9" t="n">
        <f aca="false">AE1149*$V1149</f>
        <v>0</v>
      </c>
      <c r="AR1149" s="9" t="n">
        <f aca="false">AF1149*$V1149</f>
        <v>16850</v>
      </c>
      <c r="AS1149" s="9" t="n">
        <f aca="false">AG1149*$V1149</f>
        <v>0</v>
      </c>
      <c r="AT1149" s="9" t="n">
        <f aca="false">AH1149*$V1149</f>
        <v>0</v>
      </c>
      <c r="AU1149" s="9" t="n">
        <f aca="false">AI1149*$V1149</f>
        <v>16850</v>
      </c>
      <c r="AV1149" s="9" t="n">
        <f aca="false">SUM(X1149:AI1149)/1000</f>
        <v>15</v>
      </c>
      <c r="AW1149" s="9" t="n">
        <f aca="false">SUM(AJ1149:AU1149)</f>
        <v>50550</v>
      </c>
      <c r="AX1149" s="9" t="n">
        <f aca="false">IF(D1149="INR",AW1149/88.24,AW1149)/1000000</f>
        <v>0.000572869446962829</v>
      </c>
    </row>
    <row r="1150" s="2" customFormat="true" ht="16.4" hidden="false" customHeight="false" outlineLevel="0" collapsed="false">
      <c r="A1150" s="28" t="s">
        <v>2199</v>
      </c>
      <c r="B1150" s="16"/>
      <c r="C1150" s="16"/>
      <c r="D1150" s="16" t="s">
        <v>102</v>
      </c>
      <c r="E1150" s="16" t="s">
        <v>51</v>
      </c>
      <c r="F1150" s="16" t="s">
        <v>52</v>
      </c>
      <c r="G1150" s="16" t="s">
        <v>258</v>
      </c>
      <c r="H1150" s="16" t="s">
        <v>259</v>
      </c>
      <c r="I1150" s="16" t="s">
        <v>260</v>
      </c>
      <c r="J1150" s="16" t="s">
        <v>1381</v>
      </c>
      <c r="K1150" s="16"/>
      <c r="L1150" s="16" t="s">
        <v>260</v>
      </c>
      <c r="M1150" s="16" t="s">
        <v>1381</v>
      </c>
      <c r="N1150" s="16" t="s">
        <v>67</v>
      </c>
      <c r="O1150" s="16" t="s">
        <v>107</v>
      </c>
      <c r="P1150" s="16" t="s">
        <v>188</v>
      </c>
      <c r="Q1150" s="16" t="s">
        <v>188</v>
      </c>
      <c r="R1150" s="16" t="s">
        <v>550</v>
      </c>
      <c r="S1150" s="16" t="s">
        <v>528</v>
      </c>
      <c r="T1150" s="16" t="s">
        <v>2200</v>
      </c>
      <c r="U1150" s="16" t="s">
        <v>73</v>
      </c>
      <c r="V1150" s="16" t="n">
        <v>0.0058</v>
      </c>
      <c r="W1150" s="16" t="n">
        <v>0.0052</v>
      </c>
      <c r="X1150" s="16" t="n">
        <v>36900</v>
      </c>
      <c r="Y1150" s="16" t="n">
        <v>36900</v>
      </c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9" t="n">
        <f aca="false">X1150*$V1150</f>
        <v>214.02</v>
      </c>
      <c r="AK1150" s="9" t="n">
        <f aca="false">Y1150*$V1150</f>
        <v>214.02</v>
      </c>
      <c r="AL1150" s="9" t="n">
        <f aca="false">Z1150*$V1150</f>
        <v>0</v>
      </c>
      <c r="AM1150" s="9" t="n">
        <f aca="false">AA1150*$V1150</f>
        <v>0</v>
      </c>
      <c r="AN1150" s="9" t="n">
        <f aca="false">AB1150*$V1150</f>
        <v>0</v>
      </c>
      <c r="AO1150" s="9" t="n">
        <f aca="false">AC1150*$V1150</f>
        <v>0</v>
      </c>
      <c r="AP1150" s="9" t="n">
        <f aca="false">AD1150*$V1150</f>
        <v>0</v>
      </c>
      <c r="AQ1150" s="9" t="n">
        <f aca="false">AE1150*$V1150</f>
        <v>0</v>
      </c>
      <c r="AR1150" s="9" t="n">
        <f aca="false">AF1150*$V1150</f>
        <v>0</v>
      </c>
      <c r="AS1150" s="9" t="n">
        <f aca="false">AG1150*$V1150</f>
        <v>0</v>
      </c>
      <c r="AT1150" s="9" t="n">
        <f aca="false">AH1150*$V1150</f>
        <v>0</v>
      </c>
      <c r="AU1150" s="9" t="n">
        <f aca="false">AI1150*$V1150</f>
        <v>0</v>
      </c>
      <c r="AV1150" s="9" t="n">
        <f aca="false">SUM(X1150:AI1150)/1000</f>
        <v>73.8</v>
      </c>
      <c r="AW1150" s="9" t="n">
        <f aca="false">SUM(AJ1150:AU1150)</f>
        <v>428.04</v>
      </c>
      <c r="AX1150" s="9" t="n">
        <f aca="false">IF(D1150="INR",AW1150/88.24,AW1150)/1000000</f>
        <v>0.00042804</v>
      </c>
    </row>
    <row r="1151" s="2" customFormat="true" ht="16.4" hidden="false" customHeight="false" outlineLevel="0" collapsed="false">
      <c r="A1151" s="28" t="s">
        <v>2201</v>
      </c>
      <c r="B1151" s="16"/>
      <c r="C1151" s="16"/>
      <c r="D1151" s="16" t="s">
        <v>102</v>
      </c>
      <c r="E1151" s="16" t="s">
        <v>51</v>
      </c>
      <c r="F1151" s="16" t="s">
        <v>52</v>
      </c>
      <c r="G1151" s="16" t="s">
        <v>258</v>
      </c>
      <c r="H1151" s="16" t="s">
        <v>259</v>
      </c>
      <c r="I1151" s="16" t="s">
        <v>260</v>
      </c>
      <c r="J1151" s="16" t="s">
        <v>1381</v>
      </c>
      <c r="K1151" s="16"/>
      <c r="L1151" s="16" t="s">
        <v>260</v>
      </c>
      <c r="M1151" s="16" t="s">
        <v>1381</v>
      </c>
      <c r="N1151" s="16" t="s">
        <v>67</v>
      </c>
      <c r="O1151" s="16" t="s">
        <v>107</v>
      </c>
      <c r="P1151" s="16" t="s">
        <v>188</v>
      </c>
      <c r="Q1151" s="16" t="s">
        <v>188</v>
      </c>
      <c r="R1151" s="16" t="s">
        <v>550</v>
      </c>
      <c r="S1151" s="16" t="s">
        <v>528</v>
      </c>
      <c r="T1151" s="26" t="s">
        <v>2202</v>
      </c>
      <c r="U1151" s="16" t="s">
        <v>73</v>
      </c>
      <c r="V1151" s="15" t="n">
        <v>0.0058</v>
      </c>
      <c r="W1151" s="16" t="n">
        <v>0.0052</v>
      </c>
      <c r="X1151" s="16" t="n">
        <v>34000</v>
      </c>
      <c r="Y1151" s="16"/>
      <c r="Z1151" s="16" t="n">
        <v>34000</v>
      </c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9" t="n">
        <f aca="false">X1151*$V1151</f>
        <v>197.2</v>
      </c>
      <c r="AK1151" s="9" t="n">
        <f aca="false">Y1151*$V1151</f>
        <v>0</v>
      </c>
      <c r="AL1151" s="9" t="n">
        <f aca="false">Z1151*$V1151</f>
        <v>197.2</v>
      </c>
      <c r="AM1151" s="9" t="n">
        <f aca="false">AA1151*$V1151</f>
        <v>0</v>
      </c>
      <c r="AN1151" s="9" t="n">
        <f aca="false">AB1151*$V1151</f>
        <v>0</v>
      </c>
      <c r="AO1151" s="9" t="n">
        <f aca="false">AC1151*$V1151</f>
        <v>0</v>
      </c>
      <c r="AP1151" s="9" t="n">
        <f aca="false">AD1151*$V1151</f>
        <v>0</v>
      </c>
      <c r="AQ1151" s="9" t="n">
        <f aca="false">AE1151*$V1151</f>
        <v>0</v>
      </c>
      <c r="AR1151" s="9" t="n">
        <f aca="false">AF1151*$V1151</f>
        <v>0</v>
      </c>
      <c r="AS1151" s="9" t="n">
        <f aca="false">AG1151*$V1151</f>
        <v>0</v>
      </c>
      <c r="AT1151" s="9" t="n">
        <f aca="false">AH1151*$V1151</f>
        <v>0</v>
      </c>
      <c r="AU1151" s="9" t="n">
        <f aca="false">AI1151*$V1151</f>
        <v>0</v>
      </c>
      <c r="AV1151" s="9" t="n">
        <f aca="false">SUM(X1151:AI1151)/1000</f>
        <v>68</v>
      </c>
      <c r="AW1151" s="9" t="n">
        <f aca="false">SUM(AJ1151:AU1151)</f>
        <v>394.4</v>
      </c>
      <c r="AX1151" s="9" t="n">
        <f aca="false">IF(D1151="INR",AW1151/88.24,AW1151)/1000000</f>
        <v>0.0003944</v>
      </c>
    </row>
    <row r="1152" s="2" customFormat="true" ht="14.25" hidden="false" customHeight="false" outlineLevel="0" collapsed="false">
      <c r="A1152" s="12" t="s">
        <v>2203</v>
      </c>
      <c r="B1152" s="16" t="n">
        <v>5</v>
      </c>
      <c r="C1152" s="15" t="n">
        <v>5</v>
      </c>
      <c r="D1152" s="16" t="s">
        <v>50</v>
      </c>
      <c r="E1152" s="16" t="s">
        <v>51</v>
      </c>
      <c r="F1152" s="16" t="s">
        <v>243</v>
      </c>
      <c r="G1152" s="16" t="s">
        <v>2194</v>
      </c>
      <c r="H1152" s="16" t="s">
        <v>2195</v>
      </c>
      <c r="I1152" s="16" t="s">
        <v>992</v>
      </c>
      <c r="J1152" s="16" t="s">
        <v>2089</v>
      </c>
      <c r="K1152" s="16"/>
      <c r="L1152" s="16" t="s">
        <v>992</v>
      </c>
      <c r="M1152" s="16" t="s">
        <v>2089</v>
      </c>
      <c r="N1152" s="16" t="s">
        <v>57</v>
      </c>
      <c r="O1152" s="16" t="s">
        <v>94</v>
      </c>
      <c r="P1152" s="16" t="s">
        <v>85</v>
      </c>
      <c r="Q1152" s="16" t="s">
        <v>85</v>
      </c>
      <c r="R1152" s="16" t="s">
        <v>86</v>
      </c>
      <c r="S1152" s="16" t="s">
        <v>87</v>
      </c>
      <c r="T1152" s="16" t="s">
        <v>2204</v>
      </c>
      <c r="U1152" s="16" t="s">
        <v>73</v>
      </c>
      <c r="V1152" s="16" t="n">
        <v>122</v>
      </c>
      <c r="W1152" s="16" t="n">
        <v>1.11</v>
      </c>
      <c r="X1152" s="22"/>
      <c r="Y1152" s="22"/>
      <c r="Z1152" s="22"/>
      <c r="AA1152" s="22"/>
      <c r="AB1152" s="22" t="n">
        <v>1000</v>
      </c>
      <c r="AC1152" s="22"/>
      <c r="AD1152" s="22"/>
      <c r="AE1152" s="22"/>
      <c r="AF1152" s="22" t="n">
        <v>1000</v>
      </c>
      <c r="AG1152" s="22"/>
      <c r="AH1152" s="22"/>
      <c r="AI1152" s="22" t="n">
        <v>1000</v>
      </c>
      <c r="AJ1152" s="9" t="n">
        <f aca="false">X1152*$V1152</f>
        <v>0</v>
      </c>
      <c r="AK1152" s="9" t="n">
        <f aca="false">Y1152*$V1152</f>
        <v>0</v>
      </c>
      <c r="AL1152" s="9" t="n">
        <f aca="false">Z1152*$V1152</f>
        <v>0</v>
      </c>
      <c r="AM1152" s="9" t="n">
        <f aca="false">AA1152*$V1152</f>
        <v>0</v>
      </c>
      <c r="AN1152" s="9" t="n">
        <f aca="false">AB1152*$V1152</f>
        <v>122000</v>
      </c>
      <c r="AO1152" s="9" t="n">
        <f aca="false">AC1152*$V1152</f>
        <v>0</v>
      </c>
      <c r="AP1152" s="9" t="n">
        <f aca="false">AD1152*$V1152</f>
        <v>0</v>
      </c>
      <c r="AQ1152" s="9" t="n">
        <f aca="false">AE1152*$V1152</f>
        <v>0</v>
      </c>
      <c r="AR1152" s="9" t="n">
        <f aca="false">AF1152*$V1152</f>
        <v>122000</v>
      </c>
      <c r="AS1152" s="9" t="n">
        <f aca="false">AG1152*$V1152</f>
        <v>0</v>
      </c>
      <c r="AT1152" s="9" t="n">
        <f aca="false">AH1152*$V1152</f>
        <v>0</v>
      </c>
      <c r="AU1152" s="9" t="n">
        <f aca="false">AI1152*$V1152</f>
        <v>122000</v>
      </c>
      <c r="AV1152" s="9" t="n">
        <f aca="false">SUM(X1152:AI1152)/1000</f>
        <v>3</v>
      </c>
      <c r="AW1152" s="9" t="n">
        <f aca="false">SUM(AJ1152:AU1152)</f>
        <v>366000</v>
      </c>
      <c r="AX1152" s="9" t="n">
        <f aca="false">IF(D1152="INR",AW1152/88.24,AW1152)/1000000</f>
        <v>0.00414777878513146</v>
      </c>
    </row>
    <row r="1153" s="2" customFormat="true" ht="14.25" hidden="false" customHeight="false" outlineLevel="0" collapsed="false">
      <c r="A1153" s="35"/>
      <c r="B1153" s="9" t="n">
        <v>1</v>
      </c>
      <c r="C1153" s="10"/>
      <c r="D1153" s="9" t="s">
        <v>50</v>
      </c>
      <c r="E1153" s="9" t="s">
        <v>51</v>
      </c>
      <c r="F1153" s="9" t="s">
        <v>52</v>
      </c>
      <c r="G1153" s="9" t="s">
        <v>2205</v>
      </c>
      <c r="H1153" s="9" t="s">
        <v>2206</v>
      </c>
      <c r="I1153" s="9" t="s">
        <v>260</v>
      </c>
      <c r="J1153" s="9" t="s">
        <v>2207</v>
      </c>
      <c r="K1153" s="9" t="s">
        <v>2206</v>
      </c>
      <c r="L1153" s="9" t="s">
        <v>260</v>
      </c>
      <c r="M1153" s="9" t="s">
        <v>2207</v>
      </c>
      <c r="N1153" s="9" t="s">
        <v>57</v>
      </c>
      <c r="O1153" s="9"/>
      <c r="P1153" s="9" t="s">
        <v>2208</v>
      </c>
      <c r="Q1153" s="9" t="s">
        <v>2208</v>
      </c>
      <c r="R1153" s="9" t="s">
        <v>377</v>
      </c>
      <c r="S1153" s="9" t="s">
        <v>1148</v>
      </c>
      <c r="T1153" s="9" t="s">
        <v>2209</v>
      </c>
      <c r="U1153" s="9" t="s">
        <v>63</v>
      </c>
      <c r="V1153" s="9" t="n">
        <v>67</v>
      </c>
      <c r="W1153" s="9" t="n">
        <v>0.58</v>
      </c>
      <c r="X1153" s="9" t="n">
        <v>0</v>
      </c>
      <c r="Y1153" s="9" t="n">
        <v>0</v>
      </c>
      <c r="Z1153" s="9" t="n">
        <v>0</v>
      </c>
      <c r="AA1153" s="9" t="n">
        <v>0</v>
      </c>
      <c r="AB1153" s="9" t="n">
        <v>0</v>
      </c>
      <c r="AC1153" s="9" t="n">
        <v>0</v>
      </c>
      <c r="AD1153" s="9" t="n">
        <v>500</v>
      </c>
      <c r="AE1153" s="9"/>
      <c r="AF1153" s="9" t="n">
        <v>500</v>
      </c>
      <c r="AG1153" s="9"/>
      <c r="AH1153" s="9" t="n">
        <v>500</v>
      </c>
      <c r="AI1153" s="9"/>
      <c r="AJ1153" s="9" t="n">
        <f aca="false">X1153*$V1153</f>
        <v>0</v>
      </c>
      <c r="AK1153" s="9" t="n">
        <f aca="false">Y1153*$V1153</f>
        <v>0</v>
      </c>
      <c r="AL1153" s="9" t="n">
        <f aca="false">Z1153*$V1153</f>
        <v>0</v>
      </c>
      <c r="AM1153" s="9" t="n">
        <f aca="false">AA1153*$V1153</f>
        <v>0</v>
      </c>
      <c r="AN1153" s="9" t="n">
        <f aca="false">AB1153*$V1153</f>
        <v>0</v>
      </c>
      <c r="AO1153" s="9" t="n">
        <f aca="false">AC1153*$V1153</f>
        <v>0</v>
      </c>
      <c r="AP1153" s="9" t="n">
        <f aca="false">AD1153*$V1153</f>
        <v>33500</v>
      </c>
      <c r="AQ1153" s="9" t="n">
        <f aca="false">AE1153*$V1153</f>
        <v>0</v>
      </c>
      <c r="AR1153" s="9" t="n">
        <f aca="false">AF1153*$V1153</f>
        <v>33500</v>
      </c>
      <c r="AS1153" s="9" t="n">
        <f aca="false">AG1153*$V1153</f>
        <v>0</v>
      </c>
      <c r="AT1153" s="9" t="n">
        <f aca="false">AH1153*$V1153</f>
        <v>33500</v>
      </c>
      <c r="AU1153" s="9" t="n">
        <f aca="false">AI1153*$V1153</f>
        <v>0</v>
      </c>
      <c r="AV1153" s="9" t="n">
        <f aca="false">SUM(X1153:AI1153)/1000</f>
        <v>1.5</v>
      </c>
      <c r="AW1153" s="9" t="n">
        <f aca="false">SUM(AJ1153:AU1153)</f>
        <v>100500</v>
      </c>
      <c r="AX1153" s="9" t="n">
        <f aca="false">IF(D1153="INR",AW1153/88.24,AW1153)/1000000</f>
        <v>0.00113893925657298</v>
      </c>
    </row>
    <row r="1154" s="2" customFormat="true" ht="16.4" hidden="false" customHeight="false" outlineLevel="0" collapsed="false">
      <c r="A1154" s="35" t="s">
        <v>2210</v>
      </c>
      <c r="B1154" s="9"/>
      <c r="C1154" s="10"/>
      <c r="D1154" s="9" t="s">
        <v>102</v>
      </c>
      <c r="E1154" s="9" t="s">
        <v>51</v>
      </c>
      <c r="F1154" s="9" t="s">
        <v>52</v>
      </c>
      <c r="G1154" s="9" t="s">
        <v>258</v>
      </c>
      <c r="H1154" s="9" t="s">
        <v>259</v>
      </c>
      <c r="I1154" s="9" t="s">
        <v>260</v>
      </c>
      <c r="J1154" s="9" t="s">
        <v>1381</v>
      </c>
      <c r="K1154" s="9"/>
      <c r="L1154" s="9" t="s">
        <v>260</v>
      </c>
      <c r="M1154" s="9" t="s">
        <v>1381</v>
      </c>
      <c r="N1154" s="16" t="s">
        <v>67</v>
      </c>
      <c r="O1154" s="9" t="s">
        <v>107</v>
      </c>
      <c r="P1154" s="9" t="s">
        <v>188</v>
      </c>
      <c r="Q1154" s="9" t="s">
        <v>188</v>
      </c>
      <c r="R1154" s="9" t="s">
        <v>550</v>
      </c>
      <c r="S1154" s="9" t="s">
        <v>528</v>
      </c>
      <c r="T1154" s="9" t="s">
        <v>2211</v>
      </c>
      <c r="U1154" s="9" t="s">
        <v>73</v>
      </c>
      <c r="V1154" s="9" t="n">
        <v>0.0094</v>
      </c>
      <c r="W1154" s="9" t="n">
        <v>0.0088</v>
      </c>
      <c r="X1154" s="9" t="n">
        <v>17300</v>
      </c>
      <c r="Y1154" s="9" t="n">
        <v>17300</v>
      </c>
      <c r="Z1154" s="9" t="n">
        <v>17300</v>
      </c>
      <c r="AA1154" s="9"/>
      <c r="AB1154" s="9"/>
      <c r="AC1154" s="9"/>
      <c r="AD1154" s="9"/>
      <c r="AE1154" s="9"/>
      <c r="AF1154" s="9"/>
      <c r="AG1154" s="9"/>
      <c r="AH1154" s="9"/>
      <c r="AI1154" s="9"/>
      <c r="AJ1154" s="9" t="n">
        <f aca="false">X1154*$V1154</f>
        <v>162.62</v>
      </c>
      <c r="AK1154" s="9" t="n">
        <f aca="false">Y1154*$V1154</f>
        <v>162.62</v>
      </c>
      <c r="AL1154" s="9" t="n">
        <f aca="false">Z1154*$V1154</f>
        <v>162.62</v>
      </c>
      <c r="AM1154" s="9" t="n">
        <f aca="false">AA1154*$V1154</f>
        <v>0</v>
      </c>
      <c r="AN1154" s="9" t="n">
        <f aca="false">AB1154*$V1154</f>
        <v>0</v>
      </c>
      <c r="AO1154" s="9" t="n">
        <f aca="false">AC1154*$V1154</f>
        <v>0</v>
      </c>
      <c r="AP1154" s="9" t="n">
        <f aca="false">AD1154*$V1154</f>
        <v>0</v>
      </c>
      <c r="AQ1154" s="9" t="n">
        <f aca="false">AE1154*$V1154</f>
        <v>0</v>
      </c>
      <c r="AR1154" s="9" t="n">
        <f aca="false">AF1154*$V1154</f>
        <v>0</v>
      </c>
      <c r="AS1154" s="9" t="n">
        <f aca="false">AG1154*$V1154</f>
        <v>0</v>
      </c>
      <c r="AT1154" s="9" t="n">
        <f aca="false">AH1154*$V1154</f>
        <v>0</v>
      </c>
      <c r="AU1154" s="9" t="n">
        <f aca="false">AI1154*$V1154</f>
        <v>0</v>
      </c>
      <c r="AV1154" s="9" t="n">
        <f aca="false">SUM(X1154:AI1154)/1000</f>
        <v>51.9</v>
      </c>
      <c r="AW1154" s="9" t="n">
        <f aca="false">SUM(AJ1154:AU1154)</f>
        <v>487.86</v>
      </c>
      <c r="AX1154" s="9" t="n">
        <f aca="false">IF(D1154="INR",AW1154/88.24,AW1154)/1000000</f>
        <v>0.00048786</v>
      </c>
    </row>
    <row r="1155" s="2" customFormat="true" ht="16.4" hidden="false" customHeight="false" outlineLevel="0" collapsed="false">
      <c r="A1155" s="28" t="s">
        <v>2212</v>
      </c>
      <c r="B1155" s="16"/>
      <c r="C1155" s="15"/>
      <c r="D1155" s="16" t="s">
        <v>102</v>
      </c>
      <c r="E1155" s="16" t="s">
        <v>51</v>
      </c>
      <c r="F1155" s="16" t="s">
        <v>52</v>
      </c>
      <c r="G1155" s="16" t="s">
        <v>258</v>
      </c>
      <c r="H1155" s="16" t="s">
        <v>259</v>
      </c>
      <c r="I1155" s="16" t="s">
        <v>260</v>
      </c>
      <c r="J1155" s="16" t="s">
        <v>1381</v>
      </c>
      <c r="K1155" s="16"/>
      <c r="L1155" s="16" t="s">
        <v>260</v>
      </c>
      <c r="M1155" s="16" t="s">
        <v>1381</v>
      </c>
      <c r="N1155" s="16" t="s">
        <v>67</v>
      </c>
      <c r="O1155" s="16" t="s">
        <v>107</v>
      </c>
      <c r="P1155" s="16" t="s">
        <v>188</v>
      </c>
      <c r="Q1155" s="16" t="s">
        <v>188</v>
      </c>
      <c r="R1155" s="16" t="s">
        <v>550</v>
      </c>
      <c r="S1155" s="16" t="s">
        <v>528</v>
      </c>
      <c r="T1155" s="16" t="s">
        <v>2213</v>
      </c>
      <c r="U1155" s="16" t="s">
        <v>73</v>
      </c>
      <c r="V1155" s="16" t="n">
        <v>0.00463</v>
      </c>
      <c r="W1155" s="16" t="n">
        <v>0.0041</v>
      </c>
      <c r="X1155" s="16" t="n">
        <v>16480</v>
      </c>
      <c r="Y1155" s="16" t="n">
        <v>16480</v>
      </c>
      <c r="Z1155" s="16" t="n">
        <v>16480</v>
      </c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9" t="n">
        <f aca="false">X1155*$V1155</f>
        <v>76.3024</v>
      </c>
      <c r="AK1155" s="9" t="n">
        <f aca="false">Y1155*$V1155</f>
        <v>76.3024</v>
      </c>
      <c r="AL1155" s="9" t="n">
        <f aca="false">Z1155*$V1155</f>
        <v>76.3024</v>
      </c>
      <c r="AM1155" s="9" t="n">
        <f aca="false">AA1155*$V1155</f>
        <v>0</v>
      </c>
      <c r="AN1155" s="9" t="n">
        <f aca="false">AB1155*$V1155</f>
        <v>0</v>
      </c>
      <c r="AO1155" s="9" t="n">
        <f aca="false">AC1155*$V1155</f>
        <v>0</v>
      </c>
      <c r="AP1155" s="9" t="n">
        <f aca="false">AD1155*$V1155</f>
        <v>0</v>
      </c>
      <c r="AQ1155" s="9" t="n">
        <f aca="false">AE1155*$V1155</f>
        <v>0</v>
      </c>
      <c r="AR1155" s="9" t="n">
        <f aca="false">AF1155*$V1155</f>
        <v>0</v>
      </c>
      <c r="AS1155" s="9" t="n">
        <f aca="false">AG1155*$V1155</f>
        <v>0</v>
      </c>
      <c r="AT1155" s="9" t="n">
        <f aca="false">AH1155*$V1155</f>
        <v>0</v>
      </c>
      <c r="AU1155" s="9" t="n">
        <f aca="false">AI1155*$V1155</f>
        <v>0</v>
      </c>
      <c r="AV1155" s="9" t="n">
        <f aca="false">SUM(X1155:AI1155)/1000</f>
        <v>49.44</v>
      </c>
      <c r="AW1155" s="9" t="n">
        <f aca="false">SUM(AJ1155:AU1155)</f>
        <v>228.9072</v>
      </c>
      <c r="AX1155" s="9" t="n">
        <f aca="false">IF(D1155="INR",AW1155/88.24,AW1155)/1000000</f>
        <v>0.0002289072</v>
      </c>
    </row>
    <row r="1156" s="2" customFormat="true" ht="16.4" hidden="false" customHeight="false" outlineLevel="0" collapsed="false">
      <c r="A1156" s="35" t="s">
        <v>2214</v>
      </c>
      <c r="B1156" s="9" t="n">
        <v>5</v>
      </c>
      <c r="C1156" s="15"/>
      <c r="D1156" s="16" t="s">
        <v>50</v>
      </c>
      <c r="E1156" s="16" t="s">
        <v>51</v>
      </c>
      <c r="F1156" s="16" t="s">
        <v>52</v>
      </c>
      <c r="G1156" s="16" t="s">
        <v>2215</v>
      </c>
      <c r="H1156" s="16" t="s">
        <v>2216</v>
      </c>
      <c r="I1156" s="16" t="s">
        <v>77</v>
      </c>
      <c r="J1156" s="16" t="s">
        <v>2217</v>
      </c>
      <c r="K1156" s="16"/>
      <c r="L1156" s="16" t="s">
        <v>77</v>
      </c>
      <c r="M1156" s="16" t="s">
        <v>2217</v>
      </c>
      <c r="N1156" s="16" t="s">
        <v>57</v>
      </c>
      <c r="O1156" s="16" t="s">
        <v>94</v>
      </c>
      <c r="P1156" s="9" t="s">
        <v>80</v>
      </c>
      <c r="Q1156" s="9" t="s">
        <v>80</v>
      </c>
      <c r="R1156" s="16" t="s">
        <v>81</v>
      </c>
      <c r="S1156" s="16" t="s">
        <v>82</v>
      </c>
      <c r="T1156" s="9" t="s">
        <v>2218</v>
      </c>
      <c r="U1156" s="9" t="s">
        <v>73</v>
      </c>
      <c r="V1156" s="9" t="n">
        <v>495</v>
      </c>
      <c r="W1156" s="9" t="n">
        <v>200</v>
      </c>
      <c r="X1156" s="22"/>
      <c r="Y1156" s="9" t="n">
        <v>150</v>
      </c>
      <c r="Z1156" s="9"/>
      <c r="AA1156" s="9"/>
      <c r="AB1156" s="9"/>
      <c r="AC1156" s="9"/>
      <c r="AD1156" s="9"/>
      <c r="AE1156" s="9" t="n">
        <v>150</v>
      </c>
      <c r="AF1156" s="9"/>
      <c r="AG1156" s="9"/>
      <c r="AH1156" s="9"/>
      <c r="AI1156" s="9" t="n">
        <v>150</v>
      </c>
      <c r="AJ1156" s="9" t="n">
        <f aca="false">X1156*$V1156</f>
        <v>0</v>
      </c>
      <c r="AK1156" s="9" t="n">
        <f aca="false">Y1156*$V1156</f>
        <v>74250</v>
      </c>
      <c r="AL1156" s="9" t="n">
        <f aca="false">Z1156*$V1156</f>
        <v>0</v>
      </c>
      <c r="AM1156" s="9" t="n">
        <f aca="false">AA1156*$V1156</f>
        <v>0</v>
      </c>
      <c r="AN1156" s="9" t="n">
        <f aca="false">AB1156*$V1156</f>
        <v>0</v>
      </c>
      <c r="AO1156" s="9" t="n">
        <f aca="false">AC1156*$V1156</f>
        <v>0</v>
      </c>
      <c r="AP1156" s="9" t="n">
        <f aca="false">AD1156*$V1156</f>
        <v>0</v>
      </c>
      <c r="AQ1156" s="9" t="n">
        <f aca="false">AE1156*$V1156</f>
        <v>74250</v>
      </c>
      <c r="AR1156" s="9" t="n">
        <f aca="false">AF1156*$V1156</f>
        <v>0</v>
      </c>
      <c r="AS1156" s="9" t="n">
        <f aca="false">AG1156*$V1156</f>
        <v>0</v>
      </c>
      <c r="AT1156" s="9" t="n">
        <f aca="false">AH1156*$V1156</f>
        <v>0</v>
      </c>
      <c r="AU1156" s="9" t="n">
        <f aca="false">AI1156*$V1156</f>
        <v>74250</v>
      </c>
      <c r="AV1156" s="9" t="n">
        <f aca="false">SUM(X1156:AI1156)/1000</f>
        <v>0.45</v>
      </c>
      <c r="AW1156" s="9" t="n">
        <f aca="false">SUM(AJ1156:AU1156)</f>
        <v>222750</v>
      </c>
      <c r="AX1156" s="9" t="n">
        <f aca="false">IF(D1156="INR",AW1156/88.24,AW1156)/1000000</f>
        <v>0.00252436536718042</v>
      </c>
    </row>
    <row r="1157" s="2" customFormat="true" ht="16.4" hidden="false" customHeight="false" outlineLevel="0" collapsed="false">
      <c r="A1157" s="35" t="s">
        <v>2219</v>
      </c>
      <c r="B1157" s="9"/>
      <c r="C1157" s="10"/>
      <c r="D1157" s="9" t="s">
        <v>102</v>
      </c>
      <c r="E1157" s="9" t="s">
        <v>51</v>
      </c>
      <c r="F1157" s="9" t="s">
        <v>52</v>
      </c>
      <c r="G1157" s="9" t="s">
        <v>258</v>
      </c>
      <c r="H1157" s="9" t="s">
        <v>259</v>
      </c>
      <c r="I1157" s="9" t="s">
        <v>260</v>
      </c>
      <c r="J1157" s="9" t="s">
        <v>1381</v>
      </c>
      <c r="K1157" s="9"/>
      <c r="L1157" s="9" t="s">
        <v>260</v>
      </c>
      <c r="M1157" s="9" t="s">
        <v>1381</v>
      </c>
      <c r="N1157" s="16" t="s">
        <v>67</v>
      </c>
      <c r="O1157" s="9" t="s">
        <v>107</v>
      </c>
      <c r="P1157" s="9" t="s">
        <v>188</v>
      </c>
      <c r="Q1157" s="9" t="s">
        <v>188</v>
      </c>
      <c r="R1157" s="9" t="s">
        <v>550</v>
      </c>
      <c r="S1157" s="9" t="s">
        <v>528</v>
      </c>
      <c r="T1157" s="9" t="s">
        <v>2220</v>
      </c>
      <c r="U1157" s="9" t="s">
        <v>73</v>
      </c>
      <c r="V1157" s="9" t="n">
        <v>0.013</v>
      </c>
      <c r="W1157" s="9" t="n">
        <v>0.012</v>
      </c>
      <c r="X1157" s="9" t="n">
        <v>16000</v>
      </c>
      <c r="Y1157" s="9" t="n">
        <v>16000</v>
      </c>
      <c r="Z1157" s="9" t="n">
        <v>16000</v>
      </c>
      <c r="AA1157" s="9"/>
      <c r="AB1157" s="9"/>
      <c r="AC1157" s="9"/>
      <c r="AD1157" s="9"/>
      <c r="AE1157" s="9"/>
      <c r="AF1157" s="9"/>
      <c r="AG1157" s="9"/>
      <c r="AH1157" s="9"/>
      <c r="AI1157" s="9"/>
      <c r="AJ1157" s="9" t="n">
        <f aca="false">X1157*$V1157</f>
        <v>208</v>
      </c>
      <c r="AK1157" s="9" t="n">
        <f aca="false">Y1157*$V1157</f>
        <v>208</v>
      </c>
      <c r="AL1157" s="9" t="n">
        <f aca="false">Z1157*$V1157</f>
        <v>208</v>
      </c>
      <c r="AM1157" s="9" t="n">
        <f aca="false">AA1157*$V1157</f>
        <v>0</v>
      </c>
      <c r="AN1157" s="9" t="n">
        <f aca="false">AB1157*$V1157</f>
        <v>0</v>
      </c>
      <c r="AO1157" s="9" t="n">
        <f aca="false">AC1157*$V1157</f>
        <v>0</v>
      </c>
      <c r="AP1157" s="9" t="n">
        <f aca="false">AD1157*$V1157</f>
        <v>0</v>
      </c>
      <c r="AQ1157" s="9" t="n">
        <f aca="false">AE1157*$V1157</f>
        <v>0</v>
      </c>
      <c r="AR1157" s="9" t="n">
        <f aca="false">AF1157*$V1157</f>
        <v>0</v>
      </c>
      <c r="AS1157" s="9" t="n">
        <f aca="false">AG1157*$V1157</f>
        <v>0</v>
      </c>
      <c r="AT1157" s="9" t="n">
        <f aca="false">AH1157*$V1157</f>
        <v>0</v>
      </c>
      <c r="AU1157" s="9" t="n">
        <f aca="false">AI1157*$V1157</f>
        <v>0</v>
      </c>
      <c r="AV1157" s="9" t="n">
        <f aca="false">SUM(X1157:AI1157)/1000</f>
        <v>48</v>
      </c>
      <c r="AW1157" s="9" t="n">
        <f aca="false">SUM(AJ1157:AU1157)</f>
        <v>624</v>
      </c>
      <c r="AX1157" s="9" t="n">
        <f aca="false">IF(D1157="INR",AW1157/88.24,AW1157)/1000000</f>
        <v>0.000624</v>
      </c>
    </row>
    <row r="1158" s="2" customFormat="true" ht="16.4" hidden="false" customHeight="false" outlineLevel="0" collapsed="false">
      <c r="A1158" s="28" t="s">
        <v>2221</v>
      </c>
      <c r="B1158" s="16"/>
      <c r="C1158" s="16"/>
      <c r="D1158" s="16" t="s">
        <v>102</v>
      </c>
      <c r="E1158" s="16" t="s">
        <v>51</v>
      </c>
      <c r="F1158" s="16" t="s">
        <v>52</v>
      </c>
      <c r="G1158" s="16" t="s">
        <v>258</v>
      </c>
      <c r="H1158" s="16" t="s">
        <v>259</v>
      </c>
      <c r="I1158" s="16" t="s">
        <v>260</v>
      </c>
      <c r="J1158" s="16" t="s">
        <v>1381</v>
      </c>
      <c r="K1158" s="16"/>
      <c r="L1158" s="16" t="s">
        <v>260</v>
      </c>
      <c r="M1158" s="16" t="s">
        <v>1381</v>
      </c>
      <c r="N1158" s="16" t="s">
        <v>67</v>
      </c>
      <c r="O1158" s="16" t="s">
        <v>107</v>
      </c>
      <c r="P1158" s="16" t="s">
        <v>188</v>
      </c>
      <c r="Q1158" s="16" t="s">
        <v>188</v>
      </c>
      <c r="R1158" s="16" t="s">
        <v>550</v>
      </c>
      <c r="S1158" s="16" t="s">
        <v>528</v>
      </c>
      <c r="T1158" s="16" t="s">
        <v>2222</v>
      </c>
      <c r="U1158" s="16" t="s">
        <v>73</v>
      </c>
      <c r="V1158" s="16" t="n">
        <v>0.0058</v>
      </c>
      <c r="W1158" s="16" t="n">
        <v>0.0052</v>
      </c>
      <c r="X1158" s="16" t="n">
        <v>15000</v>
      </c>
      <c r="Y1158" s="16" t="n">
        <v>15000</v>
      </c>
      <c r="Z1158" s="16" t="n">
        <v>15000</v>
      </c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9" t="n">
        <f aca="false">X1158*$V1158</f>
        <v>87</v>
      </c>
      <c r="AK1158" s="9" t="n">
        <f aca="false">Y1158*$V1158</f>
        <v>87</v>
      </c>
      <c r="AL1158" s="9" t="n">
        <f aca="false">Z1158*$V1158</f>
        <v>87</v>
      </c>
      <c r="AM1158" s="9" t="n">
        <f aca="false">AA1158*$V1158</f>
        <v>0</v>
      </c>
      <c r="AN1158" s="9" t="n">
        <f aca="false">AB1158*$V1158</f>
        <v>0</v>
      </c>
      <c r="AO1158" s="9" t="n">
        <f aca="false">AC1158*$V1158</f>
        <v>0</v>
      </c>
      <c r="AP1158" s="9" t="n">
        <f aca="false">AD1158*$V1158</f>
        <v>0</v>
      </c>
      <c r="AQ1158" s="9" t="n">
        <f aca="false">AE1158*$V1158</f>
        <v>0</v>
      </c>
      <c r="AR1158" s="9" t="n">
        <f aca="false">AF1158*$V1158</f>
        <v>0</v>
      </c>
      <c r="AS1158" s="9" t="n">
        <f aca="false">AG1158*$V1158</f>
        <v>0</v>
      </c>
      <c r="AT1158" s="9" t="n">
        <f aca="false">AH1158*$V1158</f>
        <v>0</v>
      </c>
      <c r="AU1158" s="9" t="n">
        <f aca="false">AI1158*$V1158</f>
        <v>0</v>
      </c>
      <c r="AV1158" s="9" t="n">
        <f aca="false">SUM(X1158:AI1158)/1000</f>
        <v>45</v>
      </c>
      <c r="AW1158" s="9" t="n">
        <f aca="false">SUM(AJ1158:AU1158)</f>
        <v>261</v>
      </c>
      <c r="AX1158" s="9" t="n">
        <f aca="false">IF(D1158="INR",AW1158/88.24,AW1158)/1000000</f>
        <v>0.000261</v>
      </c>
    </row>
    <row r="1159" s="2" customFormat="true" ht="16.4" hidden="false" customHeight="false" outlineLevel="0" collapsed="false">
      <c r="A1159" s="28" t="s">
        <v>2223</v>
      </c>
      <c r="B1159" s="16"/>
      <c r="C1159" s="15"/>
      <c r="D1159" s="16" t="s">
        <v>102</v>
      </c>
      <c r="E1159" s="16" t="s">
        <v>51</v>
      </c>
      <c r="F1159" s="16" t="s">
        <v>52</v>
      </c>
      <c r="G1159" s="16" t="s">
        <v>258</v>
      </c>
      <c r="H1159" s="16" t="s">
        <v>259</v>
      </c>
      <c r="I1159" s="16" t="s">
        <v>260</v>
      </c>
      <c r="J1159" s="16" t="s">
        <v>1381</v>
      </c>
      <c r="K1159" s="16"/>
      <c r="L1159" s="16" t="s">
        <v>260</v>
      </c>
      <c r="M1159" s="16" t="s">
        <v>1381</v>
      </c>
      <c r="N1159" s="16" t="s">
        <v>67</v>
      </c>
      <c r="O1159" s="16" t="s">
        <v>107</v>
      </c>
      <c r="P1159" s="16" t="s">
        <v>188</v>
      </c>
      <c r="Q1159" s="16" t="s">
        <v>188</v>
      </c>
      <c r="R1159" s="16" t="s">
        <v>550</v>
      </c>
      <c r="S1159" s="16" t="s">
        <v>528</v>
      </c>
      <c r="T1159" s="16" t="s">
        <v>2224</v>
      </c>
      <c r="U1159" s="16" t="s">
        <v>73</v>
      </c>
      <c r="V1159" s="16" t="n">
        <v>0.004633</v>
      </c>
      <c r="W1159" s="16" t="n">
        <v>0.0041</v>
      </c>
      <c r="X1159" s="16" t="n">
        <v>15000</v>
      </c>
      <c r="Y1159" s="16" t="n">
        <v>15000</v>
      </c>
      <c r="Z1159" s="16" t="n">
        <v>15000</v>
      </c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9" t="n">
        <f aca="false">X1159*$V1159</f>
        <v>69.495</v>
      </c>
      <c r="AK1159" s="9" t="n">
        <f aca="false">Y1159*$V1159</f>
        <v>69.495</v>
      </c>
      <c r="AL1159" s="9" t="n">
        <f aca="false">Z1159*$V1159</f>
        <v>69.495</v>
      </c>
      <c r="AM1159" s="9" t="n">
        <f aca="false">AA1159*$V1159</f>
        <v>0</v>
      </c>
      <c r="AN1159" s="9" t="n">
        <f aca="false">AB1159*$V1159</f>
        <v>0</v>
      </c>
      <c r="AO1159" s="9" t="n">
        <f aca="false">AC1159*$V1159</f>
        <v>0</v>
      </c>
      <c r="AP1159" s="9" t="n">
        <f aca="false">AD1159*$V1159</f>
        <v>0</v>
      </c>
      <c r="AQ1159" s="9" t="n">
        <f aca="false">AE1159*$V1159</f>
        <v>0</v>
      </c>
      <c r="AR1159" s="9" t="n">
        <f aca="false">AF1159*$V1159</f>
        <v>0</v>
      </c>
      <c r="AS1159" s="9" t="n">
        <f aca="false">AG1159*$V1159</f>
        <v>0</v>
      </c>
      <c r="AT1159" s="9" t="n">
        <f aca="false">AH1159*$V1159</f>
        <v>0</v>
      </c>
      <c r="AU1159" s="9" t="n">
        <f aca="false">AI1159*$V1159</f>
        <v>0</v>
      </c>
      <c r="AV1159" s="9" t="n">
        <f aca="false">SUM(X1159:AI1159)/1000</f>
        <v>45</v>
      </c>
      <c r="AW1159" s="9" t="n">
        <f aca="false">SUM(AJ1159:AU1159)</f>
        <v>208.485</v>
      </c>
      <c r="AX1159" s="9" t="n">
        <f aca="false">IF(D1159="INR",AW1159/88.24,AW1159)/1000000</f>
        <v>0.000208485</v>
      </c>
      <c r="AZ1159" s="1"/>
    </row>
    <row r="1160" s="2" customFormat="true" ht="16.4" hidden="false" customHeight="false" outlineLevel="0" collapsed="false">
      <c r="A1160" s="35" t="s">
        <v>2225</v>
      </c>
      <c r="B1160" s="9"/>
      <c r="C1160" s="10"/>
      <c r="D1160" s="9" t="s">
        <v>102</v>
      </c>
      <c r="E1160" s="9" t="s">
        <v>51</v>
      </c>
      <c r="F1160" s="9" t="s">
        <v>52</v>
      </c>
      <c r="G1160" s="9" t="s">
        <v>258</v>
      </c>
      <c r="H1160" s="9" t="s">
        <v>259</v>
      </c>
      <c r="I1160" s="9" t="s">
        <v>260</v>
      </c>
      <c r="J1160" s="9" t="s">
        <v>1381</v>
      </c>
      <c r="K1160" s="9"/>
      <c r="L1160" s="9" t="s">
        <v>260</v>
      </c>
      <c r="M1160" s="9" t="s">
        <v>1381</v>
      </c>
      <c r="N1160" s="16" t="s">
        <v>67</v>
      </c>
      <c r="O1160" s="9" t="s">
        <v>107</v>
      </c>
      <c r="P1160" s="9" t="s">
        <v>188</v>
      </c>
      <c r="Q1160" s="9" t="s">
        <v>188</v>
      </c>
      <c r="R1160" s="9" t="s">
        <v>550</v>
      </c>
      <c r="S1160" s="9" t="s">
        <v>528</v>
      </c>
      <c r="T1160" s="9" t="s">
        <v>2226</v>
      </c>
      <c r="U1160" s="9" t="s">
        <v>73</v>
      </c>
      <c r="V1160" s="9" t="n">
        <v>0.013</v>
      </c>
      <c r="W1160" s="9" t="n">
        <v>0.012</v>
      </c>
      <c r="X1160" s="9" t="n">
        <v>13000</v>
      </c>
      <c r="Y1160" s="9" t="n">
        <v>13000</v>
      </c>
      <c r="Z1160" s="9" t="n">
        <v>13000</v>
      </c>
      <c r="AA1160" s="9"/>
      <c r="AB1160" s="9"/>
      <c r="AC1160" s="9"/>
      <c r="AD1160" s="9"/>
      <c r="AE1160" s="9"/>
      <c r="AF1160" s="9"/>
      <c r="AG1160" s="9"/>
      <c r="AH1160" s="9"/>
      <c r="AI1160" s="9"/>
      <c r="AJ1160" s="9" t="n">
        <f aca="false">X1160*$V1160</f>
        <v>169</v>
      </c>
      <c r="AK1160" s="9" t="n">
        <f aca="false">Y1160*$V1160</f>
        <v>169</v>
      </c>
      <c r="AL1160" s="9" t="n">
        <f aca="false">Z1160*$V1160</f>
        <v>169</v>
      </c>
      <c r="AM1160" s="9" t="n">
        <f aca="false">AA1160*$V1160</f>
        <v>0</v>
      </c>
      <c r="AN1160" s="9" t="n">
        <f aca="false">AB1160*$V1160</f>
        <v>0</v>
      </c>
      <c r="AO1160" s="9" t="n">
        <f aca="false">AC1160*$V1160</f>
        <v>0</v>
      </c>
      <c r="AP1160" s="9" t="n">
        <f aca="false">AD1160*$V1160</f>
        <v>0</v>
      </c>
      <c r="AQ1160" s="9" t="n">
        <f aca="false">AE1160*$V1160</f>
        <v>0</v>
      </c>
      <c r="AR1160" s="9" t="n">
        <f aca="false">AF1160*$V1160</f>
        <v>0</v>
      </c>
      <c r="AS1160" s="9" t="n">
        <f aca="false">AG1160*$V1160</f>
        <v>0</v>
      </c>
      <c r="AT1160" s="9" t="n">
        <f aca="false">AH1160*$V1160</f>
        <v>0</v>
      </c>
      <c r="AU1160" s="9" t="n">
        <f aca="false">AI1160*$V1160</f>
        <v>0</v>
      </c>
      <c r="AV1160" s="9" t="n">
        <f aca="false">SUM(X1160:AI1160)/1000</f>
        <v>39</v>
      </c>
      <c r="AW1160" s="9" t="n">
        <f aca="false">SUM(AJ1160:AU1160)</f>
        <v>507</v>
      </c>
      <c r="AX1160" s="9" t="n">
        <f aca="false">IF(D1160="INR",AW1160/88.24,AW1160)/1000000</f>
        <v>0.000507</v>
      </c>
    </row>
    <row r="1161" s="2" customFormat="true" ht="14.25" hidden="false" customHeight="false" outlineLevel="0" collapsed="false">
      <c r="A1161" s="12" t="s">
        <v>2227</v>
      </c>
      <c r="B1161" s="16"/>
      <c r="C1161" s="15"/>
      <c r="D1161" s="16" t="s">
        <v>50</v>
      </c>
      <c r="E1161" s="16" t="s">
        <v>51</v>
      </c>
      <c r="F1161" s="16" t="s">
        <v>267</v>
      </c>
      <c r="G1161" s="16" t="s">
        <v>2228</v>
      </c>
      <c r="H1161" s="16" t="s">
        <v>2229</v>
      </c>
      <c r="I1161" s="16" t="s">
        <v>105</v>
      </c>
      <c r="J1161" s="16" t="s">
        <v>368</v>
      </c>
      <c r="K1161" s="16"/>
      <c r="L1161" s="16" t="s">
        <v>105</v>
      </c>
      <c r="M1161" s="16" t="s">
        <v>368</v>
      </c>
      <c r="N1161" s="16" t="s">
        <v>271</v>
      </c>
      <c r="O1161" s="16" t="s">
        <v>94</v>
      </c>
      <c r="P1161" s="16" t="s">
        <v>110</v>
      </c>
      <c r="Q1161" s="16" t="s">
        <v>110</v>
      </c>
      <c r="R1161" s="16" t="s">
        <v>137</v>
      </c>
      <c r="S1161" s="16" t="s">
        <v>272</v>
      </c>
      <c r="T1161" s="16" t="s">
        <v>849</v>
      </c>
      <c r="U1161" s="16" t="s">
        <v>73</v>
      </c>
      <c r="V1161" s="16" t="n">
        <v>55</v>
      </c>
      <c r="W1161" s="16" t="n">
        <v>0.256</v>
      </c>
      <c r="X1161" s="16"/>
      <c r="Y1161" s="16" t="n">
        <v>2500</v>
      </c>
      <c r="Z1161" s="16"/>
      <c r="AA1161" s="16" t="n">
        <v>2500</v>
      </c>
      <c r="AB1161" s="16" t="n">
        <v>2500</v>
      </c>
      <c r="AC1161" s="16"/>
      <c r="AD1161" s="16" t="n">
        <v>2500</v>
      </c>
      <c r="AE1161" s="16"/>
      <c r="AF1161" s="16"/>
      <c r="AG1161" s="16" t="n">
        <v>2500</v>
      </c>
      <c r="AH1161" s="16"/>
      <c r="AI1161" s="16" t="n">
        <v>2500</v>
      </c>
      <c r="AJ1161" s="9" t="n">
        <f aca="false">X1161*$V1161</f>
        <v>0</v>
      </c>
      <c r="AK1161" s="9" t="n">
        <f aca="false">Y1161*$V1161</f>
        <v>137500</v>
      </c>
      <c r="AL1161" s="9" t="n">
        <f aca="false">Z1161*$V1161</f>
        <v>0</v>
      </c>
      <c r="AM1161" s="9" t="n">
        <f aca="false">AA1161*$V1161</f>
        <v>137500</v>
      </c>
      <c r="AN1161" s="9" t="n">
        <f aca="false">AB1161*$V1161</f>
        <v>137500</v>
      </c>
      <c r="AO1161" s="9" t="n">
        <f aca="false">AC1161*$V1161</f>
        <v>0</v>
      </c>
      <c r="AP1161" s="9" t="n">
        <f aca="false">AD1161*$V1161</f>
        <v>137500</v>
      </c>
      <c r="AQ1161" s="9" t="n">
        <f aca="false">AE1161*$V1161</f>
        <v>0</v>
      </c>
      <c r="AR1161" s="9" t="n">
        <f aca="false">AF1161*$V1161</f>
        <v>0</v>
      </c>
      <c r="AS1161" s="9" t="n">
        <f aca="false">AG1161*$V1161</f>
        <v>137500</v>
      </c>
      <c r="AT1161" s="9" t="n">
        <f aca="false">AH1161*$V1161</f>
        <v>0</v>
      </c>
      <c r="AU1161" s="9" t="n">
        <f aca="false">AI1161*$V1161</f>
        <v>137500</v>
      </c>
      <c r="AV1161" s="9" t="n">
        <f aca="false">SUM(X1161:AI1161)/1000</f>
        <v>15</v>
      </c>
      <c r="AW1161" s="9" t="n">
        <f aca="false">SUM(AJ1161:AU1161)</f>
        <v>825000</v>
      </c>
      <c r="AX1161" s="9" t="n">
        <f aca="false">IF(D1161="INR",AW1161/88.24,AW1161)/1000000</f>
        <v>0.00934950135992747</v>
      </c>
    </row>
    <row r="1162" s="2" customFormat="true" ht="14.25" hidden="false" customHeight="false" outlineLevel="0" collapsed="false">
      <c r="A1162" s="12" t="s">
        <v>2230</v>
      </c>
      <c r="B1162" s="16" t="n">
        <v>5</v>
      </c>
      <c r="C1162" s="15"/>
      <c r="D1162" s="16" t="s">
        <v>50</v>
      </c>
      <c r="E1162" s="16" t="s">
        <v>51</v>
      </c>
      <c r="F1162" s="16" t="s">
        <v>52</v>
      </c>
      <c r="G1162" s="16" t="s">
        <v>947</v>
      </c>
      <c r="H1162" s="16" t="s">
        <v>948</v>
      </c>
      <c r="I1162" s="16" t="s">
        <v>1005</v>
      </c>
      <c r="J1162" s="16" t="s">
        <v>1094</v>
      </c>
      <c r="K1162" s="16"/>
      <c r="L1162" s="16" t="s">
        <v>1005</v>
      </c>
      <c r="M1162" s="16" t="s">
        <v>1094</v>
      </c>
      <c r="N1162" s="16" t="s">
        <v>79</v>
      </c>
      <c r="O1162" s="16" t="s">
        <v>315</v>
      </c>
      <c r="P1162" s="16" t="s">
        <v>308</v>
      </c>
      <c r="Q1162" s="16" t="s">
        <v>308</v>
      </c>
      <c r="R1162" s="16" t="s">
        <v>309</v>
      </c>
      <c r="S1162" s="16" t="s">
        <v>264</v>
      </c>
      <c r="T1162" s="16" t="s">
        <v>394</v>
      </c>
      <c r="U1162" s="16" t="s">
        <v>73</v>
      </c>
      <c r="V1162" s="16" t="n">
        <v>1.32</v>
      </c>
      <c r="W1162" s="16" t="n">
        <v>1</v>
      </c>
      <c r="X1162" s="22" t="n">
        <v>45000</v>
      </c>
      <c r="Y1162" s="22" t="n">
        <v>45000</v>
      </c>
      <c r="Z1162" s="22"/>
      <c r="AA1162" s="22" t="n">
        <v>45000</v>
      </c>
      <c r="AB1162" s="22" t="n">
        <v>45000</v>
      </c>
      <c r="AC1162" s="22" t="n">
        <v>45000</v>
      </c>
      <c r="AD1162" s="22"/>
      <c r="AE1162" s="22" t="n">
        <v>45000</v>
      </c>
      <c r="AF1162" s="22"/>
      <c r="AG1162" s="22" t="n">
        <v>45000</v>
      </c>
      <c r="AH1162" s="22" t="n">
        <v>45000</v>
      </c>
      <c r="AI1162" s="22" t="n">
        <v>45000</v>
      </c>
      <c r="AJ1162" s="9" t="n">
        <f aca="false">X1162*$V1162</f>
        <v>59400</v>
      </c>
      <c r="AK1162" s="9" t="n">
        <f aca="false">Y1162*$V1162</f>
        <v>59400</v>
      </c>
      <c r="AL1162" s="9" t="n">
        <f aca="false">Z1162*$V1162</f>
        <v>0</v>
      </c>
      <c r="AM1162" s="9" t="n">
        <f aca="false">AA1162*$V1162</f>
        <v>59400</v>
      </c>
      <c r="AN1162" s="9" t="n">
        <f aca="false">AB1162*$V1162</f>
        <v>59400</v>
      </c>
      <c r="AO1162" s="9" t="n">
        <f aca="false">AC1162*$V1162</f>
        <v>59400</v>
      </c>
      <c r="AP1162" s="9" t="n">
        <f aca="false">AD1162*$V1162</f>
        <v>0</v>
      </c>
      <c r="AQ1162" s="9" t="n">
        <f aca="false">AE1162*$V1162</f>
        <v>59400</v>
      </c>
      <c r="AR1162" s="9" t="n">
        <f aca="false">AF1162*$V1162</f>
        <v>0</v>
      </c>
      <c r="AS1162" s="9" t="n">
        <f aca="false">AG1162*$V1162</f>
        <v>59400</v>
      </c>
      <c r="AT1162" s="9" t="n">
        <f aca="false">AH1162*$V1162</f>
        <v>59400</v>
      </c>
      <c r="AU1162" s="9" t="n">
        <f aca="false">AI1162*$V1162</f>
        <v>59400</v>
      </c>
      <c r="AV1162" s="9" t="n">
        <f aca="false">SUM(X1162:AI1162)/1000</f>
        <v>405</v>
      </c>
      <c r="AW1162" s="9" t="n">
        <f aca="false">SUM(AJ1162:AU1162)</f>
        <v>534600</v>
      </c>
      <c r="AX1162" s="9" t="n">
        <f aca="false">IF(D1162="INR",AW1162/88.24,AW1162)/1000000</f>
        <v>0.006058476881233</v>
      </c>
    </row>
    <row r="1163" s="2" customFormat="true" ht="16.4" hidden="false" customHeight="false" outlineLevel="0" collapsed="false">
      <c r="A1163" s="28" t="s">
        <v>2231</v>
      </c>
      <c r="B1163" s="16"/>
      <c r="C1163" s="16"/>
      <c r="D1163" s="16" t="s">
        <v>102</v>
      </c>
      <c r="E1163" s="16" t="s">
        <v>51</v>
      </c>
      <c r="F1163" s="16" t="s">
        <v>52</v>
      </c>
      <c r="G1163" s="16" t="s">
        <v>258</v>
      </c>
      <c r="H1163" s="16" t="s">
        <v>259</v>
      </c>
      <c r="I1163" s="16" t="s">
        <v>260</v>
      </c>
      <c r="J1163" s="16" t="s">
        <v>1381</v>
      </c>
      <c r="K1163" s="16"/>
      <c r="L1163" s="16" t="s">
        <v>260</v>
      </c>
      <c r="M1163" s="16" t="s">
        <v>1381</v>
      </c>
      <c r="N1163" s="16" t="s">
        <v>67</v>
      </c>
      <c r="O1163" s="16" t="s">
        <v>107</v>
      </c>
      <c r="P1163" s="16" t="s">
        <v>188</v>
      </c>
      <c r="Q1163" s="16" t="s">
        <v>188</v>
      </c>
      <c r="R1163" s="16" t="s">
        <v>550</v>
      </c>
      <c r="S1163" s="16" t="s">
        <v>528</v>
      </c>
      <c r="T1163" s="16" t="s">
        <v>2232</v>
      </c>
      <c r="U1163" s="16" t="s">
        <v>73</v>
      </c>
      <c r="V1163" s="16" t="n">
        <v>0.0034</v>
      </c>
      <c r="W1163" s="16" t="n">
        <v>0.0031</v>
      </c>
      <c r="X1163" s="16" t="n">
        <v>12000</v>
      </c>
      <c r="Y1163" s="16" t="n">
        <v>12000</v>
      </c>
      <c r="Z1163" s="16" t="n">
        <v>12000</v>
      </c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9" t="n">
        <f aca="false">X1163*$V1163</f>
        <v>40.8</v>
      </c>
      <c r="AK1163" s="9" t="n">
        <f aca="false">Y1163*$V1163</f>
        <v>40.8</v>
      </c>
      <c r="AL1163" s="9" t="n">
        <f aca="false">Z1163*$V1163</f>
        <v>40.8</v>
      </c>
      <c r="AM1163" s="9" t="n">
        <f aca="false">AA1163*$V1163</f>
        <v>0</v>
      </c>
      <c r="AN1163" s="9" t="n">
        <f aca="false">AB1163*$V1163</f>
        <v>0</v>
      </c>
      <c r="AO1163" s="9" t="n">
        <f aca="false">AC1163*$V1163</f>
        <v>0</v>
      </c>
      <c r="AP1163" s="9" t="n">
        <f aca="false">AD1163*$V1163</f>
        <v>0</v>
      </c>
      <c r="AQ1163" s="9" t="n">
        <f aca="false">AE1163*$V1163</f>
        <v>0</v>
      </c>
      <c r="AR1163" s="9" t="n">
        <f aca="false">AF1163*$V1163</f>
        <v>0</v>
      </c>
      <c r="AS1163" s="9" t="n">
        <f aca="false">AG1163*$V1163</f>
        <v>0</v>
      </c>
      <c r="AT1163" s="9" t="n">
        <f aca="false">AH1163*$V1163</f>
        <v>0</v>
      </c>
      <c r="AU1163" s="9" t="n">
        <f aca="false">AI1163*$V1163</f>
        <v>0</v>
      </c>
      <c r="AV1163" s="9" t="n">
        <f aca="false">SUM(X1163:AI1163)/1000</f>
        <v>36</v>
      </c>
      <c r="AW1163" s="9" t="n">
        <f aca="false">SUM(AJ1163:AU1163)</f>
        <v>122.4</v>
      </c>
      <c r="AX1163" s="9" t="n">
        <f aca="false">IF(D1163="INR",AW1163/88.24,AW1163)/1000000</f>
        <v>0.0001224</v>
      </c>
    </row>
    <row r="1164" s="2" customFormat="true" ht="16.4" hidden="false" customHeight="false" outlineLevel="0" collapsed="false">
      <c r="A1164" s="28" t="s">
        <v>2233</v>
      </c>
      <c r="B1164" s="16"/>
      <c r="C1164" s="16"/>
      <c r="D1164" s="16" t="s">
        <v>102</v>
      </c>
      <c r="E1164" s="16" t="s">
        <v>51</v>
      </c>
      <c r="F1164" s="16" t="s">
        <v>52</v>
      </c>
      <c r="G1164" s="16" t="s">
        <v>258</v>
      </c>
      <c r="H1164" s="16" t="s">
        <v>259</v>
      </c>
      <c r="I1164" s="16" t="s">
        <v>260</v>
      </c>
      <c r="J1164" s="16" t="s">
        <v>1381</v>
      </c>
      <c r="K1164" s="16"/>
      <c r="L1164" s="16" t="s">
        <v>260</v>
      </c>
      <c r="M1164" s="16" t="s">
        <v>1381</v>
      </c>
      <c r="N1164" s="16" t="s">
        <v>67</v>
      </c>
      <c r="O1164" s="16" t="s">
        <v>107</v>
      </c>
      <c r="P1164" s="16" t="s">
        <v>188</v>
      </c>
      <c r="Q1164" s="16" t="s">
        <v>188</v>
      </c>
      <c r="R1164" s="16" t="s">
        <v>550</v>
      </c>
      <c r="S1164" s="16" t="s">
        <v>528</v>
      </c>
      <c r="T1164" s="26" t="s">
        <v>2234</v>
      </c>
      <c r="U1164" s="16" t="s">
        <v>73</v>
      </c>
      <c r="V1164" s="16" t="n">
        <v>0.0122</v>
      </c>
      <c r="W1164" s="16" t="n">
        <v>0.0089</v>
      </c>
      <c r="X1164" s="16" t="n">
        <v>10000</v>
      </c>
      <c r="Y1164" s="16" t="n">
        <v>10000</v>
      </c>
      <c r="Z1164" s="16" t="n">
        <v>10000</v>
      </c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9" t="n">
        <f aca="false">X1164*$V1164</f>
        <v>122</v>
      </c>
      <c r="AK1164" s="9" t="n">
        <f aca="false">Y1164*$V1164</f>
        <v>122</v>
      </c>
      <c r="AL1164" s="9" t="n">
        <f aca="false">Z1164*$V1164</f>
        <v>122</v>
      </c>
      <c r="AM1164" s="9" t="n">
        <f aca="false">AA1164*$V1164</f>
        <v>0</v>
      </c>
      <c r="AN1164" s="9" t="n">
        <f aca="false">AB1164*$V1164</f>
        <v>0</v>
      </c>
      <c r="AO1164" s="9" t="n">
        <f aca="false">AC1164*$V1164</f>
        <v>0</v>
      </c>
      <c r="AP1164" s="9" t="n">
        <f aca="false">AD1164*$V1164</f>
        <v>0</v>
      </c>
      <c r="AQ1164" s="9" t="n">
        <f aca="false">AE1164*$V1164</f>
        <v>0</v>
      </c>
      <c r="AR1164" s="9" t="n">
        <f aca="false">AF1164*$V1164</f>
        <v>0</v>
      </c>
      <c r="AS1164" s="9" t="n">
        <f aca="false">AG1164*$V1164</f>
        <v>0</v>
      </c>
      <c r="AT1164" s="9" t="n">
        <f aca="false">AH1164*$V1164</f>
        <v>0</v>
      </c>
      <c r="AU1164" s="9" t="n">
        <f aca="false">AI1164*$V1164</f>
        <v>0</v>
      </c>
      <c r="AV1164" s="9" t="n">
        <f aca="false">SUM(X1164:AI1164)/1000</f>
        <v>30</v>
      </c>
      <c r="AW1164" s="9" t="n">
        <f aca="false">SUM(AJ1164:AU1164)</f>
        <v>366</v>
      </c>
      <c r="AX1164" s="9" t="n">
        <f aca="false">IF(D1164="INR",AW1164/88.24,AW1164)/1000000</f>
        <v>0.000366</v>
      </c>
    </row>
    <row r="1165" s="2" customFormat="true" ht="16.4" hidden="false" customHeight="false" outlineLevel="0" collapsed="false">
      <c r="A1165" s="35" t="s">
        <v>2235</v>
      </c>
      <c r="B1165" s="9"/>
      <c r="C1165" s="10"/>
      <c r="D1165" s="9" t="s">
        <v>102</v>
      </c>
      <c r="E1165" s="9" t="s">
        <v>51</v>
      </c>
      <c r="F1165" s="9" t="s">
        <v>52</v>
      </c>
      <c r="G1165" s="9" t="s">
        <v>258</v>
      </c>
      <c r="H1165" s="9" t="s">
        <v>259</v>
      </c>
      <c r="I1165" s="9" t="s">
        <v>260</v>
      </c>
      <c r="J1165" s="9" t="s">
        <v>1381</v>
      </c>
      <c r="K1165" s="9"/>
      <c r="L1165" s="9" t="s">
        <v>260</v>
      </c>
      <c r="M1165" s="9" t="s">
        <v>1381</v>
      </c>
      <c r="N1165" s="16" t="s">
        <v>67</v>
      </c>
      <c r="O1165" s="9" t="s">
        <v>107</v>
      </c>
      <c r="P1165" s="9" t="s">
        <v>188</v>
      </c>
      <c r="Q1165" s="9" t="s">
        <v>188</v>
      </c>
      <c r="R1165" s="9" t="s">
        <v>550</v>
      </c>
      <c r="S1165" s="9" t="s">
        <v>528</v>
      </c>
      <c r="T1165" s="9" t="s">
        <v>2236</v>
      </c>
      <c r="U1165" s="9" t="s">
        <v>73</v>
      </c>
      <c r="V1165" s="9" t="n">
        <v>0.0094</v>
      </c>
      <c r="W1165" s="9" t="n">
        <v>0.0088</v>
      </c>
      <c r="X1165" s="9" t="n">
        <v>9700</v>
      </c>
      <c r="Y1165" s="9" t="n">
        <v>9700</v>
      </c>
      <c r="Z1165" s="9" t="n">
        <v>9700</v>
      </c>
      <c r="AA1165" s="9"/>
      <c r="AB1165" s="9"/>
      <c r="AC1165" s="9"/>
      <c r="AD1165" s="9"/>
      <c r="AE1165" s="9"/>
      <c r="AF1165" s="9"/>
      <c r="AG1165" s="9"/>
      <c r="AH1165" s="9"/>
      <c r="AI1165" s="9"/>
      <c r="AJ1165" s="9" t="n">
        <f aca="false">X1165*$V1165</f>
        <v>91.18</v>
      </c>
      <c r="AK1165" s="9" t="n">
        <f aca="false">Y1165*$V1165</f>
        <v>91.18</v>
      </c>
      <c r="AL1165" s="9" t="n">
        <f aca="false">Z1165*$V1165</f>
        <v>91.18</v>
      </c>
      <c r="AM1165" s="9" t="n">
        <f aca="false">AA1165*$V1165</f>
        <v>0</v>
      </c>
      <c r="AN1165" s="9" t="n">
        <f aca="false">AB1165*$V1165</f>
        <v>0</v>
      </c>
      <c r="AO1165" s="9" t="n">
        <f aca="false">AC1165*$V1165</f>
        <v>0</v>
      </c>
      <c r="AP1165" s="9" t="n">
        <f aca="false">AD1165*$V1165</f>
        <v>0</v>
      </c>
      <c r="AQ1165" s="9" t="n">
        <f aca="false">AE1165*$V1165</f>
        <v>0</v>
      </c>
      <c r="AR1165" s="9" t="n">
        <f aca="false">AF1165*$V1165</f>
        <v>0</v>
      </c>
      <c r="AS1165" s="9" t="n">
        <f aca="false">AG1165*$V1165</f>
        <v>0</v>
      </c>
      <c r="AT1165" s="9" t="n">
        <f aca="false">AH1165*$V1165</f>
        <v>0</v>
      </c>
      <c r="AU1165" s="9" t="n">
        <f aca="false">AI1165*$V1165</f>
        <v>0</v>
      </c>
      <c r="AV1165" s="9" t="n">
        <f aca="false">SUM(X1165:AI1165)/1000</f>
        <v>29.1</v>
      </c>
      <c r="AW1165" s="9" t="n">
        <f aca="false">SUM(AJ1165:AU1165)</f>
        <v>273.54</v>
      </c>
      <c r="AX1165" s="9" t="n">
        <f aca="false">IF(D1165="INR",AW1165/88.24,AW1165)/1000000</f>
        <v>0.00027354</v>
      </c>
    </row>
    <row r="1166" s="2" customFormat="true" ht="14.25" hidden="false" customHeight="true" outlineLevel="0" collapsed="false">
      <c r="A1166" s="28" t="s">
        <v>2237</v>
      </c>
      <c r="B1166" s="16"/>
      <c r="C1166" s="16"/>
      <c r="D1166" s="16" t="s">
        <v>102</v>
      </c>
      <c r="E1166" s="16" t="s">
        <v>51</v>
      </c>
      <c r="F1166" s="16" t="s">
        <v>52</v>
      </c>
      <c r="G1166" s="16" t="s">
        <v>258</v>
      </c>
      <c r="H1166" s="16" t="s">
        <v>259</v>
      </c>
      <c r="I1166" s="16" t="s">
        <v>260</v>
      </c>
      <c r="J1166" s="16" t="s">
        <v>1381</v>
      </c>
      <c r="K1166" s="16"/>
      <c r="L1166" s="16" t="s">
        <v>260</v>
      </c>
      <c r="M1166" s="16" t="s">
        <v>1381</v>
      </c>
      <c r="N1166" s="16" t="s">
        <v>67</v>
      </c>
      <c r="O1166" s="16" t="s">
        <v>107</v>
      </c>
      <c r="P1166" s="16" t="s">
        <v>188</v>
      </c>
      <c r="Q1166" s="16" t="s">
        <v>188</v>
      </c>
      <c r="R1166" s="16" t="s">
        <v>550</v>
      </c>
      <c r="S1166" s="16" t="s">
        <v>528</v>
      </c>
      <c r="T1166" s="16" t="s">
        <v>2238</v>
      </c>
      <c r="U1166" s="16" t="s">
        <v>73</v>
      </c>
      <c r="V1166" s="16" t="n">
        <v>0.0048</v>
      </c>
      <c r="W1166" s="16" t="n">
        <v>0.0045</v>
      </c>
      <c r="X1166" s="34" t="n">
        <v>8320</v>
      </c>
      <c r="Y1166" s="34" t="n">
        <v>8320</v>
      </c>
      <c r="Z1166" s="34" t="n">
        <v>8320</v>
      </c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9" t="n">
        <f aca="false">X1166*$V1166</f>
        <v>39.936</v>
      </c>
      <c r="AK1166" s="9" t="n">
        <f aca="false">Y1166*$V1166</f>
        <v>39.936</v>
      </c>
      <c r="AL1166" s="9" t="n">
        <f aca="false">Z1166*$V1166</f>
        <v>39.936</v>
      </c>
      <c r="AM1166" s="9" t="n">
        <f aca="false">AA1166*$V1166</f>
        <v>0</v>
      </c>
      <c r="AN1166" s="9" t="n">
        <f aca="false">AB1166*$V1166</f>
        <v>0</v>
      </c>
      <c r="AO1166" s="9" t="n">
        <f aca="false">AC1166*$V1166</f>
        <v>0</v>
      </c>
      <c r="AP1166" s="9" t="n">
        <f aca="false">AD1166*$V1166</f>
        <v>0</v>
      </c>
      <c r="AQ1166" s="9" t="n">
        <f aca="false">AE1166*$V1166</f>
        <v>0</v>
      </c>
      <c r="AR1166" s="9" t="n">
        <f aca="false">AF1166*$V1166</f>
        <v>0</v>
      </c>
      <c r="AS1166" s="9" t="n">
        <f aca="false">AG1166*$V1166</f>
        <v>0</v>
      </c>
      <c r="AT1166" s="9" t="n">
        <f aca="false">AH1166*$V1166</f>
        <v>0</v>
      </c>
      <c r="AU1166" s="9" t="n">
        <f aca="false">AI1166*$V1166</f>
        <v>0</v>
      </c>
      <c r="AV1166" s="9" t="n">
        <f aca="false">SUM(X1166:AI1166)/1000</f>
        <v>24.96</v>
      </c>
      <c r="AW1166" s="9" t="n">
        <f aca="false">SUM(AJ1166:AU1166)</f>
        <v>119.808</v>
      </c>
      <c r="AX1166" s="9" t="n">
        <f aca="false">IF(D1166="INR",AW1166/88.24,AW1166)/1000000</f>
        <v>0.000119808</v>
      </c>
    </row>
    <row r="1167" s="2" customFormat="true" ht="16.4" hidden="false" customHeight="false" outlineLevel="0" collapsed="false">
      <c r="A1167" s="35" t="s">
        <v>2239</v>
      </c>
      <c r="B1167" s="9"/>
      <c r="C1167" s="10"/>
      <c r="D1167" s="9" t="s">
        <v>102</v>
      </c>
      <c r="E1167" s="9" t="s">
        <v>51</v>
      </c>
      <c r="F1167" s="9" t="s">
        <v>52</v>
      </c>
      <c r="G1167" s="9" t="s">
        <v>258</v>
      </c>
      <c r="H1167" s="9" t="s">
        <v>259</v>
      </c>
      <c r="I1167" s="9" t="s">
        <v>260</v>
      </c>
      <c r="J1167" s="9" t="s">
        <v>1381</v>
      </c>
      <c r="K1167" s="9"/>
      <c r="L1167" s="9" t="s">
        <v>260</v>
      </c>
      <c r="M1167" s="9" t="s">
        <v>1381</v>
      </c>
      <c r="N1167" s="16" t="s">
        <v>67</v>
      </c>
      <c r="O1167" s="9" t="s">
        <v>107</v>
      </c>
      <c r="P1167" s="9" t="s">
        <v>188</v>
      </c>
      <c r="Q1167" s="9" t="s">
        <v>188</v>
      </c>
      <c r="R1167" s="9" t="s">
        <v>550</v>
      </c>
      <c r="S1167" s="9" t="s">
        <v>528</v>
      </c>
      <c r="T1167" s="9" t="s">
        <v>2240</v>
      </c>
      <c r="U1167" s="9" t="s">
        <v>73</v>
      </c>
      <c r="V1167" s="9" t="n">
        <v>0.046</v>
      </c>
      <c r="W1167" s="9" t="n">
        <v>0.0429</v>
      </c>
      <c r="X1167" s="9" t="n">
        <v>8000</v>
      </c>
      <c r="Y1167" s="9" t="n">
        <v>8000</v>
      </c>
      <c r="Z1167" s="9" t="n">
        <v>8000</v>
      </c>
      <c r="AA1167" s="9"/>
      <c r="AB1167" s="9"/>
      <c r="AC1167" s="9"/>
      <c r="AD1167" s="9"/>
      <c r="AE1167" s="9"/>
      <c r="AF1167" s="9"/>
      <c r="AG1167" s="9"/>
      <c r="AH1167" s="9"/>
      <c r="AI1167" s="9"/>
      <c r="AJ1167" s="9" t="n">
        <f aca="false">X1167*$V1167</f>
        <v>368</v>
      </c>
      <c r="AK1167" s="9" t="n">
        <f aca="false">Y1167*$V1167</f>
        <v>368</v>
      </c>
      <c r="AL1167" s="9" t="n">
        <f aca="false">Z1167*$V1167</f>
        <v>368</v>
      </c>
      <c r="AM1167" s="9" t="n">
        <f aca="false">AA1167*$V1167</f>
        <v>0</v>
      </c>
      <c r="AN1167" s="9" t="n">
        <f aca="false">AB1167*$V1167</f>
        <v>0</v>
      </c>
      <c r="AO1167" s="9" t="n">
        <f aca="false">AC1167*$V1167</f>
        <v>0</v>
      </c>
      <c r="AP1167" s="9" t="n">
        <f aca="false">AD1167*$V1167</f>
        <v>0</v>
      </c>
      <c r="AQ1167" s="9" t="n">
        <f aca="false">AE1167*$V1167</f>
        <v>0</v>
      </c>
      <c r="AR1167" s="9" t="n">
        <f aca="false">AF1167*$V1167</f>
        <v>0</v>
      </c>
      <c r="AS1167" s="9" t="n">
        <f aca="false">AG1167*$V1167</f>
        <v>0</v>
      </c>
      <c r="AT1167" s="9" t="n">
        <f aca="false">AH1167*$V1167</f>
        <v>0</v>
      </c>
      <c r="AU1167" s="9" t="n">
        <f aca="false">AI1167*$V1167</f>
        <v>0</v>
      </c>
      <c r="AV1167" s="9" t="n">
        <f aca="false">SUM(X1167:AI1167)/1000</f>
        <v>24</v>
      </c>
      <c r="AW1167" s="9" t="n">
        <f aca="false">SUM(AJ1167:AU1167)</f>
        <v>1104</v>
      </c>
      <c r="AX1167" s="9" t="n">
        <f aca="false">IF(D1167="INR",AW1167/88.24,AW1167)/1000000</f>
        <v>0.001104</v>
      </c>
    </row>
    <row r="1168" s="2" customFormat="true" ht="16.4" hidden="false" customHeight="false" outlineLevel="0" collapsed="false">
      <c r="A1168" s="28" t="s">
        <v>2241</v>
      </c>
      <c r="B1168" s="16"/>
      <c r="C1168" s="16"/>
      <c r="D1168" s="16" t="s">
        <v>102</v>
      </c>
      <c r="E1168" s="16" t="s">
        <v>51</v>
      </c>
      <c r="F1168" s="16" t="s">
        <v>52</v>
      </c>
      <c r="G1168" s="16" t="s">
        <v>258</v>
      </c>
      <c r="H1168" s="16" t="s">
        <v>259</v>
      </c>
      <c r="I1168" s="16" t="s">
        <v>260</v>
      </c>
      <c r="J1168" s="16" t="s">
        <v>1381</v>
      </c>
      <c r="K1168" s="16"/>
      <c r="L1168" s="16" t="s">
        <v>260</v>
      </c>
      <c r="M1168" s="16" t="s">
        <v>1381</v>
      </c>
      <c r="N1168" s="16" t="s">
        <v>67</v>
      </c>
      <c r="O1168" s="16" t="s">
        <v>107</v>
      </c>
      <c r="P1168" s="16" t="s">
        <v>188</v>
      </c>
      <c r="Q1168" s="16" t="s">
        <v>188</v>
      </c>
      <c r="R1168" s="16" t="s">
        <v>550</v>
      </c>
      <c r="S1168" s="16" t="s">
        <v>528</v>
      </c>
      <c r="T1168" s="16" t="s">
        <v>2242</v>
      </c>
      <c r="U1168" s="16" t="s">
        <v>73</v>
      </c>
      <c r="V1168" s="16" t="n">
        <v>0.0044</v>
      </c>
      <c r="W1168" s="16" t="n">
        <v>0.0041</v>
      </c>
      <c r="X1168" s="16" t="n">
        <v>7500</v>
      </c>
      <c r="Y1168" s="16" t="n">
        <v>7500</v>
      </c>
      <c r="Z1168" s="16" t="n">
        <v>7500</v>
      </c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9" t="n">
        <f aca="false">X1168*$V1168</f>
        <v>33</v>
      </c>
      <c r="AK1168" s="9" t="n">
        <f aca="false">Y1168*$V1168</f>
        <v>33</v>
      </c>
      <c r="AL1168" s="9" t="n">
        <f aca="false">Z1168*$V1168</f>
        <v>33</v>
      </c>
      <c r="AM1168" s="9" t="n">
        <f aca="false">AA1168*$V1168</f>
        <v>0</v>
      </c>
      <c r="AN1168" s="9" t="n">
        <f aca="false">AB1168*$V1168</f>
        <v>0</v>
      </c>
      <c r="AO1168" s="9" t="n">
        <f aca="false">AC1168*$V1168</f>
        <v>0</v>
      </c>
      <c r="AP1168" s="9" t="n">
        <f aca="false">AD1168*$V1168</f>
        <v>0</v>
      </c>
      <c r="AQ1168" s="9" t="n">
        <f aca="false">AE1168*$V1168</f>
        <v>0</v>
      </c>
      <c r="AR1168" s="9" t="n">
        <f aca="false">AF1168*$V1168</f>
        <v>0</v>
      </c>
      <c r="AS1168" s="9" t="n">
        <f aca="false">AG1168*$V1168</f>
        <v>0</v>
      </c>
      <c r="AT1168" s="9" t="n">
        <f aca="false">AH1168*$V1168</f>
        <v>0</v>
      </c>
      <c r="AU1168" s="9" t="n">
        <f aca="false">AI1168*$V1168</f>
        <v>0</v>
      </c>
      <c r="AV1168" s="9" t="n">
        <f aca="false">SUM(X1168:AI1168)/1000</f>
        <v>22.5</v>
      </c>
      <c r="AW1168" s="9" t="n">
        <f aca="false">SUM(AJ1168:AU1168)</f>
        <v>99</v>
      </c>
      <c r="AX1168" s="9" t="n">
        <f aca="false">IF(D1168="INR",AW1168/88.24,AW1168)/1000000</f>
        <v>9.9E-005</v>
      </c>
    </row>
    <row r="1169" s="2" customFormat="true" ht="16.4" hidden="false" customHeight="false" outlineLevel="0" collapsed="false">
      <c r="A1169" s="35" t="s">
        <v>2243</v>
      </c>
      <c r="B1169" s="9"/>
      <c r="C1169" s="10"/>
      <c r="D1169" s="9" t="s">
        <v>102</v>
      </c>
      <c r="E1169" s="9" t="s">
        <v>51</v>
      </c>
      <c r="F1169" s="9" t="s">
        <v>52</v>
      </c>
      <c r="G1169" s="9" t="s">
        <v>258</v>
      </c>
      <c r="H1169" s="9" t="s">
        <v>259</v>
      </c>
      <c r="I1169" s="9" t="s">
        <v>260</v>
      </c>
      <c r="J1169" s="9" t="s">
        <v>1381</v>
      </c>
      <c r="K1169" s="9"/>
      <c r="L1169" s="9" t="s">
        <v>260</v>
      </c>
      <c r="M1169" s="9" t="s">
        <v>1381</v>
      </c>
      <c r="N1169" s="16" t="s">
        <v>67</v>
      </c>
      <c r="O1169" s="9" t="s">
        <v>107</v>
      </c>
      <c r="P1169" s="9" t="s">
        <v>188</v>
      </c>
      <c r="Q1169" s="9" t="s">
        <v>188</v>
      </c>
      <c r="R1169" s="9" t="s">
        <v>550</v>
      </c>
      <c r="S1169" s="9" t="s">
        <v>528</v>
      </c>
      <c r="T1169" s="9" t="s">
        <v>2244</v>
      </c>
      <c r="U1169" s="9" t="s">
        <v>73</v>
      </c>
      <c r="V1169" s="9" t="n">
        <v>0.0289</v>
      </c>
      <c r="W1169" s="9" t="n">
        <v>0.026</v>
      </c>
      <c r="X1169" s="9" t="n">
        <v>7000</v>
      </c>
      <c r="Y1169" s="9" t="n">
        <v>7000</v>
      </c>
      <c r="Z1169" s="9" t="n">
        <v>7000</v>
      </c>
      <c r="AA1169" s="9"/>
      <c r="AB1169" s="9"/>
      <c r="AC1169" s="9"/>
      <c r="AD1169" s="9"/>
      <c r="AE1169" s="9"/>
      <c r="AF1169" s="9"/>
      <c r="AG1169" s="9"/>
      <c r="AH1169" s="9"/>
      <c r="AI1169" s="9"/>
      <c r="AJ1169" s="9" t="n">
        <f aca="false">X1169*$V1169</f>
        <v>202.3</v>
      </c>
      <c r="AK1169" s="9" t="n">
        <f aca="false">Y1169*$V1169</f>
        <v>202.3</v>
      </c>
      <c r="AL1169" s="9" t="n">
        <f aca="false">Z1169*$V1169</f>
        <v>202.3</v>
      </c>
      <c r="AM1169" s="9" t="n">
        <f aca="false">AA1169*$V1169</f>
        <v>0</v>
      </c>
      <c r="AN1169" s="9" t="n">
        <f aca="false">AB1169*$V1169</f>
        <v>0</v>
      </c>
      <c r="AO1169" s="9" t="n">
        <f aca="false">AC1169*$V1169</f>
        <v>0</v>
      </c>
      <c r="AP1169" s="9" t="n">
        <f aca="false">AD1169*$V1169</f>
        <v>0</v>
      </c>
      <c r="AQ1169" s="9" t="n">
        <f aca="false">AE1169*$V1169</f>
        <v>0</v>
      </c>
      <c r="AR1169" s="9" t="n">
        <f aca="false">AF1169*$V1169</f>
        <v>0</v>
      </c>
      <c r="AS1169" s="9" t="n">
        <f aca="false">AG1169*$V1169</f>
        <v>0</v>
      </c>
      <c r="AT1169" s="9" t="n">
        <f aca="false">AH1169*$V1169</f>
        <v>0</v>
      </c>
      <c r="AU1169" s="9" t="n">
        <f aca="false">AI1169*$V1169</f>
        <v>0</v>
      </c>
      <c r="AV1169" s="9" t="n">
        <f aca="false">SUM(X1169:AI1169)/1000</f>
        <v>21</v>
      </c>
      <c r="AW1169" s="9" t="n">
        <f aca="false">SUM(AJ1169:AU1169)</f>
        <v>606.9</v>
      </c>
      <c r="AX1169" s="9" t="n">
        <f aca="false">IF(D1169="INR",AW1169/88.24,AW1169)/1000000</f>
        <v>0.0006069</v>
      </c>
    </row>
    <row r="1170" s="2" customFormat="true" ht="14.25" hidden="false" customHeight="false" outlineLevel="0" collapsed="false">
      <c r="A1170" s="35"/>
      <c r="B1170" s="9" t="n">
        <v>1</v>
      </c>
      <c r="C1170" s="10"/>
      <c r="D1170" s="9" t="s">
        <v>102</v>
      </c>
      <c r="E1170" s="9"/>
      <c r="F1170" s="9" t="s">
        <v>52</v>
      </c>
      <c r="G1170" s="9" t="s">
        <v>258</v>
      </c>
      <c r="H1170" s="9" t="s">
        <v>259</v>
      </c>
      <c r="I1170" s="9"/>
      <c r="J1170" s="9"/>
      <c r="K1170" s="9"/>
      <c r="L1170" s="9"/>
      <c r="M1170" s="9"/>
      <c r="N1170" s="16" t="s">
        <v>67</v>
      </c>
      <c r="O1170" s="9" t="s">
        <v>107</v>
      </c>
      <c r="P1170" s="9"/>
      <c r="Q1170" s="9" t="s">
        <v>2103</v>
      </c>
      <c r="R1170" s="9"/>
      <c r="S1170" s="9"/>
      <c r="T1170" s="9" t="s">
        <v>2245</v>
      </c>
      <c r="U1170" s="9" t="s">
        <v>63</v>
      </c>
      <c r="V1170" s="9" t="n">
        <v>0.014</v>
      </c>
      <c r="W1170" s="9"/>
      <c r="X1170" s="9"/>
      <c r="Y1170" s="9"/>
      <c r="Z1170" s="9"/>
      <c r="AA1170" s="9"/>
      <c r="AB1170" s="9"/>
      <c r="AC1170" s="9"/>
      <c r="AD1170" s="9" t="n">
        <v>10000</v>
      </c>
      <c r="AE1170" s="9"/>
      <c r="AF1170" s="9"/>
      <c r="AG1170" s="9"/>
      <c r="AH1170" s="9" t="n">
        <v>10000</v>
      </c>
      <c r="AI1170" s="9"/>
      <c r="AJ1170" s="9" t="n">
        <f aca="false">X1170*$V1170</f>
        <v>0</v>
      </c>
      <c r="AK1170" s="9" t="n">
        <f aca="false">Y1170*$V1170</f>
        <v>0</v>
      </c>
      <c r="AL1170" s="9" t="n">
        <f aca="false">Z1170*$V1170</f>
        <v>0</v>
      </c>
      <c r="AM1170" s="9" t="n">
        <f aca="false">AA1170*$V1170</f>
        <v>0</v>
      </c>
      <c r="AN1170" s="9" t="n">
        <f aca="false">AB1170*$V1170</f>
        <v>0</v>
      </c>
      <c r="AO1170" s="9" t="n">
        <f aca="false">AC1170*$V1170</f>
        <v>0</v>
      </c>
      <c r="AP1170" s="9" t="n">
        <f aca="false">AD1170*$V1170</f>
        <v>140</v>
      </c>
      <c r="AQ1170" s="9" t="n">
        <f aca="false">AE1170*$V1170</f>
        <v>0</v>
      </c>
      <c r="AR1170" s="9" t="n">
        <f aca="false">AF1170*$V1170</f>
        <v>0</v>
      </c>
      <c r="AS1170" s="9" t="n">
        <f aca="false">AG1170*$V1170</f>
        <v>0</v>
      </c>
      <c r="AT1170" s="9" t="n">
        <f aca="false">AH1170*$V1170</f>
        <v>140</v>
      </c>
      <c r="AU1170" s="9" t="n">
        <f aca="false">AI1170*$V1170</f>
        <v>0</v>
      </c>
      <c r="AV1170" s="9" t="n">
        <f aca="false">SUM(X1170:AI1170)/1000</f>
        <v>20</v>
      </c>
      <c r="AW1170" s="9" t="n">
        <f aca="false">SUM(AJ1170:AU1170)</f>
        <v>280</v>
      </c>
      <c r="AX1170" s="9" t="n">
        <f aca="false">IF(D1170="INR",AW1170/88.24,AW1170)/1000000</f>
        <v>0.00028</v>
      </c>
    </row>
    <row r="1171" s="2" customFormat="true" ht="16.4" hidden="false" customHeight="false" outlineLevel="0" collapsed="false">
      <c r="A1171" s="28" t="s">
        <v>2246</v>
      </c>
      <c r="B1171" s="16"/>
      <c r="C1171" s="16"/>
      <c r="D1171" s="16" t="s">
        <v>102</v>
      </c>
      <c r="E1171" s="16" t="s">
        <v>51</v>
      </c>
      <c r="F1171" s="16" t="s">
        <v>52</v>
      </c>
      <c r="G1171" s="16" t="s">
        <v>258</v>
      </c>
      <c r="H1171" s="16" t="s">
        <v>259</v>
      </c>
      <c r="I1171" s="16" t="s">
        <v>260</v>
      </c>
      <c r="J1171" s="16" t="s">
        <v>1381</v>
      </c>
      <c r="K1171" s="16"/>
      <c r="L1171" s="16" t="s">
        <v>260</v>
      </c>
      <c r="M1171" s="16" t="s">
        <v>1381</v>
      </c>
      <c r="N1171" s="16" t="s">
        <v>67</v>
      </c>
      <c r="O1171" s="16" t="s">
        <v>107</v>
      </c>
      <c r="P1171" s="16" t="s">
        <v>188</v>
      </c>
      <c r="Q1171" s="16" t="s">
        <v>188</v>
      </c>
      <c r="R1171" s="16" t="s">
        <v>550</v>
      </c>
      <c r="S1171" s="16" t="s">
        <v>528</v>
      </c>
      <c r="T1171" s="16" t="s">
        <v>2247</v>
      </c>
      <c r="U1171" s="16" t="s">
        <v>73</v>
      </c>
      <c r="V1171" s="16" t="n">
        <v>0.0017</v>
      </c>
      <c r="W1171" s="16" t="n">
        <v>0.0015</v>
      </c>
      <c r="X1171" s="16" t="n">
        <v>6500</v>
      </c>
      <c r="Y1171" s="16" t="n">
        <v>6500</v>
      </c>
      <c r="Z1171" s="16" t="n">
        <v>6500</v>
      </c>
      <c r="AA1171" s="26"/>
      <c r="AB1171" s="16"/>
      <c r="AC1171" s="16"/>
      <c r="AD1171" s="16"/>
      <c r="AE1171" s="16"/>
      <c r="AF1171" s="16"/>
      <c r="AG1171" s="16"/>
      <c r="AH1171" s="16"/>
      <c r="AI1171" s="16"/>
      <c r="AJ1171" s="9" t="n">
        <f aca="false">X1171*$V1171</f>
        <v>11.05</v>
      </c>
      <c r="AK1171" s="9" t="n">
        <f aca="false">Y1171*$V1171</f>
        <v>11.05</v>
      </c>
      <c r="AL1171" s="9" t="n">
        <f aca="false">Z1171*$V1171</f>
        <v>11.05</v>
      </c>
      <c r="AM1171" s="9" t="n">
        <f aca="false">AA1171*$V1171</f>
        <v>0</v>
      </c>
      <c r="AN1171" s="9" t="n">
        <f aca="false">AB1171*$V1171</f>
        <v>0</v>
      </c>
      <c r="AO1171" s="9" t="n">
        <f aca="false">AC1171*$V1171</f>
        <v>0</v>
      </c>
      <c r="AP1171" s="9" t="n">
        <f aca="false">AD1171*$V1171</f>
        <v>0</v>
      </c>
      <c r="AQ1171" s="9" t="n">
        <f aca="false">AE1171*$V1171</f>
        <v>0</v>
      </c>
      <c r="AR1171" s="9" t="n">
        <f aca="false">AF1171*$V1171</f>
        <v>0</v>
      </c>
      <c r="AS1171" s="9" t="n">
        <f aca="false">AG1171*$V1171</f>
        <v>0</v>
      </c>
      <c r="AT1171" s="9" t="n">
        <f aca="false">AH1171*$V1171</f>
        <v>0</v>
      </c>
      <c r="AU1171" s="9" t="n">
        <f aca="false">AI1171*$V1171</f>
        <v>0</v>
      </c>
      <c r="AV1171" s="9" t="n">
        <f aca="false">SUM(X1171:AI1171)/1000</f>
        <v>19.5</v>
      </c>
      <c r="AW1171" s="9" t="n">
        <f aca="false">SUM(AJ1171:AU1171)</f>
        <v>33.15</v>
      </c>
      <c r="AX1171" s="9" t="n">
        <f aca="false">IF(D1171="INR",AW1171/88.24,AW1171)/1000000</f>
        <v>3.315E-005</v>
      </c>
    </row>
    <row r="1172" s="2" customFormat="true" ht="16.4" hidden="false" customHeight="false" outlineLevel="0" collapsed="false">
      <c r="A1172" s="28" t="s">
        <v>2248</v>
      </c>
      <c r="B1172" s="9"/>
      <c r="C1172" s="9"/>
      <c r="D1172" s="9" t="s">
        <v>102</v>
      </c>
      <c r="E1172" s="9" t="s">
        <v>51</v>
      </c>
      <c r="F1172" s="9" t="s">
        <v>52</v>
      </c>
      <c r="G1172" s="9" t="s">
        <v>258</v>
      </c>
      <c r="H1172" s="9" t="s">
        <v>259</v>
      </c>
      <c r="I1172" s="9" t="s">
        <v>260</v>
      </c>
      <c r="J1172" s="9" t="s">
        <v>1381</v>
      </c>
      <c r="K1172" s="9"/>
      <c r="L1172" s="16" t="s">
        <v>260</v>
      </c>
      <c r="M1172" s="16" t="s">
        <v>1381</v>
      </c>
      <c r="N1172" s="16" t="s">
        <v>67</v>
      </c>
      <c r="O1172" s="16" t="s">
        <v>107</v>
      </c>
      <c r="P1172" s="9" t="s">
        <v>188</v>
      </c>
      <c r="Q1172" s="16" t="s">
        <v>188</v>
      </c>
      <c r="R1172" s="9" t="s">
        <v>550</v>
      </c>
      <c r="S1172" s="9" t="s">
        <v>528</v>
      </c>
      <c r="T1172" s="9" t="s">
        <v>2249</v>
      </c>
      <c r="U1172" s="9" t="s">
        <v>73</v>
      </c>
      <c r="V1172" s="9" t="n">
        <v>0.0017</v>
      </c>
      <c r="W1172" s="9" t="n">
        <v>0.0015</v>
      </c>
      <c r="X1172" s="9" t="n">
        <v>6500</v>
      </c>
      <c r="Y1172" s="9" t="n">
        <v>6500</v>
      </c>
      <c r="Z1172" s="9" t="n">
        <v>6500</v>
      </c>
      <c r="AA1172" s="9"/>
      <c r="AB1172" s="9"/>
      <c r="AC1172" s="9"/>
      <c r="AD1172" s="9"/>
      <c r="AE1172" s="9"/>
      <c r="AF1172" s="16"/>
      <c r="AG1172" s="16"/>
      <c r="AH1172" s="16"/>
      <c r="AI1172" s="16"/>
      <c r="AJ1172" s="9" t="n">
        <f aca="false">X1172*$V1172</f>
        <v>11.05</v>
      </c>
      <c r="AK1172" s="9" t="n">
        <f aca="false">Y1172*$V1172</f>
        <v>11.05</v>
      </c>
      <c r="AL1172" s="9" t="n">
        <f aca="false">Z1172*$V1172</f>
        <v>11.05</v>
      </c>
      <c r="AM1172" s="9" t="n">
        <f aca="false">AA1172*$V1172</f>
        <v>0</v>
      </c>
      <c r="AN1172" s="9" t="n">
        <f aca="false">AB1172*$V1172</f>
        <v>0</v>
      </c>
      <c r="AO1172" s="9" t="n">
        <f aca="false">AC1172*$V1172</f>
        <v>0</v>
      </c>
      <c r="AP1172" s="9" t="n">
        <f aca="false">AD1172*$V1172</f>
        <v>0</v>
      </c>
      <c r="AQ1172" s="9" t="n">
        <f aca="false">AE1172*$V1172</f>
        <v>0</v>
      </c>
      <c r="AR1172" s="9" t="n">
        <f aca="false">AF1172*$V1172</f>
        <v>0</v>
      </c>
      <c r="AS1172" s="9" t="n">
        <f aca="false">AG1172*$V1172</f>
        <v>0</v>
      </c>
      <c r="AT1172" s="9" t="n">
        <f aca="false">AH1172*$V1172</f>
        <v>0</v>
      </c>
      <c r="AU1172" s="9" t="n">
        <f aca="false">AI1172*$V1172</f>
        <v>0</v>
      </c>
      <c r="AV1172" s="9" t="n">
        <f aca="false">SUM(X1172:AI1172)/1000</f>
        <v>19.5</v>
      </c>
      <c r="AW1172" s="9" t="n">
        <f aca="false">SUM(AJ1172:AU1172)</f>
        <v>33.15</v>
      </c>
      <c r="AX1172" s="9" t="n">
        <f aca="false">IF(D1172="INR",AW1172/88.24,AW1172)/1000000</f>
        <v>3.315E-005</v>
      </c>
    </row>
    <row r="1173" s="2" customFormat="true" ht="16.4" hidden="false" customHeight="false" outlineLevel="0" collapsed="false">
      <c r="A1173" s="28" t="s">
        <v>2250</v>
      </c>
      <c r="B1173" s="16"/>
      <c r="C1173" s="16"/>
      <c r="D1173" s="16" t="s">
        <v>102</v>
      </c>
      <c r="E1173" s="16" t="s">
        <v>51</v>
      </c>
      <c r="F1173" s="16" t="s">
        <v>52</v>
      </c>
      <c r="G1173" s="16" t="s">
        <v>258</v>
      </c>
      <c r="H1173" s="16" t="s">
        <v>259</v>
      </c>
      <c r="I1173" s="16" t="s">
        <v>260</v>
      </c>
      <c r="J1173" s="16" t="s">
        <v>1381</v>
      </c>
      <c r="K1173" s="16"/>
      <c r="L1173" s="16" t="s">
        <v>260</v>
      </c>
      <c r="M1173" s="16" t="s">
        <v>1381</v>
      </c>
      <c r="N1173" s="16" t="s">
        <v>67</v>
      </c>
      <c r="O1173" s="16" t="s">
        <v>107</v>
      </c>
      <c r="P1173" s="16" t="s">
        <v>188</v>
      </c>
      <c r="Q1173" s="16" t="s">
        <v>188</v>
      </c>
      <c r="R1173" s="16" t="s">
        <v>550</v>
      </c>
      <c r="S1173" s="16" t="s">
        <v>528</v>
      </c>
      <c r="T1173" s="16" t="s">
        <v>2251</v>
      </c>
      <c r="U1173" s="16" t="s">
        <v>73</v>
      </c>
      <c r="V1173" s="16" t="n">
        <v>0.00094</v>
      </c>
      <c r="W1173" s="16" t="n">
        <v>0.00086</v>
      </c>
      <c r="X1173" s="16" t="n">
        <v>6500</v>
      </c>
      <c r="Y1173" s="16" t="n">
        <v>6500</v>
      </c>
      <c r="Z1173" s="16" t="n">
        <v>6500</v>
      </c>
      <c r="AA1173" s="26"/>
      <c r="AB1173" s="16"/>
      <c r="AC1173" s="16"/>
      <c r="AD1173" s="16"/>
      <c r="AE1173" s="16"/>
      <c r="AF1173" s="16"/>
      <c r="AG1173" s="16"/>
      <c r="AH1173" s="16"/>
      <c r="AI1173" s="16"/>
      <c r="AJ1173" s="9" t="n">
        <f aca="false">X1173*$V1173</f>
        <v>6.11</v>
      </c>
      <c r="AK1173" s="9" t="n">
        <f aca="false">Y1173*$V1173</f>
        <v>6.11</v>
      </c>
      <c r="AL1173" s="9" t="n">
        <f aca="false">Z1173*$V1173</f>
        <v>6.11</v>
      </c>
      <c r="AM1173" s="9" t="n">
        <f aca="false">AA1173*$V1173</f>
        <v>0</v>
      </c>
      <c r="AN1173" s="9" t="n">
        <f aca="false">AB1173*$V1173</f>
        <v>0</v>
      </c>
      <c r="AO1173" s="9" t="n">
        <f aca="false">AC1173*$V1173</f>
        <v>0</v>
      </c>
      <c r="AP1173" s="9" t="n">
        <f aca="false">AD1173*$V1173</f>
        <v>0</v>
      </c>
      <c r="AQ1173" s="9" t="n">
        <f aca="false">AE1173*$V1173</f>
        <v>0</v>
      </c>
      <c r="AR1173" s="9" t="n">
        <f aca="false">AF1173*$V1173</f>
        <v>0</v>
      </c>
      <c r="AS1173" s="9" t="n">
        <f aca="false">AG1173*$V1173</f>
        <v>0</v>
      </c>
      <c r="AT1173" s="9" t="n">
        <f aca="false">AH1173*$V1173</f>
        <v>0</v>
      </c>
      <c r="AU1173" s="9" t="n">
        <f aca="false">AI1173*$V1173</f>
        <v>0</v>
      </c>
      <c r="AV1173" s="9" t="n">
        <f aca="false">SUM(X1173:AI1173)/1000</f>
        <v>19.5</v>
      </c>
      <c r="AW1173" s="9" t="n">
        <f aca="false">SUM(AJ1173:AU1173)</f>
        <v>18.33</v>
      </c>
      <c r="AX1173" s="9" t="n">
        <f aca="false">IF(D1173="INR",AW1173/88.24,AW1173)/1000000</f>
        <v>1.833E-005</v>
      </c>
    </row>
    <row r="1174" s="2" customFormat="true" ht="16.4" hidden="false" customHeight="false" outlineLevel="0" collapsed="false">
      <c r="A1174" s="28" t="s">
        <v>2252</v>
      </c>
      <c r="B1174" s="16"/>
      <c r="C1174" s="16"/>
      <c r="D1174" s="16" t="s">
        <v>102</v>
      </c>
      <c r="E1174" s="16" t="s">
        <v>51</v>
      </c>
      <c r="F1174" s="16" t="s">
        <v>52</v>
      </c>
      <c r="G1174" s="16" t="s">
        <v>258</v>
      </c>
      <c r="H1174" s="16" t="s">
        <v>259</v>
      </c>
      <c r="I1174" s="16" t="s">
        <v>260</v>
      </c>
      <c r="J1174" s="16" t="s">
        <v>1381</v>
      </c>
      <c r="K1174" s="16"/>
      <c r="L1174" s="16" t="s">
        <v>260</v>
      </c>
      <c r="M1174" s="16" t="s">
        <v>1381</v>
      </c>
      <c r="N1174" s="16" t="s">
        <v>67</v>
      </c>
      <c r="O1174" s="16" t="s">
        <v>107</v>
      </c>
      <c r="P1174" s="16" t="s">
        <v>188</v>
      </c>
      <c r="Q1174" s="16" t="s">
        <v>188</v>
      </c>
      <c r="R1174" s="16" t="s">
        <v>550</v>
      </c>
      <c r="S1174" s="16" t="s">
        <v>528</v>
      </c>
      <c r="T1174" s="16" t="s">
        <v>2253</v>
      </c>
      <c r="U1174" s="16" t="s">
        <v>73</v>
      </c>
      <c r="V1174" s="16" t="n">
        <v>0.0066</v>
      </c>
      <c r="W1174" s="26" t="n">
        <v>0.0052</v>
      </c>
      <c r="X1174" s="16" t="n">
        <v>6400</v>
      </c>
      <c r="Y1174" s="16" t="n">
        <v>6400</v>
      </c>
      <c r="Z1174" s="16" t="n">
        <v>6400</v>
      </c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9" t="n">
        <f aca="false">X1174*$V1174</f>
        <v>42.24</v>
      </c>
      <c r="AK1174" s="9" t="n">
        <f aca="false">Y1174*$V1174</f>
        <v>42.24</v>
      </c>
      <c r="AL1174" s="9" t="n">
        <f aca="false">Z1174*$V1174</f>
        <v>42.24</v>
      </c>
      <c r="AM1174" s="9" t="n">
        <f aca="false">AA1174*$V1174</f>
        <v>0</v>
      </c>
      <c r="AN1174" s="9" t="n">
        <f aca="false">AB1174*$V1174</f>
        <v>0</v>
      </c>
      <c r="AO1174" s="9" t="n">
        <f aca="false">AC1174*$V1174</f>
        <v>0</v>
      </c>
      <c r="AP1174" s="9" t="n">
        <f aca="false">AD1174*$V1174</f>
        <v>0</v>
      </c>
      <c r="AQ1174" s="9" t="n">
        <f aca="false">AE1174*$V1174</f>
        <v>0</v>
      </c>
      <c r="AR1174" s="9" t="n">
        <f aca="false">AF1174*$V1174</f>
        <v>0</v>
      </c>
      <c r="AS1174" s="9" t="n">
        <f aca="false">AG1174*$V1174</f>
        <v>0</v>
      </c>
      <c r="AT1174" s="9" t="n">
        <f aca="false">AH1174*$V1174</f>
        <v>0</v>
      </c>
      <c r="AU1174" s="9" t="n">
        <f aca="false">AI1174*$V1174</f>
        <v>0</v>
      </c>
      <c r="AV1174" s="9" t="n">
        <f aca="false">SUM(X1174:AI1174)/1000</f>
        <v>19.2</v>
      </c>
      <c r="AW1174" s="9" t="n">
        <f aca="false">SUM(AJ1174:AU1174)</f>
        <v>126.72</v>
      </c>
      <c r="AX1174" s="9" t="n">
        <f aca="false">IF(D1174="INR",AW1174/88.24,AW1174)/1000000</f>
        <v>0.00012672</v>
      </c>
    </row>
    <row r="1175" s="2" customFormat="true" ht="16.4" hidden="false" customHeight="false" outlineLevel="0" collapsed="false">
      <c r="A1175" s="28" t="s">
        <v>2254</v>
      </c>
      <c r="B1175" s="16"/>
      <c r="C1175" s="16"/>
      <c r="D1175" s="16" t="s">
        <v>102</v>
      </c>
      <c r="E1175" s="16" t="s">
        <v>51</v>
      </c>
      <c r="F1175" s="16" t="s">
        <v>52</v>
      </c>
      <c r="G1175" s="16" t="s">
        <v>258</v>
      </c>
      <c r="H1175" s="16" t="s">
        <v>259</v>
      </c>
      <c r="I1175" s="16" t="s">
        <v>260</v>
      </c>
      <c r="J1175" s="16" t="s">
        <v>1381</v>
      </c>
      <c r="K1175" s="16"/>
      <c r="L1175" s="16" t="s">
        <v>260</v>
      </c>
      <c r="M1175" s="16" t="s">
        <v>1381</v>
      </c>
      <c r="N1175" s="16" t="s">
        <v>67</v>
      </c>
      <c r="O1175" s="16" t="s">
        <v>107</v>
      </c>
      <c r="P1175" s="16" t="s">
        <v>188</v>
      </c>
      <c r="Q1175" s="16" t="s">
        <v>188</v>
      </c>
      <c r="R1175" s="16" t="s">
        <v>550</v>
      </c>
      <c r="S1175" s="16" t="s">
        <v>528</v>
      </c>
      <c r="T1175" s="16" t="s">
        <v>2255</v>
      </c>
      <c r="U1175" s="16" t="s">
        <v>73</v>
      </c>
      <c r="V1175" s="17" t="n">
        <v>0.0211</v>
      </c>
      <c r="W1175" s="16" t="n">
        <v>0.0193</v>
      </c>
      <c r="X1175" s="16" t="n">
        <v>5800</v>
      </c>
      <c r="Y1175" s="16" t="n">
        <v>5800</v>
      </c>
      <c r="Z1175" s="16" t="n">
        <v>5800</v>
      </c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9" t="n">
        <f aca="false">X1175*$V1175</f>
        <v>122.38</v>
      </c>
      <c r="AK1175" s="9" t="n">
        <f aca="false">Y1175*$V1175</f>
        <v>122.38</v>
      </c>
      <c r="AL1175" s="9" t="n">
        <f aca="false">Z1175*$V1175</f>
        <v>122.38</v>
      </c>
      <c r="AM1175" s="9" t="n">
        <f aca="false">AA1175*$V1175</f>
        <v>0</v>
      </c>
      <c r="AN1175" s="9" t="n">
        <f aca="false">AB1175*$V1175</f>
        <v>0</v>
      </c>
      <c r="AO1175" s="9" t="n">
        <f aca="false">AC1175*$V1175</f>
        <v>0</v>
      </c>
      <c r="AP1175" s="9" t="n">
        <f aca="false">AD1175*$V1175</f>
        <v>0</v>
      </c>
      <c r="AQ1175" s="9" t="n">
        <f aca="false">AE1175*$V1175</f>
        <v>0</v>
      </c>
      <c r="AR1175" s="9" t="n">
        <f aca="false">AF1175*$V1175</f>
        <v>0</v>
      </c>
      <c r="AS1175" s="9" t="n">
        <f aca="false">AG1175*$V1175</f>
        <v>0</v>
      </c>
      <c r="AT1175" s="9" t="n">
        <f aca="false">AH1175*$V1175</f>
        <v>0</v>
      </c>
      <c r="AU1175" s="9" t="n">
        <f aca="false">AI1175*$V1175</f>
        <v>0</v>
      </c>
      <c r="AV1175" s="9" t="n">
        <f aca="false">SUM(X1175:AI1175)/1000</f>
        <v>17.4</v>
      </c>
      <c r="AW1175" s="9" t="n">
        <f aca="false">SUM(AJ1175:AU1175)</f>
        <v>367.14</v>
      </c>
      <c r="AX1175" s="9" t="n">
        <f aca="false">IF(D1175="INR",AW1175/88.24,AW1175)/1000000</f>
        <v>0.00036714</v>
      </c>
    </row>
    <row r="1176" s="2" customFormat="true" ht="16.4" hidden="false" customHeight="false" outlineLevel="0" collapsed="false">
      <c r="A1176" s="35" t="s">
        <v>2256</v>
      </c>
      <c r="B1176" s="9"/>
      <c r="C1176" s="10"/>
      <c r="D1176" s="9" t="s">
        <v>102</v>
      </c>
      <c r="E1176" s="9" t="s">
        <v>51</v>
      </c>
      <c r="F1176" s="9" t="s">
        <v>52</v>
      </c>
      <c r="G1176" s="9" t="s">
        <v>258</v>
      </c>
      <c r="H1176" s="9" t="s">
        <v>259</v>
      </c>
      <c r="I1176" s="9" t="s">
        <v>260</v>
      </c>
      <c r="J1176" s="9" t="s">
        <v>1381</v>
      </c>
      <c r="K1176" s="9"/>
      <c r="L1176" s="9" t="s">
        <v>260</v>
      </c>
      <c r="M1176" s="9" t="s">
        <v>1381</v>
      </c>
      <c r="N1176" s="16" t="s">
        <v>67</v>
      </c>
      <c r="O1176" s="9" t="s">
        <v>107</v>
      </c>
      <c r="P1176" s="9" t="s">
        <v>188</v>
      </c>
      <c r="Q1176" s="9" t="s">
        <v>188</v>
      </c>
      <c r="R1176" s="9" t="s">
        <v>550</v>
      </c>
      <c r="S1176" s="9" t="s">
        <v>528</v>
      </c>
      <c r="T1176" s="9" t="s">
        <v>2257</v>
      </c>
      <c r="U1176" s="9" t="s">
        <v>73</v>
      </c>
      <c r="V1176" s="9" t="n">
        <v>0.0495</v>
      </c>
      <c r="W1176" s="9" t="n">
        <v>0.0432</v>
      </c>
      <c r="X1176" s="9" t="n">
        <v>5000</v>
      </c>
      <c r="Y1176" s="9" t="n">
        <v>5000</v>
      </c>
      <c r="Z1176" s="9" t="n">
        <v>5000</v>
      </c>
      <c r="AA1176" s="9"/>
      <c r="AB1176" s="9"/>
      <c r="AC1176" s="9"/>
      <c r="AD1176" s="9"/>
      <c r="AE1176" s="9"/>
      <c r="AF1176" s="9"/>
      <c r="AG1176" s="9"/>
      <c r="AH1176" s="9"/>
      <c r="AI1176" s="9"/>
      <c r="AJ1176" s="9" t="n">
        <f aca="false">X1176*$V1176</f>
        <v>247.5</v>
      </c>
      <c r="AK1176" s="9" t="n">
        <f aca="false">Y1176*$V1176</f>
        <v>247.5</v>
      </c>
      <c r="AL1176" s="9" t="n">
        <f aca="false">Z1176*$V1176</f>
        <v>247.5</v>
      </c>
      <c r="AM1176" s="9" t="n">
        <f aca="false">AA1176*$V1176</f>
        <v>0</v>
      </c>
      <c r="AN1176" s="9" t="n">
        <f aca="false">AB1176*$V1176</f>
        <v>0</v>
      </c>
      <c r="AO1176" s="9" t="n">
        <f aca="false">AC1176*$V1176</f>
        <v>0</v>
      </c>
      <c r="AP1176" s="9" t="n">
        <f aca="false">AD1176*$V1176</f>
        <v>0</v>
      </c>
      <c r="AQ1176" s="9" t="n">
        <f aca="false">AE1176*$V1176</f>
        <v>0</v>
      </c>
      <c r="AR1176" s="9" t="n">
        <f aca="false">AF1176*$V1176</f>
        <v>0</v>
      </c>
      <c r="AS1176" s="9" t="n">
        <f aca="false">AG1176*$V1176</f>
        <v>0</v>
      </c>
      <c r="AT1176" s="9" t="n">
        <f aca="false">AH1176*$V1176</f>
        <v>0</v>
      </c>
      <c r="AU1176" s="9" t="n">
        <f aca="false">AI1176*$V1176</f>
        <v>0</v>
      </c>
      <c r="AV1176" s="9" t="n">
        <f aca="false">SUM(X1176:AI1176)/1000</f>
        <v>15</v>
      </c>
      <c r="AW1176" s="9" t="n">
        <f aca="false">SUM(AJ1176:AU1176)</f>
        <v>742.5</v>
      </c>
      <c r="AX1176" s="9" t="n">
        <f aca="false">IF(D1176="INR",AW1176/88.24,AW1176)/1000000</f>
        <v>0.0007425</v>
      </c>
    </row>
    <row r="1177" s="2" customFormat="true" ht="14.25" hidden="false" customHeight="false" outlineLevel="0" collapsed="false">
      <c r="A1177" s="35"/>
      <c r="B1177" s="16" t="n">
        <v>1</v>
      </c>
      <c r="C1177" s="9"/>
      <c r="D1177" s="16" t="s">
        <v>102</v>
      </c>
      <c r="E1177" s="16"/>
      <c r="F1177" s="16" t="s">
        <v>52</v>
      </c>
      <c r="G1177" s="9" t="s">
        <v>258</v>
      </c>
      <c r="H1177" s="16" t="s">
        <v>259</v>
      </c>
      <c r="I1177" s="9"/>
      <c r="J1177" s="9"/>
      <c r="K1177" s="9"/>
      <c r="L1177" s="9"/>
      <c r="M1177" s="9"/>
      <c r="N1177" s="16" t="s">
        <v>67</v>
      </c>
      <c r="O1177" s="9" t="s">
        <v>107</v>
      </c>
      <c r="P1177" s="9"/>
      <c r="Q1177" s="16" t="s">
        <v>1935</v>
      </c>
      <c r="R1177" s="9"/>
      <c r="S1177" s="9"/>
      <c r="T1177" s="9" t="s">
        <v>2258</v>
      </c>
      <c r="U1177" s="9" t="s">
        <v>63</v>
      </c>
      <c r="V1177" s="16" t="n">
        <v>0.03451</v>
      </c>
      <c r="W1177" s="9"/>
      <c r="X1177" s="16" t="n">
        <v>1000</v>
      </c>
      <c r="Y1177" s="16" t="n">
        <v>1000</v>
      </c>
      <c r="Z1177" s="16" t="n">
        <v>1000</v>
      </c>
      <c r="AA1177" s="16" t="n">
        <v>1000</v>
      </c>
      <c r="AB1177" s="16" t="n">
        <v>1000</v>
      </c>
      <c r="AC1177" s="16" t="n">
        <v>1000</v>
      </c>
      <c r="AD1177" s="16" t="n">
        <v>1000</v>
      </c>
      <c r="AE1177" s="16" t="n">
        <v>1000</v>
      </c>
      <c r="AF1177" s="16" t="n">
        <v>1000</v>
      </c>
      <c r="AG1177" s="16" t="n">
        <v>1000</v>
      </c>
      <c r="AH1177" s="16" t="n">
        <v>1000</v>
      </c>
      <c r="AI1177" s="16" t="n">
        <v>1000</v>
      </c>
      <c r="AJ1177" s="9" t="n">
        <f aca="false">X1177*$V1177</f>
        <v>34.51</v>
      </c>
      <c r="AK1177" s="9" t="n">
        <f aca="false">Y1177*$V1177</f>
        <v>34.51</v>
      </c>
      <c r="AL1177" s="9" t="n">
        <f aca="false">Z1177*$V1177</f>
        <v>34.51</v>
      </c>
      <c r="AM1177" s="9" t="n">
        <f aca="false">AA1177*$V1177</f>
        <v>34.51</v>
      </c>
      <c r="AN1177" s="9" t="n">
        <f aca="false">AB1177*$V1177</f>
        <v>34.51</v>
      </c>
      <c r="AO1177" s="9" t="n">
        <f aca="false">AC1177*$V1177</f>
        <v>34.51</v>
      </c>
      <c r="AP1177" s="9" t="n">
        <f aca="false">AD1177*$V1177</f>
        <v>34.51</v>
      </c>
      <c r="AQ1177" s="9" t="n">
        <f aca="false">AE1177*$V1177</f>
        <v>34.51</v>
      </c>
      <c r="AR1177" s="9" t="n">
        <f aca="false">AF1177*$V1177</f>
        <v>34.51</v>
      </c>
      <c r="AS1177" s="9" t="n">
        <f aca="false">AG1177*$V1177</f>
        <v>34.51</v>
      </c>
      <c r="AT1177" s="9" t="n">
        <f aca="false">AH1177*$V1177</f>
        <v>34.51</v>
      </c>
      <c r="AU1177" s="9" t="n">
        <f aca="false">AI1177*$V1177</f>
        <v>34.51</v>
      </c>
      <c r="AV1177" s="9" t="n">
        <f aca="false">SUM(X1177:AI1177)/1000</f>
        <v>12</v>
      </c>
      <c r="AW1177" s="9" t="n">
        <f aca="false">SUM(AJ1177:AU1177)</f>
        <v>414.12</v>
      </c>
      <c r="AX1177" s="9" t="n">
        <f aca="false">IF(D1177="INR",AW1177/88.24,AW1177)/1000000</f>
        <v>0.00041412</v>
      </c>
    </row>
    <row r="1178" s="2" customFormat="true" ht="16.4" hidden="false" customHeight="false" outlineLevel="0" collapsed="false">
      <c r="A1178" s="28" t="s">
        <v>2259</v>
      </c>
      <c r="B1178" s="16"/>
      <c r="C1178" s="16"/>
      <c r="D1178" s="16" t="s">
        <v>102</v>
      </c>
      <c r="E1178" s="16" t="s">
        <v>51</v>
      </c>
      <c r="F1178" s="16" t="s">
        <v>52</v>
      </c>
      <c r="G1178" s="16" t="s">
        <v>258</v>
      </c>
      <c r="H1178" s="16" t="s">
        <v>259</v>
      </c>
      <c r="I1178" s="16" t="s">
        <v>260</v>
      </c>
      <c r="J1178" s="16" t="s">
        <v>1381</v>
      </c>
      <c r="K1178" s="16"/>
      <c r="L1178" s="16" t="s">
        <v>260</v>
      </c>
      <c r="M1178" s="16" t="s">
        <v>1381</v>
      </c>
      <c r="N1178" s="16" t="s">
        <v>67</v>
      </c>
      <c r="O1178" s="16" t="s">
        <v>107</v>
      </c>
      <c r="P1178" s="16" t="s">
        <v>188</v>
      </c>
      <c r="Q1178" s="16" t="s">
        <v>188</v>
      </c>
      <c r="R1178" s="16" t="s">
        <v>550</v>
      </c>
      <c r="S1178" s="16" t="s">
        <v>528</v>
      </c>
      <c r="T1178" s="26" t="s">
        <v>2260</v>
      </c>
      <c r="U1178" s="26" t="s">
        <v>73</v>
      </c>
      <c r="V1178" s="16" t="n">
        <v>0.0058</v>
      </c>
      <c r="W1178" s="16" t="n">
        <v>0.0052</v>
      </c>
      <c r="X1178" s="16" t="n">
        <v>6000</v>
      </c>
      <c r="Y1178" s="16" t="n">
        <v>6000</v>
      </c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9" t="n">
        <f aca="false">X1178*$V1178</f>
        <v>34.8</v>
      </c>
      <c r="AK1178" s="9" t="n">
        <f aca="false">Y1178*$V1178</f>
        <v>34.8</v>
      </c>
      <c r="AL1178" s="9" t="n">
        <f aca="false">Z1178*$V1178</f>
        <v>0</v>
      </c>
      <c r="AM1178" s="9" t="n">
        <f aca="false">AA1178*$V1178</f>
        <v>0</v>
      </c>
      <c r="AN1178" s="9" t="n">
        <f aca="false">AB1178*$V1178</f>
        <v>0</v>
      </c>
      <c r="AO1178" s="9" t="n">
        <f aca="false">AC1178*$V1178</f>
        <v>0</v>
      </c>
      <c r="AP1178" s="9" t="n">
        <f aca="false">AD1178*$V1178</f>
        <v>0</v>
      </c>
      <c r="AQ1178" s="9" t="n">
        <f aca="false">AE1178*$V1178</f>
        <v>0</v>
      </c>
      <c r="AR1178" s="9" t="n">
        <f aca="false">AF1178*$V1178</f>
        <v>0</v>
      </c>
      <c r="AS1178" s="9" t="n">
        <f aca="false">AG1178*$V1178</f>
        <v>0</v>
      </c>
      <c r="AT1178" s="9" t="n">
        <f aca="false">AH1178*$V1178</f>
        <v>0</v>
      </c>
      <c r="AU1178" s="9" t="n">
        <f aca="false">AI1178*$V1178</f>
        <v>0</v>
      </c>
      <c r="AV1178" s="9" t="n">
        <f aca="false">SUM(X1178:AI1178)/1000</f>
        <v>12</v>
      </c>
      <c r="AW1178" s="9" t="n">
        <f aca="false">SUM(AJ1178:AU1178)</f>
        <v>69.6</v>
      </c>
      <c r="AX1178" s="9" t="n">
        <f aca="false">IF(D1178="INR",AW1178/88.24,AW1178)/1000000</f>
        <v>6.96E-005</v>
      </c>
    </row>
    <row r="1179" s="2" customFormat="true" ht="16.4" hidden="false" customHeight="false" outlineLevel="0" collapsed="false">
      <c r="A1179" s="28" t="s">
        <v>2261</v>
      </c>
      <c r="B1179" s="16"/>
      <c r="C1179" s="16"/>
      <c r="D1179" s="16" t="s">
        <v>102</v>
      </c>
      <c r="E1179" s="16" t="s">
        <v>51</v>
      </c>
      <c r="F1179" s="16" t="s">
        <v>52</v>
      </c>
      <c r="G1179" s="16" t="s">
        <v>258</v>
      </c>
      <c r="H1179" s="16" t="s">
        <v>259</v>
      </c>
      <c r="I1179" s="16" t="s">
        <v>260</v>
      </c>
      <c r="J1179" s="16" t="s">
        <v>1381</v>
      </c>
      <c r="K1179" s="16"/>
      <c r="L1179" s="16" t="s">
        <v>260</v>
      </c>
      <c r="M1179" s="16" t="s">
        <v>1381</v>
      </c>
      <c r="N1179" s="16" t="s">
        <v>67</v>
      </c>
      <c r="O1179" s="16" t="s">
        <v>107</v>
      </c>
      <c r="P1179" s="16" t="s">
        <v>188</v>
      </c>
      <c r="Q1179" s="16" t="s">
        <v>188</v>
      </c>
      <c r="R1179" s="16" t="s">
        <v>550</v>
      </c>
      <c r="S1179" s="16" t="s">
        <v>528</v>
      </c>
      <c r="T1179" s="16" t="s">
        <v>2262</v>
      </c>
      <c r="U1179" s="16" t="s">
        <v>73</v>
      </c>
      <c r="V1179" s="16" t="n">
        <v>0.00066</v>
      </c>
      <c r="W1179" s="16" t="n">
        <v>0.00056</v>
      </c>
      <c r="X1179" s="16" t="n">
        <v>4000</v>
      </c>
      <c r="Y1179" s="16" t="n">
        <v>4000</v>
      </c>
      <c r="Z1179" s="16" t="n">
        <v>4000</v>
      </c>
      <c r="AA1179" s="26"/>
      <c r="AB1179" s="16"/>
      <c r="AC1179" s="16"/>
      <c r="AD1179" s="16"/>
      <c r="AE1179" s="16"/>
      <c r="AF1179" s="16"/>
      <c r="AG1179" s="16"/>
      <c r="AH1179" s="16"/>
      <c r="AI1179" s="16"/>
      <c r="AJ1179" s="9" t="n">
        <f aca="false">X1179*$V1179</f>
        <v>2.64</v>
      </c>
      <c r="AK1179" s="9" t="n">
        <f aca="false">Y1179*$V1179</f>
        <v>2.64</v>
      </c>
      <c r="AL1179" s="9" t="n">
        <f aca="false">Z1179*$V1179</f>
        <v>2.64</v>
      </c>
      <c r="AM1179" s="9" t="n">
        <f aca="false">AA1179*$V1179</f>
        <v>0</v>
      </c>
      <c r="AN1179" s="9" t="n">
        <f aca="false">AB1179*$V1179</f>
        <v>0</v>
      </c>
      <c r="AO1179" s="9" t="n">
        <f aca="false">AC1179*$V1179</f>
        <v>0</v>
      </c>
      <c r="AP1179" s="9" t="n">
        <f aca="false">AD1179*$V1179</f>
        <v>0</v>
      </c>
      <c r="AQ1179" s="9" t="n">
        <f aca="false">AE1179*$V1179</f>
        <v>0</v>
      </c>
      <c r="AR1179" s="9" t="n">
        <f aca="false">AF1179*$V1179</f>
        <v>0</v>
      </c>
      <c r="AS1179" s="9" t="n">
        <f aca="false">AG1179*$V1179</f>
        <v>0</v>
      </c>
      <c r="AT1179" s="9" t="n">
        <f aca="false">AH1179*$V1179</f>
        <v>0</v>
      </c>
      <c r="AU1179" s="9" t="n">
        <f aca="false">AI1179*$V1179</f>
        <v>0</v>
      </c>
      <c r="AV1179" s="9" t="n">
        <f aca="false">SUM(X1179:AI1179)/1000</f>
        <v>12</v>
      </c>
      <c r="AW1179" s="9" t="n">
        <f aca="false">SUM(AJ1179:AU1179)</f>
        <v>7.92</v>
      </c>
      <c r="AX1179" s="9" t="n">
        <f aca="false">IF(D1179="INR",AW1179/88.24,AW1179)/1000000</f>
        <v>7.92E-006</v>
      </c>
    </row>
    <row r="1180" s="2" customFormat="true" ht="16.4" hidden="false" customHeight="false" outlineLevel="0" collapsed="false">
      <c r="A1180" s="28" t="s">
        <v>2263</v>
      </c>
      <c r="B1180" s="16"/>
      <c r="C1180" s="15"/>
      <c r="D1180" s="16" t="s">
        <v>102</v>
      </c>
      <c r="E1180" s="16" t="s">
        <v>51</v>
      </c>
      <c r="F1180" s="16" t="s">
        <v>52</v>
      </c>
      <c r="G1180" s="16" t="s">
        <v>258</v>
      </c>
      <c r="H1180" s="16" t="s">
        <v>259</v>
      </c>
      <c r="I1180" s="16" t="s">
        <v>260</v>
      </c>
      <c r="J1180" s="16" t="s">
        <v>1381</v>
      </c>
      <c r="K1180" s="16"/>
      <c r="L1180" s="16" t="s">
        <v>260</v>
      </c>
      <c r="M1180" s="16" t="s">
        <v>1381</v>
      </c>
      <c r="N1180" s="16" t="s">
        <v>67</v>
      </c>
      <c r="O1180" s="16" t="s">
        <v>107</v>
      </c>
      <c r="P1180" s="16" t="s">
        <v>188</v>
      </c>
      <c r="Q1180" s="16" t="s">
        <v>188</v>
      </c>
      <c r="R1180" s="16" t="s">
        <v>550</v>
      </c>
      <c r="S1180" s="16" t="s">
        <v>528</v>
      </c>
      <c r="T1180" s="16" t="s">
        <v>2264</v>
      </c>
      <c r="U1180" s="16" t="s">
        <v>73</v>
      </c>
      <c r="V1180" s="16" t="n">
        <v>0.0211</v>
      </c>
      <c r="W1180" s="16" t="n">
        <v>0.0193</v>
      </c>
      <c r="X1180" s="16" t="n">
        <v>3300</v>
      </c>
      <c r="Y1180" s="16" t="n">
        <v>3300</v>
      </c>
      <c r="Z1180" s="16" t="n">
        <v>3300</v>
      </c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9" t="n">
        <f aca="false">X1180*$V1180</f>
        <v>69.63</v>
      </c>
      <c r="AK1180" s="9" t="n">
        <f aca="false">Y1180*$V1180</f>
        <v>69.63</v>
      </c>
      <c r="AL1180" s="9" t="n">
        <f aca="false">Z1180*$V1180</f>
        <v>69.63</v>
      </c>
      <c r="AM1180" s="9" t="n">
        <f aca="false">AA1180*$V1180</f>
        <v>0</v>
      </c>
      <c r="AN1180" s="9" t="n">
        <f aca="false">AB1180*$V1180</f>
        <v>0</v>
      </c>
      <c r="AO1180" s="9" t="n">
        <f aca="false">AC1180*$V1180</f>
        <v>0</v>
      </c>
      <c r="AP1180" s="9" t="n">
        <f aca="false">AD1180*$V1180</f>
        <v>0</v>
      </c>
      <c r="AQ1180" s="9" t="n">
        <f aca="false">AE1180*$V1180</f>
        <v>0</v>
      </c>
      <c r="AR1180" s="9" t="n">
        <f aca="false">AF1180*$V1180</f>
        <v>0</v>
      </c>
      <c r="AS1180" s="9" t="n">
        <f aca="false">AG1180*$V1180</f>
        <v>0</v>
      </c>
      <c r="AT1180" s="9" t="n">
        <f aca="false">AH1180*$V1180</f>
        <v>0</v>
      </c>
      <c r="AU1180" s="9" t="n">
        <f aca="false">AI1180*$V1180</f>
        <v>0</v>
      </c>
      <c r="AV1180" s="9" t="n">
        <f aca="false">SUM(X1180:AI1180)/1000</f>
        <v>9.9</v>
      </c>
      <c r="AW1180" s="9" t="n">
        <f aca="false">SUM(AJ1180:AU1180)</f>
        <v>208.89</v>
      </c>
      <c r="AX1180" s="9" t="n">
        <f aca="false">IF(D1180="INR",AW1180/88.24,AW1180)/1000000</f>
        <v>0.00020889</v>
      </c>
      <c r="AZ1180" s="1"/>
    </row>
    <row r="1181" s="2" customFormat="true" ht="14.25" hidden="false" customHeight="true" outlineLevel="0" collapsed="false">
      <c r="A1181" s="12" t="s">
        <v>2265</v>
      </c>
      <c r="B1181" s="16"/>
      <c r="C1181" s="15"/>
      <c r="D1181" s="16" t="s">
        <v>102</v>
      </c>
      <c r="E1181" s="16" t="s">
        <v>51</v>
      </c>
      <c r="F1181" s="16" t="s">
        <v>52</v>
      </c>
      <c r="G1181" s="16" t="s">
        <v>258</v>
      </c>
      <c r="H1181" s="16" t="s">
        <v>259</v>
      </c>
      <c r="I1181" s="16" t="s">
        <v>260</v>
      </c>
      <c r="J1181" s="16" t="s">
        <v>1381</v>
      </c>
      <c r="K1181" s="16"/>
      <c r="L1181" s="16" t="s">
        <v>260</v>
      </c>
      <c r="M1181" s="16" t="s">
        <v>1381</v>
      </c>
      <c r="N1181" s="16" t="s">
        <v>67</v>
      </c>
      <c r="O1181" s="16" t="s">
        <v>107</v>
      </c>
      <c r="P1181" s="16" t="s">
        <v>188</v>
      </c>
      <c r="Q1181" s="16" t="s">
        <v>188</v>
      </c>
      <c r="R1181" s="16" t="s">
        <v>550</v>
      </c>
      <c r="S1181" s="16" t="s">
        <v>528</v>
      </c>
      <c r="T1181" s="16" t="s">
        <v>2266</v>
      </c>
      <c r="U1181" s="16" t="s">
        <v>73</v>
      </c>
      <c r="V1181" s="16" t="n">
        <v>0.5735</v>
      </c>
      <c r="W1181" s="16" t="n">
        <v>0.534</v>
      </c>
      <c r="X1181" s="22" t="n">
        <v>3000</v>
      </c>
      <c r="Y1181" s="22" t="n">
        <v>3000</v>
      </c>
      <c r="Z1181" s="22" t="n">
        <v>3000</v>
      </c>
      <c r="AA1181" s="22"/>
      <c r="AB1181" s="22"/>
      <c r="AC1181" s="22"/>
      <c r="AD1181" s="22"/>
      <c r="AE1181" s="22"/>
      <c r="AF1181" s="22"/>
      <c r="AG1181" s="22"/>
      <c r="AH1181" s="22"/>
      <c r="AI1181" s="22"/>
      <c r="AJ1181" s="9" t="n">
        <f aca="false">X1181*$V1181</f>
        <v>1720.5</v>
      </c>
      <c r="AK1181" s="9" t="n">
        <f aca="false">Y1181*$V1181</f>
        <v>1720.5</v>
      </c>
      <c r="AL1181" s="9" t="n">
        <f aca="false">Z1181*$V1181</f>
        <v>1720.5</v>
      </c>
      <c r="AM1181" s="9" t="n">
        <f aca="false">AA1181*$V1181</f>
        <v>0</v>
      </c>
      <c r="AN1181" s="9" t="n">
        <f aca="false">AB1181*$V1181</f>
        <v>0</v>
      </c>
      <c r="AO1181" s="9" t="n">
        <f aca="false">AC1181*$V1181</f>
        <v>0</v>
      </c>
      <c r="AP1181" s="9" t="n">
        <f aca="false">AD1181*$V1181</f>
        <v>0</v>
      </c>
      <c r="AQ1181" s="9" t="n">
        <f aca="false">AE1181*$V1181</f>
        <v>0</v>
      </c>
      <c r="AR1181" s="9" t="n">
        <f aca="false">AF1181*$V1181</f>
        <v>0</v>
      </c>
      <c r="AS1181" s="9" t="n">
        <f aca="false">AG1181*$V1181</f>
        <v>0</v>
      </c>
      <c r="AT1181" s="9" t="n">
        <f aca="false">AH1181*$V1181</f>
        <v>0</v>
      </c>
      <c r="AU1181" s="9" t="n">
        <f aca="false">AI1181*$V1181</f>
        <v>0</v>
      </c>
      <c r="AV1181" s="9" t="n">
        <f aca="false">SUM(X1181:AI1181)/1000</f>
        <v>9</v>
      </c>
      <c r="AW1181" s="9" t="n">
        <f aca="false">SUM(AJ1181:AU1181)</f>
        <v>5161.5</v>
      </c>
      <c r="AX1181" s="9" t="n">
        <f aca="false">IF(D1181="INR",AW1181/88.24,AW1181)/1000000</f>
        <v>0.0051615</v>
      </c>
    </row>
    <row r="1182" s="2" customFormat="true" ht="16.4" hidden="false" customHeight="false" outlineLevel="0" collapsed="false">
      <c r="A1182" s="28" t="s">
        <v>2267</v>
      </c>
      <c r="B1182" s="16"/>
      <c r="C1182" s="16"/>
      <c r="D1182" s="16" t="s">
        <v>102</v>
      </c>
      <c r="E1182" s="16" t="s">
        <v>51</v>
      </c>
      <c r="F1182" s="16" t="s">
        <v>52</v>
      </c>
      <c r="G1182" s="16" t="s">
        <v>258</v>
      </c>
      <c r="H1182" s="16" t="s">
        <v>259</v>
      </c>
      <c r="I1182" s="16" t="s">
        <v>260</v>
      </c>
      <c r="J1182" s="16" t="s">
        <v>1381</v>
      </c>
      <c r="K1182" s="16"/>
      <c r="L1182" s="16" t="s">
        <v>260</v>
      </c>
      <c r="M1182" s="16" t="s">
        <v>1381</v>
      </c>
      <c r="N1182" s="16" t="s">
        <v>67</v>
      </c>
      <c r="O1182" s="16" t="s">
        <v>107</v>
      </c>
      <c r="P1182" s="16" t="s">
        <v>188</v>
      </c>
      <c r="Q1182" s="16" t="s">
        <v>188</v>
      </c>
      <c r="R1182" s="16" t="s">
        <v>550</v>
      </c>
      <c r="S1182" s="16" t="s">
        <v>528</v>
      </c>
      <c r="T1182" s="16" t="s">
        <v>2268</v>
      </c>
      <c r="U1182" s="16" t="s">
        <v>73</v>
      </c>
      <c r="V1182" s="16" t="n">
        <v>0.0117</v>
      </c>
      <c r="W1182" s="16" t="n">
        <v>0.0109</v>
      </c>
      <c r="X1182" s="16" t="n">
        <v>3000</v>
      </c>
      <c r="Y1182" s="16" t="n">
        <v>3000</v>
      </c>
      <c r="Z1182" s="16" t="n">
        <v>3000</v>
      </c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9" t="n">
        <f aca="false">X1182*$V1182</f>
        <v>35.1</v>
      </c>
      <c r="AK1182" s="9" t="n">
        <f aca="false">Y1182*$V1182</f>
        <v>35.1</v>
      </c>
      <c r="AL1182" s="9" t="n">
        <f aca="false">Z1182*$V1182</f>
        <v>35.1</v>
      </c>
      <c r="AM1182" s="9" t="n">
        <f aca="false">AA1182*$V1182</f>
        <v>0</v>
      </c>
      <c r="AN1182" s="9" t="n">
        <f aca="false">AB1182*$V1182</f>
        <v>0</v>
      </c>
      <c r="AO1182" s="9" t="n">
        <f aca="false">AC1182*$V1182</f>
        <v>0</v>
      </c>
      <c r="AP1182" s="9" t="n">
        <f aca="false">AD1182*$V1182</f>
        <v>0</v>
      </c>
      <c r="AQ1182" s="9" t="n">
        <f aca="false">AE1182*$V1182</f>
        <v>0</v>
      </c>
      <c r="AR1182" s="9" t="n">
        <f aca="false">AF1182*$V1182</f>
        <v>0</v>
      </c>
      <c r="AS1182" s="9" t="n">
        <f aca="false">AG1182*$V1182</f>
        <v>0</v>
      </c>
      <c r="AT1182" s="9" t="n">
        <f aca="false">AH1182*$V1182</f>
        <v>0</v>
      </c>
      <c r="AU1182" s="9" t="n">
        <f aca="false">AI1182*$V1182</f>
        <v>0</v>
      </c>
      <c r="AV1182" s="9" t="n">
        <f aca="false">SUM(X1182:AI1182)/1000</f>
        <v>9</v>
      </c>
      <c r="AW1182" s="9" t="n">
        <f aca="false">SUM(AJ1182:AU1182)</f>
        <v>105.3</v>
      </c>
      <c r="AX1182" s="9" t="n">
        <f aca="false">IF(D1182="INR",AW1182/88.24,AW1182)/1000000</f>
        <v>0.0001053</v>
      </c>
    </row>
    <row r="1183" s="2" customFormat="true" ht="16.4" hidden="false" customHeight="false" outlineLevel="0" collapsed="false">
      <c r="A1183" s="28" t="s">
        <v>2269</v>
      </c>
      <c r="B1183" s="16"/>
      <c r="C1183" s="16"/>
      <c r="D1183" s="16" t="s">
        <v>102</v>
      </c>
      <c r="E1183" s="16" t="s">
        <v>51</v>
      </c>
      <c r="F1183" s="16" t="s">
        <v>52</v>
      </c>
      <c r="G1183" s="16" t="s">
        <v>258</v>
      </c>
      <c r="H1183" s="16" t="s">
        <v>259</v>
      </c>
      <c r="I1183" s="16" t="s">
        <v>260</v>
      </c>
      <c r="J1183" s="16" t="s">
        <v>1381</v>
      </c>
      <c r="K1183" s="16"/>
      <c r="L1183" s="16" t="s">
        <v>260</v>
      </c>
      <c r="M1183" s="16" t="s">
        <v>1381</v>
      </c>
      <c r="N1183" s="16" t="s">
        <v>67</v>
      </c>
      <c r="O1183" s="16" t="s">
        <v>107</v>
      </c>
      <c r="P1183" s="16" t="s">
        <v>188</v>
      </c>
      <c r="Q1183" s="16" t="s">
        <v>188</v>
      </c>
      <c r="R1183" s="16" t="s">
        <v>550</v>
      </c>
      <c r="S1183" s="16" t="s">
        <v>528</v>
      </c>
      <c r="T1183" s="16" t="s">
        <v>2270</v>
      </c>
      <c r="U1183" s="16" t="s">
        <v>73</v>
      </c>
      <c r="V1183" s="16" t="n">
        <v>0.00095</v>
      </c>
      <c r="W1183" s="16" t="n">
        <v>0.00086</v>
      </c>
      <c r="X1183" s="16" t="n">
        <v>2500</v>
      </c>
      <c r="Y1183" s="16" t="n">
        <v>2500</v>
      </c>
      <c r="Z1183" s="26" t="n">
        <v>2500</v>
      </c>
      <c r="AA1183" s="26"/>
      <c r="AB1183" s="16"/>
      <c r="AC1183" s="16"/>
      <c r="AD1183" s="16"/>
      <c r="AE1183" s="16"/>
      <c r="AF1183" s="16"/>
      <c r="AG1183" s="16"/>
      <c r="AH1183" s="16"/>
      <c r="AI1183" s="16"/>
      <c r="AJ1183" s="9" t="n">
        <f aca="false">X1183*$V1183</f>
        <v>2.375</v>
      </c>
      <c r="AK1183" s="9" t="n">
        <f aca="false">Y1183*$V1183</f>
        <v>2.375</v>
      </c>
      <c r="AL1183" s="9" t="n">
        <f aca="false">Z1183*$V1183</f>
        <v>2.375</v>
      </c>
      <c r="AM1183" s="9" t="n">
        <f aca="false">AA1183*$V1183</f>
        <v>0</v>
      </c>
      <c r="AN1183" s="9" t="n">
        <f aca="false">AB1183*$V1183</f>
        <v>0</v>
      </c>
      <c r="AO1183" s="9" t="n">
        <f aca="false">AC1183*$V1183</f>
        <v>0</v>
      </c>
      <c r="AP1183" s="9" t="n">
        <f aca="false">AD1183*$V1183</f>
        <v>0</v>
      </c>
      <c r="AQ1183" s="9" t="n">
        <f aca="false">AE1183*$V1183</f>
        <v>0</v>
      </c>
      <c r="AR1183" s="9" t="n">
        <f aca="false">AF1183*$V1183</f>
        <v>0</v>
      </c>
      <c r="AS1183" s="9" t="n">
        <f aca="false">AG1183*$V1183</f>
        <v>0</v>
      </c>
      <c r="AT1183" s="9" t="n">
        <f aca="false">AH1183*$V1183</f>
        <v>0</v>
      </c>
      <c r="AU1183" s="9" t="n">
        <f aca="false">AI1183*$V1183</f>
        <v>0</v>
      </c>
      <c r="AV1183" s="9" t="n">
        <f aca="false">SUM(X1183:AI1183)/1000</f>
        <v>7.5</v>
      </c>
      <c r="AW1183" s="9" t="n">
        <f aca="false">SUM(AJ1183:AU1183)</f>
        <v>7.125</v>
      </c>
      <c r="AX1183" s="9" t="n">
        <f aca="false">IF(D1183="INR",AW1183/88.24,AW1183)/1000000</f>
        <v>7.125E-006</v>
      </c>
    </row>
    <row r="1184" s="2" customFormat="true" ht="16.4" hidden="false" customHeight="false" outlineLevel="0" collapsed="false">
      <c r="A1184" s="28" t="s">
        <v>2271</v>
      </c>
      <c r="B1184" s="16"/>
      <c r="C1184" s="16"/>
      <c r="D1184" s="16" t="s">
        <v>102</v>
      </c>
      <c r="E1184" s="16" t="s">
        <v>51</v>
      </c>
      <c r="F1184" s="16" t="s">
        <v>52</v>
      </c>
      <c r="G1184" s="16" t="s">
        <v>258</v>
      </c>
      <c r="H1184" s="16" t="s">
        <v>259</v>
      </c>
      <c r="I1184" s="16" t="s">
        <v>260</v>
      </c>
      <c r="J1184" s="16" t="s">
        <v>1381</v>
      </c>
      <c r="K1184" s="16"/>
      <c r="L1184" s="16" t="s">
        <v>260</v>
      </c>
      <c r="M1184" s="16" t="s">
        <v>1381</v>
      </c>
      <c r="N1184" s="16" t="s">
        <v>67</v>
      </c>
      <c r="O1184" s="16" t="s">
        <v>107</v>
      </c>
      <c r="P1184" s="16" t="s">
        <v>188</v>
      </c>
      <c r="Q1184" s="16" t="s">
        <v>188</v>
      </c>
      <c r="R1184" s="16" t="s">
        <v>550</v>
      </c>
      <c r="S1184" s="16" t="s">
        <v>528</v>
      </c>
      <c r="T1184" s="16" t="s">
        <v>2272</v>
      </c>
      <c r="U1184" s="16" t="s">
        <v>73</v>
      </c>
      <c r="V1184" s="26" t="n">
        <v>0.0044</v>
      </c>
      <c r="W1184" s="16" t="n">
        <v>0.0041</v>
      </c>
      <c r="X1184" s="16" t="n">
        <v>2000</v>
      </c>
      <c r="Y1184" s="16" t="n">
        <v>2000</v>
      </c>
      <c r="Z1184" s="26" t="n">
        <v>2000</v>
      </c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9" t="n">
        <f aca="false">X1184*$V1184</f>
        <v>8.8</v>
      </c>
      <c r="AK1184" s="9" t="n">
        <f aca="false">Y1184*$V1184</f>
        <v>8.8</v>
      </c>
      <c r="AL1184" s="9" t="n">
        <f aca="false">Z1184*$V1184</f>
        <v>8.8</v>
      </c>
      <c r="AM1184" s="9" t="n">
        <f aca="false">AA1184*$V1184</f>
        <v>0</v>
      </c>
      <c r="AN1184" s="9" t="n">
        <f aca="false">AB1184*$V1184</f>
        <v>0</v>
      </c>
      <c r="AO1184" s="9" t="n">
        <f aca="false">AC1184*$V1184</f>
        <v>0</v>
      </c>
      <c r="AP1184" s="9" t="n">
        <f aca="false">AD1184*$V1184</f>
        <v>0</v>
      </c>
      <c r="AQ1184" s="9" t="n">
        <f aca="false">AE1184*$V1184</f>
        <v>0</v>
      </c>
      <c r="AR1184" s="9" t="n">
        <f aca="false">AF1184*$V1184</f>
        <v>0</v>
      </c>
      <c r="AS1184" s="9" t="n">
        <f aca="false">AG1184*$V1184</f>
        <v>0</v>
      </c>
      <c r="AT1184" s="9" t="n">
        <f aca="false">AH1184*$V1184</f>
        <v>0</v>
      </c>
      <c r="AU1184" s="9" t="n">
        <f aca="false">AI1184*$V1184</f>
        <v>0</v>
      </c>
      <c r="AV1184" s="9" t="n">
        <f aca="false">SUM(X1184:AI1184)/1000</f>
        <v>6</v>
      </c>
      <c r="AW1184" s="9" t="n">
        <f aca="false">SUM(AJ1184:AU1184)</f>
        <v>26.4</v>
      </c>
      <c r="AX1184" s="9" t="n">
        <f aca="false">IF(D1184="INR",AW1184/88.24,AW1184)/1000000</f>
        <v>2.64E-005</v>
      </c>
    </row>
    <row r="1185" s="2" customFormat="true" ht="16.4" hidden="false" customHeight="false" outlineLevel="0" collapsed="false">
      <c r="A1185" s="28" t="s">
        <v>2273</v>
      </c>
      <c r="B1185" s="16"/>
      <c r="C1185" s="16"/>
      <c r="D1185" s="16" t="s">
        <v>102</v>
      </c>
      <c r="E1185" s="16" t="s">
        <v>51</v>
      </c>
      <c r="F1185" s="16" t="s">
        <v>52</v>
      </c>
      <c r="G1185" s="16" t="s">
        <v>258</v>
      </c>
      <c r="H1185" s="16" t="s">
        <v>259</v>
      </c>
      <c r="I1185" s="16" t="s">
        <v>260</v>
      </c>
      <c r="J1185" s="16" t="s">
        <v>1381</v>
      </c>
      <c r="K1185" s="16"/>
      <c r="L1185" s="16" t="s">
        <v>260</v>
      </c>
      <c r="M1185" s="16" t="s">
        <v>1381</v>
      </c>
      <c r="N1185" s="16" t="s">
        <v>67</v>
      </c>
      <c r="O1185" s="16" t="s">
        <v>107</v>
      </c>
      <c r="P1185" s="16" t="s">
        <v>188</v>
      </c>
      <c r="Q1185" s="9" t="s">
        <v>188</v>
      </c>
      <c r="R1185" s="16" t="s">
        <v>550</v>
      </c>
      <c r="S1185" s="16" t="s">
        <v>528</v>
      </c>
      <c r="T1185" s="26" t="s">
        <v>2274</v>
      </c>
      <c r="U1185" s="16" t="s">
        <v>73</v>
      </c>
      <c r="V1185" s="16" t="n">
        <v>0.052</v>
      </c>
      <c r="W1185" s="16" t="n">
        <v>0.0154</v>
      </c>
      <c r="X1185" s="16" t="n">
        <v>625</v>
      </c>
      <c r="Y1185" s="16" t="n">
        <v>625</v>
      </c>
      <c r="Z1185" s="16" t="n">
        <v>625</v>
      </c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9" t="n">
        <f aca="false">X1185*$V1185</f>
        <v>32.5</v>
      </c>
      <c r="AK1185" s="9" t="n">
        <f aca="false">Y1185*$V1185</f>
        <v>32.5</v>
      </c>
      <c r="AL1185" s="9" t="n">
        <f aca="false">Z1185*$V1185</f>
        <v>32.5</v>
      </c>
      <c r="AM1185" s="9" t="n">
        <f aca="false">AA1185*$V1185</f>
        <v>0</v>
      </c>
      <c r="AN1185" s="9" t="n">
        <f aca="false">AB1185*$V1185</f>
        <v>0</v>
      </c>
      <c r="AO1185" s="9" t="n">
        <f aca="false">AC1185*$V1185</f>
        <v>0</v>
      </c>
      <c r="AP1185" s="9" t="n">
        <f aca="false">AD1185*$V1185</f>
        <v>0</v>
      </c>
      <c r="AQ1185" s="9" t="n">
        <f aca="false">AE1185*$V1185</f>
        <v>0</v>
      </c>
      <c r="AR1185" s="9" t="n">
        <f aca="false">AF1185*$V1185</f>
        <v>0</v>
      </c>
      <c r="AS1185" s="9" t="n">
        <f aca="false">AG1185*$V1185</f>
        <v>0</v>
      </c>
      <c r="AT1185" s="9" t="n">
        <f aca="false">AH1185*$V1185</f>
        <v>0</v>
      </c>
      <c r="AU1185" s="9" t="n">
        <f aca="false">AI1185*$V1185</f>
        <v>0</v>
      </c>
      <c r="AV1185" s="9" t="n">
        <f aca="false">SUM(X1185:AI1185)/1000</f>
        <v>1.875</v>
      </c>
      <c r="AW1185" s="9" t="n">
        <f aca="false">SUM(AJ1185:AU1185)</f>
        <v>97.5</v>
      </c>
      <c r="AX1185" s="9" t="n">
        <f aca="false">IF(D1185="INR",AW1185/88.24,AW1185)/1000000</f>
        <v>9.75E-005</v>
      </c>
    </row>
    <row r="1186" s="2" customFormat="true" ht="16.4" hidden="false" customHeight="false" outlineLevel="0" collapsed="false">
      <c r="A1186" s="28" t="s">
        <v>2275</v>
      </c>
      <c r="B1186" s="16"/>
      <c r="C1186" s="16"/>
      <c r="D1186" s="16" t="s">
        <v>102</v>
      </c>
      <c r="E1186" s="16" t="s">
        <v>51</v>
      </c>
      <c r="F1186" s="16" t="s">
        <v>52</v>
      </c>
      <c r="G1186" s="16" t="s">
        <v>258</v>
      </c>
      <c r="H1186" s="16" t="s">
        <v>259</v>
      </c>
      <c r="I1186" s="16" t="s">
        <v>260</v>
      </c>
      <c r="J1186" s="16" t="s">
        <v>1381</v>
      </c>
      <c r="K1186" s="16"/>
      <c r="L1186" s="16" t="s">
        <v>260</v>
      </c>
      <c r="M1186" s="16" t="s">
        <v>1381</v>
      </c>
      <c r="N1186" s="16" t="s">
        <v>67</v>
      </c>
      <c r="O1186" s="16" t="s">
        <v>107</v>
      </c>
      <c r="P1186" s="16" t="s">
        <v>188</v>
      </c>
      <c r="Q1186" s="16" t="s">
        <v>188</v>
      </c>
      <c r="R1186" s="16" t="s">
        <v>550</v>
      </c>
      <c r="S1186" s="16" t="s">
        <v>528</v>
      </c>
      <c r="T1186" s="16" t="s">
        <v>2276</v>
      </c>
      <c r="U1186" s="16" t="s">
        <v>73</v>
      </c>
      <c r="V1186" s="16" t="n">
        <v>0.225</v>
      </c>
      <c r="W1186" s="16" t="n">
        <v>0.205</v>
      </c>
      <c r="X1186" s="16" t="n">
        <v>250</v>
      </c>
      <c r="Y1186" s="16" t="n">
        <v>250</v>
      </c>
      <c r="Z1186" s="16" t="n">
        <v>250</v>
      </c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9" t="n">
        <f aca="false">X1186*$V1186</f>
        <v>56.25</v>
      </c>
      <c r="AK1186" s="9" t="n">
        <f aca="false">Y1186*$V1186</f>
        <v>56.25</v>
      </c>
      <c r="AL1186" s="9" t="n">
        <f aca="false">Z1186*$V1186</f>
        <v>56.25</v>
      </c>
      <c r="AM1186" s="9" t="n">
        <f aca="false">AA1186*$V1186</f>
        <v>0</v>
      </c>
      <c r="AN1186" s="9" t="n">
        <f aca="false">AB1186*$V1186</f>
        <v>0</v>
      </c>
      <c r="AO1186" s="9" t="n">
        <f aca="false">AC1186*$V1186</f>
        <v>0</v>
      </c>
      <c r="AP1186" s="9" t="n">
        <f aca="false">AD1186*$V1186</f>
        <v>0</v>
      </c>
      <c r="AQ1186" s="9" t="n">
        <f aca="false">AE1186*$V1186</f>
        <v>0</v>
      </c>
      <c r="AR1186" s="9" t="n">
        <f aca="false">AF1186*$V1186</f>
        <v>0</v>
      </c>
      <c r="AS1186" s="9" t="n">
        <f aca="false">AG1186*$V1186</f>
        <v>0</v>
      </c>
      <c r="AT1186" s="9" t="n">
        <f aca="false">AH1186*$V1186</f>
        <v>0</v>
      </c>
      <c r="AU1186" s="9" t="n">
        <f aca="false">AI1186*$V1186</f>
        <v>0</v>
      </c>
      <c r="AV1186" s="9" t="n">
        <f aca="false">SUM(X1186:AI1186)/1000</f>
        <v>0.75</v>
      </c>
      <c r="AW1186" s="9" t="n">
        <f aca="false">SUM(AJ1186:AU1186)</f>
        <v>168.75</v>
      </c>
      <c r="AX1186" s="9" t="n">
        <f aca="false">IF(D1186="INR",AW1186/88.24,AW1186)/1000000</f>
        <v>0.00016875</v>
      </c>
    </row>
    <row r="1187" s="2" customFormat="true" ht="16.4" hidden="false" customHeight="false" outlineLevel="0" collapsed="false">
      <c r="A1187" s="28" t="s">
        <v>2277</v>
      </c>
      <c r="B1187" s="16"/>
      <c r="C1187" s="16"/>
      <c r="D1187" s="16" t="s">
        <v>102</v>
      </c>
      <c r="E1187" s="16" t="s">
        <v>51</v>
      </c>
      <c r="F1187" s="16" t="s">
        <v>52</v>
      </c>
      <c r="G1187" s="16" t="s">
        <v>258</v>
      </c>
      <c r="H1187" s="16" t="s">
        <v>259</v>
      </c>
      <c r="I1187" s="16" t="s">
        <v>260</v>
      </c>
      <c r="J1187" s="16" t="s">
        <v>1381</v>
      </c>
      <c r="K1187" s="16"/>
      <c r="L1187" s="16" t="s">
        <v>260</v>
      </c>
      <c r="M1187" s="16" t="s">
        <v>1381</v>
      </c>
      <c r="N1187" s="16" t="s">
        <v>67</v>
      </c>
      <c r="O1187" s="16" t="s">
        <v>107</v>
      </c>
      <c r="P1187" s="16" t="s">
        <v>188</v>
      </c>
      <c r="Q1187" s="16" t="s">
        <v>188</v>
      </c>
      <c r="R1187" s="16" t="s">
        <v>550</v>
      </c>
      <c r="S1187" s="16" t="s">
        <v>528</v>
      </c>
      <c r="T1187" s="16" t="s">
        <v>2278</v>
      </c>
      <c r="U1187" s="16" t="s">
        <v>73</v>
      </c>
      <c r="V1187" s="16" t="n">
        <v>0.0103</v>
      </c>
      <c r="W1187" s="26" t="n">
        <v>0.01</v>
      </c>
      <c r="X1187" s="26" t="n">
        <v>220</v>
      </c>
      <c r="Y1187" s="16" t="n">
        <v>220</v>
      </c>
      <c r="Z1187" s="16" t="n">
        <v>220</v>
      </c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9" t="n">
        <f aca="false">X1187*$V1187</f>
        <v>2.266</v>
      </c>
      <c r="AK1187" s="9" t="n">
        <f aca="false">Y1187*$V1187</f>
        <v>2.266</v>
      </c>
      <c r="AL1187" s="9" t="n">
        <f aca="false">Z1187*$V1187</f>
        <v>2.266</v>
      </c>
      <c r="AM1187" s="9" t="n">
        <f aca="false">AA1187*$V1187</f>
        <v>0</v>
      </c>
      <c r="AN1187" s="9" t="n">
        <f aca="false">AB1187*$V1187</f>
        <v>0</v>
      </c>
      <c r="AO1187" s="9" t="n">
        <f aca="false">AC1187*$V1187</f>
        <v>0</v>
      </c>
      <c r="AP1187" s="9" t="n">
        <f aca="false">AD1187*$V1187</f>
        <v>0</v>
      </c>
      <c r="AQ1187" s="9" t="n">
        <f aca="false">AE1187*$V1187</f>
        <v>0</v>
      </c>
      <c r="AR1187" s="9" t="n">
        <f aca="false">AF1187*$V1187</f>
        <v>0</v>
      </c>
      <c r="AS1187" s="9" t="n">
        <f aca="false">AG1187*$V1187</f>
        <v>0</v>
      </c>
      <c r="AT1187" s="9" t="n">
        <f aca="false">AH1187*$V1187</f>
        <v>0</v>
      </c>
      <c r="AU1187" s="9" t="n">
        <f aca="false">AI1187*$V1187</f>
        <v>0</v>
      </c>
      <c r="AV1187" s="9" t="n">
        <f aca="false">SUM(X1187:AI1187)/1000</f>
        <v>0.66</v>
      </c>
      <c r="AW1187" s="9" t="n">
        <f aca="false">SUM(AJ1187:AU1187)</f>
        <v>6.798</v>
      </c>
      <c r="AX1187" s="9" t="n">
        <f aca="false">IF(D1187="INR",AW1187/88.24,AW1187)/1000000</f>
        <v>6.798E-006</v>
      </c>
    </row>
    <row r="1188" s="2" customFormat="true" ht="14.25" hidden="false" customHeight="false" outlineLevel="0" collapsed="false">
      <c r="A1188" s="12" t="s">
        <v>2279</v>
      </c>
      <c r="B1188" s="16" t="n">
        <v>5</v>
      </c>
      <c r="C1188" s="15"/>
      <c r="D1188" s="16" t="s">
        <v>50</v>
      </c>
      <c r="E1188" s="16" t="s">
        <v>51</v>
      </c>
      <c r="F1188" s="16" t="s">
        <v>52</v>
      </c>
      <c r="G1188" s="16" t="s">
        <v>947</v>
      </c>
      <c r="H1188" s="16" t="s">
        <v>948</v>
      </c>
      <c r="I1188" s="16" t="s">
        <v>1005</v>
      </c>
      <c r="J1188" s="16" t="s">
        <v>1094</v>
      </c>
      <c r="K1188" s="16"/>
      <c r="L1188" s="16" t="s">
        <v>1005</v>
      </c>
      <c r="M1188" s="16" t="s">
        <v>1094</v>
      </c>
      <c r="N1188" s="16" t="s">
        <v>79</v>
      </c>
      <c r="O1188" s="16" t="s">
        <v>315</v>
      </c>
      <c r="P1188" s="16" t="s">
        <v>308</v>
      </c>
      <c r="Q1188" s="16" t="s">
        <v>308</v>
      </c>
      <c r="R1188" s="16" t="s">
        <v>309</v>
      </c>
      <c r="S1188" s="16" t="s">
        <v>264</v>
      </c>
      <c r="T1188" s="16" t="s">
        <v>2280</v>
      </c>
      <c r="U1188" s="16" t="s">
        <v>73</v>
      </c>
      <c r="V1188" s="16" t="n">
        <v>2.45</v>
      </c>
      <c r="W1188" s="16" t="n">
        <v>2.18</v>
      </c>
      <c r="X1188" s="16" t="n">
        <v>7500</v>
      </c>
      <c r="Y1188" s="16" t="n">
        <v>7500</v>
      </c>
      <c r="Z1188" s="16"/>
      <c r="AA1188" s="16"/>
      <c r="AB1188" s="16" t="n">
        <v>7500</v>
      </c>
      <c r="AC1188" s="16"/>
      <c r="AD1188" s="16" t="n">
        <v>7500</v>
      </c>
      <c r="AE1188" s="16" t="n">
        <v>7500</v>
      </c>
      <c r="AF1188" s="16" t="n">
        <v>7500</v>
      </c>
      <c r="AG1188" s="16" t="n">
        <v>7500</v>
      </c>
      <c r="AH1188" s="16"/>
      <c r="AI1188" s="16" t="n">
        <v>7500</v>
      </c>
      <c r="AJ1188" s="9" t="n">
        <f aca="false">X1188*$V1188</f>
        <v>18375</v>
      </c>
      <c r="AK1188" s="9" t="n">
        <f aca="false">Y1188*$V1188</f>
        <v>18375</v>
      </c>
      <c r="AL1188" s="9" t="n">
        <f aca="false">Z1188*$V1188</f>
        <v>0</v>
      </c>
      <c r="AM1188" s="9" t="n">
        <f aca="false">AA1188*$V1188</f>
        <v>0</v>
      </c>
      <c r="AN1188" s="9" t="n">
        <f aca="false">AB1188*$V1188</f>
        <v>18375</v>
      </c>
      <c r="AO1188" s="9" t="n">
        <f aca="false">AC1188*$V1188</f>
        <v>0</v>
      </c>
      <c r="AP1188" s="9" t="n">
        <f aca="false">AD1188*$V1188</f>
        <v>18375</v>
      </c>
      <c r="AQ1188" s="9" t="n">
        <f aca="false">AE1188*$V1188</f>
        <v>18375</v>
      </c>
      <c r="AR1188" s="9" t="n">
        <f aca="false">AF1188*$V1188</f>
        <v>18375</v>
      </c>
      <c r="AS1188" s="9" t="n">
        <f aca="false">AG1188*$V1188</f>
        <v>18375</v>
      </c>
      <c r="AT1188" s="9" t="n">
        <f aca="false">AH1188*$V1188</f>
        <v>0</v>
      </c>
      <c r="AU1188" s="9" t="n">
        <f aca="false">AI1188*$V1188</f>
        <v>18375</v>
      </c>
      <c r="AV1188" s="9" t="n">
        <f aca="false">SUM(X1188:AI1188)/1000</f>
        <v>60</v>
      </c>
      <c r="AW1188" s="9" t="n">
        <f aca="false">SUM(AJ1188:AU1188)</f>
        <v>147000</v>
      </c>
      <c r="AX1188" s="9" t="n">
        <f aca="false">IF(D1188="INR",AW1188/88.24,AW1188)/1000000</f>
        <v>0.00166591115140526</v>
      </c>
      <c r="AY1188" s="27"/>
    </row>
    <row r="1189" s="2" customFormat="true" ht="14.25" hidden="false" customHeight="false" outlineLevel="0" collapsed="false">
      <c r="A1189" s="12" t="s">
        <v>2281</v>
      </c>
      <c r="B1189" s="16" t="n">
        <v>5</v>
      </c>
      <c r="C1189" s="15"/>
      <c r="D1189" s="16" t="s">
        <v>50</v>
      </c>
      <c r="E1189" s="16" t="s">
        <v>51</v>
      </c>
      <c r="F1189" s="16" t="s">
        <v>52</v>
      </c>
      <c r="G1189" s="16" t="s">
        <v>947</v>
      </c>
      <c r="H1189" s="16" t="s">
        <v>948</v>
      </c>
      <c r="I1189" s="16" t="s">
        <v>1005</v>
      </c>
      <c r="J1189" s="16" t="s">
        <v>1094</v>
      </c>
      <c r="K1189" s="16"/>
      <c r="L1189" s="16" t="s">
        <v>1005</v>
      </c>
      <c r="M1189" s="16" t="s">
        <v>1094</v>
      </c>
      <c r="N1189" s="16" t="s">
        <v>79</v>
      </c>
      <c r="O1189" s="16" t="s">
        <v>315</v>
      </c>
      <c r="P1189" s="16" t="s">
        <v>308</v>
      </c>
      <c r="Q1189" s="16" t="s">
        <v>308</v>
      </c>
      <c r="R1189" s="16" t="s">
        <v>309</v>
      </c>
      <c r="S1189" s="16" t="s">
        <v>264</v>
      </c>
      <c r="T1189" s="16" t="s">
        <v>2282</v>
      </c>
      <c r="U1189" s="16" t="s">
        <v>73</v>
      </c>
      <c r="V1189" s="16" t="n">
        <v>2.72</v>
      </c>
      <c r="W1189" s="16" t="n">
        <v>2.45</v>
      </c>
      <c r="X1189" s="16" t="n">
        <v>6000</v>
      </c>
      <c r="Y1189" s="16" t="n">
        <v>6000</v>
      </c>
      <c r="Z1189" s="16"/>
      <c r="AA1189" s="16" t="n">
        <v>6000</v>
      </c>
      <c r="AB1189" s="16" t="n">
        <v>6000</v>
      </c>
      <c r="AC1189" s="16" t="n">
        <v>6000</v>
      </c>
      <c r="AD1189" s="16"/>
      <c r="AE1189" s="16" t="n">
        <v>6000</v>
      </c>
      <c r="AF1189" s="16"/>
      <c r="AG1189" s="16" t="n">
        <v>6000</v>
      </c>
      <c r="AH1189" s="16" t="n">
        <v>6000</v>
      </c>
      <c r="AI1189" s="16"/>
      <c r="AJ1189" s="9" t="n">
        <f aca="false">X1189*$V1189</f>
        <v>16320</v>
      </c>
      <c r="AK1189" s="9" t="n">
        <f aca="false">Y1189*$V1189</f>
        <v>16320</v>
      </c>
      <c r="AL1189" s="9" t="n">
        <f aca="false">Z1189*$V1189</f>
        <v>0</v>
      </c>
      <c r="AM1189" s="9" t="n">
        <f aca="false">AA1189*$V1189</f>
        <v>16320</v>
      </c>
      <c r="AN1189" s="9" t="n">
        <f aca="false">AB1189*$V1189</f>
        <v>16320</v>
      </c>
      <c r="AO1189" s="9" t="n">
        <f aca="false">AC1189*$V1189</f>
        <v>16320</v>
      </c>
      <c r="AP1189" s="9" t="n">
        <f aca="false">AD1189*$V1189</f>
        <v>0</v>
      </c>
      <c r="AQ1189" s="9" t="n">
        <f aca="false">AE1189*$V1189</f>
        <v>16320</v>
      </c>
      <c r="AR1189" s="9" t="n">
        <f aca="false">AF1189*$V1189</f>
        <v>0</v>
      </c>
      <c r="AS1189" s="9" t="n">
        <f aca="false">AG1189*$V1189</f>
        <v>16320</v>
      </c>
      <c r="AT1189" s="9" t="n">
        <f aca="false">AH1189*$V1189</f>
        <v>16320</v>
      </c>
      <c r="AU1189" s="9" t="n">
        <f aca="false">AI1189*$V1189</f>
        <v>0</v>
      </c>
      <c r="AV1189" s="9" t="n">
        <f aca="false">SUM(X1189:AI1189)/1000</f>
        <v>48</v>
      </c>
      <c r="AW1189" s="9" t="n">
        <f aca="false">SUM(AJ1189:AU1189)</f>
        <v>130560</v>
      </c>
      <c r="AX1189" s="9" t="n">
        <f aca="false">IF(D1189="INR",AW1189/88.24,AW1189)/1000000</f>
        <v>0.00147960108794198</v>
      </c>
    </row>
    <row r="1190" s="2" customFormat="true" ht="14.25" hidden="false" customHeight="false" outlineLevel="0" collapsed="false">
      <c r="A1190" s="12"/>
      <c r="B1190" s="16" t="n">
        <v>1</v>
      </c>
      <c r="C1190" s="15"/>
      <c r="D1190" s="16" t="s">
        <v>50</v>
      </c>
      <c r="E1190" s="16" t="s">
        <v>51</v>
      </c>
      <c r="F1190" s="16" t="s">
        <v>52</v>
      </c>
      <c r="G1190" s="16" t="s">
        <v>947</v>
      </c>
      <c r="H1190" s="16" t="s">
        <v>948</v>
      </c>
      <c r="I1190" s="16"/>
      <c r="J1190" s="16"/>
      <c r="K1190" s="16"/>
      <c r="L1190" s="16"/>
      <c r="M1190" s="16"/>
      <c r="N1190" s="16" t="s">
        <v>79</v>
      </c>
      <c r="O1190" s="16" t="s">
        <v>94</v>
      </c>
      <c r="P1190" s="16"/>
      <c r="Q1190" s="16" t="s">
        <v>348</v>
      </c>
      <c r="R1190" s="16"/>
      <c r="S1190" s="16"/>
      <c r="T1190" s="16" t="s">
        <v>2283</v>
      </c>
      <c r="U1190" s="16" t="s">
        <v>73</v>
      </c>
      <c r="V1190" s="16" t="n">
        <v>16.8</v>
      </c>
      <c r="W1190" s="16"/>
      <c r="X1190" s="22"/>
      <c r="Y1190" s="22"/>
      <c r="Z1190" s="22"/>
      <c r="AA1190" s="22"/>
      <c r="AB1190" s="22"/>
      <c r="AC1190" s="22"/>
      <c r="AD1190" s="22"/>
      <c r="AE1190" s="22" t="n">
        <v>10000</v>
      </c>
      <c r="AF1190" s="22"/>
      <c r="AG1190" s="22"/>
      <c r="AH1190" s="22"/>
      <c r="AI1190" s="22" t="n">
        <v>10000</v>
      </c>
      <c r="AJ1190" s="9" t="n">
        <f aca="false">X1190*$V1190</f>
        <v>0</v>
      </c>
      <c r="AK1190" s="9" t="n">
        <f aca="false">Y1190*$V1190</f>
        <v>0</v>
      </c>
      <c r="AL1190" s="9" t="n">
        <f aca="false">Z1190*$V1190</f>
        <v>0</v>
      </c>
      <c r="AM1190" s="9" t="n">
        <f aca="false">AA1190*$V1190</f>
        <v>0</v>
      </c>
      <c r="AN1190" s="9" t="n">
        <f aca="false">AB1190*$V1190</f>
        <v>0</v>
      </c>
      <c r="AO1190" s="9" t="n">
        <f aca="false">AC1190*$V1190</f>
        <v>0</v>
      </c>
      <c r="AP1190" s="9" t="n">
        <f aca="false">AD1190*$V1190</f>
        <v>0</v>
      </c>
      <c r="AQ1190" s="9" t="n">
        <f aca="false">AE1190*$V1190</f>
        <v>168000</v>
      </c>
      <c r="AR1190" s="9" t="n">
        <f aca="false">AF1190*$V1190</f>
        <v>0</v>
      </c>
      <c r="AS1190" s="9" t="n">
        <f aca="false">AG1190*$V1190</f>
        <v>0</v>
      </c>
      <c r="AT1190" s="9" t="n">
        <f aca="false">AH1190*$V1190</f>
        <v>0</v>
      </c>
      <c r="AU1190" s="9" t="n">
        <f aca="false">AI1190*$V1190</f>
        <v>168000</v>
      </c>
      <c r="AV1190" s="9" t="n">
        <f aca="false">SUM(X1190:AI1190)/1000</f>
        <v>20</v>
      </c>
      <c r="AW1190" s="9" t="n">
        <f aca="false">SUM(AJ1190:AU1190)</f>
        <v>336000</v>
      </c>
      <c r="AX1190" s="9" t="n">
        <f aca="false">IF(D1190="INR",AW1190/88.24,AW1190)/1000000</f>
        <v>0.00380779691749773</v>
      </c>
    </row>
    <row r="1191" s="2" customFormat="true" ht="16.4" hidden="false" customHeight="false" outlineLevel="0" collapsed="false">
      <c r="A1191" s="28" t="s">
        <v>2284</v>
      </c>
      <c r="B1191" s="16" t="n">
        <v>5</v>
      </c>
      <c r="C1191" s="16"/>
      <c r="D1191" s="16" t="s">
        <v>50</v>
      </c>
      <c r="E1191" s="16" t="s">
        <v>51</v>
      </c>
      <c r="F1191" s="16" t="s">
        <v>52</v>
      </c>
      <c r="G1191" s="16" t="s">
        <v>391</v>
      </c>
      <c r="H1191" s="16" t="s">
        <v>392</v>
      </c>
      <c r="I1191" s="16" t="s">
        <v>260</v>
      </c>
      <c r="J1191" s="16" t="s">
        <v>276</v>
      </c>
      <c r="K1191" s="16"/>
      <c r="L1191" s="16" t="s">
        <v>260</v>
      </c>
      <c r="M1191" s="16" t="s">
        <v>276</v>
      </c>
      <c r="N1191" s="16" t="s">
        <v>93</v>
      </c>
      <c r="O1191" s="16" t="s">
        <v>58</v>
      </c>
      <c r="P1191" s="16" t="s">
        <v>80</v>
      </c>
      <c r="Q1191" s="16" t="s">
        <v>80</v>
      </c>
      <c r="R1191" s="16" t="s">
        <v>81</v>
      </c>
      <c r="S1191" s="16" t="s">
        <v>82</v>
      </c>
      <c r="T1191" s="16" t="s">
        <v>878</v>
      </c>
      <c r="U1191" s="16" t="s">
        <v>73</v>
      </c>
      <c r="V1191" s="16" t="n">
        <v>29.05</v>
      </c>
      <c r="W1191" s="16" t="n">
        <v>26.18978</v>
      </c>
      <c r="X1191" s="16"/>
      <c r="Y1191" s="16"/>
      <c r="Z1191" s="16"/>
      <c r="AA1191" s="16"/>
      <c r="AB1191" s="16" t="n">
        <v>2000</v>
      </c>
      <c r="AC1191" s="16"/>
      <c r="AD1191" s="16"/>
      <c r="AE1191" s="16"/>
      <c r="AF1191" s="16"/>
      <c r="AG1191" s="16" t="n">
        <v>2000</v>
      </c>
      <c r="AH1191" s="16"/>
      <c r="AI1191" s="16"/>
      <c r="AJ1191" s="9" t="n">
        <f aca="false">X1191*$V1191</f>
        <v>0</v>
      </c>
      <c r="AK1191" s="9" t="n">
        <f aca="false">Y1191*$V1191</f>
        <v>0</v>
      </c>
      <c r="AL1191" s="9" t="n">
        <f aca="false">Z1191*$V1191</f>
        <v>0</v>
      </c>
      <c r="AM1191" s="9" t="n">
        <f aca="false">AA1191*$V1191</f>
        <v>0</v>
      </c>
      <c r="AN1191" s="9" t="n">
        <f aca="false">AB1191*$V1191</f>
        <v>58100</v>
      </c>
      <c r="AO1191" s="9" t="n">
        <f aca="false">AC1191*$V1191</f>
        <v>0</v>
      </c>
      <c r="AP1191" s="9" t="n">
        <f aca="false">AD1191*$V1191</f>
        <v>0</v>
      </c>
      <c r="AQ1191" s="9" t="n">
        <f aca="false">AE1191*$V1191</f>
        <v>0</v>
      </c>
      <c r="AR1191" s="9" t="n">
        <f aca="false">AF1191*$V1191</f>
        <v>0</v>
      </c>
      <c r="AS1191" s="9" t="n">
        <f aca="false">AG1191*$V1191</f>
        <v>58100</v>
      </c>
      <c r="AT1191" s="9" t="n">
        <f aca="false">AH1191*$V1191</f>
        <v>0</v>
      </c>
      <c r="AU1191" s="9" t="n">
        <f aca="false">AI1191*$V1191</f>
        <v>0</v>
      </c>
      <c r="AV1191" s="9" t="n">
        <f aca="false">SUM(X1191:AI1191)/1000</f>
        <v>4</v>
      </c>
      <c r="AW1191" s="9" t="n">
        <f aca="false">SUM(AJ1191:AU1191)</f>
        <v>116200</v>
      </c>
      <c r="AX1191" s="9" t="n">
        <f aca="false">IF(D1191="INR",AW1191/88.24,AW1191)/1000000</f>
        <v>0.00131686310063463</v>
      </c>
    </row>
    <row r="1192" s="2" customFormat="true" ht="14.25" hidden="false" customHeight="false" outlineLevel="0" collapsed="false">
      <c r="A1192" s="28"/>
      <c r="B1192" s="16" t="n">
        <v>1</v>
      </c>
      <c r="C1192" s="16"/>
      <c r="D1192" s="16" t="s">
        <v>50</v>
      </c>
      <c r="E1192" s="16"/>
      <c r="F1192" s="16" t="s">
        <v>52</v>
      </c>
      <c r="G1192" s="16"/>
      <c r="H1192" s="16" t="s">
        <v>392</v>
      </c>
      <c r="I1192" s="16" t="s">
        <v>260</v>
      </c>
      <c r="J1192" s="16" t="s">
        <v>276</v>
      </c>
      <c r="K1192" s="16"/>
      <c r="L1192" s="16" t="s">
        <v>260</v>
      </c>
      <c r="M1192" s="16" t="s">
        <v>276</v>
      </c>
      <c r="N1192" s="16" t="s">
        <v>93</v>
      </c>
      <c r="O1192" s="16" t="s">
        <v>58</v>
      </c>
      <c r="P1192" s="16"/>
      <c r="Q1192" s="16" t="s">
        <v>182</v>
      </c>
      <c r="R1192" s="16"/>
      <c r="S1192" s="16"/>
      <c r="T1192" s="16" t="s">
        <v>2285</v>
      </c>
      <c r="U1192" s="16" t="s">
        <v>63</v>
      </c>
      <c r="V1192" s="26" t="n">
        <v>28.07</v>
      </c>
      <c r="W1192" s="16"/>
      <c r="X1192" s="26"/>
      <c r="Y1192" s="16"/>
      <c r="Z1192" s="16"/>
      <c r="AA1192" s="16"/>
      <c r="AB1192" s="16" t="n">
        <v>4000</v>
      </c>
      <c r="AC1192" s="26"/>
      <c r="AD1192" s="16"/>
      <c r="AE1192" s="16"/>
      <c r="AF1192" s="16"/>
      <c r="AG1192" s="16"/>
      <c r="AH1192" s="16"/>
      <c r="AI1192" s="16"/>
      <c r="AJ1192" s="9" t="n">
        <f aca="false">X1192*$V1192</f>
        <v>0</v>
      </c>
      <c r="AK1192" s="9" t="n">
        <f aca="false">Y1192*$V1192</f>
        <v>0</v>
      </c>
      <c r="AL1192" s="9" t="n">
        <f aca="false">Z1192*$V1192</f>
        <v>0</v>
      </c>
      <c r="AM1192" s="9" t="n">
        <f aca="false">AA1192*$V1192</f>
        <v>0</v>
      </c>
      <c r="AN1192" s="9" t="n">
        <f aca="false">AB1192*$V1192</f>
        <v>112280</v>
      </c>
      <c r="AO1192" s="9" t="n">
        <f aca="false">AC1192*$V1192</f>
        <v>0</v>
      </c>
      <c r="AP1192" s="9" t="n">
        <f aca="false">AD1192*$V1192</f>
        <v>0</v>
      </c>
      <c r="AQ1192" s="9" t="n">
        <f aca="false">AE1192*$V1192</f>
        <v>0</v>
      </c>
      <c r="AR1192" s="9" t="n">
        <f aca="false">AF1192*$V1192</f>
        <v>0</v>
      </c>
      <c r="AS1192" s="9" t="n">
        <f aca="false">AG1192*$V1192</f>
        <v>0</v>
      </c>
      <c r="AT1192" s="9" t="n">
        <f aca="false">AH1192*$V1192</f>
        <v>0</v>
      </c>
      <c r="AU1192" s="9" t="n">
        <f aca="false">AI1192*$V1192</f>
        <v>0</v>
      </c>
      <c r="AV1192" s="9" t="n">
        <f aca="false">SUM(X1192:AI1192)/1000</f>
        <v>4</v>
      </c>
      <c r="AW1192" s="9" t="n">
        <f aca="false">SUM(AJ1192:AU1192)</f>
        <v>112280</v>
      </c>
      <c r="AX1192" s="9" t="n">
        <f aca="false">IF(D1192="INR",AW1192/88.24,AW1192)/1000000</f>
        <v>0.00127243880326383</v>
      </c>
    </row>
    <row r="1193" s="2" customFormat="true" ht="14.25" hidden="false" customHeight="false" outlineLevel="0" collapsed="false">
      <c r="A1193" s="12" t="s">
        <v>2286</v>
      </c>
      <c r="B1193" s="16" t="n">
        <v>5</v>
      </c>
      <c r="C1193" s="15"/>
      <c r="D1193" s="16" t="s">
        <v>102</v>
      </c>
      <c r="E1193" s="16" t="s">
        <v>51</v>
      </c>
      <c r="F1193" s="16" t="s">
        <v>52</v>
      </c>
      <c r="G1193" s="16" t="s">
        <v>2287</v>
      </c>
      <c r="H1193" s="16" t="s">
        <v>2288</v>
      </c>
      <c r="I1193" s="16" t="s">
        <v>105</v>
      </c>
      <c r="J1193" s="16" t="s">
        <v>766</v>
      </c>
      <c r="K1193" s="16"/>
      <c r="L1193" s="16" t="s">
        <v>105</v>
      </c>
      <c r="M1193" s="16" t="s">
        <v>766</v>
      </c>
      <c r="N1193" s="16" t="s">
        <v>67</v>
      </c>
      <c r="O1193" s="16" t="s">
        <v>246</v>
      </c>
      <c r="P1193" s="16" t="s">
        <v>2208</v>
      </c>
      <c r="Q1193" s="16" t="s">
        <v>2208</v>
      </c>
      <c r="R1193" s="16" t="s">
        <v>377</v>
      </c>
      <c r="S1193" s="16" t="s">
        <v>1148</v>
      </c>
      <c r="T1193" s="16" t="s">
        <v>2289</v>
      </c>
      <c r="U1193" s="16" t="s">
        <v>73</v>
      </c>
      <c r="V1193" s="15" t="n">
        <v>0.7</v>
      </c>
      <c r="W1193" s="16" t="n">
        <v>0.5</v>
      </c>
      <c r="X1193" s="16" t="n">
        <v>500</v>
      </c>
      <c r="Y1193" s="16"/>
      <c r="Z1193" s="16"/>
      <c r="AA1193" s="16"/>
      <c r="AB1193" s="16" t="n">
        <v>500</v>
      </c>
      <c r="AC1193" s="16"/>
      <c r="AD1193" s="16"/>
      <c r="AE1193" s="16"/>
      <c r="AF1193" s="16"/>
      <c r="AG1193" s="16"/>
      <c r="AH1193" s="16" t="n">
        <v>500</v>
      </c>
      <c r="AI1193" s="16"/>
      <c r="AJ1193" s="9" t="n">
        <f aca="false">X1193*$V1193</f>
        <v>350</v>
      </c>
      <c r="AK1193" s="9" t="n">
        <f aca="false">Y1193*$V1193</f>
        <v>0</v>
      </c>
      <c r="AL1193" s="9" t="n">
        <f aca="false">Z1193*$V1193</f>
        <v>0</v>
      </c>
      <c r="AM1193" s="9" t="n">
        <f aca="false">AA1193*$V1193</f>
        <v>0</v>
      </c>
      <c r="AN1193" s="9" t="n">
        <f aca="false">AB1193*$V1193</f>
        <v>350</v>
      </c>
      <c r="AO1193" s="9" t="n">
        <f aca="false">AC1193*$V1193</f>
        <v>0</v>
      </c>
      <c r="AP1193" s="9" t="n">
        <f aca="false">AD1193*$V1193</f>
        <v>0</v>
      </c>
      <c r="AQ1193" s="9" t="n">
        <f aca="false">AE1193*$V1193</f>
        <v>0</v>
      </c>
      <c r="AR1193" s="9" t="n">
        <f aca="false">AF1193*$V1193</f>
        <v>0</v>
      </c>
      <c r="AS1193" s="9" t="n">
        <f aca="false">AG1193*$V1193</f>
        <v>0</v>
      </c>
      <c r="AT1193" s="9" t="n">
        <f aca="false">AH1193*$V1193</f>
        <v>350</v>
      </c>
      <c r="AU1193" s="9" t="n">
        <f aca="false">AI1193*$V1193</f>
        <v>0</v>
      </c>
      <c r="AV1193" s="9" t="n">
        <f aca="false">SUM(X1193:AI1193)/1000</f>
        <v>1.5</v>
      </c>
      <c r="AW1193" s="9" t="n">
        <f aca="false">SUM(AJ1193:AU1193)</f>
        <v>1050</v>
      </c>
      <c r="AX1193" s="9" t="n">
        <f aca="false">IF(D1193="INR",AW1193/88.24,AW1193)/1000000</f>
        <v>0.00105</v>
      </c>
    </row>
    <row r="1194" s="2" customFormat="true" ht="14.25" hidden="false" customHeight="false" outlineLevel="0" collapsed="false">
      <c r="A1194" s="12" t="s">
        <v>2290</v>
      </c>
      <c r="B1194" s="16" t="n">
        <v>5</v>
      </c>
      <c r="C1194" s="15"/>
      <c r="D1194" s="16" t="s">
        <v>102</v>
      </c>
      <c r="E1194" s="16" t="s">
        <v>51</v>
      </c>
      <c r="F1194" s="16" t="s">
        <v>52</v>
      </c>
      <c r="G1194" s="16" t="s">
        <v>2287</v>
      </c>
      <c r="H1194" s="16" t="s">
        <v>2288</v>
      </c>
      <c r="I1194" s="16" t="s">
        <v>105</v>
      </c>
      <c r="J1194" s="16" t="s">
        <v>766</v>
      </c>
      <c r="K1194" s="16"/>
      <c r="L1194" s="16" t="s">
        <v>105</v>
      </c>
      <c r="M1194" s="16" t="s">
        <v>766</v>
      </c>
      <c r="N1194" s="16" t="s">
        <v>67</v>
      </c>
      <c r="O1194" s="16" t="s">
        <v>246</v>
      </c>
      <c r="P1194" s="16" t="s">
        <v>2208</v>
      </c>
      <c r="Q1194" s="16" t="s">
        <v>2208</v>
      </c>
      <c r="R1194" s="16" t="s">
        <v>377</v>
      </c>
      <c r="S1194" s="16" t="s">
        <v>1148</v>
      </c>
      <c r="T1194" s="16" t="s">
        <v>2291</v>
      </c>
      <c r="U1194" s="16" t="s">
        <v>73</v>
      </c>
      <c r="V1194" s="16" t="n">
        <v>1.4</v>
      </c>
      <c r="W1194" s="16" t="n">
        <v>1</v>
      </c>
      <c r="X1194" s="16" t="n">
        <v>350</v>
      </c>
      <c r="Y1194" s="16"/>
      <c r="Z1194" s="16"/>
      <c r="AA1194" s="16"/>
      <c r="AB1194" s="16" t="n">
        <v>350</v>
      </c>
      <c r="AC1194" s="16"/>
      <c r="AD1194" s="16"/>
      <c r="AE1194" s="16"/>
      <c r="AF1194" s="16"/>
      <c r="AG1194" s="16"/>
      <c r="AH1194" s="16" t="n">
        <v>350</v>
      </c>
      <c r="AI1194" s="16"/>
      <c r="AJ1194" s="9" t="n">
        <f aca="false">X1194*$V1194</f>
        <v>490</v>
      </c>
      <c r="AK1194" s="9" t="n">
        <f aca="false">Y1194*$V1194</f>
        <v>0</v>
      </c>
      <c r="AL1194" s="9" t="n">
        <f aca="false">Z1194*$V1194</f>
        <v>0</v>
      </c>
      <c r="AM1194" s="9" t="n">
        <f aca="false">AA1194*$V1194</f>
        <v>0</v>
      </c>
      <c r="AN1194" s="9" t="n">
        <f aca="false">AB1194*$V1194</f>
        <v>490</v>
      </c>
      <c r="AO1194" s="9" t="n">
        <f aca="false">AC1194*$V1194</f>
        <v>0</v>
      </c>
      <c r="AP1194" s="9" t="n">
        <f aca="false">AD1194*$V1194</f>
        <v>0</v>
      </c>
      <c r="AQ1194" s="9" t="n">
        <f aca="false">AE1194*$V1194</f>
        <v>0</v>
      </c>
      <c r="AR1194" s="9" t="n">
        <f aca="false">AF1194*$V1194</f>
        <v>0</v>
      </c>
      <c r="AS1194" s="9" t="n">
        <f aca="false">AG1194*$V1194</f>
        <v>0</v>
      </c>
      <c r="AT1194" s="9" t="n">
        <f aca="false">AH1194*$V1194</f>
        <v>490</v>
      </c>
      <c r="AU1194" s="9" t="n">
        <f aca="false">AI1194*$V1194</f>
        <v>0</v>
      </c>
      <c r="AV1194" s="9" t="n">
        <f aca="false">SUM(X1194:AI1194)/1000</f>
        <v>1.05</v>
      </c>
      <c r="AW1194" s="9" t="n">
        <f aca="false">SUM(AJ1194:AU1194)</f>
        <v>1470</v>
      </c>
      <c r="AX1194" s="9" t="n">
        <f aca="false">IF(D1194="INR",AW1194/88.24,AW1194)/1000000</f>
        <v>0.00147</v>
      </c>
    </row>
    <row r="1195" s="2" customFormat="true" ht="14.25" hidden="false" customHeight="false" outlineLevel="0" collapsed="false">
      <c r="A1195" s="12" t="s">
        <v>2292</v>
      </c>
      <c r="B1195" s="16" t="n">
        <v>5</v>
      </c>
      <c r="C1195" s="15"/>
      <c r="D1195" s="16" t="s">
        <v>102</v>
      </c>
      <c r="E1195" s="16" t="s">
        <v>51</v>
      </c>
      <c r="F1195" s="16" t="s">
        <v>52</v>
      </c>
      <c r="G1195" s="16" t="s">
        <v>2287</v>
      </c>
      <c r="H1195" s="16" t="s">
        <v>2288</v>
      </c>
      <c r="I1195" s="16" t="s">
        <v>105</v>
      </c>
      <c r="J1195" s="16" t="s">
        <v>766</v>
      </c>
      <c r="K1195" s="16"/>
      <c r="L1195" s="16" t="s">
        <v>105</v>
      </c>
      <c r="M1195" s="16" t="s">
        <v>766</v>
      </c>
      <c r="N1195" s="16" t="s">
        <v>67</v>
      </c>
      <c r="O1195" s="16" t="s">
        <v>246</v>
      </c>
      <c r="P1195" s="16" t="s">
        <v>2208</v>
      </c>
      <c r="Q1195" s="16" t="s">
        <v>2208</v>
      </c>
      <c r="R1195" s="16" t="s">
        <v>377</v>
      </c>
      <c r="S1195" s="16" t="s">
        <v>1148</v>
      </c>
      <c r="T1195" s="16" t="s">
        <v>2293</v>
      </c>
      <c r="U1195" s="16" t="s">
        <v>73</v>
      </c>
      <c r="V1195" s="16" t="n">
        <v>1.7</v>
      </c>
      <c r="W1195" s="16" t="n">
        <v>1.2</v>
      </c>
      <c r="X1195" s="16" t="n">
        <v>300</v>
      </c>
      <c r="Y1195" s="16"/>
      <c r="Z1195" s="16"/>
      <c r="AA1195" s="16"/>
      <c r="AB1195" s="16" t="n">
        <v>300</v>
      </c>
      <c r="AC1195" s="16"/>
      <c r="AD1195" s="16"/>
      <c r="AE1195" s="16"/>
      <c r="AF1195" s="16"/>
      <c r="AG1195" s="16"/>
      <c r="AH1195" s="16" t="n">
        <v>300</v>
      </c>
      <c r="AI1195" s="16"/>
      <c r="AJ1195" s="9" t="n">
        <f aca="false">X1195*$V1195</f>
        <v>510</v>
      </c>
      <c r="AK1195" s="9" t="n">
        <f aca="false">Y1195*$V1195</f>
        <v>0</v>
      </c>
      <c r="AL1195" s="9" t="n">
        <f aca="false">Z1195*$V1195</f>
        <v>0</v>
      </c>
      <c r="AM1195" s="9" t="n">
        <f aca="false">AA1195*$V1195</f>
        <v>0</v>
      </c>
      <c r="AN1195" s="9" t="n">
        <f aca="false">AB1195*$V1195</f>
        <v>510</v>
      </c>
      <c r="AO1195" s="9" t="n">
        <f aca="false">AC1195*$V1195</f>
        <v>0</v>
      </c>
      <c r="AP1195" s="9" t="n">
        <f aca="false">AD1195*$V1195</f>
        <v>0</v>
      </c>
      <c r="AQ1195" s="9" t="n">
        <f aca="false">AE1195*$V1195</f>
        <v>0</v>
      </c>
      <c r="AR1195" s="9" t="n">
        <f aca="false">AF1195*$V1195</f>
        <v>0</v>
      </c>
      <c r="AS1195" s="9" t="n">
        <f aca="false">AG1195*$V1195</f>
        <v>0</v>
      </c>
      <c r="AT1195" s="9" t="n">
        <f aca="false">AH1195*$V1195</f>
        <v>510</v>
      </c>
      <c r="AU1195" s="9" t="n">
        <f aca="false">AI1195*$V1195</f>
        <v>0</v>
      </c>
      <c r="AV1195" s="9" t="n">
        <f aca="false">SUM(X1195:AI1195)/1000</f>
        <v>0.9</v>
      </c>
      <c r="AW1195" s="9" t="n">
        <f aca="false">SUM(AJ1195:AU1195)</f>
        <v>1530</v>
      </c>
      <c r="AX1195" s="9" t="n">
        <f aca="false">IF(D1195="INR",AW1195/88.24,AW1195)/1000000</f>
        <v>0.00153</v>
      </c>
    </row>
    <row r="1196" s="2" customFormat="true" ht="14.25" hidden="false" customHeight="false" outlineLevel="0" collapsed="false">
      <c r="A1196" s="12" t="s">
        <v>2294</v>
      </c>
      <c r="B1196" s="16" t="n">
        <v>5</v>
      </c>
      <c r="C1196" s="15"/>
      <c r="D1196" s="16" t="s">
        <v>102</v>
      </c>
      <c r="E1196" s="16" t="s">
        <v>51</v>
      </c>
      <c r="F1196" s="16" t="s">
        <v>52</v>
      </c>
      <c r="G1196" s="16" t="s">
        <v>2287</v>
      </c>
      <c r="H1196" s="16" t="s">
        <v>2288</v>
      </c>
      <c r="I1196" s="16" t="s">
        <v>105</v>
      </c>
      <c r="J1196" s="16" t="s">
        <v>766</v>
      </c>
      <c r="K1196" s="16"/>
      <c r="L1196" s="16" t="s">
        <v>105</v>
      </c>
      <c r="M1196" s="16" t="s">
        <v>766</v>
      </c>
      <c r="N1196" s="16" t="s">
        <v>67</v>
      </c>
      <c r="O1196" s="16" t="s">
        <v>246</v>
      </c>
      <c r="P1196" s="16" t="s">
        <v>2208</v>
      </c>
      <c r="Q1196" s="16" t="s">
        <v>2208</v>
      </c>
      <c r="R1196" s="16" t="s">
        <v>377</v>
      </c>
      <c r="S1196" s="16" t="s">
        <v>1148</v>
      </c>
      <c r="T1196" s="16" t="s">
        <v>2295</v>
      </c>
      <c r="U1196" s="16" t="s">
        <v>73</v>
      </c>
      <c r="V1196" s="16" t="n">
        <v>2.8</v>
      </c>
      <c r="W1196" s="16" t="n">
        <v>2</v>
      </c>
      <c r="X1196" s="16" t="n">
        <v>200</v>
      </c>
      <c r="Y1196" s="16"/>
      <c r="Z1196" s="16"/>
      <c r="AA1196" s="16"/>
      <c r="AB1196" s="16" t="n">
        <v>200</v>
      </c>
      <c r="AC1196" s="16"/>
      <c r="AD1196" s="16"/>
      <c r="AE1196" s="16"/>
      <c r="AF1196" s="16"/>
      <c r="AG1196" s="16"/>
      <c r="AH1196" s="16" t="n">
        <v>200</v>
      </c>
      <c r="AI1196" s="16"/>
      <c r="AJ1196" s="9" t="n">
        <f aca="false">X1196*$V1196</f>
        <v>560</v>
      </c>
      <c r="AK1196" s="9" t="n">
        <f aca="false">Y1196*$V1196</f>
        <v>0</v>
      </c>
      <c r="AL1196" s="9" t="n">
        <f aca="false">Z1196*$V1196</f>
        <v>0</v>
      </c>
      <c r="AM1196" s="9" t="n">
        <f aca="false">AA1196*$V1196</f>
        <v>0</v>
      </c>
      <c r="AN1196" s="9" t="n">
        <f aca="false">AB1196*$V1196</f>
        <v>560</v>
      </c>
      <c r="AO1196" s="9" t="n">
        <f aca="false">AC1196*$V1196</f>
        <v>0</v>
      </c>
      <c r="AP1196" s="9" t="n">
        <f aca="false">AD1196*$V1196</f>
        <v>0</v>
      </c>
      <c r="AQ1196" s="9" t="n">
        <f aca="false">AE1196*$V1196</f>
        <v>0</v>
      </c>
      <c r="AR1196" s="9" t="n">
        <f aca="false">AF1196*$V1196</f>
        <v>0</v>
      </c>
      <c r="AS1196" s="9" t="n">
        <f aca="false">AG1196*$V1196</f>
        <v>0</v>
      </c>
      <c r="AT1196" s="9" t="n">
        <f aca="false">AH1196*$V1196</f>
        <v>560</v>
      </c>
      <c r="AU1196" s="9" t="n">
        <f aca="false">AI1196*$V1196</f>
        <v>0</v>
      </c>
      <c r="AV1196" s="9" t="n">
        <f aca="false">SUM(X1196:AI1196)/1000</f>
        <v>0.6</v>
      </c>
      <c r="AW1196" s="9" t="n">
        <f aca="false">SUM(AJ1196:AU1196)</f>
        <v>1680</v>
      </c>
      <c r="AX1196" s="9" t="n">
        <f aca="false">IF(D1196="INR",AW1196/88.24,AW1196)/1000000</f>
        <v>0.00168</v>
      </c>
      <c r="AY1196" s="27"/>
    </row>
    <row r="1197" s="2" customFormat="true" ht="14.25" hidden="false" customHeight="false" outlineLevel="0" collapsed="false">
      <c r="A1197" s="12"/>
      <c r="B1197" s="16" t="n">
        <v>1</v>
      </c>
      <c r="C1197" s="15"/>
      <c r="D1197" s="16" t="s">
        <v>102</v>
      </c>
      <c r="E1197" s="16" t="s">
        <v>51</v>
      </c>
      <c r="F1197" s="16" t="s">
        <v>52</v>
      </c>
      <c r="G1197" s="16"/>
      <c r="H1197" s="16" t="s">
        <v>2296</v>
      </c>
      <c r="I1197" s="16"/>
      <c r="J1197" s="16"/>
      <c r="K1197" s="16"/>
      <c r="L1197" s="16"/>
      <c r="M1197" s="16"/>
      <c r="N1197" s="16" t="s">
        <v>79</v>
      </c>
      <c r="O1197" s="16"/>
      <c r="P1197" s="9"/>
      <c r="Q1197" s="16" t="s">
        <v>85</v>
      </c>
      <c r="R1197" s="16"/>
      <c r="S1197" s="16"/>
      <c r="T1197" s="16" t="s">
        <v>2297</v>
      </c>
      <c r="U1197" s="16" t="s">
        <v>382</v>
      </c>
      <c r="V1197" s="16" t="n">
        <v>0.047</v>
      </c>
      <c r="W1197" s="26"/>
      <c r="X1197" s="16"/>
      <c r="Y1197" s="16"/>
      <c r="Z1197" s="16"/>
      <c r="AA1197" s="16" t="n">
        <v>100000</v>
      </c>
      <c r="AB1197" s="16"/>
      <c r="AC1197" s="16"/>
      <c r="AD1197" s="16" t="n">
        <v>100000</v>
      </c>
      <c r="AE1197" s="16"/>
      <c r="AF1197" s="16"/>
      <c r="AG1197" s="16"/>
      <c r="AH1197" s="16"/>
      <c r="AI1197" s="16" t="n">
        <v>100000</v>
      </c>
      <c r="AJ1197" s="9" t="n">
        <f aca="false">X1197*$V1197</f>
        <v>0</v>
      </c>
      <c r="AK1197" s="9" t="n">
        <f aca="false">Y1197*$V1197</f>
        <v>0</v>
      </c>
      <c r="AL1197" s="9" t="n">
        <f aca="false">Z1197*$V1197</f>
        <v>0</v>
      </c>
      <c r="AM1197" s="9" t="n">
        <f aca="false">AA1197*$V1197</f>
        <v>4700</v>
      </c>
      <c r="AN1197" s="9" t="n">
        <f aca="false">AB1197*$V1197</f>
        <v>0</v>
      </c>
      <c r="AO1197" s="9" t="n">
        <f aca="false">AC1197*$V1197</f>
        <v>0</v>
      </c>
      <c r="AP1197" s="9" t="n">
        <f aca="false">AD1197*$V1197</f>
        <v>4700</v>
      </c>
      <c r="AQ1197" s="9" t="n">
        <f aca="false">AE1197*$V1197</f>
        <v>0</v>
      </c>
      <c r="AR1197" s="9" t="n">
        <f aca="false">AF1197*$V1197</f>
        <v>0</v>
      </c>
      <c r="AS1197" s="9" t="n">
        <f aca="false">AG1197*$V1197</f>
        <v>0</v>
      </c>
      <c r="AT1197" s="9" t="n">
        <f aca="false">AH1197*$V1197</f>
        <v>0</v>
      </c>
      <c r="AU1197" s="9" t="n">
        <f aca="false">AI1197*$V1197</f>
        <v>4700</v>
      </c>
      <c r="AV1197" s="9" t="n">
        <f aca="false">SUM(X1197:AI1197)/1000</f>
        <v>300</v>
      </c>
      <c r="AW1197" s="9" t="n">
        <f aca="false">SUM(AJ1197:AU1197)</f>
        <v>14100</v>
      </c>
      <c r="AX1197" s="9" t="n">
        <f aca="false">IF(D1197="INR",AW1197/88.24,AW1197)/1000000</f>
        <v>0.0141</v>
      </c>
    </row>
    <row r="1198" s="2" customFormat="true" ht="14.25" hidden="false" customHeight="false" outlineLevel="0" collapsed="false">
      <c r="A1198" s="28"/>
      <c r="B1198" s="16" t="n">
        <v>1</v>
      </c>
      <c r="C1198" s="16"/>
      <c r="D1198" s="16" t="s">
        <v>102</v>
      </c>
      <c r="E1198" s="16" t="s">
        <v>51</v>
      </c>
      <c r="F1198" s="16" t="s">
        <v>52</v>
      </c>
      <c r="G1198" s="16"/>
      <c r="H1198" s="16" t="s">
        <v>2296</v>
      </c>
      <c r="I1198" s="16"/>
      <c r="J1198" s="16"/>
      <c r="K1198" s="16"/>
      <c r="L1198" s="16"/>
      <c r="M1198" s="16"/>
      <c r="N1198" s="16" t="s">
        <v>79</v>
      </c>
      <c r="O1198" s="16"/>
      <c r="P1198" s="16"/>
      <c r="Q1198" s="16" t="s">
        <v>348</v>
      </c>
      <c r="R1198" s="16"/>
      <c r="S1198" s="16"/>
      <c r="T1198" s="16" t="s">
        <v>2298</v>
      </c>
      <c r="U1198" s="16" t="s">
        <v>382</v>
      </c>
      <c r="V1198" s="26" t="n">
        <v>0.00147</v>
      </c>
      <c r="W1198" s="16"/>
      <c r="X1198" s="16"/>
      <c r="Y1198" s="16"/>
      <c r="Z1198" s="16"/>
      <c r="AA1198" s="16" t="n">
        <v>10000</v>
      </c>
      <c r="AB1198" s="16"/>
      <c r="AC1198" s="16"/>
      <c r="AD1198" s="16" t="n">
        <v>10000</v>
      </c>
      <c r="AE1198" s="16"/>
      <c r="AF1198" s="16"/>
      <c r="AG1198" s="16"/>
      <c r="AH1198" s="16"/>
      <c r="AI1198" s="16" t="n">
        <v>10000</v>
      </c>
      <c r="AJ1198" s="9" t="n">
        <f aca="false">X1198*$V1198</f>
        <v>0</v>
      </c>
      <c r="AK1198" s="9" t="n">
        <f aca="false">Y1198*$V1198</f>
        <v>0</v>
      </c>
      <c r="AL1198" s="9" t="n">
        <f aca="false">Z1198*$V1198</f>
        <v>0</v>
      </c>
      <c r="AM1198" s="9" t="n">
        <f aca="false">AA1198*$V1198</f>
        <v>14.7</v>
      </c>
      <c r="AN1198" s="9" t="n">
        <f aca="false">AB1198*$V1198</f>
        <v>0</v>
      </c>
      <c r="AO1198" s="9" t="n">
        <f aca="false">AC1198*$V1198</f>
        <v>0</v>
      </c>
      <c r="AP1198" s="9" t="n">
        <f aca="false">AD1198*$V1198</f>
        <v>14.7</v>
      </c>
      <c r="AQ1198" s="9" t="n">
        <f aca="false">AE1198*$V1198</f>
        <v>0</v>
      </c>
      <c r="AR1198" s="9" t="n">
        <f aca="false">AF1198*$V1198</f>
        <v>0</v>
      </c>
      <c r="AS1198" s="9" t="n">
        <f aca="false">AG1198*$V1198</f>
        <v>0</v>
      </c>
      <c r="AT1198" s="9" t="n">
        <f aca="false">AH1198*$V1198</f>
        <v>0</v>
      </c>
      <c r="AU1198" s="9" t="n">
        <f aca="false">AI1198*$V1198</f>
        <v>14.7</v>
      </c>
      <c r="AV1198" s="9" t="n">
        <f aca="false">SUM(X1198:AI1198)/1000</f>
        <v>30</v>
      </c>
      <c r="AW1198" s="9" t="n">
        <f aca="false">SUM(AJ1198:AU1198)</f>
        <v>44.1</v>
      </c>
      <c r="AX1198" s="9" t="n">
        <f aca="false">IF(D1198="INR",AW1198/88.24,AW1198)/1000000</f>
        <v>4.41E-005</v>
      </c>
    </row>
    <row r="1199" s="2" customFormat="true" ht="14.25" hidden="false" customHeight="false" outlineLevel="0" collapsed="false">
      <c r="A1199" s="12" t="s">
        <v>2299</v>
      </c>
      <c r="B1199" s="16"/>
      <c r="C1199" s="15"/>
      <c r="D1199" s="16" t="s">
        <v>102</v>
      </c>
      <c r="E1199" s="16" t="s">
        <v>51</v>
      </c>
      <c r="F1199" s="16" t="s">
        <v>52</v>
      </c>
      <c r="G1199" s="16" t="s">
        <v>2300</v>
      </c>
      <c r="H1199" s="16" t="s">
        <v>2301</v>
      </c>
      <c r="I1199" s="16" t="s">
        <v>260</v>
      </c>
      <c r="J1199" s="16" t="s">
        <v>1381</v>
      </c>
      <c r="K1199" s="16" t="s">
        <v>2301</v>
      </c>
      <c r="L1199" s="16" t="s">
        <v>260</v>
      </c>
      <c r="M1199" s="16" t="s">
        <v>1381</v>
      </c>
      <c r="N1199" s="16" t="s">
        <v>67</v>
      </c>
      <c r="O1199" s="16" t="s">
        <v>94</v>
      </c>
      <c r="P1199" s="16" t="s">
        <v>348</v>
      </c>
      <c r="Q1199" s="16" t="s">
        <v>348</v>
      </c>
      <c r="R1199" s="16" t="s">
        <v>800</v>
      </c>
      <c r="S1199" s="16" t="s">
        <v>87</v>
      </c>
      <c r="T1199" s="16" t="s">
        <v>2302</v>
      </c>
      <c r="U1199" s="16" t="s">
        <v>73</v>
      </c>
      <c r="V1199" s="16" t="n">
        <v>0.01274</v>
      </c>
      <c r="W1199" s="16" t="n">
        <v>0.00853</v>
      </c>
      <c r="X1199" s="22" t="n">
        <v>0</v>
      </c>
      <c r="Y1199" s="16" t="n">
        <v>0</v>
      </c>
      <c r="Z1199" s="16" t="n">
        <v>0</v>
      </c>
      <c r="AA1199" s="16" t="n">
        <v>0</v>
      </c>
      <c r="AB1199" s="16" t="n">
        <v>0</v>
      </c>
      <c r="AC1199" s="16" t="n">
        <v>66000</v>
      </c>
      <c r="AD1199" s="16" t="n">
        <v>0</v>
      </c>
      <c r="AE1199" s="16" t="n">
        <v>0</v>
      </c>
      <c r="AF1199" s="16" t="n">
        <v>0</v>
      </c>
      <c r="AG1199" s="16" t="n">
        <v>0</v>
      </c>
      <c r="AH1199" s="16" t="n">
        <v>0</v>
      </c>
      <c r="AI1199" s="16" t="n">
        <v>0</v>
      </c>
      <c r="AJ1199" s="9" t="n">
        <f aca="false">X1199*$V1199</f>
        <v>0</v>
      </c>
      <c r="AK1199" s="9" t="n">
        <f aca="false">Y1199*$V1199</f>
        <v>0</v>
      </c>
      <c r="AL1199" s="9" t="n">
        <f aca="false">Z1199*$V1199</f>
        <v>0</v>
      </c>
      <c r="AM1199" s="9" t="n">
        <f aca="false">AA1199*$V1199</f>
        <v>0</v>
      </c>
      <c r="AN1199" s="9" t="n">
        <f aca="false">AB1199*$V1199</f>
        <v>0</v>
      </c>
      <c r="AO1199" s="9" t="n">
        <f aca="false">AC1199*$V1199</f>
        <v>840.84</v>
      </c>
      <c r="AP1199" s="9" t="n">
        <f aca="false">AD1199*$V1199</f>
        <v>0</v>
      </c>
      <c r="AQ1199" s="9" t="n">
        <f aca="false">AE1199*$V1199</f>
        <v>0</v>
      </c>
      <c r="AR1199" s="9" t="n">
        <f aca="false">AF1199*$V1199</f>
        <v>0</v>
      </c>
      <c r="AS1199" s="9" t="n">
        <f aca="false">AG1199*$V1199</f>
        <v>0</v>
      </c>
      <c r="AT1199" s="9" t="n">
        <f aca="false">AH1199*$V1199</f>
        <v>0</v>
      </c>
      <c r="AU1199" s="9" t="n">
        <f aca="false">AI1199*$V1199</f>
        <v>0</v>
      </c>
      <c r="AV1199" s="9" t="n">
        <f aca="false">SUM(X1199:AI1199)/1000</f>
        <v>66</v>
      </c>
      <c r="AW1199" s="9" t="n">
        <f aca="false">SUM(AJ1199:AU1199)</f>
        <v>840.84</v>
      </c>
      <c r="AX1199" s="9" t="n">
        <f aca="false">IF(D1199="INR",AW1199/88.24,AW1199)/1000000</f>
        <v>0.00084084</v>
      </c>
    </row>
    <row r="1200" s="2" customFormat="true" ht="16.4" hidden="false" customHeight="false" outlineLevel="0" collapsed="false">
      <c r="A1200" s="28" t="s">
        <v>2303</v>
      </c>
      <c r="B1200" s="16"/>
      <c r="C1200" s="16"/>
      <c r="D1200" s="16" t="s">
        <v>102</v>
      </c>
      <c r="E1200" s="16" t="s">
        <v>51</v>
      </c>
      <c r="F1200" s="16" t="s">
        <v>52</v>
      </c>
      <c r="G1200" s="16" t="s">
        <v>2300</v>
      </c>
      <c r="H1200" s="16" t="s">
        <v>2301</v>
      </c>
      <c r="I1200" s="16" t="s">
        <v>260</v>
      </c>
      <c r="J1200" s="16" t="s">
        <v>1381</v>
      </c>
      <c r="K1200" s="16" t="s">
        <v>2301</v>
      </c>
      <c r="L1200" s="16" t="s">
        <v>260</v>
      </c>
      <c r="M1200" s="16" t="s">
        <v>1381</v>
      </c>
      <c r="N1200" s="16" t="s">
        <v>67</v>
      </c>
      <c r="O1200" s="16" t="s">
        <v>94</v>
      </c>
      <c r="P1200" s="16" t="s">
        <v>348</v>
      </c>
      <c r="Q1200" s="16" t="s">
        <v>348</v>
      </c>
      <c r="R1200" s="16" t="s">
        <v>800</v>
      </c>
      <c r="S1200" s="16" t="s">
        <v>87</v>
      </c>
      <c r="T1200" s="26" t="s">
        <v>2304</v>
      </c>
      <c r="U1200" s="26" t="s">
        <v>73</v>
      </c>
      <c r="V1200" s="26" t="n">
        <v>0.005096</v>
      </c>
      <c r="W1200" s="16" t="n">
        <v>0.00411</v>
      </c>
      <c r="X1200" s="16" t="n">
        <v>0</v>
      </c>
      <c r="Y1200" s="16" t="n">
        <v>0</v>
      </c>
      <c r="Z1200" s="16" t="n">
        <v>0</v>
      </c>
      <c r="AA1200" s="16" t="n">
        <v>0</v>
      </c>
      <c r="AB1200" s="16" t="n">
        <v>0</v>
      </c>
      <c r="AC1200" s="16" t="n">
        <v>20000</v>
      </c>
      <c r="AD1200" s="16" t="n">
        <v>0</v>
      </c>
      <c r="AE1200" s="16" t="n">
        <v>0</v>
      </c>
      <c r="AF1200" s="16" t="n">
        <v>0</v>
      </c>
      <c r="AG1200" s="16" t="n">
        <v>0</v>
      </c>
      <c r="AH1200" s="16" t="n">
        <v>0</v>
      </c>
      <c r="AI1200" s="16" t="n">
        <v>0</v>
      </c>
      <c r="AJ1200" s="9" t="n">
        <f aca="false">X1200*$V1200</f>
        <v>0</v>
      </c>
      <c r="AK1200" s="9" t="n">
        <f aca="false">Y1200*$V1200</f>
        <v>0</v>
      </c>
      <c r="AL1200" s="9" t="n">
        <f aca="false">Z1200*$V1200</f>
        <v>0</v>
      </c>
      <c r="AM1200" s="9" t="n">
        <f aca="false">AA1200*$V1200</f>
        <v>0</v>
      </c>
      <c r="AN1200" s="9" t="n">
        <f aca="false">AB1200*$V1200</f>
        <v>0</v>
      </c>
      <c r="AO1200" s="9" t="n">
        <f aca="false">AC1200*$V1200</f>
        <v>101.92</v>
      </c>
      <c r="AP1200" s="9" t="n">
        <f aca="false">AD1200*$V1200</f>
        <v>0</v>
      </c>
      <c r="AQ1200" s="9" t="n">
        <f aca="false">AE1200*$V1200</f>
        <v>0</v>
      </c>
      <c r="AR1200" s="9" t="n">
        <f aca="false">AF1200*$V1200</f>
        <v>0</v>
      </c>
      <c r="AS1200" s="9" t="n">
        <f aca="false">AG1200*$V1200</f>
        <v>0</v>
      </c>
      <c r="AT1200" s="9" t="n">
        <f aca="false">AH1200*$V1200</f>
        <v>0</v>
      </c>
      <c r="AU1200" s="9" t="n">
        <f aca="false">AI1200*$V1200</f>
        <v>0</v>
      </c>
      <c r="AV1200" s="9" t="n">
        <f aca="false">SUM(X1200:AI1200)/1000</f>
        <v>20</v>
      </c>
      <c r="AW1200" s="9" t="n">
        <f aca="false">SUM(AJ1200:AU1200)</f>
        <v>101.92</v>
      </c>
      <c r="AX1200" s="9" t="n">
        <f aca="false">IF(D1200="INR",AW1200/88.24,AW1200)/1000000</f>
        <v>0.00010192</v>
      </c>
    </row>
    <row r="1201" s="2" customFormat="true" ht="14.25" hidden="false" customHeight="false" outlineLevel="0" collapsed="false">
      <c r="A1201" s="12" t="s">
        <v>2305</v>
      </c>
      <c r="B1201" s="16" t="n">
        <v>5</v>
      </c>
      <c r="C1201" s="15"/>
      <c r="D1201" s="16" t="s">
        <v>50</v>
      </c>
      <c r="E1201" s="16" t="s">
        <v>51</v>
      </c>
      <c r="F1201" s="16" t="s">
        <v>356</v>
      </c>
      <c r="G1201" s="16" t="s">
        <v>1030</v>
      </c>
      <c r="H1201" s="16" t="s">
        <v>1031</v>
      </c>
      <c r="I1201" s="16" t="s">
        <v>298</v>
      </c>
      <c r="J1201" s="16" t="s">
        <v>664</v>
      </c>
      <c r="K1201" s="16"/>
      <c r="L1201" s="16" t="s">
        <v>298</v>
      </c>
      <c r="M1201" s="16" t="s">
        <v>664</v>
      </c>
      <c r="N1201" s="16" t="s">
        <v>973</v>
      </c>
      <c r="O1201" s="16" t="s">
        <v>94</v>
      </c>
      <c r="P1201" s="16" t="s">
        <v>308</v>
      </c>
      <c r="Q1201" s="16" t="s">
        <v>308</v>
      </c>
      <c r="R1201" s="16" t="s">
        <v>309</v>
      </c>
      <c r="S1201" s="16" t="s">
        <v>264</v>
      </c>
      <c r="T1201" s="16" t="s">
        <v>2306</v>
      </c>
      <c r="U1201" s="16" t="s">
        <v>73</v>
      </c>
      <c r="V1201" s="16" t="n">
        <v>1.28</v>
      </c>
      <c r="W1201" s="16" t="n">
        <v>1.15</v>
      </c>
      <c r="X1201" s="22" t="n">
        <v>100000</v>
      </c>
      <c r="Y1201" s="22"/>
      <c r="Z1201" s="22"/>
      <c r="AA1201" s="22" t="n">
        <v>100000</v>
      </c>
      <c r="AB1201" s="22"/>
      <c r="AC1201" s="22"/>
      <c r="AD1201" s="22" t="n">
        <v>100000</v>
      </c>
      <c r="AE1201" s="22"/>
      <c r="AF1201" s="22"/>
      <c r="AG1201" s="22"/>
      <c r="AH1201" s="22" t="n">
        <v>100000</v>
      </c>
      <c r="AI1201" s="22"/>
      <c r="AJ1201" s="9" t="n">
        <f aca="false">X1201*$V1201</f>
        <v>128000</v>
      </c>
      <c r="AK1201" s="9" t="n">
        <f aca="false">Y1201*$V1201</f>
        <v>0</v>
      </c>
      <c r="AL1201" s="9" t="n">
        <f aca="false">Z1201*$V1201</f>
        <v>0</v>
      </c>
      <c r="AM1201" s="9" t="n">
        <f aca="false">AA1201*$V1201</f>
        <v>128000</v>
      </c>
      <c r="AN1201" s="9" t="n">
        <f aca="false">AB1201*$V1201</f>
        <v>0</v>
      </c>
      <c r="AO1201" s="9" t="n">
        <f aca="false">AC1201*$V1201</f>
        <v>0</v>
      </c>
      <c r="AP1201" s="9" t="n">
        <f aca="false">AD1201*$V1201</f>
        <v>128000</v>
      </c>
      <c r="AQ1201" s="9" t="n">
        <f aca="false">AE1201*$V1201</f>
        <v>0</v>
      </c>
      <c r="AR1201" s="9" t="n">
        <f aca="false">AF1201*$V1201</f>
        <v>0</v>
      </c>
      <c r="AS1201" s="9" t="n">
        <f aca="false">AG1201*$V1201</f>
        <v>0</v>
      </c>
      <c r="AT1201" s="9" t="n">
        <f aca="false">AH1201*$V1201</f>
        <v>128000</v>
      </c>
      <c r="AU1201" s="9" t="n">
        <f aca="false">AI1201*$V1201</f>
        <v>0</v>
      </c>
      <c r="AV1201" s="9" t="n">
        <f aca="false">SUM(X1201:AI1201)/1000</f>
        <v>400</v>
      </c>
      <c r="AW1201" s="9" t="n">
        <f aca="false">SUM(AJ1201:AU1201)</f>
        <v>512000</v>
      </c>
      <c r="AX1201" s="9" t="n">
        <f aca="false">IF(D1201="INR",AW1201/88.24,AW1201)/1000000</f>
        <v>0.00580235720761559</v>
      </c>
    </row>
    <row r="1202" s="2" customFormat="true" ht="14.25" hidden="false" customHeight="false" outlineLevel="0" collapsed="false">
      <c r="A1202" s="12" t="s">
        <v>2307</v>
      </c>
      <c r="B1202" s="16" t="n">
        <v>5</v>
      </c>
      <c r="C1202" s="15"/>
      <c r="D1202" s="16" t="s">
        <v>50</v>
      </c>
      <c r="E1202" s="16" t="s">
        <v>51</v>
      </c>
      <c r="F1202" s="16" t="s">
        <v>52</v>
      </c>
      <c r="G1202" s="16" t="s">
        <v>2308</v>
      </c>
      <c r="H1202" s="16" t="s">
        <v>2309</v>
      </c>
      <c r="I1202" s="16" t="s">
        <v>105</v>
      </c>
      <c r="J1202" s="16" t="s">
        <v>106</v>
      </c>
      <c r="K1202" s="16"/>
      <c r="L1202" s="16" t="s">
        <v>105</v>
      </c>
      <c r="M1202" s="16" t="s">
        <v>106</v>
      </c>
      <c r="N1202" s="16" t="s">
        <v>57</v>
      </c>
      <c r="O1202" s="16" t="s">
        <v>58</v>
      </c>
      <c r="P1202" s="16" t="s">
        <v>329</v>
      </c>
      <c r="Q1202" s="16" t="s">
        <v>329</v>
      </c>
      <c r="R1202" s="16" t="s">
        <v>330</v>
      </c>
      <c r="S1202" s="16" t="s">
        <v>272</v>
      </c>
      <c r="T1202" s="16" t="s">
        <v>331</v>
      </c>
      <c r="U1202" s="16" t="s">
        <v>63</v>
      </c>
      <c r="V1202" s="16" t="n">
        <v>75</v>
      </c>
      <c r="W1202" s="16" t="n">
        <v>58</v>
      </c>
      <c r="X1202" s="16"/>
      <c r="Y1202" s="16"/>
      <c r="Z1202" s="16"/>
      <c r="AA1202" s="16"/>
      <c r="AB1202" s="16"/>
      <c r="AC1202" s="16"/>
      <c r="AD1202" s="16"/>
      <c r="AE1202" s="16"/>
      <c r="AF1202" s="16" t="n">
        <v>2000</v>
      </c>
      <c r="AG1202" s="16"/>
      <c r="AH1202" s="16"/>
      <c r="AI1202" s="16"/>
      <c r="AJ1202" s="9" t="n">
        <f aca="false">X1202*$V1202</f>
        <v>0</v>
      </c>
      <c r="AK1202" s="9" t="n">
        <f aca="false">Y1202*$V1202</f>
        <v>0</v>
      </c>
      <c r="AL1202" s="9" t="n">
        <f aca="false">Z1202*$V1202</f>
        <v>0</v>
      </c>
      <c r="AM1202" s="9" t="n">
        <f aca="false">AA1202*$V1202</f>
        <v>0</v>
      </c>
      <c r="AN1202" s="9" t="n">
        <f aca="false">AB1202*$V1202</f>
        <v>0</v>
      </c>
      <c r="AO1202" s="9" t="n">
        <f aca="false">AC1202*$V1202</f>
        <v>0</v>
      </c>
      <c r="AP1202" s="9" t="n">
        <f aca="false">AD1202*$V1202</f>
        <v>0</v>
      </c>
      <c r="AQ1202" s="9" t="n">
        <f aca="false">AE1202*$V1202</f>
        <v>0</v>
      </c>
      <c r="AR1202" s="9" t="n">
        <f aca="false">AF1202*$V1202</f>
        <v>150000</v>
      </c>
      <c r="AS1202" s="9" t="n">
        <f aca="false">AG1202*$V1202</f>
        <v>0</v>
      </c>
      <c r="AT1202" s="9" t="n">
        <f aca="false">AH1202*$V1202</f>
        <v>0</v>
      </c>
      <c r="AU1202" s="9" t="n">
        <f aca="false">AI1202*$V1202</f>
        <v>0</v>
      </c>
      <c r="AV1202" s="9" t="n">
        <f aca="false">SUM(X1202:AI1202)/1000</f>
        <v>2</v>
      </c>
      <c r="AW1202" s="9" t="n">
        <f aca="false">SUM(AJ1202:AU1202)</f>
        <v>150000</v>
      </c>
      <c r="AX1202" s="9" t="n">
        <f aca="false">IF(D1202="INR",AW1202/88.24,AW1202)/1000000</f>
        <v>0.00169990933816863</v>
      </c>
      <c r="AY1202" s="27"/>
    </row>
    <row r="1203" s="2" customFormat="true" ht="14.25" hidden="false" customHeight="false" outlineLevel="0" collapsed="false">
      <c r="A1203" s="12"/>
      <c r="B1203" s="16" t="n">
        <v>5</v>
      </c>
      <c r="C1203" s="15"/>
      <c r="D1203" s="16" t="s">
        <v>50</v>
      </c>
      <c r="E1203" s="16" t="s">
        <v>51</v>
      </c>
      <c r="F1203" s="16" t="s">
        <v>404</v>
      </c>
      <c r="G1203" s="16"/>
      <c r="H1203" s="16" t="s">
        <v>2310</v>
      </c>
      <c r="I1203" s="16" t="s">
        <v>105</v>
      </c>
      <c r="J1203" s="16" t="s">
        <v>368</v>
      </c>
      <c r="K1203" s="16"/>
      <c r="L1203" s="16" t="s">
        <v>105</v>
      </c>
      <c r="M1203" s="16" t="s">
        <v>368</v>
      </c>
      <c r="N1203" s="16" t="s">
        <v>271</v>
      </c>
      <c r="O1203" s="16" t="s">
        <v>94</v>
      </c>
      <c r="P1203" s="16" t="s">
        <v>69</v>
      </c>
      <c r="Q1203" s="16" t="s">
        <v>69</v>
      </c>
      <c r="R1203" s="16" t="s">
        <v>2311</v>
      </c>
      <c r="S1203" s="16" t="s">
        <v>272</v>
      </c>
      <c r="T1203" s="16" t="s">
        <v>2312</v>
      </c>
      <c r="U1203" s="16"/>
      <c r="V1203" s="16" t="n">
        <v>30</v>
      </c>
      <c r="W1203" s="16"/>
      <c r="X1203" s="22"/>
      <c r="Y1203" s="16"/>
      <c r="Z1203" s="16"/>
      <c r="AA1203" s="16" t="n">
        <v>2000</v>
      </c>
      <c r="AB1203" s="16"/>
      <c r="AC1203" s="16"/>
      <c r="AD1203" s="16" t="n">
        <v>3000</v>
      </c>
      <c r="AE1203" s="16"/>
      <c r="AF1203" s="16"/>
      <c r="AG1203" s="16" t="n">
        <v>2000</v>
      </c>
      <c r="AH1203" s="16"/>
      <c r="AI1203" s="16" t="n">
        <v>3000</v>
      </c>
      <c r="AJ1203" s="9" t="n">
        <f aca="false">X1203*$V1203</f>
        <v>0</v>
      </c>
      <c r="AK1203" s="9" t="n">
        <f aca="false">Y1203*$V1203</f>
        <v>0</v>
      </c>
      <c r="AL1203" s="9" t="n">
        <f aca="false">Z1203*$V1203</f>
        <v>0</v>
      </c>
      <c r="AM1203" s="9" t="n">
        <f aca="false">AA1203*$V1203</f>
        <v>60000</v>
      </c>
      <c r="AN1203" s="9" t="n">
        <f aca="false">AB1203*$V1203</f>
        <v>0</v>
      </c>
      <c r="AO1203" s="9" t="n">
        <f aca="false">AC1203*$V1203</f>
        <v>0</v>
      </c>
      <c r="AP1203" s="9" t="n">
        <f aca="false">AD1203*$V1203</f>
        <v>90000</v>
      </c>
      <c r="AQ1203" s="9" t="n">
        <f aca="false">AE1203*$V1203</f>
        <v>0</v>
      </c>
      <c r="AR1203" s="9" t="n">
        <f aca="false">AF1203*$V1203</f>
        <v>0</v>
      </c>
      <c r="AS1203" s="9" t="n">
        <f aca="false">AG1203*$V1203</f>
        <v>60000</v>
      </c>
      <c r="AT1203" s="9" t="n">
        <f aca="false">AH1203*$V1203</f>
        <v>0</v>
      </c>
      <c r="AU1203" s="9" t="n">
        <f aca="false">AI1203*$V1203</f>
        <v>90000</v>
      </c>
      <c r="AV1203" s="9" t="n">
        <f aca="false">SUM(X1203:AI1203)/1000</f>
        <v>10</v>
      </c>
      <c r="AW1203" s="9" t="n">
        <f aca="false">SUM(AJ1203:AU1203)</f>
        <v>300000</v>
      </c>
      <c r="AX1203" s="9" t="n">
        <f aca="false">IF(D1203="INR",AW1203/88.24,AW1203)/1000000</f>
        <v>0.00339981867633726</v>
      </c>
    </row>
    <row r="1204" s="2" customFormat="true" ht="14.25" hidden="false" customHeight="false" outlineLevel="0" collapsed="false">
      <c r="A1204" s="12" t="s">
        <v>2313</v>
      </c>
      <c r="B1204" s="16"/>
      <c r="C1204" s="15"/>
      <c r="D1204" s="16" t="s">
        <v>50</v>
      </c>
      <c r="E1204" s="16" t="s">
        <v>51</v>
      </c>
      <c r="F1204" s="16" t="s">
        <v>243</v>
      </c>
      <c r="G1204" s="16" t="s">
        <v>318</v>
      </c>
      <c r="H1204" s="16" t="s">
        <v>319</v>
      </c>
      <c r="I1204" s="16" t="s">
        <v>55</v>
      </c>
      <c r="J1204" s="16" t="s">
        <v>56</v>
      </c>
      <c r="K1204" s="16"/>
      <c r="L1204" s="16" t="s">
        <v>55</v>
      </c>
      <c r="M1204" s="16" t="s">
        <v>56</v>
      </c>
      <c r="N1204" s="16" t="s">
        <v>93</v>
      </c>
      <c r="O1204" s="16" t="s">
        <v>68</v>
      </c>
      <c r="P1204" s="16" t="s">
        <v>308</v>
      </c>
      <c r="Q1204" s="16" t="s">
        <v>308</v>
      </c>
      <c r="R1204" s="16" t="s">
        <v>309</v>
      </c>
      <c r="S1204" s="16" t="s">
        <v>264</v>
      </c>
      <c r="T1204" s="16" t="s">
        <v>1018</v>
      </c>
      <c r="U1204" s="16" t="s">
        <v>73</v>
      </c>
      <c r="V1204" s="16" t="n">
        <v>0.98</v>
      </c>
      <c r="W1204" s="16" t="n">
        <v>0.87</v>
      </c>
      <c r="X1204" s="22" t="n">
        <v>100000</v>
      </c>
      <c r="Y1204" s="22"/>
      <c r="Z1204" s="22"/>
      <c r="AA1204" s="22"/>
      <c r="AB1204" s="22" t="n">
        <v>100000</v>
      </c>
      <c r="AC1204" s="22"/>
      <c r="AD1204" s="22"/>
      <c r="AE1204" s="22" t="n">
        <v>100000</v>
      </c>
      <c r="AF1204" s="22"/>
      <c r="AG1204" s="22"/>
      <c r="AH1204" s="22" t="n">
        <v>100000</v>
      </c>
      <c r="AI1204" s="22"/>
      <c r="AJ1204" s="9" t="n">
        <f aca="false">X1204*$V1204</f>
        <v>98000</v>
      </c>
      <c r="AK1204" s="9" t="n">
        <f aca="false">Y1204*$V1204</f>
        <v>0</v>
      </c>
      <c r="AL1204" s="9" t="n">
        <f aca="false">Z1204*$V1204</f>
        <v>0</v>
      </c>
      <c r="AM1204" s="9" t="n">
        <f aca="false">AA1204*$V1204</f>
        <v>0</v>
      </c>
      <c r="AN1204" s="9" t="n">
        <f aca="false">AB1204*$V1204</f>
        <v>98000</v>
      </c>
      <c r="AO1204" s="9" t="n">
        <f aca="false">AC1204*$V1204</f>
        <v>0</v>
      </c>
      <c r="AP1204" s="9" t="n">
        <f aca="false">AD1204*$V1204</f>
        <v>0</v>
      </c>
      <c r="AQ1204" s="9" t="n">
        <f aca="false">AE1204*$V1204</f>
        <v>98000</v>
      </c>
      <c r="AR1204" s="9" t="n">
        <f aca="false">AF1204*$V1204</f>
        <v>0</v>
      </c>
      <c r="AS1204" s="9" t="n">
        <f aca="false">AG1204*$V1204</f>
        <v>0</v>
      </c>
      <c r="AT1204" s="9" t="n">
        <f aca="false">AH1204*$V1204</f>
        <v>98000</v>
      </c>
      <c r="AU1204" s="9" t="n">
        <f aca="false">AI1204*$V1204</f>
        <v>0</v>
      </c>
      <c r="AV1204" s="9" t="n">
        <f aca="false">SUM(X1204:AI1204)/1000</f>
        <v>400</v>
      </c>
      <c r="AW1204" s="9" t="n">
        <f aca="false">SUM(AJ1204:AU1204)</f>
        <v>392000</v>
      </c>
      <c r="AX1204" s="9" t="n">
        <f aca="false">IF(D1204="INR",AW1204/88.24,AW1204)/1000000</f>
        <v>0.00444242973708069</v>
      </c>
    </row>
    <row r="1205" s="2" customFormat="true" ht="16.4" hidden="false" customHeight="false" outlineLevel="0" collapsed="false">
      <c r="A1205" s="28" t="s">
        <v>2314</v>
      </c>
      <c r="B1205" s="16"/>
      <c r="C1205" s="16"/>
      <c r="D1205" s="16" t="s">
        <v>50</v>
      </c>
      <c r="E1205" s="16" t="s">
        <v>51</v>
      </c>
      <c r="F1205" s="16" t="s">
        <v>243</v>
      </c>
      <c r="G1205" s="16" t="s">
        <v>318</v>
      </c>
      <c r="H1205" s="16" t="s">
        <v>319</v>
      </c>
      <c r="I1205" s="16" t="s">
        <v>55</v>
      </c>
      <c r="J1205" s="16" t="s">
        <v>56</v>
      </c>
      <c r="K1205" s="16"/>
      <c r="L1205" s="16" t="s">
        <v>55</v>
      </c>
      <c r="M1205" s="16" t="s">
        <v>56</v>
      </c>
      <c r="N1205" s="16" t="s">
        <v>93</v>
      </c>
      <c r="O1205" s="16" t="s">
        <v>68</v>
      </c>
      <c r="P1205" s="16" t="s">
        <v>308</v>
      </c>
      <c r="Q1205" s="16" t="s">
        <v>308</v>
      </c>
      <c r="R1205" s="16" t="s">
        <v>309</v>
      </c>
      <c r="S1205" s="16" t="s">
        <v>264</v>
      </c>
      <c r="T1205" s="16" t="s">
        <v>1860</v>
      </c>
      <c r="U1205" s="16" t="s">
        <v>73</v>
      </c>
      <c r="V1205" s="16" t="n">
        <v>0.5</v>
      </c>
      <c r="W1205" s="26" t="n">
        <v>0.35</v>
      </c>
      <c r="X1205" s="16"/>
      <c r="Y1205" s="16" t="n">
        <v>3000</v>
      </c>
      <c r="Z1205" s="16"/>
      <c r="AA1205" s="16"/>
      <c r="AB1205" s="16" t="n">
        <v>3000</v>
      </c>
      <c r="AC1205" s="16"/>
      <c r="AD1205" s="16"/>
      <c r="AE1205" s="16" t="n">
        <v>3000</v>
      </c>
      <c r="AF1205" s="16"/>
      <c r="AG1205" s="16"/>
      <c r="AH1205" s="16" t="n">
        <v>3000</v>
      </c>
      <c r="AI1205" s="16"/>
      <c r="AJ1205" s="9" t="n">
        <f aca="false">X1205*$V1205</f>
        <v>0</v>
      </c>
      <c r="AK1205" s="9" t="n">
        <f aca="false">Y1205*$V1205</f>
        <v>1500</v>
      </c>
      <c r="AL1205" s="9" t="n">
        <f aca="false">Z1205*$V1205</f>
        <v>0</v>
      </c>
      <c r="AM1205" s="9" t="n">
        <f aca="false">AA1205*$V1205</f>
        <v>0</v>
      </c>
      <c r="AN1205" s="9" t="n">
        <f aca="false">AB1205*$V1205</f>
        <v>1500</v>
      </c>
      <c r="AO1205" s="9" t="n">
        <f aca="false">AC1205*$V1205</f>
        <v>0</v>
      </c>
      <c r="AP1205" s="9" t="n">
        <f aca="false">AD1205*$V1205</f>
        <v>0</v>
      </c>
      <c r="AQ1205" s="9" t="n">
        <f aca="false">AE1205*$V1205</f>
        <v>1500</v>
      </c>
      <c r="AR1205" s="9" t="n">
        <f aca="false">AF1205*$V1205</f>
        <v>0</v>
      </c>
      <c r="AS1205" s="9" t="n">
        <f aca="false">AG1205*$V1205</f>
        <v>0</v>
      </c>
      <c r="AT1205" s="9" t="n">
        <f aca="false">AH1205*$V1205</f>
        <v>1500</v>
      </c>
      <c r="AU1205" s="9" t="n">
        <f aca="false">AI1205*$V1205</f>
        <v>0</v>
      </c>
      <c r="AV1205" s="9" t="n">
        <f aca="false">SUM(X1205:AI1205)/1000</f>
        <v>12</v>
      </c>
      <c r="AW1205" s="9" t="n">
        <f aca="false">SUM(AJ1205:AU1205)</f>
        <v>6000</v>
      </c>
      <c r="AX1205" s="9" t="n">
        <f aca="false">IF(D1205="INR",AW1205/88.24,AW1205)/1000000</f>
        <v>6.79963735267453E-005</v>
      </c>
    </row>
    <row r="1206" s="2" customFormat="true" ht="14.25" hidden="false" customHeight="false" outlineLevel="0" collapsed="false">
      <c r="A1206" s="12" t="s">
        <v>2315</v>
      </c>
      <c r="B1206" s="16" t="n">
        <v>5</v>
      </c>
      <c r="C1206" s="15"/>
      <c r="D1206" s="16" t="s">
        <v>50</v>
      </c>
      <c r="E1206" s="16" t="s">
        <v>51</v>
      </c>
      <c r="F1206" s="16" t="s">
        <v>243</v>
      </c>
      <c r="G1206" s="16" t="s">
        <v>485</v>
      </c>
      <c r="H1206" s="16" t="s">
        <v>486</v>
      </c>
      <c r="I1206" s="16" t="s">
        <v>55</v>
      </c>
      <c r="J1206" s="16" t="s">
        <v>56</v>
      </c>
      <c r="K1206" s="16"/>
      <c r="L1206" s="16" t="s">
        <v>55</v>
      </c>
      <c r="M1206" s="16" t="s">
        <v>56</v>
      </c>
      <c r="N1206" s="16" t="s">
        <v>93</v>
      </c>
      <c r="O1206" s="16" t="s">
        <v>68</v>
      </c>
      <c r="P1206" s="16" t="s">
        <v>308</v>
      </c>
      <c r="Q1206" s="16" t="s">
        <v>308</v>
      </c>
      <c r="R1206" s="16" t="s">
        <v>309</v>
      </c>
      <c r="S1206" s="16" t="s">
        <v>264</v>
      </c>
      <c r="T1206" s="16" t="s">
        <v>1305</v>
      </c>
      <c r="U1206" s="16" t="s">
        <v>73</v>
      </c>
      <c r="V1206" s="16" t="n">
        <v>2.6</v>
      </c>
      <c r="W1206" s="16" t="n">
        <v>2.4</v>
      </c>
      <c r="X1206" s="22"/>
      <c r="Y1206" s="16"/>
      <c r="Z1206" s="16"/>
      <c r="AA1206" s="16"/>
      <c r="AB1206" s="16"/>
      <c r="AC1206" s="16" t="n">
        <v>60000</v>
      </c>
      <c r="AD1206" s="16"/>
      <c r="AE1206" s="16"/>
      <c r="AF1206" s="16"/>
      <c r="AG1206" s="16"/>
      <c r="AH1206" s="16"/>
      <c r="AI1206" s="16" t="n">
        <v>60000</v>
      </c>
      <c r="AJ1206" s="9" t="n">
        <f aca="false">X1206*$V1206</f>
        <v>0</v>
      </c>
      <c r="AK1206" s="9" t="n">
        <f aca="false">Y1206*$V1206</f>
        <v>0</v>
      </c>
      <c r="AL1206" s="9" t="n">
        <f aca="false">Z1206*$V1206</f>
        <v>0</v>
      </c>
      <c r="AM1206" s="9" t="n">
        <f aca="false">AA1206*$V1206</f>
        <v>0</v>
      </c>
      <c r="AN1206" s="9" t="n">
        <f aca="false">AB1206*$V1206</f>
        <v>0</v>
      </c>
      <c r="AO1206" s="9" t="n">
        <f aca="false">AC1206*$V1206</f>
        <v>156000</v>
      </c>
      <c r="AP1206" s="9" t="n">
        <f aca="false">AD1206*$V1206</f>
        <v>0</v>
      </c>
      <c r="AQ1206" s="9" t="n">
        <f aca="false">AE1206*$V1206</f>
        <v>0</v>
      </c>
      <c r="AR1206" s="9" t="n">
        <f aca="false">AF1206*$V1206</f>
        <v>0</v>
      </c>
      <c r="AS1206" s="9" t="n">
        <f aca="false">AG1206*$V1206</f>
        <v>0</v>
      </c>
      <c r="AT1206" s="9" t="n">
        <f aca="false">AH1206*$V1206</f>
        <v>0</v>
      </c>
      <c r="AU1206" s="9" t="n">
        <f aca="false">AI1206*$V1206</f>
        <v>156000</v>
      </c>
      <c r="AV1206" s="9" t="n">
        <f aca="false">SUM(X1206:AI1206)/1000</f>
        <v>120</v>
      </c>
      <c r="AW1206" s="9" t="n">
        <f aca="false">SUM(AJ1206:AU1206)</f>
        <v>312000</v>
      </c>
      <c r="AX1206" s="9" t="n">
        <f aca="false">IF(D1206="INR",AW1206/88.24,AW1206)/1000000</f>
        <v>0.00353581142339075</v>
      </c>
    </row>
    <row r="1207" s="2" customFormat="true" ht="16.4" hidden="false" customHeight="false" outlineLevel="0" collapsed="false">
      <c r="A1207" s="28" t="s">
        <v>2316</v>
      </c>
      <c r="B1207" s="16"/>
      <c r="C1207" s="16"/>
      <c r="D1207" s="16" t="s">
        <v>50</v>
      </c>
      <c r="E1207" s="16" t="s">
        <v>51</v>
      </c>
      <c r="F1207" s="16" t="s">
        <v>243</v>
      </c>
      <c r="G1207" s="16" t="s">
        <v>485</v>
      </c>
      <c r="H1207" s="16" t="s">
        <v>486</v>
      </c>
      <c r="I1207" s="16" t="s">
        <v>55</v>
      </c>
      <c r="J1207" s="16" t="s">
        <v>56</v>
      </c>
      <c r="K1207" s="16"/>
      <c r="L1207" s="16" t="s">
        <v>55</v>
      </c>
      <c r="M1207" s="16" t="s">
        <v>56</v>
      </c>
      <c r="N1207" s="16" t="s">
        <v>93</v>
      </c>
      <c r="O1207" s="16" t="s">
        <v>68</v>
      </c>
      <c r="P1207" s="16" t="s">
        <v>308</v>
      </c>
      <c r="Q1207" s="16" t="s">
        <v>308</v>
      </c>
      <c r="R1207" s="16" t="s">
        <v>309</v>
      </c>
      <c r="S1207" s="16" t="s">
        <v>264</v>
      </c>
      <c r="T1207" s="16" t="s">
        <v>2317</v>
      </c>
      <c r="U1207" s="16" t="s">
        <v>73</v>
      </c>
      <c r="V1207" s="16" t="n">
        <v>1.89</v>
      </c>
      <c r="W1207" s="16" t="n">
        <v>1.64</v>
      </c>
      <c r="X1207" s="16"/>
      <c r="Y1207" s="16" t="n">
        <v>15000</v>
      </c>
      <c r="Z1207" s="26"/>
      <c r="AA1207" s="16"/>
      <c r="AB1207" s="16" t="n">
        <v>15000</v>
      </c>
      <c r="AC1207" s="16"/>
      <c r="AD1207" s="16"/>
      <c r="AE1207" s="16" t="n">
        <v>15000</v>
      </c>
      <c r="AF1207" s="16"/>
      <c r="AG1207" s="16"/>
      <c r="AH1207" s="16" t="n">
        <v>15000</v>
      </c>
      <c r="AI1207" s="16"/>
      <c r="AJ1207" s="9" t="n">
        <f aca="false">X1207*$V1207</f>
        <v>0</v>
      </c>
      <c r="AK1207" s="9" t="n">
        <f aca="false">Y1207*$V1207</f>
        <v>28350</v>
      </c>
      <c r="AL1207" s="9" t="n">
        <f aca="false">Z1207*$V1207</f>
        <v>0</v>
      </c>
      <c r="AM1207" s="9" t="n">
        <f aca="false">AA1207*$V1207</f>
        <v>0</v>
      </c>
      <c r="AN1207" s="9" t="n">
        <f aca="false">AB1207*$V1207</f>
        <v>28350</v>
      </c>
      <c r="AO1207" s="9" t="n">
        <f aca="false">AC1207*$V1207</f>
        <v>0</v>
      </c>
      <c r="AP1207" s="9" t="n">
        <f aca="false">AD1207*$V1207</f>
        <v>0</v>
      </c>
      <c r="AQ1207" s="9" t="n">
        <f aca="false">AE1207*$V1207</f>
        <v>28350</v>
      </c>
      <c r="AR1207" s="9" t="n">
        <f aca="false">AF1207*$V1207</f>
        <v>0</v>
      </c>
      <c r="AS1207" s="9" t="n">
        <f aca="false">AG1207*$V1207</f>
        <v>0</v>
      </c>
      <c r="AT1207" s="9" t="n">
        <f aca="false">AH1207*$V1207</f>
        <v>28350</v>
      </c>
      <c r="AU1207" s="9" t="n">
        <f aca="false">AI1207*$V1207</f>
        <v>0</v>
      </c>
      <c r="AV1207" s="9" t="n">
        <f aca="false">SUM(X1207:AI1207)/1000</f>
        <v>60</v>
      </c>
      <c r="AW1207" s="9" t="n">
        <f aca="false">SUM(AJ1207:AU1207)</f>
        <v>113400</v>
      </c>
      <c r="AX1207" s="9" t="n">
        <f aca="false">IF(D1207="INR",AW1207/88.24,AW1207)/1000000</f>
        <v>0.00128513145965549</v>
      </c>
    </row>
    <row r="1208" s="2" customFormat="true" ht="16.4" hidden="false" customHeight="false" outlineLevel="0" collapsed="false">
      <c r="A1208" s="28" t="s">
        <v>2318</v>
      </c>
      <c r="B1208" s="16"/>
      <c r="C1208" s="16"/>
      <c r="D1208" s="16" t="s">
        <v>50</v>
      </c>
      <c r="E1208" s="16" t="s">
        <v>51</v>
      </c>
      <c r="F1208" s="16" t="s">
        <v>243</v>
      </c>
      <c r="G1208" s="16" t="s">
        <v>485</v>
      </c>
      <c r="H1208" s="16" t="s">
        <v>486</v>
      </c>
      <c r="I1208" s="16" t="s">
        <v>55</v>
      </c>
      <c r="J1208" s="16" t="s">
        <v>56</v>
      </c>
      <c r="K1208" s="16"/>
      <c r="L1208" s="16" t="s">
        <v>55</v>
      </c>
      <c r="M1208" s="16" t="s">
        <v>56</v>
      </c>
      <c r="N1208" s="16" t="s">
        <v>93</v>
      </c>
      <c r="O1208" s="16" t="s">
        <v>68</v>
      </c>
      <c r="P1208" s="16" t="s">
        <v>308</v>
      </c>
      <c r="Q1208" s="16" t="s">
        <v>308</v>
      </c>
      <c r="R1208" s="16" t="s">
        <v>309</v>
      </c>
      <c r="S1208" s="16" t="s">
        <v>264</v>
      </c>
      <c r="T1208" s="26" t="s">
        <v>1860</v>
      </c>
      <c r="U1208" s="16" t="s">
        <v>73</v>
      </c>
      <c r="V1208" s="16" t="n">
        <v>0.5</v>
      </c>
      <c r="W1208" s="16" t="n">
        <v>0.35</v>
      </c>
      <c r="X1208" s="16"/>
      <c r="Y1208" s="16" t="n">
        <v>1500</v>
      </c>
      <c r="Z1208" s="16"/>
      <c r="AA1208" s="16"/>
      <c r="AB1208" s="16" t="n">
        <v>1500</v>
      </c>
      <c r="AC1208" s="16"/>
      <c r="AD1208" s="16"/>
      <c r="AE1208" s="16" t="n">
        <v>1500</v>
      </c>
      <c r="AF1208" s="16"/>
      <c r="AG1208" s="16"/>
      <c r="AH1208" s="16" t="n">
        <v>1500</v>
      </c>
      <c r="AI1208" s="16"/>
      <c r="AJ1208" s="9" t="n">
        <f aca="false">X1208*$V1208</f>
        <v>0</v>
      </c>
      <c r="AK1208" s="9" t="n">
        <f aca="false">Y1208*$V1208</f>
        <v>750</v>
      </c>
      <c r="AL1208" s="9" t="n">
        <f aca="false">Z1208*$V1208</f>
        <v>0</v>
      </c>
      <c r="AM1208" s="9" t="n">
        <f aca="false">AA1208*$V1208</f>
        <v>0</v>
      </c>
      <c r="AN1208" s="9" t="n">
        <f aca="false">AB1208*$V1208</f>
        <v>750</v>
      </c>
      <c r="AO1208" s="9" t="n">
        <f aca="false">AC1208*$V1208</f>
        <v>0</v>
      </c>
      <c r="AP1208" s="9" t="n">
        <f aca="false">AD1208*$V1208</f>
        <v>0</v>
      </c>
      <c r="AQ1208" s="9" t="n">
        <f aca="false">AE1208*$V1208</f>
        <v>750</v>
      </c>
      <c r="AR1208" s="9" t="n">
        <f aca="false">AF1208*$V1208</f>
        <v>0</v>
      </c>
      <c r="AS1208" s="9" t="n">
        <f aca="false">AG1208*$V1208</f>
        <v>0</v>
      </c>
      <c r="AT1208" s="9" t="n">
        <f aca="false">AH1208*$V1208</f>
        <v>750</v>
      </c>
      <c r="AU1208" s="9" t="n">
        <f aca="false">AI1208*$V1208</f>
        <v>0</v>
      </c>
      <c r="AV1208" s="9" t="n">
        <f aca="false">SUM(X1208:AI1208)/1000</f>
        <v>6</v>
      </c>
      <c r="AW1208" s="9" t="n">
        <f aca="false">SUM(AJ1208:AU1208)</f>
        <v>3000</v>
      </c>
      <c r="AX1208" s="9" t="n">
        <f aca="false">IF(D1208="INR",AW1208/88.24,AW1208)/1000000</f>
        <v>3.39981867633726E-005</v>
      </c>
    </row>
    <row r="1209" s="2" customFormat="true" ht="14.25" hidden="false" customHeight="false" outlineLevel="0" collapsed="false">
      <c r="A1209" s="12" t="s">
        <v>2319</v>
      </c>
      <c r="B1209" s="9" t="n">
        <v>5</v>
      </c>
      <c r="C1209" s="10"/>
      <c r="D1209" s="9" t="s">
        <v>50</v>
      </c>
      <c r="E1209" s="9" t="s">
        <v>51</v>
      </c>
      <c r="F1209" s="9" t="s">
        <v>52</v>
      </c>
      <c r="G1209" s="9" t="s">
        <v>2320</v>
      </c>
      <c r="H1209" s="9" t="s">
        <v>2321</v>
      </c>
      <c r="I1209" s="9" t="s">
        <v>105</v>
      </c>
      <c r="J1209" s="9" t="s">
        <v>766</v>
      </c>
      <c r="K1209" s="9" t="s">
        <v>2321</v>
      </c>
      <c r="L1209" s="9" t="s">
        <v>105</v>
      </c>
      <c r="M1209" s="9" t="s">
        <v>766</v>
      </c>
      <c r="N1209" s="9" t="s">
        <v>57</v>
      </c>
      <c r="O1209" s="9" t="s">
        <v>246</v>
      </c>
      <c r="P1209" s="9" t="s">
        <v>2322</v>
      </c>
      <c r="Q1209" s="9" t="s">
        <v>2322</v>
      </c>
      <c r="R1209" s="9" t="s">
        <v>800</v>
      </c>
      <c r="S1209" s="9" t="s">
        <v>1148</v>
      </c>
      <c r="T1209" s="9" t="s">
        <v>2323</v>
      </c>
      <c r="U1209" s="9" t="s">
        <v>73</v>
      </c>
      <c r="V1209" s="9" t="n">
        <v>18.23</v>
      </c>
      <c r="W1209" s="9" t="n">
        <v>0.135</v>
      </c>
      <c r="X1209" s="54" t="n">
        <v>1500</v>
      </c>
      <c r="Y1209" s="54"/>
      <c r="Z1209" s="54"/>
      <c r="AA1209" s="54" t="n">
        <v>0</v>
      </c>
      <c r="AB1209" s="54" t="n">
        <v>0</v>
      </c>
      <c r="AC1209" s="54" t="n">
        <v>0</v>
      </c>
      <c r="AD1209" s="54" t="n">
        <v>1500</v>
      </c>
      <c r="AE1209" s="54" t="n">
        <v>0</v>
      </c>
      <c r="AF1209" s="54" t="n">
        <v>0</v>
      </c>
      <c r="AG1209" s="54" t="n">
        <v>0</v>
      </c>
      <c r="AH1209" s="54"/>
      <c r="AI1209" s="54" t="n">
        <v>1500</v>
      </c>
      <c r="AJ1209" s="9" t="n">
        <f aca="false">X1209*$V1209</f>
        <v>27345</v>
      </c>
      <c r="AK1209" s="9" t="n">
        <f aca="false">Y1209*$V1209</f>
        <v>0</v>
      </c>
      <c r="AL1209" s="9" t="n">
        <f aca="false">Z1209*$V1209</f>
        <v>0</v>
      </c>
      <c r="AM1209" s="9" t="n">
        <f aca="false">AA1209*$V1209</f>
        <v>0</v>
      </c>
      <c r="AN1209" s="9" t="n">
        <f aca="false">AB1209*$V1209</f>
        <v>0</v>
      </c>
      <c r="AO1209" s="9" t="n">
        <f aca="false">AC1209*$V1209</f>
        <v>0</v>
      </c>
      <c r="AP1209" s="9" t="n">
        <f aca="false">AD1209*$V1209</f>
        <v>27345</v>
      </c>
      <c r="AQ1209" s="9" t="n">
        <f aca="false">AE1209*$V1209</f>
        <v>0</v>
      </c>
      <c r="AR1209" s="9" t="n">
        <f aca="false">AF1209*$V1209</f>
        <v>0</v>
      </c>
      <c r="AS1209" s="9" t="n">
        <f aca="false">AG1209*$V1209</f>
        <v>0</v>
      </c>
      <c r="AT1209" s="9" t="n">
        <f aca="false">AH1209*$V1209</f>
        <v>0</v>
      </c>
      <c r="AU1209" s="9" t="n">
        <f aca="false">AI1209*$V1209</f>
        <v>27345</v>
      </c>
      <c r="AV1209" s="9" t="n">
        <f aca="false">SUM(X1209:AI1209)/1000</f>
        <v>4.5</v>
      </c>
      <c r="AW1209" s="9" t="n">
        <f aca="false">SUM(AJ1209:AU1209)</f>
        <v>82035</v>
      </c>
      <c r="AX1209" s="9" t="n">
        <f aca="false">IF(D1209="INR",AW1209/88.24,AW1209)/1000000</f>
        <v>0.000929680417044424</v>
      </c>
    </row>
    <row r="1210" s="2" customFormat="true" ht="14.25" hidden="false" customHeight="false" outlineLevel="0" collapsed="false">
      <c r="A1210" s="35"/>
      <c r="B1210" s="9" t="n">
        <v>5</v>
      </c>
      <c r="C1210" s="10"/>
      <c r="D1210" s="9" t="s">
        <v>102</v>
      </c>
      <c r="E1210" s="9" t="s">
        <v>51</v>
      </c>
      <c r="F1210" s="9" t="s">
        <v>243</v>
      </c>
      <c r="G1210" s="9" t="s">
        <v>340</v>
      </c>
      <c r="H1210" s="9" t="s">
        <v>2324</v>
      </c>
      <c r="I1210" s="9" t="s">
        <v>1359</v>
      </c>
      <c r="J1210" s="9" t="s">
        <v>806</v>
      </c>
      <c r="K1210" s="9" t="s">
        <v>2324</v>
      </c>
      <c r="L1210" s="9" t="s">
        <v>105</v>
      </c>
      <c r="M1210" s="9" t="s">
        <v>806</v>
      </c>
      <c r="N1210" s="16" t="s">
        <v>93</v>
      </c>
      <c r="O1210" s="9" t="s">
        <v>294</v>
      </c>
      <c r="P1210" s="9" t="s">
        <v>380</v>
      </c>
      <c r="Q1210" s="9" t="s">
        <v>380</v>
      </c>
      <c r="R1210" s="9" t="s">
        <v>442</v>
      </c>
      <c r="S1210" s="9" t="s">
        <v>443</v>
      </c>
      <c r="T1210" s="9" t="s">
        <v>2325</v>
      </c>
      <c r="U1210" s="9" t="s">
        <v>63</v>
      </c>
      <c r="V1210" s="9" t="n">
        <v>0.297</v>
      </c>
      <c r="W1210" s="9" t="n">
        <v>0.27</v>
      </c>
      <c r="X1210" s="9"/>
      <c r="Y1210" s="9"/>
      <c r="Z1210" s="9"/>
      <c r="AA1210" s="9" t="n">
        <v>20000</v>
      </c>
      <c r="AB1210" s="9" t="n">
        <v>20000</v>
      </c>
      <c r="AC1210" s="9" t="n">
        <v>20000</v>
      </c>
      <c r="AD1210" s="9" t="n">
        <v>20000</v>
      </c>
      <c r="AE1210" s="9" t="n">
        <v>20000</v>
      </c>
      <c r="AF1210" s="9" t="n">
        <v>20000</v>
      </c>
      <c r="AG1210" s="9" t="n">
        <v>20000</v>
      </c>
      <c r="AH1210" s="9" t="n">
        <v>20000</v>
      </c>
      <c r="AI1210" s="9" t="n">
        <v>20000</v>
      </c>
      <c r="AJ1210" s="9" t="n">
        <f aca="false">X1210*$V1210</f>
        <v>0</v>
      </c>
      <c r="AK1210" s="9" t="n">
        <f aca="false">Y1210*$V1210</f>
        <v>0</v>
      </c>
      <c r="AL1210" s="9" t="n">
        <f aca="false">Z1210*$V1210</f>
        <v>0</v>
      </c>
      <c r="AM1210" s="9" t="n">
        <f aca="false">AA1210*$V1210</f>
        <v>5940</v>
      </c>
      <c r="AN1210" s="9" t="n">
        <f aca="false">AB1210*$V1210</f>
        <v>5940</v>
      </c>
      <c r="AO1210" s="9" t="n">
        <f aca="false">AC1210*$V1210</f>
        <v>5940</v>
      </c>
      <c r="AP1210" s="9" t="n">
        <f aca="false">AD1210*$V1210</f>
        <v>5940</v>
      </c>
      <c r="AQ1210" s="9" t="n">
        <f aca="false">AE1210*$V1210</f>
        <v>5940</v>
      </c>
      <c r="AR1210" s="9" t="n">
        <f aca="false">AF1210*$V1210</f>
        <v>5940</v>
      </c>
      <c r="AS1210" s="9" t="n">
        <f aca="false">AG1210*$V1210</f>
        <v>5940</v>
      </c>
      <c r="AT1210" s="9" t="n">
        <f aca="false">AH1210*$V1210</f>
        <v>5940</v>
      </c>
      <c r="AU1210" s="9" t="n">
        <f aca="false">AI1210*$V1210</f>
        <v>5940</v>
      </c>
      <c r="AV1210" s="9" t="n">
        <f aca="false">SUM(X1210:AI1210)/1000</f>
        <v>180</v>
      </c>
      <c r="AW1210" s="9" t="n">
        <f aca="false">SUM(AJ1210:AU1210)</f>
        <v>53460</v>
      </c>
      <c r="AX1210" s="9" t="n">
        <f aca="false">IF(D1210="INR",AW1210/88.24,AW1210)/1000000</f>
        <v>0.05346</v>
      </c>
    </row>
    <row r="1211" s="2" customFormat="true" ht="16.4" hidden="false" customHeight="false" outlineLevel="0" collapsed="false">
      <c r="A1211" s="35" t="s">
        <v>2326</v>
      </c>
      <c r="B1211" s="9" t="n">
        <v>5</v>
      </c>
      <c r="C1211" s="10"/>
      <c r="D1211" s="9" t="s">
        <v>50</v>
      </c>
      <c r="E1211" s="9" t="s">
        <v>51</v>
      </c>
      <c r="F1211" s="9" t="s">
        <v>52</v>
      </c>
      <c r="G1211" s="9" t="s">
        <v>2320</v>
      </c>
      <c r="H1211" s="9" t="s">
        <v>2321</v>
      </c>
      <c r="I1211" s="9" t="s">
        <v>105</v>
      </c>
      <c r="J1211" s="9" t="s">
        <v>766</v>
      </c>
      <c r="K1211" s="9" t="s">
        <v>2321</v>
      </c>
      <c r="L1211" s="9" t="s">
        <v>105</v>
      </c>
      <c r="M1211" s="9" t="s">
        <v>766</v>
      </c>
      <c r="N1211" s="16" t="s">
        <v>57</v>
      </c>
      <c r="O1211" s="9" t="s">
        <v>246</v>
      </c>
      <c r="P1211" s="9" t="s">
        <v>2322</v>
      </c>
      <c r="Q1211" s="9" t="s">
        <v>2322</v>
      </c>
      <c r="R1211" s="9" t="s">
        <v>800</v>
      </c>
      <c r="S1211" s="9" t="s">
        <v>1148</v>
      </c>
      <c r="T1211" s="9" t="s">
        <v>2327</v>
      </c>
      <c r="U1211" s="9" t="s">
        <v>73</v>
      </c>
      <c r="V1211" s="9" t="n">
        <v>16.74</v>
      </c>
      <c r="W1211" s="9" t="n">
        <v>0.124</v>
      </c>
      <c r="X1211" s="9" t="n">
        <v>1500</v>
      </c>
      <c r="Y1211" s="9" t="n">
        <v>0</v>
      </c>
      <c r="Z1211" s="9" t="n">
        <v>0</v>
      </c>
      <c r="AA1211" s="9" t="n">
        <v>0</v>
      </c>
      <c r="AB1211" s="9"/>
      <c r="AC1211" s="9" t="n">
        <v>0</v>
      </c>
      <c r="AD1211" s="9" t="n">
        <v>1500</v>
      </c>
      <c r="AE1211" s="9" t="n">
        <v>0</v>
      </c>
      <c r="AF1211" s="9" t="n">
        <v>0</v>
      </c>
      <c r="AG1211" s="9" t="n">
        <v>0</v>
      </c>
      <c r="AH1211" s="9" t="n">
        <v>0</v>
      </c>
      <c r="AI1211" s="9" t="n">
        <v>1500</v>
      </c>
      <c r="AJ1211" s="9" t="n">
        <f aca="false">X1211*$V1211</f>
        <v>25110</v>
      </c>
      <c r="AK1211" s="9" t="n">
        <f aca="false">Y1211*$V1211</f>
        <v>0</v>
      </c>
      <c r="AL1211" s="9" t="n">
        <f aca="false">Z1211*$V1211</f>
        <v>0</v>
      </c>
      <c r="AM1211" s="9" t="n">
        <f aca="false">AA1211*$V1211</f>
        <v>0</v>
      </c>
      <c r="AN1211" s="9" t="n">
        <f aca="false">AB1211*$V1211</f>
        <v>0</v>
      </c>
      <c r="AO1211" s="9" t="n">
        <f aca="false">AC1211*$V1211</f>
        <v>0</v>
      </c>
      <c r="AP1211" s="9" t="n">
        <f aca="false">AD1211*$V1211</f>
        <v>25110</v>
      </c>
      <c r="AQ1211" s="9" t="n">
        <f aca="false">AE1211*$V1211</f>
        <v>0</v>
      </c>
      <c r="AR1211" s="9" t="n">
        <f aca="false">AF1211*$V1211</f>
        <v>0</v>
      </c>
      <c r="AS1211" s="9" t="n">
        <f aca="false">AG1211*$V1211</f>
        <v>0</v>
      </c>
      <c r="AT1211" s="9" t="n">
        <f aca="false">AH1211*$V1211</f>
        <v>0</v>
      </c>
      <c r="AU1211" s="9" t="n">
        <f aca="false">AI1211*$V1211</f>
        <v>25110</v>
      </c>
      <c r="AV1211" s="9" t="n">
        <f aca="false">SUM(X1211:AI1211)/1000</f>
        <v>4.5</v>
      </c>
      <c r="AW1211" s="9" t="n">
        <f aca="false">SUM(AJ1211:AU1211)</f>
        <v>75330</v>
      </c>
      <c r="AX1211" s="9" t="n">
        <f aca="false">IF(D1211="INR",AW1211/88.24,AW1211)/1000000</f>
        <v>0.000853694469628286</v>
      </c>
    </row>
    <row r="1212" s="2" customFormat="true" ht="14.25" hidden="false" customHeight="false" outlineLevel="0" collapsed="false">
      <c r="A1212" s="12" t="s">
        <v>2328</v>
      </c>
      <c r="B1212" s="16" t="n">
        <v>5</v>
      </c>
      <c r="C1212" s="15"/>
      <c r="D1212" s="16" t="s">
        <v>50</v>
      </c>
      <c r="E1212" s="16" t="s">
        <v>51</v>
      </c>
      <c r="F1212" s="16" t="s">
        <v>356</v>
      </c>
      <c r="G1212" s="16" t="s">
        <v>357</v>
      </c>
      <c r="H1212" s="16" t="s">
        <v>358</v>
      </c>
      <c r="I1212" s="16" t="s">
        <v>359</v>
      </c>
      <c r="J1212" s="16" t="s">
        <v>360</v>
      </c>
      <c r="K1212" s="16"/>
      <c r="L1212" s="16" t="s">
        <v>359</v>
      </c>
      <c r="M1212" s="16" t="s">
        <v>360</v>
      </c>
      <c r="N1212" s="16" t="s">
        <v>57</v>
      </c>
      <c r="O1212" s="16" t="s">
        <v>246</v>
      </c>
      <c r="P1212" s="16" t="s">
        <v>361</v>
      </c>
      <c r="Q1212" s="16" t="s">
        <v>361</v>
      </c>
      <c r="R1212" s="16" t="s">
        <v>362</v>
      </c>
      <c r="S1212" s="16" t="s">
        <v>363</v>
      </c>
      <c r="T1212" s="16" t="s">
        <v>2329</v>
      </c>
      <c r="U1212" s="16" t="s">
        <v>73</v>
      </c>
      <c r="V1212" s="16" t="n">
        <v>1040</v>
      </c>
      <c r="W1212" s="16" t="n">
        <v>800</v>
      </c>
      <c r="X1212" s="16"/>
      <c r="Y1212" s="16"/>
      <c r="Z1212" s="16"/>
      <c r="AA1212" s="16"/>
      <c r="AB1212" s="16"/>
      <c r="AC1212" s="16"/>
      <c r="AD1212" s="16" t="n">
        <v>400</v>
      </c>
      <c r="AE1212" s="16" t="n">
        <v>400</v>
      </c>
      <c r="AF1212" s="16" t="n">
        <v>400</v>
      </c>
      <c r="AG1212" s="16" t="n">
        <v>400</v>
      </c>
      <c r="AH1212" s="16"/>
      <c r="AI1212" s="16" t="n">
        <v>400</v>
      </c>
      <c r="AJ1212" s="9" t="n">
        <f aca="false">X1212*$V1212</f>
        <v>0</v>
      </c>
      <c r="AK1212" s="9" t="n">
        <f aca="false">Y1212*$V1212</f>
        <v>0</v>
      </c>
      <c r="AL1212" s="9" t="n">
        <f aca="false">Z1212*$V1212</f>
        <v>0</v>
      </c>
      <c r="AM1212" s="9" t="n">
        <f aca="false">AA1212*$V1212</f>
        <v>0</v>
      </c>
      <c r="AN1212" s="9" t="n">
        <f aca="false">AB1212*$V1212</f>
        <v>0</v>
      </c>
      <c r="AO1212" s="9" t="n">
        <f aca="false">AC1212*$V1212</f>
        <v>0</v>
      </c>
      <c r="AP1212" s="9" t="n">
        <f aca="false">AD1212*$V1212</f>
        <v>416000</v>
      </c>
      <c r="AQ1212" s="9" t="n">
        <f aca="false">AE1212*$V1212</f>
        <v>416000</v>
      </c>
      <c r="AR1212" s="9" t="n">
        <f aca="false">AF1212*$V1212</f>
        <v>416000</v>
      </c>
      <c r="AS1212" s="9" t="n">
        <f aca="false">AG1212*$V1212</f>
        <v>416000</v>
      </c>
      <c r="AT1212" s="9" t="n">
        <f aca="false">AH1212*$V1212</f>
        <v>0</v>
      </c>
      <c r="AU1212" s="9" t="n">
        <f aca="false">AI1212*$V1212</f>
        <v>416000</v>
      </c>
      <c r="AV1212" s="9" t="n">
        <f aca="false">SUM(X1212:AI1212)/1000</f>
        <v>2</v>
      </c>
      <c r="AW1212" s="9" t="n">
        <f aca="false">SUM(AJ1212:AU1212)</f>
        <v>2080000</v>
      </c>
      <c r="AX1212" s="9" t="n">
        <f aca="false">IF(D1212="INR",AW1212/88.24,AW1212)/1000000</f>
        <v>0.0235720761559384</v>
      </c>
    </row>
    <row r="1213" s="2" customFormat="true" ht="14.25" hidden="false" customHeight="false" outlineLevel="0" collapsed="false">
      <c r="A1213" s="12"/>
      <c r="B1213" s="16" t="n">
        <v>1</v>
      </c>
      <c r="C1213" s="15"/>
      <c r="D1213" s="16" t="s">
        <v>50</v>
      </c>
      <c r="E1213" s="16" t="s">
        <v>51</v>
      </c>
      <c r="F1213" s="16" t="s">
        <v>356</v>
      </c>
      <c r="G1213" s="16" t="s">
        <v>357</v>
      </c>
      <c r="H1213" s="16" t="s">
        <v>358</v>
      </c>
      <c r="I1213" s="16" t="s">
        <v>359</v>
      </c>
      <c r="J1213" s="16" t="s">
        <v>360</v>
      </c>
      <c r="K1213" s="16"/>
      <c r="L1213" s="16" t="s">
        <v>359</v>
      </c>
      <c r="M1213" s="16" t="s">
        <v>360</v>
      </c>
      <c r="N1213" s="16" t="s">
        <v>57</v>
      </c>
      <c r="O1213" s="16"/>
      <c r="P1213" s="16" t="s">
        <v>361</v>
      </c>
      <c r="Q1213" s="16" t="s">
        <v>361</v>
      </c>
      <c r="R1213" s="16" t="s">
        <v>362</v>
      </c>
      <c r="S1213" s="16" t="s">
        <v>363</v>
      </c>
      <c r="T1213" s="16" t="s">
        <v>2330</v>
      </c>
      <c r="U1213" s="16" t="s">
        <v>63</v>
      </c>
      <c r="V1213" s="16" t="n">
        <v>926</v>
      </c>
      <c r="W1213" s="16" t="n">
        <v>750.61</v>
      </c>
      <c r="X1213" s="16" t="n">
        <v>700</v>
      </c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9" t="n">
        <f aca="false">X1213*$V1213</f>
        <v>648200</v>
      </c>
      <c r="AK1213" s="9" t="n">
        <f aca="false">Y1213*$V1213</f>
        <v>0</v>
      </c>
      <c r="AL1213" s="9" t="n">
        <f aca="false">Z1213*$V1213</f>
        <v>0</v>
      </c>
      <c r="AM1213" s="9" t="n">
        <f aca="false">AA1213*$V1213</f>
        <v>0</v>
      </c>
      <c r="AN1213" s="9" t="n">
        <f aca="false">AB1213*$V1213</f>
        <v>0</v>
      </c>
      <c r="AO1213" s="9" t="n">
        <f aca="false">AC1213*$V1213</f>
        <v>0</v>
      </c>
      <c r="AP1213" s="9" t="n">
        <f aca="false">AD1213*$V1213</f>
        <v>0</v>
      </c>
      <c r="AQ1213" s="9" t="n">
        <f aca="false">AE1213*$V1213</f>
        <v>0</v>
      </c>
      <c r="AR1213" s="9" t="n">
        <f aca="false">AF1213*$V1213</f>
        <v>0</v>
      </c>
      <c r="AS1213" s="9" t="n">
        <f aca="false">AG1213*$V1213</f>
        <v>0</v>
      </c>
      <c r="AT1213" s="9" t="n">
        <f aca="false">AH1213*$V1213</f>
        <v>0</v>
      </c>
      <c r="AU1213" s="9" t="n">
        <f aca="false">AI1213*$V1213</f>
        <v>0</v>
      </c>
      <c r="AV1213" s="9" t="n">
        <f aca="false">SUM(X1213:AI1213)/1000</f>
        <v>0.7</v>
      </c>
      <c r="AW1213" s="9" t="n">
        <f aca="false">SUM(AJ1213:AU1213)</f>
        <v>648200</v>
      </c>
      <c r="AX1213" s="9" t="n">
        <f aca="false">IF(D1213="INR",AW1213/88.24,AW1213)/1000000</f>
        <v>0.00734587488667271</v>
      </c>
    </row>
    <row r="1214" s="2" customFormat="true" ht="14.25" hidden="false" customHeight="false" outlineLevel="0" collapsed="false">
      <c r="A1214" s="12"/>
      <c r="B1214" s="16" t="n">
        <v>1</v>
      </c>
      <c r="C1214" s="15"/>
      <c r="D1214" s="16" t="s">
        <v>50</v>
      </c>
      <c r="E1214" s="16" t="s">
        <v>51</v>
      </c>
      <c r="F1214" s="16" t="s">
        <v>356</v>
      </c>
      <c r="G1214" s="16" t="s">
        <v>357</v>
      </c>
      <c r="H1214" s="16" t="s">
        <v>358</v>
      </c>
      <c r="I1214" s="16" t="s">
        <v>359</v>
      </c>
      <c r="J1214" s="16" t="s">
        <v>360</v>
      </c>
      <c r="K1214" s="16"/>
      <c r="L1214" s="16" t="s">
        <v>359</v>
      </c>
      <c r="M1214" s="16" t="s">
        <v>360</v>
      </c>
      <c r="N1214" s="16" t="s">
        <v>57</v>
      </c>
      <c r="O1214" s="16"/>
      <c r="P1214" s="16" t="s">
        <v>361</v>
      </c>
      <c r="Q1214" s="16" t="s">
        <v>361</v>
      </c>
      <c r="R1214" s="16" t="s">
        <v>362</v>
      </c>
      <c r="S1214" s="16" t="s">
        <v>363</v>
      </c>
      <c r="T1214" s="16" t="s">
        <v>2331</v>
      </c>
      <c r="U1214" s="16" t="s">
        <v>63</v>
      </c>
      <c r="V1214" s="16" t="n">
        <v>1470</v>
      </c>
      <c r="W1214" s="16" t="n">
        <v>1158</v>
      </c>
      <c r="X1214" s="16" t="n">
        <v>600</v>
      </c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9" t="n">
        <f aca="false">X1214*$V1214</f>
        <v>882000</v>
      </c>
      <c r="AK1214" s="9" t="n">
        <f aca="false">Y1214*$V1214</f>
        <v>0</v>
      </c>
      <c r="AL1214" s="9" t="n">
        <f aca="false">Z1214*$V1214</f>
        <v>0</v>
      </c>
      <c r="AM1214" s="9" t="n">
        <f aca="false">AA1214*$V1214</f>
        <v>0</v>
      </c>
      <c r="AN1214" s="9" t="n">
        <f aca="false">AB1214*$V1214</f>
        <v>0</v>
      </c>
      <c r="AO1214" s="9" t="n">
        <f aca="false">AC1214*$V1214</f>
        <v>0</v>
      </c>
      <c r="AP1214" s="9" t="n">
        <f aca="false">AD1214*$V1214</f>
        <v>0</v>
      </c>
      <c r="AQ1214" s="9" t="n">
        <f aca="false">AE1214*$V1214</f>
        <v>0</v>
      </c>
      <c r="AR1214" s="9" t="n">
        <f aca="false">AF1214*$V1214</f>
        <v>0</v>
      </c>
      <c r="AS1214" s="9" t="n">
        <f aca="false">AG1214*$V1214</f>
        <v>0</v>
      </c>
      <c r="AT1214" s="9" t="n">
        <f aca="false">AH1214*$V1214</f>
        <v>0</v>
      </c>
      <c r="AU1214" s="9" t="n">
        <f aca="false">AI1214*$V1214</f>
        <v>0</v>
      </c>
      <c r="AV1214" s="9" t="n">
        <f aca="false">SUM(X1214:AI1214)/1000</f>
        <v>0.6</v>
      </c>
      <c r="AW1214" s="9" t="n">
        <f aca="false">SUM(AJ1214:AU1214)</f>
        <v>882000</v>
      </c>
      <c r="AX1214" s="9" t="n">
        <f aca="false">IF(D1214="INR",AW1214/88.24,AW1214)/1000000</f>
        <v>0.00999546690843155</v>
      </c>
    </row>
    <row r="1215" s="2" customFormat="true" ht="14.25" hidden="false" customHeight="false" outlineLevel="0" collapsed="false">
      <c r="A1215" s="12"/>
      <c r="B1215" s="16" t="n">
        <v>5</v>
      </c>
      <c r="C1215" s="15"/>
      <c r="D1215" s="16" t="s">
        <v>50</v>
      </c>
      <c r="E1215" s="16" t="s">
        <v>51</v>
      </c>
      <c r="F1215" s="16" t="s">
        <v>356</v>
      </c>
      <c r="G1215" s="16" t="s">
        <v>357</v>
      </c>
      <c r="H1215" s="16" t="s">
        <v>358</v>
      </c>
      <c r="I1215" s="16" t="s">
        <v>359</v>
      </c>
      <c r="J1215" s="16" t="s">
        <v>360</v>
      </c>
      <c r="K1215" s="16"/>
      <c r="L1215" s="16" t="s">
        <v>359</v>
      </c>
      <c r="M1215" s="16" t="s">
        <v>360</v>
      </c>
      <c r="N1215" s="16" t="s">
        <v>57</v>
      </c>
      <c r="O1215" s="16"/>
      <c r="P1215" s="16" t="s">
        <v>361</v>
      </c>
      <c r="Q1215" s="16" t="s">
        <v>361</v>
      </c>
      <c r="R1215" s="16" t="s">
        <v>362</v>
      </c>
      <c r="S1215" s="16" t="s">
        <v>363</v>
      </c>
      <c r="T1215" s="16" t="s">
        <v>2332</v>
      </c>
      <c r="U1215" s="16" t="s">
        <v>63</v>
      </c>
      <c r="V1215" s="16" t="n">
        <v>1012</v>
      </c>
      <c r="W1215" s="16" t="n">
        <v>858</v>
      </c>
      <c r="X1215" s="22"/>
      <c r="Y1215" s="22"/>
      <c r="Z1215" s="22"/>
      <c r="AA1215" s="22"/>
      <c r="AB1215" s="22"/>
      <c r="AC1215" s="22"/>
      <c r="AD1215" s="22" t="n">
        <v>90</v>
      </c>
      <c r="AE1215" s="22" t="n">
        <v>60</v>
      </c>
      <c r="AF1215" s="22" t="n">
        <v>60</v>
      </c>
      <c r="AG1215" s="22"/>
      <c r="AH1215" s="22" t="n">
        <v>120</v>
      </c>
      <c r="AI1215" s="22"/>
      <c r="AJ1215" s="9" t="n">
        <f aca="false">X1215*$V1215</f>
        <v>0</v>
      </c>
      <c r="AK1215" s="9" t="n">
        <f aca="false">Y1215*$V1215</f>
        <v>0</v>
      </c>
      <c r="AL1215" s="9" t="n">
        <f aca="false">Z1215*$V1215</f>
        <v>0</v>
      </c>
      <c r="AM1215" s="9" t="n">
        <f aca="false">AA1215*$V1215</f>
        <v>0</v>
      </c>
      <c r="AN1215" s="9" t="n">
        <f aca="false">AB1215*$V1215</f>
        <v>0</v>
      </c>
      <c r="AO1215" s="9" t="n">
        <f aca="false">AC1215*$V1215</f>
        <v>0</v>
      </c>
      <c r="AP1215" s="9" t="n">
        <f aca="false">AD1215*$V1215</f>
        <v>91080</v>
      </c>
      <c r="AQ1215" s="9" t="n">
        <f aca="false">AE1215*$V1215</f>
        <v>60720</v>
      </c>
      <c r="AR1215" s="9" t="n">
        <f aca="false">AF1215*$V1215</f>
        <v>60720</v>
      </c>
      <c r="AS1215" s="9" t="n">
        <f aca="false">AG1215*$V1215</f>
        <v>0</v>
      </c>
      <c r="AT1215" s="9" t="n">
        <f aca="false">AH1215*$V1215</f>
        <v>121440</v>
      </c>
      <c r="AU1215" s="9" t="n">
        <f aca="false">AI1215*$V1215</f>
        <v>0</v>
      </c>
      <c r="AV1215" s="9" t="n">
        <f aca="false">SUM(X1215:AI1215)/1000</f>
        <v>0.33</v>
      </c>
      <c r="AW1215" s="9" t="n">
        <f aca="false">SUM(AJ1215:AU1215)</f>
        <v>333960</v>
      </c>
      <c r="AX1215" s="9" t="n">
        <f aca="false">IF(D1215="INR",AW1215/88.24,AW1215)/1000000</f>
        <v>0.00378467815049864</v>
      </c>
    </row>
    <row r="1216" s="2" customFormat="true" ht="16.4" hidden="false" customHeight="false" outlineLevel="0" collapsed="false">
      <c r="A1216" s="35" t="s">
        <v>2333</v>
      </c>
      <c r="B1216" s="9" t="n">
        <v>5</v>
      </c>
      <c r="C1216" s="10"/>
      <c r="D1216" s="9" t="s">
        <v>50</v>
      </c>
      <c r="E1216" s="9" t="s">
        <v>51</v>
      </c>
      <c r="F1216" s="9" t="s">
        <v>356</v>
      </c>
      <c r="G1216" s="9" t="s">
        <v>357</v>
      </c>
      <c r="H1216" s="9" t="s">
        <v>358</v>
      </c>
      <c r="I1216" s="9" t="s">
        <v>359</v>
      </c>
      <c r="J1216" s="9" t="s">
        <v>360</v>
      </c>
      <c r="K1216" s="9"/>
      <c r="L1216" s="9" t="s">
        <v>359</v>
      </c>
      <c r="M1216" s="9" t="s">
        <v>360</v>
      </c>
      <c r="N1216" s="9" t="s">
        <v>57</v>
      </c>
      <c r="O1216" s="9" t="s">
        <v>246</v>
      </c>
      <c r="P1216" s="9" t="s">
        <v>361</v>
      </c>
      <c r="Q1216" s="9" t="s">
        <v>361</v>
      </c>
      <c r="R1216" s="9" t="s">
        <v>362</v>
      </c>
      <c r="S1216" s="9" t="s">
        <v>363</v>
      </c>
      <c r="T1216" s="9" t="s">
        <v>364</v>
      </c>
      <c r="U1216" s="9" t="s">
        <v>73</v>
      </c>
      <c r="V1216" s="9" t="n">
        <v>20350</v>
      </c>
      <c r="W1216" s="9" t="n">
        <v>19350</v>
      </c>
      <c r="X1216" s="9"/>
      <c r="Y1216" s="9" t="n">
        <v>50</v>
      </c>
      <c r="Z1216" s="9"/>
      <c r="AA1216" s="9"/>
      <c r="AB1216" s="9" t="n">
        <v>50</v>
      </c>
      <c r="AC1216" s="9"/>
      <c r="AD1216" s="9" t="n">
        <v>50</v>
      </c>
      <c r="AE1216" s="9"/>
      <c r="AF1216" s="9" t="n">
        <v>50</v>
      </c>
      <c r="AG1216" s="9"/>
      <c r="AH1216" s="9" t="n">
        <v>50</v>
      </c>
      <c r="AI1216" s="9"/>
      <c r="AJ1216" s="9" t="n">
        <f aca="false">X1216*$V1216</f>
        <v>0</v>
      </c>
      <c r="AK1216" s="9" t="n">
        <f aca="false">Y1216*$V1216</f>
        <v>1017500</v>
      </c>
      <c r="AL1216" s="9" t="n">
        <f aca="false">Z1216*$V1216</f>
        <v>0</v>
      </c>
      <c r="AM1216" s="9" t="n">
        <f aca="false">AA1216*$V1216</f>
        <v>0</v>
      </c>
      <c r="AN1216" s="9" t="n">
        <f aca="false">AB1216*$V1216</f>
        <v>1017500</v>
      </c>
      <c r="AO1216" s="9" t="n">
        <f aca="false">AC1216*$V1216</f>
        <v>0</v>
      </c>
      <c r="AP1216" s="9" t="n">
        <f aca="false">AD1216*$V1216</f>
        <v>1017500</v>
      </c>
      <c r="AQ1216" s="9" t="n">
        <f aca="false">AE1216*$V1216</f>
        <v>0</v>
      </c>
      <c r="AR1216" s="9" t="n">
        <f aca="false">AF1216*$V1216</f>
        <v>1017500</v>
      </c>
      <c r="AS1216" s="9" t="n">
        <f aca="false">AG1216*$V1216</f>
        <v>0</v>
      </c>
      <c r="AT1216" s="9" t="n">
        <f aca="false">AH1216*$V1216</f>
        <v>1017500</v>
      </c>
      <c r="AU1216" s="9" t="n">
        <f aca="false">AI1216*$V1216</f>
        <v>0</v>
      </c>
      <c r="AV1216" s="9" t="n">
        <f aca="false">SUM(X1216:AI1216)/1000</f>
        <v>0.25</v>
      </c>
      <c r="AW1216" s="9" t="n">
        <f aca="false">SUM(AJ1216:AU1216)</f>
        <v>5087500</v>
      </c>
      <c r="AX1216" s="9" t="n">
        <f aca="false">IF(D1216="INR",AW1216/88.24,AW1216)/1000000</f>
        <v>0.0576552583862194</v>
      </c>
    </row>
    <row r="1217" s="2" customFormat="true" ht="16.4" hidden="false" customHeight="false" outlineLevel="0" collapsed="false">
      <c r="A1217" s="35" t="s">
        <v>2334</v>
      </c>
      <c r="B1217" s="9" t="n">
        <v>5</v>
      </c>
      <c r="C1217" s="15"/>
      <c r="D1217" s="16" t="s">
        <v>102</v>
      </c>
      <c r="E1217" s="16" t="s">
        <v>51</v>
      </c>
      <c r="F1217" s="16" t="s">
        <v>243</v>
      </c>
      <c r="G1217" s="16" t="s">
        <v>340</v>
      </c>
      <c r="H1217" s="9" t="s">
        <v>341</v>
      </c>
      <c r="I1217" s="16" t="s">
        <v>1359</v>
      </c>
      <c r="J1217" s="16" t="s">
        <v>56</v>
      </c>
      <c r="K1217" s="9"/>
      <c r="L1217" s="16"/>
      <c r="M1217" s="16"/>
      <c r="N1217" s="16" t="s">
        <v>93</v>
      </c>
      <c r="O1217" s="16" t="s">
        <v>246</v>
      </c>
      <c r="P1217" s="9" t="str">
        <f aca="false">Q1217</f>
        <v>NICHICON</v>
      </c>
      <c r="Q1217" s="9" t="s">
        <v>85</v>
      </c>
      <c r="R1217" s="9" t="s">
        <v>86</v>
      </c>
      <c r="S1217" s="9" t="s">
        <v>87</v>
      </c>
      <c r="T1217" s="9" t="s">
        <v>1880</v>
      </c>
      <c r="U1217" s="16" t="s">
        <v>63</v>
      </c>
      <c r="V1217" s="36" t="n">
        <v>0.149</v>
      </c>
      <c r="W1217" s="9" t="n">
        <v>0.13</v>
      </c>
      <c r="X1217" s="22" t="n">
        <v>250000</v>
      </c>
      <c r="Y1217" s="9"/>
      <c r="Z1217" s="9" t="n">
        <v>250000</v>
      </c>
      <c r="AA1217" s="9"/>
      <c r="AB1217" s="9" t="n">
        <v>250000</v>
      </c>
      <c r="AC1217" s="9"/>
      <c r="AD1217" s="23" t="n">
        <v>250000</v>
      </c>
      <c r="AE1217" s="9"/>
      <c r="AF1217" s="9" t="n">
        <v>250000</v>
      </c>
      <c r="AG1217" s="9" t="n">
        <v>150000</v>
      </c>
      <c r="AH1217" s="9" t="n">
        <v>150000</v>
      </c>
      <c r="AI1217" s="9" t="n">
        <v>150000</v>
      </c>
      <c r="AJ1217" s="9" t="n">
        <f aca="false">X1217*$V1217</f>
        <v>37250</v>
      </c>
      <c r="AK1217" s="9" t="n">
        <f aca="false">Y1217*$V1217</f>
        <v>0</v>
      </c>
      <c r="AL1217" s="9" t="n">
        <f aca="false">Z1217*$V1217</f>
        <v>37250</v>
      </c>
      <c r="AM1217" s="9" t="n">
        <f aca="false">AA1217*$V1217</f>
        <v>0</v>
      </c>
      <c r="AN1217" s="9" t="n">
        <f aca="false">AB1217*$V1217</f>
        <v>37250</v>
      </c>
      <c r="AO1217" s="9" t="n">
        <f aca="false">AC1217*$V1217</f>
        <v>0</v>
      </c>
      <c r="AP1217" s="9" t="n">
        <f aca="false">AD1217*$V1217</f>
        <v>37250</v>
      </c>
      <c r="AQ1217" s="9" t="n">
        <f aca="false">AE1217*$V1217</f>
        <v>0</v>
      </c>
      <c r="AR1217" s="9" t="n">
        <f aca="false">AF1217*$V1217</f>
        <v>37250</v>
      </c>
      <c r="AS1217" s="9" t="n">
        <f aca="false">AG1217*$V1217</f>
        <v>22350</v>
      </c>
      <c r="AT1217" s="9" t="n">
        <f aca="false">AH1217*$V1217</f>
        <v>22350</v>
      </c>
      <c r="AU1217" s="9" t="n">
        <f aca="false">AI1217*$V1217</f>
        <v>22350</v>
      </c>
      <c r="AV1217" s="9" t="n">
        <f aca="false">SUM(X1217:AI1217)/1000</f>
        <v>1700</v>
      </c>
      <c r="AW1217" s="9" t="n">
        <f aca="false">SUM(AJ1217:AU1217)</f>
        <v>253300</v>
      </c>
      <c r="AX1217" s="9" t="n">
        <f aca="false">IF(D1217="INR",AW1217/88.24,AW1217)/1000000</f>
        <v>0.2533</v>
      </c>
    </row>
    <row r="1218" s="2" customFormat="true" ht="14.25" hidden="false" customHeight="false" outlineLevel="0" collapsed="false">
      <c r="A1218" s="12"/>
      <c r="B1218" s="16" t="n">
        <v>5</v>
      </c>
      <c r="C1218" s="15"/>
      <c r="D1218" s="16" t="s">
        <v>50</v>
      </c>
      <c r="E1218" s="16" t="s">
        <v>51</v>
      </c>
      <c r="F1218" s="16" t="s">
        <v>356</v>
      </c>
      <c r="G1218" s="16" t="s">
        <v>357</v>
      </c>
      <c r="H1218" s="16" t="s">
        <v>358</v>
      </c>
      <c r="I1218" s="16" t="s">
        <v>359</v>
      </c>
      <c r="J1218" s="16" t="s">
        <v>360</v>
      </c>
      <c r="K1218" s="16"/>
      <c r="L1218" s="16" t="s">
        <v>359</v>
      </c>
      <c r="M1218" s="16" t="s">
        <v>360</v>
      </c>
      <c r="N1218" s="16" t="s">
        <v>57</v>
      </c>
      <c r="O1218" s="16"/>
      <c r="P1218" s="16" t="s">
        <v>361</v>
      </c>
      <c r="Q1218" s="16" t="s">
        <v>361</v>
      </c>
      <c r="R1218" s="16" t="s">
        <v>362</v>
      </c>
      <c r="S1218" s="16" t="s">
        <v>363</v>
      </c>
      <c r="T1218" s="16" t="s">
        <v>2335</v>
      </c>
      <c r="U1218" s="16" t="s">
        <v>63</v>
      </c>
      <c r="V1218" s="16" t="n">
        <v>1064</v>
      </c>
      <c r="W1218" s="16" t="n">
        <v>838</v>
      </c>
      <c r="X1218" s="16"/>
      <c r="Y1218" s="16"/>
      <c r="Z1218" s="16"/>
      <c r="AA1218" s="16"/>
      <c r="AB1218" s="16" t="n">
        <v>200</v>
      </c>
      <c r="AC1218" s="16"/>
      <c r="AD1218" s="16"/>
      <c r="AE1218" s="16"/>
      <c r="AF1218" s="16"/>
      <c r="AG1218" s="16"/>
      <c r="AH1218" s="16"/>
      <c r="AI1218" s="16"/>
      <c r="AJ1218" s="9" t="n">
        <f aca="false">X1218*$V1218</f>
        <v>0</v>
      </c>
      <c r="AK1218" s="9" t="n">
        <f aca="false">Y1218*$V1218</f>
        <v>0</v>
      </c>
      <c r="AL1218" s="9" t="n">
        <f aca="false">Z1218*$V1218</f>
        <v>0</v>
      </c>
      <c r="AM1218" s="9" t="n">
        <f aca="false">AA1218*$V1218</f>
        <v>0</v>
      </c>
      <c r="AN1218" s="9" t="n">
        <f aca="false">AB1218*$V1218</f>
        <v>212800</v>
      </c>
      <c r="AO1218" s="9" t="n">
        <f aca="false">AC1218*$V1218</f>
        <v>0</v>
      </c>
      <c r="AP1218" s="9" t="n">
        <f aca="false">AD1218*$V1218</f>
        <v>0</v>
      </c>
      <c r="AQ1218" s="9" t="n">
        <f aca="false">AE1218*$V1218</f>
        <v>0</v>
      </c>
      <c r="AR1218" s="9" t="n">
        <f aca="false">AF1218*$V1218</f>
        <v>0</v>
      </c>
      <c r="AS1218" s="9" t="n">
        <f aca="false">AG1218*$V1218</f>
        <v>0</v>
      </c>
      <c r="AT1218" s="9" t="n">
        <f aca="false">AH1218*$V1218</f>
        <v>0</v>
      </c>
      <c r="AU1218" s="9" t="n">
        <f aca="false">AI1218*$V1218</f>
        <v>0</v>
      </c>
      <c r="AV1218" s="9" t="n">
        <f aca="false">SUM(X1218:AI1218)/1000</f>
        <v>0.2</v>
      </c>
      <c r="AW1218" s="9" t="n">
        <f aca="false">SUM(AJ1218:AU1218)</f>
        <v>212800</v>
      </c>
      <c r="AX1218" s="9" t="n">
        <f aca="false">IF(D1218="INR",AW1218/88.24,AW1218)/1000000</f>
        <v>0.00241160471441523</v>
      </c>
    </row>
    <row r="1219" s="2" customFormat="true" ht="16.4" hidden="false" customHeight="false" outlineLevel="0" collapsed="false">
      <c r="A1219" s="12"/>
      <c r="B1219" s="16" t="n">
        <v>1</v>
      </c>
      <c r="C1219" s="15"/>
      <c r="D1219" s="16" t="s">
        <v>102</v>
      </c>
      <c r="E1219" s="16" t="s">
        <v>51</v>
      </c>
      <c r="F1219" s="16" t="s">
        <v>2336</v>
      </c>
      <c r="G1219" s="16" t="s">
        <v>1230</v>
      </c>
      <c r="H1219" s="16" t="s">
        <v>2337</v>
      </c>
      <c r="I1219" s="16" t="s">
        <v>1359</v>
      </c>
      <c r="J1219" s="16" t="s">
        <v>806</v>
      </c>
      <c r="K1219" s="16" t="s">
        <v>2337</v>
      </c>
      <c r="L1219" s="16" t="s">
        <v>105</v>
      </c>
      <c r="M1219" s="16" t="s">
        <v>806</v>
      </c>
      <c r="N1219" s="16" t="s">
        <v>2338</v>
      </c>
      <c r="O1219" s="16" t="s">
        <v>294</v>
      </c>
      <c r="P1219" s="16" t="s">
        <v>380</v>
      </c>
      <c r="Q1219" s="16" t="s">
        <v>380</v>
      </c>
      <c r="R1219" s="16" t="s">
        <v>442</v>
      </c>
      <c r="S1219" s="16" t="s">
        <v>443</v>
      </c>
      <c r="T1219" s="16" t="s">
        <v>2339</v>
      </c>
      <c r="U1219" s="16" t="s">
        <v>63</v>
      </c>
      <c r="V1219" s="16" t="n">
        <v>0.35</v>
      </c>
      <c r="W1219" s="16" t="n">
        <v>0.32</v>
      </c>
      <c r="X1219" s="22"/>
      <c r="Y1219" s="16"/>
      <c r="Z1219" s="16"/>
      <c r="AA1219" s="16" t="n">
        <v>2000</v>
      </c>
      <c r="AB1219" s="16"/>
      <c r="AC1219" s="16" t="n">
        <v>2000</v>
      </c>
      <c r="AD1219" s="16"/>
      <c r="AE1219" s="16" t="n">
        <v>2000</v>
      </c>
      <c r="AF1219" s="16" t="n">
        <v>2000</v>
      </c>
      <c r="AG1219" s="16"/>
      <c r="AH1219" s="16" t="n">
        <v>2000</v>
      </c>
      <c r="AI1219" s="16"/>
      <c r="AJ1219" s="9" t="n">
        <f aca="false">X1219*$V1219</f>
        <v>0</v>
      </c>
      <c r="AK1219" s="9" t="n">
        <f aca="false">Y1219*$V1219</f>
        <v>0</v>
      </c>
      <c r="AL1219" s="9" t="n">
        <f aca="false">Z1219*$V1219</f>
        <v>0</v>
      </c>
      <c r="AM1219" s="9" t="n">
        <f aca="false">AA1219*$V1219</f>
        <v>700</v>
      </c>
      <c r="AN1219" s="9" t="n">
        <f aca="false">AB1219*$V1219</f>
        <v>0</v>
      </c>
      <c r="AO1219" s="9" t="n">
        <f aca="false">AC1219*$V1219</f>
        <v>700</v>
      </c>
      <c r="AP1219" s="9" t="n">
        <f aca="false">AD1219*$V1219</f>
        <v>0</v>
      </c>
      <c r="AQ1219" s="9" t="n">
        <f aca="false">AE1219*$V1219</f>
        <v>700</v>
      </c>
      <c r="AR1219" s="9" t="n">
        <f aca="false">AF1219*$V1219</f>
        <v>700</v>
      </c>
      <c r="AS1219" s="9" t="n">
        <f aca="false">AG1219*$V1219</f>
        <v>0</v>
      </c>
      <c r="AT1219" s="9" t="n">
        <f aca="false">AH1219*$V1219</f>
        <v>700</v>
      </c>
      <c r="AU1219" s="9" t="n">
        <f aca="false">AI1219*$V1219</f>
        <v>0</v>
      </c>
      <c r="AV1219" s="9" t="n">
        <f aca="false">SUM(X1219:AI1219)/1000</f>
        <v>10</v>
      </c>
      <c r="AW1219" s="9" t="n">
        <f aca="false">SUM(AJ1219:AU1219)</f>
        <v>3500</v>
      </c>
      <c r="AX1219" s="9" t="n">
        <f aca="false">IF(D1219="INR",AW1219/88.24,AW1219)/1000000</f>
        <v>0.0035</v>
      </c>
    </row>
    <row r="1220" s="2" customFormat="true" ht="14.25" hidden="false" customHeight="false" outlineLevel="0" collapsed="false">
      <c r="A1220" s="12" t="s">
        <v>2340</v>
      </c>
      <c r="B1220" s="13" t="n">
        <v>5</v>
      </c>
      <c r="C1220" s="14"/>
      <c r="D1220" s="16" t="s">
        <v>50</v>
      </c>
      <c r="E1220" s="16" t="s">
        <v>51</v>
      </c>
      <c r="F1220" s="16" t="s">
        <v>356</v>
      </c>
      <c r="G1220" s="16" t="s">
        <v>357</v>
      </c>
      <c r="H1220" s="16" t="s">
        <v>358</v>
      </c>
      <c r="I1220" s="16" t="s">
        <v>359</v>
      </c>
      <c r="J1220" s="16" t="s">
        <v>360</v>
      </c>
      <c r="K1220" s="16"/>
      <c r="L1220" s="16" t="s">
        <v>359</v>
      </c>
      <c r="M1220" s="16" t="s">
        <v>360</v>
      </c>
      <c r="N1220" s="16" t="s">
        <v>57</v>
      </c>
      <c r="O1220" s="16" t="s">
        <v>246</v>
      </c>
      <c r="P1220" s="16" t="s">
        <v>361</v>
      </c>
      <c r="Q1220" s="16" t="s">
        <v>361</v>
      </c>
      <c r="R1220" s="16" t="s">
        <v>362</v>
      </c>
      <c r="S1220" s="16" t="s">
        <v>363</v>
      </c>
      <c r="T1220" s="16" t="s">
        <v>2341</v>
      </c>
      <c r="U1220" s="16" t="s">
        <v>73</v>
      </c>
      <c r="V1220" s="16" t="n">
        <v>19663</v>
      </c>
      <c r="W1220" s="16" t="n">
        <v>15125</v>
      </c>
      <c r="X1220" s="16"/>
      <c r="Y1220" s="16"/>
      <c r="Z1220" s="16"/>
      <c r="AA1220" s="16"/>
      <c r="AB1220" s="16"/>
      <c r="AC1220" s="16"/>
      <c r="AD1220" s="16"/>
      <c r="AE1220" s="16" t="n">
        <v>10</v>
      </c>
      <c r="AF1220" s="16"/>
      <c r="AG1220" s="16"/>
      <c r="AH1220" s="16"/>
      <c r="AI1220" s="16"/>
      <c r="AJ1220" s="9" t="n">
        <f aca="false">X1220*$V1220</f>
        <v>0</v>
      </c>
      <c r="AK1220" s="9" t="n">
        <f aca="false">Y1220*$V1220</f>
        <v>0</v>
      </c>
      <c r="AL1220" s="9" t="n">
        <f aca="false">Z1220*$V1220</f>
        <v>0</v>
      </c>
      <c r="AM1220" s="9" t="n">
        <f aca="false">AA1220*$V1220</f>
        <v>0</v>
      </c>
      <c r="AN1220" s="9" t="n">
        <f aca="false">AB1220*$V1220</f>
        <v>0</v>
      </c>
      <c r="AO1220" s="9" t="n">
        <f aca="false">AC1220*$V1220</f>
        <v>0</v>
      </c>
      <c r="AP1220" s="9" t="n">
        <f aca="false">AD1220*$V1220</f>
        <v>0</v>
      </c>
      <c r="AQ1220" s="9" t="n">
        <f aca="false">AE1220*$V1220</f>
        <v>196630</v>
      </c>
      <c r="AR1220" s="9" t="n">
        <f aca="false">AF1220*$V1220</f>
        <v>0</v>
      </c>
      <c r="AS1220" s="9" t="n">
        <f aca="false">AG1220*$V1220</f>
        <v>0</v>
      </c>
      <c r="AT1220" s="9" t="n">
        <f aca="false">AH1220*$V1220</f>
        <v>0</v>
      </c>
      <c r="AU1220" s="9" t="n">
        <f aca="false">AI1220*$V1220</f>
        <v>0</v>
      </c>
      <c r="AV1220" s="9" t="n">
        <f aca="false">SUM(X1220:AI1220)/1000</f>
        <v>0.01</v>
      </c>
      <c r="AW1220" s="9" t="n">
        <f aca="false">SUM(AJ1220:AU1220)</f>
        <v>196630</v>
      </c>
      <c r="AX1220" s="9" t="n">
        <f aca="false">IF(D1220="INR",AW1220/88.24,AW1220)/1000000</f>
        <v>0.00222835448776065</v>
      </c>
    </row>
    <row r="1221" s="2" customFormat="true" ht="14.25" hidden="false" customHeight="false" outlineLevel="0" collapsed="false">
      <c r="A1221" s="28"/>
      <c r="B1221" s="16" t="n">
        <v>1</v>
      </c>
      <c r="C1221" s="16"/>
      <c r="D1221" s="16" t="s">
        <v>50</v>
      </c>
      <c r="E1221" s="16"/>
      <c r="F1221" s="16" t="s">
        <v>52</v>
      </c>
      <c r="G1221" s="16"/>
      <c r="H1221" s="16" t="s">
        <v>293</v>
      </c>
      <c r="I1221" s="16" t="s">
        <v>55</v>
      </c>
      <c r="J1221" s="16" t="s">
        <v>56</v>
      </c>
      <c r="K1221" s="16"/>
      <c r="L1221" s="16" t="s">
        <v>55</v>
      </c>
      <c r="M1221" s="16" t="s">
        <v>56</v>
      </c>
      <c r="N1221" s="16" t="s">
        <v>93</v>
      </c>
      <c r="O1221" s="16" t="s">
        <v>294</v>
      </c>
      <c r="P1221" s="16"/>
      <c r="Q1221" s="16" t="s">
        <v>1363</v>
      </c>
      <c r="R1221" s="16"/>
      <c r="S1221" s="16"/>
      <c r="T1221" s="16" t="s">
        <v>354</v>
      </c>
      <c r="U1221" s="16" t="s">
        <v>63</v>
      </c>
      <c r="V1221" s="16" t="n">
        <v>6.55</v>
      </c>
      <c r="W1221" s="26"/>
      <c r="X1221" s="16" t="n">
        <v>10000</v>
      </c>
      <c r="Y1221" s="16"/>
      <c r="Z1221" s="16"/>
      <c r="AA1221" s="16" t="n">
        <v>10000</v>
      </c>
      <c r="AB1221" s="16"/>
      <c r="AC1221" s="16"/>
      <c r="AD1221" s="16"/>
      <c r="AE1221" s="16"/>
      <c r="AF1221" s="16"/>
      <c r="AG1221" s="16"/>
      <c r="AH1221" s="16"/>
      <c r="AI1221" s="16"/>
      <c r="AJ1221" s="9" t="n">
        <f aca="false">X1221*$V1221</f>
        <v>65500</v>
      </c>
      <c r="AK1221" s="9" t="n">
        <f aca="false">Y1221*$V1221</f>
        <v>0</v>
      </c>
      <c r="AL1221" s="9" t="n">
        <f aca="false">Z1221*$V1221</f>
        <v>0</v>
      </c>
      <c r="AM1221" s="9" t="n">
        <f aca="false">AA1221*$V1221</f>
        <v>65500</v>
      </c>
      <c r="AN1221" s="9" t="n">
        <f aca="false">AB1221*$V1221</f>
        <v>0</v>
      </c>
      <c r="AO1221" s="9" t="n">
        <f aca="false">AC1221*$V1221</f>
        <v>0</v>
      </c>
      <c r="AP1221" s="9" t="n">
        <f aca="false">AD1221*$V1221</f>
        <v>0</v>
      </c>
      <c r="AQ1221" s="9" t="n">
        <f aca="false">AE1221*$V1221</f>
        <v>0</v>
      </c>
      <c r="AR1221" s="9" t="n">
        <f aca="false">AF1221*$V1221</f>
        <v>0</v>
      </c>
      <c r="AS1221" s="9" t="n">
        <f aca="false">AG1221*$V1221</f>
        <v>0</v>
      </c>
      <c r="AT1221" s="9" t="n">
        <f aca="false">AH1221*$V1221</f>
        <v>0</v>
      </c>
      <c r="AU1221" s="9" t="n">
        <f aca="false">AI1221*$V1221</f>
        <v>0</v>
      </c>
      <c r="AV1221" s="9" t="n">
        <f aca="false">SUM(X1221:AI1221)/1000</f>
        <v>20</v>
      </c>
      <c r="AW1221" s="9" t="n">
        <f aca="false">SUM(AJ1221:AU1221)</f>
        <v>131000</v>
      </c>
      <c r="AX1221" s="9" t="n">
        <f aca="false">IF(D1221="INR",AW1221/88.24,AW1221)/1000000</f>
        <v>0.00148458748866727</v>
      </c>
    </row>
    <row r="1222" s="2" customFormat="true" ht="14.25" hidden="false" customHeight="false" outlineLevel="0" collapsed="false">
      <c r="A1222" s="35"/>
      <c r="B1222" s="9" t="n">
        <v>1</v>
      </c>
      <c r="C1222" s="10"/>
      <c r="D1222" s="9" t="s">
        <v>50</v>
      </c>
      <c r="E1222" s="16"/>
      <c r="F1222" s="9" t="s">
        <v>52</v>
      </c>
      <c r="G1222" s="9"/>
      <c r="H1222" s="9" t="s">
        <v>293</v>
      </c>
      <c r="I1222" s="9" t="s">
        <v>55</v>
      </c>
      <c r="J1222" s="9" t="s">
        <v>56</v>
      </c>
      <c r="K1222" s="9"/>
      <c r="L1222" s="9" t="s">
        <v>55</v>
      </c>
      <c r="M1222" s="9" t="s">
        <v>56</v>
      </c>
      <c r="N1222" s="16" t="s">
        <v>93</v>
      </c>
      <c r="O1222" s="9" t="s">
        <v>294</v>
      </c>
      <c r="P1222" s="16"/>
      <c r="Q1222" s="16" t="s">
        <v>1363</v>
      </c>
      <c r="R1222" s="16"/>
      <c r="S1222" s="16"/>
      <c r="T1222" s="9" t="s">
        <v>2342</v>
      </c>
      <c r="U1222" s="16" t="s">
        <v>63</v>
      </c>
      <c r="V1222" s="9" t="n">
        <v>1.2</v>
      </c>
      <c r="W1222" s="9"/>
      <c r="X1222" s="22" t="n">
        <v>10000</v>
      </c>
      <c r="Y1222" s="9"/>
      <c r="Z1222" s="9"/>
      <c r="AA1222" s="9" t="n">
        <v>10000</v>
      </c>
      <c r="AB1222" s="9"/>
      <c r="AC1222" s="9"/>
      <c r="AD1222" s="9"/>
      <c r="AE1222" s="9"/>
      <c r="AF1222" s="9"/>
      <c r="AG1222" s="9"/>
      <c r="AH1222" s="9"/>
      <c r="AI1222" s="9"/>
      <c r="AJ1222" s="9" t="n">
        <f aca="false">X1222*$V1222</f>
        <v>12000</v>
      </c>
      <c r="AK1222" s="9" t="n">
        <f aca="false">Y1222*$V1222</f>
        <v>0</v>
      </c>
      <c r="AL1222" s="9" t="n">
        <f aca="false">Z1222*$V1222</f>
        <v>0</v>
      </c>
      <c r="AM1222" s="9" t="n">
        <f aca="false">AA1222*$V1222</f>
        <v>12000</v>
      </c>
      <c r="AN1222" s="9" t="n">
        <f aca="false">AB1222*$V1222</f>
        <v>0</v>
      </c>
      <c r="AO1222" s="9" t="n">
        <f aca="false">AC1222*$V1222</f>
        <v>0</v>
      </c>
      <c r="AP1222" s="9" t="n">
        <f aca="false">AD1222*$V1222</f>
        <v>0</v>
      </c>
      <c r="AQ1222" s="9" t="n">
        <f aca="false">AE1222*$V1222</f>
        <v>0</v>
      </c>
      <c r="AR1222" s="9" t="n">
        <f aca="false">AF1222*$V1222</f>
        <v>0</v>
      </c>
      <c r="AS1222" s="9" t="n">
        <f aca="false">AG1222*$V1222</f>
        <v>0</v>
      </c>
      <c r="AT1222" s="9" t="n">
        <f aca="false">AH1222*$V1222</f>
        <v>0</v>
      </c>
      <c r="AU1222" s="9" t="n">
        <f aca="false">AI1222*$V1222</f>
        <v>0</v>
      </c>
      <c r="AV1222" s="9" t="n">
        <f aca="false">SUM(X1222:AI1222)/1000</f>
        <v>20</v>
      </c>
      <c r="AW1222" s="9" t="n">
        <f aca="false">SUM(AJ1222:AU1222)</f>
        <v>24000</v>
      </c>
      <c r="AX1222" s="9" t="n">
        <f aca="false">IF(D1222="INR",AW1222/88.24,AW1222)/1000000</f>
        <v>0.000271985494106981</v>
      </c>
    </row>
    <row r="1223" s="2" customFormat="true" ht="14.25" hidden="false" customHeight="false" outlineLevel="0" collapsed="false">
      <c r="A1223" s="28"/>
      <c r="B1223" s="16" t="n">
        <v>1</v>
      </c>
      <c r="C1223" s="16"/>
      <c r="D1223" s="16" t="s">
        <v>50</v>
      </c>
      <c r="E1223" s="16"/>
      <c r="F1223" s="16" t="s">
        <v>52</v>
      </c>
      <c r="G1223" s="16"/>
      <c r="H1223" s="16" t="s">
        <v>293</v>
      </c>
      <c r="I1223" s="16" t="s">
        <v>55</v>
      </c>
      <c r="J1223" s="16" t="s">
        <v>56</v>
      </c>
      <c r="K1223" s="16"/>
      <c r="L1223" s="16" t="s">
        <v>55</v>
      </c>
      <c r="M1223" s="16" t="s">
        <v>56</v>
      </c>
      <c r="N1223" s="16" t="s">
        <v>93</v>
      </c>
      <c r="O1223" s="16" t="s">
        <v>294</v>
      </c>
      <c r="P1223" s="16"/>
      <c r="Q1223" s="16" t="s">
        <v>1363</v>
      </c>
      <c r="R1223" s="16"/>
      <c r="S1223" s="16"/>
      <c r="T1223" s="16" t="s">
        <v>2343</v>
      </c>
      <c r="U1223" s="16" t="s">
        <v>63</v>
      </c>
      <c r="V1223" s="16" t="n">
        <v>0.83</v>
      </c>
      <c r="W1223" s="26"/>
      <c r="X1223" s="16" t="n">
        <v>10000</v>
      </c>
      <c r="Y1223" s="16"/>
      <c r="Z1223" s="16"/>
      <c r="AA1223" s="16" t="n">
        <v>10000</v>
      </c>
      <c r="AB1223" s="16"/>
      <c r="AC1223" s="16"/>
      <c r="AD1223" s="16"/>
      <c r="AE1223" s="16"/>
      <c r="AF1223" s="16"/>
      <c r="AG1223" s="16"/>
      <c r="AH1223" s="16"/>
      <c r="AI1223" s="16"/>
      <c r="AJ1223" s="9" t="n">
        <f aca="false">X1223*$V1223</f>
        <v>8300</v>
      </c>
      <c r="AK1223" s="9" t="n">
        <f aca="false">Y1223*$V1223</f>
        <v>0</v>
      </c>
      <c r="AL1223" s="9" t="n">
        <f aca="false">Z1223*$V1223</f>
        <v>0</v>
      </c>
      <c r="AM1223" s="9" t="n">
        <f aca="false">AA1223*$V1223</f>
        <v>8300</v>
      </c>
      <c r="AN1223" s="9" t="n">
        <f aca="false">AB1223*$V1223</f>
        <v>0</v>
      </c>
      <c r="AO1223" s="9" t="n">
        <f aca="false">AC1223*$V1223</f>
        <v>0</v>
      </c>
      <c r="AP1223" s="9" t="n">
        <f aca="false">AD1223*$V1223</f>
        <v>0</v>
      </c>
      <c r="AQ1223" s="9" t="n">
        <f aca="false">AE1223*$V1223</f>
        <v>0</v>
      </c>
      <c r="AR1223" s="9" t="n">
        <f aca="false">AF1223*$V1223</f>
        <v>0</v>
      </c>
      <c r="AS1223" s="9" t="n">
        <f aca="false">AG1223*$V1223</f>
        <v>0</v>
      </c>
      <c r="AT1223" s="9" t="n">
        <f aca="false">AH1223*$V1223</f>
        <v>0</v>
      </c>
      <c r="AU1223" s="9" t="n">
        <f aca="false">AI1223*$V1223</f>
        <v>0</v>
      </c>
      <c r="AV1223" s="9" t="n">
        <f aca="false">SUM(X1223:AI1223)/1000</f>
        <v>20</v>
      </c>
      <c r="AW1223" s="9" t="n">
        <f aca="false">SUM(AJ1223:AU1223)</f>
        <v>16600</v>
      </c>
      <c r="AX1223" s="9" t="n">
        <f aca="false">IF(D1223="INR",AW1223/88.24,AW1223)/1000000</f>
        <v>0.000188123300090662</v>
      </c>
    </row>
    <row r="1224" s="2" customFormat="true" ht="14.25" hidden="false" customHeight="false" outlineLevel="0" collapsed="false">
      <c r="A1224" s="28"/>
      <c r="B1224" s="16" t="n">
        <v>1</v>
      </c>
      <c r="C1224" s="16"/>
      <c r="D1224" s="16" t="s">
        <v>50</v>
      </c>
      <c r="E1224" s="16"/>
      <c r="F1224" s="16" t="s">
        <v>52</v>
      </c>
      <c r="G1224" s="16"/>
      <c r="H1224" s="16" t="s">
        <v>293</v>
      </c>
      <c r="I1224" s="16" t="s">
        <v>55</v>
      </c>
      <c r="J1224" s="16" t="s">
        <v>56</v>
      </c>
      <c r="K1224" s="16"/>
      <c r="L1224" s="16" t="s">
        <v>55</v>
      </c>
      <c r="M1224" s="16" t="s">
        <v>56</v>
      </c>
      <c r="N1224" s="16" t="s">
        <v>93</v>
      </c>
      <c r="O1224" s="16" t="s">
        <v>294</v>
      </c>
      <c r="P1224" s="16"/>
      <c r="Q1224" s="16" t="s">
        <v>1363</v>
      </c>
      <c r="R1224" s="16"/>
      <c r="S1224" s="16"/>
      <c r="T1224" s="16" t="s">
        <v>2344</v>
      </c>
      <c r="U1224" s="16" t="s">
        <v>63</v>
      </c>
      <c r="V1224" s="26" t="n">
        <v>0.55</v>
      </c>
      <c r="W1224" s="16"/>
      <c r="X1224" s="16" t="n">
        <v>10000</v>
      </c>
      <c r="Y1224" s="16"/>
      <c r="Z1224" s="16"/>
      <c r="AA1224" s="16" t="n">
        <v>10000</v>
      </c>
      <c r="AB1224" s="16"/>
      <c r="AC1224" s="16"/>
      <c r="AD1224" s="16"/>
      <c r="AE1224" s="16"/>
      <c r="AF1224" s="16"/>
      <c r="AG1224" s="16"/>
      <c r="AH1224" s="16"/>
      <c r="AI1224" s="16"/>
      <c r="AJ1224" s="9" t="n">
        <f aca="false">X1224*$V1224</f>
        <v>5500</v>
      </c>
      <c r="AK1224" s="9" t="n">
        <f aca="false">Y1224*$V1224</f>
        <v>0</v>
      </c>
      <c r="AL1224" s="9" t="n">
        <f aca="false">Z1224*$V1224</f>
        <v>0</v>
      </c>
      <c r="AM1224" s="9" t="n">
        <f aca="false">AA1224*$V1224</f>
        <v>5500</v>
      </c>
      <c r="AN1224" s="9" t="n">
        <f aca="false">AB1224*$V1224</f>
        <v>0</v>
      </c>
      <c r="AO1224" s="9" t="n">
        <f aca="false">AC1224*$V1224</f>
        <v>0</v>
      </c>
      <c r="AP1224" s="9" t="n">
        <f aca="false">AD1224*$V1224</f>
        <v>0</v>
      </c>
      <c r="AQ1224" s="9" t="n">
        <f aca="false">AE1224*$V1224</f>
        <v>0</v>
      </c>
      <c r="AR1224" s="9" t="n">
        <f aca="false">AF1224*$V1224</f>
        <v>0</v>
      </c>
      <c r="AS1224" s="9" t="n">
        <f aca="false">AG1224*$V1224</f>
        <v>0</v>
      </c>
      <c r="AT1224" s="9" t="n">
        <f aca="false">AH1224*$V1224</f>
        <v>0</v>
      </c>
      <c r="AU1224" s="9" t="n">
        <f aca="false">AI1224*$V1224</f>
        <v>0</v>
      </c>
      <c r="AV1224" s="9" t="n">
        <f aca="false">SUM(X1224:AI1224)/1000</f>
        <v>20</v>
      </c>
      <c r="AW1224" s="9" t="n">
        <f aca="false">SUM(AJ1224:AU1224)</f>
        <v>11000</v>
      </c>
      <c r="AX1224" s="9" t="n">
        <f aca="false">IF(D1224="INR",AW1224/88.24,AW1224)/1000000</f>
        <v>0.000124660018132366</v>
      </c>
    </row>
    <row r="1225" s="2" customFormat="true" ht="14.25" hidden="false" customHeight="false" outlineLevel="0" collapsed="false">
      <c r="A1225" s="12" t="s">
        <v>2345</v>
      </c>
      <c r="B1225" s="16" t="n">
        <v>5</v>
      </c>
      <c r="C1225" s="15"/>
      <c r="D1225" s="16" t="s">
        <v>50</v>
      </c>
      <c r="E1225" s="16" t="s">
        <v>51</v>
      </c>
      <c r="F1225" s="16" t="s">
        <v>52</v>
      </c>
      <c r="G1225" s="16" t="s">
        <v>292</v>
      </c>
      <c r="H1225" s="16" t="s">
        <v>293</v>
      </c>
      <c r="I1225" s="16" t="s">
        <v>55</v>
      </c>
      <c r="J1225" s="16" t="s">
        <v>56</v>
      </c>
      <c r="K1225" s="16"/>
      <c r="L1225" s="16" t="s">
        <v>55</v>
      </c>
      <c r="M1225" s="16" t="s">
        <v>56</v>
      </c>
      <c r="N1225" s="16" t="s">
        <v>93</v>
      </c>
      <c r="O1225" s="16" t="s">
        <v>294</v>
      </c>
      <c r="P1225" s="16" t="s">
        <v>59</v>
      </c>
      <c r="Q1225" s="16" t="s">
        <v>59</v>
      </c>
      <c r="R1225" s="16" t="s">
        <v>60</v>
      </c>
      <c r="S1225" s="16" t="s">
        <v>61</v>
      </c>
      <c r="T1225" s="16" t="s">
        <v>2346</v>
      </c>
      <c r="U1225" s="16" t="s">
        <v>73</v>
      </c>
      <c r="V1225" s="16" t="n">
        <v>215</v>
      </c>
      <c r="W1225" s="16" t="n">
        <v>215</v>
      </c>
      <c r="X1225" s="16" t="n">
        <v>2000</v>
      </c>
      <c r="Y1225" s="16"/>
      <c r="Z1225" s="16"/>
      <c r="AA1225" s="16" t="n">
        <v>10000</v>
      </c>
      <c r="AB1225" s="16"/>
      <c r="AC1225" s="26"/>
      <c r="AD1225" s="26"/>
      <c r="AE1225" s="16"/>
      <c r="AF1225" s="16"/>
      <c r="AG1225" s="16"/>
      <c r="AH1225" s="16"/>
      <c r="AI1225" s="16"/>
      <c r="AJ1225" s="9" t="n">
        <f aca="false">X1225*$V1225</f>
        <v>430000</v>
      </c>
      <c r="AK1225" s="9" t="n">
        <f aca="false">Y1225*$V1225</f>
        <v>0</v>
      </c>
      <c r="AL1225" s="9" t="n">
        <f aca="false">Z1225*$V1225</f>
        <v>0</v>
      </c>
      <c r="AM1225" s="9" t="n">
        <f aca="false">AA1225*$V1225</f>
        <v>2150000</v>
      </c>
      <c r="AN1225" s="9" t="n">
        <f aca="false">AB1225*$V1225</f>
        <v>0</v>
      </c>
      <c r="AO1225" s="9" t="n">
        <f aca="false">AC1225*$V1225</f>
        <v>0</v>
      </c>
      <c r="AP1225" s="9" t="n">
        <f aca="false">AD1225*$V1225</f>
        <v>0</v>
      </c>
      <c r="AQ1225" s="9" t="n">
        <f aca="false">AE1225*$V1225</f>
        <v>0</v>
      </c>
      <c r="AR1225" s="9" t="n">
        <f aca="false">AF1225*$V1225</f>
        <v>0</v>
      </c>
      <c r="AS1225" s="9" t="n">
        <f aca="false">AG1225*$V1225</f>
        <v>0</v>
      </c>
      <c r="AT1225" s="9" t="n">
        <f aca="false">AH1225*$V1225</f>
        <v>0</v>
      </c>
      <c r="AU1225" s="9" t="n">
        <f aca="false">AI1225*$V1225</f>
        <v>0</v>
      </c>
      <c r="AV1225" s="9" t="n">
        <f aca="false">SUM(X1225:AI1225)/1000</f>
        <v>12</v>
      </c>
      <c r="AW1225" s="9" t="n">
        <f aca="false">SUM(AJ1225:AU1225)</f>
        <v>2580000</v>
      </c>
      <c r="AX1225" s="9" t="n">
        <f aca="false">IF(D1225="INR",AW1225/88.24,AW1225)/1000000</f>
        <v>0.0292384406165005</v>
      </c>
    </row>
    <row r="1226" s="2" customFormat="true" ht="14.25" hidden="false" customHeight="false" outlineLevel="0" collapsed="false">
      <c r="A1226" s="12"/>
      <c r="B1226" s="16" t="n">
        <v>1</v>
      </c>
      <c r="C1226" s="15"/>
      <c r="D1226" s="16" t="s">
        <v>50</v>
      </c>
      <c r="E1226" s="16" t="s">
        <v>51</v>
      </c>
      <c r="F1226" s="16" t="s">
        <v>52</v>
      </c>
      <c r="G1226" s="16" t="s">
        <v>506</v>
      </c>
      <c r="H1226" s="16" t="s">
        <v>507</v>
      </c>
      <c r="I1226" s="16"/>
      <c r="J1226" s="16"/>
      <c r="K1226" s="16"/>
      <c r="L1226" s="16" t="s">
        <v>77</v>
      </c>
      <c r="M1226" s="16" t="s">
        <v>325</v>
      </c>
      <c r="N1226" s="16" t="s">
        <v>79</v>
      </c>
      <c r="O1226" s="16" t="s">
        <v>58</v>
      </c>
      <c r="P1226" s="9"/>
      <c r="Q1226" s="16" t="s">
        <v>906</v>
      </c>
      <c r="R1226" s="16"/>
      <c r="S1226" s="16"/>
      <c r="T1226" s="16" t="s">
        <v>2347</v>
      </c>
      <c r="U1226" s="16" t="s">
        <v>73</v>
      </c>
      <c r="V1226" s="15" t="n">
        <v>18</v>
      </c>
      <c r="W1226" s="16"/>
      <c r="X1226" s="16"/>
      <c r="Y1226" s="16"/>
      <c r="Z1226" s="16"/>
      <c r="AA1226" s="16"/>
      <c r="AB1226" s="16" t="n">
        <v>10000</v>
      </c>
      <c r="AC1226" s="16" t="n">
        <v>10000</v>
      </c>
      <c r="AD1226" s="16" t="n">
        <v>10000</v>
      </c>
      <c r="AE1226" s="16" t="n">
        <v>10000</v>
      </c>
      <c r="AF1226" s="16" t="n">
        <v>10000</v>
      </c>
      <c r="AG1226" s="16" t="n">
        <v>10000</v>
      </c>
      <c r="AH1226" s="16" t="n">
        <v>10000</v>
      </c>
      <c r="AI1226" s="16" t="n">
        <v>10000</v>
      </c>
      <c r="AJ1226" s="9" t="n">
        <f aca="false">X1226*$V1226</f>
        <v>0</v>
      </c>
      <c r="AK1226" s="9" t="n">
        <f aca="false">Y1226*$V1226</f>
        <v>0</v>
      </c>
      <c r="AL1226" s="9" t="n">
        <f aca="false">Z1226*$V1226</f>
        <v>0</v>
      </c>
      <c r="AM1226" s="9" t="n">
        <f aca="false">AA1226*$V1226</f>
        <v>0</v>
      </c>
      <c r="AN1226" s="9" t="n">
        <f aca="false">AB1226*$V1226</f>
        <v>180000</v>
      </c>
      <c r="AO1226" s="9" t="n">
        <f aca="false">AC1226*$V1226</f>
        <v>180000</v>
      </c>
      <c r="AP1226" s="9" t="n">
        <f aca="false">AD1226*$V1226</f>
        <v>180000</v>
      </c>
      <c r="AQ1226" s="9" t="n">
        <f aca="false">AE1226*$V1226</f>
        <v>180000</v>
      </c>
      <c r="AR1226" s="9" t="n">
        <f aca="false">AF1226*$V1226</f>
        <v>180000</v>
      </c>
      <c r="AS1226" s="9" t="n">
        <f aca="false">AG1226*$V1226</f>
        <v>180000</v>
      </c>
      <c r="AT1226" s="9" t="n">
        <f aca="false">AH1226*$V1226</f>
        <v>180000</v>
      </c>
      <c r="AU1226" s="9" t="n">
        <f aca="false">AI1226*$V1226</f>
        <v>180000</v>
      </c>
      <c r="AV1226" s="9" t="n">
        <f aca="false">SUM(X1226:AI1226)/1000</f>
        <v>80</v>
      </c>
      <c r="AW1226" s="9" t="n">
        <f aca="false">SUM(AJ1226:AU1226)</f>
        <v>1440000</v>
      </c>
      <c r="AX1226" s="9" t="n">
        <f aca="false">IF(D1226="INR",AW1226/88.24,AW1226)/1000000</f>
        <v>0.0163191296464189</v>
      </c>
    </row>
    <row r="1227" s="2" customFormat="true" ht="14.25" hidden="false" customHeight="false" outlineLevel="0" collapsed="false">
      <c r="A1227" s="12"/>
      <c r="B1227" s="16" t="n">
        <v>1</v>
      </c>
      <c r="C1227" s="15"/>
      <c r="D1227" s="16" t="s">
        <v>50</v>
      </c>
      <c r="E1227" s="16" t="s">
        <v>51</v>
      </c>
      <c r="F1227" s="16" t="s">
        <v>52</v>
      </c>
      <c r="G1227" s="16" t="s">
        <v>506</v>
      </c>
      <c r="H1227" s="16" t="s">
        <v>507</v>
      </c>
      <c r="I1227" s="16"/>
      <c r="J1227" s="16"/>
      <c r="K1227" s="16"/>
      <c r="L1227" s="16" t="s">
        <v>77</v>
      </c>
      <c r="M1227" s="16" t="s">
        <v>325</v>
      </c>
      <c r="N1227" s="16" t="s">
        <v>79</v>
      </c>
      <c r="O1227" s="16" t="s">
        <v>58</v>
      </c>
      <c r="P1227" s="16"/>
      <c r="Q1227" s="16" t="s">
        <v>85</v>
      </c>
      <c r="R1227" s="16"/>
      <c r="S1227" s="16"/>
      <c r="T1227" s="16" t="s">
        <v>2348</v>
      </c>
      <c r="U1227" s="16" t="s">
        <v>73</v>
      </c>
      <c r="V1227" s="16" t="n">
        <v>3.62</v>
      </c>
      <c r="W1227" s="16"/>
      <c r="X1227" s="16"/>
      <c r="Y1227" s="16"/>
      <c r="Z1227" s="16"/>
      <c r="AA1227" s="16"/>
      <c r="AB1227" s="16"/>
      <c r="AC1227" s="16"/>
      <c r="AD1227" s="16" t="n">
        <v>10000</v>
      </c>
      <c r="AE1227" s="16"/>
      <c r="AF1227" s="16"/>
      <c r="AG1227" s="16"/>
      <c r="AH1227" s="16" t="n">
        <v>10000</v>
      </c>
      <c r="AI1227" s="16"/>
      <c r="AJ1227" s="9" t="n">
        <f aca="false">X1227*$V1227</f>
        <v>0</v>
      </c>
      <c r="AK1227" s="9" t="n">
        <f aca="false">Y1227*$V1227</f>
        <v>0</v>
      </c>
      <c r="AL1227" s="9" t="n">
        <f aca="false">Z1227*$V1227</f>
        <v>0</v>
      </c>
      <c r="AM1227" s="9" t="n">
        <f aca="false">AA1227*$V1227</f>
        <v>0</v>
      </c>
      <c r="AN1227" s="9" t="n">
        <f aca="false">AB1227*$V1227</f>
        <v>0</v>
      </c>
      <c r="AO1227" s="9" t="n">
        <f aca="false">AC1227*$V1227</f>
        <v>0</v>
      </c>
      <c r="AP1227" s="9" t="n">
        <f aca="false">AD1227*$V1227</f>
        <v>36200</v>
      </c>
      <c r="AQ1227" s="9" t="n">
        <f aca="false">AE1227*$V1227</f>
        <v>0</v>
      </c>
      <c r="AR1227" s="9" t="n">
        <f aca="false">AF1227*$V1227</f>
        <v>0</v>
      </c>
      <c r="AS1227" s="9" t="n">
        <f aca="false">AG1227*$V1227</f>
        <v>0</v>
      </c>
      <c r="AT1227" s="9" t="n">
        <f aca="false">AH1227*$V1227</f>
        <v>36200</v>
      </c>
      <c r="AU1227" s="9" t="n">
        <f aca="false">AI1227*$V1227</f>
        <v>0</v>
      </c>
      <c r="AV1227" s="9" t="n">
        <f aca="false">SUM(X1227:AI1227)/1000</f>
        <v>20</v>
      </c>
      <c r="AW1227" s="9" t="n">
        <f aca="false">SUM(AJ1227:AU1227)</f>
        <v>72400</v>
      </c>
      <c r="AX1227" s="9" t="n">
        <f aca="false">IF(D1227="INR",AW1227/88.24,AW1227)/1000000</f>
        <v>0.000820489573889393</v>
      </c>
    </row>
    <row r="1228" s="2" customFormat="true" ht="14.25" hidden="false" customHeight="false" outlineLevel="0" collapsed="false">
      <c r="A1228" s="35"/>
      <c r="B1228" s="9" t="n">
        <v>1</v>
      </c>
      <c r="C1228" s="10"/>
      <c r="D1228" s="9" t="s">
        <v>50</v>
      </c>
      <c r="E1228" s="9" t="s">
        <v>51</v>
      </c>
      <c r="F1228" s="9" t="s">
        <v>52</v>
      </c>
      <c r="G1228" s="9" t="s">
        <v>506</v>
      </c>
      <c r="H1228" s="9" t="s">
        <v>507</v>
      </c>
      <c r="I1228" s="9"/>
      <c r="J1228" s="9"/>
      <c r="K1228" s="9"/>
      <c r="L1228" s="9" t="s">
        <v>77</v>
      </c>
      <c r="M1228" s="9" t="s">
        <v>325</v>
      </c>
      <c r="N1228" s="9" t="s">
        <v>79</v>
      </c>
      <c r="O1228" s="9" t="s">
        <v>58</v>
      </c>
      <c r="P1228" s="9"/>
      <c r="Q1228" s="9" t="s">
        <v>85</v>
      </c>
      <c r="R1228" s="9"/>
      <c r="S1228" s="9"/>
      <c r="T1228" s="9" t="s">
        <v>2349</v>
      </c>
      <c r="U1228" s="9" t="s">
        <v>73</v>
      </c>
      <c r="V1228" s="9" t="n">
        <v>2.54</v>
      </c>
      <c r="W1228" s="9"/>
      <c r="X1228" s="9"/>
      <c r="Y1228" s="9"/>
      <c r="Z1228" s="9"/>
      <c r="AA1228" s="9"/>
      <c r="AB1228" s="9"/>
      <c r="AC1228" s="9"/>
      <c r="AD1228" s="9" t="n">
        <v>10000</v>
      </c>
      <c r="AE1228" s="9"/>
      <c r="AF1228" s="9"/>
      <c r="AG1228" s="9"/>
      <c r="AH1228" s="9" t="n">
        <v>10000</v>
      </c>
      <c r="AI1228" s="9"/>
      <c r="AJ1228" s="9" t="n">
        <f aca="false">X1228*$V1228</f>
        <v>0</v>
      </c>
      <c r="AK1228" s="9" t="n">
        <f aca="false">Y1228*$V1228</f>
        <v>0</v>
      </c>
      <c r="AL1228" s="9" t="n">
        <f aca="false">Z1228*$V1228</f>
        <v>0</v>
      </c>
      <c r="AM1228" s="9" t="n">
        <f aca="false">AA1228*$V1228</f>
        <v>0</v>
      </c>
      <c r="AN1228" s="9" t="n">
        <f aca="false">AB1228*$V1228</f>
        <v>0</v>
      </c>
      <c r="AO1228" s="9" t="n">
        <f aca="false">AC1228*$V1228</f>
        <v>0</v>
      </c>
      <c r="AP1228" s="9" t="n">
        <f aca="false">AD1228*$V1228</f>
        <v>25400</v>
      </c>
      <c r="AQ1228" s="9" t="n">
        <f aca="false">AE1228*$V1228</f>
        <v>0</v>
      </c>
      <c r="AR1228" s="9" t="n">
        <f aca="false">AF1228*$V1228</f>
        <v>0</v>
      </c>
      <c r="AS1228" s="9" t="n">
        <f aca="false">AG1228*$V1228</f>
        <v>0</v>
      </c>
      <c r="AT1228" s="9" t="n">
        <f aca="false">AH1228*$V1228</f>
        <v>25400</v>
      </c>
      <c r="AU1228" s="9" t="n">
        <f aca="false">AI1228*$V1228</f>
        <v>0</v>
      </c>
      <c r="AV1228" s="9" t="n">
        <f aca="false">SUM(X1228:AI1228)/1000</f>
        <v>20</v>
      </c>
      <c r="AW1228" s="9" t="n">
        <f aca="false">SUM(AJ1228:AU1228)</f>
        <v>50800</v>
      </c>
      <c r="AX1228" s="9" t="n">
        <f aca="false">IF(D1228="INR",AW1228/88.24,AW1228)/1000000</f>
        <v>0.00057570262919311</v>
      </c>
    </row>
    <row r="1229" s="2" customFormat="true" ht="14.25" hidden="false" customHeight="false" outlineLevel="0" collapsed="false">
      <c r="A1229" s="12" t="s">
        <v>2350</v>
      </c>
      <c r="B1229" s="16" t="n">
        <v>5</v>
      </c>
      <c r="C1229" s="15"/>
      <c r="D1229" s="16" t="s">
        <v>50</v>
      </c>
      <c r="E1229" s="16" t="s">
        <v>51</v>
      </c>
      <c r="F1229" s="16" t="s">
        <v>267</v>
      </c>
      <c r="G1229" s="16" t="s">
        <v>2351</v>
      </c>
      <c r="H1229" s="16" t="s">
        <v>2352</v>
      </c>
      <c r="I1229" s="16" t="s">
        <v>2353</v>
      </c>
      <c r="J1229" s="16" t="s">
        <v>664</v>
      </c>
      <c r="K1229" s="16"/>
      <c r="L1229" s="16" t="s">
        <v>2353</v>
      </c>
      <c r="M1229" s="16" t="s">
        <v>664</v>
      </c>
      <c r="N1229" s="16" t="s">
        <v>271</v>
      </c>
      <c r="O1229" s="16" t="s">
        <v>94</v>
      </c>
      <c r="P1229" s="16" t="s">
        <v>2354</v>
      </c>
      <c r="Q1229" s="16" t="s">
        <v>2354</v>
      </c>
      <c r="R1229" s="16" t="s">
        <v>137</v>
      </c>
      <c r="S1229" s="16" t="s">
        <v>272</v>
      </c>
      <c r="T1229" s="16" t="s">
        <v>2355</v>
      </c>
      <c r="U1229" s="16" t="s">
        <v>73</v>
      </c>
      <c r="V1229" s="16" t="n">
        <v>82</v>
      </c>
      <c r="W1229" s="16" t="n">
        <v>0.598</v>
      </c>
      <c r="X1229" s="22" t="n">
        <v>0</v>
      </c>
      <c r="Y1229" s="22"/>
      <c r="Z1229" s="22"/>
      <c r="AA1229" s="22" t="n">
        <v>2500</v>
      </c>
      <c r="AB1229" s="22"/>
      <c r="AC1229" s="22"/>
      <c r="AD1229" s="22"/>
      <c r="AE1229" s="22"/>
      <c r="AF1229" s="22"/>
      <c r="AG1229" s="22"/>
      <c r="AH1229" s="22" t="n">
        <v>2500</v>
      </c>
      <c r="AI1229" s="22"/>
      <c r="AJ1229" s="9" t="n">
        <f aca="false">X1229*$V1229</f>
        <v>0</v>
      </c>
      <c r="AK1229" s="9" t="n">
        <f aca="false">Y1229*$V1229</f>
        <v>0</v>
      </c>
      <c r="AL1229" s="9" t="n">
        <f aca="false">Z1229*$V1229</f>
        <v>0</v>
      </c>
      <c r="AM1229" s="9" t="n">
        <f aca="false">AA1229*$V1229</f>
        <v>205000</v>
      </c>
      <c r="AN1229" s="9" t="n">
        <f aca="false">AB1229*$V1229</f>
        <v>0</v>
      </c>
      <c r="AO1229" s="9" t="n">
        <f aca="false">AC1229*$V1229</f>
        <v>0</v>
      </c>
      <c r="AP1229" s="9" t="n">
        <f aca="false">AD1229*$V1229</f>
        <v>0</v>
      </c>
      <c r="AQ1229" s="9" t="n">
        <f aca="false">AE1229*$V1229</f>
        <v>0</v>
      </c>
      <c r="AR1229" s="9" t="n">
        <f aca="false">AF1229*$V1229</f>
        <v>0</v>
      </c>
      <c r="AS1229" s="9" t="n">
        <f aca="false">AG1229*$V1229</f>
        <v>0</v>
      </c>
      <c r="AT1229" s="9" t="n">
        <f aca="false">AH1229*$V1229</f>
        <v>205000</v>
      </c>
      <c r="AU1229" s="9" t="n">
        <f aca="false">AI1229*$V1229</f>
        <v>0</v>
      </c>
      <c r="AV1229" s="9" t="n">
        <f aca="false">SUM(X1229:AI1229)/1000</f>
        <v>5</v>
      </c>
      <c r="AW1229" s="9" t="n">
        <f aca="false">SUM(AJ1229:AU1229)</f>
        <v>410000</v>
      </c>
      <c r="AX1229" s="9" t="n">
        <f aca="false">IF(D1229="INR",AW1229/88.24,AW1229)/1000000</f>
        <v>0.00464641885766093</v>
      </c>
    </row>
    <row r="1230" s="2" customFormat="true" ht="14.25" hidden="false" customHeight="false" outlineLevel="0" collapsed="false">
      <c r="A1230" s="12" t="s">
        <v>2356</v>
      </c>
      <c r="B1230" s="16" t="n">
        <v>5</v>
      </c>
      <c r="C1230" s="15"/>
      <c r="D1230" s="16" t="s">
        <v>50</v>
      </c>
      <c r="E1230" s="16" t="s">
        <v>51</v>
      </c>
      <c r="F1230" s="16" t="s">
        <v>267</v>
      </c>
      <c r="G1230" s="16" t="s">
        <v>2351</v>
      </c>
      <c r="H1230" s="16" t="s">
        <v>2352</v>
      </c>
      <c r="I1230" s="16" t="s">
        <v>2353</v>
      </c>
      <c r="J1230" s="16" t="s">
        <v>664</v>
      </c>
      <c r="K1230" s="16"/>
      <c r="L1230" s="16" t="s">
        <v>2353</v>
      </c>
      <c r="M1230" s="16" t="s">
        <v>664</v>
      </c>
      <c r="N1230" s="16" t="s">
        <v>271</v>
      </c>
      <c r="O1230" s="16" t="s">
        <v>94</v>
      </c>
      <c r="P1230" s="16" t="s">
        <v>69</v>
      </c>
      <c r="Q1230" s="16" t="s">
        <v>69</v>
      </c>
      <c r="R1230" s="16" t="s">
        <v>70</v>
      </c>
      <c r="S1230" s="16" t="s">
        <v>71</v>
      </c>
      <c r="T1230" s="16" t="s">
        <v>2083</v>
      </c>
      <c r="U1230" s="16" t="s">
        <v>73</v>
      </c>
      <c r="V1230" s="16" t="n">
        <v>57</v>
      </c>
      <c r="W1230" s="16" t="n">
        <v>0.39</v>
      </c>
      <c r="X1230" s="16" t="n">
        <v>500</v>
      </c>
      <c r="Y1230" s="16"/>
      <c r="Z1230" s="16"/>
      <c r="AA1230" s="16"/>
      <c r="AB1230" s="16"/>
      <c r="AC1230" s="16" t="n">
        <v>500</v>
      </c>
      <c r="AD1230" s="16"/>
      <c r="AE1230" s="16"/>
      <c r="AF1230" s="16"/>
      <c r="AG1230" s="16"/>
      <c r="AH1230" s="16" t="n">
        <v>500</v>
      </c>
      <c r="AI1230" s="16"/>
      <c r="AJ1230" s="9" t="n">
        <f aca="false">X1230*$V1230</f>
        <v>28500</v>
      </c>
      <c r="AK1230" s="9" t="n">
        <f aca="false">Y1230*$V1230</f>
        <v>0</v>
      </c>
      <c r="AL1230" s="9" t="n">
        <f aca="false">Z1230*$V1230</f>
        <v>0</v>
      </c>
      <c r="AM1230" s="9" t="n">
        <f aca="false">AA1230*$V1230</f>
        <v>0</v>
      </c>
      <c r="AN1230" s="9" t="n">
        <f aca="false">AB1230*$V1230</f>
        <v>0</v>
      </c>
      <c r="AO1230" s="9" t="n">
        <f aca="false">AC1230*$V1230</f>
        <v>28500</v>
      </c>
      <c r="AP1230" s="9" t="n">
        <f aca="false">AD1230*$V1230</f>
        <v>0</v>
      </c>
      <c r="AQ1230" s="9" t="n">
        <f aca="false">AE1230*$V1230</f>
        <v>0</v>
      </c>
      <c r="AR1230" s="9" t="n">
        <f aca="false">AF1230*$V1230</f>
        <v>0</v>
      </c>
      <c r="AS1230" s="9" t="n">
        <f aca="false">AG1230*$V1230</f>
        <v>0</v>
      </c>
      <c r="AT1230" s="9" t="n">
        <f aca="false">AH1230*$V1230</f>
        <v>28500</v>
      </c>
      <c r="AU1230" s="9" t="n">
        <f aca="false">AI1230*$V1230</f>
        <v>0</v>
      </c>
      <c r="AV1230" s="9" t="n">
        <f aca="false">SUM(X1230:AI1230)/1000</f>
        <v>1.5</v>
      </c>
      <c r="AW1230" s="9" t="n">
        <f aca="false">SUM(AJ1230:AU1230)</f>
        <v>85500</v>
      </c>
      <c r="AX1230" s="9" t="n">
        <f aca="false">IF(D1230="INR",AW1230/88.24,AW1230)/1000000</f>
        <v>0.00096894832275612</v>
      </c>
    </row>
    <row r="1231" s="2" customFormat="true" ht="14.25" hidden="false" customHeight="true" outlineLevel="0" collapsed="false">
      <c r="A1231" s="28" t="s">
        <v>2357</v>
      </c>
      <c r="B1231" s="16"/>
      <c r="C1231" s="16" t="n">
        <v>5</v>
      </c>
      <c r="D1231" s="16" t="s">
        <v>50</v>
      </c>
      <c r="E1231" s="16" t="s">
        <v>51</v>
      </c>
      <c r="F1231" s="16" t="s">
        <v>52</v>
      </c>
      <c r="G1231" s="16" t="s">
        <v>2358</v>
      </c>
      <c r="H1231" s="16" t="s">
        <v>2359</v>
      </c>
      <c r="I1231" s="16" t="s">
        <v>55</v>
      </c>
      <c r="J1231" s="16" t="s">
        <v>100</v>
      </c>
      <c r="K1231" s="16"/>
      <c r="L1231" s="16" t="s">
        <v>55</v>
      </c>
      <c r="M1231" s="16" t="s">
        <v>100</v>
      </c>
      <c r="N1231" s="16" t="s">
        <v>290</v>
      </c>
      <c r="O1231" s="16" t="s">
        <v>107</v>
      </c>
      <c r="P1231" s="16" t="s">
        <v>308</v>
      </c>
      <c r="Q1231" s="16" t="s">
        <v>308</v>
      </c>
      <c r="R1231" s="16" t="s">
        <v>309</v>
      </c>
      <c r="S1231" s="16" t="s">
        <v>264</v>
      </c>
      <c r="T1231" s="16" t="s">
        <v>2360</v>
      </c>
      <c r="U1231" s="16" t="s">
        <v>73</v>
      </c>
      <c r="V1231" s="26" t="n">
        <v>0.75</v>
      </c>
      <c r="W1231" s="26" t="n">
        <v>0.61</v>
      </c>
      <c r="X1231" s="34"/>
      <c r="Y1231" s="34"/>
      <c r="Z1231" s="34"/>
      <c r="AA1231" s="34"/>
      <c r="AB1231" s="34"/>
      <c r="AC1231" s="34"/>
      <c r="AD1231" s="34"/>
      <c r="AE1231" s="34"/>
      <c r="AF1231" s="34" t="n">
        <v>10000</v>
      </c>
      <c r="AG1231" s="34"/>
      <c r="AH1231" s="34"/>
      <c r="AI1231" s="34"/>
      <c r="AJ1231" s="9" t="n">
        <f aca="false">X1231*$V1231</f>
        <v>0</v>
      </c>
      <c r="AK1231" s="9" t="n">
        <f aca="false">Y1231*$V1231</f>
        <v>0</v>
      </c>
      <c r="AL1231" s="9" t="n">
        <f aca="false">Z1231*$V1231</f>
        <v>0</v>
      </c>
      <c r="AM1231" s="9" t="n">
        <f aca="false">AA1231*$V1231</f>
        <v>0</v>
      </c>
      <c r="AN1231" s="9" t="n">
        <f aca="false">AB1231*$V1231</f>
        <v>0</v>
      </c>
      <c r="AO1231" s="9" t="n">
        <f aca="false">AC1231*$V1231</f>
        <v>0</v>
      </c>
      <c r="AP1231" s="9" t="n">
        <f aca="false">AD1231*$V1231</f>
        <v>0</v>
      </c>
      <c r="AQ1231" s="9" t="n">
        <f aca="false">AE1231*$V1231</f>
        <v>0</v>
      </c>
      <c r="AR1231" s="9" t="n">
        <f aca="false">AF1231*$V1231</f>
        <v>7500</v>
      </c>
      <c r="AS1231" s="9" t="n">
        <f aca="false">AG1231*$V1231</f>
        <v>0</v>
      </c>
      <c r="AT1231" s="9" t="n">
        <f aca="false">AH1231*$V1231</f>
        <v>0</v>
      </c>
      <c r="AU1231" s="9" t="n">
        <f aca="false">AI1231*$V1231</f>
        <v>0</v>
      </c>
      <c r="AV1231" s="9" t="n">
        <f aca="false">SUM(X1231:AI1231)/1000</f>
        <v>10</v>
      </c>
      <c r="AW1231" s="9" t="n">
        <f aca="false">SUM(AJ1231:AU1231)</f>
        <v>7500</v>
      </c>
      <c r="AX1231" s="9" t="n">
        <f aca="false">IF(D1231="INR",AW1231/88.24,AW1231)/1000000</f>
        <v>8.49954669084316E-005</v>
      </c>
    </row>
    <row r="1232" s="2" customFormat="true" ht="16.4" hidden="false" customHeight="false" outlineLevel="0" collapsed="false">
      <c r="A1232" s="35" t="s">
        <v>2361</v>
      </c>
      <c r="B1232" s="9" t="n">
        <v>5</v>
      </c>
      <c r="C1232" s="10"/>
      <c r="D1232" s="9" t="s">
        <v>50</v>
      </c>
      <c r="E1232" s="9" t="s">
        <v>51</v>
      </c>
      <c r="F1232" s="9" t="s">
        <v>52</v>
      </c>
      <c r="G1232" s="9" t="s">
        <v>296</v>
      </c>
      <c r="H1232" s="9" t="s">
        <v>297</v>
      </c>
      <c r="I1232" s="9" t="s">
        <v>298</v>
      </c>
      <c r="J1232" s="9" t="s">
        <v>299</v>
      </c>
      <c r="K1232" s="9"/>
      <c r="L1232" s="9" t="s">
        <v>298</v>
      </c>
      <c r="M1232" s="9" t="s">
        <v>299</v>
      </c>
      <c r="N1232" s="9" t="s">
        <v>67</v>
      </c>
      <c r="O1232" s="9" t="s">
        <v>107</v>
      </c>
      <c r="P1232" s="9" t="s">
        <v>308</v>
      </c>
      <c r="Q1232" s="9" t="s">
        <v>308</v>
      </c>
      <c r="R1232" s="9" t="s">
        <v>309</v>
      </c>
      <c r="S1232" s="9" t="s">
        <v>264</v>
      </c>
      <c r="T1232" s="9" t="s">
        <v>1860</v>
      </c>
      <c r="U1232" s="9" t="s">
        <v>73</v>
      </c>
      <c r="V1232" s="9" t="n">
        <v>0.6</v>
      </c>
      <c r="W1232" s="9" t="n">
        <v>0.51</v>
      </c>
      <c r="X1232" s="9" t="n">
        <v>12000</v>
      </c>
      <c r="Y1232" s="9" t="n">
        <v>12000</v>
      </c>
      <c r="Z1232" s="9"/>
      <c r="AA1232" s="9" t="n">
        <v>12000</v>
      </c>
      <c r="AB1232" s="9" t="n">
        <v>12000</v>
      </c>
      <c r="AC1232" s="9"/>
      <c r="AD1232" s="9" t="n">
        <v>12000</v>
      </c>
      <c r="AE1232" s="9" t="n">
        <v>12000</v>
      </c>
      <c r="AF1232" s="9"/>
      <c r="AG1232" s="9" t="n">
        <v>12000</v>
      </c>
      <c r="AH1232" s="9" t="n">
        <v>12000</v>
      </c>
      <c r="AI1232" s="9"/>
      <c r="AJ1232" s="9" t="n">
        <f aca="false">X1232*$V1232</f>
        <v>7200</v>
      </c>
      <c r="AK1232" s="9" t="n">
        <f aca="false">Y1232*$V1232</f>
        <v>7200</v>
      </c>
      <c r="AL1232" s="9" t="n">
        <f aca="false">Z1232*$V1232</f>
        <v>0</v>
      </c>
      <c r="AM1232" s="9" t="n">
        <f aca="false">AA1232*$V1232</f>
        <v>7200</v>
      </c>
      <c r="AN1232" s="9" t="n">
        <f aca="false">AB1232*$V1232</f>
        <v>7200</v>
      </c>
      <c r="AO1232" s="9" t="n">
        <f aca="false">AC1232*$V1232</f>
        <v>0</v>
      </c>
      <c r="AP1232" s="9" t="n">
        <f aca="false">AD1232*$V1232</f>
        <v>7200</v>
      </c>
      <c r="AQ1232" s="9" t="n">
        <f aca="false">AE1232*$V1232</f>
        <v>7200</v>
      </c>
      <c r="AR1232" s="9" t="n">
        <f aca="false">AF1232*$V1232</f>
        <v>0</v>
      </c>
      <c r="AS1232" s="9" t="n">
        <f aca="false">AG1232*$V1232</f>
        <v>7200</v>
      </c>
      <c r="AT1232" s="9" t="n">
        <f aca="false">AH1232*$V1232</f>
        <v>7200</v>
      </c>
      <c r="AU1232" s="9" t="n">
        <f aca="false">AI1232*$V1232</f>
        <v>0</v>
      </c>
      <c r="AV1232" s="9" t="n">
        <f aca="false">SUM(X1232:AI1232)/1000</f>
        <v>96</v>
      </c>
      <c r="AW1232" s="9" t="n">
        <f aca="false">SUM(AJ1232:AU1232)</f>
        <v>57600</v>
      </c>
      <c r="AX1232" s="9" t="n">
        <f aca="false">IF(D1232="INR",AW1232/88.24,AW1232)/1000000</f>
        <v>0.000652765185856754</v>
      </c>
    </row>
    <row r="1233" s="2" customFormat="true" ht="14.25" hidden="false" customHeight="true" outlineLevel="0" collapsed="false">
      <c r="A1233" s="12"/>
      <c r="B1233" s="16" t="n">
        <v>1</v>
      </c>
      <c r="C1233" s="15"/>
      <c r="D1233" s="16" t="s">
        <v>50</v>
      </c>
      <c r="E1233" s="16" t="s">
        <v>51</v>
      </c>
      <c r="F1233" s="16" t="s">
        <v>52</v>
      </c>
      <c r="G1233" s="16"/>
      <c r="H1233" s="16" t="s">
        <v>2362</v>
      </c>
      <c r="I1233" s="16"/>
      <c r="J1233" s="16"/>
      <c r="K1233" s="16"/>
      <c r="L1233" s="16"/>
      <c r="M1233" s="16"/>
      <c r="N1233" s="16" t="s">
        <v>79</v>
      </c>
      <c r="O1233" s="16"/>
      <c r="P1233" s="16"/>
      <c r="Q1233" s="9" t="s">
        <v>59</v>
      </c>
      <c r="R1233" s="16"/>
      <c r="S1233" s="16"/>
      <c r="T1233" s="16" t="s">
        <v>867</v>
      </c>
      <c r="U1233" s="16" t="s">
        <v>63</v>
      </c>
      <c r="V1233" s="16" t="n">
        <v>590</v>
      </c>
      <c r="W1233" s="16"/>
      <c r="X1233" s="16"/>
      <c r="Y1233" s="16" t="n">
        <v>250</v>
      </c>
      <c r="Z1233" s="16"/>
      <c r="AA1233" s="16" t="n">
        <v>250</v>
      </c>
      <c r="AB1233" s="16" t="n">
        <v>250</v>
      </c>
      <c r="AC1233" s="16"/>
      <c r="AD1233" s="16" t="n">
        <v>250</v>
      </c>
      <c r="AE1233" s="16"/>
      <c r="AF1233" s="16" t="n">
        <v>250</v>
      </c>
      <c r="AG1233" s="16" t="n">
        <v>250</v>
      </c>
      <c r="AH1233" s="16"/>
      <c r="AI1233" s="16" t="n">
        <v>250</v>
      </c>
      <c r="AJ1233" s="9" t="n">
        <f aca="false">X1233*$V1233</f>
        <v>0</v>
      </c>
      <c r="AK1233" s="9" t="n">
        <f aca="false">Y1233*$V1233</f>
        <v>147500</v>
      </c>
      <c r="AL1233" s="9" t="n">
        <f aca="false">Z1233*$V1233</f>
        <v>0</v>
      </c>
      <c r="AM1233" s="9" t="n">
        <f aca="false">AA1233*$V1233</f>
        <v>147500</v>
      </c>
      <c r="AN1233" s="9" t="n">
        <f aca="false">AB1233*$V1233</f>
        <v>147500</v>
      </c>
      <c r="AO1233" s="9" t="n">
        <f aca="false">AC1233*$V1233</f>
        <v>0</v>
      </c>
      <c r="AP1233" s="9" t="n">
        <f aca="false">AD1233*$V1233</f>
        <v>147500</v>
      </c>
      <c r="AQ1233" s="9" t="n">
        <f aca="false">AE1233*$V1233</f>
        <v>0</v>
      </c>
      <c r="AR1233" s="9" t="n">
        <f aca="false">AF1233*$V1233</f>
        <v>147500</v>
      </c>
      <c r="AS1233" s="9" t="n">
        <f aca="false">AG1233*$V1233</f>
        <v>147500</v>
      </c>
      <c r="AT1233" s="9" t="n">
        <f aca="false">AH1233*$V1233</f>
        <v>0</v>
      </c>
      <c r="AU1233" s="9" t="n">
        <f aca="false">AI1233*$V1233</f>
        <v>147500</v>
      </c>
      <c r="AV1233" s="9" t="n">
        <f aca="false">SUM(X1233:AI1233)/1000</f>
        <v>1.75</v>
      </c>
      <c r="AW1233" s="9" t="n">
        <f aca="false">SUM(AJ1233:AU1233)</f>
        <v>1032500</v>
      </c>
      <c r="AX1233" s="9" t="n">
        <f aca="false">IF(D1233="INR",AW1233/88.24,AW1233)/1000000</f>
        <v>0.0117010426110607</v>
      </c>
    </row>
    <row r="1234" s="2" customFormat="true" ht="14.25" hidden="false" customHeight="true" outlineLevel="0" collapsed="false">
      <c r="A1234" s="35"/>
      <c r="B1234" s="9" t="n">
        <v>1</v>
      </c>
      <c r="C1234" s="10"/>
      <c r="D1234" s="9" t="s">
        <v>50</v>
      </c>
      <c r="E1234" s="9" t="s">
        <v>51</v>
      </c>
      <c r="F1234" s="9" t="s">
        <v>52</v>
      </c>
      <c r="G1234" s="9"/>
      <c r="H1234" s="9" t="s">
        <v>2362</v>
      </c>
      <c r="I1234" s="9"/>
      <c r="J1234" s="9"/>
      <c r="K1234" s="9"/>
      <c r="L1234" s="9"/>
      <c r="M1234" s="9"/>
      <c r="N1234" s="9" t="s">
        <v>79</v>
      </c>
      <c r="O1234" s="9"/>
      <c r="P1234" s="9"/>
      <c r="Q1234" s="9" t="s">
        <v>110</v>
      </c>
      <c r="R1234" s="9"/>
      <c r="S1234" s="9"/>
      <c r="T1234" s="9" t="s">
        <v>2363</v>
      </c>
      <c r="U1234" s="9" t="s">
        <v>63</v>
      </c>
      <c r="V1234" s="9"/>
      <c r="W1234" s="9"/>
      <c r="X1234" s="9"/>
      <c r="Y1234" s="9" t="n">
        <v>250</v>
      </c>
      <c r="Z1234" s="9"/>
      <c r="AA1234" s="9" t="n">
        <v>250</v>
      </c>
      <c r="AB1234" s="9" t="n">
        <v>250</v>
      </c>
      <c r="AC1234" s="9"/>
      <c r="AD1234" s="9" t="n">
        <v>250</v>
      </c>
      <c r="AE1234" s="9"/>
      <c r="AF1234" s="9" t="n">
        <v>250</v>
      </c>
      <c r="AG1234" s="9" t="n">
        <v>250</v>
      </c>
      <c r="AH1234" s="9"/>
      <c r="AI1234" s="9" t="n">
        <v>250</v>
      </c>
      <c r="AJ1234" s="9" t="n">
        <f aca="false">X1234*$V1234</f>
        <v>0</v>
      </c>
      <c r="AK1234" s="9" t="n">
        <f aca="false">Y1234*$V1234</f>
        <v>0</v>
      </c>
      <c r="AL1234" s="9" t="n">
        <f aca="false">Z1234*$V1234</f>
        <v>0</v>
      </c>
      <c r="AM1234" s="9" t="n">
        <f aca="false">AA1234*$V1234</f>
        <v>0</v>
      </c>
      <c r="AN1234" s="9" t="n">
        <f aca="false">AB1234*$V1234</f>
        <v>0</v>
      </c>
      <c r="AO1234" s="9" t="n">
        <f aca="false">AC1234*$V1234</f>
        <v>0</v>
      </c>
      <c r="AP1234" s="9" t="n">
        <f aca="false">AD1234*$V1234</f>
        <v>0</v>
      </c>
      <c r="AQ1234" s="9" t="n">
        <f aca="false">AE1234*$V1234</f>
        <v>0</v>
      </c>
      <c r="AR1234" s="9" t="n">
        <f aca="false">AF1234*$V1234</f>
        <v>0</v>
      </c>
      <c r="AS1234" s="9" t="n">
        <f aca="false">AG1234*$V1234</f>
        <v>0</v>
      </c>
      <c r="AT1234" s="9" t="n">
        <f aca="false">AH1234*$V1234</f>
        <v>0</v>
      </c>
      <c r="AU1234" s="9" t="n">
        <f aca="false">AI1234*$V1234</f>
        <v>0</v>
      </c>
      <c r="AV1234" s="9" t="n">
        <f aca="false">SUM(X1234:AI1234)/1000</f>
        <v>1.75</v>
      </c>
      <c r="AW1234" s="9" t="n">
        <f aca="false">SUM(AJ1234:AU1234)</f>
        <v>0</v>
      </c>
      <c r="AX1234" s="9" t="n">
        <f aca="false">IF(D1234="INR",AW1234/88.24,AW1234)/1000000</f>
        <v>0</v>
      </c>
    </row>
    <row r="1235" s="2" customFormat="true" ht="14.25" hidden="false" customHeight="false" outlineLevel="0" collapsed="false">
      <c r="A1235" s="12" t="s">
        <v>2364</v>
      </c>
      <c r="B1235" s="16"/>
      <c r="C1235" s="15"/>
      <c r="D1235" s="16" t="s">
        <v>50</v>
      </c>
      <c r="E1235" s="16" t="s">
        <v>51</v>
      </c>
      <c r="F1235" s="16" t="s">
        <v>52</v>
      </c>
      <c r="G1235" s="16" t="s">
        <v>65</v>
      </c>
      <c r="H1235" s="16" t="s">
        <v>66</v>
      </c>
      <c r="I1235" s="16" t="s">
        <v>55</v>
      </c>
      <c r="J1235" s="16" t="s">
        <v>56</v>
      </c>
      <c r="K1235" s="16"/>
      <c r="L1235" s="16" t="s">
        <v>55</v>
      </c>
      <c r="M1235" s="16" t="s">
        <v>56</v>
      </c>
      <c r="N1235" s="16" t="s">
        <v>67</v>
      </c>
      <c r="O1235" s="16" t="s">
        <v>68</v>
      </c>
      <c r="P1235" s="16" t="s">
        <v>208</v>
      </c>
      <c r="Q1235" s="16" t="s">
        <v>208</v>
      </c>
      <c r="R1235" s="16" t="s">
        <v>309</v>
      </c>
      <c r="S1235" s="16" t="s">
        <v>87</v>
      </c>
      <c r="T1235" s="16" t="s">
        <v>1049</v>
      </c>
      <c r="U1235" s="16" t="s">
        <v>73</v>
      </c>
      <c r="V1235" s="16" t="n">
        <v>3.1</v>
      </c>
      <c r="W1235" s="16" t="n">
        <v>0.0219</v>
      </c>
      <c r="X1235" s="16"/>
      <c r="Y1235" s="16" t="n">
        <v>60000</v>
      </c>
      <c r="Z1235" s="16"/>
      <c r="AA1235" s="16" t="n">
        <v>60000</v>
      </c>
      <c r="AB1235" s="16"/>
      <c r="AC1235" s="16" t="n">
        <v>60000</v>
      </c>
      <c r="AD1235" s="16"/>
      <c r="AE1235" s="16" t="n">
        <v>60000</v>
      </c>
      <c r="AF1235" s="16"/>
      <c r="AG1235" s="16" t="n">
        <v>60000</v>
      </c>
      <c r="AH1235" s="16"/>
      <c r="AI1235" s="16" t="n">
        <v>60000</v>
      </c>
      <c r="AJ1235" s="9" t="n">
        <f aca="false">X1235*$V1235</f>
        <v>0</v>
      </c>
      <c r="AK1235" s="9" t="n">
        <f aca="false">Y1235*$V1235</f>
        <v>186000</v>
      </c>
      <c r="AL1235" s="9" t="n">
        <f aca="false">Z1235*$V1235</f>
        <v>0</v>
      </c>
      <c r="AM1235" s="9" t="n">
        <f aca="false">AA1235*$V1235</f>
        <v>186000</v>
      </c>
      <c r="AN1235" s="9" t="n">
        <f aca="false">AB1235*$V1235</f>
        <v>0</v>
      </c>
      <c r="AO1235" s="9" t="n">
        <f aca="false">AC1235*$V1235</f>
        <v>186000</v>
      </c>
      <c r="AP1235" s="9" t="n">
        <f aca="false">AD1235*$V1235</f>
        <v>0</v>
      </c>
      <c r="AQ1235" s="9" t="n">
        <f aca="false">AE1235*$V1235</f>
        <v>186000</v>
      </c>
      <c r="AR1235" s="9" t="n">
        <f aca="false">AF1235*$V1235</f>
        <v>0</v>
      </c>
      <c r="AS1235" s="9" t="n">
        <f aca="false">AG1235*$V1235</f>
        <v>186000</v>
      </c>
      <c r="AT1235" s="9" t="n">
        <f aca="false">AH1235*$V1235</f>
        <v>0</v>
      </c>
      <c r="AU1235" s="9" t="n">
        <f aca="false">AI1235*$V1235</f>
        <v>186000</v>
      </c>
      <c r="AV1235" s="9" t="n">
        <f aca="false">SUM(X1235:AI1235)/1000</f>
        <v>360</v>
      </c>
      <c r="AW1235" s="9" t="n">
        <f aca="false">SUM(AJ1235:AU1235)</f>
        <v>1116000</v>
      </c>
      <c r="AX1235" s="9" t="n">
        <f aca="false">IF(D1235="INR",AW1235/88.24,AW1235)/1000000</f>
        <v>0.0126473254759746</v>
      </c>
    </row>
    <row r="1236" s="2" customFormat="true" ht="14.25" hidden="false" customHeight="false" outlineLevel="0" collapsed="false">
      <c r="A1236" s="12" t="s">
        <v>2365</v>
      </c>
      <c r="B1236" s="16" t="n">
        <v>5</v>
      </c>
      <c r="C1236" s="15"/>
      <c r="D1236" s="16" t="s">
        <v>50</v>
      </c>
      <c r="E1236" s="16" t="s">
        <v>51</v>
      </c>
      <c r="F1236" s="16" t="s">
        <v>52</v>
      </c>
      <c r="G1236" s="16" t="s">
        <v>65</v>
      </c>
      <c r="H1236" s="16" t="s">
        <v>66</v>
      </c>
      <c r="I1236" s="16" t="s">
        <v>55</v>
      </c>
      <c r="J1236" s="16" t="s">
        <v>56</v>
      </c>
      <c r="K1236" s="16"/>
      <c r="L1236" s="16" t="s">
        <v>55</v>
      </c>
      <c r="M1236" s="16" t="s">
        <v>56</v>
      </c>
      <c r="N1236" s="16" t="s">
        <v>67</v>
      </c>
      <c r="O1236" s="16" t="s">
        <v>68</v>
      </c>
      <c r="P1236" s="16" t="s">
        <v>110</v>
      </c>
      <c r="Q1236" s="16" t="s">
        <v>110</v>
      </c>
      <c r="R1236" s="16" t="s">
        <v>137</v>
      </c>
      <c r="S1236" s="16" t="s">
        <v>272</v>
      </c>
      <c r="T1236" s="16" t="s">
        <v>1427</v>
      </c>
      <c r="U1236" s="16" t="s">
        <v>73</v>
      </c>
      <c r="V1236" s="16" t="n">
        <v>20.86</v>
      </c>
      <c r="W1236" s="26" t="n">
        <v>0.23</v>
      </c>
      <c r="X1236" s="22" t="n">
        <v>5000</v>
      </c>
      <c r="Y1236" s="22"/>
      <c r="Z1236" s="22"/>
      <c r="AA1236" s="22"/>
      <c r="AB1236" s="22" t="n">
        <v>5000</v>
      </c>
      <c r="AC1236" s="22"/>
      <c r="AD1236" s="22"/>
      <c r="AE1236" s="22"/>
      <c r="AF1236" s="22" t="n">
        <v>5000</v>
      </c>
      <c r="AG1236" s="22"/>
      <c r="AH1236" s="22"/>
      <c r="AI1236" s="22" t="n">
        <v>5000</v>
      </c>
      <c r="AJ1236" s="9" t="n">
        <f aca="false">X1236*$V1236</f>
        <v>104300</v>
      </c>
      <c r="AK1236" s="9" t="n">
        <f aca="false">Y1236*$V1236</f>
        <v>0</v>
      </c>
      <c r="AL1236" s="9" t="n">
        <f aca="false">Z1236*$V1236</f>
        <v>0</v>
      </c>
      <c r="AM1236" s="9" t="n">
        <f aca="false">AA1236*$V1236</f>
        <v>0</v>
      </c>
      <c r="AN1236" s="9" t="n">
        <f aca="false">AB1236*$V1236</f>
        <v>104300</v>
      </c>
      <c r="AO1236" s="9" t="n">
        <f aca="false">AC1236*$V1236</f>
        <v>0</v>
      </c>
      <c r="AP1236" s="9" t="n">
        <f aca="false">AD1236*$V1236</f>
        <v>0</v>
      </c>
      <c r="AQ1236" s="9" t="n">
        <f aca="false">AE1236*$V1236</f>
        <v>0</v>
      </c>
      <c r="AR1236" s="9" t="n">
        <f aca="false">AF1236*$V1236</f>
        <v>104300</v>
      </c>
      <c r="AS1236" s="9" t="n">
        <f aca="false">AG1236*$V1236</f>
        <v>0</v>
      </c>
      <c r="AT1236" s="9" t="n">
        <f aca="false">AH1236*$V1236</f>
        <v>0</v>
      </c>
      <c r="AU1236" s="9" t="n">
        <f aca="false">AI1236*$V1236</f>
        <v>104300</v>
      </c>
      <c r="AV1236" s="9" t="n">
        <f aca="false">SUM(X1236:AI1236)/1000</f>
        <v>20</v>
      </c>
      <c r="AW1236" s="9" t="n">
        <f aca="false">SUM(AJ1236:AU1236)</f>
        <v>417200</v>
      </c>
      <c r="AX1236" s="9" t="n">
        <f aca="false">IF(D1236="INR",AW1236/88.24,AW1236)/1000000</f>
        <v>0.00472801450589302</v>
      </c>
    </row>
    <row r="1237" s="2" customFormat="true" ht="16.4" hidden="false" customHeight="false" outlineLevel="0" collapsed="false">
      <c r="A1237" s="35" t="s">
        <v>2366</v>
      </c>
      <c r="B1237" s="9"/>
      <c r="C1237" s="15"/>
      <c r="D1237" s="9" t="s">
        <v>50</v>
      </c>
      <c r="E1237" s="9" t="s">
        <v>51</v>
      </c>
      <c r="F1237" s="9" t="s">
        <v>52</v>
      </c>
      <c r="G1237" s="9" t="s">
        <v>65</v>
      </c>
      <c r="H1237" s="9" t="s">
        <v>66</v>
      </c>
      <c r="I1237" s="9" t="s">
        <v>55</v>
      </c>
      <c r="J1237" s="9" t="s">
        <v>56</v>
      </c>
      <c r="K1237" s="9"/>
      <c r="L1237" s="9" t="s">
        <v>55</v>
      </c>
      <c r="M1237" s="9" t="s">
        <v>56</v>
      </c>
      <c r="N1237" s="16" t="s">
        <v>67</v>
      </c>
      <c r="O1237" s="9" t="s">
        <v>94</v>
      </c>
      <c r="P1237" s="9" t="s">
        <v>85</v>
      </c>
      <c r="Q1237" s="9" t="s">
        <v>85</v>
      </c>
      <c r="R1237" s="9" t="s">
        <v>86</v>
      </c>
      <c r="S1237" s="9" t="s">
        <v>87</v>
      </c>
      <c r="T1237" s="9" t="s">
        <v>2367</v>
      </c>
      <c r="U1237" s="9" t="s">
        <v>73</v>
      </c>
      <c r="V1237" s="9" t="n">
        <v>9.75</v>
      </c>
      <c r="W1237" s="9" t="n">
        <v>0.09</v>
      </c>
      <c r="X1237" s="22"/>
      <c r="Y1237" s="9" t="n">
        <v>1000</v>
      </c>
      <c r="Z1237" s="9"/>
      <c r="AA1237" s="9"/>
      <c r="AB1237" s="9" t="n">
        <v>1000</v>
      </c>
      <c r="AC1237" s="9"/>
      <c r="AD1237" s="9"/>
      <c r="AE1237" s="9" t="n">
        <v>1000</v>
      </c>
      <c r="AF1237" s="9"/>
      <c r="AG1237" s="9"/>
      <c r="AH1237" s="9"/>
      <c r="AI1237" s="9"/>
      <c r="AJ1237" s="9" t="n">
        <f aca="false">X1237*$V1237</f>
        <v>0</v>
      </c>
      <c r="AK1237" s="9" t="n">
        <f aca="false">Y1237*$V1237</f>
        <v>9750</v>
      </c>
      <c r="AL1237" s="9" t="n">
        <f aca="false">Z1237*$V1237</f>
        <v>0</v>
      </c>
      <c r="AM1237" s="9" t="n">
        <f aca="false">AA1237*$V1237</f>
        <v>0</v>
      </c>
      <c r="AN1237" s="9" t="n">
        <f aca="false">AB1237*$V1237</f>
        <v>9750</v>
      </c>
      <c r="AO1237" s="9" t="n">
        <f aca="false">AC1237*$V1237</f>
        <v>0</v>
      </c>
      <c r="AP1237" s="9" t="n">
        <f aca="false">AD1237*$V1237</f>
        <v>0</v>
      </c>
      <c r="AQ1237" s="9" t="n">
        <f aca="false">AE1237*$V1237</f>
        <v>9750</v>
      </c>
      <c r="AR1237" s="9" t="n">
        <f aca="false">AF1237*$V1237</f>
        <v>0</v>
      </c>
      <c r="AS1237" s="9" t="n">
        <f aca="false">AG1237*$V1237</f>
        <v>0</v>
      </c>
      <c r="AT1237" s="9" t="n">
        <f aca="false">AH1237*$V1237</f>
        <v>0</v>
      </c>
      <c r="AU1237" s="9" t="n">
        <f aca="false">AI1237*$V1237</f>
        <v>0</v>
      </c>
      <c r="AV1237" s="9" t="n">
        <f aca="false">SUM(X1237:AI1237)/1000</f>
        <v>3</v>
      </c>
      <c r="AW1237" s="9" t="n">
        <f aca="false">SUM(AJ1237:AU1237)</f>
        <v>29250</v>
      </c>
      <c r="AX1237" s="9" t="n">
        <f aca="false">IF(D1237="INR",AW1237/88.24,AW1237)/1000000</f>
        <v>0.000331482320942883</v>
      </c>
    </row>
    <row r="1238" s="2" customFormat="true" ht="14.25" hidden="false" customHeight="false" outlineLevel="0" collapsed="false">
      <c r="A1238" s="12" t="s">
        <v>2368</v>
      </c>
      <c r="B1238" s="16" t="n">
        <v>1</v>
      </c>
      <c r="C1238" s="15"/>
      <c r="D1238" s="16" t="s">
        <v>50</v>
      </c>
      <c r="E1238" s="16" t="s">
        <v>51</v>
      </c>
      <c r="F1238" s="16" t="s">
        <v>52</v>
      </c>
      <c r="G1238" s="16" t="s">
        <v>65</v>
      </c>
      <c r="H1238" s="16" t="s">
        <v>66</v>
      </c>
      <c r="I1238" s="16" t="s">
        <v>55</v>
      </c>
      <c r="J1238" s="16" t="s">
        <v>56</v>
      </c>
      <c r="K1238" s="16"/>
      <c r="L1238" s="16" t="s">
        <v>55</v>
      </c>
      <c r="M1238" s="16" t="s">
        <v>56</v>
      </c>
      <c r="N1238" s="16" t="s">
        <v>67</v>
      </c>
      <c r="O1238" s="16" t="s">
        <v>68</v>
      </c>
      <c r="P1238" s="16" t="s">
        <v>110</v>
      </c>
      <c r="Q1238" s="16" t="s">
        <v>110</v>
      </c>
      <c r="R1238" s="16" t="s">
        <v>137</v>
      </c>
      <c r="S1238" s="16" t="s">
        <v>272</v>
      </c>
      <c r="T1238" s="16" t="s">
        <v>2369</v>
      </c>
      <c r="U1238" s="16" t="s">
        <v>73</v>
      </c>
      <c r="V1238" s="16" t="n">
        <v>5250</v>
      </c>
      <c r="W1238" s="16" t="n">
        <v>25.5</v>
      </c>
      <c r="X1238" s="22"/>
      <c r="Y1238" s="22"/>
      <c r="Z1238" s="22"/>
      <c r="AA1238" s="22" t="n">
        <v>50</v>
      </c>
      <c r="AB1238" s="22"/>
      <c r="AC1238" s="22"/>
      <c r="AD1238" s="22"/>
      <c r="AE1238" s="22"/>
      <c r="AF1238" s="22"/>
      <c r="AG1238" s="22" t="n">
        <v>50</v>
      </c>
      <c r="AH1238" s="22"/>
      <c r="AI1238" s="22"/>
      <c r="AJ1238" s="9" t="n">
        <f aca="false">X1238*$V1238</f>
        <v>0</v>
      </c>
      <c r="AK1238" s="9" t="n">
        <f aca="false">Y1238*$V1238</f>
        <v>0</v>
      </c>
      <c r="AL1238" s="9" t="n">
        <f aca="false">Z1238*$V1238</f>
        <v>0</v>
      </c>
      <c r="AM1238" s="9" t="n">
        <f aca="false">AA1238*$V1238</f>
        <v>262500</v>
      </c>
      <c r="AN1238" s="9" t="n">
        <f aca="false">AB1238*$V1238</f>
        <v>0</v>
      </c>
      <c r="AO1238" s="9" t="n">
        <f aca="false">AC1238*$V1238</f>
        <v>0</v>
      </c>
      <c r="AP1238" s="9" t="n">
        <f aca="false">AD1238*$V1238</f>
        <v>0</v>
      </c>
      <c r="AQ1238" s="9" t="n">
        <f aca="false">AE1238*$V1238</f>
        <v>0</v>
      </c>
      <c r="AR1238" s="9" t="n">
        <f aca="false">AF1238*$V1238</f>
        <v>0</v>
      </c>
      <c r="AS1238" s="9" t="n">
        <f aca="false">AG1238*$V1238</f>
        <v>262500</v>
      </c>
      <c r="AT1238" s="9" t="n">
        <f aca="false">AH1238*$V1238</f>
        <v>0</v>
      </c>
      <c r="AU1238" s="9" t="n">
        <f aca="false">AI1238*$V1238</f>
        <v>0</v>
      </c>
      <c r="AV1238" s="9" t="n">
        <f aca="false">SUM(X1238:AI1238)/1000</f>
        <v>0.1</v>
      </c>
      <c r="AW1238" s="9" t="n">
        <f aca="false">SUM(AJ1238:AU1238)</f>
        <v>525000</v>
      </c>
      <c r="AX1238" s="9" t="n">
        <f aca="false">IF(D1238="INR",AW1238/88.24,AW1238)/1000000</f>
        <v>0.00594968268359021</v>
      </c>
    </row>
    <row r="1239" s="2" customFormat="true" ht="14.25" hidden="false" customHeight="false" outlineLevel="0" collapsed="false">
      <c r="A1239" s="12" t="s">
        <v>2370</v>
      </c>
      <c r="B1239" s="16"/>
      <c r="C1239" s="15"/>
      <c r="D1239" s="16" t="s">
        <v>50</v>
      </c>
      <c r="E1239" s="16" t="s">
        <v>51</v>
      </c>
      <c r="F1239" s="16" t="s">
        <v>267</v>
      </c>
      <c r="G1239" s="16" t="s">
        <v>2371</v>
      </c>
      <c r="H1239" s="16" t="s">
        <v>2372</v>
      </c>
      <c r="I1239" s="16" t="s">
        <v>105</v>
      </c>
      <c r="J1239" s="16" t="s">
        <v>900</v>
      </c>
      <c r="K1239" s="16"/>
      <c r="L1239" s="16" t="s">
        <v>105</v>
      </c>
      <c r="M1239" s="16" t="s">
        <v>900</v>
      </c>
      <c r="N1239" s="16" t="s">
        <v>271</v>
      </c>
      <c r="O1239" s="16" t="s">
        <v>58</v>
      </c>
      <c r="P1239" s="16" t="s">
        <v>110</v>
      </c>
      <c r="Q1239" s="16" t="s">
        <v>110</v>
      </c>
      <c r="R1239" s="16" t="s">
        <v>137</v>
      </c>
      <c r="S1239" s="16" t="s">
        <v>272</v>
      </c>
      <c r="T1239" s="16" t="s">
        <v>1601</v>
      </c>
      <c r="U1239" s="16" t="s">
        <v>73</v>
      </c>
      <c r="V1239" s="16" t="n">
        <v>37</v>
      </c>
      <c r="W1239" s="16" t="n">
        <v>0.24</v>
      </c>
      <c r="X1239" s="22"/>
      <c r="Y1239" s="16" t="n">
        <v>2000</v>
      </c>
      <c r="Z1239" s="16"/>
      <c r="AA1239" s="16"/>
      <c r="AB1239" s="16" t="n">
        <v>2000</v>
      </c>
      <c r="AC1239" s="16"/>
      <c r="AD1239" s="16"/>
      <c r="AE1239" s="16" t="n">
        <v>2000</v>
      </c>
      <c r="AF1239" s="16"/>
      <c r="AG1239" s="16"/>
      <c r="AH1239" s="16" t="n">
        <v>2000</v>
      </c>
      <c r="AI1239" s="16"/>
      <c r="AJ1239" s="9" t="n">
        <f aca="false">X1239*$V1239</f>
        <v>0</v>
      </c>
      <c r="AK1239" s="9" t="n">
        <f aca="false">Y1239*$V1239</f>
        <v>74000</v>
      </c>
      <c r="AL1239" s="9" t="n">
        <f aca="false">Z1239*$V1239</f>
        <v>0</v>
      </c>
      <c r="AM1239" s="9" t="n">
        <f aca="false">AA1239*$V1239</f>
        <v>0</v>
      </c>
      <c r="AN1239" s="9" t="n">
        <f aca="false">AB1239*$V1239</f>
        <v>74000</v>
      </c>
      <c r="AO1239" s="9" t="n">
        <f aca="false">AC1239*$V1239</f>
        <v>0</v>
      </c>
      <c r="AP1239" s="9" t="n">
        <f aca="false">AD1239*$V1239</f>
        <v>0</v>
      </c>
      <c r="AQ1239" s="9" t="n">
        <f aca="false">AE1239*$V1239</f>
        <v>74000</v>
      </c>
      <c r="AR1239" s="9" t="n">
        <f aca="false">AF1239*$V1239</f>
        <v>0</v>
      </c>
      <c r="AS1239" s="9" t="n">
        <f aca="false">AG1239*$V1239</f>
        <v>0</v>
      </c>
      <c r="AT1239" s="9" t="n">
        <f aca="false">AH1239*$V1239</f>
        <v>74000</v>
      </c>
      <c r="AU1239" s="9" t="n">
        <f aca="false">AI1239*$V1239</f>
        <v>0</v>
      </c>
      <c r="AV1239" s="9" t="n">
        <f aca="false">SUM(X1239:AI1239)/1000</f>
        <v>8</v>
      </c>
      <c r="AW1239" s="9" t="n">
        <f aca="false">SUM(AJ1239:AU1239)</f>
        <v>296000</v>
      </c>
      <c r="AX1239" s="9" t="n">
        <f aca="false">IF(D1239="INR",AW1239/88.24,AW1239)/1000000</f>
        <v>0.00335448776065277</v>
      </c>
    </row>
    <row r="1240" s="2" customFormat="true" ht="16.4" hidden="false" customHeight="false" outlineLevel="0" collapsed="false">
      <c r="A1240" s="35" t="s">
        <v>2373</v>
      </c>
      <c r="B1240" s="9" t="n">
        <v>5</v>
      </c>
      <c r="C1240" s="10"/>
      <c r="D1240" s="9" t="s">
        <v>50</v>
      </c>
      <c r="E1240" s="9" t="s">
        <v>51</v>
      </c>
      <c r="F1240" s="9" t="s">
        <v>52</v>
      </c>
      <c r="G1240" s="9" t="s">
        <v>1067</v>
      </c>
      <c r="H1240" s="9" t="s">
        <v>656</v>
      </c>
      <c r="I1240" s="9" t="s">
        <v>55</v>
      </c>
      <c r="J1240" s="9" t="s">
        <v>56</v>
      </c>
      <c r="K1240" s="9"/>
      <c r="L1240" s="9" t="s">
        <v>55</v>
      </c>
      <c r="M1240" s="9" t="s">
        <v>56</v>
      </c>
      <c r="N1240" s="9" t="s">
        <v>290</v>
      </c>
      <c r="O1240" s="9" t="s">
        <v>58</v>
      </c>
      <c r="P1240" s="9" t="s">
        <v>69</v>
      </c>
      <c r="Q1240" s="9" t="s">
        <v>69</v>
      </c>
      <c r="R1240" s="9" t="s">
        <v>70</v>
      </c>
      <c r="S1240" s="9" t="s">
        <v>71</v>
      </c>
      <c r="T1240" s="9" t="s">
        <v>249</v>
      </c>
      <c r="U1240" s="9" t="s">
        <v>73</v>
      </c>
      <c r="V1240" s="9" t="n">
        <v>8.5</v>
      </c>
      <c r="W1240" s="9" t="n">
        <v>0.078</v>
      </c>
      <c r="X1240" s="9"/>
      <c r="Y1240" s="9"/>
      <c r="Z1240" s="9"/>
      <c r="AA1240" s="9" t="n">
        <v>50000</v>
      </c>
      <c r="AB1240" s="9"/>
      <c r="AC1240" s="9" t="n">
        <v>50000</v>
      </c>
      <c r="AD1240" s="9"/>
      <c r="AE1240" s="9" t="n">
        <v>50000</v>
      </c>
      <c r="AF1240" s="9"/>
      <c r="AG1240" s="9"/>
      <c r="AH1240" s="9"/>
      <c r="AI1240" s="9" t="n">
        <v>50000</v>
      </c>
      <c r="AJ1240" s="9" t="n">
        <f aca="false">X1240*$V1240</f>
        <v>0</v>
      </c>
      <c r="AK1240" s="9" t="n">
        <f aca="false">Y1240*$V1240</f>
        <v>0</v>
      </c>
      <c r="AL1240" s="9" t="n">
        <f aca="false">Z1240*$V1240</f>
        <v>0</v>
      </c>
      <c r="AM1240" s="9" t="n">
        <f aca="false">AA1240*$V1240</f>
        <v>425000</v>
      </c>
      <c r="AN1240" s="9" t="n">
        <f aca="false">AB1240*$V1240</f>
        <v>0</v>
      </c>
      <c r="AO1240" s="9" t="n">
        <f aca="false">AC1240*$V1240</f>
        <v>425000</v>
      </c>
      <c r="AP1240" s="9" t="n">
        <f aca="false">AD1240*$V1240</f>
        <v>0</v>
      </c>
      <c r="AQ1240" s="9" t="n">
        <f aca="false">AE1240*$V1240</f>
        <v>425000</v>
      </c>
      <c r="AR1240" s="9" t="n">
        <f aca="false">AF1240*$V1240</f>
        <v>0</v>
      </c>
      <c r="AS1240" s="9" t="n">
        <f aca="false">AG1240*$V1240</f>
        <v>0</v>
      </c>
      <c r="AT1240" s="9" t="n">
        <f aca="false">AH1240*$V1240</f>
        <v>0</v>
      </c>
      <c r="AU1240" s="9" t="n">
        <f aca="false">AI1240*$V1240</f>
        <v>425000</v>
      </c>
      <c r="AV1240" s="9" t="n">
        <f aca="false">SUM(X1240:AI1240)/1000</f>
        <v>200</v>
      </c>
      <c r="AW1240" s="9" t="n">
        <f aca="false">SUM(AJ1240:AU1240)</f>
        <v>1700000</v>
      </c>
      <c r="AX1240" s="9" t="n">
        <f aca="false">IF(D1240="INR",AW1240/88.24,AW1240)/1000000</f>
        <v>0.0192656391659112</v>
      </c>
    </row>
    <row r="1241" s="2" customFormat="true" ht="14.25" hidden="false" customHeight="false" outlineLevel="0" collapsed="false">
      <c r="A1241" s="12"/>
      <c r="B1241" s="16" t="n">
        <v>1</v>
      </c>
      <c r="C1241" s="15"/>
      <c r="D1241" s="16" t="s">
        <v>50</v>
      </c>
      <c r="E1241" s="16" t="s">
        <v>51</v>
      </c>
      <c r="F1241" s="16" t="s">
        <v>52</v>
      </c>
      <c r="G1241" s="16"/>
      <c r="H1241" s="16" t="s">
        <v>656</v>
      </c>
      <c r="I1241" s="16"/>
      <c r="J1241" s="16"/>
      <c r="K1241" s="16"/>
      <c r="L1241" s="16"/>
      <c r="M1241" s="16"/>
      <c r="N1241" s="16" t="s">
        <v>290</v>
      </c>
      <c r="O1241" s="16"/>
      <c r="P1241" s="16"/>
      <c r="Q1241" s="16" t="s">
        <v>69</v>
      </c>
      <c r="R1241" s="16"/>
      <c r="S1241" s="16"/>
      <c r="T1241" s="16" t="s">
        <v>72</v>
      </c>
      <c r="U1241" s="16"/>
      <c r="V1241" s="16" t="n">
        <v>19.5</v>
      </c>
      <c r="W1241" s="16"/>
      <c r="X1241" s="16"/>
      <c r="Y1241" s="16"/>
      <c r="Z1241" s="16"/>
      <c r="AA1241" s="16" t="n">
        <v>10000</v>
      </c>
      <c r="AB1241" s="16"/>
      <c r="AC1241" s="16" t="n">
        <v>10000</v>
      </c>
      <c r="AD1241" s="16"/>
      <c r="AE1241" s="16" t="n">
        <v>10000</v>
      </c>
      <c r="AF1241" s="16"/>
      <c r="AG1241" s="16" t="n">
        <v>10000</v>
      </c>
      <c r="AH1241" s="16"/>
      <c r="AI1241" s="16" t="n">
        <v>10000</v>
      </c>
      <c r="AJ1241" s="9" t="n">
        <f aca="false">X1241*$V1241</f>
        <v>0</v>
      </c>
      <c r="AK1241" s="9" t="n">
        <f aca="false">Y1241*$V1241</f>
        <v>0</v>
      </c>
      <c r="AL1241" s="9" t="n">
        <f aca="false">Z1241*$V1241</f>
        <v>0</v>
      </c>
      <c r="AM1241" s="9" t="n">
        <f aca="false">AA1241*$V1241</f>
        <v>195000</v>
      </c>
      <c r="AN1241" s="9" t="n">
        <f aca="false">AB1241*$V1241</f>
        <v>0</v>
      </c>
      <c r="AO1241" s="9" t="n">
        <f aca="false">AC1241*$V1241</f>
        <v>195000</v>
      </c>
      <c r="AP1241" s="9" t="n">
        <f aca="false">AD1241*$V1241</f>
        <v>0</v>
      </c>
      <c r="AQ1241" s="9" t="n">
        <f aca="false">AE1241*$V1241</f>
        <v>195000</v>
      </c>
      <c r="AR1241" s="9" t="n">
        <f aca="false">AF1241*$V1241</f>
        <v>0</v>
      </c>
      <c r="AS1241" s="9" t="n">
        <f aca="false">AG1241*$V1241</f>
        <v>195000</v>
      </c>
      <c r="AT1241" s="9" t="n">
        <f aca="false">AH1241*$V1241</f>
        <v>0</v>
      </c>
      <c r="AU1241" s="9" t="n">
        <f aca="false">AI1241*$V1241</f>
        <v>195000</v>
      </c>
      <c r="AV1241" s="9" t="n">
        <f aca="false">SUM(X1241:AI1241)/1000</f>
        <v>50</v>
      </c>
      <c r="AW1241" s="9" t="n">
        <f aca="false">SUM(AJ1241:AU1241)</f>
        <v>975000</v>
      </c>
      <c r="AX1241" s="9" t="n">
        <f aca="false">IF(D1241="INR",AW1241/88.24,AW1241)/1000000</f>
        <v>0.0110494106980961</v>
      </c>
    </row>
    <row r="1242" s="2" customFormat="true" ht="14.25" hidden="false" customHeight="false" outlineLevel="0" collapsed="false">
      <c r="A1242" s="12"/>
      <c r="B1242" s="16" t="n">
        <v>5</v>
      </c>
      <c r="C1242" s="15"/>
      <c r="D1242" s="16" t="s">
        <v>50</v>
      </c>
      <c r="E1242" s="16" t="s">
        <v>51</v>
      </c>
      <c r="F1242" s="16" t="s">
        <v>404</v>
      </c>
      <c r="G1242" s="16"/>
      <c r="H1242" s="16" t="s">
        <v>1397</v>
      </c>
      <c r="I1242" s="16" t="s">
        <v>105</v>
      </c>
      <c r="J1242" s="16" t="s">
        <v>368</v>
      </c>
      <c r="K1242" s="16"/>
      <c r="L1242" s="16" t="s">
        <v>105</v>
      </c>
      <c r="M1242" s="16" t="s">
        <v>368</v>
      </c>
      <c r="N1242" s="16" t="s">
        <v>271</v>
      </c>
      <c r="O1242" s="16" t="s">
        <v>94</v>
      </c>
      <c r="P1242" s="16" t="s">
        <v>110</v>
      </c>
      <c r="Q1242" s="16" t="s">
        <v>110</v>
      </c>
      <c r="R1242" s="16" t="s">
        <v>137</v>
      </c>
      <c r="S1242" s="16" t="s">
        <v>272</v>
      </c>
      <c r="T1242" s="16" t="s">
        <v>2374</v>
      </c>
      <c r="U1242" s="16"/>
      <c r="V1242" s="16" t="n">
        <v>14.25</v>
      </c>
      <c r="W1242" s="16"/>
      <c r="X1242" s="16"/>
      <c r="Y1242" s="16" t="n">
        <v>2500</v>
      </c>
      <c r="Z1242" s="16"/>
      <c r="AA1242" s="16"/>
      <c r="AB1242" s="16" t="n">
        <v>2500</v>
      </c>
      <c r="AC1242" s="16"/>
      <c r="AD1242" s="16"/>
      <c r="AE1242" s="16" t="n">
        <v>2500</v>
      </c>
      <c r="AF1242" s="16"/>
      <c r="AG1242" s="16"/>
      <c r="AH1242" s="16" t="n">
        <v>2500</v>
      </c>
      <c r="AI1242" s="16"/>
      <c r="AJ1242" s="9" t="n">
        <f aca="false">X1242*$V1242</f>
        <v>0</v>
      </c>
      <c r="AK1242" s="9" t="n">
        <f aca="false">Y1242*$V1242</f>
        <v>35625</v>
      </c>
      <c r="AL1242" s="9" t="n">
        <f aca="false">Z1242*$V1242</f>
        <v>0</v>
      </c>
      <c r="AM1242" s="9" t="n">
        <f aca="false">AA1242*$V1242</f>
        <v>0</v>
      </c>
      <c r="AN1242" s="9" t="n">
        <f aca="false">AB1242*$V1242</f>
        <v>35625</v>
      </c>
      <c r="AO1242" s="9" t="n">
        <f aca="false">AC1242*$V1242</f>
        <v>0</v>
      </c>
      <c r="AP1242" s="9" t="n">
        <f aca="false">AD1242*$V1242</f>
        <v>0</v>
      </c>
      <c r="AQ1242" s="9" t="n">
        <f aca="false">AE1242*$V1242</f>
        <v>35625</v>
      </c>
      <c r="AR1242" s="9" t="n">
        <f aca="false">AF1242*$V1242</f>
        <v>0</v>
      </c>
      <c r="AS1242" s="9" t="n">
        <f aca="false">AG1242*$V1242</f>
        <v>0</v>
      </c>
      <c r="AT1242" s="9" t="n">
        <f aca="false">AH1242*$V1242</f>
        <v>35625</v>
      </c>
      <c r="AU1242" s="9" t="n">
        <f aca="false">AI1242*$V1242</f>
        <v>0</v>
      </c>
      <c r="AV1242" s="9" t="n">
        <f aca="false">SUM(X1242:AI1242)/1000</f>
        <v>10</v>
      </c>
      <c r="AW1242" s="9" t="n">
        <f aca="false">SUM(AJ1242:AU1242)</f>
        <v>142500</v>
      </c>
      <c r="AX1242" s="9" t="n">
        <f aca="false">IF(D1242="INR",AW1242/88.24,AW1242)/1000000</f>
        <v>0.0016149138712602</v>
      </c>
      <c r="AY1242" s="27"/>
    </row>
    <row r="1243" s="2" customFormat="true" ht="14.25" hidden="false" customHeight="false" outlineLevel="0" collapsed="false">
      <c r="A1243" s="12" t="s">
        <v>2375</v>
      </c>
      <c r="B1243" s="16"/>
      <c r="C1243" s="15"/>
      <c r="D1243" s="16" t="s">
        <v>102</v>
      </c>
      <c r="E1243" s="16" t="s">
        <v>51</v>
      </c>
      <c r="F1243" s="16" t="s">
        <v>52</v>
      </c>
      <c r="G1243" s="16" t="s">
        <v>250</v>
      </c>
      <c r="H1243" s="16" t="s">
        <v>251</v>
      </c>
      <c r="I1243" s="16" t="s">
        <v>298</v>
      </c>
      <c r="J1243" s="16" t="s">
        <v>1053</v>
      </c>
      <c r="K1243" s="16" t="s">
        <v>251</v>
      </c>
      <c r="L1243" s="16" t="s">
        <v>298</v>
      </c>
      <c r="M1243" s="16" t="s">
        <v>1053</v>
      </c>
      <c r="N1243" s="16" t="s">
        <v>93</v>
      </c>
      <c r="O1243" s="16" t="s">
        <v>107</v>
      </c>
      <c r="P1243" s="16" t="s">
        <v>348</v>
      </c>
      <c r="Q1243" s="16" t="s">
        <v>348</v>
      </c>
      <c r="R1243" s="16" t="s">
        <v>800</v>
      </c>
      <c r="S1243" s="16" t="s">
        <v>87</v>
      </c>
      <c r="T1243" s="16" t="s">
        <v>2376</v>
      </c>
      <c r="U1243" s="16" t="s">
        <v>73</v>
      </c>
      <c r="V1243" s="16" t="n">
        <v>0.0147</v>
      </c>
      <c r="W1243" s="16" t="n">
        <v>0.0127</v>
      </c>
      <c r="X1243" s="22" t="n">
        <v>0</v>
      </c>
      <c r="Y1243" s="22" t="n">
        <v>0</v>
      </c>
      <c r="Z1243" s="22" t="n">
        <v>0</v>
      </c>
      <c r="AA1243" s="22" t="n">
        <v>0</v>
      </c>
      <c r="AB1243" s="22" t="n">
        <v>0</v>
      </c>
      <c r="AC1243" s="22" t="n">
        <v>0</v>
      </c>
      <c r="AD1243" s="22" t="n">
        <v>300000</v>
      </c>
      <c r="AE1243" s="22" t="n">
        <v>0</v>
      </c>
      <c r="AF1243" s="22" t="n">
        <v>0</v>
      </c>
      <c r="AG1243" s="22" t="n">
        <v>0</v>
      </c>
      <c r="AH1243" s="22" t="n">
        <v>0</v>
      </c>
      <c r="AI1243" s="22" t="n">
        <v>0</v>
      </c>
      <c r="AJ1243" s="9" t="n">
        <f aca="false">X1243*$V1243</f>
        <v>0</v>
      </c>
      <c r="AK1243" s="9" t="n">
        <f aca="false">Y1243*$V1243</f>
        <v>0</v>
      </c>
      <c r="AL1243" s="9" t="n">
        <f aca="false">Z1243*$V1243</f>
        <v>0</v>
      </c>
      <c r="AM1243" s="9" t="n">
        <f aca="false">AA1243*$V1243</f>
        <v>0</v>
      </c>
      <c r="AN1243" s="9" t="n">
        <f aca="false">AB1243*$V1243</f>
        <v>0</v>
      </c>
      <c r="AO1243" s="9" t="n">
        <f aca="false">AC1243*$V1243</f>
        <v>0</v>
      </c>
      <c r="AP1243" s="9" t="n">
        <f aca="false">AD1243*$V1243</f>
        <v>4410</v>
      </c>
      <c r="AQ1243" s="9" t="n">
        <f aca="false">AE1243*$V1243</f>
        <v>0</v>
      </c>
      <c r="AR1243" s="9" t="n">
        <f aca="false">AF1243*$V1243</f>
        <v>0</v>
      </c>
      <c r="AS1243" s="9" t="n">
        <f aca="false">AG1243*$V1243</f>
        <v>0</v>
      </c>
      <c r="AT1243" s="9" t="n">
        <f aca="false">AH1243*$V1243</f>
        <v>0</v>
      </c>
      <c r="AU1243" s="9" t="n">
        <f aca="false">AI1243*$V1243</f>
        <v>0</v>
      </c>
      <c r="AV1243" s="9" t="n">
        <f aca="false">SUM(X1243:AI1243)/1000</f>
        <v>300</v>
      </c>
      <c r="AW1243" s="9" t="n">
        <f aca="false">SUM(AJ1243:AU1243)</f>
        <v>4410</v>
      </c>
      <c r="AX1243" s="9" t="n">
        <f aca="false">IF(D1243="INR",AW1243/88.24,AW1243)/1000000</f>
        <v>0.00441</v>
      </c>
    </row>
    <row r="1244" s="2" customFormat="true" ht="14.25" hidden="false" customHeight="false" outlineLevel="0" collapsed="false">
      <c r="A1244" s="12" t="s">
        <v>2377</v>
      </c>
      <c r="B1244" s="16"/>
      <c r="C1244" s="15"/>
      <c r="D1244" s="16" t="s">
        <v>102</v>
      </c>
      <c r="E1244" s="16" t="s">
        <v>51</v>
      </c>
      <c r="F1244" s="16" t="s">
        <v>52</v>
      </c>
      <c r="G1244" s="16" t="s">
        <v>250</v>
      </c>
      <c r="H1244" s="16" t="s">
        <v>251</v>
      </c>
      <c r="I1244" s="16" t="s">
        <v>298</v>
      </c>
      <c r="J1244" s="16" t="s">
        <v>1053</v>
      </c>
      <c r="K1244" s="16" t="s">
        <v>251</v>
      </c>
      <c r="L1244" s="16" t="s">
        <v>298</v>
      </c>
      <c r="M1244" s="16" t="s">
        <v>1053</v>
      </c>
      <c r="N1244" s="16" t="s">
        <v>93</v>
      </c>
      <c r="O1244" s="16" t="s">
        <v>107</v>
      </c>
      <c r="P1244" s="16" t="s">
        <v>348</v>
      </c>
      <c r="Q1244" s="16" t="s">
        <v>348</v>
      </c>
      <c r="R1244" s="16" t="s">
        <v>800</v>
      </c>
      <c r="S1244" s="16" t="s">
        <v>87</v>
      </c>
      <c r="T1244" s="9" t="s">
        <v>2376</v>
      </c>
      <c r="U1244" s="9" t="s">
        <v>73</v>
      </c>
      <c r="V1244" s="9" t="n">
        <v>0.0147</v>
      </c>
      <c r="W1244" s="16" t="n">
        <v>0.0127</v>
      </c>
      <c r="X1244" s="22" t="n">
        <v>0</v>
      </c>
      <c r="Y1244" s="16" t="n">
        <v>0</v>
      </c>
      <c r="Z1244" s="16" t="n">
        <v>200000</v>
      </c>
      <c r="AA1244" s="16" t="n">
        <v>0</v>
      </c>
      <c r="AB1244" s="16" t="n">
        <v>0</v>
      </c>
      <c r="AC1244" s="16" t="n">
        <v>0</v>
      </c>
      <c r="AD1244" s="16" t="n">
        <v>0</v>
      </c>
      <c r="AE1244" s="16" t="n">
        <v>0</v>
      </c>
      <c r="AF1244" s="16" t="n">
        <v>0</v>
      </c>
      <c r="AG1244" s="16" t="n">
        <v>0</v>
      </c>
      <c r="AH1244" s="16" t="n">
        <v>0</v>
      </c>
      <c r="AI1244" s="16" t="n">
        <v>0</v>
      </c>
      <c r="AJ1244" s="9" t="n">
        <f aca="false">X1244*$V1244</f>
        <v>0</v>
      </c>
      <c r="AK1244" s="9" t="n">
        <f aca="false">Y1244*$V1244</f>
        <v>0</v>
      </c>
      <c r="AL1244" s="9" t="n">
        <f aca="false">Z1244*$V1244</f>
        <v>2940</v>
      </c>
      <c r="AM1244" s="9" t="n">
        <f aca="false">AA1244*$V1244</f>
        <v>0</v>
      </c>
      <c r="AN1244" s="9" t="n">
        <f aca="false">AB1244*$V1244</f>
        <v>0</v>
      </c>
      <c r="AO1244" s="9" t="n">
        <f aca="false">AC1244*$V1244</f>
        <v>0</v>
      </c>
      <c r="AP1244" s="9" t="n">
        <f aca="false">AD1244*$V1244</f>
        <v>0</v>
      </c>
      <c r="AQ1244" s="9" t="n">
        <f aca="false">AE1244*$V1244</f>
        <v>0</v>
      </c>
      <c r="AR1244" s="9" t="n">
        <f aca="false">AF1244*$V1244</f>
        <v>0</v>
      </c>
      <c r="AS1244" s="9" t="n">
        <f aca="false">AG1244*$V1244</f>
        <v>0</v>
      </c>
      <c r="AT1244" s="9" t="n">
        <f aca="false">AH1244*$V1244</f>
        <v>0</v>
      </c>
      <c r="AU1244" s="9" t="n">
        <f aca="false">AI1244*$V1244</f>
        <v>0</v>
      </c>
      <c r="AV1244" s="9" t="n">
        <f aca="false">SUM(X1244:AI1244)/1000</f>
        <v>200</v>
      </c>
      <c r="AW1244" s="9" t="n">
        <f aca="false">SUM(AJ1244:AU1244)</f>
        <v>2940</v>
      </c>
      <c r="AX1244" s="9" t="n">
        <f aca="false">IF(D1244="INR",AW1244/88.24,AW1244)/1000000</f>
        <v>0.00294</v>
      </c>
    </row>
    <row r="1245" s="2" customFormat="true" ht="16.4" hidden="false" customHeight="false" outlineLevel="0" collapsed="false">
      <c r="A1245" s="35" t="s">
        <v>2378</v>
      </c>
      <c r="B1245" s="9"/>
      <c r="C1245" s="10"/>
      <c r="D1245" s="9" t="s">
        <v>102</v>
      </c>
      <c r="E1245" s="9" t="s">
        <v>51</v>
      </c>
      <c r="F1245" s="9" t="s">
        <v>52</v>
      </c>
      <c r="G1245" s="9" t="s">
        <v>250</v>
      </c>
      <c r="H1245" s="9" t="s">
        <v>251</v>
      </c>
      <c r="I1245" s="9" t="s">
        <v>298</v>
      </c>
      <c r="J1245" s="9" t="s">
        <v>1053</v>
      </c>
      <c r="K1245" s="9" t="s">
        <v>251</v>
      </c>
      <c r="L1245" s="9" t="s">
        <v>298</v>
      </c>
      <c r="M1245" s="9" t="s">
        <v>1053</v>
      </c>
      <c r="N1245" s="9" t="s">
        <v>93</v>
      </c>
      <c r="O1245" s="9" t="s">
        <v>107</v>
      </c>
      <c r="P1245" s="9" t="s">
        <v>348</v>
      </c>
      <c r="Q1245" s="9" t="s">
        <v>348</v>
      </c>
      <c r="R1245" s="9" t="s">
        <v>800</v>
      </c>
      <c r="S1245" s="9" t="s">
        <v>87</v>
      </c>
      <c r="T1245" s="9" t="s">
        <v>2379</v>
      </c>
      <c r="U1245" s="9" t="s">
        <v>73</v>
      </c>
      <c r="V1245" s="9" t="n">
        <v>0.0047</v>
      </c>
      <c r="W1245" s="9" t="n">
        <v>0.0042</v>
      </c>
      <c r="X1245" s="9" t="n">
        <v>0</v>
      </c>
      <c r="Y1245" s="9" t="n">
        <v>0</v>
      </c>
      <c r="Z1245" s="9" t="n">
        <v>0</v>
      </c>
      <c r="AA1245" s="9" t="n">
        <v>0</v>
      </c>
      <c r="AB1245" s="9" t="n">
        <v>0</v>
      </c>
      <c r="AC1245" s="9" t="n">
        <v>0</v>
      </c>
      <c r="AD1245" s="9" t="n">
        <v>200000</v>
      </c>
      <c r="AE1245" s="9" t="n">
        <v>0</v>
      </c>
      <c r="AF1245" s="9" t="n">
        <v>0</v>
      </c>
      <c r="AG1245" s="9" t="n">
        <v>0</v>
      </c>
      <c r="AH1245" s="9" t="n">
        <v>0</v>
      </c>
      <c r="AI1245" s="9" t="n">
        <v>0</v>
      </c>
      <c r="AJ1245" s="9" t="n">
        <f aca="false">X1245*$V1245</f>
        <v>0</v>
      </c>
      <c r="AK1245" s="9" t="n">
        <f aca="false">Y1245*$V1245</f>
        <v>0</v>
      </c>
      <c r="AL1245" s="9" t="n">
        <f aca="false">Z1245*$V1245</f>
        <v>0</v>
      </c>
      <c r="AM1245" s="9" t="n">
        <f aca="false">AA1245*$V1245</f>
        <v>0</v>
      </c>
      <c r="AN1245" s="9" t="n">
        <f aca="false">AB1245*$V1245</f>
        <v>0</v>
      </c>
      <c r="AO1245" s="9" t="n">
        <f aca="false">AC1245*$V1245</f>
        <v>0</v>
      </c>
      <c r="AP1245" s="9" t="n">
        <f aca="false">AD1245*$V1245</f>
        <v>940</v>
      </c>
      <c r="AQ1245" s="9" t="n">
        <f aca="false">AE1245*$V1245</f>
        <v>0</v>
      </c>
      <c r="AR1245" s="9" t="n">
        <f aca="false">AF1245*$V1245</f>
        <v>0</v>
      </c>
      <c r="AS1245" s="9" t="n">
        <f aca="false">AG1245*$V1245</f>
        <v>0</v>
      </c>
      <c r="AT1245" s="9" t="n">
        <f aca="false">AH1245*$V1245</f>
        <v>0</v>
      </c>
      <c r="AU1245" s="9" t="n">
        <f aca="false">AI1245*$V1245</f>
        <v>0</v>
      </c>
      <c r="AV1245" s="9" t="n">
        <f aca="false">SUM(X1245:AI1245)/1000</f>
        <v>200</v>
      </c>
      <c r="AW1245" s="9" t="n">
        <f aca="false">SUM(AJ1245:AU1245)</f>
        <v>940</v>
      </c>
      <c r="AX1245" s="9" t="n">
        <f aca="false">IF(D1245="INR",AW1245/88.24,AW1245)/1000000</f>
        <v>0.00094</v>
      </c>
    </row>
    <row r="1246" s="2" customFormat="true" ht="14.25" hidden="false" customHeight="false" outlineLevel="0" collapsed="false">
      <c r="A1246" s="12"/>
      <c r="B1246" s="16" t="n">
        <v>5</v>
      </c>
      <c r="C1246" s="15"/>
      <c r="D1246" s="16" t="s">
        <v>102</v>
      </c>
      <c r="E1246" s="16"/>
      <c r="F1246" s="16" t="s">
        <v>52</v>
      </c>
      <c r="G1246" s="16"/>
      <c r="H1246" s="16" t="s">
        <v>251</v>
      </c>
      <c r="I1246" s="16" t="s">
        <v>93</v>
      </c>
      <c r="J1246" s="16" t="s">
        <v>107</v>
      </c>
      <c r="K1246" s="16" t="s">
        <v>1670</v>
      </c>
      <c r="L1246" s="16"/>
      <c r="M1246" s="16"/>
      <c r="N1246" s="16" t="s">
        <v>93</v>
      </c>
      <c r="O1246" s="16" t="s">
        <v>107</v>
      </c>
      <c r="P1246" s="16" t="s">
        <v>1670</v>
      </c>
      <c r="Q1246" s="16" t="s">
        <v>1670</v>
      </c>
      <c r="R1246" s="16"/>
      <c r="S1246" s="16"/>
      <c r="T1246" s="16" t="s">
        <v>2380</v>
      </c>
      <c r="U1246" s="16" t="s">
        <v>2381</v>
      </c>
      <c r="V1246" s="16" t="n">
        <v>0.056</v>
      </c>
      <c r="W1246" s="16" t="n">
        <v>0.051</v>
      </c>
      <c r="X1246" s="16"/>
      <c r="Y1246" s="16" t="n">
        <v>50000</v>
      </c>
      <c r="Z1246" s="16"/>
      <c r="AA1246" s="16"/>
      <c r="AB1246" s="16" t="n">
        <v>50000</v>
      </c>
      <c r="AC1246" s="16"/>
      <c r="AD1246" s="16"/>
      <c r="AE1246" s="16"/>
      <c r="AF1246" s="16"/>
      <c r="AG1246" s="16"/>
      <c r="AH1246" s="16" t="n">
        <v>50000</v>
      </c>
      <c r="AI1246" s="16"/>
      <c r="AJ1246" s="9" t="n">
        <f aca="false">X1246*$V1246</f>
        <v>0</v>
      </c>
      <c r="AK1246" s="9" t="n">
        <f aca="false">Y1246*$V1246</f>
        <v>2800</v>
      </c>
      <c r="AL1246" s="9" t="n">
        <f aca="false">Z1246*$V1246</f>
        <v>0</v>
      </c>
      <c r="AM1246" s="9" t="n">
        <f aca="false">AA1246*$V1246</f>
        <v>0</v>
      </c>
      <c r="AN1246" s="9" t="n">
        <f aca="false">AB1246*$V1246</f>
        <v>2800</v>
      </c>
      <c r="AO1246" s="9" t="n">
        <f aca="false">AC1246*$V1246</f>
        <v>0</v>
      </c>
      <c r="AP1246" s="9" t="n">
        <f aca="false">AD1246*$V1246</f>
        <v>0</v>
      </c>
      <c r="AQ1246" s="9" t="n">
        <f aca="false">AE1246*$V1246</f>
        <v>0</v>
      </c>
      <c r="AR1246" s="9" t="n">
        <f aca="false">AF1246*$V1246</f>
        <v>0</v>
      </c>
      <c r="AS1246" s="9" t="n">
        <f aca="false">AG1246*$V1246</f>
        <v>0</v>
      </c>
      <c r="AT1246" s="9" t="n">
        <f aca="false">AH1246*$V1246</f>
        <v>2800</v>
      </c>
      <c r="AU1246" s="9" t="n">
        <f aca="false">AI1246*$V1246</f>
        <v>0</v>
      </c>
      <c r="AV1246" s="9" t="n">
        <f aca="false">SUM(X1246:AI1246)/1000</f>
        <v>150</v>
      </c>
      <c r="AW1246" s="9" t="n">
        <f aca="false">SUM(AJ1246:AU1246)</f>
        <v>8400</v>
      </c>
      <c r="AX1246" s="9" t="n">
        <f aca="false">IF(D1246="INR",AW1246/88.24,AW1246)/1000000</f>
        <v>0.0084</v>
      </c>
    </row>
    <row r="1247" s="2" customFormat="true" ht="14.25" hidden="false" customHeight="false" outlineLevel="0" collapsed="false">
      <c r="A1247" s="12" t="s">
        <v>2382</v>
      </c>
      <c r="B1247" s="16" t="n">
        <v>5</v>
      </c>
      <c r="C1247" s="15"/>
      <c r="D1247" s="16" t="s">
        <v>102</v>
      </c>
      <c r="E1247" s="16" t="s">
        <v>51</v>
      </c>
      <c r="F1247" s="16" t="s">
        <v>52</v>
      </c>
      <c r="G1247" s="16" t="s">
        <v>250</v>
      </c>
      <c r="H1247" s="16" t="s">
        <v>251</v>
      </c>
      <c r="I1247" s="16" t="s">
        <v>298</v>
      </c>
      <c r="J1247" s="16" t="s">
        <v>1053</v>
      </c>
      <c r="K1247" s="16" t="s">
        <v>251</v>
      </c>
      <c r="L1247" s="16" t="s">
        <v>298</v>
      </c>
      <c r="M1247" s="16" t="s">
        <v>1053</v>
      </c>
      <c r="N1247" s="16" t="s">
        <v>93</v>
      </c>
      <c r="O1247" s="16" t="s">
        <v>107</v>
      </c>
      <c r="P1247" s="16" t="s">
        <v>1670</v>
      </c>
      <c r="Q1247" s="16" t="s">
        <v>1670</v>
      </c>
      <c r="R1247" s="16" t="s">
        <v>800</v>
      </c>
      <c r="S1247" s="16" t="s">
        <v>968</v>
      </c>
      <c r="T1247" s="16" t="s">
        <v>2383</v>
      </c>
      <c r="U1247" s="16" t="s">
        <v>73</v>
      </c>
      <c r="V1247" s="16" t="n">
        <v>0.056</v>
      </c>
      <c r="W1247" s="16" t="n">
        <v>0.051</v>
      </c>
      <c r="X1247" s="16"/>
      <c r="Y1247" s="16" t="n">
        <v>30000</v>
      </c>
      <c r="Z1247" s="16"/>
      <c r="AA1247" s="16"/>
      <c r="AB1247" s="16" t="n">
        <v>50000</v>
      </c>
      <c r="AC1247" s="16"/>
      <c r="AD1247" s="16"/>
      <c r="AE1247" s="16"/>
      <c r="AF1247" s="16"/>
      <c r="AG1247" s="16"/>
      <c r="AH1247" s="16" t="n">
        <v>50000</v>
      </c>
      <c r="AI1247" s="16" t="n">
        <v>0</v>
      </c>
      <c r="AJ1247" s="9" t="n">
        <f aca="false">X1247*$V1247</f>
        <v>0</v>
      </c>
      <c r="AK1247" s="9" t="n">
        <f aca="false">Y1247*$V1247</f>
        <v>1680</v>
      </c>
      <c r="AL1247" s="9" t="n">
        <f aca="false">Z1247*$V1247</f>
        <v>0</v>
      </c>
      <c r="AM1247" s="9" t="n">
        <f aca="false">AA1247*$V1247</f>
        <v>0</v>
      </c>
      <c r="AN1247" s="9" t="n">
        <f aca="false">AB1247*$V1247</f>
        <v>2800</v>
      </c>
      <c r="AO1247" s="9" t="n">
        <f aca="false">AC1247*$V1247</f>
        <v>0</v>
      </c>
      <c r="AP1247" s="9" t="n">
        <f aca="false">AD1247*$V1247</f>
        <v>0</v>
      </c>
      <c r="AQ1247" s="9" t="n">
        <f aca="false">AE1247*$V1247</f>
        <v>0</v>
      </c>
      <c r="AR1247" s="9" t="n">
        <f aca="false">AF1247*$V1247</f>
        <v>0</v>
      </c>
      <c r="AS1247" s="9" t="n">
        <f aca="false">AG1247*$V1247</f>
        <v>0</v>
      </c>
      <c r="AT1247" s="9" t="n">
        <f aca="false">AH1247*$V1247</f>
        <v>2800</v>
      </c>
      <c r="AU1247" s="9" t="n">
        <f aca="false">AI1247*$V1247</f>
        <v>0</v>
      </c>
      <c r="AV1247" s="9" t="n">
        <f aca="false">SUM(X1247:AI1247)/1000</f>
        <v>130</v>
      </c>
      <c r="AW1247" s="9" t="n">
        <f aca="false">SUM(AJ1247:AU1247)</f>
        <v>7280</v>
      </c>
      <c r="AX1247" s="9" t="n">
        <f aca="false">IF(D1247="INR",AW1247/88.24,AW1247)/1000000</f>
        <v>0.00728</v>
      </c>
    </row>
    <row r="1248" s="2" customFormat="true" ht="14.25" hidden="false" customHeight="false" outlineLevel="0" collapsed="false">
      <c r="A1248" s="12"/>
      <c r="B1248" s="16" t="n">
        <v>1</v>
      </c>
      <c r="C1248" s="15"/>
      <c r="D1248" s="16" t="s">
        <v>102</v>
      </c>
      <c r="E1248" s="16"/>
      <c r="F1248" s="16" t="s">
        <v>52</v>
      </c>
      <c r="G1248" s="16"/>
      <c r="H1248" s="16" t="s">
        <v>251</v>
      </c>
      <c r="I1248" s="16"/>
      <c r="J1248" s="16"/>
      <c r="K1248" s="16"/>
      <c r="L1248" s="16"/>
      <c r="M1248" s="16"/>
      <c r="N1248" s="16" t="s">
        <v>93</v>
      </c>
      <c r="O1248" s="16" t="s">
        <v>107</v>
      </c>
      <c r="P1248" s="9"/>
      <c r="Q1248" s="16" t="s">
        <v>1670</v>
      </c>
      <c r="R1248" s="16"/>
      <c r="S1248" s="16"/>
      <c r="T1248" s="16" t="s">
        <v>2384</v>
      </c>
      <c r="U1248" s="16" t="s">
        <v>63</v>
      </c>
      <c r="V1248" s="16" t="n">
        <v>0.118</v>
      </c>
      <c r="W1248" s="16" t="n">
        <v>0.085</v>
      </c>
      <c r="X1248" s="16" t="n">
        <v>10000</v>
      </c>
      <c r="Y1248" s="16" t="n">
        <v>10000</v>
      </c>
      <c r="Z1248" s="16" t="n">
        <v>10000</v>
      </c>
      <c r="AA1248" s="16" t="n">
        <v>10000</v>
      </c>
      <c r="AB1248" s="16" t="n">
        <v>10000</v>
      </c>
      <c r="AC1248" s="16" t="n">
        <v>10000</v>
      </c>
      <c r="AD1248" s="16" t="n">
        <v>10000</v>
      </c>
      <c r="AE1248" s="16" t="n">
        <v>10000</v>
      </c>
      <c r="AF1248" s="16" t="n">
        <v>10000</v>
      </c>
      <c r="AG1248" s="16" t="n">
        <v>10000</v>
      </c>
      <c r="AH1248" s="16" t="n">
        <v>10000</v>
      </c>
      <c r="AI1248" s="16" t="n">
        <v>10000</v>
      </c>
      <c r="AJ1248" s="9" t="n">
        <f aca="false">X1248*$V1248</f>
        <v>1180</v>
      </c>
      <c r="AK1248" s="9" t="n">
        <f aca="false">Y1248*$V1248</f>
        <v>1180</v>
      </c>
      <c r="AL1248" s="9" t="n">
        <f aca="false">Z1248*$V1248</f>
        <v>1180</v>
      </c>
      <c r="AM1248" s="9" t="n">
        <f aca="false">AA1248*$V1248</f>
        <v>1180</v>
      </c>
      <c r="AN1248" s="9" t="n">
        <f aca="false">AB1248*$V1248</f>
        <v>1180</v>
      </c>
      <c r="AO1248" s="9" t="n">
        <f aca="false">AC1248*$V1248</f>
        <v>1180</v>
      </c>
      <c r="AP1248" s="9" t="n">
        <f aca="false">AD1248*$V1248</f>
        <v>1180</v>
      </c>
      <c r="AQ1248" s="9" t="n">
        <f aca="false">AE1248*$V1248</f>
        <v>1180</v>
      </c>
      <c r="AR1248" s="9" t="n">
        <f aca="false">AF1248*$V1248</f>
        <v>1180</v>
      </c>
      <c r="AS1248" s="9" t="n">
        <f aca="false">AG1248*$V1248</f>
        <v>1180</v>
      </c>
      <c r="AT1248" s="9" t="n">
        <f aca="false">AH1248*$V1248</f>
        <v>1180</v>
      </c>
      <c r="AU1248" s="9" t="n">
        <f aca="false">AI1248*$V1248</f>
        <v>1180</v>
      </c>
      <c r="AV1248" s="9" t="n">
        <f aca="false">SUM(X1248:AI1248)/1000</f>
        <v>120</v>
      </c>
      <c r="AW1248" s="9" t="n">
        <f aca="false">SUM(AJ1248:AU1248)</f>
        <v>14160</v>
      </c>
      <c r="AX1248" s="9" t="n">
        <f aca="false">IF(D1248="INR",AW1248/88.24,AW1248)/1000000</f>
        <v>0.01416</v>
      </c>
    </row>
    <row r="1249" s="2" customFormat="true" ht="16.4" hidden="false" customHeight="false" outlineLevel="0" collapsed="false">
      <c r="A1249" s="28" t="s">
        <v>2385</v>
      </c>
      <c r="B1249" s="16"/>
      <c r="C1249" s="16"/>
      <c r="D1249" s="16" t="s">
        <v>102</v>
      </c>
      <c r="E1249" s="16" t="s">
        <v>51</v>
      </c>
      <c r="F1249" s="16" t="s">
        <v>52</v>
      </c>
      <c r="G1249" s="16" t="s">
        <v>250</v>
      </c>
      <c r="H1249" s="16" t="s">
        <v>251</v>
      </c>
      <c r="I1249" s="16" t="s">
        <v>298</v>
      </c>
      <c r="J1249" s="16" t="s">
        <v>1053</v>
      </c>
      <c r="K1249" s="16" t="s">
        <v>251</v>
      </c>
      <c r="L1249" s="16" t="s">
        <v>298</v>
      </c>
      <c r="M1249" s="16" t="s">
        <v>1053</v>
      </c>
      <c r="N1249" s="16" t="s">
        <v>93</v>
      </c>
      <c r="O1249" s="16" t="s">
        <v>107</v>
      </c>
      <c r="P1249" s="16" t="s">
        <v>348</v>
      </c>
      <c r="Q1249" s="16" t="s">
        <v>348</v>
      </c>
      <c r="R1249" s="16" t="s">
        <v>800</v>
      </c>
      <c r="S1249" s="16" t="s">
        <v>87</v>
      </c>
      <c r="T1249" s="16" t="s">
        <v>2379</v>
      </c>
      <c r="U1249" s="26" t="s">
        <v>73</v>
      </c>
      <c r="V1249" s="15" t="n">
        <v>0.0047</v>
      </c>
      <c r="W1249" s="16" t="n">
        <v>0.0042</v>
      </c>
      <c r="X1249" s="16" t="n">
        <v>0</v>
      </c>
      <c r="Y1249" s="16" t="n">
        <v>0</v>
      </c>
      <c r="Z1249" s="16" t="n">
        <v>100000</v>
      </c>
      <c r="AA1249" s="16" t="n">
        <v>0</v>
      </c>
      <c r="AB1249" s="16" t="n">
        <v>0</v>
      </c>
      <c r="AC1249" s="16" t="n">
        <v>0</v>
      </c>
      <c r="AD1249" s="16" t="n">
        <v>0</v>
      </c>
      <c r="AE1249" s="16" t="n">
        <v>0</v>
      </c>
      <c r="AF1249" s="16" t="n">
        <v>0</v>
      </c>
      <c r="AG1249" s="16" t="n">
        <v>0</v>
      </c>
      <c r="AH1249" s="16" t="n">
        <v>0</v>
      </c>
      <c r="AI1249" s="16" t="n">
        <v>0</v>
      </c>
      <c r="AJ1249" s="9" t="n">
        <f aca="false">X1249*$V1249</f>
        <v>0</v>
      </c>
      <c r="AK1249" s="9" t="n">
        <f aca="false">Y1249*$V1249</f>
        <v>0</v>
      </c>
      <c r="AL1249" s="9" t="n">
        <f aca="false">Z1249*$V1249</f>
        <v>470</v>
      </c>
      <c r="AM1249" s="9" t="n">
        <f aca="false">AA1249*$V1249</f>
        <v>0</v>
      </c>
      <c r="AN1249" s="9" t="n">
        <f aca="false">AB1249*$V1249</f>
        <v>0</v>
      </c>
      <c r="AO1249" s="9" t="n">
        <f aca="false">AC1249*$V1249</f>
        <v>0</v>
      </c>
      <c r="AP1249" s="9" t="n">
        <f aca="false">AD1249*$V1249</f>
        <v>0</v>
      </c>
      <c r="AQ1249" s="9" t="n">
        <f aca="false">AE1249*$V1249</f>
        <v>0</v>
      </c>
      <c r="AR1249" s="9" t="n">
        <f aca="false">AF1249*$V1249</f>
        <v>0</v>
      </c>
      <c r="AS1249" s="9" t="n">
        <f aca="false">AG1249*$V1249</f>
        <v>0</v>
      </c>
      <c r="AT1249" s="9" t="n">
        <f aca="false">AH1249*$V1249</f>
        <v>0</v>
      </c>
      <c r="AU1249" s="9" t="n">
        <f aca="false">AI1249*$V1249</f>
        <v>0</v>
      </c>
      <c r="AV1249" s="9" t="n">
        <f aca="false">SUM(X1249:AI1249)/1000</f>
        <v>100</v>
      </c>
      <c r="AW1249" s="9" t="n">
        <f aca="false">SUM(AJ1249:AU1249)</f>
        <v>470</v>
      </c>
      <c r="AX1249" s="9" t="n">
        <f aca="false">IF(D1249="INR",AW1249/88.24,AW1249)/1000000</f>
        <v>0.00047</v>
      </c>
    </row>
    <row r="1250" s="2" customFormat="true" ht="16.4" hidden="false" customHeight="false" outlineLevel="0" collapsed="false">
      <c r="A1250" s="28" t="s">
        <v>2386</v>
      </c>
      <c r="B1250" s="16"/>
      <c r="C1250" s="16"/>
      <c r="D1250" s="16" t="s">
        <v>50</v>
      </c>
      <c r="E1250" s="16" t="s">
        <v>51</v>
      </c>
      <c r="F1250" s="16" t="s">
        <v>404</v>
      </c>
      <c r="G1250" s="16" t="s">
        <v>1771</v>
      </c>
      <c r="H1250" s="16" t="s">
        <v>1772</v>
      </c>
      <c r="I1250" s="16" t="s">
        <v>105</v>
      </c>
      <c r="J1250" s="16" t="s">
        <v>900</v>
      </c>
      <c r="K1250" s="16"/>
      <c r="L1250" s="16" t="s">
        <v>105</v>
      </c>
      <c r="M1250" s="16" t="s">
        <v>900</v>
      </c>
      <c r="N1250" s="16" t="s">
        <v>271</v>
      </c>
      <c r="O1250" s="16" t="s">
        <v>68</v>
      </c>
      <c r="P1250" s="16" t="s">
        <v>308</v>
      </c>
      <c r="Q1250" s="16" t="s">
        <v>308</v>
      </c>
      <c r="R1250" s="16" t="s">
        <v>309</v>
      </c>
      <c r="S1250" s="16" t="s">
        <v>264</v>
      </c>
      <c r="T1250" s="16" t="s">
        <v>2387</v>
      </c>
      <c r="U1250" s="26" t="s">
        <v>73</v>
      </c>
      <c r="V1250" s="16" t="n">
        <v>4.45</v>
      </c>
      <c r="W1250" s="16" t="n">
        <v>0</v>
      </c>
      <c r="X1250" s="16"/>
      <c r="Y1250" s="16"/>
      <c r="Z1250" s="16"/>
      <c r="AA1250" s="16"/>
      <c r="AB1250" s="16"/>
      <c r="AC1250" s="16"/>
      <c r="AD1250" s="16"/>
      <c r="AE1250" s="16" t="n">
        <v>2500</v>
      </c>
      <c r="AF1250" s="16"/>
      <c r="AG1250" s="16"/>
      <c r="AH1250" s="16"/>
      <c r="AI1250" s="16"/>
      <c r="AJ1250" s="9" t="n">
        <f aca="false">X1250*$V1250</f>
        <v>0</v>
      </c>
      <c r="AK1250" s="9" t="n">
        <f aca="false">Y1250*$V1250</f>
        <v>0</v>
      </c>
      <c r="AL1250" s="9" t="n">
        <f aca="false">Z1250*$V1250</f>
        <v>0</v>
      </c>
      <c r="AM1250" s="9" t="n">
        <f aca="false">AA1250*$V1250</f>
        <v>0</v>
      </c>
      <c r="AN1250" s="9" t="n">
        <f aca="false">AB1250*$V1250</f>
        <v>0</v>
      </c>
      <c r="AO1250" s="9" t="n">
        <f aca="false">AC1250*$V1250</f>
        <v>0</v>
      </c>
      <c r="AP1250" s="9" t="n">
        <f aca="false">AD1250*$V1250</f>
        <v>0</v>
      </c>
      <c r="AQ1250" s="9" t="n">
        <f aca="false">AE1250*$V1250</f>
        <v>11125</v>
      </c>
      <c r="AR1250" s="9" t="n">
        <f aca="false">AF1250*$V1250</f>
        <v>0</v>
      </c>
      <c r="AS1250" s="9" t="n">
        <f aca="false">AG1250*$V1250</f>
        <v>0</v>
      </c>
      <c r="AT1250" s="9" t="n">
        <f aca="false">AH1250*$V1250</f>
        <v>0</v>
      </c>
      <c r="AU1250" s="9" t="n">
        <f aca="false">AI1250*$V1250</f>
        <v>0</v>
      </c>
      <c r="AV1250" s="9" t="n">
        <f aca="false">SUM(X1250:AI1250)/1000</f>
        <v>2.5</v>
      </c>
      <c r="AW1250" s="9" t="n">
        <f aca="false">SUM(AJ1250:AU1250)</f>
        <v>11125</v>
      </c>
      <c r="AX1250" s="9" t="n">
        <f aca="false">IF(D1250="INR",AW1250/88.24,AW1250)/1000000</f>
        <v>0.000126076609247507</v>
      </c>
    </row>
    <row r="1251" s="2" customFormat="true" ht="14.25" hidden="false" customHeight="false" outlineLevel="0" collapsed="false">
      <c r="A1251" s="12"/>
      <c r="B1251" s="9" t="n">
        <v>1</v>
      </c>
      <c r="C1251" s="10"/>
      <c r="D1251" s="9" t="s">
        <v>50</v>
      </c>
      <c r="E1251" s="9" t="s">
        <v>51</v>
      </c>
      <c r="F1251" s="9" t="s">
        <v>404</v>
      </c>
      <c r="G1251" s="9"/>
      <c r="H1251" s="9" t="s">
        <v>1953</v>
      </c>
      <c r="I1251" s="9"/>
      <c r="J1251" s="9"/>
      <c r="K1251" s="9"/>
      <c r="L1251" s="9"/>
      <c r="M1251" s="9"/>
      <c r="N1251" s="9" t="s">
        <v>271</v>
      </c>
      <c r="O1251" s="9" t="s">
        <v>94</v>
      </c>
      <c r="P1251" s="9" t="s">
        <v>262</v>
      </c>
      <c r="Q1251" s="9" t="s">
        <v>262</v>
      </c>
      <c r="R1251" s="9"/>
      <c r="S1251" s="9" t="s">
        <v>264</v>
      </c>
      <c r="T1251" s="9" t="s">
        <v>2388</v>
      </c>
      <c r="U1251" s="9"/>
      <c r="V1251" s="9" t="n">
        <v>3.2</v>
      </c>
      <c r="W1251" s="9"/>
      <c r="X1251" s="9"/>
      <c r="Y1251" s="9"/>
      <c r="Z1251" s="9"/>
      <c r="AA1251" s="9" t="n">
        <v>4000</v>
      </c>
      <c r="AB1251" s="9"/>
      <c r="AC1251" s="9" t="n">
        <v>10000</v>
      </c>
      <c r="AD1251" s="9"/>
      <c r="AE1251" s="9"/>
      <c r="AF1251" s="9" t="n">
        <v>4000</v>
      </c>
      <c r="AG1251" s="9"/>
      <c r="AH1251" s="9" t="n">
        <v>4000</v>
      </c>
      <c r="AI1251" s="9"/>
      <c r="AJ1251" s="9" t="n">
        <f aca="false">X1251*$V1251</f>
        <v>0</v>
      </c>
      <c r="AK1251" s="9" t="n">
        <f aca="false">Y1251*$V1251</f>
        <v>0</v>
      </c>
      <c r="AL1251" s="9" t="n">
        <f aca="false">Z1251*$V1251</f>
        <v>0</v>
      </c>
      <c r="AM1251" s="9" t="n">
        <f aca="false">AA1251*$V1251</f>
        <v>12800</v>
      </c>
      <c r="AN1251" s="9" t="n">
        <f aca="false">AB1251*$V1251</f>
        <v>0</v>
      </c>
      <c r="AO1251" s="9" t="n">
        <f aca="false">AC1251*$V1251</f>
        <v>32000</v>
      </c>
      <c r="AP1251" s="9" t="n">
        <f aca="false">AD1251*$V1251</f>
        <v>0</v>
      </c>
      <c r="AQ1251" s="9" t="n">
        <f aca="false">AE1251*$V1251</f>
        <v>0</v>
      </c>
      <c r="AR1251" s="9" t="n">
        <f aca="false">AF1251*$V1251</f>
        <v>12800</v>
      </c>
      <c r="AS1251" s="9" t="n">
        <f aca="false">AG1251*$V1251</f>
        <v>0</v>
      </c>
      <c r="AT1251" s="9" t="n">
        <f aca="false">AH1251*$V1251</f>
        <v>12800</v>
      </c>
      <c r="AU1251" s="9" t="n">
        <f aca="false">AI1251*$V1251</f>
        <v>0</v>
      </c>
      <c r="AV1251" s="9" t="n">
        <f aca="false">SUM(X1251:AI1251)/1000</f>
        <v>22</v>
      </c>
      <c r="AW1251" s="9" t="n">
        <f aca="false">SUM(AJ1251:AU1251)</f>
        <v>70400</v>
      </c>
      <c r="AX1251" s="9" t="n">
        <f aca="false">IF(D1251="INR",AW1251/88.24,AW1251)/1000000</f>
        <v>0.000797824116047144</v>
      </c>
    </row>
    <row r="1252" s="2" customFormat="true" ht="14.25" hidden="false" customHeight="false" outlineLevel="0" collapsed="false">
      <c r="A1252" s="12"/>
      <c r="B1252" s="16" t="n">
        <v>1</v>
      </c>
      <c r="C1252" s="15"/>
      <c r="D1252" s="16" t="s">
        <v>50</v>
      </c>
      <c r="E1252" s="16" t="s">
        <v>51</v>
      </c>
      <c r="F1252" s="16" t="s">
        <v>404</v>
      </c>
      <c r="G1252" s="16"/>
      <c r="H1252" s="16" t="s">
        <v>1953</v>
      </c>
      <c r="I1252" s="16"/>
      <c r="J1252" s="16"/>
      <c r="K1252" s="16"/>
      <c r="L1252" s="16"/>
      <c r="M1252" s="16"/>
      <c r="N1252" s="16" t="s">
        <v>271</v>
      </c>
      <c r="O1252" s="16" t="s">
        <v>94</v>
      </c>
      <c r="P1252" s="16" t="s">
        <v>262</v>
      </c>
      <c r="Q1252" s="16" t="s">
        <v>262</v>
      </c>
      <c r="R1252" s="16"/>
      <c r="S1252" s="16" t="s">
        <v>264</v>
      </c>
      <c r="T1252" s="16" t="s">
        <v>2389</v>
      </c>
      <c r="U1252" s="16"/>
      <c r="V1252" s="16" t="n">
        <v>8</v>
      </c>
      <c r="W1252" s="16"/>
      <c r="X1252" s="16"/>
      <c r="Y1252" s="16"/>
      <c r="Z1252" s="16"/>
      <c r="AA1252" s="16" t="n">
        <v>2000</v>
      </c>
      <c r="AB1252" s="16"/>
      <c r="AC1252" s="16" t="n">
        <v>10000</v>
      </c>
      <c r="AD1252" s="16"/>
      <c r="AE1252" s="16"/>
      <c r="AF1252" s="16" t="n">
        <v>2000</v>
      </c>
      <c r="AG1252" s="16"/>
      <c r="AH1252" s="16" t="n">
        <v>2000</v>
      </c>
      <c r="AI1252" s="16"/>
      <c r="AJ1252" s="9" t="n">
        <f aca="false">X1252*$V1252</f>
        <v>0</v>
      </c>
      <c r="AK1252" s="9" t="n">
        <f aca="false">Y1252*$V1252</f>
        <v>0</v>
      </c>
      <c r="AL1252" s="9" t="n">
        <f aca="false">Z1252*$V1252</f>
        <v>0</v>
      </c>
      <c r="AM1252" s="9" t="n">
        <f aca="false">AA1252*$V1252</f>
        <v>16000</v>
      </c>
      <c r="AN1252" s="9" t="n">
        <f aca="false">AB1252*$V1252</f>
        <v>0</v>
      </c>
      <c r="AO1252" s="9" t="n">
        <f aca="false">AC1252*$V1252</f>
        <v>80000</v>
      </c>
      <c r="AP1252" s="9" t="n">
        <f aca="false">AD1252*$V1252</f>
        <v>0</v>
      </c>
      <c r="AQ1252" s="9" t="n">
        <f aca="false">AE1252*$V1252</f>
        <v>0</v>
      </c>
      <c r="AR1252" s="9" t="n">
        <f aca="false">AF1252*$V1252</f>
        <v>16000</v>
      </c>
      <c r="AS1252" s="9" t="n">
        <f aca="false">AG1252*$V1252</f>
        <v>0</v>
      </c>
      <c r="AT1252" s="9" t="n">
        <f aca="false">AH1252*$V1252</f>
        <v>16000</v>
      </c>
      <c r="AU1252" s="9" t="n">
        <f aca="false">AI1252*$V1252</f>
        <v>0</v>
      </c>
      <c r="AV1252" s="9" t="n">
        <f aca="false">SUM(X1252:AI1252)/1000</f>
        <v>16</v>
      </c>
      <c r="AW1252" s="9" t="n">
        <f aca="false">SUM(AJ1252:AU1252)</f>
        <v>128000</v>
      </c>
      <c r="AX1252" s="9" t="n">
        <f aca="false">IF(D1252="INR",AW1252/88.24,AW1252)/1000000</f>
        <v>0.0014505893019039</v>
      </c>
    </row>
    <row r="1253" s="2" customFormat="true" ht="14.25" hidden="false" customHeight="false" outlineLevel="0" collapsed="false">
      <c r="A1253" s="12"/>
      <c r="B1253" s="16" t="n">
        <v>1</v>
      </c>
      <c r="C1253" s="15"/>
      <c r="D1253" s="16" t="s">
        <v>50</v>
      </c>
      <c r="E1253" s="16" t="s">
        <v>51</v>
      </c>
      <c r="F1253" s="16" t="s">
        <v>404</v>
      </c>
      <c r="G1253" s="16"/>
      <c r="H1253" s="16" t="s">
        <v>1953</v>
      </c>
      <c r="I1253" s="16"/>
      <c r="J1253" s="16"/>
      <c r="K1253" s="16"/>
      <c r="L1253" s="16"/>
      <c r="M1253" s="16"/>
      <c r="N1253" s="16" t="s">
        <v>271</v>
      </c>
      <c r="O1253" s="16" t="s">
        <v>94</v>
      </c>
      <c r="P1253" s="16" t="s">
        <v>874</v>
      </c>
      <c r="Q1253" s="16" t="s">
        <v>874</v>
      </c>
      <c r="R1253" s="16"/>
      <c r="S1253" s="16"/>
      <c r="T1253" s="16" t="s">
        <v>2390</v>
      </c>
      <c r="U1253" s="16"/>
      <c r="V1253" s="16" t="n">
        <v>81</v>
      </c>
      <c r="W1253" s="16"/>
      <c r="X1253" s="16"/>
      <c r="Y1253" s="16"/>
      <c r="Z1253" s="16"/>
      <c r="AA1253" s="16"/>
      <c r="AB1253" s="16" t="n">
        <v>2000</v>
      </c>
      <c r="AC1253" s="16"/>
      <c r="AD1253" s="16"/>
      <c r="AE1253" s="16" t="n">
        <v>2000</v>
      </c>
      <c r="AF1253" s="16"/>
      <c r="AG1253" s="16"/>
      <c r="AH1253" s="16" t="n">
        <v>5000</v>
      </c>
      <c r="AI1253" s="16"/>
      <c r="AJ1253" s="9" t="n">
        <f aca="false">X1253*$V1253</f>
        <v>0</v>
      </c>
      <c r="AK1253" s="9" t="n">
        <f aca="false">Y1253*$V1253</f>
        <v>0</v>
      </c>
      <c r="AL1253" s="9" t="n">
        <f aca="false">Z1253*$V1253</f>
        <v>0</v>
      </c>
      <c r="AM1253" s="9" t="n">
        <f aca="false">AA1253*$V1253</f>
        <v>0</v>
      </c>
      <c r="AN1253" s="9" t="n">
        <f aca="false">AB1253*$V1253</f>
        <v>162000</v>
      </c>
      <c r="AO1253" s="9" t="n">
        <f aca="false">AC1253*$V1253</f>
        <v>0</v>
      </c>
      <c r="AP1253" s="9" t="n">
        <f aca="false">AD1253*$V1253</f>
        <v>0</v>
      </c>
      <c r="AQ1253" s="9" t="n">
        <f aca="false">AE1253*$V1253</f>
        <v>162000</v>
      </c>
      <c r="AR1253" s="9" t="n">
        <f aca="false">AF1253*$V1253</f>
        <v>0</v>
      </c>
      <c r="AS1253" s="9" t="n">
        <f aca="false">AG1253*$V1253</f>
        <v>0</v>
      </c>
      <c r="AT1253" s="9" t="n">
        <f aca="false">AH1253*$V1253</f>
        <v>405000</v>
      </c>
      <c r="AU1253" s="9" t="n">
        <f aca="false">AI1253*$V1253</f>
        <v>0</v>
      </c>
      <c r="AV1253" s="9" t="n">
        <f aca="false">SUM(X1253:AI1253)/1000</f>
        <v>9</v>
      </c>
      <c r="AW1253" s="9" t="n">
        <f aca="false">SUM(AJ1253:AU1253)</f>
        <v>729000</v>
      </c>
      <c r="AX1253" s="9" t="n">
        <f aca="false">IF(D1253="INR",AW1253/88.24,AW1253)/1000000</f>
        <v>0.00826155938349955</v>
      </c>
    </row>
    <row r="1254" s="2" customFormat="true" ht="14.25" hidden="false" customHeight="false" outlineLevel="0" collapsed="false">
      <c r="A1254" s="35"/>
      <c r="B1254" s="9" t="n">
        <v>1</v>
      </c>
      <c r="C1254" s="15"/>
      <c r="D1254" s="16" t="s">
        <v>50</v>
      </c>
      <c r="E1254" s="16" t="s">
        <v>51</v>
      </c>
      <c r="F1254" s="16" t="s">
        <v>404</v>
      </c>
      <c r="G1254" s="16"/>
      <c r="H1254" s="9" t="s">
        <v>1953</v>
      </c>
      <c r="I1254" s="16"/>
      <c r="J1254" s="16"/>
      <c r="K1254" s="9"/>
      <c r="L1254" s="16"/>
      <c r="M1254" s="16"/>
      <c r="N1254" s="16" t="s">
        <v>271</v>
      </c>
      <c r="O1254" s="16" t="s">
        <v>94</v>
      </c>
      <c r="P1254" s="9" t="s">
        <v>380</v>
      </c>
      <c r="Q1254" s="16" t="s">
        <v>380</v>
      </c>
      <c r="R1254" s="9" t="s">
        <v>70</v>
      </c>
      <c r="S1254" s="9" t="s">
        <v>443</v>
      </c>
      <c r="T1254" s="9" t="s">
        <v>2391</v>
      </c>
      <c r="U1254" s="16"/>
      <c r="V1254" s="36" t="n">
        <v>5475</v>
      </c>
      <c r="W1254" s="9"/>
      <c r="X1254" s="22"/>
      <c r="Y1254" s="9"/>
      <c r="Z1254" s="9"/>
      <c r="AA1254" s="9" t="n">
        <v>1000</v>
      </c>
      <c r="AB1254" s="9"/>
      <c r="AC1254" s="9"/>
      <c r="AD1254" s="23"/>
      <c r="AE1254" s="9" t="n">
        <v>1000</v>
      </c>
      <c r="AF1254" s="9"/>
      <c r="AG1254" s="9"/>
      <c r="AH1254" s="9"/>
      <c r="AI1254" s="9"/>
      <c r="AJ1254" s="9" t="n">
        <f aca="false">X1254*$V1254</f>
        <v>0</v>
      </c>
      <c r="AK1254" s="9" t="n">
        <f aca="false">Y1254*$V1254</f>
        <v>0</v>
      </c>
      <c r="AL1254" s="9" t="n">
        <f aca="false">Z1254*$V1254</f>
        <v>0</v>
      </c>
      <c r="AM1254" s="9" t="n">
        <f aca="false">AA1254*$V1254</f>
        <v>5475000</v>
      </c>
      <c r="AN1254" s="9" t="n">
        <f aca="false">AB1254*$V1254</f>
        <v>0</v>
      </c>
      <c r="AO1254" s="9" t="n">
        <f aca="false">AC1254*$V1254</f>
        <v>0</v>
      </c>
      <c r="AP1254" s="9" t="n">
        <f aca="false">AD1254*$V1254</f>
        <v>0</v>
      </c>
      <c r="AQ1254" s="9" t="n">
        <f aca="false">AE1254*$V1254</f>
        <v>5475000</v>
      </c>
      <c r="AR1254" s="9" t="n">
        <f aca="false">AF1254*$V1254</f>
        <v>0</v>
      </c>
      <c r="AS1254" s="9" t="n">
        <f aca="false">AG1254*$V1254</f>
        <v>0</v>
      </c>
      <c r="AT1254" s="9" t="n">
        <f aca="false">AH1254*$V1254</f>
        <v>0</v>
      </c>
      <c r="AU1254" s="9" t="n">
        <f aca="false">AI1254*$V1254</f>
        <v>0</v>
      </c>
      <c r="AV1254" s="9" t="n">
        <f aca="false">SUM(X1254:AI1254)/1000</f>
        <v>2</v>
      </c>
      <c r="AW1254" s="9" t="n">
        <f aca="false">SUM(AJ1254:AU1254)</f>
        <v>10950000</v>
      </c>
      <c r="AX1254" s="9" t="n">
        <f aca="false">IF(D1254="INR",AW1254/88.24,AW1254)/1000000</f>
        <v>0.12409338168631</v>
      </c>
    </row>
    <row r="1255" s="2" customFormat="true" ht="16.4" hidden="false" customHeight="false" outlineLevel="0" collapsed="false">
      <c r="A1255" s="28" t="s">
        <v>2392</v>
      </c>
      <c r="B1255" s="16"/>
      <c r="C1255" s="16" t="n">
        <v>5</v>
      </c>
      <c r="D1255" s="16" t="s">
        <v>50</v>
      </c>
      <c r="E1255" s="16" t="s">
        <v>51</v>
      </c>
      <c r="F1255" s="16" t="s">
        <v>52</v>
      </c>
      <c r="G1255" s="16" t="s">
        <v>2393</v>
      </c>
      <c r="H1255" s="16" t="s">
        <v>2394</v>
      </c>
      <c r="I1255" s="16" t="s">
        <v>55</v>
      </c>
      <c r="J1255" s="16" t="s">
        <v>56</v>
      </c>
      <c r="K1255" s="16"/>
      <c r="L1255" s="16" t="s">
        <v>55</v>
      </c>
      <c r="M1255" s="16" t="s">
        <v>56</v>
      </c>
      <c r="N1255" s="16" t="s">
        <v>290</v>
      </c>
      <c r="O1255" s="16" t="s">
        <v>107</v>
      </c>
      <c r="P1255" s="16" t="s">
        <v>59</v>
      </c>
      <c r="Q1255" s="16" t="s">
        <v>59</v>
      </c>
      <c r="R1255" s="16" t="s">
        <v>60</v>
      </c>
      <c r="S1255" s="16" t="s">
        <v>61</v>
      </c>
      <c r="T1255" s="16" t="s">
        <v>2395</v>
      </c>
      <c r="U1255" s="16" t="s">
        <v>73</v>
      </c>
      <c r="V1255" s="16" t="n">
        <v>35</v>
      </c>
      <c r="W1255" s="26" t="n">
        <v>0.25</v>
      </c>
      <c r="X1255" s="16"/>
      <c r="Y1255" s="16"/>
      <c r="Z1255" s="16"/>
      <c r="AA1255" s="16"/>
      <c r="AB1255" s="16"/>
      <c r="AC1255" s="16" t="n">
        <v>50</v>
      </c>
      <c r="AD1255" s="16"/>
      <c r="AE1255" s="16"/>
      <c r="AF1255" s="16"/>
      <c r="AG1255" s="16"/>
      <c r="AH1255" s="16"/>
      <c r="AI1255" s="16"/>
      <c r="AJ1255" s="9" t="n">
        <f aca="false">X1255*$V1255</f>
        <v>0</v>
      </c>
      <c r="AK1255" s="9" t="n">
        <f aca="false">Y1255*$V1255</f>
        <v>0</v>
      </c>
      <c r="AL1255" s="9" t="n">
        <f aca="false">Z1255*$V1255</f>
        <v>0</v>
      </c>
      <c r="AM1255" s="9" t="n">
        <f aca="false">AA1255*$V1255</f>
        <v>0</v>
      </c>
      <c r="AN1255" s="9" t="n">
        <f aca="false">AB1255*$V1255</f>
        <v>0</v>
      </c>
      <c r="AO1255" s="9" t="n">
        <f aca="false">AC1255*$V1255</f>
        <v>1750</v>
      </c>
      <c r="AP1255" s="9" t="n">
        <f aca="false">AD1255*$V1255</f>
        <v>0</v>
      </c>
      <c r="AQ1255" s="9" t="n">
        <f aca="false">AE1255*$V1255</f>
        <v>0</v>
      </c>
      <c r="AR1255" s="9" t="n">
        <f aca="false">AF1255*$V1255</f>
        <v>0</v>
      </c>
      <c r="AS1255" s="9" t="n">
        <f aca="false">AG1255*$V1255</f>
        <v>0</v>
      </c>
      <c r="AT1255" s="9" t="n">
        <f aca="false">AH1255*$V1255</f>
        <v>0</v>
      </c>
      <c r="AU1255" s="9" t="n">
        <f aca="false">AI1255*$V1255</f>
        <v>0</v>
      </c>
      <c r="AV1255" s="9" t="n">
        <f aca="false">SUM(X1255:AI1255)/1000</f>
        <v>0.05</v>
      </c>
      <c r="AW1255" s="9" t="n">
        <f aca="false">SUM(AJ1255:AU1255)</f>
        <v>1750</v>
      </c>
      <c r="AX1255" s="9" t="n">
        <f aca="false">IF(D1255="INR",AW1255/88.24,AW1255)/1000000</f>
        <v>1.98322756119674E-005</v>
      </c>
    </row>
    <row r="1256" s="2" customFormat="true" ht="14.25" hidden="false" customHeight="true" outlineLevel="0" collapsed="false">
      <c r="A1256" s="28" t="s">
        <v>2396</v>
      </c>
      <c r="B1256" s="16"/>
      <c r="C1256" s="16" t="n">
        <v>5</v>
      </c>
      <c r="D1256" s="16" t="s">
        <v>50</v>
      </c>
      <c r="E1256" s="16" t="s">
        <v>51</v>
      </c>
      <c r="F1256" s="16" t="s">
        <v>52</v>
      </c>
      <c r="G1256" s="16" t="s">
        <v>2393</v>
      </c>
      <c r="H1256" s="16" t="s">
        <v>2394</v>
      </c>
      <c r="I1256" s="16" t="s">
        <v>55</v>
      </c>
      <c r="J1256" s="16" t="s">
        <v>56</v>
      </c>
      <c r="K1256" s="16"/>
      <c r="L1256" s="16" t="s">
        <v>55</v>
      </c>
      <c r="M1256" s="16" t="s">
        <v>56</v>
      </c>
      <c r="N1256" s="16" t="s">
        <v>290</v>
      </c>
      <c r="O1256" s="16" t="s">
        <v>107</v>
      </c>
      <c r="P1256" s="16" t="s">
        <v>59</v>
      </c>
      <c r="Q1256" s="16" t="s">
        <v>59</v>
      </c>
      <c r="R1256" s="16" t="s">
        <v>60</v>
      </c>
      <c r="S1256" s="16" t="s">
        <v>61</v>
      </c>
      <c r="T1256" s="16" t="s">
        <v>867</v>
      </c>
      <c r="U1256" s="16" t="s">
        <v>73</v>
      </c>
      <c r="V1256" s="16" t="n">
        <v>580</v>
      </c>
      <c r="W1256" s="26" t="n">
        <v>4.75</v>
      </c>
      <c r="X1256" s="30"/>
      <c r="Y1256" s="30"/>
      <c r="Z1256" s="30"/>
      <c r="AA1256" s="30"/>
      <c r="AB1256" s="30"/>
      <c r="AC1256" s="30" t="n">
        <v>10</v>
      </c>
      <c r="AD1256" s="30"/>
      <c r="AE1256" s="30"/>
      <c r="AF1256" s="30"/>
      <c r="AG1256" s="30"/>
      <c r="AH1256" s="30"/>
      <c r="AI1256" s="30"/>
      <c r="AJ1256" s="9" t="n">
        <f aca="false">X1256*$V1256</f>
        <v>0</v>
      </c>
      <c r="AK1256" s="9" t="n">
        <f aca="false">Y1256*$V1256</f>
        <v>0</v>
      </c>
      <c r="AL1256" s="9" t="n">
        <f aca="false">Z1256*$V1256</f>
        <v>0</v>
      </c>
      <c r="AM1256" s="9" t="n">
        <f aca="false">AA1256*$V1256</f>
        <v>0</v>
      </c>
      <c r="AN1256" s="9" t="n">
        <f aca="false">AB1256*$V1256</f>
        <v>0</v>
      </c>
      <c r="AO1256" s="9" t="n">
        <f aca="false">AC1256*$V1256</f>
        <v>5800</v>
      </c>
      <c r="AP1256" s="9" t="n">
        <f aca="false">AD1256*$V1256</f>
        <v>0</v>
      </c>
      <c r="AQ1256" s="9" t="n">
        <f aca="false">AE1256*$V1256</f>
        <v>0</v>
      </c>
      <c r="AR1256" s="9" t="n">
        <f aca="false">AF1256*$V1256</f>
        <v>0</v>
      </c>
      <c r="AS1256" s="9" t="n">
        <f aca="false">AG1256*$V1256</f>
        <v>0</v>
      </c>
      <c r="AT1256" s="9" t="n">
        <f aca="false">AH1256*$V1256</f>
        <v>0</v>
      </c>
      <c r="AU1256" s="9" t="n">
        <f aca="false">AI1256*$V1256</f>
        <v>0</v>
      </c>
      <c r="AV1256" s="9" t="n">
        <f aca="false">SUM(X1256:AI1256)/1000</f>
        <v>0.01</v>
      </c>
      <c r="AW1256" s="9" t="n">
        <f aca="false">SUM(AJ1256:AU1256)</f>
        <v>5800</v>
      </c>
      <c r="AX1256" s="9" t="n">
        <f aca="false">IF(D1256="INR",AW1256/88.24,AW1256)/1000000</f>
        <v>6.57298277425204E-005</v>
      </c>
    </row>
    <row r="1257" s="2" customFormat="true" ht="16.4" hidden="false" customHeight="false" outlineLevel="0" collapsed="false">
      <c r="A1257" s="35" t="s">
        <v>2397</v>
      </c>
      <c r="B1257" s="9"/>
      <c r="C1257" s="10"/>
      <c r="D1257" s="9" t="s">
        <v>50</v>
      </c>
      <c r="E1257" s="9" t="s">
        <v>51</v>
      </c>
      <c r="F1257" s="9" t="s">
        <v>243</v>
      </c>
      <c r="G1257" s="9" t="s">
        <v>803</v>
      </c>
      <c r="H1257" s="9" t="s">
        <v>804</v>
      </c>
      <c r="I1257" s="9" t="s">
        <v>55</v>
      </c>
      <c r="J1257" s="9" t="s">
        <v>56</v>
      </c>
      <c r="K1257" s="9"/>
      <c r="L1257" s="9" t="s">
        <v>55</v>
      </c>
      <c r="M1257" s="9" t="s">
        <v>56</v>
      </c>
      <c r="N1257" s="9" t="s">
        <v>93</v>
      </c>
      <c r="O1257" s="9" t="s">
        <v>246</v>
      </c>
      <c r="P1257" s="9" t="s">
        <v>308</v>
      </c>
      <c r="Q1257" s="9" t="s">
        <v>308</v>
      </c>
      <c r="R1257" s="9" t="s">
        <v>309</v>
      </c>
      <c r="S1257" s="9" t="s">
        <v>264</v>
      </c>
      <c r="T1257" s="9" t="s">
        <v>2398</v>
      </c>
      <c r="U1257" s="9" t="s">
        <v>73</v>
      </c>
      <c r="V1257" s="9" t="n">
        <v>1</v>
      </c>
      <c r="W1257" s="9" t="n">
        <v>0.78</v>
      </c>
      <c r="X1257" s="9"/>
      <c r="Y1257" s="9"/>
      <c r="Z1257" s="9"/>
      <c r="AA1257" s="9"/>
      <c r="AB1257" s="9" t="n">
        <v>25000</v>
      </c>
      <c r="AC1257" s="9"/>
      <c r="AD1257" s="9"/>
      <c r="AE1257" s="9"/>
      <c r="AF1257" s="9"/>
      <c r="AG1257" s="9" t="n">
        <v>25000</v>
      </c>
      <c r="AH1257" s="9"/>
      <c r="AI1257" s="9"/>
      <c r="AJ1257" s="9" t="n">
        <f aca="false">X1257*$V1257</f>
        <v>0</v>
      </c>
      <c r="AK1257" s="9" t="n">
        <f aca="false">Y1257*$V1257</f>
        <v>0</v>
      </c>
      <c r="AL1257" s="9" t="n">
        <f aca="false">Z1257*$V1257</f>
        <v>0</v>
      </c>
      <c r="AM1257" s="9" t="n">
        <f aca="false">AA1257*$V1257</f>
        <v>0</v>
      </c>
      <c r="AN1257" s="9" t="n">
        <f aca="false">AB1257*$V1257</f>
        <v>25000</v>
      </c>
      <c r="AO1257" s="9" t="n">
        <f aca="false">AC1257*$V1257</f>
        <v>0</v>
      </c>
      <c r="AP1257" s="9" t="n">
        <f aca="false">AD1257*$V1257</f>
        <v>0</v>
      </c>
      <c r="AQ1257" s="9" t="n">
        <f aca="false">AE1257*$V1257</f>
        <v>0</v>
      </c>
      <c r="AR1257" s="9" t="n">
        <f aca="false">AF1257*$V1257</f>
        <v>0</v>
      </c>
      <c r="AS1257" s="9" t="n">
        <f aca="false">AG1257*$V1257</f>
        <v>25000</v>
      </c>
      <c r="AT1257" s="9" t="n">
        <f aca="false">AH1257*$V1257</f>
        <v>0</v>
      </c>
      <c r="AU1257" s="9" t="n">
        <f aca="false">AI1257*$V1257</f>
        <v>0</v>
      </c>
      <c r="AV1257" s="9" t="n">
        <f aca="false">SUM(X1257:AI1257)/1000</f>
        <v>50</v>
      </c>
      <c r="AW1257" s="9" t="n">
        <f aca="false">SUM(AJ1257:AU1257)</f>
        <v>50000</v>
      </c>
      <c r="AX1257" s="9" t="n">
        <f aca="false">IF(D1257="INR",AW1257/88.24,AW1257)/1000000</f>
        <v>0.00056663644605621</v>
      </c>
    </row>
    <row r="1258" s="2" customFormat="true" ht="14.25" hidden="false" customHeight="false" outlineLevel="0" collapsed="false">
      <c r="A1258" s="12"/>
      <c r="B1258" s="16" t="n">
        <v>5</v>
      </c>
      <c r="C1258" s="15"/>
      <c r="D1258" s="16" t="s">
        <v>50</v>
      </c>
      <c r="E1258" s="16" t="s">
        <v>51</v>
      </c>
      <c r="F1258" s="16" t="s">
        <v>404</v>
      </c>
      <c r="G1258" s="16"/>
      <c r="H1258" s="16" t="s">
        <v>2399</v>
      </c>
      <c r="I1258" s="16" t="s">
        <v>105</v>
      </c>
      <c r="J1258" s="16" t="s">
        <v>900</v>
      </c>
      <c r="K1258" s="16"/>
      <c r="L1258" s="16" t="s">
        <v>105</v>
      </c>
      <c r="M1258" s="16" t="s">
        <v>900</v>
      </c>
      <c r="N1258" s="16" t="s">
        <v>271</v>
      </c>
      <c r="O1258" s="16" t="s">
        <v>94</v>
      </c>
      <c r="P1258" s="16" t="s">
        <v>110</v>
      </c>
      <c r="Q1258" s="16" t="s">
        <v>110</v>
      </c>
      <c r="R1258" s="16" t="s">
        <v>137</v>
      </c>
      <c r="S1258" s="16" t="s">
        <v>272</v>
      </c>
      <c r="T1258" s="16" t="s">
        <v>1011</v>
      </c>
      <c r="U1258" s="16" t="s">
        <v>63</v>
      </c>
      <c r="V1258" s="16" t="n">
        <v>75</v>
      </c>
      <c r="W1258" s="16"/>
      <c r="X1258" s="22"/>
      <c r="Y1258" s="22" t="n">
        <v>2000</v>
      </c>
      <c r="Z1258" s="22"/>
      <c r="AA1258" s="22"/>
      <c r="AB1258" s="22"/>
      <c r="AC1258" s="22" t="n">
        <v>2000</v>
      </c>
      <c r="AD1258" s="22"/>
      <c r="AE1258" s="22"/>
      <c r="AF1258" s="22" t="n">
        <v>2000</v>
      </c>
      <c r="AG1258" s="22"/>
      <c r="AH1258" s="22"/>
      <c r="AI1258" s="22"/>
      <c r="AJ1258" s="9" t="n">
        <f aca="false">X1258*$V1258</f>
        <v>0</v>
      </c>
      <c r="AK1258" s="9" t="n">
        <f aca="false">Y1258*$V1258</f>
        <v>150000</v>
      </c>
      <c r="AL1258" s="9" t="n">
        <f aca="false">Z1258*$V1258</f>
        <v>0</v>
      </c>
      <c r="AM1258" s="9" t="n">
        <f aca="false">AA1258*$V1258</f>
        <v>0</v>
      </c>
      <c r="AN1258" s="9" t="n">
        <f aca="false">AB1258*$V1258</f>
        <v>0</v>
      </c>
      <c r="AO1258" s="9" t="n">
        <f aca="false">AC1258*$V1258</f>
        <v>150000</v>
      </c>
      <c r="AP1258" s="9" t="n">
        <f aca="false">AD1258*$V1258</f>
        <v>0</v>
      </c>
      <c r="AQ1258" s="9" t="n">
        <f aca="false">AE1258*$V1258</f>
        <v>0</v>
      </c>
      <c r="AR1258" s="9" t="n">
        <f aca="false">AF1258*$V1258</f>
        <v>150000</v>
      </c>
      <c r="AS1258" s="9" t="n">
        <f aca="false">AG1258*$V1258</f>
        <v>0</v>
      </c>
      <c r="AT1258" s="9" t="n">
        <f aca="false">AH1258*$V1258</f>
        <v>0</v>
      </c>
      <c r="AU1258" s="9" t="n">
        <f aca="false">AI1258*$V1258</f>
        <v>0</v>
      </c>
      <c r="AV1258" s="9" t="n">
        <f aca="false">SUM(X1258:AI1258)/1000</f>
        <v>6</v>
      </c>
      <c r="AW1258" s="9" t="n">
        <f aca="false">SUM(AJ1258:AU1258)</f>
        <v>450000</v>
      </c>
      <c r="AX1258" s="9" t="n">
        <f aca="false">IF(D1258="INR",AW1258/88.24,AW1258)/1000000</f>
        <v>0.00509972801450589</v>
      </c>
    </row>
    <row r="1259" s="2" customFormat="true" ht="16.4" hidden="false" customHeight="false" outlineLevel="0" collapsed="false">
      <c r="A1259" s="28" t="s">
        <v>2400</v>
      </c>
      <c r="B1259" s="16"/>
      <c r="C1259" s="16"/>
      <c r="D1259" s="16" t="s">
        <v>50</v>
      </c>
      <c r="E1259" s="16" t="s">
        <v>51</v>
      </c>
      <c r="F1259" s="16" t="s">
        <v>97</v>
      </c>
      <c r="G1259" s="16" t="s">
        <v>2401</v>
      </c>
      <c r="H1259" s="16" t="s">
        <v>2402</v>
      </c>
      <c r="I1259" s="16" t="s">
        <v>105</v>
      </c>
      <c r="J1259" s="16" t="s">
        <v>2403</v>
      </c>
      <c r="K1259" s="16"/>
      <c r="L1259" s="16" t="s">
        <v>105</v>
      </c>
      <c r="M1259" s="16" t="s">
        <v>2403</v>
      </c>
      <c r="N1259" s="16" t="s">
        <v>79</v>
      </c>
      <c r="O1259" s="16" t="s">
        <v>246</v>
      </c>
      <c r="P1259" s="16" t="s">
        <v>208</v>
      </c>
      <c r="Q1259" s="16" t="s">
        <v>208</v>
      </c>
      <c r="R1259" s="16" t="s">
        <v>309</v>
      </c>
      <c r="S1259" s="26" t="s">
        <v>87</v>
      </c>
      <c r="T1259" s="16" t="s">
        <v>2404</v>
      </c>
      <c r="U1259" s="16" t="s">
        <v>73</v>
      </c>
      <c r="V1259" s="16" t="n">
        <v>37.48</v>
      </c>
      <c r="W1259" s="16" t="n">
        <v>0.266</v>
      </c>
      <c r="X1259" s="2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 t="n">
        <v>3000</v>
      </c>
      <c r="AJ1259" s="9" t="n">
        <f aca="false">X1259*$V1259</f>
        <v>0</v>
      </c>
      <c r="AK1259" s="9" t="n">
        <f aca="false">Y1259*$V1259</f>
        <v>0</v>
      </c>
      <c r="AL1259" s="9" t="n">
        <f aca="false">Z1259*$V1259</f>
        <v>0</v>
      </c>
      <c r="AM1259" s="9" t="n">
        <f aca="false">AA1259*$V1259</f>
        <v>0</v>
      </c>
      <c r="AN1259" s="9" t="n">
        <f aca="false">AB1259*$V1259</f>
        <v>0</v>
      </c>
      <c r="AO1259" s="9" t="n">
        <f aca="false">AC1259*$V1259</f>
        <v>0</v>
      </c>
      <c r="AP1259" s="9" t="n">
        <f aca="false">AD1259*$V1259</f>
        <v>0</v>
      </c>
      <c r="AQ1259" s="9" t="n">
        <f aca="false">AE1259*$V1259</f>
        <v>0</v>
      </c>
      <c r="AR1259" s="9" t="n">
        <f aca="false">AF1259*$V1259</f>
        <v>0</v>
      </c>
      <c r="AS1259" s="9" t="n">
        <f aca="false">AG1259*$V1259</f>
        <v>0</v>
      </c>
      <c r="AT1259" s="9" t="n">
        <f aca="false">AH1259*$V1259</f>
        <v>0</v>
      </c>
      <c r="AU1259" s="9" t="n">
        <f aca="false">AI1259*$V1259</f>
        <v>112440</v>
      </c>
      <c r="AV1259" s="9" t="n">
        <f aca="false">SUM(X1259:AI1259)/1000</f>
        <v>3</v>
      </c>
      <c r="AW1259" s="9" t="n">
        <f aca="false">SUM(AJ1259:AU1259)</f>
        <v>112440</v>
      </c>
      <c r="AX1259" s="9" t="n">
        <f aca="false">IF(D1259="INR",AW1259/88.24,AW1259)/1000000</f>
        <v>0.00127425203989121</v>
      </c>
    </row>
    <row r="1260" s="2" customFormat="true" ht="14.25" hidden="false" customHeight="false" outlineLevel="0" collapsed="false">
      <c r="A1260" s="35"/>
      <c r="B1260" s="9" t="n">
        <v>1</v>
      </c>
      <c r="C1260" s="10"/>
      <c r="D1260" s="9" t="s">
        <v>102</v>
      </c>
      <c r="E1260" s="9" t="s">
        <v>51</v>
      </c>
      <c r="F1260" s="9" t="s">
        <v>52</v>
      </c>
      <c r="G1260" s="9"/>
      <c r="H1260" s="9" t="s">
        <v>2405</v>
      </c>
      <c r="I1260" s="9"/>
      <c r="J1260" s="9"/>
      <c r="K1260" s="9"/>
      <c r="L1260" s="9"/>
      <c r="M1260" s="9"/>
      <c r="N1260" s="9" t="s">
        <v>79</v>
      </c>
      <c r="O1260" s="9"/>
      <c r="P1260" s="9"/>
      <c r="Q1260" s="9" t="s">
        <v>2406</v>
      </c>
      <c r="R1260" s="9"/>
      <c r="S1260" s="9"/>
      <c r="T1260" s="9" t="s">
        <v>2407</v>
      </c>
      <c r="U1260" s="9" t="s">
        <v>382</v>
      </c>
      <c r="V1260" s="9"/>
      <c r="W1260" s="9"/>
      <c r="X1260" s="9"/>
      <c r="Y1260" s="9"/>
      <c r="Z1260" s="9"/>
      <c r="AA1260" s="9"/>
      <c r="AB1260" s="9"/>
      <c r="AC1260" s="9" t="n">
        <v>2500</v>
      </c>
      <c r="AD1260" s="9"/>
      <c r="AE1260" s="9"/>
      <c r="AF1260" s="9"/>
      <c r="AG1260" s="9"/>
      <c r="AH1260" s="9"/>
      <c r="AI1260" s="9"/>
      <c r="AJ1260" s="9" t="n">
        <f aca="false">X1260*$V1260</f>
        <v>0</v>
      </c>
      <c r="AK1260" s="9" t="n">
        <f aca="false">Y1260*$V1260</f>
        <v>0</v>
      </c>
      <c r="AL1260" s="9" t="n">
        <f aca="false">Z1260*$V1260</f>
        <v>0</v>
      </c>
      <c r="AM1260" s="9" t="n">
        <f aca="false">AA1260*$V1260</f>
        <v>0</v>
      </c>
      <c r="AN1260" s="9" t="n">
        <f aca="false">AB1260*$V1260</f>
        <v>0</v>
      </c>
      <c r="AO1260" s="9" t="n">
        <f aca="false">AC1260*$V1260</f>
        <v>0</v>
      </c>
      <c r="AP1260" s="9" t="n">
        <f aca="false">AD1260*$V1260</f>
        <v>0</v>
      </c>
      <c r="AQ1260" s="9" t="n">
        <f aca="false">AE1260*$V1260</f>
        <v>0</v>
      </c>
      <c r="AR1260" s="9" t="n">
        <f aca="false">AF1260*$V1260</f>
        <v>0</v>
      </c>
      <c r="AS1260" s="9" t="n">
        <f aca="false">AG1260*$V1260</f>
        <v>0</v>
      </c>
      <c r="AT1260" s="9" t="n">
        <f aca="false">AH1260*$V1260</f>
        <v>0</v>
      </c>
      <c r="AU1260" s="9" t="n">
        <f aca="false">AI1260*$V1260</f>
        <v>0</v>
      </c>
      <c r="AV1260" s="9" t="n">
        <f aca="false">SUM(X1260:AI1260)/1000</f>
        <v>2.5</v>
      </c>
      <c r="AW1260" s="9" t="n">
        <f aca="false">SUM(AJ1260:AU1260)</f>
        <v>0</v>
      </c>
      <c r="AX1260" s="9" t="n">
        <f aca="false">IF(D1260="INR",AW1260/88.24,AW1260)/1000000</f>
        <v>0</v>
      </c>
    </row>
    <row r="1261" s="2" customFormat="true" ht="14.25" hidden="false" customHeight="false" outlineLevel="0" collapsed="false">
      <c r="A1261" s="35"/>
      <c r="B1261" s="9" t="n">
        <v>1</v>
      </c>
      <c r="C1261" s="15"/>
      <c r="D1261" s="9" t="s">
        <v>102</v>
      </c>
      <c r="E1261" s="9" t="s">
        <v>51</v>
      </c>
      <c r="F1261" s="9" t="s">
        <v>52</v>
      </c>
      <c r="G1261" s="9"/>
      <c r="H1261" s="9" t="s">
        <v>2405</v>
      </c>
      <c r="I1261" s="9"/>
      <c r="J1261" s="9"/>
      <c r="K1261" s="9"/>
      <c r="L1261" s="9"/>
      <c r="M1261" s="9"/>
      <c r="N1261" s="16" t="s">
        <v>79</v>
      </c>
      <c r="O1261" s="9"/>
      <c r="P1261" s="9"/>
      <c r="Q1261" s="9" t="s">
        <v>2406</v>
      </c>
      <c r="R1261" s="9"/>
      <c r="S1261" s="9"/>
      <c r="T1261" s="9" t="s">
        <v>2408</v>
      </c>
      <c r="U1261" s="9" t="s">
        <v>382</v>
      </c>
      <c r="V1261" s="10"/>
      <c r="W1261" s="9"/>
      <c r="X1261" s="22"/>
      <c r="Y1261" s="23"/>
      <c r="Z1261" s="23"/>
      <c r="AA1261" s="23"/>
      <c r="AB1261" s="23"/>
      <c r="AC1261" s="23" t="n">
        <v>2500</v>
      </c>
      <c r="AD1261" s="23"/>
      <c r="AE1261" s="23"/>
      <c r="AF1261" s="23"/>
      <c r="AG1261" s="23"/>
      <c r="AH1261" s="23"/>
      <c r="AI1261" s="23"/>
      <c r="AJ1261" s="9" t="n">
        <f aca="false">X1261*$V1261</f>
        <v>0</v>
      </c>
      <c r="AK1261" s="9" t="n">
        <f aca="false">Y1261*$V1261</f>
        <v>0</v>
      </c>
      <c r="AL1261" s="9" t="n">
        <f aca="false">Z1261*$V1261</f>
        <v>0</v>
      </c>
      <c r="AM1261" s="9" t="n">
        <f aca="false">AA1261*$V1261</f>
        <v>0</v>
      </c>
      <c r="AN1261" s="9" t="n">
        <f aca="false">AB1261*$V1261</f>
        <v>0</v>
      </c>
      <c r="AO1261" s="9" t="n">
        <f aca="false">AC1261*$V1261</f>
        <v>0</v>
      </c>
      <c r="AP1261" s="9" t="n">
        <f aca="false">AD1261*$V1261</f>
        <v>0</v>
      </c>
      <c r="AQ1261" s="9" t="n">
        <f aca="false">AE1261*$V1261</f>
        <v>0</v>
      </c>
      <c r="AR1261" s="9" t="n">
        <f aca="false">AF1261*$V1261</f>
        <v>0</v>
      </c>
      <c r="AS1261" s="9" t="n">
        <f aca="false">AG1261*$V1261</f>
        <v>0</v>
      </c>
      <c r="AT1261" s="9" t="n">
        <f aca="false">AH1261*$V1261</f>
        <v>0</v>
      </c>
      <c r="AU1261" s="9" t="n">
        <f aca="false">AI1261*$V1261</f>
        <v>0</v>
      </c>
      <c r="AV1261" s="9" t="n">
        <f aca="false">SUM(X1261:AI1261)/1000</f>
        <v>2.5</v>
      </c>
      <c r="AW1261" s="9" t="n">
        <f aca="false">SUM(AJ1261:AU1261)</f>
        <v>0</v>
      </c>
      <c r="AX1261" s="9" t="n">
        <f aca="false">IF(D1261="INR",AW1261/88.24,AW1261)/1000000</f>
        <v>0</v>
      </c>
    </row>
    <row r="1262" s="2" customFormat="true" ht="14.25" hidden="false" customHeight="true" outlineLevel="0" collapsed="false">
      <c r="A1262" s="35"/>
      <c r="B1262" s="9" t="n">
        <v>1</v>
      </c>
      <c r="C1262" s="15"/>
      <c r="D1262" s="9" t="s">
        <v>102</v>
      </c>
      <c r="E1262" s="9" t="s">
        <v>51</v>
      </c>
      <c r="F1262" s="9" t="s">
        <v>52</v>
      </c>
      <c r="G1262" s="9"/>
      <c r="H1262" s="9" t="s">
        <v>2405</v>
      </c>
      <c r="I1262" s="9"/>
      <c r="J1262" s="9"/>
      <c r="K1262" s="9"/>
      <c r="L1262" s="9"/>
      <c r="M1262" s="9"/>
      <c r="N1262" s="16" t="s">
        <v>79</v>
      </c>
      <c r="O1262" s="9"/>
      <c r="P1262" s="59"/>
      <c r="Q1262" s="9" t="s">
        <v>2406</v>
      </c>
      <c r="R1262" s="9"/>
      <c r="S1262" s="9"/>
      <c r="T1262" s="60" t="s">
        <v>2409</v>
      </c>
      <c r="U1262" s="9" t="s">
        <v>382</v>
      </c>
      <c r="V1262" s="37"/>
      <c r="W1262" s="9"/>
      <c r="X1262" s="9"/>
      <c r="Y1262" s="9"/>
      <c r="Z1262" s="9"/>
      <c r="AA1262" s="9"/>
      <c r="AB1262" s="9"/>
      <c r="AC1262" s="9" t="n">
        <v>2500</v>
      </c>
      <c r="AD1262" s="9"/>
      <c r="AE1262" s="9"/>
      <c r="AF1262" s="9"/>
      <c r="AG1262" s="9"/>
      <c r="AH1262" s="9"/>
      <c r="AI1262" s="9"/>
      <c r="AJ1262" s="9" t="n">
        <f aca="false">X1262*$V1262</f>
        <v>0</v>
      </c>
      <c r="AK1262" s="9" t="n">
        <f aca="false">Y1262*$V1262</f>
        <v>0</v>
      </c>
      <c r="AL1262" s="9" t="n">
        <f aca="false">Z1262*$V1262</f>
        <v>0</v>
      </c>
      <c r="AM1262" s="9" t="n">
        <f aca="false">AA1262*$V1262</f>
        <v>0</v>
      </c>
      <c r="AN1262" s="9" t="n">
        <f aca="false">AB1262*$V1262</f>
        <v>0</v>
      </c>
      <c r="AO1262" s="9" t="n">
        <f aca="false">AC1262*$V1262</f>
        <v>0</v>
      </c>
      <c r="AP1262" s="9" t="n">
        <f aca="false">AD1262*$V1262</f>
        <v>0</v>
      </c>
      <c r="AQ1262" s="9" t="n">
        <f aca="false">AE1262*$V1262</f>
        <v>0</v>
      </c>
      <c r="AR1262" s="9" t="n">
        <f aca="false">AF1262*$V1262</f>
        <v>0</v>
      </c>
      <c r="AS1262" s="9" t="n">
        <f aca="false">AG1262*$V1262</f>
        <v>0</v>
      </c>
      <c r="AT1262" s="9" t="n">
        <f aca="false">AH1262*$V1262</f>
        <v>0</v>
      </c>
      <c r="AU1262" s="9" t="n">
        <f aca="false">AI1262*$V1262</f>
        <v>0</v>
      </c>
      <c r="AV1262" s="9" t="n">
        <f aca="false">SUM(X1262:AI1262)/1000</f>
        <v>2.5</v>
      </c>
      <c r="AW1262" s="9" t="n">
        <f aca="false">SUM(AJ1262:AU1262)</f>
        <v>0</v>
      </c>
      <c r="AX1262" s="9" t="n">
        <f aca="false">IF(D1262="INR",AW1262/88.24,AW1262)/1000000</f>
        <v>0</v>
      </c>
    </row>
    <row r="1263" s="2" customFormat="true" ht="14.25" hidden="false" customHeight="false" outlineLevel="0" collapsed="false">
      <c r="A1263" s="35"/>
      <c r="B1263" s="9" t="n">
        <v>1</v>
      </c>
      <c r="C1263" s="10"/>
      <c r="D1263" s="9" t="s">
        <v>102</v>
      </c>
      <c r="E1263" s="9" t="s">
        <v>51</v>
      </c>
      <c r="F1263" s="9" t="s">
        <v>52</v>
      </c>
      <c r="G1263" s="9"/>
      <c r="H1263" s="9" t="s">
        <v>2405</v>
      </c>
      <c r="I1263" s="9"/>
      <c r="J1263" s="9"/>
      <c r="K1263" s="9"/>
      <c r="L1263" s="9"/>
      <c r="M1263" s="9"/>
      <c r="N1263" s="9" t="s">
        <v>79</v>
      </c>
      <c r="O1263" s="9"/>
      <c r="P1263" s="9"/>
      <c r="Q1263" s="9" t="s">
        <v>2406</v>
      </c>
      <c r="R1263" s="9"/>
      <c r="S1263" s="9"/>
      <c r="T1263" s="9" t="s">
        <v>2410</v>
      </c>
      <c r="U1263" s="9" t="s">
        <v>382</v>
      </c>
      <c r="V1263" s="9"/>
      <c r="W1263" s="9"/>
      <c r="X1263" s="9"/>
      <c r="Y1263" s="9"/>
      <c r="Z1263" s="9"/>
      <c r="AA1263" s="9"/>
      <c r="AB1263" s="9"/>
      <c r="AC1263" s="9" t="n">
        <v>2500</v>
      </c>
      <c r="AD1263" s="9"/>
      <c r="AE1263" s="9"/>
      <c r="AF1263" s="9"/>
      <c r="AG1263" s="9"/>
      <c r="AH1263" s="9"/>
      <c r="AI1263" s="9"/>
      <c r="AJ1263" s="9" t="n">
        <f aca="false">X1263*$V1263</f>
        <v>0</v>
      </c>
      <c r="AK1263" s="9" t="n">
        <f aca="false">Y1263*$V1263</f>
        <v>0</v>
      </c>
      <c r="AL1263" s="9" t="n">
        <f aca="false">Z1263*$V1263</f>
        <v>0</v>
      </c>
      <c r="AM1263" s="9" t="n">
        <f aca="false">AA1263*$V1263</f>
        <v>0</v>
      </c>
      <c r="AN1263" s="9" t="n">
        <f aca="false">AB1263*$V1263</f>
        <v>0</v>
      </c>
      <c r="AO1263" s="9" t="n">
        <f aca="false">AC1263*$V1263</f>
        <v>0</v>
      </c>
      <c r="AP1263" s="9" t="n">
        <f aca="false">AD1263*$V1263</f>
        <v>0</v>
      </c>
      <c r="AQ1263" s="9" t="n">
        <f aca="false">AE1263*$V1263</f>
        <v>0</v>
      </c>
      <c r="AR1263" s="9" t="n">
        <f aca="false">AF1263*$V1263</f>
        <v>0</v>
      </c>
      <c r="AS1263" s="9" t="n">
        <f aca="false">AG1263*$V1263</f>
        <v>0</v>
      </c>
      <c r="AT1263" s="9" t="n">
        <f aca="false">AH1263*$V1263</f>
        <v>0</v>
      </c>
      <c r="AU1263" s="9" t="n">
        <f aca="false">AI1263*$V1263</f>
        <v>0</v>
      </c>
      <c r="AV1263" s="9" t="n">
        <f aca="false">SUM(X1263:AI1263)/1000</f>
        <v>2.5</v>
      </c>
      <c r="AW1263" s="9" t="n">
        <f aca="false">SUM(AJ1263:AU1263)</f>
        <v>0</v>
      </c>
      <c r="AX1263" s="9" t="n">
        <f aca="false">IF(D1263="INR",AW1263/88.24,AW1263)/1000000</f>
        <v>0</v>
      </c>
    </row>
    <row r="1264" s="2" customFormat="true" ht="14.25" hidden="false" customHeight="false" outlineLevel="0" collapsed="false">
      <c r="A1264" s="35"/>
      <c r="B1264" s="9" t="n">
        <v>1</v>
      </c>
      <c r="C1264" s="10"/>
      <c r="D1264" s="9" t="s">
        <v>102</v>
      </c>
      <c r="E1264" s="9" t="s">
        <v>51</v>
      </c>
      <c r="F1264" s="9" t="s">
        <v>52</v>
      </c>
      <c r="G1264" s="9"/>
      <c r="H1264" s="9" t="s">
        <v>2405</v>
      </c>
      <c r="I1264" s="9"/>
      <c r="J1264" s="9"/>
      <c r="K1264" s="9"/>
      <c r="L1264" s="9"/>
      <c r="M1264" s="9"/>
      <c r="N1264" s="9" t="s">
        <v>79</v>
      </c>
      <c r="O1264" s="9"/>
      <c r="P1264" s="9"/>
      <c r="Q1264" s="9" t="s">
        <v>2406</v>
      </c>
      <c r="R1264" s="9"/>
      <c r="S1264" s="9"/>
      <c r="T1264" s="9" t="s">
        <v>2411</v>
      </c>
      <c r="U1264" s="9" t="s">
        <v>382</v>
      </c>
      <c r="V1264" s="9"/>
      <c r="W1264" s="9"/>
      <c r="X1264" s="9"/>
      <c r="Y1264" s="9"/>
      <c r="Z1264" s="9"/>
      <c r="AA1264" s="9"/>
      <c r="AB1264" s="9"/>
      <c r="AC1264" s="9" t="n">
        <v>2500</v>
      </c>
      <c r="AD1264" s="9"/>
      <c r="AE1264" s="9"/>
      <c r="AF1264" s="9"/>
      <c r="AG1264" s="9"/>
      <c r="AH1264" s="9"/>
      <c r="AI1264" s="9"/>
      <c r="AJ1264" s="9" t="n">
        <f aca="false">X1264*$V1264</f>
        <v>0</v>
      </c>
      <c r="AK1264" s="9" t="n">
        <f aca="false">Y1264*$V1264</f>
        <v>0</v>
      </c>
      <c r="AL1264" s="9" t="n">
        <f aca="false">Z1264*$V1264</f>
        <v>0</v>
      </c>
      <c r="AM1264" s="9" t="n">
        <f aca="false">AA1264*$V1264</f>
        <v>0</v>
      </c>
      <c r="AN1264" s="9" t="n">
        <f aca="false">AB1264*$V1264</f>
        <v>0</v>
      </c>
      <c r="AO1264" s="9" t="n">
        <f aca="false">AC1264*$V1264</f>
        <v>0</v>
      </c>
      <c r="AP1264" s="9" t="n">
        <f aca="false">AD1264*$V1264</f>
        <v>0</v>
      </c>
      <c r="AQ1264" s="9" t="n">
        <f aca="false">AE1264*$V1264</f>
        <v>0</v>
      </c>
      <c r="AR1264" s="9" t="n">
        <f aca="false">AF1264*$V1264</f>
        <v>0</v>
      </c>
      <c r="AS1264" s="9" t="n">
        <f aca="false">AG1264*$V1264</f>
        <v>0</v>
      </c>
      <c r="AT1264" s="9" t="n">
        <f aca="false">AH1264*$V1264</f>
        <v>0</v>
      </c>
      <c r="AU1264" s="9" t="n">
        <f aca="false">AI1264*$V1264</f>
        <v>0</v>
      </c>
      <c r="AV1264" s="9" t="n">
        <f aca="false">SUM(X1264:AI1264)/1000</f>
        <v>2.5</v>
      </c>
      <c r="AW1264" s="9" t="n">
        <f aca="false">SUM(AJ1264:AU1264)</f>
        <v>0</v>
      </c>
      <c r="AX1264" s="9" t="n">
        <f aca="false">IF(D1264="INR",AW1264/88.24,AW1264)/1000000</f>
        <v>0</v>
      </c>
    </row>
    <row r="1265" s="2" customFormat="true" ht="14.25" hidden="false" customHeight="false" outlineLevel="0" collapsed="false">
      <c r="A1265" s="12"/>
      <c r="B1265" s="16" t="n">
        <v>1</v>
      </c>
      <c r="C1265" s="15"/>
      <c r="D1265" s="16" t="s">
        <v>102</v>
      </c>
      <c r="E1265" s="16" t="s">
        <v>51</v>
      </c>
      <c r="F1265" s="16" t="s">
        <v>52</v>
      </c>
      <c r="G1265" s="16"/>
      <c r="H1265" s="16" t="s">
        <v>2405</v>
      </c>
      <c r="I1265" s="16"/>
      <c r="J1265" s="16"/>
      <c r="K1265" s="16"/>
      <c r="L1265" s="16"/>
      <c r="M1265" s="16"/>
      <c r="N1265" s="16" t="s">
        <v>79</v>
      </c>
      <c r="O1265" s="16"/>
      <c r="P1265" s="16"/>
      <c r="Q1265" s="9" t="s">
        <v>2406</v>
      </c>
      <c r="R1265" s="16"/>
      <c r="S1265" s="16"/>
      <c r="T1265" s="16" t="s">
        <v>2412</v>
      </c>
      <c r="U1265" s="16" t="s">
        <v>382</v>
      </c>
      <c r="V1265" s="16"/>
      <c r="W1265" s="16"/>
      <c r="X1265" s="16"/>
      <c r="Y1265" s="16"/>
      <c r="Z1265" s="16"/>
      <c r="AA1265" s="16"/>
      <c r="AB1265" s="16"/>
      <c r="AC1265" s="16" t="n">
        <v>2500</v>
      </c>
      <c r="AD1265" s="16"/>
      <c r="AE1265" s="16"/>
      <c r="AF1265" s="16"/>
      <c r="AG1265" s="16"/>
      <c r="AH1265" s="16"/>
      <c r="AI1265" s="16"/>
      <c r="AJ1265" s="9" t="n">
        <f aca="false">X1265*$V1265</f>
        <v>0</v>
      </c>
      <c r="AK1265" s="9" t="n">
        <f aca="false">Y1265*$V1265</f>
        <v>0</v>
      </c>
      <c r="AL1265" s="9" t="n">
        <f aca="false">Z1265*$V1265</f>
        <v>0</v>
      </c>
      <c r="AM1265" s="9" t="n">
        <f aca="false">AA1265*$V1265</f>
        <v>0</v>
      </c>
      <c r="AN1265" s="9" t="n">
        <f aca="false">AB1265*$V1265</f>
        <v>0</v>
      </c>
      <c r="AO1265" s="9" t="n">
        <f aca="false">AC1265*$V1265</f>
        <v>0</v>
      </c>
      <c r="AP1265" s="9" t="n">
        <f aca="false">AD1265*$V1265</f>
        <v>0</v>
      </c>
      <c r="AQ1265" s="9" t="n">
        <f aca="false">AE1265*$V1265</f>
        <v>0</v>
      </c>
      <c r="AR1265" s="9" t="n">
        <f aca="false">AF1265*$V1265</f>
        <v>0</v>
      </c>
      <c r="AS1265" s="9" t="n">
        <f aca="false">AG1265*$V1265</f>
        <v>0</v>
      </c>
      <c r="AT1265" s="9" t="n">
        <f aca="false">AH1265*$V1265</f>
        <v>0</v>
      </c>
      <c r="AU1265" s="9" t="n">
        <f aca="false">AI1265*$V1265</f>
        <v>0</v>
      </c>
      <c r="AV1265" s="9" t="n">
        <f aca="false">SUM(X1265:AI1265)/1000</f>
        <v>2.5</v>
      </c>
      <c r="AW1265" s="9" t="n">
        <f aca="false">SUM(AJ1265:AU1265)</f>
        <v>0</v>
      </c>
      <c r="AX1265" s="9" t="n">
        <f aca="false">IF(D1265="INR",AW1265/88.24,AW1265)/1000000</f>
        <v>0</v>
      </c>
    </row>
    <row r="1266" s="2" customFormat="true" ht="14.25" hidden="false" customHeight="false" outlineLevel="0" collapsed="false">
      <c r="A1266" s="35"/>
      <c r="B1266" s="9" t="n">
        <v>1</v>
      </c>
      <c r="C1266" s="10"/>
      <c r="D1266" s="9" t="s">
        <v>102</v>
      </c>
      <c r="E1266" s="9" t="s">
        <v>51</v>
      </c>
      <c r="F1266" s="9" t="s">
        <v>52</v>
      </c>
      <c r="G1266" s="9"/>
      <c r="H1266" s="9" t="s">
        <v>2405</v>
      </c>
      <c r="I1266" s="9"/>
      <c r="J1266" s="9"/>
      <c r="K1266" s="9"/>
      <c r="L1266" s="9"/>
      <c r="M1266" s="9"/>
      <c r="N1266" s="9" t="s">
        <v>79</v>
      </c>
      <c r="O1266" s="9"/>
      <c r="P1266" s="9"/>
      <c r="Q1266" s="9" t="s">
        <v>2406</v>
      </c>
      <c r="R1266" s="9"/>
      <c r="S1266" s="9"/>
      <c r="T1266" s="9" t="s">
        <v>2413</v>
      </c>
      <c r="U1266" s="9" t="s">
        <v>382</v>
      </c>
      <c r="V1266" s="9" t="n">
        <v>28.4</v>
      </c>
      <c r="W1266" s="9"/>
      <c r="X1266" s="9" t="n">
        <v>220</v>
      </c>
      <c r="Y1266" s="9"/>
      <c r="Z1266" s="9"/>
      <c r="AA1266" s="9"/>
      <c r="AB1266" s="9" t="n">
        <v>400</v>
      </c>
      <c r="AC1266" s="9"/>
      <c r="AD1266" s="9"/>
      <c r="AE1266" s="9"/>
      <c r="AF1266" s="9"/>
      <c r="AG1266" s="9"/>
      <c r="AH1266" s="9"/>
      <c r="AI1266" s="9"/>
      <c r="AJ1266" s="9" t="n">
        <f aca="false">X1266*$V1266</f>
        <v>6248</v>
      </c>
      <c r="AK1266" s="9" t="n">
        <f aca="false">Y1266*$V1266</f>
        <v>0</v>
      </c>
      <c r="AL1266" s="9" t="n">
        <f aca="false">Z1266*$V1266</f>
        <v>0</v>
      </c>
      <c r="AM1266" s="9" t="n">
        <f aca="false">AA1266*$V1266</f>
        <v>0</v>
      </c>
      <c r="AN1266" s="9" t="n">
        <f aca="false">AB1266*$V1266</f>
        <v>11360</v>
      </c>
      <c r="AO1266" s="9" t="n">
        <f aca="false">AC1266*$V1266</f>
        <v>0</v>
      </c>
      <c r="AP1266" s="9" t="n">
        <f aca="false">AD1266*$V1266</f>
        <v>0</v>
      </c>
      <c r="AQ1266" s="9" t="n">
        <f aca="false">AE1266*$V1266</f>
        <v>0</v>
      </c>
      <c r="AR1266" s="9" t="n">
        <f aca="false">AF1266*$V1266</f>
        <v>0</v>
      </c>
      <c r="AS1266" s="9" t="n">
        <f aca="false">AG1266*$V1266</f>
        <v>0</v>
      </c>
      <c r="AT1266" s="9" t="n">
        <f aca="false">AH1266*$V1266</f>
        <v>0</v>
      </c>
      <c r="AU1266" s="9" t="n">
        <f aca="false">AI1266*$V1266</f>
        <v>0</v>
      </c>
      <c r="AV1266" s="9" t="n">
        <f aca="false">SUM(X1266:AI1266)/1000</f>
        <v>0.62</v>
      </c>
      <c r="AW1266" s="9" t="n">
        <f aca="false">SUM(AJ1266:AU1266)</f>
        <v>17608</v>
      </c>
      <c r="AX1266" s="9" t="n">
        <f aca="false">IF(D1266="INR",AW1266/88.24,AW1266)/1000000</f>
        <v>0.017608</v>
      </c>
    </row>
    <row r="1267" s="2" customFormat="true" ht="16.4" hidden="false" customHeight="false" outlineLevel="0" collapsed="false">
      <c r="A1267" s="35" t="s">
        <v>2414</v>
      </c>
      <c r="B1267" s="9"/>
      <c r="C1267" s="15"/>
      <c r="D1267" s="9" t="s">
        <v>50</v>
      </c>
      <c r="E1267" s="9" t="s">
        <v>51</v>
      </c>
      <c r="F1267" s="9" t="s">
        <v>97</v>
      </c>
      <c r="G1267" s="9" t="s">
        <v>764</v>
      </c>
      <c r="H1267" s="9" t="s">
        <v>765</v>
      </c>
      <c r="I1267" s="9" t="s">
        <v>105</v>
      </c>
      <c r="J1267" s="9" t="s">
        <v>766</v>
      </c>
      <c r="K1267" s="9" t="s">
        <v>765</v>
      </c>
      <c r="L1267" s="9" t="s">
        <v>105</v>
      </c>
      <c r="M1267" s="9" t="s">
        <v>766</v>
      </c>
      <c r="N1267" s="16" t="s">
        <v>79</v>
      </c>
      <c r="O1267" s="9" t="s">
        <v>107</v>
      </c>
      <c r="P1267" s="9" t="s">
        <v>1670</v>
      </c>
      <c r="Q1267" s="9" t="s">
        <v>1670</v>
      </c>
      <c r="R1267" s="9" t="s">
        <v>800</v>
      </c>
      <c r="S1267" s="9" t="s">
        <v>968</v>
      </c>
      <c r="T1267" s="9" t="s">
        <v>2415</v>
      </c>
      <c r="U1267" s="9" t="s">
        <v>73</v>
      </c>
      <c r="V1267" s="9" t="n">
        <v>29.68</v>
      </c>
      <c r="W1267" s="9" t="n">
        <v>0.188</v>
      </c>
      <c r="X1267" s="22" t="n">
        <v>0</v>
      </c>
      <c r="Y1267" s="9" t="n">
        <v>0</v>
      </c>
      <c r="Z1267" s="9" t="n">
        <v>0</v>
      </c>
      <c r="AA1267" s="9" t="n">
        <v>0</v>
      </c>
      <c r="AB1267" s="9" t="n">
        <v>1000</v>
      </c>
      <c r="AC1267" s="9" t="n">
        <v>0</v>
      </c>
      <c r="AD1267" s="9" t="n">
        <v>0</v>
      </c>
      <c r="AE1267" s="9" t="n">
        <v>0</v>
      </c>
      <c r="AF1267" s="9" t="n">
        <v>0</v>
      </c>
      <c r="AG1267" s="9" t="n">
        <v>0</v>
      </c>
      <c r="AH1267" s="9" t="n">
        <v>0</v>
      </c>
      <c r="AI1267" s="9" t="n">
        <v>0</v>
      </c>
      <c r="AJ1267" s="9" t="n">
        <f aca="false">X1267*$V1267</f>
        <v>0</v>
      </c>
      <c r="AK1267" s="9" t="n">
        <f aca="false">Y1267*$V1267</f>
        <v>0</v>
      </c>
      <c r="AL1267" s="9" t="n">
        <f aca="false">Z1267*$V1267</f>
        <v>0</v>
      </c>
      <c r="AM1267" s="9" t="n">
        <f aca="false">AA1267*$V1267</f>
        <v>0</v>
      </c>
      <c r="AN1267" s="9" t="n">
        <f aca="false">AB1267*$V1267</f>
        <v>29680</v>
      </c>
      <c r="AO1267" s="9" t="n">
        <f aca="false">AC1267*$V1267</f>
        <v>0</v>
      </c>
      <c r="AP1267" s="9" t="n">
        <f aca="false">AD1267*$V1267</f>
        <v>0</v>
      </c>
      <c r="AQ1267" s="9" t="n">
        <f aca="false">AE1267*$V1267</f>
        <v>0</v>
      </c>
      <c r="AR1267" s="9" t="n">
        <f aca="false">AF1267*$V1267</f>
        <v>0</v>
      </c>
      <c r="AS1267" s="9" t="n">
        <f aca="false">AG1267*$V1267</f>
        <v>0</v>
      </c>
      <c r="AT1267" s="9" t="n">
        <f aca="false">AH1267*$V1267</f>
        <v>0</v>
      </c>
      <c r="AU1267" s="9" t="n">
        <f aca="false">AI1267*$V1267</f>
        <v>0</v>
      </c>
      <c r="AV1267" s="9" t="n">
        <f aca="false">SUM(X1267:AI1267)/1000</f>
        <v>1</v>
      </c>
      <c r="AW1267" s="9" t="n">
        <f aca="false">SUM(AJ1267:AU1267)</f>
        <v>29680</v>
      </c>
      <c r="AX1267" s="9" t="n">
        <f aca="false">IF(D1267="INR",AW1267/88.24,AW1267)/1000000</f>
        <v>0.000336355394378967</v>
      </c>
    </row>
    <row r="1268" s="2" customFormat="true" ht="16.4" hidden="false" customHeight="false" outlineLevel="0" collapsed="false">
      <c r="A1268" s="35" t="s">
        <v>2416</v>
      </c>
      <c r="B1268" s="16" t="n">
        <v>5</v>
      </c>
      <c r="C1268" s="15"/>
      <c r="D1268" s="16" t="s">
        <v>102</v>
      </c>
      <c r="E1268" s="16" t="s">
        <v>51</v>
      </c>
      <c r="F1268" s="16" t="s">
        <v>52</v>
      </c>
      <c r="G1268" s="16" t="s">
        <v>2417</v>
      </c>
      <c r="H1268" s="9" t="s">
        <v>2418</v>
      </c>
      <c r="I1268" s="16" t="s">
        <v>105</v>
      </c>
      <c r="J1268" s="16" t="s">
        <v>270</v>
      </c>
      <c r="K1268" s="9"/>
      <c r="L1268" s="16" t="s">
        <v>105</v>
      </c>
      <c r="M1268" s="16" t="s">
        <v>270</v>
      </c>
      <c r="N1268" s="16" t="s">
        <v>93</v>
      </c>
      <c r="O1268" s="16" t="s">
        <v>58</v>
      </c>
      <c r="P1268" s="16" t="s">
        <v>85</v>
      </c>
      <c r="Q1268" s="16" t="s">
        <v>85</v>
      </c>
      <c r="R1268" s="16" t="s">
        <v>86</v>
      </c>
      <c r="S1268" s="16" t="s">
        <v>87</v>
      </c>
      <c r="T1268" s="16" t="s">
        <v>2419</v>
      </c>
      <c r="U1268" s="16" t="s">
        <v>73</v>
      </c>
      <c r="V1268" s="16" t="n">
        <v>0.38</v>
      </c>
      <c r="W1268" s="16" t="n">
        <v>52.17</v>
      </c>
      <c r="X1268" s="16" t="n">
        <v>220000</v>
      </c>
      <c r="Y1268" s="16" t="n">
        <v>220000</v>
      </c>
      <c r="Z1268" s="16" t="n">
        <v>350000</v>
      </c>
      <c r="AA1268" s="16" t="n">
        <v>220000</v>
      </c>
      <c r="AB1268" s="16" t="n">
        <v>220000</v>
      </c>
      <c r="AC1268" s="16" t="n">
        <v>400000</v>
      </c>
      <c r="AD1268" s="16" t="n">
        <v>220000</v>
      </c>
      <c r="AE1268" s="16" t="n">
        <v>220000</v>
      </c>
      <c r="AF1268" s="16" t="n">
        <v>350000</v>
      </c>
      <c r="AG1268" s="16" t="n">
        <v>220000</v>
      </c>
      <c r="AH1268" s="16" t="n">
        <v>220000</v>
      </c>
      <c r="AI1268" s="16" t="n">
        <v>400000</v>
      </c>
      <c r="AJ1268" s="9" t="n">
        <f aca="false">X1268*$V1268</f>
        <v>83600</v>
      </c>
      <c r="AK1268" s="9" t="n">
        <f aca="false">Y1268*$V1268</f>
        <v>83600</v>
      </c>
      <c r="AL1268" s="9" t="n">
        <f aca="false">Z1268*$V1268</f>
        <v>133000</v>
      </c>
      <c r="AM1268" s="9" t="n">
        <f aca="false">AA1268*$V1268</f>
        <v>83600</v>
      </c>
      <c r="AN1268" s="9" t="n">
        <f aca="false">AB1268*$V1268</f>
        <v>83600</v>
      </c>
      <c r="AO1268" s="9" t="n">
        <f aca="false">AC1268*$V1268</f>
        <v>152000</v>
      </c>
      <c r="AP1268" s="9" t="n">
        <f aca="false">AD1268*$V1268</f>
        <v>83600</v>
      </c>
      <c r="AQ1268" s="9" t="n">
        <f aca="false">AE1268*$V1268</f>
        <v>83600</v>
      </c>
      <c r="AR1268" s="9" t="n">
        <f aca="false">AF1268*$V1268</f>
        <v>133000</v>
      </c>
      <c r="AS1268" s="9" t="n">
        <f aca="false">AG1268*$V1268</f>
        <v>83600</v>
      </c>
      <c r="AT1268" s="9" t="n">
        <f aca="false">AH1268*$V1268</f>
        <v>83600</v>
      </c>
      <c r="AU1268" s="9" t="n">
        <f aca="false">AI1268*$V1268</f>
        <v>152000</v>
      </c>
      <c r="AV1268" s="9" t="n">
        <f aca="false">SUM(X1268:AI1268)/1000</f>
        <v>3260</v>
      </c>
      <c r="AW1268" s="9" t="n">
        <f aca="false">SUM(AJ1268:AU1268)</f>
        <v>1238800</v>
      </c>
      <c r="AX1268" s="9" t="n">
        <f aca="false">IF(D1268="INR",AW1268/88.24,AW1268)/1000000</f>
        <v>1.2388</v>
      </c>
    </row>
    <row r="1269" s="2" customFormat="true" ht="16.4" hidden="false" customHeight="false" outlineLevel="0" collapsed="false">
      <c r="A1269" s="35" t="s">
        <v>2420</v>
      </c>
      <c r="B1269" s="9"/>
      <c r="C1269" s="15"/>
      <c r="D1269" s="9" t="s">
        <v>50</v>
      </c>
      <c r="E1269" s="9" t="s">
        <v>51</v>
      </c>
      <c r="F1269" s="9" t="s">
        <v>97</v>
      </c>
      <c r="G1269" s="9" t="s">
        <v>764</v>
      </c>
      <c r="H1269" s="9" t="s">
        <v>765</v>
      </c>
      <c r="I1269" s="9" t="s">
        <v>105</v>
      </c>
      <c r="J1269" s="9" t="s">
        <v>766</v>
      </c>
      <c r="K1269" s="9" t="s">
        <v>765</v>
      </c>
      <c r="L1269" s="9" t="s">
        <v>105</v>
      </c>
      <c r="M1269" s="9" t="s">
        <v>766</v>
      </c>
      <c r="N1269" s="16" t="s">
        <v>79</v>
      </c>
      <c r="O1269" s="9" t="s">
        <v>107</v>
      </c>
      <c r="P1269" s="9" t="s">
        <v>1670</v>
      </c>
      <c r="Q1269" s="9" t="s">
        <v>1670</v>
      </c>
      <c r="R1269" s="9" t="s">
        <v>800</v>
      </c>
      <c r="S1269" s="9" t="s">
        <v>968</v>
      </c>
      <c r="T1269" s="9" t="s">
        <v>2415</v>
      </c>
      <c r="U1269" s="9" t="s">
        <v>73</v>
      </c>
      <c r="V1269" s="9" t="n">
        <v>29.68</v>
      </c>
      <c r="W1269" s="9" t="n">
        <v>0.118</v>
      </c>
      <c r="X1269" s="22" t="n">
        <v>0</v>
      </c>
      <c r="Y1269" s="9" t="n">
        <v>1000</v>
      </c>
      <c r="Z1269" s="9" t="n">
        <v>0</v>
      </c>
      <c r="AA1269" s="9" t="n">
        <v>0</v>
      </c>
      <c r="AB1269" s="9" t="n">
        <v>0</v>
      </c>
      <c r="AC1269" s="9" t="n">
        <v>0</v>
      </c>
      <c r="AD1269" s="9" t="n">
        <v>0</v>
      </c>
      <c r="AE1269" s="9" t="n">
        <v>0</v>
      </c>
      <c r="AF1269" s="9" t="n">
        <v>0</v>
      </c>
      <c r="AG1269" s="9" t="n">
        <v>0</v>
      </c>
      <c r="AH1269" s="9" t="n">
        <v>0</v>
      </c>
      <c r="AI1269" s="9" t="n">
        <v>0</v>
      </c>
      <c r="AJ1269" s="9" t="n">
        <f aca="false">X1269*$V1269</f>
        <v>0</v>
      </c>
      <c r="AK1269" s="9" t="n">
        <f aca="false">Y1269*$V1269</f>
        <v>29680</v>
      </c>
      <c r="AL1269" s="9" t="n">
        <f aca="false">Z1269*$V1269</f>
        <v>0</v>
      </c>
      <c r="AM1269" s="9" t="n">
        <f aca="false">AA1269*$V1269</f>
        <v>0</v>
      </c>
      <c r="AN1269" s="9" t="n">
        <f aca="false">AB1269*$V1269</f>
        <v>0</v>
      </c>
      <c r="AO1269" s="9" t="n">
        <f aca="false">AC1269*$V1269</f>
        <v>0</v>
      </c>
      <c r="AP1269" s="9" t="n">
        <f aca="false">AD1269*$V1269</f>
        <v>0</v>
      </c>
      <c r="AQ1269" s="9" t="n">
        <f aca="false">AE1269*$V1269</f>
        <v>0</v>
      </c>
      <c r="AR1269" s="9" t="n">
        <f aca="false">AF1269*$V1269</f>
        <v>0</v>
      </c>
      <c r="AS1269" s="9" t="n">
        <f aca="false">AG1269*$V1269</f>
        <v>0</v>
      </c>
      <c r="AT1269" s="9" t="n">
        <f aca="false">AH1269*$V1269</f>
        <v>0</v>
      </c>
      <c r="AU1269" s="9" t="n">
        <f aca="false">AI1269*$V1269</f>
        <v>0</v>
      </c>
      <c r="AV1269" s="9" t="n">
        <f aca="false">SUM(X1269:AI1269)/1000</f>
        <v>1</v>
      </c>
      <c r="AW1269" s="9" t="n">
        <f aca="false">SUM(AJ1269:AU1269)</f>
        <v>29680</v>
      </c>
      <c r="AX1269" s="9" t="n">
        <f aca="false">IF(D1269="INR",AW1269/88.24,AW1269)/1000000</f>
        <v>0.000336355394378967</v>
      </c>
    </row>
    <row r="1270" s="2" customFormat="true" ht="14.25" hidden="false" customHeight="false" outlineLevel="0" collapsed="false">
      <c r="A1270" s="12" t="s">
        <v>2421</v>
      </c>
      <c r="B1270" s="16"/>
      <c r="C1270" s="15"/>
      <c r="D1270" s="16" t="s">
        <v>50</v>
      </c>
      <c r="E1270" s="16" t="s">
        <v>51</v>
      </c>
      <c r="F1270" s="16" t="s">
        <v>97</v>
      </c>
      <c r="G1270" s="16" t="s">
        <v>764</v>
      </c>
      <c r="H1270" s="16" t="s">
        <v>765</v>
      </c>
      <c r="I1270" s="16" t="s">
        <v>105</v>
      </c>
      <c r="J1270" s="16" t="s">
        <v>766</v>
      </c>
      <c r="K1270" s="16"/>
      <c r="L1270" s="16" t="s">
        <v>105</v>
      </c>
      <c r="M1270" s="16" t="s">
        <v>766</v>
      </c>
      <c r="N1270" s="16" t="s">
        <v>79</v>
      </c>
      <c r="O1270" s="16" t="s">
        <v>107</v>
      </c>
      <c r="P1270" s="16" t="s">
        <v>380</v>
      </c>
      <c r="Q1270" s="16" t="s">
        <v>380</v>
      </c>
      <c r="R1270" s="16" t="s">
        <v>442</v>
      </c>
      <c r="S1270" s="16" t="s">
        <v>443</v>
      </c>
      <c r="T1270" s="16" t="s">
        <v>2422</v>
      </c>
      <c r="U1270" s="16" t="s">
        <v>73</v>
      </c>
      <c r="V1270" s="16" t="n">
        <v>323.6</v>
      </c>
      <c r="W1270" s="16" t="n">
        <v>4.587</v>
      </c>
      <c r="X1270" s="16"/>
      <c r="Y1270" s="16" t="n">
        <v>100</v>
      </c>
      <c r="Z1270" s="16"/>
      <c r="AA1270" s="16"/>
      <c r="AB1270" s="16"/>
      <c r="AC1270" s="16"/>
      <c r="AD1270" s="16" t="n">
        <v>100</v>
      </c>
      <c r="AE1270" s="16"/>
      <c r="AF1270" s="16"/>
      <c r="AG1270" s="16"/>
      <c r="AH1270" s="16" t="n">
        <v>100</v>
      </c>
      <c r="AI1270" s="16"/>
      <c r="AJ1270" s="9" t="n">
        <f aca="false">X1270*$V1270</f>
        <v>0</v>
      </c>
      <c r="AK1270" s="9" t="n">
        <f aca="false">Y1270*$V1270</f>
        <v>32360</v>
      </c>
      <c r="AL1270" s="9" t="n">
        <f aca="false">Z1270*$V1270</f>
        <v>0</v>
      </c>
      <c r="AM1270" s="9" t="n">
        <f aca="false">AA1270*$V1270</f>
        <v>0</v>
      </c>
      <c r="AN1270" s="9" t="n">
        <f aca="false">AB1270*$V1270</f>
        <v>0</v>
      </c>
      <c r="AO1270" s="9" t="n">
        <f aca="false">AC1270*$V1270</f>
        <v>0</v>
      </c>
      <c r="AP1270" s="9" t="n">
        <f aca="false">AD1270*$V1270</f>
        <v>32360</v>
      </c>
      <c r="AQ1270" s="9" t="n">
        <f aca="false">AE1270*$V1270</f>
        <v>0</v>
      </c>
      <c r="AR1270" s="9" t="n">
        <f aca="false">AF1270*$V1270</f>
        <v>0</v>
      </c>
      <c r="AS1270" s="9" t="n">
        <f aca="false">AG1270*$V1270</f>
        <v>0</v>
      </c>
      <c r="AT1270" s="9" t="n">
        <f aca="false">AH1270*$V1270</f>
        <v>32360</v>
      </c>
      <c r="AU1270" s="9" t="n">
        <f aca="false">AI1270*$V1270</f>
        <v>0</v>
      </c>
      <c r="AV1270" s="9" t="n">
        <f aca="false">SUM(X1270:AI1270)/1000</f>
        <v>0.3</v>
      </c>
      <c r="AW1270" s="9" t="n">
        <f aca="false">SUM(AJ1270:AU1270)</f>
        <v>97080</v>
      </c>
      <c r="AX1270" s="9" t="n">
        <f aca="false">IF(D1270="INR",AW1270/88.24,AW1270)/1000000</f>
        <v>0.00110018132366274</v>
      </c>
    </row>
    <row r="1271" s="2" customFormat="true" ht="14.25" hidden="false" customHeight="false" outlineLevel="0" collapsed="false">
      <c r="A1271" s="12" t="s">
        <v>2423</v>
      </c>
      <c r="B1271" s="16" t="n">
        <v>5</v>
      </c>
      <c r="C1271" s="15"/>
      <c r="D1271" s="16" t="s">
        <v>50</v>
      </c>
      <c r="E1271" s="16" t="s">
        <v>51</v>
      </c>
      <c r="F1271" s="16" t="s">
        <v>267</v>
      </c>
      <c r="G1271" s="16" t="s">
        <v>2424</v>
      </c>
      <c r="H1271" s="16" t="s">
        <v>2425</v>
      </c>
      <c r="I1271" s="16" t="s">
        <v>105</v>
      </c>
      <c r="J1271" s="16" t="s">
        <v>900</v>
      </c>
      <c r="K1271" s="16"/>
      <c r="L1271" s="16" t="s">
        <v>105</v>
      </c>
      <c r="M1271" s="16" t="s">
        <v>900</v>
      </c>
      <c r="N1271" s="16" t="s">
        <v>271</v>
      </c>
      <c r="O1271" s="16" t="s">
        <v>94</v>
      </c>
      <c r="P1271" s="16" t="s">
        <v>69</v>
      </c>
      <c r="Q1271" s="16" t="s">
        <v>69</v>
      </c>
      <c r="R1271" s="16" t="s">
        <v>70</v>
      </c>
      <c r="S1271" s="16" t="s">
        <v>71</v>
      </c>
      <c r="T1271" s="16" t="s">
        <v>2426</v>
      </c>
      <c r="U1271" s="16" t="s">
        <v>73</v>
      </c>
      <c r="V1271" s="16" t="n">
        <v>689</v>
      </c>
      <c r="W1271" s="16" t="n">
        <v>3.8</v>
      </c>
      <c r="X1271" s="16" t="n">
        <v>1000</v>
      </c>
      <c r="Y1271" s="16"/>
      <c r="Z1271" s="16"/>
      <c r="AA1271" s="16"/>
      <c r="AB1271" s="16"/>
      <c r="AC1271" s="16"/>
      <c r="AD1271" s="16"/>
      <c r="AE1271" s="16"/>
      <c r="AF1271" s="16" t="n">
        <v>1000</v>
      </c>
      <c r="AG1271" s="16"/>
      <c r="AH1271" s="16"/>
      <c r="AI1271" s="16"/>
      <c r="AJ1271" s="9" t="n">
        <f aca="false">X1271*$V1271</f>
        <v>689000</v>
      </c>
      <c r="AK1271" s="9" t="n">
        <f aca="false">Y1271*$V1271</f>
        <v>0</v>
      </c>
      <c r="AL1271" s="9" t="n">
        <f aca="false">Z1271*$V1271</f>
        <v>0</v>
      </c>
      <c r="AM1271" s="9" t="n">
        <f aca="false">AA1271*$V1271</f>
        <v>0</v>
      </c>
      <c r="AN1271" s="9" t="n">
        <f aca="false">AB1271*$V1271</f>
        <v>0</v>
      </c>
      <c r="AO1271" s="9" t="n">
        <f aca="false">AC1271*$V1271</f>
        <v>0</v>
      </c>
      <c r="AP1271" s="9" t="n">
        <f aca="false">AD1271*$V1271</f>
        <v>0</v>
      </c>
      <c r="AQ1271" s="9" t="n">
        <f aca="false">AE1271*$V1271</f>
        <v>0</v>
      </c>
      <c r="AR1271" s="9" t="n">
        <f aca="false">AF1271*$V1271</f>
        <v>689000</v>
      </c>
      <c r="AS1271" s="9" t="n">
        <f aca="false">AG1271*$V1271</f>
        <v>0</v>
      </c>
      <c r="AT1271" s="9" t="n">
        <f aca="false">AH1271*$V1271</f>
        <v>0</v>
      </c>
      <c r="AU1271" s="9" t="n">
        <f aca="false">AI1271*$V1271</f>
        <v>0</v>
      </c>
      <c r="AV1271" s="9" t="n">
        <f aca="false">SUM(X1271:AI1271)/1000</f>
        <v>2</v>
      </c>
      <c r="AW1271" s="9" t="n">
        <f aca="false">SUM(AJ1271:AU1271)</f>
        <v>1378000</v>
      </c>
      <c r="AX1271" s="9" t="n">
        <f aca="false">IF(D1271="INR",AW1271/88.24,AW1271)/1000000</f>
        <v>0.0156165004533092</v>
      </c>
    </row>
    <row r="1272" s="2" customFormat="true" ht="14.25" hidden="false" customHeight="false" outlineLevel="0" collapsed="false">
      <c r="A1272" s="12" t="s">
        <v>2427</v>
      </c>
      <c r="B1272" s="16" t="n">
        <v>5</v>
      </c>
      <c r="C1272" s="15"/>
      <c r="D1272" s="16" t="s">
        <v>50</v>
      </c>
      <c r="E1272" s="16" t="s">
        <v>51</v>
      </c>
      <c r="F1272" s="16" t="s">
        <v>52</v>
      </c>
      <c r="G1272" s="16" t="s">
        <v>1131</v>
      </c>
      <c r="H1272" s="16" t="s">
        <v>1132</v>
      </c>
      <c r="I1272" s="16" t="s">
        <v>55</v>
      </c>
      <c r="J1272" s="16" t="s">
        <v>56</v>
      </c>
      <c r="K1272" s="16"/>
      <c r="L1272" s="16" t="s">
        <v>55</v>
      </c>
      <c r="M1272" s="16" t="s">
        <v>56</v>
      </c>
      <c r="N1272" s="16" t="s">
        <v>93</v>
      </c>
      <c r="O1272" s="16" t="s">
        <v>58</v>
      </c>
      <c r="P1272" s="16" t="s">
        <v>69</v>
      </c>
      <c r="Q1272" s="16" t="s">
        <v>69</v>
      </c>
      <c r="R1272" s="16" t="s">
        <v>70</v>
      </c>
      <c r="S1272" s="16" t="s">
        <v>71</v>
      </c>
      <c r="T1272" s="16" t="s">
        <v>249</v>
      </c>
      <c r="U1272" s="16" t="s">
        <v>73</v>
      </c>
      <c r="V1272" s="16" t="n">
        <v>9</v>
      </c>
      <c r="W1272" s="16" t="n">
        <v>0.08</v>
      </c>
      <c r="X1272" s="16" t="n">
        <v>100000</v>
      </c>
      <c r="Y1272" s="16"/>
      <c r="Z1272" s="16"/>
      <c r="AA1272" s="16" t="n">
        <v>100000</v>
      </c>
      <c r="AB1272" s="16"/>
      <c r="AC1272" s="16"/>
      <c r="AD1272" s="16" t="n">
        <v>100000</v>
      </c>
      <c r="AE1272" s="16"/>
      <c r="AF1272" s="16"/>
      <c r="AG1272" s="16" t="n">
        <v>100000</v>
      </c>
      <c r="AH1272" s="16"/>
      <c r="AI1272" s="16"/>
      <c r="AJ1272" s="9" t="n">
        <f aca="false">X1272*$V1272</f>
        <v>900000</v>
      </c>
      <c r="AK1272" s="9" t="n">
        <f aca="false">Y1272*$V1272</f>
        <v>0</v>
      </c>
      <c r="AL1272" s="9" t="n">
        <f aca="false">Z1272*$V1272</f>
        <v>0</v>
      </c>
      <c r="AM1272" s="9" t="n">
        <f aca="false">AA1272*$V1272</f>
        <v>900000</v>
      </c>
      <c r="AN1272" s="9" t="n">
        <f aca="false">AB1272*$V1272</f>
        <v>0</v>
      </c>
      <c r="AO1272" s="9" t="n">
        <f aca="false">AC1272*$V1272</f>
        <v>0</v>
      </c>
      <c r="AP1272" s="9" t="n">
        <f aca="false">AD1272*$V1272</f>
        <v>900000</v>
      </c>
      <c r="AQ1272" s="9" t="n">
        <f aca="false">AE1272*$V1272</f>
        <v>0</v>
      </c>
      <c r="AR1272" s="9" t="n">
        <f aca="false">AF1272*$V1272</f>
        <v>0</v>
      </c>
      <c r="AS1272" s="9" t="n">
        <f aca="false">AG1272*$V1272</f>
        <v>900000</v>
      </c>
      <c r="AT1272" s="9" t="n">
        <f aca="false">AH1272*$V1272</f>
        <v>0</v>
      </c>
      <c r="AU1272" s="9" t="n">
        <f aca="false">AI1272*$V1272</f>
        <v>0</v>
      </c>
      <c r="AV1272" s="9" t="n">
        <f aca="false">SUM(X1272:AI1272)/1000</f>
        <v>400</v>
      </c>
      <c r="AW1272" s="9" t="n">
        <f aca="false">SUM(AJ1272:AU1272)</f>
        <v>3600000</v>
      </c>
      <c r="AX1272" s="9" t="n">
        <f aca="false">IF(D1272="INR",AW1272/88.24,AW1272)/1000000</f>
        <v>0.0407978241160472</v>
      </c>
    </row>
    <row r="1273" s="2" customFormat="true" ht="14.25" hidden="false" customHeight="false" outlineLevel="0" collapsed="false">
      <c r="A1273" s="12" t="s">
        <v>2428</v>
      </c>
      <c r="B1273" s="16" t="n">
        <v>5</v>
      </c>
      <c r="C1273" s="15"/>
      <c r="D1273" s="16" t="s">
        <v>50</v>
      </c>
      <c r="E1273" s="16" t="s">
        <v>51</v>
      </c>
      <c r="F1273" s="16" t="s">
        <v>52</v>
      </c>
      <c r="G1273" s="16" t="s">
        <v>1131</v>
      </c>
      <c r="H1273" s="16" t="s">
        <v>1132</v>
      </c>
      <c r="I1273" s="16" t="s">
        <v>55</v>
      </c>
      <c r="J1273" s="16" t="s">
        <v>56</v>
      </c>
      <c r="K1273" s="16"/>
      <c r="L1273" s="16" t="s">
        <v>55</v>
      </c>
      <c r="M1273" s="16" t="s">
        <v>56</v>
      </c>
      <c r="N1273" s="16" t="s">
        <v>93</v>
      </c>
      <c r="O1273" s="16" t="s">
        <v>58</v>
      </c>
      <c r="P1273" s="16" t="s">
        <v>380</v>
      </c>
      <c r="Q1273" s="16" t="s">
        <v>380</v>
      </c>
      <c r="R1273" s="16" t="s">
        <v>442</v>
      </c>
      <c r="S1273" s="16" t="s">
        <v>443</v>
      </c>
      <c r="T1273" s="16" t="s">
        <v>590</v>
      </c>
      <c r="U1273" s="16" t="s">
        <v>73</v>
      </c>
      <c r="V1273" s="16" t="n">
        <v>40</v>
      </c>
      <c r="W1273" s="16" t="n">
        <v>28</v>
      </c>
      <c r="X1273" s="16" t="n">
        <v>10000</v>
      </c>
      <c r="Y1273" s="16"/>
      <c r="Z1273" s="16"/>
      <c r="AA1273" s="16"/>
      <c r="AB1273" s="16"/>
      <c r="AC1273" s="16" t="n">
        <v>10000</v>
      </c>
      <c r="AD1273" s="16"/>
      <c r="AE1273" s="16"/>
      <c r="AF1273" s="16" t="n">
        <v>15000</v>
      </c>
      <c r="AG1273" s="16"/>
      <c r="AH1273" s="16"/>
      <c r="AI1273" s="16" t="n">
        <v>15000</v>
      </c>
      <c r="AJ1273" s="9" t="n">
        <f aca="false">X1273*$V1273</f>
        <v>400000</v>
      </c>
      <c r="AK1273" s="9" t="n">
        <f aca="false">Y1273*$V1273</f>
        <v>0</v>
      </c>
      <c r="AL1273" s="9" t="n">
        <f aca="false">Z1273*$V1273</f>
        <v>0</v>
      </c>
      <c r="AM1273" s="9" t="n">
        <f aca="false">AA1273*$V1273</f>
        <v>0</v>
      </c>
      <c r="AN1273" s="9" t="n">
        <f aca="false">AB1273*$V1273</f>
        <v>0</v>
      </c>
      <c r="AO1273" s="9" t="n">
        <f aca="false">AC1273*$V1273</f>
        <v>400000</v>
      </c>
      <c r="AP1273" s="9" t="n">
        <f aca="false">AD1273*$V1273</f>
        <v>0</v>
      </c>
      <c r="AQ1273" s="9" t="n">
        <f aca="false">AE1273*$V1273</f>
        <v>0</v>
      </c>
      <c r="AR1273" s="9" t="n">
        <f aca="false">AF1273*$V1273</f>
        <v>600000</v>
      </c>
      <c r="AS1273" s="9" t="n">
        <f aca="false">AG1273*$V1273</f>
        <v>0</v>
      </c>
      <c r="AT1273" s="9" t="n">
        <f aca="false">AH1273*$V1273</f>
        <v>0</v>
      </c>
      <c r="AU1273" s="9" t="n">
        <f aca="false">AI1273*$V1273</f>
        <v>600000</v>
      </c>
      <c r="AV1273" s="9" t="n">
        <f aca="false">SUM(X1273:AI1273)/1000</f>
        <v>50</v>
      </c>
      <c r="AW1273" s="9" t="n">
        <f aca="false">SUM(AJ1273:AU1273)</f>
        <v>2000000</v>
      </c>
      <c r="AX1273" s="9" t="n">
        <f aca="false">IF(D1273="INR",AW1273/88.24,AW1273)/1000000</f>
        <v>0.0226654578422484</v>
      </c>
    </row>
    <row r="1274" s="2" customFormat="true" ht="14.25" hidden="false" customHeight="false" outlineLevel="0" collapsed="false">
      <c r="A1274" s="12" t="s">
        <v>2429</v>
      </c>
      <c r="B1274" s="16" t="n">
        <v>5</v>
      </c>
      <c r="C1274" s="15"/>
      <c r="D1274" s="16" t="s">
        <v>50</v>
      </c>
      <c r="E1274" s="16" t="s">
        <v>51</v>
      </c>
      <c r="F1274" s="16" t="s">
        <v>52</v>
      </c>
      <c r="G1274" s="16" t="s">
        <v>1131</v>
      </c>
      <c r="H1274" s="16" t="s">
        <v>1132</v>
      </c>
      <c r="I1274" s="16" t="s">
        <v>55</v>
      </c>
      <c r="J1274" s="16" t="s">
        <v>56</v>
      </c>
      <c r="K1274" s="16"/>
      <c r="L1274" s="16" t="s">
        <v>55</v>
      </c>
      <c r="M1274" s="16" t="s">
        <v>56</v>
      </c>
      <c r="N1274" s="16" t="s">
        <v>93</v>
      </c>
      <c r="O1274" s="16" t="s">
        <v>58</v>
      </c>
      <c r="P1274" s="16" t="s">
        <v>85</v>
      </c>
      <c r="Q1274" s="16" t="s">
        <v>85</v>
      </c>
      <c r="R1274" s="16" t="s">
        <v>86</v>
      </c>
      <c r="S1274" s="16" t="s">
        <v>87</v>
      </c>
      <c r="T1274" s="16" t="s">
        <v>448</v>
      </c>
      <c r="U1274" s="16" t="s">
        <v>73</v>
      </c>
      <c r="V1274" s="16" t="n">
        <v>10.26</v>
      </c>
      <c r="W1274" s="16" t="n">
        <v>0.0986</v>
      </c>
      <c r="X1274" s="22" t="n">
        <v>10000</v>
      </c>
      <c r="Y1274" s="22"/>
      <c r="Z1274" s="22"/>
      <c r="AA1274" s="22" t="n">
        <v>10000</v>
      </c>
      <c r="AB1274" s="22"/>
      <c r="AC1274" s="22"/>
      <c r="AD1274" s="22"/>
      <c r="AE1274" s="22"/>
      <c r="AF1274" s="22" t="n">
        <v>10000</v>
      </c>
      <c r="AG1274" s="22"/>
      <c r="AH1274" s="22"/>
      <c r="AI1274" s="22" t="n">
        <v>10000</v>
      </c>
      <c r="AJ1274" s="9" t="n">
        <f aca="false">X1274*$V1274</f>
        <v>102600</v>
      </c>
      <c r="AK1274" s="9" t="n">
        <f aca="false">Y1274*$V1274</f>
        <v>0</v>
      </c>
      <c r="AL1274" s="9" t="n">
        <f aca="false">Z1274*$V1274</f>
        <v>0</v>
      </c>
      <c r="AM1274" s="9" t="n">
        <f aca="false">AA1274*$V1274</f>
        <v>102600</v>
      </c>
      <c r="AN1274" s="9" t="n">
        <f aca="false">AB1274*$V1274</f>
        <v>0</v>
      </c>
      <c r="AO1274" s="9" t="n">
        <f aca="false">AC1274*$V1274</f>
        <v>0</v>
      </c>
      <c r="AP1274" s="9" t="n">
        <f aca="false">AD1274*$V1274</f>
        <v>0</v>
      </c>
      <c r="AQ1274" s="9" t="n">
        <f aca="false">AE1274*$V1274</f>
        <v>0</v>
      </c>
      <c r="AR1274" s="9" t="n">
        <f aca="false">AF1274*$V1274</f>
        <v>102600</v>
      </c>
      <c r="AS1274" s="9" t="n">
        <f aca="false">AG1274*$V1274</f>
        <v>0</v>
      </c>
      <c r="AT1274" s="9" t="n">
        <f aca="false">AH1274*$V1274</f>
        <v>0</v>
      </c>
      <c r="AU1274" s="9" t="n">
        <f aca="false">AI1274*$V1274</f>
        <v>102600</v>
      </c>
      <c r="AV1274" s="9" t="n">
        <f aca="false">SUM(X1274:AI1274)/1000</f>
        <v>40</v>
      </c>
      <c r="AW1274" s="9" t="n">
        <f aca="false">SUM(AJ1274:AU1274)</f>
        <v>410400</v>
      </c>
      <c r="AX1274" s="9" t="n">
        <f aca="false">IF(D1274="INR",AW1274/88.24,AW1274)/1000000</f>
        <v>0.00465095194922938</v>
      </c>
    </row>
    <row r="1275" s="2" customFormat="true" ht="14.25" hidden="false" customHeight="false" outlineLevel="0" collapsed="false">
      <c r="A1275" s="12" t="s">
        <v>2430</v>
      </c>
      <c r="B1275" s="16" t="n">
        <v>5</v>
      </c>
      <c r="C1275" s="15"/>
      <c r="D1275" s="16" t="s">
        <v>50</v>
      </c>
      <c r="E1275" s="16" t="s">
        <v>51</v>
      </c>
      <c r="F1275" s="16" t="s">
        <v>52</v>
      </c>
      <c r="G1275" s="16" t="s">
        <v>1131</v>
      </c>
      <c r="H1275" s="16" t="s">
        <v>1132</v>
      </c>
      <c r="I1275" s="16" t="s">
        <v>55</v>
      </c>
      <c r="J1275" s="16" t="s">
        <v>56</v>
      </c>
      <c r="K1275" s="16"/>
      <c r="L1275" s="16" t="s">
        <v>55</v>
      </c>
      <c r="M1275" s="16" t="s">
        <v>56</v>
      </c>
      <c r="N1275" s="16" t="s">
        <v>93</v>
      </c>
      <c r="O1275" s="16" t="s">
        <v>58</v>
      </c>
      <c r="P1275" s="16" t="s">
        <v>85</v>
      </c>
      <c r="Q1275" s="16" t="s">
        <v>85</v>
      </c>
      <c r="R1275" s="16" t="s">
        <v>86</v>
      </c>
      <c r="S1275" s="16" t="s">
        <v>87</v>
      </c>
      <c r="T1275" s="16" t="s">
        <v>1975</v>
      </c>
      <c r="U1275" s="16" t="s">
        <v>73</v>
      </c>
      <c r="V1275" s="16" t="n">
        <v>9.02</v>
      </c>
      <c r="W1275" s="16" t="n">
        <v>0.0867</v>
      </c>
      <c r="X1275" s="22" t="n">
        <v>10000</v>
      </c>
      <c r="Y1275" s="22"/>
      <c r="Z1275" s="22"/>
      <c r="AA1275" s="22" t="n">
        <v>10000</v>
      </c>
      <c r="AB1275" s="22"/>
      <c r="AC1275" s="22"/>
      <c r="AD1275" s="22"/>
      <c r="AE1275" s="22"/>
      <c r="AF1275" s="22" t="n">
        <v>10000</v>
      </c>
      <c r="AG1275" s="22"/>
      <c r="AH1275" s="22"/>
      <c r="AI1275" s="22" t="n">
        <v>10000</v>
      </c>
      <c r="AJ1275" s="9" t="n">
        <f aca="false">X1275*$V1275</f>
        <v>90200</v>
      </c>
      <c r="AK1275" s="9" t="n">
        <f aca="false">Y1275*$V1275</f>
        <v>0</v>
      </c>
      <c r="AL1275" s="9" t="n">
        <f aca="false">Z1275*$V1275</f>
        <v>0</v>
      </c>
      <c r="AM1275" s="9" t="n">
        <f aca="false">AA1275*$V1275</f>
        <v>90200</v>
      </c>
      <c r="AN1275" s="9" t="n">
        <f aca="false">AB1275*$V1275</f>
        <v>0</v>
      </c>
      <c r="AO1275" s="9" t="n">
        <f aca="false">AC1275*$V1275</f>
        <v>0</v>
      </c>
      <c r="AP1275" s="9" t="n">
        <f aca="false">AD1275*$V1275</f>
        <v>0</v>
      </c>
      <c r="AQ1275" s="9" t="n">
        <f aca="false">AE1275*$V1275</f>
        <v>0</v>
      </c>
      <c r="AR1275" s="9" t="n">
        <f aca="false">AF1275*$V1275</f>
        <v>90200</v>
      </c>
      <c r="AS1275" s="9" t="n">
        <f aca="false">AG1275*$V1275</f>
        <v>0</v>
      </c>
      <c r="AT1275" s="9" t="n">
        <f aca="false">AH1275*$V1275</f>
        <v>0</v>
      </c>
      <c r="AU1275" s="9" t="n">
        <f aca="false">AI1275*$V1275</f>
        <v>90200</v>
      </c>
      <c r="AV1275" s="9" t="n">
        <f aca="false">SUM(X1275:AI1275)/1000</f>
        <v>40</v>
      </c>
      <c r="AW1275" s="9" t="n">
        <f aca="false">SUM(AJ1275:AU1275)</f>
        <v>360800</v>
      </c>
      <c r="AX1275" s="9" t="n">
        <f aca="false">IF(D1275="INR",AW1275/88.24,AW1275)/1000000</f>
        <v>0.00408884859474161</v>
      </c>
    </row>
    <row r="1276" s="2" customFormat="true" ht="14.25" hidden="false" customHeight="false" outlineLevel="0" collapsed="false">
      <c r="A1276" s="12"/>
      <c r="B1276" s="16" t="n">
        <v>2</v>
      </c>
      <c r="C1276" s="15"/>
      <c r="D1276" s="16" t="s">
        <v>50</v>
      </c>
      <c r="E1276" s="16"/>
      <c r="F1276" s="16" t="s">
        <v>52</v>
      </c>
      <c r="G1276" s="16"/>
      <c r="H1276" s="16" t="s">
        <v>1132</v>
      </c>
      <c r="I1276" s="16"/>
      <c r="J1276" s="16"/>
      <c r="K1276" s="16"/>
      <c r="L1276" s="16"/>
      <c r="M1276" s="16"/>
      <c r="N1276" s="16" t="s">
        <v>93</v>
      </c>
      <c r="O1276" s="16" t="s">
        <v>58</v>
      </c>
      <c r="P1276" s="16"/>
      <c r="Q1276" s="16" t="s">
        <v>859</v>
      </c>
      <c r="R1276" s="16"/>
      <c r="S1276" s="16"/>
      <c r="T1276" s="16" t="s">
        <v>2431</v>
      </c>
      <c r="U1276" s="16"/>
      <c r="V1276" s="16" t="n">
        <v>8</v>
      </c>
      <c r="W1276" s="16"/>
      <c r="X1276" s="22" t="n">
        <v>10000</v>
      </c>
      <c r="Y1276" s="22"/>
      <c r="Z1276" s="22"/>
      <c r="AA1276" s="22" t="n">
        <v>10000</v>
      </c>
      <c r="AB1276" s="22"/>
      <c r="AC1276" s="22"/>
      <c r="AD1276" s="22"/>
      <c r="AE1276" s="22"/>
      <c r="AF1276" s="22" t="n">
        <v>10000</v>
      </c>
      <c r="AG1276" s="22"/>
      <c r="AH1276" s="22"/>
      <c r="AI1276" s="22" t="n">
        <v>10000</v>
      </c>
      <c r="AJ1276" s="9" t="n">
        <f aca="false">X1276*$V1276</f>
        <v>80000</v>
      </c>
      <c r="AK1276" s="9" t="n">
        <f aca="false">Y1276*$V1276</f>
        <v>0</v>
      </c>
      <c r="AL1276" s="9" t="n">
        <f aca="false">Z1276*$V1276</f>
        <v>0</v>
      </c>
      <c r="AM1276" s="9" t="n">
        <f aca="false">AA1276*$V1276</f>
        <v>80000</v>
      </c>
      <c r="AN1276" s="9" t="n">
        <f aca="false">AB1276*$V1276</f>
        <v>0</v>
      </c>
      <c r="AO1276" s="9" t="n">
        <f aca="false">AC1276*$V1276</f>
        <v>0</v>
      </c>
      <c r="AP1276" s="9" t="n">
        <f aca="false">AD1276*$V1276</f>
        <v>0</v>
      </c>
      <c r="AQ1276" s="9" t="n">
        <f aca="false">AE1276*$V1276</f>
        <v>0</v>
      </c>
      <c r="AR1276" s="9" t="n">
        <f aca="false">AF1276*$V1276</f>
        <v>80000</v>
      </c>
      <c r="AS1276" s="9" t="n">
        <f aca="false">AG1276*$V1276</f>
        <v>0</v>
      </c>
      <c r="AT1276" s="9" t="n">
        <f aca="false">AH1276*$V1276</f>
        <v>0</v>
      </c>
      <c r="AU1276" s="9" t="n">
        <f aca="false">AI1276*$V1276</f>
        <v>80000</v>
      </c>
      <c r="AV1276" s="9" t="n">
        <f aca="false">SUM(X1276:AI1276)/1000</f>
        <v>40</v>
      </c>
      <c r="AW1276" s="9" t="n">
        <f aca="false">SUM(AJ1276:AU1276)</f>
        <v>320000</v>
      </c>
      <c r="AX1276" s="9" t="n">
        <f aca="false">IF(D1276="INR",AW1276/88.24,AW1276)/1000000</f>
        <v>0.00362647325475975</v>
      </c>
    </row>
    <row r="1277" s="2" customFormat="true" ht="14.25" hidden="false" customHeight="false" outlineLevel="0" collapsed="false">
      <c r="A1277" s="12" t="s">
        <v>2432</v>
      </c>
      <c r="B1277" s="16" t="n">
        <v>5</v>
      </c>
      <c r="C1277" s="15"/>
      <c r="D1277" s="16" t="s">
        <v>50</v>
      </c>
      <c r="E1277" s="16" t="s">
        <v>51</v>
      </c>
      <c r="F1277" s="16" t="s">
        <v>52</v>
      </c>
      <c r="G1277" s="16" t="s">
        <v>1131</v>
      </c>
      <c r="H1277" s="16" t="s">
        <v>1132</v>
      </c>
      <c r="I1277" s="16" t="s">
        <v>55</v>
      </c>
      <c r="J1277" s="16" t="s">
        <v>56</v>
      </c>
      <c r="K1277" s="16"/>
      <c r="L1277" s="16" t="s">
        <v>55</v>
      </c>
      <c r="M1277" s="16" t="s">
        <v>56</v>
      </c>
      <c r="N1277" s="16" t="s">
        <v>93</v>
      </c>
      <c r="O1277" s="16" t="s">
        <v>58</v>
      </c>
      <c r="P1277" s="16" t="s">
        <v>85</v>
      </c>
      <c r="Q1277" s="16" t="s">
        <v>85</v>
      </c>
      <c r="R1277" s="16" t="s">
        <v>86</v>
      </c>
      <c r="S1277" s="16" t="s">
        <v>87</v>
      </c>
      <c r="T1277" s="9" t="s">
        <v>2433</v>
      </c>
      <c r="U1277" s="9" t="s">
        <v>73</v>
      </c>
      <c r="V1277" s="9" t="n">
        <v>6.14</v>
      </c>
      <c r="W1277" s="16" t="n">
        <v>0.059</v>
      </c>
      <c r="X1277" s="22" t="n">
        <v>10000</v>
      </c>
      <c r="Y1277" s="16"/>
      <c r="Z1277" s="16"/>
      <c r="AA1277" s="16" t="n">
        <v>10000</v>
      </c>
      <c r="AB1277" s="16"/>
      <c r="AC1277" s="16"/>
      <c r="AD1277" s="16"/>
      <c r="AE1277" s="16"/>
      <c r="AF1277" s="16" t="n">
        <v>10000</v>
      </c>
      <c r="AG1277" s="16"/>
      <c r="AH1277" s="16"/>
      <c r="AI1277" s="16" t="n">
        <v>10000</v>
      </c>
      <c r="AJ1277" s="9" t="n">
        <f aca="false">X1277*$V1277</f>
        <v>61400</v>
      </c>
      <c r="AK1277" s="9" t="n">
        <f aca="false">Y1277*$V1277</f>
        <v>0</v>
      </c>
      <c r="AL1277" s="9" t="n">
        <f aca="false">Z1277*$V1277</f>
        <v>0</v>
      </c>
      <c r="AM1277" s="9" t="n">
        <f aca="false">AA1277*$V1277</f>
        <v>61400</v>
      </c>
      <c r="AN1277" s="9" t="n">
        <f aca="false">AB1277*$V1277</f>
        <v>0</v>
      </c>
      <c r="AO1277" s="9" t="n">
        <f aca="false">AC1277*$V1277</f>
        <v>0</v>
      </c>
      <c r="AP1277" s="9" t="n">
        <f aca="false">AD1277*$V1277</f>
        <v>0</v>
      </c>
      <c r="AQ1277" s="9" t="n">
        <f aca="false">AE1277*$V1277</f>
        <v>0</v>
      </c>
      <c r="AR1277" s="9" t="n">
        <f aca="false">AF1277*$V1277</f>
        <v>61400</v>
      </c>
      <c r="AS1277" s="9" t="n">
        <f aca="false">AG1277*$V1277</f>
        <v>0</v>
      </c>
      <c r="AT1277" s="9" t="n">
        <f aca="false">AH1277*$V1277</f>
        <v>0</v>
      </c>
      <c r="AU1277" s="9" t="n">
        <f aca="false">AI1277*$V1277</f>
        <v>61400</v>
      </c>
      <c r="AV1277" s="9" t="n">
        <f aca="false">SUM(X1277:AI1277)/1000</f>
        <v>40</v>
      </c>
      <c r="AW1277" s="9" t="n">
        <f aca="false">SUM(AJ1277:AU1277)</f>
        <v>245600</v>
      </c>
      <c r="AX1277" s="9" t="n">
        <f aca="false">IF(D1277="INR",AW1277/88.24,AW1277)/1000000</f>
        <v>0.00278331822302811</v>
      </c>
    </row>
    <row r="1278" s="2" customFormat="true" ht="16.4" hidden="false" customHeight="false" outlineLevel="0" collapsed="false">
      <c r="A1278" s="35" t="s">
        <v>2434</v>
      </c>
      <c r="B1278" s="9" t="n">
        <v>5</v>
      </c>
      <c r="C1278" s="10"/>
      <c r="D1278" s="9" t="s">
        <v>50</v>
      </c>
      <c r="E1278" s="9" t="s">
        <v>51</v>
      </c>
      <c r="F1278" s="9" t="s">
        <v>52</v>
      </c>
      <c r="G1278" s="9" t="s">
        <v>1131</v>
      </c>
      <c r="H1278" s="9" t="s">
        <v>1132</v>
      </c>
      <c r="I1278" s="9" t="s">
        <v>55</v>
      </c>
      <c r="J1278" s="9" t="s">
        <v>56</v>
      </c>
      <c r="K1278" s="9"/>
      <c r="L1278" s="9" t="s">
        <v>55</v>
      </c>
      <c r="M1278" s="9" t="s">
        <v>56</v>
      </c>
      <c r="N1278" s="9" t="s">
        <v>93</v>
      </c>
      <c r="O1278" s="9" t="s">
        <v>58</v>
      </c>
      <c r="P1278" s="9" t="s">
        <v>85</v>
      </c>
      <c r="Q1278" s="9" t="s">
        <v>85</v>
      </c>
      <c r="R1278" s="9" t="s">
        <v>86</v>
      </c>
      <c r="S1278" s="9" t="s">
        <v>87</v>
      </c>
      <c r="T1278" s="9" t="s">
        <v>2435</v>
      </c>
      <c r="U1278" s="9" t="s">
        <v>73</v>
      </c>
      <c r="V1278" s="9" t="n">
        <v>5.17</v>
      </c>
      <c r="W1278" s="9" t="n">
        <v>0.0497</v>
      </c>
      <c r="X1278" s="9" t="n">
        <v>10000</v>
      </c>
      <c r="Y1278" s="9"/>
      <c r="Z1278" s="9"/>
      <c r="AA1278" s="9" t="n">
        <v>10000</v>
      </c>
      <c r="AB1278" s="9"/>
      <c r="AC1278" s="9"/>
      <c r="AD1278" s="9"/>
      <c r="AE1278" s="9"/>
      <c r="AF1278" s="9" t="n">
        <v>10000</v>
      </c>
      <c r="AG1278" s="9"/>
      <c r="AH1278" s="9"/>
      <c r="AI1278" s="9" t="n">
        <v>10000</v>
      </c>
      <c r="AJ1278" s="9" t="n">
        <f aca="false">X1278*$V1278</f>
        <v>51700</v>
      </c>
      <c r="AK1278" s="9" t="n">
        <f aca="false">Y1278*$V1278</f>
        <v>0</v>
      </c>
      <c r="AL1278" s="9" t="n">
        <f aca="false">Z1278*$V1278</f>
        <v>0</v>
      </c>
      <c r="AM1278" s="9" t="n">
        <f aca="false">AA1278*$V1278</f>
        <v>51700</v>
      </c>
      <c r="AN1278" s="9" t="n">
        <f aca="false">AB1278*$V1278</f>
        <v>0</v>
      </c>
      <c r="AO1278" s="9" t="n">
        <f aca="false">AC1278*$V1278</f>
        <v>0</v>
      </c>
      <c r="AP1278" s="9" t="n">
        <f aca="false">AD1278*$V1278</f>
        <v>0</v>
      </c>
      <c r="AQ1278" s="9" t="n">
        <f aca="false">AE1278*$V1278</f>
        <v>0</v>
      </c>
      <c r="AR1278" s="9" t="n">
        <f aca="false">AF1278*$V1278</f>
        <v>51700</v>
      </c>
      <c r="AS1278" s="9" t="n">
        <f aca="false">AG1278*$V1278</f>
        <v>0</v>
      </c>
      <c r="AT1278" s="9" t="n">
        <f aca="false">AH1278*$V1278</f>
        <v>0</v>
      </c>
      <c r="AU1278" s="9" t="n">
        <f aca="false">AI1278*$V1278</f>
        <v>51700</v>
      </c>
      <c r="AV1278" s="9" t="n">
        <f aca="false">SUM(X1278:AI1278)/1000</f>
        <v>40</v>
      </c>
      <c r="AW1278" s="9" t="n">
        <f aca="false">SUM(AJ1278:AU1278)</f>
        <v>206800</v>
      </c>
      <c r="AX1278" s="9" t="n">
        <f aca="false">IF(D1278="INR",AW1278/88.24,AW1278)/1000000</f>
        <v>0.00234360834088849</v>
      </c>
    </row>
    <row r="1279" s="2" customFormat="true" ht="14.25" hidden="false" customHeight="false" outlineLevel="0" collapsed="false">
      <c r="A1279" s="12" t="s">
        <v>2436</v>
      </c>
      <c r="B1279" s="16" t="n">
        <v>5</v>
      </c>
      <c r="C1279" s="15"/>
      <c r="D1279" s="16" t="s">
        <v>50</v>
      </c>
      <c r="E1279" s="16" t="s">
        <v>51</v>
      </c>
      <c r="F1279" s="16" t="s">
        <v>52</v>
      </c>
      <c r="G1279" s="16" t="s">
        <v>1131</v>
      </c>
      <c r="H1279" s="16" t="s">
        <v>1132</v>
      </c>
      <c r="I1279" s="16" t="s">
        <v>55</v>
      </c>
      <c r="J1279" s="16" t="s">
        <v>56</v>
      </c>
      <c r="K1279" s="16"/>
      <c r="L1279" s="16" t="s">
        <v>55</v>
      </c>
      <c r="M1279" s="16" t="s">
        <v>56</v>
      </c>
      <c r="N1279" s="16" t="s">
        <v>93</v>
      </c>
      <c r="O1279" s="16" t="s">
        <v>58</v>
      </c>
      <c r="P1279" s="16" t="s">
        <v>85</v>
      </c>
      <c r="Q1279" s="16" t="s">
        <v>85</v>
      </c>
      <c r="R1279" s="16" t="s">
        <v>86</v>
      </c>
      <c r="S1279" s="16" t="s">
        <v>87</v>
      </c>
      <c r="T1279" s="16" t="s">
        <v>1336</v>
      </c>
      <c r="U1279" s="16" t="s">
        <v>63</v>
      </c>
      <c r="V1279" s="16" t="n">
        <v>5.08</v>
      </c>
      <c r="W1279" s="16" t="n">
        <v>0.05</v>
      </c>
      <c r="X1279" s="22" t="n">
        <v>10000</v>
      </c>
      <c r="Y1279" s="16"/>
      <c r="Z1279" s="26"/>
      <c r="AA1279" s="16" t="n">
        <v>10000</v>
      </c>
      <c r="AB1279" s="16"/>
      <c r="AC1279" s="16"/>
      <c r="AD1279" s="26"/>
      <c r="AE1279" s="16"/>
      <c r="AF1279" s="16" t="n">
        <v>10000</v>
      </c>
      <c r="AG1279" s="16"/>
      <c r="AH1279" s="16"/>
      <c r="AI1279" s="16" t="n">
        <v>10000</v>
      </c>
      <c r="AJ1279" s="9" t="n">
        <f aca="false">X1279*$V1279</f>
        <v>50800</v>
      </c>
      <c r="AK1279" s="9" t="n">
        <f aca="false">Y1279*$V1279</f>
        <v>0</v>
      </c>
      <c r="AL1279" s="9" t="n">
        <f aca="false">Z1279*$V1279</f>
        <v>0</v>
      </c>
      <c r="AM1279" s="9" t="n">
        <f aca="false">AA1279*$V1279</f>
        <v>50800</v>
      </c>
      <c r="AN1279" s="9" t="n">
        <f aca="false">AB1279*$V1279</f>
        <v>0</v>
      </c>
      <c r="AO1279" s="9" t="n">
        <f aca="false">AC1279*$V1279</f>
        <v>0</v>
      </c>
      <c r="AP1279" s="9" t="n">
        <f aca="false">AD1279*$V1279</f>
        <v>0</v>
      </c>
      <c r="AQ1279" s="9" t="n">
        <f aca="false">AE1279*$V1279</f>
        <v>0</v>
      </c>
      <c r="AR1279" s="9" t="n">
        <f aca="false">AF1279*$V1279</f>
        <v>50800</v>
      </c>
      <c r="AS1279" s="9" t="n">
        <f aca="false">AG1279*$V1279</f>
        <v>0</v>
      </c>
      <c r="AT1279" s="9" t="n">
        <f aca="false">AH1279*$V1279</f>
        <v>0</v>
      </c>
      <c r="AU1279" s="9" t="n">
        <f aca="false">AI1279*$V1279</f>
        <v>50800</v>
      </c>
      <c r="AV1279" s="9" t="n">
        <f aca="false">SUM(X1279:AI1279)/1000</f>
        <v>40</v>
      </c>
      <c r="AW1279" s="9" t="n">
        <f aca="false">SUM(AJ1279:AU1279)</f>
        <v>203200</v>
      </c>
      <c r="AX1279" s="9" t="n">
        <f aca="false">IF(D1279="INR",AW1279/88.24,AW1279)/1000000</f>
        <v>0.00230281051677244</v>
      </c>
    </row>
    <row r="1280" s="2" customFormat="true" ht="14.25" hidden="false" customHeight="false" outlineLevel="0" collapsed="false">
      <c r="A1280" s="12" t="s">
        <v>2437</v>
      </c>
      <c r="B1280" s="16" t="n">
        <v>5</v>
      </c>
      <c r="C1280" s="15"/>
      <c r="D1280" s="16" t="s">
        <v>50</v>
      </c>
      <c r="E1280" s="16" t="s">
        <v>51</v>
      </c>
      <c r="F1280" s="16" t="s">
        <v>52</v>
      </c>
      <c r="G1280" s="16" t="s">
        <v>1131</v>
      </c>
      <c r="H1280" s="16" t="s">
        <v>1132</v>
      </c>
      <c r="I1280" s="16" t="s">
        <v>55</v>
      </c>
      <c r="J1280" s="16" t="s">
        <v>56</v>
      </c>
      <c r="K1280" s="16"/>
      <c r="L1280" s="16" t="s">
        <v>55</v>
      </c>
      <c r="M1280" s="16" t="s">
        <v>56</v>
      </c>
      <c r="N1280" s="16" t="s">
        <v>93</v>
      </c>
      <c r="O1280" s="16" t="s">
        <v>58</v>
      </c>
      <c r="P1280" s="16" t="s">
        <v>85</v>
      </c>
      <c r="Q1280" s="16" t="s">
        <v>85</v>
      </c>
      <c r="R1280" s="16" t="s">
        <v>86</v>
      </c>
      <c r="S1280" s="16" t="s">
        <v>87</v>
      </c>
      <c r="T1280" s="16" t="s">
        <v>2438</v>
      </c>
      <c r="U1280" s="16" t="s">
        <v>63</v>
      </c>
      <c r="V1280" s="16" t="n">
        <v>5</v>
      </c>
      <c r="W1280" s="16" t="n">
        <v>0.05</v>
      </c>
      <c r="X1280" s="16" t="n">
        <v>10000</v>
      </c>
      <c r="Y1280" s="16"/>
      <c r="Z1280" s="16"/>
      <c r="AA1280" s="16" t="n">
        <v>10000</v>
      </c>
      <c r="AB1280" s="16"/>
      <c r="AC1280" s="16"/>
      <c r="AD1280" s="16"/>
      <c r="AE1280" s="16"/>
      <c r="AF1280" s="16" t="n">
        <v>10000</v>
      </c>
      <c r="AG1280" s="16"/>
      <c r="AH1280" s="16"/>
      <c r="AI1280" s="16" t="n">
        <v>10000</v>
      </c>
      <c r="AJ1280" s="9" t="n">
        <f aca="false">X1280*$V1280</f>
        <v>50000</v>
      </c>
      <c r="AK1280" s="9" t="n">
        <f aca="false">Y1280*$V1280</f>
        <v>0</v>
      </c>
      <c r="AL1280" s="9" t="n">
        <f aca="false">Z1280*$V1280</f>
        <v>0</v>
      </c>
      <c r="AM1280" s="9" t="n">
        <f aca="false">AA1280*$V1280</f>
        <v>50000</v>
      </c>
      <c r="AN1280" s="9" t="n">
        <f aca="false">AB1280*$V1280</f>
        <v>0</v>
      </c>
      <c r="AO1280" s="9" t="n">
        <f aca="false">AC1280*$V1280</f>
        <v>0</v>
      </c>
      <c r="AP1280" s="9" t="n">
        <f aca="false">AD1280*$V1280</f>
        <v>0</v>
      </c>
      <c r="AQ1280" s="9" t="n">
        <f aca="false">AE1280*$V1280</f>
        <v>0</v>
      </c>
      <c r="AR1280" s="9" t="n">
        <f aca="false">AF1280*$V1280</f>
        <v>50000</v>
      </c>
      <c r="AS1280" s="9" t="n">
        <f aca="false">AG1280*$V1280</f>
        <v>0</v>
      </c>
      <c r="AT1280" s="9" t="n">
        <f aca="false">AH1280*$V1280</f>
        <v>0</v>
      </c>
      <c r="AU1280" s="9" t="n">
        <f aca="false">AI1280*$V1280</f>
        <v>50000</v>
      </c>
      <c r="AV1280" s="9" t="n">
        <f aca="false">SUM(X1280:AI1280)/1000</f>
        <v>40</v>
      </c>
      <c r="AW1280" s="9" t="n">
        <f aca="false">SUM(AJ1280:AU1280)</f>
        <v>200000</v>
      </c>
      <c r="AX1280" s="9" t="n">
        <f aca="false">IF(D1280="INR",AW1280/88.24,AW1280)/1000000</f>
        <v>0.00226654578422484</v>
      </c>
    </row>
    <row r="1281" s="2" customFormat="true" ht="14.25" hidden="false" customHeight="false" outlineLevel="0" collapsed="false">
      <c r="A1281" s="12" t="s">
        <v>2439</v>
      </c>
      <c r="B1281" s="16" t="n">
        <v>5</v>
      </c>
      <c r="C1281" s="14"/>
      <c r="D1281" s="16" t="s">
        <v>50</v>
      </c>
      <c r="E1281" s="16" t="s">
        <v>51</v>
      </c>
      <c r="F1281" s="16" t="s">
        <v>52</v>
      </c>
      <c r="G1281" s="16" t="s">
        <v>1131</v>
      </c>
      <c r="H1281" s="16" t="s">
        <v>1132</v>
      </c>
      <c r="I1281" s="16" t="s">
        <v>55</v>
      </c>
      <c r="J1281" s="16" t="s">
        <v>56</v>
      </c>
      <c r="K1281" s="16"/>
      <c r="L1281" s="16" t="s">
        <v>55</v>
      </c>
      <c r="M1281" s="16" t="s">
        <v>56</v>
      </c>
      <c r="N1281" s="16" t="s">
        <v>93</v>
      </c>
      <c r="O1281" s="16" t="s">
        <v>58</v>
      </c>
      <c r="P1281" s="16" t="s">
        <v>85</v>
      </c>
      <c r="Q1281" s="16" t="s">
        <v>85</v>
      </c>
      <c r="R1281" s="16" t="s">
        <v>86</v>
      </c>
      <c r="S1281" s="16" t="s">
        <v>87</v>
      </c>
      <c r="T1281" s="16" t="s">
        <v>1106</v>
      </c>
      <c r="U1281" s="16" t="s">
        <v>73</v>
      </c>
      <c r="V1281" s="16" t="n">
        <v>4.91</v>
      </c>
      <c r="W1281" s="16" t="n">
        <v>0.048</v>
      </c>
      <c r="X1281" s="16" t="n">
        <v>10000</v>
      </c>
      <c r="Y1281" s="16"/>
      <c r="Z1281" s="16"/>
      <c r="AA1281" s="16" t="n">
        <v>10000</v>
      </c>
      <c r="AB1281" s="16"/>
      <c r="AC1281" s="16"/>
      <c r="AD1281" s="16"/>
      <c r="AE1281" s="16"/>
      <c r="AF1281" s="16" t="n">
        <v>10000</v>
      </c>
      <c r="AG1281" s="16"/>
      <c r="AH1281" s="16"/>
      <c r="AI1281" s="16" t="n">
        <v>10000</v>
      </c>
      <c r="AJ1281" s="9" t="n">
        <f aca="false">X1281*$V1281</f>
        <v>49100</v>
      </c>
      <c r="AK1281" s="9" t="n">
        <f aca="false">Y1281*$V1281</f>
        <v>0</v>
      </c>
      <c r="AL1281" s="9" t="n">
        <f aca="false">Z1281*$V1281</f>
        <v>0</v>
      </c>
      <c r="AM1281" s="9" t="n">
        <f aca="false">AA1281*$V1281</f>
        <v>49100</v>
      </c>
      <c r="AN1281" s="9" t="n">
        <f aca="false">AB1281*$V1281</f>
        <v>0</v>
      </c>
      <c r="AO1281" s="9" t="n">
        <f aca="false">AC1281*$V1281</f>
        <v>0</v>
      </c>
      <c r="AP1281" s="9" t="n">
        <f aca="false">AD1281*$V1281</f>
        <v>0</v>
      </c>
      <c r="AQ1281" s="9" t="n">
        <f aca="false">AE1281*$V1281</f>
        <v>0</v>
      </c>
      <c r="AR1281" s="9" t="n">
        <f aca="false">AF1281*$V1281</f>
        <v>49100</v>
      </c>
      <c r="AS1281" s="9" t="n">
        <f aca="false">AG1281*$V1281</f>
        <v>0</v>
      </c>
      <c r="AT1281" s="9" t="n">
        <f aca="false">AH1281*$V1281</f>
        <v>0</v>
      </c>
      <c r="AU1281" s="9" t="n">
        <f aca="false">AI1281*$V1281</f>
        <v>49100</v>
      </c>
      <c r="AV1281" s="9" t="n">
        <f aca="false">SUM(X1281:AI1281)/1000</f>
        <v>40</v>
      </c>
      <c r="AW1281" s="9" t="n">
        <f aca="false">SUM(AJ1281:AU1281)</f>
        <v>196400</v>
      </c>
      <c r="AX1281" s="9" t="n">
        <f aca="false">IF(D1281="INR",AW1281/88.24,AW1281)/1000000</f>
        <v>0.00222574796010879</v>
      </c>
    </row>
    <row r="1282" s="2" customFormat="true" ht="16.4" hidden="false" customHeight="false" outlineLevel="0" collapsed="false">
      <c r="A1282" s="35" t="s">
        <v>2440</v>
      </c>
      <c r="B1282" s="9" t="n">
        <v>5</v>
      </c>
      <c r="C1282" s="15"/>
      <c r="D1282" s="16" t="s">
        <v>50</v>
      </c>
      <c r="E1282" s="16" t="s">
        <v>51</v>
      </c>
      <c r="F1282" s="16" t="s">
        <v>52</v>
      </c>
      <c r="G1282" s="16" t="s">
        <v>1131</v>
      </c>
      <c r="H1282" s="9" t="s">
        <v>1132</v>
      </c>
      <c r="I1282" s="16" t="s">
        <v>55</v>
      </c>
      <c r="J1282" s="16" t="s">
        <v>56</v>
      </c>
      <c r="K1282" s="9"/>
      <c r="L1282" s="16" t="s">
        <v>55</v>
      </c>
      <c r="M1282" s="16" t="s">
        <v>56</v>
      </c>
      <c r="N1282" s="16" t="s">
        <v>93</v>
      </c>
      <c r="O1282" s="16" t="s">
        <v>58</v>
      </c>
      <c r="P1282" s="9" t="s">
        <v>59</v>
      </c>
      <c r="Q1282" s="16" t="s">
        <v>59</v>
      </c>
      <c r="R1282" s="9" t="s">
        <v>60</v>
      </c>
      <c r="S1282" s="9" t="s">
        <v>61</v>
      </c>
      <c r="T1282" s="9" t="s">
        <v>446</v>
      </c>
      <c r="U1282" s="16" t="s">
        <v>73</v>
      </c>
      <c r="V1282" s="36" t="n">
        <v>391</v>
      </c>
      <c r="W1282" s="9" t="n">
        <v>370</v>
      </c>
      <c r="X1282" s="22" t="n">
        <v>10000</v>
      </c>
      <c r="Y1282" s="9"/>
      <c r="Z1282" s="9"/>
      <c r="AA1282" s="9" t="n">
        <v>10000</v>
      </c>
      <c r="AB1282" s="9"/>
      <c r="AC1282" s="9"/>
      <c r="AD1282" s="23" t="n">
        <v>10000</v>
      </c>
      <c r="AE1282" s="9"/>
      <c r="AF1282" s="9"/>
      <c r="AG1282" s="9"/>
      <c r="AH1282" s="9"/>
      <c r="AI1282" s="9"/>
      <c r="AJ1282" s="9" t="n">
        <f aca="false">X1282*$V1282</f>
        <v>3910000</v>
      </c>
      <c r="AK1282" s="9" t="n">
        <f aca="false">Y1282*$V1282</f>
        <v>0</v>
      </c>
      <c r="AL1282" s="9" t="n">
        <f aca="false">Z1282*$V1282</f>
        <v>0</v>
      </c>
      <c r="AM1282" s="9" t="n">
        <f aca="false">AA1282*$V1282</f>
        <v>3910000</v>
      </c>
      <c r="AN1282" s="9" t="n">
        <f aca="false">AB1282*$V1282</f>
        <v>0</v>
      </c>
      <c r="AO1282" s="9" t="n">
        <f aca="false">AC1282*$V1282</f>
        <v>0</v>
      </c>
      <c r="AP1282" s="9" t="n">
        <f aca="false">AD1282*$V1282</f>
        <v>3910000</v>
      </c>
      <c r="AQ1282" s="9" t="n">
        <f aca="false">AE1282*$V1282</f>
        <v>0</v>
      </c>
      <c r="AR1282" s="9" t="n">
        <f aca="false">AF1282*$V1282</f>
        <v>0</v>
      </c>
      <c r="AS1282" s="9" t="n">
        <f aca="false">AG1282*$V1282</f>
        <v>0</v>
      </c>
      <c r="AT1282" s="9" t="n">
        <f aca="false">AH1282*$V1282</f>
        <v>0</v>
      </c>
      <c r="AU1282" s="9" t="n">
        <f aca="false">AI1282*$V1282</f>
        <v>0</v>
      </c>
      <c r="AV1282" s="9" t="n">
        <f aca="false">SUM(X1282:AI1282)/1000</f>
        <v>30</v>
      </c>
      <c r="AW1282" s="9" t="n">
        <f aca="false">SUM(AJ1282:AU1282)</f>
        <v>11730000</v>
      </c>
      <c r="AX1282" s="9" t="n">
        <f aca="false">IF(D1282="INR",AW1282/88.24,AW1282)/1000000</f>
        <v>0.132932910244787</v>
      </c>
    </row>
    <row r="1283" s="2" customFormat="true" ht="14.25" hidden="false" customHeight="false" outlineLevel="0" collapsed="false">
      <c r="A1283" s="12" t="s">
        <v>2441</v>
      </c>
      <c r="B1283" s="16" t="n">
        <v>5</v>
      </c>
      <c r="C1283" s="15"/>
      <c r="D1283" s="16" t="s">
        <v>102</v>
      </c>
      <c r="E1283" s="16" t="s">
        <v>51</v>
      </c>
      <c r="F1283" s="16" t="s">
        <v>312</v>
      </c>
      <c r="G1283" s="16" t="s">
        <v>313</v>
      </c>
      <c r="H1283" s="9" t="s">
        <v>314</v>
      </c>
      <c r="I1283" s="16" t="s">
        <v>298</v>
      </c>
      <c r="J1283" s="16" t="s">
        <v>1053</v>
      </c>
      <c r="K1283" s="9"/>
      <c r="L1283" s="16" t="s">
        <v>298</v>
      </c>
      <c r="M1283" s="16" t="s">
        <v>1053</v>
      </c>
      <c r="N1283" s="16" t="s">
        <v>57</v>
      </c>
      <c r="O1283" s="16" t="s">
        <v>315</v>
      </c>
      <c r="P1283" s="16" t="s">
        <v>329</v>
      </c>
      <c r="Q1283" s="16" t="s">
        <v>329</v>
      </c>
      <c r="R1283" s="16" t="s">
        <v>330</v>
      </c>
      <c r="S1283" s="16" t="s">
        <v>272</v>
      </c>
      <c r="T1283" s="16" t="s">
        <v>2442</v>
      </c>
      <c r="U1283" s="16" t="s">
        <v>73</v>
      </c>
      <c r="V1283" s="16" t="n">
        <v>0.358</v>
      </c>
      <c r="W1283" s="16" t="n">
        <v>0.33</v>
      </c>
      <c r="X1283" s="9" t="n">
        <v>286000</v>
      </c>
      <c r="Y1283" s="9" t="n">
        <v>224000</v>
      </c>
      <c r="Z1283" s="9" t="n">
        <v>216000</v>
      </c>
      <c r="AA1283" s="9" t="n">
        <v>210000</v>
      </c>
      <c r="AB1283" s="9" t="n">
        <v>180000</v>
      </c>
      <c r="AC1283" s="9" t="n">
        <v>188000</v>
      </c>
      <c r="AD1283" s="9" t="n">
        <v>286000</v>
      </c>
      <c r="AE1283" s="9" t="n">
        <v>224000</v>
      </c>
      <c r="AF1283" s="9" t="n">
        <v>216000</v>
      </c>
      <c r="AG1283" s="9" t="n">
        <v>210000</v>
      </c>
      <c r="AH1283" s="9" t="n">
        <v>180000</v>
      </c>
      <c r="AI1283" s="9" t="n">
        <v>188000</v>
      </c>
      <c r="AJ1283" s="9" t="n">
        <f aca="false">X1283*$V1283</f>
        <v>102388</v>
      </c>
      <c r="AK1283" s="9" t="n">
        <f aca="false">Y1283*$V1283</f>
        <v>80192</v>
      </c>
      <c r="AL1283" s="9" t="n">
        <f aca="false">Z1283*$V1283</f>
        <v>77328</v>
      </c>
      <c r="AM1283" s="9" t="n">
        <f aca="false">AA1283*$V1283</f>
        <v>75180</v>
      </c>
      <c r="AN1283" s="9" t="n">
        <f aca="false">AB1283*$V1283</f>
        <v>64440</v>
      </c>
      <c r="AO1283" s="9" t="n">
        <f aca="false">AC1283*$V1283</f>
        <v>67304</v>
      </c>
      <c r="AP1283" s="9" t="n">
        <f aca="false">AD1283*$V1283</f>
        <v>102388</v>
      </c>
      <c r="AQ1283" s="9" t="n">
        <f aca="false">AE1283*$V1283</f>
        <v>80192</v>
      </c>
      <c r="AR1283" s="9" t="n">
        <f aca="false">AF1283*$V1283</f>
        <v>77328</v>
      </c>
      <c r="AS1283" s="9" t="n">
        <f aca="false">AG1283*$V1283</f>
        <v>75180</v>
      </c>
      <c r="AT1283" s="9" t="n">
        <f aca="false">AH1283*$V1283</f>
        <v>64440</v>
      </c>
      <c r="AU1283" s="9" t="n">
        <f aca="false">AI1283*$V1283</f>
        <v>67304</v>
      </c>
      <c r="AV1283" s="9" t="n">
        <f aca="false">SUM(X1283:AI1283)/1000</f>
        <v>2608</v>
      </c>
      <c r="AW1283" s="9" t="n">
        <f aca="false">SUM(AJ1283:AU1283)</f>
        <v>933664</v>
      </c>
      <c r="AX1283" s="9" t="n">
        <f aca="false">IF(D1283="INR",AW1283/88.24,AW1283)/1000000</f>
        <v>0.933664</v>
      </c>
    </row>
    <row r="1284" s="2" customFormat="true" ht="14.25" hidden="false" customHeight="false" outlineLevel="0" collapsed="false">
      <c r="A1284" s="12"/>
      <c r="B1284" s="16" t="n">
        <v>1</v>
      </c>
      <c r="C1284" s="15"/>
      <c r="D1284" s="16" t="s">
        <v>50</v>
      </c>
      <c r="E1284" s="16" t="s">
        <v>51</v>
      </c>
      <c r="F1284" s="16" t="s">
        <v>52</v>
      </c>
      <c r="G1284" s="16"/>
      <c r="H1284" s="16" t="s">
        <v>1132</v>
      </c>
      <c r="I1284" s="16"/>
      <c r="J1284" s="16"/>
      <c r="K1284" s="16"/>
      <c r="L1284" s="16"/>
      <c r="M1284" s="16"/>
      <c r="N1284" s="16" t="s">
        <v>93</v>
      </c>
      <c r="O1284" s="16"/>
      <c r="P1284" s="16"/>
      <c r="Q1284" s="16" t="s">
        <v>69</v>
      </c>
      <c r="R1284" s="16"/>
      <c r="S1284" s="16"/>
      <c r="T1284" s="16" t="s">
        <v>2443</v>
      </c>
      <c r="U1284" s="16"/>
      <c r="V1284" s="16" t="n">
        <v>45</v>
      </c>
      <c r="W1284" s="16"/>
      <c r="X1284" s="16"/>
      <c r="Y1284" s="16" t="n">
        <v>10000</v>
      </c>
      <c r="Z1284" s="16"/>
      <c r="AA1284" s="16"/>
      <c r="AB1284" s="16" t="n">
        <v>10000</v>
      </c>
      <c r="AC1284" s="16"/>
      <c r="AD1284" s="26"/>
      <c r="AE1284" s="16"/>
      <c r="AF1284" s="16"/>
      <c r="AG1284" s="16" t="n">
        <v>10000</v>
      </c>
      <c r="AH1284" s="16"/>
      <c r="AI1284" s="16"/>
      <c r="AJ1284" s="9" t="n">
        <f aca="false">X1284*$V1284</f>
        <v>0</v>
      </c>
      <c r="AK1284" s="9" t="n">
        <f aca="false">Y1284*$V1284</f>
        <v>450000</v>
      </c>
      <c r="AL1284" s="9" t="n">
        <f aca="false">Z1284*$V1284</f>
        <v>0</v>
      </c>
      <c r="AM1284" s="9" t="n">
        <f aca="false">AA1284*$V1284</f>
        <v>0</v>
      </c>
      <c r="AN1284" s="9" t="n">
        <f aca="false">AB1284*$V1284</f>
        <v>450000</v>
      </c>
      <c r="AO1284" s="9" t="n">
        <f aca="false">AC1284*$V1284</f>
        <v>0</v>
      </c>
      <c r="AP1284" s="9" t="n">
        <f aca="false">AD1284*$V1284</f>
        <v>0</v>
      </c>
      <c r="AQ1284" s="9" t="n">
        <f aca="false">AE1284*$V1284</f>
        <v>0</v>
      </c>
      <c r="AR1284" s="9" t="n">
        <f aca="false">AF1284*$V1284</f>
        <v>0</v>
      </c>
      <c r="AS1284" s="9" t="n">
        <f aca="false">AG1284*$V1284</f>
        <v>450000</v>
      </c>
      <c r="AT1284" s="9" t="n">
        <f aca="false">AH1284*$V1284</f>
        <v>0</v>
      </c>
      <c r="AU1284" s="9" t="n">
        <f aca="false">AI1284*$V1284</f>
        <v>0</v>
      </c>
      <c r="AV1284" s="9" t="n">
        <f aca="false">SUM(X1284:AI1284)/1000</f>
        <v>30</v>
      </c>
      <c r="AW1284" s="9" t="n">
        <f aca="false">SUM(AJ1284:AU1284)</f>
        <v>1350000</v>
      </c>
      <c r="AX1284" s="9" t="n">
        <f aca="false">IF(D1284="INR",AW1284/88.24,AW1284)/1000000</f>
        <v>0.0152991840435177</v>
      </c>
    </row>
    <row r="1285" s="2" customFormat="true" ht="16.4" hidden="false" customHeight="false" outlineLevel="0" collapsed="false">
      <c r="A1285" s="35" t="s">
        <v>2444</v>
      </c>
      <c r="B1285" s="9" t="n">
        <v>5</v>
      </c>
      <c r="C1285" s="15"/>
      <c r="D1285" s="16" t="s">
        <v>813</v>
      </c>
      <c r="E1285" s="16" t="s">
        <v>51</v>
      </c>
      <c r="F1285" s="16" t="s">
        <v>312</v>
      </c>
      <c r="G1285" s="16" t="s">
        <v>313</v>
      </c>
      <c r="H1285" s="9" t="s">
        <v>314</v>
      </c>
      <c r="I1285" s="16"/>
      <c r="J1285" s="16"/>
      <c r="K1285" s="9"/>
      <c r="L1285" s="16"/>
      <c r="M1285" s="16"/>
      <c r="N1285" s="16" t="s">
        <v>57</v>
      </c>
      <c r="O1285" s="16" t="s">
        <v>315</v>
      </c>
      <c r="P1285" s="9" t="s">
        <v>69</v>
      </c>
      <c r="Q1285" s="9" t="s">
        <v>69</v>
      </c>
      <c r="R1285" s="9" t="s">
        <v>70</v>
      </c>
      <c r="S1285" s="9" t="s">
        <v>71</v>
      </c>
      <c r="T1285" s="9" t="s">
        <v>2445</v>
      </c>
      <c r="U1285" s="16" t="s">
        <v>73</v>
      </c>
      <c r="V1285" s="36" t="n">
        <v>0.4</v>
      </c>
      <c r="W1285" s="9" t="n">
        <v>0</v>
      </c>
      <c r="X1285" s="22" t="n">
        <v>100000</v>
      </c>
      <c r="Y1285" s="9" t="n">
        <v>100000</v>
      </c>
      <c r="Z1285" s="9" t="n">
        <v>100000</v>
      </c>
      <c r="AA1285" s="9" t="n">
        <v>100000</v>
      </c>
      <c r="AB1285" s="9" t="n">
        <v>100000</v>
      </c>
      <c r="AC1285" s="9" t="n">
        <v>100000</v>
      </c>
      <c r="AD1285" s="23" t="n">
        <v>100000</v>
      </c>
      <c r="AE1285" s="9" t="n">
        <v>100000</v>
      </c>
      <c r="AF1285" s="9" t="n">
        <v>100000</v>
      </c>
      <c r="AG1285" s="9" t="n">
        <v>100000</v>
      </c>
      <c r="AH1285" s="9" t="n">
        <v>100000</v>
      </c>
      <c r="AI1285" s="9" t="n">
        <v>100000</v>
      </c>
      <c r="AJ1285" s="9" t="n">
        <f aca="false">X1285*$V1285</f>
        <v>40000</v>
      </c>
      <c r="AK1285" s="9" t="n">
        <f aca="false">Y1285*$V1285</f>
        <v>40000</v>
      </c>
      <c r="AL1285" s="9" t="n">
        <f aca="false">Z1285*$V1285</f>
        <v>40000</v>
      </c>
      <c r="AM1285" s="9" t="n">
        <f aca="false">AA1285*$V1285</f>
        <v>40000</v>
      </c>
      <c r="AN1285" s="9" t="n">
        <f aca="false">AB1285*$V1285</f>
        <v>40000</v>
      </c>
      <c r="AO1285" s="9" t="n">
        <f aca="false">AC1285*$V1285</f>
        <v>40000</v>
      </c>
      <c r="AP1285" s="9" t="n">
        <f aca="false">AD1285*$V1285</f>
        <v>40000</v>
      </c>
      <c r="AQ1285" s="9" t="n">
        <f aca="false">AE1285*$V1285</f>
        <v>40000</v>
      </c>
      <c r="AR1285" s="9" t="n">
        <f aca="false">AF1285*$V1285</f>
        <v>40000</v>
      </c>
      <c r="AS1285" s="9" t="n">
        <f aca="false">AG1285*$V1285</f>
        <v>40000</v>
      </c>
      <c r="AT1285" s="9" t="n">
        <f aca="false">AH1285*$V1285</f>
        <v>40000</v>
      </c>
      <c r="AU1285" s="9" t="n">
        <f aca="false">AI1285*$V1285</f>
        <v>40000</v>
      </c>
      <c r="AV1285" s="9" t="n">
        <f aca="false">SUM(X1285:AI1285)/1000</f>
        <v>1200</v>
      </c>
      <c r="AW1285" s="9" t="n">
        <f aca="false">SUM(AJ1285:AU1285)</f>
        <v>480000</v>
      </c>
      <c r="AX1285" s="9" t="n">
        <f aca="false">IF(D1285="INR",AW1285/88.24,AW1285)/1000000</f>
        <v>0.48</v>
      </c>
    </row>
    <row r="1286" s="2" customFormat="true" ht="16.4" hidden="false" customHeight="false" outlineLevel="0" collapsed="false">
      <c r="A1286" s="35" t="s">
        <v>2446</v>
      </c>
      <c r="B1286" s="9" t="n">
        <v>5</v>
      </c>
      <c r="C1286" s="15"/>
      <c r="D1286" s="16" t="s">
        <v>102</v>
      </c>
      <c r="E1286" s="16" t="s">
        <v>51</v>
      </c>
      <c r="F1286" s="16" t="s">
        <v>312</v>
      </c>
      <c r="G1286" s="16" t="s">
        <v>313</v>
      </c>
      <c r="H1286" s="9" t="s">
        <v>314</v>
      </c>
      <c r="I1286" s="16" t="s">
        <v>298</v>
      </c>
      <c r="J1286" s="16" t="s">
        <v>1053</v>
      </c>
      <c r="K1286" s="9" t="s">
        <v>314</v>
      </c>
      <c r="L1286" s="16" t="s">
        <v>298</v>
      </c>
      <c r="M1286" s="16" t="s">
        <v>1053</v>
      </c>
      <c r="N1286" s="16" t="s">
        <v>57</v>
      </c>
      <c r="O1286" s="16" t="s">
        <v>315</v>
      </c>
      <c r="P1286" s="9" t="s">
        <v>434</v>
      </c>
      <c r="Q1286" s="9" t="s">
        <v>434</v>
      </c>
      <c r="R1286" s="9" t="s">
        <v>137</v>
      </c>
      <c r="S1286" s="9" t="s">
        <v>272</v>
      </c>
      <c r="T1286" s="9" t="s">
        <v>2447</v>
      </c>
      <c r="U1286" s="16" t="s">
        <v>73</v>
      </c>
      <c r="V1286" s="36" t="n">
        <v>0.165</v>
      </c>
      <c r="W1286" s="9" t="n">
        <v>0.157</v>
      </c>
      <c r="X1286" s="22" t="n">
        <v>66000</v>
      </c>
      <c r="Y1286" s="9" t="n">
        <v>84000</v>
      </c>
      <c r="Z1286" s="9" t="n">
        <v>45000</v>
      </c>
      <c r="AA1286" s="9" t="n">
        <v>68663</v>
      </c>
      <c r="AB1286" s="9" t="n">
        <v>80000</v>
      </c>
      <c r="AC1286" s="9" t="n">
        <v>80000</v>
      </c>
      <c r="AD1286" s="23" t="n">
        <v>66000</v>
      </c>
      <c r="AE1286" s="9" t="n">
        <v>84000</v>
      </c>
      <c r="AF1286" s="9" t="n">
        <v>45000</v>
      </c>
      <c r="AG1286" s="9" t="n">
        <v>68663</v>
      </c>
      <c r="AH1286" s="9" t="n">
        <v>80000</v>
      </c>
      <c r="AI1286" s="9" t="n">
        <v>80000</v>
      </c>
      <c r="AJ1286" s="9" t="n">
        <f aca="false">X1286*$V1286</f>
        <v>10890</v>
      </c>
      <c r="AK1286" s="9" t="n">
        <f aca="false">Y1286*$V1286</f>
        <v>13860</v>
      </c>
      <c r="AL1286" s="9" t="n">
        <f aca="false">Z1286*$V1286</f>
        <v>7425</v>
      </c>
      <c r="AM1286" s="9" t="n">
        <f aca="false">AA1286*$V1286</f>
        <v>11329.395</v>
      </c>
      <c r="AN1286" s="9" t="n">
        <f aca="false">AB1286*$V1286</f>
        <v>13200</v>
      </c>
      <c r="AO1286" s="9" t="n">
        <f aca="false">AC1286*$V1286</f>
        <v>13200</v>
      </c>
      <c r="AP1286" s="9" t="n">
        <f aca="false">AD1286*$V1286</f>
        <v>10890</v>
      </c>
      <c r="AQ1286" s="9" t="n">
        <f aca="false">AE1286*$V1286</f>
        <v>13860</v>
      </c>
      <c r="AR1286" s="9" t="n">
        <f aca="false">AF1286*$V1286</f>
        <v>7425</v>
      </c>
      <c r="AS1286" s="9" t="n">
        <f aca="false">AG1286*$V1286</f>
        <v>11329.395</v>
      </c>
      <c r="AT1286" s="9" t="n">
        <f aca="false">AH1286*$V1286</f>
        <v>13200</v>
      </c>
      <c r="AU1286" s="9" t="n">
        <f aca="false">AI1286*$V1286</f>
        <v>13200</v>
      </c>
      <c r="AV1286" s="9" t="n">
        <f aca="false">SUM(X1286:AI1286)/1000</f>
        <v>847.326</v>
      </c>
      <c r="AW1286" s="9" t="n">
        <f aca="false">SUM(AJ1286:AU1286)</f>
        <v>139808.79</v>
      </c>
      <c r="AX1286" s="9" t="n">
        <f aca="false">IF(D1286="INR",AW1286/88.24,AW1286)/1000000</f>
        <v>0.13980879</v>
      </c>
    </row>
    <row r="1287" s="2" customFormat="true" ht="14.25" hidden="false" customHeight="true" outlineLevel="0" collapsed="false">
      <c r="A1287" s="35" t="s">
        <v>2448</v>
      </c>
      <c r="B1287" s="9" t="n">
        <v>5</v>
      </c>
      <c r="C1287" s="10"/>
      <c r="D1287" s="9" t="s">
        <v>102</v>
      </c>
      <c r="E1287" s="9" t="s">
        <v>51</v>
      </c>
      <c r="F1287" s="9" t="s">
        <v>312</v>
      </c>
      <c r="G1287" s="9" t="s">
        <v>313</v>
      </c>
      <c r="H1287" s="9" t="s">
        <v>314</v>
      </c>
      <c r="I1287" s="9" t="s">
        <v>298</v>
      </c>
      <c r="J1287" s="9" t="s">
        <v>1053</v>
      </c>
      <c r="K1287" s="9"/>
      <c r="L1287" s="9" t="s">
        <v>298</v>
      </c>
      <c r="M1287" s="9" t="s">
        <v>1053</v>
      </c>
      <c r="N1287" s="16" t="s">
        <v>57</v>
      </c>
      <c r="O1287" s="9" t="s">
        <v>315</v>
      </c>
      <c r="P1287" s="9" t="s">
        <v>329</v>
      </c>
      <c r="Q1287" s="9" t="s">
        <v>329</v>
      </c>
      <c r="R1287" s="9" t="s">
        <v>330</v>
      </c>
      <c r="S1287" s="9" t="s">
        <v>272</v>
      </c>
      <c r="T1287" s="9" t="s">
        <v>1486</v>
      </c>
      <c r="U1287" s="9" t="s">
        <v>73</v>
      </c>
      <c r="V1287" s="9" t="n">
        <v>0.17</v>
      </c>
      <c r="W1287" s="9" t="n">
        <v>0.156</v>
      </c>
      <c r="X1287" s="9" t="n">
        <v>47500</v>
      </c>
      <c r="Y1287" s="9" t="n">
        <v>82500</v>
      </c>
      <c r="Z1287" s="9" t="n">
        <v>22500</v>
      </c>
      <c r="AA1287" s="9" t="n">
        <v>55000</v>
      </c>
      <c r="AB1287" s="9"/>
      <c r="AC1287" s="9" t="n">
        <v>72500</v>
      </c>
      <c r="AD1287" s="9" t="n">
        <v>47500</v>
      </c>
      <c r="AE1287" s="9" t="n">
        <v>82500</v>
      </c>
      <c r="AF1287" s="9" t="n">
        <v>22500</v>
      </c>
      <c r="AG1287" s="9" t="n">
        <v>55000</v>
      </c>
      <c r="AH1287" s="9"/>
      <c r="AI1287" s="9" t="n">
        <v>72500</v>
      </c>
      <c r="AJ1287" s="9" t="n">
        <f aca="false">X1287*$V1287</f>
        <v>8075</v>
      </c>
      <c r="AK1287" s="9" t="n">
        <f aca="false">Y1287*$V1287</f>
        <v>14025</v>
      </c>
      <c r="AL1287" s="9" t="n">
        <f aca="false">Z1287*$V1287</f>
        <v>3825</v>
      </c>
      <c r="AM1287" s="9" t="n">
        <f aca="false">AA1287*$V1287</f>
        <v>9350</v>
      </c>
      <c r="AN1287" s="9" t="n">
        <f aca="false">AB1287*$V1287</f>
        <v>0</v>
      </c>
      <c r="AO1287" s="9" t="n">
        <f aca="false">AC1287*$V1287</f>
        <v>12325</v>
      </c>
      <c r="AP1287" s="9" t="n">
        <f aca="false">AD1287*$V1287</f>
        <v>8075</v>
      </c>
      <c r="AQ1287" s="9" t="n">
        <f aca="false">AE1287*$V1287</f>
        <v>14025</v>
      </c>
      <c r="AR1287" s="9" t="n">
        <f aca="false">AF1287*$V1287</f>
        <v>3825</v>
      </c>
      <c r="AS1287" s="9" t="n">
        <f aca="false">AG1287*$V1287</f>
        <v>9350</v>
      </c>
      <c r="AT1287" s="9" t="n">
        <f aca="false">AH1287*$V1287</f>
        <v>0</v>
      </c>
      <c r="AU1287" s="9" t="n">
        <f aca="false">AI1287*$V1287</f>
        <v>12325</v>
      </c>
      <c r="AV1287" s="9" t="n">
        <f aca="false">SUM(X1287:AI1287)/1000</f>
        <v>560</v>
      </c>
      <c r="AW1287" s="9" t="n">
        <f aca="false">SUM(AJ1287:AU1287)</f>
        <v>95200</v>
      </c>
      <c r="AX1287" s="9" t="n">
        <f aca="false">IF(D1287="INR",AW1287/88.24,AW1287)/1000000</f>
        <v>0.0952</v>
      </c>
    </row>
    <row r="1288" s="2" customFormat="true" ht="16.4" hidden="false" customHeight="false" outlineLevel="0" collapsed="false">
      <c r="A1288" s="35" t="s">
        <v>2449</v>
      </c>
      <c r="B1288" s="9" t="n">
        <v>5</v>
      </c>
      <c r="C1288" s="10"/>
      <c r="D1288" s="9" t="s">
        <v>813</v>
      </c>
      <c r="E1288" s="9" t="s">
        <v>51</v>
      </c>
      <c r="F1288" s="9" t="s">
        <v>312</v>
      </c>
      <c r="G1288" s="9" t="s">
        <v>313</v>
      </c>
      <c r="H1288" s="9" t="s">
        <v>314</v>
      </c>
      <c r="I1288" s="9"/>
      <c r="J1288" s="9"/>
      <c r="K1288" s="9"/>
      <c r="L1288" s="9"/>
      <c r="M1288" s="9"/>
      <c r="N1288" s="16" t="s">
        <v>57</v>
      </c>
      <c r="O1288" s="9" t="s">
        <v>315</v>
      </c>
      <c r="P1288" s="9" t="s">
        <v>380</v>
      </c>
      <c r="Q1288" s="9" t="s">
        <v>380</v>
      </c>
      <c r="R1288" s="9" t="s">
        <v>442</v>
      </c>
      <c r="S1288" s="9" t="s">
        <v>443</v>
      </c>
      <c r="T1288" s="9" t="s">
        <v>2450</v>
      </c>
      <c r="U1288" s="9" t="s">
        <v>73</v>
      </c>
      <c r="V1288" s="9" t="n">
        <v>0.23</v>
      </c>
      <c r="W1288" s="9" t="n">
        <v>0.2185</v>
      </c>
      <c r="X1288" s="9" t="n">
        <v>60000</v>
      </c>
      <c r="Y1288" s="9" t="n">
        <v>40000</v>
      </c>
      <c r="Z1288" s="9" t="n">
        <v>6000</v>
      </c>
      <c r="AA1288" s="9" t="n">
        <v>30000</v>
      </c>
      <c r="AB1288" s="9" t="n">
        <v>30000</v>
      </c>
      <c r="AC1288" s="9" t="n">
        <v>30000</v>
      </c>
      <c r="AD1288" s="9" t="n">
        <v>30000</v>
      </c>
      <c r="AE1288" s="9" t="n">
        <v>30000</v>
      </c>
      <c r="AF1288" s="9" t="n">
        <v>30000</v>
      </c>
      <c r="AG1288" s="9" t="n">
        <v>30000</v>
      </c>
      <c r="AH1288" s="9" t="n">
        <v>30000</v>
      </c>
      <c r="AI1288" s="9" t="n">
        <v>30000</v>
      </c>
      <c r="AJ1288" s="9" t="n">
        <f aca="false">X1288*$V1288</f>
        <v>13800</v>
      </c>
      <c r="AK1288" s="9" t="n">
        <f aca="false">Y1288*$V1288</f>
        <v>9200</v>
      </c>
      <c r="AL1288" s="9" t="n">
        <f aca="false">Z1288*$V1288</f>
        <v>1380</v>
      </c>
      <c r="AM1288" s="9" t="n">
        <f aca="false">AA1288*$V1288</f>
        <v>6900</v>
      </c>
      <c r="AN1288" s="9" t="n">
        <f aca="false">AB1288*$V1288</f>
        <v>6900</v>
      </c>
      <c r="AO1288" s="9" t="n">
        <f aca="false">AC1288*$V1288</f>
        <v>6900</v>
      </c>
      <c r="AP1288" s="9" t="n">
        <f aca="false">AD1288*$V1288</f>
        <v>6900</v>
      </c>
      <c r="AQ1288" s="9" t="n">
        <f aca="false">AE1288*$V1288</f>
        <v>6900</v>
      </c>
      <c r="AR1288" s="9" t="n">
        <f aca="false">AF1288*$V1288</f>
        <v>6900</v>
      </c>
      <c r="AS1288" s="9" t="n">
        <f aca="false">AG1288*$V1288</f>
        <v>6900</v>
      </c>
      <c r="AT1288" s="9" t="n">
        <f aca="false">AH1288*$V1288</f>
        <v>6900</v>
      </c>
      <c r="AU1288" s="9" t="n">
        <f aca="false">AI1288*$V1288</f>
        <v>6900</v>
      </c>
      <c r="AV1288" s="9" t="n">
        <f aca="false">SUM(X1288:AI1288)/1000</f>
        <v>376</v>
      </c>
      <c r="AW1288" s="9" t="n">
        <f aca="false">SUM(AJ1288:AU1288)</f>
        <v>86480</v>
      </c>
      <c r="AX1288" s="9" t="n">
        <f aca="false">IF(D1288="INR",AW1288/88.24,AW1288)/1000000</f>
        <v>0.08648</v>
      </c>
    </row>
    <row r="1289" s="2" customFormat="true" ht="16.4" hidden="false" customHeight="false" outlineLevel="0" collapsed="false">
      <c r="A1289" s="35" t="s">
        <v>2451</v>
      </c>
      <c r="B1289" s="9" t="n">
        <v>5</v>
      </c>
      <c r="C1289" s="10"/>
      <c r="D1289" s="9" t="s">
        <v>102</v>
      </c>
      <c r="E1289" s="9" t="s">
        <v>51</v>
      </c>
      <c r="F1289" s="9" t="s">
        <v>312</v>
      </c>
      <c r="G1289" s="9" t="s">
        <v>313</v>
      </c>
      <c r="H1289" s="9" t="s">
        <v>314</v>
      </c>
      <c r="I1289" s="9" t="s">
        <v>298</v>
      </c>
      <c r="J1289" s="9" t="s">
        <v>1053</v>
      </c>
      <c r="K1289" s="9"/>
      <c r="L1289" s="9" t="s">
        <v>298</v>
      </c>
      <c r="M1289" s="9" t="s">
        <v>1053</v>
      </c>
      <c r="N1289" s="16" t="s">
        <v>57</v>
      </c>
      <c r="O1289" s="9" t="s">
        <v>315</v>
      </c>
      <c r="P1289" s="9" t="s">
        <v>2452</v>
      </c>
      <c r="Q1289" s="9" t="s">
        <v>2452</v>
      </c>
      <c r="R1289" s="9" t="s">
        <v>60</v>
      </c>
      <c r="S1289" s="9" t="s">
        <v>61</v>
      </c>
      <c r="T1289" s="9" t="s">
        <v>2453</v>
      </c>
      <c r="U1289" s="9" t="s">
        <v>73</v>
      </c>
      <c r="V1289" s="9" t="n">
        <v>0.21</v>
      </c>
      <c r="W1289" s="9" t="n">
        <v>0.18</v>
      </c>
      <c r="X1289" s="9" t="n">
        <v>17500</v>
      </c>
      <c r="Y1289" s="9" t="n">
        <v>25000</v>
      </c>
      <c r="Z1289" s="9" t="n">
        <v>10000</v>
      </c>
      <c r="AA1289" s="9" t="n">
        <v>25000</v>
      </c>
      <c r="AB1289" s="9"/>
      <c r="AC1289" s="9" t="n">
        <v>27500</v>
      </c>
      <c r="AD1289" s="9" t="n">
        <v>17500</v>
      </c>
      <c r="AE1289" s="9" t="n">
        <v>25000</v>
      </c>
      <c r="AF1289" s="9" t="n">
        <v>10000</v>
      </c>
      <c r="AG1289" s="9" t="n">
        <v>25000</v>
      </c>
      <c r="AH1289" s="9"/>
      <c r="AI1289" s="9" t="n">
        <v>27500</v>
      </c>
      <c r="AJ1289" s="9" t="n">
        <f aca="false">X1289*$V1289</f>
        <v>3675</v>
      </c>
      <c r="AK1289" s="9" t="n">
        <f aca="false">Y1289*$V1289</f>
        <v>5250</v>
      </c>
      <c r="AL1289" s="9" t="n">
        <f aca="false">Z1289*$V1289</f>
        <v>2100</v>
      </c>
      <c r="AM1289" s="9" t="n">
        <f aca="false">AA1289*$V1289</f>
        <v>5250</v>
      </c>
      <c r="AN1289" s="9" t="n">
        <f aca="false">AB1289*$V1289</f>
        <v>0</v>
      </c>
      <c r="AO1289" s="9" t="n">
        <f aca="false">AC1289*$V1289</f>
        <v>5775</v>
      </c>
      <c r="AP1289" s="9" t="n">
        <f aca="false">AD1289*$V1289</f>
        <v>3675</v>
      </c>
      <c r="AQ1289" s="9" t="n">
        <f aca="false">AE1289*$V1289</f>
        <v>5250</v>
      </c>
      <c r="AR1289" s="9" t="n">
        <f aca="false">AF1289*$V1289</f>
        <v>2100</v>
      </c>
      <c r="AS1289" s="9" t="n">
        <f aca="false">AG1289*$V1289</f>
        <v>5250</v>
      </c>
      <c r="AT1289" s="9" t="n">
        <f aca="false">AH1289*$V1289</f>
        <v>0</v>
      </c>
      <c r="AU1289" s="9" t="n">
        <f aca="false">AI1289*$V1289</f>
        <v>5775</v>
      </c>
      <c r="AV1289" s="9" t="n">
        <f aca="false">SUM(X1289:AI1289)/1000</f>
        <v>210</v>
      </c>
      <c r="AW1289" s="9" t="n">
        <f aca="false">SUM(AJ1289:AU1289)</f>
        <v>44100</v>
      </c>
      <c r="AX1289" s="9" t="n">
        <f aca="false">IF(D1289="INR",AW1289/88.24,AW1289)/1000000</f>
        <v>0.0441</v>
      </c>
    </row>
    <row r="1290" s="2" customFormat="true" ht="16.4" hidden="false" customHeight="false" outlineLevel="0" collapsed="false">
      <c r="A1290" s="35" t="s">
        <v>2454</v>
      </c>
      <c r="B1290" s="9" t="n">
        <v>5</v>
      </c>
      <c r="C1290" s="15"/>
      <c r="D1290" s="16" t="s">
        <v>813</v>
      </c>
      <c r="E1290" s="16" t="s">
        <v>51</v>
      </c>
      <c r="F1290" s="16" t="s">
        <v>312</v>
      </c>
      <c r="G1290" s="16" t="s">
        <v>313</v>
      </c>
      <c r="H1290" s="9" t="s">
        <v>314</v>
      </c>
      <c r="I1290" s="16"/>
      <c r="J1290" s="16"/>
      <c r="K1290" s="9"/>
      <c r="L1290" s="16"/>
      <c r="M1290" s="16"/>
      <c r="N1290" s="16" t="s">
        <v>57</v>
      </c>
      <c r="O1290" s="16" t="s">
        <v>315</v>
      </c>
      <c r="P1290" s="9" t="s">
        <v>69</v>
      </c>
      <c r="Q1290" s="16" t="s">
        <v>69</v>
      </c>
      <c r="R1290" s="9" t="s">
        <v>70</v>
      </c>
      <c r="S1290" s="9" t="s">
        <v>71</v>
      </c>
      <c r="T1290" s="9" t="s">
        <v>2455</v>
      </c>
      <c r="U1290" s="16" t="s">
        <v>73</v>
      </c>
      <c r="V1290" s="36" t="n">
        <v>0.95</v>
      </c>
      <c r="W1290" s="9" t="n">
        <v>0.907</v>
      </c>
      <c r="X1290" s="22" t="n">
        <v>10000</v>
      </c>
      <c r="Y1290" s="9" t="n">
        <v>20000</v>
      </c>
      <c r="Z1290" s="9" t="n">
        <v>10000</v>
      </c>
      <c r="AA1290" s="9" t="n">
        <v>10000</v>
      </c>
      <c r="AB1290" s="9" t="n">
        <v>10000</v>
      </c>
      <c r="AC1290" s="9" t="n">
        <v>10000</v>
      </c>
      <c r="AD1290" s="23" t="n">
        <v>10000</v>
      </c>
      <c r="AE1290" s="9" t="n">
        <v>10000</v>
      </c>
      <c r="AF1290" s="9" t="n">
        <v>20000</v>
      </c>
      <c r="AG1290" s="9" t="n">
        <v>10000</v>
      </c>
      <c r="AH1290" s="9" t="n">
        <v>10000</v>
      </c>
      <c r="AI1290" s="9" t="n">
        <v>10000</v>
      </c>
      <c r="AJ1290" s="9" t="n">
        <f aca="false">X1290*$V1290</f>
        <v>9500</v>
      </c>
      <c r="AK1290" s="9" t="n">
        <f aca="false">Y1290*$V1290</f>
        <v>19000</v>
      </c>
      <c r="AL1290" s="9" t="n">
        <f aca="false">Z1290*$V1290</f>
        <v>9500</v>
      </c>
      <c r="AM1290" s="9" t="n">
        <f aca="false">AA1290*$V1290</f>
        <v>9500</v>
      </c>
      <c r="AN1290" s="9" t="n">
        <f aca="false">AB1290*$V1290</f>
        <v>9500</v>
      </c>
      <c r="AO1290" s="9" t="n">
        <f aca="false">AC1290*$V1290</f>
        <v>9500</v>
      </c>
      <c r="AP1290" s="9" t="n">
        <f aca="false">AD1290*$V1290</f>
        <v>9500</v>
      </c>
      <c r="AQ1290" s="9" t="n">
        <f aca="false">AE1290*$V1290</f>
        <v>9500</v>
      </c>
      <c r="AR1290" s="9" t="n">
        <f aca="false">AF1290*$V1290</f>
        <v>19000</v>
      </c>
      <c r="AS1290" s="9" t="n">
        <f aca="false">AG1290*$V1290</f>
        <v>9500</v>
      </c>
      <c r="AT1290" s="9" t="n">
        <f aca="false">AH1290*$V1290</f>
        <v>9500</v>
      </c>
      <c r="AU1290" s="9" t="n">
        <f aca="false">AI1290*$V1290</f>
        <v>9500</v>
      </c>
      <c r="AV1290" s="9" t="n">
        <f aca="false">SUM(X1290:AI1290)/1000</f>
        <v>140</v>
      </c>
      <c r="AW1290" s="9" t="n">
        <f aca="false">SUM(AJ1290:AU1290)</f>
        <v>133000</v>
      </c>
      <c r="AX1290" s="9" t="n">
        <f aca="false">IF(D1290="INR",AW1290/88.24,AW1290)/1000000</f>
        <v>0.133</v>
      </c>
    </row>
    <row r="1291" s="2" customFormat="true" ht="16.4" hidden="false" customHeight="false" outlineLevel="0" collapsed="false">
      <c r="A1291" s="35" t="s">
        <v>2456</v>
      </c>
      <c r="B1291" s="9" t="n">
        <v>5</v>
      </c>
      <c r="C1291" s="10"/>
      <c r="D1291" s="9" t="s">
        <v>813</v>
      </c>
      <c r="E1291" s="9" t="s">
        <v>51</v>
      </c>
      <c r="F1291" s="9" t="s">
        <v>312</v>
      </c>
      <c r="G1291" s="9" t="s">
        <v>313</v>
      </c>
      <c r="H1291" s="9" t="s">
        <v>314</v>
      </c>
      <c r="I1291" s="9"/>
      <c r="J1291" s="9"/>
      <c r="K1291" s="9"/>
      <c r="L1291" s="9"/>
      <c r="M1291" s="9"/>
      <c r="N1291" s="16" t="s">
        <v>57</v>
      </c>
      <c r="O1291" s="9" t="s">
        <v>315</v>
      </c>
      <c r="P1291" s="9" t="s">
        <v>380</v>
      </c>
      <c r="Q1291" s="9" t="s">
        <v>380</v>
      </c>
      <c r="R1291" s="9" t="s">
        <v>442</v>
      </c>
      <c r="S1291" s="9" t="s">
        <v>443</v>
      </c>
      <c r="T1291" s="9" t="s">
        <v>832</v>
      </c>
      <c r="U1291" s="9" t="s">
        <v>73</v>
      </c>
      <c r="V1291" s="9" t="n">
        <v>0.49</v>
      </c>
      <c r="W1291" s="9" t="n">
        <v>0.4655</v>
      </c>
      <c r="X1291" s="9" t="n">
        <v>10000</v>
      </c>
      <c r="Y1291" s="9" t="n">
        <v>10000</v>
      </c>
      <c r="Z1291" s="9" t="n">
        <v>10000</v>
      </c>
      <c r="AA1291" s="9" t="n">
        <v>10000</v>
      </c>
      <c r="AB1291" s="9" t="n">
        <v>10000</v>
      </c>
      <c r="AC1291" s="9" t="n">
        <v>10000</v>
      </c>
      <c r="AD1291" s="9" t="n">
        <v>10000</v>
      </c>
      <c r="AE1291" s="9" t="n">
        <v>10000</v>
      </c>
      <c r="AF1291" s="9" t="n">
        <v>10000</v>
      </c>
      <c r="AG1291" s="9" t="n">
        <v>10000</v>
      </c>
      <c r="AH1291" s="9" t="n">
        <v>10000</v>
      </c>
      <c r="AI1291" s="9" t="n">
        <v>10000</v>
      </c>
      <c r="AJ1291" s="9" t="n">
        <f aca="false">X1291*$V1291</f>
        <v>4900</v>
      </c>
      <c r="AK1291" s="9" t="n">
        <f aca="false">Y1291*$V1291</f>
        <v>4900</v>
      </c>
      <c r="AL1291" s="9" t="n">
        <f aca="false">Z1291*$V1291</f>
        <v>4900</v>
      </c>
      <c r="AM1291" s="9" t="n">
        <f aca="false">AA1291*$V1291</f>
        <v>4900</v>
      </c>
      <c r="AN1291" s="9" t="n">
        <f aca="false">AB1291*$V1291</f>
        <v>4900</v>
      </c>
      <c r="AO1291" s="9" t="n">
        <f aca="false">AC1291*$V1291</f>
        <v>4900</v>
      </c>
      <c r="AP1291" s="9" t="n">
        <f aca="false">AD1291*$V1291</f>
        <v>4900</v>
      </c>
      <c r="AQ1291" s="9" t="n">
        <f aca="false">AE1291*$V1291</f>
        <v>4900</v>
      </c>
      <c r="AR1291" s="9" t="n">
        <f aca="false">AF1291*$V1291</f>
        <v>4900</v>
      </c>
      <c r="AS1291" s="9" t="n">
        <f aca="false">AG1291*$V1291</f>
        <v>4900</v>
      </c>
      <c r="AT1291" s="9" t="n">
        <f aca="false">AH1291*$V1291</f>
        <v>4900</v>
      </c>
      <c r="AU1291" s="9" t="n">
        <f aca="false">AI1291*$V1291</f>
        <v>4900</v>
      </c>
      <c r="AV1291" s="9" t="n">
        <f aca="false">SUM(X1291:AI1291)/1000</f>
        <v>120</v>
      </c>
      <c r="AW1291" s="9" t="n">
        <f aca="false">SUM(AJ1291:AU1291)</f>
        <v>58800</v>
      </c>
      <c r="AX1291" s="9" t="n">
        <f aca="false">IF(D1291="INR",AW1291/88.24,AW1291)/1000000</f>
        <v>0.0588</v>
      </c>
    </row>
    <row r="1292" s="2" customFormat="true" ht="16.4" hidden="false" customHeight="false" outlineLevel="0" collapsed="false">
      <c r="A1292" s="35" t="s">
        <v>2457</v>
      </c>
      <c r="B1292" s="9" t="n">
        <v>5</v>
      </c>
      <c r="C1292" s="10"/>
      <c r="D1292" s="9" t="s">
        <v>102</v>
      </c>
      <c r="E1292" s="9" t="s">
        <v>51</v>
      </c>
      <c r="F1292" s="9" t="s">
        <v>312</v>
      </c>
      <c r="G1292" s="9" t="s">
        <v>313</v>
      </c>
      <c r="H1292" s="9" t="s">
        <v>314</v>
      </c>
      <c r="I1292" s="9" t="s">
        <v>298</v>
      </c>
      <c r="J1292" s="9" t="s">
        <v>1053</v>
      </c>
      <c r="K1292" s="9"/>
      <c r="L1292" s="9" t="s">
        <v>298</v>
      </c>
      <c r="M1292" s="9" t="s">
        <v>1053</v>
      </c>
      <c r="N1292" s="16" t="s">
        <v>57</v>
      </c>
      <c r="O1292" s="9" t="s">
        <v>315</v>
      </c>
      <c r="P1292" s="9" t="s">
        <v>199</v>
      </c>
      <c r="Q1292" s="9" t="s">
        <v>199</v>
      </c>
      <c r="R1292" s="9" t="s">
        <v>377</v>
      </c>
      <c r="S1292" s="9" t="s">
        <v>528</v>
      </c>
      <c r="T1292" s="9" t="s">
        <v>2458</v>
      </c>
      <c r="U1292" s="9" t="s">
        <v>73</v>
      </c>
      <c r="V1292" s="9" t="n">
        <v>0.0061</v>
      </c>
      <c r="W1292" s="9" t="n">
        <v>0.00527</v>
      </c>
      <c r="X1292" s="9"/>
      <c r="Y1292" s="9" t="n">
        <v>15000</v>
      </c>
      <c r="Z1292" s="9"/>
      <c r="AA1292" s="9" t="n">
        <v>15000</v>
      </c>
      <c r="AB1292" s="9" t="n">
        <v>15000</v>
      </c>
      <c r="AC1292" s="9"/>
      <c r="AD1292" s="9"/>
      <c r="AE1292" s="9" t="n">
        <v>15000</v>
      </c>
      <c r="AF1292" s="9"/>
      <c r="AG1292" s="9" t="n">
        <v>15000</v>
      </c>
      <c r="AH1292" s="9" t="n">
        <v>15000</v>
      </c>
      <c r="AI1292" s="9"/>
      <c r="AJ1292" s="9" t="n">
        <f aca="false">X1292*$V1292</f>
        <v>0</v>
      </c>
      <c r="AK1292" s="9" t="n">
        <f aca="false">Y1292*$V1292</f>
        <v>91.5</v>
      </c>
      <c r="AL1292" s="9" t="n">
        <f aca="false">Z1292*$V1292</f>
        <v>0</v>
      </c>
      <c r="AM1292" s="9" t="n">
        <f aca="false">AA1292*$V1292</f>
        <v>91.5</v>
      </c>
      <c r="AN1292" s="9" t="n">
        <f aca="false">AB1292*$V1292</f>
        <v>91.5</v>
      </c>
      <c r="AO1292" s="9" t="n">
        <f aca="false">AC1292*$V1292</f>
        <v>0</v>
      </c>
      <c r="AP1292" s="9" t="n">
        <f aca="false">AD1292*$V1292</f>
        <v>0</v>
      </c>
      <c r="AQ1292" s="9" t="n">
        <f aca="false">AE1292*$V1292</f>
        <v>91.5</v>
      </c>
      <c r="AR1292" s="9" t="n">
        <f aca="false">AF1292*$V1292</f>
        <v>0</v>
      </c>
      <c r="AS1292" s="9" t="n">
        <f aca="false">AG1292*$V1292</f>
        <v>91.5</v>
      </c>
      <c r="AT1292" s="9" t="n">
        <f aca="false">AH1292*$V1292</f>
        <v>91.5</v>
      </c>
      <c r="AU1292" s="9" t="n">
        <f aca="false">AI1292*$V1292</f>
        <v>0</v>
      </c>
      <c r="AV1292" s="9" t="n">
        <f aca="false">SUM(X1292:AI1292)/1000</f>
        <v>90</v>
      </c>
      <c r="AW1292" s="9" t="n">
        <f aca="false">SUM(AJ1292:AU1292)</f>
        <v>549</v>
      </c>
      <c r="AX1292" s="9" t="n">
        <f aca="false">IF(D1292="INR",AW1292/88.24,AW1292)/1000000</f>
        <v>0.000549</v>
      </c>
    </row>
    <row r="1293" s="2" customFormat="true" ht="14.25" hidden="false" customHeight="false" outlineLevel="0" collapsed="false">
      <c r="A1293" s="12" t="s">
        <v>2459</v>
      </c>
      <c r="B1293" s="16" t="n">
        <v>5</v>
      </c>
      <c r="C1293" s="15"/>
      <c r="D1293" s="16" t="s">
        <v>102</v>
      </c>
      <c r="E1293" s="16" t="s">
        <v>51</v>
      </c>
      <c r="F1293" s="16" t="s">
        <v>312</v>
      </c>
      <c r="G1293" s="16" t="s">
        <v>313</v>
      </c>
      <c r="H1293" s="16" t="s">
        <v>314</v>
      </c>
      <c r="I1293" s="16" t="s">
        <v>298</v>
      </c>
      <c r="J1293" s="16" t="s">
        <v>1053</v>
      </c>
      <c r="K1293" s="16"/>
      <c r="L1293" s="16" t="s">
        <v>298</v>
      </c>
      <c r="M1293" s="16" t="s">
        <v>1053</v>
      </c>
      <c r="N1293" s="16" t="s">
        <v>57</v>
      </c>
      <c r="O1293" s="16" t="s">
        <v>315</v>
      </c>
      <c r="P1293" s="16" t="s">
        <v>380</v>
      </c>
      <c r="Q1293" s="16" t="s">
        <v>380</v>
      </c>
      <c r="R1293" s="16" t="s">
        <v>442</v>
      </c>
      <c r="S1293" s="16" t="s">
        <v>443</v>
      </c>
      <c r="T1293" s="16" t="s">
        <v>2460</v>
      </c>
      <c r="U1293" s="16" t="s">
        <v>73</v>
      </c>
      <c r="V1293" s="16" t="n">
        <v>0.39</v>
      </c>
      <c r="W1293" s="16" t="n">
        <v>0.347</v>
      </c>
      <c r="X1293" s="16" t="n">
        <v>13320</v>
      </c>
      <c r="Y1293" s="16" t="n">
        <v>14120</v>
      </c>
      <c r="Z1293" s="16"/>
      <c r="AA1293" s="16" t="n">
        <v>13320</v>
      </c>
      <c r="AB1293" s="16"/>
      <c r="AC1293" s="16"/>
      <c r="AD1293" s="16"/>
      <c r="AE1293" s="26"/>
      <c r="AF1293" s="26" t="n">
        <v>20000</v>
      </c>
      <c r="AG1293" s="16"/>
      <c r="AH1293" s="16"/>
      <c r="AI1293" s="16" t="n">
        <v>20000</v>
      </c>
      <c r="AJ1293" s="9" t="n">
        <f aca="false">X1293*$V1293</f>
        <v>5194.8</v>
      </c>
      <c r="AK1293" s="9" t="n">
        <f aca="false">Y1293*$V1293</f>
        <v>5506.8</v>
      </c>
      <c r="AL1293" s="9" t="n">
        <f aca="false">Z1293*$V1293</f>
        <v>0</v>
      </c>
      <c r="AM1293" s="9" t="n">
        <f aca="false">AA1293*$V1293</f>
        <v>5194.8</v>
      </c>
      <c r="AN1293" s="9" t="n">
        <f aca="false">AB1293*$V1293</f>
        <v>0</v>
      </c>
      <c r="AO1293" s="9" t="n">
        <f aca="false">AC1293*$V1293</f>
        <v>0</v>
      </c>
      <c r="AP1293" s="9" t="n">
        <f aca="false">AD1293*$V1293</f>
        <v>0</v>
      </c>
      <c r="AQ1293" s="9" t="n">
        <f aca="false">AE1293*$V1293</f>
        <v>0</v>
      </c>
      <c r="AR1293" s="9" t="n">
        <f aca="false">AF1293*$V1293</f>
        <v>7800</v>
      </c>
      <c r="AS1293" s="9" t="n">
        <f aca="false">AG1293*$V1293</f>
        <v>0</v>
      </c>
      <c r="AT1293" s="9" t="n">
        <f aca="false">AH1293*$V1293</f>
        <v>0</v>
      </c>
      <c r="AU1293" s="9" t="n">
        <f aca="false">AI1293*$V1293</f>
        <v>7800</v>
      </c>
      <c r="AV1293" s="9" t="n">
        <f aca="false">SUM(X1293:AI1293)/1000</f>
        <v>80.76</v>
      </c>
      <c r="AW1293" s="9" t="n">
        <f aca="false">SUM(AJ1293:AU1293)</f>
        <v>31496.4</v>
      </c>
      <c r="AX1293" s="9" t="n">
        <f aca="false">IF(D1293="INR",AW1293/88.24,AW1293)/1000000</f>
        <v>0.0314964</v>
      </c>
    </row>
    <row r="1294" s="2" customFormat="true" ht="14.25" hidden="false" customHeight="false" outlineLevel="0" collapsed="false">
      <c r="A1294" s="12" t="s">
        <v>2461</v>
      </c>
      <c r="B1294" s="13" t="n">
        <v>5</v>
      </c>
      <c r="C1294" s="14"/>
      <c r="D1294" s="16" t="s">
        <v>102</v>
      </c>
      <c r="E1294" s="16" t="s">
        <v>51</v>
      </c>
      <c r="F1294" s="16" t="s">
        <v>312</v>
      </c>
      <c r="G1294" s="16" t="s">
        <v>313</v>
      </c>
      <c r="H1294" s="16" t="s">
        <v>314</v>
      </c>
      <c r="I1294" s="16" t="s">
        <v>298</v>
      </c>
      <c r="J1294" s="16" t="s">
        <v>1053</v>
      </c>
      <c r="K1294" s="16" t="s">
        <v>314</v>
      </c>
      <c r="L1294" s="16" t="s">
        <v>298</v>
      </c>
      <c r="M1294" s="16" t="s">
        <v>1053</v>
      </c>
      <c r="N1294" s="16" t="s">
        <v>57</v>
      </c>
      <c r="O1294" s="16" t="s">
        <v>315</v>
      </c>
      <c r="P1294" s="16" t="s">
        <v>434</v>
      </c>
      <c r="Q1294" s="16" t="s">
        <v>434</v>
      </c>
      <c r="R1294" s="16" t="s">
        <v>137</v>
      </c>
      <c r="S1294" s="16" t="s">
        <v>272</v>
      </c>
      <c r="T1294" s="16" t="s">
        <v>2462</v>
      </c>
      <c r="U1294" s="16" t="s">
        <v>73</v>
      </c>
      <c r="V1294" s="16" t="n">
        <v>0.39</v>
      </c>
      <c r="W1294" s="16" t="n">
        <v>0.373</v>
      </c>
      <c r="X1294" s="16" t="n">
        <v>3000</v>
      </c>
      <c r="Y1294" s="16" t="n">
        <v>4000</v>
      </c>
      <c r="Z1294" s="16" t="n">
        <v>6000</v>
      </c>
      <c r="AA1294" s="16" t="n">
        <v>9000</v>
      </c>
      <c r="AB1294" s="16" t="n">
        <v>4000</v>
      </c>
      <c r="AC1294" s="16" t="n">
        <v>8000</v>
      </c>
      <c r="AD1294" s="16" t="n">
        <v>3000</v>
      </c>
      <c r="AE1294" s="16" t="n">
        <v>4000</v>
      </c>
      <c r="AF1294" s="16" t="n">
        <v>6000</v>
      </c>
      <c r="AG1294" s="16" t="n">
        <v>9000</v>
      </c>
      <c r="AH1294" s="16" t="n">
        <v>4000</v>
      </c>
      <c r="AI1294" s="16" t="n">
        <v>8000</v>
      </c>
      <c r="AJ1294" s="9" t="n">
        <f aca="false">X1294*$V1294</f>
        <v>1170</v>
      </c>
      <c r="AK1294" s="9" t="n">
        <f aca="false">Y1294*$V1294</f>
        <v>1560</v>
      </c>
      <c r="AL1294" s="9" t="n">
        <f aca="false">Z1294*$V1294</f>
        <v>2340</v>
      </c>
      <c r="AM1294" s="9" t="n">
        <f aca="false">AA1294*$V1294</f>
        <v>3510</v>
      </c>
      <c r="AN1294" s="9" t="n">
        <f aca="false">AB1294*$V1294</f>
        <v>1560</v>
      </c>
      <c r="AO1294" s="9" t="n">
        <f aca="false">AC1294*$V1294</f>
        <v>3120</v>
      </c>
      <c r="AP1294" s="9" t="n">
        <f aca="false">AD1294*$V1294</f>
        <v>1170</v>
      </c>
      <c r="AQ1294" s="9" t="n">
        <f aca="false">AE1294*$V1294</f>
        <v>1560</v>
      </c>
      <c r="AR1294" s="9" t="n">
        <f aca="false">AF1294*$V1294</f>
        <v>2340</v>
      </c>
      <c r="AS1294" s="9" t="n">
        <f aca="false">AG1294*$V1294</f>
        <v>3510</v>
      </c>
      <c r="AT1294" s="9" t="n">
        <f aca="false">AH1294*$V1294</f>
        <v>1560</v>
      </c>
      <c r="AU1294" s="9" t="n">
        <f aca="false">AI1294*$V1294</f>
        <v>3120</v>
      </c>
      <c r="AV1294" s="9" t="n">
        <f aca="false">SUM(X1294:AI1294)/1000</f>
        <v>68</v>
      </c>
      <c r="AW1294" s="9" t="n">
        <f aca="false">SUM(AJ1294:AU1294)</f>
        <v>26520</v>
      </c>
      <c r="AX1294" s="9" t="n">
        <f aca="false">IF(D1294="INR",AW1294/88.24,AW1294)/1000000</f>
        <v>0.02652</v>
      </c>
    </row>
    <row r="1295" s="2" customFormat="true" ht="16.4" hidden="false" customHeight="false" outlineLevel="0" collapsed="false">
      <c r="A1295" s="35" t="s">
        <v>2463</v>
      </c>
      <c r="B1295" s="9" t="n">
        <v>5</v>
      </c>
      <c r="C1295" s="10"/>
      <c r="D1295" s="9" t="s">
        <v>813</v>
      </c>
      <c r="E1295" s="9" t="s">
        <v>51</v>
      </c>
      <c r="F1295" s="9" t="s">
        <v>312</v>
      </c>
      <c r="G1295" s="9" t="s">
        <v>313</v>
      </c>
      <c r="H1295" s="9" t="s">
        <v>314</v>
      </c>
      <c r="I1295" s="9"/>
      <c r="J1295" s="9"/>
      <c r="K1295" s="9"/>
      <c r="L1295" s="9"/>
      <c r="M1295" s="9"/>
      <c r="N1295" s="16" t="s">
        <v>57</v>
      </c>
      <c r="O1295" s="9" t="s">
        <v>315</v>
      </c>
      <c r="P1295" s="9" t="s">
        <v>380</v>
      </c>
      <c r="Q1295" s="9" t="s">
        <v>380</v>
      </c>
      <c r="R1295" s="9" t="s">
        <v>442</v>
      </c>
      <c r="S1295" s="9" t="s">
        <v>443</v>
      </c>
      <c r="T1295" s="9" t="s">
        <v>2464</v>
      </c>
      <c r="U1295" s="9" t="s">
        <v>73</v>
      </c>
      <c r="V1295" s="9" t="n">
        <v>1.93</v>
      </c>
      <c r="W1295" s="9" t="n">
        <v>1.834</v>
      </c>
      <c r="X1295" s="9"/>
      <c r="Y1295" s="9"/>
      <c r="Z1295" s="9" t="n">
        <v>10000</v>
      </c>
      <c r="AA1295" s="9"/>
      <c r="AB1295" s="9"/>
      <c r="AC1295" s="9" t="n">
        <v>10000</v>
      </c>
      <c r="AD1295" s="9"/>
      <c r="AE1295" s="9"/>
      <c r="AF1295" s="9" t="n">
        <v>10000</v>
      </c>
      <c r="AG1295" s="9"/>
      <c r="AH1295" s="9"/>
      <c r="AI1295" s="9" t="n">
        <v>20000</v>
      </c>
      <c r="AJ1295" s="9" t="n">
        <f aca="false">X1295*$V1295</f>
        <v>0</v>
      </c>
      <c r="AK1295" s="9" t="n">
        <f aca="false">Y1295*$V1295</f>
        <v>0</v>
      </c>
      <c r="AL1295" s="9" t="n">
        <f aca="false">Z1295*$V1295</f>
        <v>19300</v>
      </c>
      <c r="AM1295" s="9" t="n">
        <f aca="false">AA1295*$V1295</f>
        <v>0</v>
      </c>
      <c r="AN1295" s="9" t="n">
        <f aca="false">AB1295*$V1295</f>
        <v>0</v>
      </c>
      <c r="AO1295" s="9" t="n">
        <f aca="false">AC1295*$V1295</f>
        <v>19300</v>
      </c>
      <c r="AP1295" s="9" t="n">
        <f aca="false">AD1295*$V1295</f>
        <v>0</v>
      </c>
      <c r="AQ1295" s="9" t="n">
        <f aca="false">AE1295*$V1295</f>
        <v>0</v>
      </c>
      <c r="AR1295" s="9" t="n">
        <f aca="false">AF1295*$V1295</f>
        <v>19300</v>
      </c>
      <c r="AS1295" s="9" t="n">
        <f aca="false">AG1295*$V1295</f>
        <v>0</v>
      </c>
      <c r="AT1295" s="9" t="n">
        <f aca="false">AH1295*$V1295</f>
        <v>0</v>
      </c>
      <c r="AU1295" s="9" t="n">
        <f aca="false">AI1295*$V1295</f>
        <v>38600</v>
      </c>
      <c r="AV1295" s="9" t="n">
        <f aca="false">SUM(X1295:AI1295)/1000</f>
        <v>50</v>
      </c>
      <c r="AW1295" s="9" t="n">
        <f aca="false">SUM(AJ1295:AU1295)</f>
        <v>96500</v>
      </c>
      <c r="AX1295" s="9" t="n">
        <f aca="false">IF(D1295="INR",AW1295/88.24,AW1295)/1000000</f>
        <v>0.0965</v>
      </c>
    </row>
    <row r="1296" s="2" customFormat="true" ht="16.4" hidden="false" customHeight="false" outlineLevel="0" collapsed="false">
      <c r="A1296" s="35" t="s">
        <v>2465</v>
      </c>
      <c r="B1296" s="9" t="n">
        <v>5</v>
      </c>
      <c r="C1296" s="15"/>
      <c r="D1296" s="16" t="s">
        <v>813</v>
      </c>
      <c r="E1296" s="16" t="s">
        <v>51</v>
      </c>
      <c r="F1296" s="16" t="s">
        <v>312</v>
      </c>
      <c r="G1296" s="16" t="s">
        <v>313</v>
      </c>
      <c r="H1296" s="9" t="s">
        <v>314</v>
      </c>
      <c r="I1296" s="16"/>
      <c r="J1296" s="16"/>
      <c r="K1296" s="9"/>
      <c r="L1296" s="16"/>
      <c r="M1296" s="16"/>
      <c r="N1296" s="16" t="s">
        <v>57</v>
      </c>
      <c r="O1296" s="16" t="s">
        <v>315</v>
      </c>
      <c r="P1296" s="9" t="s">
        <v>380</v>
      </c>
      <c r="Q1296" s="9" t="s">
        <v>380</v>
      </c>
      <c r="R1296" s="9" t="s">
        <v>442</v>
      </c>
      <c r="S1296" s="9" t="s">
        <v>443</v>
      </c>
      <c r="T1296" s="9" t="s">
        <v>2466</v>
      </c>
      <c r="U1296" s="16" t="s">
        <v>73</v>
      </c>
      <c r="V1296" s="36" t="n">
        <v>6.62</v>
      </c>
      <c r="W1296" s="9" t="n">
        <v>6.289</v>
      </c>
      <c r="X1296" s="22" t="n">
        <v>4000</v>
      </c>
      <c r="Y1296" s="9" t="n">
        <v>4000</v>
      </c>
      <c r="Z1296" s="9" t="n">
        <v>4000</v>
      </c>
      <c r="AA1296" s="9" t="n">
        <v>4000</v>
      </c>
      <c r="AB1296" s="9" t="n">
        <v>4000</v>
      </c>
      <c r="AC1296" s="9" t="n">
        <v>4000</v>
      </c>
      <c r="AD1296" s="23" t="n">
        <v>4000</v>
      </c>
      <c r="AE1296" s="9" t="n">
        <v>4000</v>
      </c>
      <c r="AF1296" s="9" t="n">
        <v>4000</v>
      </c>
      <c r="AG1296" s="9" t="n">
        <v>4000</v>
      </c>
      <c r="AH1296" s="9" t="n">
        <v>4000</v>
      </c>
      <c r="AI1296" s="9" t="n">
        <v>4000</v>
      </c>
      <c r="AJ1296" s="9" t="n">
        <f aca="false">X1296*$V1296</f>
        <v>26480</v>
      </c>
      <c r="AK1296" s="9" t="n">
        <f aca="false">Y1296*$V1296</f>
        <v>26480</v>
      </c>
      <c r="AL1296" s="9" t="n">
        <f aca="false">Z1296*$V1296</f>
        <v>26480</v>
      </c>
      <c r="AM1296" s="9" t="n">
        <f aca="false">AA1296*$V1296</f>
        <v>26480</v>
      </c>
      <c r="AN1296" s="9" t="n">
        <f aca="false">AB1296*$V1296</f>
        <v>26480</v>
      </c>
      <c r="AO1296" s="9" t="n">
        <f aca="false">AC1296*$V1296</f>
        <v>26480</v>
      </c>
      <c r="AP1296" s="9" t="n">
        <f aca="false">AD1296*$V1296</f>
        <v>26480</v>
      </c>
      <c r="AQ1296" s="9" t="n">
        <f aca="false">AE1296*$V1296</f>
        <v>26480</v>
      </c>
      <c r="AR1296" s="9" t="n">
        <f aca="false">AF1296*$V1296</f>
        <v>26480</v>
      </c>
      <c r="AS1296" s="9" t="n">
        <f aca="false">AG1296*$V1296</f>
        <v>26480</v>
      </c>
      <c r="AT1296" s="9" t="n">
        <f aca="false">AH1296*$V1296</f>
        <v>26480</v>
      </c>
      <c r="AU1296" s="9" t="n">
        <f aca="false">AI1296*$V1296</f>
        <v>26480</v>
      </c>
      <c r="AV1296" s="9" t="n">
        <f aca="false">SUM(X1296:AI1296)/1000</f>
        <v>48</v>
      </c>
      <c r="AW1296" s="9" t="n">
        <f aca="false">SUM(AJ1296:AU1296)</f>
        <v>317760</v>
      </c>
      <c r="AX1296" s="9" t="n">
        <f aca="false">IF(D1296="INR",AW1296/88.24,AW1296)/1000000</f>
        <v>0.31776</v>
      </c>
    </row>
    <row r="1297" s="2" customFormat="true" ht="16.4" hidden="false" customHeight="false" outlineLevel="0" collapsed="false">
      <c r="A1297" s="35" t="s">
        <v>2467</v>
      </c>
      <c r="B1297" s="9" t="n">
        <v>5</v>
      </c>
      <c r="C1297" s="10"/>
      <c r="D1297" s="9" t="s">
        <v>102</v>
      </c>
      <c r="E1297" s="9" t="s">
        <v>51</v>
      </c>
      <c r="F1297" s="9" t="s">
        <v>312</v>
      </c>
      <c r="G1297" s="9" t="s">
        <v>313</v>
      </c>
      <c r="H1297" s="9" t="s">
        <v>314</v>
      </c>
      <c r="I1297" s="9" t="s">
        <v>298</v>
      </c>
      <c r="J1297" s="9" t="s">
        <v>1053</v>
      </c>
      <c r="K1297" s="9"/>
      <c r="L1297" s="9" t="s">
        <v>298</v>
      </c>
      <c r="M1297" s="9" t="s">
        <v>1053</v>
      </c>
      <c r="N1297" s="16" t="s">
        <v>57</v>
      </c>
      <c r="O1297" s="9" t="s">
        <v>315</v>
      </c>
      <c r="P1297" s="9" t="s">
        <v>2452</v>
      </c>
      <c r="Q1297" s="9" t="s">
        <v>2452</v>
      </c>
      <c r="R1297" s="9" t="s">
        <v>60</v>
      </c>
      <c r="S1297" s="9" t="s">
        <v>61</v>
      </c>
      <c r="T1297" s="9" t="s">
        <v>2468</v>
      </c>
      <c r="U1297" s="9" t="s">
        <v>73</v>
      </c>
      <c r="V1297" s="9" t="n">
        <v>0.78</v>
      </c>
      <c r="W1297" s="9" t="n">
        <v>0.675</v>
      </c>
      <c r="X1297" s="9"/>
      <c r="Y1297" s="9"/>
      <c r="Z1297" s="9" t="n">
        <v>2500</v>
      </c>
      <c r="AA1297" s="9" t="n">
        <v>5000</v>
      </c>
      <c r="AB1297" s="9" t="n">
        <v>6000</v>
      </c>
      <c r="AC1297" s="9"/>
      <c r="AD1297" s="9"/>
      <c r="AE1297" s="9"/>
      <c r="AF1297" s="9" t="n">
        <v>2500</v>
      </c>
      <c r="AG1297" s="9" t="n">
        <v>5000</v>
      </c>
      <c r="AH1297" s="9" t="n">
        <v>6000</v>
      </c>
      <c r="AI1297" s="9"/>
      <c r="AJ1297" s="9" t="n">
        <f aca="false">X1297*$V1297</f>
        <v>0</v>
      </c>
      <c r="AK1297" s="9" t="n">
        <f aca="false">Y1297*$V1297</f>
        <v>0</v>
      </c>
      <c r="AL1297" s="9" t="n">
        <f aca="false">Z1297*$V1297</f>
        <v>1950</v>
      </c>
      <c r="AM1297" s="9" t="n">
        <f aca="false">AA1297*$V1297</f>
        <v>3900</v>
      </c>
      <c r="AN1297" s="9" t="n">
        <f aca="false">AB1297*$V1297</f>
        <v>4680</v>
      </c>
      <c r="AO1297" s="9" t="n">
        <f aca="false">AC1297*$V1297</f>
        <v>0</v>
      </c>
      <c r="AP1297" s="9" t="n">
        <f aca="false">AD1297*$V1297</f>
        <v>0</v>
      </c>
      <c r="AQ1297" s="9" t="n">
        <f aca="false">AE1297*$V1297</f>
        <v>0</v>
      </c>
      <c r="AR1297" s="9" t="n">
        <f aca="false">AF1297*$V1297</f>
        <v>1950</v>
      </c>
      <c r="AS1297" s="9" t="n">
        <f aca="false">AG1297*$V1297</f>
        <v>3900</v>
      </c>
      <c r="AT1297" s="9" t="n">
        <f aca="false">AH1297*$V1297</f>
        <v>4680</v>
      </c>
      <c r="AU1297" s="9" t="n">
        <f aca="false">AI1297*$V1297</f>
        <v>0</v>
      </c>
      <c r="AV1297" s="9" t="n">
        <f aca="false">SUM(X1297:AI1297)/1000</f>
        <v>27</v>
      </c>
      <c r="AW1297" s="9" t="n">
        <f aca="false">SUM(AJ1297:AU1297)</f>
        <v>21060</v>
      </c>
      <c r="AX1297" s="9" t="n">
        <f aca="false">IF(D1297="INR",AW1297/88.24,AW1297)/1000000</f>
        <v>0.02106</v>
      </c>
    </row>
    <row r="1298" s="2" customFormat="true" ht="14.25" hidden="false" customHeight="false" outlineLevel="0" collapsed="false">
      <c r="A1298" s="12" t="s">
        <v>2469</v>
      </c>
      <c r="B1298" s="13" t="n">
        <v>5</v>
      </c>
      <c r="C1298" s="14"/>
      <c r="D1298" s="16" t="s">
        <v>813</v>
      </c>
      <c r="E1298" s="16" t="s">
        <v>51</v>
      </c>
      <c r="F1298" s="16" t="s">
        <v>312</v>
      </c>
      <c r="G1298" s="16" t="s">
        <v>313</v>
      </c>
      <c r="H1298" s="16" t="s">
        <v>314</v>
      </c>
      <c r="I1298" s="16"/>
      <c r="J1298" s="16"/>
      <c r="K1298" s="16"/>
      <c r="L1298" s="16"/>
      <c r="M1298" s="16"/>
      <c r="N1298" s="16" t="s">
        <v>57</v>
      </c>
      <c r="O1298" s="16" t="s">
        <v>315</v>
      </c>
      <c r="P1298" s="16" t="s">
        <v>69</v>
      </c>
      <c r="Q1298" s="16" t="s">
        <v>69</v>
      </c>
      <c r="R1298" s="16" t="s">
        <v>70</v>
      </c>
      <c r="S1298" s="16" t="s">
        <v>71</v>
      </c>
      <c r="T1298" s="16" t="s">
        <v>2470</v>
      </c>
      <c r="U1298" s="16" t="s">
        <v>73</v>
      </c>
      <c r="V1298" s="16" t="n">
        <v>1.35</v>
      </c>
      <c r="W1298" s="16" t="n">
        <v>0</v>
      </c>
      <c r="X1298" s="16"/>
      <c r="Y1298" s="16" t="n">
        <v>5000</v>
      </c>
      <c r="Z1298" s="16"/>
      <c r="AA1298" s="16"/>
      <c r="AB1298" s="16" t="n">
        <v>5000</v>
      </c>
      <c r="AC1298" s="16"/>
      <c r="AD1298" s="16"/>
      <c r="AE1298" s="16" t="n">
        <v>5000</v>
      </c>
      <c r="AF1298" s="16"/>
      <c r="AG1298" s="16"/>
      <c r="AH1298" s="16" t="n">
        <v>5000</v>
      </c>
      <c r="AI1298" s="16"/>
      <c r="AJ1298" s="9" t="n">
        <f aca="false">X1298*$V1298</f>
        <v>0</v>
      </c>
      <c r="AK1298" s="9" t="n">
        <f aca="false">Y1298*$V1298</f>
        <v>6750</v>
      </c>
      <c r="AL1298" s="9" t="n">
        <f aca="false">Z1298*$V1298</f>
        <v>0</v>
      </c>
      <c r="AM1298" s="9" t="n">
        <f aca="false">AA1298*$V1298</f>
        <v>0</v>
      </c>
      <c r="AN1298" s="9" t="n">
        <f aca="false">AB1298*$V1298</f>
        <v>6750</v>
      </c>
      <c r="AO1298" s="9" t="n">
        <f aca="false">AC1298*$V1298</f>
        <v>0</v>
      </c>
      <c r="AP1298" s="9" t="n">
        <f aca="false">AD1298*$V1298</f>
        <v>0</v>
      </c>
      <c r="AQ1298" s="9" t="n">
        <f aca="false">AE1298*$V1298</f>
        <v>6750</v>
      </c>
      <c r="AR1298" s="9" t="n">
        <f aca="false">AF1298*$V1298</f>
        <v>0</v>
      </c>
      <c r="AS1298" s="9" t="n">
        <f aca="false">AG1298*$V1298</f>
        <v>0</v>
      </c>
      <c r="AT1298" s="9" t="n">
        <f aca="false">AH1298*$V1298</f>
        <v>6750</v>
      </c>
      <c r="AU1298" s="9" t="n">
        <f aca="false">AI1298*$V1298</f>
        <v>0</v>
      </c>
      <c r="AV1298" s="9" t="n">
        <f aca="false">SUM(X1298:AI1298)/1000</f>
        <v>20</v>
      </c>
      <c r="AW1298" s="9" t="n">
        <f aca="false">SUM(AJ1298:AU1298)</f>
        <v>27000</v>
      </c>
      <c r="AX1298" s="9" t="n">
        <f aca="false">IF(D1298="INR",AW1298/88.24,AW1298)/1000000</f>
        <v>0.027</v>
      </c>
    </row>
    <row r="1299" s="2" customFormat="true" ht="14.25" hidden="false" customHeight="true" outlineLevel="0" collapsed="false">
      <c r="A1299" s="12" t="s">
        <v>2471</v>
      </c>
      <c r="B1299" s="16"/>
      <c r="C1299" s="15"/>
      <c r="D1299" s="16" t="s">
        <v>102</v>
      </c>
      <c r="E1299" s="16" t="s">
        <v>51</v>
      </c>
      <c r="F1299" s="16" t="s">
        <v>312</v>
      </c>
      <c r="G1299" s="16" t="s">
        <v>313</v>
      </c>
      <c r="H1299" s="16" t="s">
        <v>314</v>
      </c>
      <c r="I1299" s="16" t="s">
        <v>298</v>
      </c>
      <c r="J1299" s="16" t="s">
        <v>1053</v>
      </c>
      <c r="K1299" s="16"/>
      <c r="L1299" s="16" t="s">
        <v>298</v>
      </c>
      <c r="M1299" s="16" t="s">
        <v>1053</v>
      </c>
      <c r="N1299" s="16" t="s">
        <v>57</v>
      </c>
      <c r="O1299" s="16" t="s">
        <v>315</v>
      </c>
      <c r="P1299" s="16" t="s">
        <v>329</v>
      </c>
      <c r="Q1299" s="16" t="s">
        <v>329</v>
      </c>
      <c r="R1299" s="16" t="s">
        <v>330</v>
      </c>
      <c r="S1299" s="16" t="s">
        <v>272</v>
      </c>
      <c r="T1299" s="16" t="s">
        <v>2472</v>
      </c>
      <c r="U1299" s="16" t="s">
        <v>73</v>
      </c>
      <c r="V1299" s="16" t="n">
        <v>0.79</v>
      </c>
      <c r="W1299" s="16" t="n">
        <v>0.69</v>
      </c>
      <c r="X1299" s="16"/>
      <c r="Y1299" s="16" t="n">
        <v>4000</v>
      </c>
      <c r="Z1299" s="16" t="n">
        <v>2000</v>
      </c>
      <c r="AA1299" s="16" t="n">
        <v>2000</v>
      </c>
      <c r="AB1299" s="16"/>
      <c r="AC1299" s="16" t="n">
        <v>2000</v>
      </c>
      <c r="AD1299" s="26"/>
      <c r="AE1299" s="26" t="n">
        <v>4000</v>
      </c>
      <c r="AF1299" s="16" t="n">
        <v>2000</v>
      </c>
      <c r="AG1299" s="16" t="n">
        <v>2000</v>
      </c>
      <c r="AH1299" s="16"/>
      <c r="AI1299" s="16" t="n">
        <v>2000</v>
      </c>
      <c r="AJ1299" s="9" t="n">
        <f aca="false">X1299*$V1299</f>
        <v>0</v>
      </c>
      <c r="AK1299" s="9" t="n">
        <f aca="false">Y1299*$V1299</f>
        <v>3160</v>
      </c>
      <c r="AL1299" s="9" t="n">
        <f aca="false">Z1299*$V1299</f>
        <v>1580</v>
      </c>
      <c r="AM1299" s="9" t="n">
        <f aca="false">AA1299*$V1299</f>
        <v>1580</v>
      </c>
      <c r="AN1299" s="9" t="n">
        <f aca="false">AB1299*$V1299</f>
        <v>0</v>
      </c>
      <c r="AO1299" s="9" t="n">
        <f aca="false">AC1299*$V1299</f>
        <v>1580</v>
      </c>
      <c r="AP1299" s="9" t="n">
        <f aca="false">AD1299*$V1299</f>
        <v>0</v>
      </c>
      <c r="AQ1299" s="9" t="n">
        <f aca="false">AE1299*$V1299</f>
        <v>3160</v>
      </c>
      <c r="AR1299" s="9" t="n">
        <f aca="false">AF1299*$V1299</f>
        <v>1580</v>
      </c>
      <c r="AS1299" s="9" t="n">
        <f aca="false">AG1299*$V1299</f>
        <v>1580</v>
      </c>
      <c r="AT1299" s="9" t="n">
        <f aca="false">AH1299*$V1299</f>
        <v>0</v>
      </c>
      <c r="AU1299" s="9" t="n">
        <f aca="false">AI1299*$V1299</f>
        <v>1580</v>
      </c>
      <c r="AV1299" s="9" t="n">
        <f aca="false">SUM(X1299:AI1299)/1000</f>
        <v>20</v>
      </c>
      <c r="AW1299" s="9" t="n">
        <f aca="false">SUM(AJ1299:AU1299)</f>
        <v>15800</v>
      </c>
      <c r="AX1299" s="9" t="n">
        <f aca="false">IF(D1299="INR",AW1299/88.24,AW1299)/1000000</f>
        <v>0.0158</v>
      </c>
    </row>
    <row r="1300" s="2" customFormat="true" ht="14.25" hidden="false" customHeight="false" outlineLevel="0" collapsed="false">
      <c r="A1300" s="12" t="s">
        <v>2473</v>
      </c>
      <c r="B1300" s="16" t="n">
        <v>5</v>
      </c>
      <c r="C1300" s="15"/>
      <c r="D1300" s="16" t="s">
        <v>102</v>
      </c>
      <c r="E1300" s="16" t="s">
        <v>51</v>
      </c>
      <c r="F1300" s="16" t="s">
        <v>312</v>
      </c>
      <c r="G1300" s="16" t="s">
        <v>313</v>
      </c>
      <c r="H1300" s="16" t="s">
        <v>314</v>
      </c>
      <c r="I1300" s="16" t="s">
        <v>298</v>
      </c>
      <c r="J1300" s="16" t="s">
        <v>1053</v>
      </c>
      <c r="K1300" s="16" t="s">
        <v>314</v>
      </c>
      <c r="L1300" s="16" t="s">
        <v>298</v>
      </c>
      <c r="M1300" s="16" t="s">
        <v>1053</v>
      </c>
      <c r="N1300" s="16" t="s">
        <v>57</v>
      </c>
      <c r="O1300" s="16" t="s">
        <v>315</v>
      </c>
      <c r="P1300" s="16" t="s">
        <v>110</v>
      </c>
      <c r="Q1300" s="16" t="s">
        <v>110</v>
      </c>
      <c r="R1300" s="16" t="s">
        <v>137</v>
      </c>
      <c r="S1300" s="16" t="s">
        <v>272</v>
      </c>
      <c r="T1300" s="16" t="s">
        <v>2474</v>
      </c>
      <c r="U1300" s="16" t="s">
        <v>73</v>
      </c>
      <c r="V1300" s="15" t="n">
        <v>0.676</v>
      </c>
      <c r="W1300" s="16" t="n">
        <v>0.636</v>
      </c>
      <c r="X1300" s="16" t="n">
        <v>1500</v>
      </c>
      <c r="Y1300" s="16" t="n">
        <v>3000</v>
      </c>
      <c r="Z1300" s="16"/>
      <c r="AA1300" s="16" t="n">
        <v>1500</v>
      </c>
      <c r="AB1300" s="16"/>
      <c r="AC1300" s="16" t="n">
        <v>3000</v>
      </c>
      <c r="AD1300" s="16" t="n">
        <v>1500</v>
      </c>
      <c r="AE1300" s="16" t="n">
        <v>3000</v>
      </c>
      <c r="AF1300" s="16"/>
      <c r="AG1300" s="16" t="n">
        <v>1500</v>
      </c>
      <c r="AH1300" s="16"/>
      <c r="AI1300" s="16" t="n">
        <v>3000</v>
      </c>
      <c r="AJ1300" s="9" t="n">
        <f aca="false">X1300*$V1300</f>
        <v>1014</v>
      </c>
      <c r="AK1300" s="9" t="n">
        <f aca="false">Y1300*$V1300</f>
        <v>2028</v>
      </c>
      <c r="AL1300" s="9" t="n">
        <f aca="false">Z1300*$V1300</f>
        <v>0</v>
      </c>
      <c r="AM1300" s="9" t="n">
        <f aca="false">AA1300*$V1300</f>
        <v>1014</v>
      </c>
      <c r="AN1300" s="9" t="n">
        <f aca="false">AB1300*$V1300</f>
        <v>0</v>
      </c>
      <c r="AO1300" s="9" t="n">
        <f aca="false">AC1300*$V1300</f>
        <v>2028</v>
      </c>
      <c r="AP1300" s="9" t="n">
        <f aca="false">AD1300*$V1300</f>
        <v>1014</v>
      </c>
      <c r="AQ1300" s="9" t="n">
        <f aca="false">AE1300*$V1300</f>
        <v>2028</v>
      </c>
      <c r="AR1300" s="9" t="n">
        <f aca="false">AF1300*$V1300</f>
        <v>0</v>
      </c>
      <c r="AS1300" s="9" t="n">
        <f aca="false">AG1300*$V1300</f>
        <v>1014</v>
      </c>
      <c r="AT1300" s="9" t="n">
        <f aca="false">AH1300*$V1300</f>
        <v>0</v>
      </c>
      <c r="AU1300" s="9" t="n">
        <f aca="false">AI1300*$V1300</f>
        <v>2028</v>
      </c>
      <c r="AV1300" s="9" t="n">
        <f aca="false">SUM(X1300:AI1300)/1000</f>
        <v>18</v>
      </c>
      <c r="AW1300" s="9" t="n">
        <f aca="false">SUM(AJ1300:AU1300)</f>
        <v>12168</v>
      </c>
      <c r="AX1300" s="9" t="n">
        <f aca="false">IF(D1300="INR",AW1300/88.24,AW1300)/1000000</f>
        <v>0.012168</v>
      </c>
    </row>
    <row r="1301" s="2" customFormat="true" ht="14.25" hidden="false" customHeight="false" outlineLevel="0" collapsed="false">
      <c r="A1301" s="12" t="s">
        <v>2475</v>
      </c>
      <c r="B1301" s="16" t="n">
        <v>5</v>
      </c>
      <c r="C1301" s="15"/>
      <c r="D1301" s="16" t="s">
        <v>813</v>
      </c>
      <c r="E1301" s="16" t="s">
        <v>51</v>
      </c>
      <c r="F1301" s="16" t="s">
        <v>312</v>
      </c>
      <c r="G1301" s="16" t="s">
        <v>313</v>
      </c>
      <c r="H1301" s="16" t="s">
        <v>314</v>
      </c>
      <c r="I1301" s="16"/>
      <c r="J1301" s="16"/>
      <c r="K1301" s="16"/>
      <c r="L1301" s="16"/>
      <c r="M1301" s="16"/>
      <c r="N1301" s="16" t="s">
        <v>57</v>
      </c>
      <c r="O1301" s="16" t="s">
        <v>315</v>
      </c>
      <c r="P1301" s="16" t="s">
        <v>380</v>
      </c>
      <c r="Q1301" s="16" t="s">
        <v>380</v>
      </c>
      <c r="R1301" s="16" t="s">
        <v>442</v>
      </c>
      <c r="S1301" s="16" t="s">
        <v>443</v>
      </c>
      <c r="T1301" s="16" t="s">
        <v>2476</v>
      </c>
      <c r="U1301" s="16" t="s">
        <v>73</v>
      </c>
      <c r="V1301" s="16" t="n">
        <v>0.53</v>
      </c>
      <c r="W1301" s="16" t="n">
        <v>0.5035</v>
      </c>
      <c r="X1301" s="16"/>
      <c r="Y1301" s="16" t="n">
        <v>4000</v>
      </c>
      <c r="Z1301" s="16"/>
      <c r="AA1301" s="26"/>
      <c r="AB1301" s="16" t="n">
        <v>4000</v>
      </c>
      <c r="AC1301" s="26"/>
      <c r="AD1301" s="16"/>
      <c r="AE1301" s="16" t="n">
        <v>4000</v>
      </c>
      <c r="AF1301" s="16"/>
      <c r="AG1301" s="16" t="n">
        <v>4000</v>
      </c>
      <c r="AH1301" s="16"/>
      <c r="AI1301" s="16"/>
      <c r="AJ1301" s="9" t="n">
        <f aca="false">X1301*$V1301</f>
        <v>0</v>
      </c>
      <c r="AK1301" s="9" t="n">
        <f aca="false">Y1301*$V1301</f>
        <v>2120</v>
      </c>
      <c r="AL1301" s="9" t="n">
        <f aca="false">Z1301*$V1301</f>
        <v>0</v>
      </c>
      <c r="AM1301" s="9" t="n">
        <f aca="false">AA1301*$V1301</f>
        <v>0</v>
      </c>
      <c r="AN1301" s="9" t="n">
        <f aca="false">AB1301*$V1301</f>
        <v>2120</v>
      </c>
      <c r="AO1301" s="9" t="n">
        <f aca="false">AC1301*$V1301</f>
        <v>0</v>
      </c>
      <c r="AP1301" s="9" t="n">
        <f aca="false">AD1301*$V1301</f>
        <v>0</v>
      </c>
      <c r="AQ1301" s="9" t="n">
        <f aca="false">AE1301*$V1301</f>
        <v>2120</v>
      </c>
      <c r="AR1301" s="9" t="n">
        <f aca="false">AF1301*$V1301</f>
        <v>0</v>
      </c>
      <c r="AS1301" s="9" t="n">
        <f aca="false">AG1301*$V1301</f>
        <v>2120</v>
      </c>
      <c r="AT1301" s="9" t="n">
        <f aca="false">AH1301*$V1301</f>
        <v>0</v>
      </c>
      <c r="AU1301" s="9" t="n">
        <f aca="false">AI1301*$V1301</f>
        <v>0</v>
      </c>
      <c r="AV1301" s="9" t="n">
        <f aca="false">SUM(X1301:AI1301)/1000</f>
        <v>16</v>
      </c>
      <c r="AW1301" s="9" t="n">
        <f aca="false">SUM(AJ1301:AU1301)</f>
        <v>8480</v>
      </c>
      <c r="AX1301" s="9" t="n">
        <f aca="false">IF(D1301="INR",AW1301/88.24,AW1301)/1000000</f>
        <v>0.00848</v>
      </c>
    </row>
    <row r="1302" s="2" customFormat="true" ht="14.25" hidden="false" customHeight="false" outlineLevel="0" collapsed="false">
      <c r="A1302" s="12" t="s">
        <v>2477</v>
      </c>
      <c r="B1302" s="16" t="n">
        <v>5</v>
      </c>
      <c r="C1302" s="15"/>
      <c r="D1302" s="16" t="s">
        <v>813</v>
      </c>
      <c r="E1302" s="16" t="s">
        <v>51</v>
      </c>
      <c r="F1302" s="16" t="s">
        <v>312</v>
      </c>
      <c r="G1302" s="16" t="s">
        <v>313</v>
      </c>
      <c r="H1302" s="16" t="s">
        <v>314</v>
      </c>
      <c r="I1302" s="16"/>
      <c r="J1302" s="16"/>
      <c r="K1302" s="16"/>
      <c r="L1302" s="16"/>
      <c r="M1302" s="16"/>
      <c r="N1302" s="16" t="s">
        <v>57</v>
      </c>
      <c r="O1302" s="16" t="s">
        <v>315</v>
      </c>
      <c r="P1302" s="16" t="s">
        <v>380</v>
      </c>
      <c r="Q1302" s="16" t="s">
        <v>380</v>
      </c>
      <c r="R1302" s="16" t="s">
        <v>442</v>
      </c>
      <c r="S1302" s="16" t="s">
        <v>443</v>
      </c>
      <c r="T1302" s="16" t="s">
        <v>2478</v>
      </c>
      <c r="U1302" s="16" t="s">
        <v>73</v>
      </c>
      <c r="V1302" s="16" t="n">
        <v>1.89</v>
      </c>
      <c r="W1302" s="16" t="n">
        <v>1.7955</v>
      </c>
      <c r="X1302" s="16"/>
      <c r="Y1302" s="16" t="n">
        <v>3072</v>
      </c>
      <c r="Z1302" s="16"/>
      <c r="AA1302" s="16"/>
      <c r="AB1302" s="16" t="n">
        <v>3072</v>
      </c>
      <c r="AC1302" s="16"/>
      <c r="AD1302" s="16" t="n">
        <v>3072</v>
      </c>
      <c r="AE1302" s="16"/>
      <c r="AF1302" s="16"/>
      <c r="AG1302" s="16"/>
      <c r="AH1302" s="16" t="n">
        <v>3072</v>
      </c>
      <c r="AI1302" s="16"/>
      <c r="AJ1302" s="9" t="n">
        <f aca="false">X1302*$V1302</f>
        <v>0</v>
      </c>
      <c r="AK1302" s="9" t="n">
        <f aca="false">Y1302*$V1302</f>
        <v>5806.08</v>
      </c>
      <c r="AL1302" s="9" t="n">
        <f aca="false">Z1302*$V1302</f>
        <v>0</v>
      </c>
      <c r="AM1302" s="9" t="n">
        <f aca="false">AA1302*$V1302</f>
        <v>0</v>
      </c>
      <c r="AN1302" s="9" t="n">
        <f aca="false">AB1302*$V1302</f>
        <v>5806.08</v>
      </c>
      <c r="AO1302" s="9" t="n">
        <f aca="false">AC1302*$V1302</f>
        <v>0</v>
      </c>
      <c r="AP1302" s="9" t="n">
        <f aca="false">AD1302*$V1302</f>
        <v>5806.08</v>
      </c>
      <c r="AQ1302" s="9" t="n">
        <f aca="false">AE1302*$V1302</f>
        <v>0</v>
      </c>
      <c r="AR1302" s="9" t="n">
        <f aca="false">AF1302*$V1302</f>
        <v>0</v>
      </c>
      <c r="AS1302" s="9" t="n">
        <f aca="false">AG1302*$V1302</f>
        <v>0</v>
      </c>
      <c r="AT1302" s="9" t="n">
        <f aca="false">AH1302*$V1302</f>
        <v>5806.08</v>
      </c>
      <c r="AU1302" s="9" t="n">
        <f aca="false">AI1302*$V1302</f>
        <v>0</v>
      </c>
      <c r="AV1302" s="9" t="n">
        <f aca="false">SUM(X1302:AI1302)/1000</f>
        <v>12.288</v>
      </c>
      <c r="AW1302" s="9" t="n">
        <f aca="false">SUM(AJ1302:AU1302)</f>
        <v>23224.32</v>
      </c>
      <c r="AX1302" s="9" t="n">
        <f aca="false">IF(D1302="INR",AW1302/88.24,AW1302)/1000000</f>
        <v>0.02322432</v>
      </c>
    </row>
    <row r="1303" s="2" customFormat="true" ht="16.4" hidden="false" customHeight="false" outlineLevel="0" collapsed="false">
      <c r="A1303" s="35" t="s">
        <v>2479</v>
      </c>
      <c r="B1303" s="9"/>
      <c r="C1303" s="10"/>
      <c r="D1303" s="9" t="s">
        <v>813</v>
      </c>
      <c r="E1303" s="9" t="s">
        <v>51</v>
      </c>
      <c r="F1303" s="9" t="s">
        <v>312</v>
      </c>
      <c r="G1303" s="9" t="s">
        <v>313</v>
      </c>
      <c r="H1303" s="9" t="s">
        <v>314</v>
      </c>
      <c r="I1303" s="9"/>
      <c r="J1303" s="9"/>
      <c r="K1303" s="9"/>
      <c r="L1303" s="9"/>
      <c r="M1303" s="9"/>
      <c r="N1303" s="16" t="s">
        <v>57</v>
      </c>
      <c r="O1303" s="9" t="s">
        <v>315</v>
      </c>
      <c r="P1303" s="9" t="s">
        <v>69</v>
      </c>
      <c r="Q1303" s="9" t="s">
        <v>69</v>
      </c>
      <c r="R1303" s="9" t="s">
        <v>70</v>
      </c>
      <c r="S1303" s="9" t="s">
        <v>71</v>
      </c>
      <c r="T1303" s="9" t="s">
        <v>2480</v>
      </c>
      <c r="U1303" s="9" t="s">
        <v>73</v>
      </c>
      <c r="V1303" s="9" t="n">
        <v>1.58</v>
      </c>
      <c r="W1303" s="9" t="n">
        <v>1.525</v>
      </c>
      <c r="X1303" s="9"/>
      <c r="Y1303" s="9" t="n">
        <v>3000</v>
      </c>
      <c r="Z1303" s="9"/>
      <c r="AA1303" s="9"/>
      <c r="AB1303" s="9" t="n">
        <v>3000</v>
      </c>
      <c r="AC1303" s="9"/>
      <c r="AD1303" s="9"/>
      <c r="AE1303" s="9" t="n">
        <v>3000</v>
      </c>
      <c r="AF1303" s="9"/>
      <c r="AG1303" s="9"/>
      <c r="AH1303" s="9" t="n">
        <v>3000</v>
      </c>
      <c r="AI1303" s="9"/>
      <c r="AJ1303" s="9" t="n">
        <f aca="false">X1303*$V1303</f>
        <v>0</v>
      </c>
      <c r="AK1303" s="9" t="n">
        <f aca="false">Y1303*$V1303</f>
        <v>4740</v>
      </c>
      <c r="AL1303" s="9" t="n">
        <f aca="false">Z1303*$V1303</f>
        <v>0</v>
      </c>
      <c r="AM1303" s="9" t="n">
        <f aca="false">AA1303*$V1303</f>
        <v>0</v>
      </c>
      <c r="AN1303" s="9" t="n">
        <f aca="false">AB1303*$V1303</f>
        <v>4740</v>
      </c>
      <c r="AO1303" s="9" t="n">
        <f aca="false">AC1303*$V1303</f>
        <v>0</v>
      </c>
      <c r="AP1303" s="9" t="n">
        <f aca="false">AD1303*$V1303</f>
        <v>0</v>
      </c>
      <c r="AQ1303" s="9" t="n">
        <f aca="false">AE1303*$V1303</f>
        <v>4740</v>
      </c>
      <c r="AR1303" s="9" t="n">
        <f aca="false">AF1303*$V1303</f>
        <v>0</v>
      </c>
      <c r="AS1303" s="9" t="n">
        <f aca="false">AG1303*$V1303</f>
        <v>0</v>
      </c>
      <c r="AT1303" s="9" t="n">
        <f aca="false">AH1303*$V1303</f>
        <v>4740</v>
      </c>
      <c r="AU1303" s="9" t="n">
        <f aca="false">AI1303*$V1303</f>
        <v>0</v>
      </c>
      <c r="AV1303" s="9" t="n">
        <f aca="false">SUM(X1303:AI1303)/1000</f>
        <v>12</v>
      </c>
      <c r="AW1303" s="9" t="n">
        <f aca="false">SUM(AJ1303:AU1303)</f>
        <v>18960</v>
      </c>
      <c r="AX1303" s="9" t="n">
        <f aca="false">IF(D1303="INR",AW1303/88.24,AW1303)/1000000</f>
        <v>0.01896</v>
      </c>
    </row>
    <row r="1304" s="2" customFormat="true" ht="14.25" hidden="false" customHeight="false" outlineLevel="0" collapsed="false">
      <c r="A1304" s="12" t="s">
        <v>2481</v>
      </c>
      <c r="B1304" s="16"/>
      <c r="C1304" s="15"/>
      <c r="D1304" s="16" t="s">
        <v>813</v>
      </c>
      <c r="E1304" s="16" t="s">
        <v>51</v>
      </c>
      <c r="F1304" s="16" t="s">
        <v>312</v>
      </c>
      <c r="G1304" s="16" t="s">
        <v>313</v>
      </c>
      <c r="H1304" s="16" t="s">
        <v>314</v>
      </c>
      <c r="I1304" s="16"/>
      <c r="J1304" s="16"/>
      <c r="K1304" s="16"/>
      <c r="L1304" s="16"/>
      <c r="M1304" s="16"/>
      <c r="N1304" s="16" t="s">
        <v>57</v>
      </c>
      <c r="O1304" s="16" t="s">
        <v>315</v>
      </c>
      <c r="P1304" s="16" t="s">
        <v>69</v>
      </c>
      <c r="Q1304" s="16" t="s">
        <v>69</v>
      </c>
      <c r="R1304" s="16" t="s">
        <v>70</v>
      </c>
      <c r="S1304" s="16" t="s">
        <v>71</v>
      </c>
      <c r="T1304" s="16" t="s">
        <v>2482</v>
      </c>
      <c r="U1304" s="16" t="s">
        <v>73</v>
      </c>
      <c r="V1304" s="16" t="n">
        <v>1.38</v>
      </c>
      <c r="W1304" s="16" t="n">
        <v>1.332</v>
      </c>
      <c r="X1304" s="16"/>
      <c r="Y1304" s="16"/>
      <c r="Z1304" s="16"/>
      <c r="AA1304" s="16"/>
      <c r="AB1304" s="16"/>
      <c r="AC1304" s="16" t="n">
        <v>5000</v>
      </c>
      <c r="AD1304" s="16"/>
      <c r="AE1304" s="16"/>
      <c r="AF1304" s="16"/>
      <c r="AG1304" s="16"/>
      <c r="AH1304" s="16"/>
      <c r="AI1304" s="16" t="n">
        <v>5000</v>
      </c>
      <c r="AJ1304" s="9" t="n">
        <f aca="false">X1304*$V1304</f>
        <v>0</v>
      </c>
      <c r="AK1304" s="9" t="n">
        <f aca="false">Y1304*$V1304</f>
        <v>0</v>
      </c>
      <c r="AL1304" s="9" t="n">
        <f aca="false">Z1304*$V1304</f>
        <v>0</v>
      </c>
      <c r="AM1304" s="9" t="n">
        <f aca="false">AA1304*$V1304</f>
        <v>0</v>
      </c>
      <c r="AN1304" s="9" t="n">
        <f aca="false">AB1304*$V1304</f>
        <v>0</v>
      </c>
      <c r="AO1304" s="9" t="n">
        <f aca="false">AC1304*$V1304</f>
        <v>6900</v>
      </c>
      <c r="AP1304" s="9" t="n">
        <f aca="false">AD1304*$V1304</f>
        <v>0</v>
      </c>
      <c r="AQ1304" s="9" t="n">
        <f aca="false">AE1304*$V1304</f>
        <v>0</v>
      </c>
      <c r="AR1304" s="9" t="n">
        <f aca="false">AF1304*$V1304</f>
        <v>0</v>
      </c>
      <c r="AS1304" s="9" t="n">
        <f aca="false">AG1304*$V1304</f>
        <v>0</v>
      </c>
      <c r="AT1304" s="9" t="n">
        <f aca="false">AH1304*$V1304</f>
        <v>0</v>
      </c>
      <c r="AU1304" s="9" t="n">
        <f aca="false">AI1304*$V1304</f>
        <v>6900</v>
      </c>
      <c r="AV1304" s="9" t="n">
        <f aca="false">SUM(X1304:AI1304)/1000</f>
        <v>10</v>
      </c>
      <c r="AW1304" s="9" t="n">
        <f aca="false">SUM(AJ1304:AU1304)</f>
        <v>13800</v>
      </c>
      <c r="AX1304" s="9" t="n">
        <f aca="false">IF(D1304="INR",AW1304/88.24,AW1304)/1000000</f>
        <v>0.0138</v>
      </c>
    </row>
    <row r="1305" s="2" customFormat="true" ht="14.25" hidden="false" customHeight="false" outlineLevel="0" collapsed="false">
      <c r="A1305" s="12" t="s">
        <v>2483</v>
      </c>
      <c r="B1305" s="16" t="n">
        <v>5</v>
      </c>
      <c r="C1305" s="15"/>
      <c r="D1305" s="16" t="s">
        <v>102</v>
      </c>
      <c r="E1305" s="16" t="s">
        <v>51</v>
      </c>
      <c r="F1305" s="16" t="s">
        <v>312</v>
      </c>
      <c r="G1305" s="16" t="s">
        <v>313</v>
      </c>
      <c r="H1305" s="16" t="s">
        <v>314</v>
      </c>
      <c r="I1305" s="16" t="s">
        <v>298</v>
      </c>
      <c r="J1305" s="16" t="s">
        <v>1053</v>
      </c>
      <c r="K1305" s="16"/>
      <c r="L1305" s="16" t="s">
        <v>298</v>
      </c>
      <c r="M1305" s="16" t="s">
        <v>1053</v>
      </c>
      <c r="N1305" s="16" t="s">
        <v>57</v>
      </c>
      <c r="O1305" s="16" t="s">
        <v>315</v>
      </c>
      <c r="P1305" s="16" t="s">
        <v>380</v>
      </c>
      <c r="Q1305" s="16" t="s">
        <v>380</v>
      </c>
      <c r="R1305" s="16" t="s">
        <v>442</v>
      </c>
      <c r="S1305" s="16" t="s">
        <v>443</v>
      </c>
      <c r="T1305" s="16" t="s">
        <v>2484</v>
      </c>
      <c r="U1305" s="16" t="s">
        <v>73</v>
      </c>
      <c r="V1305" s="16" t="n">
        <v>0.56</v>
      </c>
      <c r="W1305" s="16" t="n">
        <v>0.456</v>
      </c>
      <c r="X1305" s="22"/>
      <c r="Y1305" s="22"/>
      <c r="Z1305" s="22"/>
      <c r="AA1305" s="22"/>
      <c r="AB1305" s="22"/>
      <c r="AC1305" s="22" t="n">
        <v>5000</v>
      </c>
      <c r="AD1305" s="22"/>
      <c r="AE1305" s="22"/>
      <c r="AF1305" s="22"/>
      <c r="AG1305" s="22"/>
      <c r="AH1305" s="22"/>
      <c r="AI1305" s="22" t="n">
        <v>5000</v>
      </c>
      <c r="AJ1305" s="9" t="n">
        <f aca="false">X1305*$V1305</f>
        <v>0</v>
      </c>
      <c r="AK1305" s="9" t="n">
        <f aca="false">Y1305*$V1305</f>
        <v>0</v>
      </c>
      <c r="AL1305" s="9" t="n">
        <f aca="false">Z1305*$V1305</f>
        <v>0</v>
      </c>
      <c r="AM1305" s="9" t="n">
        <f aca="false">AA1305*$V1305</f>
        <v>0</v>
      </c>
      <c r="AN1305" s="9" t="n">
        <f aca="false">AB1305*$V1305</f>
        <v>0</v>
      </c>
      <c r="AO1305" s="9" t="n">
        <f aca="false">AC1305*$V1305</f>
        <v>2800</v>
      </c>
      <c r="AP1305" s="9" t="n">
        <f aca="false">AD1305*$V1305</f>
        <v>0</v>
      </c>
      <c r="AQ1305" s="9" t="n">
        <f aca="false">AE1305*$V1305</f>
        <v>0</v>
      </c>
      <c r="AR1305" s="9" t="n">
        <f aca="false">AF1305*$V1305</f>
        <v>0</v>
      </c>
      <c r="AS1305" s="9" t="n">
        <f aca="false">AG1305*$V1305</f>
        <v>0</v>
      </c>
      <c r="AT1305" s="9" t="n">
        <f aca="false">AH1305*$V1305</f>
        <v>0</v>
      </c>
      <c r="AU1305" s="9" t="n">
        <f aca="false">AI1305*$V1305</f>
        <v>2800</v>
      </c>
      <c r="AV1305" s="9" t="n">
        <f aca="false">SUM(X1305:AI1305)/1000</f>
        <v>10</v>
      </c>
      <c r="AW1305" s="9" t="n">
        <f aca="false">SUM(AJ1305:AU1305)</f>
        <v>5600</v>
      </c>
      <c r="AX1305" s="9" t="n">
        <f aca="false">IF(D1305="INR",AW1305/88.24,AW1305)/1000000</f>
        <v>0.0056</v>
      </c>
    </row>
    <row r="1306" s="2" customFormat="true" ht="14.25" hidden="false" customHeight="false" outlineLevel="0" collapsed="false">
      <c r="A1306" s="12" t="s">
        <v>2485</v>
      </c>
      <c r="B1306" s="16" t="n">
        <v>5</v>
      </c>
      <c r="C1306" s="15"/>
      <c r="D1306" s="16" t="s">
        <v>102</v>
      </c>
      <c r="E1306" s="16" t="s">
        <v>51</v>
      </c>
      <c r="F1306" s="16" t="s">
        <v>312</v>
      </c>
      <c r="G1306" s="16" t="s">
        <v>313</v>
      </c>
      <c r="H1306" s="16" t="s">
        <v>314</v>
      </c>
      <c r="I1306" s="16" t="s">
        <v>298</v>
      </c>
      <c r="J1306" s="16" t="s">
        <v>1053</v>
      </c>
      <c r="K1306" s="16"/>
      <c r="L1306" s="16" t="s">
        <v>298</v>
      </c>
      <c r="M1306" s="16" t="s">
        <v>1053</v>
      </c>
      <c r="N1306" s="16" t="s">
        <v>57</v>
      </c>
      <c r="O1306" s="16" t="s">
        <v>315</v>
      </c>
      <c r="P1306" s="16" t="s">
        <v>380</v>
      </c>
      <c r="Q1306" s="16" t="s">
        <v>380</v>
      </c>
      <c r="R1306" s="16" t="s">
        <v>442</v>
      </c>
      <c r="S1306" s="16" t="s">
        <v>443</v>
      </c>
      <c r="T1306" s="16" t="s">
        <v>2486</v>
      </c>
      <c r="U1306" s="16" t="s">
        <v>73</v>
      </c>
      <c r="V1306" s="16" t="n">
        <v>0.49</v>
      </c>
      <c r="W1306" s="16" t="n">
        <v>0.399</v>
      </c>
      <c r="X1306" s="22"/>
      <c r="Y1306" s="22"/>
      <c r="Z1306" s="22"/>
      <c r="AA1306" s="22"/>
      <c r="AB1306" s="22"/>
      <c r="AC1306" s="22" t="n">
        <v>5000</v>
      </c>
      <c r="AD1306" s="22"/>
      <c r="AE1306" s="22"/>
      <c r="AF1306" s="22"/>
      <c r="AG1306" s="22"/>
      <c r="AH1306" s="22"/>
      <c r="AI1306" s="22" t="n">
        <v>5000</v>
      </c>
      <c r="AJ1306" s="9" t="n">
        <f aca="false">X1306*$V1306</f>
        <v>0</v>
      </c>
      <c r="AK1306" s="9" t="n">
        <f aca="false">Y1306*$V1306</f>
        <v>0</v>
      </c>
      <c r="AL1306" s="9" t="n">
        <f aca="false">Z1306*$V1306</f>
        <v>0</v>
      </c>
      <c r="AM1306" s="9" t="n">
        <f aca="false">AA1306*$V1306</f>
        <v>0</v>
      </c>
      <c r="AN1306" s="9" t="n">
        <f aca="false">AB1306*$V1306</f>
        <v>0</v>
      </c>
      <c r="AO1306" s="9" t="n">
        <f aca="false">AC1306*$V1306</f>
        <v>2450</v>
      </c>
      <c r="AP1306" s="9" t="n">
        <f aca="false">AD1306*$V1306</f>
        <v>0</v>
      </c>
      <c r="AQ1306" s="9" t="n">
        <f aca="false">AE1306*$V1306</f>
        <v>0</v>
      </c>
      <c r="AR1306" s="9" t="n">
        <f aca="false">AF1306*$V1306</f>
        <v>0</v>
      </c>
      <c r="AS1306" s="9" t="n">
        <f aca="false">AG1306*$V1306</f>
        <v>0</v>
      </c>
      <c r="AT1306" s="9" t="n">
        <f aca="false">AH1306*$V1306</f>
        <v>0</v>
      </c>
      <c r="AU1306" s="9" t="n">
        <f aca="false">AI1306*$V1306</f>
        <v>2450</v>
      </c>
      <c r="AV1306" s="9" t="n">
        <f aca="false">SUM(X1306:AI1306)/1000</f>
        <v>10</v>
      </c>
      <c r="AW1306" s="9" t="n">
        <f aca="false">SUM(AJ1306:AU1306)</f>
        <v>4900</v>
      </c>
      <c r="AX1306" s="9" t="n">
        <f aca="false">IF(D1306="INR",AW1306/88.24,AW1306)/1000000</f>
        <v>0.0049</v>
      </c>
    </row>
    <row r="1307" s="2" customFormat="true" ht="14.25" hidden="false" customHeight="false" outlineLevel="0" collapsed="false">
      <c r="A1307" s="9" t="s">
        <v>2487</v>
      </c>
      <c r="B1307" s="9" t="n">
        <v>5</v>
      </c>
      <c r="C1307" s="15"/>
      <c r="D1307" s="16" t="s">
        <v>102</v>
      </c>
      <c r="E1307" s="16" t="s">
        <v>51</v>
      </c>
      <c r="F1307" s="16" t="s">
        <v>312</v>
      </c>
      <c r="G1307" s="16" t="s">
        <v>313</v>
      </c>
      <c r="H1307" s="16" t="s">
        <v>314</v>
      </c>
      <c r="I1307" s="16" t="s">
        <v>298</v>
      </c>
      <c r="J1307" s="16" t="s">
        <v>1053</v>
      </c>
      <c r="K1307" s="16" t="s">
        <v>314</v>
      </c>
      <c r="L1307" s="16" t="s">
        <v>298</v>
      </c>
      <c r="M1307" s="16" t="s">
        <v>1053</v>
      </c>
      <c r="N1307" s="16" t="s">
        <v>57</v>
      </c>
      <c r="O1307" s="16" t="s">
        <v>315</v>
      </c>
      <c r="P1307" s="9" t="s">
        <v>380</v>
      </c>
      <c r="Q1307" s="9" t="s">
        <v>380</v>
      </c>
      <c r="R1307" s="16" t="s">
        <v>442</v>
      </c>
      <c r="S1307" s="16" t="s">
        <v>443</v>
      </c>
      <c r="T1307" s="9" t="s">
        <v>2488</v>
      </c>
      <c r="U1307" s="16" t="s">
        <v>73</v>
      </c>
      <c r="V1307" s="9" t="n">
        <v>0.26</v>
      </c>
      <c r="W1307" s="9" t="n">
        <v>0.247</v>
      </c>
      <c r="X1307" s="22"/>
      <c r="Y1307" s="9"/>
      <c r="Z1307" s="9"/>
      <c r="AA1307" s="9"/>
      <c r="AB1307" s="9"/>
      <c r="AC1307" s="9" t="n">
        <v>5000</v>
      </c>
      <c r="AD1307" s="9"/>
      <c r="AE1307" s="9"/>
      <c r="AF1307" s="9"/>
      <c r="AG1307" s="9"/>
      <c r="AH1307" s="9"/>
      <c r="AI1307" s="9" t="n">
        <v>5000</v>
      </c>
      <c r="AJ1307" s="9" t="n">
        <f aca="false">X1307*$V1307</f>
        <v>0</v>
      </c>
      <c r="AK1307" s="9" t="n">
        <f aca="false">Y1307*$V1307</f>
        <v>0</v>
      </c>
      <c r="AL1307" s="9" t="n">
        <f aca="false">Z1307*$V1307</f>
        <v>0</v>
      </c>
      <c r="AM1307" s="9" t="n">
        <f aca="false">AA1307*$V1307</f>
        <v>0</v>
      </c>
      <c r="AN1307" s="9" t="n">
        <f aca="false">AB1307*$V1307</f>
        <v>0</v>
      </c>
      <c r="AO1307" s="9" t="n">
        <f aca="false">AC1307*$V1307</f>
        <v>1300</v>
      </c>
      <c r="AP1307" s="9" t="n">
        <f aca="false">AD1307*$V1307</f>
        <v>0</v>
      </c>
      <c r="AQ1307" s="9" t="n">
        <f aca="false">AE1307*$V1307</f>
        <v>0</v>
      </c>
      <c r="AR1307" s="9" t="n">
        <f aca="false">AF1307*$V1307</f>
        <v>0</v>
      </c>
      <c r="AS1307" s="9" t="n">
        <f aca="false">AG1307*$V1307</f>
        <v>0</v>
      </c>
      <c r="AT1307" s="9" t="n">
        <f aca="false">AH1307*$V1307</f>
        <v>0</v>
      </c>
      <c r="AU1307" s="9" t="n">
        <f aca="false">AI1307*$V1307</f>
        <v>1300</v>
      </c>
      <c r="AV1307" s="9" t="n">
        <f aca="false">SUM(X1307:AI1307)/1000</f>
        <v>10</v>
      </c>
      <c r="AW1307" s="9" t="n">
        <f aca="false">SUM(AJ1307:AU1307)</f>
        <v>2600</v>
      </c>
      <c r="AX1307" s="9" t="n">
        <f aca="false">IF(D1307="INR",AW1307/88.24,AW1307)/1000000</f>
        <v>0.0026</v>
      </c>
    </row>
    <row r="1308" s="2" customFormat="true" ht="14.25" hidden="false" customHeight="false" outlineLevel="0" collapsed="false">
      <c r="A1308" s="9" t="s">
        <v>2489</v>
      </c>
      <c r="B1308" s="9"/>
      <c r="C1308" s="10"/>
      <c r="D1308" s="9" t="s">
        <v>813</v>
      </c>
      <c r="E1308" s="9" t="s">
        <v>51</v>
      </c>
      <c r="F1308" s="9" t="s">
        <v>312</v>
      </c>
      <c r="G1308" s="9" t="s">
        <v>313</v>
      </c>
      <c r="H1308" s="9" t="s">
        <v>314</v>
      </c>
      <c r="I1308" s="9"/>
      <c r="J1308" s="9"/>
      <c r="K1308" s="9"/>
      <c r="L1308" s="9"/>
      <c r="M1308" s="9"/>
      <c r="N1308" s="16" t="s">
        <v>57</v>
      </c>
      <c r="O1308" s="9" t="s">
        <v>315</v>
      </c>
      <c r="P1308" s="9" t="s">
        <v>69</v>
      </c>
      <c r="Q1308" s="9" t="s">
        <v>69</v>
      </c>
      <c r="R1308" s="9" t="s">
        <v>70</v>
      </c>
      <c r="S1308" s="9" t="s">
        <v>71</v>
      </c>
      <c r="T1308" s="61" t="s">
        <v>2490</v>
      </c>
      <c r="U1308" s="9" t="s">
        <v>63</v>
      </c>
      <c r="V1308" s="9" t="n">
        <v>0.126</v>
      </c>
      <c r="W1308" s="9" t="n">
        <v>0.1197</v>
      </c>
      <c r="X1308" s="9"/>
      <c r="Y1308" s="9"/>
      <c r="Z1308" s="9"/>
      <c r="AA1308" s="9"/>
      <c r="AB1308" s="9"/>
      <c r="AC1308" s="9" t="n">
        <v>5000</v>
      </c>
      <c r="AD1308" s="9"/>
      <c r="AE1308" s="9"/>
      <c r="AF1308" s="9"/>
      <c r="AG1308" s="9"/>
      <c r="AH1308" s="9"/>
      <c r="AI1308" s="9" t="n">
        <v>5000</v>
      </c>
      <c r="AJ1308" s="9" t="n">
        <f aca="false">X1308*$V1308</f>
        <v>0</v>
      </c>
      <c r="AK1308" s="9" t="n">
        <f aca="false">Y1308*$V1308</f>
        <v>0</v>
      </c>
      <c r="AL1308" s="9" t="n">
        <f aca="false">Z1308*$V1308</f>
        <v>0</v>
      </c>
      <c r="AM1308" s="9" t="n">
        <f aca="false">AA1308*$V1308</f>
        <v>0</v>
      </c>
      <c r="AN1308" s="9" t="n">
        <f aca="false">AB1308*$V1308</f>
        <v>0</v>
      </c>
      <c r="AO1308" s="9" t="n">
        <f aca="false">AC1308*$V1308</f>
        <v>630</v>
      </c>
      <c r="AP1308" s="9" t="n">
        <f aca="false">AD1308*$V1308</f>
        <v>0</v>
      </c>
      <c r="AQ1308" s="9" t="n">
        <f aca="false">AE1308*$V1308</f>
        <v>0</v>
      </c>
      <c r="AR1308" s="9" t="n">
        <f aca="false">AF1308*$V1308</f>
        <v>0</v>
      </c>
      <c r="AS1308" s="9" t="n">
        <f aca="false">AG1308*$V1308</f>
        <v>0</v>
      </c>
      <c r="AT1308" s="9" t="n">
        <f aca="false">AH1308*$V1308</f>
        <v>0</v>
      </c>
      <c r="AU1308" s="9" t="n">
        <f aca="false">AI1308*$V1308</f>
        <v>630</v>
      </c>
      <c r="AV1308" s="9" t="n">
        <f aca="false">SUM(X1308:AI1308)/1000</f>
        <v>10</v>
      </c>
      <c r="AW1308" s="9" t="n">
        <f aca="false">SUM(AJ1308:AU1308)</f>
        <v>1260</v>
      </c>
      <c r="AX1308" s="9" t="n">
        <f aca="false">IF(D1308="INR",AW1308/88.24,AW1308)/1000000</f>
        <v>0.00126</v>
      </c>
    </row>
    <row r="1309" s="2" customFormat="true" ht="14.25" hidden="false" customHeight="false" outlineLevel="0" collapsed="false">
      <c r="A1309" s="9"/>
      <c r="B1309" s="9" t="n">
        <v>1</v>
      </c>
      <c r="C1309" s="10"/>
      <c r="D1309" s="9" t="s">
        <v>50</v>
      </c>
      <c r="E1309" s="9"/>
      <c r="F1309" s="9" t="s">
        <v>52</v>
      </c>
      <c r="G1309" s="9"/>
      <c r="H1309" s="9" t="s">
        <v>1132</v>
      </c>
      <c r="I1309" s="9"/>
      <c r="J1309" s="9"/>
      <c r="K1309" s="9"/>
      <c r="L1309" s="9"/>
      <c r="M1309" s="9"/>
      <c r="N1309" s="16" t="s">
        <v>93</v>
      </c>
      <c r="O1309" s="9" t="s">
        <v>58</v>
      </c>
      <c r="P1309" s="9"/>
      <c r="Q1309" s="9" t="s">
        <v>2491</v>
      </c>
      <c r="R1309" s="9"/>
      <c r="S1309" s="9"/>
      <c r="T1309" s="9" t="s">
        <v>95</v>
      </c>
      <c r="U1309" s="9"/>
      <c r="V1309" s="9" t="n">
        <v>200</v>
      </c>
      <c r="W1309" s="9"/>
      <c r="X1309" s="9"/>
      <c r="Y1309" s="9"/>
      <c r="Z1309" s="9"/>
      <c r="AA1309" s="9"/>
      <c r="AB1309" s="9"/>
      <c r="AC1309" s="9"/>
      <c r="AD1309" s="9"/>
      <c r="AE1309" s="9"/>
      <c r="AF1309" s="9" t="n">
        <v>20000</v>
      </c>
      <c r="AG1309" s="9"/>
      <c r="AH1309" s="9"/>
      <c r="AI1309" s="9"/>
      <c r="AJ1309" s="9" t="n">
        <f aca="false">X1309*$V1309</f>
        <v>0</v>
      </c>
      <c r="AK1309" s="9" t="n">
        <f aca="false">Y1309*$V1309</f>
        <v>0</v>
      </c>
      <c r="AL1309" s="9" t="n">
        <f aca="false">Z1309*$V1309</f>
        <v>0</v>
      </c>
      <c r="AM1309" s="9" t="n">
        <f aca="false">AA1309*$V1309</f>
        <v>0</v>
      </c>
      <c r="AN1309" s="9" t="n">
        <f aca="false">AB1309*$V1309</f>
        <v>0</v>
      </c>
      <c r="AO1309" s="9" t="n">
        <f aca="false">AC1309*$V1309</f>
        <v>0</v>
      </c>
      <c r="AP1309" s="9" t="n">
        <f aca="false">AD1309*$V1309</f>
        <v>0</v>
      </c>
      <c r="AQ1309" s="9" t="n">
        <f aca="false">AE1309*$V1309</f>
        <v>0</v>
      </c>
      <c r="AR1309" s="9" t="n">
        <f aca="false">AF1309*$V1309</f>
        <v>4000000</v>
      </c>
      <c r="AS1309" s="9" t="n">
        <f aca="false">AG1309*$V1309</f>
        <v>0</v>
      </c>
      <c r="AT1309" s="9" t="n">
        <f aca="false">AH1309*$V1309</f>
        <v>0</v>
      </c>
      <c r="AU1309" s="9" t="n">
        <f aca="false">AI1309*$V1309</f>
        <v>0</v>
      </c>
      <c r="AV1309" s="9" t="n">
        <f aca="false">SUM(X1309:AI1309)/1000</f>
        <v>20</v>
      </c>
      <c r="AW1309" s="9" t="n">
        <f aca="false">SUM(AJ1309:AU1309)</f>
        <v>4000000</v>
      </c>
      <c r="AX1309" s="9" t="n">
        <f aca="false">IF(D1309="INR",AW1309/88.24,AW1309)/1000000</f>
        <v>0.0453309156844968</v>
      </c>
    </row>
    <row r="1310" s="2" customFormat="true" ht="14.25" hidden="false" customHeight="true" outlineLevel="0" collapsed="false">
      <c r="A1310" s="12" t="s">
        <v>2492</v>
      </c>
      <c r="B1310" s="16" t="n">
        <v>5</v>
      </c>
      <c r="C1310" s="15"/>
      <c r="D1310" s="16" t="s">
        <v>813</v>
      </c>
      <c r="E1310" s="16" t="s">
        <v>51</v>
      </c>
      <c r="F1310" s="16" t="s">
        <v>312</v>
      </c>
      <c r="G1310" s="16" t="s">
        <v>313</v>
      </c>
      <c r="H1310" s="16" t="s">
        <v>314</v>
      </c>
      <c r="I1310" s="16"/>
      <c r="J1310" s="16"/>
      <c r="K1310" s="16"/>
      <c r="L1310" s="16"/>
      <c r="M1310" s="16"/>
      <c r="N1310" s="16" t="s">
        <v>57</v>
      </c>
      <c r="O1310" s="16" t="s">
        <v>315</v>
      </c>
      <c r="P1310" s="16" t="s">
        <v>380</v>
      </c>
      <c r="Q1310" s="16" t="s">
        <v>380</v>
      </c>
      <c r="R1310" s="16" t="s">
        <v>442</v>
      </c>
      <c r="S1310" s="16" t="s">
        <v>443</v>
      </c>
      <c r="T1310" s="16" t="s">
        <v>2493</v>
      </c>
      <c r="U1310" s="16" t="s">
        <v>73</v>
      </c>
      <c r="V1310" s="16" t="n">
        <v>0.61</v>
      </c>
      <c r="W1310" s="16" t="n">
        <v>0.5795</v>
      </c>
      <c r="X1310" s="16"/>
      <c r="Y1310" s="16" t="n">
        <v>1000</v>
      </c>
      <c r="Z1310" s="16"/>
      <c r="AA1310" s="16"/>
      <c r="AB1310" s="16" t="n">
        <v>1000</v>
      </c>
      <c r="AC1310" s="16"/>
      <c r="AD1310" s="16" t="n">
        <v>1000</v>
      </c>
      <c r="AE1310" s="16"/>
      <c r="AF1310" s="16"/>
      <c r="AG1310" s="16"/>
      <c r="AH1310" s="16" t="n">
        <v>1000</v>
      </c>
      <c r="AI1310" s="16"/>
      <c r="AJ1310" s="9" t="n">
        <f aca="false">X1310*$V1310</f>
        <v>0</v>
      </c>
      <c r="AK1310" s="9" t="n">
        <f aca="false">Y1310*$V1310</f>
        <v>610</v>
      </c>
      <c r="AL1310" s="9" t="n">
        <f aca="false">Z1310*$V1310</f>
        <v>0</v>
      </c>
      <c r="AM1310" s="9" t="n">
        <f aca="false">AA1310*$V1310</f>
        <v>0</v>
      </c>
      <c r="AN1310" s="9" t="n">
        <f aca="false">AB1310*$V1310</f>
        <v>610</v>
      </c>
      <c r="AO1310" s="9" t="n">
        <f aca="false">AC1310*$V1310</f>
        <v>0</v>
      </c>
      <c r="AP1310" s="9" t="n">
        <f aca="false">AD1310*$V1310</f>
        <v>610</v>
      </c>
      <c r="AQ1310" s="9" t="n">
        <f aca="false">AE1310*$V1310</f>
        <v>0</v>
      </c>
      <c r="AR1310" s="9" t="n">
        <f aca="false">AF1310*$V1310</f>
        <v>0</v>
      </c>
      <c r="AS1310" s="9" t="n">
        <f aca="false">AG1310*$V1310</f>
        <v>0</v>
      </c>
      <c r="AT1310" s="9" t="n">
        <f aca="false">AH1310*$V1310</f>
        <v>610</v>
      </c>
      <c r="AU1310" s="9" t="n">
        <f aca="false">AI1310*$V1310</f>
        <v>0</v>
      </c>
      <c r="AV1310" s="9" t="n">
        <f aca="false">SUM(X1310:AI1310)/1000</f>
        <v>4</v>
      </c>
      <c r="AW1310" s="9" t="n">
        <f aca="false">SUM(AJ1310:AU1310)</f>
        <v>2440</v>
      </c>
      <c r="AX1310" s="9" t="n">
        <f aca="false">IF(D1310="INR",AW1310/88.24,AW1310)/1000000</f>
        <v>0.00244</v>
      </c>
    </row>
    <row r="1311" s="2" customFormat="true" ht="14.25" hidden="false" customHeight="true" outlineLevel="0" collapsed="false">
      <c r="A1311" s="12" t="s">
        <v>2494</v>
      </c>
      <c r="B1311" s="16" t="n">
        <v>5</v>
      </c>
      <c r="C1311" s="15"/>
      <c r="D1311" s="16" t="s">
        <v>813</v>
      </c>
      <c r="E1311" s="16" t="s">
        <v>51</v>
      </c>
      <c r="F1311" s="16" t="s">
        <v>312</v>
      </c>
      <c r="G1311" s="16" t="s">
        <v>313</v>
      </c>
      <c r="H1311" s="16" t="s">
        <v>314</v>
      </c>
      <c r="I1311" s="16"/>
      <c r="J1311" s="16"/>
      <c r="K1311" s="16"/>
      <c r="L1311" s="16"/>
      <c r="M1311" s="16"/>
      <c r="N1311" s="16" t="s">
        <v>57</v>
      </c>
      <c r="O1311" s="16" t="s">
        <v>315</v>
      </c>
      <c r="P1311" s="16" t="s">
        <v>380</v>
      </c>
      <c r="Q1311" s="16" t="s">
        <v>380</v>
      </c>
      <c r="R1311" s="16" t="s">
        <v>442</v>
      </c>
      <c r="S1311" s="16" t="s">
        <v>443</v>
      </c>
      <c r="T1311" s="16" t="s">
        <v>2495</v>
      </c>
      <c r="U1311" s="16" t="s">
        <v>73</v>
      </c>
      <c r="V1311" s="16" t="n">
        <v>3.72</v>
      </c>
      <c r="W1311" s="16" t="n">
        <v>3.534</v>
      </c>
      <c r="X1311" s="16" t="n">
        <v>500</v>
      </c>
      <c r="Y1311" s="16"/>
      <c r="Z1311" s="16"/>
      <c r="AA1311" s="16"/>
      <c r="AB1311" s="16" t="n">
        <v>500</v>
      </c>
      <c r="AC1311" s="16"/>
      <c r="AD1311" s="16"/>
      <c r="AE1311" s="16"/>
      <c r="AF1311" s="16" t="n">
        <v>500</v>
      </c>
      <c r="AG1311" s="16"/>
      <c r="AH1311" s="16"/>
      <c r="AI1311" s="16" t="n">
        <v>500</v>
      </c>
      <c r="AJ1311" s="9" t="n">
        <f aca="false">X1311*$V1311</f>
        <v>1860</v>
      </c>
      <c r="AK1311" s="9" t="n">
        <f aca="false">Y1311*$V1311</f>
        <v>0</v>
      </c>
      <c r="AL1311" s="9" t="n">
        <f aca="false">Z1311*$V1311</f>
        <v>0</v>
      </c>
      <c r="AM1311" s="9" t="n">
        <f aca="false">AA1311*$V1311</f>
        <v>0</v>
      </c>
      <c r="AN1311" s="9" t="n">
        <f aca="false">AB1311*$V1311</f>
        <v>1860</v>
      </c>
      <c r="AO1311" s="9" t="n">
        <f aca="false">AC1311*$V1311</f>
        <v>0</v>
      </c>
      <c r="AP1311" s="9" t="n">
        <f aca="false">AD1311*$V1311</f>
        <v>0</v>
      </c>
      <c r="AQ1311" s="9" t="n">
        <f aca="false">AE1311*$V1311</f>
        <v>0</v>
      </c>
      <c r="AR1311" s="9" t="n">
        <f aca="false">AF1311*$V1311</f>
        <v>1860</v>
      </c>
      <c r="AS1311" s="9" t="n">
        <f aca="false">AG1311*$V1311</f>
        <v>0</v>
      </c>
      <c r="AT1311" s="9" t="n">
        <f aca="false">AH1311*$V1311</f>
        <v>0</v>
      </c>
      <c r="AU1311" s="9" t="n">
        <f aca="false">AI1311*$V1311</f>
        <v>1860</v>
      </c>
      <c r="AV1311" s="9" t="n">
        <f aca="false">SUM(X1311:AI1311)/1000</f>
        <v>2</v>
      </c>
      <c r="AW1311" s="9" t="n">
        <f aca="false">SUM(AJ1311:AU1311)</f>
        <v>7440</v>
      </c>
      <c r="AX1311" s="9" t="n">
        <f aca="false">IF(D1311="INR",AW1311/88.24,AW1311)/1000000</f>
        <v>0.00744</v>
      </c>
    </row>
    <row r="1312" s="2" customFormat="true" ht="14.25" hidden="false" customHeight="false" outlineLevel="0" collapsed="false">
      <c r="A1312" s="12" t="s">
        <v>2496</v>
      </c>
      <c r="B1312" s="16" t="n">
        <v>5</v>
      </c>
      <c r="C1312" s="15"/>
      <c r="D1312" s="16" t="s">
        <v>813</v>
      </c>
      <c r="E1312" s="16" t="s">
        <v>51</v>
      </c>
      <c r="F1312" s="16" t="s">
        <v>312</v>
      </c>
      <c r="G1312" s="16" t="s">
        <v>313</v>
      </c>
      <c r="H1312" s="16" t="s">
        <v>314</v>
      </c>
      <c r="I1312" s="16"/>
      <c r="J1312" s="16"/>
      <c r="K1312" s="16"/>
      <c r="L1312" s="16"/>
      <c r="M1312" s="16"/>
      <c r="N1312" s="16" t="s">
        <v>57</v>
      </c>
      <c r="O1312" s="16" t="s">
        <v>315</v>
      </c>
      <c r="P1312" s="16" t="s">
        <v>380</v>
      </c>
      <c r="Q1312" s="16" t="s">
        <v>380</v>
      </c>
      <c r="R1312" s="16" t="s">
        <v>442</v>
      </c>
      <c r="S1312" s="16" t="s">
        <v>443</v>
      </c>
      <c r="T1312" s="16" t="s">
        <v>2497</v>
      </c>
      <c r="U1312" s="16" t="s">
        <v>73</v>
      </c>
      <c r="V1312" s="16" t="n">
        <v>8.8</v>
      </c>
      <c r="W1312" s="16" t="n">
        <v>8.835</v>
      </c>
      <c r="X1312" s="16" t="n">
        <v>200</v>
      </c>
      <c r="Y1312" s="16"/>
      <c r="Z1312" s="16" t="n">
        <v>200</v>
      </c>
      <c r="AA1312" s="16"/>
      <c r="AB1312" s="16" t="n">
        <v>200</v>
      </c>
      <c r="AC1312" s="16"/>
      <c r="AD1312" s="16" t="n">
        <v>200</v>
      </c>
      <c r="AE1312" s="16" t="n">
        <v>200</v>
      </c>
      <c r="AF1312" s="16"/>
      <c r="AG1312" s="16"/>
      <c r="AH1312" s="16"/>
      <c r="AI1312" s="16" t="n">
        <v>200</v>
      </c>
      <c r="AJ1312" s="9" t="n">
        <f aca="false">X1312*$V1312</f>
        <v>1760</v>
      </c>
      <c r="AK1312" s="9" t="n">
        <f aca="false">Y1312*$V1312</f>
        <v>0</v>
      </c>
      <c r="AL1312" s="9" t="n">
        <f aca="false">Z1312*$V1312</f>
        <v>1760</v>
      </c>
      <c r="AM1312" s="9" t="n">
        <f aca="false">AA1312*$V1312</f>
        <v>0</v>
      </c>
      <c r="AN1312" s="9" t="n">
        <f aca="false">AB1312*$V1312</f>
        <v>1760</v>
      </c>
      <c r="AO1312" s="9" t="n">
        <f aca="false">AC1312*$V1312</f>
        <v>0</v>
      </c>
      <c r="AP1312" s="9" t="n">
        <f aca="false">AD1312*$V1312</f>
        <v>1760</v>
      </c>
      <c r="AQ1312" s="9" t="n">
        <f aca="false">AE1312*$V1312</f>
        <v>1760</v>
      </c>
      <c r="AR1312" s="9" t="n">
        <f aca="false">AF1312*$V1312</f>
        <v>0</v>
      </c>
      <c r="AS1312" s="9" t="n">
        <f aca="false">AG1312*$V1312</f>
        <v>0</v>
      </c>
      <c r="AT1312" s="9" t="n">
        <f aca="false">AH1312*$V1312</f>
        <v>0</v>
      </c>
      <c r="AU1312" s="9" t="n">
        <f aca="false">AI1312*$V1312</f>
        <v>1760</v>
      </c>
      <c r="AV1312" s="9" t="n">
        <f aca="false">SUM(X1312:AI1312)/1000</f>
        <v>1.2</v>
      </c>
      <c r="AW1312" s="9" t="n">
        <f aca="false">SUM(AJ1312:AU1312)</f>
        <v>10560</v>
      </c>
      <c r="AX1312" s="9" t="n">
        <f aca="false">IF(D1312="INR",AW1312/88.24,AW1312)/1000000</f>
        <v>0.01056</v>
      </c>
    </row>
    <row r="1313" s="2" customFormat="true" ht="16.4" hidden="false" customHeight="false" outlineLevel="0" collapsed="false">
      <c r="A1313" s="16" t="s">
        <v>2498</v>
      </c>
      <c r="B1313" s="16" t="n">
        <v>5</v>
      </c>
      <c r="C1313" s="16"/>
      <c r="D1313" s="16" t="s">
        <v>102</v>
      </c>
      <c r="E1313" s="16" t="s">
        <v>51</v>
      </c>
      <c r="F1313" s="16" t="s">
        <v>312</v>
      </c>
      <c r="G1313" s="16" t="s">
        <v>2499</v>
      </c>
      <c r="H1313" s="16" t="s">
        <v>2500</v>
      </c>
      <c r="I1313" s="16" t="s">
        <v>105</v>
      </c>
      <c r="J1313" s="16" t="s">
        <v>1053</v>
      </c>
      <c r="K1313" s="16"/>
      <c r="L1313" s="16"/>
      <c r="M1313" s="16"/>
      <c r="N1313" s="16" t="s">
        <v>57</v>
      </c>
      <c r="O1313" s="16" t="s">
        <v>315</v>
      </c>
      <c r="P1313" s="16" t="str">
        <f aca="false">Q1313</f>
        <v>AOS</v>
      </c>
      <c r="Q1313" s="16" t="s">
        <v>208</v>
      </c>
      <c r="R1313" s="16" t="s">
        <v>309</v>
      </c>
      <c r="S1313" s="16" t="s">
        <v>87</v>
      </c>
      <c r="T1313" s="16" t="s">
        <v>2501</v>
      </c>
      <c r="U1313" s="16" t="s">
        <v>73</v>
      </c>
      <c r="V1313" s="16" t="n">
        <v>0.2</v>
      </c>
      <c r="W1313" s="16" t="n">
        <v>0</v>
      </c>
      <c r="X1313" s="16" t="n">
        <v>52500</v>
      </c>
      <c r="Y1313" s="16" t="n">
        <v>60000</v>
      </c>
      <c r="Z1313" s="16" t="n">
        <v>65000</v>
      </c>
      <c r="AA1313" s="16" t="n">
        <v>30000</v>
      </c>
      <c r="AB1313" s="16" t="n">
        <v>30000</v>
      </c>
      <c r="AC1313" s="16"/>
      <c r="AD1313" s="16"/>
      <c r="AE1313" s="16" t="n">
        <v>30000</v>
      </c>
      <c r="AF1313" s="16" t="n">
        <v>30000</v>
      </c>
      <c r="AG1313" s="16" t="n">
        <v>30000</v>
      </c>
      <c r="AH1313" s="16" t="n">
        <v>30000</v>
      </c>
      <c r="AI1313" s="16" t="n">
        <v>35000</v>
      </c>
      <c r="AJ1313" s="9" t="n">
        <f aca="false">X1313*$V1313</f>
        <v>10500</v>
      </c>
      <c r="AK1313" s="9" t="n">
        <f aca="false">Y1313*$V1313</f>
        <v>12000</v>
      </c>
      <c r="AL1313" s="9" t="n">
        <f aca="false">Z1313*$V1313</f>
        <v>13000</v>
      </c>
      <c r="AM1313" s="9" t="n">
        <f aca="false">AA1313*$V1313</f>
        <v>6000</v>
      </c>
      <c r="AN1313" s="9" t="n">
        <f aca="false">AB1313*$V1313</f>
        <v>6000</v>
      </c>
      <c r="AO1313" s="9" t="n">
        <f aca="false">AC1313*$V1313</f>
        <v>0</v>
      </c>
      <c r="AP1313" s="9" t="n">
        <f aca="false">AD1313*$V1313</f>
        <v>0</v>
      </c>
      <c r="AQ1313" s="9" t="n">
        <f aca="false">AE1313*$V1313</f>
        <v>6000</v>
      </c>
      <c r="AR1313" s="9" t="n">
        <f aca="false">AF1313*$V1313</f>
        <v>6000</v>
      </c>
      <c r="AS1313" s="9" t="n">
        <f aca="false">AG1313*$V1313</f>
        <v>6000</v>
      </c>
      <c r="AT1313" s="9" t="n">
        <f aca="false">AH1313*$V1313</f>
        <v>6000</v>
      </c>
      <c r="AU1313" s="9" t="n">
        <f aca="false">AI1313*$V1313</f>
        <v>7000</v>
      </c>
      <c r="AV1313" s="9" t="n">
        <f aca="false">SUM(X1313:AI1313)/1000</f>
        <v>392.5</v>
      </c>
      <c r="AW1313" s="9" t="n">
        <f aca="false">SUM(AJ1313:AU1313)</f>
        <v>78500</v>
      </c>
      <c r="AX1313" s="9" t="n">
        <f aca="false">IF(D1313="INR",AW1313/88.24,AW1313)/1000000</f>
        <v>0.0785</v>
      </c>
    </row>
    <row r="1314" s="2" customFormat="true" ht="14.25" hidden="false" customHeight="false" outlineLevel="0" collapsed="false">
      <c r="A1314" s="16"/>
      <c r="B1314" s="16" t="n">
        <v>1</v>
      </c>
      <c r="C1314" s="16"/>
      <c r="D1314" s="16" t="s">
        <v>102</v>
      </c>
      <c r="E1314" s="16" t="s">
        <v>51</v>
      </c>
      <c r="F1314" s="16" t="s">
        <v>312</v>
      </c>
      <c r="G1314" s="16" t="s">
        <v>2499</v>
      </c>
      <c r="H1314" s="16" t="s">
        <v>2500</v>
      </c>
      <c r="I1314" s="16"/>
      <c r="J1314" s="16"/>
      <c r="K1314" s="16"/>
      <c r="L1314" s="16"/>
      <c r="M1314" s="16"/>
      <c r="N1314" s="16" t="s">
        <v>57</v>
      </c>
      <c r="O1314" s="16" t="s">
        <v>315</v>
      </c>
      <c r="P1314" s="16"/>
      <c r="Q1314" s="16" t="s">
        <v>2502</v>
      </c>
      <c r="R1314" s="16"/>
      <c r="S1314" s="16"/>
      <c r="T1314" s="26" t="s">
        <v>2503</v>
      </c>
      <c r="U1314" s="16" t="s">
        <v>73</v>
      </c>
      <c r="V1314" s="16" t="n">
        <v>0.21</v>
      </c>
      <c r="W1314" s="16"/>
      <c r="X1314" s="16" t="n">
        <v>30000</v>
      </c>
      <c r="Y1314" s="16" t="n">
        <v>30000</v>
      </c>
      <c r="Z1314" s="16" t="n">
        <v>30000</v>
      </c>
      <c r="AA1314" s="16" t="n">
        <v>30000</v>
      </c>
      <c r="AB1314" s="16" t="n">
        <v>5000</v>
      </c>
      <c r="AC1314" s="16" t="n">
        <v>35000</v>
      </c>
      <c r="AD1314" s="16" t="n">
        <v>30000</v>
      </c>
      <c r="AE1314" s="16" t="n">
        <v>30000</v>
      </c>
      <c r="AF1314" s="16" t="n">
        <v>30000</v>
      </c>
      <c r="AG1314" s="16" t="n">
        <v>30000</v>
      </c>
      <c r="AH1314" s="16" t="n">
        <v>5000</v>
      </c>
      <c r="AI1314" s="16" t="n">
        <v>35000</v>
      </c>
      <c r="AJ1314" s="9" t="n">
        <f aca="false">X1314*$V1314</f>
        <v>6300</v>
      </c>
      <c r="AK1314" s="9" t="n">
        <f aca="false">Y1314*$V1314</f>
        <v>6300</v>
      </c>
      <c r="AL1314" s="9" t="n">
        <f aca="false">Z1314*$V1314</f>
        <v>6300</v>
      </c>
      <c r="AM1314" s="9" t="n">
        <f aca="false">AA1314*$V1314</f>
        <v>6300</v>
      </c>
      <c r="AN1314" s="9" t="n">
        <f aca="false">AB1314*$V1314</f>
        <v>1050</v>
      </c>
      <c r="AO1314" s="9" t="n">
        <f aca="false">AC1314*$V1314</f>
        <v>7350</v>
      </c>
      <c r="AP1314" s="9" t="n">
        <f aca="false">AD1314*$V1314</f>
        <v>6300</v>
      </c>
      <c r="AQ1314" s="9" t="n">
        <f aca="false">AE1314*$V1314</f>
        <v>6300</v>
      </c>
      <c r="AR1314" s="9" t="n">
        <f aca="false">AF1314*$V1314</f>
        <v>6300</v>
      </c>
      <c r="AS1314" s="9" t="n">
        <f aca="false">AG1314*$V1314</f>
        <v>6300</v>
      </c>
      <c r="AT1314" s="9" t="n">
        <f aca="false">AH1314*$V1314</f>
        <v>1050</v>
      </c>
      <c r="AU1314" s="9" t="n">
        <f aca="false">AI1314*$V1314</f>
        <v>7350</v>
      </c>
      <c r="AV1314" s="9" t="n">
        <f aca="false">SUM(X1314:AI1314)/1000</f>
        <v>320</v>
      </c>
      <c r="AW1314" s="9" t="n">
        <f aca="false">SUM(AJ1314:AU1314)</f>
        <v>67200</v>
      </c>
      <c r="AX1314" s="9" t="n">
        <f aca="false">IF(D1314="INR",AW1314/88.24,AW1314)/1000000</f>
        <v>0.0672</v>
      </c>
    </row>
    <row r="1315" s="2" customFormat="true" ht="16.4" hidden="false" customHeight="false" outlineLevel="0" collapsed="false">
      <c r="A1315" s="9" t="s">
        <v>2504</v>
      </c>
      <c r="B1315" s="9" t="n">
        <v>5</v>
      </c>
      <c r="C1315" s="15"/>
      <c r="D1315" s="16" t="s">
        <v>813</v>
      </c>
      <c r="E1315" s="16" t="s">
        <v>51</v>
      </c>
      <c r="F1315" s="16" t="s">
        <v>312</v>
      </c>
      <c r="G1315" s="16" t="s">
        <v>2499</v>
      </c>
      <c r="H1315" s="9" t="s">
        <v>2500</v>
      </c>
      <c r="I1315" s="16"/>
      <c r="J1315" s="16"/>
      <c r="K1315" s="9"/>
      <c r="L1315" s="16"/>
      <c r="M1315" s="16"/>
      <c r="N1315" s="16" t="s">
        <v>57</v>
      </c>
      <c r="O1315" s="16" t="s">
        <v>315</v>
      </c>
      <c r="P1315" s="9" t="s">
        <v>380</v>
      </c>
      <c r="Q1315" s="9" t="s">
        <v>380</v>
      </c>
      <c r="R1315" s="9" t="s">
        <v>442</v>
      </c>
      <c r="S1315" s="9" t="s">
        <v>443</v>
      </c>
      <c r="T1315" s="9" t="s">
        <v>2505</v>
      </c>
      <c r="U1315" s="16" t="s">
        <v>73</v>
      </c>
      <c r="V1315" s="36" t="n">
        <v>1.7</v>
      </c>
      <c r="W1315" s="9" t="n">
        <v>1.615</v>
      </c>
      <c r="X1315" s="22" t="n">
        <v>20000</v>
      </c>
      <c r="Y1315" s="9" t="n">
        <v>20000</v>
      </c>
      <c r="Z1315" s="9" t="n">
        <v>20000</v>
      </c>
      <c r="AA1315" s="9" t="n">
        <v>20000</v>
      </c>
      <c r="AB1315" s="9" t="n">
        <v>20000</v>
      </c>
      <c r="AC1315" s="9" t="n">
        <v>20000</v>
      </c>
      <c r="AD1315" s="23" t="n">
        <v>20000</v>
      </c>
      <c r="AE1315" s="9" t="n">
        <v>20000</v>
      </c>
      <c r="AF1315" s="9" t="n">
        <v>20000</v>
      </c>
      <c r="AG1315" s="9" t="n">
        <v>20000</v>
      </c>
      <c r="AH1315" s="9" t="n">
        <v>20000</v>
      </c>
      <c r="AI1315" s="9" t="n">
        <v>20000</v>
      </c>
      <c r="AJ1315" s="9" t="n">
        <f aca="false">X1315*$V1315</f>
        <v>34000</v>
      </c>
      <c r="AK1315" s="9" t="n">
        <f aca="false">Y1315*$V1315</f>
        <v>34000</v>
      </c>
      <c r="AL1315" s="9" t="n">
        <f aca="false">Z1315*$V1315</f>
        <v>34000</v>
      </c>
      <c r="AM1315" s="9" t="n">
        <f aca="false">AA1315*$V1315</f>
        <v>34000</v>
      </c>
      <c r="AN1315" s="9" t="n">
        <f aca="false">AB1315*$V1315</f>
        <v>34000</v>
      </c>
      <c r="AO1315" s="9" t="n">
        <f aca="false">AC1315*$V1315</f>
        <v>34000</v>
      </c>
      <c r="AP1315" s="9" t="n">
        <f aca="false">AD1315*$V1315</f>
        <v>34000</v>
      </c>
      <c r="AQ1315" s="9" t="n">
        <f aca="false">AE1315*$V1315</f>
        <v>34000</v>
      </c>
      <c r="AR1315" s="9" t="n">
        <f aca="false">AF1315*$V1315</f>
        <v>34000</v>
      </c>
      <c r="AS1315" s="9" t="n">
        <f aca="false">AG1315*$V1315</f>
        <v>34000</v>
      </c>
      <c r="AT1315" s="9" t="n">
        <f aca="false">AH1315*$V1315</f>
        <v>34000</v>
      </c>
      <c r="AU1315" s="9" t="n">
        <f aca="false">AI1315*$V1315</f>
        <v>34000</v>
      </c>
      <c r="AV1315" s="9" t="n">
        <f aca="false">SUM(X1315:AI1315)/1000</f>
        <v>240</v>
      </c>
      <c r="AW1315" s="9" t="n">
        <f aca="false">SUM(AJ1315:AU1315)</f>
        <v>408000</v>
      </c>
      <c r="AX1315" s="9" t="n">
        <f aca="false">IF(D1315="INR",AW1315/88.24,AW1315)/1000000</f>
        <v>0.408</v>
      </c>
    </row>
    <row r="1316" s="2" customFormat="true" ht="14.25" hidden="false" customHeight="true" outlineLevel="0" collapsed="false">
      <c r="A1316" s="12" t="s">
        <v>2506</v>
      </c>
      <c r="B1316" s="16" t="n">
        <v>5</v>
      </c>
      <c r="C1316" s="15"/>
      <c r="D1316" s="16" t="s">
        <v>813</v>
      </c>
      <c r="E1316" s="16" t="s">
        <v>51</v>
      </c>
      <c r="F1316" s="16" t="s">
        <v>312</v>
      </c>
      <c r="G1316" s="16" t="s">
        <v>2499</v>
      </c>
      <c r="H1316" s="16" t="s">
        <v>2500</v>
      </c>
      <c r="I1316" s="16"/>
      <c r="J1316" s="16"/>
      <c r="K1316" s="16"/>
      <c r="L1316" s="16"/>
      <c r="M1316" s="16"/>
      <c r="N1316" s="16" t="s">
        <v>57</v>
      </c>
      <c r="O1316" s="16" t="s">
        <v>315</v>
      </c>
      <c r="P1316" s="9" t="s">
        <v>380</v>
      </c>
      <c r="Q1316" s="16" t="s">
        <v>380</v>
      </c>
      <c r="R1316" s="16" t="s">
        <v>442</v>
      </c>
      <c r="S1316" s="16" t="s">
        <v>443</v>
      </c>
      <c r="T1316" s="16" t="s">
        <v>2507</v>
      </c>
      <c r="U1316" s="16" t="s">
        <v>73</v>
      </c>
      <c r="V1316" s="16" t="n">
        <v>0.385</v>
      </c>
      <c r="W1316" s="16" t="n">
        <v>0.36575</v>
      </c>
      <c r="X1316" s="16" t="n">
        <v>16000</v>
      </c>
      <c r="Y1316" s="16" t="n">
        <v>8000</v>
      </c>
      <c r="Z1316" s="16" t="n">
        <v>16000</v>
      </c>
      <c r="AA1316" s="16" t="n">
        <v>16000</v>
      </c>
      <c r="AB1316" s="16" t="n">
        <v>8000</v>
      </c>
      <c r="AC1316" s="16" t="n">
        <v>16000</v>
      </c>
      <c r="AD1316" s="16" t="n">
        <v>16000</v>
      </c>
      <c r="AE1316" s="16" t="n">
        <v>8000</v>
      </c>
      <c r="AF1316" s="16" t="n">
        <v>16000</v>
      </c>
      <c r="AG1316" s="16" t="n">
        <v>16000</v>
      </c>
      <c r="AH1316" s="16" t="n">
        <v>8000</v>
      </c>
      <c r="AI1316" s="16" t="n">
        <v>16000</v>
      </c>
      <c r="AJ1316" s="9" t="n">
        <f aca="false">X1316*$V1316</f>
        <v>6160</v>
      </c>
      <c r="AK1316" s="9" t="n">
        <f aca="false">Y1316*$V1316</f>
        <v>3080</v>
      </c>
      <c r="AL1316" s="9" t="n">
        <f aca="false">Z1316*$V1316</f>
        <v>6160</v>
      </c>
      <c r="AM1316" s="9" t="n">
        <f aca="false">AA1316*$V1316</f>
        <v>6160</v>
      </c>
      <c r="AN1316" s="9" t="n">
        <f aca="false">AB1316*$V1316</f>
        <v>3080</v>
      </c>
      <c r="AO1316" s="9" t="n">
        <f aca="false">AC1316*$V1316</f>
        <v>6160</v>
      </c>
      <c r="AP1316" s="9" t="n">
        <f aca="false">AD1316*$V1316</f>
        <v>6160</v>
      </c>
      <c r="AQ1316" s="9" t="n">
        <f aca="false">AE1316*$V1316</f>
        <v>3080</v>
      </c>
      <c r="AR1316" s="9" t="n">
        <f aca="false">AF1316*$V1316</f>
        <v>6160</v>
      </c>
      <c r="AS1316" s="9" t="n">
        <f aca="false">AG1316*$V1316</f>
        <v>6160</v>
      </c>
      <c r="AT1316" s="9" t="n">
        <f aca="false">AH1316*$V1316</f>
        <v>3080</v>
      </c>
      <c r="AU1316" s="9" t="n">
        <f aca="false">AI1316*$V1316</f>
        <v>6160</v>
      </c>
      <c r="AV1316" s="9" t="n">
        <f aca="false">SUM(X1316:AI1316)/1000</f>
        <v>160</v>
      </c>
      <c r="AW1316" s="9" t="n">
        <f aca="false">SUM(AJ1316:AU1316)</f>
        <v>61600</v>
      </c>
      <c r="AX1316" s="9" t="n">
        <f aca="false">IF(D1316="INR",AW1316/88.24,AW1316)/1000000</f>
        <v>0.0616</v>
      </c>
    </row>
    <row r="1317" s="2" customFormat="true" ht="14.25" hidden="false" customHeight="false" outlineLevel="0" collapsed="false">
      <c r="A1317" s="12" t="s">
        <v>2508</v>
      </c>
      <c r="B1317" s="16" t="n">
        <v>5</v>
      </c>
      <c r="C1317" s="15"/>
      <c r="D1317" s="16" t="s">
        <v>813</v>
      </c>
      <c r="E1317" s="16" t="s">
        <v>51</v>
      </c>
      <c r="F1317" s="16" t="s">
        <v>312</v>
      </c>
      <c r="G1317" s="16" t="s">
        <v>2499</v>
      </c>
      <c r="H1317" s="16" t="s">
        <v>2500</v>
      </c>
      <c r="I1317" s="16"/>
      <c r="J1317" s="16"/>
      <c r="K1317" s="16"/>
      <c r="L1317" s="16"/>
      <c r="M1317" s="16"/>
      <c r="N1317" s="16" t="s">
        <v>57</v>
      </c>
      <c r="O1317" s="16" t="s">
        <v>315</v>
      </c>
      <c r="P1317" s="16" t="s">
        <v>69</v>
      </c>
      <c r="Q1317" s="16" t="s">
        <v>69</v>
      </c>
      <c r="R1317" s="16" t="s">
        <v>70</v>
      </c>
      <c r="S1317" s="16" t="s">
        <v>71</v>
      </c>
      <c r="T1317" s="16" t="s">
        <v>2509</v>
      </c>
      <c r="U1317" s="16" t="s">
        <v>73</v>
      </c>
      <c r="V1317" s="16" t="n">
        <v>0.103</v>
      </c>
      <c r="W1317" s="16" t="n">
        <v>0.09785</v>
      </c>
      <c r="X1317" s="16" t="n">
        <v>10000</v>
      </c>
      <c r="Y1317" s="16" t="n">
        <v>10000</v>
      </c>
      <c r="Z1317" s="16" t="n">
        <v>10000</v>
      </c>
      <c r="AA1317" s="16" t="n">
        <v>10000</v>
      </c>
      <c r="AB1317" s="16" t="n">
        <v>10000</v>
      </c>
      <c r="AC1317" s="16" t="n">
        <v>10000</v>
      </c>
      <c r="AD1317" s="16" t="n">
        <v>10000</v>
      </c>
      <c r="AE1317" s="16" t="n">
        <v>10000</v>
      </c>
      <c r="AF1317" s="16" t="n">
        <v>10000</v>
      </c>
      <c r="AG1317" s="16" t="n">
        <v>10000</v>
      </c>
      <c r="AH1317" s="16" t="n">
        <v>10000</v>
      </c>
      <c r="AI1317" s="16" t="n">
        <v>10000</v>
      </c>
      <c r="AJ1317" s="9" t="n">
        <f aca="false">X1317*$V1317</f>
        <v>1030</v>
      </c>
      <c r="AK1317" s="9" t="n">
        <f aca="false">Y1317*$V1317</f>
        <v>1030</v>
      </c>
      <c r="AL1317" s="9" t="n">
        <f aca="false">Z1317*$V1317</f>
        <v>1030</v>
      </c>
      <c r="AM1317" s="9" t="n">
        <f aca="false">AA1317*$V1317</f>
        <v>1030</v>
      </c>
      <c r="AN1317" s="9" t="n">
        <f aca="false">AB1317*$V1317</f>
        <v>1030</v>
      </c>
      <c r="AO1317" s="9" t="n">
        <f aca="false">AC1317*$V1317</f>
        <v>1030</v>
      </c>
      <c r="AP1317" s="9" t="n">
        <f aca="false">AD1317*$V1317</f>
        <v>1030</v>
      </c>
      <c r="AQ1317" s="9" t="n">
        <f aca="false">AE1317*$V1317</f>
        <v>1030</v>
      </c>
      <c r="AR1317" s="9" t="n">
        <f aca="false">AF1317*$V1317</f>
        <v>1030</v>
      </c>
      <c r="AS1317" s="9" t="n">
        <f aca="false">AG1317*$V1317</f>
        <v>1030</v>
      </c>
      <c r="AT1317" s="9" t="n">
        <f aca="false">AH1317*$V1317</f>
        <v>1030</v>
      </c>
      <c r="AU1317" s="9" t="n">
        <f aca="false">AI1317*$V1317</f>
        <v>1030</v>
      </c>
      <c r="AV1317" s="9" t="n">
        <f aca="false">SUM(X1317:AI1317)/1000</f>
        <v>120</v>
      </c>
      <c r="AW1317" s="9" t="n">
        <f aca="false">SUM(AJ1317:AU1317)</f>
        <v>12360</v>
      </c>
      <c r="AX1317" s="9" t="n">
        <f aca="false">IF(D1317="INR",AW1317/88.24,AW1317)/1000000</f>
        <v>0.01236</v>
      </c>
    </row>
    <row r="1318" s="2" customFormat="true" ht="16.4" hidden="false" customHeight="false" outlineLevel="0" collapsed="false">
      <c r="A1318" s="9" t="s">
        <v>2510</v>
      </c>
      <c r="B1318" s="9" t="n">
        <v>5</v>
      </c>
      <c r="C1318" s="15"/>
      <c r="D1318" s="16" t="s">
        <v>813</v>
      </c>
      <c r="E1318" s="16" t="s">
        <v>51</v>
      </c>
      <c r="F1318" s="16" t="s">
        <v>312</v>
      </c>
      <c r="G1318" s="16" t="s">
        <v>2499</v>
      </c>
      <c r="H1318" s="9" t="s">
        <v>2500</v>
      </c>
      <c r="I1318" s="16"/>
      <c r="J1318" s="16"/>
      <c r="K1318" s="9"/>
      <c r="L1318" s="16"/>
      <c r="M1318" s="16"/>
      <c r="N1318" s="16" t="s">
        <v>57</v>
      </c>
      <c r="O1318" s="16" t="s">
        <v>315</v>
      </c>
      <c r="P1318" s="9" t="s">
        <v>69</v>
      </c>
      <c r="Q1318" s="9" t="s">
        <v>69</v>
      </c>
      <c r="R1318" s="9" t="s">
        <v>70</v>
      </c>
      <c r="S1318" s="9" t="s">
        <v>71</v>
      </c>
      <c r="T1318" s="9" t="s">
        <v>2511</v>
      </c>
      <c r="U1318" s="16" t="s">
        <v>73</v>
      </c>
      <c r="V1318" s="36" t="n">
        <v>1.38</v>
      </c>
      <c r="W1318" s="9" t="n">
        <v>1.31</v>
      </c>
      <c r="X1318" s="22" t="n">
        <v>5000</v>
      </c>
      <c r="Y1318" s="9" t="n">
        <v>10000</v>
      </c>
      <c r="Z1318" s="9" t="n">
        <v>5000</v>
      </c>
      <c r="AA1318" s="9" t="n">
        <v>5000</v>
      </c>
      <c r="AB1318" s="9" t="n">
        <v>10000</v>
      </c>
      <c r="AC1318" s="9" t="n">
        <v>5000</v>
      </c>
      <c r="AD1318" s="9" t="n">
        <v>5000</v>
      </c>
      <c r="AE1318" s="9" t="n">
        <v>10000</v>
      </c>
      <c r="AF1318" s="9" t="n">
        <v>5000</v>
      </c>
      <c r="AG1318" s="9" t="n">
        <v>5000</v>
      </c>
      <c r="AH1318" s="9" t="n">
        <v>10000</v>
      </c>
      <c r="AI1318" s="9" t="n">
        <v>5000</v>
      </c>
      <c r="AJ1318" s="9" t="n">
        <f aca="false">X1318*$V1318</f>
        <v>6900</v>
      </c>
      <c r="AK1318" s="9" t="n">
        <f aca="false">Y1318*$V1318</f>
        <v>13800</v>
      </c>
      <c r="AL1318" s="9" t="n">
        <f aca="false">Z1318*$V1318</f>
        <v>6900</v>
      </c>
      <c r="AM1318" s="9" t="n">
        <f aca="false">AA1318*$V1318</f>
        <v>6900</v>
      </c>
      <c r="AN1318" s="9" t="n">
        <f aca="false">AB1318*$V1318</f>
        <v>13800</v>
      </c>
      <c r="AO1318" s="9" t="n">
        <f aca="false">AC1318*$V1318</f>
        <v>6900</v>
      </c>
      <c r="AP1318" s="9" t="n">
        <f aca="false">AD1318*$V1318</f>
        <v>6900</v>
      </c>
      <c r="AQ1318" s="9" t="n">
        <f aca="false">AE1318*$V1318</f>
        <v>13800</v>
      </c>
      <c r="AR1318" s="9" t="n">
        <f aca="false">AF1318*$V1318</f>
        <v>6900</v>
      </c>
      <c r="AS1318" s="9" t="n">
        <f aca="false">AG1318*$V1318</f>
        <v>6900</v>
      </c>
      <c r="AT1318" s="9" t="n">
        <f aca="false">AH1318*$V1318</f>
        <v>13800</v>
      </c>
      <c r="AU1318" s="9" t="n">
        <f aca="false">AI1318*$V1318</f>
        <v>6900</v>
      </c>
      <c r="AV1318" s="9" t="n">
        <f aca="false">SUM(X1318:AI1318)/1000</f>
        <v>80</v>
      </c>
      <c r="AW1318" s="9" t="n">
        <f aca="false">SUM(AJ1318:AU1318)</f>
        <v>110400</v>
      </c>
      <c r="AX1318" s="9" t="n">
        <f aca="false">IF(D1318="INR",AW1318/88.24,AW1318)/1000000</f>
        <v>0.1104</v>
      </c>
    </row>
    <row r="1319" s="2" customFormat="true" ht="16.4" hidden="false" customHeight="false" outlineLevel="0" collapsed="false">
      <c r="A1319" s="9" t="s">
        <v>2512</v>
      </c>
      <c r="B1319" s="9"/>
      <c r="C1319" s="15"/>
      <c r="D1319" s="16" t="s">
        <v>813</v>
      </c>
      <c r="E1319" s="16" t="s">
        <v>51</v>
      </c>
      <c r="F1319" s="16" t="s">
        <v>312</v>
      </c>
      <c r="G1319" s="16" t="s">
        <v>2499</v>
      </c>
      <c r="H1319" s="9" t="s">
        <v>2500</v>
      </c>
      <c r="I1319" s="16"/>
      <c r="J1319" s="16"/>
      <c r="K1319" s="9"/>
      <c r="L1319" s="16"/>
      <c r="M1319" s="16"/>
      <c r="N1319" s="16" t="s">
        <v>57</v>
      </c>
      <c r="O1319" s="16" t="s">
        <v>315</v>
      </c>
      <c r="P1319" s="9" t="s">
        <v>69</v>
      </c>
      <c r="Q1319" s="9" t="s">
        <v>69</v>
      </c>
      <c r="R1319" s="9" t="s">
        <v>70</v>
      </c>
      <c r="S1319" s="9" t="s">
        <v>71</v>
      </c>
      <c r="T1319" s="9" t="s">
        <v>2513</v>
      </c>
      <c r="U1319" s="16" t="s">
        <v>73</v>
      </c>
      <c r="V1319" s="36" t="n">
        <v>3.92</v>
      </c>
      <c r="W1319" s="9" t="n">
        <v>3.72</v>
      </c>
      <c r="X1319" s="22"/>
      <c r="Y1319" s="9" t="n">
        <v>15000</v>
      </c>
      <c r="Z1319" s="9"/>
      <c r="AA1319" s="9"/>
      <c r="AB1319" s="9" t="n">
        <v>15000</v>
      </c>
      <c r="AC1319" s="9"/>
      <c r="AD1319" s="23"/>
      <c r="AE1319" s="9" t="n">
        <v>15000</v>
      </c>
      <c r="AF1319" s="9"/>
      <c r="AG1319" s="9"/>
      <c r="AH1319" s="9" t="n">
        <v>15000</v>
      </c>
      <c r="AI1319" s="9"/>
      <c r="AJ1319" s="9" t="n">
        <f aca="false">X1319*$V1319</f>
        <v>0</v>
      </c>
      <c r="AK1319" s="9" t="n">
        <f aca="false">Y1319*$V1319</f>
        <v>58800</v>
      </c>
      <c r="AL1319" s="9" t="n">
        <f aca="false">Z1319*$V1319</f>
        <v>0</v>
      </c>
      <c r="AM1319" s="9" t="n">
        <f aca="false">AA1319*$V1319</f>
        <v>0</v>
      </c>
      <c r="AN1319" s="9" t="n">
        <f aca="false">AB1319*$V1319</f>
        <v>58800</v>
      </c>
      <c r="AO1319" s="9" t="n">
        <f aca="false">AC1319*$V1319</f>
        <v>0</v>
      </c>
      <c r="AP1319" s="9" t="n">
        <f aca="false">AD1319*$V1319</f>
        <v>0</v>
      </c>
      <c r="AQ1319" s="9" t="n">
        <f aca="false">AE1319*$V1319</f>
        <v>58800</v>
      </c>
      <c r="AR1319" s="9" t="n">
        <f aca="false">AF1319*$V1319</f>
        <v>0</v>
      </c>
      <c r="AS1319" s="9" t="n">
        <f aca="false">AG1319*$V1319</f>
        <v>0</v>
      </c>
      <c r="AT1319" s="9" t="n">
        <f aca="false">AH1319*$V1319</f>
        <v>58800</v>
      </c>
      <c r="AU1319" s="9" t="n">
        <f aca="false">AI1319*$V1319</f>
        <v>0</v>
      </c>
      <c r="AV1319" s="9" t="n">
        <f aca="false">SUM(X1319:AI1319)/1000</f>
        <v>60</v>
      </c>
      <c r="AW1319" s="9" t="n">
        <f aca="false">SUM(AJ1319:AU1319)</f>
        <v>235200</v>
      </c>
      <c r="AX1319" s="9" t="n">
        <f aca="false">IF(D1319="INR",AW1319/88.24,AW1319)/1000000</f>
        <v>0.2352</v>
      </c>
    </row>
    <row r="1320" s="2" customFormat="true" ht="16.4" hidden="false" customHeight="false" outlineLevel="0" collapsed="false">
      <c r="A1320" s="16" t="s">
        <v>2514</v>
      </c>
      <c r="B1320" s="16" t="n">
        <v>5</v>
      </c>
      <c r="C1320" s="16"/>
      <c r="D1320" s="16" t="s">
        <v>813</v>
      </c>
      <c r="E1320" s="16" t="s">
        <v>51</v>
      </c>
      <c r="F1320" s="16" t="s">
        <v>312</v>
      </c>
      <c r="G1320" s="16" t="s">
        <v>2499</v>
      </c>
      <c r="H1320" s="16" t="s">
        <v>2500</v>
      </c>
      <c r="I1320" s="16"/>
      <c r="J1320" s="16"/>
      <c r="K1320" s="16"/>
      <c r="L1320" s="16"/>
      <c r="M1320" s="16"/>
      <c r="N1320" s="16" t="s">
        <v>57</v>
      </c>
      <c r="O1320" s="16" t="s">
        <v>315</v>
      </c>
      <c r="P1320" s="16" t="s">
        <v>380</v>
      </c>
      <c r="Q1320" s="16" t="s">
        <v>380</v>
      </c>
      <c r="R1320" s="16" t="s">
        <v>442</v>
      </c>
      <c r="S1320" s="16" t="s">
        <v>443</v>
      </c>
      <c r="T1320" s="16" t="s">
        <v>2515</v>
      </c>
      <c r="U1320" s="16" t="s">
        <v>73</v>
      </c>
      <c r="V1320" s="26" t="n">
        <v>1.69</v>
      </c>
      <c r="W1320" s="16" t="n">
        <v>1.62735</v>
      </c>
      <c r="X1320" s="16"/>
      <c r="Y1320" s="16"/>
      <c r="Z1320" s="16" t="n">
        <v>10000</v>
      </c>
      <c r="AA1320" s="16"/>
      <c r="AB1320" s="16"/>
      <c r="AC1320" s="16" t="n">
        <v>10000</v>
      </c>
      <c r="AD1320" s="16"/>
      <c r="AE1320" s="16"/>
      <c r="AF1320" s="16" t="n">
        <v>10000</v>
      </c>
      <c r="AG1320" s="16"/>
      <c r="AH1320" s="16"/>
      <c r="AI1320" s="16" t="n">
        <v>20000</v>
      </c>
      <c r="AJ1320" s="9" t="n">
        <f aca="false">X1320*$V1320</f>
        <v>0</v>
      </c>
      <c r="AK1320" s="9" t="n">
        <f aca="false">Y1320*$V1320</f>
        <v>0</v>
      </c>
      <c r="AL1320" s="9" t="n">
        <f aca="false">Z1320*$V1320</f>
        <v>16900</v>
      </c>
      <c r="AM1320" s="9" t="n">
        <f aca="false">AA1320*$V1320</f>
        <v>0</v>
      </c>
      <c r="AN1320" s="9" t="n">
        <f aca="false">AB1320*$V1320</f>
        <v>0</v>
      </c>
      <c r="AO1320" s="9" t="n">
        <f aca="false">AC1320*$V1320</f>
        <v>16900</v>
      </c>
      <c r="AP1320" s="9" t="n">
        <f aca="false">AD1320*$V1320</f>
        <v>0</v>
      </c>
      <c r="AQ1320" s="9" t="n">
        <f aca="false">AE1320*$V1320</f>
        <v>0</v>
      </c>
      <c r="AR1320" s="9" t="n">
        <f aca="false">AF1320*$V1320</f>
        <v>16900</v>
      </c>
      <c r="AS1320" s="9" t="n">
        <f aca="false">AG1320*$V1320</f>
        <v>0</v>
      </c>
      <c r="AT1320" s="9" t="n">
        <f aca="false">AH1320*$V1320</f>
        <v>0</v>
      </c>
      <c r="AU1320" s="9" t="n">
        <f aca="false">AI1320*$V1320</f>
        <v>33800</v>
      </c>
      <c r="AV1320" s="9" t="n">
        <f aca="false">SUM(X1320:AI1320)/1000</f>
        <v>50</v>
      </c>
      <c r="AW1320" s="9" t="n">
        <f aca="false">SUM(AJ1320:AU1320)</f>
        <v>84500</v>
      </c>
      <c r="AX1320" s="9" t="n">
        <f aca="false">IF(D1320="INR",AW1320/88.24,AW1320)/1000000</f>
        <v>0.0845</v>
      </c>
    </row>
    <row r="1321" s="2" customFormat="true" ht="14.25" hidden="false" customHeight="false" outlineLevel="0" collapsed="false">
      <c r="A1321" s="12" t="s">
        <v>2516</v>
      </c>
      <c r="B1321" s="16" t="n">
        <v>5</v>
      </c>
      <c r="C1321" s="15"/>
      <c r="D1321" s="16" t="s">
        <v>813</v>
      </c>
      <c r="E1321" s="16" t="s">
        <v>51</v>
      </c>
      <c r="F1321" s="16" t="s">
        <v>312</v>
      </c>
      <c r="G1321" s="16" t="s">
        <v>2499</v>
      </c>
      <c r="H1321" s="16" t="s">
        <v>2500</v>
      </c>
      <c r="I1321" s="16"/>
      <c r="J1321" s="16"/>
      <c r="K1321" s="16"/>
      <c r="L1321" s="16"/>
      <c r="M1321" s="16"/>
      <c r="N1321" s="16" t="s">
        <v>57</v>
      </c>
      <c r="O1321" s="16" t="s">
        <v>315</v>
      </c>
      <c r="P1321" s="16" t="s">
        <v>380</v>
      </c>
      <c r="Q1321" s="16" t="s">
        <v>380</v>
      </c>
      <c r="R1321" s="16" t="s">
        <v>442</v>
      </c>
      <c r="S1321" s="16" t="s">
        <v>443</v>
      </c>
      <c r="T1321" s="16" t="s">
        <v>2517</v>
      </c>
      <c r="U1321" s="16" t="s">
        <v>73</v>
      </c>
      <c r="V1321" s="16" t="n">
        <v>0.43</v>
      </c>
      <c r="W1321" s="16" t="n">
        <v>0.4085</v>
      </c>
      <c r="X1321" s="22"/>
      <c r="Y1321" s="22" t="n">
        <v>4000</v>
      </c>
      <c r="Z1321" s="22"/>
      <c r="AA1321" s="22"/>
      <c r="AB1321" s="22" t="n">
        <v>4000</v>
      </c>
      <c r="AC1321" s="22"/>
      <c r="AD1321" s="22"/>
      <c r="AE1321" s="22" t="n">
        <v>4000</v>
      </c>
      <c r="AF1321" s="22"/>
      <c r="AG1321" s="22" t="n">
        <v>4000</v>
      </c>
      <c r="AH1321" s="22"/>
      <c r="AI1321" s="22"/>
      <c r="AJ1321" s="9" t="n">
        <f aca="false">X1321*$V1321</f>
        <v>0</v>
      </c>
      <c r="AK1321" s="9" t="n">
        <f aca="false">Y1321*$V1321</f>
        <v>1720</v>
      </c>
      <c r="AL1321" s="9" t="n">
        <f aca="false">Z1321*$V1321</f>
        <v>0</v>
      </c>
      <c r="AM1321" s="9" t="n">
        <f aca="false">AA1321*$V1321</f>
        <v>0</v>
      </c>
      <c r="AN1321" s="9" t="n">
        <f aca="false">AB1321*$V1321</f>
        <v>1720</v>
      </c>
      <c r="AO1321" s="9" t="n">
        <f aca="false">AC1321*$V1321</f>
        <v>0</v>
      </c>
      <c r="AP1321" s="9" t="n">
        <f aca="false">AD1321*$V1321</f>
        <v>0</v>
      </c>
      <c r="AQ1321" s="9" t="n">
        <f aca="false">AE1321*$V1321</f>
        <v>1720</v>
      </c>
      <c r="AR1321" s="9" t="n">
        <f aca="false">AF1321*$V1321</f>
        <v>0</v>
      </c>
      <c r="AS1321" s="9" t="n">
        <f aca="false">AG1321*$V1321</f>
        <v>1720</v>
      </c>
      <c r="AT1321" s="9" t="n">
        <f aca="false">AH1321*$V1321</f>
        <v>0</v>
      </c>
      <c r="AU1321" s="9" t="n">
        <f aca="false">AI1321*$V1321</f>
        <v>0</v>
      </c>
      <c r="AV1321" s="9" t="n">
        <f aca="false">SUM(X1321:AI1321)/1000</f>
        <v>16</v>
      </c>
      <c r="AW1321" s="9" t="n">
        <f aca="false">SUM(AJ1321:AU1321)</f>
        <v>6880</v>
      </c>
      <c r="AX1321" s="9" t="n">
        <f aca="false">IF(D1321="INR",AW1321/88.24,AW1321)/1000000</f>
        <v>0.00688</v>
      </c>
    </row>
    <row r="1322" s="2" customFormat="true" ht="14.25" hidden="false" customHeight="false" outlineLevel="0" collapsed="false">
      <c r="A1322" s="12" t="s">
        <v>2518</v>
      </c>
      <c r="B1322" s="16" t="n">
        <v>5</v>
      </c>
      <c r="C1322" s="15"/>
      <c r="D1322" s="16" t="s">
        <v>102</v>
      </c>
      <c r="E1322" s="16" t="s">
        <v>51</v>
      </c>
      <c r="F1322" s="16" t="s">
        <v>312</v>
      </c>
      <c r="G1322" s="16" t="s">
        <v>2499</v>
      </c>
      <c r="H1322" s="16" t="s">
        <v>2500</v>
      </c>
      <c r="I1322" s="16" t="s">
        <v>105</v>
      </c>
      <c r="J1322" s="16" t="s">
        <v>1053</v>
      </c>
      <c r="K1322" s="16" t="s">
        <v>314</v>
      </c>
      <c r="L1322" s="16" t="s">
        <v>298</v>
      </c>
      <c r="M1322" s="16" t="s">
        <v>1053</v>
      </c>
      <c r="N1322" s="16" t="s">
        <v>57</v>
      </c>
      <c r="O1322" s="16" t="s">
        <v>315</v>
      </c>
      <c r="P1322" s="16" t="s">
        <v>110</v>
      </c>
      <c r="Q1322" s="16" t="s">
        <v>110</v>
      </c>
      <c r="R1322" s="16" t="s">
        <v>137</v>
      </c>
      <c r="S1322" s="16" t="s">
        <v>272</v>
      </c>
      <c r="T1322" s="16" t="s">
        <v>2519</v>
      </c>
      <c r="U1322" s="16" t="s">
        <v>73</v>
      </c>
      <c r="V1322" s="16" t="n">
        <v>2.667</v>
      </c>
      <c r="W1322" s="16" t="n">
        <v>2.48</v>
      </c>
      <c r="X1322" s="16" t="n">
        <v>1600</v>
      </c>
      <c r="Y1322" s="16" t="n">
        <v>2400</v>
      </c>
      <c r="Z1322" s="16"/>
      <c r="AA1322" s="16"/>
      <c r="AB1322" s="16"/>
      <c r="AC1322" s="16" t="n">
        <v>1600</v>
      </c>
      <c r="AD1322" s="16" t="n">
        <v>1600</v>
      </c>
      <c r="AE1322" s="16" t="n">
        <v>2400</v>
      </c>
      <c r="AF1322" s="16"/>
      <c r="AG1322" s="16"/>
      <c r="AH1322" s="16"/>
      <c r="AI1322" s="16" t="n">
        <v>1600</v>
      </c>
      <c r="AJ1322" s="9" t="n">
        <f aca="false">X1322*$V1322</f>
        <v>4267.2</v>
      </c>
      <c r="AK1322" s="9" t="n">
        <f aca="false">Y1322*$V1322</f>
        <v>6400.8</v>
      </c>
      <c r="AL1322" s="9" t="n">
        <f aca="false">Z1322*$V1322</f>
        <v>0</v>
      </c>
      <c r="AM1322" s="9" t="n">
        <f aca="false">AA1322*$V1322</f>
        <v>0</v>
      </c>
      <c r="AN1322" s="9" t="n">
        <f aca="false">AB1322*$V1322</f>
        <v>0</v>
      </c>
      <c r="AO1322" s="9" t="n">
        <f aca="false">AC1322*$V1322</f>
        <v>4267.2</v>
      </c>
      <c r="AP1322" s="9" t="n">
        <f aca="false">AD1322*$V1322</f>
        <v>4267.2</v>
      </c>
      <c r="AQ1322" s="9" t="n">
        <f aca="false">AE1322*$V1322</f>
        <v>6400.8</v>
      </c>
      <c r="AR1322" s="9" t="n">
        <f aca="false">AF1322*$V1322</f>
        <v>0</v>
      </c>
      <c r="AS1322" s="9" t="n">
        <f aca="false">AG1322*$V1322</f>
        <v>0</v>
      </c>
      <c r="AT1322" s="9" t="n">
        <f aca="false">AH1322*$V1322</f>
        <v>0</v>
      </c>
      <c r="AU1322" s="9" t="n">
        <f aca="false">AI1322*$V1322</f>
        <v>4267.2</v>
      </c>
      <c r="AV1322" s="9" t="n">
        <f aca="false">SUM(X1322:AI1322)/1000</f>
        <v>11.2</v>
      </c>
      <c r="AW1322" s="9" t="n">
        <f aca="false">SUM(AJ1322:AU1322)</f>
        <v>29870.4</v>
      </c>
      <c r="AX1322" s="9" t="n">
        <f aca="false">IF(D1322="INR",AW1322/88.24,AW1322)/1000000</f>
        <v>0.0298704</v>
      </c>
    </row>
    <row r="1323" s="2" customFormat="true" ht="14.25" hidden="false" customHeight="false" outlineLevel="0" collapsed="false">
      <c r="A1323" s="12" t="s">
        <v>2520</v>
      </c>
      <c r="B1323" s="16"/>
      <c r="C1323" s="15"/>
      <c r="D1323" s="16" t="s">
        <v>50</v>
      </c>
      <c r="E1323" s="16" t="s">
        <v>51</v>
      </c>
      <c r="F1323" s="16" t="s">
        <v>2521</v>
      </c>
      <c r="G1323" s="16"/>
      <c r="H1323" s="9" t="s">
        <v>2522</v>
      </c>
      <c r="I1323" s="16"/>
      <c r="J1323" s="16"/>
      <c r="K1323" s="9"/>
      <c r="L1323" s="16"/>
      <c r="M1323" s="16"/>
      <c r="N1323" s="16" t="s">
        <v>1639</v>
      </c>
      <c r="O1323" s="16"/>
      <c r="P1323" s="16"/>
      <c r="Q1323" s="16" t="s">
        <v>2521</v>
      </c>
      <c r="R1323" s="16" t="s">
        <v>2523</v>
      </c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9" t="n">
        <f aca="false">X1323*$V1323</f>
        <v>0</v>
      </c>
      <c r="AK1323" s="9" t="n">
        <f aca="false">Y1323*$V1323</f>
        <v>0</v>
      </c>
      <c r="AL1323" s="9" t="n">
        <f aca="false">Z1323*$V1323</f>
        <v>0</v>
      </c>
      <c r="AM1323" s="9" t="n">
        <f aca="false">AA1323*$V1323</f>
        <v>0</v>
      </c>
      <c r="AN1323" s="9" t="n">
        <f aca="false">AB1323*$V1323</f>
        <v>0</v>
      </c>
      <c r="AO1323" s="9" t="n">
        <f aca="false">AC1323*$V1323</f>
        <v>0</v>
      </c>
      <c r="AP1323" s="9" t="n">
        <f aca="false">AD1323*$V1323</f>
        <v>0</v>
      </c>
      <c r="AQ1323" s="9" t="n">
        <f aca="false">AE1323*$V1323</f>
        <v>0</v>
      </c>
      <c r="AR1323" s="9" t="n">
        <f aca="false">AF1323*$V1323</f>
        <v>0</v>
      </c>
      <c r="AS1323" s="9" t="n">
        <f aca="false">AG1323*$V1323</f>
        <v>0</v>
      </c>
      <c r="AT1323" s="9" t="n">
        <f aca="false">AH1323*$V1323</f>
        <v>0</v>
      </c>
      <c r="AU1323" s="9" t="n">
        <f aca="false">AI1323*$V1323</f>
        <v>0</v>
      </c>
      <c r="AV1323" s="9" t="n">
        <f aca="false">SUM(X1323:AI1323)/1000</f>
        <v>0</v>
      </c>
      <c r="AW1323" s="9" t="n">
        <v>128000000</v>
      </c>
      <c r="AX1323" s="9" t="n">
        <f aca="false">IF(D1323="INR",AW1323/88.24,AW1323)/1000000</f>
        <v>1.4505893019039</v>
      </c>
      <c r="AZ1323" s="2" t="n">
        <v>1.55339805825243</v>
      </c>
    </row>
    <row r="1324" s="2" customFormat="true" ht="14.25" hidden="false" customHeight="false" outlineLevel="0" collapsed="false">
      <c r="A1324" s="12" t="s">
        <v>2524</v>
      </c>
      <c r="B1324" s="16" t="n">
        <v>5</v>
      </c>
      <c r="C1324" s="15"/>
      <c r="D1324" s="16" t="s">
        <v>50</v>
      </c>
      <c r="E1324" s="16" t="s">
        <v>51</v>
      </c>
      <c r="F1324" s="16" t="s">
        <v>404</v>
      </c>
      <c r="G1324" s="16" t="s">
        <v>405</v>
      </c>
      <c r="H1324" s="16" t="s">
        <v>406</v>
      </c>
      <c r="I1324" s="16" t="s">
        <v>105</v>
      </c>
      <c r="J1324" s="16" t="s">
        <v>368</v>
      </c>
      <c r="K1324" s="16"/>
      <c r="L1324" s="16" t="s">
        <v>105</v>
      </c>
      <c r="M1324" s="16" t="s">
        <v>368</v>
      </c>
      <c r="N1324" s="16" t="s">
        <v>271</v>
      </c>
      <c r="O1324" s="16" t="s">
        <v>94</v>
      </c>
      <c r="P1324" s="16" t="s">
        <v>308</v>
      </c>
      <c r="Q1324" s="16" t="s">
        <v>308</v>
      </c>
      <c r="R1324" s="16" t="s">
        <v>309</v>
      </c>
      <c r="S1324" s="16" t="s">
        <v>264</v>
      </c>
      <c r="T1324" s="16" t="s">
        <v>2525</v>
      </c>
      <c r="U1324" s="16" t="s">
        <v>73</v>
      </c>
      <c r="V1324" s="16" t="n">
        <v>1.25</v>
      </c>
      <c r="W1324" s="16" t="n">
        <v>1.08</v>
      </c>
      <c r="X1324" s="22" t="n">
        <v>30000</v>
      </c>
      <c r="Y1324" s="16" t="n">
        <v>30000</v>
      </c>
      <c r="Z1324" s="16"/>
      <c r="AA1324" s="16" t="n">
        <v>30000</v>
      </c>
      <c r="AB1324" s="16"/>
      <c r="AC1324" s="16" t="n">
        <v>30000</v>
      </c>
      <c r="AD1324" s="16"/>
      <c r="AE1324" s="16"/>
      <c r="AF1324" s="16" t="n">
        <v>30000</v>
      </c>
      <c r="AG1324" s="16" t="n">
        <v>30000</v>
      </c>
      <c r="AH1324" s="16"/>
      <c r="AI1324" s="16" t="n">
        <v>30000</v>
      </c>
      <c r="AJ1324" s="9" t="n">
        <f aca="false">X1324*$V1324</f>
        <v>37500</v>
      </c>
      <c r="AK1324" s="9" t="n">
        <f aca="false">Y1324*$V1324</f>
        <v>37500</v>
      </c>
      <c r="AL1324" s="9" t="n">
        <f aca="false">Z1324*$V1324</f>
        <v>0</v>
      </c>
      <c r="AM1324" s="9" t="n">
        <f aca="false">AA1324*$V1324</f>
        <v>37500</v>
      </c>
      <c r="AN1324" s="9" t="n">
        <f aca="false">AB1324*$V1324</f>
        <v>0</v>
      </c>
      <c r="AO1324" s="9" t="n">
        <f aca="false">AC1324*$V1324</f>
        <v>37500</v>
      </c>
      <c r="AP1324" s="9" t="n">
        <f aca="false">AD1324*$V1324</f>
        <v>0</v>
      </c>
      <c r="AQ1324" s="9" t="n">
        <f aca="false">AE1324*$V1324</f>
        <v>0</v>
      </c>
      <c r="AR1324" s="9" t="n">
        <f aca="false">AF1324*$V1324</f>
        <v>37500</v>
      </c>
      <c r="AS1324" s="9" t="n">
        <f aca="false">AG1324*$V1324</f>
        <v>37500</v>
      </c>
      <c r="AT1324" s="9" t="n">
        <f aca="false">AH1324*$V1324</f>
        <v>0</v>
      </c>
      <c r="AU1324" s="9" t="n">
        <f aca="false">AI1324*$V1324</f>
        <v>37500</v>
      </c>
      <c r="AV1324" s="9" t="n">
        <f aca="false">SUM(X1324:AI1324)/1000</f>
        <v>210</v>
      </c>
      <c r="AW1324" s="9" t="n">
        <f aca="false">SUM(AJ1324:AU1324)</f>
        <v>262500</v>
      </c>
      <c r="AX1324" s="9" t="n">
        <f aca="false">IF(D1324="INR",AW1324/88.24,AW1324)/1000000</f>
        <v>0.0029748413417951</v>
      </c>
    </row>
    <row r="1325" s="2" customFormat="true" ht="14.25" hidden="false" customHeight="false" outlineLevel="0" collapsed="false">
      <c r="A1325" s="12" t="s">
        <v>2526</v>
      </c>
      <c r="B1325" s="16" t="n">
        <v>5</v>
      </c>
      <c r="C1325" s="15"/>
      <c r="D1325" s="16" t="s">
        <v>50</v>
      </c>
      <c r="E1325" s="16" t="s">
        <v>51</v>
      </c>
      <c r="F1325" s="16" t="s">
        <v>404</v>
      </c>
      <c r="G1325" s="16" t="s">
        <v>405</v>
      </c>
      <c r="H1325" s="16" t="s">
        <v>406</v>
      </c>
      <c r="I1325" s="16" t="s">
        <v>105</v>
      </c>
      <c r="J1325" s="16" t="s">
        <v>368</v>
      </c>
      <c r="K1325" s="16"/>
      <c r="L1325" s="16" t="s">
        <v>105</v>
      </c>
      <c r="M1325" s="16" t="s">
        <v>368</v>
      </c>
      <c r="N1325" s="16" t="s">
        <v>271</v>
      </c>
      <c r="O1325" s="16" t="s">
        <v>94</v>
      </c>
      <c r="P1325" s="16" t="s">
        <v>308</v>
      </c>
      <c r="Q1325" s="16" t="s">
        <v>308</v>
      </c>
      <c r="R1325" s="16" t="s">
        <v>309</v>
      </c>
      <c r="S1325" s="16" t="s">
        <v>264</v>
      </c>
      <c r="T1325" s="16" t="s">
        <v>2527</v>
      </c>
      <c r="U1325" s="16" t="s">
        <v>73</v>
      </c>
      <c r="V1325" s="16" t="n">
        <v>4.5</v>
      </c>
      <c r="W1325" s="16" t="n">
        <v>3.75</v>
      </c>
      <c r="X1325" s="22"/>
      <c r="Y1325" s="22" t="n">
        <v>30000</v>
      </c>
      <c r="Z1325" s="22"/>
      <c r="AA1325" s="22"/>
      <c r="AB1325" s="22"/>
      <c r="AC1325" s="22" t="n">
        <v>30000</v>
      </c>
      <c r="AD1325" s="22"/>
      <c r="AE1325" s="22"/>
      <c r="AF1325" s="22"/>
      <c r="AG1325" s="22" t="n">
        <v>30000</v>
      </c>
      <c r="AH1325" s="22"/>
      <c r="AI1325" s="22" t="n">
        <v>30000</v>
      </c>
      <c r="AJ1325" s="9" t="n">
        <f aca="false">X1325*$V1325</f>
        <v>0</v>
      </c>
      <c r="AK1325" s="9" t="n">
        <f aca="false">Y1325*$V1325</f>
        <v>135000</v>
      </c>
      <c r="AL1325" s="9" t="n">
        <f aca="false">Z1325*$V1325</f>
        <v>0</v>
      </c>
      <c r="AM1325" s="9" t="n">
        <f aca="false">AA1325*$V1325</f>
        <v>0</v>
      </c>
      <c r="AN1325" s="9" t="n">
        <f aca="false">AB1325*$V1325</f>
        <v>0</v>
      </c>
      <c r="AO1325" s="9" t="n">
        <f aca="false">AC1325*$V1325</f>
        <v>135000</v>
      </c>
      <c r="AP1325" s="9" t="n">
        <f aca="false">AD1325*$V1325</f>
        <v>0</v>
      </c>
      <c r="AQ1325" s="9" t="n">
        <f aca="false">AE1325*$V1325</f>
        <v>0</v>
      </c>
      <c r="AR1325" s="9" t="n">
        <f aca="false">AF1325*$V1325</f>
        <v>0</v>
      </c>
      <c r="AS1325" s="9" t="n">
        <f aca="false">AG1325*$V1325</f>
        <v>135000</v>
      </c>
      <c r="AT1325" s="9" t="n">
        <f aca="false">AH1325*$V1325</f>
        <v>0</v>
      </c>
      <c r="AU1325" s="9" t="n">
        <f aca="false">AI1325*$V1325</f>
        <v>135000</v>
      </c>
      <c r="AV1325" s="9" t="n">
        <f aca="false">SUM(X1325:AI1325)/1000</f>
        <v>120</v>
      </c>
      <c r="AW1325" s="9" t="n">
        <f aca="false">SUM(AJ1325:AU1325)</f>
        <v>540000</v>
      </c>
      <c r="AX1325" s="9" t="n">
        <f aca="false">IF(D1325="INR",AW1325/88.24,AW1325)/1000000</f>
        <v>0.00611967361740707</v>
      </c>
    </row>
    <row r="1326" s="2" customFormat="true" ht="16.4" hidden="false" customHeight="false" outlineLevel="0" collapsed="false">
      <c r="A1326" s="16" t="s">
        <v>2528</v>
      </c>
      <c r="B1326" s="16" t="n">
        <v>5</v>
      </c>
      <c r="C1326" s="16"/>
      <c r="D1326" s="16" t="s">
        <v>50</v>
      </c>
      <c r="E1326" s="16" t="s">
        <v>51</v>
      </c>
      <c r="F1326" s="16" t="s">
        <v>404</v>
      </c>
      <c r="G1326" s="16" t="s">
        <v>405</v>
      </c>
      <c r="H1326" s="16" t="s">
        <v>406</v>
      </c>
      <c r="I1326" s="16" t="s">
        <v>105</v>
      </c>
      <c r="J1326" s="16" t="s">
        <v>368</v>
      </c>
      <c r="K1326" s="16"/>
      <c r="L1326" s="16" t="s">
        <v>105</v>
      </c>
      <c r="M1326" s="16" t="s">
        <v>368</v>
      </c>
      <c r="N1326" s="16" t="s">
        <v>271</v>
      </c>
      <c r="O1326" s="16" t="s">
        <v>94</v>
      </c>
      <c r="P1326" s="16" t="s">
        <v>110</v>
      </c>
      <c r="Q1326" s="16" t="s">
        <v>110</v>
      </c>
      <c r="R1326" s="16" t="s">
        <v>137</v>
      </c>
      <c r="S1326" s="16" t="s">
        <v>272</v>
      </c>
      <c r="T1326" s="16" t="s">
        <v>2529</v>
      </c>
      <c r="U1326" s="16" t="s">
        <v>73</v>
      </c>
      <c r="V1326" s="16" t="n">
        <v>192</v>
      </c>
      <c r="W1326" s="16" t="n">
        <v>1.65</v>
      </c>
      <c r="X1326" s="16" t="n">
        <v>2000</v>
      </c>
      <c r="Y1326" s="16" t="n">
        <v>2000</v>
      </c>
      <c r="Z1326" s="16"/>
      <c r="AA1326" s="16" t="n">
        <v>2000</v>
      </c>
      <c r="AB1326" s="16" t="n">
        <v>2000</v>
      </c>
      <c r="AC1326" s="16" t="n">
        <v>2000</v>
      </c>
      <c r="AD1326" s="16"/>
      <c r="AE1326" s="16" t="n">
        <v>2000</v>
      </c>
      <c r="AF1326" s="16" t="n">
        <v>2000</v>
      </c>
      <c r="AG1326" s="16" t="n">
        <v>2000</v>
      </c>
      <c r="AH1326" s="16" t="n">
        <v>2000</v>
      </c>
      <c r="AI1326" s="16" t="n">
        <v>2000</v>
      </c>
      <c r="AJ1326" s="9" t="n">
        <f aca="false">X1326*$V1326</f>
        <v>384000</v>
      </c>
      <c r="AK1326" s="9" t="n">
        <f aca="false">Y1326*$V1326</f>
        <v>384000</v>
      </c>
      <c r="AL1326" s="9" t="n">
        <f aca="false">Z1326*$V1326</f>
        <v>0</v>
      </c>
      <c r="AM1326" s="9" t="n">
        <f aca="false">AA1326*$V1326</f>
        <v>384000</v>
      </c>
      <c r="AN1326" s="9" t="n">
        <f aca="false">AB1326*$V1326</f>
        <v>384000</v>
      </c>
      <c r="AO1326" s="9" t="n">
        <f aca="false">AC1326*$V1326</f>
        <v>384000</v>
      </c>
      <c r="AP1326" s="9" t="n">
        <f aca="false">AD1326*$V1326</f>
        <v>0</v>
      </c>
      <c r="AQ1326" s="9" t="n">
        <f aca="false">AE1326*$V1326</f>
        <v>384000</v>
      </c>
      <c r="AR1326" s="9" t="n">
        <f aca="false">AF1326*$V1326</f>
        <v>384000</v>
      </c>
      <c r="AS1326" s="9" t="n">
        <f aca="false">AG1326*$V1326</f>
        <v>384000</v>
      </c>
      <c r="AT1326" s="9" t="n">
        <f aca="false">AH1326*$V1326</f>
        <v>384000</v>
      </c>
      <c r="AU1326" s="9" t="n">
        <f aca="false">AI1326*$V1326</f>
        <v>384000</v>
      </c>
      <c r="AV1326" s="9" t="n">
        <f aca="false">SUM(X1326:AI1326)/1000</f>
        <v>20</v>
      </c>
      <c r="AW1326" s="9" t="n">
        <f aca="false">SUM(AJ1326:AU1326)</f>
        <v>3840000</v>
      </c>
      <c r="AX1326" s="9" t="n">
        <f aca="false">IF(D1326="INR",AW1326/88.24,AW1326)/1000000</f>
        <v>0.043517679057117</v>
      </c>
    </row>
    <row r="1327" s="2" customFormat="true" ht="14.25" hidden="false" customHeight="false" outlineLevel="0" collapsed="false">
      <c r="A1327" s="16"/>
      <c r="B1327" s="16" t="n">
        <v>1</v>
      </c>
      <c r="C1327" s="16"/>
      <c r="D1327" s="16" t="s">
        <v>50</v>
      </c>
      <c r="E1327" s="16" t="s">
        <v>51</v>
      </c>
      <c r="F1327" s="16" t="s">
        <v>404</v>
      </c>
      <c r="G1327" s="16" t="s">
        <v>405</v>
      </c>
      <c r="H1327" s="16" t="s">
        <v>406</v>
      </c>
      <c r="I1327" s="16" t="s">
        <v>105</v>
      </c>
      <c r="J1327" s="16" t="s">
        <v>368</v>
      </c>
      <c r="K1327" s="16"/>
      <c r="L1327" s="16" t="s">
        <v>105</v>
      </c>
      <c r="M1327" s="16" t="s">
        <v>368</v>
      </c>
      <c r="N1327" s="16" t="s">
        <v>271</v>
      </c>
      <c r="O1327" s="16"/>
      <c r="P1327" s="16"/>
      <c r="Q1327" s="16" t="s">
        <v>2530</v>
      </c>
      <c r="R1327" s="16"/>
      <c r="S1327" s="16"/>
      <c r="T1327" s="16" t="s">
        <v>2531</v>
      </c>
      <c r="U1327" s="16" t="s">
        <v>63</v>
      </c>
      <c r="V1327" s="26" t="n">
        <v>7.5</v>
      </c>
      <c r="W1327" s="16"/>
      <c r="X1327" s="16"/>
      <c r="Y1327" s="16"/>
      <c r="Z1327" s="16"/>
      <c r="AA1327" s="16"/>
      <c r="AB1327" s="16" t="n">
        <v>5000</v>
      </c>
      <c r="AC1327" s="16"/>
      <c r="AD1327" s="16"/>
      <c r="AE1327" s="16" t="n">
        <v>5000</v>
      </c>
      <c r="AF1327" s="16"/>
      <c r="AG1327" s="16"/>
      <c r="AH1327" s="16" t="n">
        <v>5000</v>
      </c>
      <c r="AI1327" s="16"/>
      <c r="AJ1327" s="9" t="n">
        <f aca="false">X1327*$V1327</f>
        <v>0</v>
      </c>
      <c r="AK1327" s="9" t="n">
        <f aca="false">Y1327*$V1327</f>
        <v>0</v>
      </c>
      <c r="AL1327" s="9" t="n">
        <f aca="false">Z1327*$V1327</f>
        <v>0</v>
      </c>
      <c r="AM1327" s="9" t="n">
        <f aca="false">AA1327*$V1327</f>
        <v>0</v>
      </c>
      <c r="AN1327" s="9" t="n">
        <f aca="false">AB1327*$V1327</f>
        <v>37500</v>
      </c>
      <c r="AO1327" s="9" t="n">
        <f aca="false">AC1327*$V1327</f>
        <v>0</v>
      </c>
      <c r="AP1327" s="9" t="n">
        <f aca="false">AD1327*$V1327</f>
        <v>0</v>
      </c>
      <c r="AQ1327" s="9" t="n">
        <f aca="false">AE1327*$V1327</f>
        <v>37500</v>
      </c>
      <c r="AR1327" s="9" t="n">
        <f aca="false">AF1327*$V1327</f>
        <v>0</v>
      </c>
      <c r="AS1327" s="9" t="n">
        <f aca="false">AG1327*$V1327</f>
        <v>0</v>
      </c>
      <c r="AT1327" s="9" t="n">
        <f aca="false">AH1327*$V1327</f>
        <v>37500</v>
      </c>
      <c r="AU1327" s="9" t="n">
        <f aca="false">AI1327*$V1327</f>
        <v>0</v>
      </c>
      <c r="AV1327" s="9" t="n">
        <f aca="false">SUM(X1327:AI1327)/1000</f>
        <v>15</v>
      </c>
      <c r="AW1327" s="9" t="n">
        <f aca="false">SUM(AJ1327:AU1327)</f>
        <v>112500</v>
      </c>
      <c r="AX1327" s="9" t="n">
        <f aca="false">IF(D1327="INR",AW1327/88.24,AW1327)/1000000</f>
        <v>0.00127493200362647</v>
      </c>
    </row>
    <row r="1328" s="2" customFormat="true" ht="16.4" hidden="false" customHeight="false" outlineLevel="0" collapsed="false">
      <c r="A1328" s="16" t="s">
        <v>2532</v>
      </c>
      <c r="B1328" s="16" t="n">
        <v>5</v>
      </c>
      <c r="C1328" s="16"/>
      <c r="D1328" s="16" t="s">
        <v>50</v>
      </c>
      <c r="E1328" s="16" t="s">
        <v>51</v>
      </c>
      <c r="F1328" s="16" t="s">
        <v>404</v>
      </c>
      <c r="G1328" s="16" t="s">
        <v>405</v>
      </c>
      <c r="H1328" s="16" t="s">
        <v>406</v>
      </c>
      <c r="I1328" s="16" t="s">
        <v>105</v>
      </c>
      <c r="J1328" s="16" t="s">
        <v>368</v>
      </c>
      <c r="K1328" s="16"/>
      <c r="L1328" s="16" t="s">
        <v>105</v>
      </c>
      <c r="M1328" s="16" t="s">
        <v>368</v>
      </c>
      <c r="N1328" s="16" t="s">
        <v>271</v>
      </c>
      <c r="O1328" s="16" t="s">
        <v>94</v>
      </c>
      <c r="P1328" s="16" t="s">
        <v>308</v>
      </c>
      <c r="Q1328" s="16" t="s">
        <v>308</v>
      </c>
      <c r="R1328" s="16" t="s">
        <v>309</v>
      </c>
      <c r="S1328" s="16" t="s">
        <v>264</v>
      </c>
      <c r="T1328" s="16" t="s">
        <v>2533</v>
      </c>
      <c r="U1328" s="16" t="s">
        <v>73</v>
      </c>
      <c r="V1328" s="16" t="n">
        <v>1.23</v>
      </c>
      <c r="W1328" s="16" t="n">
        <v>1.07</v>
      </c>
      <c r="X1328" s="16"/>
      <c r="Y1328" s="16" t="n">
        <v>10000</v>
      </c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9" t="n">
        <f aca="false">X1328*$V1328</f>
        <v>0</v>
      </c>
      <c r="AK1328" s="9" t="n">
        <f aca="false">Y1328*$V1328</f>
        <v>12300</v>
      </c>
      <c r="AL1328" s="9" t="n">
        <f aca="false">Z1328*$V1328</f>
        <v>0</v>
      </c>
      <c r="AM1328" s="9" t="n">
        <f aca="false">AA1328*$V1328</f>
        <v>0</v>
      </c>
      <c r="AN1328" s="9" t="n">
        <f aca="false">AB1328*$V1328</f>
        <v>0</v>
      </c>
      <c r="AO1328" s="9" t="n">
        <f aca="false">AC1328*$V1328</f>
        <v>0</v>
      </c>
      <c r="AP1328" s="9" t="n">
        <f aca="false">AD1328*$V1328</f>
        <v>0</v>
      </c>
      <c r="AQ1328" s="9" t="n">
        <f aca="false">AE1328*$V1328</f>
        <v>0</v>
      </c>
      <c r="AR1328" s="9" t="n">
        <f aca="false">AF1328*$V1328</f>
        <v>0</v>
      </c>
      <c r="AS1328" s="9" t="n">
        <f aca="false">AG1328*$V1328</f>
        <v>0</v>
      </c>
      <c r="AT1328" s="9" t="n">
        <f aca="false">AH1328*$V1328</f>
        <v>0</v>
      </c>
      <c r="AU1328" s="9" t="n">
        <f aca="false">AI1328*$V1328</f>
        <v>0</v>
      </c>
      <c r="AV1328" s="9" t="n">
        <f aca="false">SUM(X1328:AI1328)/1000</f>
        <v>10</v>
      </c>
      <c r="AW1328" s="9" t="n">
        <f aca="false">SUM(AJ1328:AU1328)</f>
        <v>12300</v>
      </c>
      <c r="AX1328" s="9" t="n">
        <f aca="false">IF(D1328="INR",AW1328/88.24,AW1328)/1000000</f>
        <v>0.000139392565729828</v>
      </c>
    </row>
    <row r="1329" s="2" customFormat="true" ht="14.25" hidden="false" customHeight="false" outlineLevel="0" collapsed="false">
      <c r="A1329" s="12" t="s">
        <v>2534</v>
      </c>
      <c r="B1329" s="16"/>
      <c r="C1329" s="15"/>
      <c r="D1329" s="16" t="s">
        <v>102</v>
      </c>
      <c r="E1329" s="16" t="s">
        <v>51</v>
      </c>
      <c r="F1329" s="16" t="s">
        <v>52</v>
      </c>
      <c r="G1329" s="16" t="s">
        <v>1528</v>
      </c>
      <c r="H1329" s="16" t="s">
        <v>1529</v>
      </c>
      <c r="I1329" s="16" t="s">
        <v>303</v>
      </c>
      <c r="J1329" s="16" t="s">
        <v>304</v>
      </c>
      <c r="K1329" s="16"/>
      <c r="L1329" s="16" t="s">
        <v>303</v>
      </c>
      <c r="M1329" s="16" t="s">
        <v>304</v>
      </c>
      <c r="N1329" s="16" t="s">
        <v>93</v>
      </c>
      <c r="O1329" s="16" t="s">
        <v>107</v>
      </c>
      <c r="P1329" s="16" t="s">
        <v>85</v>
      </c>
      <c r="Q1329" s="16" t="s">
        <v>85</v>
      </c>
      <c r="R1329" s="16" t="s">
        <v>86</v>
      </c>
      <c r="S1329" s="16" t="s">
        <v>87</v>
      </c>
      <c r="T1329" s="16" t="s">
        <v>2535</v>
      </c>
      <c r="U1329" s="16" t="s">
        <v>73</v>
      </c>
      <c r="V1329" s="16" t="n">
        <v>0.215</v>
      </c>
      <c r="W1329" s="16" t="n">
        <v>0.195</v>
      </c>
      <c r="X1329" s="16" t="n">
        <v>5200</v>
      </c>
      <c r="Y1329" s="16" t="n">
        <v>0</v>
      </c>
      <c r="Z1329" s="16" t="n">
        <v>0</v>
      </c>
      <c r="AA1329" s="16" t="n">
        <v>0</v>
      </c>
      <c r="AB1329" s="16" t="n">
        <v>0</v>
      </c>
      <c r="AC1329" s="16" t="n">
        <v>0</v>
      </c>
      <c r="AD1329" s="16" t="n">
        <v>0</v>
      </c>
      <c r="AE1329" s="16" t="n">
        <v>0</v>
      </c>
      <c r="AF1329" s="16" t="n">
        <v>20000</v>
      </c>
      <c r="AG1329" s="16" t="n">
        <v>20000</v>
      </c>
      <c r="AH1329" s="16" t="n">
        <v>0</v>
      </c>
      <c r="AI1329" s="16" t="n">
        <v>20000</v>
      </c>
      <c r="AJ1329" s="9" t="n">
        <f aca="false">X1329*$V1329</f>
        <v>1118</v>
      </c>
      <c r="AK1329" s="9" t="n">
        <f aca="false">Y1329*$V1329</f>
        <v>0</v>
      </c>
      <c r="AL1329" s="9" t="n">
        <f aca="false">Z1329*$V1329</f>
        <v>0</v>
      </c>
      <c r="AM1329" s="9" t="n">
        <f aca="false">AA1329*$V1329</f>
        <v>0</v>
      </c>
      <c r="AN1329" s="9" t="n">
        <f aca="false">AB1329*$V1329</f>
        <v>0</v>
      </c>
      <c r="AO1329" s="9" t="n">
        <f aca="false">AC1329*$V1329</f>
        <v>0</v>
      </c>
      <c r="AP1329" s="9" t="n">
        <f aca="false">AD1329*$V1329</f>
        <v>0</v>
      </c>
      <c r="AQ1329" s="9" t="n">
        <f aca="false">AE1329*$V1329</f>
        <v>0</v>
      </c>
      <c r="AR1329" s="9" t="n">
        <f aca="false">AF1329*$V1329</f>
        <v>4300</v>
      </c>
      <c r="AS1329" s="9" t="n">
        <f aca="false">AG1329*$V1329</f>
        <v>4300</v>
      </c>
      <c r="AT1329" s="9" t="n">
        <f aca="false">AH1329*$V1329</f>
        <v>0</v>
      </c>
      <c r="AU1329" s="9" t="n">
        <f aca="false">AI1329*$V1329</f>
        <v>4300</v>
      </c>
      <c r="AV1329" s="9" t="n">
        <f aca="false">SUM(X1329:AI1329)/1000</f>
        <v>65.2</v>
      </c>
      <c r="AW1329" s="9" t="n">
        <f aca="false">SUM(AJ1329:AU1329)</f>
        <v>14018</v>
      </c>
      <c r="AX1329" s="9" t="n">
        <f aca="false">IF(D1329="INR",AW1329/88.24,AW1329)/1000000</f>
        <v>0.014018</v>
      </c>
    </row>
    <row r="1330" s="2" customFormat="true" ht="16.4" hidden="false" customHeight="false" outlineLevel="0" collapsed="false">
      <c r="A1330" s="16" t="s">
        <v>2536</v>
      </c>
      <c r="B1330" s="16"/>
      <c r="C1330" s="16"/>
      <c r="D1330" s="16" t="s">
        <v>102</v>
      </c>
      <c r="E1330" s="16" t="s">
        <v>51</v>
      </c>
      <c r="F1330" s="16" t="s">
        <v>52</v>
      </c>
      <c r="G1330" s="16" t="s">
        <v>1528</v>
      </c>
      <c r="H1330" s="16" t="s">
        <v>1529</v>
      </c>
      <c r="I1330" s="16" t="s">
        <v>303</v>
      </c>
      <c r="J1330" s="16" t="s">
        <v>304</v>
      </c>
      <c r="K1330" s="16"/>
      <c r="L1330" s="16" t="s">
        <v>303</v>
      </c>
      <c r="M1330" s="16" t="s">
        <v>304</v>
      </c>
      <c r="N1330" s="16" t="s">
        <v>93</v>
      </c>
      <c r="O1330" s="16" t="s">
        <v>107</v>
      </c>
      <c r="P1330" s="16" t="s">
        <v>262</v>
      </c>
      <c r="Q1330" s="16" t="s">
        <v>262</v>
      </c>
      <c r="R1330" s="16" t="s">
        <v>263</v>
      </c>
      <c r="S1330" s="16" t="s">
        <v>264</v>
      </c>
      <c r="T1330" s="16" t="s">
        <v>2537</v>
      </c>
      <c r="U1330" s="16" t="s">
        <v>73</v>
      </c>
      <c r="V1330" s="16" t="n">
        <v>0.053</v>
      </c>
      <c r="W1330" s="16" t="n">
        <v>0.0365</v>
      </c>
      <c r="X1330" s="16" t="n">
        <v>0</v>
      </c>
      <c r="Y1330" s="16" t="n">
        <v>3000</v>
      </c>
      <c r="Z1330" s="16" t="n">
        <v>3000</v>
      </c>
      <c r="AA1330" s="16" t="n">
        <v>3000</v>
      </c>
      <c r="AB1330" s="16" t="n">
        <v>0</v>
      </c>
      <c r="AC1330" s="16" t="n">
        <v>3000</v>
      </c>
      <c r="AD1330" s="16" t="n">
        <v>3000</v>
      </c>
      <c r="AE1330" s="16" t="n">
        <v>6000</v>
      </c>
      <c r="AF1330" s="16" t="n">
        <v>6000</v>
      </c>
      <c r="AG1330" s="16" t="n">
        <v>0</v>
      </c>
      <c r="AH1330" s="16" t="n">
        <v>0</v>
      </c>
      <c r="AI1330" s="16" t="n">
        <v>3000</v>
      </c>
      <c r="AJ1330" s="9" t="n">
        <f aca="false">X1330*$V1330</f>
        <v>0</v>
      </c>
      <c r="AK1330" s="9" t="n">
        <f aca="false">Y1330*$V1330</f>
        <v>159</v>
      </c>
      <c r="AL1330" s="9" t="n">
        <f aca="false">Z1330*$V1330</f>
        <v>159</v>
      </c>
      <c r="AM1330" s="9" t="n">
        <f aca="false">AA1330*$V1330</f>
        <v>159</v>
      </c>
      <c r="AN1330" s="9" t="n">
        <f aca="false">AB1330*$V1330</f>
        <v>0</v>
      </c>
      <c r="AO1330" s="9" t="n">
        <f aca="false">AC1330*$V1330</f>
        <v>159</v>
      </c>
      <c r="AP1330" s="9" t="n">
        <f aca="false">AD1330*$V1330</f>
        <v>159</v>
      </c>
      <c r="AQ1330" s="9" t="n">
        <f aca="false">AE1330*$V1330</f>
        <v>318</v>
      </c>
      <c r="AR1330" s="9" t="n">
        <f aca="false">AF1330*$V1330</f>
        <v>318</v>
      </c>
      <c r="AS1330" s="9" t="n">
        <f aca="false">AG1330*$V1330</f>
        <v>0</v>
      </c>
      <c r="AT1330" s="9" t="n">
        <f aca="false">AH1330*$V1330</f>
        <v>0</v>
      </c>
      <c r="AU1330" s="9" t="n">
        <f aca="false">AI1330*$V1330</f>
        <v>159</v>
      </c>
      <c r="AV1330" s="9" t="n">
        <f aca="false">SUM(X1330:AI1330)/1000</f>
        <v>30</v>
      </c>
      <c r="AW1330" s="9" t="n">
        <f aca="false">SUM(AJ1330:AU1330)</f>
        <v>1590</v>
      </c>
      <c r="AX1330" s="9" t="n">
        <f aca="false">IF(D1330="INR",AW1330/88.24,AW1330)/1000000</f>
        <v>0.00159</v>
      </c>
    </row>
    <row r="1331" s="2" customFormat="true" ht="14.25" hidden="false" customHeight="true" outlineLevel="0" collapsed="false">
      <c r="A1331" s="16" t="s">
        <v>2538</v>
      </c>
      <c r="B1331" s="16" t="n">
        <v>5</v>
      </c>
      <c r="C1331" s="16"/>
      <c r="D1331" s="16" t="s">
        <v>50</v>
      </c>
      <c r="E1331" s="16" t="s">
        <v>51</v>
      </c>
      <c r="F1331" s="16" t="s">
        <v>404</v>
      </c>
      <c r="G1331" s="16" t="s">
        <v>405</v>
      </c>
      <c r="H1331" s="16" t="s">
        <v>406</v>
      </c>
      <c r="I1331" s="16" t="s">
        <v>105</v>
      </c>
      <c r="J1331" s="16" t="s">
        <v>368</v>
      </c>
      <c r="K1331" s="16"/>
      <c r="L1331" s="16" t="s">
        <v>105</v>
      </c>
      <c r="M1331" s="16" t="s">
        <v>368</v>
      </c>
      <c r="N1331" s="16" t="s">
        <v>271</v>
      </c>
      <c r="O1331" s="16" t="s">
        <v>94</v>
      </c>
      <c r="P1331" s="16" t="s">
        <v>308</v>
      </c>
      <c r="Q1331" s="16" t="s">
        <v>308</v>
      </c>
      <c r="R1331" s="16" t="s">
        <v>309</v>
      </c>
      <c r="S1331" s="16" t="s">
        <v>264</v>
      </c>
      <c r="T1331" s="16" t="s">
        <v>2539</v>
      </c>
      <c r="U1331" s="16" t="s">
        <v>73</v>
      </c>
      <c r="V1331" s="16" t="n">
        <v>1.2</v>
      </c>
      <c r="W1331" s="16" t="n">
        <v>1.03</v>
      </c>
      <c r="X1331" s="16"/>
      <c r="Y1331" s="16" t="n">
        <v>10000</v>
      </c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9" t="n">
        <f aca="false">X1331*$V1331</f>
        <v>0</v>
      </c>
      <c r="AK1331" s="9" t="n">
        <f aca="false">Y1331*$V1331</f>
        <v>12000</v>
      </c>
      <c r="AL1331" s="9" t="n">
        <f aca="false">Z1331*$V1331</f>
        <v>0</v>
      </c>
      <c r="AM1331" s="9" t="n">
        <f aca="false">AA1331*$V1331</f>
        <v>0</v>
      </c>
      <c r="AN1331" s="9" t="n">
        <f aca="false">AB1331*$V1331</f>
        <v>0</v>
      </c>
      <c r="AO1331" s="9" t="n">
        <f aca="false">AC1331*$V1331</f>
        <v>0</v>
      </c>
      <c r="AP1331" s="9" t="n">
        <f aca="false">AD1331*$V1331</f>
        <v>0</v>
      </c>
      <c r="AQ1331" s="9" t="n">
        <f aca="false">AE1331*$V1331</f>
        <v>0</v>
      </c>
      <c r="AR1331" s="9" t="n">
        <f aca="false">AF1331*$V1331</f>
        <v>0</v>
      </c>
      <c r="AS1331" s="9" t="n">
        <f aca="false">AG1331*$V1331</f>
        <v>0</v>
      </c>
      <c r="AT1331" s="9" t="n">
        <f aca="false">AH1331*$V1331</f>
        <v>0</v>
      </c>
      <c r="AU1331" s="9" t="n">
        <f aca="false">AI1331*$V1331</f>
        <v>0</v>
      </c>
      <c r="AV1331" s="9" t="n">
        <f aca="false">SUM(X1331:AI1331)/1000</f>
        <v>10</v>
      </c>
      <c r="AW1331" s="9" t="n">
        <f aca="false">SUM(AJ1331:AU1331)</f>
        <v>12000</v>
      </c>
      <c r="AX1331" s="9" t="n">
        <f aca="false">IF(D1331="INR",AW1331/88.24,AW1331)/1000000</f>
        <v>0.000135992747053491</v>
      </c>
    </row>
    <row r="1332" s="2" customFormat="true" ht="14.25" hidden="false" customHeight="false" outlineLevel="0" collapsed="false">
      <c r="A1332" s="12" t="s">
        <v>2540</v>
      </c>
      <c r="B1332" s="16" t="n">
        <v>5</v>
      </c>
      <c r="C1332" s="15"/>
      <c r="D1332" s="16" t="s">
        <v>102</v>
      </c>
      <c r="E1332" s="16" t="s">
        <v>51</v>
      </c>
      <c r="F1332" s="16" t="s">
        <v>52</v>
      </c>
      <c r="G1332" s="16" t="s">
        <v>1528</v>
      </c>
      <c r="H1332" s="16" t="s">
        <v>1529</v>
      </c>
      <c r="I1332" s="16" t="s">
        <v>303</v>
      </c>
      <c r="J1332" s="16" t="s">
        <v>304</v>
      </c>
      <c r="K1332" s="16"/>
      <c r="L1332" s="16" t="s">
        <v>303</v>
      </c>
      <c r="M1332" s="16" t="s">
        <v>304</v>
      </c>
      <c r="N1332" s="16" t="s">
        <v>93</v>
      </c>
      <c r="O1332" s="16" t="s">
        <v>107</v>
      </c>
      <c r="P1332" s="16" t="s">
        <v>1986</v>
      </c>
      <c r="Q1332" s="16" t="s">
        <v>1986</v>
      </c>
      <c r="R1332" s="16" t="s">
        <v>377</v>
      </c>
      <c r="S1332" s="16" t="s">
        <v>264</v>
      </c>
      <c r="T1332" s="16" t="n">
        <v>55031032200</v>
      </c>
      <c r="U1332" s="16" t="s">
        <v>73</v>
      </c>
      <c r="V1332" s="16" t="n">
        <v>0.143</v>
      </c>
      <c r="W1332" s="16" t="n">
        <v>0.125</v>
      </c>
      <c r="X1332" s="16" t="n">
        <v>3000</v>
      </c>
      <c r="Y1332" s="16"/>
      <c r="Z1332" s="16" t="n">
        <v>3000</v>
      </c>
      <c r="AA1332" s="16"/>
      <c r="AB1332" s="16"/>
      <c r="AC1332" s="16" t="n">
        <v>3000</v>
      </c>
      <c r="AD1332" s="16"/>
      <c r="AE1332" s="16"/>
      <c r="AF1332" s="16" t="n">
        <v>3000</v>
      </c>
      <c r="AG1332" s="16"/>
      <c r="AH1332" s="16"/>
      <c r="AI1332" s="16"/>
      <c r="AJ1332" s="9" t="n">
        <f aca="false">X1332*$V1332</f>
        <v>429</v>
      </c>
      <c r="AK1332" s="9" t="n">
        <f aca="false">Y1332*$V1332</f>
        <v>0</v>
      </c>
      <c r="AL1332" s="9" t="n">
        <f aca="false">Z1332*$V1332</f>
        <v>429</v>
      </c>
      <c r="AM1332" s="9" t="n">
        <f aca="false">AA1332*$V1332</f>
        <v>0</v>
      </c>
      <c r="AN1332" s="9" t="n">
        <f aca="false">AB1332*$V1332</f>
        <v>0</v>
      </c>
      <c r="AO1332" s="9" t="n">
        <f aca="false">AC1332*$V1332</f>
        <v>429</v>
      </c>
      <c r="AP1332" s="9" t="n">
        <f aca="false">AD1332*$V1332</f>
        <v>0</v>
      </c>
      <c r="AQ1332" s="9" t="n">
        <f aca="false">AE1332*$V1332</f>
        <v>0</v>
      </c>
      <c r="AR1332" s="9" t="n">
        <f aca="false">AF1332*$V1332</f>
        <v>429</v>
      </c>
      <c r="AS1332" s="9" t="n">
        <f aca="false">AG1332*$V1332</f>
        <v>0</v>
      </c>
      <c r="AT1332" s="9" t="n">
        <f aca="false">AH1332*$V1332</f>
        <v>0</v>
      </c>
      <c r="AU1332" s="9" t="n">
        <f aca="false">AI1332*$V1332</f>
        <v>0</v>
      </c>
      <c r="AV1332" s="9" t="n">
        <f aca="false">SUM(X1332:AI1332)/1000</f>
        <v>12</v>
      </c>
      <c r="AW1332" s="9" t="n">
        <f aca="false">SUM(AJ1332:AU1332)</f>
        <v>1716</v>
      </c>
      <c r="AX1332" s="9" t="n">
        <f aca="false">IF(D1332="INR",AW1332/88.24,AW1332)/1000000</f>
        <v>0.001716</v>
      </c>
      <c r="AY1332" s="27"/>
    </row>
    <row r="1333" s="2" customFormat="true" ht="16.4" hidden="false" customHeight="false" outlineLevel="0" collapsed="false">
      <c r="A1333" s="16" t="s">
        <v>2541</v>
      </c>
      <c r="B1333" s="16" t="n">
        <v>5</v>
      </c>
      <c r="C1333" s="16"/>
      <c r="D1333" s="16" t="s">
        <v>50</v>
      </c>
      <c r="E1333" s="16" t="s">
        <v>51</v>
      </c>
      <c r="F1333" s="16" t="s">
        <v>404</v>
      </c>
      <c r="G1333" s="16" t="s">
        <v>405</v>
      </c>
      <c r="H1333" s="16" t="s">
        <v>406</v>
      </c>
      <c r="I1333" s="16" t="s">
        <v>105</v>
      </c>
      <c r="J1333" s="16" t="s">
        <v>368</v>
      </c>
      <c r="K1333" s="16"/>
      <c r="L1333" s="16" t="s">
        <v>105</v>
      </c>
      <c r="M1333" s="16" t="s">
        <v>368</v>
      </c>
      <c r="N1333" s="16" t="s">
        <v>271</v>
      </c>
      <c r="O1333" s="16" t="s">
        <v>94</v>
      </c>
      <c r="P1333" s="16" t="s">
        <v>308</v>
      </c>
      <c r="Q1333" s="16" t="s">
        <v>308</v>
      </c>
      <c r="R1333" s="16" t="s">
        <v>309</v>
      </c>
      <c r="S1333" s="33" t="s">
        <v>264</v>
      </c>
      <c r="T1333" s="16" t="s">
        <v>1807</v>
      </c>
      <c r="U1333" s="16" t="s">
        <v>73</v>
      </c>
      <c r="V1333" s="16" t="n">
        <v>0.76</v>
      </c>
      <c r="W1333" s="16" t="n">
        <v>0.54</v>
      </c>
      <c r="X1333" s="16" t="n">
        <v>10000</v>
      </c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9" t="n">
        <f aca="false">X1333*$V1333</f>
        <v>7600</v>
      </c>
      <c r="AK1333" s="9" t="n">
        <f aca="false">Y1333*$V1333</f>
        <v>0</v>
      </c>
      <c r="AL1333" s="9" t="n">
        <f aca="false">Z1333*$V1333</f>
        <v>0</v>
      </c>
      <c r="AM1333" s="9" t="n">
        <f aca="false">AA1333*$V1333</f>
        <v>0</v>
      </c>
      <c r="AN1333" s="9" t="n">
        <f aca="false">AB1333*$V1333</f>
        <v>0</v>
      </c>
      <c r="AO1333" s="9" t="n">
        <f aca="false">AC1333*$V1333</f>
        <v>0</v>
      </c>
      <c r="AP1333" s="9" t="n">
        <f aca="false">AD1333*$V1333</f>
        <v>0</v>
      </c>
      <c r="AQ1333" s="9" t="n">
        <f aca="false">AE1333*$V1333</f>
        <v>0</v>
      </c>
      <c r="AR1333" s="9" t="n">
        <f aca="false">AF1333*$V1333</f>
        <v>0</v>
      </c>
      <c r="AS1333" s="9" t="n">
        <f aca="false">AG1333*$V1333</f>
        <v>0</v>
      </c>
      <c r="AT1333" s="9" t="n">
        <f aca="false">AH1333*$V1333</f>
        <v>0</v>
      </c>
      <c r="AU1333" s="9" t="n">
        <f aca="false">AI1333*$V1333</f>
        <v>0</v>
      </c>
      <c r="AV1333" s="9" t="n">
        <f aca="false">SUM(X1333:AI1333)/1000</f>
        <v>10</v>
      </c>
      <c r="AW1333" s="9" t="n">
        <f aca="false">SUM(AJ1333:AU1333)</f>
        <v>7600</v>
      </c>
      <c r="AX1333" s="9" t="n">
        <f aca="false">IF(D1333="INR",AW1333/88.24,AW1333)/1000000</f>
        <v>8.6128739800544E-005</v>
      </c>
    </row>
    <row r="1334" s="2" customFormat="true" ht="14.25" hidden="false" customHeight="false" outlineLevel="0" collapsed="false">
      <c r="A1334" s="9"/>
      <c r="B1334" s="9" t="n">
        <v>1</v>
      </c>
      <c r="C1334" s="10"/>
      <c r="D1334" s="9" t="s">
        <v>50</v>
      </c>
      <c r="E1334" s="9"/>
      <c r="F1334" s="9" t="s">
        <v>52</v>
      </c>
      <c r="G1334" s="9" t="s">
        <v>1630</v>
      </c>
      <c r="H1334" s="9" t="s">
        <v>1631</v>
      </c>
      <c r="I1334" s="9"/>
      <c r="J1334" s="9"/>
      <c r="K1334" s="9"/>
      <c r="L1334" s="9"/>
      <c r="M1334" s="9"/>
      <c r="N1334" s="9" t="s">
        <v>79</v>
      </c>
      <c r="O1334" s="9" t="s">
        <v>94</v>
      </c>
      <c r="P1334" s="9"/>
      <c r="Q1334" s="9" t="s">
        <v>308</v>
      </c>
      <c r="R1334" s="9"/>
      <c r="S1334" s="9"/>
      <c r="T1334" s="9" t="s">
        <v>409</v>
      </c>
      <c r="U1334" s="9" t="s">
        <v>63</v>
      </c>
      <c r="V1334" s="9" t="n">
        <v>0.85</v>
      </c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 t="n">
        <v>50000</v>
      </c>
      <c r="AI1334" s="9"/>
      <c r="AJ1334" s="9" t="n">
        <f aca="false">X1334*$V1334</f>
        <v>0</v>
      </c>
      <c r="AK1334" s="9" t="n">
        <f aca="false">Y1334*$V1334</f>
        <v>0</v>
      </c>
      <c r="AL1334" s="9" t="n">
        <f aca="false">Z1334*$V1334</f>
        <v>0</v>
      </c>
      <c r="AM1334" s="9" t="n">
        <f aca="false">AA1334*$V1334</f>
        <v>0</v>
      </c>
      <c r="AN1334" s="9" t="n">
        <f aca="false">AB1334*$V1334</f>
        <v>0</v>
      </c>
      <c r="AO1334" s="9" t="n">
        <f aca="false">AC1334*$V1334</f>
        <v>0</v>
      </c>
      <c r="AP1334" s="9" t="n">
        <f aca="false">AD1334*$V1334</f>
        <v>0</v>
      </c>
      <c r="AQ1334" s="9" t="n">
        <f aca="false">AE1334*$V1334</f>
        <v>0</v>
      </c>
      <c r="AR1334" s="9" t="n">
        <f aca="false">AF1334*$V1334</f>
        <v>0</v>
      </c>
      <c r="AS1334" s="9" t="n">
        <f aca="false">AG1334*$V1334</f>
        <v>0</v>
      </c>
      <c r="AT1334" s="9" t="n">
        <f aca="false">AH1334*$V1334</f>
        <v>42500</v>
      </c>
      <c r="AU1334" s="9" t="n">
        <f aca="false">AI1334*$V1334</f>
        <v>0</v>
      </c>
      <c r="AV1334" s="9" t="n">
        <f aca="false">SUM(X1334:AI1334)/1000</f>
        <v>50</v>
      </c>
      <c r="AW1334" s="9" t="n">
        <f aca="false">SUM(AJ1334:AU1334)</f>
        <v>42500</v>
      </c>
      <c r="AX1334" s="9" t="n">
        <f aca="false">IF(D1334="INR",AW1334/88.24,AW1334)/1000000</f>
        <v>0.000481640979147779</v>
      </c>
    </row>
    <row r="1335" s="2" customFormat="true" ht="14.25" hidden="false" customHeight="false" outlineLevel="0" collapsed="false">
      <c r="A1335" s="12" t="s">
        <v>2542</v>
      </c>
      <c r="B1335" s="16"/>
      <c r="C1335" s="15"/>
      <c r="D1335" s="16" t="s">
        <v>102</v>
      </c>
      <c r="E1335" s="16" t="s">
        <v>51</v>
      </c>
      <c r="F1335" s="16" t="s">
        <v>52</v>
      </c>
      <c r="G1335" s="16" t="s">
        <v>1528</v>
      </c>
      <c r="H1335" s="16" t="s">
        <v>1529</v>
      </c>
      <c r="I1335" s="16" t="s">
        <v>303</v>
      </c>
      <c r="J1335" s="16" t="s">
        <v>304</v>
      </c>
      <c r="K1335" s="16"/>
      <c r="L1335" s="16" t="s">
        <v>303</v>
      </c>
      <c r="M1335" s="16" t="s">
        <v>304</v>
      </c>
      <c r="N1335" s="16" t="s">
        <v>93</v>
      </c>
      <c r="O1335" s="16" t="s">
        <v>107</v>
      </c>
      <c r="P1335" s="16" t="s">
        <v>262</v>
      </c>
      <c r="Q1335" s="16" t="s">
        <v>262</v>
      </c>
      <c r="R1335" s="16" t="s">
        <v>263</v>
      </c>
      <c r="S1335" s="16" t="s">
        <v>264</v>
      </c>
      <c r="T1335" s="16" t="s">
        <v>2543</v>
      </c>
      <c r="U1335" s="16" t="s">
        <v>73</v>
      </c>
      <c r="V1335" s="16" t="n">
        <v>0.32</v>
      </c>
      <c r="W1335" s="16" t="n">
        <v>0.149</v>
      </c>
      <c r="X1335" s="22"/>
      <c r="Y1335" s="16"/>
      <c r="Z1335" s="16" t="n">
        <v>3000</v>
      </c>
      <c r="AA1335" s="16"/>
      <c r="AB1335" s="16"/>
      <c r="AC1335" s="16"/>
      <c r="AD1335" s="16" t="n">
        <v>3000</v>
      </c>
      <c r="AE1335" s="16"/>
      <c r="AF1335" s="16"/>
      <c r="AG1335" s="16"/>
      <c r="AH1335" s="16"/>
      <c r="AI1335" s="16"/>
      <c r="AJ1335" s="9" t="n">
        <f aca="false">X1335*$V1335</f>
        <v>0</v>
      </c>
      <c r="AK1335" s="9" t="n">
        <f aca="false">Y1335*$V1335</f>
        <v>0</v>
      </c>
      <c r="AL1335" s="9" t="n">
        <f aca="false">Z1335*$V1335</f>
        <v>960</v>
      </c>
      <c r="AM1335" s="9" t="n">
        <f aca="false">AA1335*$V1335</f>
        <v>0</v>
      </c>
      <c r="AN1335" s="9" t="n">
        <f aca="false">AB1335*$V1335</f>
        <v>0</v>
      </c>
      <c r="AO1335" s="9" t="n">
        <f aca="false">AC1335*$V1335</f>
        <v>0</v>
      </c>
      <c r="AP1335" s="9" t="n">
        <f aca="false">AD1335*$V1335</f>
        <v>960</v>
      </c>
      <c r="AQ1335" s="9" t="n">
        <f aca="false">AE1335*$V1335</f>
        <v>0</v>
      </c>
      <c r="AR1335" s="9" t="n">
        <f aca="false">AF1335*$V1335</f>
        <v>0</v>
      </c>
      <c r="AS1335" s="9" t="n">
        <f aca="false">AG1335*$V1335</f>
        <v>0</v>
      </c>
      <c r="AT1335" s="9" t="n">
        <f aca="false">AH1335*$V1335</f>
        <v>0</v>
      </c>
      <c r="AU1335" s="9" t="n">
        <f aca="false">AI1335*$V1335</f>
        <v>0</v>
      </c>
      <c r="AV1335" s="9" t="n">
        <f aca="false">SUM(X1335:AI1335)/1000</f>
        <v>6</v>
      </c>
      <c r="AW1335" s="9" t="n">
        <f aca="false">SUM(AJ1335:AU1335)</f>
        <v>1920</v>
      </c>
      <c r="AX1335" s="9" t="n">
        <f aca="false">IF(D1335="INR",AW1335/88.24,AW1335)/1000000</f>
        <v>0.00192</v>
      </c>
    </row>
    <row r="1336" s="2" customFormat="true" ht="16.4" hidden="false" customHeight="false" outlineLevel="0" collapsed="false">
      <c r="A1336" s="16" t="s">
        <v>2544</v>
      </c>
      <c r="B1336" s="16" t="n">
        <v>5</v>
      </c>
      <c r="C1336" s="16"/>
      <c r="D1336" s="16" t="s">
        <v>102</v>
      </c>
      <c r="E1336" s="16" t="s">
        <v>51</v>
      </c>
      <c r="F1336" s="16" t="s">
        <v>52</v>
      </c>
      <c r="G1336" s="16" t="s">
        <v>1528</v>
      </c>
      <c r="H1336" s="16" t="s">
        <v>1529</v>
      </c>
      <c r="I1336" s="16" t="s">
        <v>303</v>
      </c>
      <c r="J1336" s="16" t="s">
        <v>304</v>
      </c>
      <c r="K1336" s="16"/>
      <c r="L1336" s="16" t="s">
        <v>303</v>
      </c>
      <c r="M1336" s="16" t="s">
        <v>304</v>
      </c>
      <c r="N1336" s="16" t="s">
        <v>93</v>
      </c>
      <c r="O1336" s="16" t="s">
        <v>107</v>
      </c>
      <c r="P1336" s="16" t="s">
        <v>262</v>
      </c>
      <c r="Q1336" s="16" t="s">
        <v>262</v>
      </c>
      <c r="R1336" s="16" t="s">
        <v>263</v>
      </c>
      <c r="S1336" s="26" t="s">
        <v>264</v>
      </c>
      <c r="T1336" s="16" t="s">
        <v>2545</v>
      </c>
      <c r="U1336" s="16" t="s">
        <v>73</v>
      </c>
      <c r="V1336" s="16" t="n">
        <v>0.0646</v>
      </c>
      <c r="W1336" s="16" t="n">
        <v>0.0595</v>
      </c>
      <c r="X1336" s="16"/>
      <c r="Y1336" s="16"/>
      <c r="Z1336" s="16" t="n">
        <v>3000</v>
      </c>
      <c r="AA1336" s="16"/>
      <c r="AB1336" s="16"/>
      <c r="AC1336" s="16"/>
      <c r="AD1336" s="16" t="n">
        <v>3000</v>
      </c>
      <c r="AE1336" s="16"/>
      <c r="AF1336" s="16"/>
      <c r="AG1336" s="16"/>
      <c r="AH1336" s="16"/>
      <c r="AI1336" s="16"/>
      <c r="AJ1336" s="9" t="n">
        <f aca="false">X1336*$V1336</f>
        <v>0</v>
      </c>
      <c r="AK1336" s="9" t="n">
        <f aca="false">Y1336*$V1336</f>
        <v>0</v>
      </c>
      <c r="AL1336" s="9" t="n">
        <f aca="false">Z1336*$V1336</f>
        <v>193.8</v>
      </c>
      <c r="AM1336" s="9" t="n">
        <f aca="false">AA1336*$V1336</f>
        <v>0</v>
      </c>
      <c r="AN1336" s="9" t="n">
        <f aca="false">AB1336*$V1336</f>
        <v>0</v>
      </c>
      <c r="AO1336" s="9" t="n">
        <f aca="false">AC1336*$V1336</f>
        <v>0</v>
      </c>
      <c r="AP1336" s="9" t="n">
        <f aca="false">AD1336*$V1336</f>
        <v>193.8</v>
      </c>
      <c r="AQ1336" s="9" t="n">
        <f aca="false">AE1336*$V1336</f>
        <v>0</v>
      </c>
      <c r="AR1336" s="9" t="n">
        <f aca="false">AF1336*$V1336</f>
        <v>0</v>
      </c>
      <c r="AS1336" s="9" t="n">
        <f aca="false">AG1336*$V1336</f>
        <v>0</v>
      </c>
      <c r="AT1336" s="9" t="n">
        <f aca="false">AH1336*$V1336</f>
        <v>0</v>
      </c>
      <c r="AU1336" s="9" t="n">
        <f aca="false">AI1336*$V1336</f>
        <v>0</v>
      </c>
      <c r="AV1336" s="9" t="n">
        <f aca="false">SUM(X1336:AI1336)/1000</f>
        <v>6</v>
      </c>
      <c r="AW1336" s="9" t="n">
        <f aca="false">SUM(AJ1336:AU1336)</f>
        <v>387.6</v>
      </c>
      <c r="AX1336" s="9" t="n">
        <f aca="false">IF(D1336="INR",AW1336/88.24,AW1336)/1000000</f>
        <v>0.0003876</v>
      </c>
    </row>
    <row r="1337" s="2" customFormat="true" ht="16.4" hidden="false" customHeight="false" outlineLevel="0" collapsed="false">
      <c r="A1337" s="16" t="s">
        <v>2546</v>
      </c>
      <c r="B1337" s="16"/>
      <c r="C1337" s="16"/>
      <c r="D1337" s="16" t="s">
        <v>102</v>
      </c>
      <c r="E1337" s="16" t="s">
        <v>51</v>
      </c>
      <c r="F1337" s="16" t="s">
        <v>52</v>
      </c>
      <c r="G1337" s="16" t="s">
        <v>1528</v>
      </c>
      <c r="H1337" s="16" t="s">
        <v>1529</v>
      </c>
      <c r="I1337" s="16" t="s">
        <v>303</v>
      </c>
      <c r="J1337" s="16" t="s">
        <v>304</v>
      </c>
      <c r="K1337" s="16"/>
      <c r="L1337" s="16" t="s">
        <v>303</v>
      </c>
      <c r="M1337" s="16" t="s">
        <v>304</v>
      </c>
      <c r="N1337" s="16" t="s">
        <v>93</v>
      </c>
      <c r="O1337" s="16" t="s">
        <v>107</v>
      </c>
      <c r="P1337" s="16" t="s">
        <v>262</v>
      </c>
      <c r="Q1337" s="16" t="s">
        <v>262</v>
      </c>
      <c r="R1337" s="16" t="s">
        <v>263</v>
      </c>
      <c r="S1337" s="16" t="s">
        <v>264</v>
      </c>
      <c r="T1337" s="16" t="s">
        <v>2547</v>
      </c>
      <c r="U1337" s="16" t="s">
        <v>73</v>
      </c>
      <c r="V1337" s="16" t="n">
        <v>0.0178</v>
      </c>
      <c r="W1337" s="16" t="n">
        <v>0.01679</v>
      </c>
      <c r="X1337" s="16"/>
      <c r="Y1337" s="16"/>
      <c r="Z1337" s="16" t="n">
        <v>3000</v>
      </c>
      <c r="AA1337" s="16"/>
      <c r="AB1337" s="16"/>
      <c r="AC1337" s="16"/>
      <c r="AD1337" s="16" t="n">
        <v>3000</v>
      </c>
      <c r="AE1337" s="16"/>
      <c r="AF1337" s="16"/>
      <c r="AG1337" s="16"/>
      <c r="AH1337" s="16"/>
      <c r="AI1337" s="16"/>
      <c r="AJ1337" s="9" t="n">
        <f aca="false">X1337*$V1337</f>
        <v>0</v>
      </c>
      <c r="AK1337" s="9" t="n">
        <f aca="false">Y1337*$V1337</f>
        <v>0</v>
      </c>
      <c r="AL1337" s="9" t="n">
        <f aca="false">Z1337*$V1337</f>
        <v>53.4</v>
      </c>
      <c r="AM1337" s="9" t="n">
        <f aca="false">AA1337*$V1337</f>
        <v>0</v>
      </c>
      <c r="AN1337" s="9" t="n">
        <f aca="false">AB1337*$V1337</f>
        <v>0</v>
      </c>
      <c r="AO1337" s="9" t="n">
        <f aca="false">AC1337*$V1337</f>
        <v>0</v>
      </c>
      <c r="AP1337" s="9" t="n">
        <f aca="false">AD1337*$V1337</f>
        <v>53.4</v>
      </c>
      <c r="AQ1337" s="9" t="n">
        <f aca="false">AE1337*$V1337</f>
        <v>0</v>
      </c>
      <c r="AR1337" s="9" t="n">
        <f aca="false">AF1337*$V1337</f>
        <v>0</v>
      </c>
      <c r="AS1337" s="9" t="n">
        <f aca="false">AG1337*$V1337</f>
        <v>0</v>
      </c>
      <c r="AT1337" s="9" t="n">
        <f aca="false">AH1337*$V1337</f>
        <v>0</v>
      </c>
      <c r="AU1337" s="9" t="n">
        <f aca="false">AI1337*$V1337</f>
        <v>0</v>
      </c>
      <c r="AV1337" s="9" t="n">
        <f aca="false">SUM(X1337:AI1337)/1000</f>
        <v>6</v>
      </c>
      <c r="AW1337" s="9" t="n">
        <f aca="false">SUM(AJ1337:AU1337)</f>
        <v>106.8</v>
      </c>
      <c r="AX1337" s="9" t="n">
        <f aca="false">IF(D1337="INR",AW1337/88.24,AW1337)/1000000</f>
        <v>0.0001068</v>
      </c>
    </row>
    <row r="1338" s="2" customFormat="true" ht="16.4" hidden="false" customHeight="false" outlineLevel="0" collapsed="false">
      <c r="A1338" s="9" t="s">
        <v>2548</v>
      </c>
      <c r="B1338" s="9" t="n">
        <v>5</v>
      </c>
      <c r="C1338" s="10"/>
      <c r="D1338" s="9" t="s">
        <v>102</v>
      </c>
      <c r="E1338" s="9" t="s">
        <v>51</v>
      </c>
      <c r="F1338" s="9" t="s">
        <v>52</v>
      </c>
      <c r="G1338" s="9" t="s">
        <v>1528</v>
      </c>
      <c r="H1338" s="9" t="s">
        <v>1529</v>
      </c>
      <c r="I1338" s="9" t="s">
        <v>303</v>
      </c>
      <c r="J1338" s="9" t="s">
        <v>304</v>
      </c>
      <c r="K1338" s="9"/>
      <c r="L1338" s="9" t="s">
        <v>303</v>
      </c>
      <c r="M1338" s="9" t="s">
        <v>304</v>
      </c>
      <c r="N1338" s="9" t="s">
        <v>93</v>
      </c>
      <c r="O1338" s="9" t="s">
        <v>107</v>
      </c>
      <c r="P1338" s="9" t="s">
        <v>208</v>
      </c>
      <c r="Q1338" s="9" t="s">
        <v>208</v>
      </c>
      <c r="R1338" s="9" t="s">
        <v>309</v>
      </c>
      <c r="S1338" s="9" t="s">
        <v>87</v>
      </c>
      <c r="T1338" s="9" t="s">
        <v>2549</v>
      </c>
      <c r="U1338" s="9" t="s">
        <v>73</v>
      </c>
      <c r="V1338" s="9" t="n">
        <v>0.3</v>
      </c>
      <c r="W1338" s="9" t="n">
        <v>0.2708</v>
      </c>
      <c r="X1338" s="9"/>
      <c r="Y1338" s="9"/>
      <c r="Z1338" s="9" t="n">
        <v>2000</v>
      </c>
      <c r="AA1338" s="9"/>
      <c r="AB1338" s="9"/>
      <c r="AC1338" s="9"/>
      <c r="AD1338" s="9"/>
      <c r="AE1338" s="9"/>
      <c r="AF1338" s="9"/>
      <c r="AG1338" s="9"/>
      <c r="AH1338" s="9"/>
      <c r="AI1338" s="9"/>
      <c r="AJ1338" s="9" t="n">
        <f aca="false">X1338*$V1338</f>
        <v>0</v>
      </c>
      <c r="AK1338" s="9" t="n">
        <f aca="false">Y1338*$V1338</f>
        <v>0</v>
      </c>
      <c r="AL1338" s="9" t="n">
        <f aca="false">Z1338*$V1338</f>
        <v>600</v>
      </c>
      <c r="AM1338" s="9" t="n">
        <f aca="false">AA1338*$V1338</f>
        <v>0</v>
      </c>
      <c r="AN1338" s="9" t="n">
        <f aca="false">AB1338*$V1338</f>
        <v>0</v>
      </c>
      <c r="AO1338" s="9" t="n">
        <f aca="false">AC1338*$V1338</f>
        <v>0</v>
      </c>
      <c r="AP1338" s="9" t="n">
        <f aca="false">AD1338*$V1338</f>
        <v>0</v>
      </c>
      <c r="AQ1338" s="9" t="n">
        <f aca="false">AE1338*$V1338</f>
        <v>0</v>
      </c>
      <c r="AR1338" s="9" t="n">
        <f aca="false">AF1338*$V1338</f>
        <v>0</v>
      </c>
      <c r="AS1338" s="9" t="n">
        <f aca="false">AG1338*$V1338</f>
        <v>0</v>
      </c>
      <c r="AT1338" s="9" t="n">
        <f aca="false">AH1338*$V1338</f>
        <v>0</v>
      </c>
      <c r="AU1338" s="9" t="n">
        <f aca="false">AI1338*$V1338</f>
        <v>0</v>
      </c>
      <c r="AV1338" s="9" t="n">
        <f aca="false">SUM(X1338:AI1338)/1000</f>
        <v>2</v>
      </c>
      <c r="AW1338" s="9" t="n">
        <f aca="false">SUM(AJ1338:AU1338)</f>
        <v>600</v>
      </c>
      <c r="AX1338" s="9" t="n">
        <f aca="false">IF(D1338="INR",AW1338/88.24,AW1338)/1000000</f>
        <v>0.0006</v>
      </c>
    </row>
    <row r="1339" s="2" customFormat="true" ht="14.25" hidden="false" customHeight="false" outlineLevel="0" collapsed="false">
      <c r="A1339" s="12" t="s">
        <v>2550</v>
      </c>
      <c r="B1339" s="16"/>
      <c r="C1339" s="15"/>
      <c r="D1339" s="16" t="s">
        <v>50</v>
      </c>
      <c r="E1339" s="16" t="s">
        <v>51</v>
      </c>
      <c r="F1339" s="16" t="s">
        <v>52</v>
      </c>
      <c r="G1339" s="16" t="s">
        <v>1630</v>
      </c>
      <c r="H1339" s="16" t="s">
        <v>1631</v>
      </c>
      <c r="I1339" s="16" t="s">
        <v>260</v>
      </c>
      <c r="J1339" s="16" t="s">
        <v>276</v>
      </c>
      <c r="K1339" s="16"/>
      <c r="L1339" s="16" t="s">
        <v>260</v>
      </c>
      <c r="M1339" s="16" t="s">
        <v>276</v>
      </c>
      <c r="N1339" s="16" t="s">
        <v>79</v>
      </c>
      <c r="O1339" s="16" t="s">
        <v>94</v>
      </c>
      <c r="P1339" s="16" t="s">
        <v>262</v>
      </c>
      <c r="Q1339" s="16" t="s">
        <v>262</v>
      </c>
      <c r="R1339" s="16" t="s">
        <v>263</v>
      </c>
      <c r="S1339" s="16" t="s">
        <v>264</v>
      </c>
      <c r="T1339" s="16" t="s">
        <v>1659</v>
      </c>
      <c r="U1339" s="16" t="s">
        <v>73</v>
      </c>
      <c r="V1339" s="16" t="n">
        <v>3.1</v>
      </c>
      <c r="W1339" s="16" t="n">
        <v>0.02247</v>
      </c>
      <c r="X1339" s="16" t="n">
        <v>0</v>
      </c>
      <c r="Y1339" s="16" t="n">
        <v>7500</v>
      </c>
      <c r="Z1339" s="16" t="n">
        <v>0</v>
      </c>
      <c r="AA1339" s="16" t="n">
        <v>7500</v>
      </c>
      <c r="AB1339" s="16" t="n">
        <v>0</v>
      </c>
      <c r="AC1339" s="16" t="n">
        <v>7500</v>
      </c>
      <c r="AD1339" s="16" t="n">
        <v>0</v>
      </c>
      <c r="AE1339" s="16" t="n">
        <v>7500</v>
      </c>
      <c r="AF1339" s="16" t="n">
        <v>0</v>
      </c>
      <c r="AG1339" s="16" t="n">
        <v>7500</v>
      </c>
      <c r="AH1339" s="16" t="n">
        <v>0</v>
      </c>
      <c r="AI1339" s="16" t="n">
        <v>7500</v>
      </c>
      <c r="AJ1339" s="9" t="n">
        <f aca="false">X1339*$V1339</f>
        <v>0</v>
      </c>
      <c r="AK1339" s="9" t="n">
        <f aca="false">Y1339*$V1339</f>
        <v>23250</v>
      </c>
      <c r="AL1339" s="9" t="n">
        <f aca="false">Z1339*$V1339</f>
        <v>0</v>
      </c>
      <c r="AM1339" s="9" t="n">
        <f aca="false">AA1339*$V1339</f>
        <v>23250</v>
      </c>
      <c r="AN1339" s="9" t="n">
        <f aca="false">AB1339*$V1339</f>
        <v>0</v>
      </c>
      <c r="AO1339" s="9" t="n">
        <f aca="false">AC1339*$V1339</f>
        <v>23250</v>
      </c>
      <c r="AP1339" s="9" t="n">
        <f aca="false">AD1339*$V1339</f>
        <v>0</v>
      </c>
      <c r="AQ1339" s="9" t="n">
        <f aca="false">AE1339*$V1339</f>
        <v>23250</v>
      </c>
      <c r="AR1339" s="9" t="n">
        <f aca="false">AF1339*$V1339</f>
        <v>0</v>
      </c>
      <c r="AS1339" s="9" t="n">
        <f aca="false">AG1339*$V1339</f>
        <v>23250</v>
      </c>
      <c r="AT1339" s="9" t="n">
        <f aca="false">AH1339*$V1339</f>
        <v>0</v>
      </c>
      <c r="AU1339" s="9" t="n">
        <f aca="false">AI1339*$V1339</f>
        <v>23250</v>
      </c>
      <c r="AV1339" s="9" t="n">
        <f aca="false">SUM(X1339:AI1339)/1000</f>
        <v>45</v>
      </c>
      <c r="AW1339" s="9" t="n">
        <f aca="false">SUM(AJ1339:AU1339)</f>
        <v>139500</v>
      </c>
      <c r="AX1339" s="9" t="n">
        <f aca="false">IF(D1339="INR",AW1339/88.24,AW1339)/1000000</f>
        <v>0.00158091568449683</v>
      </c>
      <c r="AY1339" s="27"/>
    </row>
    <row r="1340" s="2" customFormat="true" ht="16.4" hidden="false" customHeight="false" outlineLevel="0" collapsed="false">
      <c r="A1340" s="16" t="s">
        <v>2551</v>
      </c>
      <c r="B1340" s="16"/>
      <c r="C1340" s="16"/>
      <c r="D1340" s="16" t="s">
        <v>50</v>
      </c>
      <c r="E1340" s="16" t="s">
        <v>51</v>
      </c>
      <c r="F1340" s="16" t="s">
        <v>52</v>
      </c>
      <c r="G1340" s="16" t="s">
        <v>1630</v>
      </c>
      <c r="H1340" s="16" t="s">
        <v>1631</v>
      </c>
      <c r="I1340" s="16" t="s">
        <v>260</v>
      </c>
      <c r="J1340" s="16" t="s">
        <v>276</v>
      </c>
      <c r="K1340" s="16"/>
      <c r="L1340" s="16" t="s">
        <v>260</v>
      </c>
      <c r="M1340" s="16" t="s">
        <v>276</v>
      </c>
      <c r="N1340" s="16" t="s">
        <v>79</v>
      </c>
      <c r="O1340" s="16" t="s">
        <v>94</v>
      </c>
      <c r="P1340" s="16" t="s">
        <v>1986</v>
      </c>
      <c r="Q1340" s="16" t="s">
        <v>1986</v>
      </c>
      <c r="R1340" s="16" t="s">
        <v>377</v>
      </c>
      <c r="S1340" s="16" t="s">
        <v>264</v>
      </c>
      <c r="T1340" s="16" t="s">
        <v>2552</v>
      </c>
      <c r="U1340" s="16" t="s">
        <v>73</v>
      </c>
      <c r="V1340" s="16" t="n">
        <v>19.78</v>
      </c>
      <c r="W1340" s="16" t="n">
        <v>0.18</v>
      </c>
      <c r="X1340" s="16"/>
      <c r="Y1340" s="16"/>
      <c r="Z1340" s="16"/>
      <c r="AA1340" s="16"/>
      <c r="AB1340" s="16"/>
      <c r="AC1340" s="16" t="n">
        <v>3000</v>
      </c>
      <c r="AD1340" s="16"/>
      <c r="AE1340" s="16"/>
      <c r="AF1340" s="16" t="n">
        <v>3000</v>
      </c>
      <c r="AG1340" s="16"/>
      <c r="AH1340" s="16"/>
      <c r="AI1340" s="16"/>
      <c r="AJ1340" s="9" t="n">
        <f aca="false">X1340*$V1340</f>
        <v>0</v>
      </c>
      <c r="AK1340" s="9" t="n">
        <f aca="false">Y1340*$V1340</f>
        <v>0</v>
      </c>
      <c r="AL1340" s="9" t="n">
        <f aca="false">Z1340*$V1340</f>
        <v>0</v>
      </c>
      <c r="AM1340" s="9" t="n">
        <f aca="false">AA1340*$V1340</f>
        <v>0</v>
      </c>
      <c r="AN1340" s="9" t="n">
        <f aca="false">AB1340*$V1340</f>
        <v>0</v>
      </c>
      <c r="AO1340" s="9" t="n">
        <f aca="false">AC1340*$V1340</f>
        <v>59340</v>
      </c>
      <c r="AP1340" s="9" t="n">
        <f aca="false">AD1340*$V1340</f>
        <v>0</v>
      </c>
      <c r="AQ1340" s="9" t="n">
        <f aca="false">AE1340*$V1340</f>
        <v>0</v>
      </c>
      <c r="AR1340" s="9" t="n">
        <f aca="false">AF1340*$V1340</f>
        <v>59340</v>
      </c>
      <c r="AS1340" s="9" t="n">
        <f aca="false">AG1340*$V1340</f>
        <v>0</v>
      </c>
      <c r="AT1340" s="9" t="n">
        <f aca="false">AH1340*$V1340</f>
        <v>0</v>
      </c>
      <c r="AU1340" s="9" t="n">
        <f aca="false">AI1340*$V1340</f>
        <v>0</v>
      </c>
      <c r="AV1340" s="9" t="n">
        <f aca="false">SUM(X1340:AI1340)/1000</f>
        <v>6</v>
      </c>
      <c r="AW1340" s="9" t="n">
        <f aca="false">SUM(AJ1340:AU1340)</f>
        <v>118680</v>
      </c>
      <c r="AX1340" s="9" t="n">
        <f aca="false">IF(D1340="INR",AW1340/88.24,AW1340)/1000000</f>
        <v>0.00134496826835902</v>
      </c>
    </row>
    <row r="1341" s="2" customFormat="true" ht="16.4" hidden="false" customHeight="false" outlineLevel="0" collapsed="false">
      <c r="A1341" s="16" t="s">
        <v>2553</v>
      </c>
      <c r="B1341" s="9" t="n">
        <v>5</v>
      </c>
      <c r="C1341" s="9"/>
      <c r="D1341" s="16" t="s">
        <v>102</v>
      </c>
      <c r="E1341" s="9" t="s">
        <v>51</v>
      </c>
      <c r="F1341" s="16" t="s">
        <v>52</v>
      </c>
      <c r="G1341" s="16" t="s">
        <v>301</v>
      </c>
      <c r="H1341" s="9" t="s">
        <v>302</v>
      </c>
      <c r="I1341" s="9" t="s">
        <v>303</v>
      </c>
      <c r="J1341" s="9" t="s">
        <v>304</v>
      </c>
      <c r="K1341" s="9" t="s">
        <v>2554</v>
      </c>
      <c r="L1341" s="9" t="s">
        <v>303</v>
      </c>
      <c r="M1341" s="9" t="s">
        <v>304</v>
      </c>
      <c r="N1341" s="16" t="s">
        <v>93</v>
      </c>
      <c r="O1341" s="9" t="s">
        <v>107</v>
      </c>
      <c r="P1341" s="9" t="s">
        <v>348</v>
      </c>
      <c r="Q1341" s="16" t="s">
        <v>348</v>
      </c>
      <c r="R1341" s="9" t="s">
        <v>800</v>
      </c>
      <c r="S1341" s="9" t="s">
        <v>87</v>
      </c>
      <c r="T1341" s="9" t="s">
        <v>2555</v>
      </c>
      <c r="U1341" s="9" t="s">
        <v>73</v>
      </c>
      <c r="V1341" s="9" t="n">
        <v>0.00096</v>
      </c>
      <c r="W1341" s="9" t="n">
        <v>0.00086</v>
      </c>
      <c r="X1341" s="9" t="n">
        <v>250000</v>
      </c>
      <c r="Y1341" s="9"/>
      <c r="Z1341" s="9" t="n">
        <v>250000</v>
      </c>
      <c r="AA1341" s="9"/>
      <c r="AB1341" s="9" t="n">
        <v>250000</v>
      </c>
      <c r="AC1341" s="9"/>
      <c r="AD1341" s="9" t="n">
        <v>250000</v>
      </c>
      <c r="AE1341" s="9"/>
      <c r="AF1341" s="16" t="n">
        <v>250000</v>
      </c>
      <c r="AG1341" s="16"/>
      <c r="AH1341" s="16" t="n">
        <v>250000</v>
      </c>
      <c r="AI1341" s="16"/>
      <c r="AJ1341" s="9" t="n">
        <f aca="false">X1341*$V1341</f>
        <v>240</v>
      </c>
      <c r="AK1341" s="9" t="n">
        <f aca="false">Y1341*$V1341</f>
        <v>0</v>
      </c>
      <c r="AL1341" s="9" t="n">
        <f aca="false">Z1341*$V1341</f>
        <v>240</v>
      </c>
      <c r="AM1341" s="9" t="n">
        <f aca="false">AA1341*$V1341</f>
        <v>0</v>
      </c>
      <c r="AN1341" s="9" t="n">
        <f aca="false">AB1341*$V1341</f>
        <v>240</v>
      </c>
      <c r="AO1341" s="9" t="n">
        <f aca="false">AC1341*$V1341</f>
        <v>0</v>
      </c>
      <c r="AP1341" s="9" t="n">
        <f aca="false">AD1341*$V1341</f>
        <v>240</v>
      </c>
      <c r="AQ1341" s="9" t="n">
        <f aca="false">AE1341*$V1341</f>
        <v>0</v>
      </c>
      <c r="AR1341" s="9" t="n">
        <f aca="false">AF1341*$V1341</f>
        <v>240</v>
      </c>
      <c r="AS1341" s="9" t="n">
        <f aca="false">AG1341*$V1341</f>
        <v>0</v>
      </c>
      <c r="AT1341" s="9" t="n">
        <f aca="false">AH1341*$V1341</f>
        <v>240</v>
      </c>
      <c r="AU1341" s="9" t="n">
        <f aca="false">AI1341*$V1341</f>
        <v>0</v>
      </c>
      <c r="AV1341" s="9" t="n">
        <f aca="false">SUM(X1341:AI1341)/1000</f>
        <v>1500</v>
      </c>
      <c r="AW1341" s="9" t="n">
        <f aca="false">SUM(AJ1341:AU1341)</f>
        <v>1440</v>
      </c>
      <c r="AX1341" s="9" t="n">
        <f aca="false">IF(D1341="INR",AW1341/88.24,AW1341)/1000000</f>
        <v>0.00144</v>
      </c>
    </row>
    <row r="1342" s="2" customFormat="true" ht="14.25" hidden="false" customHeight="false" outlineLevel="0" collapsed="false">
      <c r="A1342" s="12" t="s">
        <v>2556</v>
      </c>
      <c r="B1342" s="16"/>
      <c r="C1342" s="15" t="n">
        <v>5</v>
      </c>
      <c r="D1342" s="16" t="s">
        <v>50</v>
      </c>
      <c r="E1342" s="16" t="s">
        <v>51</v>
      </c>
      <c r="F1342" s="16" t="s">
        <v>52</v>
      </c>
      <c r="G1342" s="16" t="s">
        <v>2557</v>
      </c>
      <c r="H1342" s="16" t="s">
        <v>2558</v>
      </c>
      <c r="I1342" s="16" t="s">
        <v>260</v>
      </c>
      <c r="J1342" s="16" t="s">
        <v>987</v>
      </c>
      <c r="K1342" s="16"/>
      <c r="L1342" s="16" t="s">
        <v>260</v>
      </c>
      <c r="M1342" s="16" t="s">
        <v>987</v>
      </c>
      <c r="N1342" s="16" t="s">
        <v>290</v>
      </c>
      <c r="O1342" s="16" t="s">
        <v>94</v>
      </c>
      <c r="P1342" s="16" t="s">
        <v>69</v>
      </c>
      <c r="Q1342" s="16" t="s">
        <v>69</v>
      </c>
      <c r="R1342" s="16" t="s">
        <v>70</v>
      </c>
      <c r="S1342" s="16" t="s">
        <v>71</v>
      </c>
      <c r="T1342" s="16" t="s">
        <v>2559</v>
      </c>
      <c r="U1342" s="16" t="s">
        <v>73</v>
      </c>
      <c r="V1342" s="16" t="n">
        <v>70</v>
      </c>
      <c r="W1342" s="16" t="n">
        <v>0.55</v>
      </c>
      <c r="X1342" s="16"/>
      <c r="Y1342" s="16"/>
      <c r="Z1342" s="16"/>
      <c r="AA1342" s="16"/>
      <c r="AB1342" s="16" t="n">
        <v>4000</v>
      </c>
      <c r="AC1342" s="16"/>
      <c r="AD1342" s="16"/>
      <c r="AE1342" s="16" t="n">
        <v>4000</v>
      </c>
      <c r="AF1342" s="16"/>
      <c r="AG1342" s="16"/>
      <c r="AH1342" s="16"/>
      <c r="AI1342" s="16" t="n">
        <v>4000</v>
      </c>
      <c r="AJ1342" s="9" t="n">
        <f aca="false">X1342*$V1342</f>
        <v>0</v>
      </c>
      <c r="AK1342" s="9" t="n">
        <f aca="false">Y1342*$V1342</f>
        <v>0</v>
      </c>
      <c r="AL1342" s="9" t="n">
        <f aca="false">Z1342*$V1342</f>
        <v>0</v>
      </c>
      <c r="AM1342" s="9" t="n">
        <f aca="false">AA1342*$V1342</f>
        <v>0</v>
      </c>
      <c r="AN1342" s="9" t="n">
        <f aca="false">AB1342*$V1342</f>
        <v>280000</v>
      </c>
      <c r="AO1342" s="9" t="n">
        <f aca="false">AC1342*$V1342</f>
        <v>0</v>
      </c>
      <c r="AP1342" s="9" t="n">
        <f aca="false">AD1342*$V1342</f>
        <v>0</v>
      </c>
      <c r="AQ1342" s="9" t="n">
        <f aca="false">AE1342*$V1342</f>
        <v>280000</v>
      </c>
      <c r="AR1342" s="9" t="n">
        <f aca="false">AF1342*$V1342</f>
        <v>0</v>
      </c>
      <c r="AS1342" s="9" t="n">
        <f aca="false">AG1342*$V1342</f>
        <v>0</v>
      </c>
      <c r="AT1342" s="9" t="n">
        <f aca="false">AH1342*$V1342</f>
        <v>0</v>
      </c>
      <c r="AU1342" s="9" t="n">
        <f aca="false">AI1342*$V1342</f>
        <v>280000</v>
      </c>
      <c r="AV1342" s="9" t="n">
        <f aca="false">SUM(X1342:AI1342)/1000</f>
        <v>12</v>
      </c>
      <c r="AW1342" s="9" t="n">
        <f aca="false">SUM(AJ1342:AU1342)</f>
        <v>840000</v>
      </c>
      <c r="AX1342" s="9" t="n">
        <f aca="false">IF(D1342="INR",AW1342/88.24,AW1342)/1000000</f>
        <v>0.00951949229374433</v>
      </c>
    </row>
    <row r="1343" s="2" customFormat="true" ht="14.25" hidden="false" customHeight="false" outlineLevel="0" collapsed="false">
      <c r="A1343" s="12" t="s">
        <v>2560</v>
      </c>
      <c r="B1343" s="16" t="n">
        <v>5</v>
      </c>
      <c r="C1343" s="15"/>
      <c r="D1343" s="16" t="s">
        <v>102</v>
      </c>
      <c r="E1343" s="16" t="s">
        <v>51</v>
      </c>
      <c r="F1343" s="16" t="s">
        <v>52</v>
      </c>
      <c r="G1343" s="16" t="s">
        <v>301</v>
      </c>
      <c r="H1343" s="16" t="s">
        <v>302</v>
      </c>
      <c r="I1343" s="16" t="s">
        <v>303</v>
      </c>
      <c r="J1343" s="16" t="s">
        <v>304</v>
      </c>
      <c r="K1343" s="16" t="s">
        <v>2554</v>
      </c>
      <c r="L1343" s="16" t="s">
        <v>303</v>
      </c>
      <c r="M1343" s="16" t="s">
        <v>304</v>
      </c>
      <c r="N1343" s="16" t="s">
        <v>93</v>
      </c>
      <c r="O1343" s="16" t="s">
        <v>107</v>
      </c>
      <c r="P1343" s="16" t="s">
        <v>348</v>
      </c>
      <c r="Q1343" s="16" t="s">
        <v>348</v>
      </c>
      <c r="R1343" s="16" t="s">
        <v>800</v>
      </c>
      <c r="S1343" s="16" t="s">
        <v>87</v>
      </c>
      <c r="T1343" s="16" t="s">
        <v>2561</v>
      </c>
      <c r="U1343" s="16" t="s">
        <v>73</v>
      </c>
      <c r="V1343" s="16" t="n">
        <v>0.02698</v>
      </c>
      <c r="W1343" s="16" t="n">
        <v>0.0166</v>
      </c>
      <c r="X1343" s="26" t="n">
        <v>200000</v>
      </c>
      <c r="Y1343" s="16"/>
      <c r="Z1343" s="26" t="n">
        <v>200000</v>
      </c>
      <c r="AA1343" s="16"/>
      <c r="AB1343" s="16" t="n">
        <v>200000</v>
      </c>
      <c r="AC1343" s="16"/>
      <c r="AD1343" s="16" t="n">
        <v>200000</v>
      </c>
      <c r="AE1343" s="16"/>
      <c r="AF1343" s="16" t="n">
        <v>200000</v>
      </c>
      <c r="AG1343" s="16"/>
      <c r="AH1343" s="16" t="n">
        <v>200000</v>
      </c>
      <c r="AI1343" s="16"/>
      <c r="AJ1343" s="9" t="n">
        <f aca="false">X1343*$V1343</f>
        <v>5396</v>
      </c>
      <c r="AK1343" s="9" t="n">
        <f aca="false">Y1343*$V1343</f>
        <v>0</v>
      </c>
      <c r="AL1343" s="9" t="n">
        <f aca="false">Z1343*$V1343</f>
        <v>5396</v>
      </c>
      <c r="AM1343" s="9" t="n">
        <f aca="false">AA1343*$V1343</f>
        <v>0</v>
      </c>
      <c r="AN1343" s="9" t="n">
        <f aca="false">AB1343*$V1343</f>
        <v>5396</v>
      </c>
      <c r="AO1343" s="9" t="n">
        <f aca="false">AC1343*$V1343</f>
        <v>0</v>
      </c>
      <c r="AP1343" s="9" t="n">
        <f aca="false">AD1343*$V1343</f>
        <v>5396</v>
      </c>
      <c r="AQ1343" s="9" t="n">
        <f aca="false">AE1343*$V1343</f>
        <v>0</v>
      </c>
      <c r="AR1343" s="9" t="n">
        <f aca="false">AF1343*$V1343</f>
        <v>5396</v>
      </c>
      <c r="AS1343" s="9" t="n">
        <f aca="false">AG1343*$V1343</f>
        <v>0</v>
      </c>
      <c r="AT1343" s="9" t="n">
        <f aca="false">AH1343*$V1343</f>
        <v>5396</v>
      </c>
      <c r="AU1343" s="9" t="n">
        <f aca="false">AI1343*$V1343</f>
        <v>0</v>
      </c>
      <c r="AV1343" s="9" t="n">
        <f aca="false">SUM(X1343:AI1343)/1000</f>
        <v>1200</v>
      </c>
      <c r="AW1343" s="9" t="n">
        <f aca="false">SUM(AJ1343:AU1343)</f>
        <v>32376</v>
      </c>
      <c r="AX1343" s="9" t="n">
        <f aca="false">IF(D1343="INR",AW1343/88.24,AW1343)/1000000</f>
        <v>0.032376</v>
      </c>
    </row>
    <row r="1344" s="2" customFormat="true" ht="14.25" hidden="false" customHeight="false" outlineLevel="0" collapsed="false">
      <c r="A1344" s="12" t="s">
        <v>2562</v>
      </c>
      <c r="B1344" s="16"/>
      <c r="C1344" s="15"/>
      <c r="D1344" s="16" t="s">
        <v>50</v>
      </c>
      <c r="E1344" s="16" t="s">
        <v>51</v>
      </c>
      <c r="F1344" s="16" t="s">
        <v>52</v>
      </c>
      <c r="G1344" s="16" t="s">
        <v>2563</v>
      </c>
      <c r="H1344" s="16" t="s">
        <v>2564</v>
      </c>
      <c r="I1344" s="16" t="s">
        <v>105</v>
      </c>
      <c r="J1344" s="16" t="s">
        <v>900</v>
      </c>
      <c r="K1344" s="16"/>
      <c r="L1344" s="16" t="s">
        <v>105</v>
      </c>
      <c r="M1344" s="16" t="s">
        <v>900</v>
      </c>
      <c r="N1344" s="16" t="s">
        <v>57</v>
      </c>
      <c r="O1344" s="16" t="s">
        <v>107</v>
      </c>
      <c r="P1344" s="16" t="s">
        <v>110</v>
      </c>
      <c r="Q1344" s="16" t="s">
        <v>110</v>
      </c>
      <c r="R1344" s="16" t="s">
        <v>137</v>
      </c>
      <c r="S1344" s="16" t="s">
        <v>272</v>
      </c>
      <c r="T1344" s="16" t="s">
        <v>2565</v>
      </c>
      <c r="U1344" s="16" t="s">
        <v>73</v>
      </c>
      <c r="V1344" s="16" t="n">
        <v>204</v>
      </c>
      <c r="W1344" s="16" t="n">
        <v>1.503</v>
      </c>
      <c r="X1344" s="16"/>
      <c r="Y1344" s="16"/>
      <c r="Z1344" s="16"/>
      <c r="AA1344" s="16" t="n">
        <v>238</v>
      </c>
      <c r="AB1344" s="16"/>
      <c r="AC1344" s="16"/>
      <c r="AD1344" s="16"/>
      <c r="AE1344" s="16" t="n">
        <v>238</v>
      </c>
      <c r="AF1344" s="16"/>
      <c r="AG1344" s="16"/>
      <c r="AH1344" s="16"/>
      <c r="AI1344" s="16"/>
      <c r="AJ1344" s="9" t="n">
        <f aca="false">X1344*$V1344</f>
        <v>0</v>
      </c>
      <c r="AK1344" s="9" t="n">
        <f aca="false">Y1344*$V1344</f>
        <v>0</v>
      </c>
      <c r="AL1344" s="9" t="n">
        <f aca="false">Z1344*$V1344</f>
        <v>0</v>
      </c>
      <c r="AM1344" s="9" t="n">
        <f aca="false">AA1344*$V1344</f>
        <v>48552</v>
      </c>
      <c r="AN1344" s="9" t="n">
        <f aca="false">AB1344*$V1344</f>
        <v>0</v>
      </c>
      <c r="AO1344" s="9" t="n">
        <f aca="false">AC1344*$V1344</f>
        <v>0</v>
      </c>
      <c r="AP1344" s="9" t="n">
        <f aca="false">AD1344*$V1344</f>
        <v>0</v>
      </c>
      <c r="AQ1344" s="9" t="n">
        <f aca="false">AE1344*$V1344</f>
        <v>48552</v>
      </c>
      <c r="AR1344" s="9" t="n">
        <f aca="false">AF1344*$V1344</f>
        <v>0</v>
      </c>
      <c r="AS1344" s="9" t="n">
        <f aca="false">AG1344*$V1344</f>
        <v>0</v>
      </c>
      <c r="AT1344" s="9" t="n">
        <f aca="false">AH1344*$V1344</f>
        <v>0</v>
      </c>
      <c r="AU1344" s="9" t="n">
        <f aca="false">AI1344*$V1344</f>
        <v>0</v>
      </c>
      <c r="AV1344" s="9" t="n">
        <f aca="false">SUM(X1344:AI1344)/1000</f>
        <v>0.476</v>
      </c>
      <c r="AW1344" s="9" t="n">
        <f aca="false">SUM(AJ1344:AU1344)</f>
        <v>97104</v>
      </c>
      <c r="AX1344" s="9" t="n">
        <f aca="false">IF(D1344="INR",AW1344/88.24,AW1344)/1000000</f>
        <v>0.00110045330915685</v>
      </c>
    </row>
    <row r="1345" s="2" customFormat="true" ht="14.25" hidden="false" customHeight="false" outlineLevel="0" collapsed="false">
      <c r="A1345" s="12" t="s">
        <v>2566</v>
      </c>
      <c r="B1345" s="16" t="n">
        <v>5</v>
      </c>
      <c r="C1345" s="15"/>
      <c r="D1345" s="16" t="s">
        <v>50</v>
      </c>
      <c r="E1345" s="16" t="s">
        <v>51</v>
      </c>
      <c r="F1345" s="16" t="s">
        <v>404</v>
      </c>
      <c r="G1345" s="16" t="s">
        <v>2567</v>
      </c>
      <c r="H1345" s="16" t="s">
        <v>2568</v>
      </c>
      <c r="I1345" s="16" t="s">
        <v>105</v>
      </c>
      <c r="J1345" s="16" t="s">
        <v>368</v>
      </c>
      <c r="K1345" s="16"/>
      <c r="L1345" s="16" t="s">
        <v>105</v>
      </c>
      <c r="M1345" s="16" t="s">
        <v>368</v>
      </c>
      <c r="N1345" s="16" t="s">
        <v>271</v>
      </c>
      <c r="O1345" s="16" t="s">
        <v>94</v>
      </c>
      <c r="P1345" s="16" t="s">
        <v>376</v>
      </c>
      <c r="Q1345" s="16" t="s">
        <v>376</v>
      </c>
      <c r="R1345" s="16" t="s">
        <v>377</v>
      </c>
      <c r="S1345" s="16" t="s">
        <v>264</v>
      </c>
      <c r="T1345" s="16" t="s">
        <v>2010</v>
      </c>
      <c r="U1345" s="16" t="s">
        <v>73</v>
      </c>
      <c r="V1345" s="16" t="n">
        <v>1.7</v>
      </c>
      <c r="W1345" s="16" t="n">
        <v>0.0145</v>
      </c>
      <c r="X1345" s="22" t="n">
        <v>25000</v>
      </c>
      <c r="Y1345" s="16" t="n">
        <v>25000</v>
      </c>
      <c r="Z1345" s="16"/>
      <c r="AA1345" s="16"/>
      <c r="AB1345" s="16" t="n">
        <v>25000</v>
      </c>
      <c r="AC1345" s="16"/>
      <c r="AD1345" s="16"/>
      <c r="AE1345" s="16" t="n">
        <v>25000</v>
      </c>
      <c r="AF1345" s="16" t="n">
        <v>25000</v>
      </c>
      <c r="AG1345" s="16"/>
      <c r="AH1345" s="16" t="n">
        <v>25000</v>
      </c>
      <c r="AI1345" s="16"/>
      <c r="AJ1345" s="9" t="n">
        <f aca="false">X1345*$V1345</f>
        <v>42500</v>
      </c>
      <c r="AK1345" s="9" t="n">
        <f aca="false">Y1345*$V1345</f>
        <v>42500</v>
      </c>
      <c r="AL1345" s="9" t="n">
        <f aca="false">Z1345*$V1345</f>
        <v>0</v>
      </c>
      <c r="AM1345" s="9" t="n">
        <f aca="false">AA1345*$V1345</f>
        <v>0</v>
      </c>
      <c r="AN1345" s="9" t="n">
        <f aca="false">AB1345*$V1345</f>
        <v>42500</v>
      </c>
      <c r="AO1345" s="9" t="n">
        <f aca="false">AC1345*$V1345</f>
        <v>0</v>
      </c>
      <c r="AP1345" s="9" t="n">
        <f aca="false">AD1345*$V1345</f>
        <v>0</v>
      </c>
      <c r="AQ1345" s="9" t="n">
        <f aca="false">AE1345*$V1345</f>
        <v>42500</v>
      </c>
      <c r="AR1345" s="9" t="n">
        <f aca="false">AF1345*$V1345</f>
        <v>42500</v>
      </c>
      <c r="AS1345" s="9" t="n">
        <f aca="false">AG1345*$V1345</f>
        <v>0</v>
      </c>
      <c r="AT1345" s="9" t="n">
        <f aca="false">AH1345*$V1345</f>
        <v>42500</v>
      </c>
      <c r="AU1345" s="9" t="n">
        <f aca="false">AI1345*$V1345</f>
        <v>0</v>
      </c>
      <c r="AV1345" s="9" t="n">
        <f aca="false">SUM(X1345:AI1345)/1000</f>
        <v>150</v>
      </c>
      <c r="AW1345" s="9" t="n">
        <f aca="false">SUM(AJ1345:AU1345)</f>
        <v>255000</v>
      </c>
      <c r="AX1345" s="9" t="n">
        <f aca="false">IF(D1345="INR",AW1345/88.24,AW1345)/1000000</f>
        <v>0.00288984587488667</v>
      </c>
    </row>
    <row r="1346" s="2" customFormat="true" ht="14.25" hidden="false" customHeight="false" outlineLevel="0" collapsed="false">
      <c r="A1346" s="12" t="s">
        <v>2569</v>
      </c>
      <c r="B1346" s="16" t="n">
        <v>5</v>
      </c>
      <c r="C1346" s="15"/>
      <c r="D1346" s="16" t="s">
        <v>50</v>
      </c>
      <c r="E1346" s="16" t="s">
        <v>51</v>
      </c>
      <c r="F1346" s="16" t="s">
        <v>404</v>
      </c>
      <c r="G1346" s="16" t="s">
        <v>2567</v>
      </c>
      <c r="H1346" s="16" t="s">
        <v>2568</v>
      </c>
      <c r="I1346" s="16" t="s">
        <v>105</v>
      </c>
      <c r="J1346" s="16" t="s">
        <v>368</v>
      </c>
      <c r="K1346" s="16"/>
      <c r="L1346" s="16" t="s">
        <v>105</v>
      </c>
      <c r="M1346" s="16" t="s">
        <v>368</v>
      </c>
      <c r="N1346" s="16" t="s">
        <v>271</v>
      </c>
      <c r="O1346" s="16" t="s">
        <v>94</v>
      </c>
      <c r="P1346" s="16" t="s">
        <v>110</v>
      </c>
      <c r="Q1346" s="16" t="s">
        <v>110</v>
      </c>
      <c r="R1346" s="16" t="s">
        <v>137</v>
      </c>
      <c r="S1346" s="16" t="s">
        <v>272</v>
      </c>
      <c r="T1346" s="16" t="s">
        <v>1982</v>
      </c>
      <c r="U1346" s="16" t="s">
        <v>73</v>
      </c>
      <c r="V1346" s="16" t="n">
        <v>96.9</v>
      </c>
      <c r="W1346" s="16" t="n">
        <v>0.935</v>
      </c>
      <c r="X1346" s="22"/>
      <c r="Y1346" s="22" t="n">
        <v>1500</v>
      </c>
      <c r="Z1346" s="22"/>
      <c r="AA1346" s="22"/>
      <c r="AB1346" s="22"/>
      <c r="AC1346" s="22"/>
      <c r="AD1346" s="22" t="n">
        <v>1500</v>
      </c>
      <c r="AE1346" s="22"/>
      <c r="AF1346" s="22"/>
      <c r="AG1346" s="22"/>
      <c r="AH1346" s="22" t="n">
        <v>1500</v>
      </c>
      <c r="AI1346" s="22"/>
      <c r="AJ1346" s="9" t="n">
        <f aca="false">X1346*$V1346</f>
        <v>0</v>
      </c>
      <c r="AK1346" s="9" t="n">
        <f aca="false">Y1346*$V1346</f>
        <v>145350</v>
      </c>
      <c r="AL1346" s="9" t="n">
        <f aca="false">Z1346*$V1346</f>
        <v>0</v>
      </c>
      <c r="AM1346" s="9" t="n">
        <f aca="false">AA1346*$V1346</f>
        <v>0</v>
      </c>
      <c r="AN1346" s="9" t="n">
        <f aca="false">AB1346*$V1346</f>
        <v>0</v>
      </c>
      <c r="AO1346" s="9" t="n">
        <f aca="false">AC1346*$V1346</f>
        <v>0</v>
      </c>
      <c r="AP1346" s="9" t="n">
        <f aca="false">AD1346*$V1346</f>
        <v>145350</v>
      </c>
      <c r="AQ1346" s="9" t="n">
        <f aca="false">AE1346*$V1346</f>
        <v>0</v>
      </c>
      <c r="AR1346" s="9" t="n">
        <f aca="false">AF1346*$V1346</f>
        <v>0</v>
      </c>
      <c r="AS1346" s="9" t="n">
        <f aca="false">AG1346*$V1346</f>
        <v>0</v>
      </c>
      <c r="AT1346" s="9" t="n">
        <f aca="false">AH1346*$V1346</f>
        <v>145350</v>
      </c>
      <c r="AU1346" s="9" t="n">
        <f aca="false">AI1346*$V1346</f>
        <v>0</v>
      </c>
      <c r="AV1346" s="9" t="n">
        <f aca="false">SUM(X1346:AI1346)/1000</f>
        <v>4.5</v>
      </c>
      <c r="AW1346" s="9" t="n">
        <f aca="false">SUM(AJ1346:AU1346)</f>
        <v>436050</v>
      </c>
      <c r="AX1346" s="9" t="n">
        <f aca="false">IF(D1346="INR",AW1346/88.24,AW1346)/1000000</f>
        <v>0.00494163644605621</v>
      </c>
    </row>
    <row r="1347" s="2" customFormat="true" ht="14.25" hidden="false" customHeight="false" outlineLevel="0" collapsed="false">
      <c r="A1347" s="12"/>
      <c r="B1347" s="16" t="n">
        <v>1</v>
      </c>
      <c r="C1347" s="15"/>
      <c r="D1347" s="16" t="s">
        <v>50</v>
      </c>
      <c r="E1347" s="16" t="s">
        <v>51</v>
      </c>
      <c r="F1347" s="16" t="s">
        <v>52</v>
      </c>
      <c r="G1347" s="16"/>
      <c r="H1347" s="16" t="s">
        <v>2570</v>
      </c>
      <c r="I1347" s="16"/>
      <c r="J1347" s="16"/>
      <c r="K1347" s="16"/>
      <c r="L1347" s="16"/>
      <c r="M1347" s="16"/>
      <c r="N1347" s="16" t="s">
        <v>79</v>
      </c>
      <c r="O1347" s="16"/>
      <c r="P1347" s="16"/>
      <c r="Q1347" s="16" t="s">
        <v>380</v>
      </c>
      <c r="R1347" s="16"/>
      <c r="S1347" s="16"/>
      <c r="T1347" s="16" t="s">
        <v>2571</v>
      </c>
      <c r="U1347" s="16" t="s">
        <v>382</v>
      </c>
      <c r="V1347" s="16" t="n">
        <v>1350</v>
      </c>
      <c r="W1347" s="16"/>
      <c r="X1347" s="26"/>
      <c r="Y1347" s="16"/>
      <c r="Z1347" s="16"/>
      <c r="AA1347" s="16" t="n">
        <v>500</v>
      </c>
      <c r="AB1347" s="16"/>
      <c r="AC1347" s="16"/>
      <c r="AD1347" s="16"/>
      <c r="AE1347" s="16"/>
      <c r="AF1347" s="16"/>
      <c r="AG1347" s="16" t="n">
        <v>500</v>
      </c>
      <c r="AH1347" s="16"/>
      <c r="AI1347" s="16"/>
      <c r="AJ1347" s="9" t="n">
        <f aca="false">X1347*$V1347</f>
        <v>0</v>
      </c>
      <c r="AK1347" s="9" t="n">
        <f aca="false">Y1347*$V1347</f>
        <v>0</v>
      </c>
      <c r="AL1347" s="9" t="n">
        <f aca="false">Z1347*$V1347</f>
        <v>0</v>
      </c>
      <c r="AM1347" s="9" t="n">
        <f aca="false">AA1347*$V1347</f>
        <v>675000</v>
      </c>
      <c r="AN1347" s="9" t="n">
        <f aca="false">AB1347*$V1347</f>
        <v>0</v>
      </c>
      <c r="AO1347" s="9" t="n">
        <f aca="false">AC1347*$V1347</f>
        <v>0</v>
      </c>
      <c r="AP1347" s="9" t="n">
        <f aca="false">AD1347*$V1347</f>
        <v>0</v>
      </c>
      <c r="AQ1347" s="9" t="n">
        <f aca="false">AE1347*$V1347</f>
        <v>0</v>
      </c>
      <c r="AR1347" s="9" t="n">
        <f aca="false">AF1347*$V1347</f>
        <v>0</v>
      </c>
      <c r="AS1347" s="9" t="n">
        <f aca="false">AG1347*$V1347</f>
        <v>675000</v>
      </c>
      <c r="AT1347" s="9" t="n">
        <f aca="false">AH1347*$V1347</f>
        <v>0</v>
      </c>
      <c r="AU1347" s="9" t="n">
        <f aca="false">AI1347*$V1347</f>
        <v>0</v>
      </c>
      <c r="AV1347" s="9" t="n">
        <f aca="false">SUM(X1347:AI1347)/1000</f>
        <v>1</v>
      </c>
      <c r="AW1347" s="9" t="n">
        <f aca="false">SUM(AJ1347:AU1347)</f>
        <v>1350000</v>
      </c>
      <c r="AX1347" s="9" t="n">
        <f aca="false">IF(D1347="INR",AW1347/88.24,AW1347)/1000000</f>
        <v>0.0152991840435177</v>
      </c>
    </row>
    <row r="1348" s="2" customFormat="true" ht="14.25" hidden="false" customHeight="false" outlineLevel="0" collapsed="false">
      <c r="A1348" s="12"/>
      <c r="B1348" s="16" t="n">
        <v>1</v>
      </c>
      <c r="C1348" s="15"/>
      <c r="D1348" s="16" t="s">
        <v>102</v>
      </c>
      <c r="E1348" s="16" t="s">
        <v>51</v>
      </c>
      <c r="F1348" s="16" t="s">
        <v>52</v>
      </c>
      <c r="G1348" s="16" t="s">
        <v>301</v>
      </c>
      <c r="H1348" s="16" t="s">
        <v>302</v>
      </c>
      <c r="I1348" s="16" t="s">
        <v>303</v>
      </c>
      <c r="J1348" s="16" t="s">
        <v>304</v>
      </c>
      <c r="K1348" s="16" t="s">
        <v>2554</v>
      </c>
      <c r="L1348" s="16" t="s">
        <v>303</v>
      </c>
      <c r="M1348" s="16" t="s">
        <v>304</v>
      </c>
      <c r="N1348" s="16" t="s">
        <v>93</v>
      </c>
      <c r="O1348" s="16" t="s">
        <v>107</v>
      </c>
      <c r="P1348" s="9" t="s">
        <v>348</v>
      </c>
      <c r="Q1348" s="16" t="s">
        <v>348</v>
      </c>
      <c r="R1348" s="16" t="s">
        <v>800</v>
      </c>
      <c r="S1348" s="16" t="s">
        <v>87</v>
      </c>
      <c r="T1348" s="16" t="s">
        <v>2572</v>
      </c>
      <c r="U1348" s="16" t="s">
        <v>63</v>
      </c>
      <c r="V1348" s="16" t="n">
        <v>0.0368</v>
      </c>
      <c r="W1348" s="16" t="n">
        <v>0.03133</v>
      </c>
      <c r="X1348" s="16" t="n">
        <v>0</v>
      </c>
      <c r="Y1348" s="16" t="n">
        <v>0</v>
      </c>
      <c r="Z1348" s="16" t="n">
        <v>95000</v>
      </c>
      <c r="AA1348" s="16" t="n">
        <v>0</v>
      </c>
      <c r="AB1348" s="16" t="n">
        <v>0</v>
      </c>
      <c r="AC1348" s="16" t="n">
        <v>95000</v>
      </c>
      <c r="AD1348" s="16" t="n">
        <v>0</v>
      </c>
      <c r="AE1348" s="16" t="n">
        <v>0</v>
      </c>
      <c r="AF1348" s="16" t="n">
        <v>0</v>
      </c>
      <c r="AG1348" s="16" t="n">
        <v>95000</v>
      </c>
      <c r="AH1348" s="16" t="n">
        <v>0</v>
      </c>
      <c r="AI1348" s="16" t="n">
        <v>95000</v>
      </c>
      <c r="AJ1348" s="9" t="n">
        <f aca="false">X1348*$V1348</f>
        <v>0</v>
      </c>
      <c r="AK1348" s="9" t="n">
        <f aca="false">Y1348*$V1348</f>
        <v>0</v>
      </c>
      <c r="AL1348" s="9" t="n">
        <f aca="false">Z1348*$V1348</f>
        <v>3496</v>
      </c>
      <c r="AM1348" s="9" t="n">
        <f aca="false">AA1348*$V1348</f>
        <v>0</v>
      </c>
      <c r="AN1348" s="9" t="n">
        <f aca="false">AB1348*$V1348</f>
        <v>0</v>
      </c>
      <c r="AO1348" s="9" t="n">
        <f aca="false">AC1348*$V1348</f>
        <v>3496</v>
      </c>
      <c r="AP1348" s="9" t="n">
        <f aca="false">AD1348*$V1348</f>
        <v>0</v>
      </c>
      <c r="AQ1348" s="9" t="n">
        <f aca="false">AE1348*$V1348</f>
        <v>0</v>
      </c>
      <c r="AR1348" s="9" t="n">
        <f aca="false">AF1348*$V1348</f>
        <v>0</v>
      </c>
      <c r="AS1348" s="9" t="n">
        <f aca="false">AG1348*$V1348</f>
        <v>3496</v>
      </c>
      <c r="AT1348" s="9" t="n">
        <f aca="false">AH1348*$V1348</f>
        <v>0</v>
      </c>
      <c r="AU1348" s="9" t="n">
        <f aca="false">AI1348*$V1348</f>
        <v>3496</v>
      </c>
      <c r="AV1348" s="9" t="n">
        <f aca="false">SUM(X1348:AI1348)/1000</f>
        <v>380</v>
      </c>
      <c r="AW1348" s="9" t="n">
        <f aca="false">SUM(AJ1348:AU1348)</f>
        <v>13984</v>
      </c>
      <c r="AX1348" s="9" t="n">
        <f aca="false">IF(D1348="INR",AW1348/88.24,AW1348)/1000000</f>
        <v>0.013984</v>
      </c>
    </row>
    <row r="1349" s="2" customFormat="true" ht="16.4" hidden="false" customHeight="false" outlineLevel="0" collapsed="false">
      <c r="A1349" s="9" t="s">
        <v>2573</v>
      </c>
      <c r="B1349" s="9" t="n">
        <v>5</v>
      </c>
      <c r="C1349" s="10"/>
      <c r="D1349" s="9" t="s">
        <v>102</v>
      </c>
      <c r="E1349" s="9" t="s">
        <v>51</v>
      </c>
      <c r="F1349" s="9" t="s">
        <v>52</v>
      </c>
      <c r="G1349" s="9" t="s">
        <v>301</v>
      </c>
      <c r="H1349" s="9" t="s">
        <v>302</v>
      </c>
      <c r="I1349" s="9" t="s">
        <v>303</v>
      </c>
      <c r="J1349" s="9" t="s">
        <v>304</v>
      </c>
      <c r="K1349" s="9"/>
      <c r="L1349" s="9" t="s">
        <v>303</v>
      </c>
      <c r="M1349" s="9" t="s">
        <v>304</v>
      </c>
      <c r="N1349" s="9" t="s">
        <v>93</v>
      </c>
      <c r="O1349" s="9" t="s">
        <v>107</v>
      </c>
      <c r="P1349" s="9" t="s">
        <v>182</v>
      </c>
      <c r="Q1349" s="9" t="s">
        <v>182</v>
      </c>
      <c r="R1349" s="9" t="s">
        <v>875</v>
      </c>
      <c r="S1349" s="9" t="s">
        <v>363</v>
      </c>
      <c r="T1349" s="9" t="s">
        <v>2574</v>
      </c>
      <c r="U1349" s="9" t="s">
        <v>73</v>
      </c>
      <c r="V1349" s="9" t="n">
        <v>0.091</v>
      </c>
      <c r="W1349" s="9" t="n">
        <v>0.0794</v>
      </c>
      <c r="X1349" s="9" t="n">
        <v>20000</v>
      </c>
      <c r="Y1349" s="9" t="n">
        <v>20000</v>
      </c>
      <c r="Z1349" s="9" t="n">
        <v>20000</v>
      </c>
      <c r="AA1349" s="9" t="n">
        <v>20000</v>
      </c>
      <c r="AB1349" s="9" t="n">
        <v>20000</v>
      </c>
      <c r="AC1349" s="9" t="n">
        <v>20000</v>
      </c>
      <c r="AD1349" s="9" t="n">
        <v>20000</v>
      </c>
      <c r="AE1349" s="9" t="n">
        <v>20000</v>
      </c>
      <c r="AF1349" s="9" t="n">
        <v>20000</v>
      </c>
      <c r="AG1349" s="9" t="n">
        <v>20000</v>
      </c>
      <c r="AH1349" s="9" t="n">
        <v>20000</v>
      </c>
      <c r="AI1349" s="9" t="n">
        <v>20000</v>
      </c>
      <c r="AJ1349" s="9" t="n">
        <f aca="false">X1349*$V1349</f>
        <v>1820</v>
      </c>
      <c r="AK1349" s="9" t="n">
        <f aca="false">Y1349*$V1349</f>
        <v>1820</v>
      </c>
      <c r="AL1349" s="9" t="n">
        <f aca="false">Z1349*$V1349</f>
        <v>1820</v>
      </c>
      <c r="AM1349" s="9" t="n">
        <f aca="false">AA1349*$V1349</f>
        <v>1820</v>
      </c>
      <c r="AN1349" s="9" t="n">
        <f aca="false">AB1349*$V1349</f>
        <v>1820</v>
      </c>
      <c r="AO1349" s="9" t="n">
        <f aca="false">AC1349*$V1349</f>
        <v>1820</v>
      </c>
      <c r="AP1349" s="9" t="n">
        <f aca="false">AD1349*$V1349</f>
        <v>1820</v>
      </c>
      <c r="AQ1349" s="9" t="n">
        <f aca="false">AE1349*$V1349</f>
        <v>1820</v>
      </c>
      <c r="AR1349" s="9" t="n">
        <f aca="false">AF1349*$V1349</f>
        <v>1820</v>
      </c>
      <c r="AS1349" s="9" t="n">
        <f aca="false">AG1349*$V1349</f>
        <v>1820</v>
      </c>
      <c r="AT1349" s="9" t="n">
        <f aca="false">AH1349*$V1349</f>
        <v>1820</v>
      </c>
      <c r="AU1349" s="9" t="n">
        <f aca="false">AI1349*$V1349</f>
        <v>1820</v>
      </c>
      <c r="AV1349" s="9" t="n">
        <f aca="false">SUM(X1349:AI1349)/1000</f>
        <v>240</v>
      </c>
      <c r="AW1349" s="9" t="n">
        <f aca="false">SUM(AJ1349:AU1349)</f>
        <v>21840</v>
      </c>
      <c r="AX1349" s="9" t="n">
        <f aca="false">IF(D1349="INR",AW1349/88.24,AW1349)/1000000</f>
        <v>0.02184</v>
      </c>
    </row>
    <row r="1350" s="2" customFormat="true" ht="14.25" hidden="false" customHeight="false" outlineLevel="0" collapsed="false">
      <c r="A1350" s="12" t="s">
        <v>2575</v>
      </c>
      <c r="B1350" s="16" t="n">
        <v>5</v>
      </c>
      <c r="C1350" s="15"/>
      <c r="D1350" s="16" t="s">
        <v>102</v>
      </c>
      <c r="E1350" s="16" t="s">
        <v>51</v>
      </c>
      <c r="F1350" s="16" t="s">
        <v>52</v>
      </c>
      <c r="G1350" s="16" t="s">
        <v>301</v>
      </c>
      <c r="H1350" s="16" t="s">
        <v>302</v>
      </c>
      <c r="I1350" s="16" t="s">
        <v>303</v>
      </c>
      <c r="J1350" s="16" t="s">
        <v>304</v>
      </c>
      <c r="K1350" s="16" t="s">
        <v>2554</v>
      </c>
      <c r="L1350" s="16" t="s">
        <v>303</v>
      </c>
      <c r="M1350" s="16" t="s">
        <v>304</v>
      </c>
      <c r="N1350" s="16" t="s">
        <v>93</v>
      </c>
      <c r="O1350" s="16" t="s">
        <v>107</v>
      </c>
      <c r="P1350" s="16" t="s">
        <v>348</v>
      </c>
      <c r="Q1350" s="16" t="s">
        <v>348</v>
      </c>
      <c r="R1350" s="16" t="s">
        <v>800</v>
      </c>
      <c r="S1350" s="16" t="s">
        <v>87</v>
      </c>
      <c r="T1350" s="16" t="s">
        <v>2576</v>
      </c>
      <c r="U1350" s="16" t="s">
        <v>73</v>
      </c>
      <c r="V1350" s="16" t="n">
        <v>0.04962</v>
      </c>
      <c r="W1350" s="16" t="n">
        <v>0.04599</v>
      </c>
      <c r="X1350" s="22" t="n">
        <v>20000</v>
      </c>
      <c r="Y1350" s="22"/>
      <c r="Z1350" s="22" t="n">
        <v>20000</v>
      </c>
      <c r="AA1350" s="22"/>
      <c r="AB1350" s="22" t="n">
        <v>20000</v>
      </c>
      <c r="AC1350" s="22"/>
      <c r="AD1350" s="22" t="n">
        <v>20000</v>
      </c>
      <c r="AE1350" s="22"/>
      <c r="AF1350" s="22" t="n">
        <v>20000</v>
      </c>
      <c r="AG1350" s="22"/>
      <c r="AH1350" s="22" t="n">
        <v>20000</v>
      </c>
      <c r="AI1350" s="22"/>
      <c r="AJ1350" s="9" t="n">
        <f aca="false">X1350*$V1350</f>
        <v>992.4</v>
      </c>
      <c r="AK1350" s="9" t="n">
        <f aca="false">Y1350*$V1350</f>
        <v>0</v>
      </c>
      <c r="AL1350" s="9" t="n">
        <f aca="false">Z1350*$V1350</f>
        <v>992.4</v>
      </c>
      <c r="AM1350" s="9" t="n">
        <f aca="false">AA1350*$V1350</f>
        <v>0</v>
      </c>
      <c r="AN1350" s="9" t="n">
        <f aca="false">AB1350*$V1350</f>
        <v>992.4</v>
      </c>
      <c r="AO1350" s="9" t="n">
        <f aca="false">AC1350*$V1350</f>
        <v>0</v>
      </c>
      <c r="AP1350" s="9" t="n">
        <f aca="false">AD1350*$V1350</f>
        <v>992.4</v>
      </c>
      <c r="AQ1350" s="9" t="n">
        <f aca="false">AE1350*$V1350</f>
        <v>0</v>
      </c>
      <c r="AR1350" s="9" t="n">
        <f aca="false">AF1350*$V1350</f>
        <v>992.4</v>
      </c>
      <c r="AS1350" s="9" t="n">
        <f aca="false">AG1350*$V1350</f>
        <v>0</v>
      </c>
      <c r="AT1350" s="9" t="n">
        <f aca="false">AH1350*$V1350</f>
        <v>992.4</v>
      </c>
      <c r="AU1350" s="9" t="n">
        <f aca="false">AI1350*$V1350</f>
        <v>0</v>
      </c>
      <c r="AV1350" s="9" t="n">
        <f aca="false">SUM(X1350:AI1350)/1000</f>
        <v>120</v>
      </c>
      <c r="AW1350" s="9" t="n">
        <f aca="false">SUM(AJ1350:AU1350)</f>
        <v>5954.4</v>
      </c>
      <c r="AX1350" s="9" t="n">
        <f aca="false">IF(D1350="INR",AW1350/88.24,AW1350)/1000000</f>
        <v>0.0059544</v>
      </c>
    </row>
    <row r="1351" s="2" customFormat="true" ht="14.25" hidden="false" customHeight="true" outlineLevel="0" collapsed="false">
      <c r="A1351" s="12" t="s">
        <v>2577</v>
      </c>
      <c r="B1351" s="16" t="n">
        <v>5</v>
      </c>
      <c r="C1351" s="15"/>
      <c r="D1351" s="16" t="s">
        <v>102</v>
      </c>
      <c r="E1351" s="16" t="s">
        <v>51</v>
      </c>
      <c r="F1351" s="16" t="s">
        <v>52</v>
      </c>
      <c r="G1351" s="16" t="s">
        <v>301</v>
      </c>
      <c r="H1351" s="16" t="s">
        <v>302</v>
      </c>
      <c r="I1351" s="16" t="s">
        <v>303</v>
      </c>
      <c r="J1351" s="16" t="s">
        <v>304</v>
      </c>
      <c r="K1351" s="16" t="s">
        <v>2554</v>
      </c>
      <c r="L1351" s="16" t="s">
        <v>303</v>
      </c>
      <c r="M1351" s="16" t="s">
        <v>304</v>
      </c>
      <c r="N1351" s="16" t="s">
        <v>93</v>
      </c>
      <c r="O1351" s="16" t="s">
        <v>107</v>
      </c>
      <c r="P1351" s="16" t="s">
        <v>348</v>
      </c>
      <c r="Q1351" s="16" t="s">
        <v>348</v>
      </c>
      <c r="R1351" s="16" t="s">
        <v>800</v>
      </c>
      <c r="S1351" s="16" t="s">
        <v>87</v>
      </c>
      <c r="T1351" s="16" t="s">
        <v>2578</v>
      </c>
      <c r="U1351" s="16" t="s">
        <v>73</v>
      </c>
      <c r="V1351" s="16" t="n">
        <v>0.0374</v>
      </c>
      <c r="W1351" s="16" t="n">
        <v>0.03089</v>
      </c>
      <c r="X1351" s="22" t="n">
        <v>20000</v>
      </c>
      <c r="Y1351" s="22"/>
      <c r="Z1351" s="22" t="n">
        <v>20000</v>
      </c>
      <c r="AA1351" s="22"/>
      <c r="AB1351" s="22" t="n">
        <v>20000</v>
      </c>
      <c r="AC1351" s="22"/>
      <c r="AD1351" s="22" t="n">
        <v>20000</v>
      </c>
      <c r="AE1351" s="22"/>
      <c r="AF1351" s="22" t="n">
        <v>20000</v>
      </c>
      <c r="AG1351" s="22"/>
      <c r="AH1351" s="22" t="n">
        <v>20000</v>
      </c>
      <c r="AI1351" s="22"/>
      <c r="AJ1351" s="9" t="n">
        <f aca="false">X1351*$V1351</f>
        <v>748</v>
      </c>
      <c r="AK1351" s="9" t="n">
        <f aca="false">Y1351*$V1351</f>
        <v>0</v>
      </c>
      <c r="AL1351" s="9" t="n">
        <f aca="false">Z1351*$V1351</f>
        <v>748</v>
      </c>
      <c r="AM1351" s="9" t="n">
        <f aca="false">AA1351*$V1351</f>
        <v>0</v>
      </c>
      <c r="AN1351" s="9" t="n">
        <f aca="false">AB1351*$V1351</f>
        <v>748</v>
      </c>
      <c r="AO1351" s="9" t="n">
        <f aca="false">AC1351*$V1351</f>
        <v>0</v>
      </c>
      <c r="AP1351" s="9" t="n">
        <f aca="false">AD1351*$V1351</f>
        <v>748</v>
      </c>
      <c r="AQ1351" s="9" t="n">
        <f aca="false">AE1351*$V1351</f>
        <v>0</v>
      </c>
      <c r="AR1351" s="9" t="n">
        <f aca="false">AF1351*$V1351</f>
        <v>748</v>
      </c>
      <c r="AS1351" s="9" t="n">
        <f aca="false">AG1351*$V1351</f>
        <v>0</v>
      </c>
      <c r="AT1351" s="9" t="n">
        <f aca="false">AH1351*$V1351</f>
        <v>748</v>
      </c>
      <c r="AU1351" s="9" t="n">
        <f aca="false">AI1351*$V1351</f>
        <v>0</v>
      </c>
      <c r="AV1351" s="9" t="n">
        <f aca="false">SUM(X1351:AI1351)/1000</f>
        <v>120</v>
      </c>
      <c r="AW1351" s="9" t="n">
        <f aca="false">SUM(AJ1351:AU1351)</f>
        <v>4488</v>
      </c>
      <c r="AX1351" s="9" t="n">
        <f aca="false">IF(D1351="INR",AW1351/88.24,AW1351)/1000000</f>
        <v>0.004488</v>
      </c>
    </row>
    <row r="1352" s="2" customFormat="true" ht="14.25" hidden="false" customHeight="false" outlineLevel="0" collapsed="false">
      <c r="A1352" s="12" t="s">
        <v>2579</v>
      </c>
      <c r="B1352" s="16" t="n">
        <v>5</v>
      </c>
      <c r="C1352" s="15"/>
      <c r="D1352" s="16" t="s">
        <v>102</v>
      </c>
      <c r="E1352" s="16" t="s">
        <v>51</v>
      </c>
      <c r="F1352" s="16" t="s">
        <v>52</v>
      </c>
      <c r="G1352" s="16" t="s">
        <v>301</v>
      </c>
      <c r="H1352" s="16" t="s">
        <v>302</v>
      </c>
      <c r="I1352" s="16" t="s">
        <v>303</v>
      </c>
      <c r="J1352" s="16" t="s">
        <v>304</v>
      </c>
      <c r="K1352" s="16" t="s">
        <v>2554</v>
      </c>
      <c r="L1352" s="16" t="s">
        <v>303</v>
      </c>
      <c r="M1352" s="16" t="s">
        <v>304</v>
      </c>
      <c r="N1352" s="16" t="s">
        <v>93</v>
      </c>
      <c r="O1352" s="16" t="s">
        <v>107</v>
      </c>
      <c r="P1352" s="16" t="s">
        <v>348</v>
      </c>
      <c r="Q1352" s="16" t="s">
        <v>348</v>
      </c>
      <c r="R1352" s="16" t="s">
        <v>800</v>
      </c>
      <c r="S1352" s="16" t="s">
        <v>87</v>
      </c>
      <c r="T1352" s="16" t="s">
        <v>2580</v>
      </c>
      <c r="U1352" s="16" t="s">
        <v>73</v>
      </c>
      <c r="V1352" s="16" t="n">
        <v>0.02901</v>
      </c>
      <c r="W1352" s="16" t="n">
        <v>0.0251</v>
      </c>
      <c r="X1352" s="22" t="n">
        <v>20000</v>
      </c>
      <c r="Y1352" s="16"/>
      <c r="Z1352" s="16" t="n">
        <v>20000</v>
      </c>
      <c r="AA1352" s="16"/>
      <c r="AB1352" s="16" t="n">
        <v>20000</v>
      </c>
      <c r="AC1352" s="16"/>
      <c r="AD1352" s="16" t="n">
        <v>20000</v>
      </c>
      <c r="AE1352" s="16"/>
      <c r="AF1352" s="16" t="n">
        <v>20000</v>
      </c>
      <c r="AG1352" s="16"/>
      <c r="AH1352" s="16" t="n">
        <v>20000</v>
      </c>
      <c r="AI1352" s="16"/>
      <c r="AJ1352" s="9" t="n">
        <f aca="false">X1352*$V1352</f>
        <v>580.2</v>
      </c>
      <c r="AK1352" s="9" t="n">
        <f aca="false">Y1352*$V1352</f>
        <v>0</v>
      </c>
      <c r="AL1352" s="9" t="n">
        <f aca="false">Z1352*$V1352</f>
        <v>580.2</v>
      </c>
      <c r="AM1352" s="9" t="n">
        <f aca="false">AA1352*$V1352</f>
        <v>0</v>
      </c>
      <c r="AN1352" s="9" t="n">
        <f aca="false">AB1352*$V1352</f>
        <v>580.2</v>
      </c>
      <c r="AO1352" s="9" t="n">
        <f aca="false">AC1352*$V1352</f>
        <v>0</v>
      </c>
      <c r="AP1352" s="9" t="n">
        <f aca="false">AD1352*$V1352</f>
        <v>580.2</v>
      </c>
      <c r="AQ1352" s="9" t="n">
        <f aca="false">AE1352*$V1352</f>
        <v>0</v>
      </c>
      <c r="AR1352" s="9" t="n">
        <f aca="false">AF1352*$V1352</f>
        <v>580.2</v>
      </c>
      <c r="AS1352" s="9" t="n">
        <f aca="false">AG1352*$V1352</f>
        <v>0</v>
      </c>
      <c r="AT1352" s="9" t="n">
        <f aca="false">AH1352*$V1352</f>
        <v>580.2</v>
      </c>
      <c r="AU1352" s="9" t="n">
        <f aca="false">AI1352*$V1352</f>
        <v>0</v>
      </c>
      <c r="AV1352" s="9" t="n">
        <f aca="false">SUM(X1352:AI1352)/1000</f>
        <v>120</v>
      </c>
      <c r="AW1352" s="9" t="n">
        <f aca="false">SUM(AJ1352:AU1352)</f>
        <v>3481.2</v>
      </c>
      <c r="AX1352" s="9" t="n">
        <f aca="false">IF(D1352="INR",AW1352/88.24,AW1352)/1000000</f>
        <v>0.0034812</v>
      </c>
    </row>
    <row r="1353" s="2" customFormat="true" ht="14.25" hidden="false" customHeight="false" outlineLevel="0" collapsed="false">
      <c r="A1353" s="12" t="s">
        <v>2581</v>
      </c>
      <c r="B1353" s="16" t="n">
        <v>5</v>
      </c>
      <c r="C1353" s="15"/>
      <c r="D1353" s="16" t="s">
        <v>102</v>
      </c>
      <c r="E1353" s="16" t="s">
        <v>51</v>
      </c>
      <c r="F1353" s="16" t="s">
        <v>52</v>
      </c>
      <c r="G1353" s="16" t="s">
        <v>301</v>
      </c>
      <c r="H1353" s="16" t="s">
        <v>302</v>
      </c>
      <c r="I1353" s="16" t="s">
        <v>303</v>
      </c>
      <c r="J1353" s="16" t="s">
        <v>304</v>
      </c>
      <c r="K1353" s="16" t="s">
        <v>2554</v>
      </c>
      <c r="L1353" s="16" t="s">
        <v>303</v>
      </c>
      <c r="M1353" s="16" t="s">
        <v>304</v>
      </c>
      <c r="N1353" s="16" t="s">
        <v>93</v>
      </c>
      <c r="O1353" s="16" t="s">
        <v>107</v>
      </c>
      <c r="P1353" s="16" t="s">
        <v>348</v>
      </c>
      <c r="Q1353" s="16" t="s">
        <v>348</v>
      </c>
      <c r="R1353" s="16" t="s">
        <v>800</v>
      </c>
      <c r="S1353" s="16" t="s">
        <v>87</v>
      </c>
      <c r="T1353" s="16" t="s">
        <v>2582</v>
      </c>
      <c r="U1353" s="16" t="s">
        <v>73</v>
      </c>
      <c r="V1353" s="16" t="n">
        <v>0.02606</v>
      </c>
      <c r="W1353" s="16" t="n">
        <v>0.01689</v>
      </c>
      <c r="X1353" s="22" t="n">
        <v>20000</v>
      </c>
      <c r="Y1353" s="16"/>
      <c r="Z1353" s="16" t="n">
        <v>20000</v>
      </c>
      <c r="AA1353" s="16"/>
      <c r="AB1353" s="16" t="n">
        <v>20000</v>
      </c>
      <c r="AC1353" s="16"/>
      <c r="AD1353" s="16" t="n">
        <v>20000</v>
      </c>
      <c r="AE1353" s="16"/>
      <c r="AF1353" s="16" t="n">
        <v>20000</v>
      </c>
      <c r="AG1353" s="16"/>
      <c r="AH1353" s="16" t="n">
        <v>20000</v>
      </c>
      <c r="AI1353" s="16"/>
      <c r="AJ1353" s="9" t="n">
        <f aca="false">X1353*$V1353</f>
        <v>521.2</v>
      </c>
      <c r="AK1353" s="9" t="n">
        <f aca="false">Y1353*$V1353</f>
        <v>0</v>
      </c>
      <c r="AL1353" s="9" t="n">
        <f aca="false">Z1353*$V1353</f>
        <v>521.2</v>
      </c>
      <c r="AM1353" s="9" t="n">
        <f aca="false">AA1353*$V1353</f>
        <v>0</v>
      </c>
      <c r="AN1353" s="9" t="n">
        <f aca="false">AB1353*$V1353</f>
        <v>521.2</v>
      </c>
      <c r="AO1353" s="9" t="n">
        <f aca="false">AC1353*$V1353</f>
        <v>0</v>
      </c>
      <c r="AP1353" s="9" t="n">
        <f aca="false">AD1353*$V1353</f>
        <v>521.2</v>
      </c>
      <c r="AQ1353" s="9" t="n">
        <f aca="false">AE1353*$V1353</f>
        <v>0</v>
      </c>
      <c r="AR1353" s="9" t="n">
        <f aca="false">AF1353*$V1353</f>
        <v>521.2</v>
      </c>
      <c r="AS1353" s="9" t="n">
        <f aca="false">AG1353*$V1353</f>
        <v>0</v>
      </c>
      <c r="AT1353" s="9" t="n">
        <f aca="false">AH1353*$V1353</f>
        <v>521.2</v>
      </c>
      <c r="AU1353" s="9" t="n">
        <f aca="false">AI1353*$V1353</f>
        <v>0</v>
      </c>
      <c r="AV1353" s="9" t="n">
        <f aca="false">SUM(X1353:AI1353)/1000</f>
        <v>120</v>
      </c>
      <c r="AW1353" s="9" t="n">
        <f aca="false">SUM(AJ1353:AU1353)</f>
        <v>3127.2</v>
      </c>
      <c r="AX1353" s="9" t="n">
        <f aca="false">IF(D1353="INR",AW1353/88.24,AW1353)/1000000</f>
        <v>0.0031272</v>
      </c>
    </row>
    <row r="1354" s="2" customFormat="true" ht="14.25" hidden="false" customHeight="true" outlineLevel="0" collapsed="false">
      <c r="A1354" s="12" t="s">
        <v>2583</v>
      </c>
      <c r="B1354" s="16" t="n">
        <v>5</v>
      </c>
      <c r="C1354" s="15"/>
      <c r="D1354" s="16" t="s">
        <v>102</v>
      </c>
      <c r="E1354" s="16" t="s">
        <v>51</v>
      </c>
      <c r="F1354" s="16" t="s">
        <v>52</v>
      </c>
      <c r="G1354" s="16" t="s">
        <v>301</v>
      </c>
      <c r="H1354" s="16" t="s">
        <v>302</v>
      </c>
      <c r="I1354" s="16" t="s">
        <v>303</v>
      </c>
      <c r="J1354" s="16" t="s">
        <v>304</v>
      </c>
      <c r="K1354" s="16" t="s">
        <v>2554</v>
      </c>
      <c r="L1354" s="16" t="s">
        <v>303</v>
      </c>
      <c r="M1354" s="16" t="s">
        <v>304</v>
      </c>
      <c r="N1354" s="16" t="s">
        <v>93</v>
      </c>
      <c r="O1354" s="16" t="s">
        <v>107</v>
      </c>
      <c r="P1354" s="16" t="s">
        <v>348</v>
      </c>
      <c r="Q1354" s="16" t="s">
        <v>348</v>
      </c>
      <c r="R1354" s="16" t="s">
        <v>800</v>
      </c>
      <c r="S1354" s="16" t="s">
        <v>87</v>
      </c>
      <c r="T1354" s="16" t="s">
        <v>2584</v>
      </c>
      <c r="U1354" s="16" t="s">
        <v>73</v>
      </c>
      <c r="V1354" s="26" t="n">
        <v>0.01591</v>
      </c>
      <c r="W1354" s="16" t="n">
        <v>0.01424</v>
      </c>
      <c r="X1354" s="22" t="n">
        <v>20000</v>
      </c>
      <c r="Y1354" s="16"/>
      <c r="Z1354" s="16" t="n">
        <v>20000</v>
      </c>
      <c r="AA1354" s="16"/>
      <c r="AB1354" s="16" t="n">
        <v>20000</v>
      </c>
      <c r="AC1354" s="16"/>
      <c r="AD1354" s="16" t="n">
        <v>20000</v>
      </c>
      <c r="AE1354" s="16"/>
      <c r="AF1354" s="16" t="n">
        <v>20000</v>
      </c>
      <c r="AG1354" s="16"/>
      <c r="AH1354" s="16" t="n">
        <v>20000</v>
      </c>
      <c r="AI1354" s="16"/>
      <c r="AJ1354" s="9" t="n">
        <f aca="false">X1354*$V1354</f>
        <v>318.2</v>
      </c>
      <c r="AK1354" s="9" t="n">
        <f aca="false">Y1354*$V1354</f>
        <v>0</v>
      </c>
      <c r="AL1354" s="9" t="n">
        <f aca="false">Z1354*$V1354</f>
        <v>318.2</v>
      </c>
      <c r="AM1354" s="9" t="n">
        <f aca="false">AA1354*$V1354</f>
        <v>0</v>
      </c>
      <c r="AN1354" s="9" t="n">
        <f aca="false">AB1354*$V1354</f>
        <v>318.2</v>
      </c>
      <c r="AO1354" s="9" t="n">
        <f aca="false">AC1354*$V1354</f>
        <v>0</v>
      </c>
      <c r="AP1354" s="9" t="n">
        <f aca="false">AD1354*$V1354</f>
        <v>318.2</v>
      </c>
      <c r="AQ1354" s="9" t="n">
        <f aca="false">AE1354*$V1354</f>
        <v>0</v>
      </c>
      <c r="AR1354" s="9" t="n">
        <f aca="false">AF1354*$V1354</f>
        <v>318.2</v>
      </c>
      <c r="AS1354" s="9" t="n">
        <f aca="false">AG1354*$V1354</f>
        <v>0</v>
      </c>
      <c r="AT1354" s="9" t="n">
        <f aca="false">AH1354*$V1354</f>
        <v>318.2</v>
      </c>
      <c r="AU1354" s="9" t="n">
        <f aca="false">AI1354*$V1354</f>
        <v>0</v>
      </c>
      <c r="AV1354" s="9" t="n">
        <f aca="false">SUM(X1354:AI1354)/1000</f>
        <v>120</v>
      </c>
      <c r="AW1354" s="9" t="n">
        <f aca="false">SUM(AJ1354:AU1354)</f>
        <v>1909.2</v>
      </c>
      <c r="AX1354" s="9" t="n">
        <f aca="false">IF(D1354="INR",AW1354/88.24,AW1354)/1000000</f>
        <v>0.0019092</v>
      </c>
    </row>
    <row r="1355" s="2" customFormat="true" ht="16.4" hidden="false" customHeight="false" outlineLevel="0" collapsed="false">
      <c r="A1355" s="9" t="s">
        <v>2585</v>
      </c>
      <c r="B1355" s="9" t="n">
        <v>5</v>
      </c>
      <c r="C1355" s="10"/>
      <c r="D1355" s="9" t="s">
        <v>102</v>
      </c>
      <c r="E1355" s="9" t="s">
        <v>51</v>
      </c>
      <c r="F1355" s="9" t="s">
        <v>52</v>
      </c>
      <c r="G1355" s="9" t="s">
        <v>301</v>
      </c>
      <c r="H1355" s="9" t="s">
        <v>302</v>
      </c>
      <c r="I1355" s="9" t="s">
        <v>303</v>
      </c>
      <c r="J1355" s="9" t="s">
        <v>304</v>
      </c>
      <c r="K1355" s="9" t="s">
        <v>2554</v>
      </c>
      <c r="L1355" s="9" t="s">
        <v>303</v>
      </c>
      <c r="M1355" s="9" t="s">
        <v>304</v>
      </c>
      <c r="N1355" s="16" t="s">
        <v>93</v>
      </c>
      <c r="O1355" s="9" t="s">
        <v>107</v>
      </c>
      <c r="P1355" s="9" t="s">
        <v>348</v>
      </c>
      <c r="Q1355" s="9" t="s">
        <v>348</v>
      </c>
      <c r="R1355" s="9" t="s">
        <v>800</v>
      </c>
      <c r="S1355" s="9" t="s">
        <v>87</v>
      </c>
      <c r="T1355" s="9" t="s">
        <v>2586</v>
      </c>
      <c r="U1355" s="9" t="s">
        <v>73</v>
      </c>
      <c r="V1355" s="9" t="n">
        <v>0.01328</v>
      </c>
      <c r="W1355" s="9" t="n">
        <v>0.01198</v>
      </c>
      <c r="X1355" s="9" t="n">
        <v>20000</v>
      </c>
      <c r="Y1355" s="9"/>
      <c r="Z1355" s="9" t="n">
        <v>20000</v>
      </c>
      <c r="AA1355" s="9"/>
      <c r="AB1355" s="9" t="n">
        <v>20000</v>
      </c>
      <c r="AC1355" s="9"/>
      <c r="AD1355" s="9" t="n">
        <v>20000</v>
      </c>
      <c r="AE1355" s="9"/>
      <c r="AF1355" s="9" t="n">
        <v>20000</v>
      </c>
      <c r="AG1355" s="9"/>
      <c r="AH1355" s="9" t="n">
        <v>20000</v>
      </c>
      <c r="AI1355" s="9"/>
      <c r="AJ1355" s="9" t="n">
        <f aca="false">X1355*$V1355</f>
        <v>265.6</v>
      </c>
      <c r="AK1355" s="9" t="n">
        <f aca="false">Y1355*$V1355</f>
        <v>0</v>
      </c>
      <c r="AL1355" s="9" t="n">
        <f aca="false">Z1355*$V1355</f>
        <v>265.6</v>
      </c>
      <c r="AM1355" s="9" t="n">
        <f aca="false">AA1355*$V1355</f>
        <v>0</v>
      </c>
      <c r="AN1355" s="9" t="n">
        <f aca="false">AB1355*$V1355</f>
        <v>265.6</v>
      </c>
      <c r="AO1355" s="9" t="n">
        <f aca="false">AC1355*$V1355</f>
        <v>0</v>
      </c>
      <c r="AP1355" s="9" t="n">
        <f aca="false">AD1355*$V1355</f>
        <v>265.6</v>
      </c>
      <c r="AQ1355" s="9" t="n">
        <f aca="false">AE1355*$V1355</f>
        <v>0</v>
      </c>
      <c r="AR1355" s="9" t="n">
        <f aca="false">AF1355*$V1355</f>
        <v>265.6</v>
      </c>
      <c r="AS1355" s="9" t="n">
        <f aca="false">AG1355*$V1355</f>
        <v>0</v>
      </c>
      <c r="AT1355" s="9" t="n">
        <f aca="false">AH1355*$V1355</f>
        <v>265.6</v>
      </c>
      <c r="AU1355" s="9" t="n">
        <f aca="false">AI1355*$V1355</f>
        <v>0</v>
      </c>
      <c r="AV1355" s="9" t="n">
        <f aca="false">SUM(X1355:AI1355)/1000</f>
        <v>120</v>
      </c>
      <c r="AW1355" s="9" t="n">
        <f aca="false">SUM(AJ1355:AU1355)</f>
        <v>1593.6</v>
      </c>
      <c r="AX1355" s="9" t="n">
        <f aca="false">IF(D1355="INR",AW1355/88.24,AW1355)/1000000</f>
        <v>0.0015936</v>
      </c>
    </row>
    <row r="1356" s="2" customFormat="true" ht="16.4" hidden="false" customHeight="false" outlineLevel="0" collapsed="false">
      <c r="A1356" s="9" t="s">
        <v>2587</v>
      </c>
      <c r="B1356" s="9" t="n">
        <v>5</v>
      </c>
      <c r="C1356" s="10"/>
      <c r="D1356" s="9" t="s">
        <v>102</v>
      </c>
      <c r="E1356" s="9" t="s">
        <v>51</v>
      </c>
      <c r="F1356" s="9" t="s">
        <v>52</v>
      </c>
      <c r="G1356" s="9" t="s">
        <v>301</v>
      </c>
      <c r="H1356" s="9" t="s">
        <v>302</v>
      </c>
      <c r="I1356" s="9" t="s">
        <v>303</v>
      </c>
      <c r="J1356" s="9" t="s">
        <v>304</v>
      </c>
      <c r="K1356" s="9" t="s">
        <v>2554</v>
      </c>
      <c r="L1356" s="9" t="s">
        <v>303</v>
      </c>
      <c r="M1356" s="9" t="s">
        <v>304</v>
      </c>
      <c r="N1356" s="9" t="s">
        <v>93</v>
      </c>
      <c r="O1356" s="9" t="s">
        <v>107</v>
      </c>
      <c r="P1356" s="9" t="s">
        <v>348</v>
      </c>
      <c r="Q1356" s="9" t="s">
        <v>348</v>
      </c>
      <c r="R1356" s="9" t="s">
        <v>800</v>
      </c>
      <c r="S1356" s="9" t="s">
        <v>87</v>
      </c>
      <c r="T1356" s="9" t="s">
        <v>2588</v>
      </c>
      <c r="U1356" s="9" t="s">
        <v>73</v>
      </c>
      <c r="V1356" s="9" t="n">
        <v>0.0079</v>
      </c>
      <c r="W1356" s="9" t="n">
        <v>0.0072</v>
      </c>
      <c r="X1356" s="9" t="n">
        <v>20000</v>
      </c>
      <c r="Y1356" s="9"/>
      <c r="Z1356" s="9" t="n">
        <v>20000</v>
      </c>
      <c r="AA1356" s="9"/>
      <c r="AB1356" s="9" t="n">
        <v>20000</v>
      </c>
      <c r="AC1356" s="9"/>
      <c r="AD1356" s="9" t="n">
        <v>20000</v>
      </c>
      <c r="AE1356" s="9"/>
      <c r="AF1356" s="9" t="n">
        <v>20000</v>
      </c>
      <c r="AG1356" s="9"/>
      <c r="AH1356" s="9" t="n">
        <v>20000</v>
      </c>
      <c r="AI1356" s="9"/>
      <c r="AJ1356" s="9" t="n">
        <f aca="false">X1356*$V1356</f>
        <v>158</v>
      </c>
      <c r="AK1356" s="9" t="n">
        <f aca="false">Y1356*$V1356</f>
        <v>0</v>
      </c>
      <c r="AL1356" s="9" t="n">
        <f aca="false">Z1356*$V1356</f>
        <v>158</v>
      </c>
      <c r="AM1356" s="9" t="n">
        <f aca="false">AA1356*$V1356</f>
        <v>0</v>
      </c>
      <c r="AN1356" s="9" t="n">
        <f aca="false">AB1356*$V1356</f>
        <v>158</v>
      </c>
      <c r="AO1356" s="9" t="n">
        <f aca="false">AC1356*$V1356</f>
        <v>0</v>
      </c>
      <c r="AP1356" s="9" t="n">
        <f aca="false">AD1356*$V1356</f>
        <v>158</v>
      </c>
      <c r="AQ1356" s="9" t="n">
        <f aca="false">AE1356*$V1356</f>
        <v>0</v>
      </c>
      <c r="AR1356" s="9" t="n">
        <f aca="false">AF1356*$V1356</f>
        <v>158</v>
      </c>
      <c r="AS1356" s="9" t="n">
        <f aca="false">AG1356*$V1356</f>
        <v>0</v>
      </c>
      <c r="AT1356" s="9" t="n">
        <f aca="false">AH1356*$V1356</f>
        <v>158</v>
      </c>
      <c r="AU1356" s="9" t="n">
        <f aca="false">AI1356*$V1356</f>
        <v>0</v>
      </c>
      <c r="AV1356" s="9" t="n">
        <f aca="false">SUM(X1356:AI1356)/1000</f>
        <v>120</v>
      </c>
      <c r="AW1356" s="9" t="n">
        <f aca="false">SUM(AJ1356:AU1356)</f>
        <v>948</v>
      </c>
      <c r="AX1356" s="9" t="n">
        <f aca="false">IF(D1356="INR",AW1356/88.24,AW1356)/1000000</f>
        <v>0.000948</v>
      </c>
    </row>
    <row r="1357" s="2" customFormat="true" ht="16.4" hidden="false" customHeight="false" outlineLevel="0" collapsed="false">
      <c r="A1357" s="9" t="s">
        <v>2589</v>
      </c>
      <c r="B1357" s="9" t="n">
        <v>5</v>
      </c>
      <c r="C1357" s="10"/>
      <c r="D1357" s="9" t="s">
        <v>102</v>
      </c>
      <c r="E1357" s="9" t="s">
        <v>51</v>
      </c>
      <c r="F1357" s="9" t="s">
        <v>52</v>
      </c>
      <c r="G1357" s="9" t="s">
        <v>301</v>
      </c>
      <c r="H1357" s="9" t="s">
        <v>302</v>
      </c>
      <c r="I1357" s="9" t="s">
        <v>303</v>
      </c>
      <c r="J1357" s="9" t="s">
        <v>304</v>
      </c>
      <c r="K1357" s="9" t="s">
        <v>2554</v>
      </c>
      <c r="L1357" s="9" t="s">
        <v>303</v>
      </c>
      <c r="M1357" s="9" t="s">
        <v>304</v>
      </c>
      <c r="N1357" s="9" t="s">
        <v>93</v>
      </c>
      <c r="O1357" s="9" t="s">
        <v>107</v>
      </c>
      <c r="P1357" s="9" t="s">
        <v>348</v>
      </c>
      <c r="Q1357" s="9" t="s">
        <v>348</v>
      </c>
      <c r="R1357" s="9" t="s">
        <v>800</v>
      </c>
      <c r="S1357" s="9" t="s">
        <v>87</v>
      </c>
      <c r="T1357" s="9" t="s">
        <v>2590</v>
      </c>
      <c r="U1357" s="9" t="s">
        <v>73</v>
      </c>
      <c r="V1357" s="9" t="n">
        <v>0.0043</v>
      </c>
      <c r="W1357" s="9" t="n">
        <v>0.00411</v>
      </c>
      <c r="X1357" s="9" t="n">
        <v>20000</v>
      </c>
      <c r="Y1357" s="9"/>
      <c r="Z1357" s="9" t="n">
        <v>20000</v>
      </c>
      <c r="AA1357" s="9"/>
      <c r="AB1357" s="9" t="n">
        <v>20000</v>
      </c>
      <c r="AC1357" s="9"/>
      <c r="AD1357" s="9" t="n">
        <v>20000</v>
      </c>
      <c r="AE1357" s="9"/>
      <c r="AF1357" s="9" t="n">
        <v>20000</v>
      </c>
      <c r="AG1357" s="9"/>
      <c r="AH1357" s="9" t="n">
        <v>20000</v>
      </c>
      <c r="AI1357" s="9"/>
      <c r="AJ1357" s="9" t="n">
        <f aca="false">X1357*$V1357</f>
        <v>86</v>
      </c>
      <c r="AK1357" s="9" t="n">
        <f aca="false">Y1357*$V1357</f>
        <v>0</v>
      </c>
      <c r="AL1357" s="9" t="n">
        <f aca="false">Z1357*$V1357</f>
        <v>86</v>
      </c>
      <c r="AM1357" s="9" t="n">
        <f aca="false">AA1357*$V1357</f>
        <v>0</v>
      </c>
      <c r="AN1357" s="9" t="n">
        <f aca="false">AB1357*$V1357</f>
        <v>86</v>
      </c>
      <c r="AO1357" s="9" t="n">
        <f aca="false">AC1357*$V1357</f>
        <v>0</v>
      </c>
      <c r="AP1357" s="9" t="n">
        <f aca="false">AD1357*$V1357</f>
        <v>86</v>
      </c>
      <c r="AQ1357" s="9" t="n">
        <f aca="false">AE1357*$V1357</f>
        <v>0</v>
      </c>
      <c r="AR1357" s="9" t="n">
        <f aca="false">AF1357*$V1357</f>
        <v>86</v>
      </c>
      <c r="AS1357" s="9" t="n">
        <f aca="false">AG1357*$V1357</f>
        <v>0</v>
      </c>
      <c r="AT1357" s="9" t="n">
        <f aca="false">AH1357*$V1357</f>
        <v>86</v>
      </c>
      <c r="AU1357" s="9" t="n">
        <f aca="false">AI1357*$V1357</f>
        <v>0</v>
      </c>
      <c r="AV1357" s="9" t="n">
        <f aca="false">SUM(X1357:AI1357)/1000</f>
        <v>120</v>
      </c>
      <c r="AW1357" s="9" t="n">
        <f aca="false">SUM(AJ1357:AU1357)</f>
        <v>516</v>
      </c>
      <c r="AX1357" s="9" t="n">
        <f aca="false">IF(D1357="INR",AW1357/88.24,AW1357)/1000000</f>
        <v>0.000516</v>
      </c>
    </row>
    <row r="1358" s="2" customFormat="true" ht="16.4" hidden="false" customHeight="false" outlineLevel="0" collapsed="false">
      <c r="A1358" s="16" t="s">
        <v>2591</v>
      </c>
      <c r="B1358" s="16" t="n">
        <v>5</v>
      </c>
      <c r="C1358" s="16"/>
      <c r="D1358" s="16" t="s">
        <v>102</v>
      </c>
      <c r="E1358" s="16" t="s">
        <v>51</v>
      </c>
      <c r="F1358" s="16" t="s">
        <v>52</v>
      </c>
      <c r="G1358" s="16" t="s">
        <v>301</v>
      </c>
      <c r="H1358" s="16" t="s">
        <v>302</v>
      </c>
      <c r="I1358" s="16" t="s">
        <v>303</v>
      </c>
      <c r="J1358" s="16" t="s">
        <v>304</v>
      </c>
      <c r="K1358" s="16" t="s">
        <v>2554</v>
      </c>
      <c r="L1358" s="16" t="s">
        <v>303</v>
      </c>
      <c r="M1358" s="16" t="s">
        <v>304</v>
      </c>
      <c r="N1358" s="16" t="s">
        <v>93</v>
      </c>
      <c r="O1358" s="16" t="s">
        <v>107</v>
      </c>
      <c r="P1358" s="16" t="s">
        <v>348</v>
      </c>
      <c r="Q1358" s="16" t="s">
        <v>348</v>
      </c>
      <c r="R1358" s="16" t="s">
        <v>800</v>
      </c>
      <c r="S1358" s="16" t="s">
        <v>87</v>
      </c>
      <c r="T1358" s="16" t="s">
        <v>2592</v>
      </c>
      <c r="U1358" s="16" t="s">
        <v>73</v>
      </c>
      <c r="V1358" s="16" t="n">
        <v>0.00389</v>
      </c>
      <c r="W1358" s="26" t="n">
        <v>0.0035</v>
      </c>
      <c r="X1358" s="16" t="n">
        <v>20000</v>
      </c>
      <c r="Y1358" s="16"/>
      <c r="Z1358" s="16" t="n">
        <v>20000</v>
      </c>
      <c r="AA1358" s="16"/>
      <c r="AB1358" s="16" t="n">
        <v>20000</v>
      </c>
      <c r="AC1358" s="16"/>
      <c r="AD1358" s="16" t="n">
        <v>20000</v>
      </c>
      <c r="AE1358" s="16"/>
      <c r="AF1358" s="16" t="n">
        <v>20000</v>
      </c>
      <c r="AG1358" s="16"/>
      <c r="AH1358" s="16" t="n">
        <v>20000</v>
      </c>
      <c r="AI1358" s="16"/>
      <c r="AJ1358" s="9" t="n">
        <f aca="false">X1358*$V1358</f>
        <v>77.8</v>
      </c>
      <c r="AK1358" s="9" t="n">
        <f aca="false">Y1358*$V1358</f>
        <v>0</v>
      </c>
      <c r="AL1358" s="9" t="n">
        <f aca="false">Z1358*$V1358</f>
        <v>77.8</v>
      </c>
      <c r="AM1358" s="9" t="n">
        <f aca="false">AA1358*$V1358</f>
        <v>0</v>
      </c>
      <c r="AN1358" s="9" t="n">
        <f aca="false">AB1358*$V1358</f>
        <v>77.8</v>
      </c>
      <c r="AO1358" s="9" t="n">
        <f aca="false">AC1358*$V1358</f>
        <v>0</v>
      </c>
      <c r="AP1358" s="9" t="n">
        <f aca="false">AD1358*$V1358</f>
        <v>77.8</v>
      </c>
      <c r="AQ1358" s="9" t="n">
        <f aca="false">AE1358*$V1358</f>
        <v>0</v>
      </c>
      <c r="AR1358" s="9" t="n">
        <f aca="false">AF1358*$V1358</f>
        <v>77.8</v>
      </c>
      <c r="AS1358" s="9" t="n">
        <f aca="false">AG1358*$V1358</f>
        <v>0</v>
      </c>
      <c r="AT1358" s="9" t="n">
        <f aca="false">AH1358*$V1358</f>
        <v>77.8</v>
      </c>
      <c r="AU1358" s="9" t="n">
        <f aca="false">AI1358*$V1358</f>
        <v>0</v>
      </c>
      <c r="AV1358" s="9" t="n">
        <f aca="false">SUM(X1358:AI1358)/1000</f>
        <v>120</v>
      </c>
      <c r="AW1358" s="9" t="n">
        <f aca="false">SUM(AJ1358:AU1358)</f>
        <v>466.8</v>
      </c>
      <c r="AX1358" s="9" t="n">
        <f aca="false">IF(D1358="INR",AW1358/88.24,AW1358)/1000000</f>
        <v>0.0004668</v>
      </c>
    </row>
    <row r="1359" s="2" customFormat="true" ht="16.4" hidden="false" customHeight="false" outlineLevel="0" collapsed="false">
      <c r="A1359" s="9" t="s">
        <v>2593</v>
      </c>
      <c r="B1359" s="9" t="n">
        <v>5</v>
      </c>
      <c r="C1359" s="15"/>
      <c r="D1359" s="9" t="s">
        <v>102</v>
      </c>
      <c r="E1359" s="9" t="s">
        <v>51</v>
      </c>
      <c r="F1359" s="9" t="s">
        <v>52</v>
      </c>
      <c r="G1359" s="9" t="s">
        <v>301</v>
      </c>
      <c r="H1359" s="9" t="s">
        <v>302</v>
      </c>
      <c r="I1359" s="9" t="s">
        <v>303</v>
      </c>
      <c r="J1359" s="9" t="s">
        <v>304</v>
      </c>
      <c r="K1359" s="9" t="s">
        <v>2554</v>
      </c>
      <c r="L1359" s="9" t="s">
        <v>303</v>
      </c>
      <c r="M1359" s="9" t="s">
        <v>304</v>
      </c>
      <c r="N1359" s="16" t="s">
        <v>93</v>
      </c>
      <c r="O1359" s="9" t="s">
        <v>107</v>
      </c>
      <c r="P1359" s="9" t="s">
        <v>348</v>
      </c>
      <c r="Q1359" s="9" t="s">
        <v>348</v>
      </c>
      <c r="R1359" s="9" t="s">
        <v>800</v>
      </c>
      <c r="S1359" s="9" t="s">
        <v>87</v>
      </c>
      <c r="T1359" s="9" t="s">
        <v>2594</v>
      </c>
      <c r="U1359" s="9" t="s">
        <v>73</v>
      </c>
      <c r="V1359" s="9" t="n">
        <v>0.003</v>
      </c>
      <c r="W1359" s="9" t="n">
        <v>0.0026</v>
      </c>
      <c r="X1359" s="22" t="n">
        <v>20000</v>
      </c>
      <c r="Y1359" s="9"/>
      <c r="Z1359" s="9" t="n">
        <v>20000</v>
      </c>
      <c r="AA1359" s="9"/>
      <c r="AB1359" s="9" t="n">
        <v>20000</v>
      </c>
      <c r="AC1359" s="9"/>
      <c r="AD1359" s="9" t="n">
        <v>20000</v>
      </c>
      <c r="AE1359" s="9"/>
      <c r="AF1359" s="9" t="n">
        <v>20000</v>
      </c>
      <c r="AG1359" s="9"/>
      <c r="AH1359" s="9" t="n">
        <v>20000</v>
      </c>
      <c r="AI1359" s="9"/>
      <c r="AJ1359" s="9" t="n">
        <f aca="false">X1359*$V1359</f>
        <v>60</v>
      </c>
      <c r="AK1359" s="9" t="n">
        <f aca="false">Y1359*$V1359</f>
        <v>0</v>
      </c>
      <c r="AL1359" s="9" t="n">
        <f aca="false">Z1359*$V1359</f>
        <v>60</v>
      </c>
      <c r="AM1359" s="9" t="n">
        <f aca="false">AA1359*$V1359</f>
        <v>0</v>
      </c>
      <c r="AN1359" s="9" t="n">
        <f aca="false">AB1359*$V1359</f>
        <v>60</v>
      </c>
      <c r="AO1359" s="9" t="n">
        <f aca="false">AC1359*$V1359</f>
        <v>0</v>
      </c>
      <c r="AP1359" s="9" t="n">
        <f aca="false">AD1359*$V1359</f>
        <v>60</v>
      </c>
      <c r="AQ1359" s="9" t="n">
        <f aca="false">AE1359*$V1359</f>
        <v>0</v>
      </c>
      <c r="AR1359" s="9" t="n">
        <f aca="false">AF1359*$V1359</f>
        <v>60</v>
      </c>
      <c r="AS1359" s="9" t="n">
        <f aca="false">AG1359*$V1359</f>
        <v>0</v>
      </c>
      <c r="AT1359" s="9" t="n">
        <f aca="false">AH1359*$V1359</f>
        <v>60</v>
      </c>
      <c r="AU1359" s="9" t="n">
        <f aca="false">AI1359*$V1359</f>
        <v>0</v>
      </c>
      <c r="AV1359" s="9" t="n">
        <f aca="false">SUM(X1359:AI1359)/1000</f>
        <v>120</v>
      </c>
      <c r="AW1359" s="9" t="n">
        <f aca="false">SUM(AJ1359:AU1359)</f>
        <v>360</v>
      </c>
      <c r="AX1359" s="9" t="n">
        <f aca="false">IF(D1359="INR",AW1359/88.24,AW1359)/1000000</f>
        <v>0.00036</v>
      </c>
    </row>
    <row r="1360" s="2" customFormat="true" ht="16.4" hidden="false" customHeight="false" outlineLevel="0" collapsed="false">
      <c r="A1360" s="9" t="s">
        <v>2595</v>
      </c>
      <c r="B1360" s="9" t="n">
        <v>5</v>
      </c>
      <c r="C1360" s="15"/>
      <c r="D1360" s="9" t="s">
        <v>102</v>
      </c>
      <c r="E1360" s="9" t="s">
        <v>51</v>
      </c>
      <c r="F1360" s="9" t="s">
        <v>52</v>
      </c>
      <c r="G1360" s="9" t="s">
        <v>301</v>
      </c>
      <c r="H1360" s="9" t="s">
        <v>302</v>
      </c>
      <c r="I1360" s="9" t="s">
        <v>303</v>
      </c>
      <c r="J1360" s="9" t="s">
        <v>304</v>
      </c>
      <c r="K1360" s="9" t="s">
        <v>2554</v>
      </c>
      <c r="L1360" s="9" t="s">
        <v>303</v>
      </c>
      <c r="M1360" s="9" t="s">
        <v>304</v>
      </c>
      <c r="N1360" s="16" t="s">
        <v>93</v>
      </c>
      <c r="O1360" s="9" t="s">
        <v>107</v>
      </c>
      <c r="P1360" s="9" t="s">
        <v>348</v>
      </c>
      <c r="Q1360" s="9" t="s">
        <v>348</v>
      </c>
      <c r="R1360" s="9" t="s">
        <v>800</v>
      </c>
      <c r="S1360" s="9" t="s">
        <v>87</v>
      </c>
      <c r="T1360" s="9" t="s">
        <v>2596</v>
      </c>
      <c r="U1360" s="9" t="s">
        <v>73</v>
      </c>
      <c r="V1360" s="9" t="n">
        <v>0.003</v>
      </c>
      <c r="W1360" s="9" t="n">
        <v>0.00234</v>
      </c>
      <c r="X1360" s="22" t="n">
        <v>20000</v>
      </c>
      <c r="Y1360" s="9"/>
      <c r="Z1360" s="9" t="n">
        <v>20000</v>
      </c>
      <c r="AA1360" s="9"/>
      <c r="AB1360" s="9" t="n">
        <v>20000</v>
      </c>
      <c r="AC1360" s="9"/>
      <c r="AD1360" s="9" t="n">
        <v>20000</v>
      </c>
      <c r="AE1360" s="9"/>
      <c r="AF1360" s="9" t="n">
        <v>20000</v>
      </c>
      <c r="AG1360" s="9"/>
      <c r="AH1360" s="9" t="n">
        <v>20000</v>
      </c>
      <c r="AI1360" s="9"/>
      <c r="AJ1360" s="9" t="n">
        <f aca="false">X1360*$V1360</f>
        <v>60</v>
      </c>
      <c r="AK1360" s="9" t="n">
        <f aca="false">Y1360*$V1360</f>
        <v>0</v>
      </c>
      <c r="AL1360" s="9" t="n">
        <f aca="false">Z1360*$V1360</f>
        <v>60</v>
      </c>
      <c r="AM1360" s="9" t="n">
        <f aca="false">AA1360*$V1360</f>
        <v>0</v>
      </c>
      <c r="AN1360" s="9" t="n">
        <f aca="false">AB1360*$V1360</f>
        <v>60</v>
      </c>
      <c r="AO1360" s="9" t="n">
        <f aca="false">AC1360*$V1360</f>
        <v>0</v>
      </c>
      <c r="AP1360" s="9" t="n">
        <f aca="false">AD1360*$V1360</f>
        <v>60</v>
      </c>
      <c r="AQ1360" s="9" t="n">
        <f aca="false">AE1360*$V1360</f>
        <v>0</v>
      </c>
      <c r="AR1360" s="9" t="n">
        <f aca="false">AF1360*$V1360</f>
        <v>60</v>
      </c>
      <c r="AS1360" s="9" t="n">
        <f aca="false">AG1360*$V1360</f>
        <v>0</v>
      </c>
      <c r="AT1360" s="9" t="n">
        <f aca="false">AH1360*$V1360</f>
        <v>60</v>
      </c>
      <c r="AU1360" s="9" t="n">
        <f aca="false">AI1360*$V1360</f>
        <v>0</v>
      </c>
      <c r="AV1360" s="9" t="n">
        <f aca="false">SUM(X1360:AI1360)/1000</f>
        <v>120</v>
      </c>
      <c r="AW1360" s="9" t="n">
        <f aca="false">SUM(AJ1360:AU1360)</f>
        <v>360</v>
      </c>
      <c r="AX1360" s="9" t="n">
        <f aca="false">IF(D1360="INR",AW1360/88.24,AW1360)/1000000</f>
        <v>0.00036</v>
      </c>
    </row>
    <row r="1361" s="2" customFormat="true" ht="16.4" hidden="false" customHeight="false" outlineLevel="0" collapsed="false">
      <c r="A1361" s="16" t="s">
        <v>2597</v>
      </c>
      <c r="B1361" s="16" t="n">
        <v>5</v>
      </c>
      <c r="C1361" s="16"/>
      <c r="D1361" s="16" t="s">
        <v>102</v>
      </c>
      <c r="E1361" s="16" t="s">
        <v>51</v>
      </c>
      <c r="F1361" s="16" t="s">
        <v>52</v>
      </c>
      <c r="G1361" s="16" t="s">
        <v>301</v>
      </c>
      <c r="H1361" s="16" t="s">
        <v>302</v>
      </c>
      <c r="I1361" s="16" t="s">
        <v>303</v>
      </c>
      <c r="J1361" s="16" t="s">
        <v>304</v>
      </c>
      <c r="K1361" s="16" t="s">
        <v>2598</v>
      </c>
      <c r="L1361" s="16" t="s">
        <v>303</v>
      </c>
      <c r="M1361" s="16" t="s">
        <v>304</v>
      </c>
      <c r="N1361" s="16" t="s">
        <v>93</v>
      </c>
      <c r="O1361" s="16" t="s">
        <v>107</v>
      </c>
      <c r="P1361" s="16" t="s">
        <v>348</v>
      </c>
      <c r="Q1361" s="16" t="s">
        <v>348</v>
      </c>
      <c r="R1361" s="16" t="s">
        <v>800</v>
      </c>
      <c r="S1361" s="16" t="s">
        <v>87</v>
      </c>
      <c r="T1361" s="16" t="s">
        <v>2599</v>
      </c>
      <c r="U1361" s="16" t="s">
        <v>73</v>
      </c>
      <c r="V1361" s="16" t="n">
        <v>0.0027</v>
      </c>
      <c r="W1361" s="16" t="n">
        <v>0.00242</v>
      </c>
      <c r="X1361" s="16" t="n">
        <v>20000</v>
      </c>
      <c r="Y1361" s="16"/>
      <c r="Z1361" s="16" t="n">
        <v>20000</v>
      </c>
      <c r="AA1361" s="16"/>
      <c r="AB1361" s="16" t="n">
        <v>20000</v>
      </c>
      <c r="AC1361" s="16"/>
      <c r="AD1361" s="16" t="n">
        <v>20000</v>
      </c>
      <c r="AE1361" s="16"/>
      <c r="AF1361" s="16" t="n">
        <v>20000</v>
      </c>
      <c r="AG1361" s="16"/>
      <c r="AH1361" s="16" t="n">
        <v>20000</v>
      </c>
      <c r="AI1361" s="16"/>
      <c r="AJ1361" s="9" t="n">
        <f aca="false">X1361*$V1361</f>
        <v>54</v>
      </c>
      <c r="AK1361" s="9" t="n">
        <f aca="false">Y1361*$V1361</f>
        <v>0</v>
      </c>
      <c r="AL1361" s="9" t="n">
        <f aca="false">Z1361*$V1361</f>
        <v>54</v>
      </c>
      <c r="AM1361" s="9" t="n">
        <f aca="false">AA1361*$V1361</f>
        <v>0</v>
      </c>
      <c r="AN1361" s="9" t="n">
        <f aca="false">AB1361*$V1361</f>
        <v>54</v>
      </c>
      <c r="AO1361" s="9" t="n">
        <f aca="false">AC1361*$V1361</f>
        <v>0</v>
      </c>
      <c r="AP1361" s="9" t="n">
        <f aca="false">AD1361*$V1361</f>
        <v>54</v>
      </c>
      <c r="AQ1361" s="9" t="n">
        <f aca="false">AE1361*$V1361</f>
        <v>0</v>
      </c>
      <c r="AR1361" s="9" t="n">
        <f aca="false">AF1361*$V1361</f>
        <v>54</v>
      </c>
      <c r="AS1361" s="9" t="n">
        <f aca="false">AG1361*$V1361</f>
        <v>0</v>
      </c>
      <c r="AT1361" s="9" t="n">
        <f aca="false">AH1361*$V1361</f>
        <v>54</v>
      </c>
      <c r="AU1361" s="9" t="n">
        <f aca="false">AI1361*$V1361</f>
        <v>0</v>
      </c>
      <c r="AV1361" s="9" t="n">
        <f aca="false">SUM(X1361:AI1361)/1000</f>
        <v>120</v>
      </c>
      <c r="AW1361" s="9" t="n">
        <f aca="false">SUM(AJ1361:AU1361)</f>
        <v>324</v>
      </c>
      <c r="AX1361" s="9" t="n">
        <f aca="false">IF(D1361="INR",AW1361/88.24,AW1361)/1000000</f>
        <v>0.000324</v>
      </c>
    </row>
    <row r="1362" s="2" customFormat="true" ht="16.4" hidden="false" customHeight="false" outlineLevel="0" collapsed="false">
      <c r="A1362" s="9" t="s">
        <v>2600</v>
      </c>
      <c r="B1362" s="9" t="n">
        <v>5</v>
      </c>
      <c r="C1362" s="10"/>
      <c r="D1362" s="16" t="s">
        <v>102</v>
      </c>
      <c r="E1362" s="16" t="s">
        <v>51</v>
      </c>
      <c r="F1362" s="16" t="s">
        <v>52</v>
      </c>
      <c r="G1362" s="9" t="s">
        <v>301</v>
      </c>
      <c r="H1362" s="9" t="s">
        <v>302</v>
      </c>
      <c r="I1362" s="9" t="s">
        <v>303</v>
      </c>
      <c r="J1362" s="9" t="s">
        <v>304</v>
      </c>
      <c r="K1362" s="9" t="s">
        <v>2554</v>
      </c>
      <c r="L1362" s="9" t="s">
        <v>303</v>
      </c>
      <c r="M1362" s="9" t="s">
        <v>304</v>
      </c>
      <c r="N1362" s="16" t="s">
        <v>93</v>
      </c>
      <c r="O1362" s="9" t="s">
        <v>107</v>
      </c>
      <c r="P1362" s="16" t="s">
        <v>348</v>
      </c>
      <c r="Q1362" s="16" t="s">
        <v>348</v>
      </c>
      <c r="R1362" s="16" t="s">
        <v>800</v>
      </c>
      <c r="S1362" s="16" t="s">
        <v>87</v>
      </c>
      <c r="T1362" s="9" t="s">
        <v>2601</v>
      </c>
      <c r="U1362" s="16" t="s">
        <v>73</v>
      </c>
      <c r="V1362" s="9" t="n">
        <v>0.0021</v>
      </c>
      <c r="W1362" s="9" t="n">
        <v>0.0017</v>
      </c>
      <c r="X1362" s="16" t="n">
        <v>20000</v>
      </c>
      <c r="Y1362" s="16"/>
      <c r="Z1362" s="16" t="n">
        <v>20000</v>
      </c>
      <c r="AA1362" s="16"/>
      <c r="AB1362" s="16" t="n">
        <v>20000</v>
      </c>
      <c r="AC1362" s="16"/>
      <c r="AD1362" s="16" t="n">
        <v>20000</v>
      </c>
      <c r="AE1362" s="16"/>
      <c r="AF1362" s="16" t="n">
        <v>20000</v>
      </c>
      <c r="AG1362" s="16"/>
      <c r="AH1362" s="16" t="n">
        <v>20000</v>
      </c>
      <c r="AI1362" s="16"/>
      <c r="AJ1362" s="9" t="n">
        <f aca="false">X1362*$V1362</f>
        <v>42</v>
      </c>
      <c r="AK1362" s="9" t="n">
        <f aca="false">Y1362*$V1362</f>
        <v>0</v>
      </c>
      <c r="AL1362" s="9" t="n">
        <f aca="false">Z1362*$V1362</f>
        <v>42</v>
      </c>
      <c r="AM1362" s="9" t="n">
        <f aca="false">AA1362*$V1362</f>
        <v>0</v>
      </c>
      <c r="AN1362" s="9" t="n">
        <f aca="false">AB1362*$V1362</f>
        <v>42</v>
      </c>
      <c r="AO1362" s="9" t="n">
        <f aca="false">AC1362*$V1362</f>
        <v>0</v>
      </c>
      <c r="AP1362" s="9" t="n">
        <f aca="false">AD1362*$V1362</f>
        <v>42</v>
      </c>
      <c r="AQ1362" s="9" t="n">
        <f aca="false">AE1362*$V1362</f>
        <v>0</v>
      </c>
      <c r="AR1362" s="9" t="n">
        <f aca="false">AF1362*$V1362</f>
        <v>42</v>
      </c>
      <c r="AS1362" s="9" t="n">
        <f aca="false">AG1362*$V1362</f>
        <v>0</v>
      </c>
      <c r="AT1362" s="9" t="n">
        <f aca="false">AH1362*$V1362</f>
        <v>42</v>
      </c>
      <c r="AU1362" s="9" t="n">
        <f aca="false">AI1362*$V1362</f>
        <v>0</v>
      </c>
      <c r="AV1362" s="9" t="n">
        <f aca="false">SUM(X1362:AI1362)/1000</f>
        <v>120</v>
      </c>
      <c r="AW1362" s="9" t="n">
        <f aca="false">SUM(AJ1362:AU1362)</f>
        <v>252</v>
      </c>
      <c r="AX1362" s="9" t="n">
        <f aca="false">IF(D1362="INR",AW1362/88.24,AW1362)/1000000</f>
        <v>0.000252</v>
      </c>
    </row>
    <row r="1363" s="2" customFormat="true" ht="14.25" hidden="false" customHeight="false" outlineLevel="0" collapsed="false">
      <c r="A1363" s="12" t="s">
        <v>2602</v>
      </c>
      <c r="B1363" s="9" t="n">
        <v>5</v>
      </c>
      <c r="C1363" s="10"/>
      <c r="D1363" s="9" t="s">
        <v>102</v>
      </c>
      <c r="E1363" s="9" t="s">
        <v>51</v>
      </c>
      <c r="F1363" s="9" t="s">
        <v>52</v>
      </c>
      <c r="G1363" s="9" t="s">
        <v>301</v>
      </c>
      <c r="H1363" s="9" t="s">
        <v>302</v>
      </c>
      <c r="I1363" s="9" t="s">
        <v>303</v>
      </c>
      <c r="J1363" s="9" t="s">
        <v>304</v>
      </c>
      <c r="K1363" s="9" t="s">
        <v>2554</v>
      </c>
      <c r="L1363" s="9" t="s">
        <v>303</v>
      </c>
      <c r="M1363" s="9" t="s">
        <v>304</v>
      </c>
      <c r="N1363" s="9" t="s">
        <v>93</v>
      </c>
      <c r="O1363" s="9" t="s">
        <v>107</v>
      </c>
      <c r="P1363" s="9" t="s">
        <v>348</v>
      </c>
      <c r="Q1363" s="9" t="s">
        <v>348</v>
      </c>
      <c r="R1363" s="9" t="s">
        <v>800</v>
      </c>
      <c r="S1363" s="9" t="s">
        <v>87</v>
      </c>
      <c r="T1363" s="9" t="s">
        <v>2603</v>
      </c>
      <c r="U1363" s="9" t="s">
        <v>73</v>
      </c>
      <c r="V1363" s="9" t="n">
        <v>0.00173</v>
      </c>
      <c r="W1363" s="9" t="n">
        <v>0.00139</v>
      </c>
      <c r="X1363" s="9" t="n">
        <v>20000</v>
      </c>
      <c r="Y1363" s="9"/>
      <c r="Z1363" s="9" t="n">
        <v>20000</v>
      </c>
      <c r="AA1363" s="9"/>
      <c r="AB1363" s="9" t="n">
        <v>20000</v>
      </c>
      <c r="AC1363" s="9"/>
      <c r="AD1363" s="9" t="n">
        <v>20000</v>
      </c>
      <c r="AE1363" s="9"/>
      <c r="AF1363" s="9" t="n">
        <v>20000</v>
      </c>
      <c r="AG1363" s="9"/>
      <c r="AH1363" s="9" t="n">
        <v>20000</v>
      </c>
      <c r="AI1363" s="9"/>
      <c r="AJ1363" s="9" t="n">
        <f aca="false">X1363*$V1363</f>
        <v>34.6</v>
      </c>
      <c r="AK1363" s="9" t="n">
        <f aca="false">Y1363*$V1363</f>
        <v>0</v>
      </c>
      <c r="AL1363" s="9" t="n">
        <f aca="false">Z1363*$V1363</f>
        <v>34.6</v>
      </c>
      <c r="AM1363" s="9" t="n">
        <f aca="false">AA1363*$V1363</f>
        <v>0</v>
      </c>
      <c r="AN1363" s="9" t="n">
        <f aca="false">AB1363*$V1363</f>
        <v>34.6</v>
      </c>
      <c r="AO1363" s="9" t="n">
        <f aca="false">AC1363*$V1363</f>
        <v>0</v>
      </c>
      <c r="AP1363" s="9" t="n">
        <f aca="false">AD1363*$V1363</f>
        <v>34.6</v>
      </c>
      <c r="AQ1363" s="9" t="n">
        <f aca="false">AE1363*$V1363</f>
        <v>0</v>
      </c>
      <c r="AR1363" s="9" t="n">
        <f aca="false">AF1363*$V1363</f>
        <v>34.6</v>
      </c>
      <c r="AS1363" s="9" t="n">
        <f aca="false">AG1363*$V1363</f>
        <v>0</v>
      </c>
      <c r="AT1363" s="9" t="n">
        <f aca="false">AH1363*$V1363</f>
        <v>34.6</v>
      </c>
      <c r="AU1363" s="9" t="n">
        <f aca="false">AI1363*$V1363</f>
        <v>0</v>
      </c>
      <c r="AV1363" s="9" t="n">
        <f aca="false">SUM(X1363:AI1363)/1000</f>
        <v>120</v>
      </c>
      <c r="AW1363" s="9" t="n">
        <f aca="false">SUM(AJ1363:AU1363)</f>
        <v>207.6</v>
      </c>
      <c r="AX1363" s="9" t="n">
        <f aca="false">IF(D1363="INR",AW1363/88.24,AW1363)/1000000</f>
        <v>0.0002076</v>
      </c>
    </row>
    <row r="1364" s="2" customFormat="true" ht="16.4" hidden="false" customHeight="false" outlineLevel="0" collapsed="false">
      <c r="A1364" s="16" t="s">
        <v>2604</v>
      </c>
      <c r="B1364" s="16" t="n">
        <v>5</v>
      </c>
      <c r="C1364" s="16"/>
      <c r="D1364" s="16" t="s">
        <v>102</v>
      </c>
      <c r="E1364" s="16" t="s">
        <v>51</v>
      </c>
      <c r="F1364" s="16" t="s">
        <v>52</v>
      </c>
      <c r="G1364" s="16" t="s">
        <v>301</v>
      </c>
      <c r="H1364" s="16" t="s">
        <v>302</v>
      </c>
      <c r="I1364" s="16" t="s">
        <v>303</v>
      </c>
      <c r="J1364" s="16" t="s">
        <v>304</v>
      </c>
      <c r="K1364" s="16" t="s">
        <v>2554</v>
      </c>
      <c r="L1364" s="16" t="s">
        <v>303</v>
      </c>
      <c r="M1364" s="16" t="s">
        <v>304</v>
      </c>
      <c r="N1364" s="16" t="s">
        <v>93</v>
      </c>
      <c r="O1364" s="16" t="s">
        <v>107</v>
      </c>
      <c r="P1364" s="16" t="s">
        <v>348</v>
      </c>
      <c r="Q1364" s="9" t="s">
        <v>348</v>
      </c>
      <c r="R1364" s="16" t="s">
        <v>800</v>
      </c>
      <c r="S1364" s="16" t="s">
        <v>87</v>
      </c>
      <c r="T1364" s="16" t="s">
        <v>2605</v>
      </c>
      <c r="U1364" s="26" t="s">
        <v>73</v>
      </c>
      <c r="V1364" s="16" t="n">
        <v>0.00152</v>
      </c>
      <c r="W1364" s="26" t="n">
        <v>0.00103</v>
      </c>
      <c r="X1364" s="16" t="n">
        <v>20000</v>
      </c>
      <c r="Y1364" s="16"/>
      <c r="Z1364" s="16" t="n">
        <v>20000</v>
      </c>
      <c r="AA1364" s="16"/>
      <c r="AB1364" s="16" t="n">
        <v>20000</v>
      </c>
      <c r="AC1364" s="16"/>
      <c r="AD1364" s="16" t="n">
        <v>20000</v>
      </c>
      <c r="AE1364" s="16"/>
      <c r="AF1364" s="16" t="n">
        <v>20000</v>
      </c>
      <c r="AG1364" s="16"/>
      <c r="AH1364" s="16" t="n">
        <v>20000</v>
      </c>
      <c r="AI1364" s="16"/>
      <c r="AJ1364" s="9" t="n">
        <f aca="false">X1364*$V1364</f>
        <v>30.4</v>
      </c>
      <c r="AK1364" s="9" t="n">
        <f aca="false">Y1364*$V1364</f>
        <v>0</v>
      </c>
      <c r="AL1364" s="9" t="n">
        <f aca="false">Z1364*$V1364</f>
        <v>30.4</v>
      </c>
      <c r="AM1364" s="9" t="n">
        <f aca="false">AA1364*$V1364</f>
        <v>0</v>
      </c>
      <c r="AN1364" s="9" t="n">
        <f aca="false">AB1364*$V1364</f>
        <v>30.4</v>
      </c>
      <c r="AO1364" s="9" t="n">
        <f aca="false">AC1364*$V1364</f>
        <v>0</v>
      </c>
      <c r="AP1364" s="9" t="n">
        <f aca="false">AD1364*$V1364</f>
        <v>30.4</v>
      </c>
      <c r="AQ1364" s="9" t="n">
        <f aca="false">AE1364*$V1364</f>
        <v>0</v>
      </c>
      <c r="AR1364" s="9" t="n">
        <f aca="false">AF1364*$V1364</f>
        <v>30.4</v>
      </c>
      <c r="AS1364" s="9" t="n">
        <f aca="false">AG1364*$V1364</f>
        <v>0</v>
      </c>
      <c r="AT1364" s="9" t="n">
        <f aca="false">AH1364*$V1364</f>
        <v>30.4</v>
      </c>
      <c r="AU1364" s="9" t="n">
        <f aca="false">AI1364*$V1364</f>
        <v>0</v>
      </c>
      <c r="AV1364" s="9" t="n">
        <f aca="false">SUM(X1364:AI1364)/1000</f>
        <v>120</v>
      </c>
      <c r="AW1364" s="9" t="n">
        <f aca="false">SUM(AJ1364:AU1364)</f>
        <v>182.4</v>
      </c>
      <c r="AX1364" s="9" t="n">
        <f aca="false">IF(D1364="INR",AW1364/88.24,AW1364)/1000000</f>
        <v>0.0001824</v>
      </c>
    </row>
    <row r="1365" s="2" customFormat="true" ht="16.4" hidden="false" customHeight="false" outlineLevel="0" collapsed="false">
      <c r="A1365" s="16" t="s">
        <v>2606</v>
      </c>
      <c r="B1365" s="16" t="n">
        <v>5</v>
      </c>
      <c r="C1365" s="16"/>
      <c r="D1365" s="16" t="s">
        <v>102</v>
      </c>
      <c r="E1365" s="16" t="s">
        <v>51</v>
      </c>
      <c r="F1365" s="16" t="s">
        <v>52</v>
      </c>
      <c r="G1365" s="16" t="s">
        <v>301</v>
      </c>
      <c r="H1365" s="16" t="s">
        <v>302</v>
      </c>
      <c r="I1365" s="16" t="s">
        <v>303</v>
      </c>
      <c r="J1365" s="16" t="s">
        <v>304</v>
      </c>
      <c r="K1365" s="16" t="s">
        <v>2554</v>
      </c>
      <c r="L1365" s="16" t="s">
        <v>303</v>
      </c>
      <c r="M1365" s="16" t="s">
        <v>304</v>
      </c>
      <c r="N1365" s="16" t="s">
        <v>93</v>
      </c>
      <c r="O1365" s="16" t="s">
        <v>107</v>
      </c>
      <c r="P1365" s="9" t="s">
        <v>348</v>
      </c>
      <c r="Q1365" s="16" t="s">
        <v>348</v>
      </c>
      <c r="R1365" s="9" t="s">
        <v>800</v>
      </c>
      <c r="S1365" s="9" t="s">
        <v>87</v>
      </c>
      <c r="T1365" s="9" t="s">
        <v>2607</v>
      </c>
      <c r="U1365" s="9" t="s">
        <v>73</v>
      </c>
      <c r="V1365" s="9" t="n">
        <v>0.00147</v>
      </c>
      <c r="W1365" s="9" t="n">
        <v>0.00116</v>
      </c>
      <c r="X1365" s="16" t="n">
        <v>20000</v>
      </c>
      <c r="Y1365" s="16"/>
      <c r="Z1365" s="16" t="n">
        <v>20000</v>
      </c>
      <c r="AA1365" s="16"/>
      <c r="AB1365" s="16" t="n">
        <v>20000</v>
      </c>
      <c r="AC1365" s="16"/>
      <c r="AD1365" s="16" t="n">
        <v>20000</v>
      </c>
      <c r="AE1365" s="16"/>
      <c r="AF1365" s="16" t="n">
        <v>20000</v>
      </c>
      <c r="AG1365" s="16"/>
      <c r="AH1365" s="16" t="n">
        <v>20000</v>
      </c>
      <c r="AI1365" s="16"/>
      <c r="AJ1365" s="9" t="n">
        <f aca="false">X1365*$V1365</f>
        <v>29.4</v>
      </c>
      <c r="AK1365" s="9" t="n">
        <f aca="false">Y1365*$V1365</f>
        <v>0</v>
      </c>
      <c r="AL1365" s="9" t="n">
        <f aca="false">Z1365*$V1365</f>
        <v>29.4</v>
      </c>
      <c r="AM1365" s="9" t="n">
        <f aca="false">AA1365*$V1365</f>
        <v>0</v>
      </c>
      <c r="AN1365" s="9" t="n">
        <f aca="false">AB1365*$V1365</f>
        <v>29.4</v>
      </c>
      <c r="AO1365" s="9" t="n">
        <f aca="false">AC1365*$V1365</f>
        <v>0</v>
      </c>
      <c r="AP1365" s="9" t="n">
        <f aca="false">AD1365*$V1365</f>
        <v>29.4</v>
      </c>
      <c r="AQ1365" s="9" t="n">
        <f aca="false">AE1365*$V1365</f>
        <v>0</v>
      </c>
      <c r="AR1365" s="9" t="n">
        <f aca="false">AF1365*$V1365</f>
        <v>29.4</v>
      </c>
      <c r="AS1365" s="9" t="n">
        <f aca="false">AG1365*$V1365</f>
        <v>0</v>
      </c>
      <c r="AT1365" s="9" t="n">
        <f aca="false">AH1365*$V1365</f>
        <v>29.4</v>
      </c>
      <c r="AU1365" s="9" t="n">
        <f aca="false">AI1365*$V1365</f>
        <v>0</v>
      </c>
      <c r="AV1365" s="9" t="n">
        <f aca="false">SUM(X1365:AI1365)/1000</f>
        <v>120</v>
      </c>
      <c r="AW1365" s="9" t="n">
        <f aca="false">SUM(AJ1365:AU1365)</f>
        <v>176.4</v>
      </c>
      <c r="AX1365" s="9" t="n">
        <f aca="false">IF(D1365="INR",AW1365/88.24,AW1365)/1000000</f>
        <v>0.0001764</v>
      </c>
    </row>
    <row r="1366" s="2" customFormat="true" ht="16.4" hidden="false" customHeight="false" outlineLevel="0" collapsed="false">
      <c r="A1366" s="16" t="s">
        <v>2608</v>
      </c>
      <c r="B1366" s="16" t="n">
        <v>5</v>
      </c>
      <c r="C1366" s="16"/>
      <c r="D1366" s="16" t="s">
        <v>102</v>
      </c>
      <c r="E1366" s="16" t="s">
        <v>51</v>
      </c>
      <c r="F1366" s="16" t="s">
        <v>52</v>
      </c>
      <c r="G1366" s="16" t="s">
        <v>301</v>
      </c>
      <c r="H1366" s="16" t="s">
        <v>302</v>
      </c>
      <c r="I1366" s="16" t="s">
        <v>303</v>
      </c>
      <c r="J1366" s="16" t="s">
        <v>304</v>
      </c>
      <c r="K1366" s="16" t="s">
        <v>2554</v>
      </c>
      <c r="L1366" s="16" t="s">
        <v>303</v>
      </c>
      <c r="M1366" s="16" t="s">
        <v>304</v>
      </c>
      <c r="N1366" s="16" t="s">
        <v>93</v>
      </c>
      <c r="O1366" s="16" t="s">
        <v>107</v>
      </c>
      <c r="P1366" s="16" t="s">
        <v>348</v>
      </c>
      <c r="Q1366" s="16" t="s">
        <v>348</v>
      </c>
      <c r="R1366" s="16" t="s">
        <v>800</v>
      </c>
      <c r="S1366" s="16" t="s">
        <v>87</v>
      </c>
      <c r="T1366" s="16" t="s">
        <v>2609</v>
      </c>
      <c r="U1366" s="16" t="s">
        <v>73</v>
      </c>
      <c r="V1366" s="16" t="n">
        <v>0.00133</v>
      </c>
      <c r="W1366" s="16" t="n">
        <v>0.0012</v>
      </c>
      <c r="X1366" s="16" t="n">
        <v>20000</v>
      </c>
      <c r="Y1366" s="16"/>
      <c r="Z1366" s="16" t="n">
        <v>20000</v>
      </c>
      <c r="AA1366" s="16"/>
      <c r="AB1366" s="16" t="n">
        <v>20000</v>
      </c>
      <c r="AC1366" s="16"/>
      <c r="AD1366" s="16" t="n">
        <v>20000</v>
      </c>
      <c r="AE1366" s="16"/>
      <c r="AF1366" s="16" t="n">
        <v>20000</v>
      </c>
      <c r="AG1366" s="16"/>
      <c r="AH1366" s="16" t="n">
        <v>20000</v>
      </c>
      <c r="AI1366" s="16"/>
      <c r="AJ1366" s="9" t="n">
        <f aca="false">X1366*$V1366</f>
        <v>26.6</v>
      </c>
      <c r="AK1366" s="9" t="n">
        <f aca="false">Y1366*$V1366</f>
        <v>0</v>
      </c>
      <c r="AL1366" s="9" t="n">
        <f aca="false">Z1366*$V1366</f>
        <v>26.6</v>
      </c>
      <c r="AM1366" s="9" t="n">
        <f aca="false">AA1366*$V1366</f>
        <v>0</v>
      </c>
      <c r="AN1366" s="9" t="n">
        <f aca="false">AB1366*$V1366</f>
        <v>26.6</v>
      </c>
      <c r="AO1366" s="9" t="n">
        <f aca="false">AC1366*$V1366</f>
        <v>0</v>
      </c>
      <c r="AP1366" s="9" t="n">
        <f aca="false">AD1366*$V1366</f>
        <v>26.6</v>
      </c>
      <c r="AQ1366" s="9" t="n">
        <f aca="false">AE1366*$V1366</f>
        <v>0</v>
      </c>
      <c r="AR1366" s="9" t="n">
        <f aca="false">AF1366*$V1366</f>
        <v>26.6</v>
      </c>
      <c r="AS1366" s="9" t="n">
        <f aca="false">AG1366*$V1366</f>
        <v>0</v>
      </c>
      <c r="AT1366" s="9" t="n">
        <f aca="false">AH1366*$V1366</f>
        <v>26.6</v>
      </c>
      <c r="AU1366" s="9" t="n">
        <f aca="false">AI1366*$V1366</f>
        <v>0</v>
      </c>
      <c r="AV1366" s="9" t="n">
        <f aca="false">SUM(X1366:AI1366)/1000</f>
        <v>120</v>
      </c>
      <c r="AW1366" s="9" t="n">
        <f aca="false">SUM(AJ1366:AU1366)</f>
        <v>159.6</v>
      </c>
      <c r="AX1366" s="9" t="n">
        <f aca="false">IF(D1366="INR",AW1366/88.24,AW1366)/1000000</f>
        <v>0.0001596</v>
      </c>
    </row>
    <row r="1367" s="2" customFormat="true" ht="14.25" hidden="false" customHeight="false" outlineLevel="0" collapsed="false">
      <c r="A1367" s="12" t="s">
        <v>2610</v>
      </c>
      <c r="B1367" s="16"/>
      <c r="C1367" s="15"/>
      <c r="D1367" s="16" t="s">
        <v>102</v>
      </c>
      <c r="E1367" s="16" t="s">
        <v>51</v>
      </c>
      <c r="F1367" s="16" t="s">
        <v>52</v>
      </c>
      <c r="G1367" s="16" t="s">
        <v>301</v>
      </c>
      <c r="H1367" s="16" t="s">
        <v>302</v>
      </c>
      <c r="I1367" s="16" t="s">
        <v>303</v>
      </c>
      <c r="J1367" s="16" t="s">
        <v>304</v>
      </c>
      <c r="K1367" s="16"/>
      <c r="L1367" s="16" t="s">
        <v>303</v>
      </c>
      <c r="M1367" s="16" t="s">
        <v>304</v>
      </c>
      <c r="N1367" s="16" t="s">
        <v>93</v>
      </c>
      <c r="O1367" s="16" t="s">
        <v>107</v>
      </c>
      <c r="P1367" s="9" t="s">
        <v>329</v>
      </c>
      <c r="Q1367" s="16" t="s">
        <v>329</v>
      </c>
      <c r="R1367" s="16" t="s">
        <v>330</v>
      </c>
      <c r="S1367" s="16" t="s">
        <v>272</v>
      </c>
      <c r="T1367" s="16" t="s">
        <v>2611</v>
      </c>
      <c r="U1367" s="16" t="s">
        <v>73</v>
      </c>
      <c r="V1367" s="16" t="n">
        <v>0.175</v>
      </c>
      <c r="W1367" s="16" t="n">
        <v>0.16</v>
      </c>
      <c r="X1367" s="16"/>
      <c r="Y1367" s="16"/>
      <c r="Z1367" s="16" t="n">
        <v>20000</v>
      </c>
      <c r="AA1367" s="16"/>
      <c r="AB1367" s="16"/>
      <c r="AC1367" s="16" t="n">
        <v>20000</v>
      </c>
      <c r="AD1367" s="16"/>
      <c r="AE1367" s="16"/>
      <c r="AF1367" s="16" t="n">
        <v>30000</v>
      </c>
      <c r="AG1367" s="16"/>
      <c r="AH1367" s="16"/>
      <c r="AI1367" s="16" t="n">
        <v>30000</v>
      </c>
      <c r="AJ1367" s="9" t="n">
        <f aca="false">X1367*$V1367</f>
        <v>0</v>
      </c>
      <c r="AK1367" s="9" t="n">
        <f aca="false">Y1367*$V1367</f>
        <v>0</v>
      </c>
      <c r="AL1367" s="9" t="n">
        <f aca="false">Z1367*$V1367</f>
        <v>3500</v>
      </c>
      <c r="AM1367" s="9" t="n">
        <f aca="false">AA1367*$V1367</f>
        <v>0</v>
      </c>
      <c r="AN1367" s="9" t="n">
        <f aca="false">AB1367*$V1367</f>
        <v>0</v>
      </c>
      <c r="AO1367" s="9" t="n">
        <f aca="false">AC1367*$V1367</f>
        <v>3500</v>
      </c>
      <c r="AP1367" s="9" t="n">
        <f aca="false">AD1367*$V1367</f>
        <v>0</v>
      </c>
      <c r="AQ1367" s="9" t="n">
        <f aca="false">AE1367*$V1367</f>
        <v>0</v>
      </c>
      <c r="AR1367" s="9" t="n">
        <f aca="false">AF1367*$V1367</f>
        <v>5250</v>
      </c>
      <c r="AS1367" s="9" t="n">
        <f aca="false">AG1367*$V1367</f>
        <v>0</v>
      </c>
      <c r="AT1367" s="9" t="n">
        <f aca="false">AH1367*$V1367</f>
        <v>0</v>
      </c>
      <c r="AU1367" s="9" t="n">
        <f aca="false">AI1367*$V1367</f>
        <v>5250</v>
      </c>
      <c r="AV1367" s="9" t="n">
        <f aca="false">SUM(X1367:AI1367)/1000</f>
        <v>100</v>
      </c>
      <c r="AW1367" s="9" t="n">
        <f aca="false">SUM(AJ1367:AU1367)</f>
        <v>17500</v>
      </c>
      <c r="AX1367" s="9" t="n">
        <f aca="false">IF(D1367="INR",AW1367/88.24,AW1367)/1000000</f>
        <v>0.0175</v>
      </c>
    </row>
    <row r="1368" s="2" customFormat="true" ht="14.25" hidden="false" customHeight="false" outlineLevel="0" collapsed="false">
      <c r="A1368" s="12"/>
      <c r="B1368" s="16" t="n">
        <v>1</v>
      </c>
      <c r="C1368" s="15"/>
      <c r="D1368" s="16" t="s">
        <v>50</v>
      </c>
      <c r="E1368" s="16" t="s">
        <v>51</v>
      </c>
      <c r="F1368" s="16" t="s">
        <v>52</v>
      </c>
      <c r="G1368" s="16"/>
      <c r="H1368" s="16" t="s">
        <v>2570</v>
      </c>
      <c r="I1368" s="16"/>
      <c r="J1368" s="16"/>
      <c r="K1368" s="16"/>
      <c r="L1368" s="16"/>
      <c r="M1368" s="16"/>
      <c r="N1368" s="16" t="s">
        <v>79</v>
      </c>
      <c r="O1368" s="16"/>
      <c r="P1368" s="16"/>
      <c r="Q1368" s="16" t="s">
        <v>59</v>
      </c>
      <c r="R1368" s="16"/>
      <c r="S1368" s="16"/>
      <c r="T1368" s="16" t="s">
        <v>2612</v>
      </c>
      <c r="U1368" s="16" t="s">
        <v>382</v>
      </c>
      <c r="V1368" s="16" t="n">
        <v>790</v>
      </c>
      <c r="W1368" s="16"/>
      <c r="X1368" s="16"/>
      <c r="Y1368" s="16"/>
      <c r="Z1368" s="16"/>
      <c r="AA1368" s="16" t="n">
        <v>500</v>
      </c>
      <c r="AB1368" s="16"/>
      <c r="AC1368" s="16"/>
      <c r="AD1368" s="16"/>
      <c r="AE1368" s="16"/>
      <c r="AF1368" s="16"/>
      <c r="AG1368" s="16" t="n">
        <v>500</v>
      </c>
      <c r="AH1368" s="16"/>
      <c r="AI1368" s="16"/>
      <c r="AJ1368" s="9" t="n">
        <f aca="false">X1368*$V1368</f>
        <v>0</v>
      </c>
      <c r="AK1368" s="9" t="n">
        <f aca="false">Y1368*$V1368</f>
        <v>0</v>
      </c>
      <c r="AL1368" s="9" t="n">
        <f aca="false">Z1368*$V1368</f>
        <v>0</v>
      </c>
      <c r="AM1368" s="9" t="n">
        <f aca="false">AA1368*$V1368</f>
        <v>395000</v>
      </c>
      <c r="AN1368" s="9" t="n">
        <f aca="false">AB1368*$V1368</f>
        <v>0</v>
      </c>
      <c r="AO1368" s="9" t="n">
        <f aca="false">AC1368*$V1368</f>
        <v>0</v>
      </c>
      <c r="AP1368" s="9" t="n">
        <f aca="false">AD1368*$V1368</f>
        <v>0</v>
      </c>
      <c r="AQ1368" s="9" t="n">
        <f aca="false">AE1368*$V1368</f>
        <v>0</v>
      </c>
      <c r="AR1368" s="9" t="n">
        <f aca="false">AF1368*$V1368</f>
        <v>0</v>
      </c>
      <c r="AS1368" s="9" t="n">
        <f aca="false">AG1368*$V1368</f>
        <v>395000</v>
      </c>
      <c r="AT1368" s="9" t="n">
        <f aca="false">AH1368*$V1368</f>
        <v>0</v>
      </c>
      <c r="AU1368" s="9" t="n">
        <f aca="false">AI1368*$V1368</f>
        <v>0</v>
      </c>
      <c r="AV1368" s="9" t="n">
        <f aca="false">SUM(X1368:AI1368)/1000</f>
        <v>1</v>
      </c>
      <c r="AW1368" s="9" t="n">
        <f aca="false">SUM(AJ1368:AU1368)</f>
        <v>790000</v>
      </c>
      <c r="AX1368" s="9" t="n">
        <f aca="false">IF(D1368="INR",AW1368/88.24,AW1368)/1000000</f>
        <v>0.00895285584768812</v>
      </c>
    </row>
    <row r="1369" s="2" customFormat="true" ht="14.25" hidden="false" customHeight="false" outlineLevel="0" collapsed="false">
      <c r="A1369" s="12" t="s">
        <v>2613</v>
      </c>
      <c r="B1369" s="16"/>
      <c r="C1369" s="15"/>
      <c r="D1369" s="16" t="s">
        <v>102</v>
      </c>
      <c r="E1369" s="16" t="s">
        <v>51</v>
      </c>
      <c r="F1369" s="16" t="s">
        <v>52</v>
      </c>
      <c r="G1369" s="16" t="s">
        <v>301</v>
      </c>
      <c r="H1369" s="16" t="s">
        <v>302</v>
      </c>
      <c r="I1369" s="16" t="s">
        <v>303</v>
      </c>
      <c r="J1369" s="16" t="s">
        <v>304</v>
      </c>
      <c r="K1369" s="16"/>
      <c r="L1369" s="16" t="s">
        <v>303</v>
      </c>
      <c r="M1369" s="16" t="s">
        <v>304</v>
      </c>
      <c r="N1369" s="16" t="s">
        <v>93</v>
      </c>
      <c r="O1369" s="16" t="s">
        <v>107</v>
      </c>
      <c r="P1369" s="16" t="s">
        <v>329</v>
      </c>
      <c r="Q1369" s="16" t="s">
        <v>329</v>
      </c>
      <c r="R1369" s="16" t="s">
        <v>330</v>
      </c>
      <c r="S1369" s="16" t="s">
        <v>272</v>
      </c>
      <c r="T1369" s="16" t="s">
        <v>2611</v>
      </c>
      <c r="U1369" s="16" t="s">
        <v>63</v>
      </c>
      <c r="V1369" s="16" t="n">
        <v>0.175</v>
      </c>
      <c r="W1369" s="16" t="n">
        <v>0.16</v>
      </c>
      <c r="X1369" s="16"/>
      <c r="Y1369" s="16"/>
      <c r="Z1369" s="16" t="n">
        <v>20000</v>
      </c>
      <c r="AA1369" s="16"/>
      <c r="AB1369" s="16"/>
      <c r="AC1369" s="16" t="n">
        <v>20000</v>
      </c>
      <c r="AD1369" s="16"/>
      <c r="AE1369" s="16"/>
      <c r="AF1369" s="16" t="n">
        <v>20000</v>
      </c>
      <c r="AG1369" s="16"/>
      <c r="AH1369" s="16"/>
      <c r="AI1369" s="16" t="n">
        <v>20000</v>
      </c>
      <c r="AJ1369" s="9" t="n">
        <f aca="false">X1369*$V1369</f>
        <v>0</v>
      </c>
      <c r="AK1369" s="9" t="n">
        <f aca="false">Y1369*$V1369</f>
        <v>0</v>
      </c>
      <c r="AL1369" s="9" t="n">
        <f aca="false">Z1369*$V1369</f>
        <v>3500</v>
      </c>
      <c r="AM1369" s="9" t="n">
        <f aca="false">AA1369*$V1369</f>
        <v>0</v>
      </c>
      <c r="AN1369" s="9" t="n">
        <f aca="false">AB1369*$V1369</f>
        <v>0</v>
      </c>
      <c r="AO1369" s="9" t="n">
        <f aca="false">AC1369*$V1369</f>
        <v>3500</v>
      </c>
      <c r="AP1369" s="9" t="n">
        <f aca="false">AD1369*$V1369</f>
        <v>0</v>
      </c>
      <c r="AQ1369" s="9" t="n">
        <f aca="false">AE1369*$V1369</f>
        <v>0</v>
      </c>
      <c r="AR1369" s="9" t="n">
        <f aca="false">AF1369*$V1369</f>
        <v>3500</v>
      </c>
      <c r="AS1369" s="9" t="n">
        <f aca="false">AG1369*$V1369</f>
        <v>0</v>
      </c>
      <c r="AT1369" s="9" t="n">
        <f aca="false">AH1369*$V1369</f>
        <v>0</v>
      </c>
      <c r="AU1369" s="9" t="n">
        <f aca="false">AI1369*$V1369</f>
        <v>3500</v>
      </c>
      <c r="AV1369" s="9" t="n">
        <f aca="false">SUM(X1369:AI1369)/1000</f>
        <v>80</v>
      </c>
      <c r="AW1369" s="9" t="n">
        <f aca="false">SUM(AJ1369:AU1369)</f>
        <v>14000</v>
      </c>
      <c r="AX1369" s="9" t="n">
        <f aca="false">IF(D1369="INR",AW1369/88.24,AW1369)/1000000</f>
        <v>0.014</v>
      </c>
    </row>
    <row r="1370" s="2" customFormat="true" ht="14.25" hidden="false" customHeight="false" outlineLevel="0" collapsed="false">
      <c r="A1370" s="12"/>
      <c r="B1370" s="16" t="n">
        <v>1</v>
      </c>
      <c r="C1370" s="15"/>
      <c r="D1370" s="16" t="s">
        <v>50</v>
      </c>
      <c r="E1370" s="16" t="s">
        <v>51</v>
      </c>
      <c r="F1370" s="16" t="s">
        <v>52</v>
      </c>
      <c r="G1370" s="16"/>
      <c r="H1370" s="16" t="s">
        <v>2570</v>
      </c>
      <c r="I1370" s="16"/>
      <c r="J1370" s="16"/>
      <c r="K1370" s="16"/>
      <c r="L1370" s="16"/>
      <c r="M1370" s="16"/>
      <c r="N1370" s="16" t="s">
        <v>79</v>
      </c>
      <c r="O1370" s="16"/>
      <c r="P1370" s="16"/>
      <c r="Q1370" s="16" t="s">
        <v>110</v>
      </c>
      <c r="R1370" s="16"/>
      <c r="S1370" s="16"/>
      <c r="T1370" s="16" t="s">
        <v>2614</v>
      </c>
      <c r="U1370" s="16" t="s">
        <v>382</v>
      </c>
      <c r="V1370" s="16" t="n">
        <v>295</v>
      </c>
      <c r="W1370" s="16"/>
      <c r="X1370" s="22"/>
      <c r="Y1370" s="16"/>
      <c r="Z1370" s="16"/>
      <c r="AA1370" s="16" t="n">
        <v>500</v>
      </c>
      <c r="AB1370" s="16"/>
      <c r="AC1370" s="16"/>
      <c r="AD1370" s="16"/>
      <c r="AE1370" s="16"/>
      <c r="AF1370" s="16"/>
      <c r="AG1370" s="16" t="n">
        <v>500</v>
      </c>
      <c r="AH1370" s="16"/>
      <c r="AI1370" s="16"/>
      <c r="AJ1370" s="9" t="n">
        <f aca="false">X1370*$V1370</f>
        <v>0</v>
      </c>
      <c r="AK1370" s="9" t="n">
        <f aca="false">Y1370*$V1370</f>
        <v>0</v>
      </c>
      <c r="AL1370" s="9" t="n">
        <f aca="false">Z1370*$V1370</f>
        <v>0</v>
      </c>
      <c r="AM1370" s="9" t="n">
        <f aca="false">AA1370*$V1370</f>
        <v>147500</v>
      </c>
      <c r="AN1370" s="9" t="n">
        <f aca="false">AB1370*$V1370</f>
        <v>0</v>
      </c>
      <c r="AO1370" s="9" t="n">
        <f aca="false">AC1370*$V1370</f>
        <v>0</v>
      </c>
      <c r="AP1370" s="9" t="n">
        <f aca="false">AD1370*$V1370</f>
        <v>0</v>
      </c>
      <c r="AQ1370" s="9" t="n">
        <f aca="false">AE1370*$V1370</f>
        <v>0</v>
      </c>
      <c r="AR1370" s="9" t="n">
        <f aca="false">AF1370*$V1370</f>
        <v>0</v>
      </c>
      <c r="AS1370" s="9" t="n">
        <f aca="false">AG1370*$V1370</f>
        <v>147500</v>
      </c>
      <c r="AT1370" s="9" t="n">
        <f aca="false">AH1370*$V1370</f>
        <v>0</v>
      </c>
      <c r="AU1370" s="9" t="n">
        <f aca="false">AI1370*$V1370</f>
        <v>0</v>
      </c>
      <c r="AV1370" s="9" t="n">
        <f aca="false">SUM(X1370:AI1370)/1000</f>
        <v>1</v>
      </c>
      <c r="AW1370" s="9" t="n">
        <f aca="false">SUM(AJ1370:AU1370)</f>
        <v>295000</v>
      </c>
      <c r="AX1370" s="9" t="n">
        <f aca="false">IF(D1370="INR",AW1370/88.24,AW1370)/1000000</f>
        <v>0.00334315503173164</v>
      </c>
    </row>
    <row r="1371" s="2" customFormat="true" ht="14.25" hidden="false" customHeight="false" outlineLevel="0" collapsed="false">
      <c r="A1371" s="12"/>
      <c r="B1371" s="16" t="n">
        <v>1</v>
      </c>
      <c r="C1371" s="15"/>
      <c r="D1371" s="16" t="s">
        <v>102</v>
      </c>
      <c r="E1371" s="16"/>
      <c r="F1371" s="16" t="s">
        <v>52</v>
      </c>
      <c r="G1371" s="16"/>
      <c r="H1371" s="16" t="s">
        <v>302</v>
      </c>
      <c r="I1371" s="16" t="s">
        <v>303</v>
      </c>
      <c r="J1371" s="16" t="s">
        <v>304</v>
      </c>
      <c r="K1371" s="16"/>
      <c r="L1371" s="16" t="s">
        <v>303</v>
      </c>
      <c r="M1371" s="16" t="s">
        <v>304</v>
      </c>
      <c r="N1371" s="16" t="s">
        <v>93</v>
      </c>
      <c r="O1371" s="16" t="s">
        <v>107</v>
      </c>
      <c r="P1371" s="16"/>
      <c r="Q1371" s="16" t="s">
        <v>85</v>
      </c>
      <c r="R1371" s="16"/>
      <c r="S1371" s="16"/>
      <c r="T1371" s="16" t="s">
        <v>1097</v>
      </c>
      <c r="U1371" s="16" t="s">
        <v>63</v>
      </c>
      <c r="V1371" s="16" t="n">
        <v>0.285</v>
      </c>
      <c r="W1371" s="16"/>
      <c r="X1371" s="16"/>
      <c r="Y1371" s="16"/>
      <c r="Z1371" s="16" t="n">
        <v>40000</v>
      </c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9" t="n">
        <f aca="false">X1371*$V1371</f>
        <v>0</v>
      </c>
      <c r="AK1371" s="9" t="n">
        <f aca="false">Y1371*$V1371</f>
        <v>0</v>
      </c>
      <c r="AL1371" s="9" t="n">
        <f aca="false">Z1371*$V1371</f>
        <v>11400</v>
      </c>
      <c r="AM1371" s="9" t="n">
        <f aca="false">AA1371*$V1371</f>
        <v>0</v>
      </c>
      <c r="AN1371" s="9" t="n">
        <f aca="false">AB1371*$V1371</f>
        <v>0</v>
      </c>
      <c r="AO1371" s="9" t="n">
        <f aca="false">AC1371*$V1371</f>
        <v>0</v>
      </c>
      <c r="AP1371" s="9" t="n">
        <f aca="false">AD1371*$V1371</f>
        <v>0</v>
      </c>
      <c r="AQ1371" s="9" t="n">
        <f aca="false">AE1371*$V1371</f>
        <v>0</v>
      </c>
      <c r="AR1371" s="9" t="n">
        <f aca="false">AF1371*$V1371</f>
        <v>0</v>
      </c>
      <c r="AS1371" s="9" t="n">
        <f aca="false">AG1371*$V1371</f>
        <v>0</v>
      </c>
      <c r="AT1371" s="9" t="n">
        <f aca="false">AH1371*$V1371</f>
        <v>0</v>
      </c>
      <c r="AU1371" s="9" t="n">
        <f aca="false">AI1371*$V1371</f>
        <v>0</v>
      </c>
      <c r="AV1371" s="9" t="n">
        <f aca="false">SUM(X1371:AI1371)/1000</f>
        <v>40</v>
      </c>
      <c r="AW1371" s="9" t="n">
        <f aca="false">SUM(AJ1371:AU1371)</f>
        <v>11400</v>
      </c>
      <c r="AX1371" s="9" t="n">
        <f aca="false">IF(D1371="INR",AW1371/88.24,AW1371)/1000000</f>
        <v>0.0114</v>
      </c>
    </row>
    <row r="1372" s="2" customFormat="true" ht="16.4" hidden="false" customHeight="false" outlineLevel="0" collapsed="false">
      <c r="A1372" s="16" t="s">
        <v>2615</v>
      </c>
      <c r="B1372" s="16"/>
      <c r="C1372" s="16"/>
      <c r="D1372" s="16" t="s">
        <v>102</v>
      </c>
      <c r="E1372" s="16" t="s">
        <v>51</v>
      </c>
      <c r="F1372" s="16" t="s">
        <v>52</v>
      </c>
      <c r="G1372" s="16" t="s">
        <v>301</v>
      </c>
      <c r="H1372" s="16" t="s">
        <v>302</v>
      </c>
      <c r="I1372" s="16" t="s">
        <v>303</v>
      </c>
      <c r="J1372" s="16" t="s">
        <v>304</v>
      </c>
      <c r="K1372" s="16" t="s">
        <v>2554</v>
      </c>
      <c r="L1372" s="16" t="s">
        <v>303</v>
      </c>
      <c r="M1372" s="16" t="s">
        <v>304</v>
      </c>
      <c r="N1372" s="16" t="s">
        <v>93</v>
      </c>
      <c r="O1372" s="16" t="s">
        <v>107</v>
      </c>
      <c r="P1372" s="16" t="s">
        <v>348</v>
      </c>
      <c r="Q1372" s="16" t="s">
        <v>348</v>
      </c>
      <c r="R1372" s="16" t="s">
        <v>800</v>
      </c>
      <c r="S1372" s="16" t="s">
        <v>87</v>
      </c>
      <c r="T1372" s="16" t="s">
        <v>2584</v>
      </c>
      <c r="U1372" s="16" t="s">
        <v>73</v>
      </c>
      <c r="V1372" s="16" t="n">
        <v>0.01591</v>
      </c>
      <c r="W1372" s="16" t="n">
        <v>0.01424</v>
      </c>
      <c r="X1372" s="16" t="n">
        <v>0</v>
      </c>
      <c r="Y1372" s="16" t="n">
        <v>0</v>
      </c>
      <c r="Z1372" s="16" t="n">
        <v>0</v>
      </c>
      <c r="AA1372" s="16" t="n">
        <v>0</v>
      </c>
      <c r="AB1372" s="16" t="n">
        <v>0</v>
      </c>
      <c r="AC1372" s="16" t="n">
        <v>0</v>
      </c>
      <c r="AD1372" s="16" t="n">
        <v>30000</v>
      </c>
      <c r="AE1372" s="16" t="n">
        <v>0</v>
      </c>
      <c r="AF1372" s="16" t="n">
        <v>0</v>
      </c>
      <c r="AG1372" s="16" t="n">
        <v>0</v>
      </c>
      <c r="AH1372" s="16" t="n">
        <v>0</v>
      </c>
      <c r="AI1372" s="16" t="n">
        <v>0</v>
      </c>
      <c r="AJ1372" s="9" t="n">
        <f aca="false">X1372*$V1372</f>
        <v>0</v>
      </c>
      <c r="AK1372" s="9" t="n">
        <f aca="false">Y1372*$V1372</f>
        <v>0</v>
      </c>
      <c r="AL1372" s="9" t="n">
        <f aca="false">Z1372*$V1372</f>
        <v>0</v>
      </c>
      <c r="AM1372" s="9" t="n">
        <f aca="false">AA1372*$V1372</f>
        <v>0</v>
      </c>
      <c r="AN1372" s="9" t="n">
        <f aca="false">AB1372*$V1372</f>
        <v>0</v>
      </c>
      <c r="AO1372" s="9" t="n">
        <f aca="false">AC1372*$V1372</f>
        <v>0</v>
      </c>
      <c r="AP1372" s="9" t="n">
        <f aca="false">AD1372*$V1372</f>
        <v>477.3</v>
      </c>
      <c r="AQ1372" s="9" t="n">
        <f aca="false">AE1372*$V1372</f>
        <v>0</v>
      </c>
      <c r="AR1372" s="9" t="n">
        <f aca="false">AF1372*$V1372</f>
        <v>0</v>
      </c>
      <c r="AS1372" s="9" t="n">
        <f aca="false">AG1372*$V1372</f>
        <v>0</v>
      </c>
      <c r="AT1372" s="9" t="n">
        <f aca="false">AH1372*$V1372</f>
        <v>0</v>
      </c>
      <c r="AU1372" s="9" t="n">
        <f aca="false">AI1372*$V1372</f>
        <v>0</v>
      </c>
      <c r="AV1372" s="9" t="n">
        <f aca="false">SUM(X1372:AI1372)/1000</f>
        <v>30</v>
      </c>
      <c r="AW1372" s="9" t="n">
        <f aca="false">SUM(AJ1372:AU1372)</f>
        <v>477.3</v>
      </c>
      <c r="AX1372" s="9" t="n">
        <f aca="false">IF(D1372="INR",AW1372/88.24,AW1372)/1000000</f>
        <v>0.0004773</v>
      </c>
    </row>
    <row r="1373" s="2" customFormat="true" ht="14.25" hidden="false" customHeight="false" outlineLevel="0" collapsed="false">
      <c r="A1373" s="12"/>
      <c r="B1373" s="16" t="n">
        <v>1</v>
      </c>
      <c r="C1373" s="15"/>
      <c r="D1373" s="16" t="s">
        <v>50</v>
      </c>
      <c r="E1373" s="16" t="s">
        <v>51</v>
      </c>
      <c r="F1373" s="16" t="s">
        <v>52</v>
      </c>
      <c r="G1373" s="16"/>
      <c r="H1373" s="16" t="s">
        <v>2570</v>
      </c>
      <c r="I1373" s="16"/>
      <c r="J1373" s="16"/>
      <c r="K1373" s="16"/>
      <c r="L1373" s="16"/>
      <c r="M1373" s="16"/>
      <c r="N1373" s="16" t="s">
        <v>79</v>
      </c>
      <c r="O1373" s="16"/>
      <c r="P1373" s="16"/>
      <c r="Q1373" s="16" t="s">
        <v>110</v>
      </c>
      <c r="R1373" s="16"/>
      <c r="S1373" s="16"/>
      <c r="T1373" s="16" t="s">
        <v>2616</v>
      </c>
      <c r="U1373" s="16" t="s">
        <v>382</v>
      </c>
      <c r="V1373" s="16" t="n">
        <v>275</v>
      </c>
      <c r="W1373" s="16"/>
      <c r="X1373" s="22"/>
      <c r="Y1373" s="22"/>
      <c r="Z1373" s="22"/>
      <c r="AA1373" s="22" t="n">
        <v>500</v>
      </c>
      <c r="AB1373" s="22"/>
      <c r="AC1373" s="22"/>
      <c r="AD1373" s="22"/>
      <c r="AE1373" s="22"/>
      <c r="AF1373" s="22"/>
      <c r="AG1373" s="22" t="n">
        <v>500</v>
      </c>
      <c r="AH1373" s="22"/>
      <c r="AI1373" s="22"/>
      <c r="AJ1373" s="9" t="n">
        <f aca="false">X1373*$V1373</f>
        <v>0</v>
      </c>
      <c r="AK1373" s="9" t="n">
        <f aca="false">Y1373*$V1373</f>
        <v>0</v>
      </c>
      <c r="AL1373" s="9" t="n">
        <f aca="false">Z1373*$V1373</f>
        <v>0</v>
      </c>
      <c r="AM1373" s="9" t="n">
        <f aca="false">AA1373*$V1373</f>
        <v>137500</v>
      </c>
      <c r="AN1373" s="9" t="n">
        <f aca="false">AB1373*$V1373</f>
        <v>0</v>
      </c>
      <c r="AO1373" s="9" t="n">
        <f aca="false">AC1373*$V1373</f>
        <v>0</v>
      </c>
      <c r="AP1373" s="9" t="n">
        <f aca="false">AD1373*$V1373</f>
        <v>0</v>
      </c>
      <c r="AQ1373" s="9" t="n">
        <f aca="false">AE1373*$V1373</f>
        <v>0</v>
      </c>
      <c r="AR1373" s="9" t="n">
        <f aca="false">AF1373*$V1373</f>
        <v>0</v>
      </c>
      <c r="AS1373" s="9" t="n">
        <f aca="false">AG1373*$V1373</f>
        <v>137500</v>
      </c>
      <c r="AT1373" s="9" t="n">
        <f aca="false">AH1373*$V1373</f>
        <v>0</v>
      </c>
      <c r="AU1373" s="9" t="n">
        <f aca="false">AI1373*$V1373</f>
        <v>0</v>
      </c>
      <c r="AV1373" s="9" t="n">
        <f aca="false">SUM(X1373:AI1373)/1000</f>
        <v>1</v>
      </c>
      <c r="AW1373" s="9" t="n">
        <f aca="false">SUM(AJ1373:AU1373)</f>
        <v>275000</v>
      </c>
      <c r="AX1373" s="9" t="n">
        <f aca="false">IF(D1373="INR",AW1373/88.24,AW1373)/1000000</f>
        <v>0.00311650045330916</v>
      </c>
    </row>
    <row r="1374" s="2" customFormat="true" ht="14.25" hidden="false" customHeight="false" outlineLevel="0" collapsed="false">
      <c r="A1374" s="12"/>
      <c r="B1374" s="16" t="n">
        <v>1</v>
      </c>
      <c r="C1374" s="15"/>
      <c r="D1374" s="16" t="s">
        <v>102</v>
      </c>
      <c r="E1374" s="16"/>
      <c r="F1374" s="16" t="s">
        <v>52</v>
      </c>
      <c r="G1374" s="16"/>
      <c r="H1374" s="16" t="s">
        <v>302</v>
      </c>
      <c r="I1374" s="16" t="s">
        <v>303</v>
      </c>
      <c r="J1374" s="16" t="s">
        <v>304</v>
      </c>
      <c r="K1374" s="16"/>
      <c r="L1374" s="16" t="s">
        <v>303</v>
      </c>
      <c r="M1374" s="16" t="s">
        <v>304</v>
      </c>
      <c r="N1374" s="16" t="s">
        <v>93</v>
      </c>
      <c r="O1374" s="16" t="s">
        <v>107</v>
      </c>
      <c r="P1374" s="16"/>
      <c r="Q1374" s="16" t="s">
        <v>2617</v>
      </c>
      <c r="R1374" s="16"/>
      <c r="S1374" s="16"/>
      <c r="T1374" s="16" t="s">
        <v>2618</v>
      </c>
      <c r="U1374" s="16" t="s">
        <v>63</v>
      </c>
      <c r="V1374" s="16" t="n">
        <v>0.55</v>
      </c>
      <c r="W1374" s="16"/>
      <c r="X1374" s="22" t="n">
        <v>3000</v>
      </c>
      <c r="Y1374" s="22"/>
      <c r="Z1374" s="22" t="n">
        <v>3000</v>
      </c>
      <c r="AA1374" s="22"/>
      <c r="AB1374" s="22"/>
      <c r="AC1374" s="22" t="n">
        <v>3000</v>
      </c>
      <c r="AD1374" s="22"/>
      <c r="AE1374" s="22"/>
      <c r="AF1374" s="22"/>
      <c r="AG1374" s="22" t="n">
        <v>3000</v>
      </c>
      <c r="AH1374" s="22"/>
      <c r="AI1374" s="22"/>
      <c r="AJ1374" s="9" t="n">
        <f aca="false">X1374*$V1374</f>
        <v>1650</v>
      </c>
      <c r="AK1374" s="9" t="n">
        <f aca="false">Y1374*$V1374</f>
        <v>0</v>
      </c>
      <c r="AL1374" s="9" t="n">
        <f aca="false">Z1374*$V1374</f>
        <v>1650</v>
      </c>
      <c r="AM1374" s="9" t="n">
        <f aca="false">AA1374*$V1374</f>
        <v>0</v>
      </c>
      <c r="AN1374" s="9" t="n">
        <f aca="false">AB1374*$V1374</f>
        <v>0</v>
      </c>
      <c r="AO1374" s="9" t="n">
        <f aca="false">AC1374*$V1374</f>
        <v>1650</v>
      </c>
      <c r="AP1374" s="9" t="n">
        <f aca="false">AD1374*$V1374</f>
        <v>0</v>
      </c>
      <c r="AQ1374" s="9" t="n">
        <f aca="false">AE1374*$V1374</f>
        <v>0</v>
      </c>
      <c r="AR1374" s="9" t="n">
        <f aca="false">AF1374*$V1374</f>
        <v>0</v>
      </c>
      <c r="AS1374" s="9" t="n">
        <f aca="false">AG1374*$V1374</f>
        <v>1650</v>
      </c>
      <c r="AT1374" s="9" t="n">
        <f aca="false">AH1374*$V1374</f>
        <v>0</v>
      </c>
      <c r="AU1374" s="9" t="n">
        <f aca="false">AI1374*$V1374</f>
        <v>0</v>
      </c>
      <c r="AV1374" s="9" t="n">
        <f aca="false">SUM(X1374:AI1374)/1000</f>
        <v>12</v>
      </c>
      <c r="AW1374" s="9" t="n">
        <f aca="false">SUM(AJ1374:AU1374)</f>
        <v>6600</v>
      </c>
      <c r="AX1374" s="9" t="n">
        <f aca="false">IF(D1374="INR",AW1374/88.24,AW1374)/1000000</f>
        <v>0.0066</v>
      </c>
    </row>
    <row r="1375" s="2" customFormat="true" ht="16.4" hidden="false" customHeight="false" outlineLevel="0" collapsed="false">
      <c r="A1375" s="16" t="s">
        <v>2619</v>
      </c>
      <c r="B1375" s="16"/>
      <c r="C1375" s="16"/>
      <c r="D1375" s="16" t="s">
        <v>102</v>
      </c>
      <c r="E1375" s="16" t="s">
        <v>51</v>
      </c>
      <c r="F1375" s="16" t="s">
        <v>52</v>
      </c>
      <c r="G1375" s="16" t="s">
        <v>301</v>
      </c>
      <c r="H1375" s="16" t="s">
        <v>302</v>
      </c>
      <c r="I1375" s="16" t="s">
        <v>303</v>
      </c>
      <c r="J1375" s="16" t="s">
        <v>304</v>
      </c>
      <c r="K1375" s="16" t="s">
        <v>2554</v>
      </c>
      <c r="L1375" s="16" t="s">
        <v>303</v>
      </c>
      <c r="M1375" s="16" t="s">
        <v>304</v>
      </c>
      <c r="N1375" s="16" t="s">
        <v>93</v>
      </c>
      <c r="O1375" s="16" t="s">
        <v>107</v>
      </c>
      <c r="P1375" s="16" t="s">
        <v>348</v>
      </c>
      <c r="Q1375" s="16" t="s">
        <v>348</v>
      </c>
      <c r="R1375" s="16" t="s">
        <v>800</v>
      </c>
      <c r="S1375" s="16" t="s">
        <v>87</v>
      </c>
      <c r="T1375" s="16" t="s">
        <v>2588</v>
      </c>
      <c r="U1375" s="16" t="s">
        <v>73</v>
      </c>
      <c r="V1375" s="16" t="n">
        <v>0.0079</v>
      </c>
      <c r="W1375" s="16" t="n">
        <v>0.0072</v>
      </c>
      <c r="X1375" s="16" t="n">
        <v>0</v>
      </c>
      <c r="Y1375" s="16" t="n">
        <v>0</v>
      </c>
      <c r="Z1375" s="16" t="n">
        <v>0</v>
      </c>
      <c r="AA1375" s="16" t="n">
        <v>0</v>
      </c>
      <c r="AB1375" s="16" t="n">
        <v>0</v>
      </c>
      <c r="AC1375" s="16" t="n">
        <v>0</v>
      </c>
      <c r="AD1375" s="16" t="n">
        <v>10000</v>
      </c>
      <c r="AE1375" s="16" t="n">
        <v>0</v>
      </c>
      <c r="AF1375" s="16" t="n">
        <v>0</v>
      </c>
      <c r="AG1375" s="16" t="n">
        <v>0</v>
      </c>
      <c r="AH1375" s="16" t="n">
        <v>0</v>
      </c>
      <c r="AI1375" s="16" t="n">
        <v>0</v>
      </c>
      <c r="AJ1375" s="9" t="n">
        <f aca="false">X1375*$V1375</f>
        <v>0</v>
      </c>
      <c r="AK1375" s="9" t="n">
        <f aca="false">Y1375*$V1375</f>
        <v>0</v>
      </c>
      <c r="AL1375" s="9" t="n">
        <f aca="false">Z1375*$V1375</f>
        <v>0</v>
      </c>
      <c r="AM1375" s="9" t="n">
        <f aca="false">AA1375*$V1375</f>
        <v>0</v>
      </c>
      <c r="AN1375" s="9" t="n">
        <f aca="false">AB1375*$V1375</f>
        <v>0</v>
      </c>
      <c r="AO1375" s="9" t="n">
        <f aca="false">AC1375*$V1375</f>
        <v>0</v>
      </c>
      <c r="AP1375" s="9" t="n">
        <f aca="false">AD1375*$V1375</f>
        <v>79</v>
      </c>
      <c r="AQ1375" s="9" t="n">
        <f aca="false">AE1375*$V1375</f>
        <v>0</v>
      </c>
      <c r="AR1375" s="9" t="n">
        <f aca="false">AF1375*$V1375</f>
        <v>0</v>
      </c>
      <c r="AS1375" s="9" t="n">
        <f aca="false">AG1375*$V1375</f>
        <v>0</v>
      </c>
      <c r="AT1375" s="9" t="n">
        <f aca="false">AH1375*$V1375</f>
        <v>0</v>
      </c>
      <c r="AU1375" s="9" t="n">
        <f aca="false">AI1375*$V1375</f>
        <v>0</v>
      </c>
      <c r="AV1375" s="9" t="n">
        <f aca="false">SUM(X1375:AI1375)/1000</f>
        <v>10</v>
      </c>
      <c r="AW1375" s="9" t="n">
        <f aca="false">SUM(AJ1375:AU1375)</f>
        <v>79</v>
      </c>
      <c r="AX1375" s="9" t="n">
        <f aca="false">IF(D1375="INR",AW1375/88.24,AW1375)/1000000</f>
        <v>7.9E-005</v>
      </c>
    </row>
    <row r="1376" s="2" customFormat="true" ht="16.4" hidden="false" customHeight="false" outlineLevel="0" collapsed="false">
      <c r="A1376" s="16" t="s">
        <v>2620</v>
      </c>
      <c r="B1376" s="16"/>
      <c r="C1376" s="16"/>
      <c r="D1376" s="16" t="s">
        <v>102</v>
      </c>
      <c r="E1376" s="16" t="s">
        <v>51</v>
      </c>
      <c r="F1376" s="16" t="s">
        <v>52</v>
      </c>
      <c r="G1376" s="16" t="s">
        <v>301</v>
      </c>
      <c r="H1376" s="16" t="s">
        <v>302</v>
      </c>
      <c r="I1376" s="16" t="s">
        <v>303</v>
      </c>
      <c r="J1376" s="16" t="s">
        <v>304</v>
      </c>
      <c r="K1376" s="16" t="s">
        <v>2554</v>
      </c>
      <c r="L1376" s="16" t="s">
        <v>303</v>
      </c>
      <c r="M1376" s="16" t="s">
        <v>304</v>
      </c>
      <c r="N1376" s="16" t="s">
        <v>93</v>
      </c>
      <c r="O1376" s="16" t="s">
        <v>107</v>
      </c>
      <c r="P1376" s="16" t="s">
        <v>348</v>
      </c>
      <c r="Q1376" s="16" t="s">
        <v>348</v>
      </c>
      <c r="R1376" s="16" t="s">
        <v>800</v>
      </c>
      <c r="S1376" s="16" t="s">
        <v>87</v>
      </c>
      <c r="T1376" s="16" t="s">
        <v>2588</v>
      </c>
      <c r="U1376" s="16" t="s">
        <v>73</v>
      </c>
      <c r="V1376" s="16" t="n">
        <v>0.0079</v>
      </c>
      <c r="W1376" s="26" t="n">
        <v>0.0072</v>
      </c>
      <c r="X1376" s="16" t="n">
        <v>0</v>
      </c>
      <c r="Y1376" s="16" t="n">
        <v>0</v>
      </c>
      <c r="Z1376" s="16" t="n">
        <v>0</v>
      </c>
      <c r="AA1376" s="16" t="n">
        <v>0</v>
      </c>
      <c r="AB1376" s="16" t="n">
        <v>0</v>
      </c>
      <c r="AC1376" s="16" t="n">
        <v>10000</v>
      </c>
      <c r="AD1376" s="16" t="n">
        <v>0</v>
      </c>
      <c r="AE1376" s="16" t="n">
        <v>0</v>
      </c>
      <c r="AF1376" s="16" t="n">
        <v>0</v>
      </c>
      <c r="AG1376" s="16" t="n">
        <v>0</v>
      </c>
      <c r="AH1376" s="16" t="n">
        <v>0</v>
      </c>
      <c r="AI1376" s="16" t="n">
        <v>0</v>
      </c>
      <c r="AJ1376" s="9" t="n">
        <f aca="false">X1376*$V1376</f>
        <v>0</v>
      </c>
      <c r="AK1376" s="9" t="n">
        <f aca="false">Y1376*$V1376</f>
        <v>0</v>
      </c>
      <c r="AL1376" s="9" t="n">
        <f aca="false">Z1376*$V1376</f>
        <v>0</v>
      </c>
      <c r="AM1376" s="9" t="n">
        <f aca="false">AA1376*$V1376</f>
        <v>0</v>
      </c>
      <c r="AN1376" s="9" t="n">
        <f aca="false">AB1376*$V1376</f>
        <v>0</v>
      </c>
      <c r="AO1376" s="9" t="n">
        <f aca="false">AC1376*$V1376</f>
        <v>79</v>
      </c>
      <c r="AP1376" s="9" t="n">
        <f aca="false">AD1376*$V1376</f>
        <v>0</v>
      </c>
      <c r="AQ1376" s="9" t="n">
        <f aca="false">AE1376*$V1376</f>
        <v>0</v>
      </c>
      <c r="AR1376" s="9" t="n">
        <f aca="false">AF1376*$V1376</f>
        <v>0</v>
      </c>
      <c r="AS1376" s="9" t="n">
        <f aca="false">AG1376*$V1376</f>
        <v>0</v>
      </c>
      <c r="AT1376" s="9" t="n">
        <f aca="false">AH1376*$V1376</f>
        <v>0</v>
      </c>
      <c r="AU1376" s="9" t="n">
        <f aca="false">AI1376*$V1376</f>
        <v>0</v>
      </c>
      <c r="AV1376" s="9" t="n">
        <f aca="false">SUM(X1376:AI1376)/1000</f>
        <v>10</v>
      </c>
      <c r="AW1376" s="9" t="n">
        <f aca="false">SUM(AJ1376:AU1376)</f>
        <v>79</v>
      </c>
      <c r="AX1376" s="9" t="n">
        <f aca="false">IF(D1376="INR",AW1376/88.24,AW1376)/1000000</f>
        <v>7.9E-005</v>
      </c>
    </row>
    <row r="1377" s="2" customFormat="true" ht="16.4" hidden="false" customHeight="false" outlineLevel="0" collapsed="false">
      <c r="A1377" s="16" t="s">
        <v>2621</v>
      </c>
      <c r="B1377" s="16"/>
      <c r="C1377" s="16"/>
      <c r="D1377" s="16" t="s">
        <v>102</v>
      </c>
      <c r="E1377" s="16" t="s">
        <v>51</v>
      </c>
      <c r="F1377" s="16" t="s">
        <v>52</v>
      </c>
      <c r="G1377" s="16" t="s">
        <v>301</v>
      </c>
      <c r="H1377" s="16" t="s">
        <v>302</v>
      </c>
      <c r="I1377" s="16" t="s">
        <v>303</v>
      </c>
      <c r="J1377" s="16" t="s">
        <v>304</v>
      </c>
      <c r="K1377" s="16" t="s">
        <v>2554</v>
      </c>
      <c r="L1377" s="16" t="s">
        <v>303</v>
      </c>
      <c r="M1377" s="16" t="s">
        <v>304</v>
      </c>
      <c r="N1377" s="16" t="s">
        <v>93</v>
      </c>
      <c r="O1377" s="16" t="s">
        <v>107</v>
      </c>
      <c r="P1377" s="16" t="s">
        <v>348</v>
      </c>
      <c r="Q1377" s="16" t="s">
        <v>348</v>
      </c>
      <c r="R1377" s="16" t="s">
        <v>800</v>
      </c>
      <c r="S1377" s="16" t="s">
        <v>87</v>
      </c>
      <c r="T1377" s="26" t="s">
        <v>2603</v>
      </c>
      <c r="U1377" s="16" t="s">
        <v>73</v>
      </c>
      <c r="V1377" s="16" t="n">
        <v>0.00173</v>
      </c>
      <c r="W1377" s="16" t="n">
        <v>0</v>
      </c>
      <c r="X1377" s="16" t="n">
        <v>0</v>
      </c>
      <c r="Y1377" s="16" t="n">
        <v>0</v>
      </c>
      <c r="Z1377" s="26" t="n">
        <v>0</v>
      </c>
      <c r="AA1377" s="26" t="n">
        <v>0</v>
      </c>
      <c r="AB1377" s="16" t="n">
        <v>0</v>
      </c>
      <c r="AC1377" s="16" t="n">
        <v>0</v>
      </c>
      <c r="AD1377" s="16" t="n">
        <v>0</v>
      </c>
      <c r="AE1377" s="16" t="n">
        <v>0</v>
      </c>
      <c r="AF1377" s="16" t="n">
        <v>0</v>
      </c>
      <c r="AG1377" s="16" t="n">
        <v>10000</v>
      </c>
      <c r="AH1377" s="16" t="n">
        <v>0</v>
      </c>
      <c r="AI1377" s="16" t="n">
        <v>0</v>
      </c>
      <c r="AJ1377" s="9" t="n">
        <f aca="false">X1377*$V1377</f>
        <v>0</v>
      </c>
      <c r="AK1377" s="9" t="n">
        <f aca="false">Y1377*$V1377</f>
        <v>0</v>
      </c>
      <c r="AL1377" s="9" t="n">
        <f aca="false">Z1377*$V1377</f>
        <v>0</v>
      </c>
      <c r="AM1377" s="9" t="n">
        <f aca="false">AA1377*$V1377</f>
        <v>0</v>
      </c>
      <c r="AN1377" s="9" t="n">
        <f aca="false">AB1377*$V1377</f>
        <v>0</v>
      </c>
      <c r="AO1377" s="9" t="n">
        <f aca="false">AC1377*$V1377</f>
        <v>0</v>
      </c>
      <c r="AP1377" s="9" t="n">
        <f aca="false">AD1377*$V1377</f>
        <v>0</v>
      </c>
      <c r="AQ1377" s="9" t="n">
        <f aca="false">AE1377*$V1377</f>
        <v>0</v>
      </c>
      <c r="AR1377" s="9" t="n">
        <f aca="false">AF1377*$V1377</f>
        <v>0</v>
      </c>
      <c r="AS1377" s="9" t="n">
        <f aca="false">AG1377*$V1377</f>
        <v>17.3</v>
      </c>
      <c r="AT1377" s="9" t="n">
        <f aca="false">AH1377*$V1377</f>
        <v>0</v>
      </c>
      <c r="AU1377" s="9" t="n">
        <f aca="false">AI1377*$V1377</f>
        <v>0</v>
      </c>
      <c r="AV1377" s="9" t="n">
        <f aca="false">SUM(X1377:AI1377)/1000</f>
        <v>10</v>
      </c>
      <c r="AW1377" s="9" t="n">
        <f aca="false">SUM(AJ1377:AU1377)</f>
        <v>17.3</v>
      </c>
      <c r="AX1377" s="9" t="n">
        <f aca="false">IF(D1377="INR",AW1377/88.24,AW1377)/1000000</f>
        <v>1.73E-005</v>
      </c>
    </row>
    <row r="1378" s="2" customFormat="true" ht="16.4" hidden="false" customHeight="false" outlineLevel="0" collapsed="false">
      <c r="A1378" s="16" t="s">
        <v>2622</v>
      </c>
      <c r="B1378" s="16"/>
      <c r="C1378" s="15"/>
      <c r="D1378" s="16" t="s">
        <v>102</v>
      </c>
      <c r="E1378" s="16" t="s">
        <v>51</v>
      </c>
      <c r="F1378" s="16" t="s">
        <v>52</v>
      </c>
      <c r="G1378" s="16" t="s">
        <v>301</v>
      </c>
      <c r="H1378" s="16" t="s">
        <v>302</v>
      </c>
      <c r="I1378" s="16" t="s">
        <v>303</v>
      </c>
      <c r="J1378" s="16" t="s">
        <v>304</v>
      </c>
      <c r="K1378" s="16" t="s">
        <v>2554</v>
      </c>
      <c r="L1378" s="16" t="s">
        <v>303</v>
      </c>
      <c r="M1378" s="16" t="s">
        <v>304</v>
      </c>
      <c r="N1378" s="16" t="s">
        <v>93</v>
      </c>
      <c r="O1378" s="16" t="s">
        <v>107</v>
      </c>
      <c r="P1378" s="16" t="s">
        <v>348</v>
      </c>
      <c r="Q1378" s="16" t="s">
        <v>348</v>
      </c>
      <c r="R1378" s="16" t="s">
        <v>800</v>
      </c>
      <c r="S1378" s="16" t="s">
        <v>87</v>
      </c>
      <c r="T1378" s="16" t="s">
        <v>2580</v>
      </c>
      <c r="U1378" s="16" t="s">
        <v>73</v>
      </c>
      <c r="V1378" s="16" t="n">
        <v>0.02901</v>
      </c>
      <c r="W1378" s="16" t="n">
        <v>0.0251</v>
      </c>
      <c r="X1378" s="16" t="n">
        <v>0</v>
      </c>
      <c r="Y1378" s="16" t="n">
        <v>0</v>
      </c>
      <c r="Z1378" s="16" t="n">
        <v>0</v>
      </c>
      <c r="AA1378" s="16" t="n">
        <v>0</v>
      </c>
      <c r="AB1378" s="16" t="n">
        <v>0</v>
      </c>
      <c r="AC1378" s="16" t="n">
        <v>0</v>
      </c>
      <c r="AD1378" s="16" t="n">
        <v>0</v>
      </c>
      <c r="AE1378" s="16" t="n">
        <v>8000</v>
      </c>
      <c r="AF1378" s="16" t="n">
        <v>0</v>
      </c>
      <c r="AG1378" s="16" t="n">
        <v>0</v>
      </c>
      <c r="AH1378" s="16" t="n">
        <v>0</v>
      </c>
      <c r="AI1378" s="16" t="n">
        <v>0</v>
      </c>
      <c r="AJ1378" s="9" t="n">
        <f aca="false">X1378*$V1378</f>
        <v>0</v>
      </c>
      <c r="AK1378" s="9" t="n">
        <f aca="false">Y1378*$V1378</f>
        <v>0</v>
      </c>
      <c r="AL1378" s="9" t="n">
        <f aca="false">Z1378*$V1378</f>
        <v>0</v>
      </c>
      <c r="AM1378" s="9" t="n">
        <f aca="false">AA1378*$V1378</f>
        <v>0</v>
      </c>
      <c r="AN1378" s="9" t="n">
        <f aca="false">AB1378*$V1378</f>
        <v>0</v>
      </c>
      <c r="AO1378" s="9" t="n">
        <f aca="false">AC1378*$V1378</f>
        <v>0</v>
      </c>
      <c r="AP1378" s="9" t="n">
        <f aca="false">AD1378*$V1378</f>
        <v>0</v>
      </c>
      <c r="AQ1378" s="9" t="n">
        <f aca="false">AE1378*$V1378</f>
        <v>232.08</v>
      </c>
      <c r="AR1378" s="9" t="n">
        <f aca="false">AF1378*$V1378</f>
        <v>0</v>
      </c>
      <c r="AS1378" s="9" t="n">
        <f aca="false">AG1378*$V1378</f>
        <v>0</v>
      </c>
      <c r="AT1378" s="9" t="n">
        <f aca="false">AH1378*$V1378</f>
        <v>0</v>
      </c>
      <c r="AU1378" s="9" t="n">
        <f aca="false">AI1378*$V1378</f>
        <v>0</v>
      </c>
      <c r="AV1378" s="9" t="n">
        <f aca="false">SUM(X1378:AI1378)/1000</f>
        <v>8</v>
      </c>
      <c r="AW1378" s="9" t="n">
        <f aca="false">SUM(AJ1378:AU1378)</f>
        <v>232.08</v>
      </c>
      <c r="AX1378" s="9" t="n">
        <f aca="false">IF(D1378="INR",AW1378/88.24,AW1378)/1000000</f>
        <v>0.00023208</v>
      </c>
    </row>
    <row r="1379" s="2" customFormat="true" ht="16.4" hidden="false" customHeight="false" outlineLevel="0" collapsed="false">
      <c r="A1379" s="16" t="s">
        <v>2623</v>
      </c>
      <c r="B1379" s="16"/>
      <c r="C1379" s="16"/>
      <c r="D1379" s="16" t="s">
        <v>102</v>
      </c>
      <c r="E1379" s="16" t="s">
        <v>51</v>
      </c>
      <c r="F1379" s="16" t="s">
        <v>52</v>
      </c>
      <c r="G1379" s="16" t="s">
        <v>301</v>
      </c>
      <c r="H1379" s="16" t="s">
        <v>302</v>
      </c>
      <c r="I1379" s="16" t="s">
        <v>303</v>
      </c>
      <c r="J1379" s="16" t="s">
        <v>304</v>
      </c>
      <c r="K1379" s="16" t="s">
        <v>2554</v>
      </c>
      <c r="L1379" s="16" t="s">
        <v>303</v>
      </c>
      <c r="M1379" s="16" t="s">
        <v>304</v>
      </c>
      <c r="N1379" s="16" t="s">
        <v>93</v>
      </c>
      <c r="O1379" s="16" t="s">
        <v>107</v>
      </c>
      <c r="P1379" s="16" t="s">
        <v>348</v>
      </c>
      <c r="Q1379" s="16" t="s">
        <v>348</v>
      </c>
      <c r="R1379" s="16" t="s">
        <v>800</v>
      </c>
      <c r="S1379" s="16" t="s">
        <v>87</v>
      </c>
      <c r="T1379" s="16" t="s">
        <v>2590</v>
      </c>
      <c r="U1379" s="16" t="s">
        <v>73</v>
      </c>
      <c r="V1379" s="16" t="n">
        <v>0.0043</v>
      </c>
      <c r="W1379" s="16" t="n">
        <v>0.00411</v>
      </c>
      <c r="X1379" s="16" t="n">
        <v>0</v>
      </c>
      <c r="Y1379" s="26" t="n">
        <v>0</v>
      </c>
      <c r="Z1379" s="16" t="n">
        <v>0</v>
      </c>
      <c r="AA1379" s="16" t="n">
        <v>0</v>
      </c>
      <c r="AB1379" s="16" t="n">
        <v>0</v>
      </c>
      <c r="AC1379" s="16" t="n">
        <v>8000</v>
      </c>
      <c r="AD1379" s="26" t="n">
        <v>0</v>
      </c>
      <c r="AE1379" s="16" t="n">
        <v>0</v>
      </c>
      <c r="AF1379" s="16" t="n">
        <v>0</v>
      </c>
      <c r="AG1379" s="16" t="n">
        <v>0</v>
      </c>
      <c r="AH1379" s="16" t="n">
        <v>0</v>
      </c>
      <c r="AI1379" s="16" t="n">
        <v>0</v>
      </c>
      <c r="AJ1379" s="9" t="n">
        <f aca="false">X1379*$V1379</f>
        <v>0</v>
      </c>
      <c r="AK1379" s="9" t="n">
        <f aca="false">Y1379*$V1379</f>
        <v>0</v>
      </c>
      <c r="AL1379" s="9" t="n">
        <f aca="false">Z1379*$V1379</f>
        <v>0</v>
      </c>
      <c r="AM1379" s="9" t="n">
        <f aca="false">AA1379*$V1379</f>
        <v>0</v>
      </c>
      <c r="AN1379" s="9" t="n">
        <f aca="false">AB1379*$V1379</f>
        <v>0</v>
      </c>
      <c r="AO1379" s="9" t="n">
        <f aca="false">AC1379*$V1379</f>
        <v>34.4</v>
      </c>
      <c r="AP1379" s="9" t="n">
        <f aca="false">AD1379*$V1379</f>
        <v>0</v>
      </c>
      <c r="AQ1379" s="9" t="n">
        <f aca="false">AE1379*$V1379</f>
        <v>0</v>
      </c>
      <c r="AR1379" s="9" t="n">
        <f aca="false">AF1379*$V1379</f>
        <v>0</v>
      </c>
      <c r="AS1379" s="9" t="n">
        <f aca="false">AG1379*$V1379</f>
        <v>0</v>
      </c>
      <c r="AT1379" s="9" t="n">
        <f aca="false">AH1379*$V1379</f>
        <v>0</v>
      </c>
      <c r="AU1379" s="9" t="n">
        <f aca="false">AI1379*$V1379</f>
        <v>0</v>
      </c>
      <c r="AV1379" s="9" t="n">
        <f aca="false">SUM(X1379:AI1379)/1000</f>
        <v>8</v>
      </c>
      <c r="AW1379" s="9" t="n">
        <f aca="false">SUM(AJ1379:AU1379)</f>
        <v>34.4</v>
      </c>
      <c r="AX1379" s="9" t="n">
        <f aca="false">IF(D1379="INR",AW1379/88.24,AW1379)/1000000</f>
        <v>3.44E-005</v>
      </c>
    </row>
    <row r="1380" s="2" customFormat="true" ht="16.4" hidden="false" customHeight="false" outlineLevel="0" collapsed="false">
      <c r="A1380" s="16" t="s">
        <v>2624</v>
      </c>
      <c r="B1380" s="16"/>
      <c r="C1380" s="16"/>
      <c r="D1380" s="16" t="s">
        <v>102</v>
      </c>
      <c r="E1380" s="16" t="s">
        <v>51</v>
      </c>
      <c r="F1380" s="16" t="s">
        <v>52</v>
      </c>
      <c r="G1380" s="16" t="s">
        <v>301</v>
      </c>
      <c r="H1380" s="16" t="s">
        <v>302</v>
      </c>
      <c r="I1380" s="16" t="s">
        <v>303</v>
      </c>
      <c r="J1380" s="16" t="s">
        <v>304</v>
      </c>
      <c r="K1380" s="16" t="s">
        <v>2554</v>
      </c>
      <c r="L1380" s="16" t="s">
        <v>303</v>
      </c>
      <c r="M1380" s="16" t="s">
        <v>304</v>
      </c>
      <c r="N1380" s="16" t="s">
        <v>93</v>
      </c>
      <c r="O1380" s="16" t="s">
        <v>107</v>
      </c>
      <c r="P1380" s="16" t="s">
        <v>348</v>
      </c>
      <c r="Q1380" s="16" t="s">
        <v>348</v>
      </c>
      <c r="R1380" s="16" t="s">
        <v>800</v>
      </c>
      <c r="S1380" s="16" t="s">
        <v>87</v>
      </c>
      <c r="T1380" s="16" t="s">
        <v>2590</v>
      </c>
      <c r="U1380" s="16" t="s">
        <v>73</v>
      </c>
      <c r="V1380" s="26" t="n">
        <v>0.0043</v>
      </c>
      <c r="W1380" s="16" t="n">
        <v>0.00411</v>
      </c>
      <c r="X1380" s="16" t="n">
        <v>0</v>
      </c>
      <c r="Y1380" s="16" t="n">
        <v>0</v>
      </c>
      <c r="Z1380" s="26" t="n">
        <v>0</v>
      </c>
      <c r="AA1380" s="26" t="n">
        <v>0</v>
      </c>
      <c r="AB1380" s="16" t="n">
        <v>0</v>
      </c>
      <c r="AC1380" s="16" t="n">
        <v>0</v>
      </c>
      <c r="AD1380" s="16" t="n">
        <v>0</v>
      </c>
      <c r="AE1380" s="16" t="n">
        <v>4000</v>
      </c>
      <c r="AF1380" s="16" t="n">
        <v>0</v>
      </c>
      <c r="AG1380" s="16" t="n">
        <v>0</v>
      </c>
      <c r="AH1380" s="16" t="n">
        <v>0</v>
      </c>
      <c r="AI1380" s="16" t="n">
        <v>0</v>
      </c>
      <c r="AJ1380" s="9" t="n">
        <f aca="false">X1380*$V1380</f>
        <v>0</v>
      </c>
      <c r="AK1380" s="9" t="n">
        <f aca="false">Y1380*$V1380</f>
        <v>0</v>
      </c>
      <c r="AL1380" s="9" t="n">
        <f aca="false">Z1380*$V1380</f>
        <v>0</v>
      </c>
      <c r="AM1380" s="9" t="n">
        <f aca="false">AA1380*$V1380</f>
        <v>0</v>
      </c>
      <c r="AN1380" s="9" t="n">
        <f aca="false">AB1380*$V1380</f>
        <v>0</v>
      </c>
      <c r="AO1380" s="9" t="n">
        <f aca="false">AC1380*$V1380</f>
        <v>0</v>
      </c>
      <c r="AP1380" s="9" t="n">
        <f aca="false">AD1380*$V1380</f>
        <v>0</v>
      </c>
      <c r="AQ1380" s="9" t="n">
        <f aca="false">AE1380*$V1380</f>
        <v>17.2</v>
      </c>
      <c r="AR1380" s="9" t="n">
        <f aca="false">AF1380*$V1380</f>
        <v>0</v>
      </c>
      <c r="AS1380" s="9" t="n">
        <f aca="false">AG1380*$V1380</f>
        <v>0</v>
      </c>
      <c r="AT1380" s="9" t="n">
        <f aca="false">AH1380*$V1380</f>
        <v>0</v>
      </c>
      <c r="AU1380" s="9" t="n">
        <f aca="false">AI1380*$V1380</f>
        <v>0</v>
      </c>
      <c r="AV1380" s="9" t="n">
        <f aca="false">SUM(X1380:AI1380)/1000</f>
        <v>4</v>
      </c>
      <c r="AW1380" s="9" t="n">
        <f aca="false">SUM(AJ1380:AU1380)</f>
        <v>17.2</v>
      </c>
      <c r="AX1380" s="9" t="n">
        <f aca="false">IF(D1380="INR",AW1380/88.24,AW1380)/1000000</f>
        <v>1.72E-005</v>
      </c>
    </row>
    <row r="1381" s="2" customFormat="true" ht="14.25" hidden="false" customHeight="false" outlineLevel="0" collapsed="false">
      <c r="A1381" s="12" t="s">
        <v>2625</v>
      </c>
      <c r="B1381" s="16" t="n">
        <v>5</v>
      </c>
      <c r="C1381" s="15"/>
      <c r="D1381" s="16" t="s">
        <v>102</v>
      </c>
      <c r="E1381" s="16" t="s">
        <v>51</v>
      </c>
      <c r="F1381" s="16" t="s">
        <v>267</v>
      </c>
      <c r="G1381" s="16" t="s">
        <v>1825</v>
      </c>
      <c r="H1381" s="16" t="s">
        <v>1826</v>
      </c>
      <c r="I1381" s="16" t="s">
        <v>105</v>
      </c>
      <c r="J1381" s="16" t="s">
        <v>891</v>
      </c>
      <c r="K1381" s="16"/>
      <c r="L1381" s="16" t="s">
        <v>105</v>
      </c>
      <c r="M1381" s="16" t="s">
        <v>891</v>
      </c>
      <c r="N1381" s="16" t="s">
        <v>271</v>
      </c>
      <c r="O1381" s="16" t="s">
        <v>94</v>
      </c>
      <c r="P1381" s="16" t="s">
        <v>85</v>
      </c>
      <c r="Q1381" s="16" t="s">
        <v>85</v>
      </c>
      <c r="R1381" s="16" t="s">
        <v>86</v>
      </c>
      <c r="S1381" s="16" t="s">
        <v>87</v>
      </c>
      <c r="T1381" s="16" t="s">
        <v>2626</v>
      </c>
      <c r="U1381" s="16" t="s">
        <v>73</v>
      </c>
      <c r="V1381" s="16" t="n">
        <v>0.1011</v>
      </c>
      <c r="W1381" s="16" t="n">
        <v>0.0462</v>
      </c>
      <c r="X1381" s="16" t="n">
        <v>40000</v>
      </c>
      <c r="Y1381" s="26" t="n">
        <v>40000</v>
      </c>
      <c r="Z1381" s="16"/>
      <c r="AA1381" s="16"/>
      <c r="AB1381" s="16"/>
      <c r="AC1381" s="16" t="n">
        <v>40000</v>
      </c>
      <c r="AD1381" s="16"/>
      <c r="AE1381" s="16"/>
      <c r="AF1381" s="26"/>
      <c r="AG1381" s="16"/>
      <c r="AH1381" s="26"/>
      <c r="AI1381" s="16" t="n">
        <v>40000</v>
      </c>
      <c r="AJ1381" s="9" t="n">
        <f aca="false">X1381*$V1381</f>
        <v>4044</v>
      </c>
      <c r="AK1381" s="9" t="n">
        <f aca="false">Y1381*$V1381</f>
        <v>4044</v>
      </c>
      <c r="AL1381" s="9" t="n">
        <f aca="false">Z1381*$V1381</f>
        <v>0</v>
      </c>
      <c r="AM1381" s="9" t="n">
        <f aca="false">AA1381*$V1381</f>
        <v>0</v>
      </c>
      <c r="AN1381" s="9" t="n">
        <f aca="false">AB1381*$V1381</f>
        <v>0</v>
      </c>
      <c r="AO1381" s="9" t="n">
        <f aca="false">AC1381*$V1381</f>
        <v>4044</v>
      </c>
      <c r="AP1381" s="9" t="n">
        <f aca="false">AD1381*$V1381</f>
        <v>0</v>
      </c>
      <c r="AQ1381" s="9" t="n">
        <f aca="false">AE1381*$V1381</f>
        <v>0</v>
      </c>
      <c r="AR1381" s="9" t="n">
        <f aca="false">AF1381*$V1381</f>
        <v>0</v>
      </c>
      <c r="AS1381" s="9" t="n">
        <f aca="false">AG1381*$V1381</f>
        <v>0</v>
      </c>
      <c r="AT1381" s="9" t="n">
        <f aca="false">AH1381*$V1381</f>
        <v>0</v>
      </c>
      <c r="AU1381" s="9" t="n">
        <f aca="false">AI1381*$V1381</f>
        <v>4044</v>
      </c>
      <c r="AV1381" s="9" t="n">
        <f aca="false">SUM(X1381:AI1381)/1000</f>
        <v>160</v>
      </c>
      <c r="AW1381" s="9" t="n">
        <f aca="false">SUM(AJ1381:AU1381)</f>
        <v>16176</v>
      </c>
      <c r="AX1381" s="9" t="n">
        <f aca="false">IF(D1381="INR",AW1381/88.24,AW1381)/1000000</f>
        <v>0.016176</v>
      </c>
    </row>
    <row r="1382" s="2" customFormat="true" ht="14.25" hidden="false" customHeight="false" outlineLevel="0" collapsed="false">
      <c r="A1382" s="12" t="s">
        <v>2627</v>
      </c>
      <c r="B1382" s="16" t="n">
        <v>5</v>
      </c>
      <c r="C1382" s="15"/>
      <c r="D1382" s="16" t="s">
        <v>102</v>
      </c>
      <c r="E1382" s="16" t="s">
        <v>51</v>
      </c>
      <c r="F1382" s="16" t="s">
        <v>267</v>
      </c>
      <c r="G1382" s="16" t="s">
        <v>1825</v>
      </c>
      <c r="H1382" s="16" t="s">
        <v>1826</v>
      </c>
      <c r="I1382" s="16" t="s">
        <v>105</v>
      </c>
      <c r="J1382" s="16" t="s">
        <v>891</v>
      </c>
      <c r="K1382" s="16"/>
      <c r="L1382" s="16" t="s">
        <v>105</v>
      </c>
      <c r="M1382" s="16" t="s">
        <v>891</v>
      </c>
      <c r="N1382" s="16" t="s">
        <v>271</v>
      </c>
      <c r="O1382" s="16" t="s">
        <v>94</v>
      </c>
      <c r="P1382" s="9" t="s">
        <v>85</v>
      </c>
      <c r="Q1382" s="16" t="s">
        <v>85</v>
      </c>
      <c r="R1382" s="16" t="s">
        <v>86</v>
      </c>
      <c r="S1382" s="16" t="s">
        <v>87</v>
      </c>
      <c r="T1382" s="16" t="s">
        <v>2628</v>
      </c>
      <c r="U1382" s="16" t="s">
        <v>73</v>
      </c>
      <c r="V1382" s="16" t="n">
        <v>0.171</v>
      </c>
      <c r="W1382" s="16" t="n">
        <v>0.08</v>
      </c>
      <c r="X1382" s="16" t="n">
        <v>25000</v>
      </c>
      <c r="Y1382" s="16" t="n">
        <v>25000</v>
      </c>
      <c r="Z1382" s="16"/>
      <c r="AA1382" s="16"/>
      <c r="AB1382" s="16"/>
      <c r="AC1382" s="16"/>
      <c r="AD1382" s="16"/>
      <c r="AE1382" s="16" t="n">
        <v>25000</v>
      </c>
      <c r="AF1382" s="16"/>
      <c r="AG1382" s="16"/>
      <c r="AH1382" s="16"/>
      <c r="AI1382" s="16" t="n">
        <v>25000</v>
      </c>
      <c r="AJ1382" s="9" t="n">
        <f aca="false">X1382*$V1382</f>
        <v>4275</v>
      </c>
      <c r="AK1382" s="9" t="n">
        <f aca="false">Y1382*$V1382</f>
        <v>4275</v>
      </c>
      <c r="AL1382" s="9" t="n">
        <f aca="false">Z1382*$V1382</f>
        <v>0</v>
      </c>
      <c r="AM1382" s="9" t="n">
        <f aca="false">AA1382*$V1382</f>
        <v>0</v>
      </c>
      <c r="AN1382" s="9" t="n">
        <f aca="false">AB1382*$V1382</f>
        <v>0</v>
      </c>
      <c r="AO1382" s="9" t="n">
        <f aca="false">AC1382*$V1382</f>
        <v>0</v>
      </c>
      <c r="AP1382" s="9" t="n">
        <f aca="false">AD1382*$V1382</f>
        <v>0</v>
      </c>
      <c r="AQ1382" s="9" t="n">
        <f aca="false">AE1382*$V1382</f>
        <v>4275</v>
      </c>
      <c r="AR1382" s="9" t="n">
        <f aca="false">AF1382*$V1382</f>
        <v>0</v>
      </c>
      <c r="AS1382" s="9" t="n">
        <f aca="false">AG1382*$V1382</f>
        <v>0</v>
      </c>
      <c r="AT1382" s="9" t="n">
        <f aca="false">AH1382*$V1382</f>
        <v>0</v>
      </c>
      <c r="AU1382" s="9" t="n">
        <f aca="false">AI1382*$V1382</f>
        <v>4275</v>
      </c>
      <c r="AV1382" s="9" t="n">
        <f aca="false">SUM(X1382:AI1382)/1000</f>
        <v>100</v>
      </c>
      <c r="AW1382" s="9" t="n">
        <f aca="false">SUM(AJ1382:AU1382)</f>
        <v>17100</v>
      </c>
      <c r="AX1382" s="9" t="n">
        <f aca="false">IF(D1382="INR",AW1382/88.24,AW1382)/1000000</f>
        <v>0.0171</v>
      </c>
    </row>
    <row r="1383" s="2" customFormat="true" ht="14.25" hidden="false" customHeight="false" outlineLevel="0" collapsed="false">
      <c r="A1383" s="12" t="s">
        <v>2629</v>
      </c>
      <c r="B1383" s="16" t="n">
        <v>5</v>
      </c>
      <c r="C1383" s="15"/>
      <c r="D1383" s="16" t="s">
        <v>102</v>
      </c>
      <c r="E1383" s="16" t="s">
        <v>51</v>
      </c>
      <c r="F1383" s="16" t="s">
        <v>267</v>
      </c>
      <c r="G1383" s="16" t="s">
        <v>1825</v>
      </c>
      <c r="H1383" s="16" t="s">
        <v>1826</v>
      </c>
      <c r="I1383" s="16" t="s">
        <v>105</v>
      </c>
      <c r="J1383" s="16" t="s">
        <v>891</v>
      </c>
      <c r="K1383" s="16" t="s">
        <v>1826</v>
      </c>
      <c r="L1383" s="16" t="s">
        <v>105</v>
      </c>
      <c r="M1383" s="16" t="s">
        <v>891</v>
      </c>
      <c r="N1383" s="16" t="s">
        <v>271</v>
      </c>
      <c r="O1383" s="16" t="s">
        <v>94</v>
      </c>
      <c r="P1383" s="16" t="s">
        <v>348</v>
      </c>
      <c r="Q1383" s="16" t="s">
        <v>348</v>
      </c>
      <c r="R1383" s="16" t="s">
        <v>800</v>
      </c>
      <c r="S1383" s="16" t="s">
        <v>87</v>
      </c>
      <c r="T1383" s="16" t="s">
        <v>2630</v>
      </c>
      <c r="U1383" s="16" t="s">
        <v>73</v>
      </c>
      <c r="V1383" s="16" t="n">
        <v>0.104</v>
      </c>
      <c r="W1383" s="16" t="n">
        <v>0.09</v>
      </c>
      <c r="X1383" s="22" t="n">
        <v>15000</v>
      </c>
      <c r="Y1383" s="22"/>
      <c r="Z1383" s="22"/>
      <c r="AA1383" s="22" t="n">
        <v>15000</v>
      </c>
      <c r="AB1383" s="22"/>
      <c r="AC1383" s="22"/>
      <c r="AD1383" s="22"/>
      <c r="AE1383" s="22"/>
      <c r="AF1383" s="22"/>
      <c r="AG1383" s="22" t="n">
        <v>15000</v>
      </c>
      <c r="AH1383" s="22"/>
      <c r="AI1383" s="22"/>
      <c r="AJ1383" s="9" t="n">
        <f aca="false">X1383*$V1383</f>
        <v>1560</v>
      </c>
      <c r="AK1383" s="9" t="n">
        <f aca="false">Y1383*$V1383</f>
        <v>0</v>
      </c>
      <c r="AL1383" s="9" t="n">
        <f aca="false">Z1383*$V1383</f>
        <v>0</v>
      </c>
      <c r="AM1383" s="9" t="n">
        <f aca="false">AA1383*$V1383</f>
        <v>1560</v>
      </c>
      <c r="AN1383" s="9" t="n">
        <f aca="false">AB1383*$V1383</f>
        <v>0</v>
      </c>
      <c r="AO1383" s="9" t="n">
        <f aca="false">AC1383*$V1383</f>
        <v>0</v>
      </c>
      <c r="AP1383" s="9" t="n">
        <f aca="false">AD1383*$V1383</f>
        <v>0</v>
      </c>
      <c r="AQ1383" s="9" t="n">
        <f aca="false">AE1383*$V1383</f>
        <v>0</v>
      </c>
      <c r="AR1383" s="9" t="n">
        <f aca="false">AF1383*$V1383</f>
        <v>0</v>
      </c>
      <c r="AS1383" s="9" t="n">
        <f aca="false">AG1383*$V1383</f>
        <v>1560</v>
      </c>
      <c r="AT1383" s="9" t="n">
        <f aca="false">AH1383*$V1383</f>
        <v>0</v>
      </c>
      <c r="AU1383" s="9" t="n">
        <f aca="false">AI1383*$V1383</f>
        <v>0</v>
      </c>
      <c r="AV1383" s="9" t="n">
        <f aca="false">SUM(X1383:AI1383)/1000</f>
        <v>45</v>
      </c>
      <c r="AW1383" s="9" t="n">
        <f aca="false">SUM(AJ1383:AU1383)</f>
        <v>4680</v>
      </c>
      <c r="AX1383" s="9" t="n">
        <f aca="false">IF(D1383="INR",AW1383/88.24,AW1383)/1000000</f>
        <v>0.00468</v>
      </c>
    </row>
    <row r="1384" s="2" customFormat="true" ht="14.25" hidden="false" customHeight="false" outlineLevel="0" collapsed="false">
      <c r="A1384" s="12"/>
      <c r="B1384" s="16" t="n">
        <v>1</v>
      </c>
      <c r="C1384" s="15"/>
      <c r="D1384" s="16" t="s">
        <v>102</v>
      </c>
      <c r="E1384" s="16" t="s">
        <v>51</v>
      </c>
      <c r="F1384" s="16" t="s">
        <v>267</v>
      </c>
      <c r="G1384" s="16"/>
      <c r="H1384" s="16" t="s">
        <v>1826</v>
      </c>
      <c r="I1384" s="16"/>
      <c r="J1384" s="16"/>
      <c r="K1384" s="16"/>
      <c r="L1384" s="16"/>
      <c r="M1384" s="16"/>
      <c r="N1384" s="16" t="s">
        <v>271</v>
      </c>
      <c r="O1384" s="16"/>
      <c r="P1384" s="16"/>
      <c r="Q1384" s="16" t="s">
        <v>460</v>
      </c>
      <c r="R1384" s="16"/>
      <c r="S1384" s="16"/>
      <c r="T1384" s="16" t="s">
        <v>2631</v>
      </c>
      <c r="U1384" s="16" t="s">
        <v>73</v>
      </c>
      <c r="V1384" s="16" t="n">
        <v>0.12</v>
      </c>
      <c r="W1384" s="16"/>
      <c r="X1384" s="22" t="n">
        <v>10000</v>
      </c>
      <c r="Y1384" s="22"/>
      <c r="Z1384" s="22" t="n">
        <v>10000</v>
      </c>
      <c r="AA1384" s="22"/>
      <c r="AB1384" s="22"/>
      <c r="AC1384" s="22"/>
      <c r="AD1384" s="22"/>
      <c r="AE1384" s="22" t="n">
        <v>10000</v>
      </c>
      <c r="AF1384" s="22"/>
      <c r="AG1384" s="22"/>
      <c r="AH1384" s="22"/>
      <c r="AI1384" s="22" t="n">
        <v>10000</v>
      </c>
      <c r="AJ1384" s="9" t="n">
        <f aca="false">X1384*$V1384</f>
        <v>1200</v>
      </c>
      <c r="AK1384" s="9" t="n">
        <f aca="false">Y1384*$V1384</f>
        <v>0</v>
      </c>
      <c r="AL1384" s="9" t="n">
        <f aca="false">Z1384*$V1384</f>
        <v>1200</v>
      </c>
      <c r="AM1384" s="9" t="n">
        <f aca="false">AA1384*$V1384</f>
        <v>0</v>
      </c>
      <c r="AN1384" s="9" t="n">
        <f aca="false">AB1384*$V1384</f>
        <v>0</v>
      </c>
      <c r="AO1384" s="9" t="n">
        <f aca="false">AC1384*$V1384</f>
        <v>0</v>
      </c>
      <c r="AP1384" s="9" t="n">
        <f aca="false">AD1384*$V1384</f>
        <v>0</v>
      </c>
      <c r="AQ1384" s="9" t="n">
        <f aca="false">AE1384*$V1384</f>
        <v>1200</v>
      </c>
      <c r="AR1384" s="9" t="n">
        <f aca="false">AF1384*$V1384</f>
        <v>0</v>
      </c>
      <c r="AS1384" s="9" t="n">
        <f aca="false">AG1384*$V1384</f>
        <v>0</v>
      </c>
      <c r="AT1384" s="9" t="n">
        <f aca="false">AH1384*$V1384</f>
        <v>0</v>
      </c>
      <c r="AU1384" s="9" t="n">
        <f aca="false">AI1384*$V1384</f>
        <v>1200</v>
      </c>
      <c r="AV1384" s="9" t="n">
        <f aca="false">SUM(X1384:AI1384)/1000</f>
        <v>40</v>
      </c>
      <c r="AW1384" s="9" t="n">
        <f aca="false">SUM(AJ1384:AU1384)</f>
        <v>4800</v>
      </c>
      <c r="AX1384" s="9" t="n">
        <f aca="false">IF(D1384="INR",AW1384/88.24,AW1384)/1000000</f>
        <v>0.0048</v>
      </c>
    </row>
    <row r="1385" s="2" customFormat="true" ht="14.25" hidden="false" customHeight="false" outlineLevel="0" collapsed="false">
      <c r="A1385" s="12" t="s">
        <v>2632</v>
      </c>
      <c r="B1385" s="16" t="n">
        <v>5</v>
      </c>
      <c r="C1385" s="15"/>
      <c r="D1385" s="16" t="s">
        <v>102</v>
      </c>
      <c r="E1385" s="16" t="s">
        <v>51</v>
      </c>
      <c r="F1385" s="16" t="s">
        <v>267</v>
      </c>
      <c r="G1385" s="16" t="s">
        <v>1825</v>
      </c>
      <c r="H1385" s="16" t="s">
        <v>1826</v>
      </c>
      <c r="I1385" s="16" t="s">
        <v>105</v>
      </c>
      <c r="J1385" s="16" t="s">
        <v>891</v>
      </c>
      <c r="K1385" s="16" t="s">
        <v>1826</v>
      </c>
      <c r="L1385" s="16" t="s">
        <v>105</v>
      </c>
      <c r="M1385" s="16" t="s">
        <v>891</v>
      </c>
      <c r="N1385" s="16" t="s">
        <v>271</v>
      </c>
      <c r="O1385" s="16" t="s">
        <v>94</v>
      </c>
      <c r="P1385" s="16" t="s">
        <v>348</v>
      </c>
      <c r="Q1385" s="16" t="s">
        <v>348</v>
      </c>
      <c r="R1385" s="16" t="s">
        <v>800</v>
      </c>
      <c r="S1385" s="16" t="s">
        <v>87</v>
      </c>
      <c r="T1385" s="16" t="s">
        <v>2633</v>
      </c>
      <c r="U1385" s="16" t="s">
        <v>73</v>
      </c>
      <c r="V1385" s="16" t="n">
        <v>0.036</v>
      </c>
      <c r="W1385" s="16" t="n">
        <v>0.03075</v>
      </c>
      <c r="X1385" s="16" t="n">
        <v>7000</v>
      </c>
      <c r="Y1385" s="16" t="n">
        <v>7000</v>
      </c>
      <c r="Z1385" s="16"/>
      <c r="AA1385" s="16"/>
      <c r="AB1385" s="16"/>
      <c r="AC1385" s="16"/>
      <c r="AD1385" s="16"/>
      <c r="AE1385" s="16"/>
      <c r="AF1385" s="16"/>
      <c r="AG1385" s="16" t="n">
        <v>7000</v>
      </c>
      <c r="AH1385" s="16" t="n">
        <v>7000</v>
      </c>
      <c r="AI1385" s="16" t="n">
        <v>7000</v>
      </c>
      <c r="AJ1385" s="9" t="n">
        <f aca="false">X1385*$V1385</f>
        <v>252</v>
      </c>
      <c r="AK1385" s="9" t="n">
        <f aca="false">Y1385*$V1385</f>
        <v>252</v>
      </c>
      <c r="AL1385" s="9" t="n">
        <f aca="false">Z1385*$V1385</f>
        <v>0</v>
      </c>
      <c r="AM1385" s="9" t="n">
        <f aca="false">AA1385*$V1385</f>
        <v>0</v>
      </c>
      <c r="AN1385" s="9" t="n">
        <f aca="false">AB1385*$V1385</f>
        <v>0</v>
      </c>
      <c r="AO1385" s="9" t="n">
        <f aca="false">AC1385*$V1385</f>
        <v>0</v>
      </c>
      <c r="AP1385" s="9" t="n">
        <f aca="false">AD1385*$V1385</f>
        <v>0</v>
      </c>
      <c r="AQ1385" s="9" t="n">
        <f aca="false">AE1385*$V1385</f>
        <v>0</v>
      </c>
      <c r="AR1385" s="9" t="n">
        <f aca="false">AF1385*$V1385</f>
        <v>0</v>
      </c>
      <c r="AS1385" s="9" t="n">
        <f aca="false">AG1385*$V1385</f>
        <v>252</v>
      </c>
      <c r="AT1385" s="9" t="n">
        <f aca="false">AH1385*$V1385</f>
        <v>252</v>
      </c>
      <c r="AU1385" s="9" t="n">
        <f aca="false">AI1385*$V1385</f>
        <v>252</v>
      </c>
      <c r="AV1385" s="9" t="n">
        <f aca="false">SUM(X1385:AI1385)/1000</f>
        <v>35</v>
      </c>
      <c r="AW1385" s="9" t="n">
        <f aca="false">SUM(AJ1385:AU1385)</f>
        <v>1260</v>
      </c>
      <c r="AX1385" s="9" t="n">
        <f aca="false">IF(D1385="INR",AW1385/88.24,AW1385)/1000000</f>
        <v>0.00126</v>
      </c>
    </row>
    <row r="1386" s="2" customFormat="true" ht="14.25" hidden="false" customHeight="true" outlineLevel="0" collapsed="false">
      <c r="A1386" s="9" t="s">
        <v>2634</v>
      </c>
      <c r="B1386" s="9" t="n">
        <v>5</v>
      </c>
      <c r="C1386" s="15"/>
      <c r="D1386" s="16" t="s">
        <v>102</v>
      </c>
      <c r="E1386" s="16" t="s">
        <v>51</v>
      </c>
      <c r="F1386" s="16" t="s">
        <v>267</v>
      </c>
      <c r="G1386" s="16" t="s">
        <v>1825</v>
      </c>
      <c r="H1386" s="16" t="s">
        <v>1826</v>
      </c>
      <c r="I1386" s="16" t="s">
        <v>105</v>
      </c>
      <c r="J1386" s="16" t="s">
        <v>891</v>
      </c>
      <c r="K1386" s="16" t="s">
        <v>1826</v>
      </c>
      <c r="L1386" s="16" t="s">
        <v>105</v>
      </c>
      <c r="M1386" s="16" t="s">
        <v>891</v>
      </c>
      <c r="N1386" s="16" t="s">
        <v>271</v>
      </c>
      <c r="O1386" s="16" t="s">
        <v>94</v>
      </c>
      <c r="P1386" s="9" t="s">
        <v>348</v>
      </c>
      <c r="Q1386" s="9" t="s">
        <v>348</v>
      </c>
      <c r="R1386" s="9" t="s">
        <v>800</v>
      </c>
      <c r="S1386" s="9" t="s">
        <v>87</v>
      </c>
      <c r="T1386" s="9" t="s">
        <v>2635</v>
      </c>
      <c r="U1386" s="9" t="s">
        <v>73</v>
      </c>
      <c r="V1386" s="9" t="n">
        <v>0.095</v>
      </c>
      <c r="W1386" s="9" t="n">
        <v>0.08</v>
      </c>
      <c r="X1386" s="23" t="n">
        <v>6000</v>
      </c>
      <c r="Y1386" s="23" t="n">
        <v>6000</v>
      </c>
      <c r="Z1386" s="23" t="n">
        <v>6000</v>
      </c>
      <c r="AA1386" s="23"/>
      <c r="AB1386" s="23"/>
      <c r="AC1386" s="23"/>
      <c r="AD1386" s="23"/>
      <c r="AE1386" s="23"/>
      <c r="AF1386" s="23"/>
      <c r="AG1386" s="23"/>
      <c r="AH1386" s="23" t="n">
        <v>6000</v>
      </c>
      <c r="AI1386" s="23" t="n">
        <v>6000</v>
      </c>
      <c r="AJ1386" s="9" t="n">
        <f aca="false">X1386*$V1386</f>
        <v>570</v>
      </c>
      <c r="AK1386" s="9" t="n">
        <f aca="false">Y1386*$V1386</f>
        <v>570</v>
      </c>
      <c r="AL1386" s="9" t="n">
        <f aca="false">Z1386*$V1386</f>
        <v>570</v>
      </c>
      <c r="AM1386" s="9" t="n">
        <f aca="false">AA1386*$V1386</f>
        <v>0</v>
      </c>
      <c r="AN1386" s="9" t="n">
        <f aca="false">AB1386*$V1386</f>
        <v>0</v>
      </c>
      <c r="AO1386" s="9" t="n">
        <f aca="false">AC1386*$V1386</f>
        <v>0</v>
      </c>
      <c r="AP1386" s="9" t="n">
        <f aca="false">AD1386*$V1386</f>
        <v>0</v>
      </c>
      <c r="AQ1386" s="9" t="n">
        <f aca="false">AE1386*$V1386</f>
        <v>0</v>
      </c>
      <c r="AR1386" s="9" t="n">
        <f aca="false">AF1386*$V1386</f>
        <v>0</v>
      </c>
      <c r="AS1386" s="9" t="n">
        <f aca="false">AG1386*$V1386</f>
        <v>0</v>
      </c>
      <c r="AT1386" s="9" t="n">
        <f aca="false">AH1386*$V1386</f>
        <v>570</v>
      </c>
      <c r="AU1386" s="9" t="n">
        <f aca="false">AI1386*$V1386</f>
        <v>570</v>
      </c>
      <c r="AV1386" s="9" t="n">
        <f aca="false">SUM(X1386:AI1386)/1000</f>
        <v>30</v>
      </c>
      <c r="AW1386" s="9" t="n">
        <f aca="false">SUM(AJ1386:AU1386)</f>
        <v>2850</v>
      </c>
      <c r="AX1386" s="9" t="n">
        <f aca="false">IF(D1386="INR",AW1386/88.24,AW1386)/1000000</f>
        <v>0.00285</v>
      </c>
    </row>
    <row r="1387" s="2" customFormat="true" ht="14.25" hidden="false" customHeight="false" outlineLevel="0" collapsed="false">
      <c r="A1387" s="9"/>
      <c r="B1387" s="16" t="n">
        <v>1</v>
      </c>
      <c r="C1387" s="9"/>
      <c r="D1387" s="16" t="s">
        <v>102</v>
      </c>
      <c r="E1387" s="9" t="s">
        <v>51</v>
      </c>
      <c r="F1387" s="16" t="s">
        <v>267</v>
      </c>
      <c r="G1387" s="16"/>
      <c r="H1387" s="16" t="s">
        <v>1826</v>
      </c>
      <c r="I1387" s="9"/>
      <c r="J1387" s="9"/>
      <c r="K1387" s="9"/>
      <c r="L1387" s="9"/>
      <c r="M1387" s="9"/>
      <c r="N1387" s="16" t="s">
        <v>271</v>
      </c>
      <c r="O1387" s="9"/>
      <c r="P1387" s="9"/>
      <c r="Q1387" s="16" t="s">
        <v>85</v>
      </c>
      <c r="R1387" s="9"/>
      <c r="S1387" s="9"/>
      <c r="T1387" s="16" t="s">
        <v>2636</v>
      </c>
      <c r="U1387" s="9"/>
      <c r="V1387" s="16" t="n">
        <v>0.043</v>
      </c>
      <c r="W1387" s="9"/>
      <c r="X1387" s="9" t="n">
        <v>6000</v>
      </c>
      <c r="Y1387" s="9"/>
      <c r="Z1387" s="9"/>
      <c r="AA1387" s="9" t="n">
        <v>6000</v>
      </c>
      <c r="AB1387" s="9"/>
      <c r="AC1387" s="9"/>
      <c r="AD1387" s="9"/>
      <c r="AE1387" s="9"/>
      <c r="AF1387" s="9"/>
      <c r="AG1387" s="9" t="n">
        <v>6000</v>
      </c>
      <c r="AH1387" s="9" t="n">
        <v>6000</v>
      </c>
      <c r="AI1387" s="9" t="n">
        <v>6000</v>
      </c>
      <c r="AJ1387" s="9" t="n">
        <f aca="false">X1387*$V1387</f>
        <v>258</v>
      </c>
      <c r="AK1387" s="9" t="n">
        <f aca="false">Y1387*$V1387</f>
        <v>0</v>
      </c>
      <c r="AL1387" s="9" t="n">
        <f aca="false">Z1387*$V1387</f>
        <v>0</v>
      </c>
      <c r="AM1387" s="9" t="n">
        <f aca="false">AA1387*$V1387</f>
        <v>258</v>
      </c>
      <c r="AN1387" s="9" t="n">
        <f aca="false">AB1387*$V1387</f>
        <v>0</v>
      </c>
      <c r="AO1387" s="9" t="n">
        <f aca="false">AC1387*$V1387</f>
        <v>0</v>
      </c>
      <c r="AP1387" s="9" t="n">
        <f aca="false">AD1387*$V1387</f>
        <v>0</v>
      </c>
      <c r="AQ1387" s="9" t="n">
        <f aca="false">AE1387*$V1387</f>
        <v>0</v>
      </c>
      <c r="AR1387" s="9" t="n">
        <f aca="false">AF1387*$V1387</f>
        <v>0</v>
      </c>
      <c r="AS1387" s="9" t="n">
        <f aca="false">AG1387*$V1387</f>
        <v>258</v>
      </c>
      <c r="AT1387" s="9" t="n">
        <f aca="false">AH1387*$V1387</f>
        <v>258</v>
      </c>
      <c r="AU1387" s="9" t="n">
        <f aca="false">AI1387*$V1387</f>
        <v>258</v>
      </c>
      <c r="AV1387" s="9" t="n">
        <f aca="false">SUM(X1387:AI1387)/1000</f>
        <v>30</v>
      </c>
      <c r="AW1387" s="9" t="n">
        <f aca="false">SUM(AJ1387:AU1387)</f>
        <v>1290</v>
      </c>
      <c r="AX1387" s="9" t="n">
        <f aca="false">IF(D1387="INR",AW1387/88.24,AW1387)/1000000</f>
        <v>0.00129</v>
      </c>
    </row>
    <row r="1388" s="2" customFormat="true" ht="14.25" hidden="false" customHeight="false" outlineLevel="0" collapsed="false">
      <c r="A1388" s="12"/>
      <c r="B1388" s="16" t="n">
        <v>1</v>
      </c>
      <c r="C1388" s="15"/>
      <c r="D1388" s="16" t="s">
        <v>102</v>
      </c>
      <c r="E1388" s="16" t="s">
        <v>51</v>
      </c>
      <c r="F1388" s="16" t="s">
        <v>267</v>
      </c>
      <c r="G1388" s="16"/>
      <c r="H1388" s="16" t="s">
        <v>1826</v>
      </c>
      <c r="I1388" s="16"/>
      <c r="J1388" s="16"/>
      <c r="K1388" s="16"/>
      <c r="L1388" s="16"/>
      <c r="M1388" s="16"/>
      <c r="N1388" s="16" t="s">
        <v>271</v>
      </c>
      <c r="O1388" s="16"/>
      <c r="P1388" s="16"/>
      <c r="Q1388" s="16" t="s">
        <v>874</v>
      </c>
      <c r="R1388" s="16"/>
      <c r="S1388" s="16"/>
      <c r="T1388" s="16" t="s">
        <v>2637</v>
      </c>
      <c r="U1388" s="16"/>
      <c r="V1388" s="16" t="n">
        <v>0.366</v>
      </c>
      <c r="W1388" s="16"/>
      <c r="X1388" s="16" t="n">
        <v>6000</v>
      </c>
      <c r="Y1388" s="16" t="n">
        <v>6000</v>
      </c>
      <c r="Z1388" s="16"/>
      <c r="AA1388" s="16"/>
      <c r="AB1388" s="16"/>
      <c r="AC1388" s="16" t="n">
        <v>6000</v>
      </c>
      <c r="AD1388" s="26"/>
      <c r="AE1388" s="16"/>
      <c r="AF1388" s="26" t="n">
        <v>6000</v>
      </c>
      <c r="AG1388" s="16"/>
      <c r="AH1388" s="16"/>
      <c r="AI1388" s="16"/>
      <c r="AJ1388" s="9" t="n">
        <f aca="false">X1388*$V1388</f>
        <v>2196</v>
      </c>
      <c r="AK1388" s="9" t="n">
        <f aca="false">Y1388*$V1388</f>
        <v>2196</v>
      </c>
      <c r="AL1388" s="9" t="n">
        <f aca="false">Z1388*$V1388</f>
        <v>0</v>
      </c>
      <c r="AM1388" s="9" t="n">
        <f aca="false">AA1388*$V1388</f>
        <v>0</v>
      </c>
      <c r="AN1388" s="9" t="n">
        <f aca="false">AB1388*$V1388</f>
        <v>0</v>
      </c>
      <c r="AO1388" s="9" t="n">
        <f aca="false">AC1388*$V1388</f>
        <v>2196</v>
      </c>
      <c r="AP1388" s="9" t="n">
        <f aca="false">AD1388*$V1388</f>
        <v>0</v>
      </c>
      <c r="AQ1388" s="9" t="n">
        <f aca="false">AE1388*$V1388</f>
        <v>0</v>
      </c>
      <c r="AR1388" s="9" t="n">
        <f aca="false">AF1388*$V1388</f>
        <v>2196</v>
      </c>
      <c r="AS1388" s="9" t="n">
        <f aca="false">AG1388*$V1388</f>
        <v>0</v>
      </c>
      <c r="AT1388" s="9" t="n">
        <f aca="false">AH1388*$V1388</f>
        <v>0</v>
      </c>
      <c r="AU1388" s="9" t="n">
        <f aca="false">AI1388*$V1388</f>
        <v>0</v>
      </c>
      <c r="AV1388" s="9" t="n">
        <f aca="false">SUM(X1388:AI1388)/1000</f>
        <v>24</v>
      </c>
      <c r="AW1388" s="9" t="n">
        <f aca="false">SUM(AJ1388:AU1388)</f>
        <v>8784</v>
      </c>
      <c r="AX1388" s="9" t="n">
        <f aca="false">IF(D1388="INR",AW1388/88.24,AW1388)/1000000</f>
        <v>0.008784</v>
      </c>
    </row>
    <row r="1389" s="2" customFormat="true" ht="14.25" hidden="false" customHeight="false" outlineLevel="0" collapsed="false">
      <c r="A1389" s="12" t="s">
        <v>2638</v>
      </c>
      <c r="B1389" s="16"/>
      <c r="C1389" s="15"/>
      <c r="D1389" s="16" t="s">
        <v>102</v>
      </c>
      <c r="E1389" s="16" t="s">
        <v>51</v>
      </c>
      <c r="F1389" s="16" t="s">
        <v>267</v>
      </c>
      <c r="G1389" s="16" t="s">
        <v>1825</v>
      </c>
      <c r="H1389" s="16" t="s">
        <v>1826</v>
      </c>
      <c r="I1389" s="16" t="s">
        <v>105</v>
      </c>
      <c r="J1389" s="16" t="s">
        <v>891</v>
      </c>
      <c r="K1389" s="16"/>
      <c r="L1389" s="16" t="s">
        <v>105</v>
      </c>
      <c r="M1389" s="16" t="s">
        <v>891</v>
      </c>
      <c r="N1389" s="16" t="s">
        <v>271</v>
      </c>
      <c r="O1389" s="16" t="s">
        <v>94</v>
      </c>
      <c r="P1389" s="16" t="s">
        <v>188</v>
      </c>
      <c r="Q1389" s="16" t="s">
        <v>188</v>
      </c>
      <c r="R1389" s="16" t="s">
        <v>550</v>
      </c>
      <c r="S1389" s="16" t="s">
        <v>528</v>
      </c>
      <c r="T1389" s="16" t="s">
        <v>2639</v>
      </c>
      <c r="U1389" s="16" t="s">
        <v>73</v>
      </c>
      <c r="V1389" s="16" t="n">
        <v>0.14</v>
      </c>
      <c r="W1389" s="16" t="n">
        <v>0.118</v>
      </c>
      <c r="X1389" s="22" t="n">
        <v>6000</v>
      </c>
      <c r="Y1389" s="16" t="n">
        <v>6000</v>
      </c>
      <c r="Z1389" s="16" t="n">
        <v>6000</v>
      </c>
      <c r="AA1389" s="16"/>
      <c r="AB1389" s="16"/>
      <c r="AC1389" s="16"/>
      <c r="AD1389" s="16"/>
      <c r="AE1389" s="16"/>
      <c r="AF1389" s="16"/>
      <c r="AG1389" s="16"/>
      <c r="AH1389" s="16"/>
      <c r="AI1389" s="16" t="n">
        <v>6000</v>
      </c>
      <c r="AJ1389" s="9" t="n">
        <f aca="false">X1389*$V1389</f>
        <v>840</v>
      </c>
      <c r="AK1389" s="9" t="n">
        <f aca="false">Y1389*$V1389</f>
        <v>840</v>
      </c>
      <c r="AL1389" s="9" t="n">
        <f aca="false">Z1389*$V1389</f>
        <v>840</v>
      </c>
      <c r="AM1389" s="9" t="n">
        <f aca="false">AA1389*$V1389</f>
        <v>0</v>
      </c>
      <c r="AN1389" s="9" t="n">
        <f aca="false">AB1389*$V1389</f>
        <v>0</v>
      </c>
      <c r="AO1389" s="9" t="n">
        <f aca="false">AC1389*$V1389</f>
        <v>0</v>
      </c>
      <c r="AP1389" s="9" t="n">
        <f aca="false">AD1389*$V1389</f>
        <v>0</v>
      </c>
      <c r="AQ1389" s="9" t="n">
        <f aca="false">AE1389*$V1389</f>
        <v>0</v>
      </c>
      <c r="AR1389" s="9" t="n">
        <f aca="false">AF1389*$V1389</f>
        <v>0</v>
      </c>
      <c r="AS1389" s="9" t="n">
        <f aca="false">AG1389*$V1389</f>
        <v>0</v>
      </c>
      <c r="AT1389" s="9" t="n">
        <f aca="false">AH1389*$V1389</f>
        <v>0</v>
      </c>
      <c r="AU1389" s="9" t="n">
        <f aca="false">AI1389*$V1389</f>
        <v>840</v>
      </c>
      <c r="AV1389" s="9" t="n">
        <f aca="false">SUM(X1389:AI1389)/1000</f>
        <v>24</v>
      </c>
      <c r="AW1389" s="9" t="n">
        <f aca="false">SUM(AJ1389:AU1389)</f>
        <v>3360</v>
      </c>
      <c r="AX1389" s="9" t="n">
        <f aca="false">IF(D1389="INR",AW1389/88.24,AW1389)/1000000</f>
        <v>0.00336</v>
      </c>
    </row>
    <row r="1390" s="2" customFormat="true" ht="14.25" hidden="false" customHeight="false" outlineLevel="0" collapsed="false">
      <c r="A1390" s="12"/>
      <c r="B1390" s="16" t="n">
        <v>1</v>
      </c>
      <c r="C1390" s="15"/>
      <c r="D1390" s="16" t="s">
        <v>102</v>
      </c>
      <c r="E1390" s="16" t="s">
        <v>51</v>
      </c>
      <c r="F1390" s="16" t="s">
        <v>267</v>
      </c>
      <c r="G1390" s="16"/>
      <c r="H1390" s="16" t="s">
        <v>1826</v>
      </c>
      <c r="I1390" s="16"/>
      <c r="J1390" s="16"/>
      <c r="K1390" s="16"/>
      <c r="L1390" s="16"/>
      <c r="M1390" s="16"/>
      <c r="N1390" s="16" t="s">
        <v>271</v>
      </c>
      <c r="O1390" s="16"/>
      <c r="P1390" s="16"/>
      <c r="Q1390" s="16" t="s">
        <v>818</v>
      </c>
      <c r="R1390" s="16"/>
      <c r="S1390" s="16"/>
      <c r="T1390" s="16" t="s">
        <v>2640</v>
      </c>
      <c r="U1390" s="16"/>
      <c r="V1390" s="16" t="n">
        <v>0.096</v>
      </c>
      <c r="W1390" s="16"/>
      <c r="X1390" s="16" t="n">
        <v>6000</v>
      </c>
      <c r="Y1390" s="16"/>
      <c r="Z1390" s="16"/>
      <c r="AA1390" s="16"/>
      <c r="AB1390" s="16"/>
      <c r="AC1390" s="26" t="n">
        <v>6000</v>
      </c>
      <c r="AD1390" s="16"/>
      <c r="AE1390" s="16" t="n">
        <v>6000</v>
      </c>
      <c r="AF1390" s="26" t="n">
        <v>6000</v>
      </c>
      <c r="AG1390" s="16"/>
      <c r="AH1390" s="16"/>
      <c r="AI1390" s="16"/>
      <c r="AJ1390" s="9" t="n">
        <f aca="false">X1390*$V1390</f>
        <v>576</v>
      </c>
      <c r="AK1390" s="9" t="n">
        <f aca="false">Y1390*$V1390</f>
        <v>0</v>
      </c>
      <c r="AL1390" s="9" t="n">
        <f aca="false">Z1390*$V1390</f>
        <v>0</v>
      </c>
      <c r="AM1390" s="9" t="n">
        <f aca="false">AA1390*$V1390</f>
        <v>0</v>
      </c>
      <c r="AN1390" s="9" t="n">
        <f aca="false">AB1390*$V1390</f>
        <v>0</v>
      </c>
      <c r="AO1390" s="9" t="n">
        <f aca="false">AC1390*$V1390</f>
        <v>576</v>
      </c>
      <c r="AP1390" s="9" t="n">
        <f aca="false">AD1390*$V1390</f>
        <v>0</v>
      </c>
      <c r="AQ1390" s="9" t="n">
        <f aca="false">AE1390*$V1390</f>
        <v>576</v>
      </c>
      <c r="AR1390" s="9" t="n">
        <f aca="false">AF1390*$V1390</f>
        <v>576</v>
      </c>
      <c r="AS1390" s="9" t="n">
        <f aca="false">AG1390*$V1390</f>
        <v>0</v>
      </c>
      <c r="AT1390" s="9" t="n">
        <f aca="false">AH1390*$V1390</f>
        <v>0</v>
      </c>
      <c r="AU1390" s="9" t="n">
        <f aca="false">AI1390*$V1390</f>
        <v>0</v>
      </c>
      <c r="AV1390" s="9" t="n">
        <f aca="false">SUM(X1390:AI1390)/1000</f>
        <v>24</v>
      </c>
      <c r="AW1390" s="9" t="n">
        <f aca="false">SUM(AJ1390:AU1390)</f>
        <v>2304</v>
      </c>
      <c r="AX1390" s="9" t="n">
        <f aca="false">IF(D1390="INR",AW1390/88.24,AW1390)/1000000</f>
        <v>0.002304</v>
      </c>
    </row>
    <row r="1391" s="2" customFormat="true" ht="16.4" hidden="false" customHeight="false" outlineLevel="0" collapsed="false">
      <c r="A1391" s="16" t="s">
        <v>2641</v>
      </c>
      <c r="B1391" s="16" t="n">
        <v>5</v>
      </c>
      <c r="C1391" s="16"/>
      <c r="D1391" s="16" t="s">
        <v>102</v>
      </c>
      <c r="E1391" s="16" t="s">
        <v>51</v>
      </c>
      <c r="F1391" s="16" t="s">
        <v>267</v>
      </c>
      <c r="G1391" s="16" t="s">
        <v>1825</v>
      </c>
      <c r="H1391" s="16" t="s">
        <v>1826</v>
      </c>
      <c r="I1391" s="16" t="s">
        <v>105</v>
      </c>
      <c r="J1391" s="16" t="s">
        <v>891</v>
      </c>
      <c r="K1391" s="16" t="s">
        <v>1826</v>
      </c>
      <c r="L1391" s="16" t="s">
        <v>105</v>
      </c>
      <c r="M1391" s="16" t="s">
        <v>891</v>
      </c>
      <c r="N1391" s="16" t="s">
        <v>271</v>
      </c>
      <c r="O1391" s="16" t="s">
        <v>94</v>
      </c>
      <c r="P1391" s="16" t="s">
        <v>348</v>
      </c>
      <c r="Q1391" s="16" t="s">
        <v>348</v>
      </c>
      <c r="R1391" s="16" t="s">
        <v>800</v>
      </c>
      <c r="S1391" s="16" t="s">
        <v>87</v>
      </c>
      <c r="T1391" s="16" t="s">
        <v>2642</v>
      </c>
      <c r="U1391" s="26" t="s">
        <v>73</v>
      </c>
      <c r="V1391" s="16" t="n">
        <v>0.02</v>
      </c>
      <c r="W1391" s="16" t="n">
        <v>0.01909</v>
      </c>
      <c r="X1391" s="16"/>
      <c r="Y1391" s="16" t="n">
        <v>6000</v>
      </c>
      <c r="Z1391" s="16"/>
      <c r="AA1391" s="16" t="n">
        <v>6000</v>
      </c>
      <c r="AB1391" s="16"/>
      <c r="AC1391" s="16" t="n">
        <v>6000</v>
      </c>
      <c r="AD1391" s="16"/>
      <c r="AE1391" s="16"/>
      <c r="AF1391" s="16"/>
      <c r="AG1391" s="16"/>
      <c r="AH1391" s="16"/>
      <c r="AI1391" s="16" t="n">
        <v>6000</v>
      </c>
      <c r="AJ1391" s="9" t="n">
        <f aca="false">X1391*$V1391</f>
        <v>0</v>
      </c>
      <c r="AK1391" s="9" t="n">
        <f aca="false">Y1391*$V1391</f>
        <v>120</v>
      </c>
      <c r="AL1391" s="9" t="n">
        <f aca="false">Z1391*$V1391</f>
        <v>0</v>
      </c>
      <c r="AM1391" s="9" t="n">
        <f aca="false">AA1391*$V1391</f>
        <v>120</v>
      </c>
      <c r="AN1391" s="9" t="n">
        <f aca="false">AB1391*$V1391</f>
        <v>0</v>
      </c>
      <c r="AO1391" s="9" t="n">
        <f aca="false">AC1391*$V1391</f>
        <v>120</v>
      </c>
      <c r="AP1391" s="9" t="n">
        <f aca="false">AD1391*$V1391</f>
        <v>0</v>
      </c>
      <c r="AQ1391" s="9" t="n">
        <f aca="false">AE1391*$V1391</f>
        <v>0</v>
      </c>
      <c r="AR1391" s="9" t="n">
        <f aca="false">AF1391*$V1391</f>
        <v>0</v>
      </c>
      <c r="AS1391" s="9" t="n">
        <f aca="false">AG1391*$V1391</f>
        <v>0</v>
      </c>
      <c r="AT1391" s="9" t="n">
        <f aca="false">AH1391*$V1391</f>
        <v>0</v>
      </c>
      <c r="AU1391" s="9" t="n">
        <f aca="false">AI1391*$V1391</f>
        <v>120</v>
      </c>
      <c r="AV1391" s="9" t="n">
        <f aca="false">SUM(X1391:AI1391)/1000</f>
        <v>24</v>
      </c>
      <c r="AW1391" s="9" t="n">
        <f aca="false">SUM(AJ1391:AU1391)</f>
        <v>480</v>
      </c>
      <c r="AX1391" s="9" t="n">
        <f aca="false">IF(D1391="INR",AW1391/88.24,AW1391)/1000000</f>
        <v>0.00048</v>
      </c>
    </row>
    <row r="1392" s="2" customFormat="true" ht="16.4" hidden="false" customHeight="false" outlineLevel="0" collapsed="false">
      <c r="A1392" s="16" t="s">
        <v>2643</v>
      </c>
      <c r="B1392" s="16" t="n">
        <v>5</v>
      </c>
      <c r="C1392" s="16"/>
      <c r="D1392" s="16" t="s">
        <v>102</v>
      </c>
      <c r="E1392" s="16" t="s">
        <v>51</v>
      </c>
      <c r="F1392" s="16" t="s">
        <v>267</v>
      </c>
      <c r="G1392" s="16" t="s">
        <v>1825</v>
      </c>
      <c r="H1392" s="16" t="s">
        <v>1826</v>
      </c>
      <c r="I1392" s="16" t="s">
        <v>105</v>
      </c>
      <c r="J1392" s="16" t="s">
        <v>891</v>
      </c>
      <c r="K1392" s="16" t="s">
        <v>1826</v>
      </c>
      <c r="L1392" s="16" t="s">
        <v>105</v>
      </c>
      <c r="M1392" s="16" t="s">
        <v>891</v>
      </c>
      <c r="N1392" s="16" t="s">
        <v>271</v>
      </c>
      <c r="O1392" s="16" t="s">
        <v>94</v>
      </c>
      <c r="P1392" s="16" t="s">
        <v>348</v>
      </c>
      <c r="Q1392" s="16" t="s">
        <v>348</v>
      </c>
      <c r="R1392" s="16" t="s">
        <v>800</v>
      </c>
      <c r="S1392" s="16" t="s">
        <v>87</v>
      </c>
      <c r="T1392" s="16" t="s">
        <v>2644</v>
      </c>
      <c r="U1392" s="16" t="s">
        <v>73</v>
      </c>
      <c r="V1392" s="16" t="n">
        <v>0.008</v>
      </c>
      <c r="W1392" s="16" t="n">
        <v>0.00589</v>
      </c>
      <c r="X1392" s="16" t="n">
        <v>6000</v>
      </c>
      <c r="Y1392" s="16" t="n">
        <v>6000</v>
      </c>
      <c r="Z1392" s="16"/>
      <c r="AA1392" s="16"/>
      <c r="AB1392" s="16"/>
      <c r="AC1392" s="16"/>
      <c r="AD1392" s="16"/>
      <c r="AE1392" s="16"/>
      <c r="AF1392" s="16"/>
      <c r="AG1392" s="16"/>
      <c r="AH1392" s="16" t="n">
        <v>6000</v>
      </c>
      <c r="AI1392" s="16" t="n">
        <v>6000</v>
      </c>
      <c r="AJ1392" s="9" t="n">
        <f aca="false">X1392*$V1392</f>
        <v>48</v>
      </c>
      <c r="AK1392" s="9" t="n">
        <f aca="false">Y1392*$V1392</f>
        <v>48</v>
      </c>
      <c r="AL1392" s="9" t="n">
        <f aca="false">Z1392*$V1392</f>
        <v>0</v>
      </c>
      <c r="AM1392" s="9" t="n">
        <f aca="false">AA1392*$V1392</f>
        <v>0</v>
      </c>
      <c r="AN1392" s="9" t="n">
        <f aca="false">AB1392*$V1392</f>
        <v>0</v>
      </c>
      <c r="AO1392" s="9" t="n">
        <f aca="false">AC1392*$V1392</f>
        <v>0</v>
      </c>
      <c r="AP1392" s="9" t="n">
        <f aca="false">AD1392*$V1392</f>
        <v>0</v>
      </c>
      <c r="AQ1392" s="9" t="n">
        <f aca="false">AE1392*$V1392</f>
        <v>0</v>
      </c>
      <c r="AR1392" s="9" t="n">
        <f aca="false">AF1392*$V1392</f>
        <v>0</v>
      </c>
      <c r="AS1392" s="9" t="n">
        <f aca="false">AG1392*$V1392</f>
        <v>0</v>
      </c>
      <c r="AT1392" s="9" t="n">
        <f aca="false">AH1392*$V1392</f>
        <v>48</v>
      </c>
      <c r="AU1392" s="9" t="n">
        <f aca="false">AI1392*$V1392</f>
        <v>48</v>
      </c>
      <c r="AV1392" s="9" t="n">
        <f aca="false">SUM(X1392:AI1392)/1000</f>
        <v>24</v>
      </c>
      <c r="AW1392" s="9" t="n">
        <f aca="false">SUM(AJ1392:AU1392)</f>
        <v>192</v>
      </c>
      <c r="AX1392" s="9" t="n">
        <f aca="false">IF(D1392="INR",AW1392/88.24,AW1392)/1000000</f>
        <v>0.000192</v>
      </c>
    </row>
    <row r="1393" s="2" customFormat="true" ht="14.25" hidden="false" customHeight="false" outlineLevel="0" collapsed="false">
      <c r="A1393" s="12" t="s">
        <v>2645</v>
      </c>
      <c r="B1393" s="16" t="n">
        <v>5</v>
      </c>
      <c r="C1393" s="15"/>
      <c r="D1393" s="16" t="s">
        <v>102</v>
      </c>
      <c r="E1393" s="16" t="s">
        <v>51</v>
      </c>
      <c r="F1393" s="16" t="s">
        <v>267</v>
      </c>
      <c r="G1393" s="16" t="s">
        <v>1825</v>
      </c>
      <c r="H1393" s="16" t="s">
        <v>1826</v>
      </c>
      <c r="I1393" s="16" t="s">
        <v>105</v>
      </c>
      <c r="J1393" s="16" t="s">
        <v>891</v>
      </c>
      <c r="K1393" s="16" t="s">
        <v>1826</v>
      </c>
      <c r="L1393" s="16" t="s">
        <v>105</v>
      </c>
      <c r="M1393" s="16" t="s">
        <v>891</v>
      </c>
      <c r="N1393" s="16" t="s">
        <v>271</v>
      </c>
      <c r="O1393" s="16" t="s">
        <v>94</v>
      </c>
      <c r="P1393" s="16" t="s">
        <v>348</v>
      </c>
      <c r="Q1393" s="16" t="s">
        <v>348</v>
      </c>
      <c r="R1393" s="16" t="s">
        <v>800</v>
      </c>
      <c r="S1393" s="16" t="s">
        <v>87</v>
      </c>
      <c r="T1393" s="16" t="s">
        <v>2646</v>
      </c>
      <c r="U1393" s="16" t="s">
        <v>73</v>
      </c>
      <c r="V1393" s="16" t="n">
        <v>0.036</v>
      </c>
      <c r="W1393" s="16" t="n">
        <v>0.03075</v>
      </c>
      <c r="X1393" s="16" t="n">
        <v>7000</v>
      </c>
      <c r="Y1393" s="16"/>
      <c r="Z1393" s="16"/>
      <c r="AA1393" s="16"/>
      <c r="AB1393" s="16"/>
      <c r="AC1393" s="16"/>
      <c r="AD1393" s="16"/>
      <c r="AE1393" s="16"/>
      <c r="AF1393" s="16"/>
      <c r="AG1393" s="16" t="n">
        <v>7000</v>
      </c>
      <c r="AH1393" s="16" t="n">
        <v>7000</v>
      </c>
      <c r="AI1393" s="16" t="n">
        <v>0</v>
      </c>
      <c r="AJ1393" s="9" t="n">
        <f aca="false">X1393*$V1393</f>
        <v>252</v>
      </c>
      <c r="AK1393" s="9" t="n">
        <f aca="false">Y1393*$V1393</f>
        <v>0</v>
      </c>
      <c r="AL1393" s="9" t="n">
        <f aca="false">Z1393*$V1393</f>
        <v>0</v>
      </c>
      <c r="AM1393" s="9" t="n">
        <f aca="false">AA1393*$V1393</f>
        <v>0</v>
      </c>
      <c r="AN1393" s="9" t="n">
        <f aca="false">AB1393*$V1393</f>
        <v>0</v>
      </c>
      <c r="AO1393" s="9" t="n">
        <f aca="false">AC1393*$V1393</f>
        <v>0</v>
      </c>
      <c r="AP1393" s="9" t="n">
        <f aca="false">AD1393*$V1393</f>
        <v>0</v>
      </c>
      <c r="AQ1393" s="9" t="n">
        <f aca="false">AE1393*$V1393</f>
        <v>0</v>
      </c>
      <c r="AR1393" s="9" t="n">
        <f aca="false">AF1393*$V1393</f>
        <v>0</v>
      </c>
      <c r="AS1393" s="9" t="n">
        <f aca="false">AG1393*$V1393</f>
        <v>252</v>
      </c>
      <c r="AT1393" s="9" t="n">
        <f aca="false">AH1393*$V1393</f>
        <v>252</v>
      </c>
      <c r="AU1393" s="9" t="n">
        <f aca="false">AI1393*$V1393</f>
        <v>0</v>
      </c>
      <c r="AV1393" s="9" t="n">
        <f aca="false">SUM(X1393:AI1393)/1000</f>
        <v>21</v>
      </c>
      <c r="AW1393" s="9" t="n">
        <f aca="false">SUM(AJ1393:AU1393)</f>
        <v>756</v>
      </c>
      <c r="AX1393" s="9" t="n">
        <f aca="false">IF(D1393="INR",AW1393/88.24,AW1393)/1000000</f>
        <v>0.000756</v>
      </c>
    </row>
    <row r="1394" s="2" customFormat="true" ht="14.25" hidden="false" customHeight="false" outlineLevel="0" collapsed="false">
      <c r="A1394" s="12" t="s">
        <v>2647</v>
      </c>
      <c r="B1394" s="16" t="n">
        <v>5</v>
      </c>
      <c r="C1394" s="15"/>
      <c r="D1394" s="16" t="s">
        <v>102</v>
      </c>
      <c r="E1394" s="16" t="s">
        <v>51</v>
      </c>
      <c r="F1394" s="16" t="s">
        <v>267</v>
      </c>
      <c r="G1394" s="16" t="s">
        <v>1825</v>
      </c>
      <c r="H1394" s="16" t="s">
        <v>1826</v>
      </c>
      <c r="I1394" s="16" t="s">
        <v>105</v>
      </c>
      <c r="J1394" s="16" t="s">
        <v>891</v>
      </c>
      <c r="K1394" s="16"/>
      <c r="L1394" s="16" t="s">
        <v>105</v>
      </c>
      <c r="M1394" s="16" t="s">
        <v>891</v>
      </c>
      <c r="N1394" s="16" t="s">
        <v>271</v>
      </c>
      <c r="O1394" s="16" t="s">
        <v>94</v>
      </c>
      <c r="P1394" s="16" t="s">
        <v>329</v>
      </c>
      <c r="Q1394" s="16" t="s">
        <v>329</v>
      </c>
      <c r="R1394" s="16" t="s">
        <v>330</v>
      </c>
      <c r="S1394" s="16" t="s">
        <v>272</v>
      </c>
      <c r="T1394" s="16" t="s">
        <v>2442</v>
      </c>
      <c r="U1394" s="16" t="s">
        <v>73</v>
      </c>
      <c r="V1394" s="16" t="n">
        <v>0.46</v>
      </c>
      <c r="W1394" s="16" t="n">
        <v>0.38</v>
      </c>
      <c r="X1394" s="16" t="n">
        <v>4000</v>
      </c>
      <c r="Y1394" s="16"/>
      <c r="Z1394" s="16"/>
      <c r="AA1394" s="26"/>
      <c r="AB1394" s="16" t="n">
        <v>4000</v>
      </c>
      <c r="AC1394" s="16"/>
      <c r="AD1394" s="16"/>
      <c r="AE1394" s="16"/>
      <c r="AF1394" s="16" t="n">
        <v>4000</v>
      </c>
      <c r="AG1394" s="16"/>
      <c r="AH1394" s="16" t="n">
        <v>4000</v>
      </c>
      <c r="AI1394" s="16" t="n">
        <v>4000</v>
      </c>
      <c r="AJ1394" s="9" t="n">
        <f aca="false">X1394*$V1394</f>
        <v>1840</v>
      </c>
      <c r="AK1394" s="9" t="n">
        <f aca="false">Y1394*$V1394</f>
        <v>0</v>
      </c>
      <c r="AL1394" s="9" t="n">
        <f aca="false">Z1394*$V1394</f>
        <v>0</v>
      </c>
      <c r="AM1394" s="9" t="n">
        <f aca="false">AA1394*$V1394</f>
        <v>0</v>
      </c>
      <c r="AN1394" s="9" t="n">
        <f aca="false">AB1394*$V1394</f>
        <v>1840</v>
      </c>
      <c r="AO1394" s="9" t="n">
        <f aca="false">AC1394*$V1394</f>
        <v>0</v>
      </c>
      <c r="AP1394" s="9" t="n">
        <f aca="false">AD1394*$V1394</f>
        <v>0</v>
      </c>
      <c r="AQ1394" s="9" t="n">
        <f aca="false">AE1394*$V1394</f>
        <v>0</v>
      </c>
      <c r="AR1394" s="9" t="n">
        <f aca="false">AF1394*$V1394</f>
        <v>1840</v>
      </c>
      <c r="AS1394" s="9" t="n">
        <f aca="false">AG1394*$V1394</f>
        <v>0</v>
      </c>
      <c r="AT1394" s="9" t="n">
        <f aca="false">AH1394*$V1394</f>
        <v>1840</v>
      </c>
      <c r="AU1394" s="9" t="n">
        <f aca="false">AI1394*$V1394</f>
        <v>1840</v>
      </c>
      <c r="AV1394" s="9" t="n">
        <f aca="false">SUM(X1394:AI1394)/1000</f>
        <v>20</v>
      </c>
      <c r="AW1394" s="9" t="n">
        <f aca="false">SUM(AJ1394:AU1394)</f>
        <v>9200</v>
      </c>
      <c r="AX1394" s="9" t="n">
        <f aca="false">IF(D1394="INR",AW1394/88.24,AW1394)/1000000</f>
        <v>0.0092</v>
      </c>
    </row>
    <row r="1395" s="2" customFormat="true" ht="14.25" hidden="false" customHeight="false" outlineLevel="0" collapsed="false">
      <c r="A1395" s="12" t="s">
        <v>2648</v>
      </c>
      <c r="B1395" s="16" t="n">
        <v>5</v>
      </c>
      <c r="C1395" s="15"/>
      <c r="D1395" s="16" t="s">
        <v>50</v>
      </c>
      <c r="E1395" s="16" t="s">
        <v>51</v>
      </c>
      <c r="F1395" s="16" t="s">
        <v>243</v>
      </c>
      <c r="G1395" s="16" t="s">
        <v>244</v>
      </c>
      <c r="H1395" s="16" t="s">
        <v>245</v>
      </c>
      <c r="I1395" s="16" t="s">
        <v>55</v>
      </c>
      <c r="J1395" s="16" t="s">
        <v>56</v>
      </c>
      <c r="K1395" s="16"/>
      <c r="L1395" s="16" t="s">
        <v>55</v>
      </c>
      <c r="M1395" s="16" t="s">
        <v>56</v>
      </c>
      <c r="N1395" s="16" t="s">
        <v>93</v>
      </c>
      <c r="O1395" s="16" t="s">
        <v>246</v>
      </c>
      <c r="P1395" s="16" t="s">
        <v>308</v>
      </c>
      <c r="Q1395" s="16" t="s">
        <v>308</v>
      </c>
      <c r="R1395" s="16" t="s">
        <v>309</v>
      </c>
      <c r="S1395" s="16" t="s">
        <v>264</v>
      </c>
      <c r="T1395" s="16" t="s">
        <v>402</v>
      </c>
      <c r="U1395" s="16" t="s">
        <v>73</v>
      </c>
      <c r="V1395" s="16" t="n">
        <v>2.5</v>
      </c>
      <c r="W1395" s="16" t="n">
        <v>1.96</v>
      </c>
      <c r="X1395" s="22" t="n">
        <v>50000</v>
      </c>
      <c r="Y1395" s="16"/>
      <c r="Z1395" s="16"/>
      <c r="AA1395" s="16"/>
      <c r="AB1395" s="16" t="n">
        <v>50000</v>
      </c>
      <c r="AC1395" s="16"/>
      <c r="AD1395" s="16"/>
      <c r="AE1395" s="16"/>
      <c r="AF1395" s="16"/>
      <c r="AG1395" s="16"/>
      <c r="AH1395" s="16"/>
      <c r="AI1395" s="16"/>
      <c r="AJ1395" s="9" t="n">
        <f aca="false">X1395*$V1395</f>
        <v>125000</v>
      </c>
      <c r="AK1395" s="9" t="n">
        <f aca="false">Y1395*$V1395</f>
        <v>0</v>
      </c>
      <c r="AL1395" s="9" t="n">
        <f aca="false">Z1395*$V1395</f>
        <v>0</v>
      </c>
      <c r="AM1395" s="9" t="n">
        <f aca="false">AA1395*$V1395</f>
        <v>0</v>
      </c>
      <c r="AN1395" s="9" t="n">
        <f aca="false">AB1395*$V1395</f>
        <v>125000</v>
      </c>
      <c r="AO1395" s="9" t="n">
        <f aca="false">AC1395*$V1395</f>
        <v>0</v>
      </c>
      <c r="AP1395" s="9" t="n">
        <f aca="false">AD1395*$V1395</f>
        <v>0</v>
      </c>
      <c r="AQ1395" s="9" t="n">
        <f aca="false">AE1395*$V1395</f>
        <v>0</v>
      </c>
      <c r="AR1395" s="9" t="n">
        <f aca="false">AF1395*$V1395</f>
        <v>0</v>
      </c>
      <c r="AS1395" s="9" t="n">
        <f aca="false">AG1395*$V1395</f>
        <v>0</v>
      </c>
      <c r="AT1395" s="9" t="n">
        <f aca="false">AH1395*$V1395</f>
        <v>0</v>
      </c>
      <c r="AU1395" s="9" t="n">
        <f aca="false">AI1395*$V1395</f>
        <v>0</v>
      </c>
      <c r="AV1395" s="9" t="n">
        <f aca="false">SUM(X1395:AI1395)/1000</f>
        <v>100</v>
      </c>
      <c r="AW1395" s="9" t="n">
        <f aca="false">SUM(AJ1395:AU1395)</f>
        <v>250000</v>
      </c>
      <c r="AX1395" s="9" t="n">
        <f aca="false">IF(D1395="INR",AW1395/88.24,AW1395)/1000000</f>
        <v>0.00283318223028105</v>
      </c>
    </row>
    <row r="1396" s="2" customFormat="true" ht="14.25" hidden="false" customHeight="false" outlineLevel="0" collapsed="false">
      <c r="A1396" s="16"/>
      <c r="B1396" s="16" t="n">
        <v>1</v>
      </c>
      <c r="C1396" s="16"/>
      <c r="D1396" s="16" t="s">
        <v>50</v>
      </c>
      <c r="E1396" s="16" t="s">
        <v>51</v>
      </c>
      <c r="F1396" s="16" t="s">
        <v>267</v>
      </c>
      <c r="G1396" s="16" t="s">
        <v>1230</v>
      </c>
      <c r="H1396" s="16" t="s">
        <v>1231</v>
      </c>
      <c r="I1396" s="16" t="s">
        <v>55</v>
      </c>
      <c r="J1396" s="16" t="s">
        <v>100</v>
      </c>
      <c r="K1396" s="16"/>
      <c r="L1396" s="16" t="s">
        <v>55</v>
      </c>
      <c r="M1396" s="16" t="s">
        <v>100</v>
      </c>
      <c r="N1396" s="16" t="s">
        <v>271</v>
      </c>
      <c r="O1396" s="16"/>
      <c r="P1396" s="16" t="s">
        <v>59</v>
      </c>
      <c r="Q1396" s="16" t="s">
        <v>59</v>
      </c>
      <c r="R1396" s="16" t="s">
        <v>60</v>
      </c>
      <c r="S1396" s="16" t="s">
        <v>61</v>
      </c>
      <c r="T1396" s="26" t="s">
        <v>2649</v>
      </c>
      <c r="U1396" s="16" t="s">
        <v>63</v>
      </c>
      <c r="V1396" s="16" t="n">
        <v>280</v>
      </c>
      <c r="W1396" s="16" t="n">
        <v>2.57</v>
      </c>
      <c r="X1396" s="16" t="n">
        <v>2000</v>
      </c>
      <c r="Y1396" s="16"/>
      <c r="Z1396" s="16"/>
      <c r="AA1396" s="16" t="n">
        <v>2000</v>
      </c>
      <c r="AB1396" s="16"/>
      <c r="AC1396" s="16" t="n">
        <v>5000</v>
      </c>
      <c r="AD1396" s="16"/>
      <c r="AE1396" s="16"/>
      <c r="AF1396" s="16" t="n">
        <v>5000</v>
      </c>
      <c r="AG1396" s="16"/>
      <c r="AH1396" s="16"/>
      <c r="AI1396" s="16" t="n">
        <v>10000</v>
      </c>
      <c r="AJ1396" s="9" t="n">
        <f aca="false">X1396*$V1396</f>
        <v>560000</v>
      </c>
      <c r="AK1396" s="9" t="n">
        <f aca="false">Y1396*$V1396</f>
        <v>0</v>
      </c>
      <c r="AL1396" s="9" t="n">
        <f aca="false">Z1396*$V1396</f>
        <v>0</v>
      </c>
      <c r="AM1396" s="9" t="n">
        <f aca="false">AA1396*$V1396</f>
        <v>560000</v>
      </c>
      <c r="AN1396" s="9" t="n">
        <f aca="false">AB1396*$V1396</f>
        <v>0</v>
      </c>
      <c r="AO1396" s="9" t="n">
        <f aca="false">AC1396*$V1396</f>
        <v>1400000</v>
      </c>
      <c r="AP1396" s="9" t="n">
        <f aca="false">AD1396*$V1396</f>
        <v>0</v>
      </c>
      <c r="AQ1396" s="9" t="n">
        <f aca="false">AE1396*$V1396</f>
        <v>0</v>
      </c>
      <c r="AR1396" s="9" t="n">
        <f aca="false">AF1396*$V1396</f>
        <v>1400000</v>
      </c>
      <c r="AS1396" s="9" t="n">
        <f aca="false">AG1396*$V1396</f>
        <v>0</v>
      </c>
      <c r="AT1396" s="9" t="n">
        <f aca="false">AH1396*$V1396</f>
        <v>0</v>
      </c>
      <c r="AU1396" s="9" t="n">
        <f aca="false">AI1396*$V1396</f>
        <v>2800000</v>
      </c>
      <c r="AV1396" s="9" t="n">
        <f aca="false">SUM(X1396:AI1396)/1000</f>
        <v>24</v>
      </c>
      <c r="AW1396" s="9" t="n">
        <f aca="false">SUM(AJ1396:AU1396)</f>
        <v>6720000</v>
      </c>
      <c r="AX1396" s="9" t="n">
        <f aca="false">IF(D1396="INR",AW1396/88.24,AW1396)/1000000</f>
        <v>0.0761559383499547</v>
      </c>
    </row>
    <row r="1397" s="2" customFormat="true" ht="16.4" hidden="false" customHeight="false" outlineLevel="0" collapsed="false">
      <c r="A1397" s="16" t="s">
        <v>2650</v>
      </c>
      <c r="B1397" s="16" t="n">
        <v>5</v>
      </c>
      <c r="C1397" s="16"/>
      <c r="D1397" s="16" t="s">
        <v>102</v>
      </c>
      <c r="E1397" s="16" t="s">
        <v>51</v>
      </c>
      <c r="F1397" s="16" t="s">
        <v>267</v>
      </c>
      <c r="G1397" s="16" t="s">
        <v>1825</v>
      </c>
      <c r="H1397" s="16" t="s">
        <v>1826</v>
      </c>
      <c r="I1397" s="16" t="s">
        <v>105</v>
      </c>
      <c r="J1397" s="16" t="s">
        <v>891</v>
      </c>
      <c r="K1397" s="16"/>
      <c r="L1397" s="16" t="s">
        <v>105</v>
      </c>
      <c r="M1397" s="16" t="s">
        <v>891</v>
      </c>
      <c r="N1397" s="16" t="s">
        <v>271</v>
      </c>
      <c r="O1397" s="16" t="s">
        <v>94</v>
      </c>
      <c r="P1397" s="16" t="s">
        <v>85</v>
      </c>
      <c r="Q1397" s="16" t="s">
        <v>85</v>
      </c>
      <c r="R1397" s="16" t="s">
        <v>86</v>
      </c>
      <c r="S1397" s="16" t="s">
        <v>87</v>
      </c>
      <c r="T1397" s="16" t="s">
        <v>2651</v>
      </c>
      <c r="U1397" s="16" t="s">
        <v>73</v>
      </c>
      <c r="V1397" s="16" t="n">
        <v>0.06</v>
      </c>
      <c r="W1397" s="16" t="n">
        <v>0.0537</v>
      </c>
      <c r="X1397" s="16" t="n">
        <v>2000</v>
      </c>
      <c r="Y1397" s="16"/>
      <c r="Z1397" s="16"/>
      <c r="AA1397" s="16"/>
      <c r="AB1397" s="16"/>
      <c r="AC1397" s="16"/>
      <c r="AD1397" s="16" t="n">
        <v>2000</v>
      </c>
      <c r="AE1397" s="16"/>
      <c r="AF1397" s="16" t="n">
        <v>2000</v>
      </c>
      <c r="AG1397" s="16" t="n">
        <v>2000</v>
      </c>
      <c r="AH1397" s="16"/>
      <c r="AI1397" s="16"/>
      <c r="AJ1397" s="9" t="n">
        <f aca="false">X1397*$V1397</f>
        <v>120</v>
      </c>
      <c r="AK1397" s="9" t="n">
        <f aca="false">Y1397*$V1397</f>
        <v>0</v>
      </c>
      <c r="AL1397" s="9" t="n">
        <f aca="false">Z1397*$V1397</f>
        <v>0</v>
      </c>
      <c r="AM1397" s="9" t="n">
        <f aca="false">AA1397*$V1397</f>
        <v>0</v>
      </c>
      <c r="AN1397" s="9" t="n">
        <f aca="false">AB1397*$V1397</f>
        <v>0</v>
      </c>
      <c r="AO1397" s="9" t="n">
        <f aca="false">AC1397*$V1397</f>
        <v>0</v>
      </c>
      <c r="AP1397" s="9" t="n">
        <f aca="false">AD1397*$V1397</f>
        <v>120</v>
      </c>
      <c r="AQ1397" s="9" t="n">
        <f aca="false">AE1397*$V1397</f>
        <v>0</v>
      </c>
      <c r="AR1397" s="9" t="n">
        <f aca="false">AF1397*$V1397</f>
        <v>120</v>
      </c>
      <c r="AS1397" s="9" t="n">
        <f aca="false">AG1397*$V1397</f>
        <v>120</v>
      </c>
      <c r="AT1397" s="9" t="n">
        <f aca="false">AH1397*$V1397</f>
        <v>0</v>
      </c>
      <c r="AU1397" s="9" t="n">
        <f aca="false">AI1397*$V1397</f>
        <v>0</v>
      </c>
      <c r="AV1397" s="9" t="n">
        <f aca="false">SUM(X1397:AI1397)/1000</f>
        <v>8</v>
      </c>
      <c r="AW1397" s="9" t="n">
        <f aca="false">SUM(AJ1397:AU1397)</f>
        <v>480</v>
      </c>
      <c r="AX1397" s="9" t="n">
        <f aca="false">IF(D1397="INR",AW1397/88.24,AW1397)/1000000</f>
        <v>0.00048</v>
      </c>
    </row>
    <row r="1398" s="2" customFormat="true" ht="14.25" hidden="false" customHeight="false" outlineLevel="0" collapsed="false">
      <c r="A1398" s="9"/>
      <c r="B1398" s="9" t="n">
        <v>1</v>
      </c>
      <c r="C1398" s="10"/>
      <c r="D1398" s="9" t="s">
        <v>50</v>
      </c>
      <c r="E1398" s="9" t="s">
        <v>51</v>
      </c>
      <c r="F1398" s="9" t="s">
        <v>267</v>
      </c>
      <c r="G1398" s="9" t="s">
        <v>1230</v>
      </c>
      <c r="H1398" s="9" t="s">
        <v>1231</v>
      </c>
      <c r="I1398" s="9" t="s">
        <v>55</v>
      </c>
      <c r="J1398" s="9" t="s">
        <v>100</v>
      </c>
      <c r="K1398" s="9"/>
      <c r="L1398" s="9" t="s">
        <v>55</v>
      </c>
      <c r="M1398" s="9" t="s">
        <v>100</v>
      </c>
      <c r="N1398" s="16" t="s">
        <v>271</v>
      </c>
      <c r="O1398" s="9"/>
      <c r="P1398" s="9"/>
      <c r="Q1398" s="9" t="s">
        <v>85</v>
      </c>
      <c r="R1398" s="9"/>
      <c r="S1398" s="9"/>
      <c r="T1398" s="9" t="s">
        <v>1520</v>
      </c>
      <c r="U1398" s="9" t="s">
        <v>63</v>
      </c>
      <c r="V1398" s="9" t="n">
        <v>13.2</v>
      </c>
      <c r="W1398" s="9"/>
      <c r="X1398" s="9"/>
      <c r="Y1398" s="9"/>
      <c r="Z1398" s="9"/>
      <c r="AA1398" s="9" t="n">
        <v>2000</v>
      </c>
      <c r="AB1398" s="9"/>
      <c r="AC1398" s="9" t="n">
        <v>2000</v>
      </c>
      <c r="AD1398" s="9"/>
      <c r="AE1398" s="9" t="n">
        <v>2000</v>
      </c>
      <c r="AF1398" s="9"/>
      <c r="AG1398" s="9" t="n">
        <v>2000</v>
      </c>
      <c r="AH1398" s="9"/>
      <c r="AI1398" s="9" t="n">
        <v>2000</v>
      </c>
      <c r="AJ1398" s="9" t="n">
        <f aca="false">X1398*$V1398</f>
        <v>0</v>
      </c>
      <c r="AK1398" s="9" t="n">
        <f aca="false">Y1398*$V1398</f>
        <v>0</v>
      </c>
      <c r="AL1398" s="9" t="n">
        <f aca="false">Z1398*$V1398</f>
        <v>0</v>
      </c>
      <c r="AM1398" s="9" t="n">
        <f aca="false">AA1398*$V1398</f>
        <v>26400</v>
      </c>
      <c r="AN1398" s="9" t="n">
        <f aca="false">AB1398*$V1398</f>
        <v>0</v>
      </c>
      <c r="AO1398" s="9" t="n">
        <f aca="false">AC1398*$V1398</f>
        <v>26400</v>
      </c>
      <c r="AP1398" s="9" t="n">
        <f aca="false">AD1398*$V1398</f>
        <v>0</v>
      </c>
      <c r="AQ1398" s="9" t="n">
        <f aca="false">AE1398*$V1398</f>
        <v>26400</v>
      </c>
      <c r="AR1398" s="9" t="n">
        <f aca="false">AF1398*$V1398</f>
        <v>0</v>
      </c>
      <c r="AS1398" s="9" t="n">
        <f aca="false">AG1398*$V1398</f>
        <v>26400</v>
      </c>
      <c r="AT1398" s="9" t="n">
        <f aca="false">AH1398*$V1398</f>
        <v>0</v>
      </c>
      <c r="AU1398" s="9" t="n">
        <f aca="false">AI1398*$V1398</f>
        <v>26400</v>
      </c>
      <c r="AV1398" s="9" t="n">
        <f aca="false">SUM(X1398:AI1398)/1000</f>
        <v>10</v>
      </c>
      <c r="AW1398" s="9" t="n">
        <f aca="false">SUM(AJ1398:AU1398)</f>
        <v>132000</v>
      </c>
      <c r="AX1398" s="9" t="n">
        <f aca="false">IF(D1398="INR",AW1398/88.24,AW1398)/1000000</f>
        <v>0.0014959202175884</v>
      </c>
    </row>
    <row r="1399" s="2" customFormat="true" ht="14.25" hidden="false" customHeight="false" outlineLevel="0" collapsed="false">
      <c r="A1399" s="12" t="s">
        <v>2652</v>
      </c>
      <c r="B1399" s="16" t="n">
        <v>5</v>
      </c>
      <c r="C1399" s="15"/>
      <c r="D1399" s="16" t="s">
        <v>50</v>
      </c>
      <c r="E1399" s="16" t="s">
        <v>51</v>
      </c>
      <c r="F1399" s="16" t="s">
        <v>267</v>
      </c>
      <c r="G1399" s="16" t="s">
        <v>2653</v>
      </c>
      <c r="H1399" s="16" t="s">
        <v>2654</v>
      </c>
      <c r="I1399" s="16" t="s">
        <v>105</v>
      </c>
      <c r="J1399" s="16" t="s">
        <v>900</v>
      </c>
      <c r="K1399" s="16"/>
      <c r="L1399" s="16" t="s">
        <v>105</v>
      </c>
      <c r="M1399" s="16" t="s">
        <v>900</v>
      </c>
      <c r="N1399" s="16" t="s">
        <v>271</v>
      </c>
      <c r="O1399" s="16" t="s">
        <v>94</v>
      </c>
      <c r="P1399" s="16" t="s">
        <v>110</v>
      </c>
      <c r="Q1399" s="16" t="s">
        <v>110</v>
      </c>
      <c r="R1399" s="16" t="s">
        <v>137</v>
      </c>
      <c r="S1399" s="16" t="s">
        <v>272</v>
      </c>
      <c r="T1399" s="16" t="s">
        <v>974</v>
      </c>
      <c r="U1399" s="16" t="s">
        <v>73</v>
      </c>
      <c r="V1399" s="16" t="n">
        <v>55</v>
      </c>
      <c r="W1399" s="16" t="n">
        <v>0.3</v>
      </c>
      <c r="X1399" s="22" t="n">
        <v>2000</v>
      </c>
      <c r="Y1399" s="22"/>
      <c r="Z1399" s="22"/>
      <c r="AA1399" s="22"/>
      <c r="AB1399" s="22" t="n">
        <v>2000</v>
      </c>
      <c r="AC1399" s="22"/>
      <c r="AD1399" s="22"/>
      <c r="AE1399" s="22"/>
      <c r="AF1399" s="22" t="n">
        <v>2000</v>
      </c>
      <c r="AG1399" s="22"/>
      <c r="AH1399" s="22"/>
      <c r="AI1399" s="22"/>
      <c r="AJ1399" s="9" t="n">
        <f aca="false">X1399*$V1399</f>
        <v>110000</v>
      </c>
      <c r="AK1399" s="9" t="n">
        <f aca="false">Y1399*$V1399</f>
        <v>0</v>
      </c>
      <c r="AL1399" s="9" t="n">
        <f aca="false">Z1399*$V1399</f>
        <v>0</v>
      </c>
      <c r="AM1399" s="9" t="n">
        <f aca="false">AA1399*$V1399</f>
        <v>0</v>
      </c>
      <c r="AN1399" s="9" t="n">
        <f aca="false">AB1399*$V1399</f>
        <v>110000</v>
      </c>
      <c r="AO1399" s="9" t="n">
        <f aca="false">AC1399*$V1399</f>
        <v>0</v>
      </c>
      <c r="AP1399" s="9" t="n">
        <f aca="false">AD1399*$V1399</f>
        <v>0</v>
      </c>
      <c r="AQ1399" s="9" t="n">
        <f aca="false">AE1399*$V1399</f>
        <v>0</v>
      </c>
      <c r="AR1399" s="9" t="n">
        <f aca="false">AF1399*$V1399</f>
        <v>110000</v>
      </c>
      <c r="AS1399" s="9" t="n">
        <f aca="false">AG1399*$V1399</f>
        <v>0</v>
      </c>
      <c r="AT1399" s="9" t="n">
        <f aca="false">AH1399*$V1399</f>
        <v>0</v>
      </c>
      <c r="AU1399" s="9" t="n">
        <f aca="false">AI1399*$V1399</f>
        <v>0</v>
      </c>
      <c r="AV1399" s="9" t="n">
        <f aca="false">SUM(X1399:AI1399)/1000</f>
        <v>6</v>
      </c>
      <c r="AW1399" s="9" t="n">
        <f aca="false">SUM(AJ1399:AU1399)</f>
        <v>330000</v>
      </c>
      <c r="AX1399" s="9" t="n">
        <f aca="false">IF(D1399="INR",AW1399/88.24,AW1399)/1000000</f>
        <v>0.00373980054397099</v>
      </c>
    </row>
    <row r="1400" s="2" customFormat="true" ht="16.4" hidden="false" customHeight="false" outlineLevel="0" collapsed="false">
      <c r="A1400" s="16" t="s">
        <v>2655</v>
      </c>
      <c r="B1400" s="16" t="n">
        <v>5</v>
      </c>
      <c r="C1400" s="16"/>
      <c r="D1400" s="16" t="s">
        <v>102</v>
      </c>
      <c r="E1400" s="16" t="s">
        <v>51</v>
      </c>
      <c r="F1400" s="16" t="s">
        <v>267</v>
      </c>
      <c r="G1400" s="16" t="s">
        <v>1825</v>
      </c>
      <c r="H1400" s="16" t="s">
        <v>1826</v>
      </c>
      <c r="I1400" s="16" t="s">
        <v>105</v>
      </c>
      <c r="J1400" s="16" t="s">
        <v>891</v>
      </c>
      <c r="K1400" s="16"/>
      <c r="L1400" s="16" t="s">
        <v>105</v>
      </c>
      <c r="M1400" s="16" t="s">
        <v>891</v>
      </c>
      <c r="N1400" s="16" t="s">
        <v>271</v>
      </c>
      <c r="O1400" s="16" t="s">
        <v>94</v>
      </c>
      <c r="P1400" s="16" t="s">
        <v>85</v>
      </c>
      <c r="Q1400" s="16" t="s">
        <v>85</v>
      </c>
      <c r="R1400" s="16" t="s">
        <v>86</v>
      </c>
      <c r="S1400" s="16" t="s">
        <v>87</v>
      </c>
      <c r="T1400" s="16" t="s">
        <v>2656</v>
      </c>
      <c r="U1400" s="16" t="s">
        <v>73</v>
      </c>
      <c r="V1400" s="17" t="n">
        <v>0.06</v>
      </c>
      <c r="W1400" s="16" t="n">
        <v>0.057</v>
      </c>
      <c r="X1400" s="16" t="n">
        <v>1000</v>
      </c>
      <c r="Y1400" s="16"/>
      <c r="Z1400" s="16"/>
      <c r="AA1400" s="16"/>
      <c r="AB1400" s="16"/>
      <c r="AC1400" s="16" t="n">
        <v>1000</v>
      </c>
      <c r="AD1400" s="16"/>
      <c r="AE1400" s="16"/>
      <c r="AF1400" s="16"/>
      <c r="AG1400" s="16" t="n">
        <v>1000</v>
      </c>
      <c r="AH1400" s="16" t="n">
        <v>1000</v>
      </c>
      <c r="AI1400" s="16" t="n">
        <v>1000</v>
      </c>
      <c r="AJ1400" s="9" t="n">
        <f aca="false">X1400*$V1400</f>
        <v>60</v>
      </c>
      <c r="AK1400" s="9" t="n">
        <f aca="false">Y1400*$V1400</f>
        <v>0</v>
      </c>
      <c r="AL1400" s="9" t="n">
        <f aca="false">Z1400*$V1400</f>
        <v>0</v>
      </c>
      <c r="AM1400" s="9" t="n">
        <f aca="false">AA1400*$V1400</f>
        <v>0</v>
      </c>
      <c r="AN1400" s="9" t="n">
        <f aca="false">AB1400*$V1400</f>
        <v>0</v>
      </c>
      <c r="AO1400" s="9" t="n">
        <f aca="false">AC1400*$V1400</f>
        <v>60</v>
      </c>
      <c r="AP1400" s="9" t="n">
        <f aca="false">AD1400*$V1400</f>
        <v>0</v>
      </c>
      <c r="AQ1400" s="9" t="n">
        <f aca="false">AE1400*$V1400</f>
        <v>0</v>
      </c>
      <c r="AR1400" s="9" t="n">
        <f aca="false">AF1400*$V1400</f>
        <v>0</v>
      </c>
      <c r="AS1400" s="9" t="n">
        <f aca="false">AG1400*$V1400</f>
        <v>60</v>
      </c>
      <c r="AT1400" s="9" t="n">
        <f aca="false">AH1400*$V1400</f>
        <v>60</v>
      </c>
      <c r="AU1400" s="9" t="n">
        <f aca="false">AI1400*$V1400</f>
        <v>60</v>
      </c>
      <c r="AV1400" s="9" t="n">
        <f aca="false">SUM(X1400:AI1400)/1000</f>
        <v>5</v>
      </c>
      <c r="AW1400" s="9" t="n">
        <f aca="false">SUM(AJ1400:AU1400)</f>
        <v>300</v>
      </c>
      <c r="AX1400" s="9" t="n">
        <f aca="false">IF(D1400="INR",AW1400/88.24,AW1400)/1000000</f>
        <v>0.0003</v>
      </c>
    </row>
    <row r="1401" s="2" customFormat="true" ht="16.4" hidden="false" customHeight="false" outlineLevel="0" collapsed="false">
      <c r="A1401" s="9" t="s">
        <v>2657</v>
      </c>
      <c r="B1401" s="9" t="n">
        <v>5</v>
      </c>
      <c r="C1401" s="10"/>
      <c r="D1401" s="9" t="s">
        <v>102</v>
      </c>
      <c r="E1401" s="9" t="s">
        <v>51</v>
      </c>
      <c r="F1401" s="9" t="s">
        <v>267</v>
      </c>
      <c r="G1401" s="9" t="s">
        <v>1825</v>
      </c>
      <c r="H1401" s="9" t="s">
        <v>1826</v>
      </c>
      <c r="I1401" s="9" t="s">
        <v>105</v>
      </c>
      <c r="J1401" s="9" t="s">
        <v>891</v>
      </c>
      <c r="K1401" s="9"/>
      <c r="L1401" s="9" t="s">
        <v>105</v>
      </c>
      <c r="M1401" s="9" t="s">
        <v>891</v>
      </c>
      <c r="N1401" s="9" t="s">
        <v>271</v>
      </c>
      <c r="O1401" s="9" t="s">
        <v>94</v>
      </c>
      <c r="P1401" s="9" t="s">
        <v>85</v>
      </c>
      <c r="Q1401" s="9" t="s">
        <v>85</v>
      </c>
      <c r="R1401" s="9" t="s">
        <v>86</v>
      </c>
      <c r="S1401" s="9" t="s">
        <v>87</v>
      </c>
      <c r="T1401" s="9" t="s">
        <v>2658</v>
      </c>
      <c r="U1401" s="9" t="s">
        <v>73</v>
      </c>
      <c r="V1401" s="9" t="n">
        <v>0.14</v>
      </c>
      <c r="W1401" s="9" t="n">
        <v>0.127</v>
      </c>
      <c r="X1401" s="9" t="n">
        <v>1000</v>
      </c>
      <c r="Y1401" s="9" t="n">
        <v>1000</v>
      </c>
      <c r="Z1401" s="9" t="n">
        <v>1000</v>
      </c>
      <c r="AA1401" s="9"/>
      <c r="AB1401" s="9"/>
      <c r="AC1401" s="9"/>
      <c r="AD1401" s="9"/>
      <c r="AE1401" s="9"/>
      <c r="AF1401" s="9" t="n">
        <v>1000</v>
      </c>
      <c r="AG1401" s="9"/>
      <c r="AH1401" s="9"/>
      <c r="AI1401" s="9"/>
      <c r="AJ1401" s="9" t="n">
        <f aca="false">X1401*$V1401</f>
        <v>140</v>
      </c>
      <c r="AK1401" s="9" t="n">
        <f aca="false">Y1401*$V1401</f>
        <v>140</v>
      </c>
      <c r="AL1401" s="9" t="n">
        <f aca="false">Z1401*$V1401</f>
        <v>140</v>
      </c>
      <c r="AM1401" s="9" t="n">
        <f aca="false">AA1401*$V1401</f>
        <v>0</v>
      </c>
      <c r="AN1401" s="9" t="n">
        <f aca="false">AB1401*$V1401</f>
        <v>0</v>
      </c>
      <c r="AO1401" s="9" t="n">
        <f aca="false">AC1401*$V1401</f>
        <v>0</v>
      </c>
      <c r="AP1401" s="9" t="n">
        <f aca="false">AD1401*$V1401</f>
        <v>0</v>
      </c>
      <c r="AQ1401" s="9" t="n">
        <f aca="false">AE1401*$V1401</f>
        <v>0</v>
      </c>
      <c r="AR1401" s="9" t="n">
        <f aca="false">AF1401*$V1401</f>
        <v>140</v>
      </c>
      <c r="AS1401" s="9" t="n">
        <f aca="false">AG1401*$V1401</f>
        <v>0</v>
      </c>
      <c r="AT1401" s="9" t="n">
        <f aca="false">AH1401*$V1401</f>
        <v>0</v>
      </c>
      <c r="AU1401" s="9" t="n">
        <f aca="false">AI1401*$V1401</f>
        <v>0</v>
      </c>
      <c r="AV1401" s="9" t="n">
        <f aca="false">SUM(X1401:AI1401)/1000</f>
        <v>4</v>
      </c>
      <c r="AW1401" s="9" t="n">
        <f aca="false">SUM(AJ1401:AU1401)</f>
        <v>560</v>
      </c>
      <c r="AX1401" s="9" t="n">
        <f aca="false">IF(D1401="INR",AW1401/88.24,AW1401)/1000000</f>
        <v>0.00056</v>
      </c>
    </row>
    <row r="1402" s="2" customFormat="true" ht="16.4" hidden="false" customHeight="false" outlineLevel="0" collapsed="false">
      <c r="A1402" s="16" t="s">
        <v>2659</v>
      </c>
      <c r="B1402" s="16" t="n">
        <v>5</v>
      </c>
      <c r="C1402" s="16"/>
      <c r="D1402" s="16" t="s">
        <v>102</v>
      </c>
      <c r="E1402" s="16" t="s">
        <v>51</v>
      </c>
      <c r="F1402" s="16" t="s">
        <v>267</v>
      </c>
      <c r="G1402" s="16" t="s">
        <v>1825</v>
      </c>
      <c r="H1402" s="16" t="s">
        <v>1826</v>
      </c>
      <c r="I1402" s="16" t="s">
        <v>105</v>
      </c>
      <c r="J1402" s="16" t="s">
        <v>891</v>
      </c>
      <c r="K1402" s="16"/>
      <c r="L1402" s="16" t="s">
        <v>105</v>
      </c>
      <c r="M1402" s="16" t="s">
        <v>891</v>
      </c>
      <c r="N1402" s="16" t="s">
        <v>271</v>
      </c>
      <c r="O1402" s="16" t="s">
        <v>94</v>
      </c>
      <c r="P1402" s="16" t="s">
        <v>85</v>
      </c>
      <c r="Q1402" s="16" t="s">
        <v>85</v>
      </c>
      <c r="R1402" s="16" t="s">
        <v>86</v>
      </c>
      <c r="S1402" s="16" t="s">
        <v>87</v>
      </c>
      <c r="T1402" s="26" t="s">
        <v>2660</v>
      </c>
      <c r="U1402" s="16" t="s">
        <v>73</v>
      </c>
      <c r="V1402" s="16" t="n">
        <v>0.1</v>
      </c>
      <c r="W1402" s="16" t="n">
        <v>0.086</v>
      </c>
      <c r="X1402" s="16" t="n">
        <v>1000</v>
      </c>
      <c r="Y1402" s="16" t="n">
        <v>1000</v>
      </c>
      <c r="Z1402" s="16"/>
      <c r="AA1402" s="16"/>
      <c r="AB1402" s="16"/>
      <c r="AC1402" s="16" t="n">
        <v>1000</v>
      </c>
      <c r="AD1402" s="16"/>
      <c r="AE1402" s="16"/>
      <c r="AF1402" s="16"/>
      <c r="AG1402" s="16"/>
      <c r="AH1402" s="16" t="n">
        <v>1000</v>
      </c>
      <c r="AI1402" s="16"/>
      <c r="AJ1402" s="9" t="n">
        <f aca="false">X1402*$V1402</f>
        <v>100</v>
      </c>
      <c r="AK1402" s="9" t="n">
        <f aca="false">Y1402*$V1402</f>
        <v>100</v>
      </c>
      <c r="AL1402" s="9" t="n">
        <f aca="false">Z1402*$V1402</f>
        <v>0</v>
      </c>
      <c r="AM1402" s="9" t="n">
        <f aca="false">AA1402*$V1402</f>
        <v>0</v>
      </c>
      <c r="AN1402" s="9" t="n">
        <f aca="false">AB1402*$V1402</f>
        <v>0</v>
      </c>
      <c r="AO1402" s="9" t="n">
        <f aca="false">AC1402*$V1402</f>
        <v>100</v>
      </c>
      <c r="AP1402" s="9" t="n">
        <f aca="false">AD1402*$V1402</f>
        <v>0</v>
      </c>
      <c r="AQ1402" s="9" t="n">
        <f aca="false">AE1402*$V1402</f>
        <v>0</v>
      </c>
      <c r="AR1402" s="9" t="n">
        <f aca="false">AF1402*$V1402</f>
        <v>0</v>
      </c>
      <c r="AS1402" s="9" t="n">
        <f aca="false">AG1402*$V1402</f>
        <v>0</v>
      </c>
      <c r="AT1402" s="9" t="n">
        <f aca="false">AH1402*$V1402</f>
        <v>100</v>
      </c>
      <c r="AU1402" s="9" t="n">
        <f aca="false">AI1402*$V1402</f>
        <v>0</v>
      </c>
      <c r="AV1402" s="9" t="n">
        <f aca="false">SUM(X1402:AI1402)/1000</f>
        <v>4</v>
      </c>
      <c r="AW1402" s="9" t="n">
        <f aca="false">SUM(AJ1402:AU1402)</f>
        <v>400</v>
      </c>
      <c r="AX1402" s="9" t="n">
        <f aca="false">IF(D1402="INR",AW1402/88.24,AW1402)/1000000</f>
        <v>0.0004</v>
      </c>
    </row>
    <row r="1403" s="2" customFormat="true" ht="16.4" hidden="false" customHeight="false" outlineLevel="0" collapsed="false">
      <c r="A1403" s="9" t="s">
        <v>2661</v>
      </c>
      <c r="B1403" s="9" t="n">
        <v>5</v>
      </c>
      <c r="C1403" s="10"/>
      <c r="D1403" s="9" t="s">
        <v>50</v>
      </c>
      <c r="E1403" s="9"/>
      <c r="F1403" s="9" t="s">
        <v>52</v>
      </c>
      <c r="G1403" s="9"/>
      <c r="H1403" s="9" t="s">
        <v>2662</v>
      </c>
      <c r="I1403" s="9" t="s">
        <v>2663</v>
      </c>
      <c r="J1403" s="9"/>
      <c r="K1403" s="9"/>
      <c r="L1403" s="9"/>
      <c r="M1403" s="9"/>
      <c r="N1403" s="9" t="s">
        <v>67</v>
      </c>
      <c r="O1403" s="9" t="s">
        <v>107</v>
      </c>
      <c r="P1403" s="9"/>
      <c r="Q1403" s="9" t="s">
        <v>859</v>
      </c>
      <c r="R1403" s="9"/>
      <c r="S1403" s="9"/>
      <c r="T1403" s="9" t="s">
        <v>2664</v>
      </c>
      <c r="U1403" s="9" t="s">
        <v>2665</v>
      </c>
      <c r="V1403" s="9" t="n">
        <v>26.56</v>
      </c>
      <c r="W1403" s="9"/>
      <c r="X1403" s="9" t="n">
        <v>2000</v>
      </c>
      <c r="Y1403" s="9"/>
      <c r="Z1403" s="9"/>
      <c r="AA1403" s="9" t="n">
        <v>2000</v>
      </c>
      <c r="AB1403" s="9"/>
      <c r="AC1403" s="9"/>
      <c r="AD1403" s="9" t="n">
        <v>2000</v>
      </c>
      <c r="AE1403" s="9"/>
      <c r="AF1403" s="9"/>
      <c r="AG1403" s="9"/>
      <c r="AH1403" s="9"/>
      <c r="AI1403" s="9"/>
      <c r="AJ1403" s="9" t="n">
        <f aca="false">X1403*$V1403</f>
        <v>53120</v>
      </c>
      <c r="AK1403" s="9" t="n">
        <f aca="false">Y1403*$V1403</f>
        <v>0</v>
      </c>
      <c r="AL1403" s="9" t="n">
        <f aca="false">Z1403*$V1403</f>
        <v>0</v>
      </c>
      <c r="AM1403" s="9" t="n">
        <f aca="false">AA1403*$V1403</f>
        <v>53120</v>
      </c>
      <c r="AN1403" s="9" t="n">
        <f aca="false">AB1403*$V1403</f>
        <v>0</v>
      </c>
      <c r="AO1403" s="9" t="n">
        <f aca="false">AC1403*$V1403</f>
        <v>0</v>
      </c>
      <c r="AP1403" s="9" t="n">
        <f aca="false">AD1403*$V1403</f>
        <v>53120</v>
      </c>
      <c r="AQ1403" s="9" t="n">
        <f aca="false">AE1403*$V1403</f>
        <v>0</v>
      </c>
      <c r="AR1403" s="9" t="n">
        <f aca="false">AF1403*$V1403</f>
        <v>0</v>
      </c>
      <c r="AS1403" s="9" t="n">
        <f aca="false">AG1403*$V1403</f>
        <v>0</v>
      </c>
      <c r="AT1403" s="9" t="n">
        <f aca="false">AH1403*$V1403</f>
        <v>0</v>
      </c>
      <c r="AU1403" s="9" t="n">
        <f aca="false">AI1403*$V1403</f>
        <v>0</v>
      </c>
      <c r="AV1403" s="9" t="n">
        <f aca="false">SUM(X1403:AI1403)/1000</f>
        <v>6</v>
      </c>
      <c r="AW1403" s="9" t="n">
        <f aca="false">SUM(AJ1403:AU1403)</f>
        <v>159360</v>
      </c>
      <c r="AX1403" s="9" t="n">
        <f aca="false">IF(D1403="INR",AW1403/88.24,AW1403)/1000000</f>
        <v>0.00180598368087035</v>
      </c>
    </row>
    <row r="1404" s="2" customFormat="true" ht="16.4" hidden="false" customHeight="false" outlineLevel="0" collapsed="false">
      <c r="A1404" s="9" t="s">
        <v>2666</v>
      </c>
      <c r="B1404" s="9" t="n">
        <v>5</v>
      </c>
      <c r="C1404" s="10"/>
      <c r="D1404" s="9" t="s">
        <v>102</v>
      </c>
      <c r="E1404" s="9" t="s">
        <v>51</v>
      </c>
      <c r="F1404" s="9" t="s">
        <v>267</v>
      </c>
      <c r="G1404" s="9" t="s">
        <v>1825</v>
      </c>
      <c r="H1404" s="9" t="s">
        <v>1826</v>
      </c>
      <c r="I1404" s="9" t="s">
        <v>105</v>
      </c>
      <c r="J1404" s="9" t="s">
        <v>891</v>
      </c>
      <c r="K1404" s="9"/>
      <c r="L1404" s="9" t="s">
        <v>105</v>
      </c>
      <c r="M1404" s="9" t="s">
        <v>891</v>
      </c>
      <c r="N1404" s="9" t="s">
        <v>271</v>
      </c>
      <c r="O1404" s="9" t="s">
        <v>94</v>
      </c>
      <c r="P1404" s="9" t="s">
        <v>2452</v>
      </c>
      <c r="Q1404" s="9" t="s">
        <v>2452</v>
      </c>
      <c r="R1404" s="9" t="s">
        <v>60</v>
      </c>
      <c r="S1404" s="9" t="s">
        <v>61</v>
      </c>
      <c r="T1404" s="9" t="s">
        <v>2667</v>
      </c>
      <c r="U1404" s="9" t="s">
        <v>73</v>
      </c>
      <c r="V1404" s="9" t="n">
        <v>0.94</v>
      </c>
      <c r="W1404" s="9" t="n">
        <v>0.85</v>
      </c>
      <c r="X1404" s="9"/>
      <c r="Y1404" s="9" t="n">
        <v>150</v>
      </c>
      <c r="Z1404" s="9"/>
      <c r="AA1404" s="9" t="n">
        <v>150</v>
      </c>
      <c r="AB1404" s="9"/>
      <c r="AC1404" s="9"/>
      <c r="AD1404" s="9"/>
      <c r="AE1404" s="9"/>
      <c r="AF1404" s="9" t="n">
        <v>150</v>
      </c>
      <c r="AG1404" s="9"/>
      <c r="AH1404" s="9"/>
      <c r="AI1404" s="9" t="n">
        <v>150</v>
      </c>
      <c r="AJ1404" s="9" t="n">
        <f aca="false">X1404*$V1404</f>
        <v>0</v>
      </c>
      <c r="AK1404" s="9" t="n">
        <f aca="false">Y1404*$V1404</f>
        <v>141</v>
      </c>
      <c r="AL1404" s="9" t="n">
        <f aca="false">Z1404*$V1404</f>
        <v>0</v>
      </c>
      <c r="AM1404" s="9" t="n">
        <f aca="false">AA1404*$V1404</f>
        <v>141</v>
      </c>
      <c r="AN1404" s="9" t="n">
        <f aca="false">AB1404*$V1404</f>
        <v>0</v>
      </c>
      <c r="AO1404" s="9" t="n">
        <f aca="false">AC1404*$V1404</f>
        <v>0</v>
      </c>
      <c r="AP1404" s="9" t="n">
        <f aca="false">AD1404*$V1404</f>
        <v>0</v>
      </c>
      <c r="AQ1404" s="9" t="n">
        <f aca="false">AE1404*$V1404</f>
        <v>0</v>
      </c>
      <c r="AR1404" s="9" t="n">
        <f aca="false">AF1404*$V1404</f>
        <v>141</v>
      </c>
      <c r="AS1404" s="9" t="n">
        <f aca="false">AG1404*$V1404</f>
        <v>0</v>
      </c>
      <c r="AT1404" s="9" t="n">
        <f aca="false">AH1404*$V1404</f>
        <v>0</v>
      </c>
      <c r="AU1404" s="9" t="n">
        <f aca="false">AI1404*$V1404</f>
        <v>141</v>
      </c>
      <c r="AV1404" s="9" t="n">
        <f aca="false">SUM(X1404:AI1404)/1000</f>
        <v>0.6</v>
      </c>
      <c r="AW1404" s="9" t="n">
        <f aca="false">SUM(AJ1404:AU1404)</f>
        <v>564</v>
      </c>
      <c r="AX1404" s="9" t="n">
        <f aca="false">IF(D1404="INR",AW1404/88.24,AW1404)/1000000</f>
        <v>0.000564</v>
      </c>
    </row>
    <row r="1405" s="2" customFormat="true" ht="16.4" hidden="false" customHeight="false" outlineLevel="0" collapsed="false">
      <c r="A1405" s="9" t="s">
        <v>2668</v>
      </c>
      <c r="B1405" s="9" t="n">
        <v>5</v>
      </c>
      <c r="C1405" s="10"/>
      <c r="D1405" s="9" t="s">
        <v>102</v>
      </c>
      <c r="E1405" s="9" t="s">
        <v>51</v>
      </c>
      <c r="F1405" s="9" t="s">
        <v>267</v>
      </c>
      <c r="G1405" s="9" t="s">
        <v>1825</v>
      </c>
      <c r="H1405" s="9" t="s">
        <v>1826</v>
      </c>
      <c r="I1405" s="9" t="s">
        <v>105</v>
      </c>
      <c r="J1405" s="9" t="s">
        <v>891</v>
      </c>
      <c r="K1405" s="9"/>
      <c r="L1405" s="9" t="s">
        <v>105</v>
      </c>
      <c r="M1405" s="9" t="s">
        <v>891</v>
      </c>
      <c r="N1405" s="16" t="s">
        <v>271</v>
      </c>
      <c r="O1405" s="9" t="s">
        <v>94</v>
      </c>
      <c r="P1405" s="9" t="s">
        <v>85</v>
      </c>
      <c r="Q1405" s="9" t="s">
        <v>85</v>
      </c>
      <c r="R1405" s="9" t="s">
        <v>86</v>
      </c>
      <c r="S1405" s="9" t="s">
        <v>87</v>
      </c>
      <c r="T1405" s="9" t="s">
        <v>2175</v>
      </c>
      <c r="U1405" s="9" t="s">
        <v>73</v>
      </c>
      <c r="V1405" s="9" t="n">
        <v>2.25</v>
      </c>
      <c r="W1405" s="9" t="n">
        <v>2</v>
      </c>
      <c r="X1405" s="9" t="n">
        <v>100</v>
      </c>
      <c r="Y1405" s="9" t="n">
        <v>100</v>
      </c>
      <c r="Z1405" s="9" t="n">
        <v>100</v>
      </c>
      <c r="AA1405" s="9"/>
      <c r="AB1405" s="9"/>
      <c r="AC1405" s="9"/>
      <c r="AD1405" s="9"/>
      <c r="AE1405" s="9"/>
      <c r="AF1405" s="9" t="n">
        <v>100</v>
      </c>
      <c r="AG1405" s="9"/>
      <c r="AH1405" s="9"/>
      <c r="AI1405" s="9"/>
      <c r="AJ1405" s="9" t="n">
        <f aca="false">X1405*$V1405</f>
        <v>225</v>
      </c>
      <c r="AK1405" s="9" t="n">
        <f aca="false">Y1405*$V1405</f>
        <v>225</v>
      </c>
      <c r="AL1405" s="9" t="n">
        <f aca="false">Z1405*$V1405</f>
        <v>225</v>
      </c>
      <c r="AM1405" s="9" t="n">
        <f aca="false">AA1405*$V1405</f>
        <v>0</v>
      </c>
      <c r="AN1405" s="9" t="n">
        <f aca="false">AB1405*$V1405</f>
        <v>0</v>
      </c>
      <c r="AO1405" s="9" t="n">
        <f aca="false">AC1405*$V1405</f>
        <v>0</v>
      </c>
      <c r="AP1405" s="9" t="n">
        <f aca="false">AD1405*$V1405</f>
        <v>0</v>
      </c>
      <c r="AQ1405" s="9" t="n">
        <f aca="false">AE1405*$V1405</f>
        <v>0</v>
      </c>
      <c r="AR1405" s="9" t="n">
        <f aca="false">AF1405*$V1405</f>
        <v>225</v>
      </c>
      <c r="AS1405" s="9" t="n">
        <f aca="false">AG1405*$V1405</f>
        <v>0</v>
      </c>
      <c r="AT1405" s="9" t="n">
        <f aca="false">AH1405*$V1405</f>
        <v>0</v>
      </c>
      <c r="AU1405" s="9" t="n">
        <f aca="false">AI1405*$V1405</f>
        <v>0</v>
      </c>
      <c r="AV1405" s="9" t="n">
        <f aca="false">SUM(X1405:AI1405)/1000</f>
        <v>0.4</v>
      </c>
      <c r="AW1405" s="9" t="n">
        <f aca="false">SUM(AJ1405:AU1405)</f>
        <v>900</v>
      </c>
      <c r="AX1405" s="9" t="n">
        <f aca="false">IF(D1405="INR",AW1405/88.24,AW1405)/1000000</f>
        <v>0.0009</v>
      </c>
    </row>
    <row r="1406" s="2" customFormat="true" ht="14.25" hidden="false" customHeight="false" outlineLevel="0" collapsed="false">
      <c r="A1406" s="12" t="s">
        <v>2669</v>
      </c>
      <c r="B1406" s="16"/>
      <c r="C1406" s="15" t="n">
        <v>5</v>
      </c>
      <c r="D1406" s="16" t="s">
        <v>50</v>
      </c>
      <c r="E1406" s="16" t="s">
        <v>51</v>
      </c>
      <c r="F1406" s="16" t="s">
        <v>52</v>
      </c>
      <c r="G1406" s="16" t="s">
        <v>75</v>
      </c>
      <c r="H1406" s="16" t="s">
        <v>76</v>
      </c>
      <c r="I1406" s="16" t="s">
        <v>77</v>
      </c>
      <c r="J1406" s="16" t="s">
        <v>78</v>
      </c>
      <c r="K1406" s="16"/>
      <c r="L1406" s="16" t="s">
        <v>77</v>
      </c>
      <c r="M1406" s="16" t="s">
        <v>78</v>
      </c>
      <c r="N1406" s="16" t="s">
        <v>79</v>
      </c>
      <c r="O1406" s="16" t="s">
        <v>68</v>
      </c>
      <c r="P1406" s="16" t="s">
        <v>80</v>
      </c>
      <c r="Q1406" s="16" t="s">
        <v>80</v>
      </c>
      <c r="R1406" s="16" t="s">
        <v>81</v>
      </c>
      <c r="S1406" s="16" t="s">
        <v>82</v>
      </c>
      <c r="T1406" s="16" t="s">
        <v>2670</v>
      </c>
      <c r="U1406" s="16" t="s">
        <v>73</v>
      </c>
      <c r="V1406" s="16" t="n">
        <v>1024.76</v>
      </c>
      <c r="W1406" s="16" t="n">
        <v>914.6</v>
      </c>
      <c r="X1406" s="26"/>
      <c r="Y1406" s="16"/>
      <c r="Z1406" s="16"/>
      <c r="AA1406" s="16"/>
      <c r="AB1406" s="16"/>
      <c r="AC1406" s="26" t="n">
        <v>500</v>
      </c>
      <c r="AD1406" s="16"/>
      <c r="AE1406" s="16" t="n">
        <v>500</v>
      </c>
      <c r="AF1406" s="16" t="n">
        <v>500</v>
      </c>
      <c r="AG1406" s="16" t="n">
        <v>500</v>
      </c>
      <c r="AH1406" s="16"/>
      <c r="AI1406" s="16" t="n">
        <v>500</v>
      </c>
      <c r="AJ1406" s="9" t="n">
        <f aca="false">X1406*$V1406</f>
        <v>0</v>
      </c>
      <c r="AK1406" s="9" t="n">
        <f aca="false">Y1406*$V1406</f>
        <v>0</v>
      </c>
      <c r="AL1406" s="9" t="n">
        <f aca="false">Z1406*$V1406</f>
        <v>0</v>
      </c>
      <c r="AM1406" s="9" t="n">
        <f aca="false">AA1406*$V1406</f>
        <v>0</v>
      </c>
      <c r="AN1406" s="9" t="n">
        <f aca="false">AB1406*$V1406</f>
        <v>0</v>
      </c>
      <c r="AO1406" s="9" t="n">
        <f aca="false">AC1406*$V1406</f>
        <v>512380</v>
      </c>
      <c r="AP1406" s="9" t="n">
        <f aca="false">AD1406*$V1406</f>
        <v>0</v>
      </c>
      <c r="AQ1406" s="9" t="n">
        <f aca="false">AE1406*$V1406</f>
        <v>512380</v>
      </c>
      <c r="AR1406" s="9" t="n">
        <f aca="false">AF1406*$V1406</f>
        <v>512380</v>
      </c>
      <c r="AS1406" s="9" t="n">
        <f aca="false">AG1406*$V1406</f>
        <v>512380</v>
      </c>
      <c r="AT1406" s="9" t="n">
        <f aca="false">AH1406*$V1406</f>
        <v>0</v>
      </c>
      <c r="AU1406" s="9" t="n">
        <f aca="false">AI1406*$V1406</f>
        <v>512380</v>
      </c>
      <c r="AV1406" s="9" t="n">
        <f aca="false">SUM(X1406:AI1406)/1000</f>
        <v>2.5</v>
      </c>
      <c r="AW1406" s="9" t="n">
        <f aca="false">SUM(AJ1406:AU1406)</f>
        <v>2561900</v>
      </c>
      <c r="AX1406" s="9" t="n">
        <f aca="false">IF(D1406="INR",AW1406/88.24,AW1406)/1000000</f>
        <v>0.0290333182230281</v>
      </c>
    </row>
    <row r="1407" s="2" customFormat="true" ht="14.25" hidden="false" customHeight="false" outlineLevel="0" collapsed="false">
      <c r="A1407" s="12" t="s">
        <v>2671</v>
      </c>
      <c r="B1407" s="16"/>
      <c r="C1407" s="15"/>
      <c r="D1407" s="16" t="s">
        <v>50</v>
      </c>
      <c r="E1407" s="16" t="s">
        <v>51</v>
      </c>
      <c r="F1407" s="16" t="s">
        <v>52</v>
      </c>
      <c r="G1407" s="16" t="s">
        <v>75</v>
      </c>
      <c r="H1407" s="16" t="s">
        <v>76</v>
      </c>
      <c r="I1407" s="16" t="s">
        <v>77</v>
      </c>
      <c r="J1407" s="16" t="s">
        <v>78</v>
      </c>
      <c r="K1407" s="16"/>
      <c r="L1407" s="16" t="s">
        <v>77</v>
      </c>
      <c r="M1407" s="16" t="s">
        <v>78</v>
      </c>
      <c r="N1407" s="16" t="s">
        <v>79</v>
      </c>
      <c r="O1407" s="16" t="s">
        <v>68</v>
      </c>
      <c r="P1407" s="16" t="s">
        <v>80</v>
      </c>
      <c r="Q1407" s="16" t="s">
        <v>80</v>
      </c>
      <c r="R1407" s="16" t="s">
        <v>81</v>
      </c>
      <c r="S1407" s="16" t="s">
        <v>82</v>
      </c>
      <c r="T1407" s="16" t="s">
        <v>2672</v>
      </c>
      <c r="U1407" s="16" t="s">
        <v>63</v>
      </c>
      <c r="V1407" s="16" t="n">
        <v>1946</v>
      </c>
      <c r="W1407" s="16" t="n">
        <v>1862</v>
      </c>
      <c r="X1407" s="16"/>
      <c r="Y1407" s="16"/>
      <c r="Z1407" s="16"/>
      <c r="AA1407" s="16"/>
      <c r="AB1407" s="16"/>
      <c r="AC1407" s="16"/>
      <c r="AD1407" s="16"/>
      <c r="AE1407" s="16" t="n">
        <v>500</v>
      </c>
      <c r="AF1407" s="16"/>
      <c r="AG1407" s="16" t="n">
        <v>500</v>
      </c>
      <c r="AH1407" s="16"/>
      <c r="AI1407" s="16" t="n">
        <v>500</v>
      </c>
      <c r="AJ1407" s="9" t="n">
        <f aca="false">X1407*$V1407</f>
        <v>0</v>
      </c>
      <c r="AK1407" s="9" t="n">
        <f aca="false">Y1407*$V1407</f>
        <v>0</v>
      </c>
      <c r="AL1407" s="9" t="n">
        <f aca="false">Z1407*$V1407</f>
        <v>0</v>
      </c>
      <c r="AM1407" s="9" t="n">
        <f aca="false">AA1407*$V1407</f>
        <v>0</v>
      </c>
      <c r="AN1407" s="9" t="n">
        <f aca="false">AB1407*$V1407</f>
        <v>0</v>
      </c>
      <c r="AO1407" s="9" t="n">
        <f aca="false">AC1407*$V1407</f>
        <v>0</v>
      </c>
      <c r="AP1407" s="9" t="n">
        <f aca="false">AD1407*$V1407</f>
        <v>0</v>
      </c>
      <c r="AQ1407" s="9" t="n">
        <f aca="false">AE1407*$V1407</f>
        <v>973000</v>
      </c>
      <c r="AR1407" s="9" t="n">
        <f aca="false">AF1407*$V1407</f>
        <v>0</v>
      </c>
      <c r="AS1407" s="9" t="n">
        <f aca="false">AG1407*$V1407</f>
        <v>973000</v>
      </c>
      <c r="AT1407" s="9" t="n">
        <f aca="false">AH1407*$V1407</f>
        <v>0</v>
      </c>
      <c r="AU1407" s="9" t="n">
        <f aca="false">AI1407*$V1407</f>
        <v>973000</v>
      </c>
      <c r="AV1407" s="9" t="n">
        <f aca="false">SUM(X1407:AI1407)/1000</f>
        <v>1.5</v>
      </c>
      <c r="AW1407" s="9" t="n">
        <f aca="false">SUM(AJ1407:AU1407)</f>
        <v>2919000</v>
      </c>
      <c r="AX1407" s="9" t="n">
        <f aca="false">IF(D1407="INR",AW1407/88.24,AW1407)/1000000</f>
        <v>0.0330802357207616</v>
      </c>
    </row>
    <row r="1408" s="2" customFormat="true" ht="14.25" hidden="false" customHeight="false" outlineLevel="0" collapsed="false">
      <c r="A1408" s="9"/>
      <c r="B1408" s="9" t="n">
        <v>1</v>
      </c>
      <c r="C1408" s="15"/>
      <c r="D1408" s="16" t="s">
        <v>102</v>
      </c>
      <c r="E1408" s="16" t="s">
        <v>51</v>
      </c>
      <c r="F1408" s="16" t="s">
        <v>52</v>
      </c>
      <c r="G1408" s="16"/>
      <c r="H1408" s="9" t="s">
        <v>2673</v>
      </c>
      <c r="I1408" s="16" t="s">
        <v>105</v>
      </c>
      <c r="J1408" s="16" t="s">
        <v>806</v>
      </c>
      <c r="K1408" s="9"/>
      <c r="L1408" s="16" t="s">
        <v>105</v>
      </c>
      <c r="M1408" s="16" t="s">
        <v>806</v>
      </c>
      <c r="N1408" s="16" t="s">
        <v>93</v>
      </c>
      <c r="O1408" s="16" t="s">
        <v>294</v>
      </c>
      <c r="P1408" s="9" t="s">
        <v>182</v>
      </c>
      <c r="Q1408" s="9" t="s">
        <v>182</v>
      </c>
      <c r="R1408" s="9" t="s">
        <v>875</v>
      </c>
      <c r="S1408" s="9" t="s">
        <v>363</v>
      </c>
      <c r="T1408" s="9" t="s">
        <v>2674</v>
      </c>
      <c r="U1408" s="16" t="s">
        <v>63</v>
      </c>
      <c r="V1408" s="36" t="n">
        <v>0.068</v>
      </c>
      <c r="W1408" s="9" t="n">
        <v>0.055</v>
      </c>
      <c r="X1408" s="22"/>
      <c r="Y1408" s="9" t="n">
        <v>200000</v>
      </c>
      <c r="Z1408" s="9" t="n">
        <v>200000</v>
      </c>
      <c r="AA1408" s="9" t="n">
        <v>200000</v>
      </c>
      <c r="AB1408" s="9" t="n">
        <v>200000</v>
      </c>
      <c r="AC1408" s="9" t="n">
        <v>200000</v>
      </c>
      <c r="AD1408" s="23" t="n">
        <v>200000</v>
      </c>
      <c r="AE1408" s="9" t="n">
        <v>200000</v>
      </c>
      <c r="AF1408" s="9" t="n">
        <v>200000</v>
      </c>
      <c r="AG1408" s="9" t="n">
        <v>200000</v>
      </c>
      <c r="AH1408" s="9" t="n">
        <v>200000</v>
      </c>
      <c r="AI1408" s="9" t="n">
        <v>200000</v>
      </c>
      <c r="AJ1408" s="9" t="n">
        <f aca="false">X1408*$V1408</f>
        <v>0</v>
      </c>
      <c r="AK1408" s="9" t="n">
        <f aca="false">Y1408*$V1408</f>
        <v>13600</v>
      </c>
      <c r="AL1408" s="9" t="n">
        <f aca="false">Z1408*$V1408</f>
        <v>13600</v>
      </c>
      <c r="AM1408" s="9" t="n">
        <f aca="false">AA1408*$V1408</f>
        <v>13600</v>
      </c>
      <c r="AN1408" s="9" t="n">
        <f aca="false">AB1408*$V1408</f>
        <v>13600</v>
      </c>
      <c r="AO1408" s="9" t="n">
        <f aca="false">AC1408*$V1408</f>
        <v>13600</v>
      </c>
      <c r="AP1408" s="9" t="n">
        <f aca="false">AD1408*$V1408</f>
        <v>13600</v>
      </c>
      <c r="AQ1408" s="9" t="n">
        <f aca="false">AE1408*$V1408</f>
        <v>13600</v>
      </c>
      <c r="AR1408" s="9" t="n">
        <f aca="false">AF1408*$V1408</f>
        <v>13600</v>
      </c>
      <c r="AS1408" s="9" t="n">
        <f aca="false">AG1408*$V1408</f>
        <v>13600</v>
      </c>
      <c r="AT1408" s="9" t="n">
        <f aca="false">AH1408*$V1408</f>
        <v>13600</v>
      </c>
      <c r="AU1408" s="9" t="n">
        <f aca="false">AI1408*$V1408</f>
        <v>13600</v>
      </c>
      <c r="AV1408" s="9" t="n">
        <f aca="false">SUM(X1408:AI1408)/1000</f>
        <v>2200</v>
      </c>
      <c r="AW1408" s="9" t="n">
        <f aca="false">SUM(AJ1408:AU1408)</f>
        <v>149600</v>
      </c>
      <c r="AX1408" s="9" t="n">
        <f aca="false">IF(D1408="INR",AW1408/88.24,AW1408)/1000000</f>
        <v>0.1496</v>
      </c>
    </row>
    <row r="1409" s="2" customFormat="true" ht="14.25" hidden="false" customHeight="false" outlineLevel="0" collapsed="false">
      <c r="A1409" s="12"/>
      <c r="B1409" s="13"/>
      <c r="C1409" s="14"/>
      <c r="D1409" s="16" t="s">
        <v>50</v>
      </c>
      <c r="E1409" s="16"/>
      <c r="F1409" s="16" t="s">
        <v>52</v>
      </c>
      <c r="G1409" s="16"/>
      <c r="H1409" s="16" t="s">
        <v>251</v>
      </c>
      <c r="I1409" s="16"/>
      <c r="J1409" s="16"/>
      <c r="K1409" s="16"/>
      <c r="L1409" s="16"/>
      <c r="M1409" s="16"/>
      <c r="N1409" s="16" t="s">
        <v>93</v>
      </c>
      <c r="O1409" s="16" t="s">
        <v>107</v>
      </c>
      <c r="P1409" s="16"/>
      <c r="Q1409" s="16" t="s">
        <v>2675</v>
      </c>
      <c r="R1409" s="16"/>
      <c r="S1409" s="16"/>
      <c r="T1409" s="16" t="s">
        <v>2676</v>
      </c>
      <c r="U1409" s="16" t="s">
        <v>63</v>
      </c>
      <c r="V1409" s="16" t="n">
        <v>1127</v>
      </c>
      <c r="W1409" s="16" t="n">
        <v>1050</v>
      </c>
      <c r="X1409" s="16"/>
      <c r="Y1409" s="16" t="n">
        <v>1000</v>
      </c>
      <c r="Z1409" s="16"/>
      <c r="AA1409" s="16"/>
      <c r="AB1409" s="16"/>
      <c r="AC1409" s="16" t="n">
        <v>1000</v>
      </c>
      <c r="AD1409" s="16"/>
      <c r="AE1409" s="16"/>
      <c r="AF1409" s="16"/>
      <c r="AG1409" s="16"/>
      <c r="AH1409" s="16"/>
      <c r="AI1409" s="16"/>
      <c r="AJ1409" s="9" t="n">
        <f aca="false">X1409*$V1409</f>
        <v>0</v>
      </c>
      <c r="AK1409" s="9" t="n">
        <f aca="false">Y1409*$V1409</f>
        <v>1127000</v>
      </c>
      <c r="AL1409" s="9" t="n">
        <f aca="false">Z1409*$V1409</f>
        <v>0</v>
      </c>
      <c r="AM1409" s="9" t="n">
        <f aca="false">AA1409*$V1409</f>
        <v>0</v>
      </c>
      <c r="AN1409" s="9" t="n">
        <f aca="false">AB1409*$V1409</f>
        <v>0</v>
      </c>
      <c r="AO1409" s="9" t="n">
        <f aca="false">AC1409*$V1409</f>
        <v>1127000</v>
      </c>
      <c r="AP1409" s="9" t="n">
        <f aca="false">AD1409*$V1409</f>
        <v>0</v>
      </c>
      <c r="AQ1409" s="9" t="n">
        <f aca="false">AE1409*$V1409</f>
        <v>0</v>
      </c>
      <c r="AR1409" s="9" t="n">
        <f aca="false">AF1409*$V1409</f>
        <v>0</v>
      </c>
      <c r="AS1409" s="9" t="n">
        <f aca="false">AG1409*$V1409</f>
        <v>0</v>
      </c>
      <c r="AT1409" s="9" t="n">
        <f aca="false">AH1409*$V1409</f>
        <v>0</v>
      </c>
      <c r="AU1409" s="9" t="n">
        <f aca="false">AI1409*$V1409</f>
        <v>0</v>
      </c>
      <c r="AV1409" s="9" t="n">
        <f aca="false">SUM(X1409:AI1409)/1000</f>
        <v>2</v>
      </c>
      <c r="AW1409" s="9" t="n">
        <f aca="false">SUM(AJ1409:AU1409)</f>
        <v>2254000</v>
      </c>
      <c r="AX1409" s="9" t="n">
        <f aca="false">IF(D1409="INR",AW1409/88.24,AW1409)/1000000</f>
        <v>0.025543970988214</v>
      </c>
    </row>
    <row r="1410" s="2" customFormat="true" ht="14.25" hidden="false" customHeight="false" outlineLevel="0" collapsed="false">
      <c r="A1410" s="12" t="s">
        <v>2677</v>
      </c>
      <c r="B1410" s="16"/>
      <c r="C1410" s="15" t="n">
        <v>5</v>
      </c>
      <c r="D1410" s="16" t="s">
        <v>50</v>
      </c>
      <c r="E1410" s="16" t="s">
        <v>51</v>
      </c>
      <c r="F1410" s="16" t="s">
        <v>312</v>
      </c>
      <c r="G1410" s="16" t="s">
        <v>2678</v>
      </c>
      <c r="H1410" s="16" t="s">
        <v>2679</v>
      </c>
      <c r="I1410" s="16" t="s">
        <v>105</v>
      </c>
      <c r="J1410" s="16" t="s">
        <v>106</v>
      </c>
      <c r="K1410" s="16"/>
      <c r="L1410" s="16" t="s">
        <v>105</v>
      </c>
      <c r="M1410" s="16" t="s">
        <v>106</v>
      </c>
      <c r="N1410" s="16" t="s">
        <v>290</v>
      </c>
      <c r="O1410" s="16" t="s">
        <v>107</v>
      </c>
      <c r="P1410" s="16" t="s">
        <v>110</v>
      </c>
      <c r="Q1410" s="16" t="s">
        <v>110</v>
      </c>
      <c r="R1410" s="16" t="s">
        <v>137</v>
      </c>
      <c r="S1410" s="16" t="s">
        <v>272</v>
      </c>
      <c r="T1410" s="16" t="s">
        <v>2061</v>
      </c>
      <c r="U1410" s="16" t="s">
        <v>73</v>
      </c>
      <c r="V1410" s="16" t="n">
        <v>78</v>
      </c>
      <c r="W1410" s="16" t="n">
        <v>0.373</v>
      </c>
      <c r="X1410" s="16"/>
      <c r="Y1410" s="16"/>
      <c r="Z1410" s="16"/>
      <c r="AA1410" s="16"/>
      <c r="AB1410" s="16"/>
      <c r="AC1410" s="16"/>
      <c r="AD1410" s="16"/>
      <c r="AE1410" s="16"/>
      <c r="AF1410" s="16" t="n">
        <v>1260</v>
      </c>
      <c r="AG1410" s="16"/>
      <c r="AH1410" s="16"/>
      <c r="AI1410" s="16"/>
      <c r="AJ1410" s="9" t="n">
        <f aca="false">X1410*$V1410</f>
        <v>0</v>
      </c>
      <c r="AK1410" s="9" t="n">
        <f aca="false">Y1410*$V1410</f>
        <v>0</v>
      </c>
      <c r="AL1410" s="9" t="n">
        <f aca="false">Z1410*$V1410</f>
        <v>0</v>
      </c>
      <c r="AM1410" s="9" t="n">
        <f aca="false">AA1410*$V1410</f>
        <v>0</v>
      </c>
      <c r="AN1410" s="9" t="n">
        <f aca="false">AB1410*$V1410</f>
        <v>0</v>
      </c>
      <c r="AO1410" s="9" t="n">
        <f aca="false">AC1410*$V1410</f>
        <v>0</v>
      </c>
      <c r="AP1410" s="9" t="n">
        <f aca="false">AD1410*$V1410</f>
        <v>0</v>
      </c>
      <c r="AQ1410" s="9" t="n">
        <f aca="false">AE1410*$V1410</f>
        <v>0</v>
      </c>
      <c r="AR1410" s="9" t="n">
        <f aca="false">AF1410*$V1410</f>
        <v>98280</v>
      </c>
      <c r="AS1410" s="9" t="n">
        <f aca="false">AG1410*$V1410</f>
        <v>0</v>
      </c>
      <c r="AT1410" s="9" t="n">
        <f aca="false">AH1410*$V1410</f>
        <v>0</v>
      </c>
      <c r="AU1410" s="9" t="n">
        <f aca="false">AI1410*$V1410</f>
        <v>0</v>
      </c>
      <c r="AV1410" s="9" t="n">
        <f aca="false">SUM(X1410:AI1410)/1000</f>
        <v>1.26</v>
      </c>
      <c r="AW1410" s="9" t="n">
        <f aca="false">SUM(AJ1410:AU1410)</f>
        <v>98280</v>
      </c>
      <c r="AX1410" s="9" t="n">
        <f aca="false">IF(D1410="INR",AW1410/88.24,AW1410)/1000000</f>
        <v>0.00111378059836809</v>
      </c>
    </row>
    <row r="1411" s="2" customFormat="true" ht="16.4" hidden="false" customHeight="false" outlineLevel="0" collapsed="false">
      <c r="A1411" s="16" t="s">
        <v>2680</v>
      </c>
      <c r="B1411" s="16"/>
      <c r="C1411" s="16"/>
      <c r="D1411" s="16" t="s">
        <v>50</v>
      </c>
      <c r="E1411" s="16" t="s">
        <v>51</v>
      </c>
      <c r="F1411" s="16" t="s">
        <v>312</v>
      </c>
      <c r="G1411" s="16" t="s">
        <v>2678</v>
      </c>
      <c r="H1411" s="16" t="s">
        <v>2679</v>
      </c>
      <c r="I1411" s="16" t="s">
        <v>105</v>
      </c>
      <c r="J1411" s="16" t="s">
        <v>106</v>
      </c>
      <c r="K1411" s="16"/>
      <c r="L1411" s="16" t="s">
        <v>105</v>
      </c>
      <c r="M1411" s="16" t="s">
        <v>106</v>
      </c>
      <c r="N1411" s="16" t="s">
        <v>290</v>
      </c>
      <c r="O1411" s="16" t="s">
        <v>107</v>
      </c>
      <c r="P1411" s="16" t="s">
        <v>110</v>
      </c>
      <c r="Q1411" s="16" t="s">
        <v>110</v>
      </c>
      <c r="R1411" s="16" t="s">
        <v>137</v>
      </c>
      <c r="S1411" s="16" t="s">
        <v>272</v>
      </c>
      <c r="T1411" s="16" t="s">
        <v>757</v>
      </c>
      <c r="U1411" s="16" t="s">
        <v>73</v>
      </c>
      <c r="V1411" s="16" t="n">
        <v>48.8</v>
      </c>
      <c r="W1411" s="16" t="n">
        <v>0.327</v>
      </c>
      <c r="X1411" s="16"/>
      <c r="Y1411" s="16" t="n">
        <v>240</v>
      </c>
      <c r="Z1411" s="16"/>
      <c r="AA1411" s="16"/>
      <c r="AB1411" s="16"/>
      <c r="AC1411" s="16" t="n">
        <v>240</v>
      </c>
      <c r="AD1411" s="16"/>
      <c r="AE1411" s="16"/>
      <c r="AF1411" s="16"/>
      <c r="AG1411" s="16"/>
      <c r="AH1411" s="16"/>
      <c r="AI1411" s="16" t="n">
        <v>240</v>
      </c>
      <c r="AJ1411" s="9" t="n">
        <f aca="false">X1411*$V1411</f>
        <v>0</v>
      </c>
      <c r="AK1411" s="9" t="n">
        <f aca="false">Y1411*$V1411</f>
        <v>11712</v>
      </c>
      <c r="AL1411" s="9" t="n">
        <f aca="false">Z1411*$V1411</f>
        <v>0</v>
      </c>
      <c r="AM1411" s="9" t="n">
        <f aca="false">AA1411*$V1411</f>
        <v>0</v>
      </c>
      <c r="AN1411" s="9" t="n">
        <f aca="false">AB1411*$V1411</f>
        <v>0</v>
      </c>
      <c r="AO1411" s="9" t="n">
        <f aca="false">AC1411*$V1411</f>
        <v>11712</v>
      </c>
      <c r="AP1411" s="9" t="n">
        <f aca="false">AD1411*$V1411</f>
        <v>0</v>
      </c>
      <c r="AQ1411" s="9" t="n">
        <f aca="false">AE1411*$V1411</f>
        <v>0</v>
      </c>
      <c r="AR1411" s="9" t="n">
        <f aca="false">AF1411*$V1411</f>
        <v>0</v>
      </c>
      <c r="AS1411" s="9" t="n">
        <f aca="false">AG1411*$V1411</f>
        <v>0</v>
      </c>
      <c r="AT1411" s="9" t="n">
        <f aca="false">AH1411*$V1411</f>
        <v>0</v>
      </c>
      <c r="AU1411" s="9" t="n">
        <f aca="false">AI1411*$V1411</f>
        <v>11712</v>
      </c>
      <c r="AV1411" s="9" t="n">
        <f aca="false">SUM(X1411:AI1411)/1000</f>
        <v>0.72</v>
      </c>
      <c r="AW1411" s="9" t="n">
        <f aca="false">SUM(AJ1411:AU1411)</f>
        <v>35136</v>
      </c>
      <c r="AX1411" s="9" t="n">
        <f aca="false">IF(D1411="INR",AW1411/88.24,AW1411)/1000000</f>
        <v>0.00039818676337262</v>
      </c>
    </row>
    <row r="1412" s="2" customFormat="true" ht="14.25" hidden="false" customHeight="false" outlineLevel="0" collapsed="false">
      <c r="A1412" s="12"/>
      <c r="B1412" s="16" t="n">
        <v>1</v>
      </c>
      <c r="C1412" s="15"/>
      <c r="D1412" s="16" t="s">
        <v>102</v>
      </c>
      <c r="E1412" s="16" t="s">
        <v>51</v>
      </c>
      <c r="F1412" s="16" t="s">
        <v>404</v>
      </c>
      <c r="G1412" s="16"/>
      <c r="H1412" s="9" t="s">
        <v>2681</v>
      </c>
      <c r="I1412" s="16"/>
      <c r="J1412" s="16"/>
      <c r="K1412" s="9"/>
      <c r="L1412" s="16"/>
      <c r="M1412" s="16"/>
      <c r="N1412" s="16" t="s">
        <v>271</v>
      </c>
      <c r="O1412" s="16"/>
      <c r="P1412" s="16"/>
      <c r="Q1412" s="16" t="s">
        <v>2682</v>
      </c>
      <c r="R1412" s="16"/>
      <c r="S1412" s="16"/>
      <c r="T1412" s="16" t="s">
        <v>2683</v>
      </c>
      <c r="U1412" s="16"/>
      <c r="V1412" s="16" t="n">
        <v>800</v>
      </c>
      <c r="W1412" s="16"/>
      <c r="X1412" s="16"/>
      <c r="Y1412" s="16"/>
      <c r="Z1412" s="16" t="n">
        <v>200</v>
      </c>
      <c r="AA1412" s="16"/>
      <c r="AB1412" s="16"/>
      <c r="AC1412" s="16" t="n">
        <v>500</v>
      </c>
      <c r="AD1412" s="16"/>
      <c r="AE1412" s="16"/>
      <c r="AF1412" s="16" t="n">
        <v>500</v>
      </c>
      <c r="AG1412" s="16"/>
      <c r="AH1412" s="16" t="n">
        <v>300</v>
      </c>
      <c r="AI1412" s="16"/>
      <c r="AJ1412" s="9" t="n">
        <f aca="false">X1412*$V1412</f>
        <v>0</v>
      </c>
      <c r="AK1412" s="9" t="n">
        <f aca="false">Y1412*$V1412</f>
        <v>0</v>
      </c>
      <c r="AL1412" s="9" t="n">
        <f aca="false">Z1412*$V1412</f>
        <v>160000</v>
      </c>
      <c r="AM1412" s="9" t="n">
        <f aca="false">AA1412*$V1412</f>
        <v>0</v>
      </c>
      <c r="AN1412" s="9" t="n">
        <f aca="false">AB1412*$V1412</f>
        <v>0</v>
      </c>
      <c r="AO1412" s="9" t="n">
        <f aca="false">AC1412*$V1412</f>
        <v>400000</v>
      </c>
      <c r="AP1412" s="9" t="n">
        <f aca="false">AD1412*$V1412</f>
        <v>0</v>
      </c>
      <c r="AQ1412" s="9" t="n">
        <f aca="false">AE1412*$V1412</f>
        <v>0</v>
      </c>
      <c r="AR1412" s="9" t="n">
        <f aca="false">AF1412*$V1412</f>
        <v>400000</v>
      </c>
      <c r="AS1412" s="9" t="n">
        <f aca="false">AG1412*$V1412</f>
        <v>0</v>
      </c>
      <c r="AT1412" s="9" t="n">
        <f aca="false">AH1412*$V1412</f>
        <v>240000</v>
      </c>
      <c r="AU1412" s="9" t="n">
        <f aca="false">AI1412*$V1412</f>
        <v>0</v>
      </c>
      <c r="AV1412" s="9" t="n">
        <f aca="false">SUM(X1412:AI1412)/1000</f>
        <v>1.5</v>
      </c>
      <c r="AW1412" s="9" t="n">
        <f aca="false">SUM(AJ1412:AU1412)</f>
        <v>1200000</v>
      </c>
      <c r="AX1412" s="9" t="n">
        <f aca="false">IF(D1412="INR",AW1412/88.24,AW1412)/1000000</f>
        <v>1.2</v>
      </c>
    </row>
    <row r="1413" s="2" customFormat="true" ht="16.4" hidden="false" customHeight="false" outlineLevel="0" collapsed="false">
      <c r="A1413" s="9" t="s">
        <v>2684</v>
      </c>
      <c r="B1413" s="9"/>
      <c r="C1413" s="10"/>
      <c r="D1413" s="9" t="s">
        <v>50</v>
      </c>
      <c r="E1413" s="9" t="s">
        <v>51</v>
      </c>
      <c r="F1413" s="9" t="s">
        <v>312</v>
      </c>
      <c r="G1413" s="9" t="s">
        <v>2678</v>
      </c>
      <c r="H1413" s="9" t="s">
        <v>2679</v>
      </c>
      <c r="I1413" s="9" t="s">
        <v>105</v>
      </c>
      <c r="J1413" s="9" t="s">
        <v>106</v>
      </c>
      <c r="K1413" s="9"/>
      <c r="L1413" s="9" t="s">
        <v>105</v>
      </c>
      <c r="M1413" s="9" t="s">
        <v>106</v>
      </c>
      <c r="N1413" s="9" t="s">
        <v>290</v>
      </c>
      <c r="O1413" s="9" t="s">
        <v>107</v>
      </c>
      <c r="P1413" s="9" t="s">
        <v>110</v>
      </c>
      <c r="Q1413" s="9" t="s">
        <v>110</v>
      </c>
      <c r="R1413" s="9" t="s">
        <v>137</v>
      </c>
      <c r="S1413" s="9" t="s">
        <v>272</v>
      </c>
      <c r="T1413" s="9" t="s">
        <v>849</v>
      </c>
      <c r="U1413" s="9" t="s">
        <v>73</v>
      </c>
      <c r="V1413" s="9" t="n">
        <v>78</v>
      </c>
      <c r="W1413" s="9" t="n">
        <v>0.373</v>
      </c>
      <c r="X1413" s="9"/>
      <c r="Y1413" s="9" t="n">
        <v>600</v>
      </c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 t="n">
        <f aca="false">X1413*$V1413</f>
        <v>0</v>
      </c>
      <c r="AK1413" s="9" t="n">
        <f aca="false">Y1413*$V1413</f>
        <v>46800</v>
      </c>
      <c r="AL1413" s="9" t="n">
        <f aca="false">Z1413*$V1413</f>
        <v>0</v>
      </c>
      <c r="AM1413" s="9" t="n">
        <f aca="false">AA1413*$V1413</f>
        <v>0</v>
      </c>
      <c r="AN1413" s="9" t="n">
        <f aca="false">AB1413*$V1413</f>
        <v>0</v>
      </c>
      <c r="AO1413" s="9" t="n">
        <f aca="false">AC1413*$V1413</f>
        <v>0</v>
      </c>
      <c r="AP1413" s="9" t="n">
        <f aca="false">AD1413*$V1413</f>
        <v>0</v>
      </c>
      <c r="AQ1413" s="9" t="n">
        <f aca="false">AE1413*$V1413</f>
        <v>0</v>
      </c>
      <c r="AR1413" s="9" t="n">
        <f aca="false">AF1413*$V1413</f>
        <v>0</v>
      </c>
      <c r="AS1413" s="9" t="n">
        <f aca="false">AG1413*$V1413</f>
        <v>0</v>
      </c>
      <c r="AT1413" s="9" t="n">
        <f aca="false">AH1413*$V1413</f>
        <v>0</v>
      </c>
      <c r="AU1413" s="9" t="n">
        <f aca="false">AI1413*$V1413</f>
        <v>0</v>
      </c>
      <c r="AV1413" s="9" t="n">
        <f aca="false">SUM(X1413:AI1413)/1000</f>
        <v>0.6</v>
      </c>
      <c r="AW1413" s="9" t="n">
        <f aca="false">SUM(AJ1413:AU1413)</f>
        <v>46800</v>
      </c>
      <c r="AX1413" s="9" t="n">
        <f aca="false">IF(D1413="INR",AW1413/88.24,AW1413)/1000000</f>
        <v>0.000530371713508613</v>
      </c>
    </row>
    <row r="1414" s="2" customFormat="true" ht="14.25" hidden="false" customHeight="false" outlineLevel="0" collapsed="false">
      <c r="A1414" s="12" t="s">
        <v>2685</v>
      </c>
      <c r="B1414" s="16" t="n">
        <v>5</v>
      </c>
      <c r="C1414" s="15"/>
      <c r="D1414" s="16" t="s">
        <v>50</v>
      </c>
      <c r="E1414" s="16" t="s">
        <v>51</v>
      </c>
      <c r="F1414" s="16" t="s">
        <v>267</v>
      </c>
      <c r="G1414" s="16" t="s">
        <v>2686</v>
      </c>
      <c r="H1414" s="16" t="s">
        <v>2687</v>
      </c>
      <c r="I1414" s="16" t="s">
        <v>298</v>
      </c>
      <c r="J1414" s="16" t="s">
        <v>664</v>
      </c>
      <c r="K1414" s="16"/>
      <c r="L1414" s="16" t="s">
        <v>298</v>
      </c>
      <c r="M1414" s="16" t="s">
        <v>664</v>
      </c>
      <c r="N1414" s="16" t="s">
        <v>271</v>
      </c>
      <c r="O1414" s="16" t="s">
        <v>94</v>
      </c>
      <c r="P1414" s="16" t="s">
        <v>110</v>
      </c>
      <c r="Q1414" s="16" t="s">
        <v>110</v>
      </c>
      <c r="R1414" s="16" t="s">
        <v>137</v>
      </c>
      <c r="S1414" s="16" t="s">
        <v>272</v>
      </c>
      <c r="T1414" s="16" t="s">
        <v>1996</v>
      </c>
      <c r="U1414" s="16" t="s">
        <v>73</v>
      </c>
      <c r="V1414" s="16" t="n">
        <v>68.5</v>
      </c>
      <c r="W1414" s="16" t="n">
        <v>0.482</v>
      </c>
      <c r="X1414" s="16" t="n">
        <v>500</v>
      </c>
      <c r="Y1414" s="16"/>
      <c r="Z1414" s="16"/>
      <c r="AA1414" s="16"/>
      <c r="AB1414" s="16" t="n">
        <v>500</v>
      </c>
      <c r="AC1414" s="16"/>
      <c r="AD1414" s="16"/>
      <c r="AE1414" s="16"/>
      <c r="AF1414" s="16" t="n">
        <v>500</v>
      </c>
      <c r="AG1414" s="16"/>
      <c r="AH1414" s="16"/>
      <c r="AI1414" s="16"/>
      <c r="AJ1414" s="9" t="n">
        <f aca="false">X1414*$V1414</f>
        <v>34250</v>
      </c>
      <c r="AK1414" s="9" t="n">
        <f aca="false">Y1414*$V1414</f>
        <v>0</v>
      </c>
      <c r="AL1414" s="9" t="n">
        <f aca="false">Z1414*$V1414</f>
        <v>0</v>
      </c>
      <c r="AM1414" s="9" t="n">
        <f aca="false">AA1414*$V1414</f>
        <v>0</v>
      </c>
      <c r="AN1414" s="9" t="n">
        <f aca="false">AB1414*$V1414</f>
        <v>34250</v>
      </c>
      <c r="AO1414" s="9" t="n">
        <f aca="false">AC1414*$V1414</f>
        <v>0</v>
      </c>
      <c r="AP1414" s="9" t="n">
        <f aca="false">AD1414*$V1414</f>
        <v>0</v>
      </c>
      <c r="AQ1414" s="9" t="n">
        <f aca="false">AE1414*$V1414</f>
        <v>0</v>
      </c>
      <c r="AR1414" s="9" t="n">
        <f aca="false">AF1414*$V1414</f>
        <v>34250</v>
      </c>
      <c r="AS1414" s="9" t="n">
        <f aca="false">AG1414*$V1414</f>
        <v>0</v>
      </c>
      <c r="AT1414" s="9" t="n">
        <f aca="false">AH1414*$V1414</f>
        <v>0</v>
      </c>
      <c r="AU1414" s="9" t="n">
        <f aca="false">AI1414*$V1414</f>
        <v>0</v>
      </c>
      <c r="AV1414" s="9" t="n">
        <f aca="false">SUM(X1414:AI1414)/1000</f>
        <v>1.5</v>
      </c>
      <c r="AW1414" s="9" t="n">
        <f aca="false">SUM(AJ1414:AU1414)</f>
        <v>102750</v>
      </c>
      <c r="AX1414" s="9" t="n">
        <f aca="false">IF(D1414="INR",AW1414/88.24,AW1414)/1000000</f>
        <v>0.00116443789664551</v>
      </c>
    </row>
    <row r="1415" s="2" customFormat="true" ht="14.25" hidden="false" customHeight="false" outlineLevel="0" collapsed="false">
      <c r="A1415" s="12" t="s">
        <v>2688</v>
      </c>
      <c r="B1415" s="16" t="n">
        <v>5</v>
      </c>
      <c r="C1415" s="15"/>
      <c r="D1415" s="16" t="s">
        <v>50</v>
      </c>
      <c r="E1415" s="16" t="s">
        <v>51</v>
      </c>
      <c r="F1415" s="16" t="s">
        <v>267</v>
      </c>
      <c r="G1415" s="16" t="s">
        <v>2686</v>
      </c>
      <c r="H1415" s="16" t="s">
        <v>2687</v>
      </c>
      <c r="I1415" s="16" t="s">
        <v>298</v>
      </c>
      <c r="J1415" s="16" t="s">
        <v>664</v>
      </c>
      <c r="K1415" s="16"/>
      <c r="L1415" s="16" t="s">
        <v>298</v>
      </c>
      <c r="M1415" s="16" t="s">
        <v>664</v>
      </c>
      <c r="N1415" s="16" t="s">
        <v>271</v>
      </c>
      <c r="O1415" s="16" t="s">
        <v>94</v>
      </c>
      <c r="P1415" s="16" t="s">
        <v>110</v>
      </c>
      <c r="Q1415" s="16" t="s">
        <v>110</v>
      </c>
      <c r="R1415" s="16" t="s">
        <v>137</v>
      </c>
      <c r="S1415" s="16" t="s">
        <v>272</v>
      </c>
      <c r="T1415" s="16" t="s">
        <v>1567</v>
      </c>
      <c r="U1415" s="16" t="s">
        <v>73</v>
      </c>
      <c r="V1415" s="16" t="n">
        <v>195</v>
      </c>
      <c r="W1415" s="16" t="n">
        <v>1.152</v>
      </c>
      <c r="X1415" s="22" t="n">
        <v>200</v>
      </c>
      <c r="Y1415" s="16"/>
      <c r="Z1415" s="16"/>
      <c r="AA1415" s="16" t="n">
        <v>200</v>
      </c>
      <c r="AB1415" s="16"/>
      <c r="AC1415" s="16"/>
      <c r="AD1415" s="16" t="n">
        <v>200</v>
      </c>
      <c r="AE1415" s="16"/>
      <c r="AF1415" s="16"/>
      <c r="AG1415" s="16"/>
      <c r="AH1415" s="16" t="n">
        <v>200</v>
      </c>
      <c r="AI1415" s="16"/>
      <c r="AJ1415" s="9" t="n">
        <f aca="false">X1415*$V1415</f>
        <v>39000</v>
      </c>
      <c r="AK1415" s="9" t="n">
        <f aca="false">Y1415*$V1415</f>
        <v>0</v>
      </c>
      <c r="AL1415" s="9" t="n">
        <f aca="false">Z1415*$V1415</f>
        <v>0</v>
      </c>
      <c r="AM1415" s="9" t="n">
        <f aca="false">AA1415*$V1415</f>
        <v>39000</v>
      </c>
      <c r="AN1415" s="9" t="n">
        <f aca="false">AB1415*$V1415</f>
        <v>0</v>
      </c>
      <c r="AO1415" s="9" t="n">
        <f aca="false">AC1415*$V1415</f>
        <v>0</v>
      </c>
      <c r="AP1415" s="9" t="n">
        <f aca="false">AD1415*$V1415</f>
        <v>39000</v>
      </c>
      <c r="AQ1415" s="9" t="n">
        <f aca="false">AE1415*$V1415</f>
        <v>0</v>
      </c>
      <c r="AR1415" s="9" t="n">
        <f aca="false">AF1415*$V1415</f>
        <v>0</v>
      </c>
      <c r="AS1415" s="9" t="n">
        <f aca="false">AG1415*$V1415</f>
        <v>0</v>
      </c>
      <c r="AT1415" s="9" t="n">
        <f aca="false">AH1415*$V1415</f>
        <v>39000</v>
      </c>
      <c r="AU1415" s="9" t="n">
        <f aca="false">AI1415*$V1415</f>
        <v>0</v>
      </c>
      <c r="AV1415" s="9" t="n">
        <f aca="false">SUM(X1415:AI1415)/1000</f>
        <v>0.8</v>
      </c>
      <c r="AW1415" s="9" t="n">
        <f aca="false">SUM(AJ1415:AU1415)</f>
        <v>156000</v>
      </c>
      <c r="AX1415" s="9" t="n">
        <f aca="false">IF(D1415="INR",AW1415/88.24,AW1415)/1000000</f>
        <v>0.00176790571169538</v>
      </c>
    </row>
    <row r="1416" s="2" customFormat="true" ht="14.25" hidden="false" customHeight="false" outlineLevel="0" collapsed="false">
      <c r="A1416" s="12"/>
      <c r="B1416" s="16" t="n">
        <v>1</v>
      </c>
      <c r="C1416" s="15"/>
      <c r="D1416" s="16" t="s">
        <v>102</v>
      </c>
      <c r="E1416" s="16" t="s">
        <v>51</v>
      </c>
      <c r="F1416" s="16" t="s">
        <v>52</v>
      </c>
      <c r="G1416" s="16" t="s">
        <v>2689</v>
      </c>
      <c r="H1416" s="16" t="s">
        <v>2690</v>
      </c>
      <c r="I1416" s="16" t="s">
        <v>105</v>
      </c>
      <c r="J1416" s="16" t="s">
        <v>2691</v>
      </c>
      <c r="K1416" s="16" t="s">
        <v>2692</v>
      </c>
      <c r="L1416" s="16" t="s">
        <v>260</v>
      </c>
      <c r="M1416" s="16" t="s">
        <v>2691</v>
      </c>
      <c r="N1416" s="16" t="s">
        <v>79</v>
      </c>
      <c r="O1416" s="16" t="s">
        <v>94</v>
      </c>
      <c r="P1416" s="16" t="s">
        <v>2322</v>
      </c>
      <c r="Q1416" s="16" t="s">
        <v>2322</v>
      </c>
      <c r="R1416" s="16" t="s">
        <v>800</v>
      </c>
      <c r="S1416" s="16" t="s">
        <v>1148</v>
      </c>
      <c r="T1416" s="16" t="s">
        <v>2693</v>
      </c>
      <c r="U1416" s="16" t="s">
        <v>63</v>
      </c>
      <c r="V1416" s="16" t="n">
        <v>0.91</v>
      </c>
      <c r="W1416" s="16"/>
      <c r="X1416" s="16" t="n">
        <v>1000</v>
      </c>
      <c r="Y1416" s="16" t="n">
        <v>1000</v>
      </c>
      <c r="Z1416" s="16" t="n">
        <v>1000</v>
      </c>
      <c r="AA1416" s="16" t="n">
        <v>1000</v>
      </c>
      <c r="AB1416" s="16" t="n">
        <v>1000</v>
      </c>
      <c r="AC1416" s="16" t="n">
        <v>1000</v>
      </c>
      <c r="AD1416" s="16" t="n">
        <v>1000</v>
      </c>
      <c r="AE1416" s="16" t="n">
        <v>1000</v>
      </c>
      <c r="AF1416" s="16" t="n">
        <v>1000</v>
      </c>
      <c r="AG1416" s="16" t="n">
        <v>1000</v>
      </c>
      <c r="AH1416" s="16" t="n">
        <v>1000</v>
      </c>
      <c r="AI1416" s="16" t="n">
        <v>1000</v>
      </c>
      <c r="AJ1416" s="9" t="n">
        <f aca="false">X1416*$V1416</f>
        <v>910</v>
      </c>
      <c r="AK1416" s="9" t="n">
        <f aca="false">Y1416*$V1416</f>
        <v>910</v>
      </c>
      <c r="AL1416" s="9" t="n">
        <f aca="false">Z1416*$V1416</f>
        <v>910</v>
      </c>
      <c r="AM1416" s="9" t="n">
        <f aca="false">AA1416*$V1416</f>
        <v>910</v>
      </c>
      <c r="AN1416" s="9" t="n">
        <f aca="false">AB1416*$V1416</f>
        <v>910</v>
      </c>
      <c r="AO1416" s="9" t="n">
        <f aca="false">AC1416*$V1416</f>
        <v>910</v>
      </c>
      <c r="AP1416" s="9" t="n">
        <f aca="false">AD1416*$V1416</f>
        <v>910</v>
      </c>
      <c r="AQ1416" s="9" t="n">
        <f aca="false">AE1416*$V1416</f>
        <v>910</v>
      </c>
      <c r="AR1416" s="9" t="n">
        <f aca="false">AF1416*$V1416</f>
        <v>910</v>
      </c>
      <c r="AS1416" s="9" t="n">
        <f aca="false">AG1416*$V1416</f>
        <v>910</v>
      </c>
      <c r="AT1416" s="9" t="n">
        <f aca="false">AH1416*$V1416</f>
        <v>910</v>
      </c>
      <c r="AU1416" s="9" t="n">
        <f aca="false">AI1416*$V1416</f>
        <v>910</v>
      </c>
      <c r="AV1416" s="9" t="n">
        <f aca="false">SUM(X1416:AI1416)/1000</f>
        <v>12</v>
      </c>
      <c r="AW1416" s="9" t="n">
        <f aca="false">SUM(AJ1416:AU1416)</f>
        <v>10920</v>
      </c>
      <c r="AX1416" s="9" t="n">
        <f aca="false">IF(D1416="INR",AW1416/88.24,AW1416)/1000000</f>
        <v>0.01092</v>
      </c>
    </row>
    <row r="1417" s="2" customFormat="true" ht="14.25" hidden="false" customHeight="false" outlineLevel="0" collapsed="false">
      <c r="A1417" s="16"/>
      <c r="B1417" s="16" t="n">
        <v>1</v>
      </c>
      <c r="C1417" s="16"/>
      <c r="D1417" s="16" t="s">
        <v>102</v>
      </c>
      <c r="E1417" s="16"/>
      <c r="F1417" s="16" t="s">
        <v>52</v>
      </c>
      <c r="G1417" s="16" t="s">
        <v>2689</v>
      </c>
      <c r="H1417" s="16" t="s">
        <v>2690</v>
      </c>
      <c r="I1417" s="16"/>
      <c r="J1417" s="16"/>
      <c r="K1417" s="16"/>
      <c r="L1417" s="16"/>
      <c r="M1417" s="16"/>
      <c r="N1417" s="16" t="s">
        <v>79</v>
      </c>
      <c r="O1417" s="16" t="s">
        <v>94</v>
      </c>
      <c r="P1417" s="16"/>
      <c r="Q1417" s="16" t="s">
        <v>348</v>
      </c>
      <c r="R1417" s="16"/>
      <c r="S1417" s="16"/>
      <c r="T1417" s="16" t="s">
        <v>2694</v>
      </c>
      <c r="U1417" s="16" t="s">
        <v>63</v>
      </c>
      <c r="V1417" s="16" t="n">
        <v>0.1147</v>
      </c>
      <c r="W1417" s="16"/>
      <c r="X1417" s="16" t="n">
        <v>1000</v>
      </c>
      <c r="Y1417" s="16" t="n">
        <v>1000</v>
      </c>
      <c r="Z1417" s="16" t="n">
        <v>1000</v>
      </c>
      <c r="AA1417" s="16" t="n">
        <v>1000</v>
      </c>
      <c r="AB1417" s="16" t="n">
        <v>1000</v>
      </c>
      <c r="AC1417" s="16" t="n">
        <v>1000</v>
      </c>
      <c r="AD1417" s="16" t="n">
        <v>1000</v>
      </c>
      <c r="AE1417" s="16" t="n">
        <v>1000</v>
      </c>
      <c r="AF1417" s="16" t="n">
        <v>1000</v>
      </c>
      <c r="AG1417" s="16" t="n">
        <v>1000</v>
      </c>
      <c r="AH1417" s="16" t="n">
        <v>1000</v>
      </c>
      <c r="AI1417" s="16" t="n">
        <v>1000</v>
      </c>
      <c r="AJ1417" s="9" t="n">
        <f aca="false">X1417*$V1417</f>
        <v>114.7</v>
      </c>
      <c r="AK1417" s="9" t="n">
        <f aca="false">Y1417*$V1417</f>
        <v>114.7</v>
      </c>
      <c r="AL1417" s="9" t="n">
        <f aca="false">Z1417*$V1417</f>
        <v>114.7</v>
      </c>
      <c r="AM1417" s="9" t="n">
        <f aca="false">AA1417*$V1417</f>
        <v>114.7</v>
      </c>
      <c r="AN1417" s="9" t="n">
        <f aca="false">AB1417*$V1417</f>
        <v>114.7</v>
      </c>
      <c r="AO1417" s="9" t="n">
        <f aca="false">AC1417*$V1417</f>
        <v>114.7</v>
      </c>
      <c r="AP1417" s="9" t="n">
        <f aca="false">AD1417*$V1417</f>
        <v>114.7</v>
      </c>
      <c r="AQ1417" s="9" t="n">
        <f aca="false">AE1417*$V1417</f>
        <v>114.7</v>
      </c>
      <c r="AR1417" s="9" t="n">
        <f aca="false">AF1417*$V1417</f>
        <v>114.7</v>
      </c>
      <c r="AS1417" s="9" t="n">
        <f aca="false">AG1417*$V1417</f>
        <v>114.7</v>
      </c>
      <c r="AT1417" s="9" t="n">
        <f aca="false">AH1417*$V1417</f>
        <v>114.7</v>
      </c>
      <c r="AU1417" s="9" t="n">
        <f aca="false">AI1417*$V1417</f>
        <v>114.7</v>
      </c>
      <c r="AV1417" s="9" t="n">
        <f aca="false">SUM(X1417:AI1417)/1000</f>
        <v>12</v>
      </c>
      <c r="AW1417" s="9" t="n">
        <f aca="false">SUM(AJ1417:AU1417)</f>
        <v>1376.4</v>
      </c>
      <c r="AX1417" s="9" t="n">
        <f aca="false">IF(D1417="INR",AW1417/88.24,AW1417)/1000000</f>
        <v>0.0013764</v>
      </c>
    </row>
    <row r="1418" s="2" customFormat="true" ht="18" hidden="false" customHeight="true" outlineLevel="0" collapsed="false">
      <c r="A1418" s="9"/>
      <c r="B1418" s="9" t="n">
        <v>1</v>
      </c>
      <c r="C1418" s="15"/>
      <c r="D1418" s="16" t="s">
        <v>102</v>
      </c>
      <c r="E1418" s="16"/>
      <c r="F1418" s="16" t="s">
        <v>52</v>
      </c>
      <c r="G1418" s="16" t="s">
        <v>2689</v>
      </c>
      <c r="H1418" s="16" t="s">
        <v>2690</v>
      </c>
      <c r="I1418" s="16"/>
      <c r="J1418" s="16"/>
      <c r="K1418" s="16"/>
      <c r="L1418" s="16"/>
      <c r="M1418" s="16"/>
      <c r="N1418" s="16" t="s">
        <v>79</v>
      </c>
      <c r="O1418" s="16" t="s">
        <v>94</v>
      </c>
      <c r="P1418" s="9"/>
      <c r="Q1418" s="9" t="s">
        <v>2322</v>
      </c>
      <c r="R1418" s="16"/>
      <c r="S1418" s="16"/>
      <c r="T1418" s="9" t="s">
        <v>2695</v>
      </c>
      <c r="U1418" s="9" t="s">
        <v>63</v>
      </c>
      <c r="V1418" s="9" t="n">
        <v>0.91</v>
      </c>
      <c r="W1418" s="9"/>
      <c r="X1418" s="22"/>
      <c r="Y1418" s="9"/>
      <c r="Z1418" s="9" t="n">
        <v>1000</v>
      </c>
      <c r="AA1418" s="9"/>
      <c r="AB1418" s="9"/>
      <c r="AC1418" s="9"/>
      <c r="AD1418" s="9"/>
      <c r="AE1418" s="9"/>
      <c r="AF1418" s="9" t="n">
        <v>1000</v>
      </c>
      <c r="AG1418" s="9"/>
      <c r="AH1418" s="9"/>
      <c r="AI1418" s="9" t="n">
        <v>1000</v>
      </c>
      <c r="AJ1418" s="9" t="n">
        <f aca="false">X1418*$V1418</f>
        <v>0</v>
      </c>
      <c r="AK1418" s="9" t="n">
        <f aca="false">Y1418*$V1418</f>
        <v>0</v>
      </c>
      <c r="AL1418" s="9" t="n">
        <f aca="false">Z1418*$V1418</f>
        <v>910</v>
      </c>
      <c r="AM1418" s="9" t="n">
        <f aca="false">AA1418*$V1418</f>
        <v>0</v>
      </c>
      <c r="AN1418" s="9" t="n">
        <f aca="false">AB1418*$V1418</f>
        <v>0</v>
      </c>
      <c r="AO1418" s="9" t="n">
        <f aca="false">AC1418*$V1418</f>
        <v>0</v>
      </c>
      <c r="AP1418" s="9" t="n">
        <f aca="false">AD1418*$V1418</f>
        <v>0</v>
      </c>
      <c r="AQ1418" s="9" t="n">
        <f aca="false">AE1418*$V1418</f>
        <v>0</v>
      </c>
      <c r="AR1418" s="9" t="n">
        <f aca="false">AF1418*$V1418</f>
        <v>910</v>
      </c>
      <c r="AS1418" s="9" t="n">
        <f aca="false">AG1418*$V1418</f>
        <v>0</v>
      </c>
      <c r="AT1418" s="9" t="n">
        <f aca="false">AH1418*$V1418</f>
        <v>0</v>
      </c>
      <c r="AU1418" s="9" t="n">
        <f aca="false">AI1418*$V1418</f>
        <v>910</v>
      </c>
      <c r="AV1418" s="9" t="n">
        <f aca="false">SUM(X1418:AI1418)/1000</f>
        <v>3</v>
      </c>
      <c r="AW1418" s="9" t="n">
        <f aca="false">SUM(AJ1418:AU1418)</f>
        <v>2730</v>
      </c>
      <c r="AX1418" s="9" t="n">
        <f aca="false">IF(D1418="INR",AW1418/88.24,AW1418)/1000000</f>
        <v>0.00273</v>
      </c>
    </row>
    <row r="1419" s="2" customFormat="true" ht="14.25" hidden="false" customHeight="true" outlineLevel="0" collapsed="false">
      <c r="A1419" s="16"/>
      <c r="B1419" s="16" t="n">
        <v>1</v>
      </c>
      <c r="C1419" s="16"/>
      <c r="D1419" s="16" t="s">
        <v>102</v>
      </c>
      <c r="E1419" s="16"/>
      <c r="F1419" s="16" t="s">
        <v>52</v>
      </c>
      <c r="G1419" s="16" t="s">
        <v>2689</v>
      </c>
      <c r="H1419" s="16" t="s">
        <v>2690</v>
      </c>
      <c r="I1419" s="16"/>
      <c r="J1419" s="16"/>
      <c r="K1419" s="16"/>
      <c r="L1419" s="16"/>
      <c r="M1419" s="16"/>
      <c r="N1419" s="16" t="s">
        <v>79</v>
      </c>
      <c r="O1419" s="16" t="s">
        <v>94</v>
      </c>
      <c r="P1419" s="16"/>
      <c r="Q1419" s="16" t="s">
        <v>170</v>
      </c>
      <c r="R1419" s="16"/>
      <c r="S1419" s="16"/>
      <c r="T1419" s="16" t="s">
        <v>2696</v>
      </c>
      <c r="U1419" s="16" t="s">
        <v>63</v>
      </c>
      <c r="V1419" s="16" t="n">
        <v>0.458</v>
      </c>
      <c r="W1419" s="16"/>
      <c r="X1419" s="26"/>
      <c r="Y1419" s="16"/>
      <c r="Z1419" s="16" t="n">
        <v>1000</v>
      </c>
      <c r="AA1419" s="16"/>
      <c r="AB1419" s="16"/>
      <c r="AC1419" s="16"/>
      <c r="AD1419" s="16"/>
      <c r="AE1419" s="16"/>
      <c r="AF1419" s="16" t="n">
        <v>1000</v>
      </c>
      <c r="AG1419" s="16"/>
      <c r="AH1419" s="16"/>
      <c r="AI1419" s="16" t="n">
        <v>1000</v>
      </c>
      <c r="AJ1419" s="9" t="n">
        <f aca="false">X1419*$V1419</f>
        <v>0</v>
      </c>
      <c r="AK1419" s="9" t="n">
        <f aca="false">Y1419*$V1419</f>
        <v>0</v>
      </c>
      <c r="AL1419" s="9" t="n">
        <f aca="false">Z1419*$V1419</f>
        <v>458</v>
      </c>
      <c r="AM1419" s="9" t="n">
        <f aca="false">AA1419*$V1419</f>
        <v>0</v>
      </c>
      <c r="AN1419" s="9" t="n">
        <f aca="false">AB1419*$V1419</f>
        <v>0</v>
      </c>
      <c r="AO1419" s="9" t="n">
        <f aca="false">AC1419*$V1419</f>
        <v>0</v>
      </c>
      <c r="AP1419" s="9" t="n">
        <f aca="false">AD1419*$V1419</f>
        <v>0</v>
      </c>
      <c r="AQ1419" s="9" t="n">
        <f aca="false">AE1419*$V1419</f>
        <v>0</v>
      </c>
      <c r="AR1419" s="9" t="n">
        <f aca="false">AF1419*$V1419</f>
        <v>458</v>
      </c>
      <c r="AS1419" s="9" t="n">
        <f aca="false">AG1419*$V1419</f>
        <v>0</v>
      </c>
      <c r="AT1419" s="9" t="n">
        <f aca="false">AH1419*$V1419</f>
        <v>0</v>
      </c>
      <c r="AU1419" s="9" t="n">
        <f aca="false">AI1419*$V1419</f>
        <v>458</v>
      </c>
      <c r="AV1419" s="9" t="n">
        <f aca="false">SUM(X1419:AI1419)/1000</f>
        <v>3</v>
      </c>
      <c r="AW1419" s="9" t="n">
        <f aca="false">SUM(AJ1419:AU1419)</f>
        <v>1374</v>
      </c>
      <c r="AX1419" s="9" t="n">
        <f aca="false">IF(D1419="INR",AW1419/88.24,AW1419)/1000000</f>
        <v>0.001374</v>
      </c>
    </row>
    <row r="1420" s="2" customFormat="true" ht="14.25" hidden="false" customHeight="false" outlineLevel="0" collapsed="false">
      <c r="A1420" s="9"/>
      <c r="B1420" s="9" t="n">
        <v>1</v>
      </c>
      <c r="C1420" s="10"/>
      <c r="D1420" s="9" t="s">
        <v>102</v>
      </c>
      <c r="E1420" s="9"/>
      <c r="F1420" s="9" t="s">
        <v>52</v>
      </c>
      <c r="G1420" s="9" t="s">
        <v>2689</v>
      </c>
      <c r="H1420" s="9" t="s">
        <v>2690</v>
      </c>
      <c r="I1420" s="9"/>
      <c r="J1420" s="9"/>
      <c r="K1420" s="9"/>
      <c r="L1420" s="9"/>
      <c r="M1420" s="9"/>
      <c r="N1420" s="9" t="s">
        <v>79</v>
      </c>
      <c r="O1420" s="9" t="s">
        <v>94</v>
      </c>
      <c r="P1420" s="9"/>
      <c r="Q1420" s="9" t="s">
        <v>145</v>
      </c>
      <c r="R1420" s="9"/>
      <c r="S1420" s="9"/>
      <c r="T1420" s="9" t="s">
        <v>2697</v>
      </c>
      <c r="U1420" s="9" t="s">
        <v>63</v>
      </c>
      <c r="V1420" s="9" t="n">
        <v>0.224</v>
      </c>
      <c r="W1420" s="9"/>
      <c r="X1420" s="9"/>
      <c r="Y1420" s="9"/>
      <c r="Z1420" s="9" t="n">
        <v>1000</v>
      </c>
      <c r="AA1420" s="9"/>
      <c r="AB1420" s="9"/>
      <c r="AC1420" s="9"/>
      <c r="AD1420" s="9"/>
      <c r="AE1420" s="9"/>
      <c r="AF1420" s="9" t="n">
        <v>1000</v>
      </c>
      <c r="AG1420" s="9"/>
      <c r="AH1420" s="9"/>
      <c r="AI1420" s="9" t="n">
        <v>1000</v>
      </c>
      <c r="AJ1420" s="9" t="n">
        <f aca="false">X1420*$V1420</f>
        <v>0</v>
      </c>
      <c r="AK1420" s="9" t="n">
        <f aca="false">Y1420*$V1420</f>
        <v>0</v>
      </c>
      <c r="AL1420" s="9" t="n">
        <f aca="false">Z1420*$V1420</f>
        <v>224</v>
      </c>
      <c r="AM1420" s="9" t="n">
        <f aca="false">AA1420*$V1420</f>
        <v>0</v>
      </c>
      <c r="AN1420" s="9" t="n">
        <f aca="false">AB1420*$V1420</f>
        <v>0</v>
      </c>
      <c r="AO1420" s="9" t="n">
        <f aca="false">AC1420*$V1420</f>
        <v>0</v>
      </c>
      <c r="AP1420" s="9" t="n">
        <f aca="false">AD1420*$V1420</f>
        <v>0</v>
      </c>
      <c r="AQ1420" s="9" t="n">
        <f aca="false">AE1420*$V1420</f>
        <v>0</v>
      </c>
      <c r="AR1420" s="9" t="n">
        <f aca="false">AF1420*$V1420</f>
        <v>224</v>
      </c>
      <c r="AS1420" s="9" t="n">
        <f aca="false">AG1420*$V1420</f>
        <v>0</v>
      </c>
      <c r="AT1420" s="9" t="n">
        <f aca="false">AH1420*$V1420</f>
        <v>0</v>
      </c>
      <c r="AU1420" s="9" t="n">
        <f aca="false">AI1420*$V1420</f>
        <v>224</v>
      </c>
      <c r="AV1420" s="9" t="n">
        <f aca="false">SUM(X1420:AI1420)/1000</f>
        <v>3</v>
      </c>
      <c r="AW1420" s="9" t="n">
        <f aca="false">SUM(AJ1420:AU1420)</f>
        <v>672</v>
      </c>
      <c r="AX1420" s="9" t="n">
        <f aca="false">IF(D1420="INR",AW1420/88.24,AW1420)/1000000</f>
        <v>0.000672</v>
      </c>
    </row>
    <row r="1421" s="2" customFormat="true" ht="18" hidden="false" customHeight="true" outlineLevel="0" collapsed="false">
      <c r="A1421" s="9"/>
      <c r="B1421" s="9" t="n">
        <v>1</v>
      </c>
      <c r="C1421" s="10"/>
      <c r="D1421" s="9" t="s">
        <v>102</v>
      </c>
      <c r="E1421" s="9" t="s">
        <v>51</v>
      </c>
      <c r="F1421" s="9" t="s">
        <v>52</v>
      </c>
      <c r="G1421" s="9" t="s">
        <v>2689</v>
      </c>
      <c r="H1421" s="9" t="s">
        <v>2690</v>
      </c>
      <c r="I1421" s="9" t="s">
        <v>105</v>
      </c>
      <c r="J1421" s="9" t="s">
        <v>2691</v>
      </c>
      <c r="K1421" s="9" t="s">
        <v>2692</v>
      </c>
      <c r="L1421" s="9" t="s">
        <v>260</v>
      </c>
      <c r="M1421" s="9" t="s">
        <v>2691</v>
      </c>
      <c r="N1421" s="9" t="s">
        <v>79</v>
      </c>
      <c r="O1421" s="9" t="s">
        <v>94</v>
      </c>
      <c r="P1421" s="9" t="s">
        <v>1670</v>
      </c>
      <c r="Q1421" s="9" t="s">
        <v>1670</v>
      </c>
      <c r="R1421" s="9" t="s">
        <v>800</v>
      </c>
      <c r="S1421" s="9" t="s">
        <v>968</v>
      </c>
      <c r="T1421" s="9" t="s">
        <v>2698</v>
      </c>
      <c r="U1421" s="9" t="s">
        <v>63</v>
      </c>
      <c r="V1421" s="9" t="n">
        <v>0.185</v>
      </c>
      <c r="W1421" s="9"/>
      <c r="X1421" s="9"/>
      <c r="Y1421" s="9"/>
      <c r="Z1421" s="9" t="n">
        <v>1000</v>
      </c>
      <c r="AA1421" s="9"/>
      <c r="AB1421" s="9"/>
      <c r="AC1421" s="9"/>
      <c r="AD1421" s="9"/>
      <c r="AE1421" s="9"/>
      <c r="AF1421" s="9" t="n">
        <v>1000</v>
      </c>
      <c r="AG1421" s="9"/>
      <c r="AH1421" s="9"/>
      <c r="AI1421" s="9" t="n">
        <v>1000</v>
      </c>
      <c r="AJ1421" s="9" t="n">
        <f aca="false">X1421*$V1421</f>
        <v>0</v>
      </c>
      <c r="AK1421" s="9" t="n">
        <f aca="false">Y1421*$V1421</f>
        <v>0</v>
      </c>
      <c r="AL1421" s="9" t="n">
        <f aca="false">Z1421*$V1421</f>
        <v>185</v>
      </c>
      <c r="AM1421" s="9" t="n">
        <f aca="false">AA1421*$V1421</f>
        <v>0</v>
      </c>
      <c r="AN1421" s="9" t="n">
        <f aca="false">AB1421*$V1421</f>
        <v>0</v>
      </c>
      <c r="AO1421" s="9" t="n">
        <f aca="false">AC1421*$V1421</f>
        <v>0</v>
      </c>
      <c r="AP1421" s="9" t="n">
        <f aca="false">AD1421*$V1421</f>
        <v>0</v>
      </c>
      <c r="AQ1421" s="9" t="n">
        <f aca="false">AE1421*$V1421</f>
        <v>0</v>
      </c>
      <c r="AR1421" s="9" t="n">
        <f aca="false">AF1421*$V1421</f>
        <v>185</v>
      </c>
      <c r="AS1421" s="9" t="n">
        <f aca="false">AG1421*$V1421</f>
        <v>0</v>
      </c>
      <c r="AT1421" s="9" t="n">
        <f aca="false">AH1421*$V1421</f>
        <v>0</v>
      </c>
      <c r="AU1421" s="9" t="n">
        <f aca="false">AI1421*$V1421</f>
        <v>185</v>
      </c>
      <c r="AV1421" s="9" t="n">
        <f aca="false">SUM(X1421:AI1421)/1000</f>
        <v>3</v>
      </c>
      <c r="AW1421" s="9" t="n">
        <f aca="false">SUM(AJ1421:AU1421)</f>
        <v>555</v>
      </c>
      <c r="AX1421" s="9" t="n">
        <f aca="false">IF(D1421="INR",AW1421/88.24,AW1421)/1000000</f>
        <v>0.000555</v>
      </c>
    </row>
    <row r="1422" s="2" customFormat="true" ht="14.25" hidden="false" customHeight="true" outlineLevel="0" collapsed="false">
      <c r="A1422" s="16"/>
      <c r="B1422" s="16" t="n">
        <v>1</v>
      </c>
      <c r="C1422" s="16"/>
      <c r="D1422" s="16" t="s">
        <v>102</v>
      </c>
      <c r="E1422" s="16"/>
      <c r="F1422" s="16" t="s">
        <v>52</v>
      </c>
      <c r="G1422" s="16" t="s">
        <v>2689</v>
      </c>
      <c r="H1422" s="16" t="s">
        <v>2690</v>
      </c>
      <c r="I1422" s="16"/>
      <c r="J1422" s="16"/>
      <c r="K1422" s="16"/>
      <c r="L1422" s="16"/>
      <c r="M1422" s="16"/>
      <c r="N1422" s="16" t="s">
        <v>79</v>
      </c>
      <c r="O1422" s="16" t="s">
        <v>94</v>
      </c>
      <c r="P1422" s="16"/>
      <c r="Q1422" s="16" t="s">
        <v>145</v>
      </c>
      <c r="R1422" s="16"/>
      <c r="S1422" s="16"/>
      <c r="T1422" s="16" t="s">
        <v>2699</v>
      </c>
      <c r="U1422" s="16" t="s">
        <v>63</v>
      </c>
      <c r="V1422" s="16" t="n">
        <v>0.16</v>
      </c>
      <c r="W1422" s="16"/>
      <c r="X1422" s="16"/>
      <c r="Y1422" s="16"/>
      <c r="Z1422" s="16" t="n">
        <v>1000</v>
      </c>
      <c r="AA1422" s="16"/>
      <c r="AB1422" s="16"/>
      <c r="AC1422" s="16"/>
      <c r="AD1422" s="16"/>
      <c r="AE1422" s="16"/>
      <c r="AF1422" s="16" t="n">
        <v>1000</v>
      </c>
      <c r="AG1422" s="16"/>
      <c r="AH1422" s="16"/>
      <c r="AI1422" s="16" t="n">
        <v>1000</v>
      </c>
      <c r="AJ1422" s="9" t="n">
        <f aca="false">X1422*$V1422</f>
        <v>0</v>
      </c>
      <c r="AK1422" s="9" t="n">
        <f aca="false">Y1422*$V1422</f>
        <v>0</v>
      </c>
      <c r="AL1422" s="9" t="n">
        <f aca="false">Z1422*$V1422</f>
        <v>160</v>
      </c>
      <c r="AM1422" s="9" t="n">
        <f aca="false">AA1422*$V1422</f>
        <v>0</v>
      </c>
      <c r="AN1422" s="9" t="n">
        <f aca="false">AB1422*$V1422</f>
        <v>0</v>
      </c>
      <c r="AO1422" s="9" t="n">
        <f aca="false">AC1422*$V1422</f>
        <v>0</v>
      </c>
      <c r="AP1422" s="9" t="n">
        <f aca="false">AD1422*$V1422</f>
        <v>0</v>
      </c>
      <c r="AQ1422" s="9" t="n">
        <f aca="false">AE1422*$V1422</f>
        <v>0</v>
      </c>
      <c r="AR1422" s="9" t="n">
        <f aca="false">AF1422*$V1422</f>
        <v>160</v>
      </c>
      <c r="AS1422" s="9" t="n">
        <f aca="false">AG1422*$V1422</f>
        <v>0</v>
      </c>
      <c r="AT1422" s="9" t="n">
        <f aca="false">AH1422*$V1422</f>
        <v>0</v>
      </c>
      <c r="AU1422" s="9" t="n">
        <f aca="false">AI1422*$V1422</f>
        <v>160</v>
      </c>
      <c r="AV1422" s="9" t="n">
        <f aca="false">SUM(X1422:AI1422)/1000</f>
        <v>3</v>
      </c>
      <c r="AW1422" s="9" t="n">
        <f aca="false">SUM(AJ1422:AU1422)</f>
        <v>480</v>
      </c>
      <c r="AX1422" s="9" t="n">
        <f aca="false">IF(D1422="INR",AW1422/88.24,AW1422)/1000000</f>
        <v>0.00048</v>
      </c>
    </row>
    <row r="1423" s="2" customFormat="true" ht="16.4" hidden="false" customHeight="false" outlineLevel="0" collapsed="false">
      <c r="A1423" s="16" t="s">
        <v>2700</v>
      </c>
      <c r="B1423" s="16" t="n">
        <v>5</v>
      </c>
      <c r="C1423" s="16"/>
      <c r="D1423" s="16" t="s">
        <v>50</v>
      </c>
      <c r="E1423" s="16" t="s">
        <v>51</v>
      </c>
      <c r="F1423" s="16" t="s">
        <v>52</v>
      </c>
      <c r="G1423" s="16" t="s">
        <v>345</v>
      </c>
      <c r="H1423" s="16" t="s">
        <v>346</v>
      </c>
      <c r="I1423" s="16" t="s">
        <v>55</v>
      </c>
      <c r="J1423" s="16" t="s">
        <v>56</v>
      </c>
      <c r="K1423" s="16"/>
      <c r="L1423" s="16" t="s">
        <v>55</v>
      </c>
      <c r="M1423" s="16" t="s">
        <v>56</v>
      </c>
      <c r="N1423" s="16" t="s">
        <v>290</v>
      </c>
      <c r="O1423" s="16" t="s">
        <v>94</v>
      </c>
      <c r="P1423" s="16" t="s">
        <v>110</v>
      </c>
      <c r="Q1423" s="16" t="s">
        <v>110</v>
      </c>
      <c r="R1423" s="16" t="s">
        <v>137</v>
      </c>
      <c r="S1423" s="16" t="s">
        <v>272</v>
      </c>
      <c r="T1423" s="26" t="s">
        <v>347</v>
      </c>
      <c r="U1423" s="16" t="s">
        <v>73</v>
      </c>
      <c r="V1423" s="16" t="n">
        <v>119.48</v>
      </c>
      <c r="W1423" s="16" t="n">
        <v>1.017</v>
      </c>
      <c r="X1423" s="16"/>
      <c r="Y1423" s="16"/>
      <c r="Z1423" s="16"/>
      <c r="AA1423" s="16"/>
      <c r="AB1423" s="16"/>
      <c r="AC1423" s="16"/>
      <c r="AD1423" s="16" t="n">
        <v>25000</v>
      </c>
      <c r="AE1423" s="16"/>
      <c r="AF1423" s="16"/>
      <c r="AG1423" s="16" t="n">
        <v>25000</v>
      </c>
      <c r="AH1423" s="16"/>
      <c r="AI1423" s="16"/>
      <c r="AJ1423" s="9" t="n">
        <f aca="false">X1423*$V1423</f>
        <v>0</v>
      </c>
      <c r="AK1423" s="9" t="n">
        <f aca="false">Y1423*$V1423</f>
        <v>0</v>
      </c>
      <c r="AL1423" s="9" t="n">
        <f aca="false">Z1423*$V1423</f>
        <v>0</v>
      </c>
      <c r="AM1423" s="9" t="n">
        <f aca="false">AA1423*$V1423</f>
        <v>0</v>
      </c>
      <c r="AN1423" s="9" t="n">
        <f aca="false">AB1423*$V1423</f>
        <v>0</v>
      </c>
      <c r="AO1423" s="9" t="n">
        <f aca="false">AC1423*$V1423</f>
        <v>0</v>
      </c>
      <c r="AP1423" s="9" t="n">
        <f aca="false">AD1423*$V1423</f>
        <v>2987000</v>
      </c>
      <c r="AQ1423" s="9" t="n">
        <f aca="false">AE1423*$V1423</f>
        <v>0</v>
      </c>
      <c r="AR1423" s="9" t="n">
        <f aca="false">AF1423*$V1423</f>
        <v>0</v>
      </c>
      <c r="AS1423" s="9" t="n">
        <f aca="false">AG1423*$V1423</f>
        <v>2987000</v>
      </c>
      <c r="AT1423" s="9" t="n">
        <f aca="false">AH1423*$V1423</f>
        <v>0</v>
      </c>
      <c r="AU1423" s="9" t="n">
        <f aca="false">AI1423*$V1423</f>
        <v>0</v>
      </c>
      <c r="AV1423" s="9" t="n">
        <f aca="false">SUM(X1423:AI1423)/1000</f>
        <v>50</v>
      </c>
      <c r="AW1423" s="9" t="n">
        <f aca="false">SUM(AJ1423:AU1423)</f>
        <v>5974000</v>
      </c>
      <c r="AX1423" s="9" t="n">
        <f aca="false">IF(D1423="INR",AW1423/88.24,AW1423)/1000000</f>
        <v>0.067701722574796</v>
      </c>
    </row>
    <row r="1424" s="2" customFormat="true" ht="14.25" hidden="false" customHeight="true" outlineLevel="0" collapsed="false">
      <c r="A1424" s="12"/>
      <c r="B1424" s="16" t="n">
        <v>1</v>
      </c>
      <c r="C1424" s="15"/>
      <c r="D1424" s="16" t="s">
        <v>102</v>
      </c>
      <c r="E1424" s="16" t="s">
        <v>51</v>
      </c>
      <c r="F1424" s="16" t="s">
        <v>52</v>
      </c>
      <c r="G1424" s="16"/>
      <c r="H1424" s="16" t="s">
        <v>2701</v>
      </c>
      <c r="I1424" s="16"/>
      <c r="J1424" s="16"/>
      <c r="K1424" s="16"/>
      <c r="L1424" s="16"/>
      <c r="M1424" s="16"/>
      <c r="N1424" s="16" t="s">
        <v>79</v>
      </c>
      <c r="O1424" s="16"/>
      <c r="P1424" s="16"/>
      <c r="Q1424" s="16" t="s">
        <v>182</v>
      </c>
      <c r="R1424" s="16"/>
      <c r="S1424" s="16"/>
      <c r="T1424" s="16" t="s">
        <v>2702</v>
      </c>
      <c r="U1424" s="16" t="s">
        <v>382</v>
      </c>
      <c r="V1424" s="16" t="n">
        <v>0.122</v>
      </c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 t="n">
        <v>5000</v>
      </c>
      <c r="AG1424" s="16" t="n">
        <v>5000</v>
      </c>
      <c r="AH1424" s="16" t="n">
        <v>5000</v>
      </c>
      <c r="AI1424" s="16" t="n">
        <v>5000</v>
      </c>
      <c r="AJ1424" s="9" t="n">
        <f aca="false">X1424*$V1424</f>
        <v>0</v>
      </c>
      <c r="AK1424" s="9" t="n">
        <f aca="false">Y1424*$V1424</f>
        <v>0</v>
      </c>
      <c r="AL1424" s="9" t="n">
        <f aca="false">Z1424*$V1424</f>
        <v>0</v>
      </c>
      <c r="AM1424" s="9" t="n">
        <f aca="false">AA1424*$V1424</f>
        <v>0</v>
      </c>
      <c r="AN1424" s="9" t="n">
        <f aca="false">AB1424*$V1424</f>
        <v>0</v>
      </c>
      <c r="AO1424" s="9" t="n">
        <f aca="false">AC1424*$V1424</f>
        <v>0</v>
      </c>
      <c r="AP1424" s="9" t="n">
        <f aca="false">AD1424*$V1424</f>
        <v>0</v>
      </c>
      <c r="AQ1424" s="9" t="n">
        <f aca="false">AE1424*$V1424</f>
        <v>0</v>
      </c>
      <c r="AR1424" s="9" t="n">
        <f aca="false">AF1424*$V1424</f>
        <v>610</v>
      </c>
      <c r="AS1424" s="9" t="n">
        <f aca="false">AG1424*$V1424</f>
        <v>610</v>
      </c>
      <c r="AT1424" s="9" t="n">
        <f aca="false">AH1424*$V1424</f>
        <v>610</v>
      </c>
      <c r="AU1424" s="9" t="n">
        <f aca="false">AI1424*$V1424</f>
        <v>610</v>
      </c>
      <c r="AV1424" s="9" t="n">
        <f aca="false">SUM(X1424:AI1424)/1000</f>
        <v>20</v>
      </c>
      <c r="AW1424" s="9" t="n">
        <f aca="false">SUM(AJ1424:AU1424)</f>
        <v>2440</v>
      </c>
      <c r="AX1424" s="9" t="n">
        <f aca="false">IF(D1424="INR",AW1424/88.24,AW1424)/1000000</f>
        <v>0.00244</v>
      </c>
    </row>
    <row r="1425" s="2" customFormat="true" ht="14.25" hidden="false" customHeight="false" outlineLevel="0" collapsed="false">
      <c r="A1425" s="12" t="s">
        <v>2703</v>
      </c>
      <c r="B1425" s="16" t="n">
        <v>5</v>
      </c>
      <c r="C1425" s="15"/>
      <c r="D1425" s="16" t="s">
        <v>50</v>
      </c>
      <c r="E1425" s="16" t="s">
        <v>51</v>
      </c>
      <c r="F1425" s="16" t="s">
        <v>52</v>
      </c>
      <c r="G1425" s="16" t="s">
        <v>345</v>
      </c>
      <c r="H1425" s="16" t="s">
        <v>346</v>
      </c>
      <c r="I1425" s="16" t="s">
        <v>55</v>
      </c>
      <c r="J1425" s="16" t="s">
        <v>56</v>
      </c>
      <c r="K1425" s="16"/>
      <c r="L1425" s="16" t="s">
        <v>55</v>
      </c>
      <c r="M1425" s="16" t="s">
        <v>56</v>
      </c>
      <c r="N1425" s="16" t="s">
        <v>290</v>
      </c>
      <c r="O1425" s="16" t="s">
        <v>94</v>
      </c>
      <c r="P1425" s="16" t="s">
        <v>85</v>
      </c>
      <c r="Q1425" s="16" t="s">
        <v>85</v>
      </c>
      <c r="R1425" s="16" t="s">
        <v>86</v>
      </c>
      <c r="S1425" s="16" t="s">
        <v>87</v>
      </c>
      <c r="T1425" s="16" t="s">
        <v>1975</v>
      </c>
      <c r="U1425" s="16" t="s">
        <v>73</v>
      </c>
      <c r="V1425" s="16" t="n">
        <v>9.6</v>
      </c>
      <c r="W1425" s="16" t="n">
        <v>0.09</v>
      </c>
      <c r="X1425" s="22" t="n">
        <v>5000</v>
      </c>
      <c r="Y1425" s="22" t="n">
        <v>5000</v>
      </c>
      <c r="Z1425" s="22"/>
      <c r="AA1425" s="22" t="n">
        <v>5000</v>
      </c>
      <c r="AB1425" s="22"/>
      <c r="AC1425" s="22" t="n">
        <v>5000</v>
      </c>
      <c r="AD1425" s="22" t="n">
        <v>5000</v>
      </c>
      <c r="AE1425" s="22" t="n">
        <v>5000</v>
      </c>
      <c r="AF1425" s="22"/>
      <c r="AG1425" s="22" t="n">
        <v>5000</v>
      </c>
      <c r="AH1425" s="22"/>
      <c r="AI1425" s="22" t="n">
        <v>5000</v>
      </c>
      <c r="AJ1425" s="9" t="n">
        <f aca="false">X1425*$V1425</f>
        <v>48000</v>
      </c>
      <c r="AK1425" s="9" t="n">
        <f aca="false">Y1425*$V1425</f>
        <v>48000</v>
      </c>
      <c r="AL1425" s="9" t="n">
        <f aca="false">Z1425*$V1425</f>
        <v>0</v>
      </c>
      <c r="AM1425" s="9" t="n">
        <f aca="false">AA1425*$V1425</f>
        <v>48000</v>
      </c>
      <c r="AN1425" s="9" t="n">
        <f aca="false">AB1425*$V1425</f>
        <v>0</v>
      </c>
      <c r="AO1425" s="9" t="n">
        <f aca="false">AC1425*$V1425</f>
        <v>48000</v>
      </c>
      <c r="AP1425" s="9" t="n">
        <f aca="false">AD1425*$V1425</f>
        <v>48000</v>
      </c>
      <c r="AQ1425" s="9" t="n">
        <f aca="false">AE1425*$V1425</f>
        <v>48000</v>
      </c>
      <c r="AR1425" s="9" t="n">
        <f aca="false">AF1425*$V1425</f>
        <v>0</v>
      </c>
      <c r="AS1425" s="9" t="n">
        <f aca="false">AG1425*$V1425</f>
        <v>48000</v>
      </c>
      <c r="AT1425" s="9" t="n">
        <f aca="false">AH1425*$V1425</f>
        <v>0</v>
      </c>
      <c r="AU1425" s="9" t="n">
        <f aca="false">AI1425*$V1425</f>
        <v>48000</v>
      </c>
      <c r="AV1425" s="9" t="n">
        <f aca="false">SUM(X1425:AI1425)/1000</f>
        <v>40</v>
      </c>
      <c r="AW1425" s="9" t="n">
        <f aca="false">SUM(AJ1425:AU1425)</f>
        <v>384000</v>
      </c>
      <c r="AX1425" s="9" t="n">
        <f aca="false">IF(D1425="INR",AW1425/88.24,AW1425)/1000000</f>
        <v>0.0043517679057117</v>
      </c>
    </row>
    <row r="1426" s="2" customFormat="true" ht="14.25" hidden="false" customHeight="false" outlineLevel="0" collapsed="false">
      <c r="A1426" s="12" t="s">
        <v>2704</v>
      </c>
      <c r="B1426" s="16" t="n">
        <v>5</v>
      </c>
      <c r="C1426" s="15"/>
      <c r="D1426" s="16" t="s">
        <v>50</v>
      </c>
      <c r="E1426" s="16" t="s">
        <v>51</v>
      </c>
      <c r="F1426" s="16" t="s">
        <v>52</v>
      </c>
      <c r="G1426" s="16" t="s">
        <v>345</v>
      </c>
      <c r="H1426" s="16" t="s">
        <v>346</v>
      </c>
      <c r="I1426" s="16" t="s">
        <v>55</v>
      </c>
      <c r="J1426" s="16" t="s">
        <v>56</v>
      </c>
      <c r="K1426" s="16"/>
      <c r="L1426" s="16" t="s">
        <v>55</v>
      </c>
      <c r="M1426" s="16" t="s">
        <v>56</v>
      </c>
      <c r="N1426" s="16" t="s">
        <v>290</v>
      </c>
      <c r="O1426" s="16" t="s">
        <v>94</v>
      </c>
      <c r="P1426" s="16" t="s">
        <v>85</v>
      </c>
      <c r="Q1426" s="16" t="s">
        <v>85</v>
      </c>
      <c r="R1426" s="16" t="s">
        <v>86</v>
      </c>
      <c r="S1426" s="16" t="s">
        <v>87</v>
      </c>
      <c r="T1426" s="16" t="s">
        <v>2705</v>
      </c>
      <c r="U1426" s="16" t="s">
        <v>73</v>
      </c>
      <c r="V1426" s="16" t="n">
        <v>23.28</v>
      </c>
      <c r="W1426" s="16" t="n">
        <v>0.22</v>
      </c>
      <c r="X1426" s="22" t="n">
        <v>5000</v>
      </c>
      <c r="Y1426" s="22" t="n">
        <v>5000</v>
      </c>
      <c r="Z1426" s="22"/>
      <c r="AA1426" s="22" t="n">
        <v>5000</v>
      </c>
      <c r="AB1426" s="22"/>
      <c r="AC1426" s="22" t="n">
        <v>5000</v>
      </c>
      <c r="AD1426" s="22"/>
      <c r="AE1426" s="22"/>
      <c r="AF1426" s="22"/>
      <c r="AG1426" s="22"/>
      <c r="AH1426" s="22"/>
      <c r="AI1426" s="22"/>
      <c r="AJ1426" s="9" t="n">
        <f aca="false">X1426*$V1426</f>
        <v>116400</v>
      </c>
      <c r="AK1426" s="9" t="n">
        <f aca="false">Y1426*$V1426</f>
        <v>116400</v>
      </c>
      <c r="AL1426" s="9" t="n">
        <f aca="false">Z1426*$V1426</f>
        <v>0</v>
      </c>
      <c r="AM1426" s="9" t="n">
        <f aca="false">AA1426*$V1426</f>
        <v>116400</v>
      </c>
      <c r="AN1426" s="9" t="n">
        <f aca="false">AB1426*$V1426</f>
        <v>0</v>
      </c>
      <c r="AO1426" s="9" t="n">
        <f aca="false">AC1426*$V1426</f>
        <v>116400</v>
      </c>
      <c r="AP1426" s="9" t="n">
        <f aca="false">AD1426*$V1426</f>
        <v>0</v>
      </c>
      <c r="AQ1426" s="9" t="n">
        <f aca="false">AE1426*$V1426</f>
        <v>0</v>
      </c>
      <c r="AR1426" s="9" t="n">
        <f aca="false">AF1426*$V1426</f>
        <v>0</v>
      </c>
      <c r="AS1426" s="9" t="n">
        <f aca="false">AG1426*$V1426</f>
        <v>0</v>
      </c>
      <c r="AT1426" s="9" t="n">
        <f aca="false">AH1426*$V1426</f>
        <v>0</v>
      </c>
      <c r="AU1426" s="9" t="n">
        <f aca="false">AI1426*$V1426</f>
        <v>0</v>
      </c>
      <c r="AV1426" s="9" t="n">
        <f aca="false">SUM(X1426:AI1426)/1000</f>
        <v>20</v>
      </c>
      <c r="AW1426" s="9" t="n">
        <f aca="false">SUM(AJ1426:AU1426)</f>
        <v>465600</v>
      </c>
      <c r="AX1426" s="9" t="n">
        <f aca="false">IF(D1426="INR",AW1426/88.24,AW1426)/1000000</f>
        <v>0.00527651858567543</v>
      </c>
    </row>
    <row r="1427" s="2" customFormat="true" ht="14.25" hidden="false" customHeight="false" outlineLevel="0" collapsed="false">
      <c r="A1427" s="12"/>
      <c r="B1427" s="16"/>
      <c r="C1427" s="15"/>
      <c r="D1427" s="16" t="s">
        <v>50</v>
      </c>
      <c r="E1427" s="16" t="s">
        <v>51</v>
      </c>
      <c r="F1427" s="16" t="s">
        <v>52</v>
      </c>
      <c r="G1427" s="16"/>
      <c r="H1427" s="16" t="s">
        <v>346</v>
      </c>
      <c r="I1427" s="16"/>
      <c r="J1427" s="16"/>
      <c r="K1427" s="16"/>
      <c r="L1427" s="16"/>
      <c r="M1427" s="16"/>
      <c r="N1427" s="16" t="s">
        <v>290</v>
      </c>
      <c r="O1427" s="16"/>
      <c r="P1427" s="16"/>
      <c r="Q1427" s="16" t="s">
        <v>85</v>
      </c>
      <c r="R1427" s="16"/>
      <c r="S1427" s="16"/>
      <c r="T1427" s="16" t="s">
        <v>448</v>
      </c>
      <c r="U1427" s="16"/>
      <c r="V1427" s="16" t="n">
        <v>9.98</v>
      </c>
      <c r="W1427" s="16"/>
      <c r="X1427" s="16" t="n">
        <v>5000</v>
      </c>
      <c r="Y1427" s="16" t="n">
        <v>5000</v>
      </c>
      <c r="Z1427" s="16"/>
      <c r="AA1427" s="16" t="n">
        <v>5000</v>
      </c>
      <c r="AB1427" s="16"/>
      <c r="AC1427" s="16" t="n">
        <v>5000</v>
      </c>
      <c r="AD1427" s="16"/>
      <c r="AE1427" s="16"/>
      <c r="AF1427" s="16"/>
      <c r="AG1427" s="16"/>
      <c r="AH1427" s="16"/>
      <c r="AI1427" s="16"/>
      <c r="AJ1427" s="9" t="n">
        <f aca="false">X1427*$V1427</f>
        <v>49900</v>
      </c>
      <c r="AK1427" s="9" t="n">
        <f aca="false">Y1427*$V1427</f>
        <v>49900</v>
      </c>
      <c r="AL1427" s="9" t="n">
        <f aca="false">Z1427*$V1427</f>
        <v>0</v>
      </c>
      <c r="AM1427" s="9" t="n">
        <f aca="false">AA1427*$V1427</f>
        <v>49900</v>
      </c>
      <c r="AN1427" s="9" t="n">
        <f aca="false">AB1427*$V1427</f>
        <v>0</v>
      </c>
      <c r="AO1427" s="9" t="n">
        <f aca="false">AC1427*$V1427</f>
        <v>49900</v>
      </c>
      <c r="AP1427" s="9" t="n">
        <f aca="false">AD1427*$V1427</f>
        <v>0</v>
      </c>
      <c r="AQ1427" s="9" t="n">
        <f aca="false">AE1427*$V1427</f>
        <v>0</v>
      </c>
      <c r="AR1427" s="9" t="n">
        <f aca="false">AF1427*$V1427</f>
        <v>0</v>
      </c>
      <c r="AS1427" s="9" t="n">
        <f aca="false">AG1427*$V1427</f>
        <v>0</v>
      </c>
      <c r="AT1427" s="9" t="n">
        <f aca="false">AH1427*$V1427</f>
        <v>0</v>
      </c>
      <c r="AU1427" s="9" t="n">
        <f aca="false">AI1427*$V1427</f>
        <v>0</v>
      </c>
      <c r="AV1427" s="9" t="n">
        <f aca="false">SUM(X1427:AI1427)/1000</f>
        <v>20</v>
      </c>
      <c r="AW1427" s="9" t="n">
        <f aca="false">SUM(AJ1427:AU1427)</f>
        <v>199600</v>
      </c>
      <c r="AX1427" s="9" t="n">
        <f aca="false">IF(D1427="INR",AW1427/88.24,AW1427)/1000000</f>
        <v>0.00226201269265639</v>
      </c>
    </row>
    <row r="1428" s="2" customFormat="true" ht="18" hidden="false" customHeight="true" outlineLevel="0" collapsed="false">
      <c r="A1428" s="12" t="s">
        <v>2706</v>
      </c>
      <c r="B1428" s="16" t="n">
        <v>5</v>
      </c>
      <c r="C1428" s="15"/>
      <c r="D1428" s="16" t="s">
        <v>50</v>
      </c>
      <c r="E1428" s="9" t="s">
        <v>51</v>
      </c>
      <c r="F1428" s="16" t="s">
        <v>52</v>
      </c>
      <c r="G1428" s="16" t="s">
        <v>345</v>
      </c>
      <c r="H1428" s="16" t="s">
        <v>346</v>
      </c>
      <c r="I1428" s="16" t="s">
        <v>55</v>
      </c>
      <c r="J1428" s="16" t="s">
        <v>56</v>
      </c>
      <c r="K1428" s="16"/>
      <c r="L1428" s="16" t="s">
        <v>55</v>
      </c>
      <c r="M1428" s="16" t="s">
        <v>56</v>
      </c>
      <c r="N1428" s="16" t="s">
        <v>290</v>
      </c>
      <c r="O1428" s="16" t="s">
        <v>94</v>
      </c>
      <c r="P1428" s="16" t="s">
        <v>85</v>
      </c>
      <c r="Q1428" s="16" t="s">
        <v>85</v>
      </c>
      <c r="R1428" s="16" t="s">
        <v>86</v>
      </c>
      <c r="S1428" s="16" t="s">
        <v>87</v>
      </c>
      <c r="T1428" s="16" t="s">
        <v>2707</v>
      </c>
      <c r="U1428" s="16" t="s">
        <v>73</v>
      </c>
      <c r="V1428" s="16" t="n">
        <v>9.03</v>
      </c>
      <c r="W1428" s="16" t="n">
        <v>0.085</v>
      </c>
      <c r="X1428" s="16" t="n">
        <v>5000</v>
      </c>
      <c r="Y1428" s="16" t="n">
        <v>5000</v>
      </c>
      <c r="Z1428" s="16"/>
      <c r="AA1428" s="16" t="n">
        <v>5000</v>
      </c>
      <c r="AB1428" s="16"/>
      <c r="AC1428" s="16" t="n">
        <v>5000</v>
      </c>
      <c r="AD1428" s="16"/>
      <c r="AE1428" s="16"/>
      <c r="AF1428" s="16"/>
      <c r="AG1428" s="16"/>
      <c r="AH1428" s="16"/>
      <c r="AI1428" s="16"/>
      <c r="AJ1428" s="9" t="n">
        <f aca="false">X1428*$V1428</f>
        <v>45150</v>
      </c>
      <c r="AK1428" s="9" t="n">
        <f aca="false">Y1428*$V1428</f>
        <v>45150</v>
      </c>
      <c r="AL1428" s="9" t="n">
        <f aca="false">Z1428*$V1428</f>
        <v>0</v>
      </c>
      <c r="AM1428" s="9" t="n">
        <f aca="false">AA1428*$V1428</f>
        <v>45150</v>
      </c>
      <c r="AN1428" s="9" t="n">
        <f aca="false">AB1428*$V1428</f>
        <v>0</v>
      </c>
      <c r="AO1428" s="9" t="n">
        <f aca="false">AC1428*$V1428</f>
        <v>45150</v>
      </c>
      <c r="AP1428" s="9" t="n">
        <f aca="false">AD1428*$V1428</f>
        <v>0</v>
      </c>
      <c r="AQ1428" s="9" t="n">
        <f aca="false">AE1428*$V1428</f>
        <v>0</v>
      </c>
      <c r="AR1428" s="9" t="n">
        <f aca="false">AF1428*$V1428</f>
        <v>0</v>
      </c>
      <c r="AS1428" s="9" t="n">
        <f aca="false">AG1428*$V1428</f>
        <v>0</v>
      </c>
      <c r="AT1428" s="9" t="n">
        <f aca="false">AH1428*$V1428</f>
        <v>0</v>
      </c>
      <c r="AU1428" s="9" t="n">
        <f aca="false">AI1428*$V1428</f>
        <v>0</v>
      </c>
      <c r="AV1428" s="9" t="n">
        <f aca="false">SUM(X1428:AI1428)/1000</f>
        <v>20</v>
      </c>
      <c r="AW1428" s="9" t="n">
        <f aca="false">SUM(AJ1428:AU1428)</f>
        <v>180600</v>
      </c>
      <c r="AX1428" s="9" t="n">
        <f aca="false">IF(D1428="INR",AW1428/88.24,AW1428)/1000000</f>
        <v>0.00204669084315503</v>
      </c>
    </row>
    <row r="1429" s="2" customFormat="true" ht="14.25" hidden="false" customHeight="true" outlineLevel="0" collapsed="false">
      <c r="A1429" s="12" t="s">
        <v>2708</v>
      </c>
      <c r="B1429" s="16" t="n">
        <v>5</v>
      </c>
      <c r="C1429" s="15"/>
      <c r="D1429" s="16" t="s">
        <v>50</v>
      </c>
      <c r="E1429" s="16" t="s">
        <v>51</v>
      </c>
      <c r="F1429" s="16" t="s">
        <v>52</v>
      </c>
      <c r="G1429" s="16" t="s">
        <v>345</v>
      </c>
      <c r="H1429" s="16" t="s">
        <v>346</v>
      </c>
      <c r="I1429" s="16" t="s">
        <v>55</v>
      </c>
      <c r="J1429" s="16" t="s">
        <v>56</v>
      </c>
      <c r="K1429" s="16"/>
      <c r="L1429" s="16" t="s">
        <v>55</v>
      </c>
      <c r="M1429" s="16" t="s">
        <v>56</v>
      </c>
      <c r="N1429" s="16" t="s">
        <v>290</v>
      </c>
      <c r="O1429" s="16" t="s">
        <v>94</v>
      </c>
      <c r="P1429" s="16" t="s">
        <v>85</v>
      </c>
      <c r="Q1429" s="16" t="s">
        <v>85</v>
      </c>
      <c r="R1429" s="16" t="s">
        <v>86</v>
      </c>
      <c r="S1429" s="16" t="s">
        <v>87</v>
      </c>
      <c r="T1429" s="16" t="s">
        <v>2433</v>
      </c>
      <c r="U1429" s="16" t="s">
        <v>73</v>
      </c>
      <c r="V1429" s="16" t="n">
        <v>7.6</v>
      </c>
      <c r="W1429" s="16" t="n">
        <v>0.072</v>
      </c>
      <c r="X1429" s="16" t="n">
        <v>5000</v>
      </c>
      <c r="Y1429" s="16" t="n">
        <v>5000</v>
      </c>
      <c r="Z1429" s="16"/>
      <c r="AA1429" s="16" t="n">
        <v>5000</v>
      </c>
      <c r="AB1429" s="16"/>
      <c r="AC1429" s="16" t="n">
        <v>5000</v>
      </c>
      <c r="AD1429" s="16"/>
      <c r="AE1429" s="16"/>
      <c r="AF1429" s="16"/>
      <c r="AG1429" s="16"/>
      <c r="AH1429" s="16"/>
      <c r="AI1429" s="16"/>
      <c r="AJ1429" s="9" t="n">
        <f aca="false">X1429*$V1429</f>
        <v>38000</v>
      </c>
      <c r="AK1429" s="9" t="n">
        <f aca="false">Y1429*$V1429</f>
        <v>38000</v>
      </c>
      <c r="AL1429" s="9" t="n">
        <f aca="false">Z1429*$V1429</f>
        <v>0</v>
      </c>
      <c r="AM1429" s="9" t="n">
        <f aca="false">AA1429*$V1429</f>
        <v>38000</v>
      </c>
      <c r="AN1429" s="9" t="n">
        <f aca="false">AB1429*$V1429</f>
        <v>0</v>
      </c>
      <c r="AO1429" s="9" t="n">
        <f aca="false">AC1429*$V1429</f>
        <v>38000</v>
      </c>
      <c r="AP1429" s="9" t="n">
        <f aca="false">AD1429*$V1429</f>
        <v>0</v>
      </c>
      <c r="AQ1429" s="9" t="n">
        <f aca="false">AE1429*$V1429</f>
        <v>0</v>
      </c>
      <c r="AR1429" s="9" t="n">
        <f aca="false">AF1429*$V1429</f>
        <v>0</v>
      </c>
      <c r="AS1429" s="9" t="n">
        <f aca="false">AG1429*$V1429</f>
        <v>0</v>
      </c>
      <c r="AT1429" s="9" t="n">
        <f aca="false">AH1429*$V1429</f>
        <v>0</v>
      </c>
      <c r="AU1429" s="9" t="n">
        <f aca="false">AI1429*$V1429</f>
        <v>0</v>
      </c>
      <c r="AV1429" s="9" t="n">
        <f aca="false">SUM(X1429:AI1429)/1000</f>
        <v>20</v>
      </c>
      <c r="AW1429" s="9" t="n">
        <f aca="false">SUM(AJ1429:AU1429)</f>
        <v>152000</v>
      </c>
      <c r="AX1429" s="9" t="n">
        <f aca="false">IF(D1429="INR",AW1429/88.24,AW1429)/1000000</f>
        <v>0.00172257479601088</v>
      </c>
      <c r="AY1429" s="27"/>
    </row>
    <row r="1430" s="2" customFormat="true" ht="18" hidden="false" customHeight="true" outlineLevel="0" collapsed="false">
      <c r="A1430" s="9"/>
      <c r="B1430" s="9" t="n">
        <v>1</v>
      </c>
      <c r="C1430" s="10"/>
      <c r="D1430" s="9" t="s">
        <v>50</v>
      </c>
      <c r="E1430" s="9" t="s">
        <v>51</v>
      </c>
      <c r="F1430" s="9" t="s">
        <v>52</v>
      </c>
      <c r="G1430" s="9"/>
      <c r="H1430" s="9" t="s">
        <v>327</v>
      </c>
      <c r="I1430" s="9" t="s">
        <v>328</v>
      </c>
      <c r="J1430" s="9" t="s">
        <v>303</v>
      </c>
      <c r="K1430" s="9"/>
      <c r="L1430" s="9"/>
      <c r="M1430" s="9"/>
      <c r="N1430" s="16" t="s">
        <v>57</v>
      </c>
      <c r="O1430" s="9" t="s">
        <v>246</v>
      </c>
      <c r="P1430" s="9" t="s">
        <v>2709</v>
      </c>
      <c r="Q1430" s="9" t="s">
        <v>2709</v>
      </c>
      <c r="R1430" s="9" t="s">
        <v>2710</v>
      </c>
      <c r="S1430" s="9"/>
      <c r="T1430" s="9" t="s">
        <v>2711</v>
      </c>
      <c r="U1430" s="9" t="s">
        <v>63</v>
      </c>
      <c r="V1430" s="9" t="n">
        <v>7350</v>
      </c>
      <c r="W1430" s="9"/>
      <c r="X1430" s="9"/>
      <c r="Y1430" s="9"/>
      <c r="Z1430" s="9"/>
      <c r="AA1430" s="9"/>
      <c r="AB1430" s="9"/>
      <c r="AC1430" s="9" t="n">
        <v>10</v>
      </c>
      <c r="AD1430" s="9"/>
      <c r="AE1430" s="9"/>
      <c r="AF1430" s="9"/>
      <c r="AG1430" s="9"/>
      <c r="AH1430" s="9"/>
      <c r="AI1430" s="9"/>
      <c r="AJ1430" s="9" t="n">
        <f aca="false">X1430*$V1430</f>
        <v>0</v>
      </c>
      <c r="AK1430" s="9" t="n">
        <f aca="false">Y1430*$V1430</f>
        <v>0</v>
      </c>
      <c r="AL1430" s="9" t="n">
        <f aca="false">Z1430*$V1430</f>
        <v>0</v>
      </c>
      <c r="AM1430" s="9" t="n">
        <f aca="false">AA1430*$V1430</f>
        <v>0</v>
      </c>
      <c r="AN1430" s="9" t="n">
        <f aca="false">AB1430*$V1430</f>
        <v>0</v>
      </c>
      <c r="AO1430" s="9" t="n">
        <f aca="false">AC1430*$V1430</f>
        <v>73500</v>
      </c>
      <c r="AP1430" s="9" t="n">
        <f aca="false">AD1430*$V1430</f>
        <v>0</v>
      </c>
      <c r="AQ1430" s="9" t="n">
        <f aca="false">AE1430*$V1430</f>
        <v>0</v>
      </c>
      <c r="AR1430" s="9" t="n">
        <f aca="false">AF1430*$V1430</f>
        <v>0</v>
      </c>
      <c r="AS1430" s="9" t="n">
        <f aca="false">AG1430*$V1430</f>
        <v>0</v>
      </c>
      <c r="AT1430" s="9" t="n">
        <f aca="false">AH1430*$V1430</f>
        <v>0</v>
      </c>
      <c r="AU1430" s="9" t="n">
        <f aca="false">AI1430*$V1430</f>
        <v>0</v>
      </c>
      <c r="AV1430" s="9" t="n">
        <f aca="false">SUM(X1430:AI1430)/1000</f>
        <v>0.01</v>
      </c>
      <c r="AW1430" s="9" t="n">
        <f aca="false">SUM(AJ1430:AU1430)</f>
        <v>73500</v>
      </c>
      <c r="AX1430" s="9" t="n">
        <f aca="false">IF(D1430="INR",AW1430/88.24,AW1430)/1000000</f>
        <v>0.000832955575702629</v>
      </c>
    </row>
    <row r="1431" s="2" customFormat="true" ht="14.25" hidden="false" customHeight="true" outlineLevel="0" collapsed="false">
      <c r="A1431" s="12"/>
      <c r="B1431" s="16" t="n">
        <v>1</v>
      </c>
      <c r="C1431" s="15"/>
      <c r="D1431" s="16" t="s">
        <v>50</v>
      </c>
      <c r="E1431" s="16" t="s">
        <v>51</v>
      </c>
      <c r="F1431" s="16" t="s">
        <v>97</v>
      </c>
      <c r="G1431" s="16"/>
      <c r="H1431" s="16" t="s">
        <v>2712</v>
      </c>
      <c r="I1431" s="16"/>
      <c r="J1431" s="16"/>
      <c r="K1431" s="16"/>
      <c r="L1431" s="16"/>
      <c r="M1431" s="16"/>
      <c r="N1431" s="16" t="s">
        <v>79</v>
      </c>
      <c r="O1431" s="16"/>
      <c r="P1431" s="16"/>
      <c r="Q1431" s="16" t="s">
        <v>69</v>
      </c>
      <c r="R1431" s="16"/>
      <c r="S1431" s="16"/>
      <c r="T1431" s="16" t="s">
        <v>2713</v>
      </c>
      <c r="U1431" s="16" t="s">
        <v>382</v>
      </c>
      <c r="V1431" s="16" t="n">
        <v>350</v>
      </c>
      <c r="W1431" s="16"/>
      <c r="X1431" s="16"/>
      <c r="Y1431" s="16"/>
      <c r="Z1431" s="16"/>
      <c r="AA1431" s="16"/>
      <c r="AB1431" s="16"/>
      <c r="AC1431" s="16" t="n">
        <v>500</v>
      </c>
      <c r="AD1431" s="16"/>
      <c r="AE1431" s="26" t="n">
        <v>500</v>
      </c>
      <c r="AF1431" s="16"/>
      <c r="AG1431" s="16" t="n">
        <v>500</v>
      </c>
      <c r="AH1431" s="16"/>
      <c r="AI1431" s="16" t="n">
        <v>500</v>
      </c>
      <c r="AJ1431" s="9" t="n">
        <f aca="false">X1431*$V1431</f>
        <v>0</v>
      </c>
      <c r="AK1431" s="9" t="n">
        <f aca="false">Y1431*$V1431</f>
        <v>0</v>
      </c>
      <c r="AL1431" s="9" t="n">
        <f aca="false">Z1431*$V1431</f>
        <v>0</v>
      </c>
      <c r="AM1431" s="9" t="n">
        <f aca="false">AA1431*$V1431</f>
        <v>0</v>
      </c>
      <c r="AN1431" s="9" t="n">
        <f aca="false">AB1431*$V1431</f>
        <v>0</v>
      </c>
      <c r="AO1431" s="9" t="n">
        <f aca="false">AC1431*$V1431</f>
        <v>175000</v>
      </c>
      <c r="AP1431" s="9" t="n">
        <f aca="false">AD1431*$V1431</f>
        <v>0</v>
      </c>
      <c r="AQ1431" s="9" t="n">
        <f aca="false">AE1431*$V1431</f>
        <v>175000</v>
      </c>
      <c r="AR1431" s="9" t="n">
        <f aca="false">AF1431*$V1431</f>
        <v>0</v>
      </c>
      <c r="AS1431" s="9" t="n">
        <f aca="false">AG1431*$V1431</f>
        <v>175000</v>
      </c>
      <c r="AT1431" s="9" t="n">
        <f aca="false">AH1431*$V1431</f>
        <v>0</v>
      </c>
      <c r="AU1431" s="9" t="n">
        <f aca="false">AI1431*$V1431</f>
        <v>175000</v>
      </c>
      <c r="AV1431" s="9" t="n">
        <f aca="false">SUM(X1431:AI1431)/1000</f>
        <v>2</v>
      </c>
      <c r="AW1431" s="9" t="n">
        <f aca="false">SUM(AJ1431:AU1431)</f>
        <v>700000</v>
      </c>
      <c r="AX1431" s="9" t="n">
        <f aca="false">IF(D1431="INR",AW1431/88.24,AW1431)/1000000</f>
        <v>0.00793291024478695</v>
      </c>
    </row>
    <row r="1432" s="2" customFormat="true" ht="14.25" hidden="false" customHeight="false" outlineLevel="0" collapsed="false">
      <c r="A1432" s="12" t="s">
        <v>2714</v>
      </c>
      <c r="B1432" s="16"/>
      <c r="C1432" s="15"/>
      <c r="D1432" s="16" t="s">
        <v>50</v>
      </c>
      <c r="E1432" s="16" t="s">
        <v>51</v>
      </c>
      <c r="F1432" s="16" t="s">
        <v>404</v>
      </c>
      <c r="G1432" s="16" t="s">
        <v>2715</v>
      </c>
      <c r="H1432" s="16" t="s">
        <v>2716</v>
      </c>
      <c r="I1432" s="16" t="s">
        <v>105</v>
      </c>
      <c r="J1432" s="16" t="s">
        <v>368</v>
      </c>
      <c r="K1432" s="16"/>
      <c r="L1432" s="16" t="s">
        <v>105</v>
      </c>
      <c r="M1432" s="16" t="s">
        <v>368</v>
      </c>
      <c r="N1432" s="16" t="s">
        <v>271</v>
      </c>
      <c r="O1432" s="16" t="s">
        <v>94</v>
      </c>
      <c r="P1432" s="16" t="s">
        <v>110</v>
      </c>
      <c r="Q1432" s="16" t="s">
        <v>110</v>
      </c>
      <c r="R1432" s="16" t="s">
        <v>137</v>
      </c>
      <c r="S1432" s="16" t="s">
        <v>272</v>
      </c>
      <c r="T1432" s="16" t="s">
        <v>849</v>
      </c>
      <c r="U1432" s="16" t="s">
        <v>73</v>
      </c>
      <c r="V1432" s="16" t="n">
        <v>42</v>
      </c>
      <c r="W1432" s="16" t="n">
        <v>0.275</v>
      </c>
      <c r="X1432" s="22" t="n">
        <v>2500</v>
      </c>
      <c r="Y1432" s="22"/>
      <c r="Z1432" s="22"/>
      <c r="AA1432" s="22" t="n">
        <v>2500</v>
      </c>
      <c r="AB1432" s="22"/>
      <c r="AC1432" s="22"/>
      <c r="AD1432" s="22" t="n">
        <v>2500</v>
      </c>
      <c r="AE1432" s="22"/>
      <c r="AF1432" s="22"/>
      <c r="AG1432" s="22"/>
      <c r="AH1432" s="22"/>
      <c r="AI1432" s="22"/>
      <c r="AJ1432" s="9" t="n">
        <f aca="false">X1432*$V1432</f>
        <v>105000</v>
      </c>
      <c r="AK1432" s="9" t="n">
        <f aca="false">Y1432*$V1432</f>
        <v>0</v>
      </c>
      <c r="AL1432" s="9" t="n">
        <f aca="false">Z1432*$V1432</f>
        <v>0</v>
      </c>
      <c r="AM1432" s="9" t="n">
        <f aca="false">AA1432*$V1432</f>
        <v>105000</v>
      </c>
      <c r="AN1432" s="9" t="n">
        <f aca="false">AB1432*$V1432</f>
        <v>0</v>
      </c>
      <c r="AO1432" s="9" t="n">
        <f aca="false">AC1432*$V1432</f>
        <v>0</v>
      </c>
      <c r="AP1432" s="9" t="n">
        <f aca="false">AD1432*$V1432</f>
        <v>105000</v>
      </c>
      <c r="AQ1432" s="9" t="n">
        <f aca="false">AE1432*$V1432</f>
        <v>0</v>
      </c>
      <c r="AR1432" s="9" t="n">
        <f aca="false">AF1432*$V1432</f>
        <v>0</v>
      </c>
      <c r="AS1432" s="9" t="n">
        <f aca="false">AG1432*$V1432</f>
        <v>0</v>
      </c>
      <c r="AT1432" s="9" t="n">
        <f aca="false">AH1432*$V1432</f>
        <v>0</v>
      </c>
      <c r="AU1432" s="9" t="n">
        <f aca="false">AI1432*$V1432</f>
        <v>0</v>
      </c>
      <c r="AV1432" s="9" t="n">
        <f aca="false">SUM(X1432:AI1432)/1000</f>
        <v>7.5</v>
      </c>
      <c r="AW1432" s="9" t="n">
        <f aca="false">SUM(AJ1432:AU1432)</f>
        <v>315000</v>
      </c>
      <c r="AX1432" s="9" t="n">
        <f aca="false">IF(D1432="INR",AW1432/88.24,AW1432)/1000000</f>
        <v>0.00356980961015413</v>
      </c>
    </row>
    <row r="1433" s="2" customFormat="true" ht="18" hidden="false" customHeight="true" outlineLevel="0" collapsed="false">
      <c r="A1433" s="12" t="s">
        <v>2717</v>
      </c>
      <c r="B1433" s="16"/>
      <c r="C1433" s="15"/>
      <c r="D1433" s="16" t="s">
        <v>50</v>
      </c>
      <c r="E1433" s="16" t="s">
        <v>51</v>
      </c>
      <c r="F1433" s="16" t="s">
        <v>52</v>
      </c>
      <c r="G1433" s="16" t="s">
        <v>1528</v>
      </c>
      <c r="H1433" s="16" t="s">
        <v>1529</v>
      </c>
      <c r="I1433" s="16" t="s">
        <v>303</v>
      </c>
      <c r="J1433" s="16" t="s">
        <v>304</v>
      </c>
      <c r="K1433" s="16"/>
      <c r="L1433" s="16" t="s">
        <v>303</v>
      </c>
      <c r="M1433" s="16" t="s">
        <v>304</v>
      </c>
      <c r="N1433" s="16" t="s">
        <v>93</v>
      </c>
      <c r="O1433" s="16" t="s">
        <v>107</v>
      </c>
      <c r="P1433" s="16" t="s">
        <v>308</v>
      </c>
      <c r="Q1433" s="16" t="s">
        <v>308</v>
      </c>
      <c r="R1433" s="16" t="s">
        <v>309</v>
      </c>
      <c r="S1433" s="16" t="s">
        <v>264</v>
      </c>
      <c r="T1433" s="16" t="s">
        <v>2718</v>
      </c>
      <c r="U1433" s="16" t="s">
        <v>73</v>
      </c>
      <c r="V1433" s="16" t="n">
        <v>1.91</v>
      </c>
      <c r="W1433" s="16" t="n">
        <v>1.82</v>
      </c>
      <c r="X1433" s="16"/>
      <c r="Y1433" s="16" t="n">
        <v>75000</v>
      </c>
      <c r="Z1433" s="16"/>
      <c r="AA1433" s="16"/>
      <c r="AB1433" s="16" t="n">
        <v>75000</v>
      </c>
      <c r="AC1433" s="16"/>
      <c r="AD1433" s="16"/>
      <c r="AE1433" s="16" t="n">
        <v>75000</v>
      </c>
      <c r="AF1433" s="16"/>
      <c r="AG1433" s="16"/>
      <c r="AH1433" s="16" t="n">
        <v>75000</v>
      </c>
      <c r="AI1433" s="16"/>
      <c r="AJ1433" s="9" t="n">
        <f aca="false">X1433*$V1433</f>
        <v>0</v>
      </c>
      <c r="AK1433" s="9" t="n">
        <f aca="false">Y1433*$V1433</f>
        <v>143250</v>
      </c>
      <c r="AL1433" s="9" t="n">
        <f aca="false">Z1433*$V1433</f>
        <v>0</v>
      </c>
      <c r="AM1433" s="9" t="n">
        <f aca="false">AA1433*$V1433</f>
        <v>0</v>
      </c>
      <c r="AN1433" s="9" t="n">
        <f aca="false">AB1433*$V1433</f>
        <v>143250</v>
      </c>
      <c r="AO1433" s="9" t="n">
        <f aca="false">AC1433*$V1433</f>
        <v>0</v>
      </c>
      <c r="AP1433" s="9" t="n">
        <f aca="false">AD1433*$V1433</f>
        <v>0</v>
      </c>
      <c r="AQ1433" s="9" t="n">
        <f aca="false">AE1433*$V1433</f>
        <v>143250</v>
      </c>
      <c r="AR1433" s="9" t="n">
        <f aca="false">AF1433*$V1433</f>
        <v>0</v>
      </c>
      <c r="AS1433" s="9" t="n">
        <f aca="false">AG1433*$V1433</f>
        <v>0</v>
      </c>
      <c r="AT1433" s="9" t="n">
        <f aca="false">AH1433*$V1433</f>
        <v>143250</v>
      </c>
      <c r="AU1433" s="9" t="n">
        <f aca="false">AI1433*$V1433</f>
        <v>0</v>
      </c>
      <c r="AV1433" s="9" t="n">
        <f aca="false">SUM(X1433:AI1433)/1000</f>
        <v>300</v>
      </c>
      <c r="AW1433" s="9" t="n">
        <f aca="false">SUM(AJ1433:AU1433)</f>
        <v>573000</v>
      </c>
      <c r="AX1433" s="9" t="n">
        <f aca="false">IF(D1433="INR",AW1433/88.24,AW1433)/1000000</f>
        <v>0.00649365367180417</v>
      </c>
    </row>
    <row r="1434" s="2" customFormat="true" ht="14.25" hidden="false" customHeight="false" outlineLevel="0" collapsed="false">
      <c r="A1434" s="12" t="s">
        <v>2719</v>
      </c>
      <c r="B1434" s="16"/>
      <c r="C1434" s="15"/>
      <c r="D1434" s="16" t="s">
        <v>50</v>
      </c>
      <c r="E1434" s="16" t="s">
        <v>51</v>
      </c>
      <c r="F1434" s="16" t="s">
        <v>52</v>
      </c>
      <c r="G1434" s="16" t="s">
        <v>1528</v>
      </c>
      <c r="H1434" s="16" t="s">
        <v>1529</v>
      </c>
      <c r="I1434" s="16" t="s">
        <v>303</v>
      </c>
      <c r="J1434" s="16" t="s">
        <v>304</v>
      </c>
      <c r="K1434" s="16"/>
      <c r="L1434" s="16" t="s">
        <v>303</v>
      </c>
      <c r="M1434" s="16" t="s">
        <v>304</v>
      </c>
      <c r="N1434" s="16" t="s">
        <v>93</v>
      </c>
      <c r="O1434" s="16" t="s">
        <v>107</v>
      </c>
      <c r="P1434" s="16" t="s">
        <v>308</v>
      </c>
      <c r="Q1434" s="16" t="s">
        <v>308</v>
      </c>
      <c r="R1434" s="16" t="s">
        <v>309</v>
      </c>
      <c r="S1434" s="16" t="s">
        <v>264</v>
      </c>
      <c r="T1434" s="16" t="s">
        <v>1163</v>
      </c>
      <c r="U1434" s="16" t="s">
        <v>73</v>
      </c>
      <c r="V1434" s="16" t="n">
        <v>1.8</v>
      </c>
      <c r="W1434" s="16" t="n">
        <v>1.04</v>
      </c>
      <c r="X1434" s="22"/>
      <c r="Y1434" s="16" t="n">
        <v>40000</v>
      </c>
      <c r="Z1434" s="16"/>
      <c r="AA1434" s="16"/>
      <c r="AB1434" s="16" t="n">
        <v>40000</v>
      </c>
      <c r="AC1434" s="16"/>
      <c r="AD1434" s="16"/>
      <c r="AE1434" s="16" t="n">
        <v>40000</v>
      </c>
      <c r="AF1434" s="16"/>
      <c r="AG1434" s="16"/>
      <c r="AH1434" s="16" t="n">
        <v>40000</v>
      </c>
      <c r="AI1434" s="16"/>
      <c r="AJ1434" s="9" t="n">
        <f aca="false">X1434*$V1434</f>
        <v>0</v>
      </c>
      <c r="AK1434" s="9" t="n">
        <f aca="false">Y1434*$V1434</f>
        <v>72000</v>
      </c>
      <c r="AL1434" s="9" t="n">
        <f aca="false">Z1434*$V1434</f>
        <v>0</v>
      </c>
      <c r="AM1434" s="9" t="n">
        <f aca="false">AA1434*$V1434</f>
        <v>0</v>
      </c>
      <c r="AN1434" s="9" t="n">
        <f aca="false">AB1434*$V1434</f>
        <v>72000</v>
      </c>
      <c r="AO1434" s="9" t="n">
        <f aca="false">AC1434*$V1434</f>
        <v>0</v>
      </c>
      <c r="AP1434" s="9" t="n">
        <f aca="false">AD1434*$V1434</f>
        <v>0</v>
      </c>
      <c r="AQ1434" s="9" t="n">
        <f aca="false">AE1434*$V1434</f>
        <v>72000</v>
      </c>
      <c r="AR1434" s="9" t="n">
        <f aca="false">AF1434*$V1434</f>
        <v>0</v>
      </c>
      <c r="AS1434" s="9" t="n">
        <f aca="false">AG1434*$V1434</f>
        <v>0</v>
      </c>
      <c r="AT1434" s="9" t="n">
        <f aca="false">AH1434*$V1434</f>
        <v>72000</v>
      </c>
      <c r="AU1434" s="9" t="n">
        <f aca="false">AI1434*$V1434</f>
        <v>0</v>
      </c>
      <c r="AV1434" s="9" t="n">
        <f aca="false">SUM(X1434:AI1434)/1000</f>
        <v>160</v>
      </c>
      <c r="AW1434" s="9" t="n">
        <f aca="false">SUM(AJ1434:AU1434)</f>
        <v>288000</v>
      </c>
      <c r="AX1434" s="9" t="n">
        <f aca="false">IF(D1434="INR",AW1434/88.24,AW1434)/1000000</f>
        <v>0.00326382592928377</v>
      </c>
    </row>
    <row r="1435" s="2" customFormat="true" ht="16.4" hidden="false" customHeight="false" outlineLevel="0" collapsed="false">
      <c r="A1435" s="16" t="s">
        <v>2720</v>
      </c>
      <c r="B1435" s="16"/>
      <c r="C1435" s="16"/>
      <c r="D1435" s="16" t="s">
        <v>50</v>
      </c>
      <c r="E1435" s="16" t="s">
        <v>51</v>
      </c>
      <c r="F1435" s="16" t="s">
        <v>52</v>
      </c>
      <c r="G1435" s="16" t="s">
        <v>1528</v>
      </c>
      <c r="H1435" s="16" t="s">
        <v>1529</v>
      </c>
      <c r="I1435" s="16" t="s">
        <v>303</v>
      </c>
      <c r="J1435" s="16" t="s">
        <v>304</v>
      </c>
      <c r="K1435" s="16"/>
      <c r="L1435" s="16" t="s">
        <v>303</v>
      </c>
      <c r="M1435" s="16" t="s">
        <v>304</v>
      </c>
      <c r="N1435" s="16" t="s">
        <v>93</v>
      </c>
      <c r="O1435" s="16" t="s">
        <v>107</v>
      </c>
      <c r="P1435" s="16" t="s">
        <v>308</v>
      </c>
      <c r="Q1435" s="16" t="s">
        <v>308</v>
      </c>
      <c r="R1435" s="16" t="s">
        <v>309</v>
      </c>
      <c r="S1435" s="16" t="s">
        <v>264</v>
      </c>
      <c r="T1435" s="26" t="s">
        <v>2721</v>
      </c>
      <c r="U1435" s="16" t="s">
        <v>73</v>
      </c>
      <c r="V1435" s="16" t="n">
        <v>0.91</v>
      </c>
      <c r="W1435" s="16" t="n">
        <v>0.8</v>
      </c>
      <c r="X1435" s="16"/>
      <c r="Y1435" s="16"/>
      <c r="Z1435" s="16"/>
      <c r="AA1435" s="16"/>
      <c r="AB1435" s="16" t="n">
        <v>15000</v>
      </c>
      <c r="AC1435" s="16"/>
      <c r="AD1435" s="16"/>
      <c r="AE1435" s="16"/>
      <c r="AF1435" s="16"/>
      <c r="AG1435" s="16" t="n">
        <v>15000</v>
      </c>
      <c r="AH1435" s="16"/>
      <c r="AI1435" s="16"/>
      <c r="AJ1435" s="9" t="n">
        <f aca="false">X1435*$V1435</f>
        <v>0</v>
      </c>
      <c r="AK1435" s="9" t="n">
        <f aca="false">Y1435*$V1435</f>
        <v>0</v>
      </c>
      <c r="AL1435" s="9" t="n">
        <f aca="false">Z1435*$V1435</f>
        <v>0</v>
      </c>
      <c r="AM1435" s="9" t="n">
        <f aca="false">AA1435*$V1435</f>
        <v>0</v>
      </c>
      <c r="AN1435" s="9" t="n">
        <f aca="false">AB1435*$V1435</f>
        <v>13650</v>
      </c>
      <c r="AO1435" s="9" t="n">
        <f aca="false">AC1435*$V1435</f>
        <v>0</v>
      </c>
      <c r="AP1435" s="9" t="n">
        <f aca="false">AD1435*$V1435</f>
        <v>0</v>
      </c>
      <c r="AQ1435" s="9" t="n">
        <f aca="false">AE1435*$V1435</f>
        <v>0</v>
      </c>
      <c r="AR1435" s="9" t="n">
        <f aca="false">AF1435*$V1435</f>
        <v>0</v>
      </c>
      <c r="AS1435" s="9" t="n">
        <f aca="false">AG1435*$V1435</f>
        <v>13650</v>
      </c>
      <c r="AT1435" s="9" t="n">
        <f aca="false">AH1435*$V1435</f>
        <v>0</v>
      </c>
      <c r="AU1435" s="9" t="n">
        <f aca="false">AI1435*$V1435</f>
        <v>0</v>
      </c>
      <c r="AV1435" s="9" t="n">
        <f aca="false">SUM(X1435:AI1435)/1000</f>
        <v>30</v>
      </c>
      <c r="AW1435" s="9" t="n">
        <f aca="false">SUM(AJ1435:AU1435)</f>
        <v>27300</v>
      </c>
      <c r="AX1435" s="9" t="n">
        <f aca="false">IF(D1435="INR",AW1435/88.24,AW1435)/1000000</f>
        <v>0.000309383499546691</v>
      </c>
    </row>
    <row r="1436" s="2" customFormat="true" ht="18" hidden="false" customHeight="true" outlineLevel="0" collapsed="false">
      <c r="A1436" s="16" t="s">
        <v>2722</v>
      </c>
      <c r="B1436" s="16"/>
      <c r="C1436" s="15"/>
      <c r="D1436" s="16" t="s">
        <v>50</v>
      </c>
      <c r="E1436" s="16" t="s">
        <v>51</v>
      </c>
      <c r="F1436" s="16" t="s">
        <v>52</v>
      </c>
      <c r="G1436" s="16" t="s">
        <v>1528</v>
      </c>
      <c r="H1436" s="16" t="s">
        <v>1529</v>
      </c>
      <c r="I1436" s="16" t="s">
        <v>303</v>
      </c>
      <c r="J1436" s="16" t="s">
        <v>304</v>
      </c>
      <c r="K1436" s="16"/>
      <c r="L1436" s="16" t="s">
        <v>303</v>
      </c>
      <c r="M1436" s="16" t="s">
        <v>304</v>
      </c>
      <c r="N1436" s="16" t="s">
        <v>93</v>
      </c>
      <c r="O1436" s="16" t="s">
        <v>107</v>
      </c>
      <c r="P1436" s="16" t="s">
        <v>308</v>
      </c>
      <c r="Q1436" s="16" t="s">
        <v>308</v>
      </c>
      <c r="R1436" s="16" t="s">
        <v>309</v>
      </c>
      <c r="S1436" s="16" t="s">
        <v>264</v>
      </c>
      <c r="T1436" s="16" t="s">
        <v>2723</v>
      </c>
      <c r="U1436" s="16" t="s">
        <v>73</v>
      </c>
      <c r="V1436" s="16" t="n">
        <v>1.6</v>
      </c>
      <c r="W1436" s="16" t="n">
        <v>1.4</v>
      </c>
      <c r="X1436" s="16"/>
      <c r="Y1436" s="16" t="n">
        <v>3000</v>
      </c>
      <c r="Z1436" s="16"/>
      <c r="AA1436" s="16"/>
      <c r="AB1436" s="16" t="n">
        <v>3000</v>
      </c>
      <c r="AC1436" s="16"/>
      <c r="AD1436" s="16"/>
      <c r="AE1436" s="16" t="n">
        <v>3000</v>
      </c>
      <c r="AF1436" s="16"/>
      <c r="AG1436" s="16"/>
      <c r="AH1436" s="16" t="n">
        <v>3000</v>
      </c>
      <c r="AI1436" s="16"/>
      <c r="AJ1436" s="9" t="n">
        <f aca="false">X1436*$V1436</f>
        <v>0</v>
      </c>
      <c r="AK1436" s="9" t="n">
        <f aca="false">Y1436*$V1436</f>
        <v>4800</v>
      </c>
      <c r="AL1436" s="9" t="n">
        <f aca="false">Z1436*$V1436</f>
        <v>0</v>
      </c>
      <c r="AM1436" s="9" t="n">
        <f aca="false">AA1436*$V1436</f>
        <v>0</v>
      </c>
      <c r="AN1436" s="9" t="n">
        <f aca="false">AB1436*$V1436</f>
        <v>4800</v>
      </c>
      <c r="AO1436" s="9" t="n">
        <f aca="false">AC1436*$V1436</f>
        <v>0</v>
      </c>
      <c r="AP1436" s="9" t="n">
        <f aca="false">AD1436*$V1436</f>
        <v>0</v>
      </c>
      <c r="AQ1436" s="9" t="n">
        <f aca="false">AE1436*$V1436</f>
        <v>4800</v>
      </c>
      <c r="AR1436" s="9" t="n">
        <f aca="false">AF1436*$V1436</f>
        <v>0</v>
      </c>
      <c r="AS1436" s="9" t="n">
        <f aca="false">AG1436*$V1436</f>
        <v>0</v>
      </c>
      <c r="AT1436" s="9" t="n">
        <f aca="false">AH1436*$V1436</f>
        <v>4800</v>
      </c>
      <c r="AU1436" s="9" t="n">
        <f aca="false">AI1436*$V1436</f>
        <v>0</v>
      </c>
      <c r="AV1436" s="9" t="n">
        <f aca="false">SUM(X1436:AI1436)/1000</f>
        <v>12</v>
      </c>
      <c r="AW1436" s="9" t="n">
        <f aca="false">SUM(AJ1436:AU1436)</f>
        <v>19200</v>
      </c>
      <c r="AX1436" s="9" t="n">
        <f aca="false">IF(D1436="INR",AW1436/88.24,AW1436)/1000000</f>
        <v>0.000217588395285585</v>
      </c>
    </row>
    <row r="1437" s="2" customFormat="true" ht="14.25" hidden="false" customHeight="true" outlineLevel="0" collapsed="false">
      <c r="A1437" s="9" t="s">
        <v>2724</v>
      </c>
      <c r="B1437" s="9"/>
      <c r="C1437" s="10"/>
      <c r="D1437" s="9" t="s">
        <v>50</v>
      </c>
      <c r="E1437" s="9" t="s">
        <v>51</v>
      </c>
      <c r="F1437" s="9" t="s">
        <v>52</v>
      </c>
      <c r="G1437" s="9" t="s">
        <v>1528</v>
      </c>
      <c r="H1437" s="9" t="s">
        <v>1529</v>
      </c>
      <c r="I1437" s="9" t="s">
        <v>303</v>
      </c>
      <c r="J1437" s="9" t="s">
        <v>304</v>
      </c>
      <c r="K1437" s="9"/>
      <c r="L1437" s="9" t="s">
        <v>303</v>
      </c>
      <c r="M1437" s="9" t="s">
        <v>304</v>
      </c>
      <c r="N1437" s="9" t="s">
        <v>93</v>
      </c>
      <c r="O1437" s="9" t="s">
        <v>107</v>
      </c>
      <c r="P1437" s="9" t="s">
        <v>308</v>
      </c>
      <c r="Q1437" s="9" t="s">
        <v>308</v>
      </c>
      <c r="R1437" s="9" t="s">
        <v>309</v>
      </c>
      <c r="S1437" s="9" t="s">
        <v>264</v>
      </c>
      <c r="T1437" s="9" t="s">
        <v>2725</v>
      </c>
      <c r="U1437" s="9" t="s">
        <v>73</v>
      </c>
      <c r="V1437" s="9" t="n">
        <v>4.5</v>
      </c>
      <c r="W1437" s="9" t="n">
        <v>3.38</v>
      </c>
      <c r="X1437" s="9"/>
      <c r="Y1437" s="9"/>
      <c r="Z1437" s="9"/>
      <c r="AA1437" s="9"/>
      <c r="AB1437" s="9"/>
      <c r="AC1437" s="9"/>
      <c r="AD1437" s="9" t="n">
        <v>10000</v>
      </c>
      <c r="AE1437" s="9"/>
      <c r="AF1437" s="9"/>
      <c r="AG1437" s="9"/>
      <c r="AH1437" s="9"/>
      <c r="AI1437" s="9"/>
      <c r="AJ1437" s="9" t="n">
        <f aca="false">X1437*$V1437</f>
        <v>0</v>
      </c>
      <c r="AK1437" s="9" t="n">
        <f aca="false">Y1437*$V1437</f>
        <v>0</v>
      </c>
      <c r="AL1437" s="9" t="n">
        <f aca="false">Z1437*$V1437</f>
        <v>0</v>
      </c>
      <c r="AM1437" s="9" t="n">
        <f aca="false">AA1437*$V1437</f>
        <v>0</v>
      </c>
      <c r="AN1437" s="9" t="n">
        <f aca="false">AB1437*$V1437</f>
        <v>0</v>
      </c>
      <c r="AO1437" s="9" t="n">
        <f aca="false">AC1437*$V1437</f>
        <v>0</v>
      </c>
      <c r="AP1437" s="9" t="n">
        <f aca="false">AD1437*$V1437</f>
        <v>45000</v>
      </c>
      <c r="AQ1437" s="9" t="n">
        <f aca="false">AE1437*$V1437</f>
        <v>0</v>
      </c>
      <c r="AR1437" s="9" t="n">
        <f aca="false">AF1437*$V1437</f>
        <v>0</v>
      </c>
      <c r="AS1437" s="9" t="n">
        <f aca="false">AG1437*$V1437</f>
        <v>0</v>
      </c>
      <c r="AT1437" s="9" t="n">
        <f aca="false">AH1437*$V1437</f>
        <v>0</v>
      </c>
      <c r="AU1437" s="9" t="n">
        <f aca="false">AI1437*$V1437</f>
        <v>0</v>
      </c>
      <c r="AV1437" s="9" t="n">
        <f aca="false">SUM(X1437:AI1437)/1000</f>
        <v>10</v>
      </c>
      <c r="AW1437" s="9" t="n">
        <f aca="false">SUM(AJ1437:AU1437)</f>
        <v>45000</v>
      </c>
      <c r="AX1437" s="9" t="n">
        <f aca="false">IF(D1437="INR",AW1437/88.24,AW1437)/1000000</f>
        <v>0.000509972801450589</v>
      </c>
    </row>
    <row r="1438" s="2" customFormat="true" ht="18" hidden="false" customHeight="true" outlineLevel="0" collapsed="false">
      <c r="A1438" s="9" t="s">
        <v>2726</v>
      </c>
      <c r="B1438" s="9"/>
      <c r="C1438" s="10"/>
      <c r="D1438" s="9" t="s">
        <v>50</v>
      </c>
      <c r="E1438" s="9" t="s">
        <v>51</v>
      </c>
      <c r="F1438" s="9" t="s">
        <v>52</v>
      </c>
      <c r="G1438" s="9" t="s">
        <v>1528</v>
      </c>
      <c r="H1438" s="9" t="s">
        <v>1529</v>
      </c>
      <c r="I1438" s="9" t="s">
        <v>303</v>
      </c>
      <c r="J1438" s="9" t="s">
        <v>304</v>
      </c>
      <c r="K1438" s="9"/>
      <c r="L1438" s="9" t="s">
        <v>303</v>
      </c>
      <c r="M1438" s="9" t="s">
        <v>304</v>
      </c>
      <c r="N1438" s="9" t="s">
        <v>93</v>
      </c>
      <c r="O1438" s="9" t="s">
        <v>107</v>
      </c>
      <c r="P1438" s="9" t="s">
        <v>2727</v>
      </c>
      <c r="Q1438" s="9" t="s">
        <v>2727</v>
      </c>
      <c r="R1438" s="9" t="s">
        <v>362</v>
      </c>
      <c r="S1438" s="9" t="s">
        <v>667</v>
      </c>
      <c r="T1438" s="9" t="s">
        <v>2728</v>
      </c>
      <c r="U1438" s="9" t="s">
        <v>73</v>
      </c>
      <c r="V1438" s="9" t="n">
        <v>405</v>
      </c>
      <c r="W1438" s="9" t="n">
        <v>337</v>
      </c>
      <c r="X1438" s="9"/>
      <c r="Y1438" s="9" t="n">
        <v>100</v>
      </c>
      <c r="Z1438" s="9"/>
      <c r="AA1438" s="9"/>
      <c r="AB1438" s="9" t="n">
        <v>100</v>
      </c>
      <c r="AC1438" s="9"/>
      <c r="AD1438" s="9"/>
      <c r="AE1438" s="9"/>
      <c r="AF1438" s="9" t="n">
        <v>100</v>
      </c>
      <c r="AG1438" s="9"/>
      <c r="AH1438" s="9"/>
      <c r="AI1438" s="9" t="n">
        <v>100</v>
      </c>
      <c r="AJ1438" s="9" t="n">
        <f aca="false">X1438*$V1438</f>
        <v>0</v>
      </c>
      <c r="AK1438" s="9" t="n">
        <f aca="false">Y1438*$V1438</f>
        <v>40500</v>
      </c>
      <c r="AL1438" s="9" t="n">
        <f aca="false">Z1438*$V1438</f>
        <v>0</v>
      </c>
      <c r="AM1438" s="9" t="n">
        <f aca="false">AA1438*$V1438</f>
        <v>0</v>
      </c>
      <c r="AN1438" s="9" t="n">
        <f aca="false">AB1438*$V1438</f>
        <v>40500</v>
      </c>
      <c r="AO1438" s="9" t="n">
        <f aca="false">AC1438*$V1438</f>
        <v>0</v>
      </c>
      <c r="AP1438" s="9" t="n">
        <f aca="false">AD1438*$V1438</f>
        <v>0</v>
      </c>
      <c r="AQ1438" s="9" t="n">
        <f aca="false">AE1438*$V1438</f>
        <v>0</v>
      </c>
      <c r="AR1438" s="9" t="n">
        <f aca="false">AF1438*$V1438</f>
        <v>40500</v>
      </c>
      <c r="AS1438" s="9" t="n">
        <f aca="false">AG1438*$V1438</f>
        <v>0</v>
      </c>
      <c r="AT1438" s="9" t="n">
        <f aca="false">AH1438*$V1438</f>
        <v>0</v>
      </c>
      <c r="AU1438" s="9" t="n">
        <f aca="false">AI1438*$V1438</f>
        <v>40500</v>
      </c>
      <c r="AV1438" s="9" t="n">
        <f aca="false">SUM(X1438:AI1438)/1000</f>
        <v>0.4</v>
      </c>
      <c r="AW1438" s="9" t="n">
        <f aca="false">SUM(AJ1438:AU1438)</f>
        <v>162000</v>
      </c>
      <c r="AX1438" s="9" t="n">
        <f aca="false">IF(D1438="INR",AW1438/88.24,AW1438)/1000000</f>
        <v>0.00183590208522212</v>
      </c>
    </row>
    <row r="1439" s="2" customFormat="true" ht="16.4" hidden="false" customHeight="false" outlineLevel="0" collapsed="false">
      <c r="A1439" s="9" t="s">
        <v>2729</v>
      </c>
      <c r="B1439" s="9"/>
      <c r="C1439" s="10"/>
      <c r="D1439" s="9" t="s">
        <v>50</v>
      </c>
      <c r="E1439" s="9" t="s">
        <v>51</v>
      </c>
      <c r="F1439" s="9" t="s">
        <v>52</v>
      </c>
      <c r="G1439" s="9" t="s">
        <v>301</v>
      </c>
      <c r="H1439" s="9" t="s">
        <v>302</v>
      </c>
      <c r="I1439" s="9" t="s">
        <v>303</v>
      </c>
      <c r="J1439" s="9" t="s">
        <v>304</v>
      </c>
      <c r="K1439" s="9"/>
      <c r="L1439" s="9" t="s">
        <v>303</v>
      </c>
      <c r="M1439" s="9" t="s">
        <v>304</v>
      </c>
      <c r="N1439" s="9" t="s">
        <v>93</v>
      </c>
      <c r="O1439" s="9" t="s">
        <v>107</v>
      </c>
      <c r="P1439" s="9" t="s">
        <v>85</v>
      </c>
      <c r="Q1439" s="9" t="s">
        <v>85</v>
      </c>
      <c r="R1439" s="9" t="s">
        <v>86</v>
      </c>
      <c r="S1439" s="9" t="s">
        <v>87</v>
      </c>
      <c r="T1439" s="9" t="s">
        <v>2730</v>
      </c>
      <c r="U1439" s="9" t="s">
        <v>73</v>
      </c>
      <c r="V1439" s="9" t="n">
        <v>19.5</v>
      </c>
      <c r="W1439" s="9" t="n">
        <v>0.188</v>
      </c>
      <c r="X1439" s="9"/>
      <c r="Y1439" s="9"/>
      <c r="Z1439" s="9"/>
      <c r="AA1439" s="9"/>
      <c r="AB1439" s="9"/>
      <c r="AC1439" s="9"/>
      <c r="AD1439" s="9" t="n">
        <v>30000</v>
      </c>
      <c r="AE1439" s="9" t="n">
        <v>0</v>
      </c>
      <c r="AF1439" s="9"/>
      <c r="AG1439" s="9" t="n">
        <v>20000</v>
      </c>
      <c r="AH1439" s="9" t="n">
        <v>10000</v>
      </c>
      <c r="AI1439" s="9" t="n">
        <v>20000</v>
      </c>
      <c r="AJ1439" s="9" t="n">
        <f aca="false">X1439*$V1439</f>
        <v>0</v>
      </c>
      <c r="AK1439" s="9" t="n">
        <f aca="false">Y1439*$V1439</f>
        <v>0</v>
      </c>
      <c r="AL1439" s="9" t="n">
        <f aca="false">Z1439*$V1439</f>
        <v>0</v>
      </c>
      <c r="AM1439" s="9" t="n">
        <f aca="false">AA1439*$V1439</f>
        <v>0</v>
      </c>
      <c r="AN1439" s="9" t="n">
        <f aca="false">AB1439*$V1439</f>
        <v>0</v>
      </c>
      <c r="AO1439" s="9" t="n">
        <f aca="false">AC1439*$V1439</f>
        <v>0</v>
      </c>
      <c r="AP1439" s="9" t="n">
        <f aca="false">AD1439*$V1439</f>
        <v>585000</v>
      </c>
      <c r="AQ1439" s="9" t="n">
        <f aca="false">AE1439*$V1439</f>
        <v>0</v>
      </c>
      <c r="AR1439" s="9" t="n">
        <f aca="false">AF1439*$V1439</f>
        <v>0</v>
      </c>
      <c r="AS1439" s="9" t="n">
        <f aca="false">AG1439*$V1439</f>
        <v>390000</v>
      </c>
      <c r="AT1439" s="9" t="n">
        <f aca="false">AH1439*$V1439</f>
        <v>195000</v>
      </c>
      <c r="AU1439" s="9" t="n">
        <f aca="false">AI1439*$V1439</f>
        <v>390000</v>
      </c>
      <c r="AV1439" s="9" t="n">
        <f aca="false">SUM(X1439:AI1439)/1000</f>
        <v>80</v>
      </c>
      <c r="AW1439" s="9" t="n">
        <f aca="false">SUM(AJ1439:AU1439)</f>
        <v>1560000</v>
      </c>
      <c r="AX1439" s="9" t="n">
        <f aca="false">IF(D1439="INR",AW1439/88.24,AW1439)/1000000</f>
        <v>0.0176790571169538</v>
      </c>
    </row>
    <row r="1440" s="2" customFormat="true" ht="16.4" hidden="false" customHeight="false" outlineLevel="0" collapsed="false">
      <c r="A1440" s="9" t="s">
        <v>2731</v>
      </c>
      <c r="B1440" s="9"/>
      <c r="C1440" s="10"/>
      <c r="D1440" s="9" t="s">
        <v>50</v>
      </c>
      <c r="E1440" s="9" t="s">
        <v>51</v>
      </c>
      <c r="F1440" s="9" t="s">
        <v>52</v>
      </c>
      <c r="G1440" s="9" t="s">
        <v>301</v>
      </c>
      <c r="H1440" s="9" t="s">
        <v>302</v>
      </c>
      <c r="I1440" s="9" t="s">
        <v>303</v>
      </c>
      <c r="J1440" s="9" t="s">
        <v>304</v>
      </c>
      <c r="K1440" s="9"/>
      <c r="L1440" s="9" t="s">
        <v>303</v>
      </c>
      <c r="M1440" s="9" t="s">
        <v>304</v>
      </c>
      <c r="N1440" s="16" t="s">
        <v>93</v>
      </c>
      <c r="O1440" s="9" t="s">
        <v>107</v>
      </c>
      <c r="P1440" s="9" t="s">
        <v>110</v>
      </c>
      <c r="Q1440" s="9" t="s">
        <v>110</v>
      </c>
      <c r="R1440" s="9" t="s">
        <v>137</v>
      </c>
      <c r="S1440" s="9" t="s">
        <v>272</v>
      </c>
      <c r="T1440" s="9" t="s">
        <v>347</v>
      </c>
      <c r="U1440" s="9" t="s">
        <v>73</v>
      </c>
      <c r="V1440" s="9" t="n">
        <v>122</v>
      </c>
      <c r="W1440" s="9" t="n">
        <v>1.05</v>
      </c>
      <c r="X1440" s="9" t="n">
        <v>10000</v>
      </c>
      <c r="Y1440" s="9"/>
      <c r="Z1440" s="9"/>
      <c r="AA1440" s="9" t="n">
        <v>10000</v>
      </c>
      <c r="AB1440" s="9"/>
      <c r="AC1440" s="9"/>
      <c r="AD1440" s="9" t="n">
        <v>10000</v>
      </c>
      <c r="AE1440" s="9"/>
      <c r="AF1440" s="9"/>
      <c r="AG1440" s="9" t="n">
        <v>10000</v>
      </c>
      <c r="AH1440" s="9"/>
      <c r="AI1440" s="9"/>
      <c r="AJ1440" s="9" t="n">
        <f aca="false">X1440*$V1440</f>
        <v>1220000</v>
      </c>
      <c r="AK1440" s="9" t="n">
        <f aca="false">Y1440*$V1440</f>
        <v>0</v>
      </c>
      <c r="AL1440" s="9" t="n">
        <f aca="false">Z1440*$V1440</f>
        <v>0</v>
      </c>
      <c r="AM1440" s="9" t="n">
        <f aca="false">AA1440*$V1440</f>
        <v>1220000</v>
      </c>
      <c r="AN1440" s="9" t="n">
        <f aca="false">AB1440*$V1440</f>
        <v>0</v>
      </c>
      <c r="AO1440" s="9" t="n">
        <f aca="false">AC1440*$V1440</f>
        <v>0</v>
      </c>
      <c r="AP1440" s="9" t="n">
        <f aca="false">AD1440*$V1440</f>
        <v>1220000</v>
      </c>
      <c r="AQ1440" s="9" t="n">
        <f aca="false">AE1440*$V1440</f>
        <v>0</v>
      </c>
      <c r="AR1440" s="9" t="n">
        <f aca="false">AF1440*$V1440</f>
        <v>0</v>
      </c>
      <c r="AS1440" s="9" t="n">
        <f aca="false">AG1440*$V1440</f>
        <v>1220000</v>
      </c>
      <c r="AT1440" s="9" t="n">
        <f aca="false">AH1440*$V1440</f>
        <v>0</v>
      </c>
      <c r="AU1440" s="9" t="n">
        <f aca="false">AI1440*$V1440</f>
        <v>0</v>
      </c>
      <c r="AV1440" s="9" t="n">
        <f aca="false">SUM(X1440:AI1440)/1000</f>
        <v>40</v>
      </c>
      <c r="AW1440" s="9" t="n">
        <f aca="false">SUM(AJ1440:AU1440)</f>
        <v>4880000</v>
      </c>
      <c r="AX1440" s="9" t="n">
        <f aca="false">IF(D1440="INR",AW1440/88.24,AW1440)/1000000</f>
        <v>0.0553037171350861</v>
      </c>
    </row>
    <row r="1441" s="2" customFormat="true" ht="18" hidden="false" customHeight="true" outlineLevel="0" collapsed="false">
      <c r="A1441" s="16"/>
      <c r="B1441" s="16" t="n">
        <v>1</v>
      </c>
      <c r="C1441" s="16"/>
      <c r="D1441" s="16" t="s">
        <v>50</v>
      </c>
      <c r="E1441" s="16" t="s">
        <v>51</v>
      </c>
      <c r="F1441" s="16" t="s">
        <v>267</v>
      </c>
      <c r="G1441" s="16"/>
      <c r="H1441" s="16" t="s">
        <v>1826</v>
      </c>
      <c r="I1441" s="16"/>
      <c r="J1441" s="16"/>
      <c r="K1441" s="16"/>
      <c r="L1441" s="16"/>
      <c r="M1441" s="16"/>
      <c r="N1441" s="16" t="s">
        <v>271</v>
      </c>
      <c r="O1441" s="16"/>
      <c r="P1441" s="16"/>
      <c r="Q1441" s="16" t="s">
        <v>308</v>
      </c>
      <c r="R1441" s="16"/>
      <c r="S1441" s="16"/>
      <c r="T1441" s="16" t="s">
        <v>2732</v>
      </c>
      <c r="U1441" s="16"/>
      <c r="V1441" s="16" t="n">
        <v>5.9</v>
      </c>
      <c r="W1441" s="16"/>
      <c r="X1441" s="16"/>
      <c r="Y1441" s="16" t="n">
        <v>4000</v>
      </c>
      <c r="Z1441" s="16"/>
      <c r="AA1441" s="16"/>
      <c r="AB1441" s="16" t="n">
        <v>4000</v>
      </c>
      <c r="AC1441" s="16" t="n">
        <v>4000</v>
      </c>
      <c r="AD1441" s="16"/>
      <c r="AE1441" s="16"/>
      <c r="AF1441" s="16" t="n">
        <v>4000</v>
      </c>
      <c r="AG1441" s="16" t="n">
        <v>4000</v>
      </c>
      <c r="AH1441" s="16"/>
      <c r="AI1441" s="16"/>
      <c r="AJ1441" s="9" t="n">
        <f aca="false">X1441*$V1441</f>
        <v>0</v>
      </c>
      <c r="AK1441" s="9" t="n">
        <f aca="false">Y1441*$V1441</f>
        <v>23600</v>
      </c>
      <c r="AL1441" s="9" t="n">
        <f aca="false">Z1441*$V1441</f>
        <v>0</v>
      </c>
      <c r="AM1441" s="9" t="n">
        <f aca="false">AA1441*$V1441</f>
        <v>0</v>
      </c>
      <c r="AN1441" s="9" t="n">
        <f aca="false">AB1441*$V1441</f>
        <v>23600</v>
      </c>
      <c r="AO1441" s="9" t="n">
        <f aca="false">AC1441*$V1441</f>
        <v>23600</v>
      </c>
      <c r="AP1441" s="9" t="n">
        <f aca="false">AD1441*$V1441</f>
        <v>0</v>
      </c>
      <c r="AQ1441" s="9" t="n">
        <f aca="false">AE1441*$V1441</f>
        <v>0</v>
      </c>
      <c r="AR1441" s="9" t="n">
        <f aca="false">AF1441*$V1441</f>
        <v>23600</v>
      </c>
      <c r="AS1441" s="9" t="n">
        <f aca="false">AG1441*$V1441</f>
        <v>23600</v>
      </c>
      <c r="AT1441" s="9" t="n">
        <f aca="false">AH1441*$V1441</f>
        <v>0</v>
      </c>
      <c r="AU1441" s="9" t="n">
        <f aca="false">AI1441*$V1441</f>
        <v>0</v>
      </c>
      <c r="AV1441" s="9" t="n">
        <f aca="false">SUM(X1441:AI1441)/1000</f>
        <v>20</v>
      </c>
      <c r="AW1441" s="9" t="n">
        <f aca="false">SUM(AJ1441:AU1441)</f>
        <v>118000</v>
      </c>
      <c r="AX1441" s="9" t="n">
        <f aca="false">IF(D1441="INR",AW1441/88.24,AW1441)/1000000</f>
        <v>0.00133726201269266</v>
      </c>
    </row>
    <row r="1442" s="2" customFormat="true" ht="14.25" hidden="false" customHeight="true" outlineLevel="0" collapsed="false">
      <c r="A1442" s="12"/>
      <c r="B1442" s="16" t="n">
        <v>1</v>
      </c>
      <c r="C1442" s="15"/>
      <c r="D1442" s="16" t="s">
        <v>50</v>
      </c>
      <c r="E1442" s="16" t="s">
        <v>51</v>
      </c>
      <c r="F1442" s="16" t="s">
        <v>267</v>
      </c>
      <c r="G1442" s="16"/>
      <c r="H1442" s="16" t="s">
        <v>1826</v>
      </c>
      <c r="I1442" s="16"/>
      <c r="J1442" s="16"/>
      <c r="K1442" s="16"/>
      <c r="L1442" s="16"/>
      <c r="M1442" s="16"/>
      <c r="N1442" s="16" t="s">
        <v>271</v>
      </c>
      <c r="O1442" s="16"/>
      <c r="P1442" s="16"/>
      <c r="Q1442" s="16" t="s">
        <v>308</v>
      </c>
      <c r="R1442" s="16"/>
      <c r="S1442" s="16"/>
      <c r="T1442" s="16" t="s">
        <v>2733</v>
      </c>
      <c r="U1442" s="16"/>
      <c r="V1442" s="16" t="n">
        <v>95</v>
      </c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 t="n">
        <v>4000</v>
      </c>
      <c r="AG1442" s="16" t="n">
        <v>4000</v>
      </c>
      <c r="AH1442" s="16" t="n">
        <v>0</v>
      </c>
      <c r="AI1442" s="16" t="n">
        <v>0</v>
      </c>
      <c r="AJ1442" s="9" t="n">
        <f aca="false">X1442*$V1442</f>
        <v>0</v>
      </c>
      <c r="AK1442" s="9" t="n">
        <f aca="false">Y1442*$V1442</f>
        <v>0</v>
      </c>
      <c r="AL1442" s="9" t="n">
        <f aca="false">Z1442*$V1442</f>
        <v>0</v>
      </c>
      <c r="AM1442" s="9" t="n">
        <f aca="false">AA1442*$V1442</f>
        <v>0</v>
      </c>
      <c r="AN1442" s="9" t="n">
        <f aca="false">AB1442*$V1442</f>
        <v>0</v>
      </c>
      <c r="AO1442" s="9" t="n">
        <f aca="false">AC1442*$V1442</f>
        <v>0</v>
      </c>
      <c r="AP1442" s="9" t="n">
        <f aca="false">AD1442*$V1442</f>
        <v>0</v>
      </c>
      <c r="AQ1442" s="9" t="n">
        <f aca="false">AE1442*$V1442</f>
        <v>0</v>
      </c>
      <c r="AR1442" s="9" t="n">
        <f aca="false">AF1442*$V1442</f>
        <v>380000</v>
      </c>
      <c r="AS1442" s="9" t="n">
        <f aca="false">AG1442*$V1442</f>
        <v>380000</v>
      </c>
      <c r="AT1442" s="9" t="n">
        <f aca="false">AH1442*$V1442</f>
        <v>0</v>
      </c>
      <c r="AU1442" s="9" t="n">
        <f aca="false">AI1442*$V1442</f>
        <v>0</v>
      </c>
      <c r="AV1442" s="9" t="n">
        <f aca="false">SUM(X1442:AI1442)/1000</f>
        <v>8</v>
      </c>
      <c r="AW1442" s="9" t="n">
        <f aca="false">SUM(AJ1442:AU1442)</f>
        <v>760000</v>
      </c>
      <c r="AX1442" s="9" t="n">
        <f aca="false">IF(D1442="INR",AW1442/88.24,AW1442)/1000000</f>
        <v>0.0086128739800544</v>
      </c>
    </row>
    <row r="1443" s="2" customFormat="true" ht="14.25" hidden="false" customHeight="false" outlineLevel="0" collapsed="false">
      <c r="A1443" s="12"/>
      <c r="B1443" s="16" t="n">
        <v>5</v>
      </c>
      <c r="C1443" s="15"/>
      <c r="D1443" s="16" t="s">
        <v>50</v>
      </c>
      <c r="E1443" s="16" t="s">
        <v>51</v>
      </c>
      <c r="F1443" s="16" t="s">
        <v>404</v>
      </c>
      <c r="G1443" s="16" t="s">
        <v>2734</v>
      </c>
      <c r="H1443" s="16" t="s">
        <v>2735</v>
      </c>
      <c r="I1443" s="16" t="s">
        <v>105</v>
      </c>
      <c r="J1443" s="16" t="s">
        <v>2736</v>
      </c>
      <c r="K1443" s="16" t="s">
        <v>2735</v>
      </c>
      <c r="L1443" s="16" t="s">
        <v>105</v>
      </c>
      <c r="M1443" s="16" t="s">
        <v>2736</v>
      </c>
      <c r="N1443" s="16" t="s">
        <v>271</v>
      </c>
      <c r="O1443" s="16" t="s">
        <v>94</v>
      </c>
      <c r="P1443" s="16" t="s">
        <v>760</v>
      </c>
      <c r="Q1443" s="16" t="s">
        <v>760</v>
      </c>
      <c r="R1443" s="16" t="s">
        <v>800</v>
      </c>
      <c r="S1443" s="16" t="s">
        <v>968</v>
      </c>
      <c r="T1443" s="9" t="s">
        <v>2737</v>
      </c>
      <c r="U1443" s="9" t="s">
        <v>63</v>
      </c>
      <c r="V1443" s="9" t="n">
        <v>11</v>
      </c>
      <c r="W1443" s="16" t="n">
        <v>0</v>
      </c>
      <c r="X1443" s="22" t="n">
        <v>2000</v>
      </c>
      <c r="Y1443" s="16" t="n">
        <v>2000</v>
      </c>
      <c r="Z1443" s="16"/>
      <c r="AA1443" s="16" t="n">
        <v>2000</v>
      </c>
      <c r="AB1443" s="16" t="n">
        <v>2000</v>
      </c>
      <c r="AC1443" s="16" t="n">
        <v>2000</v>
      </c>
      <c r="AD1443" s="16" t="n">
        <v>2000</v>
      </c>
      <c r="AE1443" s="16" t="n">
        <v>2000</v>
      </c>
      <c r="AF1443" s="16" t="n">
        <v>2000</v>
      </c>
      <c r="AG1443" s="16" t="n">
        <v>2000</v>
      </c>
      <c r="AH1443" s="16" t="n">
        <v>2000</v>
      </c>
      <c r="AI1443" s="16" t="n">
        <v>2000</v>
      </c>
      <c r="AJ1443" s="9" t="n">
        <f aca="false">X1443*$V1443</f>
        <v>22000</v>
      </c>
      <c r="AK1443" s="9" t="n">
        <f aca="false">Y1443*$V1443</f>
        <v>22000</v>
      </c>
      <c r="AL1443" s="9" t="n">
        <f aca="false">Z1443*$V1443</f>
        <v>0</v>
      </c>
      <c r="AM1443" s="9" t="n">
        <f aca="false">AA1443*$V1443</f>
        <v>22000</v>
      </c>
      <c r="AN1443" s="9" t="n">
        <f aca="false">AB1443*$V1443</f>
        <v>22000</v>
      </c>
      <c r="AO1443" s="9" t="n">
        <f aca="false">AC1443*$V1443</f>
        <v>22000</v>
      </c>
      <c r="AP1443" s="9" t="n">
        <f aca="false">AD1443*$V1443</f>
        <v>22000</v>
      </c>
      <c r="AQ1443" s="9" t="n">
        <f aca="false">AE1443*$V1443</f>
        <v>22000</v>
      </c>
      <c r="AR1443" s="9" t="n">
        <f aca="false">AF1443*$V1443</f>
        <v>22000</v>
      </c>
      <c r="AS1443" s="9" t="n">
        <f aca="false">AG1443*$V1443</f>
        <v>22000</v>
      </c>
      <c r="AT1443" s="9" t="n">
        <f aca="false">AH1443*$V1443</f>
        <v>22000</v>
      </c>
      <c r="AU1443" s="9" t="n">
        <f aca="false">AI1443*$V1443</f>
        <v>22000</v>
      </c>
      <c r="AV1443" s="9" t="n">
        <f aca="false">SUM(X1443:AI1443)/1000</f>
        <v>22</v>
      </c>
      <c r="AW1443" s="9" t="n">
        <f aca="false">SUM(AJ1443:AU1443)</f>
        <v>242000</v>
      </c>
      <c r="AX1443" s="9" t="n">
        <f aca="false">IF(D1443="INR",AW1443/88.24,AW1443)/1000000</f>
        <v>0.00274252039891206</v>
      </c>
    </row>
    <row r="1444" s="2" customFormat="true" ht="18" hidden="false" customHeight="true" outlineLevel="0" collapsed="false">
      <c r="A1444" s="12" t="s">
        <v>2738</v>
      </c>
      <c r="B1444" s="16" t="n">
        <v>5</v>
      </c>
      <c r="C1444" s="15"/>
      <c r="D1444" s="16" t="s">
        <v>50</v>
      </c>
      <c r="E1444" s="16" t="s">
        <v>51</v>
      </c>
      <c r="F1444" s="16" t="s">
        <v>52</v>
      </c>
      <c r="G1444" s="16" t="s">
        <v>2739</v>
      </c>
      <c r="H1444" s="16" t="s">
        <v>2740</v>
      </c>
      <c r="I1444" s="16" t="s">
        <v>260</v>
      </c>
      <c r="J1444" s="16" t="s">
        <v>276</v>
      </c>
      <c r="K1444" s="16"/>
      <c r="L1444" s="16" t="s">
        <v>260</v>
      </c>
      <c r="M1444" s="16" t="s">
        <v>276</v>
      </c>
      <c r="N1444" s="16" t="s">
        <v>67</v>
      </c>
      <c r="O1444" s="16" t="s">
        <v>246</v>
      </c>
      <c r="P1444" s="16" t="s">
        <v>262</v>
      </c>
      <c r="Q1444" s="16" t="s">
        <v>262</v>
      </c>
      <c r="R1444" s="16" t="s">
        <v>263</v>
      </c>
      <c r="S1444" s="16" t="s">
        <v>264</v>
      </c>
      <c r="T1444" s="16" t="s">
        <v>1178</v>
      </c>
      <c r="U1444" s="16" t="s">
        <v>73</v>
      </c>
      <c r="V1444" s="16" t="n">
        <v>6.8</v>
      </c>
      <c r="W1444" s="16" t="n">
        <v>0.057</v>
      </c>
      <c r="X1444" s="16"/>
      <c r="Y1444" s="16" t="n">
        <v>3000</v>
      </c>
      <c r="Z1444" s="16"/>
      <c r="AA1444" s="16" t="n">
        <v>3000</v>
      </c>
      <c r="AB1444" s="16"/>
      <c r="AC1444" s="16" t="n">
        <v>3000</v>
      </c>
      <c r="AD1444" s="16"/>
      <c r="AE1444" s="16" t="n">
        <v>3000</v>
      </c>
      <c r="AF1444" s="16"/>
      <c r="AG1444" s="16"/>
      <c r="AH1444" s="16" t="n">
        <v>3000</v>
      </c>
      <c r="AI1444" s="16"/>
      <c r="AJ1444" s="9" t="n">
        <f aca="false">X1444*$V1444</f>
        <v>0</v>
      </c>
      <c r="AK1444" s="9" t="n">
        <f aca="false">Y1444*$V1444</f>
        <v>20400</v>
      </c>
      <c r="AL1444" s="9" t="n">
        <f aca="false">Z1444*$V1444</f>
        <v>0</v>
      </c>
      <c r="AM1444" s="9" t="n">
        <f aca="false">AA1444*$V1444</f>
        <v>20400</v>
      </c>
      <c r="AN1444" s="9" t="n">
        <f aca="false">AB1444*$V1444</f>
        <v>0</v>
      </c>
      <c r="AO1444" s="9" t="n">
        <f aca="false">AC1444*$V1444</f>
        <v>20400</v>
      </c>
      <c r="AP1444" s="9" t="n">
        <f aca="false">AD1444*$V1444</f>
        <v>0</v>
      </c>
      <c r="AQ1444" s="9" t="n">
        <f aca="false">AE1444*$V1444</f>
        <v>20400</v>
      </c>
      <c r="AR1444" s="9" t="n">
        <f aca="false">AF1444*$V1444</f>
        <v>0</v>
      </c>
      <c r="AS1444" s="9" t="n">
        <f aca="false">AG1444*$V1444</f>
        <v>0</v>
      </c>
      <c r="AT1444" s="9" t="n">
        <f aca="false">AH1444*$V1444</f>
        <v>20400</v>
      </c>
      <c r="AU1444" s="9" t="n">
        <f aca="false">AI1444*$V1444</f>
        <v>0</v>
      </c>
      <c r="AV1444" s="9" t="n">
        <f aca="false">SUM(X1444:AI1444)/1000</f>
        <v>15</v>
      </c>
      <c r="AW1444" s="9" t="n">
        <f aca="false">SUM(AJ1444:AU1444)</f>
        <v>102000</v>
      </c>
      <c r="AX1444" s="9" t="n">
        <f aca="false">IF(D1444="INR",AW1444/88.24,AW1444)/1000000</f>
        <v>0.00115593834995467</v>
      </c>
    </row>
    <row r="1445" s="2" customFormat="true" ht="16.4" hidden="false" customHeight="false" outlineLevel="0" collapsed="false">
      <c r="A1445" s="9" t="s">
        <v>2741</v>
      </c>
      <c r="B1445" s="9"/>
      <c r="C1445" s="10"/>
      <c r="D1445" s="9" t="s">
        <v>50</v>
      </c>
      <c r="E1445" s="9" t="s">
        <v>51</v>
      </c>
      <c r="F1445" s="9" t="s">
        <v>52</v>
      </c>
      <c r="G1445" s="9" t="s">
        <v>2742</v>
      </c>
      <c r="H1445" s="9" t="s">
        <v>2743</v>
      </c>
      <c r="I1445" s="9" t="s">
        <v>1117</v>
      </c>
      <c r="J1445" s="9" t="s">
        <v>2744</v>
      </c>
      <c r="K1445" s="9"/>
      <c r="L1445" s="9" t="s">
        <v>1117</v>
      </c>
      <c r="M1445" s="9" t="s">
        <v>2744</v>
      </c>
      <c r="N1445" s="9" t="s">
        <v>57</v>
      </c>
      <c r="O1445" s="9" t="s">
        <v>107</v>
      </c>
      <c r="P1445" s="9" t="s">
        <v>665</v>
      </c>
      <c r="Q1445" s="9" t="s">
        <v>665</v>
      </c>
      <c r="R1445" s="9" t="s">
        <v>666</v>
      </c>
      <c r="S1445" s="9" t="s">
        <v>667</v>
      </c>
      <c r="T1445" s="9" t="s">
        <v>2745</v>
      </c>
      <c r="U1445" s="9" t="s">
        <v>73</v>
      </c>
      <c r="V1445" s="9" t="n">
        <v>6980</v>
      </c>
      <c r="W1445" s="9" t="n">
        <v>71.07</v>
      </c>
      <c r="X1445" s="9"/>
      <c r="Y1445" s="9"/>
      <c r="Z1445" s="9"/>
      <c r="AA1445" s="9"/>
      <c r="AB1445" s="9"/>
      <c r="AC1445" s="9"/>
      <c r="AD1445" s="9"/>
      <c r="AE1445" s="9"/>
      <c r="AF1445" s="9"/>
      <c r="AG1445" s="9" t="n">
        <v>25</v>
      </c>
      <c r="AH1445" s="9"/>
      <c r="AI1445" s="9"/>
      <c r="AJ1445" s="9" t="n">
        <f aca="false">X1445*$V1445</f>
        <v>0</v>
      </c>
      <c r="AK1445" s="9" t="n">
        <f aca="false">Y1445*$V1445</f>
        <v>0</v>
      </c>
      <c r="AL1445" s="9" t="n">
        <f aca="false">Z1445*$V1445</f>
        <v>0</v>
      </c>
      <c r="AM1445" s="9" t="n">
        <f aca="false">AA1445*$V1445</f>
        <v>0</v>
      </c>
      <c r="AN1445" s="9" t="n">
        <f aca="false">AB1445*$V1445</f>
        <v>0</v>
      </c>
      <c r="AO1445" s="9" t="n">
        <f aca="false">AC1445*$V1445</f>
        <v>0</v>
      </c>
      <c r="AP1445" s="9" t="n">
        <f aca="false">AD1445*$V1445</f>
        <v>0</v>
      </c>
      <c r="AQ1445" s="9" t="n">
        <f aca="false">AE1445*$V1445</f>
        <v>0</v>
      </c>
      <c r="AR1445" s="9" t="n">
        <f aca="false">AF1445*$V1445</f>
        <v>0</v>
      </c>
      <c r="AS1445" s="9" t="n">
        <f aca="false">AG1445*$V1445</f>
        <v>174500</v>
      </c>
      <c r="AT1445" s="9" t="n">
        <f aca="false">AH1445*$V1445</f>
        <v>0</v>
      </c>
      <c r="AU1445" s="9" t="n">
        <f aca="false">AI1445*$V1445</f>
        <v>0</v>
      </c>
      <c r="AV1445" s="9" t="n">
        <f aca="false">SUM(X1445:AI1445)/1000</f>
        <v>0.025</v>
      </c>
      <c r="AW1445" s="9" t="n">
        <f aca="false">SUM(AJ1445:AU1445)</f>
        <v>174500</v>
      </c>
      <c r="AX1445" s="9" t="n">
        <f aca="false">IF(D1445="INR",AW1445/88.24,AW1445)/1000000</f>
        <v>0.00197756119673617</v>
      </c>
    </row>
    <row r="1446" s="2" customFormat="true" ht="18" hidden="false" customHeight="true" outlineLevel="0" collapsed="false">
      <c r="A1446" s="12"/>
      <c r="B1446" s="16" t="n">
        <v>1</v>
      </c>
      <c r="C1446" s="15"/>
      <c r="D1446" s="16" t="s">
        <v>50</v>
      </c>
      <c r="E1446" s="16" t="s">
        <v>51</v>
      </c>
      <c r="F1446" s="16" t="s">
        <v>404</v>
      </c>
      <c r="G1446" s="16"/>
      <c r="H1446" s="16" t="s">
        <v>2681</v>
      </c>
      <c r="I1446" s="16"/>
      <c r="J1446" s="16"/>
      <c r="K1446" s="16"/>
      <c r="L1446" s="16"/>
      <c r="M1446" s="16"/>
      <c r="N1446" s="16" t="s">
        <v>271</v>
      </c>
      <c r="O1446" s="16"/>
      <c r="P1446" s="16"/>
      <c r="Q1446" s="16" t="s">
        <v>2682</v>
      </c>
      <c r="R1446" s="16"/>
      <c r="S1446" s="16"/>
      <c r="T1446" s="16" t="s">
        <v>2746</v>
      </c>
      <c r="U1446" s="16"/>
      <c r="V1446" s="16" t="n">
        <v>4724</v>
      </c>
      <c r="W1446" s="16"/>
      <c r="X1446" s="22"/>
      <c r="Y1446" s="22"/>
      <c r="Z1446" s="22"/>
      <c r="AA1446" s="22"/>
      <c r="AB1446" s="22" t="n">
        <v>25</v>
      </c>
      <c r="AC1446" s="22"/>
      <c r="AD1446" s="22"/>
      <c r="AE1446" s="22"/>
      <c r="AF1446" s="22" t="n">
        <v>25</v>
      </c>
      <c r="AG1446" s="22"/>
      <c r="AH1446" s="22" t="n">
        <v>25</v>
      </c>
      <c r="AI1446" s="22"/>
      <c r="AJ1446" s="9" t="n">
        <f aca="false">X1446*$V1446</f>
        <v>0</v>
      </c>
      <c r="AK1446" s="9" t="n">
        <f aca="false">Y1446*$V1446</f>
        <v>0</v>
      </c>
      <c r="AL1446" s="9" t="n">
        <f aca="false">Z1446*$V1446</f>
        <v>0</v>
      </c>
      <c r="AM1446" s="9" t="n">
        <f aca="false">AA1446*$V1446</f>
        <v>0</v>
      </c>
      <c r="AN1446" s="9" t="n">
        <f aca="false">AB1446*$V1446</f>
        <v>118100</v>
      </c>
      <c r="AO1446" s="9" t="n">
        <f aca="false">AC1446*$V1446</f>
        <v>0</v>
      </c>
      <c r="AP1446" s="9" t="n">
        <f aca="false">AD1446*$V1446</f>
        <v>0</v>
      </c>
      <c r="AQ1446" s="9" t="n">
        <f aca="false">AE1446*$V1446</f>
        <v>0</v>
      </c>
      <c r="AR1446" s="9" t="n">
        <f aca="false">AF1446*$V1446</f>
        <v>118100</v>
      </c>
      <c r="AS1446" s="9" t="n">
        <f aca="false">AG1446*$V1446</f>
        <v>0</v>
      </c>
      <c r="AT1446" s="9" t="n">
        <f aca="false">AH1446*$V1446</f>
        <v>118100</v>
      </c>
      <c r="AU1446" s="9" t="n">
        <f aca="false">AI1446*$V1446</f>
        <v>0</v>
      </c>
      <c r="AV1446" s="9" t="n">
        <f aca="false">SUM(X1446:AI1446)/1000</f>
        <v>0.075</v>
      </c>
      <c r="AW1446" s="9" t="n">
        <f aca="false">SUM(AJ1446:AU1446)</f>
        <v>354300</v>
      </c>
      <c r="AX1446" s="9" t="n">
        <f aca="false">IF(D1446="INR",AW1446/88.24,AW1446)/1000000</f>
        <v>0.00401518585675431</v>
      </c>
    </row>
    <row r="1447" s="2" customFormat="true" ht="14.25" hidden="false" customHeight="true" outlineLevel="0" collapsed="false">
      <c r="A1447" s="12"/>
      <c r="B1447" s="16" t="n">
        <v>1</v>
      </c>
      <c r="C1447" s="15"/>
      <c r="D1447" s="16" t="s">
        <v>50</v>
      </c>
      <c r="E1447" s="16" t="s">
        <v>51</v>
      </c>
      <c r="F1447" s="16" t="s">
        <v>404</v>
      </c>
      <c r="G1447" s="16"/>
      <c r="H1447" s="16" t="s">
        <v>2681</v>
      </c>
      <c r="I1447" s="16"/>
      <c r="J1447" s="16"/>
      <c r="K1447" s="16"/>
      <c r="L1447" s="16"/>
      <c r="M1447" s="16"/>
      <c r="N1447" s="16" t="s">
        <v>271</v>
      </c>
      <c r="O1447" s="16"/>
      <c r="P1447" s="16"/>
      <c r="Q1447" s="16" t="s">
        <v>2682</v>
      </c>
      <c r="R1447" s="16"/>
      <c r="S1447" s="16"/>
      <c r="T1447" s="16" t="s">
        <v>2747</v>
      </c>
      <c r="U1447" s="16"/>
      <c r="V1447" s="16" t="n">
        <v>1643</v>
      </c>
      <c r="W1447" s="16"/>
      <c r="X1447" s="16"/>
      <c r="Y1447" s="16"/>
      <c r="Z1447" s="16"/>
      <c r="AA1447" s="16"/>
      <c r="AB1447" s="16" t="n">
        <v>25</v>
      </c>
      <c r="AC1447" s="16"/>
      <c r="AD1447" s="16"/>
      <c r="AE1447" s="16"/>
      <c r="AF1447" s="16" t="n">
        <v>25</v>
      </c>
      <c r="AG1447" s="16"/>
      <c r="AH1447" s="16" t="n">
        <v>25</v>
      </c>
      <c r="AI1447" s="16"/>
      <c r="AJ1447" s="9" t="n">
        <f aca="false">X1447*$V1447</f>
        <v>0</v>
      </c>
      <c r="AK1447" s="9" t="n">
        <f aca="false">Y1447*$V1447</f>
        <v>0</v>
      </c>
      <c r="AL1447" s="9" t="n">
        <f aca="false">Z1447*$V1447</f>
        <v>0</v>
      </c>
      <c r="AM1447" s="9" t="n">
        <f aca="false">AA1447*$V1447</f>
        <v>0</v>
      </c>
      <c r="AN1447" s="9" t="n">
        <f aca="false">AB1447*$V1447</f>
        <v>41075</v>
      </c>
      <c r="AO1447" s="9" t="n">
        <f aca="false">AC1447*$V1447</f>
        <v>0</v>
      </c>
      <c r="AP1447" s="9" t="n">
        <f aca="false">AD1447*$V1447</f>
        <v>0</v>
      </c>
      <c r="AQ1447" s="9" t="n">
        <f aca="false">AE1447*$V1447</f>
        <v>0</v>
      </c>
      <c r="AR1447" s="9" t="n">
        <f aca="false">AF1447*$V1447</f>
        <v>41075</v>
      </c>
      <c r="AS1447" s="9" t="n">
        <f aca="false">AG1447*$V1447</f>
        <v>0</v>
      </c>
      <c r="AT1447" s="9" t="n">
        <f aca="false">AH1447*$V1447</f>
        <v>41075</v>
      </c>
      <c r="AU1447" s="9" t="n">
        <f aca="false">AI1447*$V1447</f>
        <v>0</v>
      </c>
      <c r="AV1447" s="9" t="n">
        <f aca="false">SUM(X1447:AI1447)/1000</f>
        <v>0.075</v>
      </c>
      <c r="AW1447" s="9" t="n">
        <f aca="false">SUM(AJ1447:AU1447)</f>
        <v>123225</v>
      </c>
      <c r="AX1447" s="9" t="n">
        <f aca="false">IF(D1447="INR",AW1447/88.24,AW1447)/1000000</f>
        <v>0.00139647552130553</v>
      </c>
    </row>
    <row r="1448" s="2" customFormat="true" ht="16.4" hidden="false" customHeight="false" outlineLevel="0" collapsed="false">
      <c r="A1448" s="9" t="s">
        <v>2748</v>
      </c>
      <c r="B1448" s="9"/>
      <c r="C1448" s="10" t="n">
        <v>5</v>
      </c>
      <c r="D1448" s="9" t="s">
        <v>50</v>
      </c>
      <c r="E1448" s="9" t="s">
        <v>51</v>
      </c>
      <c r="F1448" s="9" t="s">
        <v>52</v>
      </c>
      <c r="G1448" s="9" t="s">
        <v>2749</v>
      </c>
      <c r="H1448" s="9" t="s">
        <v>2750</v>
      </c>
      <c r="I1448" s="9" t="s">
        <v>105</v>
      </c>
      <c r="J1448" s="9" t="s">
        <v>766</v>
      </c>
      <c r="K1448" s="9"/>
      <c r="L1448" s="9" t="s">
        <v>105</v>
      </c>
      <c r="M1448" s="9" t="s">
        <v>766</v>
      </c>
      <c r="N1448" s="16" t="s">
        <v>1639</v>
      </c>
      <c r="O1448" s="9" t="s">
        <v>246</v>
      </c>
      <c r="P1448" s="9" t="s">
        <v>1389</v>
      </c>
      <c r="Q1448" s="9" t="s">
        <v>1390</v>
      </c>
      <c r="R1448" s="9" t="s">
        <v>309</v>
      </c>
      <c r="S1448" s="9" t="s">
        <v>363</v>
      </c>
      <c r="T1448" s="9" t="s">
        <v>2751</v>
      </c>
      <c r="U1448" s="9" t="s">
        <v>73</v>
      </c>
      <c r="V1448" s="9" t="n">
        <v>133.3</v>
      </c>
      <c r="W1448" s="9" t="n">
        <v>1.34</v>
      </c>
      <c r="X1448" s="9"/>
      <c r="Y1448" s="9"/>
      <c r="Z1448" s="9"/>
      <c r="AA1448" s="9" t="n">
        <v>10000</v>
      </c>
      <c r="AB1448" s="9"/>
      <c r="AC1448" s="9"/>
      <c r="AD1448" s="9" t="n">
        <v>10000</v>
      </c>
      <c r="AE1448" s="9"/>
      <c r="AF1448" s="9"/>
      <c r="AG1448" s="9" t="n">
        <v>10000</v>
      </c>
      <c r="AH1448" s="9"/>
      <c r="AI1448" s="9"/>
      <c r="AJ1448" s="9" t="n">
        <f aca="false">X1448*$V1448</f>
        <v>0</v>
      </c>
      <c r="AK1448" s="9" t="n">
        <f aca="false">Y1448*$V1448</f>
        <v>0</v>
      </c>
      <c r="AL1448" s="9" t="n">
        <f aca="false">Z1448*$V1448</f>
        <v>0</v>
      </c>
      <c r="AM1448" s="9" t="n">
        <f aca="false">AA1448*$V1448</f>
        <v>1333000</v>
      </c>
      <c r="AN1448" s="9" t="n">
        <f aca="false">AB1448*$V1448</f>
        <v>0</v>
      </c>
      <c r="AO1448" s="9" t="n">
        <f aca="false">AC1448*$V1448</f>
        <v>0</v>
      </c>
      <c r="AP1448" s="9" t="n">
        <f aca="false">AD1448*$V1448</f>
        <v>1333000</v>
      </c>
      <c r="AQ1448" s="9" t="n">
        <f aca="false">AE1448*$V1448</f>
        <v>0</v>
      </c>
      <c r="AR1448" s="9" t="n">
        <f aca="false">AF1448*$V1448</f>
        <v>0</v>
      </c>
      <c r="AS1448" s="9" t="n">
        <f aca="false">AG1448*$V1448</f>
        <v>1333000</v>
      </c>
      <c r="AT1448" s="9" t="n">
        <f aca="false">AH1448*$V1448</f>
        <v>0</v>
      </c>
      <c r="AU1448" s="9" t="n">
        <f aca="false">AI1448*$V1448</f>
        <v>0</v>
      </c>
      <c r="AV1448" s="9" t="n">
        <f aca="false">SUM(X1448:AI1448)/1000</f>
        <v>30</v>
      </c>
      <c r="AW1448" s="9" t="n">
        <f aca="false">SUM(AJ1448:AU1448)</f>
        <v>3999000</v>
      </c>
      <c r="AX1448" s="9" t="n">
        <f aca="false">IF(D1448="INR",AW1448/88.24,AW1448)/1000000</f>
        <v>0.0453195829555757</v>
      </c>
    </row>
    <row r="1449" s="2" customFormat="true" ht="14.25" hidden="false" customHeight="true" outlineLevel="0" collapsed="false">
      <c r="A1449" s="9"/>
      <c r="B1449" s="9" t="n">
        <v>1</v>
      </c>
      <c r="C1449" s="15"/>
      <c r="D1449" s="16" t="s">
        <v>50</v>
      </c>
      <c r="E1449" s="16" t="s">
        <v>51</v>
      </c>
      <c r="F1449" s="16" t="s">
        <v>52</v>
      </c>
      <c r="G1449" s="16"/>
      <c r="H1449" s="16" t="s">
        <v>2701</v>
      </c>
      <c r="I1449" s="16"/>
      <c r="J1449" s="16"/>
      <c r="K1449" s="16"/>
      <c r="L1449" s="16"/>
      <c r="M1449" s="16"/>
      <c r="N1449" s="16" t="s">
        <v>79</v>
      </c>
      <c r="O1449" s="16"/>
      <c r="P1449" s="9"/>
      <c r="Q1449" s="9" t="s">
        <v>2752</v>
      </c>
      <c r="R1449" s="9"/>
      <c r="S1449" s="9"/>
      <c r="T1449" s="9" t="s">
        <v>2753</v>
      </c>
      <c r="U1449" s="9" t="s">
        <v>382</v>
      </c>
      <c r="V1449" s="9" t="n">
        <v>12.35</v>
      </c>
      <c r="W1449" s="9"/>
      <c r="X1449" s="22"/>
      <c r="Y1449" s="9"/>
      <c r="Z1449" s="9"/>
      <c r="AA1449" s="9"/>
      <c r="AB1449" s="9"/>
      <c r="AC1449" s="9"/>
      <c r="AD1449" s="9"/>
      <c r="AE1449" s="9"/>
      <c r="AF1449" s="9" t="n">
        <v>5000</v>
      </c>
      <c r="AG1449" s="9" t="n">
        <v>5000</v>
      </c>
      <c r="AH1449" s="9" t="n">
        <v>5000</v>
      </c>
      <c r="AI1449" s="9" t="n">
        <v>5000</v>
      </c>
      <c r="AJ1449" s="9" t="n">
        <f aca="false">X1449*$V1449</f>
        <v>0</v>
      </c>
      <c r="AK1449" s="9" t="n">
        <f aca="false">Y1449*$V1449</f>
        <v>0</v>
      </c>
      <c r="AL1449" s="9" t="n">
        <f aca="false">Z1449*$V1449</f>
        <v>0</v>
      </c>
      <c r="AM1449" s="9" t="n">
        <f aca="false">AA1449*$V1449</f>
        <v>0</v>
      </c>
      <c r="AN1449" s="9" t="n">
        <f aca="false">AB1449*$V1449</f>
        <v>0</v>
      </c>
      <c r="AO1449" s="9" t="n">
        <f aca="false">AC1449*$V1449</f>
        <v>0</v>
      </c>
      <c r="AP1449" s="9" t="n">
        <f aca="false">AD1449*$V1449</f>
        <v>0</v>
      </c>
      <c r="AQ1449" s="9" t="n">
        <f aca="false">AE1449*$V1449</f>
        <v>0</v>
      </c>
      <c r="AR1449" s="9" t="n">
        <f aca="false">AF1449*$V1449</f>
        <v>61750</v>
      </c>
      <c r="AS1449" s="9" t="n">
        <f aca="false">AG1449*$V1449</f>
        <v>61750</v>
      </c>
      <c r="AT1449" s="9" t="n">
        <f aca="false">AH1449*$V1449</f>
        <v>61750</v>
      </c>
      <c r="AU1449" s="9" t="n">
        <f aca="false">AI1449*$V1449</f>
        <v>61750</v>
      </c>
      <c r="AV1449" s="9" t="n">
        <f aca="false">SUM(X1449:AI1449)/1000</f>
        <v>20</v>
      </c>
      <c r="AW1449" s="9" t="n">
        <f aca="false">SUM(AJ1449:AU1449)</f>
        <v>247000</v>
      </c>
      <c r="AX1449" s="9" t="n">
        <f aca="false">IF(D1449="INR",AW1449/88.24,AW1449)/1000000</f>
        <v>0.00279918404351768</v>
      </c>
    </row>
    <row r="1450" s="2" customFormat="true" ht="14.25" hidden="false" customHeight="false" outlineLevel="0" collapsed="false">
      <c r="A1450" s="9"/>
      <c r="B1450" s="9" t="n">
        <v>1</v>
      </c>
      <c r="C1450" s="10"/>
      <c r="D1450" s="9" t="s">
        <v>50</v>
      </c>
      <c r="E1450" s="9" t="s">
        <v>51</v>
      </c>
      <c r="F1450" s="9" t="s">
        <v>52</v>
      </c>
      <c r="G1450" s="9"/>
      <c r="H1450" s="9" t="s">
        <v>2701</v>
      </c>
      <c r="I1450" s="9"/>
      <c r="J1450" s="9"/>
      <c r="K1450" s="9"/>
      <c r="L1450" s="9"/>
      <c r="M1450" s="9"/>
      <c r="N1450" s="9" t="s">
        <v>79</v>
      </c>
      <c r="O1450" s="9"/>
      <c r="P1450" s="9"/>
      <c r="Q1450" s="9" t="s">
        <v>2752</v>
      </c>
      <c r="R1450" s="9"/>
      <c r="S1450" s="9"/>
      <c r="T1450" s="9" t="s">
        <v>2754</v>
      </c>
      <c r="U1450" s="9" t="s">
        <v>382</v>
      </c>
      <c r="V1450" s="10" t="n">
        <v>8.45</v>
      </c>
      <c r="W1450" s="9"/>
      <c r="X1450" s="9"/>
      <c r="Y1450" s="9"/>
      <c r="Z1450" s="9"/>
      <c r="AA1450" s="9"/>
      <c r="AB1450" s="9"/>
      <c r="AC1450" s="9"/>
      <c r="AD1450" s="9"/>
      <c r="AE1450" s="9"/>
      <c r="AF1450" s="9" t="n">
        <v>5000</v>
      </c>
      <c r="AG1450" s="9" t="n">
        <v>5000</v>
      </c>
      <c r="AH1450" s="9" t="n">
        <v>5000</v>
      </c>
      <c r="AI1450" s="9" t="n">
        <v>5000</v>
      </c>
      <c r="AJ1450" s="9" t="n">
        <f aca="false">X1450*$V1450</f>
        <v>0</v>
      </c>
      <c r="AK1450" s="9" t="n">
        <f aca="false">Y1450*$V1450</f>
        <v>0</v>
      </c>
      <c r="AL1450" s="9" t="n">
        <f aca="false">Z1450*$V1450</f>
        <v>0</v>
      </c>
      <c r="AM1450" s="9" t="n">
        <f aca="false">AA1450*$V1450</f>
        <v>0</v>
      </c>
      <c r="AN1450" s="9" t="n">
        <f aca="false">AB1450*$V1450</f>
        <v>0</v>
      </c>
      <c r="AO1450" s="9" t="n">
        <f aca="false">AC1450*$V1450</f>
        <v>0</v>
      </c>
      <c r="AP1450" s="9" t="n">
        <f aca="false">AD1450*$V1450</f>
        <v>0</v>
      </c>
      <c r="AQ1450" s="9" t="n">
        <f aca="false">AE1450*$V1450</f>
        <v>0</v>
      </c>
      <c r="AR1450" s="9" t="n">
        <f aca="false">AF1450*$V1450</f>
        <v>42250</v>
      </c>
      <c r="AS1450" s="9" t="n">
        <f aca="false">AG1450*$V1450</f>
        <v>42250</v>
      </c>
      <c r="AT1450" s="9" t="n">
        <f aca="false">AH1450*$V1450</f>
        <v>42250</v>
      </c>
      <c r="AU1450" s="9" t="n">
        <f aca="false">AI1450*$V1450</f>
        <v>42250</v>
      </c>
      <c r="AV1450" s="9" t="n">
        <f aca="false">SUM(X1450:AI1450)/1000</f>
        <v>20</v>
      </c>
      <c r="AW1450" s="9" t="n">
        <f aca="false">SUM(AJ1450:AU1450)</f>
        <v>169000</v>
      </c>
      <c r="AX1450" s="9" t="n">
        <f aca="false">IF(D1450="INR",AW1450/88.24,AW1450)/1000000</f>
        <v>0.00191523118766999</v>
      </c>
    </row>
    <row r="1451" s="2" customFormat="true" ht="18" hidden="false" customHeight="true" outlineLevel="0" collapsed="false">
      <c r="A1451" s="16"/>
      <c r="B1451" s="16" t="n">
        <v>1</v>
      </c>
      <c r="C1451" s="16"/>
      <c r="D1451" s="16" t="s">
        <v>50</v>
      </c>
      <c r="E1451" s="16" t="s">
        <v>51</v>
      </c>
      <c r="F1451" s="16" t="s">
        <v>52</v>
      </c>
      <c r="G1451" s="16"/>
      <c r="H1451" s="16" t="s">
        <v>2701</v>
      </c>
      <c r="I1451" s="16"/>
      <c r="J1451" s="16"/>
      <c r="K1451" s="16"/>
      <c r="L1451" s="16"/>
      <c r="M1451" s="16"/>
      <c r="N1451" s="16" t="s">
        <v>79</v>
      </c>
      <c r="O1451" s="16"/>
      <c r="P1451" s="16"/>
      <c r="Q1451" s="16" t="s">
        <v>2752</v>
      </c>
      <c r="R1451" s="16"/>
      <c r="S1451" s="16"/>
      <c r="T1451" s="16" t="s">
        <v>2755</v>
      </c>
      <c r="U1451" s="16" t="s">
        <v>382</v>
      </c>
      <c r="V1451" s="26" t="n">
        <v>1.56</v>
      </c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 t="n">
        <v>5000</v>
      </c>
      <c r="AG1451" s="16" t="n">
        <v>5000</v>
      </c>
      <c r="AH1451" s="16" t="n">
        <v>5000</v>
      </c>
      <c r="AI1451" s="16" t="n">
        <v>5000</v>
      </c>
      <c r="AJ1451" s="9" t="n">
        <f aca="false">X1451*$V1451</f>
        <v>0</v>
      </c>
      <c r="AK1451" s="9" t="n">
        <f aca="false">Y1451*$V1451</f>
        <v>0</v>
      </c>
      <c r="AL1451" s="9" t="n">
        <f aca="false">Z1451*$V1451</f>
        <v>0</v>
      </c>
      <c r="AM1451" s="9" t="n">
        <f aca="false">AA1451*$V1451</f>
        <v>0</v>
      </c>
      <c r="AN1451" s="9" t="n">
        <f aca="false">AB1451*$V1451</f>
        <v>0</v>
      </c>
      <c r="AO1451" s="9" t="n">
        <f aca="false">AC1451*$V1451</f>
        <v>0</v>
      </c>
      <c r="AP1451" s="9" t="n">
        <f aca="false">AD1451*$V1451</f>
        <v>0</v>
      </c>
      <c r="AQ1451" s="9" t="n">
        <f aca="false">AE1451*$V1451</f>
        <v>0</v>
      </c>
      <c r="AR1451" s="9" t="n">
        <f aca="false">AF1451*$V1451</f>
        <v>7800</v>
      </c>
      <c r="AS1451" s="9" t="n">
        <f aca="false">AG1451*$V1451</f>
        <v>7800</v>
      </c>
      <c r="AT1451" s="9" t="n">
        <f aca="false">AH1451*$V1451</f>
        <v>7800</v>
      </c>
      <c r="AU1451" s="9" t="n">
        <f aca="false">AI1451*$V1451</f>
        <v>7800</v>
      </c>
      <c r="AV1451" s="9" t="n">
        <f aca="false">SUM(X1451:AI1451)/1000</f>
        <v>20</v>
      </c>
      <c r="AW1451" s="9" t="n">
        <f aca="false">SUM(AJ1451:AU1451)</f>
        <v>31200</v>
      </c>
      <c r="AX1451" s="9" t="n">
        <f aca="false">IF(D1451="INR",AW1451/88.24,AW1451)/1000000</f>
        <v>0.000353581142339075</v>
      </c>
    </row>
    <row r="1452" s="2" customFormat="true" ht="14.25" hidden="false" customHeight="false" outlineLevel="0" collapsed="false">
      <c r="A1452" s="12"/>
      <c r="B1452" s="16" t="n">
        <v>1</v>
      </c>
      <c r="C1452" s="15"/>
      <c r="D1452" s="16" t="s">
        <v>50</v>
      </c>
      <c r="E1452" s="16" t="s">
        <v>51</v>
      </c>
      <c r="F1452" s="16" t="s">
        <v>52</v>
      </c>
      <c r="G1452" s="16"/>
      <c r="H1452" s="16" t="s">
        <v>2701</v>
      </c>
      <c r="I1452" s="16"/>
      <c r="J1452" s="16"/>
      <c r="K1452" s="16"/>
      <c r="L1452" s="16"/>
      <c r="M1452" s="16"/>
      <c r="N1452" s="16" t="s">
        <v>79</v>
      </c>
      <c r="O1452" s="16"/>
      <c r="P1452" s="16"/>
      <c r="Q1452" s="16" t="s">
        <v>2752</v>
      </c>
      <c r="R1452" s="16"/>
      <c r="S1452" s="16"/>
      <c r="T1452" s="16" t="s">
        <v>2756</v>
      </c>
      <c r="U1452" s="16" t="s">
        <v>382</v>
      </c>
      <c r="V1452" s="16" t="n">
        <v>279.5</v>
      </c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 t="n">
        <v>5000</v>
      </c>
      <c r="AJ1452" s="9" t="n">
        <f aca="false">X1452*$V1452</f>
        <v>0</v>
      </c>
      <c r="AK1452" s="9" t="n">
        <f aca="false">Y1452*$V1452</f>
        <v>0</v>
      </c>
      <c r="AL1452" s="9" t="n">
        <f aca="false">Z1452*$V1452</f>
        <v>0</v>
      </c>
      <c r="AM1452" s="9" t="n">
        <f aca="false">AA1452*$V1452</f>
        <v>0</v>
      </c>
      <c r="AN1452" s="9" t="n">
        <f aca="false">AB1452*$V1452</f>
        <v>0</v>
      </c>
      <c r="AO1452" s="9" t="n">
        <f aca="false">AC1452*$V1452</f>
        <v>0</v>
      </c>
      <c r="AP1452" s="9" t="n">
        <f aca="false">AD1452*$V1452</f>
        <v>0</v>
      </c>
      <c r="AQ1452" s="9" t="n">
        <f aca="false">AE1452*$V1452</f>
        <v>0</v>
      </c>
      <c r="AR1452" s="9" t="n">
        <f aca="false">AF1452*$V1452</f>
        <v>0</v>
      </c>
      <c r="AS1452" s="9" t="n">
        <f aca="false">AG1452*$V1452</f>
        <v>0</v>
      </c>
      <c r="AT1452" s="9" t="n">
        <f aca="false">AH1452*$V1452</f>
        <v>0</v>
      </c>
      <c r="AU1452" s="9" t="n">
        <f aca="false">AI1452*$V1452</f>
        <v>1397500</v>
      </c>
      <c r="AV1452" s="9" t="n">
        <f aca="false">SUM(X1452:AI1452)/1000</f>
        <v>5</v>
      </c>
      <c r="AW1452" s="9" t="n">
        <f aca="false">SUM(AJ1452:AU1452)</f>
        <v>1397500</v>
      </c>
      <c r="AX1452" s="9" t="n">
        <f aca="false">IF(D1452="INR",AW1452/88.24,AW1452)/1000000</f>
        <v>0.0158374886672711</v>
      </c>
    </row>
    <row r="1453" s="2" customFormat="true" ht="16.4" hidden="false" customHeight="false" outlineLevel="0" collapsed="false">
      <c r="A1453" s="9" t="s">
        <v>2757</v>
      </c>
      <c r="B1453" s="9"/>
      <c r="C1453" s="10"/>
      <c r="D1453" s="9" t="s">
        <v>50</v>
      </c>
      <c r="E1453" s="9" t="s">
        <v>51</v>
      </c>
      <c r="F1453" s="9" t="s">
        <v>52</v>
      </c>
      <c r="G1453" s="9" t="s">
        <v>2758</v>
      </c>
      <c r="H1453" s="9" t="s">
        <v>2759</v>
      </c>
      <c r="I1453" s="9" t="s">
        <v>55</v>
      </c>
      <c r="J1453" s="9" t="s">
        <v>56</v>
      </c>
      <c r="K1453" s="9"/>
      <c r="L1453" s="9" t="s">
        <v>55</v>
      </c>
      <c r="M1453" s="9" t="s">
        <v>56</v>
      </c>
      <c r="N1453" s="9" t="s">
        <v>57</v>
      </c>
      <c r="O1453" s="9" t="s">
        <v>94</v>
      </c>
      <c r="P1453" s="9" t="s">
        <v>188</v>
      </c>
      <c r="Q1453" s="9" t="s">
        <v>188</v>
      </c>
      <c r="R1453" s="9" t="s">
        <v>550</v>
      </c>
      <c r="S1453" s="9" t="s">
        <v>528</v>
      </c>
      <c r="T1453" s="9" t="s">
        <v>2760</v>
      </c>
      <c r="U1453" s="9" t="s">
        <v>73</v>
      </c>
      <c r="V1453" s="9" t="n">
        <v>21.45</v>
      </c>
      <c r="W1453" s="9" t="n">
        <v>0.16</v>
      </c>
      <c r="X1453" s="9"/>
      <c r="Y1453" s="9"/>
      <c r="Z1453" s="9"/>
      <c r="AA1453" s="9"/>
      <c r="AB1453" s="9"/>
      <c r="AC1453" s="9"/>
      <c r="AD1453" s="9"/>
      <c r="AE1453" s="9"/>
      <c r="AF1453" s="9" t="n">
        <v>2500</v>
      </c>
      <c r="AG1453" s="9"/>
      <c r="AH1453" s="9"/>
      <c r="AI1453" s="9"/>
      <c r="AJ1453" s="9" t="n">
        <f aca="false">X1453*$V1453</f>
        <v>0</v>
      </c>
      <c r="AK1453" s="9" t="n">
        <f aca="false">Y1453*$V1453</f>
        <v>0</v>
      </c>
      <c r="AL1453" s="9" t="n">
        <f aca="false">Z1453*$V1453</f>
        <v>0</v>
      </c>
      <c r="AM1453" s="9" t="n">
        <f aca="false">AA1453*$V1453</f>
        <v>0</v>
      </c>
      <c r="AN1453" s="9" t="n">
        <f aca="false">AB1453*$V1453</f>
        <v>0</v>
      </c>
      <c r="AO1453" s="9" t="n">
        <f aca="false">AC1453*$V1453</f>
        <v>0</v>
      </c>
      <c r="AP1453" s="9" t="n">
        <f aca="false">AD1453*$V1453</f>
        <v>0</v>
      </c>
      <c r="AQ1453" s="9" t="n">
        <f aca="false">AE1453*$V1453</f>
        <v>0</v>
      </c>
      <c r="AR1453" s="9" t="n">
        <f aca="false">AF1453*$V1453</f>
        <v>53625</v>
      </c>
      <c r="AS1453" s="9" t="n">
        <f aca="false">AG1453*$V1453</f>
        <v>0</v>
      </c>
      <c r="AT1453" s="9" t="n">
        <f aca="false">AH1453*$V1453</f>
        <v>0</v>
      </c>
      <c r="AU1453" s="9" t="n">
        <f aca="false">AI1453*$V1453</f>
        <v>0</v>
      </c>
      <c r="AV1453" s="9" t="n">
        <f aca="false">SUM(X1453:AI1453)/1000</f>
        <v>2.5</v>
      </c>
      <c r="AW1453" s="9" t="n">
        <f aca="false">SUM(AJ1453:AU1453)</f>
        <v>53625</v>
      </c>
      <c r="AX1453" s="9" t="n">
        <f aca="false">IF(D1453="INR",AW1453/88.24,AW1453)/1000000</f>
        <v>0.000607717588395286</v>
      </c>
    </row>
    <row r="1454" s="2" customFormat="true" ht="18" hidden="false" customHeight="true" outlineLevel="0" collapsed="false">
      <c r="A1454" s="12" t="s">
        <v>2761</v>
      </c>
      <c r="B1454" s="16"/>
      <c r="C1454" s="15" t="n">
        <v>5</v>
      </c>
      <c r="D1454" s="16" t="s">
        <v>50</v>
      </c>
      <c r="E1454" s="16" t="s">
        <v>51</v>
      </c>
      <c r="F1454" s="16" t="s">
        <v>52</v>
      </c>
      <c r="G1454" s="16" t="s">
        <v>1041</v>
      </c>
      <c r="H1454" s="16" t="s">
        <v>1042</v>
      </c>
      <c r="I1454" s="16" t="s">
        <v>105</v>
      </c>
      <c r="J1454" s="16" t="s">
        <v>368</v>
      </c>
      <c r="K1454" s="16"/>
      <c r="L1454" s="16" t="s">
        <v>105</v>
      </c>
      <c r="M1454" s="16" t="s">
        <v>368</v>
      </c>
      <c r="N1454" s="16" t="s">
        <v>290</v>
      </c>
      <c r="O1454" s="16" t="s">
        <v>107</v>
      </c>
      <c r="P1454" s="16" t="s">
        <v>789</v>
      </c>
      <c r="Q1454" s="16" t="s">
        <v>789</v>
      </c>
      <c r="R1454" s="16" t="s">
        <v>377</v>
      </c>
      <c r="S1454" s="16" t="s">
        <v>528</v>
      </c>
      <c r="T1454" s="16" t="s">
        <v>2762</v>
      </c>
      <c r="U1454" s="16" t="s">
        <v>73</v>
      </c>
      <c r="V1454" s="16" t="n">
        <v>100</v>
      </c>
      <c r="W1454" s="16" t="n">
        <v>1.08</v>
      </c>
      <c r="X1454" s="16" t="n">
        <v>0</v>
      </c>
      <c r="Y1454" s="16" t="n">
        <v>0</v>
      </c>
      <c r="Z1454" s="16" t="n">
        <v>0</v>
      </c>
      <c r="AA1454" s="16" t="n">
        <v>7000</v>
      </c>
      <c r="AB1454" s="16" t="n">
        <v>0</v>
      </c>
      <c r="AC1454" s="16" t="n">
        <v>0</v>
      </c>
      <c r="AD1454" s="16" t="n">
        <v>0</v>
      </c>
      <c r="AE1454" s="16" t="n">
        <v>0</v>
      </c>
      <c r="AF1454" s="16" t="n">
        <v>0</v>
      </c>
      <c r="AG1454" s="16" t="n">
        <v>0</v>
      </c>
      <c r="AH1454" s="16" t="n">
        <v>0</v>
      </c>
      <c r="AI1454" s="16" t="n">
        <v>0</v>
      </c>
      <c r="AJ1454" s="9" t="n">
        <f aca="false">X1454*$V1454</f>
        <v>0</v>
      </c>
      <c r="AK1454" s="9" t="n">
        <f aca="false">Y1454*$V1454</f>
        <v>0</v>
      </c>
      <c r="AL1454" s="9" t="n">
        <f aca="false">Z1454*$V1454</f>
        <v>0</v>
      </c>
      <c r="AM1454" s="9" t="n">
        <f aca="false">AA1454*$V1454</f>
        <v>700000</v>
      </c>
      <c r="AN1454" s="9" t="n">
        <f aca="false">AB1454*$V1454</f>
        <v>0</v>
      </c>
      <c r="AO1454" s="9" t="n">
        <f aca="false">AC1454*$V1454</f>
        <v>0</v>
      </c>
      <c r="AP1454" s="9" t="n">
        <f aca="false">AD1454*$V1454</f>
        <v>0</v>
      </c>
      <c r="AQ1454" s="9" t="n">
        <f aca="false">AE1454*$V1454</f>
        <v>0</v>
      </c>
      <c r="AR1454" s="9" t="n">
        <f aca="false">AF1454*$V1454</f>
        <v>0</v>
      </c>
      <c r="AS1454" s="9" t="n">
        <f aca="false">AG1454*$V1454</f>
        <v>0</v>
      </c>
      <c r="AT1454" s="9" t="n">
        <f aca="false">AH1454*$V1454</f>
        <v>0</v>
      </c>
      <c r="AU1454" s="9" t="n">
        <f aca="false">AI1454*$V1454</f>
        <v>0</v>
      </c>
      <c r="AV1454" s="9" t="n">
        <f aca="false">SUM(X1454:AI1454)/1000</f>
        <v>7</v>
      </c>
      <c r="AW1454" s="9" t="n">
        <f aca="false">SUM(AJ1454:AU1454)</f>
        <v>700000</v>
      </c>
      <c r="AX1454" s="9" t="n">
        <f aca="false">IF(D1454="INR",AW1454/88.24,AW1454)/1000000</f>
        <v>0.00793291024478695</v>
      </c>
    </row>
    <row r="1455" s="2" customFormat="true" ht="14.25" hidden="false" customHeight="false" outlineLevel="0" collapsed="false">
      <c r="A1455" s="12" t="s">
        <v>2763</v>
      </c>
      <c r="B1455" s="16"/>
      <c r="C1455" s="15" t="n">
        <v>5</v>
      </c>
      <c r="D1455" s="16" t="s">
        <v>50</v>
      </c>
      <c r="E1455" s="16" t="s">
        <v>51</v>
      </c>
      <c r="F1455" s="16" t="s">
        <v>52</v>
      </c>
      <c r="G1455" s="16" t="s">
        <v>1041</v>
      </c>
      <c r="H1455" s="16" t="s">
        <v>1042</v>
      </c>
      <c r="I1455" s="16" t="s">
        <v>105</v>
      </c>
      <c r="J1455" s="16" t="s">
        <v>368</v>
      </c>
      <c r="K1455" s="16"/>
      <c r="L1455" s="16" t="s">
        <v>105</v>
      </c>
      <c r="M1455" s="16" t="s">
        <v>368</v>
      </c>
      <c r="N1455" s="16" t="s">
        <v>290</v>
      </c>
      <c r="O1455" s="16" t="s">
        <v>107</v>
      </c>
      <c r="P1455" s="16" t="s">
        <v>262</v>
      </c>
      <c r="Q1455" s="16" t="s">
        <v>262</v>
      </c>
      <c r="R1455" s="16" t="s">
        <v>263</v>
      </c>
      <c r="S1455" s="16" t="s">
        <v>264</v>
      </c>
      <c r="T1455" s="9" t="s">
        <v>2764</v>
      </c>
      <c r="U1455" s="9" t="s">
        <v>73</v>
      </c>
      <c r="V1455" s="9" t="n">
        <v>39.21</v>
      </c>
      <c r="W1455" s="16" t="n">
        <v>0.35</v>
      </c>
      <c r="X1455" s="22" t="n">
        <v>0</v>
      </c>
      <c r="Y1455" s="22" t="n">
        <v>1000</v>
      </c>
      <c r="Z1455" s="22" t="n">
        <v>0</v>
      </c>
      <c r="AA1455" s="22" t="n">
        <v>1000</v>
      </c>
      <c r="AB1455" s="22" t="n">
        <v>0</v>
      </c>
      <c r="AC1455" s="22" t="n">
        <v>1000</v>
      </c>
      <c r="AD1455" s="22" t="n">
        <v>0</v>
      </c>
      <c r="AE1455" s="22" t="n">
        <v>1000</v>
      </c>
      <c r="AF1455" s="22" t="n">
        <v>0</v>
      </c>
      <c r="AG1455" s="22" t="n">
        <v>1000</v>
      </c>
      <c r="AH1455" s="22" t="n">
        <v>0</v>
      </c>
      <c r="AI1455" s="22" t="n">
        <v>1000</v>
      </c>
      <c r="AJ1455" s="9" t="n">
        <f aca="false">X1455*$V1455</f>
        <v>0</v>
      </c>
      <c r="AK1455" s="9" t="n">
        <f aca="false">Y1455*$V1455</f>
        <v>39210</v>
      </c>
      <c r="AL1455" s="9" t="n">
        <f aca="false">Z1455*$V1455</f>
        <v>0</v>
      </c>
      <c r="AM1455" s="9" t="n">
        <f aca="false">AA1455*$V1455</f>
        <v>39210</v>
      </c>
      <c r="AN1455" s="9" t="n">
        <f aca="false">AB1455*$V1455</f>
        <v>0</v>
      </c>
      <c r="AO1455" s="9" t="n">
        <f aca="false">AC1455*$V1455</f>
        <v>39210</v>
      </c>
      <c r="AP1455" s="9" t="n">
        <f aca="false">AD1455*$V1455</f>
        <v>0</v>
      </c>
      <c r="AQ1455" s="9" t="n">
        <f aca="false">AE1455*$V1455</f>
        <v>39210</v>
      </c>
      <c r="AR1455" s="9" t="n">
        <f aca="false">AF1455*$V1455</f>
        <v>0</v>
      </c>
      <c r="AS1455" s="9" t="n">
        <f aca="false">AG1455*$V1455</f>
        <v>39210</v>
      </c>
      <c r="AT1455" s="9" t="n">
        <f aca="false">AH1455*$V1455</f>
        <v>0</v>
      </c>
      <c r="AU1455" s="9" t="n">
        <f aca="false">AI1455*$V1455</f>
        <v>39210</v>
      </c>
      <c r="AV1455" s="9" t="n">
        <f aca="false">SUM(X1455:AI1455)/1000</f>
        <v>6</v>
      </c>
      <c r="AW1455" s="9" t="n">
        <f aca="false">SUM(AJ1455:AU1455)</f>
        <v>235260</v>
      </c>
      <c r="AX1455" s="9" t="n">
        <f aca="false">IF(D1455="INR",AW1455/88.24,AW1455)/1000000</f>
        <v>0.00266613780598368</v>
      </c>
    </row>
    <row r="1456" s="2" customFormat="true" ht="14.25" hidden="false" customHeight="true" outlineLevel="0" collapsed="false">
      <c r="A1456" s="16" t="s">
        <v>2765</v>
      </c>
      <c r="B1456" s="16" t="n">
        <v>5</v>
      </c>
      <c r="C1456" s="16"/>
      <c r="D1456" s="16" t="s">
        <v>50</v>
      </c>
      <c r="E1456" s="16" t="s">
        <v>51</v>
      </c>
      <c r="F1456" s="16" t="s">
        <v>52</v>
      </c>
      <c r="G1456" s="16" t="s">
        <v>2766</v>
      </c>
      <c r="H1456" s="16" t="s">
        <v>2767</v>
      </c>
      <c r="I1456" s="16" t="s">
        <v>105</v>
      </c>
      <c r="J1456" s="16" t="s">
        <v>106</v>
      </c>
      <c r="K1456" s="16"/>
      <c r="L1456" s="16" t="s">
        <v>105</v>
      </c>
      <c r="M1456" s="16" t="s">
        <v>106</v>
      </c>
      <c r="N1456" s="16" t="s">
        <v>57</v>
      </c>
      <c r="O1456" s="16" t="s">
        <v>94</v>
      </c>
      <c r="P1456" s="16" t="s">
        <v>308</v>
      </c>
      <c r="Q1456" s="16" t="s">
        <v>308</v>
      </c>
      <c r="R1456" s="16" t="s">
        <v>309</v>
      </c>
      <c r="S1456" s="16" t="s">
        <v>264</v>
      </c>
      <c r="T1456" s="16" t="s">
        <v>513</v>
      </c>
      <c r="U1456" s="16" t="s">
        <v>73</v>
      </c>
      <c r="V1456" s="16" t="n">
        <v>0.44</v>
      </c>
      <c r="W1456" s="26" t="n">
        <v>0.39</v>
      </c>
      <c r="X1456" s="16"/>
      <c r="Y1456" s="16"/>
      <c r="Z1456" s="16"/>
      <c r="AA1456" s="16" t="n">
        <v>15000</v>
      </c>
      <c r="AB1456" s="16"/>
      <c r="AC1456" s="16" t="n">
        <v>15000</v>
      </c>
      <c r="AD1456" s="16"/>
      <c r="AE1456" s="16" t="n">
        <v>15000</v>
      </c>
      <c r="AF1456" s="16"/>
      <c r="AG1456" s="16" t="n">
        <v>15000</v>
      </c>
      <c r="AH1456" s="16"/>
      <c r="AI1456" s="16" t="n">
        <v>15000</v>
      </c>
      <c r="AJ1456" s="9" t="n">
        <f aca="false">X1456*$V1456</f>
        <v>0</v>
      </c>
      <c r="AK1456" s="9" t="n">
        <f aca="false">Y1456*$V1456</f>
        <v>0</v>
      </c>
      <c r="AL1456" s="9" t="n">
        <f aca="false">Z1456*$V1456</f>
        <v>0</v>
      </c>
      <c r="AM1456" s="9" t="n">
        <f aca="false">AA1456*$V1456</f>
        <v>6600</v>
      </c>
      <c r="AN1456" s="9" t="n">
        <f aca="false">AB1456*$V1456</f>
        <v>0</v>
      </c>
      <c r="AO1456" s="9" t="n">
        <f aca="false">AC1456*$V1456</f>
        <v>6600</v>
      </c>
      <c r="AP1456" s="9" t="n">
        <f aca="false">AD1456*$V1456</f>
        <v>0</v>
      </c>
      <c r="AQ1456" s="9" t="n">
        <f aca="false">AE1456*$V1456</f>
        <v>6600</v>
      </c>
      <c r="AR1456" s="9" t="n">
        <f aca="false">AF1456*$V1456</f>
        <v>0</v>
      </c>
      <c r="AS1456" s="9" t="n">
        <f aca="false">AG1456*$V1456</f>
        <v>6600</v>
      </c>
      <c r="AT1456" s="9" t="n">
        <f aca="false">AH1456*$V1456</f>
        <v>0</v>
      </c>
      <c r="AU1456" s="9" t="n">
        <f aca="false">AI1456*$V1456</f>
        <v>6600</v>
      </c>
      <c r="AV1456" s="9" t="n">
        <f aca="false">SUM(X1456:AI1456)/1000</f>
        <v>75</v>
      </c>
      <c r="AW1456" s="9" t="n">
        <f aca="false">SUM(AJ1456:AU1456)</f>
        <v>33000</v>
      </c>
      <c r="AX1456" s="9" t="n">
        <f aca="false">IF(D1456="INR",AW1456/88.24,AW1456)/1000000</f>
        <v>0.000373980054397099</v>
      </c>
    </row>
    <row r="1457" s="2" customFormat="true" ht="14.25" hidden="false" customHeight="false" outlineLevel="0" collapsed="false">
      <c r="A1457" s="12" t="s">
        <v>2768</v>
      </c>
      <c r="B1457" s="16" t="n">
        <v>5</v>
      </c>
      <c r="C1457" s="15"/>
      <c r="D1457" s="16" t="s">
        <v>50</v>
      </c>
      <c r="E1457" s="16" t="s">
        <v>51</v>
      </c>
      <c r="F1457" s="16" t="s">
        <v>52</v>
      </c>
      <c r="G1457" s="16" t="s">
        <v>2766</v>
      </c>
      <c r="H1457" s="16" t="s">
        <v>2767</v>
      </c>
      <c r="I1457" s="16" t="s">
        <v>105</v>
      </c>
      <c r="J1457" s="16" t="s">
        <v>106</v>
      </c>
      <c r="K1457" s="16"/>
      <c r="L1457" s="16" t="s">
        <v>105</v>
      </c>
      <c r="M1457" s="16" t="s">
        <v>106</v>
      </c>
      <c r="N1457" s="16" t="s">
        <v>57</v>
      </c>
      <c r="O1457" s="16" t="s">
        <v>94</v>
      </c>
      <c r="P1457" s="16" t="s">
        <v>69</v>
      </c>
      <c r="Q1457" s="16" t="s">
        <v>69</v>
      </c>
      <c r="R1457" s="16" t="s">
        <v>70</v>
      </c>
      <c r="S1457" s="16" t="s">
        <v>71</v>
      </c>
      <c r="T1457" s="9" t="s">
        <v>249</v>
      </c>
      <c r="U1457" s="9" t="s">
        <v>73</v>
      </c>
      <c r="V1457" s="9" t="n">
        <v>9.5</v>
      </c>
      <c r="W1457" s="16" t="n">
        <v>0.084</v>
      </c>
      <c r="X1457" s="22"/>
      <c r="Y1457" s="16"/>
      <c r="Z1457" s="16"/>
      <c r="AA1457" s="16" t="n">
        <v>5000</v>
      </c>
      <c r="AB1457" s="16"/>
      <c r="AC1457" s="16" t="n">
        <v>5000</v>
      </c>
      <c r="AD1457" s="16"/>
      <c r="AE1457" s="16" t="n">
        <v>5000</v>
      </c>
      <c r="AF1457" s="16"/>
      <c r="AG1457" s="16" t="n">
        <v>5000</v>
      </c>
      <c r="AH1457" s="16"/>
      <c r="AI1457" s="16" t="n">
        <v>5000</v>
      </c>
      <c r="AJ1457" s="9" t="n">
        <f aca="false">X1457*$V1457</f>
        <v>0</v>
      </c>
      <c r="AK1457" s="9" t="n">
        <f aca="false">Y1457*$V1457</f>
        <v>0</v>
      </c>
      <c r="AL1457" s="9" t="n">
        <f aca="false">Z1457*$V1457</f>
        <v>0</v>
      </c>
      <c r="AM1457" s="9" t="n">
        <f aca="false">AA1457*$V1457</f>
        <v>47500</v>
      </c>
      <c r="AN1457" s="9" t="n">
        <f aca="false">AB1457*$V1457</f>
        <v>0</v>
      </c>
      <c r="AO1457" s="9" t="n">
        <f aca="false">AC1457*$V1457</f>
        <v>47500</v>
      </c>
      <c r="AP1457" s="9" t="n">
        <f aca="false">AD1457*$V1457</f>
        <v>0</v>
      </c>
      <c r="AQ1457" s="9" t="n">
        <f aca="false">AE1457*$V1457</f>
        <v>47500</v>
      </c>
      <c r="AR1457" s="9" t="n">
        <f aca="false">AF1457*$V1457</f>
        <v>0</v>
      </c>
      <c r="AS1457" s="9" t="n">
        <f aca="false">AG1457*$V1457</f>
        <v>47500</v>
      </c>
      <c r="AT1457" s="9" t="n">
        <f aca="false">AH1457*$V1457</f>
        <v>0</v>
      </c>
      <c r="AU1457" s="9" t="n">
        <f aca="false">AI1457*$V1457</f>
        <v>47500</v>
      </c>
      <c r="AV1457" s="9" t="n">
        <f aca="false">SUM(X1457:AI1457)/1000</f>
        <v>25</v>
      </c>
      <c r="AW1457" s="9" t="n">
        <f aca="false">SUM(AJ1457:AU1457)</f>
        <v>237500</v>
      </c>
      <c r="AX1457" s="9" t="n">
        <f aca="false">IF(D1457="INR",AW1457/88.24,AW1457)/1000000</f>
        <v>0.002691523118767</v>
      </c>
    </row>
    <row r="1458" s="2" customFormat="true" ht="14.25" hidden="false" customHeight="false" outlineLevel="0" collapsed="false">
      <c r="A1458" s="9"/>
      <c r="B1458" s="9" t="n">
        <v>1</v>
      </c>
      <c r="C1458" s="10"/>
      <c r="D1458" s="9" t="s">
        <v>50</v>
      </c>
      <c r="E1458" s="9" t="s">
        <v>51</v>
      </c>
      <c r="F1458" s="9" t="s">
        <v>52</v>
      </c>
      <c r="G1458" s="9" t="s">
        <v>2766</v>
      </c>
      <c r="H1458" s="9" t="s">
        <v>2767</v>
      </c>
      <c r="I1458" s="9" t="s">
        <v>105</v>
      </c>
      <c r="J1458" s="9" t="s">
        <v>2769</v>
      </c>
      <c r="K1458" s="9" t="s">
        <v>2770</v>
      </c>
      <c r="L1458" s="9" t="s">
        <v>2769</v>
      </c>
      <c r="M1458" s="9" t="s">
        <v>2769</v>
      </c>
      <c r="N1458" s="9" t="s">
        <v>57</v>
      </c>
      <c r="O1458" s="9" t="s">
        <v>94</v>
      </c>
      <c r="P1458" s="9" t="s">
        <v>110</v>
      </c>
      <c r="Q1458" s="9" t="s">
        <v>119</v>
      </c>
      <c r="R1458" s="9" t="s">
        <v>2710</v>
      </c>
      <c r="S1458" s="9" t="s">
        <v>61</v>
      </c>
      <c r="T1458" s="9" t="s">
        <v>446</v>
      </c>
      <c r="U1458" s="9" t="s">
        <v>63</v>
      </c>
      <c r="V1458" s="9" t="n">
        <v>390</v>
      </c>
      <c r="W1458" s="9"/>
      <c r="X1458" s="9"/>
      <c r="Y1458" s="9"/>
      <c r="Z1458" s="9"/>
      <c r="AA1458" s="9" t="n">
        <v>5000</v>
      </c>
      <c r="AB1458" s="9"/>
      <c r="AC1458" s="9" t="n">
        <v>5000</v>
      </c>
      <c r="AD1458" s="9"/>
      <c r="AE1458" s="9" t="n">
        <v>5000</v>
      </c>
      <c r="AF1458" s="9"/>
      <c r="AG1458" s="9" t="n">
        <v>5000</v>
      </c>
      <c r="AH1458" s="9"/>
      <c r="AI1458" s="9"/>
      <c r="AJ1458" s="9" t="n">
        <f aca="false">X1458*$V1458</f>
        <v>0</v>
      </c>
      <c r="AK1458" s="9" t="n">
        <f aca="false">Y1458*$V1458</f>
        <v>0</v>
      </c>
      <c r="AL1458" s="9" t="n">
        <f aca="false">Z1458*$V1458</f>
        <v>0</v>
      </c>
      <c r="AM1458" s="9" t="n">
        <f aca="false">AA1458*$V1458</f>
        <v>1950000</v>
      </c>
      <c r="AN1458" s="9" t="n">
        <f aca="false">AB1458*$V1458</f>
        <v>0</v>
      </c>
      <c r="AO1458" s="9" t="n">
        <f aca="false">AC1458*$V1458</f>
        <v>1950000</v>
      </c>
      <c r="AP1458" s="9" t="n">
        <f aca="false">AD1458*$V1458</f>
        <v>0</v>
      </c>
      <c r="AQ1458" s="9" t="n">
        <f aca="false">AE1458*$V1458</f>
        <v>1950000</v>
      </c>
      <c r="AR1458" s="9" t="n">
        <f aca="false">AF1458*$V1458</f>
        <v>0</v>
      </c>
      <c r="AS1458" s="9" t="n">
        <f aca="false">AG1458*$V1458</f>
        <v>1950000</v>
      </c>
      <c r="AT1458" s="9" t="n">
        <f aca="false">AH1458*$V1458</f>
        <v>0</v>
      </c>
      <c r="AU1458" s="9" t="n">
        <f aca="false">AI1458*$V1458</f>
        <v>0</v>
      </c>
      <c r="AV1458" s="9" t="n">
        <f aca="false">SUM(X1458:AI1458)/1000</f>
        <v>20</v>
      </c>
      <c r="AW1458" s="9" t="n">
        <f aca="false">SUM(AJ1458:AU1458)</f>
        <v>7800000</v>
      </c>
      <c r="AX1458" s="9" t="n">
        <f aca="false">IF(D1458="INR",AW1458/88.24,AW1458)/1000000</f>
        <v>0.0883952855847688</v>
      </c>
    </row>
    <row r="1459" s="2" customFormat="true" ht="14.25" hidden="false" customHeight="true" outlineLevel="0" collapsed="false">
      <c r="A1459" s="12"/>
      <c r="B1459" s="16" t="n">
        <v>1</v>
      </c>
      <c r="C1459" s="15"/>
      <c r="D1459" s="16" t="s">
        <v>50</v>
      </c>
      <c r="E1459" s="16" t="s">
        <v>51</v>
      </c>
      <c r="F1459" s="16" t="s">
        <v>52</v>
      </c>
      <c r="G1459" s="16" t="s">
        <v>2766</v>
      </c>
      <c r="H1459" s="16" t="s">
        <v>2767</v>
      </c>
      <c r="I1459" s="16" t="s">
        <v>105</v>
      </c>
      <c r="J1459" s="16" t="s">
        <v>2769</v>
      </c>
      <c r="K1459" s="16" t="s">
        <v>2770</v>
      </c>
      <c r="L1459" s="16" t="s">
        <v>2769</v>
      </c>
      <c r="M1459" s="16" t="s">
        <v>2769</v>
      </c>
      <c r="N1459" s="16" t="s">
        <v>57</v>
      </c>
      <c r="O1459" s="16" t="s">
        <v>94</v>
      </c>
      <c r="P1459" s="16" t="s">
        <v>110</v>
      </c>
      <c r="Q1459" s="16" t="s">
        <v>110</v>
      </c>
      <c r="R1459" s="16" t="s">
        <v>137</v>
      </c>
      <c r="S1459" s="16" t="s">
        <v>272</v>
      </c>
      <c r="T1459" s="16" t="s">
        <v>347</v>
      </c>
      <c r="U1459" s="16" t="s">
        <v>63</v>
      </c>
      <c r="V1459" s="16" t="n">
        <v>142</v>
      </c>
      <c r="W1459" s="16"/>
      <c r="X1459" s="16"/>
      <c r="Y1459" s="16"/>
      <c r="Z1459" s="16"/>
      <c r="AA1459" s="16" t="n">
        <v>5000</v>
      </c>
      <c r="AB1459" s="16"/>
      <c r="AC1459" s="16" t="n">
        <v>5000</v>
      </c>
      <c r="AD1459" s="16"/>
      <c r="AE1459" s="16" t="n">
        <v>5000</v>
      </c>
      <c r="AF1459" s="16"/>
      <c r="AG1459" s="16" t="n">
        <v>5000</v>
      </c>
      <c r="AH1459" s="16"/>
      <c r="AI1459" s="16"/>
      <c r="AJ1459" s="9" t="n">
        <f aca="false">X1459*$V1459</f>
        <v>0</v>
      </c>
      <c r="AK1459" s="9" t="n">
        <f aca="false">Y1459*$V1459</f>
        <v>0</v>
      </c>
      <c r="AL1459" s="9" t="n">
        <f aca="false">Z1459*$V1459</f>
        <v>0</v>
      </c>
      <c r="AM1459" s="9" t="n">
        <f aca="false">AA1459*$V1459</f>
        <v>710000</v>
      </c>
      <c r="AN1459" s="9" t="n">
        <f aca="false">AB1459*$V1459</f>
        <v>0</v>
      </c>
      <c r="AO1459" s="9" t="n">
        <f aca="false">AC1459*$V1459</f>
        <v>710000</v>
      </c>
      <c r="AP1459" s="9" t="n">
        <f aca="false">AD1459*$V1459</f>
        <v>0</v>
      </c>
      <c r="AQ1459" s="9" t="n">
        <f aca="false">AE1459*$V1459</f>
        <v>710000</v>
      </c>
      <c r="AR1459" s="9" t="n">
        <f aca="false">AF1459*$V1459</f>
        <v>0</v>
      </c>
      <c r="AS1459" s="9" t="n">
        <f aca="false">AG1459*$V1459</f>
        <v>710000</v>
      </c>
      <c r="AT1459" s="9" t="n">
        <f aca="false">AH1459*$V1459</f>
        <v>0</v>
      </c>
      <c r="AU1459" s="9" t="n">
        <f aca="false">AI1459*$V1459</f>
        <v>0</v>
      </c>
      <c r="AV1459" s="9" t="n">
        <f aca="false">SUM(X1459:AI1459)/1000</f>
        <v>20</v>
      </c>
      <c r="AW1459" s="9" t="n">
        <f aca="false">SUM(AJ1459:AU1459)</f>
        <v>2840000</v>
      </c>
      <c r="AX1459" s="9" t="n">
        <f aca="false">IF(D1459="INR",AW1459/88.24,AW1459)/1000000</f>
        <v>0.0321849501359928</v>
      </c>
    </row>
    <row r="1460" s="2" customFormat="true" ht="14.25" hidden="false" customHeight="false" outlineLevel="0" collapsed="false">
      <c r="A1460" s="12"/>
      <c r="B1460" s="16" t="n">
        <v>1</v>
      </c>
      <c r="C1460" s="15"/>
      <c r="D1460" s="16" t="s">
        <v>50</v>
      </c>
      <c r="E1460" s="16" t="s">
        <v>51</v>
      </c>
      <c r="F1460" s="16" t="s">
        <v>52</v>
      </c>
      <c r="G1460" s="16" t="s">
        <v>2766</v>
      </c>
      <c r="H1460" s="16" t="s">
        <v>2767</v>
      </c>
      <c r="I1460" s="16" t="s">
        <v>105</v>
      </c>
      <c r="J1460" s="16" t="s">
        <v>2769</v>
      </c>
      <c r="K1460" s="16" t="s">
        <v>2770</v>
      </c>
      <c r="L1460" s="16" t="s">
        <v>2769</v>
      </c>
      <c r="M1460" s="16" t="s">
        <v>2769</v>
      </c>
      <c r="N1460" s="16" t="s">
        <v>57</v>
      </c>
      <c r="O1460" s="16" t="s">
        <v>94</v>
      </c>
      <c r="P1460" s="16" t="s">
        <v>110</v>
      </c>
      <c r="Q1460" s="16" t="s">
        <v>69</v>
      </c>
      <c r="R1460" s="16" t="s">
        <v>70</v>
      </c>
      <c r="S1460" s="16" t="s">
        <v>443</v>
      </c>
      <c r="T1460" s="16" t="s">
        <v>247</v>
      </c>
      <c r="U1460" s="16" t="s">
        <v>63</v>
      </c>
      <c r="V1460" s="16" t="n">
        <v>45</v>
      </c>
      <c r="W1460" s="16"/>
      <c r="X1460" s="16"/>
      <c r="Y1460" s="16"/>
      <c r="Z1460" s="16"/>
      <c r="AA1460" s="16" t="n">
        <v>5000</v>
      </c>
      <c r="AB1460" s="16"/>
      <c r="AC1460" s="16" t="n">
        <v>5000</v>
      </c>
      <c r="AD1460" s="16"/>
      <c r="AE1460" s="16" t="n">
        <v>5000</v>
      </c>
      <c r="AF1460" s="16"/>
      <c r="AG1460" s="16" t="n">
        <v>5000</v>
      </c>
      <c r="AH1460" s="16"/>
      <c r="AI1460" s="16"/>
      <c r="AJ1460" s="9" t="n">
        <f aca="false">X1460*$V1460</f>
        <v>0</v>
      </c>
      <c r="AK1460" s="9" t="n">
        <f aca="false">Y1460*$V1460</f>
        <v>0</v>
      </c>
      <c r="AL1460" s="9" t="n">
        <f aca="false">Z1460*$V1460</f>
        <v>0</v>
      </c>
      <c r="AM1460" s="9" t="n">
        <f aca="false">AA1460*$V1460</f>
        <v>225000</v>
      </c>
      <c r="AN1460" s="9" t="n">
        <f aca="false">AB1460*$V1460</f>
        <v>0</v>
      </c>
      <c r="AO1460" s="9" t="n">
        <f aca="false">AC1460*$V1460</f>
        <v>225000</v>
      </c>
      <c r="AP1460" s="9" t="n">
        <f aca="false">AD1460*$V1460</f>
        <v>0</v>
      </c>
      <c r="AQ1460" s="9" t="n">
        <f aca="false">AE1460*$V1460</f>
        <v>225000</v>
      </c>
      <c r="AR1460" s="9" t="n">
        <f aca="false">AF1460*$V1460</f>
        <v>0</v>
      </c>
      <c r="AS1460" s="9" t="n">
        <f aca="false">AG1460*$V1460</f>
        <v>225000</v>
      </c>
      <c r="AT1460" s="9" t="n">
        <f aca="false">AH1460*$V1460</f>
        <v>0</v>
      </c>
      <c r="AU1460" s="9" t="n">
        <f aca="false">AI1460*$V1460</f>
        <v>0</v>
      </c>
      <c r="AV1460" s="9" t="n">
        <f aca="false">SUM(X1460:AI1460)/1000</f>
        <v>20</v>
      </c>
      <c r="AW1460" s="9" t="n">
        <f aca="false">SUM(AJ1460:AU1460)</f>
        <v>900000</v>
      </c>
      <c r="AX1460" s="9" t="n">
        <f aca="false">IF(D1460="INR",AW1460/88.24,AW1460)/1000000</f>
        <v>0.0101994560290118</v>
      </c>
    </row>
    <row r="1461" s="2" customFormat="true" ht="14.25" hidden="false" customHeight="false" outlineLevel="0" collapsed="false">
      <c r="A1461" s="12"/>
      <c r="B1461" s="16" t="n">
        <v>1</v>
      </c>
      <c r="C1461" s="15"/>
      <c r="D1461" s="16" t="s">
        <v>50</v>
      </c>
      <c r="E1461" s="16" t="s">
        <v>51</v>
      </c>
      <c r="F1461" s="16" t="s">
        <v>52</v>
      </c>
      <c r="G1461" s="16" t="s">
        <v>2766</v>
      </c>
      <c r="H1461" s="16" t="s">
        <v>2767</v>
      </c>
      <c r="I1461" s="16" t="s">
        <v>105</v>
      </c>
      <c r="J1461" s="16" t="s">
        <v>2769</v>
      </c>
      <c r="K1461" s="16" t="s">
        <v>2770</v>
      </c>
      <c r="L1461" s="16" t="s">
        <v>2769</v>
      </c>
      <c r="M1461" s="16" t="s">
        <v>2769</v>
      </c>
      <c r="N1461" s="16" t="s">
        <v>57</v>
      </c>
      <c r="O1461" s="16" t="s">
        <v>94</v>
      </c>
      <c r="P1461" s="16" t="s">
        <v>110</v>
      </c>
      <c r="Q1461" s="16" t="s">
        <v>589</v>
      </c>
      <c r="R1461" s="16" t="s">
        <v>70</v>
      </c>
      <c r="S1461" s="16" t="s">
        <v>443</v>
      </c>
      <c r="T1461" s="16" t="s">
        <v>590</v>
      </c>
      <c r="U1461" s="16" t="s">
        <v>63</v>
      </c>
      <c r="V1461" s="16" t="n">
        <v>40</v>
      </c>
      <c r="W1461" s="16"/>
      <c r="X1461" s="16"/>
      <c r="Y1461" s="16"/>
      <c r="Z1461" s="16"/>
      <c r="AA1461" s="26" t="n">
        <v>5000</v>
      </c>
      <c r="AB1461" s="16"/>
      <c r="AC1461" s="16" t="n">
        <v>5000</v>
      </c>
      <c r="AD1461" s="16"/>
      <c r="AE1461" s="16" t="n">
        <v>5000</v>
      </c>
      <c r="AF1461" s="16"/>
      <c r="AG1461" s="16" t="n">
        <v>5000</v>
      </c>
      <c r="AH1461" s="16"/>
      <c r="AI1461" s="16"/>
      <c r="AJ1461" s="9" t="n">
        <f aca="false">X1461*$V1461</f>
        <v>0</v>
      </c>
      <c r="AK1461" s="9" t="n">
        <f aca="false">Y1461*$V1461</f>
        <v>0</v>
      </c>
      <c r="AL1461" s="9" t="n">
        <f aca="false">Z1461*$V1461</f>
        <v>0</v>
      </c>
      <c r="AM1461" s="9" t="n">
        <f aca="false">AA1461*$V1461</f>
        <v>200000</v>
      </c>
      <c r="AN1461" s="9" t="n">
        <f aca="false">AB1461*$V1461</f>
        <v>0</v>
      </c>
      <c r="AO1461" s="9" t="n">
        <f aca="false">AC1461*$V1461</f>
        <v>200000</v>
      </c>
      <c r="AP1461" s="9" t="n">
        <f aca="false">AD1461*$V1461</f>
        <v>0</v>
      </c>
      <c r="AQ1461" s="9" t="n">
        <f aca="false">AE1461*$V1461</f>
        <v>200000</v>
      </c>
      <c r="AR1461" s="9" t="n">
        <f aca="false">AF1461*$V1461</f>
        <v>0</v>
      </c>
      <c r="AS1461" s="9" t="n">
        <f aca="false">AG1461*$V1461</f>
        <v>200000</v>
      </c>
      <c r="AT1461" s="9" t="n">
        <f aca="false">AH1461*$V1461</f>
        <v>0</v>
      </c>
      <c r="AU1461" s="9" t="n">
        <f aca="false">AI1461*$V1461</f>
        <v>0</v>
      </c>
      <c r="AV1461" s="9" t="n">
        <f aca="false">SUM(X1461:AI1461)/1000</f>
        <v>20</v>
      </c>
      <c r="AW1461" s="9" t="n">
        <f aca="false">SUM(AJ1461:AU1461)</f>
        <v>800000</v>
      </c>
      <c r="AX1461" s="9" t="n">
        <f aca="false">IF(D1461="INR",AW1461/88.24,AW1461)/1000000</f>
        <v>0.00906618313689937</v>
      </c>
    </row>
    <row r="1462" s="2" customFormat="true" ht="14.25" hidden="false" customHeight="true" outlineLevel="0" collapsed="false">
      <c r="A1462" s="12"/>
      <c r="B1462" s="16" t="n">
        <v>1</v>
      </c>
      <c r="C1462" s="15"/>
      <c r="D1462" s="16" t="s">
        <v>50</v>
      </c>
      <c r="E1462" s="16" t="s">
        <v>51</v>
      </c>
      <c r="F1462" s="16" t="s">
        <v>52</v>
      </c>
      <c r="G1462" s="16" t="s">
        <v>2766</v>
      </c>
      <c r="H1462" s="16" t="s">
        <v>2767</v>
      </c>
      <c r="I1462" s="16" t="s">
        <v>105</v>
      </c>
      <c r="J1462" s="16" t="s">
        <v>2769</v>
      </c>
      <c r="K1462" s="16" t="s">
        <v>2770</v>
      </c>
      <c r="L1462" s="16" t="s">
        <v>2769</v>
      </c>
      <c r="M1462" s="16" t="s">
        <v>2769</v>
      </c>
      <c r="N1462" s="16" t="s">
        <v>57</v>
      </c>
      <c r="O1462" s="16" t="s">
        <v>94</v>
      </c>
      <c r="P1462" s="16" t="s">
        <v>2452</v>
      </c>
      <c r="Q1462" s="16" t="s">
        <v>2452</v>
      </c>
      <c r="R1462" s="16" t="s">
        <v>2710</v>
      </c>
      <c r="S1462" s="16" t="s">
        <v>61</v>
      </c>
      <c r="T1462" s="16" t="s">
        <v>2771</v>
      </c>
      <c r="U1462" s="16" t="s">
        <v>63</v>
      </c>
      <c r="V1462" s="16" t="n">
        <v>30</v>
      </c>
      <c r="W1462" s="16"/>
      <c r="X1462" s="16"/>
      <c r="Y1462" s="16"/>
      <c r="Z1462" s="16"/>
      <c r="AA1462" s="16" t="n">
        <v>5000</v>
      </c>
      <c r="AB1462" s="16"/>
      <c r="AC1462" s="16" t="n">
        <v>5000</v>
      </c>
      <c r="AD1462" s="16"/>
      <c r="AE1462" s="16" t="n">
        <v>5000</v>
      </c>
      <c r="AF1462" s="16"/>
      <c r="AG1462" s="16" t="n">
        <v>5000</v>
      </c>
      <c r="AH1462" s="16"/>
      <c r="AI1462" s="16"/>
      <c r="AJ1462" s="9" t="n">
        <f aca="false">X1462*$V1462</f>
        <v>0</v>
      </c>
      <c r="AK1462" s="9" t="n">
        <f aca="false">Y1462*$V1462</f>
        <v>0</v>
      </c>
      <c r="AL1462" s="9" t="n">
        <f aca="false">Z1462*$V1462</f>
        <v>0</v>
      </c>
      <c r="AM1462" s="9" t="n">
        <f aca="false">AA1462*$V1462</f>
        <v>150000</v>
      </c>
      <c r="AN1462" s="9" t="n">
        <f aca="false">AB1462*$V1462</f>
        <v>0</v>
      </c>
      <c r="AO1462" s="9" t="n">
        <f aca="false">AC1462*$V1462</f>
        <v>150000</v>
      </c>
      <c r="AP1462" s="9" t="n">
        <f aca="false">AD1462*$V1462</f>
        <v>0</v>
      </c>
      <c r="AQ1462" s="9" t="n">
        <f aca="false">AE1462*$V1462</f>
        <v>150000</v>
      </c>
      <c r="AR1462" s="9" t="n">
        <f aca="false">AF1462*$V1462</f>
        <v>0</v>
      </c>
      <c r="AS1462" s="9" t="n">
        <f aca="false">AG1462*$V1462</f>
        <v>150000</v>
      </c>
      <c r="AT1462" s="9" t="n">
        <f aca="false">AH1462*$V1462</f>
        <v>0</v>
      </c>
      <c r="AU1462" s="9" t="n">
        <f aca="false">AI1462*$V1462</f>
        <v>0</v>
      </c>
      <c r="AV1462" s="9" t="n">
        <f aca="false">SUM(X1462:AI1462)/1000</f>
        <v>20</v>
      </c>
      <c r="AW1462" s="9" t="n">
        <f aca="false">SUM(AJ1462:AU1462)</f>
        <v>600000</v>
      </c>
      <c r="AX1462" s="9" t="n">
        <f aca="false">IF(D1462="INR",AW1462/88.24,AW1462)/1000000</f>
        <v>0.00679963735267453</v>
      </c>
    </row>
    <row r="1463" s="2" customFormat="true" ht="14.25" hidden="false" customHeight="false" outlineLevel="0" collapsed="false">
      <c r="A1463" s="12"/>
      <c r="B1463" s="16" t="n">
        <v>1</v>
      </c>
      <c r="C1463" s="15"/>
      <c r="D1463" s="16" t="s">
        <v>50</v>
      </c>
      <c r="E1463" s="16" t="s">
        <v>51</v>
      </c>
      <c r="F1463" s="16" t="s">
        <v>52</v>
      </c>
      <c r="G1463" s="16" t="s">
        <v>2766</v>
      </c>
      <c r="H1463" s="16" t="s">
        <v>2767</v>
      </c>
      <c r="I1463" s="16" t="s">
        <v>105</v>
      </c>
      <c r="J1463" s="16" t="s">
        <v>2769</v>
      </c>
      <c r="K1463" s="16" t="s">
        <v>2770</v>
      </c>
      <c r="L1463" s="16" t="s">
        <v>2769</v>
      </c>
      <c r="M1463" s="16" t="s">
        <v>2769</v>
      </c>
      <c r="N1463" s="16" t="s">
        <v>57</v>
      </c>
      <c r="O1463" s="16" t="s">
        <v>94</v>
      </c>
      <c r="P1463" s="16" t="s">
        <v>110</v>
      </c>
      <c r="Q1463" s="16" t="s">
        <v>2772</v>
      </c>
      <c r="R1463" s="16" t="s">
        <v>86</v>
      </c>
      <c r="S1463" s="16" t="s">
        <v>87</v>
      </c>
      <c r="T1463" s="16" t="s">
        <v>693</v>
      </c>
      <c r="U1463" s="16" t="s">
        <v>63</v>
      </c>
      <c r="V1463" s="16" t="n">
        <v>21.9</v>
      </c>
      <c r="W1463" s="16"/>
      <c r="X1463" s="22"/>
      <c r="Y1463" s="22"/>
      <c r="Z1463" s="22"/>
      <c r="AA1463" s="22" t="n">
        <v>5000</v>
      </c>
      <c r="AB1463" s="22"/>
      <c r="AC1463" s="22" t="n">
        <v>5000</v>
      </c>
      <c r="AD1463" s="22"/>
      <c r="AE1463" s="22" t="n">
        <v>5000</v>
      </c>
      <c r="AF1463" s="22"/>
      <c r="AG1463" s="22" t="n">
        <v>5000</v>
      </c>
      <c r="AH1463" s="22"/>
      <c r="AI1463" s="22"/>
      <c r="AJ1463" s="9" t="n">
        <f aca="false">X1463*$V1463</f>
        <v>0</v>
      </c>
      <c r="AK1463" s="9" t="n">
        <f aca="false">Y1463*$V1463</f>
        <v>0</v>
      </c>
      <c r="AL1463" s="9" t="n">
        <f aca="false">Z1463*$V1463</f>
        <v>0</v>
      </c>
      <c r="AM1463" s="9" t="n">
        <f aca="false">AA1463*$V1463</f>
        <v>109500</v>
      </c>
      <c r="AN1463" s="9" t="n">
        <f aca="false">AB1463*$V1463</f>
        <v>0</v>
      </c>
      <c r="AO1463" s="9" t="n">
        <f aca="false">AC1463*$V1463</f>
        <v>109500</v>
      </c>
      <c r="AP1463" s="9" t="n">
        <f aca="false">AD1463*$V1463</f>
        <v>0</v>
      </c>
      <c r="AQ1463" s="9" t="n">
        <f aca="false">AE1463*$V1463</f>
        <v>109500</v>
      </c>
      <c r="AR1463" s="9" t="n">
        <f aca="false">AF1463*$V1463</f>
        <v>0</v>
      </c>
      <c r="AS1463" s="9" t="n">
        <f aca="false">AG1463*$V1463</f>
        <v>109500</v>
      </c>
      <c r="AT1463" s="9" t="n">
        <f aca="false">AH1463*$V1463</f>
        <v>0</v>
      </c>
      <c r="AU1463" s="9" t="n">
        <f aca="false">AI1463*$V1463</f>
        <v>0</v>
      </c>
      <c r="AV1463" s="9" t="n">
        <f aca="false">SUM(X1463:AI1463)/1000</f>
        <v>20</v>
      </c>
      <c r="AW1463" s="9" t="n">
        <f aca="false">SUM(AJ1463:AU1463)</f>
        <v>438000</v>
      </c>
      <c r="AX1463" s="9" t="n">
        <f aca="false">IF(D1463="INR",AW1463/88.24,AW1463)/1000000</f>
        <v>0.0049637352674524</v>
      </c>
    </row>
    <row r="1464" s="2" customFormat="true" ht="14.25" hidden="false" customHeight="true" outlineLevel="0" collapsed="false">
      <c r="A1464" s="9"/>
      <c r="B1464" s="9" t="n">
        <v>1</v>
      </c>
      <c r="C1464" s="15"/>
      <c r="D1464" s="16" t="s">
        <v>102</v>
      </c>
      <c r="E1464" s="16"/>
      <c r="F1464" s="16" t="s">
        <v>52</v>
      </c>
      <c r="G1464" s="16"/>
      <c r="H1464" s="9" t="s">
        <v>374</v>
      </c>
      <c r="I1464" s="16"/>
      <c r="J1464" s="16"/>
      <c r="K1464" s="9"/>
      <c r="L1464" s="16"/>
      <c r="M1464" s="16"/>
      <c r="N1464" s="16" t="s">
        <v>93</v>
      </c>
      <c r="O1464" s="16" t="s">
        <v>246</v>
      </c>
      <c r="P1464" s="9"/>
      <c r="Q1464" s="9" t="s">
        <v>59</v>
      </c>
      <c r="R1464" s="9"/>
      <c r="S1464" s="9"/>
      <c r="T1464" s="9" t="s">
        <v>446</v>
      </c>
      <c r="U1464" s="16" t="s">
        <v>63</v>
      </c>
      <c r="V1464" s="36" t="n">
        <v>4</v>
      </c>
      <c r="W1464" s="9"/>
      <c r="X1464" s="22" t="n">
        <v>10000</v>
      </c>
      <c r="Y1464" s="9"/>
      <c r="Z1464" s="9"/>
      <c r="AA1464" s="9"/>
      <c r="AB1464" s="9"/>
      <c r="AC1464" s="9"/>
      <c r="AD1464" s="23" t="n">
        <v>10000</v>
      </c>
      <c r="AE1464" s="9"/>
      <c r="AF1464" s="9"/>
      <c r="AG1464" s="9"/>
      <c r="AH1464" s="9" t="n">
        <v>10000</v>
      </c>
      <c r="AI1464" s="9"/>
      <c r="AJ1464" s="9" t="n">
        <f aca="false">X1464*$V1464</f>
        <v>40000</v>
      </c>
      <c r="AK1464" s="9" t="n">
        <f aca="false">Y1464*$V1464</f>
        <v>0</v>
      </c>
      <c r="AL1464" s="9" t="n">
        <f aca="false">Z1464*$V1464</f>
        <v>0</v>
      </c>
      <c r="AM1464" s="9" t="n">
        <f aca="false">AA1464*$V1464</f>
        <v>0</v>
      </c>
      <c r="AN1464" s="9" t="n">
        <f aca="false">AB1464*$V1464</f>
        <v>0</v>
      </c>
      <c r="AO1464" s="9" t="n">
        <f aca="false">AC1464*$V1464</f>
        <v>0</v>
      </c>
      <c r="AP1464" s="9" t="n">
        <f aca="false">AD1464*$V1464</f>
        <v>40000</v>
      </c>
      <c r="AQ1464" s="9" t="n">
        <f aca="false">AE1464*$V1464</f>
        <v>0</v>
      </c>
      <c r="AR1464" s="9" t="n">
        <f aca="false">AF1464*$V1464</f>
        <v>0</v>
      </c>
      <c r="AS1464" s="9" t="n">
        <f aca="false">AG1464*$V1464</f>
        <v>0</v>
      </c>
      <c r="AT1464" s="9" t="n">
        <f aca="false">AH1464*$V1464</f>
        <v>40000</v>
      </c>
      <c r="AU1464" s="9" t="n">
        <f aca="false">AI1464*$V1464</f>
        <v>0</v>
      </c>
      <c r="AV1464" s="9" t="n">
        <f aca="false">SUM(X1464:AI1464)/1000</f>
        <v>30</v>
      </c>
      <c r="AW1464" s="9" t="n">
        <f aca="false">SUM(AJ1464:AU1464)</f>
        <v>120000</v>
      </c>
      <c r="AX1464" s="9" t="n">
        <f aca="false">IF(D1464="INR",AW1464/88.24,AW1464)/1000000</f>
        <v>0.12</v>
      </c>
    </row>
    <row r="1465" s="2" customFormat="true" ht="14.25" hidden="false" customHeight="false" outlineLevel="0" collapsed="false">
      <c r="A1465" s="12"/>
      <c r="B1465" s="16" t="n">
        <v>1</v>
      </c>
      <c r="C1465" s="15"/>
      <c r="D1465" s="16" t="s">
        <v>102</v>
      </c>
      <c r="E1465" s="16"/>
      <c r="F1465" s="16" t="s">
        <v>52</v>
      </c>
      <c r="G1465" s="16"/>
      <c r="H1465" s="16" t="s">
        <v>374</v>
      </c>
      <c r="I1465" s="16"/>
      <c r="J1465" s="16"/>
      <c r="K1465" s="16"/>
      <c r="L1465" s="16"/>
      <c r="M1465" s="16"/>
      <c r="N1465" s="16" t="s">
        <v>93</v>
      </c>
      <c r="O1465" s="16" t="s">
        <v>246</v>
      </c>
      <c r="P1465" s="16"/>
      <c r="Q1465" s="16" t="s">
        <v>108</v>
      </c>
      <c r="R1465" s="16"/>
      <c r="S1465" s="16"/>
      <c r="T1465" s="16" t="s">
        <v>347</v>
      </c>
      <c r="U1465" s="16" t="s">
        <v>63</v>
      </c>
      <c r="V1465" s="16" t="n">
        <v>1.418</v>
      </c>
      <c r="W1465" s="16"/>
      <c r="X1465" s="16" t="n">
        <v>10000</v>
      </c>
      <c r="Y1465" s="16"/>
      <c r="Z1465" s="16"/>
      <c r="AA1465" s="16"/>
      <c r="AB1465" s="16"/>
      <c r="AC1465" s="16"/>
      <c r="AD1465" s="16" t="n">
        <v>10000</v>
      </c>
      <c r="AE1465" s="16"/>
      <c r="AF1465" s="16"/>
      <c r="AG1465" s="16"/>
      <c r="AH1465" s="16" t="n">
        <v>10000</v>
      </c>
      <c r="AI1465" s="16"/>
      <c r="AJ1465" s="9" t="n">
        <f aca="false">X1465*$V1465</f>
        <v>14180</v>
      </c>
      <c r="AK1465" s="9" t="n">
        <f aca="false">Y1465*$V1465</f>
        <v>0</v>
      </c>
      <c r="AL1465" s="9" t="n">
        <f aca="false">Z1465*$V1465</f>
        <v>0</v>
      </c>
      <c r="AM1465" s="9" t="n">
        <f aca="false">AA1465*$V1465</f>
        <v>0</v>
      </c>
      <c r="AN1465" s="9" t="n">
        <f aca="false">AB1465*$V1465</f>
        <v>0</v>
      </c>
      <c r="AO1465" s="9" t="n">
        <f aca="false">AC1465*$V1465</f>
        <v>0</v>
      </c>
      <c r="AP1465" s="9" t="n">
        <f aca="false">AD1465*$V1465</f>
        <v>14180</v>
      </c>
      <c r="AQ1465" s="9" t="n">
        <f aca="false">AE1465*$V1465</f>
        <v>0</v>
      </c>
      <c r="AR1465" s="9" t="n">
        <f aca="false">AF1465*$V1465</f>
        <v>0</v>
      </c>
      <c r="AS1465" s="9" t="n">
        <f aca="false">AG1465*$V1465</f>
        <v>0</v>
      </c>
      <c r="AT1465" s="9" t="n">
        <f aca="false">AH1465*$V1465</f>
        <v>14180</v>
      </c>
      <c r="AU1465" s="9" t="n">
        <f aca="false">AI1465*$V1465</f>
        <v>0</v>
      </c>
      <c r="AV1465" s="9" t="n">
        <f aca="false">SUM(X1465:AI1465)/1000</f>
        <v>30</v>
      </c>
      <c r="AW1465" s="9" t="n">
        <f aca="false">SUM(AJ1465:AU1465)</f>
        <v>42540</v>
      </c>
      <c r="AX1465" s="9" t="n">
        <f aca="false">IF(D1465="INR",AW1465/88.24,AW1465)/1000000</f>
        <v>0.04254</v>
      </c>
    </row>
    <row r="1466" s="2" customFormat="true" ht="14.25" hidden="false" customHeight="false" outlineLevel="0" collapsed="false">
      <c r="A1466" s="9"/>
      <c r="B1466" s="9" t="n">
        <v>1</v>
      </c>
      <c r="C1466" s="15"/>
      <c r="D1466" s="16" t="s">
        <v>50</v>
      </c>
      <c r="E1466" s="16" t="s">
        <v>51</v>
      </c>
      <c r="F1466" s="16" t="s">
        <v>52</v>
      </c>
      <c r="G1466" s="16" t="s">
        <v>2766</v>
      </c>
      <c r="H1466" s="16" t="s">
        <v>2767</v>
      </c>
      <c r="I1466" s="16" t="s">
        <v>105</v>
      </c>
      <c r="J1466" s="16" t="s">
        <v>2769</v>
      </c>
      <c r="K1466" s="16" t="s">
        <v>2770</v>
      </c>
      <c r="L1466" s="16" t="s">
        <v>2769</v>
      </c>
      <c r="M1466" s="16" t="s">
        <v>2769</v>
      </c>
      <c r="N1466" s="16" t="s">
        <v>57</v>
      </c>
      <c r="O1466" s="16" t="s">
        <v>94</v>
      </c>
      <c r="P1466" s="9" t="s">
        <v>110</v>
      </c>
      <c r="Q1466" s="9" t="s">
        <v>108</v>
      </c>
      <c r="R1466" s="9" t="s">
        <v>137</v>
      </c>
      <c r="S1466" s="9" t="s">
        <v>272</v>
      </c>
      <c r="T1466" s="9" t="s">
        <v>1495</v>
      </c>
      <c r="U1466" s="9" t="s">
        <v>63</v>
      </c>
      <c r="V1466" s="9" t="n">
        <v>11.55</v>
      </c>
      <c r="W1466" s="9"/>
      <c r="X1466" s="23"/>
      <c r="Y1466" s="23"/>
      <c r="Z1466" s="23"/>
      <c r="AA1466" s="23" t="n">
        <v>5000</v>
      </c>
      <c r="AB1466" s="23"/>
      <c r="AC1466" s="23" t="n">
        <v>5000</v>
      </c>
      <c r="AD1466" s="23"/>
      <c r="AE1466" s="23" t="n">
        <v>5000</v>
      </c>
      <c r="AF1466" s="23"/>
      <c r="AG1466" s="23" t="n">
        <v>5000</v>
      </c>
      <c r="AH1466" s="23"/>
      <c r="AI1466" s="23"/>
      <c r="AJ1466" s="9" t="n">
        <f aca="false">X1466*$V1466</f>
        <v>0</v>
      </c>
      <c r="AK1466" s="9" t="n">
        <f aca="false">Y1466*$V1466</f>
        <v>0</v>
      </c>
      <c r="AL1466" s="9" t="n">
        <f aca="false">Z1466*$V1466</f>
        <v>0</v>
      </c>
      <c r="AM1466" s="9" t="n">
        <f aca="false">AA1466*$V1466</f>
        <v>57750</v>
      </c>
      <c r="AN1466" s="9" t="n">
        <f aca="false">AB1466*$V1466</f>
        <v>0</v>
      </c>
      <c r="AO1466" s="9" t="n">
        <f aca="false">AC1466*$V1466</f>
        <v>57750</v>
      </c>
      <c r="AP1466" s="9" t="n">
        <f aca="false">AD1466*$V1466</f>
        <v>0</v>
      </c>
      <c r="AQ1466" s="9" t="n">
        <f aca="false">AE1466*$V1466</f>
        <v>57750</v>
      </c>
      <c r="AR1466" s="9" t="n">
        <f aca="false">AF1466*$V1466</f>
        <v>0</v>
      </c>
      <c r="AS1466" s="9" t="n">
        <f aca="false">AG1466*$V1466</f>
        <v>57750</v>
      </c>
      <c r="AT1466" s="9" t="n">
        <f aca="false">AH1466*$V1466</f>
        <v>0</v>
      </c>
      <c r="AU1466" s="9" t="n">
        <f aca="false">AI1466*$V1466</f>
        <v>0</v>
      </c>
      <c r="AV1466" s="9" t="n">
        <f aca="false">SUM(X1466:AI1466)/1000</f>
        <v>20</v>
      </c>
      <c r="AW1466" s="9" t="n">
        <f aca="false">SUM(AJ1466:AU1466)</f>
        <v>231000</v>
      </c>
      <c r="AX1466" s="9" t="n">
        <f aca="false">IF(D1466="INR",AW1466/88.24,AW1466)/1000000</f>
        <v>0.00261786038077969</v>
      </c>
    </row>
    <row r="1467" s="2" customFormat="true" ht="14.25" hidden="false" customHeight="false" outlineLevel="0" collapsed="false">
      <c r="A1467" s="12"/>
      <c r="B1467" s="16" t="n">
        <v>1</v>
      </c>
      <c r="C1467" s="15"/>
      <c r="D1467" s="16" t="s">
        <v>102</v>
      </c>
      <c r="E1467" s="16"/>
      <c r="F1467" s="16" t="s">
        <v>52</v>
      </c>
      <c r="G1467" s="16"/>
      <c r="H1467" s="16" t="s">
        <v>374</v>
      </c>
      <c r="I1467" s="16"/>
      <c r="J1467" s="16"/>
      <c r="K1467" s="16"/>
      <c r="L1467" s="16"/>
      <c r="M1467" s="16"/>
      <c r="N1467" s="16" t="s">
        <v>93</v>
      </c>
      <c r="O1467" s="16" t="s">
        <v>246</v>
      </c>
      <c r="P1467" s="16"/>
      <c r="Q1467" s="16" t="s">
        <v>589</v>
      </c>
      <c r="R1467" s="16"/>
      <c r="S1467" s="16"/>
      <c r="T1467" s="16" t="s">
        <v>590</v>
      </c>
      <c r="U1467" s="16" t="s">
        <v>63</v>
      </c>
      <c r="V1467" s="16" t="n">
        <v>0.34</v>
      </c>
      <c r="W1467" s="16"/>
      <c r="X1467" s="16" t="n">
        <v>10000</v>
      </c>
      <c r="Y1467" s="16"/>
      <c r="Z1467" s="16"/>
      <c r="AA1467" s="16"/>
      <c r="AB1467" s="16"/>
      <c r="AC1467" s="16"/>
      <c r="AD1467" s="16" t="n">
        <v>10000</v>
      </c>
      <c r="AE1467" s="16"/>
      <c r="AF1467" s="16"/>
      <c r="AG1467" s="16"/>
      <c r="AH1467" s="16" t="n">
        <v>10000</v>
      </c>
      <c r="AI1467" s="16"/>
      <c r="AJ1467" s="9" t="n">
        <f aca="false">X1467*$V1467</f>
        <v>3400</v>
      </c>
      <c r="AK1467" s="9" t="n">
        <f aca="false">Y1467*$V1467</f>
        <v>0</v>
      </c>
      <c r="AL1467" s="9" t="n">
        <f aca="false">Z1467*$V1467</f>
        <v>0</v>
      </c>
      <c r="AM1467" s="9" t="n">
        <f aca="false">AA1467*$V1467</f>
        <v>0</v>
      </c>
      <c r="AN1467" s="9" t="n">
        <f aca="false">AB1467*$V1467</f>
        <v>0</v>
      </c>
      <c r="AO1467" s="9" t="n">
        <f aca="false">AC1467*$V1467</f>
        <v>0</v>
      </c>
      <c r="AP1467" s="9" t="n">
        <f aca="false">AD1467*$V1467</f>
        <v>3400</v>
      </c>
      <c r="AQ1467" s="9" t="n">
        <f aca="false">AE1467*$V1467</f>
        <v>0</v>
      </c>
      <c r="AR1467" s="9" t="n">
        <f aca="false">AF1467*$V1467</f>
        <v>0</v>
      </c>
      <c r="AS1467" s="9" t="n">
        <f aca="false">AG1467*$V1467</f>
        <v>0</v>
      </c>
      <c r="AT1467" s="9" t="n">
        <f aca="false">AH1467*$V1467</f>
        <v>3400</v>
      </c>
      <c r="AU1467" s="9" t="n">
        <f aca="false">AI1467*$V1467</f>
        <v>0</v>
      </c>
      <c r="AV1467" s="9" t="n">
        <f aca="false">SUM(X1467:AI1467)/1000</f>
        <v>30</v>
      </c>
      <c r="AW1467" s="9" t="n">
        <f aca="false">SUM(AJ1467:AU1467)</f>
        <v>10200</v>
      </c>
      <c r="AX1467" s="9" t="n">
        <f aca="false">IF(D1467="INR",AW1467/88.24,AW1467)/1000000</f>
        <v>0.0102</v>
      </c>
    </row>
    <row r="1468" s="2" customFormat="true" ht="14.25" hidden="false" customHeight="true" outlineLevel="0" collapsed="false">
      <c r="A1468" s="12"/>
      <c r="B1468" s="16" t="n">
        <v>1</v>
      </c>
      <c r="C1468" s="15"/>
      <c r="D1468" s="16" t="s">
        <v>102</v>
      </c>
      <c r="E1468" s="16"/>
      <c r="F1468" s="16" t="s">
        <v>52</v>
      </c>
      <c r="G1468" s="16"/>
      <c r="H1468" s="16" t="s">
        <v>374</v>
      </c>
      <c r="I1468" s="16"/>
      <c r="J1468" s="16"/>
      <c r="K1468" s="16"/>
      <c r="L1468" s="16"/>
      <c r="M1468" s="16"/>
      <c r="N1468" s="16" t="s">
        <v>93</v>
      </c>
      <c r="O1468" s="16" t="s">
        <v>246</v>
      </c>
      <c r="P1468" s="16"/>
      <c r="Q1468" s="16" t="s">
        <v>2772</v>
      </c>
      <c r="R1468" s="16"/>
      <c r="S1468" s="16"/>
      <c r="T1468" s="16" t="s">
        <v>1472</v>
      </c>
      <c r="U1468" s="16" t="s">
        <v>63</v>
      </c>
      <c r="V1468" s="16" t="n">
        <v>0.2013</v>
      </c>
      <c r="W1468" s="16"/>
      <c r="X1468" s="22" t="n">
        <v>10000</v>
      </c>
      <c r="Y1468" s="22"/>
      <c r="Z1468" s="22"/>
      <c r="AA1468" s="22"/>
      <c r="AB1468" s="22"/>
      <c r="AC1468" s="22"/>
      <c r="AD1468" s="22" t="n">
        <v>10000</v>
      </c>
      <c r="AE1468" s="22"/>
      <c r="AF1468" s="22"/>
      <c r="AG1468" s="22"/>
      <c r="AH1468" s="22" t="n">
        <v>10000</v>
      </c>
      <c r="AI1468" s="22"/>
      <c r="AJ1468" s="9" t="n">
        <f aca="false">X1468*$V1468</f>
        <v>2013</v>
      </c>
      <c r="AK1468" s="9" t="n">
        <f aca="false">Y1468*$V1468</f>
        <v>0</v>
      </c>
      <c r="AL1468" s="9" t="n">
        <f aca="false">Z1468*$V1468</f>
        <v>0</v>
      </c>
      <c r="AM1468" s="9" t="n">
        <f aca="false">AA1468*$V1468</f>
        <v>0</v>
      </c>
      <c r="AN1468" s="9" t="n">
        <f aca="false">AB1468*$V1468</f>
        <v>0</v>
      </c>
      <c r="AO1468" s="9" t="n">
        <f aca="false">AC1468*$V1468</f>
        <v>0</v>
      </c>
      <c r="AP1468" s="9" t="n">
        <f aca="false">AD1468*$V1468</f>
        <v>2013</v>
      </c>
      <c r="AQ1468" s="9" t="n">
        <f aca="false">AE1468*$V1468</f>
        <v>0</v>
      </c>
      <c r="AR1468" s="9" t="n">
        <f aca="false">AF1468*$V1468</f>
        <v>0</v>
      </c>
      <c r="AS1468" s="9" t="n">
        <f aca="false">AG1468*$V1468</f>
        <v>0</v>
      </c>
      <c r="AT1468" s="9" t="n">
        <f aca="false">AH1468*$V1468</f>
        <v>2013</v>
      </c>
      <c r="AU1468" s="9" t="n">
        <f aca="false">AI1468*$V1468</f>
        <v>0</v>
      </c>
      <c r="AV1468" s="9" t="n">
        <f aca="false">SUM(X1468:AI1468)/1000</f>
        <v>30</v>
      </c>
      <c r="AW1468" s="9" t="n">
        <f aca="false">SUM(AJ1468:AU1468)</f>
        <v>6039</v>
      </c>
      <c r="AX1468" s="9" t="n">
        <f aca="false">IF(D1468="INR",AW1468/88.24,AW1468)/1000000</f>
        <v>0.006039</v>
      </c>
    </row>
    <row r="1469" s="2" customFormat="true" ht="14.25" hidden="false" customHeight="false" outlineLevel="0" collapsed="false">
      <c r="A1469" s="12"/>
      <c r="B1469" s="16" t="n">
        <v>1</v>
      </c>
      <c r="C1469" s="15"/>
      <c r="D1469" s="16" t="s">
        <v>102</v>
      </c>
      <c r="E1469" s="16"/>
      <c r="F1469" s="16" t="s">
        <v>52</v>
      </c>
      <c r="G1469" s="16"/>
      <c r="H1469" s="16" t="s">
        <v>374</v>
      </c>
      <c r="I1469" s="16"/>
      <c r="J1469" s="16"/>
      <c r="K1469" s="16"/>
      <c r="L1469" s="16"/>
      <c r="M1469" s="16"/>
      <c r="N1469" s="16" t="s">
        <v>93</v>
      </c>
      <c r="O1469" s="16" t="s">
        <v>246</v>
      </c>
      <c r="P1469" s="16"/>
      <c r="Q1469" s="16" t="s">
        <v>110</v>
      </c>
      <c r="R1469" s="16"/>
      <c r="S1469" s="16"/>
      <c r="T1469" s="16" t="s">
        <v>1495</v>
      </c>
      <c r="U1469" s="16" t="s">
        <v>63</v>
      </c>
      <c r="V1469" s="16" t="n">
        <v>0.16</v>
      </c>
      <c r="W1469" s="16"/>
      <c r="X1469" s="22" t="n">
        <v>10000</v>
      </c>
      <c r="Y1469" s="22"/>
      <c r="Z1469" s="22"/>
      <c r="AA1469" s="22"/>
      <c r="AB1469" s="22"/>
      <c r="AC1469" s="22"/>
      <c r="AD1469" s="22" t="n">
        <v>10000</v>
      </c>
      <c r="AE1469" s="22"/>
      <c r="AF1469" s="22"/>
      <c r="AG1469" s="22"/>
      <c r="AH1469" s="22" t="n">
        <v>10000</v>
      </c>
      <c r="AI1469" s="22"/>
      <c r="AJ1469" s="9" t="n">
        <f aca="false">X1469*$V1469</f>
        <v>1600</v>
      </c>
      <c r="AK1469" s="9" t="n">
        <f aca="false">Y1469*$V1469</f>
        <v>0</v>
      </c>
      <c r="AL1469" s="9" t="n">
        <f aca="false">Z1469*$V1469</f>
        <v>0</v>
      </c>
      <c r="AM1469" s="9" t="n">
        <f aca="false">AA1469*$V1469</f>
        <v>0</v>
      </c>
      <c r="AN1469" s="9" t="n">
        <f aca="false">AB1469*$V1469</f>
        <v>0</v>
      </c>
      <c r="AO1469" s="9" t="n">
        <f aca="false">AC1469*$V1469</f>
        <v>0</v>
      </c>
      <c r="AP1469" s="9" t="n">
        <f aca="false">AD1469*$V1469</f>
        <v>1600</v>
      </c>
      <c r="AQ1469" s="9" t="n">
        <f aca="false">AE1469*$V1469</f>
        <v>0</v>
      </c>
      <c r="AR1469" s="9" t="n">
        <f aca="false">AF1469*$V1469</f>
        <v>0</v>
      </c>
      <c r="AS1469" s="9" t="n">
        <f aca="false">AG1469*$V1469</f>
        <v>0</v>
      </c>
      <c r="AT1469" s="9" t="n">
        <f aca="false">AH1469*$V1469</f>
        <v>1600</v>
      </c>
      <c r="AU1469" s="9" t="n">
        <f aca="false">AI1469*$V1469</f>
        <v>0</v>
      </c>
      <c r="AV1469" s="9" t="n">
        <f aca="false">SUM(X1469:AI1469)/1000</f>
        <v>30</v>
      </c>
      <c r="AW1469" s="9" t="n">
        <f aca="false">SUM(AJ1469:AU1469)</f>
        <v>4800</v>
      </c>
      <c r="AX1469" s="9" t="n">
        <f aca="false">IF(D1469="INR",AW1469/88.24,AW1469)/1000000</f>
        <v>0.0048</v>
      </c>
    </row>
    <row r="1470" s="2" customFormat="true" ht="14.25" hidden="false" customHeight="true" outlineLevel="0" collapsed="false">
      <c r="A1470" s="12"/>
      <c r="B1470" s="16" t="n">
        <v>1</v>
      </c>
      <c r="C1470" s="15"/>
      <c r="D1470" s="16" t="s">
        <v>102</v>
      </c>
      <c r="E1470" s="16"/>
      <c r="F1470" s="16" t="s">
        <v>52</v>
      </c>
      <c r="G1470" s="16"/>
      <c r="H1470" s="16" t="s">
        <v>374</v>
      </c>
      <c r="I1470" s="16"/>
      <c r="J1470" s="16"/>
      <c r="K1470" s="16"/>
      <c r="L1470" s="16"/>
      <c r="M1470" s="16"/>
      <c r="N1470" s="16" t="s">
        <v>93</v>
      </c>
      <c r="O1470" s="16" t="s">
        <v>246</v>
      </c>
      <c r="P1470" s="16"/>
      <c r="Q1470" s="16" t="s">
        <v>789</v>
      </c>
      <c r="R1470" s="16"/>
      <c r="S1470" s="16"/>
      <c r="T1470" s="16" t="s">
        <v>2773</v>
      </c>
      <c r="U1470" s="16" t="s">
        <v>63</v>
      </c>
      <c r="V1470" s="16" t="n">
        <v>0.145</v>
      </c>
      <c r="W1470" s="16"/>
      <c r="X1470" s="22" t="n">
        <v>10000</v>
      </c>
      <c r="Y1470" s="22"/>
      <c r="Z1470" s="22"/>
      <c r="AA1470" s="22"/>
      <c r="AB1470" s="22"/>
      <c r="AC1470" s="22"/>
      <c r="AD1470" s="22" t="n">
        <v>10000</v>
      </c>
      <c r="AE1470" s="22"/>
      <c r="AF1470" s="22"/>
      <c r="AG1470" s="22"/>
      <c r="AH1470" s="22" t="n">
        <v>10000</v>
      </c>
      <c r="AI1470" s="22"/>
      <c r="AJ1470" s="9" t="n">
        <f aca="false">X1470*$V1470</f>
        <v>1450</v>
      </c>
      <c r="AK1470" s="9" t="n">
        <f aca="false">Y1470*$V1470</f>
        <v>0</v>
      </c>
      <c r="AL1470" s="9" t="n">
        <f aca="false">Z1470*$V1470</f>
        <v>0</v>
      </c>
      <c r="AM1470" s="9" t="n">
        <f aca="false">AA1470*$V1470</f>
        <v>0</v>
      </c>
      <c r="AN1470" s="9" t="n">
        <f aca="false">AB1470*$V1470</f>
        <v>0</v>
      </c>
      <c r="AO1470" s="9" t="n">
        <f aca="false">AC1470*$V1470</f>
        <v>0</v>
      </c>
      <c r="AP1470" s="9" t="n">
        <f aca="false">AD1470*$V1470</f>
        <v>1450</v>
      </c>
      <c r="AQ1470" s="9" t="n">
        <f aca="false">AE1470*$V1470</f>
        <v>0</v>
      </c>
      <c r="AR1470" s="9" t="n">
        <f aca="false">AF1470*$V1470</f>
        <v>0</v>
      </c>
      <c r="AS1470" s="9" t="n">
        <f aca="false">AG1470*$V1470</f>
        <v>0</v>
      </c>
      <c r="AT1470" s="9" t="n">
        <f aca="false">AH1470*$V1470</f>
        <v>1450</v>
      </c>
      <c r="AU1470" s="9" t="n">
        <f aca="false">AI1470*$V1470</f>
        <v>0</v>
      </c>
      <c r="AV1470" s="9" t="n">
        <f aca="false">SUM(X1470:AI1470)/1000</f>
        <v>30</v>
      </c>
      <c r="AW1470" s="9" t="n">
        <f aca="false">SUM(AJ1470:AU1470)</f>
        <v>4350</v>
      </c>
      <c r="AX1470" s="9" t="n">
        <f aca="false">IF(D1470="INR",AW1470/88.24,AW1470)/1000000</f>
        <v>0.00435</v>
      </c>
    </row>
    <row r="1471" s="2" customFormat="true" ht="14.25" hidden="false" customHeight="false" outlineLevel="0" collapsed="false">
      <c r="A1471" s="12"/>
      <c r="B1471" s="16" t="n">
        <v>1</v>
      </c>
      <c r="C1471" s="15"/>
      <c r="D1471" s="16" t="s">
        <v>102</v>
      </c>
      <c r="E1471" s="16"/>
      <c r="F1471" s="16" t="s">
        <v>52</v>
      </c>
      <c r="G1471" s="16"/>
      <c r="H1471" s="16" t="s">
        <v>374</v>
      </c>
      <c r="I1471" s="16"/>
      <c r="J1471" s="16"/>
      <c r="K1471" s="16"/>
      <c r="L1471" s="16"/>
      <c r="M1471" s="16"/>
      <c r="N1471" s="16" t="s">
        <v>93</v>
      </c>
      <c r="O1471" s="16" t="s">
        <v>246</v>
      </c>
      <c r="P1471" s="16"/>
      <c r="Q1471" s="16" t="s">
        <v>2772</v>
      </c>
      <c r="R1471" s="16"/>
      <c r="S1471" s="16"/>
      <c r="T1471" s="16" t="s">
        <v>1975</v>
      </c>
      <c r="U1471" s="16" t="s">
        <v>63</v>
      </c>
      <c r="V1471" s="16" t="n">
        <v>0.1011</v>
      </c>
      <c r="W1471" s="16"/>
      <c r="X1471" s="22" t="n">
        <v>10000</v>
      </c>
      <c r="Y1471" s="16"/>
      <c r="Z1471" s="16"/>
      <c r="AA1471" s="16"/>
      <c r="AB1471" s="16"/>
      <c r="AC1471" s="16"/>
      <c r="AD1471" s="16" t="n">
        <v>10000</v>
      </c>
      <c r="AE1471" s="16"/>
      <c r="AF1471" s="16"/>
      <c r="AG1471" s="16"/>
      <c r="AH1471" s="16" t="n">
        <v>10000</v>
      </c>
      <c r="AI1471" s="16"/>
      <c r="AJ1471" s="9" t="n">
        <f aca="false">X1471*$V1471</f>
        <v>1011</v>
      </c>
      <c r="AK1471" s="9" t="n">
        <f aca="false">Y1471*$V1471</f>
        <v>0</v>
      </c>
      <c r="AL1471" s="9" t="n">
        <f aca="false">Z1471*$V1471</f>
        <v>0</v>
      </c>
      <c r="AM1471" s="9" t="n">
        <f aca="false">AA1471*$V1471</f>
        <v>0</v>
      </c>
      <c r="AN1471" s="9" t="n">
        <f aca="false">AB1471*$V1471</f>
        <v>0</v>
      </c>
      <c r="AO1471" s="9" t="n">
        <f aca="false">AC1471*$V1471</f>
        <v>0</v>
      </c>
      <c r="AP1471" s="9" t="n">
        <f aca="false">AD1471*$V1471</f>
        <v>1011</v>
      </c>
      <c r="AQ1471" s="9" t="n">
        <f aca="false">AE1471*$V1471</f>
        <v>0</v>
      </c>
      <c r="AR1471" s="9" t="n">
        <f aca="false">AF1471*$V1471</f>
        <v>0</v>
      </c>
      <c r="AS1471" s="9" t="n">
        <f aca="false">AG1471*$V1471</f>
        <v>0</v>
      </c>
      <c r="AT1471" s="9" t="n">
        <f aca="false">AH1471*$V1471</f>
        <v>1011</v>
      </c>
      <c r="AU1471" s="9" t="n">
        <f aca="false">AI1471*$V1471</f>
        <v>0</v>
      </c>
      <c r="AV1471" s="9" t="n">
        <f aca="false">SUM(X1471:AI1471)/1000</f>
        <v>30</v>
      </c>
      <c r="AW1471" s="9" t="n">
        <f aca="false">SUM(AJ1471:AU1471)</f>
        <v>3033</v>
      </c>
      <c r="AX1471" s="9" t="n">
        <f aca="false">IF(D1471="INR",AW1471/88.24,AW1471)/1000000</f>
        <v>0.003033</v>
      </c>
    </row>
    <row r="1472" s="2" customFormat="true" ht="14.25" hidden="false" customHeight="true" outlineLevel="0" collapsed="false">
      <c r="A1472" s="12"/>
      <c r="B1472" s="16" t="n">
        <v>1</v>
      </c>
      <c r="C1472" s="15"/>
      <c r="D1472" s="16" t="s">
        <v>50</v>
      </c>
      <c r="E1472" s="16" t="s">
        <v>51</v>
      </c>
      <c r="F1472" s="16" t="s">
        <v>52</v>
      </c>
      <c r="G1472" s="16" t="s">
        <v>2766</v>
      </c>
      <c r="H1472" s="16" t="s">
        <v>2767</v>
      </c>
      <c r="I1472" s="16" t="s">
        <v>105</v>
      </c>
      <c r="J1472" s="16" t="s">
        <v>2769</v>
      </c>
      <c r="K1472" s="16" t="s">
        <v>2770</v>
      </c>
      <c r="L1472" s="16" t="s">
        <v>2769</v>
      </c>
      <c r="M1472" s="16" t="s">
        <v>2769</v>
      </c>
      <c r="N1472" s="16" t="s">
        <v>57</v>
      </c>
      <c r="O1472" s="16" t="s">
        <v>94</v>
      </c>
      <c r="P1472" s="16" t="s">
        <v>110</v>
      </c>
      <c r="Q1472" s="16" t="s">
        <v>2772</v>
      </c>
      <c r="R1472" s="16" t="s">
        <v>86</v>
      </c>
      <c r="S1472" s="16" t="s">
        <v>87</v>
      </c>
      <c r="T1472" s="16" t="s">
        <v>1975</v>
      </c>
      <c r="U1472" s="16" t="s">
        <v>63</v>
      </c>
      <c r="V1472" s="16" t="n">
        <v>7.5</v>
      </c>
      <c r="W1472" s="16"/>
      <c r="X1472" s="16"/>
      <c r="Y1472" s="16"/>
      <c r="Z1472" s="16"/>
      <c r="AA1472" s="16" t="n">
        <v>5000</v>
      </c>
      <c r="AB1472" s="16"/>
      <c r="AC1472" s="16" t="n">
        <v>5000</v>
      </c>
      <c r="AD1472" s="16"/>
      <c r="AE1472" s="16" t="n">
        <v>5000</v>
      </c>
      <c r="AF1472" s="16"/>
      <c r="AG1472" s="16" t="n">
        <v>5000</v>
      </c>
      <c r="AH1472" s="16"/>
      <c r="AI1472" s="16"/>
      <c r="AJ1472" s="9" t="n">
        <f aca="false">X1472*$V1472</f>
        <v>0</v>
      </c>
      <c r="AK1472" s="9" t="n">
        <f aca="false">Y1472*$V1472</f>
        <v>0</v>
      </c>
      <c r="AL1472" s="9" t="n">
        <f aca="false">Z1472*$V1472</f>
        <v>0</v>
      </c>
      <c r="AM1472" s="9" t="n">
        <f aca="false">AA1472*$V1472</f>
        <v>37500</v>
      </c>
      <c r="AN1472" s="9" t="n">
        <f aca="false">AB1472*$V1472</f>
        <v>0</v>
      </c>
      <c r="AO1472" s="9" t="n">
        <f aca="false">AC1472*$V1472</f>
        <v>37500</v>
      </c>
      <c r="AP1472" s="9" t="n">
        <f aca="false">AD1472*$V1472</f>
        <v>0</v>
      </c>
      <c r="AQ1472" s="9" t="n">
        <f aca="false">AE1472*$V1472</f>
        <v>37500</v>
      </c>
      <c r="AR1472" s="9" t="n">
        <f aca="false">AF1472*$V1472</f>
        <v>0</v>
      </c>
      <c r="AS1472" s="9" t="n">
        <f aca="false">AG1472*$V1472</f>
        <v>37500</v>
      </c>
      <c r="AT1472" s="9" t="n">
        <f aca="false">AH1472*$V1472</f>
        <v>0</v>
      </c>
      <c r="AU1472" s="9" t="n">
        <f aca="false">AI1472*$V1472</f>
        <v>0</v>
      </c>
      <c r="AV1472" s="9" t="n">
        <f aca="false">SUM(X1472:AI1472)/1000</f>
        <v>20</v>
      </c>
      <c r="AW1472" s="9" t="n">
        <f aca="false">SUM(AJ1472:AU1472)</f>
        <v>150000</v>
      </c>
      <c r="AX1472" s="9" t="n">
        <f aca="false">IF(D1472="INR",AW1472/88.24,AW1472)/1000000</f>
        <v>0.00169990933816863</v>
      </c>
      <c r="AY1472" s="27"/>
    </row>
    <row r="1473" s="2" customFormat="true" ht="14.25" hidden="false" customHeight="true" outlineLevel="0" collapsed="false">
      <c r="A1473" s="12"/>
      <c r="B1473" s="16" t="n">
        <v>1</v>
      </c>
      <c r="C1473" s="15"/>
      <c r="D1473" s="16" t="s">
        <v>50</v>
      </c>
      <c r="E1473" s="16" t="s">
        <v>51</v>
      </c>
      <c r="F1473" s="16" t="s">
        <v>52</v>
      </c>
      <c r="G1473" s="16" t="s">
        <v>2766</v>
      </c>
      <c r="H1473" s="16" t="s">
        <v>2767</v>
      </c>
      <c r="I1473" s="16" t="s">
        <v>105</v>
      </c>
      <c r="J1473" s="16" t="s">
        <v>2769</v>
      </c>
      <c r="K1473" s="16" t="s">
        <v>2770</v>
      </c>
      <c r="L1473" s="16" t="s">
        <v>2769</v>
      </c>
      <c r="M1473" s="16" t="s">
        <v>2769</v>
      </c>
      <c r="N1473" s="16" t="s">
        <v>57</v>
      </c>
      <c r="O1473" s="16" t="s">
        <v>94</v>
      </c>
      <c r="P1473" s="16" t="s">
        <v>110</v>
      </c>
      <c r="Q1473" s="16" t="s">
        <v>2772</v>
      </c>
      <c r="R1473" s="16" t="s">
        <v>86</v>
      </c>
      <c r="S1473" s="16" t="s">
        <v>87</v>
      </c>
      <c r="T1473" s="16" t="s">
        <v>448</v>
      </c>
      <c r="U1473" s="16" t="s">
        <v>63</v>
      </c>
      <c r="V1473" s="16" t="n">
        <v>7</v>
      </c>
      <c r="W1473" s="16"/>
      <c r="X1473" s="16"/>
      <c r="Y1473" s="16"/>
      <c r="Z1473" s="16"/>
      <c r="AA1473" s="16" t="n">
        <v>5000</v>
      </c>
      <c r="AB1473" s="16"/>
      <c r="AC1473" s="16" t="n">
        <v>5000</v>
      </c>
      <c r="AD1473" s="16"/>
      <c r="AE1473" s="16" t="n">
        <v>5000</v>
      </c>
      <c r="AF1473" s="16"/>
      <c r="AG1473" s="16" t="n">
        <v>5000</v>
      </c>
      <c r="AH1473" s="16"/>
      <c r="AI1473" s="16"/>
      <c r="AJ1473" s="9" t="n">
        <f aca="false">X1473*$V1473</f>
        <v>0</v>
      </c>
      <c r="AK1473" s="9" t="n">
        <f aca="false">Y1473*$V1473</f>
        <v>0</v>
      </c>
      <c r="AL1473" s="9" t="n">
        <f aca="false">Z1473*$V1473</f>
        <v>0</v>
      </c>
      <c r="AM1473" s="9" t="n">
        <f aca="false">AA1473*$V1473</f>
        <v>35000</v>
      </c>
      <c r="AN1473" s="9" t="n">
        <f aca="false">AB1473*$V1473</f>
        <v>0</v>
      </c>
      <c r="AO1473" s="9" t="n">
        <f aca="false">AC1473*$V1473</f>
        <v>35000</v>
      </c>
      <c r="AP1473" s="9" t="n">
        <f aca="false">AD1473*$V1473</f>
        <v>0</v>
      </c>
      <c r="AQ1473" s="9" t="n">
        <f aca="false">AE1473*$V1473</f>
        <v>35000</v>
      </c>
      <c r="AR1473" s="9" t="n">
        <f aca="false">AF1473*$V1473</f>
        <v>0</v>
      </c>
      <c r="AS1473" s="9" t="n">
        <f aca="false">AG1473*$V1473</f>
        <v>35000</v>
      </c>
      <c r="AT1473" s="9" t="n">
        <f aca="false">AH1473*$V1473</f>
        <v>0</v>
      </c>
      <c r="AU1473" s="9" t="n">
        <f aca="false">AI1473*$V1473</f>
        <v>0</v>
      </c>
      <c r="AV1473" s="9" t="n">
        <f aca="false">SUM(X1473:AI1473)/1000</f>
        <v>20</v>
      </c>
      <c r="AW1473" s="9" t="n">
        <f aca="false">SUM(AJ1473:AU1473)</f>
        <v>140000</v>
      </c>
      <c r="AX1473" s="9" t="n">
        <f aca="false">IF(D1473="INR",AW1473/88.24,AW1473)/1000000</f>
        <v>0.00158658204895739</v>
      </c>
      <c r="AY1473" s="27"/>
    </row>
    <row r="1474" s="2" customFormat="true" ht="18" hidden="false" customHeight="true" outlineLevel="0" collapsed="false">
      <c r="A1474" s="9"/>
      <c r="B1474" s="9" t="n">
        <v>1</v>
      </c>
      <c r="C1474" s="10"/>
      <c r="D1474" s="9" t="s">
        <v>50</v>
      </c>
      <c r="E1474" s="9" t="s">
        <v>51</v>
      </c>
      <c r="F1474" s="9" t="s">
        <v>52</v>
      </c>
      <c r="G1474" s="9" t="s">
        <v>2766</v>
      </c>
      <c r="H1474" s="9" t="s">
        <v>2767</v>
      </c>
      <c r="I1474" s="9" t="s">
        <v>105</v>
      </c>
      <c r="J1474" s="9" t="s">
        <v>2769</v>
      </c>
      <c r="K1474" s="9" t="s">
        <v>2770</v>
      </c>
      <c r="L1474" s="9" t="s">
        <v>2769</v>
      </c>
      <c r="M1474" s="9" t="s">
        <v>2769</v>
      </c>
      <c r="N1474" s="9" t="s">
        <v>57</v>
      </c>
      <c r="O1474" s="9" t="s">
        <v>94</v>
      </c>
      <c r="P1474" s="9" t="s">
        <v>110</v>
      </c>
      <c r="Q1474" s="9" t="s">
        <v>199</v>
      </c>
      <c r="R1474" s="9" t="s">
        <v>377</v>
      </c>
      <c r="S1474" s="9" t="s">
        <v>528</v>
      </c>
      <c r="T1474" s="9" t="s">
        <v>529</v>
      </c>
      <c r="U1474" s="9" t="s">
        <v>63</v>
      </c>
      <c r="V1474" s="10" t="n">
        <v>5.2</v>
      </c>
      <c r="W1474" s="9"/>
      <c r="X1474" s="9"/>
      <c r="Y1474" s="9"/>
      <c r="Z1474" s="9"/>
      <c r="AA1474" s="9" t="n">
        <v>5000</v>
      </c>
      <c r="AB1474" s="9"/>
      <c r="AC1474" s="9" t="n">
        <v>5000</v>
      </c>
      <c r="AD1474" s="9"/>
      <c r="AE1474" s="9" t="n">
        <v>5000</v>
      </c>
      <c r="AF1474" s="9"/>
      <c r="AG1474" s="9" t="n">
        <v>5000</v>
      </c>
      <c r="AH1474" s="9"/>
      <c r="AI1474" s="9"/>
      <c r="AJ1474" s="9" t="n">
        <f aca="false">X1474*$V1474</f>
        <v>0</v>
      </c>
      <c r="AK1474" s="9" t="n">
        <f aca="false">Y1474*$V1474</f>
        <v>0</v>
      </c>
      <c r="AL1474" s="9" t="n">
        <f aca="false">Z1474*$V1474</f>
        <v>0</v>
      </c>
      <c r="AM1474" s="9" t="n">
        <f aca="false">AA1474*$V1474</f>
        <v>26000</v>
      </c>
      <c r="AN1474" s="9" t="n">
        <f aca="false">AB1474*$V1474</f>
        <v>0</v>
      </c>
      <c r="AO1474" s="9" t="n">
        <f aca="false">AC1474*$V1474</f>
        <v>26000</v>
      </c>
      <c r="AP1474" s="9" t="n">
        <f aca="false">AD1474*$V1474</f>
        <v>0</v>
      </c>
      <c r="AQ1474" s="9" t="n">
        <f aca="false">AE1474*$V1474</f>
        <v>26000</v>
      </c>
      <c r="AR1474" s="9" t="n">
        <f aca="false">AF1474*$V1474</f>
        <v>0</v>
      </c>
      <c r="AS1474" s="9" t="n">
        <f aca="false">AG1474*$V1474</f>
        <v>26000</v>
      </c>
      <c r="AT1474" s="9" t="n">
        <f aca="false">AH1474*$V1474</f>
        <v>0</v>
      </c>
      <c r="AU1474" s="9" t="n">
        <f aca="false">AI1474*$V1474</f>
        <v>0</v>
      </c>
      <c r="AV1474" s="9" t="n">
        <f aca="false">SUM(X1474:AI1474)/1000</f>
        <v>20</v>
      </c>
      <c r="AW1474" s="9" t="n">
        <f aca="false">SUM(AJ1474:AU1474)</f>
        <v>104000</v>
      </c>
      <c r="AX1474" s="9" t="n">
        <f aca="false">IF(D1474="INR",AW1474/88.24,AW1474)/1000000</f>
        <v>0.00117860380779692</v>
      </c>
    </row>
    <row r="1475" s="2" customFormat="true" ht="14.25" hidden="false" customHeight="true" outlineLevel="0" collapsed="false">
      <c r="A1475" s="9"/>
      <c r="B1475" s="9" t="n">
        <v>1</v>
      </c>
      <c r="C1475" s="10"/>
      <c r="D1475" s="9" t="s">
        <v>102</v>
      </c>
      <c r="E1475" s="9"/>
      <c r="F1475" s="9" t="s">
        <v>52</v>
      </c>
      <c r="G1475" s="9"/>
      <c r="H1475" s="9" t="s">
        <v>374</v>
      </c>
      <c r="I1475" s="9"/>
      <c r="J1475" s="9"/>
      <c r="K1475" s="9"/>
      <c r="L1475" s="9"/>
      <c r="M1475" s="9"/>
      <c r="N1475" s="9" t="s">
        <v>93</v>
      </c>
      <c r="O1475" s="9" t="s">
        <v>246</v>
      </c>
      <c r="P1475" s="9"/>
      <c r="Q1475" s="9" t="s">
        <v>2772</v>
      </c>
      <c r="R1475" s="9"/>
      <c r="S1475" s="9"/>
      <c r="T1475" s="9" t="s">
        <v>1106</v>
      </c>
      <c r="U1475" s="9" t="s">
        <v>63</v>
      </c>
      <c r="V1475" s="9" t="n">
        <v>0.065</v>
      </c>
      <c r="W1475" s="9"/>
      <c r="X1475" s="9" t="n">
        <v>10000</v>
      </c>
      <c r="Y1475" s="9"/>
      <c r="Z1475" s="9"/>
      <c r="AA1475" s="9"/>
      <c r="AB1475" s="9"/>
      <c r="AC1475" s="9"/>
      <c r="AD1475" s="9" t="n">
        <v>10000</v>
      </c>
      <c r="AE1475" s="9"/>
      <c r="AF1475" s="9"/>
      <c r="AG1475" s="9"/>
      <c r="AH1475" s="9" t="n">
        <v>10000</v>
      </c>
      <c r="AI1475" s="9"/>
      <c r="AJ1475" s="9" t="n">
        <f aca="false">X1475*$V1475</f>
        <v>650</v>
      </c>
      <c r="AK1475" s="9" t="n">
        <f aca="false">Y1475*$V1475</f>
        <v>0</v>
      </c>
      <c r="AL1475" s="9" t="n">
        <f aca="false">Z1475*$V1475</f>
        <v>0</v>
      </c>
      <c r="AM1475" s="9" t="n">
        <f aca="false">AA1475*$V1475</f>
        <v>0</v>
      </c>
      <c r="AN1475" s="9" t="n">
        <f aca="false">AB1475*$V1475</f>
        <v>0</v>
      </c>
      <c r="AO1475" s="9" t="n">
        <f aca="false">AC1475*$V1475</f>
        <v>0</v>
      </c>
      <c r="AP1475" s="9" t="n">
        <f aca="false">AD1475*$V1475</f>
        <v>650</v>
      </c>
      <c r="AQ1475" s="9" t="n">
        <f aca="false">AE1475*$V1475</f>
        <v>0</v>
      </c>
      <c r="AR1475" s="9" t="n">
        <f aca="false">AF1475*$V1475</f>
        <v>0</v>
      </c>
      <c r="AS1475" s="9" t="n">
        <f aca="false">AG1475*$V1475</f>
        <v>0</v>
      </c>
      <c r="AT1475" s="9" t="n">
        <f aca="false">AH1475*$V1475</f>
        <v>650</v>
      </c>
      <c r="AU1475" s="9" t="n">
        <f aca="false">AI1475*$V1475</f>
        <v>0</v>
      </c>
      <c r="AV1475" s="9" t="n">
        <f aca="false">SUM(X1475:AI1475)/1000</f>
        <v>30</v>
      </c>
      <c r="AW1475" s="9" t="n">
        <f aca="false">SUM(AJ1475:AU1475)</f>
        <v>1950</v>
      </c>
      <c r="AX1475" s="9" t="n">
        <f aca="false">IF(D1475="INR",AW1475/88.24,AW1475)/1000000</f>
        <v>0.00195</v>
      </c>
    </row>
    <row r="1476" s="2" customFormat="true" ht="14.25" hidden="false" customHeight="true" outlineLevel="0" collapsed="false">
      <c r="A1476" s="9"/>
      <c r="B1476" s="9" t="n">
        <v>1</v>
      </c>
      <c r="C1476" s="10"/>
      <c r="D1476" s="9" t="s">
        <v>102</v>
      </c>
      <c r="E1476" s="9"/>
      <c r="F1476" s="9" t="s">
        <v>52</v>
      </c>
      <c r="G1476" s="9"/>
      <c r="H1476" s="9" t="s">
        <v>374</v>
      </c>
      <c r="I1476" s="9"/>
      <c r="J1476" s="9"/>
      <c r="K1476" s="9"/>
      <c r="L1476" s="9"/>
      <c r="M1476" s="9"/>
      <c r="N1476" s="16" t="s">
        <v>93</v>
      </c>
      <c r="O1476" s="9" t="s">
        <v>246</v>
      </c>
      <c r="P1476" s="9"/>
      <c r="Q1476" s="9" t="s">
        <v>262</v>
      </c>
      <c r="R1476" s="9"/>
      <c r="S1476" s="9"/>
      <c r="T1476" s="9" t="s">
        <v>2774</v>
      </c>
      <c r="U1476" s="9" t="s">
        <v>63</v>
      </c>
      <c r="V1476" s="9" t="n">
        <v>0.063</v>
      </c>
      <c r="W1476" s="9"/>
      <c r="X1476" s="9" t="n">
        <v>10000</v>
      </c>
      <c r="Y1476" s="9"/>
      <c r="Z1476" s="9"/>
      <c r="AA1476" s="9"/>
      <c r="AB1476" s="9"/>
      <c r="AC1476" s="9"/>
      <c r="AD1476" s="9" t="n">
        <v>10000</v>
      </c>
      <c r="AE1476" s="9"/>
      <c r="AF1476" s="9"/>
      <c r="AG1476" s="9"/>
      <c r="AH1476" s="9" t="n">
        <v>10000</v>
      </c>
      <c r="AI1476" s="9"/>
      <c r="AJ1476" s="9" t="n">
        <f aca="false">X1476*$V1476</f>
        <v>630</v>
      </c>
      <c r="AK1476" s="9" t="n">
        <f aca="false">Y1476*$V1476</f>
        <v>0</v>
      </c>
      <c r="AL1476" s="9" t="n">
        <f aca="false">Z1476*$V1476</f>
        <v>0</v>
      </c>
      <c r="AM1476" s="9" t="n">
        <f aca="false">AA1476*$V1476</f>
        <v>0</v>
      </c>
      <c r="AN1476" s="9" t="n">
        <f aca="false">AB1476*$V1476</f>
        <v>0</v>
      </c>
      <c r="AO1476" s="9" t="n">
        <f aca="false">AC1476*$V1476</f>
        <v>0</v>
      </c>
      <c r="AP1476" s="9" t="n">
        <f aca="false">AD1476*$V1476</f>
        <v>630</v>
      </c>
      <c r="AQ1476" s="9" t="n">
        <f aca="false">AE1476*$V1476</f>
        <v>0</v>
      </c>
      <c r="AR1476" s="9" t="n">
        <f aca="false">AF1476*$V1476</f>
        <v>0</v>
      </c>
      <c r="AS1476" s="9" t="n">
        <f aca="false">AG1476*$V1476</f>
        <v>0</v>
      </c>
      <c r="AT1476" s="9" t="n">
        <f aca="false">AH1476*$V1476</f>
        <v>630</v>
      </c>
      <c r="AU1476" s="9" t="n">
        <f aca="false">AI1476*$V1476</f>
        <v>0</v>
      </c>
      <c r="AV1476" s="9" t="n">
        <f aca="false">SUM(X1476:AI1476)/1000</f>
        <v>30</v>
      </c>
      <c r="AW1476" s="9" t="n">
        <f aca="false">SUM(AJ1476:AU1476)</f>
        <v>1890</v>
      </c>
      <c r="AX1476" s="9" t="n">
        <f aca="false">IF(D1476="INR",AW1476/88.24,AW1476)/1000000</f>
        <v>0.00189</v>
      </c>
    </row>
    <row r="1477" s="2" customFormat="true" ht="14.25" hidden="false" customHeight="true" outlineLevel="0" collapsed="false">
      <c r="A1477" s="12"/>
      <c r="B1477" s="16" t="n">
        <v>1</v>
      </c>
      <c r="C1477" s="15"/>
      <c r="D1477" s="16" t="s">
        <v>102</v>
      </c>
      <c r="E1477" s="16"/>
      <c r="F1477" s="16" t="s">
        <v>52</v>
      </c>
      <c r="G1477" s="16"/>
      <c r="H1477" s="16" t="s">
        <v>374</v>
      </c>
      <c r="I1477" s="16"/>
      <c r="J1477" s="16"/>
      <c r="K1477" s="16"/>
      <c r="L1477" s="16"/>
      <c r="M1477" s="16"/>
      <c r="N1477" s="16" t="s">
        <v>93</v>
      </c>
      <c r="O1477" s="16" t="s">
        <v>246</v>
      </c>
      <c r="P1477" s="16"/>
      <c r="Q1477" s="16" t="s">
        <v>2775</v>
      </c>
      <c r="R1477" s="16"/>
      <c r="S1477" s="16"/>
      <c r="T1477" s="16" t="s">
        <v>2776</v>
      </c>
      <c r="U1477" s="16" t="s">
        <v>63</v>
      </c>
      <c r="V1477" s="16" t="n">
        <v>0.05</v>
      </c>
      <c r="W1477" s="16"/>
      <c r="X1477" s="16" t="n">
        <v>10000</v>
      </c>
      <c r="Y1477" s="16"/>
      <c r="Z1477" s="16"/>
      <c r="AA1477" s="16"/>
      <c r="AB1477" s="16"/>
      <c r="AC1477" s="16"/>
      <c r="AD1477" s="16" t="n">
        <v>10000</v>
      </c>
      <c r="AE1477" s="16"/>
      <c r="AF1477" s="16"/>
      <c r="AG1477" s="16"/>
      <c r="AH1477" s="16" t="n">
        <v>10000</v>
      </c>
      <c r="AI1477" s="16"/>
      <c r="AJ1477" s="9" t="n">
        <f aca="false">X1477*$V1477</f>
        <v>500</v>
      </c>
      <c r="AK1477" s="9" t="n">
        <f aca="false">Y1477*$V1477</f>
        <v>0</v>
      </c>
      <c r="AL1477" s="9" t="n">
        <f aca="false">Z1477*$V1477</f>
        <v>0</v>
      </c>
      <c r="AM1477" s="9" t="n">
        <f aca="false">AA1477*$V1477</f>
        <v>0</v>
      </c>
      <c r="AN1477" s="9" t="n">
        <f aca="false">AB1477*$V1477</f>
        <v>0</v>
      </c>
      <c r="AO1477" s="9" t="n">
        <f aca="false">AC1477*$V1477</f>
        <v>0</v>
      </c>
      <c r="AP1477" s="9" t="n">
        <f aca="false">AD1477*$V1477</f>
        <v>500</v>
      </c>
      <c r="AQ1477" s="9" t="n">
        <f aca="false">AE1477*$V1477</f>
        <v>0</v>
      </c>
      <c r="AR1477" s="9" t="n">
        <f aca="false">AF1477*$V1477</f>
        <v>0</v>
      </c>
      <c r="AS1477" s="9" t="n">
        <f aca="false">AG1477*$V1477</f>
        <v>0</v>
      </c>
      <c r="AT1477" s="9" t="n">
        <f aca="false">AH1477*$V1477</f>
        <v>500</v>
      </c>
      <c r="AU1477" s="9" t="n">
        <f aca="false">AI1477*$V1477</f>
        <v>0</v>
      </c>
      <c r="AV1477" s="9" t="n">
        <f aca="false">SUM(X1477:AI1477)/1000</f>
        <v>30</v>
      </c>
      <c r="AW1477" s="9" t="n">
        <f aca="false">SUM(AJ1477:AU1477)</f>
        <v>1500</v>
      </c>
      <c r="AX1477" s="9" t="n">
        <f aca="false">IF(D1477="INR",AW1477/88.24,AW1477)/1000000</f>
        <v>0.0015</v>
      </c>
    </row>
    <row r="1478" s="2" customFormat="true" ht="18" hidden="false" customHeight="true" outlineLevel="0" collapsed="false">
      <c r="A1478" s="16"/>
      <c r="B1478" s="16" t="n">
        <v>1</v>
      </c>
      <c r="C1478" s="16"/>
      <c r="D1478" s="16" t="s">
        <v>50</v>
      </c>
      <c r="E1478" s="16" t="s">
        <v>51</v>
      </c>
      <c r="F1478" s="16" t="s">
        <v>52</v>
      </c>
      <c r="G1478" s="16" t="s">
        <v>2766</v>
      </c>
      <c r="H1478" s="16" t="s">
        <v>2767</v>
      </c>
      <c r="I1478" s="16" t="s">
        <v>105</v>
      </c>
      <c r="J1478" s="16" t="s">
        <v>2769</v>
      </c>
      <c r="K1478" s="16" t="s">
        <v>2770</v>
      </c>
      <c r="L1478" s="16" t="s">
        <v>2769</v>
      </c>
      <c r="M1478" s="16" t="s">
        <v>2769</v>
      </c>
      <c r="N1478" s="16" t="s">
        <v>57</v>
      </c>
      <c r="O1478" s="16" t="s">
        <v>94</v>
      </c>
      <c r="P1478" s="16" t="s">
        <v>110</v>
      </c>
      <c r="Q1478" s="16" t="s">
        <v>1935</v>
      </c>
      <c r="R1478" s="16" t="s">
        <v>309</v>
      </c>
      <c r="S1478" s="16" t="s">
        <v>264</v>
      </c>
      <c r="T1478" s="26" t="s">
        <v>394</v>
      </c>
      <c r="U1478" s="26" t="s">
        <v>63</v>
      </c>
      <c r="V1478" s="16" t="n">
        <v>0.85</v>
      </c>
      <c r="W1478" s="16"/>
      <c r="X1478" s="30"/>
      <c r="Y1478" s="30"/>
      <c r="Z1478" s="30"/>
      <c r="AA1478" s="30" t="n">
        <v>5000</v>
      </c>
      <c r="AB1478" s="30"/>
      <c r="AC1478" s="30" t="n">
        <v>5000</v>
      </c>
      <c r="AD1478" s="30"/>
      <c r="AE1478" s="30" t="n">
        <v>5000</v>
      </c>
      <c r="AF1478" s="30"/>
      <c r="AG1478" s="30" t="n">
        <v>5000</v>
      </c>
      <c r="AH1478" s="30"/>
      <c r="AI1478" s="30"/>
      <c r="AJ1478" s="9" t="n">
        <f aca="false">X1478*$V1478</f>
        <v>0</v>
      </c>
      <c r="AK1478" s="9" t="n">
        <f aca="false">Y1478*$V1478</f>
        <v>0</v>
      </c>
      <c r="AL1478" s="9" t="n">
        <f aca="false">Z1478*$V1478</f>
        <v>0</v>
      </c>
      <c r="AM1478" s="9" t="n">
        <f aca="false">AA1478*$V1478</f>
        <v>4250</v>
      </c>
      <c r="AN1478" s="9" t="n">
        <f aca="false">AB1478*$V1478</f>
        <v>0</v>
      </c>
      <c r="AO1478" s="9" t="n">
        <f aca="false">AC1478*$V1478</f>
        <v>4250</v>
      </c>
      <c r="AP1478" s="9" t="n">
        <f aca="false">AD1478*$V1478</f>
        <v>0</v>
      </c>
      <c r="AQ1478" s="9" t="n">
        <f aca="false">AE1478*$V1478</f>
        <v>4250</v>
      </c>
      <c r="AR1478" s="9" t="n">
        <f aca="false">AF1478*$V1478</f>
        <v>0</v>
      </c>
      <c r="AS1478" s="9" t="n">
        <f aca="false">AG1478*$V1478</f>
        <v>4250</v>
      </c>
      <c r="AT1478" s="9" t="n">
        <f aca="false">AH1478*$V1478</f>
        <v>0</v>
      </c>
      <c r="AU1478" s="9" t="n">
        <f aca="false">AI1478*$V1478</f>
        <v>0</v>
      </c>
      <c r="AV1478" s="9" t="n">
        <f aca="false">SUM(X1478:AI1478)/1000</f>
        <v>20</v>
      </c>
      <c r="AW1478" s="9" t="n">
        <f aca="false">SUM(AJ1478:AU1478)</f>
        <v>17000</v>
      </c>
      <c r="AX1478" s="9" t="n">
        <f aca="false">IF(D1478="INR",AW1478/88.24,AW1478)/1000000</f>
        <v>0.000192656391659112</v>
      </c>
    </row>
    <row r="1479" s="2" customFormat="true" ht="14.25" hidden="false" customHeight="false" outlineLevel="0" collapsed="false">
      <c r="A1479" s="12"/>
      <c r="B1479" s="16" t="n">
        <v>1</v>
      </c>
      <c r="C1479" s="15"/>
      <c r="D1479" s="16" t="s">
        <v>102</v>
      </c>
      <c r="E1479" s="16"/>
      <c r="F1479" s="16" t="s">
        <v>52</v>
      </c>
      <c r="G1479" s="16"/>
      <c r="H1479" s="16" t="s">
        <v>374</v>
      </c>
      <c r="I1479" s="16"/>
      <c r="J1479" s="16"/>
      <c r="K1479" s="16"/>
      <c r="L1479" s="16"/>
      <c r="M1479" s="16"/>
      <c r="N1479" s="16" t="s">
        <v>93</v>
      </c>
      <c r="O1479" s="16" t="s">
        <v>246</v>
      </c>
      <c r="P1479" s="16"/>
      <c r="Q1479" s="16" t="s">
        <v>348</v>
      </c>
      <c r="R1479" s="16"/>
      <c r="S1479" s="16"/>
      <c r="T1479" s="16" t="s">
        <v>2572</v>
      </c>
      <c r="U1479" s="16" t="s">
        <v>63</v>
      </c>
      <c r="V1479" s="16" t="n">
        <v>0.0398</v>
      </c>
      <c r="W1479" s="16"/>
      <c r="X1479" s="16" t="n">
        <v>10000</v>
      </c>
      <c r="Y1479" s="16"/>
      <c r="Z1479" s="16"/>
      <c r="AA1479" s="16"/>
      <c r="AB1479" s="16"/>
      <c r="AC1479" s="16"/>
      <c r="AD1479" s="16" t="n">
        <v>10000</v>
      </c>
      <c r="AE1479" s="16"/>
      <c r="AF1479" s="16"/>
      <c r="AG1479" s="16"/>
      <c r="AH1479" s="16" t="n">
        <v>10000</v>
      </c>
      <c r="AI1479" s="16"/>
      <c r="AJ1479" s="9" t="n">
        <f aca="false">X1479*$V1479</f>
        <v>398</v>
      </c>
      <c r="AK1479" s="9" t="n">
        <f aca="false">Y1479*$V1479</f>
        <v>0</v>
      </c>
      <c r="AL1479" s="9" t="n">
        <f aca="false">Z1479*$V1479</f>
        <v>0</v>
      </c>
      <c r="AM1479" s="9" t="n">
        <f aca="false">AA1479*$V1479</f>
        <v>0</v>
      </c>
      <c r="AN1479" s="9" t="n">
        <f aca="false">AB1479*$V1479</f>
        <v>0</v>
      </c>
      <c r="AO1479" s="9" t="n">
        <f aca="false">AC1479*$V1479</f>
        <v>0</v>
      </c>
      <c r="AP1479" s="9" t="n">
        <f aca="false">AD1479*$V1479</f>
        <v>398</v>
      </c>
      <c r="AQ1479" s="9" t="n">
        <f aca="false">AE1479*$V1479</f>
        <v>0</v>
      </c>
      <c r="AR1479" s="9" t="n">
        <f aca="false">AF1479*$V1479</f>
        <v>0</v>
      </c>
      <c r="AS1479" s="9" t="n">
        <f aca="false">AG1479*$V1479</f>
        <v>0</v>
      </c>
      <c r="AT1479" s="9" t="n">
        <f aca="false">AH1479*$V1479</f>
        <v>398</v>
      </c>
      <c r="AU1479" s="9" t="n">
        <f aca="false">AI1479*$V1479</f>
        <v>0</v>
      </c>
      <c r="AV1479" s="9" t="n">
        <f aca="false">SUM(X1479:AI1479)/1000</f>
        <v>30</v>
      </c>
      <c r="AW1479" s="9" t="n">
        <f aca="false">SUM(AJ1479:AU1479)</f>
        <v>1194</v>
      </c>
      <c r="AX1479" s="9" t="n">
        <f aca="false">IF(D1479="INR",AW1479/88.24,AW1479)/1000000</f>
        <v>0.001194</v>
      </c>
    </row>
    <row r="1480" s="2" customFormat="true" ht="14.25" hidden="false" customHeight="false" outlineLevel="0" collapsed="false">
      <c r="A1480" s="16"/>
      <c r="B1480" s="16" t="n">
        <v>1</v>
      </c>
      <c r="C1480" s="16"/>
      <c r="D1480" s="16" t="s">
        <v>102</v>
      </c>
      <c r="E1480" s="16"/>
      <c r="F1480" s="16" t="s">
        <v>52</v>
      </c>
      <c r="G1480" s="16"/>
      <c r="H1480" s="16" t="s">
        <v>374</v>
      </c>
      <c r="I1480" s="16"/>
      <c r="J1480" s="16"/>
      <c r="K1480" s="16"/>
      <c r="L1480" s="16"/>
      <c r="M1480" s="16"/>
      <c r="N1480" s="16" t="s">
        <v>93</v>
      </c>
      <c r="O1480" s="16" t="s">
        <v>246</v>
      </c>
      <c r="P1480" s="16"/>
      <c r="Q1480" s="16" t="s">
        <v>1196</v>
      </c>
      <c r="R1480" s="16"/>
      <c r="S1480" s="16"/>
      <c r="T1480" s="16" t="s">
        <v>2646</v>
      </c>
      <c r="U1480" s="16" t="s">
        <v>63</v>
      </c>
      <c r="V1480" s="16" t="n">
        <v>0.0354</v>
      </c>
      <c r="W1480" s="16"/>
      <c r="X1480" s="16" t="n">
        <v>10000</v>
      </c>
      <c r="Y1480" s="16"/>
      <c r="Z1480" s="16"/>
      <c r="AA1480" s="16"/>
      <c r="AB1480" s="16"/>
      <c r="AC1480" s="16"/>
      <c r="AD1480" s="16" t="n">
        <v>10000</v>
      </c>
      <c r="AE1480" s="16"/>
      <c r="AF1480" s="16"/>
      <c r="AG1480" s="16"/>
      <c r="AH1480" s="16" t="n">
        <v>10000</v>
      </c>
      <c r="AI1480" s="16"/>
      <c r="AJ1480" s="9" t="n">
        <f aca="false">X1480*$V1480</f>
        <v>354</v>
      </c>
      <c r="AK1480" s="9" t="n">
        <f aca="false">Y1480*$V1480</f>
        <v>0</v>
      </c>
      <c r="AL1480" s="9" t="n">
        <f aca="false">Z1480*$V1480</f>
        <v>0</v>
      </c>
      <c r="AM1480" s="9" t="n">
        <f aca="false">AA1480*$V1480</f>
        <v>0</v>
      </c>
      <c r="AN1480" s="9" t="n">
        <f aca="false">AB1480*$V1480</f>
        <v>0</v>
      </c>
      <c r="AO1480" s="9" t="n">
        <f aca="false">AC1480*$V1480</f>
        <v>0</v>
      </c>
      <c r="AP1480" s="9" t="n">
        <f aca="false">AD1480*$V1480</f>
        <v>354</v>
      </c>
      <c r="AQ1480" s="9" t="n">
        <f aca="false">AE1480*$V1480</f>
        <v>0</v>
      </c>
      <c r="AR1480" s="9" t="n">
        <f aca="false">AF1480*$V1480</f>
        <v>0</v>
      </c>
      <c r="AS1480" s="9" t="n">
        <f aca="false">AG1480*$V1480</f>
        <v>0</v>
      </c>
      <c r="AT1480" s="9" t="n">
        <f aca="false">AH1480*$V1480</f>
        <v>354</v>
      </c>
      <c r="AU1480" s="9" t="n">
        <f aca="false">AI1480*$V1480</f>
        <v>0</v>
      </c>
      <c r="AV1480" s="9" t="n">
        <f aca="false">SUM(X1480:AI1480)/1000</f>
        <v>30</v>
      </c>
      <c r="AW1480" s="9" t="n">
        <f aca="false">SUM(AJ1480:AU1480)</f>
        <v>1062</v>
      </c>
      <c r="AX1480" s="9" t="n">
        <f aca="false">IF(D1480="INR",AW1480/88.24,AW1480)/1000000</f>
        <v>0.001062</v>
      </c>
    </row>
    <row r="1481" s="2" customFormat="true" ht="14.25" hidden="false" customHeight="false" outlineLevel="0" collapsed="false">
      <c r="A1481" s="12" t="s">
        <v>2777</v>
      </c>
      <c r="B1481" s="16" t="n">
        <v>5</v>
      </c>
      <c r="C1481" s="15"/>
      <c r="D1481" s="16" t="s">
        <v>50</v>
      </c>
      <c r="E1481" s="16" t="s">
        <v>51</v>
      </c>
      <c r="F1481" s="16" t="s">
        <v>404</v>
      </c>
      <c r="G1481" s="16" t="s">
        <v>942</v>
      </c>
      <c r="H1481" s="16" t="s">
        <v>943</v>
      </c>
      <c r="I1481" s="16" t="s">
        <v>105</v>
      </c>
      <c r="J1481" s="16" t="s">
        <v>368</v>
      </c>
      <c r="K1481" s="16" t="s">
        <v>943</v>
      </c>
      <c r="L1481" s="16" t="s">
        <v>105</v>
      </c>
      <c r="M1481" s="16" t="s">
        <v>368</v>
      </c>
      <c r="N1481" s="16" t="s">
        <v>271</v>
      </c>
      <c r="O1481" s="16" t="s">
        <v>94</v>
      </c>
      <c r="P1481" s="16" t="s">
        <v>967</v>
      </c>
      <c r="Q1481" s="16" t="s">
        <v>967</v>
      </c>
      <c r="R1481" s="16" t="s">
        <v>800</v>
      </c>
      <c r="S1481" s="16" t="s">
        <v>968</v>
      </c>
      <c r="T1481" s="16" t="s">
        <v>2778</v>
      </c>
      <c r="U1481" s="16" t="s">
        <v>73</v>
      </c>
      <c r="V1481" s="16" t="n">
        <v>20.5</v>
      </c>
      <c r="W1481" s="16" t="n">
        <v>0.16</v>
      </c>
      <c r="X1481" s="22"/>
      <c r="Y1481" s="22" t="n">
        <v>5000</v>
      </c>
      <c r="Z1481" s="22"/>
      <c r="AA1481" s="22"/>
      <c r="AB1481" s="22" t="n">
        <v>5000</v>
      </c>
      <c r="AC1481" s="22"/>
      <c r="AD1481" s="22"/>
      <c r="AE1481" s="22"/>
      <c r="AF1481" s="22" t="n">
        <v>5000</v>
      </c>
      <c r="AG1481" s="22"/>
      <c r="AH1481" s="22"/>
      <c r="AI1481" s="22" t="n">
        <v>5000</v>
      </c>
      <c r="AJ1481" s="9" t="n">
        <f aca="false">X1481*$V1481</f>
        <v>0</v>
      </c>
      <c r="AK1481" s="9" t="n">
        <f aca="false">Y1481*$V1481</f>
        <v>102500</v>
      </c>
      <c r="AL1481" s="9" t="n">
        <f aca="false">Z1481*$V1481</f>
        <v>0</v>
      </c>
      <c r="AM1481" s="9" t="n">
        <f aca="false">AA1481*$V1481</f>
        <v>0</v>
      </c>
      <c r="AN1481" s="9" t="n">
        <f aca="false">AB1481*$V1481</f>
        <v>102500</v>
      </c>
      <c r="AO1481" s="9" t="n">
        <f aca="false">AC1481*$V1481</f>
        <v>0</v>
      </c>
      <c r="AP1481" s="9" t="n">
        <f aca="false">AD1481*$V1481</f>
        <v>0</v>
      </c>
      <c r="AQ1481" s="9" t="n">
        <f aca="false">AE1481*$V1481</f>
        <v>0</v>
      </c>
      <c r="AR1481" s="9" t="n">
        <f aca="false">AF1481*$V1481</f>
        <v>102500</v>
      </c>
      <c r="AS1481" s="9" t="n">
        <f aca="false">AG1481*$V1481</f>
        <v>0</v>
      </c>
      <c r="AT1481" s="9" t="n">
        <f aca="false">AH1481*$V1481</f>
        <v>0</v>
      </c>
      <c r="AU1481" s="9" t="n">
        <f aca="false">AI1481*$V1481</f>
        <v>102500</v>
      </c>
      <c r="AV1481" s="9" t="n">
        <f aca="false">SUM(X1481:AI1481)/1000</f>
        <v>20</v>
      </c>
      <c r="AW1481" s="9" t="n">
        <f aca="false">SUM(AJ1481:AU1481)</f>
        <v>410000</v>
      </c>
      <c r="AX1481" s="9" t="n">
        <f aca="false">IF(D1481="INR",AW1481/88.24,AW1481)/1000000</f>
        <v>0.00464641885766093</v>
      </c>
    </row>
    <row r="1482" s="2" customFormat="true" ht="18" hidden="false" customHeight="true" outlineLevel="0" collapsed="false">
      <c r="A1482" s="9"/>
      <c r="B1482" s="16" t="n">
        <v>1</v>
      </c>
      <c r="C1482" s="9"/>
      <c r="D1482" s="16" t="s">
        <v>102</v>
      </c>
      <c r="E1482" s="9"/>
      <c r="F1482" s="9" t="s">
        <v>52</v>
      </c>
      <c r="G1482" s="9"/>
      <c r="H1482" s="9" t="s">
        <v>374</v>
      </c>
      <c r="I1482" s="9"/>
      <c r="J1482" s="9"/>
      <c r="K1482" s="9"/>
      <c r="L1482" s="9"/>
      <c r="M1482" s="9"/>
      <c r="N1482" s="9" t="s">
        <v>93</v>
      </c>
      <c r="O1482" s="9" t="s">
        <v>246</v>
      </c>
      <c r="P1482" s="9"/>
      <c r="Q1482" s="9" t="s">
        <v>2775</v>
      </c>
      <c r="R1482" s="9"/>
      <c r="S1482" s="9"/>
      <c r="T1482" s="9" t="s">
        <v>2779</v>
      </c>
      <c r="U1482" s="9" t="s">
        <v>63</v>
      </c>
      <c r="V1482" s="9" t="n">
        <v>0.0325</v>
      </c>
      <c r="W1482" s="9"/>
      <c r="X1482" s="9" t="n">
        <v>10000</v>
      </c>
      <c r="Y1482" s="9"/>
      <c r="Z1482" s="9"/>
      <c r="AA1482" s="9"/>
      <c r="AB1482" s="9"/>
      <c r="AC1482" s="9"/>
      <c r="AD1482" s="9" t="n">
        <v>10000</v>
      </c>
      <c r="AE1482" s="9"/>
      <c r="AF1482" s="9"/>
      <c r="AG1482" s="9"/>
      <c r="AH1482" s="9" t="n">
        <v>10000</v>
      </c>
      <c r="AI1482" s="9"/>
      <c r="AJ1482" s="9" t="n">
        <f aca="false">X1482*$V1482</f>
        <v>325</v>
      </c>
      <c r="AK1482" s="9" t="n">
        <f aca="false">Y1482*$V1482</f>
        <v>0</v>
      </c>
      <c r="AL1482" s="9" t="n">
        <f aca="false">Z1482*$V1482</f>
        <v>0</v>
      </c>
      <c r="AM1482" s="9" t="n">
        <f aca="false">AA1482*$V1482</f>
        <v>0</v>
      </c>
      <c r="AN1482" s="9" t="n">
        <f aca="false">AB1482*$V1482</f>
        <v>0</v>
      </c>
      <c r="AO1482" s="9" t="n">
        <f aca="false">AC1482*$V1482</f>
        <v>0</v>
      </c>
      <c r="AP1482" s="9" t="n">
        <f aca="false">AD1482*$V1482</f>
        <v>325</v>
      </c>
      <c r="AQ1482" s="9" t="n">
        <f aca="false">AE1482*$V1482</f>
        <v>0</v>
      </c>
      <c r="AR1482" s="9" t="n">
        <f aca="false">AF1482*$V1482</f>
        <v>0</v>
      </c>
      <c r="AS1482" s="9" t="n">
        <f aca="false">AG1482*$V1482</f>
        <v>0</v>
      </c>
      <c r="AT1482" s="9" t="n">
        <f aca="false">AH1482*$V1482</f>
        <v>325</v>
      </c>
      <c r="AU1482" s="9" t="n">
        <f aca="false">AI1482*$V1482</f>
        <v>0</v>
      </c>
      <c r="AV1482" s="9" t="n">
        <f aca="false">SUM(X1482:AI1482)/1000</f>
        <v>30</v>
      </c>
      <c r="AW1482" s="9" t="n">
        <f aca="false">SUM(AJ1482:AU1482)</f>
        <v>975</v>
      </c>
      <c r="AX1482" s="9" t="n">
        <f aca="false">IF(D1482="INR",AW1482/88.24,AW1482)/1000000</f>
        <v>0.000975</v>
      </c>
    </row>
    <row r="1483" s="2" customFormat="true" ht="14.25" hidden="false" customHeight="false" outlineLevel="0" collapsed="false">
      <c r="A1483" s="12" t="s">
        <v>2780</v>
      </c>
      <c r="B1483" s="16" t="n">
        <v>5</v>
      </c>
      <c r="C1483" s="15"/>
      <c r="D1483" s="16" t="s">
        <v>50</v>
      </c>
      <c r="E1483" s="16" t="s">
        <v>51</v>
      </c>
      <c r="F1483" s="16" t="s">
        <v>404</v>
      </c>
      <c r="G1483" s="16" t="s">
        <v>942</v>
      </c>
      <c r="H1483" s="16" t="s">
        <v>943</v>
      </c>
      <c r="I1483" s="16" t="s">
        <v>105</v>
      </c>
      <c r="J1483" s="16" t="s">
        <v>368</v>
      </c>
      <c r="K1483" s="16"/>
      <c r="L1483" s="16" t="s">
        <v>105</v>
      </c>
      <c r="M1483" s="16" t="s">
        <v>368</v>
      </c>
      <c r="N1483" s="16" t="s">
        <v>271</v>
      </c>
      <c r="O1483" s="16" t="s">
        <v>94</v>
      </c>
      <c r="P1483" s="16" t="s">
        <v>110</v>
      </c>
      <c r="Q1483" s="16" t="s">
        <v>110</v>
      </c>
      <c r="R1483" s="16" t="s">
        <v>137</v>
      </c>
      <c r="S1483" s="16" t="s">
        <v>272</v>
      </c>
      <c r="T1483" s="16" t="s">
        <v>2781</v>
      </c>
      <c r="U1483" s="16" t="s">
        <v>73</v>
      </c>
      <c r="V1483" s="16" t="n">
        <v>36</v>
      </c>
      <c r="W1483" s="16" t="n">
        <v>0.284</v>
      </c>
      <c r="X1483" s="22"/>
      <c r="Y1483" s="22" t="n">
        <v>2000</v>
      </c>
      <c r="Z1483" s="22"/>
      <c r="AA1483" s="22" t="n">
        <v>2000</v>
      </c>
      <c r="AB1483" s="22"/>
      <c r="AC1483" s="22" t="n">
        <v>2000</v>
      </c>
      <c r="AD1483" s="22"/>
      <c r="AE1483" s="22"/>
      <c r="AF1483" s="22" t="n">
        <v>2000</v>
      </c>
      <c r="AG1483" s="22"/>
      <c r="AH1483" s="22" t="n">
        <v>2000</v>
      </c>
      <c r="AI1483" s="22" t="n">
        <v>2000</v>
      </c>
      <c r="AJ1483" s="9" t="n">
        <f aca="false">X1483*$V1483</f>
        <v>0</v>
      </c>
      <c r="AK1483" s="9" t="n">
        <f aca="false">Y1483*$V1483</f>
        <v>72000</v>
      </c>
      <c r="AL1483" s="9" t="n">
        <f aca="false">Z1483*$V1483</f>
        <v>0</v>
      </c>
      <c r="AM1483" s="9" t="n">
        <f aca="false">AA1483*$V1483</f>
        <v>72000</v>
      </c>
      <c r="AN1483" s="9" t="n">
        <f aca="false">AB1483*$V1483</f>
        <v>0</v>
      </c>
      <c r="AO1483" s="9" t="n">
        <f aca="false">AC1483*$V1483</f>
        <v>72000</v>
      </c>
      <c r="AP1483" s="9" t="n">
        <f aca="false">AD1483*$V1483</f>
        <v>0</v>
      </c>
      <c r="AQ1483" s="9" t="n">
        <f aca="false">AE1483*$V1483</f>
        <v>0</v>
      </c>
      <c r="AR1483" s="9" t="n">
        <f aca="false">AF1483*$V1483</f>
        <v>72000</v>
      </c>
      <c r="AS1483" s="9" t="n">
        <f aca="false">AG1483*$V1483</f>
        <v>0</v>
      </c>
      <c r="AT1483" s="9" t="n">
        <f aca="false">AH1483*$V1483</f>
        <v>72000</v>
      </c>
      <c r="AU1483" s="9" t="n">
        <f aca="false">AI1483*$V1483</f>
        <v>72000</v>
      </c>
      <c r="AV1483" s="9" t="n">
        <f aca="false">SUM(X1483:AI1483)/1000</f>
        <v>12</v>
      </c>
      <c r="AW1483" s="9" t="n">
        <f aca="false">SUM(AJ1483:AU1483)</f>
        <v>432000</v>
      </c>
      <c r="AX1483" s="9" t="n">
        <f aca="false">IF(D1483="INR",AW1483/88.24,AW1483)/1000000</f>
        <v>0.00489573889392566</v>
      </c>
    </row>
    <row r="1484" s="2" customFormat="true" ht="16.4" hidden="false" customHeight="false" outlineLevel="0" collapsed="false">
      <c r="A1484" s="9" t="s">
        <v>2782</v>
      </c>
      <c r="B1484" s="9"/>
      <c r="C1484" s="10"/>
      <c r="D1484" s="9" t="s">
        <v>50</v>
      </c>
      <c r="E1484" s="9" t="s">
        <v>51</v>
      </c>
      <c r="F1484" s="9" t="s">
        <v>404</v>
      </c>
      <c r="G1484" s="9" t="s">
        <v>942</v>
      </c>
      <c r="H1484" s="9" t="s">
        <v>943</v>
      </c>
      <c r="I1484" s="9" t="s">
        <v>105</v>
      </c>
      <c r="J1484" s="9" t="s">
        <v>368</v>
      </c>
      <c r="K1484" s="9"/>
      <c r="L1484" s="9" t="s">
        <v>105</v>
      </c>
      <c r="M1484" s="9" t="s">
        <v>368</v>
      </c>
      <c r="N1484" s="16" t="s">
        <v>271</v>
      </c>
      <c r="O1484" s="9" t="s">
        <v>94</v>
      </c>
      <c r="P1484" s="9" t="s">
        <v>110</v>
      </c>
      <c r="Q1484" s="9" t="s">
        <v>110</v>
      </c>
      <c r="R1484" s="9" t="s">
        <v>137</v>
      </c>
      <c r="S1484" s="9" t="s">
        <v>272</v>
      </c>
      <c r="T1484" s="9" t="s">
        <v>1084</v>
      </c>
      <c r="U1484" s="9" t="s">
        <v>73</v>
      </c>
      <c r="V1484" s="9" t="n">
        <v>49</v>
      </c>
      <c r="W1484" s="9" t="n">
        <v>0.395</v>
      </c>
      <c r="X1484" s="9" t="n">
        <v>500</v>
      </c>
      <c r="Y1484" s="9"/>
      <c r="Z1484" s="9"/>
      <c r="AA1484" s="9" t="n">
        <v>500</v>
      </c>
      <c r="AB1484" s="9"/>
      <c r="AC1484" s="9"/>
      <c r="AD1484" s="9"/>
      <c r="AE1484" s="9" t="n">
        <v>500</v>
      </c>
      <c r="AF1484" s="9"/>
      <c r="AG1484" s="9"/>
      <c r="AH1484" s="9"/>
      <c r="AI1484" s="9"/>
      <c r="AJ1484" s="9" t="n">
        <f aca="false">X1484*$V1484</f>
        <v>24500</v>
      </c>
      <c r="AK1484" s="9" t="n">
        <f aca="false">Y1484*$V1484</f>
        <v>0</v>
      </c>
      <c r="AL1484" s="9" t="n">
        <f aca="false">Z1484*$V1484</f>
        <v>0</v>
      </c>
      <c r="AM1484" s="9" t="n">
        <f aca="false">AA1484*$V1484</f>
        <v>24500</v>
      </c>
      <c r="AN1484" s="9" t="n">
        <f aca="false">AB1484*$V1484</f>
        <v>0</v>
      </c>
      <c r="AO1484" s="9" t="n">
        <f aca="false">AC1484*$V1484</f>
        <v>0</v>
      </c>
      <c r="AP1484" s="9" t="n">
        <f aca="false">AD1484*$V1484</f>
        <v>0</v>
      </c>
      <c r="AQ1484" s="9" t="n">
        <f aca="false">AE1484*$V1484</f>
        <v>24500</v>
      </c>
      <c r="AR1484" s="9" t="n">
        <f aca="false">AF1484*$V1484</f>
        <v>0</v>
      </c>
      <c r="AS1484" s="9" t="n">
        <f aca="false">AG1484*$V1484</f>
        <v>0</v>
      </c>
      <c r="AT1484" s="9" t="n">
        <f aca="false">AH1484*$V1484</f>
        <v>0</v>
      </c>
      <c r="AU1484" s="9" t="n">
        <f aca="false">AI1484*$V1484</f>
        <v>0</v>
      </c>
      <c r="AV1484" s="9" t="n">
        <f aca="false">SUM(X1484:AI1484)/1000</f>
        <v>1.5</v>
      </c>
      <c r="AW1484" s="9" t="n">
        <f aca="false">SUM(AJ1484:AU1484)</f>
        <v>73500</v>
      </c>
      <c r="AX1484" s="9" t="n">
        <f aca="false">IF(D1484="INR",AW1484/88.24,AW1484)/1000000</f>
        <v>0.000832955575702629</v>
      </c>
    </row>
    <row r="1485" s="2" customFormat="true" ht="16.4" hidden="false" customHeight="false" outlineLevel="0" collapsed="false">
      <c r="A1485" s="16" t="s">
        <v>2783</v>
      </c>
      <c r="B1485" s="16" t="n">
        <v>5</v>
      </c>
      <c r="C1485" s="16"/>
      <c r="D1485" s="16" t="s">
        <v>50</v>
      </c>
      <c r="E1485" s="16" t="s">
        <v>51</v>
      </c>
      <c r="F1485" s="16" t="s">
        <v>267</v>
      </c>
      <c r="G1485" s="16" t="s">
        <v>588</v>
      </c>
      <c r="H1485" s="16" t="s">
        <v>379</v>
      </c>
      <c r="I1485" s="16" t="s">
        <v>55</v>
      </c>
      <c r="J1485" s="16" t="s">
        <v>100</v>
      </c>
      <c r="K1485" s="16"/>
      <c r="L1485" s="16" t="s">
        <v>55</v>
      </c>
      <c r="M1485" s="16" t="s">
        <v>100</v>
      </c>
      <c r="N1485" s="16" t="s">
        <v>271</v>
      </c>
      <c r="O1485" s="16" t="s">
        <v>94</v>
      </c>
      <c r="P1485" s="9" t="s">
        <v>69</v>
      </c>
      <c r="Q1485" s="16" t="s">
        <v>69</v>
      </c>
      <c r="R1485" s="9" t="s">
        <v>70</v>
      </c>
      <c r="S1485" s="9" t="s">
        <v>71</v>
      </c>
      <c r="T1485" s="9" t="s">
        <v>960</v>
      </c>
      <c r="U1485" s="9" t="s">
        <v>73</v>
      </c>
      <c r="V1485" s="9" t="n">
        <v>11.8</v>
      </c>
      <c r="W1485" s="9" t="n">
        <v>0.085</v>
      </c>
      <c r="X1485" s="16"/>
      <c r="Y1485" s="16" t="n">
        <v>200</v>
      </c>
      <c r="Z1485" s="16"/>
      <c r="AA1485" s="16"/>
      <c r="AB1485" s="16" t="n">
        <v>200</v>
      </c>
      <c r="AC1485" s="16"/>
      <c r="AD1485" s="16"/>
      <c r="AE1485" s="16" t="n">
        <v>200</v>
      </c>
      <c r="AF1485" s="16" t="n">
        <v>200</v>
      </c>
      <c r="AG1485" s="16"/>
      <c r="AH1485" s="16" t="n">
        <v>200</v>
      </c>
      <c r="AI1485" s="16" t="n">
        <v>200</v>
      </c>
      <c r="AJ1485" s="9" t="n">
        <f aca="false">X1485*$V1485</f>
        <v>0</v>
      </c>
      <c r="AK1485" s="9" t="n">
        <f aca="false">Y1485*$V1485</f>
        <v>2360</v>
      </c>
      <c r="AL1485" s="9" t="n">
        <f aca="false">Z1485*$V1485</f>
        <v>0</v>
      </c>
      <c r="AM1485" s="9" t="n">
        <f aca="false">AA1485*$V1485</f>
        <v>0</v>
      </c>
      <c r="AN1485" s="9" t="n">
        <f aca="false">AB1485*$V1485</f>
        <v>2360</v>
      </c>
      <c r="AO1485" s="9" t="n">
        <f aca="false">AC1485*$V1485</f>
        <v>0</v>
      </c>
      <c r="AP1485" s="9" t="n">
        <f aca="false">AD1485*$V1485</f>
        <v>0</v>
      </c>
      <c r="AQ1485" s="9" t="n">
        <f aca="false">AE1485*$V1485</f>
        <v>2360</v>
      </c>
      <c r="AR1485" s="9" t="n">
        <f aca="false">AF1485*$V1485</f>
        <v>2360</v>
      </c>
      <c r="AS1485" s="9" t="n">
        <f aca="false">AG1485*$V1485</f>
        <v>0</v>
      </c>
      <c r="AT1485" s="9" t="n">
        <f aca="false">AH1485*$V1485</f>
        <v>2360</v>
      </c>
      <c r="AU1485" s="9" t="n">
        <f aca="false">AI1485*$V1485</f>
        <v>2360</v>
      </c>
      <c r="AV1485" s="9" t="n">
        <f aca="false">SUM(X1485:AI1485)/1000</f>
        <v>1.2</v>
      </c>
      <c r="AW1485" s="9" t="n">
        <f aca="false">SUM(AJ1485:AU1485)</f>
        <v>14160</v>
      </c>
      <c r="AX1485" s="9" t="n">
        <f aca="false">IF(D1485="INR",AW1485/88.24,AW1485)/1000000</f>
        <v>0.000160471441523119</v>
      </c>
    </row>
    <row r="1486" s="2" customFormat="true" ht="14.25" hidden="false" customHeight="true" outlineLevel="0" collapsed="false">
      <c r="A1486" s="12" t="s">
        <v>2784</v>
      </c>
      <c r="B1486" s="16"/>
      <c r="C1486" s="15" t="n">
        <v>5</v>
      </c>
      <c r="D1486" s="16" t="s">
        <v>50</v>
      </c>
      <c r="E1486" s="16" t="s">
        <v>51</v>
      </c>
      <c r="F1486" s="16" t="s">
        <v>52</v>
      </c>
      <c r="G1486" s="16" t="s">
        <v>2785</v>
      </c>
      <c r="H1486" s="16" t="s">
        <v>2786</v>
      </c>
      <c r="I1486" s="16" t="s">
        <v>105</v>
      </c>
      <c r="J1486" s="16" t="s">
        <v>900</v>
      </c>
      <c r="K1486" s="16"/>
      <c r="L1486" s="16" t="s">
        <v>105</v>
      </c>
      <c r="M1486" s="16" t="s">
        <v>900</v>
      </c>
      <c r="N1486" s="16" t="s">
        <v>57</v>
      </c>
      <c r="O1486" s="16" t="s">
        <v>246</v>
      </c>
      <c r="P1486" s="16" t="s">
        <v>2136</v>
      </c>
      <c r="Q1486" s="16" t="s">
        <v>2136</v>
      </c>
      <c r="R1486" s="16" t="s">
        <v>792</v>
      </c>
      <c r="S1486" s="16" t="s">
        <v>667</v>
      </c>
      <c r="T1486" s="16" t="s">
        <v>2787</v>
      </c>
      <c r="U1486" s="16" t="s">
        <v>73</v>
      </c>
      <c r="V1486" s="16" t="n">
        <v>2.08</v>
      </c>
      <c r="W1486" s="16" t="n">
        <v>1.89</v>
      </c>
      <c r="X1486" s="22"/>
      <c r="Y1486" s="22"/>
      <c r="Z1486" s="22"/>
      <c r="AA1486" s="22" t="n">
        <v>20000</v>
      </c>
      <c r="AB1486" s="22" t="n">
        <v>20000</v>
      </c>
      <c r="AC1486" s="22" t="n">
        <v>20000</v>
      </c>
      <c r="AD1486" s="22" t="n">
        <v>20000</v>
      </c>
      <c r="AE1486" s="22" t="n">
        <v>20000</v>
      </c>
      <c r="AF1486" s="22" t="n">
        <v>20000</v>
      </c>
      <c r="AG1486" s="22" t="n">
        <v>20000</v>
      </c>
      <c r="AH1486" s="22" t="n">
        <v>20000</v>
      </c>
      <c r="AI1486" s="22" t="n">
        <v>20000</v>
      </c>
      <c r="AJ1486" s="9" t="n">
        <f aca="false">X1486*$V1486</f>
        <v>0</v>
      </c>
      <c r="AK1486" s="9" t="n">
        <f aca="false">Y1486*$V1486</f>
        <v>0</v>
      </c>
      <c r="AL1486" s="9" t="n">
        <f aca="false">Z1486*$V1486</f>
        <v>0</v>
      </c>
      <c r="AM1486" s="9" t="n">
        <f aca="false">AA1486*$V1486</f>
        <v>41600</v>
      </c>
      <c r="AN1486" s="9" t="n">
        <f aca="false">AB1486*$V1486</f>
        <v>41600</v>
      </c>
      <c r="AO1486" s="9" t="n">
        <f aca="false">AC1486*$V1486</f>
        <v>41600</v>
      </c>
      <c r="AP1486" s="9" t="n">
        <f aca="false">AD1486*$V1486</f>
        <v>41600</v>
      </c>
      <c r="AQ1486" s="9" t="n">
        <f aca="false">AE1486*$V1486</f>
        <v>41600</v>
      </c>
      <c r="AR1486" s="9" t="n">
        <f aca="false">AF1486*$V1486</f>
        <v>41600</v>
      </c>
      <c r="AS1486" s="9" t="n">
        <f aca="false">AG1486*$V1486</f>
        <v>41600</v>
      </c>
      <c r="AT1486" s="9" t="n">
        <f aca="false">AH1486*$V1486</f>
        <v>41600</v>
      </c>
      <c r="AU1486" s="9" t="n">
        <f aca="false">AI1486*$V1486</f>
        <v>41600</v>
      </c>
      <c r="AV1486" s="9" t="n">
        <f aca="false">SUM(X1486:AI1486)/1000</f>
        <v>180</v>
      </c>
      <c r="AW1486" s="9" t="n">
        <f aca="false">SUM(AJ1486:AU1486)</f>
        <v>374400</v>
      </c>
      <c r="AX1486" s="9" t="n">
        <f aca="false">IF(D1486="INR",AW1486/88.24,AW1486)/1000000</f>
        <v>0.0042429737080689</v>
      </c>
    </row>
    <row r="1487" s="2" customFormat="true" ht="14.25" hidden="false" customHeight="true" outlineLevel="0" collapsed="false">
      <c r="A1487" s="9"/>
      <c r="B1487" s="9" t="n">
        <v>1</v>
      </c>
      <c r="C1487" s="15"/>
      <c r="D1487" s="16" t="s">
        <v>50</v>
      </c>
      <c r="E1487" s="16"/>
      <c r="F1487" s="16" t="s">
        <v>52</v>
      </c>
      <c r="G1487" s="16"/>
      <c r="H1487" s="9" t="s">
        <v>374</v>
      </c>
      <c r="I1487" s="16"/>
      <c r="J1487" s="16"/>
      <c r="K1487" s="9"/>
      <c r="L1487" s="16"/>
      <c r="M1487" s="16"/>
      <c r="N1487" s="16" t="s">
        <v>93</v>
      </c>
      <c r="O1487" s="16" t="s">
        <v>246</v>
      </c>
      <c r="P1487" s="9"/>
      <c r="Q1487" s="9" t="s">
        <v>59</v>
      </c>
      <c r="R1487" s="9"/>
      <c r="S1487" s="9"/>
      <c r="T1487" s="9" t="s">
        <v>2788</v>
      </c>
      <c r="U1487" s="16" t="s">
        <v>63</v>
      </c>
      <c r="V1487" s="36" t="n">
        <v>335</v>
      </c>
      <c r="W1487" s="9"/>
      <c r="X1487" s="22" t="n">
        <v>10000</v>
      </c>
      <c r="Y1487" s="9"/>
      <c r="Z1487" s="9"/>
      <c r="AA1487" s="9"/>
      <c r="AB1487" s="9"/>
      <c r="AC1487" s="9"/>
      <c r="AD1487" s="23" t="n">
        <v>10000</v>
      </c>
      <c r="AE1487" s="9"/>
      <c r="AF1487" s="9"/>
      <c r="AG1487" s="9"/>
      <c r="AH1487" s="9" t="n">
        <v>10000</v>
      </c>
      <c r="AI1487" s="9"/>
      <c r="AJ1487" s="9" t="n">
        <f aca="false">X1487*$V1487</f>
        <v>3350000</v>
      </c>
      <c r="AK1487" s="9" t="n">
        <f aca="false">Y1487*$V1487</f>
        <v>0</v>
      </c>
      <c r="AL1487" s="9" t="n">
        <f aca="false">Z1487*$V1487</f>
        <v>0</v>
      </c>
      <c r="AM1487" s="9" t="n">
        <f aca="false">AA1487*$V1487</f>
        <v>0</v>
      </c>
      <c r="AN1487" s="9" t="n">
        <f aca="false">AB1487*$V1487</f>
        <v>0</v>
      </c>
      <c r="AO1487" s="9" t="n">
        <f aca="false">AC1487*$V1487</f>
        <v>0</v>
      </c>
      <c r="AP1487" s="9" t="n">
        <f aca="false">AD1487*$V1487</f>
        <v>3350000</v>
      </c>
      <c r="AQ1487" s="9" t="n">
        <f aca="false">AE1487*$V1487</f>
        <v>0</v>
      </c>
      <c r="AR1487" s="9" t="n">
        <f aca="false">AF1487*$V1487</f>
        <v>0</v>
      </c>
      <c r="AS1487" s="9" t="n">
        <f aca="false">AG1487*$V1487</f>
        <v>0</v>
      </c>
      <c r="AT1487" s="9" t="n">
        <f aca="false">AH1487*$V1487</f>
        <v>3350000</v>
      </c>
      <c r="AU1487" s="9" t="n">
        <f aca="false">AI1487*$V1487</f>
        <v>0</v>
      </c>
      <c r="AV1487" s="9" t="n">
        <f aca="false">SUM(X1487:AI1487)/1000</f>
        <v>30</v>
      </c>
      <c r="AW1487" s="9" t="n">
        <f aca="false">SUM(AJ1487:AU1487)</f>
        <v>10050000</v>
      </c>
      <c r="AX1487" s="9" t="n">
        <f aca="false">IF(D1487="INR",AW1487/88.24,AW1487)/1000000</f>
        <v>0.113893925657298</v>
      </c>
    </row>
    <row r="1488" s="2" customFormat="true" ht="16.4" hidden="false" customHeight="false" outlineLevel="0" collapsed="false">
      <c r="A1488" s="9" t="s">
        <v>2789</v>
      </c>
      <c r="B1488" s="9"/>
      <c r="C1488" s="10"/>
      <c r="D1488" s="9" t="s">
        <v>102</v>
      </c>
      <c r="E1488" s="9" t="s">
        <v>51</v>
      </c>
      <c r="F1488" s="9" t="s">
        <v>52</v>
      </c>
      <c r="G1488" s="9" t="s">
        <v>373</v>
      </c>
      <c r="H1488" s="9" t="s">
        <v>374</v>
      </c>
      <c r="I1488" s="9" t="s">
        <v>105</v>
      </c>
      <c r="J1488" s="9" t="s">
        <v>368</v>
      </c>
      <c r="K1488" s="9" t="s">
        <v>374</v>
      </c>
      <c r="L1488" s="9" t="s">
        <v>105</v>
      </c>
      <c r="M1488" s="9" t="s">
        <v>368</v>
      </c>
      <c r="N1488" s="9" t="s">
        <v>93</v>
      </c>
      <c r="O1488" s="9" t="s">
        <v>246</v>
      </c>
      <c r="P1488" s="9" t="s">
        <v>1670</v>
      </c>
      <c r="Q1488" s="9" t="s">
        <v>1670</v>
      </c>
      <c r="R1488" s="9" t="s">
        <v>800</v>
      </c>
      <c r="S1488" s="9" t="s">
        <v>968</v>
      </c>
      <c r="T1488" s="9" t="s">
        <v>2776</v>
      </c>
      <c r="U1488" s="9" t="s">
        <v>73</v>
      </c>
      <c r="V1488" s="9" t="n">
        <v>0.05</v>
      </c>
      <c r="W1488" s="9" t="n">
        <v>0.042</v>
      </c>
      <c r="X1488" s="9" t="n">
        <v>0</v>
      </c>
      <c r="Y1488" s="9" t="n">
        <v>0</v>
      </c>
      <c r="Z1488" s="9" t="n">
        <v>0</v>
      </c>
      <c r="AA1488" s="9" t="n">
        <v>0</v>
      </c>
      <c r="AB1488" s="9" t="n">
        <v>0</v>
      </c>
      <c r="AC1488" s="9" t="n">
        <v>0</v>
      </c>
      <c r="AD1488" s="9" t="n">
        <v>0</v>
      </c>
      <c r="AE1488" s="9" t="n">
        <v>0</v>
      </c>
      <c r="AF1488" s="9" t="n">
        <v>10000</v>
      </c>
      <c r="AG1488" s="9" t="n">
        <v>0</v>
      </c>
      <c r="AH1488" s="9" t="n">
        <v>0</v>
      </c>
      <c r="AI1488" s="9" t="n">
        <v>0</v>
      </c>
      <c r="AJ1488" s="9" t="n">
        <f aca="false">X1488*$V1488</f>
        <v>0</v>
      </c>
      <c r="AK1488" s="9" t="n">
        <f aca="false">Y1488*$V1488</f>
        <v>0</v>
      </c>
      <c r="AL1488" s="9" t="n">
        <f aca="false">Z1488*$V1488</f>
        <v>0</v>
      </c>
      <c r="AM1488" s="9" t="n">
        <f aca="false">AA1488*$V1488</f>
        <v>0</v>
      </c>
      <c r="AN1488" s="9" t="n">
        <f aca="false">AB1488*$V1488</f>
        <v>0</v>
      </c>
      <c r="AO1488" s="9" t="n">
        <f aca="false">AC1488*$V1488</f>
        <v>0</v>
      </c>
      <c r="AP1488" s="9" t="n">
        <f aca="false">AD1488*$V1488</f>
        <v>0</v>
      </c>
      <c r="AQ1488" s="9" t="n">
        <f aca="false">AE1488*$V1488</f>
        <v>0</v>
      </c>
      <c r="AR1488" s="9" t="n">
        <f aca="false">AF1488*$V1488</f>
        <v>500</v>
      </c>
      <c r="AS1488" s="9" t="n">
        <f aca="false">AG1488*$V1488</f>
        <v>0</v>
      </c>
      <c r="AT1488" s="9" t="n">
        <f aca="false">AH1488*$V1488</f>
        <v>0</v>
      </c>
      <c r="AU1488" s="9" t="n">
        <f aca="false">AI1488*$V1488</f>
        <v>0</v>
      </c>
      <c r="AV1488" s="9" t="n">
        <f aca="false">SUM(X1488:AI1488)/1000</f>
        <v>10</v>
      </c>
      <c r="AW1488" s="9" t="n">
        <f aca="false">SUM(AJ1488:AU1488)</f>
        <v>500</v>
      </c>
      <c r="AX1488" s="9" t="n">
        <f aca="false">IF(D1488="INR",AW1488/88.24,AW1488)/1000000</f>
        <v>0.0005</v>
      </c>
    </row>
    <row r="1489" s="2" customFormat="true" ht="16.4" hidden="false" customHeight="false" outlineLevel="0" collapsed="false">
      <c r="A1489" s="16" t="s">
        <v>2790</v>
      </c>
      <c r="B1489" s="16"/>
      <c r="C1489" s="16"/>
      <c r="D1489" s="16" t="s">
        <v>102</v>
      </c>
      <c r="E1489" s="16" t="s">
        <v>51</v>
      </c>
      <c r="F1489" s="16" t="s">
        <v>52</v>
      </c>
      <c r="G1489" s="16" t="s">
        <v>373</v>
      </c>
      <c r="H1489" s="16" t="s">
        <v>374</v>
      </c>
      <c r="I1489" s="16" t="s">
        <v>105</v>
      </c>
      <c r="J1489" s="16" t="s">
        <v>368</v>
      </c>
      <c r="K1489" s="16" t="s">
        <v>374</v>
      </c>
      <c r="L1489" s="16" t="s">
        <v>105</v>
      </c>
      <c r="M1489" s="16" t="s">
        <v>368</v>
      </c>
      <c r="N1489" s="16" t="s">
        <v>93</v>
      </c>
      <c r="O1489" s="16" t="s">
        <v>246</v>
      </c>
      <c r="P1489" s="16" t="s">
        <v>1670</v>
      </c>
      <c r="Q1489" s="16" t="s">
        <v>1670</v>
      </c>
      <c r="R1489" s="16" t="s">
        <v>800</v>
      </c>
      <c r="S1489" s="16" t="s">
        <v>968</v>
      </c>
      <c r="T1489" s="16" t="s">
        <v>2779</v>
      </c>
      <c r="U1489" s="26" t="s">
        <v>73</v>
      </c>
      <c r="V1489" s="16" t="n">
        <v>0.0325</v>
      </c>
      <c r="W1489" s="26" t="n">
        <v>0.026</v>
      </c>
      <c r="X1489" s="16" t="n">
        <v>0</v>
      </c>
      <c r="Y1489" s="16" t="n">
        <v>0</v>
      </c>
      <c r="Z1489" s="16" t="n">
        <v>0</v>
      </c>
      <c r="AA1489" s="16" t="n">
        <v>0</v>
      </c>
      <c r="AB1489" s="16" t="n">
        <v>0</v>
      </c>
      <c r="AC1489" s="16" t="n">
        <v>0</v>
      </c>
      <c r="AD1489" s="16" t="n">
        <v>0</v>
      </c>
      <c r="AE1489" s="16" t="n">
        <v>0</v>
      </c>
      <c r="AF1489" s="16" t="n">
        <v>10000</v>
      </c>
      <c r="AG1489" s="16" t="n">
        <v>0</v>
      </c>
      <c r="AH1489" s="16" t="n">
        <v>0</v>
      </c>
      <c r="AI1489" s="16" t="n">
        <v>0</v>
      </c>
      <c r="AJ1489" s="9" t="n">
        <f aca="false">X1489*$V1489</f>
        <v>0</v>
      </c>
      <c r="AK1489" s="9" t="n">
        <f aca="false">Y1489*$V1489</f>
        <v>0</v>
      </c>
      <c r="AL1489" s="9" t="n">
        <f aca="false">Z1489*$V1489</f>
        <v>0</v>
      </c>
      <c r="AM1489" s="9" t="n">
        <f aca="false">AA1489*$V1489</f>
        <v>0</v>
      </c>
      <c r="AN1489" s="9" t="n">
        <f aca="false">AB1489*$V1489</f>
        <v>0</v>
      </c>
      <c r="AO1489" s="9" t="n">
        <f aca="false">AC1489*$V1489</f>
        <v>0</v>
      </c>
      <c r="AP1489" s="9" t="n">
        <f aca="false">AD1489*$V1489</f>
        <v>0</v>
      </c>
      <c r="AQ1489" s="9" t="n">
        <f aca="false">AE1489*$V1489</f>
        <v>0</v>
      </c>
      <c r="AR1489" s="9" t="n">
        <f aca="false">AF1489*$V1489</f>
        <v>325</v>
      </c>
      <c r="AS1489" s="9" t="n">
        <f aca="false">AG1489*$V1489</f>
        <v>0</v>
      </c>
      <c r="AT1489" s="9" t="n">
        <f aca="false">AH1489*$V1489</f>
        <v>0</v>
      </c>
      <c r="AU1489" s="9" t="n">
        <f aca="false">AI1489*$V1489</f>
        <v>0</v>
      </c>
      <c r="AV1489" s="9" t="n">
        <f aca="false">SUM(X1489:AI1489)/1000</f>
        <v>10</v>
      </c>
      <c r="AW1489" s="9" t="n">
        <f aca="false">SUM(AJ1489:AU1489)</f>
        <v>325</v>
      </c>
      <c r="AX1489" s="9" t="n">
        <f aca="false">IF(D1489="INR",AW1489/88.24,AW1489)/1000000</f>
        <v>0.000325</v>
      </c>
    </row>
    <row r="1490" s="2" customFormat="true" ht="14.25" hidden="false" customHeight="true" outlineLevel="0" collapsed="false">
      <c r="A1490" s="12"/>
      <c r="B1490" s="16" t="n">
        <v>1</v>
      </c>
      <c r="C1490" s="15"/>
      <c r="D1490" s="16" t="s">
        <v>50</v>
      </c>
      <c r="E1490" s="16"/>
      <c r="F1490" s="16" t="s">
        <v>52</v>
      </c>
      <c r="G1490" s="16"/>
      <c r="H1490" s="16" t="s">
        <v>374</v>
      </c>
      <c r="I1490" s="16"/>
      <c r="J1490" s="16"/>
      <c r="K1490" s="16"/>
      <c r="L1490" s="16"/>
      <c r="M1490" s="16"/>
      <c r="N1490" s="16" t="s">
        <v>93</v>
      </c>
      <c r="O1490" s="16" t="s">
        <v>246</v>
      </c>
      <c r="P1490" s="16"/>
      <c r="Q1490" s="16" t="s">
        <v>167</v>
      </c>
      <c r="R1490" s="16"/>
      <c r="S1490" s="16"/>
      <c r="T1490" s="16" t="s">
        <v>2791</v>
      </c>
      <c r="U1490" s="16" t="s">
        <v>63</v>
      </c>
      <c r="V1490" s="16" t="n">
        <v>31.79</v>
      </c>
      <c r="W1490" s="16"/>
      <c r="X1490" s="16" t="n">
        <v>10000</v>
      </c>
      <c r="Y1490" s="16"/>
      <c r="Z1490" s="16"/>
      <c r="AA1490" s="16"/>
      <c r="AB1490" s="16"/>
      <c r="AC1490" s="16"/>
      <c r="AD1490" s="16" t="n">
        <v>10000</v>
      </c>
      <c r="AE1490" s="16"/>
      <c r="AF1490" s="16"/>
      <c r="AG1490" s="16"/>
      <c r="AH1490" s="16" t="n">
        <v>10000</v>
      </c>
      <c r="AI1490" s="16"/>
      <c r="AJ1490" s="9" t="n">
        <f aca="false">X1490*$V1490</f>
        <v>317900</v>
      </c>
      <c r="AK1490" s="9" t="n">
        <f aca="false">Y1490*$V1490</f>
        <v>0</v>
      </c>
      <c r="AL1490" s="9" t="n">
        <f aca="false">Z1490*$V1490</f>
        <v>0</v>
      </c>
      <c r="AM1490" s="9" t="n">
        <f aca="false">AA1490*$V1490</f>
        <v>0</v>
      </c>
      <c r="AN1490" s="9" t="n">
        <f aca="false">AB1490*$V1490</f>
        <v>0</v>
      </c>
      <c r="AO1490" s="9" t="n">
        <f aca="false">AC1490*$V1490</f>
        <v>0</v>
      </c>
      <c r="AP1490" s="9" t="n">
        <f aca="false">AD1490*$V1490</f>
        <v>317900</v>
      </c>
      <c r="AQ1490" s="9" t="n">
        <f aca="false">AE1490*$V1490</f>
        <v>0</v>
      </c>
      <c r="AR1490" s="9" t="n">
        <f aca="false">AF1490*$V1490</f>
        <v>0</v>
      </c>
      <c r="AS1490" s="9" t="n">
        <f aca="false">AG1490*$V1490</f>
        <v>0</v>
      </c>
      <c r="AT1490" s="9" t="n">
        <f aca="false">AH1490*$V1490</f>
        <v>317900</v>
      </c>
      <c r="AU1490" s="9" t="n">
        <f aca="false">AI1490*$V1490</f>
        <v>0</v>
      </c>
      <c r="AV1490" s="9" t="n">
        <f aca="false">SUM(X1490:AI1490)/1000</f>
        <v>30</v>
      </c>
      <c r="AW1490" s="9" t="n">
        <f aca="false">SUM(AJ1490:AU1490)</f>
        <v>953700</v>
      </c>
      <c r="AX1490" s="9" t="n">
        <f aca="false">IF(D1490="INR",AW1490/88.24,AW1490)/1000000</f>
        <v>0.0108080235720762</v>
      </c>
    </row>
    <row r="1491" s="2" customFormat="true" ht="14.25" hidden="false" customHeight="false" outlineLevel="0" collapsed="false">
      <c r="A1491" s="12"/>
      <c r="B1491" s="16" t="n">
        <v>1</v>
      </c>
      <c r="C1491" s="15"/>
      <c r="D1491" s="16" t="s">
        <v>50</v>
      </c>
      <c r="E1491" s="16"/>
      <c r="F1491" s="16" t="s">
        <v>52</v>
      </c>
      <c r="G1491" s="16"/>
      <c r="H1491" s="16" t="s">
        <v>374</v>
      </c>
      <c r="I1491" s="16"/>
      <c r="J1491" s="16"/>
      <c r="K1491" s="16"/>
      <c r="L1491" s="16"/>
      <c r="M1491" s="16"/>
      <c r="N1491" s="16" t="s">
        <v>93</v>
      </c>
      <c r="O1491" s="16" t="s">
        <v>246</v>
      </c>
      <c r="P1491" s="16"/>
      <c r="Q1491" s="16" t="s">
        <v>2792</v>
      </c>
      <c r="R1491" s="16"/>
      <c r="S1491" s="16"/>
      <c r="T1491" s="9" t="s">
        <v>2431</v>
      </c>
      <c r="U1491" s="9" t="s">
        <v>63</v>
      </c>
      <c r="V1491" s="9" t="n">
        <v>8</v>
      </c>
      <c r="W1491" s="16"/>
      <c r="X1491" s="22" t="n">
        <v>10000</v>
      </c>
      <c r="Y1491" s="16"/>
      <c r="Z1491" s="16"/>
      <c r="AA1491" s="16"/>
      <c r="AB1491" s="16"/>
      <c r="AC1491" s="16"/>
      <c r="AD1491" s="16" t="n">
        <v>10000</v>
      </c>
      <c r="AE1491" s="16"/>
      <c r="AF1491" s="16"/>
      <c r="AG1491" s="16"/>
      <c r="AH1491" s="16" t="n">
        <v>10000</v>
      </c>
      <c r="AI1491" s="16"/>
      <c r="AJ1491" s="9" t="n">
        <f aca="false">X1491*$V1491</f>
        <v>80000</v>
      </c>
      <c r="AK1491" s="9" t="n">
        <f aca="false">Y1491*$V1491</f>
        <v>0</v>
      </c>
      <c r="AL1491" s="9" t="n">
        <f aca="false">Z1491*$V1491</f>
        <v>0</v>
      </c>
      <c r="AM1491" s="9" t="n">
        <f aca="false">AA1491*$V1491</f>
        <v>0</v>
      </c>
      <c r="AN1491" s="9" t="n">
        <f aca="false">AB1491*$V1491</f>
        <v>0</v>
      </c>
      <c r="AO1491" s="9" t="n">
        <f aca="false">AC1491*$V1491</f>
        <v>0</v>
      </c>
      <c r="AP1491" s="9" t="n">
        <f aca="false">AD1491*$V1491</f>
        <v>80000</v>
      </c>
      <c r="AQ1491" s="9" t="n">
        <f aca="false">AE1491*$V1491</f>
        <v>0</v>
      </c>
      <c r="AR1491" s="9" t="n">
        <f aca="false">AF1491*$V1491</f>
        <v>0</v>
      </c>
      <c r="AS1491" s="9" t="n">
        <f aca="false">AG1491*$V1491</f>
        <v>0</v>
      </c>
      <c r="AT1491" s="9" t="n">
        <f aca="false">AH1491*$V1491</f>
        <v>80000</v>
      </c>
      <c r="AU1491" s="9" t="n">
        <f aca="false">AI1491*$V1491</f>
        <v>0</v>
      </c>
      <c r="AV1491" s="9" t="n">
        <f aca="false">SUM(X1491:AI1491)/1000</f>
        <v>30</v>
      </c>
      <c r="AW1491" s="9" t="n">
        <f aca="false">SUM(AJ1491:AU1491)</f>
        <v>240000</v>
      </c>
      <c r="AX1491" s="9" t="n">
        <f aca="false">IF(D1491="INR",AW1491/88.24,AW1491)/1000000</f>
        <v>0.00271985494106981</v>
      </c>
    </row>
    <row r="1492" s="2" customFormat="true" ht="16.4" hidden="false" customHeight="false" outlineLevel="0" collapsed="false">
      <c r="A1492" s="9" t="s">
        <v>2793</v>
      </c>
      <c r="B1492" s="9"/>
      <c r="C1492" s="15" t="n">
        <v>5</v>
      </c>
      <c r="D1492" s="16" t="s">
        <v>102</v>
      </c>
      <c r="E1492" s="16" t="s">
        <v>51</v>
      </c>
      <c r="F1492" s="16" t="s">
        <v>52</v>
      </c>
      <c r="G1492" s="16" t="s">
        <v>2794</v>
      </c>
      <c r="H1492" s="9" t="s">
        <v>2795</v>
      </c>
      <c r="I1492" s="16" t="s">
        <v>105</v>
      </c>
      <c r="J1492" s="16" t="s">
        <v>270</v>
      </c>
      <c r="K1492" s="9"/>
      <c r="L1492" s="16" t="s">
        <v>105</v>
      </c>
      <c r="M1492" s="16" t="s">
        <v>270</v>
      </c>
      <c r="N1492" s="16" t="s">
        <v>79</v>
      </c>
      <c r="O1492" s="16" t="s">
        <v>68</v>
      </c>
      <c r="P1492" s="9" t="s">
        <v>380</v>
      </c>
      <c r="Q1492" s="9" t="s">
        <v>380</v>
      </c>
      <c r="R1492" s="9" t="s">
        <v>442</v>
      </c>
      <c r="S1492" s="9" t="s">
        <v>443</v>
      </c>
      <c r="T1492" s="9" t="s">
        <v>1624</v>
      </c>
      <c r="U1492" s="16" t="s">
        <v>73</v>
      </c>
      <c r="V1492" s="36" t="n">
        <v>11.4</v>
      </c>
      <c r="W1492" s="9" t="n">
        <v>8.5</v>
      </c>
      <c r="X1492" s="22"/>
      <c r="Y1492" s="9"/>
      <c r="Z1492" s="9" t="n">
        <v>2000</v>
      </c>
      <c r="AA1492" s="9"/>
      <c r="AB1492" s="9" t="n">
        <v>2000</v>
      </c>
      <c r="AC1492" s="9"/>
      <c r="AD1492" s="9" t="n">
        <v>2000</v>
      </c>
      <c r="AE1492" s="9"/>
      <c r="AF1492" s="9" t="n">
        <v>2000</v>
      </c>
      <c r="AG1492" s="9"/>
      <c r="AH1492" s="9" t="n">
        <v>2000</v>
      </c>
      <c r="AI1492" s="9"/>
      <c r="AJ1492" s="9" t="n">
        <f aca="false">X1492*$V1492</f>
        <v>0</v>
      </c>
      <c r="AK1492" s="9" t="n">
        <f aca="false">Y1492*$V1492</f>
        <v>0</v>
      </c>
      <c r="AL1492" s="9" t="n">
        <f aca="false">Z1492*$V1492</f>
        <v>22800</v>
      </c>
      <c r="AM1492" s="9" t="n">
        <f aca="false">AA1492*$V1492</f>
        <v>0</v>
      </c>
      <c r="AN1492" s="9" t="n">
        <f aca="false">AB1492*$V1492</f>
        <v>22800</v>
      </c>
      <c r="AO1492" s="9" t="n">
        <f aca="false">AC1492*$V1492</f>
        <v>0</v>
      </c>
      <c r="AP1492" s="9" t="n">
        <f aca="false">AD1492*$V1492</f>
        <v>22800</v>
      </c>
      <c r="AQ1492" s="9" t="n">
        <f aca="false">AE1492*$V1492</f>
        <v>0</v>
      </c>
      <c r="AR1492" s="9" t="n">
        <f aca="false">AF1492*$V1492</f>
        <v>22800</v>
      </c>
      <c r="AS1492" s="9" t="n">
        <f aca="false">AG1492*$V1492</f>
        <v>0</v>
      </c>
      <c r="AT1492" s="9" t="n">
        <f aca="false">AH1492*$V1492</f>
        <v>22800</v>
      </c>
      <c r="AU1492" s="9" t="n">
        <f aca="false">AI1492*$V1492</f>
        <v>0</v>
      </c>
      <c r="AV1492" s="9" t="n">
        <f aca="false">SUM(X1492:AI1492)/1000</f>
        <v>10</v>
      </c>
      <c r="AW1492" s="9" t="n">
        <f aca="false">SUM(AJ1492:AU1492)</f>
        <v>114000</v>
      </c>
      <c r="AX1492" s="9" t="n">
        <f aca="false">IF(D1492="INR",AW1492/88.24,AW1492)/1000000</f>
        <v>0.114</v>
      </c>
    </row>
    <row r="1493" s="2" customFormat="true" ht="14.25" hidden="false" customHeight="false" outlineLevel="0" collapsed="false">
      <c r="A1493" s="12"/>
      <c r="B1493" s="16" t="n">
        <v>1</v>
      </c>
      <c r="C1493" s="15"/>
      <c r="D1493" s="16" t="s">
        <v>50</v>
      </c>
      <c r="E1493" s="16"/>
      <c r="F1493" s="16" t="s">
        <v>52</v>
      </c>
      <c r="G1493" s="16"/>
      <c r="H1493" s="16" t="s">
        <v>374</v>
      </c>
      <c r="I1493" s="16"/>
      <c r="J1493" s="16"/>
      <c r="K1493" s="16"/>
      <c r="L1493" s="16"/>
      <c r="M1493" s="16"/>
      <c r="N1493" s="16" t="s">
        <v>93</v>
      </c>
      <c r="O1493" s="16" t="s">
        <v>246</v>
      </c>
      <c r="P1493" s="16"/>
      <c r="Q1493" s="16" t="s">
        <v>2772</v>
      </c>
      <c r="R1493" s="16"/>
      <c r="S1493" s="16"/>
      <c r="T1493" s="16" t="s">
        <v>2438</v>
      </c>
      <c r="U1493" s="16" t="s">
        <v>63</v>
      </c>
      <c r="V1493" s="16" t="n">
        <v>6.38</v>
      </c>
      <c r="W1493" s="16"/>
      <c r="X1493" s="16" t="n">
        <v>10000</v>
      </c>
      <c r="Y1493" s="16"/>
      <c r="Z1493" s="16"/>
      <c r="AA1493" s="16"/>
      <c r="AB1493" s="16"/>
      <c r="AC1493" s="16"/>
      <c r="AD1493" s="16" t="n">
        <v>10000</v>
      </c>
      <c r="AE1493" s="16"/>
      <c r="AF1493" s="16"/>
      <c r="AG1493" s="16"/>
      <c r="AH1493" s="16" t="n">
        <v>10000</v>
      </c>
      <c r="AI1493" s="16"/>
      <c r="AJ1493" s="9" t="n">
        <f aca="false">X1493*$V1493</f>
        <v>63800</v>
      </c>
      <c r="AK1493" s="9" t="n">
        <f aca="false">Y1493*$V1493</f>
        <v>0</v>
      </c>
      <c r="AL1493" s="9" t="n">
        <f aca="false">Z1493*$V1493</f>
        <v>0</v>
      </c>
      <c r="AM1493" s="9" t="n">
        <f aca="false">AA1493*$V1493</f>
        <v>0</v>
      </c>
      <c r="AN1493" s="9" t="n">
        <f aca="false">AB1493*$V1493</f>
        <v>0</v>
      </c>
      <c r="AO1493" s="9" t="n">
        <f aca="false">AC1493*$V1493</f>
        <v>0</v>
      </c>
      <c r="AP1493" s="9" t="n">
        <f aca="false">AD1493*$V1493</f>
        <v>63800</v>
      </c>
      <c r="AQ1493" s="9" t="n">
        <f aca="false">AE1493*$V1493</f>
        <v>0</v>
      </c>
      <c r="AR1493" s="9" t="n">
        <f aca="false">AF1493*$V1493</f>
        <v>0</v>
      </c>
      <c r="AS1493" s="9" t="n">
        <f aca="false">AG1493*$V1493</f>
        <v>0</v>
      </c>
      <c r="AT1493" s="9" t="n">
        <f aca="false">AH1493*$V1493</f>
        <v>63800</v>
      </c>
      <c r="AU1493" s="9" t="n">
        <f aca="false">AI1493*$V1493</f>
        <v>0</v>
      </c>
      <c r="AV1493" s="9" t="n">
        <f aca="false">SUM(X1493:AI1493)/1000</f>
        <v>30</v>
      </c>
      <c r="AW1493" s="9" t="n">
        <f aca="false">SUM(AJ1493:AU1493)</f>
        <v>191400</v>
      </c>
      <c r="AX1493" s="9" t="n">
        <f aca="false">IF(D1493="INR",AW1493/88.24,AW1493)/1000000</f>
        <v>0.00216908431550317</v>
      </c>
    </row>
    <row r="1494" s="2" customFormat="true" ht="14.25" hidden="false" customHeight="false" outlineLevel="0" collapsed="false">
      <c r="A1494" s="12"/>
      <c r="B1494" s="16" t="n">
        <v>1</v>
      </c>
      <c r="C1494" s="15"/>
      <c r="D1494" s="16" t="s">
        <v>50</v>
      </c>
      <c r="E1494" s="9"/>
      <c r="F1494" s="16" t="s">
        <v>52</v>
      </c>
      <c r="G1494" s="16"/>
      <c r="H1494" s="16" t="s">
        <v>374</v>
      </c>
      <c r="I1494" s="16"/>
      <c r="J1494" s="16"/>
      <c r="K1494" s="16"/>
      <c r="L1494" s="16"/>
      <c r="M1494" s="16"/>
      <c r="N1494" s="16" t="s">
        <v>93</v>
      </c>
      <c r="O1494" s="16" t="s">
        <v>246</v>
      </c>
      <c r="P1494" s="16"/>
      <c r="Q1494" s="16" t="s">
        <v>2772</v>
      </c>
      <c r="R1494" s="16"/>
      <c r="S1494" s="16"/>
      <c r="T1494" s="16" t="s">
        <v>1336</v>
      </c>
      <c r="U1494" s="16" t="s">
        <v>63</v>
      </c>
      <c r="V1494" s="16" t="n">
        <v>6.05</v>
      </c>
      <c r="W1494" s="16"/>
      <c r="X1494" s="16" t="n">
        <v>10000</v>
      </c>
      <c r="Y1494" s="16"/>
      <c r="Z1494" s="16"/>
      <c r="AA1494" s="16"/>
      <c r="AB1494" s="16"/>
      <c r="AC1494" s="16"/>
      <c r="AD1494" s="16" t="n">
        <v>10000</v>
      </c>
      <c r="AE1494" s="16"/>
      <c r="AF1494" s="16"/>
      <c r="AG1494" s="16"/>
      <c r="AH1494" s="16" t="n">
        <v>10000</v>
      </c>
      <c r="AI1494" s="16"/>
      <c r="AJ1494" s="9" t="n">
        <f aca="false">X1494*$V1494</f>
        <v>60500</v>
      </c>
      <c r="AK1494" s="9" t="n">
        <f aca="false">Y1494*$V1494</f>
        <v>0</v>
      </c>
      <c r="AL1494" s="9" t="n">
        <f aca="false">Z1494*$V1494</f>
        <v>0</v>
      </c>
      <c r="AM1494" s="9" t="n">
        <f aca="false">AA1494*$V1494</f>
        <v>0</v>
      </c>
      <c r="AN1494" s="9" t="n">
        <f aca="false">AB1494*$V1494</f>
        <v>0</v>
      </c>
      <c r="AO1494" s="9" t="n">
        <f aca="false">AC1494*$V1494</f>
        <v>0</v>
      </c>
      <c r="AP1494" s="9" t="n">
        <f aca="false">AD1494*$V1494</f>
        <v>60500</v>
      </c>
      <c r="AQ1494" s="9" t="n">
        <f aca="false">AE1494*$V1494</f>
        <v>0</v>
      </c>
      <c r="AR1494" s="9" t="n">
        <f aca="false">AF1494*$V1494</f>
        <v>0</v>
      </c>
      <c r="AS1494" s="9" t="n">
        <f aca="false">AG1494*$V1494</f>
        <v>0</v>
      </c>
      <c r="AT1494" s="9" t="n">
        <f aca="false">AH1494*$V1494</f>
        <v>60500</v>
      </c>
      <c r="AU1494" s="9" t="n">
        <f aca="false">AI1494*$V1494</f>
        <v>0</v>
      </c>
      <c r="AV1494" s="9" t="n">
        <f aca="false">SUM(X1494:AI1494)/1000</f>
        <v>30</v>
      </c>
      <c r="AW1494" s="9" t="n">
        <f aca="false">SUM(AJ1494:AU1494)</f>
        <v>181500</v>
      </c>
      <c r="AX1494" s="9" t="n">
        <f aca="false">IF(D1494="INR",AW1494/88.24,AW1494)/1000000</f>
        <v>0.00205689029918404</v>
      </c>
    </row>
    <row r="1495" s="2" customFormat="true" ht="14.25" hidden="false" customHeight="false" outlineLevel="0" collapsed="false">
      <c r="A1495" s="12"/>
      <c r="B1495" s="16" t="n">
        <v>1</v>
      </c>
      <c r="C1495" s="15"/>
      <c r="D1495" s="16" t="s">
        <v>50</v>
      </c>
      <c r="E1495" s="16"/>
      <c r="F1495" s="16" t="s">
        <v>52</v>
      </c>
      <c r="G1495" s="16"/>
      <c r="H1495" s="16" t="s">
        <v>374</v>
      </c>
      <c r="I1495" s="16"/>
      <c r="J1495" s="16"/>
      <c r="K1495" s="16"/>
      <c r="L1495" s="16"/>
      <c r="M1495" s="16"/>
      <c r="N1495" s="16" t="s">
        <v>93</v>
      </c>
      <c r="O1495" s="16" t="s">
        <v>246</v>
      </c>
      <c r="P1495" s="16"/>
      <c r="Q1495" s="16" t="s">
        <v>1935</v>
      </c>
      <c r="R1495" s="16"/>
      <c r="S1495" s="16"/>
      <c r="T1495" s="16" t="s">
        <v>1305</v>
      </c>
      <c r="U1495" s="16" t="s">
        <v>63</v>
      </c>
      <c r="V1495" s="16" t="n">
        <v>4.08</v>
      </c>
      <c r="W1495" s="16"/>
      <c r="X1495" s="16" t="n">
        <v>10000</v>
      </c>
      <c r="Y1495" s="16"/>
      <c r="Z1495" s="16"/>
      <c r="AA1495" s="16"/>
      <c r="AB1495" s="16"/>
      <c r="AC1495" s="16"/>
      <c r="AD1495" s="16" t="n">
        <v>10000</v>
      </c>
      <c r="AE1495" s="16"/>
      <c r="AF1495" s="16"/>
      <c r="AG1495" s="16"/>
      <c r="AH1495" s="16" t="n">
        <v>10000</v>
      </c>
      <c r="AI1495" s="16"/>
      <c r="AJ1495" s="9" t="n">
        <f aca="false">X1495*$V1495</f>
        <v>40800</v>
      </c>
      <c r="AK1495" s="9" t="n">
        <f aca="false">Y1495*$V1495</f>
        <v>0</v>
      </c>
      <c r="AL1495" s="9" t="n">
        <f aca="false">Z1495*$V1495</f>
        <v>0</v>
      </c>
      <c r="AM1495" s="9" t="n">
        <f aca="false">AA1495*$V1495</f>
        <v>0</v>
      </c>
      <c r="AN1495" s="9" t="n">
        <f aca="false">AB1495*$V1495</f>
        <v>0</v>
      </c>
      <c r="AO1495" s="9" t="n">
        <f aca="false">AC1495*$V1495</f>
        <v>0</v>
      </c>
      <c r="AP1495" s="9" t="n">
        <f aca="false">AD1495*$V1495</f>
        <v>40800</v>
      </c>
      <c r="AQ1495" s="9" t="n">
        <f aca="false">AE1495*$V1495</f>
        <v>0</v>
      </c>
      <c r="AR1495" s="9" t="n">
        <f aca="false">AF1495*$V1495</f>
        <v>0</v>
      </c>
      <c r="AS1495" s="9" t="n">
        <f aca="false">AG1495*$V1495</f>
        <v>0</v>
      </c>
      <c r="AT1495" s="9" t="n">
        <f aca="false">AH1495*$V1495</f>
        <v>40800</v>
      </c>
      <c r="AU1495" s="9" t="n">
        <f aca="false">AI1495*$V1495</f>
        <v>0</v>
      </c>
      <c r="AV1495" s="9" t="n">
        <f aca="false">SUM(X1495:AI1495)/1000</f>
        <v>30</v>
      </c>
      <c r="AW1495" s="9" t="n">
        <f aca="false">SUM(AJ1495:AU1495)</f>
        <v>122400</v>
      </c>
      <c r="AX1495" s="9" t="n">
        <f aca="false">IF(D1495="INR",AW1495/88.24,AW1495)/1000000</f>
        <v>0.0013871260199456</v>
      </c>
    </row>
    <row r="1496" s="2" customFormat="true" ht="16.4" hidden="false" customHeight="false" outlineLevel="0" collapsed="false">
      <c r="A1496" s="9"/>
      <c r="B1496" s="16" t="n">
        <v>1</v>
      </c>
      <c r="C1496" s="9"/>
      <c r="D1496" s="16" t="s">
        <v>50</v>
      </c>
      <c r="E1496" s="9"/>
      <c r="F1496" s="9" t="s">
        <v>52</v>
      </c>
      <c r="G1496" s="9"/>
      <c r="H1496" s="9" t="s">
        <v>374</v>
      </c>
      <c r="I1496" s="9"/>
      <c r="J1496" s="9"/>
      <c r="K1496" s="9"/>
      <c r="L1496" s="9"/>
      <c r="M1496" s="9"/>
      <c r="N1496" s="9" t="s">
        <v>93</v>
      </c>
      <c r="O1496" s="9" t="s">
        <v>246</v>
      </c>
      <c r="P1496" s="9"/>
      <c r="Q1496" s="9" t="s">
        <v>1935</v>
      </c>
      <c r="R1496" s="9"/>
      <c r="S1496" s="9"/>
      <c r="T1496" s="62" t="s">
        <v>2796</v>
      </c>
      <c r="U1496" s="9" t="s">
        <v>63</v>
      </c>
      <c r="V1496" s="9" t="n">
        <v>2.73</v>
      </c>
      <c r="W1496" s="9"/>
      <c r="X1496" s="9" t="n">
        <v>10000</v>
      </c>
      <c r="Y1496" s="9"/>
      <c r="Z1496" s="9"/>
      <c r="AA1496" s="9"/>
      <c r="AB1496" s="9"/>
      <c r="AC1496" s="9"/>
      <c r="AD1496" s="9" t="n">
        <v>10000</v>
      </c>
      <c r="AE1496" s="9"/>
      <c r="AF1496" s="9"/>
      <c r="AG1496" s="9"/>
      <c r="AH1496" s="9" t="n">
        <v>10000</v>
      </c>
      <c r="AI1496" s="9"/>
      <c r="AJ1496" s="9" t="n">
        <f aca="false">X1496*$V1496</f>
        <v>27300</v>
      </c>
      <c r="AK1496" s="9" t="n">
        <f aca="false">Y1496*$V1496</f>
        <v>0</v>
      </c>
      <c r="AL1496" s="9" t="n">
        <f aca="false">Z1496*$V1496</f>
        <v>0</v>
      </c>
      <c r="AM1496" s="9" t="n">
        <f aca="false">AA1496*$V1496</f>
        <v>0</v>
      </c>
      <c r="AN1496" s="9" t="n">
        <f aca="false">AB1496*$V1496</f>
        <v>0</v>
      </c>
      <c r="AO1496" s="9" t="n">
        <f aca="false">AC1496*$V1496</f>
        <v>0</v>
      </c>
      <c r="AP1496" s="9" t="n">
        <f aca="false">AD1496*$V1496</f>
        <v>27300</v>
      </c>
      <c r="AQ1496" s="9" t="n">
        <f aca="false">AE1496*$V1496</f>
        <v>0</v>
      </c>
      <c r="AR1496" s="9" t="n">
        <f aca="false">AF1496*$V1496</f>
        <v>0</v>
      </c>
      <c r="AS1496" s="9" t="n">
        <f aca="false">AG1496*$V1496</f>
        <v>0</v>
      </c>
      <c r="AT1496" s="9" t="n">
        <f aca="false">AH1496*$V1496</f>
        <v>27300</v>
      </c>
      <c r="AU1496" s="9" t="n">
        <f aca="false">AI1496*$V1496</f>
        <v>0</v>
      </c>
      <c r="AV1496" s="9" t="n">
        <f aca="false">SUM(X1496:AI1496)/1000</f>
        <v>30</v>
      </c>
      <c r="AW1496" s="9" t="n">
        <f aca="false">SUM(AJ1496:AU1496)</f>
        <v>81900</v>
      </c>
      <c r="AX1496" s="9" t="n">
        <f aca="false">IF(D1496="INR",AW1496/88.24,AW1496)/1000000</f>
        <v>0.000928150498640073</v>
      </c>
    </row>
    <row r="1497" s="2" customFormat="true" ht="14.25" hidden="false" customHeight="false" outlineLevel="0" collapsed="false">
      <c r="A1497" s="9"/>
      <c r="B1497" s="9" t="n">
        <v>1</v>
      </c>
      <c r="C1497" s="10"/>
      <c r="D1497" s="9" t="s">
        <v>50</v>
      </c>
      <c r="E1497" s="9"/>
      <c r="F1497" s="9" t="s">
        <v>52</v>
      </c>
      <c r="G1497" s="9"/>
      <c r="H1497" s="9" t="s">
        <v>374</v>
      </c>
      <c r="I1497" s="9"/>
      <c r="J1497" s="9"/>
      <c r="K1497" s="9"/>
      <c r="L1497" s="9"/>
      <c r="M1497" s="9"/>
      <c r="N1497" s="9" t="s">
        <v>93</v>
      </c>
      <c r="O1497" s="9" t="s">
        <v>246</v>
      </c>
      <c r="P1497" s="9"/>
      <c r="Q1497" s="9" t="s">
        <v>1935</v>
      </c>
      <c r="R1497" s="9"/>
      <c r="S1497" s="9"/>
      <c r="T1497" s="9" t="s">
        <v>503</v>
      </c>
      <c r="U1497" s="9" t="s">
        <v>63</v>
      </c>
      <c r="V1497" s="9" t="n">
        <v>1.58</v>
      </c>
      <c r="W1497" s="9"/>
      <c r="X1497" s="9" t="n">
        <v>10000</v>
      </c>
      <c r="Y1497" s="9"/>
      <c r="Z1497" s="9"/>
      <c r="AA1497" s="9"/>
      <c r="AB1497" s="9"/>
      <c r="AC1497" s="9"/>
      <c r="AD1497" s="9" t="n">
        <v>10000</v>
      </c>
      <c r="AE1497" s="9"/>
      <c r="AF1497" s="9"/>
      <c r="AG1497" s="9"/>
      <c r="AH1497" s="9" t="n">
        <v>10000</v>
      </c>
      <c r="AI1497" s="9"/>
      <c r="AJ1497" s="9" t="n">
        <f aca="false">X1497*$V1497</f>
        <v>15800</v>
      </c>
      <c r="AK1497" s="9" t="n">
        <f aca="false">Y1497*$V1497</f>
        <v>0</v>
      </c>
      <c r="AL1497" s="9" t="n">
        <f aca="false">Z1497*$V1497</f>
        <v>0</v>
      </c>
      <c r="AM1497" s="9" t="n">
        <f aca="false">AA1497*$V1497</f>
        <v>0</v>
      </c>
      <c r="AN1497" s="9" t="n">
        <f aca="false">AB1497*$V1497</f>
        <v>0</v>
      </c>
      <c r="AO1497" s="9" t="n">
        <f aca="false">AC1497*$V1497</f>
        <v>0</v>
      </c>
      <c r="AP1497" s="9" t="n">
        <f aca="false">AD1497*$V1497</f>
        <v>15800</v>
      </c>
      <c r="AQ1497" s="9" t="n">
        <f aca="false">AE1497*$V1497</f>
        <v>0</v>
      </c>
      <c r="AR1497" s="9" t="n">
        <f aca="false">AF1497*$V1497</f>
        <v>0</v>
      </c>
      <c r="AS1497" s="9" t="n">
        <f aca="false">AG1497*$V1497</f>
        <v>0</v>
      </c>
      <c r="AT1497" s="9" t="n">
        <f aca="false">AH1497*$V1497</f>
        <v>15800</v>
      </c>
      <c r="AU1497" s="9" t="n">
        <f aca="false">AI1497*$V1497</f>
        <v>0</v>
      </c>
      <c r="AV1497" s="9" t="n">
        <f aca="false">SUM(X1497:AI1497)/1000</f>
        <v>30</v>
      </c>
      <c r="AW1497" s="9" t="n">
        <f aca="false">SUM(AJ1497:AU1497)</f>
        <v>47400</v>
      </c>
      <c r="AX1497" s="9" t="n">
        <f aca="false">IF(D1497="INR",AW1497/88.24,AW1497)/1000000</f>
        <v>0.000537171350861287</v>
      </c>
    </row>
    <row r="1498" s="2" customFormat="true" ht="16.4" hidden="false" customHeight="false" outlineLevel="0" collapsed="false">
      <c r="A1498" s="16" t="s">
        <v>2797</v>
      </c>
      <c r="B1498" s="16" t="n">
        <v>5</v>
      </c>
      <c r="C1498" s="16"/>
      <c r="D1498" s="16" t="s">
        <v>102</v>
      </c>
      <c r="E1498" s="16" t="s">
        <v>51</v>
      </c>
      <c r="F1498" s="16" t="s">
        <v>52</v>
      </c>
      <c r="G1498" s="16" t="s">
        <v>1003</v>
      </c>
      <c r="H1498" s="16" t="s">
        <v>1004</v>
      </c>
      <c r="I1498" s="16" t="s">
        <v>298</v>
      </c>
      <c r="J1498" s="16" t="s">
        <v>1053</v>
      </c>
      <c r="K1498" s="16" t="s">
        <v>1004</v>
      </c>
      <c r="L1498" s="16" t="s">
        <v>298</v>
      </c>
      <c r="M1498" s="16" t="s">
        <v>1053</v>
      </c>
      <c r="N1498" s="16" t="s">
        <v>67</v>
      </c>
      <c r="O1498" s="16" t="s">
        <v>246</v>
      </c>
      <c r="P1498" s="16" t="s">
        <v>348</v>
      </c>
      <c r="Q1498" s="16" t="s">
        <v>348</v>
      </c>
      <c r="R1498" s="16" t="s">
        <v>800</v>
      </c>
      <c r="S1498" s="16" t="s">
        <v>87</v>
      </c>
      <c r="T1498" s="16" t="s">
        <v>2798</v>
      </c>
      <c r="U1498" s="16" t="s">
        <v>73</v>
      </c>
      <c r="V1498" s="16" t="n">
        <v>0.00087</v>
      </c>
      <c r="W1498" s="16" t="n">
        <v>0.00078</v>
      </c>
      <c r="X1498" s="16" t="n">
        <v>5000</v>
      </c>
      <c r="Y1498" s="16"/>
      <c r="Z1498" s="16"/>
      <c r="AA1498" s="26"/>
      <c r="AB1498" s="26"/>
      <c r="AC1498" s="16"/>
      <c r="AD1498" s="16"/>
      <c r="AE1498" s="16" t="n">
        <v>5000</v>
      </c>
      <c r="AF1498" s="16"/>
      <c r="AG1498" s="16"/>
      <c r="AH1498" s="16"/>
      <c r="AI1498" s="16" t="n">
        <v>5000</v>
      </c>
      <c r="AJ1498" s="9" t="n">
        <f aca="false">X1498*$V1498</f>
        <v>4.35</v>
      </c>
      <c r="AK1498" s="9" t="n">
        <f aca="false">Y1498*$V1498</f>
        <v>0</v>
      </c>
      <c r="AL1498" s="9" t="n">
        <f aca="false">Z1498*$V1498</f>
        <v>0</v>
      </c>
      <c r="AM1498" s="9" t="n">
        <f aca="false">AA1498*$V1498</f>
        <v>0</v>
      </c>
      <c r="AN1498" s="9" t="n">
        <f aca="false">AB1498*$V1498</f>
        <v>0</v>
      </c>
      <c r="AO1498" s="9" t="n">
        <f aca="false">AC1498*$V1498</f>
        <v>0</v>
      </c>
      <c r="AP1498" s="9" t="n">
        <f aca="false">AD1498*$V1498</f>
        <v>0</v>
      </c>
      <c r="AQ1498" s="9" t="n">
        <f aca="false">AE1498*$V1498</f>
        <v>4.35</v>
      </c>
      <c r="AR1498" s="9" t="n">
        <f aca="false">AF1498*$V1498</f>
        <v>0</v>
      </c>
      <c r="AS1498" s="9" t="n">
        <f aca="false">AG1498*$V1498</f>
        <v>0</v>
      </c>
      <c r="AT1498" s="9" t="n">
        <f aca="false">AH1498*$V1498</f>
        <v>0</v>
      </c>
      <c r="AU1498" s="9" t="n">
        <f aca="false">AI1498*$V1498</f>
        <v>4.35</v>
      </c>
      <c r="AV1498" s="9" t="n">
        <f aca="false">SUM(X1498:AI1498)/1000</f>
        <v>15</v>
      </c>
      <c r="AW1498" s="9" t="n">
        <f aca="false">SUM(AJ1498:AU1498)</f>
        <v>13.05</v>
      </c>
      <c r="AX1498" s="9" t="n">
        <f aca="false">IF(D1498="INR",AW1498/88.24,AW1498)/1000000</f>
        <v>1.305E-005</v>
      </c>
    </row>
    <row r="1499" s="2" customFormat="true" ht="14.25" hidden="false" customHeight="false" outlineLevel="0" collapsed="false">
      <c r="A1499" s="9"/>
      <c r="B1499" s="16" t="n">
        <v>1</v>
      </c>
      <c r="C1499" s="9"/>
      <c r="D1499" s="16" t="s">
        <v>50</v>
      </c>
      <c r="E1499" s="9"/>
      <c r="F1499" s="16" t="s">
        <v>52</v>
      </c>
      <c r="G1499" s="9"/>
      <c r="H1499" s="16" t="s">
        <v>374</v>
      </c>
      <c r="I1499" s="9"/>
      <c r="J1499" s="9"/>
      <c r="K1499" s="9"/>
      <c r="L1499" s="9"/>
      <c r="M1499" s="9"/>
      <c r="N1499" s="16" t="s">
        <v>93</v>
      </c>
      <c r="O1499" s="9" t="s">
        <v>246</v>
      </c>
      <c r="P1499" s="9"/>
      <c r="Q1499" s="16" t="s">
        <v>1935</v>
      </c>
      <c r="R1499" s="9"/>
      <c r="S1499" s="9"/>
      <c r="T1499" s="9" t="s">
        <v>394</v>
      </c>
      <c r="U1499" s="9" t="s">
        <v>63</v>
      </c>
      <c r="V1499" s="9" t="n">
        <v>1.22</v>
      </c>
      <c r="W1499" s="9"/>
      <c r="X1499" s="9" t="n">
        <v>10000</v>
      </c>
      <c r="Y1499" s="9"/>
      <c r="Z1499" s="9"/>
      <c r="AA1499" s="9"/>
      <c r="AB1499" s="9"/>
      <c r="AC1499" s="9"/>
      <c r="AD1499" s="9" t="n">
        <v>10000</v>
      </c>
      <c r="AE1499" s="9"/>
      <c r="AF1499" s="9"/>
      <c r="AG1499" s="9"/>
      <c r="AH1499" s="9" t="n">
        <v>10000</v>
      </c>
      <c r="AI1499" s="9"/>
      <c r="AJ1499" s="9" t="n">
        <f aca="false">X1499*$V1499</f>
        <v>12200</v>
      </c>
      <c r="AK1499" s="9" t="n">
        <f aca="false">Y1499*$V1499</f>
        <v>0</v>
      </c>
      <c r="AL1499" s="9" t="n">
        <f aca="false">Z1499*$V1499</f>
        <v>0</v>
      </c>
      <c r="AM1499" s="9" t="n">
        <f aca="false">AA1499*$V1499</f>
        <v>0</v>
      </c>
      <c r="AN1499" s="9" t="n">
        <f aca="false">AB1499*$V1499</f>
        <v>0</v>
      </c>
      <c r="AO1499" s="9" t="n">
        <f aca="false">AC1499*$V1499</f>
        <v>0</v>
      </c>
      <c r="AP1499" s="9" t="n">
        <f aca="false">AD1499*$V1499</f>
        <v>12200</v>
      </c>
      <c r="AQ1499" s="9" t="n">
        <f aca="false">AE1499*$V1499</f>
        <v>0</v>
      </c>
      <c r="AR1499" s="9" t="n">
        <f aca="false">AF1499*$V1499</f>
        <v>0</v>
      </c>
      <c r="AS1499" s="9" t="n">
        <f aca="false">AG1499*$V1499</f>
        <v>0</v>
      </c>
      <c r="AT1499" s="9" t="n">
        <f aca="false">AH1499*$V1499</f>
        <v>12200</v>
      </c>
      <c r="AU1499" s="9" t="n">
        <f aca="false">AI1499*$V1499</f>
        <v>0</v>
      </c>
      <c r="AV1499" s="9" t="n">
        <f aca="false">SUM(X1499:AI1499)/1000</f>
        <v>30</v>
      </c>
      <c r="AW1499" s="9" t="n">
        <f aca="false">SUM(AJ1499:AU1499)</f>
        <v>36600</v>
      </c>
      <c r="AX1499" s="9" t="n">
        <f aca="false">IF(D1499="INR",AW1499/88.24,AW1499)/1000000</f>
        <v>0.000414777878513146</v>
      </c>
    </row>
    <row r="1500" s="2" customFormat="true" ht="14.25" hidden="false" customHeight="false" outlineLevel="0" collapsed="false">
      <c r="A1500" s="9"/>
      <c r="B1500" s="9" t="n">
        <v>1</v>
      </c>
      <c r="C1500" s="10"/>
      <c r="D1500" s="9" t="s">
        <v>102</v>
      </c>
      <c r="E1500" s="9"/>
      <c r="F1500" s="9" t="s">
        <v>52</v>
      </c>
      <c r="G1500" s="9" t="s">
        <v>1003</v>
      </c>
      <c r="H1500" s="9" t="s">
        <v>1004</v>
      </c>
      <c r="I1500" s="9"/>
      <c r="J1500" s="9"/>
      <c r="K1500" s="9"/>
      <c r="L1500" s="9"/>
      <c r="M1500" s="9"/>
      <c r="N1500" s="9" t="s">
        <v>67</v>
      </c>
      <c r="O1500" s="9" t="s">
        <v>246</v>
      </c>
      <c r="P1500" s="9" t="s">
        <v>329</v>
      </c>
      <c r="Q1500" s="9" t="s">
        <v>329</v>
      </c>
      <c r="R1500" s="9"/>
      <c r="S1500" s="9"/>
      <c r="T1500" s="9" t="s">
        <v>2799</v>
      </c>
      <c r="U1500" s="9" t="s">
        <v>63</v>
      </c>
      <c r="V1500" s="9" t="n">
        <v>0.23</v>
      </c>
      <c r="W1500" s="9"/>
      <c r="X1500" s="9" t="n">
        <v>3000</v>
      </c>
      <c r="Y1500" s="9"/>
      <c r="Z1500" s="9"/>
      <c r="AA1500" s="9"/>
      <c r="AB1500" s="9"/>
      <c r="AC1500" s="9"/>
      <c r="AD1500" s="9"/>
      <c r="AE1500" s="9" t="n">
        <v>3000</v>
      </c>
      <c r="AF1500" s="9"/>
      <c r="AG1500" s="9"/>
      <c r="AH1500" s="9"/>
      <c r="AI1500" s="9" t="n">
        <v>3000</v>
      </c>
      <c r="AJ1500" s="9" t="n">
        <f aca="false">X1500*$V1500</f>
        <v>690</v>
      </c>
      <c r="AK1500" s="9" t="n">
        <f aca="false">Y1500*$V1500</f>
        <v>0</v>
      </c>
      <c r="AL1500" s="9" t="n">
        <f aca="false">Z1500*$V1500</f>
        <v>0</v>
      </c>
      <c r="AM1500" s="9" t="n">
        <f aca="false">AA1500*$V1500</f>
        <v>0</v>
      </c>
      <c r="AN1500" s="9" t="n">
        <f aca="false">AB1500*$V1500</f>
        <v>0</v>
      </c>
      <c r="AO1500" s="9" t="n">
        <f aca="false">AC1500*$V1500</f>
        <v>0</v>
      </c>
      <c r="AP1500" s="9" t="n">
        <f aca="false">AD1500*$V1500</f>
        <v>0</v>
      </c>
      <c r="AQ1500" s="9" t="n">
        <f aca="false">AE1500*$V1500</f>
        <v>690</v>
      </c>
      <c r="AR1500" s="9" t="n">
        <f aca="false">AF1500*$V1500</f>
        <v>0</v>
      </c>
      <c r="AS1500" s="9" t="n">
        <f aca="false">AG1500*$V1500</f>
        <v>0</v>
      </c>
      <c r="AT1500" s="9" t="n">
        <f aca="false">AH1500*$V1500</f>
        <v>0</v>
      </c>
      <c r="AU1500" s="9" t="n">
        <f aca="false">AI1500*$V1500</f>
        <v>690</v>
      </c>
      <c r="AV1500" s="9" t="n">
        <f aca="false">SUM(X1500:AI1500)/1000</f>
        <v>9</v>
      </c>
      <c r="AW1500" s="9" t="n">
        <f aca="false">SUM(AJ1500:AU1500)</f>
        <v>2070</v>
      </c>
      <c r="AX1500" s="9" t="n">
        <f aca="false">IF(D1500="INR",AW1500/88.24,AW1500)/1000000</f>
        <v>0.00207</v>
      </c>
    </row>
    <row r="1501" s="2" customFormat="true" ht="16.4" hidden="false" customHeight="false" outlineLevel="0" collapsed="false">
      <c r="A1501" s="16" t="s">
        <v>2800</v>
      </c>
      <c r="B1501" s="16" t="n">
        <v>5</v>
      </c>
      <c r="C1501" s="16"/>
      <c r="D1501" s="16" t="s">
        <v>102</v>
      </c>
      <c r="E1501" s="16" t="s">
        <v>51</v>
      </c>
      <c r="F1501" s="16" t="s">
        <v>52</v>
      </c>
      <c r="G1501" s="16" t="s">
        <v>1003</v>
      </c>
      <c r="H1501" s="16" t="s">
        <v>1004</v>
      </c>
      <c r="I1501" s="16" t="s">
        <v>298</v>
      </c>
      <c r="J1501" s="16" t="s">
        <v>1053</v>
      </c>
      <c r="K1501" s="16" t="s">
        <v>1004</v>
      </c>
      <c r="L1501" s="16" t="s">
        <v>298</v>
      </c>
      <c r="M1501" s="16" t="s">
        <v>1053</v>
      </c>
      <c r="N1501" s="16" t="s">
        <v>67</v>
      </c>
      <c r="O1501" s="16" t="s">
        <v>246</v>
      </c>
      <c r="P1501" s="16" t="s">
        <v>348</v>
      </c>
      <c r="Q1501" s="16" t="s">
        <v>348</v>
      </c>
      <c r="R1501" s="16" t="s">
        <v>800</v>
      </c>
      <c r="S1501" s="16" t="s">
        <v>87</v>
      </c>
      <c r="T1501" s="16" t="s">
        <v>2801</v>
      </c>
      <c r="U1501" s="16" t="s">
        <v>73</v>
      </c>
      <c r="V1501" s="16" t="n">
        <v>0.05</v>
      </c>
      <c r="W1501" s="16" t="n">
        <v>0.0444</v>
      </c>
      <c r="X1501" s="26" t="n">
        <v>3000</v>
      </c>
      <c r="Y1501" s="16"/>
      <c r="Z1501" s="16"/>
      <c r="AA1501" s="16"/>
      <c r="AB1501" s="16"/>
      <c r="AC1501" s="16"/>
      <c r="AD1501" s="16"/>
      <c r="AE1501" s="16" t="n">
        <v>3000</v>
      </c>
      <c r="AF1501" s="16"/>
      <c r="AG1501" s="16"/>
      <c r="AH1501" s="16"/>
      <c r="AI1501" s="16" t="n">
        <v>3000</v>
      </c>
      <c r="AJ1501" s="9" t="n">
        <f aca="false">X1501*$V1501</f>
        <v>150</v>
      </c>
      <c r="AK1501" s="9" t="n">
        <f aca="false">Y1501*$V1501</f>
        <v>0</v>
      </c>
      <c r="AL1501" s="9" t="n">
        <f aca="false">Z1501*$V1501</f>
        <v>0</v>
      </c>
      <c r="AM1501" s="9" t="n">
        <f aca="false">AA1501*$V1501</f>
        <v>0</v>
      </c>
      <c r="AN1501" s="9" t="n">
        <f aca="false">AB1501*$V1501</f>
        <v>0</v>
      </c>
      <c r="AO1501" s="9" t="n">
        <f aca="false">AC1501*$V1501</f>
        <v>0</v>
      </c>
      <c r="AP1501" s="9" t="n">
        <f aca="false">AD1501*$V1501</f>
        <v>0</v>
      </c>
      <c r="AQ1501" s="9" t="n">
        <f aca="false">AE1501*$V1501</f>
        <v>150</v>
      </c>
      <c r="AR1501" s="9" t="n">
        <f aca="false">AF1501*$V1501</f>
        <v>0</v>
      </c>
      <c r="AS1501" s="9" t="n">
        <f aca="false">AG1501*$V1501</f>
        <v>0</v>
      </c>
      <c r="AT1501" s="9" t="n">
        <f aca="false">AH1501*$V1501</f>
        <v>0</v>
      </c>
      <c r="AU1501" s="9" t="n">
        <f aca="false">AI1501*$V1501</f>
        <v>150</v>
      </c>
      <c r="AV1501" s="9" t="n">
        <f aca="false">SUM(X1501:AI1501)/1000</f>
        <v>9</v>
      </c>
      <c r="AW1501" s="9" t="n">
        <f aca="false">SUM(AJ1501:AU1501)</f>
        <v>450</v>
      </c>
      <c r="AX1501" s="9" t="n">
        <f aca="false">IF(D1501="INR",AW1501/88.24,AW1501)/1000000</f>
        <v>0.00045</v>
      </c>
    </row>
    <row r="1502" s="2" customFormat="true" ht="16.4" hidden="false" customHeight="false" outlineLevel="0" collapsed="false">
      <c r="A1502" s="16" t="s">
        <v>2802</v>
      </c>
      <c r="B1502" s="16" t="n">
        <v>5</v>
      </c>
      <c r="C1502" s="16"/>
      <c r="D1502" s="16" t="s">
        <v>102</v>
      </c>
      <c r="E1502" s="16" t="s">
        <v>51</v>
      </c>
      <c r="F1502" s="16" t="s">
        <v>52</v>
      </c>
      <c r="G1502" s="16" t="s">
        <v>1003</v>
      </c>
      <c r="H1502" s="16" t="s">
        <v>1004</v>
      </c>
      <c r="I1502" s="16" t="s">
        <v>298</v>
      </c>
      <c r="J1502" s="16" t="s">
        <v>1053</v>
      </c>
      <c r="K1502" s="16" t="s">
        <v>1004</v>
      </c>
      <c r="L1502" s="16" t="s">
        <v>298</v>
      </c>
      <c r="M1502" s="16" t="s">
        <v>1053</v>
      </c>
      <c r="N1502" s="16" t="s">
        <v>67</v>
      </c>
      <c r="O1502" s="16" t="s">
        <v>246</v>
      </c>
      <c r="P1502" s="16" t="s">
        <v>348</v>
      </c>
      <c r="Q1502" s="16" t="s">
        <v>348</v>
      </c>
      <c r="R1502" s="16" t="s">
        <v>800</v>
      </c>
      <c r="S1502" s="16" t="s">
        <v>87</v>
      </c>
      <c r="T1502" s="16" t="s">
        <v>2803</v>
      </c>
      <c r="U1502" s="16" t="s">
        <v>73</v>
      </c>
      <c r="V1502" s="16" t="n">
        <v>0.0368</v>
      </c>
      <c r="W1502" s="26" t="n">
        <v>0.0346</v>
      </c>
      <c r="X1502" s="16" t="n">
        <v>3000</v>
      </c>
      <c r="Y1502" s="16"/>
      <c r="Z1502" s="16"/>
      <c r="AA1502" s="16"/>
      <c r="AB1502" s="16"/>
      <c r="AC1502" s="16"/>
      <c r="AD1502" s="16"/>
      <c r="AE1502" s="16" t="n">
        <v>3000</v>
      </c>
      <c r="AF1502" s="16"/>
      <c r="AG1502" s="16"/>
      <c r="AH1502" s="16"/>
      <c r="AI1502" s="16" t="n">
        <v>3000</v>
      </c>
      <c r="AJ1502" s="9" t="n">
        <f aca="false">X1502*$V1502</f>
        <v>110.4</v>
      </c>
      <c r="AK1502" s="9" t="n">
        <f aca="false">Y1502*$V1502</f>
        <v>0</v>
      </c>
      <c r="AL1502" s="9" t="n">
        <f aca="false">Z1502*$V1502</f>
        <v>0</v>
      </c>
      <c r="AM1502" s="9" t="n">
        <f aca="false">AA1502*$V1502</f>
        <v>0</v>
      </c>
      <c r="AN1502" s="9" t="n">
        <f aca="false">AB1502*$V1502</f>
        <v>0</v>
      </c>
      <c r="AO1502" s="9" t="n">
        <f aca="false">AC1502*$V1502</f>
        <v>0</v>
      </c>
      <c r="AP1502" s="9" t="n">
        <f aca="false">AD1502*$V1502</f>
        <v>0</v>
      </c>
      <c r="AQ1502" s="9" t="n">
        <f aca="false">AE1502*$V1502</f>
        <v>110.4</v>
      </c>
      <c r="AR1502" s="9" t="n">
        <f aca="false">AF1502*$V1502</f>
        <v>0</v>
      </c>
      <c r="AS1502" s="9" t="n">
        <f aca="false">AG1502*$V1502</f>
        <v>0</v>
      </c>
      <c r="AT1502" s="9" t="n">
        <f aca="false">AH1502*$V1502</f>
        <v>0</v>
      </c>
      <c r="AU1502" s="9" t="n">
        <f aca="false">AI1502*$V1502</f>
        <v>110.4</v>
      </c>
      <c r="AV1502" s="9" t="n">
        <f aca="false">SUM(X1502:AI1502)/1000</f>
        <v>9</v>
      </c>
      <c r="AW1502" s="9" t="n">
        <f aca="false">SUM(AJ1502:AU1502)</f>
        <v>331.2</v>
      </c>
      <c r="AX1502" s="9" t="n">
        <f aca="false">IF(D1502="INR",AW1502/88.24,AW1502)/1000000</f>
        <v>0.0003312</v>
      </c>
    </row>
    <row r="1503" s="2" customFormat="true" ht="14.25" hidden="false" customHeight="false" outlineLevel="0" collapsed="false">
      <c r="A1503" s="16"/>
      <c r="B1503" s="16" t="n">
        <v>1</v>
      </c>
      <c r="C1503" s="16"/>
      <c r="D1503" s="16" t="s">
        <v>102</v>
      </c>
      <c r="E1503" s="16"/>
      <c r="F1503" s="16" t="s">
        <v>52</v>
      </c>
      <c r="G1503" s="16" t="s">
        <v>1003</v>
      </c>
      <c r="H1503" s="16" t="s">
        <v>1004</v>
      </c>
      <c r="I1503" s="16"/>
      <c r="J1503" s="16"/>
      <c r="K1503" s="16"/>
      <c r="L1503" s="16"/>
      <c r="M1503" s="16"/>
      <c r="N1503" s="16" t="s">
        <v>67</v>
      </c>
      <c r="O1503" s="16" t="s">
        <v>246</v>
      </c>
      <c r="P1503" s="16" t="s">
        <v>199</v>
      </c>
      <c r="Q1503" s="9" t="s">
        <v>199</v>
      </c>
      <c r="R1503" s="16"/>
      <c r="S1503" s="26"/>
      <c r="T1503" s="16" t="s">
        <v>2804</v>
      </c>
      <c r="U1503" s="16"/>
      <c r="V1503" s="26" t="n">
        <v>0.0163</v>
      </c>
      <c r="W1503" s="16"/>
      <c r="X1503" s="16" t="n">
        <v>2000</v>
      </c>
      <c r="Y1503" s="16"/>
      <c r="Z1503" s="16"/>
      <c r="AA1503" s="16"/>
      <c r="AB1503" s="16"/>
      <c r="AC1503" s="16"/>
      <c r="AD1503" s="16"/>
      <c r="AE1503" s="16" t="n">
        <v>2000</v>
      </c>
      <c r="AF1503" s="16"/>
      <c r="AG1503" s="16"/>
      <c r="AH1503" s="16"/>
      <c r="AI1503" s="16" t="n">
        <v>2000</v>
      </c>
      <c r="AJ1503" s="9" t="n">
        <f aca="false">X1503*$V1503</f>
        <v>32.6</v>
      </c>
      <c r="AK1503" s="9" t="n">
        <f aca="false">Y1503*$V1503</f>
        <v>0</v>
      </c>
      <c r="AL1503" s="9" t="n">
        <f aca="false">Z1503*$V1503</f>
        <v>0</v>
      </c>
      <c r="AM1503" s="9" t="n">
        <f aca="false">AA1503*$V1503</f>
        <v>0</v>
      </c>
      <c r="AN1503" s="9" t="n">
        <f aca="false">AB1503*$V1503</f>
        <v>0</v>
      </c>
      <c r="AO1503" s="9" t="n">
        <f aca="false">AC1503*$V1503</f>
        <v>0</v>
      </c>
      <c r="AP1503" s="9" t="n">
        <f aca="false">AD1503*$V1503</f>
        <v>0</v>
      </c>
      <c r="AQ1503" s="9" t="n">
        <f aca="false">AE1503*$V1503</f>
        <v>32.6</v>
      </c>
      <c r="AR1503" s="9" t="n">
        <f aca="false">AF1503*$V1503</f>
        <v>0</v>
      </c>
      <c r="AS1503" s="9" t="n">
        <f aca="false">AG1503*$V1503</f>
        <v>0</v>
      </c>
      <c r="AT1503" s="9" t="n">
        <f aca="false">AH1503*$V1503</f>
        <v>0</v>
      </c>
      <c r="AU1503" s="9" t="n">
        <f aca="false">AI1503*$V1503</f>
        <v>32.6</v>
      </c>
      <c r="AV1503" s="9" t="n">
        <f aca="false">SUM(X1503:AI1503)/1000</f>
        <v>6</v>
      </c>
      <c r="AW1503" s="9" t="n">
        <f aca="false">SUM(AJ1503:AU1503)</f>
        <v>97.8</v>
      </c>
      <c r="AX1503" s="9" t="n">
        <f aca="false">IF(D1503="INR",AW1503/88.24,AW1503)/1000000</f>
        <v>9.78E-005</v>
      </c>
    </row>
    <row r="1504" s="2" customFormat="true" ht="16.4" hidden="false" customHeight="false" outlineLevel="0" collapsed="false">
      <c r="A1504" s="16" t="s">
        <v>2805</v>
      </c>
      <c r="B1504" s="16" t="n">
        <v>5</v>
      </c>
      <c r="C1504" s="16"/>
      <c r="D1504" s="16" t="s">
        <v>102</v>
      </c>
      <c r="E1504" s="16" t="s">
        <v>51</v>
      </c>
      <c r="F1504" s="16" t="s">
        <v>52</v>
      </c>
      <c r="G1504" s="16" t="s">
        <v>1003</v>
      </c>
      <c r="H1504" s="16" t="s">
        <v>1004</v>
      </c>
      <c r="I1504" s="16" t="s">
        <v>298</v>
      </c>
      <c r="J1504" s="16" t="s">
        <v>1053</v>
      </c>
      <c r="K1504" s="16" t="s">
        <v>1004</v>
      </c>
      <c r="L1504" s="16" t="s">
        <v>298</v>
      </c>
      <c r="M1504" s="16" t="s">
        <v>1053</v>
      </c>
      <c r="N1504" s="16" t="s">
        <v>67</v>
      </c>
      <c r="O1504" s="16" t="s">
        <v>246</v>
      </c>
      <c r="P1504" s="16" t="s">
        <v>348</v>
      </c>
      <c r="Q1504" s="16" t="s">
        <v>348</v>
      </c>
      <c r="R1504" s="16" t="s">
        <v>800</v>
      </c>
      <c r="S1504" s="16" t="s">
        <v>87</v>
      </c>
      <c r="T1504" s="26" t="s">
        <v>2806</v>
      </c>
      <c r="U1504" s="26" t="s">
        <v>73</v>
      </c>
      <c r="V1504" s="26" t="n">
        <v>0.0124</v>
      </c>
      <c r="W1504" s="16" t="n">
        <v>0.01078</v>
      </c>
      <c r="X1504" s="16" t="n">
        <v>2000</v>
      </c>
      <c r="Y1504" s="16"/>
      <c r="Z1504" s="16"/>
      <c r="AA1504" s="16"/>
      <c r="AB1504" s="16"/>
      <c r="AC1504" s="16"/>
      <c r="AD1504" s="16"/>
      <c r="AE1504" s="16" t="n">
        <v>2000</v>
      </c>
      <c r="AF1504" s="16"/>
      <c r="AG1504" s="16"/>
      <c r="AH1504" s="16"/>
      <c r="AI1504" s="16" t="n">
        <v>2000</v>
      </c>
      <c r="AJ1504" s="9" t="n">
        <f aca="false">X1504*$V1504</f>
        <v>24.8</v>
      </c>
      <c r="AK1504" s="9" t="n">
        <f aca="false">Y1504*$V1504</f>
        <v>0</v>
      </c>
      <c r="AL1504" s="9" t="n">
        <f aca="false">Z1504*$V1504</f>
        <v>0</v>
      </c>
      <c r="AM1504" s="9" t="n">
        <f aca="false">AA1504*$V1504</f>
        <v>0</v>
      </c>
      <c r="AN1504" s="9" t="n">
        <f aca="false">AB1504*$V1504</f>
        <v>0</v>
      </c>
      <c r="AO1504" s="9" t="n">
        <f aca="false">AC1504*$V1504</f>
        <v>0</v>
      </c>
      <c r="AP1504" s="9" t="n">
        <f aca="false">AD1504*$V1504</f>
        <v>0</v>
      </c>
      <c r="AQ1504" s="9" t="n">
        <f aca="false">AE1504*$V1504</f>
        <v>24.8</v>
      </c>
      <c r="AR1504" s="9" t="n">
        <f aca="false">AF1504*$V1504</f>
        <v>0</v>
      </c>
      <c r="AS1504" s="9" t="n">
        <f aca="false">AG1504*$V1504</f>
        <v>0</v>
      </c>
      <c r="AT1504" s="9" t="n">
        <f aca="false">AH1504*$V1504</f>
        <v>0</v>
      </c>
      <c r="AU1504" s="9" t="n">
        <f aca="false">AI1504*$V1504</f>
        <v>24.8</v>
      </c>
      <c r="AV1504" s="9" t="n">
        <f aca="false">SUM(X1504:AI1504)/1000</f>
        <v>6</v>
      </c>
      <c r="AW1504" s="9" t="n">
        <f aca="false">SUM(AJ1504:AU1504)</f>
        <v>74.4</v>
      </c>
      <c r="AX1504" s="9" t="n">
        <f aca="false">IF(D1504="INR",AW1504/88.24,AW1504)/1000000</f>
        <v>7.44E-005</v>
      </c>
    </row>
    <row r="1505" s="2" customFormat="true" ht="14.25" hidden="false" customHeight="false" outlineLevel="0" collapsed="false">
      <c r="A1505" s="16"/>
      <c r="B1505" s="16" t="n">
        <v>1</v>
      </c>
      <c r="C1505" s="16"/>
      <c r="D1505" s="16" t="s">
        <v>102</v>
      </c>
      <c r="E1505" s="16"/>
      <c r="F1505" s="16" t="s">
        <v>52</v>
      </c>
      <c r="G1505" s="16" t="s">
        <v>1003</v>
      </c>
      <c r="H1505" s="16" t="s">
        <v>1004</v>
      </c>
      <c r="I1505" s="16"/>
      <c r="J1505" s="16"/>
      <c r="K1505" s="16"/>
      <c r="L1505" s="16"/>
      <c r="M1505" s="16"/>
      <c r="N1505" s="16" t="s">
        <v>67</v>
      </c>
      <c r="O1505" s="16" t="s">
        <v>246</v>
      </c>
      <c r="P1505" s="16" t="s">
        <v>199</v>
      </c>
      <c r="Q1505" s="16" t="s">
        <v>199</v>
      </c>
      <c r="R1505" s="16"/>
      <c r="S1505" s="16"/>
      <c r="T1505" s="16" t="s">
        <v>2807</v>
      </c>
      <c r="U1505" s="26"/>
      <c r="V1505" s="16" t="n">
        <v>0.0102</v>
      </c>
      <c r="W1505" s="16"/>
      <c r="X1505" s="16" t="n">
        <v>2000</v>
      </c>
      <c r="Y1505" s="16"/>
      <c r="Z1505" s="16"/>
      <c r="AA1505" s="16"/>
      <c r="AB1505" s="16"/>
      <c r="AC1505" s="16"/>
      <c r="AD1505" s="16"/>
      <c r="AE1505" s="16" t="n">
        <v>2000</v>
      </c>
      <c r="AF1505" s="16"/>
      <c r="AG1505" s="16"/>
      <c r="AH1505" s="16"/>
      <c r="AI1505" s="16" t="n">
        <v>2000</v>
      </c>
      <c r="AJ1505" s="9" t="n">
        <f aca="false">X1505*$V1505</f>
        <v>20.4</v>
      </c>
      <c r="AK1505" s="9" t="n">
        <f aca="false">Y1505*$V1505</f>
        <v>0</v>
      </c>
      <c r="AL1505" s="9" t="n">
        <f aca="false">Z1505*$V1505</f>
        <v>0</v>
      </c>
      <c r="AM1505" s="9" t="n">
        <f aca="false">AA1505*$V1505</f>
        <v>0</v>
      </c>
      <c r="AN1505" s="9" t="n">
        <f aca="false">AB1505*$V1505</f>
        <v>0</v>
      </c>
      <c r="AO1505" s="9" t="n">
        <f aca="false">AC1505*$V1505</f>
        <v>0</v>
      </c>
      <c r="AP1505" s="9" t="n">
        <f aca="false">AD1505*$V1505</f>
        <v>0</v>
      </c>
      <c r="AQ1505" s="9" t="n">
        <f aca="false">AE1505*$V1505</f>
        <v>20.4</v>
      </c>
      <c r="AR1505" s="9" t="n">
        <f aca="false">AF1505*$V1505</f>
        <v>0</v>
      </c>
      <c r="AS1505" s="9" t="n">
        <f aca="false">AG1505*$V1505</f>
        <v>0</v>
      </c>
      <c r="AT1505" s="9" t="n">
        <f aca="false">AH1505*$V1505</f>
        <v>0</v>
      </c>
      <c r="AU1505" s="9" t="n">
        <f aca="false">AI1505*$V1505</f>
        <v>20.4</v>
      </c>
      <c r="AV1505" s="9" t="n">
        <f aca="false">SUM(X1505:AI1505)/1000</f>
        <v>6</v>
      </c>
      <c r="AW1505" s="9" t="n">
        <f aca="false">SUM(AJ1505:AU1505)</f>
        <v>61.2</v>
      </c>
      <c r="AX1505" s="9" t="n">
        <f aca="false">IF(D1505="INR",AW1505/88.24,AW1505)/1000000</f>
        <v>6.12E-005</v>
      </c>
    </row>
    <row r="1506" s="2" customFormat="true" ht="14.25" hidden="false" customHeight="false" outlineLevel="0" collapsed="false">
      <c r="A1506" s="16"/>
      <c r="B1506" s="16" t="n">
        <v>1</v>
      </c>
      <c r="C1506" s="16"/>
      <c r="D1506" s="16" t="s">
        <v>102</v>
      </c>
      <c r="E1506" s="16"/>
      <c r="F1506" s="16" t="s">
        <v>52</v>
      </c>
      <c r="G1506" s="16" t="s">
        <v>1003</v>
      </c>
      <c r="H1506" s="16" t="s">
        <v>1004</v>
      </c>
      <c r="I1506" s="16"/>
      <c r="J1506" s="16"/>
      <c r="K1506" s="16"/>
      <c r="L1506" s="16"/>
      <c r="M1506" s="16"/>
      <c r="N1506" s="16" t="s">
        <v>67</v>
      </c>
      <c r="O1506" s="16" t="s">
        <v>246</v>
      </c>
      <c r="P1506" s="16" t="s">
        <v>348</v>
      </c>
      <c r="Q1506" s="16" t="s">
        <v>348</v>
      </c>
      <c r="R1506" s="16"/>
      <c r="S1506" s="16"/>
      <c r="T1506" s="16" t="s">
        <v>2808</v>
      </c>
      <c r="U1506" s="16" t="s">
        <v>63</v>
      </c>
      <c r="V1506" s="16" t="n">
        <v>0.0027</v>
      </c>
      <c r="W1506" s="16"/>
      <c r="X1506" s="16" t="n">
        <v>2000</v>
      </c>
      <c r="Y1506" s="26"/>
      <c r="Z1506" s="16"/>
      <c r="AA1506" s="16"/>
      <c r="AB1506" s="16"/>
      <c r="AC1506" s="16"/>
      <c r="AD1506" s="16"/>
      <c r="AE1506" s="16" t="n">
        <v>2000</v>
      </c>
      <c r="AF1506" s="16"/>
      <c r="AG1506" s="16"/>
      <c r="AH1506" s="16"/>
      <c r="AI1506" s="16" t="n">
        <v>2000</v>
      </c>
      <c r="AJ1506" s="9" t="n">
        <f aca="false">X1506*$V1506</f>
        <v>5.4</v>
      </c>
      <c r="AK1506" s="9" t="n">
        <f aca="false">Y1506*$V1506</f>
        <v>0</v>
      </c>
      <c r="AL1506" s="9" t="n">
        <f aca="false">Z1506*$V1506</f>
        <v>0</v>
      </c>
      <c r="AM1506" s="9" t="n">
        <f aca="false">AA1506*$V1506</f>
        <v>0</v>
      </c>
      <c r="AN1506" s="9" t="n">
        <f aca="false">AB1506*$V1506</f>
        <v>0</v>
      </c>
      <c r="AO1506" s="9" t="n">
        <f aca="false">AC1506*$V1506</f>
        <v>0</v>
      </c>
      <c r="AP1506" s="9" t="n">
        <f aca="false">AD1506*$V1506</f>
        <v>0</v>
      </c>
      <c r="AQ1506" s="9" t="n">
        <f aca="false">AE1506*$V1506</f>
        <v>5.4</v>
      </c>
      <c r="AR1506" s="9" t="n">
        <f aca="false">AF1506*$V1506</f>
        <v>0</v>
      </c>
      <c r="AS1506" s="9" t="n">
        <f aca="false">AG1506*$V1506</f>
        <v>0</v>
      </c>
      <c r="AT1506" s="9" t="n">
        <f aca="false">AH1506*$V1506</f>
        <v>0</v>
      </c>
      <c r="AU1506" s="9" t="n">
        <f aca="false">AI1506*$V1506</f>
        <v>5.4</v>
      </c>
      <c r="AV1506" s="9" t="n">
        <f aca="false">SUM(X1506:AI1506)/1000</f>
        <v>6</v>
      </c>
      <c r="AW1506" s="9" t="n">
        <f aca="false">SUM(AJ1506:AU1506)</f>
        <v>16.2</v>
      </c>
      <c r="AX1506" s="9" t="n">
        <f aca="false">IF(D1506="INR",AW1506/88.24,AW1506)/1000000</f>
        <v>1.62E-005</v>
      </c>
    </row>
    <row r="1507" s="2" customFormat="true" ht="16.4" hidden="false" customHeight="false" outlineLevel="0" collapsed="false">
      <c r="A1507" s="16" t="s">
        <v>2809</v>
      </c>
      <c r="B1507" s="16" t="n">
        <v>5</v>
      </c>
      <c r="C1507" s="16"/>
      <c r="D1507" s="16" t="s">
        <v>102</v>
      </c>
      <c r="E1507" s="16" t="s">
        <v>51</v>
      </c>
      <c r="F1507" s="16" t="s">
        <v>52</v>
      </c>
      <c r="G1507" s="16" t="s">
        <v>1003</v>
      </c>
      <c r="H1507" s="16" t="s">
        <v>1004</v>
      </c>
      <c r="I1507" s="16" t="s">
        <v>298</v>
      </c>
      <c r="J1507" s="16" t="s">
        <v>1053</v>
      </c>
      <c r="K1507" s="16" t="s">
        <v>1004</v>
      </c>
      <c r="L1507" s="16" t="s">
        <v>298</v>
      </c>
      <c r="M1507" s="16" t="s">
        <v>1053</v>
      </c>
      <c r="N1507" s="16" t="s">
        <v>67</v>
      </c>
      <c r="O1507" s="16" t="s">
        <v>246</v>
      </c>
      <c r="P1507" s="16" t="s">
        <v>348</v>
      </c>
      <c r="Q1507" s="16" t="s">
        <v>348</v>
      </c>
      <c r="R1507" s="16" t="s">
        <v>800</v>
      </c>
      <c r="S1507" s="16" t="s">
        <v>87</v>
      </c>
      <c r="T1507" s="16" t="s">
        <v>2810</v>
      </c>
      <c r="U1507" s="16" t="s">
        <v>73</v>
      </c>
      <c r="V1507" s="16" t="n">
        <v>0.0024</v>
      </c>
      <c r="W1507" s="26" t="n">
        <v>0.00213</v>
      </c>
      <c r="X1507" s="16" t="n">
        <v>1000</v>
      </c>
      <c r="Y1507" s="16"/>
      <c r="Z1507" s="16"/>
      <c r="AA1507" s="16"/>
      <c r="AB1507" s="16"/>
      <c r="AC1507" s="16"/>
      <c r="AD1507" s="16"/>
      <c r="AE1507" s="16" t="n">
        <v>1000</v>
      </c>
      <c r="AF1507" s="16"/>
      <c r="AG1507" s="16"/>
      <c r="AH1507" s="16"/>
      <c r="AI1507" s="16" t="n">
        <v>1000</v>
      </c>
      <c r="AJ1507" s="9" t="n">
        <f aca="false">X1507*$V1507</f>
        <v>2.4</v>
      </c>
      <c r="AK1507" s="9" t="n">
        <f aca="false">Y1507*$V1507</f>
        <v>0</v>
      </c>
      <c r="AL1507" s="9" t="n">
        <f aca="false">Z1507*$V1507</f>
        <v>0</v>
      </c>
      <c r="AM1507" s="9" t="n">
        <f aca="false">AA1507*$V1507</f>
        <v>0</v>
      </c>
      <c r="AN1507" s="9" t="n">
        <f aca="false">AB1507*$V1507</f>
        <v>0</v>
      </c>
      <c r="AO1507" s="9" t="n">
        <f aca="false">AC1507*$V1507</f>
        <v>0</v>
      </c>
      <c r="AP1507" s="9" t="n">
        <f aca="false">AD1507*$V1507</f>
        <v>0</v>
      </c>
      <c r="AQ1507" s="9" t="n">
        <f aca="false">AE1507*$V1507</f>
        <v>2.4</v>
      </c>
      <c r="AR1507" s="9" t="n">
        <f aca="false">AF1507*$V1507</f>
        <v>0</v>
      </c>
      <c r="AS1507" s="9" t="n">
        <f aca="false">AG1507*$V1507</f>
        <v>0</v>
      </c>
      <c r="AT1507" s="9" t="n">
        <f aca="false">AH1507*$V1507</f>
        <v>0</v>
      </c>
      <c r="AU1507" s="9" t="n">
        <f aca="false">AI1507*$V1507</f>
        <v>2.4</v>
      </c>
      <c r="AV1507" s="9" t="n">
        <f aca="false">SUM(X1507:AI1507)/1000</f>
        <v>3</v>
      </c>
      <c r="AW1507" s="9" t="n">
        <f aca="false">SUM(AJ1507:AU1507)</f>
        <v>7.2</v>
      </c>
      <c r="AX1507" s="9" t="n">
        <f aca="false">IF(D1507="INR",AW1507/88.24,AW1507)/1000000</f>
        <v>7.2E-006</v>
      </c>
    </row>
    <row r="1508" s="2" customFormat="true" ht="14.25" hidden="false" customHeight="true" outlineLevel="0" collapsed="false">
      <c r="A1508" s="16" t="s">
        <v>2811</v>
      </c>
      <c r="B1508" s="16"/>
      <c r="C1508" s="16"/>
      <c r="D1508" s="16" t="s">
        <v>102</v>
      </c>
      <c r="E1508" s="16" t="s">
        <v>51</v>
      </c>
      <c r="F1508" s="16" t="s">
        <v>52</v>
      </c>
      <c r="G1508" s="16" t="s">
        <v>1003</v>
      </c>
      <c r="H1508" s="16" t="s">
        <v>1004</v>
      </c>
      <c r="I1508" s="16" t="s">
        <v>298</v>
      </c>
      <c r="J1508" s="16" t="s">
        <v>1053</v>
      </c>
      <c r="K1508" s="16"/>
      <c r="L1508" s="16" t="s">
        <v>298</v>
      </c>
      <c r="M1508" s="16" t="s">
        <v>1053</v>
      </c>
      <c r="N1508" s="16" t="s">
        <v>67</v>
      </c>
      <c r="O1508" s="16" t="s">
        <v>246</v>
      </c>
      <c r="P1508" s="16" t="s">
        <v>851</v>
      </c>
      <c r="Q1508" s="16" t="s">
        <v>851</v>
      </c>
      <c r="R1508" s="16" t="s">
        <v>892</v>
      </c>
      <c r="S1508" s="16" t="s">
        <v>363</v>
      </c>
      <c r="T1508" s="16" t="s">
        <v>2812</v>
      </c>
      <c r="U1508" s="26" t="s">
        <v>73</v>
      </c>
      <c r="V1508" s="26" t="n">
        <v>182.7</v>
      </c>
      <c r="W1508" s="16" t="n">
        <v>157.46</v>
      </c>
      <c r="X1508" s="16"/>
      <c r="Y1508" s="16"/>
      <c r="Z1508" s="16" t="n">
        <v>100</v>
      </c>
      <c r="AA1508" s="16"/>
      <c r="AB1508" s="16"/>
      <c r="AC1508" s="16" t="n">
        <v>100</v>
      </c>
      <c r="AD1508" s="16"/>
      <c r="AE1508" s="16"/>
      <c r="AF1508" s="16" t="n">
        <v>100</v>
      </c>
      <c r="AG1508" s="16"/>
      <c r="AH1508" s="16"/>
      <c r="AI1508" s="16" t="n">
        <v>100</v>
      </c>
      <c r="AJ1508" s="9" t="n">
        <f aca="false">X1508*$V1508</f>
        <v>0</v>
      </c>
      <c r="AK1508" s="9" t="n">
        <f aca="false">Y1508*$V1508</f>
        <v>0</v>
      </c>
      <c r="AL1508" s="9" t="n">
        <f aca="false">Z1508*$V1508</f>
        <v>18270</v>
      </c>
      <c r="AM1508" s="9" t="n">
        <f aca="false">AA1508*$V1508</f>
        <v>0</v>
      </c>
      <c r="AN1508" s="9" t="n">
        <f aca="false">AB1508*$V1508</f>
        <v>0</v>
      </c>
      <c r="AO1508" s="9" t="n">
        <f aca="false">AC1508*$V1508</f>
        <v>18270</v>
      </c>
      <c r="AP1508" s="9" t="n">
        <f aca="false">AD1508*$V1508</f>
        <v>0</v>
      </c>
      <c r="AQ1508" s="9" t="n">
        <f aca="false">AE1508*$V1508</f>
        <v>0</v>
      </c>
      <c r="AR1508" s="9" t="n">
        <f aca="false">AF1508*$V1508</f>
        <v>18270</v>
      </c>
      <c r="AS1508" s="9" t="n">
        <f aca="false">AG1508*$V1508</f>
        <v>0</v>
      </c>
      <c r="AT1508" s="9" t="n">
        <f aca="false">AH1508*$V1508</f>
        <v>0</v>
      </c>
      <c r="AU1508" s="9" t="n">
        <f aca="false">AI1508*$V1508</f>
        <v>18270</v>
      </c>
      <c r="AV1508" s="9" t="n">
        <f aca="false">SUM(X1508:AI1508)/1000</f>
        <v>0.4</v>
      </c>
      <c r="AW1508" s="9" t="n">
        <f aca="false">SUM(AJ1508:AU1508)</f>
        <v>73080</v>
      </c>
      <c r="AX1508" s="9" t="n">
        <f aca="false">IF(D1508="INR",AW1508/88.24,AW1508)/1000000</f>
        <v>0.07308</v>
      </c>
    </row>
    <row r="1509" s="2" customFormat="true" ht="14.25" hidden="false" customHeight="false" outlineLevel="0" collapsed="false">
      <c r="A1509" s="9"/>
      <c r="B1509" s="9" t="n">
        <v>1</v>
      </c>
      <c r="C1509" s="10"/>
      <c r="D1509" s="9" t="s">
        <v>50</v>
      </c>
      <c r="E1509" s="9"/>
      <c r="F1509" s="9" t="s">
        <v>52</v>
      </c>
      <c r="G1509" s="9"/>
      <c r="H1509" s="9" t="s">
        <v>374</v>
      </c>
      <c r="I1509" s="9"/>
      <c r="J1509" s="9"/>
      <c r="K1509" s="9"/>
      <c r="L1509" s="9"/>
      <c r="M1509" s="9"/>
      <c r="N1509" s="9" t="s">
        <v>93</v>
      </c>
      <c r="O1509" s="9" t="s">
        <v>246</v>
      </c>
      <c r="P1509" s="9"/>
      <c r="Q1509" s="9" t="s">
        <v>1935</v>
      </c>
      <c r="R1509" s="9"/>
      <c r="S1509" s="9"/>
      <c r="T1509" s="9" t="s">
        <v>2813</v>
      </c>
      <c r="U1509" s="9" t="s">
        <v>63</v>
      </c>
      <c r="V1509" s="9" t="n">
        <v>0.82</v>
      </c>
      <c r="W1509" s="9"/>
      <c r="X1509" s="9" t="n">
        <v>10000</v>
      </c>
      <c r="Y1509" s="9"/>
      <c r="Z1509" s="9"/>
      <c r="AA1509" s="9"/>
      <c r="AB1509" s="9"/>
      <c r="AC1509" s="9"/>
      <c r="AD1509" s="9" t="n">
        <v>10000</v>
      </c>
      <c r="AE1509" s="9"/>
      <c r="AF1509" s="9"/>
      <c r="AG1509" s="9"/>
      <c r="AH1509" s="9" t="n">
        <v>10000</v>
      </c>
      <c r="AI1509" s="9"/>
      <c r="AJ1509" s="9" t="n">
        <f aca="false">X1509*$V1509</f>
        <v>8200</v>
      </c>
      <c r="AK1509" s="9" t="n">
        <f aca="false">Y1509*$V1509</f>
        <v>0</v>
      </c>
      <c r="AL1509" s="9" t="n">
        <f aca="false">Z1509*$V1509</f>
        <v>0</v>
      </c>
      <c r="AM1509" s="9" t="n">
        <f aca="false">AA1509*$V1509</f>
        <v>0</v>
      </c>
      <c r="AN1509" s="9" t="n">
        <f aca="false">AB1509*$V1509</f>
        <v>0</v>
      </c>
      <c r="AO1509" s="9" t="n">
        <f aca="false">AC1509*$V1509</f>
        <v>0</v>
      </c>
      <c r="AP1509" s="9" t="n">
        <f aca="false">AD1509*$V1509</f>
        <v>8200</v>
      </c>
      <c r="AQ1509" s="9" t="n">
        <f aca="false">AE1509*$V1509</f>
        <v>0</v>
      </c>
      <c r="AR1509" s="9" t="n">
        <f aca="false">AF1509*$V1509</f>
        <v>0</v>
      </c>
      <c r="AS1509" s="9" t="n">
        <f aca="false">AG1509*$V1509</f>
        <v>0</v>
      </c>
      <c r="AT1509" s="9" t="n">
        <f aca="false">AH1509*$V1509</f>
        <v>8200</v>
      </c>
      <c r="AU1509" s="9" t="n">
        <f aca="false">AI1509*$V1509</f>
        <v>0</v>
      </c>
      <c r="AV1509" s="9" t="n">
        <f aca="false">SUM(X1509:AI1509)/1000</f>
        <v>30</v>
      </c>
      <c r="AW1509" s="9" t="n">
        <f aca="false">SUM(AJ1509:AU1509)</f>
        <v>24600</v>
      </c>
      <c r="AX1509" s="9" t="n">
        <f aca="false">IF(D1509="INR",AW1509/88.24,AW1509)/1000000</f>
        <v>0.000278785131459656</v>
      </c>
    </row>
    <row r="1510" s="2" customFormat="true" ht="14.25" hidden="false" customHeight="false" outlineLevel="0" collapsed="false">
      <c r="A1510" s="12"/>
      <c r="B1510" s="16" t="n">
        <v>1</v>
      </c>
      <c r="C1510" s="15"/>
      <c r="D1510" s="16" t="s">
        <v>50</v>
      </c>
      <c r="E1510" s="16"/>
      <c r="F1510" s="16" t="s">
        <v>52</v>
      </c>
      <c r="G1510" s="16"/>
      <c r="H1510" s="16" t="s">
        <v>374</v>
      </c>
      <c r="I1510" s="16"/>
      <c r="J1510" s="16"/>
      <c r="K1510" s="16"/>
      <c r="L1510" s="16"/>
      <c r="M1510" s="16"/>
      <c r="N1510" s="16" t="s">
        <v>93</v>
      </c>
      <c r="O1510" s="16" t="s">
        <v>246</v>
      </c>
      <c r="P1510" s="16"/>
      <c r="Q1510" s="16" t="s">
        <v>1935</v>
      </c>
      <c r="R1510" s="16"/>
      <c r="S1510" s="16"/>
      <c r="T1510" s="16" t="s">
        <v>320</v>
      </c>
      <c r="U1510" s="16" t="s">
        <v>63</v>
      </c>
      <c r="V1510" s="16" t="n">
        <v>0.8</v>
      </c>
      <c r="W1510" s="16"/>
      <c r="X1510" s="22" t="n">
        <v>10000</v>
      </c>
      <c r="Y1510" s="9"/>
      <c r="Z1510" s="9"/>
      <c r="AA1510" s="9"/>
      <c r="AB1510" s="9"/>
      <c r="AC1510" s="9"/>
      <c r="AD1510" s="9" t="n">
        <v>10000</v>
      </c>
      <c r="AE1510" s="9"/>
      <c r="AF1510" s="9"/>
      <c r="AG1510" s="9"/>
      <c r="AH1510" s="9" t="n">
        <v>10000</v>
      </c>
      <c r="AI1510" s="9"/>
      <c r="AJ1510" s="9" t="n">
        <f aca="false">X1510*$V1510</f>
        <v>8000</v>
      </c>
      <c r="AK1510" s="9" t="n">
        <f aca="false">Y1510*$V1510</f>
        <v>0</v>
      </c>
      <c r="AL1510" s="9" t="n">
        <f aca="false">Z1510*$V1510</f>
        <v>0</v>
      </c>
      <c r="AM1510" s="9" t="n">
        <f aca="false">AA1510*$V1510</f>
        <v>0</v>
      </c>
      <c r="AN1510" s="9" t="n">
        <f aca="false">AB1510*$V1510</f>
        <v>0</v>
      </c>
      <c r="AO1510" s="9" t="n">
        <f aca="false">AC1510*$V1510</f>
        <v>0</v>
      </c>
      <c r="AP1510" s="9" t="n">
        <f aca="false">AD1510*$V1510</f>
        <v>8000</v>
      </c>
      <c r="AQ1510" s="9" t="n">
        <f aca="false">AE1510*$V1510</f>
        <v>0</v>
      </c>
      <c r="AR1510" s="9" t="n">
        <f aca="false">AF1510*$V1510</f>
        <v>0</v>
      </c>
      <c r="AS1510" s="9" t="n">
        <f aca="false">AG1510*$V1510</f>
        <v>0</v>
      </c>
      <c r="AT1510" s="9" t="n">
        <f aca="false">AH1510*$V1510</f>
        <v>8000</v>
      </c>
      <c r="AU1510" s="9" t="n">
        <f aca="false">AI1510*$V1510</f>
        <v>0</v>
      </c>
      <c r="AV1510" s="9" t="n">
        <f aca="false">SUM(X1510:AI1510)/1000</f>
        <v>30</v>
      </c>
      <c r="AW1510" s="9" t="n">
        <f aca="false">SUM(AJ1510:AU1510)</f>
        <v>24000</v>
      </c>
      <c r="AX1510" s="9" t="n">
        <f aca="false">IF(D1510="INR",AW1510/88.24,AW1510)/1000000</f>
        <v>0.000271985494106981</v>
      </c>
    </row>
    <row r="1511" s="2" customFormat="true" ht="14.25" hidden="false" customHeight="true" outlineLevel="0" collapsed="false">
      <c r="A1511" s="16"/>
      <c r="B1511" s="16" t="n">
        <v>1</v>
      </c>
      <c r="C1511" s="16"/>
      <c r="D1511" s="16" t="s">
        <v>50</v>
      </c>
      <c r="E1511" s="16"/>
      <c r="F1511" s="16" t="s">
        <v>52</v>
      </c>
      <c r="G1511" s="16"/>
      <c r="H1511" s="16" t="s">
        <v>374</v>
      </c>
      <c r="I1511" s="16"/>
      <c r="J1511" s="16"/>
      <c r="K1511" s="16"/>
      <c r="L1511" s="16"/>
      <c r="M1511" s="16"/>
      <c r="N1511" s="16" t="s">
        <v>93</v>
      </c>
      <c r="O1511" s="16" t="s">
        <v>246</v>
      </c>
      <c r="P1511" s="16"/>
      <c r="Q1511" s="16" t="s">
        <v>1935</v>
      </c>
      <c r="R1511" s="16"/>
      <c r="S1511" s="16"/>
      <c r="T1511" s="16" t="s">
        <v>2814</v>
      </c>
      <c r="U1511" s="16" t="s">
        <v>63</v>
      </c>
      <c r="V1511" s="16" t="n">
        <v>0.45</v>
      </c>
      <c r="W1511" s="16"/>
      <c r="X1511" s="16" t="n">
        <v>10000</v>
      </c>
      <c r="Y1511" s="16"/>
      <c r="Z1511" s="16"/>
      <c r="AA1511" s="16"/>
      <c r="AB1511" s="16"/>
      <c r="AC1511" s="16"/>
      <c r="AD1511" s="16" t="n">
        <v>10000</v>
      </c>
      <c r="AE1511" s="16"/>
      <c r="AF1511" s="16"/>
      <c r="AG1511" s="16"/>
      <c r="AH1511" s="16" t="n">
        <v>10000</v>
      </c>
      <c r="AI1511" s="16"/>
      <c r="AJ1511" s="9" t="n">
        <f aca="false">X1511*$V1511</f>
        <v>4500</v>
      </c>
      <c r="AK1511" s="9" t="n">
        <f aca="false">Y1511*$V1511</f>
        <v>0</v>
      </c>
      <c r="AL1511" s="9" t="n">
        <f aca="false">Z1511*$V1511</f>
        <v>0</v>
      </c>
      <c r="AM1511" s="9" t="n">
        <f aca="false">AA1511*$V1511</f>
        <v>0</v>
      </c>
      <c r="AN1511" s="9" t="n">
        <f aca="false">AB1511*$V1511</f>
        <v>0</v>
      </c>
      <c r="AO1511" s="9" t="n">
        <f aca="false">AC1511*$V1511</f>
        <v>0</v>
      </c>
      <c r="AP1511" s="9" t="n">
        <f aca="false">AD1511*$V1511</f>
        <v>4500</v>
      </c>
      <c r="AQ1511" s="9" t="n">
        <f aca="false">AE1511*$V1511</f>
        <v>0</v>
      </c>
      <c r="AR1511" s="9" t="n">
        <f aca="false">AF1511*$V1511</f>
        <v>0</v>
      </c>
      <c r="AS1511" s="9" t="n">
        <f aca="false">AG1511*$V1511</f>
        <v>0</v>
      </c>
      <c r="AT1511" s="9" t="n">
        <f aca="false">AH1511*$V1511</f>
        <v>4500</v>
      </c>
      <c r="AU1511" s="9" t="n">
        <f aca="false">AI1511*$V1511</f>
        <v>0</v>
      </c>
      <c r="AV1511" s="9" t="n">
        <f aca="false">SUM(X1511:AI1511)/1000</f>
        <v>30</v>
      </c>
      <c r="AW1511" s="9" t="n">
        <f aca="false">SUM(AJ1511:AU1511)</f>
        <v>13500</v>
      </c>
      <c r="AX1511" s="9" t="n">
        <f aca="false">IF(D1511="INR",AW1511/88.24,AW1511)/1000000</f>
        <v>0.000152991840435177</v>
      </c>
    </row>
    <row r="1512" s="2" customFormat="true" ht="14.25" hidden="false" customHeight="false" outlineLevel="0" collapsed="false">
      <c r="A1512" s="12" t="s">
        <v>2815</v>
      </c>
      <c r="B1512" s="16" t="n">
        <v>5</v>
      </c>
      <c r="C1512" s="15"/>
      <c r="D1512" s="16" t="s">
        <v>50</v>
      </c>
      <c r="E1512" s="16" t="s">
        <v>51</v>
      </c>
      <c r="F1512" s="16" t="s">
        <v>404</v>
      </c>
      <c r="G1512" s="16" t="s">
        <v>2816</v>
      </c>
      <c r="H1512" s="16" t="s">
        <v>2817</v>
      </c>
      <c r="I1512" s="16" t="s">
        <v>105</v>
      </c>
      <c r="J1512" s="16" t="s">
        <v>368</v>
      </c>
      <c r="K1512" s="16"/>
      <c r="L1512" s="16" t="s">
        <v>105</v>
      </c>
      <c r="M1512" s="16" t="s">
        <v>368</v>
      </c>
      <c r="N1512" s="16" t="s">
        <v>271</v>
      </c>
      <c r="O1512" s="16" t="s">
        <v>94</v>
      </c>
      <c r="P1512" s="16" t="s">
        <v>110</v>
      </c>
      <c r="Q1512" s="16" t="s">
        <v>110</v>
      </c>
      <c r="R1512" s="16" t="s">
        <v>137</v>
      </c>
      <c r="S1512" s="16" t="s">
        <v>272</v>
      </c>
      <c r="T1512" s="16" t="s">
        <v>1084</v>
      </c>
      <c r="U1512" s="16" t="s">
        <v>73</v>
      </c>
      <c r="V1512" s="16" t="n">
        <v>47.84</v>
      </c>
      <c r="W1512" s="16" t="n">
        <v>0.36</v>
      </c>
      <c r="X1512" s="22" t="n">
        <v>2500</v>
      </c>
      <c r="Y1512" s="22"/>
      <c r="Z1512" s="22"/>
      <c r="AA1512" s="22"/>
      <c r="AB1512" s="22" t="n">
        <v>2500</v>
      </c>
      <c r="AC1512" s="22"/>
      <c r="AD1512" s="22"/>
      <c r="AE1512" s="22" t="n">
        <v>2500</v>
      </c>
      <c r="AF1512" s="22"/>
      <c r="AG1512" s="22"/>
      <c r="AH1512" s="22" t="n">
        <v>2500</v>
      </c>
      <c r="AI1512" s="22"/>
      <c r="AJ1512" s="9" t="n">
        <f aca="false">X1512*$V1512</f>
        <v>119600</v>
      </c>
      <c r="AK1512" s="9" t="n">
        <f aca="false">Y1512*$V1512</f>
        <v>0</v>
      </c>
      <c r="AL1512" s="9" t="n">
        <f aca="false">Z1512*$V1512</f>
        <v>0</v>
      </c>
      <c r="AM1512" s="9" t="n">
        <f aca="false">AA1512*$V1512</f>
        <v>0</v>
      </c>
      <c r="AN1512" s="9" t="n">
        <f aca="false">AB1512*$V1512</f>
        <v>119600</v>
      </c>
      <c r="AO1512" s="9" t="n">
        <f aca="false">AC1512*$V1512</f>
        <v>0</v>
      </c>
      <c r="AP1512" s="9" t="n">
        <f aca="false">AD1512*$V1512</f>
        <v>0</v>
      </c>
      <c r="AQ1512" s="9" t="n">
        <f aca="false">AE1512*$V1512</f>
        <v>119600</v>
      </c>
      <c r="AR1512" s="9" t="n">
        <f aca="false">AF1512*$V1512</f>
        <v>0</v>
      </c>
      <c r="AS1512" s="9" t="n">
        <f aca="false">AG1512*$V1512</f>
        <v>0</v>
      </c>
      <c r="AT1512" s="9" t="n">
        <f aca="false">AH1512*$V1512</f>
        <v>119600</v>
      </c>
      <c r="AU1512" s="9" t="n">
        <f aca="false">AI1512*$V1512</f>
        <v>0</v>
      </c>
      <c r="AV1512" s="9" t="n">
        <f aca="false">SUM(X1512:AI1512)/1000</f>
        <v>10</v>
      </c>
      <c r="AW1512" s="9" t="n">
        <f aca="false">SUM(AJ1512:AU1512)</f>
        <v>478400</v>
      </c>
      <c r="AX1512" s="9" t="n">
        <f aca="false">IF(D1512="INR",AW1512/88.24,AW1512)/1000000</f>
        <v>0.00542157751586582</v>
      </c>
    </row>
    <row r="1513" s="2" customFormat="true" ht="14.25" hidden="false" customHeight="false" outlineLevel="0" collapsed="false">
      <c r="A1513" s="12" t="s">
        <v>2818</v>
      </c>
      <c r="B1513" s="16" t="n">
        <v>5</v>
      </c>
      <c r="C1513" s="15"/>
      <c r="D1513" s="16" t="s">
        <v>50</v>
      </c>
      <c r="E1513" s="16" t="s">
        <v>51</v>
      </c>
      <c r="F1513" s="16" t="s">
        <v>267</v>
      </c>
      <c r="G1513" s="16" t="s">
        <v>2819</v>
      </c>
      <c r="H1513" s="16" t="s">
        <v>2820</v>
      </c>
      <c r="I1513" s="16" t="s">
        <v>105</v>
      </c>
      <c r="J1513" s="16" t="s">
        <v>368</v>
      </c>
      <c r="K1513" s="16" t="s">
        <v>2820</v>
      </c>
      <c r="L1513" s="16" t="s">
        <v>105</v>
      </c>
      <c r="M1513" s="16" t="s">
        <v>368</v>
      </c>
      <c r="N1513" s="16" t="s">
        <v>271</v>
      </c>
      <c r="O1513" s="16" t="s">
        <v>94</v>
      </c>
      <c r="P1513" s="16" t="s">
        <v>967</v>
      </c>
      <c r="Q1513" s="16" t="s">
        <v>967</v>
      </c>
      <c r="R1513" s="16" t="s">
        <v>800</v>
      </c>
      <c r="S1513" s="16" t="s">
        <v>968</v>
      </c>
      <c r="T1513" s="16" t="s">
        <v>2821</v>
      </c>
      <c r="U1513" s="16" t="s">
        <v>73</v>
      </c>
      <c r="V1513" s="26" t="n">
        <v>20.25</v>
      </c>
      <c r="W1513" s="26" t="n">
        <v>0.156</v>
      </c>
      <c r="X1513" s="16" t="n">
        <v>30000</v>
      </c>
      <c r="Y1513" s="16"/>
      <c r="Z1513" s="16"/>
      <c r="AA1513" s="16"/>
      <c r="AB1513" s="16" t="n">
        <v>30000</v>
      </c>
      <c r="AC1513" s="16"/>
      <c r="AD1513" s="16"/>
      <c r="AE1513" s="16"/>
      <c r="AF1513" s="16" t="n">
        <v>30000</v>
      </c>
      <c r="AG1513" s="16"/>
      <c r="AH1513" s="16"/>
      <c r="AI1513" s="16"/>
      <c r="AJ1513" s="9" t="n">
        <f aca="false">X1513*$V1513</f>
        <v>607500</v>
      </c>
      <c r="AK1513" s="9" t="n">
        <f aca="false">Y1513*$V1513</f>
        <v>0</v>
      </c>
      <c r="AL1513" s="9" t="n">
        <f aca="false">Z1513*$V1513</f>
        <v>0</v>
      </c>
      <c r="AM1513" s="9" t="n">
        <f aca="false">AA1513*$V1513</f>
        <v>0</v>
      </c>
      <c r="AN1513" s="9" t="n">
        <f aca="false">AB1513*$V1513</f>
        <v>607500</v>
      </c>
      <c r="AO1513" s="9" t="n">
        <f aca="false">AC1513*$V1513</f>
        <v>0</v>
      </c>
      <c r="AP1513" s="9" t="n">
        <f aca="false">AD1513*$V1513</f>
        <v>0</v>
      </c>
      <c r="AQ1513" s="9" t="n">
        <f aca="false">AE1513*$V1513</f>
        <v>0</v>
      </c>
      <c r="AR1513" s="9" t="n">
        <f aca="false">AF1513*$V1513</f>
        <v>607500</v>
      </c>
      <c r="AS1513" s="9" t="n">
        <f aca="false">AG1513*$V1513</f>
        <v>0</v>
      </c>
      <c r="AT1513" s="9" t="n">
        <f aca="false">AH1513*$V1513</f>
        <v>0</v>
      </c>
      <c r="AU1513" s="9" t="n">
        <f aca="false">AI1513*$V1513</f>
        <v>0</v>
      </c>
      <c r="AV1513" s="9" t="n">
        <f aca="false">SUM(X1513:AI1513)/1000</f>
        <v>90</v>
      </c>
      <c r="AW1513" s="9" t="n">
        <f aca="false">SUM(AJ1513:AU1513)</f>
        <v>1822500</v>
      </c>
      <c r="AX1513" s="9" t="n">
        <f aca="false">IF(D1513="INR",AW1513/88.24,AW1513)/1000000</f>
        <v>0.0206538984587489</v>
      </c>
    </row>
    <row r="1514" s="2" customFormat="true" ht="14.25" hidden="false" customHeight="true" outlineLevel="0" collapsed="false">
      <c r="A1514" s="9" t="s">
        <v>2822</v>
      </c>
      <c r="B1514" s="9" t="n">
        <v>5</v>
      </c>
      <c r="C1514" s="9"/>
      <c r="D1514" s="16" t="s">
        <v>50</v>
      </c>
      <c r="E1514" s="16" t="s">
        <v>51</v>
      </c>
      <c r="F1514" s="9" t="s">
        <v>52</v>
      </c>
      <c r="G1514" s="9" t="s">
        <v>1003</v>
      </c>
      <c r="H1514" s="16" t="s">
        <v>1004</v>
      </c>
      <c r="I1514" s="9" t="s">
        <v>1005</v>
      </c>
      <c r="J1514" s="9" t="s">
        <v>1006</v>
      </c>
      <c r="K1514" s="9"/>
      <c r="L1514" s="9" t="s">
        <v>1005</v>
      </c>
      <c r="M1514" s="9" t="s">
        <v>1006</v>
      </c>
      <c r="N1514" s="16" t="s">
        <v>67</v>
      </c>
      <c r="O1514" s="9" t="s">
        <v>246</v>
      </c>
      <c r="P1514" s="9" t="s">
        <v>308</v>
      </c>
      <c r="Q1514" s="16" t="s">
        <v>308</v>
      </c>
      <c r="R1514" s="9" t="s">
        <v>309</v>
      </c>
      <c r="S1514" s="9" t="s">
        <v>264</v>
      </c>
      <c r="T1514" s="9" t="s">
        <v>1569</v>
      </c>
      <c r="U1514" s="9" t="s">
        <v>73</v>
      </c>
      <c r="V1514" s="16" t="n">
        <v>0.75</v>
      </c>
      <c r="W1514" s="9" t="n">
        <v>0.65</v>
      </c>
      <c r="X1514" s="9" t="n">
        <v>12000</v>
      </c>
      <c r="Y1514" s="9"/>
      <c r="Z1514" s="9"/>
      <c r="AA1514" s="9" t="n">
        <v>12000</v>
      </c>
      <c r="AB1514" s="9"/>
      <c r="AC1514" s="9"/>
      <c r="AD1514" s="9"/>
      <c r="AE1514" s="9" t="n">
        <v>12000</v>
      </c>
      <c r="AF1514" s="9"/>
      <c r="AG1514" s="9"/>
      <c r="AH1514" s="9" t="n">
        <v>12000</v>
      </c>
      <c r="AI1514" s="9"/>
      <c r="AJ1514" s="9" t="n">
        <f aca="false">X1514*$V1514</f>
        <v>9000</v>
      </c>
      <c r="AK1514" s="9" t="n">
        <f aca="false">Y1514*$V1514</f>
        <v>0</v>
      </c>
      <c r="AL1514" s="9" t="n">
        <f aca="false">Z1514*$V1514</f>
        <v>0</v>
      </c>
      <c r="AM1514" s="9" t="n">
        <f aca="false">AA1514*$V1514</f>
        <v>9000</v>
      </c>
      <c r="AN1514" s="9" t="n">
        <f aca="false">AB1514*$V1514</f>
        <v>0</v>
      </c>
      <c r="AO1514" s="9" t="n">
        <f aca="false">AC1514*$V1514</f>
        <v>0</v>
      </c>
      <c r="AP1514" s="9" t="n">
        <f aca="false">AD1514*$V1514</f>
        <v>0</v>
      </c>
      <c r="AQ1514" s="9" t="n">
        <f aca="false">AE1514*$V1514</f>
        <v>9000</v>
      </c>
      <c r="AR1514" s="9" t="n">
        <f aca="false">AF1514*$V1514</f>
        <v>0</v>
      </c>
      <c r="AS1514" s="9" t="n">
        <f aca="false">AG1514*$V1514</f>
        <v>0</v>
      </c>
      <c r="AT1514" s="9" t="n">
        <f aca="false">AH1514*$V1514</f>
        <v>9000</v>
      </c>
      <c r="AU1514" s="9" t="n">
        <f aca="false">AI1514*$V1514</f>
        <v>0</v>
      </c>
      <c r="AV1514" s="9" t="n">
        <f aca="false">SUM(X1514:AI1514)/1000</f>
        <v>48</v>
      </c>
      <c r="AW1514" s="9" t="n">
        <f aca="false">SUM(AJ1514:AU1514)</f>
        <v>36000</v>
      </c>
      <c r="AX1514" s="9" t="n">
        <f aca="false">IF(D1514="INR",AW1514/88.24,AW1514)/1000000</f>
        <v>0.000407978241160471</v>
      </c>
    </row>
    <row r="1515" s="2" customFormat="true" ht="14.25" hidden="false" customHeight="true" outlineLevel="0" collapsed="false">
      <c r="A1515" s="12" t="s">
        <v>2823</v>
      </c>
      <c r="B1515" s="16" t="n">
        <v>5</v>
      </c>
      <c r="C1515" s="15"/>
      <c r="D1515" s="16" t="s">
        <v>50</v>
      </c>
      <c r="E1515" s="16" t="s">
        <v>51</v>
      </c>
      <c r="F1515" s="16" t="s">
        <v>52</v>
      </c>
      <c r="G1515" s="16" t="s">
        <v>1003</v>
      </c>
      <c r="H1515" s="16" t="s">
        <v>1004</v>
      </c>
      <c r="I1515" s="16" t="s">
        <v>1005</v>
      </c>
      <c r="J1515" s="16" t="s">
        <v>1006</v>
      </c>
      <c r="K1515" s="16"/>
      <c r="L1515" s="16" t="s">
        <v>1005</v>
      </c>
      <c r="M1515" s="16" t="s">
        <v>1006</v>
      </c>
      <c r="N1515" s="16" t="s">
        <v>67</v>
      </c>
      <c r="O1515" s="16" t="s">
        <v>246</v>
      </c>
      <c r="P1515" s="16" t="s">
        <v>308</v>
      </c>
      <c r="Q1515" s="16" t="s">
        <v>308</v>
      </c>
      <c r="R1515" s="16" t="s">
        <v>309</v>
      </c>
      <c r="S1515" s="16" t="s">
        <v>264</v>
      </c>
      <c r="T1515" s="16" t="s">
        <v>354</v>
      </c>
      <c r="U1515" s="16" t="s">
        <v>73</v>
      </c>
      <c r="V1515" s="16" t="n">
        <v>6.65</v>
      </c>
      <c r="W1515" s="16" t="n">
        <v>5.77</v>
      </c>
      <c r="X1515" s="22" t="n">
        <v>5000</v>
      </c>
      <c r="Y1515" s="22" t="n">
        <v>5000</v>
      </c>
      <c r="Z1515" s="22"/>
      <c r="AA1515" s="22" t="n">
        <v>5000</v>
      </c>
      <c r="AB1515" s="22" t="n">
        <v>5000</v>
      </c>
      <c r="AC1515" s="22"/>
      <c r="AD1515" s="22" t="n">
        <v>5000</v>
      </c>
      <c r="AE1515" s="22" t="n">
        <v>5000</v>
      </c>
      <c r="AF1515" s="22"/>
      <c r="AG1515" s="22" t="n">
        <v>5000</v>
      </c>
      <c r="AH1515" s="22" t="n">
        <v>5000</v>
      </c>
      <c r="AI1515" s="22"/>
      <c r="AJ1515" s="9" t="n">
        <f aca="false">X1515*$V1515</f>
        <v>33250</v>
      </c>
      <c r="AK1515" s="9" t="n">
        <f aca="false">Y1515*$V1515</f>
        <v>33250</v>
      </c>
      <c r="AL1515" s="9" t="n">
        <f aca="false">Z1515*$V1515</f>
        <v>0</v>
      </c>
      <c r="AM1515" s="9" t="n">
        <f aca="false">AA1515*$V1515</f>
        <v>33250</v>
      </c>
      <c r="AN1515" s="9" t="n">
        <f aca="false">AB1515*$V1515</f>
        <v>33250</v>
      </c>
      <c r="AO1515" s="9" t="n">
        <f aca="false">AC1515*$V1515</f>
        <v>0</v>
      </c>
      <c r="AP1515" s="9" t="n">
        <f aca="false">AD1515*$V1515</f>
        <v>33250</v>
      </c>
      <c r="AQ1515" s="9" t="n">
        <f aca="false">AE1515*$V1515</f>
        <v>33250</v>
      </c>
      <c r="AR1515" s="9" t="n">
        <f aca="false">AF1515*$V1515</f>
        <v>0</v>
      </c>
      <c r="AS1515" s="9" t="n">
        <f aca="false">AG1515*$V1515</f>
        <v>33250</v>
      </c>
      <c r="AT1515" s="9" t="n">
        <f aca="false">AH1515*$V1515</f>
        <v>33250</v>
      </c>
      <c r="AU1515" s="9" t="n">
        <f aca="false">AI1515*$V1515</f>
        <v>0</v>
      </c>
      <c r="AV1515" s="9" t="n">
        <f aca="false">SUM(X1515:AI1515)/1000</f>
        <v>40</v>
      </c>
      <c r="AW1515" s="9" t="n">
        <f aca="false">SUM(AJ1515:AU1515)</f>
        <v>266000</v>
      </c>
      <c r="AX1515" s="9" t="n">
        <f aca="false">IF(D1515="INR",AW1515/88.24,AW1515)/1000000</f>
        <v>0.00301450589301904</v>
      </c>
    </row>
    <row r="1516" s="2" customFormat="true" ht="14.25" hidden="false" customHeight="false" outlineLevel="0" collapsed="false">
      <c r="A1516" s="9"/>
      <c r="B1516" s="9" t="n">
        <v>1</v>
      </c>
      <c r="C1516" s="10"/>
      <c r="D1516" s="9" t="s">
        <v>50</v>
      </c>
      <c r="E1516" s="9"/>
      <c r="F1516" s="9" t="s">
        <v>52</v>
      </c>
      <c r="G1516" s="9"/>
      <c r="H1516" s="9" t="s">
        <v>410</v>
      </c>
      <c r="I1516" s="9" t="s">
        <v>260</v>
      </c>
      <c r="J1516" s="9" t="s">
        <v>411</v>
      </c>
      <c r="K1516" s="9"/>
      <c r="L1516" s="9" t="s">
        <v>260</v>
      </c>
      <c r="M1516" s="9" t="s">
        <v>411</v>
      </c>
      <c r="N1516" s="9" t="s">
        <v>79</v>
      </c>
      <c r="O1516" s="9" t="s">
        <v>68</v>
      </c>
      <c r="P1516" s="9"/>
      <c r="Q1516" s="9" t="s">
        <v>789</v>
      </c>
      <c r="R1516" s="9"/>
      <c r="S1516" s="9"/>
      <c r="T1516" s="9" t="s">
        <v>2824</v>
      </c>
      <c r="U1516" s="9" t="s">
        <v>63</v>
      </c>
      <c r="V1516" s="9" t="n">
        <v>3.6</v>
      </c>
      <c r="W1516" s="9"/>
      <c r="X1516" s="9" t="n">
        <v>250000</v>
      </c>
      <c r="Y1516" s="9"/>
      <c r="Z1516" s="9"/>
      <c r="AA1516" s="9"/>
      <c r="AB1516" s="9"/>
      <c r="AC1516" s="9" t="n">
        <v>250000</v>
      </c>
      <c r="AD1516" s="9"/>
      <c r="AE1516" s="9"/>
      <c r="AF1516" s="9"/>
      <c r="AG1516" s="9"/>
      <c r="AH1516" s="9"/>
      <c r="AI1516" s="9"/>
      <c r="AJ1516" s="9" t="n">
        <f aca="false">X1516*$V1516</f>
        <v>900000</v>
      </c>
      <c r="AK1516" s="9" t="n">
        <f aca="false">Y1516*$V1516</f>
        <v>0</v>
      </c>
      <c r="AL1516" s="9" t="n">
        <f aca="false">Z1516*$V1516</f>
        <v>0</v>
      </c>
      <c r="AM1516" s="9" t="n">
        <f aca="false">AA1516*$V1516</f>
        <v>0</v>
      </c>
      <c r="AN1516" s="9" t="n">
        <f aca="false">AB1516*$V1516</f>
        <v>0</v>
      </c>
      <c r="AO1516" s="9" t="n">
        <f aca="false">AC1516*$V1516</f>
        <v>900000</v>
      </c>
      <c r="AP1516" s="9" t="n">
        <f aca="false">AD1516*$V1516</f>
        <v>0</v>
      </c>
      <c r="AQ1516" s="9" t="n">
        <f aca="false">AE1516*$V1516</f>
        <v>0</v>
      </c>
      <c r="AR1516" s="9" t="n">
        <f aca="false">AF1516*$V1516</f>
        <v>0</v>
      </c>
      <c r="AS1516" s="9" t="n">
        <f aca="false">AG1516*$V1516</f>
        <v>0</v>
      </c>
      <c r="AT1516" s="9" t="n">
        <f aca="false">AH1516*$V1516</f>
        <v>0</v>
      </c>
      <c r="AU1516" s="9" t="n">
        <f aca="false">AI1516*$V1516</f>
        <v>0</v>
      </c>
      <c r="AV1516" s="9" t="n">
        <f aca="false">SUM(X1516:AI1516)/1000</f>
        <v>500</v>
      </c>
      <c r="AW1516" s="9" t="n">
        <f aca="false">SUM(AJ1516:AU1516)</f>
        <v>1800000</v>
      </c>
      <c r="AX1516" s="9" t="n">
        <f aca="false">IF(D1516="INR",AW1516/88.24,AW1516)/1000000</f>
        <v>0.0203989120580236</v>
      </c>
    </row>
    <row r="1517" s="2" customFormat="true" ht="14.25" hidden="false" customHeight="true" outlineLevel="0" collapsed="false">
      <c r="A1517" s="16"/>
      <c r="B1517" s="16" t="n">
        <v>1</v>
      </c>
      <c r="C1517" s="16"/>
      <c r="D1517" s="16" t="s">
        <v>50</v>
      </c>
      <c r="E1517" s="16" t="s">
        <v>51</v>
      </c>
      <c r="F1517" s="16" t="s">
        <v>52</v>
      </c>
      <c r="G1517" s="16"/>
      <c r="H1517" s="16" t="s">
        <v>410</v>
      </c>
      <c r="I1517" s="16" t="s">
        <v>260</v>
      </c>
      <c r="J1517" s="16" t="s">
        <v>411</v>
      </c>
      <c r="K1517" s="16"/>
      <c r="L1517" s="16" t="s">
        <v>260</v>
      </c>
      <c r="M1517" s="16" t="s">
        <v>411</v>
      </c>
      <c r="N1517" s="16" t="s">
        <v>79</v>
      </c>
      <c r="O1517" s="16" t="s">
        <v>68</v>
      </c>
      <c r="P1517" s="16"/>
      <c r="Q1517" s="63" t="s">
        <v>789</v>
      </c>
      <c r="R1517" s="16"/>
      <c r="S1517" s="16"/>
      <c r="T1517" s="63" t="s">
        <v>2824</v>
      </c>
      <c r="U1517" s="16" t="s">
        <v>63</v>
      </c>
      <c r="V1517" s="64" t="n">
        <v>3.6</v>
      </c>
      <c r="W1517" s="16"/>
      <c r="X1517" s="30" t="n">
        <v>250000</v>
      </c>
      <c r="Y1517" s="30"/>
      <c r="Z1517" s="30"/>
      <c r="AA1517" s="30"/>
      <c r="AB1517" s="30"/>
      <c r="AC1517" s="30" t="n">
        <v>250000</v>
      </c>
      <c r="AD1517" s="30"/>
      <c r="AE1517" s="30"/>
      <c r="AF1517" s="30"/>
      <c r="AG1517" s="30"/>
      <c r="AH1517" s="30"/>
      <c r="AI1517" s="30"/>
      <c r="AJ1517" s="9" t="n">
        <f aca="false">V1517*X1517</f>
        <v>900000</v>
      </c>
      <c r="AK1517" s="9" t="n">
        <f aca="false">Y1517*$V1517</f>
        <v>0</v>
      </c>
      <c r="AL1517" s="9" t="n">
        <f aca="false">Z1517*$V1517</f>
        <v>0</v>
      </c>
      <c r="AM1517" s="9" t="n">
        <f aca="false">AA1517*$V1517</f>
        <v>0</v>
      </c>
      <c r="AN1517" s="9" t="n">
        <f aca="false">AB1517*$V1517</f>
        <v>0</v>
      </c>
      <c r="AO1517" s="9" t="n">
        <f aca="false">AC1517*$V1517</f>
        <v>900000</v>
      </c>
      <c r="AP1517" s="9" t="n">
        <f aca="false">AD1517*$V1517</f>
        <v>0</v>
      </c>
      <c r="AQ1517" s="9" t="n">
        <f aca="false">AE1517*$V1517</f>
        <v>0</v>
      </c>
      <c r="AR1517" s="9" t="n">
        <f aca="false">AF1517*$V1517</f>
        <v>0</v>
      </c>
      <c r="AS1517" s="9" t="n">
        <f aca="false">AG1517*$V1517</f>
        <v>0</v>
      </c>
      <c r="AT1517" s="9" t="n">
        <f aca="false">AH1517*$V1517</f>
        <v>0</v>
      </c>
      <c r="AU1517" s="9" t="n">
        <f aca="false">AI1517*$V1517</f>
        <v>0</v>
      </c>
      <c r="AV1517" s="9" t="n">
        <f aca="false">SUM(X1517:AI1517)/1000</f>
        <v>500</v>
      </c>
      <c r="AW1517" s="9" t="n">
        <f aca="false">SUM(AJ1517:AU1517)</f>
        <v>1800000</v>
      </c>
      <c r="AX1517" s="9" t="n">
        <f aca="false">IF(D1517="INR",AW1517/88.24,AW1517)/1000000</f>
        <v>0.0203989120580236</v>
      </c>
    </row>
    <row r="1518" customFormat="false" ht="14.25" hidden="false" customHeight="false" outlineLevel="0" collapsed="false">
      <c r="F1518" s="65"/>
    </row>
    <row r="1048576" customFormat="false" ht="12.8" hidden="false" customHeight="false" outlineLevel="0" collapsed="false"/>
  </sheetData>
  <conditionalFormatting sqref="A583:A645">
    <cfRule type="duplicateValues" priority="2" aboveAverage="0" equalAverage="0" bottom="0" percent="0" rank="0" text="" dxfId="0"/>
  </conditionalFormatting>
  <conditionalFormatting sqref="A571:A582">
    <cfRule type="duplicateValues" priority="3" aboveAverage="0" equalAverage="0" bottom="0" percent="0" rank="0" text="" dxfId="1"/>
  </conditionalFormatting>
  <conditionalFormatting sqref="A567:A570">
    <cfRule type="duplicateValues" priority="4" aboveAverage="0" equalAverage="0" bottom="0" percent="0" rank="0" text="" dxfId="2"/>
  </conditionalFormatting>
  <conditionalFormatting sqref="A558:A566">
    <cfRule type="duplicateValues" priority="5" aboveAverage="0" equalAverage="0" bottom="0" percent="0" rank="0" text="" dxfId="3"/>
  </conditionalFormatting>
  <conditionalFormatting sqref="A258">
    <cfRule type="duplicateValues" priority="6" aboveAverage="0" equalAverage="0" bottom="0" percent="0" rank="0" text="" dxfId="4"/>
  </conditionalFormatting>
  <conditionalFormatting sqref="A260:A266">
    <cfRule type="duplicateValues" priority="7" aboveAverage="0" equalAverage="0" bottom="0" percent="0" rank="0" text="" dxfId="5"/>
  </conditionalFormatting>
  <conditionalFormatting sqref="A259">
    <cfRule type="duplicateValues" priority="8" aboveAverage="0" equalAverage="0" bottom="0" percent="0" rank="0" text="" dxfId="6"/>
  </conditionalFormatting>
  <conditionalFormatting sqref="A256:A257">
    <cfRule type="duplicateValues" priority="9" aboveAverage="0" equalAverage="0" bottom="0" percent="0" rank="0" text="" dxfId="7"/>
  </conditionalFormatting>
  <conditionalFormatting sqref="A254:A255">
    <cfRule type="duplicateValues" priority="10" aboveAverage="0" equalAverage="0" bottom="0" percent="0" rank="0" text="" dxfId="8"/>
  </conditionalFormatting>
  <conditionalFormatting sqref="A242:A253">
    <cfRule type="duplicateValues" priority="11" aboveAverage="0" equalAverage="0" bottom="0" percent="0" rank="0" text="" dxfId="9"/>
  </conditionalFormatting>
  <conditionalFormatting sqref="A201:A241">
    <cfRule type="duplicateValues" priority="12" aboveAverage="0" equalAverage="0" bottom="0" percent="0" rank="0" text="" dxfId="10"/>
  </conditionalFormatting>
  <conditionalFormatting sqref="A187:A200">
    <cfRule type="duplicateValues" priority="13" aboveAverage="0" equalAverage="0" bottom="0" percent="0" rank="0" text="" dxfId="11"/>
  </conditionalFormatting>
  <conditionalFormatting sqref="A151:A186">
    <cfRule type="duplicateValues" priority="14" aboveAverage="0" equalAverage="0" bottom="0" percent="0" rank="0" text="" dxfId="12"/>
  </conditionalFormatting>
  <conditionalFormatting sqref="A267:A404">
    <cfRule type="duplicateValues" priority="15" aboveAverage="0" equalAverage="0" bottom="0" percent="0" rank="0" text="" dxfId="13"/>
  </conditionalFormatting>
  <conditionalFormatting sqref="A427:A550">
    <cfRule type="duplicateValues" priority="16" aboveAverage="0" equalAverage="0" bottom="0" percent="0" rank="0" text="" dxfId="14"/>
  </conditionalFormatting>
  <conditionalFormatting sqref="A87:A150">
    <cfRule type="duplicateValues" priority="17" aboveAverage="0" equalAverage="0" bottom="0" percent="0" rank="0" text="" dxfId="15"/>
  </conditionalFormatting>
  <conditionalFormatting sqref="A1482:A1510">
    <cfRule type="duplicateValues" priority="18" aboveAverage="0" equalAverage="0" bottom="0" percent="0" rank="0" text="" dxfId="16"/>
  </conditionalFormatting>
  <conditionalFormatting sqref="A1325:A1476">
    <cfRule type="duplicateValues" priority="19" aboveAverage="0" equalAverage="0" bottom="0" percent="0" rank="0" text="" dxfId="17"/>
  </conditionalFormatting>
  <conditionalFormatting sqref="A1309:A1322">
    <cfRule type="duplicateValues" priority="20" aboveAverage="0" equalAverage="0" bottom="0" percent="0" rank="0" text="" dxfId="18"/>
  </conditionalFormatting>
  <conditionalFormatting sqref="A1303">
    <cfRule type="duplicateValues" priority="21" aboveAverage="0" equalAverage="0" bottom="0" percent="0" rank="0" text="" dxfId="19"/>
  </conditionalFormatting>
  <conditionalFormatting sqref="A1038:A1040">
    <cfRule type="duplicateValues" priority="22" aboveAverage="0" equalAverage="0" bottom="0" percent="0" rank="0" text="" dxfId="20"/>
  </conditionalFormatting>
  <conditionalFormatting sqref="A889:A1037">
    <cfRule type="duplicateValues" priority="23" aboveAverage="0" equalAverage="0" bottom="0" percent="0" rank="0" text="" dxfId="21"/>
  </conditionalFormatting>
  <conditionalFormatting sqref="A809:A883">
    <cfRule type="duplicateValues" priority="24" aboveAverage="0" equalAverage="0" bottom="0" percent="0" rank="0" text="" dxfId="22"/>
  </conditionalFormatting>
  <conditionalFormatting sqref="A2:A86 A658:A808">
    <cfRule type="duplicateValues" priority="25" aboveAverage="0" equalAverage="0" bottom="0" percent="0" rank="0" text="" dxfId="23"/>
  </conditionalFormatting>
  <conditionalFormatting sqref="A1048:A1302">
    <cfRule type="duplicateValues" priority="26" aboveAverage="0" equalAverage="0" bottom="0" percent="0" rank="0" text="" dxfId="2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Neha Chauhan</dc:creator>
  <dc:description/>
  <dc:language>en-US</dc:language>
  <cp:lastModifiedBy/>
  <dcterms:modified xsi:type="dcterms:W3CDTF">2026-08-23T13:32:36Z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