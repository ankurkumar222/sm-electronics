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FF002060"/>
    </font>
    <font>
      <color rgb="FF002060"/>
    </font>
  </fonts>
  <fills count="4">
    <fill>
      <patternFill/>
    </fill>
    <fill>
      <patternFill patternType="gray125"/>
    </fill>
    <fill>
      <patternFill patternType="solid">
        <fgColor rgb="FF94DCF8"/>
      </patternFill>
    </fill>
    <fill>
      <patternFill patternType="solid">
        <fgColor rgb="FFD6E6F4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medium"/>
      <right style="medium"/>
      <bottom style="medium"/>
    </border>
    <border>
      <top style="medium"/>
      <bottom style="medium"/>
    </border>
    <border>
      <right style="medium"/>
      <top style="medium"/>
      <bottom style="medium"/>
    </border>
    <border>
      <right style="medium"/>
      <bottom style="medium"/>
    </border>
    <border>
      <left style="medium"/>
      <right style="medium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164" fontId="0" fillId="0" borderId="1" pivotButton="0" quotePrefix="0" xfId="0"/>
    <xf numFmtId="0" fontId="2" fillId="3" borderId="2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3" pivotButton="0" quotePrefix="0" xfId="0"/>
    <xf numFmtId="0" fontId="2" fillId="3" borderId="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5" pivotButton="0" quotePrefix="0" xfId="0"/>
    <xf numFmtId="2" fontId="3" fillId="0" borderId="5" pivotButton="0" quotePrefix="0" xfId="0"/>
    <xf numFmtId="9" fontId="3" fillId="0" borderId="5" pivotButton="0" quotePrefix="0" xfId="0"/>
    <xf numFmtId="0" fontId="0" fillId="0" borderId="7" pivotButton="0" quotePrefix="0" xfId="0"/>
    <xf numFmtId="0" fontId="3" fillId="0" borderId="6" pivotButton="0" quotePrefix="0" xfId="0"/>
    <xf numFmtId="2" fontId="3" fillId="0" borderId="6" pivotButton="0" quotePrefix="0" xfId="0"/>
    <xf numFmtId="9" fontId="3" fillId="0" borderId="6" pivotButton="0" quotePrefix="0" xfId="0"/>
    <xf numFmtId="164" fontId="3" fillId="0" borderId="6" pivotButton="0" quotePrefix="0" xfId="0"/>
    <xf numFmtId="0" fontId="3" fillId="0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16"/>
  <sheetViews>
    <sheetView workbookViewId="0">
      <selection activeCell="A1" sqref="A1"/>
    </sheetView>
  </sheetViews>
  <sheetFormatPr baseColWidth="8" defaultRowHeight="15"/>
  <cols>
    <col width="14.37" customWidth="1" min="1" max="1"/>
    <col width="13" customWidth="1" min="2" max="2"/>
    <col width="7.5" customWidth="1" min="3" max="3"/>
    <col width="7.5" customWidth="1" min="4" max="4"/>
    <col width="6.5" customWidth="1" min="5" max="5"/>
    <col width="2" customWidth="1" min="6" max="6"/>
    <col width="7.5" customWidth="1" min="7" max="7"/>
    <col width="7.5" customWidth="1" min="8" max="8"/>
    <col width="6.5" customWidth="1" min="9" max="9"/>
    <col width="2" customWidth="1" min="10" max="10"/>
    <col width="7.5" customWidth="1" min="11" max="11"/>
    <col width="7.5" customWidth="1" min="12" max="12"/>
    <col width="6.5" customWidth="1" min="13" max="13"/>
    <col width="2" customWidth="1" min="14" max="14"/>
    <col width="7.5" customWidth="1" min="15" max="15"/>
    <col width="7.5" customWidth="1" min="16" max="16"/>
    <col width="6.5" customWidth="1" min="17" max="17"/>
    <col width="2" customWidth="1" min="18" max="18"/>
    <col width="7.5" customWidth="1" min="19" max="19"/>
    <col width="7.5" customWidth="1" min="20" max="20"/>
    <col width="6.5" customWidth="1" min="21" max="21"/>
    <col width="2" customWidth="1" min="22" max="22"/>
    <col width="7.5" customWidth="1" min="23" max="23"/>
    <col width="7.5" customWidth="1" min="24" max="24"/>
    <col width="6.5" customWidth="1" min="25" max="25"/>
    <col width="2" customWidth="1" min="26" max="26"/>
  </cols>
  <sheetData>
    <row r="2" ht="16.4" customHeight="1">
      <c r="A2" s="1" t="inlineStr">
        <is>
          <t>Billing for Aug'26</t>
        </is>
      </c>
      <c r="B2" s="2" t="n"/>
      <c r="C2" s="2" t="n"/>
      <c r="D2" s="2" t="n"/>
    </row>
    <row r="3">
      <c r="A3" s="2" t="n"/>
      <c r="B3" s="3" t="inlineStr">
        <is>
          <t>TGT</t>
        </is>
      </c>
      <c r="C3" s="3" t="inlineStr">
        <is>
          <t>ACT</t>
        </is>
      </c>
      <c r="D3" s="3" t="inlineStr">
        <is>
          <t>%</t>
        </is>
      </c>
    </row>
    <row r="4">
      <c r="A4" s="4" t="inlineStr">
        <is>
          <t>INR (Cr)</t>
        </is>
      </c>
      <c r="B4" s="5" t="n">
        <v>17.972909</v>
      </c>
      <c r="C4" s="5" t="n">
        <v>5.212375</v>
      </c>
      <c r="D4" s="6">
        <f>C4/B4</f>
        <v/>
      </c>
    </row>
    <row r="5">
      <c r="A5" s="4" t="inlineStr">
        <is>
          <t>USD-SG (M$)</t>
        </is>
      </c>
      <c r="B5" s="5" t="n">
        <v>6.191083</v>
      </c>
      <c r="C5" s="5" t="n">
        <v>0.9170430000000001</v>
      </c>
      <c r="D5" s="6">
        <f>C5/B5</f>
        <v/>
      </c>
    </row>
    <row r="6">
      <c r="A6" s="4" t="inlineStr">
        <is>
          <t>USD-Direct (M$)</t>
        </is>
      </c>
      <c r="B6" s="7" t="n">
        <v>0.360171</v>
      </c>
      <c r="C6" s="7" t="n">
        <v>0.031135</v>
      </c>
      <c r="D6" s="6">
        <f>C6/B6</f>
        <v/>
      </c>
    </row>
    <row r="7">
      <c r="A7" s="4" t="inlineStr">
        <is>
          <t>Mouser (Cr)</t>
        </is>
      </c>
      <c r="B7" s="5" t="n">
        <v>1.1</v>
      </c>
      <c r="C7" s="5" t="n">
        <v>0.6956290000000001</v>
      </c>
      <c r="D7" s="6">
        <f>C7/B7</f>
        <v/>
      </c>
    </row>
    <row r="8">
      <c r="A8" s="4" t="inlineStr">
        <is>
          <t>JNS-TFT (M$)</t>
        </is>
      </c>
      <c r="B8" s="7" t="n">
        <v>1.267677</v>
      </c>
      <c r="C8" s="7" t="n">
        <v>0.43056</v>
      </c>
      <c r="D8" s="6">
        <f>C8/B8</f>
        <v/>
      </c>
    </row>
    <row r="11">
      <c r="A11" s="8" t="inlineStr">
        <is>
          <t>Date</t>
        </is>
      </c>
      <c r="B11" s="8" t="inlineStr">
        <is>
          <t>Particulars</t>
        </is>
      </c>
      <c r="C11" s="8" t="inlineStr">
        <is>
          <t>Kuldeep Kumar</t>
        </is>
      </c>
      <c r="D11" s="9" t="n"/>
      <c r="E11" s="10" t="n"/>
      <c r="G11" s="8" t="inlineStr">
        <is>
          <t>Arpit Singh</t>
        </is>
      </c>
      <c r="H11" s="9" t="n"/>
      <c r="I11" s="10" t="n"/>
      <c r="K11" s="8" t="inlineStr">
        <is>
          <t>Mahesh Kumar</t>
        </is>
      </c>
      <c r="L11" s="9" t="n"/>
      <c r="M11" s="10" t="n"/>
      <c r="O11" s="8" t="inlineStr">
        <is>
          <t>Harsh Doshi</t>
        </is>
      </c>
      <c r="P11" s="9" t="n"/>
      <c r="Q11" s="10" t="n"/>
      <c r="S11" s="8" t="inlineStr">
        <is>
          <t>Suraj Pandey</t>
        </is>
      </c>
      <c r="T11" s="9" t="n"/>
      <c r="U11" s="10" t="n"/>
      <c r="W11" s="8" t="inlineStr">
        <is>
          <t>Abhishekh Chaudhry</t>
        </is>
      </c>
      <c r="X11" s="9" t="n"/>
      <c r="Y11" s="10" t="n"/>
    </row>
    <row r="12">
      <c r="A12" s="11" t="n"/>
      <c r="B12" s="11" t="n"/>
      <c r="C12" s="12" t="inlineStr">
        <is>
          <t>Target</t>
        </is>
      </c>
      <c r="D12" s="12" t="inlineStr">
        <is>
          <t>Ach.</t>
        </is>
      </c>
      <c r="E12" s="12" t="inlineStr">
        <is>
          <t>%</t>
        </is>
      </c>
      <c r="G12" s="12" t="inlineStr">
        <is>
          <t>Target</t>
        </is>
      </c>
      <c r="H12" s="12" t="inlineStr">
        <is>
          <t>Ach.</t>
        </is>
      </c>
      <c r="I12" s="12" t="inlineStr">
        <is>
          <t>%</t>
        </is>
      </c>
      <c r="K12" s="12" t="inlineStr">
        <is>
          <t>Target</t>
        </is>
      </c>
      <c r="L12" s="12" t="inlineStr">
        <is>
          <t>Ach.</t>
        </is>
      </c>
      <c r="M12" s="12" t="inlineStr">
        <is>
          <t>%</t>
        </is>
      </c>
      <c r="O12" s="12" t="inlineStr">
        <is>
          <t>Target</t>
        </is>
      </c>
      <c r="P12" s="12" t="inlineStr">
        <is>
          <t>Ach.</t>
        </is>
      </c>
      <c r="Q12" s="12" t="inlineStr">
        <is>
          <t>%</t>
        </is>
      </c>
      <c r="S12" s="12" t="inlineStr">
        <is>
          <t>Target</t>
        </is>
      </c>
      <c r="T12" s="12" t="inlineStr">
        <is>
          <t>Ach.</t>
        </is>
      </c>
      <c r="U12" s="12" t="inlineStr">
        <is>
          <t>%</t>
        </is>
      </c>
      <c r="W12" s="12" t="inlineStr">
        <is>
          <t>Target</t>
        </is>
      </c>
      <c r="X12" s="12" t="inlineStr">
        <is>
          <t>Ach.</t>
        </is>
      </c>
      <c r="Y12" s="12" t="inlineStr">
        <is>
          <t>%</t>
        </is>
      </c>
    </row>
    <row r="13">
      <c r="A13" s="13" t="inlineStr">
        <is>
          <t>Aug'26</t>
        </is>
      </c>
      <c r="B13" s="14" t="inlineStr">
        <is>
          <t>INR (Cr)</t>
        </is>
      </c>
      <c r="C13" s="15" t="n">
        <v>3.577458</v>
      </c>
      <c r="D13" s="15" t="n">
        <v>1.388678</v>
      </c>
      <c r="E13" s="16">
        <f>D13/C13</f>
        <v/>
      </c>
      <c r="G13" s="15" t="n">
        <v>5.242493</v>
      </c>
      <c r="H13" s="15" t="n">
        <v>0.741501</v>
      </c>
      <c r="I13" s="16">
        <f>H13/G13</f>
        <v/>
      </c>
      <c r="K13" s="15" t="n">
        <v>4.147809</v>
      </c>
      <c r="L13" s="15" t="n">
        <v>1.013425</v>
      </c>
      <c r="M13" s="16">
        <f>L13/K13</f>
        <v/>
      </c>
      <c r="O13" s="15" t="n">
        <v>0.929895</v>
      </c>
      <c r="P13" s="15" t="n">
        <v>0.904636</v>
      </c>
      <c r="Q13" s="16">
        <f>P13/O13</f>
        <v/>
      </c>
      <c r="S13" s="15" t="n">
        <v>3.437324</v>
      </c>
      <c r="T13" s="15" t="n">
        <v>0.147576</v>
      </c>
      <c r="U13" s="16">
        <f>T13/S13</f>
        <v/>
      </c>
      <c r="W13" s="15" t="n">
        <v>0.617229</v>
      </c>
      <c r="X13" s="15" t="n">
        <v>0.8564079999999999</v>
      </c>
      <c r="Y13" s="16">
        <f>X13/W13</f>
        <v/>
      </c>
    </row>
    <row r="14">
      <c r="A14" s="17" t="n"/>
      <c r="B14" s="18" t="inlineStr">
        <is>
          <t>USD-SG (M$)</t>
        </is>
      </c>
      <c r="C14" s="19" t="n">
        <v>2.3153</v>
      </c>
      <c r="D14" s="19" t="n">
        <v>0.576155</v>
      </c>
      <c r="E14" s="20">
        <f>D14/C14</f>
        <v/>
      </c>
      <c r="G14" s="19" t="n">
        <v>1.183491</v>
      </c>
      <c r="H14" s="19" t="n">
        <v>0.185704</v>
      </c>
      <c r="I14" s="20">
        <f>H14/G14</f>
        <v/>
      </c>
      <c r="K14" s="19" t="n">
        <v>0.287462</v>
      </c>
      <c r="L14" s="19" t="n">
        <v>0.016167</v>
      </c>
      <c r="M14" s="20">
        <f>L14/K14</f>
        <v/>
      </c>
      <c r="O14" s="19" t="n">
        <v>0.0606</v>
      </c>
      <c r="P14" s="19" t="n">
        <v>0.014751</v>
      </c>
      <c r="Q14" s="20">
        <f>P14/O14</f>
        <v/>
      </c>
      <c r="S14" s="19" t="n">
        <v>1.08123</v>
      </c>
      <c r="T14" s="19" t="n">
        <v>0.119766</v>
      </c>
      <c r="U14" s="20">
        <f>T14/S14</f>
        <v/>
      </c>
      <c r="W14" s="19" t="n">
        <v>0.003</v>
      </c>
      <c r="X14" s="19" t="n">
        <v>0.0045</v>
      </c>
      <c r="Y14" s="20">
        <f>X14/W14</f>
        <v/>
      </c>
    </row>
    <row r="15">
      <c r="A15" s="17" t="n"/>
      <c r="B15" s="18" t="inlineStr">
        <is>
          <t>USD-Direct (M$)</t>
        </is>
      </c>
      <c r="C15" s="21" t="n">
        <v>0.1075</v>
      </c>
      <c r="D15" s="21" t="n">
        <v>0.015026</v>
      </c>
      <c r="E15" s="20">
        <f>D15/C15</f>
        <v/>
      </c>
      <c r="G15" s="22" t="inlineStr">
        <is>
          <t>—</t>
        </is>
      </c>
      <c r="H15" s="21" t="n">
        <v>0</v>
      </c>
      <c r="I15" s="22" t="inlineStr">
        <is>
          <t>—</t>
        </is>
      </c>
      <c r="K15" s="21" t="n">
        <v>0.012135</v>
      </c>
      <c r="L15" s="21" t="n">
        <v>0</v>
      </c>
      <c r="M15" s="20">
        <f>L15/K15</f>
        <v/>
      </c>
      <c r="O15" s="21" t="n">
        <v>0.01668</v>
      </c>
      <c r="P15" s="21" t="n">
        <v>0.01611</v>
      </c>
      <c r="Q15" s="20">
        <f>P15/O15</f>
        <v/>
      </c>
      <c r="S15" s="21" t="n">
        <v>0.223856</v>
      </c>
      <c r="T15" s="21" t="n">
        <v>0</v>
      </c>
      <c r="U15" s="20">
        <f>T15/S15</f>
        <v/>
      </c>
      <c r="W15" s="22" t="inlineStr">
        <is>
          <t>—</t>
        </is>
      </c>
      <c r="X15" s="21" t="n">
        <v>0</v>
      </c>
      <c r="Y15" s="22" t="inlineStr">
        <is>
          <t>—</t>
        </is>
      </c>
    </row>
    <row r="16">
      <c r="A16" s="17" t="n"/>
      <c r="B16" s="18" t="inlineStr">
        <is>
          <t>Mouser (Lakhs)</t>
        </is>
      </c>
      <c r="C16" s="18" t="n">
        <v>13</v>
      </c>
      <c r="D16" s="19" t="n">
        <v>2.978695</v>
      </c>
      <c r="E16" s="20">
        <f>D16/C16</f>
        <v/>
      </c>
      <c r="G16" s="18" t="n">
        <v>13</v>
      </c>
      <c r="H16" s="19" t="n">
        <v>6.97499</v>
      </c>
      <c r="I16" s="20">
        <f>H16/G16</f>
        <v/>
      </c>
      <c r="K16" s="18" t="n">
        <v>13</v>
      </c>
      <c r="L16" s="19" t="n">
        <v>12.133362</v>
      </c>
      <c r="M16" s="20">
        <f>L16/K16</f>
        <v/>
      </c>
      <c r="O16" s="18" t="n">
        <v>55</v>
      </c>
      <c r="P16" s="19" t="n">
        <v>32.877353</v>
      </c>
      <c r="Q16" s="20">
        <f>P16/O16</f>
        <v/>
      </c>
      <c r="S16" s="18" t="n">
        <v>13</v>
      </c>
      <c r="T16" s="19" t="n">
        <v>3.56401</v>
      </c>
      <c r="U16" s="20">
        <f>T16/S16</f>
        <v/>
      </c>
      <c r="W16" s="18" t="n">
        <v>3</v>
      </c>
      <c r="X16" s="19" t="n">
        <v>0.45105</v>
      </c>
      <c r="Y16" s="20">
        <f>X16/W16</f>
        <v/>
      </c>
    </row>
  </sheetData>
  <mergeCells count="10">
    <mergeCell ref="A13:A16"/>
    <mergeCell ref="C11:E11"/>
    <mergeCell ref="O11:Q11"/>
    <mergeCell ref="B11:B12"/>
    <mergeCell ref="K11:M11"/>
    <mergeCell ref="A2:D2"/>
    <mergeCell ref="S11:U11"/>
    <mergeCell ref="W11:Y11"/>
    <mergeCell ref="A11:A12"/>
    <mergeCell ref="G11:I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2026-08-23T02:12:53Z</dcterms:created>
  <dcterms:modified xmlns:dcterms="http://purl.org/dc/terms/" xmlns:xsi="http://www.w3.org/2001/XMLSchema-instance" xsi:type="dcterms:W3CDTF">2026-08-23T02:12:53Z</dcterms:modified>
</cp:coreProperties>
</file>