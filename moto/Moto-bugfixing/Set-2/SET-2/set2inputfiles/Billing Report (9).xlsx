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smetgroup-my.sharepoint.com/personal/neha_chauhan_mysmindia_com/Documents/Desktop/Daily Report/"/>
    </mc:Choice>
  </mc:AlternateContent>
  <xr:revisionPtr revIDLastSave="3085" documentId="11_F25DC773A252ABDACC1048B221DD767A5BDE58EF" xr6:coauthVersionLast="47" xr6:coauthVersionMax="47" xr10:uidLastSave="{D317E0BC-428F-43BC-8C33-A87A1F8BB65D}"/>
  <bookViews>
    <workbookView xWindow="20" yWindow="20" windowWidth="19180" windowHeight="10060" xr2:uid="{00000000-000D-0000-FFFF-FFFF00000000}"/>
  </bookViews>
  <sheets>
    <sheet name="Line" sheetId="15" r:id="rId1"/>
    <sheet name="MOUSER" sheetId="2" r:id="rId2"/>
    <sheet name="USD" sheetId="4" r:id="rId3"/>
    <sheet name="Direct" sheetId="16" r:id="rId4"/>
  </sheets>
  <definedNames>
    <definedName name="_xlnm._FilterDatabase" localSheetId="3" hidden="1">Direct!$A$2:$AP$2</definedName>
    <definedName name="_xlnm._FilterDatabase" localSheetId="0" hidden="1">Line!$A$3:$AA$192</definedName>
    <definedName name="_xlnm._FilterDatabase" localSheetId="1" hidden="1">MOUSER!$A$4:$Y$4</definedName>
    <definedName name="_xlnm._FilterDatabase" localSheetId="2" hidden="1">USD!$A$2:$S$2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1" i="15" l="1"/>
  <c r="W1" i="2"/>
  <c r="U1" i="4"/>
  <c r="U1" i="16" l="1"/>
  <c r="T1" i="16"/>
</calcChain>
</file>

<file path=xl/sharedStrings.xml><?xml version="1.0" encoding="utf-8"?>
<sst xmlns="http://schemas.openxmlformats.org/spreadsheetml/2006/main" count="11780" uniqueCount="2271">
  <si>
    <t>SAP No</t>
  </si>
  <si>
    <t>Inv Date</t>
  </si>
  <si>
    <t>Customer Name</t>
  </si>
  <si>
    <t>Sales Employee Name</t>
  </si>
  <si>
    <t>Item No.</t>
  </si>
  <si>
    <t>Make</t>
  </si>
  <si>
    <t>MOUSER MAKE</t>
  </si>
  <si>
    <t>Quantity</t>
  </si>
  <si>
    <t>Unit Price</t>
  </si>
  <si>
    <t>Basic Value</t>
  </si>
  <si>
    <t>Total Value</t>
  </si>
  <si>
    <t>ARPIT SINGH</t>
  </si>
  <si>
    <t>HARSH DOSHI</t>
  </si>
  <si>
    <t>KULDEEP KUMAR</t>
  </si>
  <si>
    <t>Abha</t>
  </si>
  <si>
    <t>MAHESH KUMAR MITTAL</t>
  </si>
  <si>
    <t>GENUS POWER JAIPUR</t>
  </si>
  <si>
    <t>Vinny</t>
  </si>
  <si>
    <t>ABHISHEKH CHOUDHARY</t>
  </si>
  <si>
    <t>RISHABH PANDEY</t>
  </si>
  <si>
    <t>Customer Support</t>
  </si>
  <si>
    <t>Poonam Kashyap</t>
  </si>
  <si>
    <t>Prakash</t>
  </si>
  <si>
    <t>Neha Chauhan</t>
  </si>
  <si>
    <t>Palak</t>
  </si>
  <si>
    <t>Neha</t>
  </si>
  <si>
    <t>Business Line</t>
  </si>
  <si>
    <t>Customer Part No</t>
  </si>
  <si>
    <t>Product Category</t>
  </si>
  <si>
    <t>CGST</t>
  </si>
  <si>
    <t>SGST</t>
  </si>
  <si>
    <t>IGST</t>
  </si>
  <si>
    <t>Total Freight</t>
  </si>
  <si>
    <t>Total Freight Tax</t>
  </si>
  <si>
    <t>Inv value</t>
  </si>
  <si>
    <t>CN Quantity</t>
  </si>
  <si>
    <t>CN Value</t>
  </si>
  <si>
    <t>NA</t>
  </si>
  <si>
    <t>TDK</t>
  </si>
  <si>
    <t>Invoice No</t>
  </si>
  <si>
    <t>YAGEO</t>
  </si>
  <si>
    <t>SOLUTION &amp; TECHNOLOGY</t>
  </si>
  <si>
    <t>Microchip</t>
  </si>
  <si>
    <t>Vishay</t>
  </si>
  <si>
    <t>Bourns</t>
  </si>
  <si>
    <t>Toshiba</t>
  </si>
  <si>
    <t>ALLENGERS MEDICAL DERABASSI</t>
  </si>
  <si>
    <t>TE Connectivity</t>
  </si>
  <si>
    <t>CONTROL PRINT LTD</t>
  </si>
  <si>
    <t>SANDHYA KALYAN</t>
  </si>
  <si>
    <t>Mouser</t>
  </si>
  <si>
    <t>Line</t>
  </si>
  <si>
    <t>DIOTEC</t>
  </si>
  <si>
    <t>PD&amp;E</t>
  </si>
  <si>
    <t>RENESAS</t>
  </si>
  <si>
    <t>Active</t>
  </si>
  <si>
    <t>SECURE METERS LIMITED SANAND</t>
  </si>
  <si>
    <t>EVE</t>
  </si>
  <si>
    <t>NICHICON</t>
  </si>
  <si>
    <t>QUECTEL</t>
  </si>
  <si>
    <t>TAIWAN SEMI</t>
  </si>
  <si>
    <t>MKM TECHNOLOGIES PVT LTD</t>
  </si>
  <si>
    <t>Others</t>
  </si>
  <si>
    <t>OTHER</t>
  </si>
  <si>
    <t>Customer Code</t>
  </si>
  <si>
    <t>Part Number</t>
  </si>
  <si>
    <t>Row Total in USD</t>
  </si>
  <si>
    <t>Sales Employee</t>
  </si>
  <si>
    <t>Sales CS</t>
  </si>
  <si>
    <t>DEL00049</t>
  </si>
  <si>
    <t>Handling charges</t>
  </si>
  <si>
    <t>EC800KCNLC-I03-SNNSA</t>
  </si>
  <si>
    <t>MURATA</t>
  </si>
  <si>
    <t>AMD00188</t>
  </si>
  <si>
    <t>EXPERT INTERNATIONAL</t>
  </si>
  <si>
    <t>LUBI ELECTRONICS</t>
  </si>
  <si>
    <t>onsemi</t>
  </si>
  <si>
    <t>SONA BLW PRECISION FORGINGS LTD</t>
  </si>
  <si>
    <t>SURAJ PANDEY</t>
  </si>
  <si>
    <t>DEL01976</t>
  </si>
  <si>
    <t>KIMBAL PRIVATE LIMITED</t>
  </si>
  <si>
    <t>AOS</t>
  </si>
  <si>
    <t>Dialog -RENESAS</t>
  </si>
  <si>
    <t>BCX56-16</t>
  </si>
  <si>
    <t>US1M</t>
  </si>
  <si>
    <t>FIEM INDUSTRIES LTD</t>
  </si>
  <si>
    <t>SMAJ22A</t>
  </si>
  <si>
    <t>PRICOL LIMITED-GURGAON</t>
  </si>
  <si>
    <t>RADIANT  CONTROLS &amp; AUTOMATION PVT. LTD.</t>
  </si>
  <si>
    <t>DHIRENDRA PANDEY</t>
  </si>
  <si>
    <t>AXPERT ENTERPRISE</t>
  </si>
  <si>
    <t>R5F100ACASP#50</t>
  </si>
  <si>
    <t>ENERTRAK INSTRUMENTS PRIVATE LTD</t>
  </si>
  <si>
    <t>Littelfuse</t>
  </si>
  <si>
    <t>Customer PO No</t>
  </si>
  <si>
    <t>Customer PO Date</t>
  </si>
  <si>
    <t>Samtec</t>
  </si>
  <si>
    <t>GTEK CORPORATION PVT LTD</t>
  </si>
  <si>
    <t>DIASPRO INTECH PRIVATE LIMITED</t>
  </si>
  <si>
    <t>650-44A1121-24-2/3-9</t>
  </si>
  <si>
    <t>ERZHF2M220D</t>
  </si>
  <si>
    <t>PANASONIC</t>
  </si>
  <si>
    <t>Unit Price in USD</t>
  </si>
  <si>
    <t>Remarks</t>
  </si>
  <si>
    <t>USD</t>
  </si>
  <si>
    <t>AT25SF041B-SSHD-T</t>
  </si>
  <si>
    <t>SG MICRO CORP</t>
  </si>
  <si>
    <t>SGM321YN5/TR</t>
  </si>
  <si>
    <t>FIRSTOHM</t>
  </si>
  <si>
    <t>CAPL42ELEC2200UF45</t>
  </si>
  <si>
    <t>UHW1E222KHDBZX</t>
  </si>
  <si>
    <t>CAPL60ELEC33P0UFE5</t>
  </si>
  <si>
    <t>UPT2G330MHDBZX</t>
  </si>
  <si>
    <t>Posting Date</t>
  </si>
  <si>
    <t>Document Currency</t>
  </si>
  <si>
    <t>Document Status</t>
  </si>
  <si>
    <t>O</t>
  </si>
  <si>
    <t>SUN STAR INDUSTRIES</t>
  </si>
  <si>
    <t>Exchange Rate</t>
  </si>
  <si>
    <t>R5F102A8ASP#10</t>
  </si>
  <si>
    <t>ELITE ELECTRONICS</t>
  </si>
  <si>
    <t>SYRMA SGS TECHNOLOGY LIMITED-GURUGRAM</t>
  </si>
  <si>
    <t>MM3Z12</t>
  </si>
  <si>
    <t>Email :</t>
  </si>
  <si>
    <t>DEL00051</t>
  </si>
  <si>
    <t>IL JIN ELECTRONICS INDIA PVT LTD</t>
  </si>
  <si>
    <t>UM3232EEUE</t>
  </si>
  <si>
    <t>ITRICS0017</t>
  </si>
  <si>
    <t>UNION SEMI</t>
  </si>
  <si>
    <t>R7FA6M1AD3CFM#AA0</t>
  </si>
  <si>
    <t>ITRICS0324</t>
  </si>
  <si>
    <t>VISHAY</t>
  </si>
  <si>
    <t>UMA POLY SOLUTIONS PVT LTD</t>
  </si>
  <si>
    <t>FIEM INDUSTRIES LTD-ALWAR</t>
  </si>
  <si>
    <t>AOD2N100</t>
  </si>
  <si>
    <t>Region</t>
  </si>
  <si>
    <t>Zone</t>
  </si>
  <si>
    <t>NEW DELHI</t>
  </si>
  <si>
    <t>NORTH</t>
  </si>
  <si>
    <t>RAPIDISE TECHNOLOGY PRIVATE LIMITED-GURUGRAM</t>
  </si>
  <si>
    <t>A.PAUL SOFTWARE SYSTEMS PRIVATE LIMITED</t>
  </si>
  <si>
    <t>Renesas Electronics</t>
  </si>
  <si>
    <t>532-507302B00</t>
  </si>
  <si>
    <t>Aavid</t>
  </si>
  <si>
    <t>R5F11TLEDFB#15</t>
  </si>
  <si>
    <t>CR2032 - PLAIN</t>
  </si>
  <si>
    <t>BC847C</t>
  </si>
  <si>
    <t>CONTINENTAL DEVICE INDIA PVT. LTD. (DD)</t>
  </si>
  <si>
    <t>RMDIO00000193</t>
  </si>
  <si>
    <t>193850BO01A</t>
  </si>
  <si>
    <t>Om</t>
  </si>
  <si>
    <t>UCS2V220MHD1TO</t>
  </si>
  <si>
    <t>INVOICE / CREDIT NOTE NUMBER</t>
  </si>
  <si>
    <t>Customer PO number</t>
  </si>
  <si>
    <t>Shipment Date</t>
  </si>
  <si>
    <t>Customer PartNo</t>
  </si>
  <si>
    <t>Unit Price in FC</t>
  </si>
  <si>
    <t>Row Total in FC</t>
  </si>
  <si>
    <t>SAP SO Number</t>
  </si>
  <si>
    <t>AIR</t>
  </si>
  <si>
    <t>HPL ELECTRIC  POWER GURGAON 132133</t>
  </si>
  <si>
    <t>RFMM49EC800KCNLC</t>
  </si>
  <si>
    <t>SIC743AT25SF041B</t>
  </si>
  <si>
    <t>SICSGM321YN5TR</t>
  </si>
  <si>
    <t>SIC090R5F11TLEDFB</t>
  </si>
  <si>
    <t>SEA MODE</t>
  </si>
  <si>
    <t>SEA</t>
  </si>
  <si>
    <t>POD012500017726</t>
  </si>
  <si>
    <t>POD012500021146</t>
  </si>
  <si>
    <t>26L12886</t>
  </si>
  <si>
    <t>26L12887</t>
  </si>
  <si>
    <t>ZMM5.1</t>
  </si>
  <si>
    <t>26L12891</t>
  </si>
  <si>
    <t>JBD506424AG1C</t>
  </si>
  <si>
    <t>EL380SM024</t>
  </si>
  <si>
    <t>JODING</t>
  </si>
  <si>
    <t>26L12896</t>
  </si>
  <si>
    <t>PAAAA016AAA103</t>
  </si>
  <si>
    <t>26L12897</t>
  </si>
  <si>
    <t>P6KE43A</t>
  </si>
  <si>
    <t>26L12898</t>
  </si>
  <si>
    <t>GBU8M</t>
  </si>
  <si>
    <t>A13DS00485</t>
  </si>
  <si>
    <t>26L12913</t>
  </si>
  <si>
    <t>PCS001-062-00JW</t>
  </si>
  <si>
    <t>R5F10NPLDFB#10</t>
  </si>
  <si>
    <t>PIS001-034-00JW</t>
  </si>
  <si>
    <t>26L12915</t>
  </si>
  <si>
    <t>ETQP4M470KVC</t>
  </si>
  <si>
    <t>26L12916</t>
  </si>
  <si>
    <t>EEEHB1H100P</t>
  </si>
  <si>
    <t>26L12925</t>
  </si>
  <si>
    <t>AGGRESSIVE ELECTRONICS MANUFACTURING SERVICES PVT LTD</t>
  </si>
  <si>
    <t>ERJ3EKF2003V</t>
  </si>
  <si>
    <t>ECSR204FCCX0</t>
  </si>
  <si>
    <t>ERA3AEB202V</t>
  </si>
  <si>
    <t>ECSR202FDDX1</t>
  </si>
  <si>
    <t>ERJ3GEYJ103V</t>
  </si>
  <si>
    <t>ECSR103CJCX0</t>
  </si>
  <si>
    <t>ERJ3GEYJ122V</t>
  </si>
  <si>
    <t>ECSR1K2JCCX0</t>
  </si>
  <si>
    <t>EEEFN1H680XP</t>
  </si>
  <si>
    <t>ECSC686MEX00</t>
  </si>
  <si>
    <t>ERJ3EKF1000V</t>
  </si>
  <si>
    <t>ECSR101FCCXX</t>
  </si>
  <si>
    <t>ERJ3EKF4701V</t>
  </si>
  <si>
    <t>ECSR472CFCXX</t>
  </si>
  <si>
    <t>ERJ3GEY0R00V</t>
  </si>
  <si>
    <t>ECSR0EXXXXC0</t>
  </si>
  <si>
    <t>ERJ3EKF3300V</t>
  </si>
  <si>
    <t>ECSR331FCCR0</t>
  </si>
  <si>
    <t>ERA3AEB3163V</t>
  </si>
  <si>
    <t>ECSR3163CCX0</t>
  </si>
  <si>
    <t>ERJ3EKF1002V</t>
  </si>
  <si>
    <t>ECSR1002FCB0</t>
  </si>
  <si>
    <t>ERJ3EKF1692V</t>
  </si>
  <si>
    <t>ECSR16R9FCCX</t>
  </si>
  <si>
    <t>ERJ3EKF1003V</t>
  </si>
  <si>
    <t>ECSR1003FCB0</t>
  </si>
  <si>
    <t>ERA3AEB333V</t>
  </si>
  <si>
    <t>ECSR303CCX00</t>
  </si>
  <si>
    <t>ERJ3EKF33R0V</t>
  </si>
  <si>
    <t>ECSR33RFDDX0</t>
  </si>
  <si>
    <t>ERJ3EKF4302V</t>
  </si>
  <si>
    <t>ECSR4302FCCX</t>
  </si>
  <si>
    <t>ERJ3EKF4533V</t>
  </si>
  <si>
    <t>ECSR4533FCCX</t>
  </si>
  <si>
    <t>26L12951</t>
  </si>
  <si>
    <t>SPACE APPLICATIONS CENTRE</t>
  </si>
  <si>
    <t>AWMF-0197</t>
  </si>
  <si>
    <t>QORVO</t>
  </si>
  <si>
    <t>26L12952</t>
  </si>
  <si>
    <t>26L12975</t>
  </si>
  <si>
    <t>26L12979</t>
  </si>
  <si>
    <t>R5F104LEAFB#10</t>
  </si>
  <si>
    <t>26L12980</t>
  </si>
  <si>
    <t>CR2032PLAIN</t>
  </si>
  <si>
    <t>26L12988</t>
  </si>
  <si>
    <t>153870BO01P</t>
  </si>
  <si>
    <t>26L12991</t>
  </si>
  <si>
    <t>26L12992</t>
  </si>
  <si>
    <t>P6SMBJ12CA</t>
  </si>
  <si>
    <t>GTELRMDIO000013</t>
  </si>
  <si>
    <t>26L13009</t>
  </si>
  <si>
    <t>26L13014</t>
  </si>
  <si>
    <t>BDG0250D0000</t>
  </si>
  <si>
    <t>EMPTCR025X</t>
  </si>
  <si>
    <t>BETTERFUSE</t>
  </si>
  <si>
    <t>26L13024</t>
  </si>
  <si>
    <t>TRINITY TOUCH PVT. LTD.</t>
  </si>
  <si>
    <t>R5F100MFGFB#10</t>
  </si>
  <si>
    <t>26L13025</t>
  </si>
  <si>
    <t>26L13027</t>
  </si>
  <si>
    <t>26L13039</t>
  </si>
  <si>
    <t>26M12867</t>
  </si>
  <si>
    <t>SHRI BALAJI INDUSTRIES</t>
  </si>
  <si>
    <t>SBI/2026-27/055</t>
  </si>
  <si>
    <t>603-RSF200JB-73-330K</t>
  </si>
  <si>
    <t>71-MMB02070C4991FB20</t>
  </si>
  <si>
    <t>26M12888</t>
  </si>
  <si>
    <t>571-2071531</t>
  </si>
  <si>
    <t>26M12889</t>
  </si>
  <si>
    <t>DIPL/NOID/PO/FY26-27/062</t>
  </si>
  <si>
    <t>26M12890</t>
  </si>
  <si>
    <t>PRECISION EMBEDDED AUTOMATION SOLUTIONS</t>
  </si>
  <si>
    <t>E-Mail : Vrajesh Parikh</t>
  </si>
  <si>
    <t>652-93A1A-B28-A10L</t>
  </si>
  <si>
    <t>26M12892</t>
  </si>
  <si>
    <t>HL MANDO SOFTTECH INDIA PRIVATE LIMITED</t>
  </si>
  <si>
    <t>71-CRCW04022R00JNED</t>
  </si>
  <si>
    <t>757-2SA2195LF</t>
  </si>
  <si>
    <t>71-CRCW0603-2.2-E3</t>
  </si>
  <si>
    <t>71-CRCW0402J-18K-E3</t>
  </si>
  <si>
    <t>71-CRCW0402-33-E3</t>
  </si>
  <si>
    <t>71-CRCW0402-16.2K-E3</t>
  </si>
  <si>
    <t>71-CRCW040243K0FKED</t>
  </si>
  <si>
    <t>603-AF0402FR-07750RL</t>
  </si>
  <si>
    <t>71-CRCW0402240RFKED</t>
  </si>
  <si>
    <t>71-CRCW0402-30K-E3</t>
  </si>
  <si>
    <t>71-CRCW0402-150K-E3</t>
  </si>
  <si>
    <t>26M12893</t>
  </si>
  <si>
    <t>MATHESON HYDROGEN INDIA PRIVATE LIMITED</t>
  </si>
  <si>
    <t>PO/2025/E&amp;I/000/1015</t>
  </si>
  <si>
    <t>576-0451010.MRL</t>
  </si>
  <si>
    <t>576-39600500440</t>
  </si>
  <si>
    <t>26M12895</t>
  </si>
  <si>
    <t>PO-2627-0210</t>
  </si>
  <si>
    <t>200-HCSD13D120001NG</t>
  </si>
  <si>
    <t>200-EJH11301FDSMLC</t>
  </si>
  <si>
    <t>26M12921</t>
  </si>
  <si>
    <t>STREAMLINE CONTROLS PVT LTD</t>
  </si>
  <si>
    <t>SL26270391</t>
  </si>
  <si>
    <t>863-MOC3073SM</t>
  </si>
  <si>
    <t>26M12967</t>
  </si>
  <si>
    <t>612-EG1213</t>
  </si>
  <si>
    <t>EG1213</t>
  </si>
  <si>
    <t>26M12968</t>
  </si>
  <si>
    <t>785-NGCMA10AX01C</t>
  </si>
  <si>
    <t>Honeywell</t>
  </si>
  <si>
    <t>26M12969</t>
  </si>
  <si>
    <t>594-AC05W1K000J</t>
  </si>
  <si>
    <t>26M13028</t>
  </si>
  <si>
    <t>556-ATMEGA128RFA1-ZU</t>
  </si>
  <si>
    <t>26M13066</t>
  </si>
  <si>
    <t>EE/PO/26-27/1625</t>
  </si>
  <si>
    <t>968-R5F100FGAFP#30</t>
  </si>
  <si>
    <t>26M13068</t>
  </si>
  <si>
    <t>VAN NORMAN MACHINE (INDIA) PVT LTD</t>
  </si>
  <si>
    <t>653-XM3A-0921</t>
  </si>
  <si>
    <t>Omron</t>
  </si>
  <si>
    <t>INVOICE / CREDIT NOTE DATE</t>
  </si>
  <si>
    <t>R7FA6M3AF3CFB#HA0</t>
  </si>
  <si>
    <t>BIS1AA004</t>
  </si>
  <si>
    <t>POD0126260420</t>
  </si>
  <si>
    <t>LBWA0ZZ2DS-875</t>
  </si>
  <si>
    <t>ITRICS0457</t>
  </si>
  <si>
    <t>JBD506322AG1C</t>
  </si>
  <si>
    <t>PDS00104400</t>
  </si>
  <si>
    <t>DS FR JODINGINV NO JDIN2607250372704COOCHINA</t>
  </si>
  <si>
    <t>LC NO260127FLCU00187DATED260729PI359000044</t>
  </si>
  <si>
    <t>DEL00057</t>
  </si>
  <si>
    <t>KAYNES TECHNOLOGY INDIA LIMITEDDELHI</t>
  </si>
  <si>
    <t>PURORD202539152</t>
  </si>
  <si>
    <t>IHLP2525CZEK150M5A</t>
  </si>
  <si>
    <t>MLIBEK1055</t>
  </si>
  <si>
    <t>PUR09202500017</t>
  </si>
  <si>
    <t>CRCW0402221KFKED</t>
  </si>
  <si>
    <t>MLIBEK930</t>
  </si>
  <si>
    <t>PURORD202600772</t>
  </si>
  <si>
    <t>CRCW201068R0FKEFHP</t>
  </si>
  <si>
    <t>MLIBEK1061</t>
  </si>
  <si>
    <t>DEL02393</t>
  </si>
  <si>
    <t>TAISYS INDIA PRIVATE LIMITED</t>
  </si>
  <si>
    <t>RTP8A779H2ASKB0F10SA001＃WS</t>
  </si>
  <si>
    <t>RTP8A779H2ASKB0F10SA001WS</t>
  </si>
  <si>
    <t>PI359000035</t>
  </si>
  <si>
    <t>LC NO260127FLCU00189DATED 260729PI 359000050</t>
  </si>
  <si>
    <t>PUR19202610305</t>
  </si>
  <si>
    <t>SPM6545VT-220M-D</t>
  </si>
  <si>
    <t>UCS2W330MHDFZX</t>
  </si>
  <si>
    <t>CAPG43ELEC33P0UFG5</t>
  </si>
  <si>
    <t>SM204F330KTKRTR3K0</t>
  </si>
  <si>
    <t>SRES899M204330P0K1</t>
  </si>
  <si>
    <t>SPM6530T-1R0M120</t>
  </si>
  <si>
    <t>SIND902SPM65301</t>
  </si>
  <si>
    <t>DEL00063</t>
  </si>
  <si>
    <t>M S ELECTROVISION PVT LTD HARYANA</t>
  </si>
  <si>
    <t>PO25260001557</t>
  </si>
  <si>
    <t>R5F100ACASP50</t>
  </si>
  <si>
    <t>PO26270000802</t>
  </si>
  <si>
    <t>Not available</t>
  </si>
  <si>
    <t>DEL02247</t>
  </si>
  <si>
    <t>ESYASOFT LANDIS AND GYR LIMITED</t>
  </si>
  <si>
    <t>EC800GCNLD-I03-SNNDA2</t>
  </si>
  <si>
    <t>DEL01199</t>
  </si>
  <si>
    <t>CAPITAL POWER SYSTEMS LTD</t>
  </si>
  <si>
    <t>IPO2510252</t>
  </si>
  <si>
    <t>UHV1C471MPD1TD</t>
  </si>
  <si>
    <t>LC NO 0407926IM0Y00164DATED 260715PI359000029SEA MODE</t>
  </si>
  <si>
    <t>UCY2W330MHD1TO</t>
  </si>
  <si>
    <t>UHW1E102MPD1TD</t>
  </si>
  <si>
    <t>DEL00072</t>
  </si>
  <si>
    <t>NAPINO AUTO  ELECTRONICS LTDGURGAON</t>
  </si>
  <si>
    <t>NAPINO AUTO &amp; ELECTRONICS LTD-GURGAON</t>
  </si>
  <si>
    <t>ESR03EZPF2492</t>
  </si>
  <si>
    <t>A11ED04215</t>
  </si>
  <si>
    <t>ROHM</t>
  </si>
  <si>
    <t>KKT00087</t>
  </si>
  <si>
    <t>UPS2600296</t>
  </si>
  <si>
    <t>22850207CNG1SYA01</t>
  </si>
  <si>
    <t>EL388SM004</t>
  </si>
  <si>
    <t>LUYOUFA</t>
  </si>
  <si>
    <t>C</t>
  </si>
  <si>
    <t>2285-203G0ASY01</t>
  </si>
  <si>
    <t>EL349SM113</t>
  </si>
  <si>
    <t>B82144B2333J V 3</t>
  </si>
  <si>
    <t>EL348SM008</t>
  </si>
  <si>
    <t>EPCOS</t>
  </si>
  <si>
    <t>TJMS5760#02</t>
  </si>
  <si>
    <t>EL380SM023</t>
  </si>
  <si>
    <t>TIANMA</t>
  </si>
  <si>
    <t>UCD1C100MCL1GS</t>
  </si>
  <si>
    <t>EL343SM009</t>
  </si>
  <si>
    <t>UCM1C101MCL1GS</t>
  </si>
  <si>
    <t>EL343SM030</t>
  </si>
  <si>
    <t>UHW1E102MPD</t>
  </si>
  <si>
    <t>EL340SM011</t>
  </si>
  <si>
    <t>UCY2G330MHD</t>
  </si>
  <si>
    <t>EL340SM013</t>
  </si>
  <si>
    <t>UHW1C471MPD</t>
  </si>
  <si>
    <t>EL340SM015</t>
  </si>
  <si>
    <t>DEL00052</t>
  </si>
  <si>
    <t>INDICATION INSTRUMENTS LTD</t>
  </si>
  <si>
    <t>IMP406332</t>
  </si>
  <si>
    <t>FH28K-10S-0.5SH</t>
  </si>
  <si>
    <t>CON34073</t>
  </si>
  <si>
    <t>HIROSE</t>
  </si>
  <si>
    <t>DEL01452</t>
  </si>
  <si>
    <t>P2500909</t>
  </si>
  <si>
    <t>CNA6P1X7R2A475K</t>
  </si>
  <si>
    <t>CGA3E1X7R1C105K</t>
  </si>
  <si>
    <t>SMAJ30CAH</t>
  </si>
  <si>
    <t>A13ED01068</t>
  </si>
  <si>
    <t>DEL01992</t>
  </si>
  <si>
    <t>ANEVOLVE PRIVATE LIMITEDRAJASTHAN</t>
  </si>
  <si>
    <t>ANEVOLVE PRIVATE LIMITED-RAJASTHAN</t>
  </si>
  <si>
    <t>BM61M41RFV-CE2</t>
  </si>
  <si>
    <t>GMR100HJBFER015</t>
  </si>
  <si>
    <t>PA2512FKF7W0R1E</t>
  </si>
  <si>
    <t>RC1206FR-071M8L</t>
  </si>
  <si>
    <t>DEL00083</t>
  </si>
  <si>
    <t>SECURE METERS LIMITED</t>
  </si>
  <si>
    <t>MX25V4035FM1I</t>
  </si>
  <si>
    <t>BIS108112</t>
  </si>
  <si>
    <t>MACRONIX</t>
  </si>
  <si>
    <t>Item Group</t>
  </si>
  <si>
    <t>INTEGRATED CIRCUIT</t>
  </si>
  <si>
    <t>SENSORS</t>
  </si>
  <si>
    <t>DIODE</t>
  </si>
  <si>
    <t>UPS/2600369</t>
  </si>
  <si>
    <t>LCD</t>
  </si>
  <si>
    <t>HVL0380</t>
  </si>
  <si>
    <t>TRANSISTOR</t>
  </si>
  <si>
    <t>POD0126-00004152</t>
  </si>
  <si>
    <t>MICROCONTROLLER</t>
  </si>
  <si>
    <t>ELECTROLYTIC CAPACIT</t>
  </si>
  <si>
    <t>INDUCTOR</t>
  </si>
  <si>
    <t>P2500905</t>
  </si>
  <si>
    <t>RESISTORS</t>
  </si>
  <si>
    <t>CAPACITORS</t>
  </si>
  <si>
    <t>SAC/APUR/SA2025PO23180101</t>
  </si>
  <si>
    <t>MODULES</t>
  </si>
  <si>
    <t>Email ref 18-06</t>
  </si>
  <si>
    <t>VARISTOR</t>
  </si>
  <si>
    <t>Ref mail 29th May</t>
  </si>
  <si>
    <t>PODM-26-27-00883</t>
  </si>
  <si>
    <t>BATTERY</t>
  </si>
  <si>
    <t>PO-002012</t>
  </si>
  <si>
    <t>MKM/PO/26-27/659</t>
  </si>
  <si>
    <t>26-27/481</t>
  </si>
  <si>
    <t>FUSE</t>
  </si>
  <si>
    <t>PO 26-27/054</t>
  </si>
  <si>
    <t>Ref mail 5th May//Sunstar</t>
  </si>
  <si>
    <t>MOSFET</t>
  </si>
  <si>
    <t>26L13110</t>
  </si>
  <si>
    <t>2102002139-164</t>
  </si>
  <si>
    <t>M0125XLF</t>
  </si>
  <si>
    <t>BGX101-624</t>
  </si>
  <si>
    <t>26L13175</t>
  </si>
  <si>
    <t>ACCUMET SOLUTIONS</t>
  </si>
  <si>
    <t>Mail Ref: 30-08-25</t>
  </si>
  <si>
    <t>B72314S0511K101</t>
  </si>
  <si>
    <t>26L13178</t>
  </si>
  <si>
    <t>26-27/ACS 023</t>
  </si>
  <si>
    <t>CR2032CKP</t>
  </si>
  <si>
    <t>BC857B</t>
  </si>
  <si>
    <t>SKL12</t>
  </si>
  <si>
    <t>S1M</t>
  </si>
  <si>
    <t>BC847B</t>
  </si>
  <si>
    <t>ES1J</t>
  </si>
  <si>
    <t>26L13181</t>
  </si>
  <si>
    <t>25-26/ACS 045</t>
  </si>
  <si>
    <t>26L13192</t>
  </si>
  <si>
    <t>MULTISPAN CONTROL INSTRUMENTS PVT. LTD.</t>
  </si>
  <si>
    <t>MCIPL/25-26/RP/U1/001271</t>
  </si>
  <si>
    <t>TRBJTR0035</t>
  </si>
  <si>
    <t>26L13196</t>
  </si>
  <si>
    <t>MCIPL/26-27/RP/U1/000156(1)</t>
  </si>
  <si>
    <t>BZT52B24</t>
  </si>
  <si>
    <t>DRZENE0019</t>
  </si>
  <si>
    <t>26L13209</t>
  </si>
  <si>
    <t>MCIPL/26-27/RP/U1/000037</t>
  </si>
  <si>
    <t>TRBJTR0034</t>
  </si>
  <si>
    <t>26L13210</t>
  </si>
  <si>
    <t>SATYA ELECTROCOMP PVT LTD</t>
  </si>
  <si>
    <t>26L13212</t>
  </si>
  <si>
    <t>BZT52B5V6</t>
  </si>
  <si>
    <t>DRZENE0018</t>
  </si>
  <si>
    <t>26L13214</t>
  </si>
  <si>
    <t>BZT52B7V5</t>
  </si>
  <si>
    <t>DRZENE0022</t>
  </si>
  <si>
    <t>BZT52B30</t>
  </si>
  <si>
    <t>DRZENE0027</t>
  </si>
  <si>
    <t>26L13217</t>
  </si>
  <si>
    <t>BZT52C12</t>
  </si>
  <si>
    <t>DRZENE0029</t>
  </si>
  <si>
    <t>DI78L3.3UAB</t>
  </si>
  <si>
    <t>PMLVR0034</t>
  </si>
  <si>
    <t>REGULATORS</t>
  </si>
  <si>
    <t>BZT52C8V2</t>
  </si>
  <si>
    <t>DRZENE0048</t>
  </si>
  <si>
    <t>MMFTN3402</t>
  </si>
  <si>
    <t>TRMOSF0016</t>
  </si>
  <si>
    <t>ABS15M</t>
  </si>
  <si>
    <t>DRSCHD0026</t>
  </si>
  <si>
    <t>26L13218</t>
  </si>
  <si>
    <t>MCIPL/25-26/RP/U1/001095</t>
  </si>
  <si>
    <t>MMFTP3401</t>
  </si>
  <si>
    <t>DRRECT0002</t>
  </si>
  <si>
    <t>26L13248</t>
  </si>
  <si>
    <t>PRICOL LIMITED-Delhi</t>
  </si>
  <si>
    <t>MMFTP2319</t>
  </si>
  <si>
    <t>195750BO01A</t>
  </si>
  <si>
    <t>26L13249</t>
  </si>
  <si>
    <t>26L13252</t>
  </si>
  <si>
    <t>DI62063.3S1</t>
  </si>
  <si>
    <t>196392BO01A</t>
  </si>
  <si>
    <t>26L13256</t>
  </si>
  <si>
    <t>26L13260</t>
  </si>
  <si>
    <t>BCX53-16</t>
  </si>
  <si>
    <t>160304BO01A</t>
  </si>
  <si>
    <t>26L13272</t>
  </si>
  <si>
    <t>BC817-40</t>
  </si>
  <si>
    <t>179703BO01A</t>
  </si>
  <si>
    <t>26L13273</t>
  </si>
  <si>
    <t>119106BO01A</t>
  </si>
  <si>
    <t>26L13279</t>
  </si>
  <si>
    <t>PRANAV VIKAS INDIA (PVT) LTD</t>
  </si>
  <si>
    <t>6PLC00485</t>
  </si>
  <si>
    <t>SSW6285SC</t>
  </si>
  <si>
    <t>FPAJ02S2A01-00-L1</t>
  </si>
  <si>
    <t>DC MOTOR</t>
  </si>
  <si>
    <t>26L13281</t>
  </si>
  <si>
    <t>6PLC00437</t>
  </si>
  <si>
    <t>SSW6229S</t>
  </si>
  <si>
    <t>FPBD01O1C12-00-L1</t>
  </si>
  <si>
    <t>MOTOR</t>
  </si>
  <si>
    <t>26L13283</t>
  </si>
  <si>
    <t>LAN ENGINEERING &amp; TECHNOLOGIES PRIVATE LIMITED</t>
  </si>
  <si>
    <t>LAN/PO-B15/26-27/0332</t>
  </si>
  <si>
    <t>EG800AKCN11LC-4I-SNNSI</t>
  </si>
  <si>
    <t>26L13290</t>
  </si>
  <si>
    <t>R5F10Y16ASP#10</t>
  </si>
  <si>
    <t>IC</t>
  </si>
  <si>
    <t>26L13302</t>
  </si>
  <si>
    <t>PROBUS SMART THINGS PRIVATE LIMITED</t>
  </si>
  <si>
    <t>PST/PO/25-26/58 .</t>
  </si>
  <si>
    <t>LS05-BV16442</t>
  </si>
  <si>
    <t>OP1369</t>
  </si>
  <si>
    <t>STANDEX</t>
  </si>
  <si>
    <t>26L13313</t>
  </si>
  <si>
    <t>HVR20D471</t>
  </si>
  <si>
    <t>MOV</t>
  </si>
  <si>
    <t>26L13314</t>
  </si>
  <si>
    <t>EWK1CM101D11-T</t>
  </si>
  <si>
    <t>AISHI</t>
  </si>
  <si>
    <t>EWK1CM100D11-T</t>
  </si>
  <si>
    <t>26L13316</t>
  </si>
  <si>
    <t>MBR20200CT</t>
  </si>
  <si>
    <t>USL1M</t>
  </si>
  <si>
    <t>M7, T/R</t>
  </si>
  <si>
    <t>B32923C3225K N 1</t>
  </si>
  <si>
    <t>DI78L12UAB</t>
  </si>
  <si>
    <t>Mouser Manufacturer No</t>
  </si>
  <si>
    <t>26L13426</t>
  </si>
  <si>
    <t>IIL-005423</t>
  </si>
  <si>
    <t>1N4148W-Q</t>
  </si>
  <si>
    <t>IN37.048</t>
  </si>
  <si>
    <t>26L13433</t>
  </si>
  <si>
    <t>IIL-005543</t>
  </si>
  <si>
    <t>2SD1815SR-Q</t>
  </si>
  <si>
    <t>TORD37.313</t>
  </si>
  <si>
    <t>26L13435</t>
  </si>
  <si>
    <t>IIL-006957</t>
  </si>
  <si>
    <t>BR24G04F-3GTE2</t>
  </si>
  <si>
    <t>MIC37.005</t>
  </si>
  <si>
    <t>EEPROM</t>
  </si>
  <si>
    <t>26L13438</t>
  </si>
  <si>
    <t>IIL-005438</t>
  </si>
  <si>
    <t>MMBT7002K-Q</t>
  </si>
  <si>
    <t>TORA37.702</t>
  </si>
  <si>
    <t>26L13440</t>
  </si>
  <si>
    <t>IIL-005542</t>
  </si>
  <si>
    <t>26L13447</t>
  </si>
  <si>
    <t>IIL-000796</t>
  </si>
  <si>
    <t>SK16-Q</t>
  </si>
  <si>
    <t>IN37.140</t>
  </si>
  <si>
    <t>26L13449</t>
  </si>
  <si>
    <t>IIL-005447</t>
  </si>
  <si>
    <t>Z1SMA39-Q</t>
  </si>
  <si>
    <t>ZDV37.391</t>
  </si>
  <si>
    <t>26L13451</t>
  </si>
  <si>
    <t>IIL-006769</t>
  </si>
  <si>
    <t>ZMM4.7</t>
  </si>
  <si>
    <t>ZD37.047</t>
  </si>
  <si>
    <t>26L13460</t>
  </si>
  <si>
    <t>IIL-005421</t>
  </si>
  <si>
    <t>IN29.001</t>
  </si>
  <si>
    <t>26L13467</t>
  </si>
  <si>
    <t>SYRMA SGS TECHNOLOGY LTD-DELHI</t>
  </si>
  <si>
    <t>26L13488</t>
  </si>
  <si>
    <t>IIL-005537</t>
  </si>
  <si>
    <t>S5M</t>
  </si>
  <si>
    <t>IND37.002</t>
  </si>
  <si>
    <t>26L13489</t>
  </si>
  <si>
    <t>IIL-005427</t>
  </si>
  <si>
    <t>26L13544</t>
  </si>
  <si>
    <t>1N5408</t>
  </si>
  <si>
    <t>A13ED00198</t>
  </si>
  <si>
    <t>26L13552</t>
  </si>
  <si>
    <t>26L13556</t>
  </si>
  <si>
    <t>V-GUARD CONSUMER PRODUCTS LIMITED</t>
  </si>
  <si>
    <t>MMTV431A</t>
  </si>
  <si>
    <t>26L13557</t>
  </si>
  <si>
    <t>FILM ELECTRONICS PVT LTD</t>
  </si>
  <si>
    <t>E-26 / SMETPL / 084</t>
  </si>
  <si>
    <t>MM3Z9B1</t>
  </si>
  <si>
    <t>26L13575</t>
  </si>
  <si>
    <t>K12-00Z(H)</t>
  </si>
  <si>
    <t>DEGSON</t>
  </si>
  <si>
    <t>TEHEM</t>
  </si>
  <si>
    <t>26L13579</t>
  </si>
  <si>
    <t>AAVOLATE TECHNOLOGIES PRIVATE LIMITED</t>
  </si>
  <si>
    <t>Email ref 10-08</t>
  </si>
  <si>
    <t>26L13585</t>
  </si>
  <si>
    <t>AMBILIN INCORPORATE</t>
  </si>
  <si>
    <t>R5F10268ASP#55</t>
  </si>
  <si>
    <t>26L13592</t>
  </si>
  <si>
    <t>UPS/2601597</t>
  </si>
  <si>
    <t>ER14250-3PF</t>
  </si>
  <si>
    <t>EL349SM156</t>
  </si>
  <si>
    <t>26L13614</t>
  </si>
  <si>
    <t>MMSZ5248B</t>
  </si>
  <si>
    <t>P6SMBJ5.0CA</t>
  </si>
  <si>
    <t>FR1M</t>
  </si>
  <si>
    <t>LDI559-05EN</t>
  </si>
  <si>
    <t>MMB02070C4991FB200</t>
  </si>
  <si>
    <t>RSF200JB-73-330K</t>
  </si>
  <si>
    <t>507302B00000G</t>
  </si>
  <si>
    <t>207153-1</t>
  </si>
  <si>
    <t>44A1121-24-2/3-9</t>
  </si>
  <si>
    <t>93A1A-B28-A10L</t>
  </si>
  <si>
    <t>CRCW04022R00JNED</t>
  </si>
  <si>
    <t>CRCW0402150KFKED</t>
  </si>
  <si>
    <t>2SA2195,LF</t>
  </si>
  <si>
    <t>CRCW040216K2FKED</t>
  </si>
  <si>
    <t>CRCW040230K0FKED</t>
  </si>
  <si>
    <t>CRCW0402240RFKED</t>
  </si>
  <si>
    <t>AF0402FR-07750RL</t>
  </si>
  <si>
    <t>CRCW040243K0FKED</t>
  </si>
  <si>
    <t>CRCW040218K0JNED</t>
  </si>
  <si>
    <t>CRCW040233R0FKED</t>
  </si>
  <si>
    <t>CRCW06032R20FKEA</t>
  </si>
  <si>
    <t>0451010.MRL</t>
  </si>
  <si>
    <t>HCSD-13-D-12.00-01-N-G</t>
  </si>
  <si>
    <t>EJH-113-01-F-D-SM-LC</t>
  </si>
  <si>
    <t>MOC3073SM</t>
  </si>
  <si>
    <t>NGCMA10AX01C</t>
  </si>
  <si>
    <t>AC05000001001JAC00</t>
  </si>
  <si>
    <t>ATMEGA128RFA1-ZU</t>
  </si>
  <si>
    <t>R5F100FGAFP#30</t>
  </si>
  <si>
    <t>XM3A-0921</t>
  </si>
  <si>
    <t>26M13120</t>
  </si>
  <si>
    <t>INTEGERSPIN PRIVATE LIMITED</t>
  </si>
  <si>
    <t>PO/ISPL/260731</t>
  </si>
  <si>
    <t>776164-1.</t>
  </si>
  <si>
    <t>TE Connectivity Deutsch Connectors</t>
  </si>
  <si>
    <t>26M13136</t>
  </si>
  <si>
    <t>TEKUNCORKED AIIOT PRIVATE LIMITED</t>
  </si>
  <si>
    <t>595-TMCS1101A4BQDRQ1</t>
  </si>
  <si>
    <t>Texas Instruments</t>
  </si>
  <si>
    <t>TMCS1101A4BQDRQ1</t>
  </si>
  <si>
    <t>26M13144</t>
  </si>
  <si>
    <t>E-Mail : Chetna</t>
  </si>
  <si>
    <t>595-TPS560430XFDBVT</t>
  </si>
  <si>
    <t>TPS560430XFDBVT</t>
  </si>
  <si>
    <t>26M13173</t>
  </si>
  <si>
    <t>AHUJA RADIOS-DEL</t>
  </si>
  <si>
    <t>CSP26/1100766</t>
  </si>
  <si>
    <t>LD1117ASTR.</t>
  </si>
  <si>
    <t>STMicroelectronics</t>
  </si>
  <si>
    <t>26M13174</t>
  </si>
  <si>
    <t>PO-2627-0209</t>
  </si>
  <si>
    <t>579-PIC16F1823-I/SL</t>
  </si>
  <si>
    <t>PIC16F1823-I/SL</t>
  </si>
  <si>
    <t>26M13176</t>
  </si>
  <si>
    <t>PO-2627-0212</t>
  </si>
  <si>
    <t>71-TNPW04023K30FHED</t>
  </si>
  <si>
    <t>TNPW04023K30FHED</t>
  </si>
  <si>
    <t>26M13177</t>
  </si>
  <si>
    <t>PO-2627-0214</t>
  </si>
  <si>
    <t>709-RT50C</t>
  </si>
  <si>
    <t>MEAN WELL</t>
  </si>
  <si>
    <t>RT-50C</t>
  </si>
  <si>
    <t>26M13179</t>
  </si>
  <si>
    <t>WYNNCOM DIGITAL DEVICES PVT. LTD.</t>
  </si>
  <si>
    <t>595-SN74LVC1G07DCKR</t>
  </si>
  <si>
    <t>SN74LVC1G07DCKR</t>
  </si>
  <si>
    <t>26M13180</t>
  </si>
  <si>
    <t>UNIVERSAL INDUSTRIES</t>
  </si>
  <si>
    <t>E-Mail : Kunal Patel</t>
  </si>
  <si>
    <t>530-2250548-1</t>
  </si>
  <si>
    <t>Bel</t>
  </si>
  <si>
    <t>2250548-1</t>
  </si>
  <si>
    <t>710-7499111615</t>
  </si>
  <si>
    <t>Wurth Elektronik</t>
  </si>
  <si>
    <t>26M13182</t>
  </si>
  <si>
    <t>EULER MOTORS PRIVATE LIMITED</t>
  </si>
  <si>
    <t>81-BLM11A121S</t>
  </si>
  <si>
    <t>Murata</t>
  </si>
  <si>
    <t>BLM18AG121SN1D</t>
  </si>
  <si>
    <t>603-CC402JRNPO9BN150</t>
  </si>
  <si>
    <t>Yageo</t>
  </si>
  <si>
    <t>CC0402JRNPO9BN150</t>
  </si>
  <si>
    <t>603-RC0402JR-07150RL</t>
  </si>
  <si>
    <t>RC0402JR-07150RL</t>
  </si>
  <si>
    <t>649-68015-206HLF</t>
  </si>
  <si>
    <t>68015-206HLF</t>
  </si>
  <si>
    <t>603-RC0402JR-0722RL</t>
  </si>
  <si>
    <t>RC0402JR-0722RL</t>
  </si>
  <si>
    <t>603-RC0402FR-0713KL</t>
  </si>
  <si>
    <t>RC0402FR-0713KL</t>
  </si>
  <si>
    <t>603-RC0402FR-072KL</t>
  </si>
  <si>
    <t>RC0402FR-072KL</t>
  </si>
  <si>
    <t>710-61300311121</t>
  </si>
  <si>
    <t>875-HZ0603C601R-10</t>
  </si>
  <si>
    <t>Laird Performance Materials</t>
  </si>
  <si>
    <t>HZ0603C601R-10</t>
  </si>
  <si>
    <t>81-GRM155R71C103KA1J</t>
  </si>
  <si>
    <t>GRM155R71C103KA01J</t>
  </si>
  <si>
    <t>603-RC0402JR-070RL</t>
  </si>
  <si>
    <t>RC0402JR-070RL</t>
  </si>
  <si>
    <t>810-C1005X7R1C104K</t>
  </si>
  <si>
    <t>C1005X7R1C104K050BC</t>
  </si>
  <si>
    <t>520-270-18-33-JGNT</t>
  </si>
  <si>
    <t>ECS</t>
  </si>
  <si>
    <t>ECS-270-18-33-JGN-TR</t>
  </si>
  <si>
    <t>603-RC0402FR-071ML</t>
  </si>
  <si>
    <t>RC0402FR-071ML</t>
  </si>
  <si>
    <t>26M13183</t>
  </si>
  <si>
    <t>DRICSTECH EMS LLP</t>
  </si>
  <si>
    <t>E-Mail</t>
  </si>
  <si>
    <t>81-LQG15WH15NJ02D</t>
  </si>
  <si>
    <t>LQG15WH15NJ02D</t>
  </si>
  <si>
    <t>71-CRCW04024M70FKED</t>
  </si>
  <si>
    <t>CRCW04024M70FKED</t>
  </si>
  <si>
    <t>688-SKPMBHE010</t>
  </si>
  <si>
    <t>Alps Alpine</t>
  </si>
  <si>
    <t>SKPMBHE010</t>
  </si>
  <si>
    <t>791-WR04X2200FTL</t>
  </si>
  <si>
    <t>Walsin</t>
  </si>
  <si>
    <t>WR04X2200FTL</t>
  </si>
  <si>
    <t>81-GRM31CR61A476KE5K</t>
  </si>
  <si>
    <t>GRM31CR61A476KE15K</t>
  </si>
  <si>
    <t>710-744901047</t>
  </si>
  <si>
    <t>660-RK73H1ETTP49R9F</t>
  </si>
  <si>
    <t>KOA Speer</t>
  </si>
  <si>
    <t>RK73H1ETTP49R9F</t>
  </si>
  <si>
    <t>810-MPZ1608S221ATD25</t>
  </si>
  <si>
    <t>MPZ1608S221ATD25</t>
  </si>
  <si>
    <t>660-RK73H1ETTP10R0F</t>
  </si>
  <si>
    <t>RK73H1ETTP10R0F</t>
  </si>
  <si>
    <t>821-SMAJ6.0AM2G</t>
  </si>
  <si>
    <t>Taiwan Semiconductor</t>
  </si>
  <si>
    <t>SMAJ6.0A</t>
  </si>
  <si>
    <t>771-MFRC52201HN1157</t>
  </si>
  <si>
    <t>NXP</t>
  </si>
  <si>
    <t>MFRC52201HN1,157</t>
  </si>
  <si>
    <t>660-RK73H1ETTP15R0F</t>
  </si>
  <si>
    <t>RK73H1ETTP15R0F</t>
  </si>
  <si>
    <t>71-CRCW0402-357K-E3</t>
  </si>
  <si>
    <t>CRCW0402357KFKED</t>
  </si>
  <si>
    <t>595-TPS61088RHLR</t>
  </si>
  <si>
    <t>TPS61088RHLR</t>
  </si>
  <si>
    <t>649-166143-00024C1LF</t>
  </si>
  <si>
    <t>Amphenol</t>
  </si>
  <si>
    <t>10166143-00024C1LF</t>
  </si>
  <si>
    <t>621-DMG2302UK-7</t>
  </si>
  <si>
    <t>Diodes Incorporated</t>
  </si>
  <si>
    <t>DMG2302UK-7</t>
  </si>
  <si>
    <t>595-SN65EPT22DGK</t>
  </si>
  <si>
    <t>SN65EPT22DGK</t>
  </si>
  <si>
    <t>511-STM32U585RIT6</t>
  </si>
  <si>
    <t>STM32U585RIT6</t>
  </si>
  <si>
    <t>604-APBD3224LQBDCGKC</t>
  </si>
  <si>
    <t>Kingbright</t>
  </si>
  <si>
    <t>APBD3224LQBDCGKC</t>
  </si>
  <si>
    <t>621-74LVCE1G86SE-7</t>
  </si>
  <si>
    <t>74LVCE1G86SE-7</t>
  </si>
  <si>
    <t>595-TLV3601DBVR</t>
  </si>
  <si>
    <t>TLV3601DBVR</t>
  </si>
  <si>
    <t>595-BQ25622ERYKR</t>
  </si>
  <si>
    <t>BQ25622ERYKR</t>
  </si>
  <si>
    <t>71-CRCW0402-316K-E3</t>
  </si>
  <si>
    <t>CRCW0402316KFKED</t>
  </si>
  <si>
    <t>81-NFM18PC105R0J3</t>
  </si>
  <si>
    <t>NFM18PC105R0J3D</t>
  </si>
  <si>
    <t>621-DMG2305UX-13</t>
  </si>
  <si>
    <t>DMG2305UX-13</t>
  </si>
  <si>
    <t>604-APBD3224LSURKCGK</t>
  </si>
  <si>
    <t>APBD3224LSURKCGKC</t>
  </si>
  <si>
    <t>279-CRG0402F150R</t>
  </si>
  <si>
    <t>CRG0402F150R</t>
  </si>
  <si>
    <t>81-DLM0NSM900HY2D</t>
  </si>
  <si>
    <t>DLM0NSM900HY2D</t>
  </si>
  <si>
    <t>667-ERJ-PA2F2701X</t>
  </si>
  <si>
    <t>Panasonic</t>
  </si>
  <si>
    <t>ERJ-PA2F2701X</t>
  </si>
  <si>
    <t>810-MPZ1608B471ATA00</t>
  </si>
  <si>
    <t>MPZ1608B471ATA00</t>
  </si>
  <si>
    <t>595-TPS630250RNCR</t>
  </si>
  <si>
    <t>TPS630250RNCR</t>
  </si>
  <si>
    <t>603-RC0402FR-07309KL</t>
  </si>
  <si>
    <t>RC0402FR-07309KL</t>
  </si>
  <si>
    <t>810-MLZ1608M100WTD25</t>
  </si>
  <si>
    <t>MLZ1608M100WTD25</t>
  </si>
  <si>
    <t>306-2BACHSSGANTFL</t>
  </si>
  <si>
    <t>JST</t>
  </si>
  <si>
    <t>BM02B-ACHSS-GAN-TF(LF)(SN)</t>
  </si>
  <si>
    <t>985-AS6500-FQFM</t>
  </si>
  <si>
    <t>ScioSense</t>
  </si>
  <si>
    <t>AS6500-FQFM</t>
  </si>
  <si>
    <t>71-RCS12061R00FKEA</t>
  </si>
  <si>
    <t>RCS12061R00FKEA</t>
  </si>
  <si>
    <t>754-KRL1220EMR010FT5</t>
  </si>
  <si>
    <t>Susumu</t>
  </si>
  <si>
    <t>KRL1220E-M-R010-F-T5</t>
  </si>
  <si>
    <t>595-SN74LVC1G08DCKR</t>
  </si>
  <si>
    <t>SN74LVC1G08DCKR</t>
  </si>
  <si>
    <t>652-SRP2010TMA-1R0M</t>
  </si>
  <si>
    <t>SRP2010TMA-1R0M</t>
  </si>
  <si>
    <t>652-CR0402FX-4701GLF</t>
  </si>
  <si>
    <t>CR0402-FX-4701GLF</t>
  </si>
  <si>
    <t>81-LQG15HH2N2B02D</t>
  </si>
  <si>
    <t>LQG15HH2N2B02D</t>
  </si>
  <si>
    <t>855-S1001-46R</t>
  </si>
  <si>
    <t>Harwin</t>
  </si>
  <si>
    <t>S1001-46R</t>
  </si>
  <si>
    <t>81-DLW5ATN401TQ2L</t>
  </si>
  <si>
    <t>DLW5ATN401TQ2L</t>
  </si>
  <si>
    <t>26M13184</t>
  </si>
  <si>
    <t>OPTIMIZED SOLUTIONS LIMITED</t>
  </si>
  <si>
    <t>OS/560085/32/26-27</t>
  </si>
  <si>
    <t>631-FN2030M-30-08</t>
  </si>
  <si>
    <t>FN2030M-30-08</t>
  </si>
  <si>
    <t>26M13187</t>
  </si>
  <si>
    <t>PO-002166</t>
  </si>
  <si>
    <t>579-25AA02E48-I/SN</t>
  </si>
  <si>
    <t>Microchip Technology</t>
  </si>
  <si>
    <t>25AA02E48-I/SN</t>
  </si>
  <si>
    <t>559-FOXSD250F-20-LF</t>
  </si>
  <si>
    <t>ABRACON</t>
  </si>
  <si>
    <t>FOXSDLF/250F-20</t>
  </si>
  <si>
    <t>26M13188</t>
  </si>
  <si>
    <t>BHARAT ELECTRONICS LIMITED-KOT</t>
  </si>
  <si>
    <t>649-87606-316LF</t>
  </si>
  <si>
    <t>Amphenol FCI</t>
  </si>
  <si>
    <t>87606-316LF</t>
  </si>
  <si>
    <t>26M13193</t>
  </si>
  <si>
    <t>576-1.5KE39A</t>
  </si>
  <si>
    <t>1.5KE39A</t>
  </si>
  <si>
    <t>26M13242</t>
  </si>
  <si>
    <t>ENGINEIUS TECHNOLOGIES</t>
  </si>
  <si>
    <t>621-DMG1012T-7</t>
  </si>
  <si>
    <t>DMG1012T-7</t>
  </si>
  <si>
    <t>81-MYRGM080200X41RA</t>
  </si>
  <si>
    <t>MYRGM080200X41RA</t>
  </si>
  <si>
    <t>81-DFE201612E-2R2MP2</t>
  </si>
  <si>
    <t>DFE201612E-2R2M=P2</t>
  </si>
  <si>
    <t>810-SPM4020T1R0MLR</t>
  </si>
  <si>
    <t>SPM4020T-1R0M-LR</t>
  </si>
  <si>
    <t>595-TXS0102DQER</t>
  </si>
  <si>
    <t>TXS0102DQER</t>
  </si>
  <si>
    <t>595-TXS0108ENMER</t>
  </si>
  <si>
    <t>TXS0108ENMER</t>
  </si>
  <si>
    <t>595-TPS22915CYFPT</t>
  </si>
  <si>
    <t>TPS22915CYFPT</t>
  </si>
  <si>
    <t>26M13247</t>
  </si>
  <si>
    <t>SYNCHRONICS ELECTRONICS PRIVATE LIMITED</t>
  </si>
  <si>
    <t>838-3FS-424</t>
  </si>
  <si>
    <t>Tamura</t>
  </si>
  <si>
    <t>3FS-424</t>
  </si>
  <si>
    <t>26M13253</t>
  </si>
  <si>
    <t>603-RC0603JR-071KL</t>
  </si>
  <si>
    <t>RC0603JR-071KL</t>
  </si>
  <si>
    <t>755-SDR03EZPF3301</t>
  </si>
  <si>
    <t>ROHM Semiconductor</t>
  </si>
  <si>
    <t>SDR03EZPF3301</t>
  </si>
  <si>
    <t>833-BAT43WS-TP</t>
  </si>
  <si>
    <t>Micro Commercial Components (MCC)</t>
  </si>
  <si>
    <t>BAT43WS-TP</t>
  </si>
  <si>
    <t>71-CRCW0603470RFKEAC</t>
  </si>
  <si>
    <t>CRCW0603470RFKEAC</t>
  </si>
  <si>
    <t>604-APTD1608LVBCD</t>
  </si>
  <si>
    <t>APTD1608LVBC/D</t>
  </si>
  <si>
    <t>80-C0603C104K5RAC</t>
  </si>
  <si>
    <t>KEMET</t>
  </si>
  <si>
    <t>C0603C104K5RAC</t>
  </si>
  <si>
    <t>595-TPS5430DDARG4</t>
  </si>
  <si>
    <t>TPS5430DDARG4</t>
  </si>
  <si>
    <t>80-C0603C103K3TAUTO</t>
  </si>
  <si>
    <t>C0603C103K3TACAUTO</t>
  </si>
  <si>
    <t>810-C3216X7R1H335K</t>
  </si>
  <si>
    <t>C3216X7R1H335K160AC</t>
  </si>
  <si>
    <t>71-CRCW0603-60.4-E3</t>
  </si>
  <si>
    <t>CRCW060360R4FKEA</t>
  </si>
  <si>
    <t>603-RC0603JR-074K7L</t>
  </si>
  <si>
    <t>RC0603JR-074K7L</t>
  </si>
  <si>
    <t>595-TLIN1021ADDFRQ1</t>
  </si>
  <si>
    <t>TLIN1021ADDFRQ1</t>
  </si>
  <si>
    <t>810-C1608X5R1E105K</t>
  </si>
  <si>
    <t>C1608X5R1E105K080AC</t>
  </si>
  <si>
    <t>78-BAT54S-HE3_A-18</t>
  </si>
  <si>
    <t>BAT54S-HE3_A-18</t>
  </si>
  <si>
    <t>576-5.0SMDJ22CA</t>
  </si>
  <si>
    <t>5.0SMDJ22CA</t>
  </si>
  <si>
    <t>791-0603B105J160CT</t>
  </si>
  <si>
    <t>0603B105J160CT</t>
  </si>
  <si>
    <t>71-CRCW0603-5.6K-E3</t>
  </si>
  <si>
    <t>CRCW06035K60FKEA</t>
  </si>
  <si>
    <t>791-WR12X102JTL</t>
  </si>
  <si>
    <t>WR12X102 JTL</t>
  </si>
  <si>
    <t>603-RC0603FR-0715KL</t>
  </si>
  <si>
    <t>RC0603FR-0715KL</t>
  </si>
  <si>
    <t>771-PDZ15BGWX</t>
  </si>
  <si>
    <t>Nexperia</t>
  </si>
  <si>
    <t>PDZ15BGWX</t>
  </si>
  <si>
    <t>511-L99MD01XPTR</t>
  </si>
  <si>
    <t>L99MD01XPTR</t>
  </si>
  <si>
    <t>810-C3225X7R2A106K25</t>
  </si>
  <si>
    <t>C3225X7R2A106K250AC</t>
  </si>
  <si>
    <t>667-EEE-FP1H101AL</t>
  </si>
  <si>
    <t>EEE-FP1H101AL</t>
  </si>
  <si>
    <t>963-UMK107B7472KAHT</t>
  </si>
  <si>
    <t>Taiyo Yuden</t>
  </si>
  <si>
    <t>UMK107B7472KAHT</t>
  </si>
  <si>
    <t>660-RK73H2ATTD4701F</t>
  </si>
  <si>
    <t>RK73H2ATTD4701F</t>
  </si>
  <si>
    <t>791-0603B104J160CT</t>
  </si>
  <si>
    <t>0603B104J160CT</t>
  </si>
  <si>
    <t>81-GCM32ER71H475KA5K</t>
  </si>
  <si>
    <t>GCM32ER71H475KA55K</t>
  </si>
  <si>
    <t>77-VJ0603Y104KXACWBC</t>
  </si>
  <si>
    <t>VJ0603Y104KXACW1BC</t>
  </si>
  <si>
    <t>511-VND9012AJTR</t>
  </si>
  <si>
    <t>VND9012AJTR</t>
  </si>
  <si>
    <t>995-SL10-2R005</t>
  </si>
  <si>
    <t>Ametherm</t>
  </si>
  <si>
    <t>SL10 2R005</t>
  </si>
  <si>
    <t>511-ESDCAN24-2BLY</t>
  </si>
  <si>
    <t>ESDCAN24-2BLY</t>
  </si>
  <si>
    <t>26M13268</t>
  </si>
  <si>
    <t>78-PLZ6V8B-G3/H</t>
  </si>
  <si>
    <t>PLZ6V8B-G3/H</t>
  </si>
  <si>
    <t>26M13270</t>
  </si>
  <si>
    <t>RISHI ENGINEERING AND TECHNOLOGIES</t>
  </si>
  <si>
    <t>RE-26-27-03</t>
  </si>
  <si>
    <t>763-35320240FTCSXPT</t>
  </si>
  <si>
    <t>Newhaven Display</t>
  </si>
  <si>
    <t>NHD-3.5-320240FT-CSXP-T</t>
  </si>
  <si>
    <t>26M13277</t>
  </si>
  <si>
    <t>651-1333816</t>
  </si>
  <si>
    <t>Phoenix Contact</t>
  </si>
  <si>
    <t>26M13288</t>
  </si>
  <si>
    <t>AIMTRON ELECTRONICS LTD</t>
  </si>
  <si>
    <t>667-ERA-2AED510X</t>
  </si>
  <si>
    <t>ERA-2AED510X</t>
  </si>
  <si>
    <t>26M13301</t>
  </si>
  <si>
    <t>SWASEMI PRIVATE LIMITED</t>
  </si>
  <si>
    <t>771-MPL3115A2ST1</t>
  </si>
  <si>
    <t>MPL3115A2ST1</t>
  </si>
  <si>
    <t>26M13318</t>
  </si>
  <si>
    <t>ROBOTICSSIGN</t>
  </si>
  <si>
    <t>511-NUCLEO-G431RB</t>
  </si>
  <si>
    <t>NUCLEO-G431RB</t>
  </si>
  <si>
    <t>26M13355</t>
  </si>
  <si>
    <t>KIMBAL PRIVATE LIMITED-NOIDA</t>
  </si>
  <si>
    <t>943-8.08.28</t>
  </si>
  <si>
    <t>Segger Microcontroller</t>
  </si>
  <si>
    <t>8.08.28</t>
  </si>
  <si>
    <t>90-4005</t>
  </si>
  <si>
    <t>Sensepeek</t>
  </si>
  <si>
    <t>26M13389</t>
  </si>
  <si>
    <t>2026-2027/717</t>
  </si>
  <si>
    <t>593-VAOL-10GAT4</t>
  </si>
  <si>
    <t>VCC</t>
  </si>
  <si>
    <t>VAOL-10GAT4</t>
  </si>
  <si>
    <t>26M13390</t>
  </si>
  <si>
    <t>81-GRT188C81E475KE3D</t>
  </si>
  <si>
    <t>GRT188C81E475KE13D</t>
  </si>
  <si>
    <t>26M13399</t>
  </si>
  <si>
    <t>ANEDYA SYSTEMS PRIVATE LIMITED</t>
  </si>
  <si>
    <t>E-Mail : Markand Pathak</t>
  </si>
  <si>
    <t>581-KGM05ACG1C101JH</t>
  </si>
  <si>
    <t>KYOCERA AVX</t>
  </si>
  <si>
    <t>KGM05ACG1C101JH</t>
  </si>
  <si>
    <t>708-RMCF0402FT14K7</t>
  </si>
  <si>
    <t>SEI Stackpole</t>
  </si>
  <si>
    <t>RMCF0402FT14K7</t>
  </si>
  <si>
    <t>595-TLV77333PDBVR</t>
  </si>
  <si>
    <t>TLV77333PDBVR</t>
  </si>
  <si>
    <t>947-SRV05-4.TCT</t>
  </si>
  <si>
    <t>Semtech</t>
  </si>
  <si>
    <t>SRV05-4.TCT</t>
  </si>
  <si>
    <t>603-AC0402FR-1315KL</t>
  </si>
  <si>
    <t>AC0402FR-1315KL</t>
  </si>
  <si>
    <t>603-SMAJ36A/TR13</t>
  </si>
  <si>
    <t>SMAJ36A/TR13</t>
  </si>
  <si>
    <t>595-SN74LV1T08DBVR</t>
  </si>
  <si>
    <t>SN74LV1T08DBVR</t>
  </si>
  <si>
    <t>791-0402N3R9B500CT</t>
  </si>
  <si>
    <t>0402N3R9B500CT</t>
  </si>
  <si>
    <t>81-GRM153R60J225ME5D</t>
  </si>
  <si>
    <t>GRM153R60J225ME95D</t>
  </si>
  <si>
    <t>791-0402N1R8C500CT</t>
  </si>
  <si>
    <t>0402N1R8C500CT</t>
  </si>
  <si>
    <t>576-SMBJ12CA</t>
  </si>
  <si>
    <t>SMBJ12CA</t>
  </si>
  <si>
    <t>71-CRCW04023K90FKED</t>
  </si>
  <si>
    <t>CRCW04023K90FKED</t>
  </si>
  <si>
    <t>603-RC0402JR-070RP</t>
  </si>
  <si>
    <t>RC0402JR-070RP</t>
  </si>
  <si>
    <t>621-AP62200TWU-7</t>
  </si>
  <si>
    <t>AP62200TWU-7</t>
  </si>
  <si>
    <t>81-GRM155R6YA105ME1J</t>
  </si>
  <si>
    <t>GRM155R6YA105ME11J</t>
  </si>
  <si>
    <t>81-GRM21BC81E106ME5K</t>
  </si>
  <si>
    <t>GRM21BC81E106ME51K</t>
  </si>
  <si>
    <t>81-GRM1555C1H470GA1D</t>
  </si>
  <si>
    <t>GRM1555C1H470GA01D</t>
  </si>
  <si>
    <t>815-ASPI-4030S-4R7MT</t>
  </si>
  <si>
    <t>ASPI-4030S-4R7M-T</t>
  </si>
  <si>
    <t>637-MMBT3906</t>
  </si>
  <si>
    <t>Diotec Semiconductor</t>
  </si>
  <si>
    <t>MMBT3906</t>
  </si>
  <si>
    <t>71-CRCW040251K0FKEDC</t>
  </si>
  <si>
    <t>CRCW040251K0FKEDC</t>
  </si>
  <si>
    <t>652-CR0402FX-1200GLF</t>
  </si>
  <si>
    <t>Bourns Inc</t>
  </si>
  <si>
    <t>CR0402-FX-1200GLF</t>
  </si>
  <si>
    <t>81-GRM155R60G106ME1D</t>
  </si>
  <si>
    <t>GRM155R60G106ME01D</t>
  </si>
  <si>
    <t>963-MBASU105SCH100JF</t>
  </si>
  <si>
    <t>TAIYO YUDEN</t>
  </si>
  <si>
    <t>MBASU105SCH100JFNA01</t>
  </si>
  <si>
    <t>791-0402N330J250CT</t>
  </si>
  <si>
    <t>0402N330J250CT</t>
  </si>
  <si>
    <t>26M13400</t>
  </si>
  <si>
    <t>ADVANCE CIRCUIT DEVELOPMENT CENTRE</t>
  </si>
  <si>
    <t>490-TBP02R2-381-08BE</t>
  </si>
  <si>
    <t>CUI Devices</t>
  </si>
  <si>
    <t>TBP02R2-381-08BE</t>
  </si>
  <si>
    <t>26M13416</t>
  </si>
  <si>
    <t>METAINTENT PRIVATE LIMITED</t>
  </si>
  <si>
    <t>MPL-PO-069</t>
  </si>
  <si>
    <t>139-NCS1-332</t>
  </si>
  <si>
    <t>Mini-Circuits</t>
  </si>
  <si>
    <t>NCS1-332+</t>
  </si>
  <si>
    <t>620-B0322J5050AHF</t>
  </si>
  <si>
    <t>Anaren</t>
  </si>
  <si>
    <t>B0322J5050AHF</t>
  </si>
  <si>
    <t>26M13421</t>
  </si>
  <si>
    <t>ALLENGERS GLOBAL HEALTHCARE  DERABASSI</t>
  </si>
  <si>
    <t>AGHPL/036</t>
  </si>
  <si>
    <t>70-IFSC1008ABER6R8M0</t>
  </si>
  <si>
    <t>IFSC1008ABER6R8M01</t>
  </si>
  <si>
    <t>179-CPIM-4410-80C</t>
  </si>
  <si>
    <t>CPIM-4410-80C</t>
  </si>
  <si>
    <t>26M13423</t>
  </si>
  <si>
    <t>SHIKHAR AUTOMATION SOLUTIONS PRIVATE LIMITED</t>
  </si>
  <si>
    <t>PO/26-27/060</t>
  </si>
  <si>
    <t>919-R-785.0-0.5</t>
  </si>
  <si>
    <t>RECOM</t>
  </si>
  <si>
    <t>R-785.0-0.5</t>
  </si>
  <si>
    <t>26M13443</t>
  </si>
  <si>
    <t>652-CE1005Q-68NG</t>
  </si>
  <si>
    <t>CE1005Q-68NG</t>
  </si>
  <si>
    <t>26M13456</t>
  </si>
  <si>
    <t>AZISTA INDUSTRIES PRIVATE LIMITED</t>
  </si>
  <si>
    <t>603-AC0603JR-0733KL</t>
  </si>
  <si>
    <t>AC0603JR-0733KL</t>
  </si>
  <si>
    <t>810-C1608CH1H102J08A</t>
  </si>
  <si>
    <t>C1608CH1H102J080AA</t>
  </si>
  <si>
    <t>71-PLT0603Z2500AST5</t>
  </si>
  <si>
    <t>PLT0603Z2500AST5</t>
  </si>
  <si>
    <t>667-ERJ-U02F1003X</t>
  </si>
  <si>
    <t>ERJ-U02F1003X</t>
  </si>
  <si>
    <t>26M13459</t>
  </si>
  <si>
    <t>81-GCM0335C1H330JA6D</t>
  </si>
  <si>
    <t>GCM0335C1H330JA16D</t>
  </si>
  <si>
    <t>81-GRM1555C1H100FA1D</t>
  </si>
  <si>
    <t>GRM1555C1H100FA01D</t>
  </si>
  <si>
    <t>523-SMP-MSLD-PCE-5T</t>
  </si>
  <si>
    <t>SMP-MSLD-PCE-5T</t>
  </si>
  <si>
    <t>81-GRM1555C1H470FA1D</t>
  </si>
  <si>
    <t>GRM1555C1H470FA01D</t>
  </si>
  <si>
    <t>26M13462</t>
  </si>
  <si>
    <t>963-UMK212B7473KG-T</t>
  </si>
  <si>
    <t>UMK212B7473KG-T</t>
  </si>
  <si>
    <t>26M13465</t>
  </si>
  <si>
    <t>595-SN6505BEVM</t>
  </si>
  <si>
    <t>SN6505BEVM</t>
  </si>
  <si>
    <t>26M13466</t>
  </si>
  <si>
    <t>BARRY WEHMILLER INDIA PRIVATE LIMITED</t>
  </si>
  <si>
    <t>A178/26-27</t>
  </si>
  <si>
    <t>538-44915-0021</t>
  </si>
  <si>
    <t>Molex</t>
  </si>
  <si>
    <t>44915-0021</t>
  </si>
  <si>
    <t>26M13469</t>
  </si>
  <si>
    <t>WINTRONIX</t>
  </si>
  <si>
    <t>424-410-351-20</t>
  </si>
  <si>
    <t>Digilent</t>
  </si>
  <si>
    <t>410-351-20</t>
  </si>
  <si>
    <t>26M13470</t>
  </si>
  <si>
    <t>THE TECHNO VALLEY</t>
  </si>
  <si>
    <t>504-MFSA1206R0300FCM</t>
  </si>
  <si>
    <t>Eaton</t>
  </si>
  <si>
    <t>MFSA1206R0300FCM</t>
  </si>
  <si>
    <t>726-IPZA65R040CM8XKS</t>
  </si>
  <si>
    <t>Infineon</t>
  </si>
  <si>
    <t>IPZA65R040CM8XKSA1</t>
  </si>
  <si>
    <t>26M13473</t>
  </si>
  <si>
    <t>ALTEEM TECH PRIVATE LIMITED</t>
  </si>
  <si>
    <t>PO816</t>
  </si>
  <si>
    <t>512-HCPL2530SM</t>
  </si>
  <si>
    <t>HCPL2530SM</t>
  </si>
  <si>
    <t>26M13500</t>
  </si>
  <si>
    <t>571-FSN-22A-20</t>
  </si>
  <si>
    <t>FSN-22A-20</t>
  </si>
  <si>
    <t>26M13501</t>
  </si>
  <si>
    <t>CONTROL PRINT LIMITED-ASSAM</t>
  </si>
  <si>
    <t>490-PP3-002BH</t>
  </si>
  <si>
    <t>PP3-002BH</t>
  </si>
  <si>
    <t>26M13504</t>
  </si>
  <si>
    <t>757-74HC238D</t>
  </si>
  <si>
    <t>74HC238D</t>
  </si>
  <si>
    <t>26M13505</t>
  </si>
  <si>
    <t>HITACHI HI-REL POWER ELECTRONICS PRIVATE LIMITED</t>
  </si>
  <si>
    <t>PO/SRND2627/00162</t>
  </si>
  <si>
    <t>595-ULN2003AIDR</t>
  </si>
  <si>
    <t>ULN2003AIDR</t>
  </si>
  <si>
    <t>595-REF1933AIDDCT</t>
  </si>
  <si>
    <t>TexasInstruments</t>
  </si>
  <si>
    <t>REF1933AIDDCT</t>
  </si>
  <si>
    <t>594-S102K43Y5PR63K7R</t>
  </si>
  <si>
    <t>S102K43Y5PR63K7R</t>
  </si>
  <si>
    <t>26M13582</t>
  </si>
  <si>
    <t>71-CRCW0603-154K-E3</t>
  </si>
  <si>
    <t>CRCW0603154KFKEA</t>
  </si>
  <si>
    <t>595-LM5180QNGURQ1</t>
  </si>
  <si>
    <t>LM5180QNGURQ1</t>
  </si>
  <si>
    <t>871-B32774X4505K000</t>
  </si>
  <si>
    <t>B32774X4505K000</t>
  </si>
  <si>
    <t>81-GRT188R61H105KE3D</t>
  </si>
  <si>
    <t>GRT188R61H105KE13D</t>
  </si>
  <si>
    <t>71-CRCW0603-10K-E3</t>
  </si>
  <si>
    <t>CRCW060310K0FKEA</t>
  </si>
  <si>
    <t>71-CRCW1206-681K-E3</t>
  </si>
  <si>
    <t>CRCW1206681KFKEA</t>
  </si>
  <si>
    <t>80-C0603C104J4R</t>
  </si>
  <si>
    <t>C0603C104J4RACTU</t>
  </si>
  <si>
    <t>667-ERJ-3GEYJ332V</t>
  </si>
  <si>
    <t>ERJ-3GEYJ332V</t>
  </si>
  <si>
    <t>603-RC1206FR-071RL</t>
  </si>
  <si>
    <t>RC1206FR-071RL</t>
  </si>
  <si>
    <t>710-74269244182</t>
  </si>
  <si>
    <t>621-DFLZ24-7</t>
  </si>
  <si>
    <t>DFLZ24-7</t>
  </si>
  <si>
    <t>81-GRM39C102J50</t>
  </si>
  <si>
    <t>GRM1885C1H102JA01D</t>
  </si>
  <si>
    <t>810-C3216C0G2J103JAA</t>
  </si>
  <si>
    <t>C3216C0G2J103J160AA</t>
  </si>
  <si>
    <t>81-GRM185C2A221JA01D</t>
  </si>
  <si>
    <t>GRM1885C2A221JA01D</t>
  </si>
  <si>
    <t>595-TLV9001QDBVRQ1</t>
  </si>
  <si>
    <t>TLV9001QDBVRQ1</t>
  </si>
  <si>
    <t>667-ERJ-2RKF3091X</t>
  </si>
  <si>
    <t>ERJ-2RKF3091X</t>
  </si>
  <si>
    <t>963-HMK107B7222KAHT</t>
  </si>
  <si>
    <t>HMK107B7222KAHT</t>
  </si>
  <si>
    <t>755-VS15VUA1VWMTR</t>
  </si>
  <si>
    <t>VS15VUA1VWMTR</t>
  </si>
  <si>
    <t>81-BLM18KG601SN1D</t>
  </si>
  <si>
    <t>BLM18KG601SN1D</t>
  </si>
  <si>
    <t>81-BLM18KG221BH1D</t>
  </si>
  <si>
    <t>BLM18KG221BH1D</t>
  </si>
  <si>
    <t>603-RC0603FR-075R11L</t>
  </si>
  <si>
    <t>RC0603FR-075R11L</t>
  </si>
  <si>
    <t>667-ERJ-3EKF4702V</t>
  </si>
  <si>
    <t>ERJ-3EKF4702V</t>
  </si>
  <si>
    <t>810-C5750X7S2A106KKB</t>
  </si>
  <si>
    <t>C5750X7S2A106K230KB</t>
  </si>
  <si>
    <t>710-885012206076</t>
  </si>
  <si>
    <t>71-CRCW0805-12.1K-E3</t>
  </si>
  <si>
    <t>CRCW080512K1FKEA</t>
  </si>
  <si>
    <t>80-C0603C473J1REAUTO</t>
  </si>
  <si>
    <t>C0603C473J1RECAUTO</t>
  </si>
  <si>
    <t>603-CC603MRX5R8BB105</t>
  </si>
  <si>
    <t>CC0603MRX5R8BB105</t>
  </si>
  <si>
    <t>963-UMR325AC7106MM-P</t>
  </si>
  <si>
    <t>UMR325AC7106MM-P</t>
  </si>
  <si>
    <t>81-GRM21BR72A104KACL</t>
  </si>
  <si>
    <t>GRM21BR72A104KAC4L</t>
  </si>
  <si>
    <t>595-UCC21330BQDRQ1</t>
  </si>
  <si>
    <t>UCC21330BQDRQ1</t>
  </si>
  <si>
    <t>791-0603N102J250CT</t>
  </si>
  <si>
    <t>0603N102J250CT</t>
  </si>
  <si>
    <t>810-NTCGS163JF103HT7</t>
  </si>
  <si>
    <t>NTCGS163JF103HT7</t>
  </si>
  <si>
    <t>71-TNPW06037K23BEEN</t>
  </si>
  <si>
    <t>TNPW06037K23BEEN</t>
  </si>
  <si>
    <t>617-15150502601000</t>
  </si>
  <si>
    <t>HARTING</t>
  </si>
  <si>
    <t>71-CRCW0603-976K-E3</t>
  </si>
  <si>
    <t>CRCW0603976KFKEA</t>
  </si>
  <si>
    <t>603-CC603KRX7R9BB103</t>
  </si>
  <si>
    <t>CC0603KRX7R9BB103</t>
  </si>
  <si>
    <t>81-GCM32DC72A475KE2L</t>
  </si>
  <si>
    <t>GCM32DC72A475KE02L</t>
  </si>
  <si>
    <t>791-WR06X1502FTL</t>
  </si>
  <si>
    <t>WR06X1502FTL</t>
  </si>
  <si>
    <t>26M13591</t>
  </si>
  <si>
    <t>PO17973</t>
  </si>
  <si>
    <t>771-AHCT244D118</t>
  </si>
  <si>
    <t>74AHCT244D,118</t>
  </si>
  <si>
    <t>647-UYA1K361MNJ1MS</t>
  </si>
  <si>
    <t>Nichicon</t>
  </si>
  <si>
    <t>UYA1K361MNJ1MS</t>
  </si>
  <si>
    <t>26M13608</t>
  </si>
  <si>
    <t>MPL-PO-072</t>
  </si>
  <si>
    <t>571-2348551</t>
  </si>
  <si>
    <t>2-34855-1</t>
  </si>
  <si>
    <t>26M13615</t>
  </si>
  <si>
    <t>KANHA TECHNOLOGY</t>
  </si>
  <si>
    <t>595-INA114AU/1K</t>
  </si>
  <si>
    <t>INA114AU/1K</t>
  </si>
  <si>
    <t>26M13617</t>
  </si>
  <si>
    <t>HANNING MOTORS INDIA PVT LTD</t>
  </si>
  <si>
    <t>PO/EXP/26-27/00777</t>
  </si>
  <si>
    <t>926-LM2676S-ADJ/NOPB</t>
  </si>
  <si>
    <t>LM2676S-ADJ/NOPB</t>
  </si>
  <si>
    <t>26M13618</t>
  </si>
  <si>
    <t>PO/SRND2627/00172</t>
  </si>
  <si>
    <t>644-DNF18-110FIBM</t>
  </si>
  <si>
    <t>Panduit</t>
  </si>
  <si>
    <t>DNF18-110FIB-M</t>
  </si>
  <si>
    <t>26M13634</t>
  </si>
  <si>
    <t>PO/EXP/26-27/00827</t>
  </si>
  <si>
    <t>785-2455RM-90820470</t>
  </si>
  <si>
    <t>2455RM-90820470</t>
  </si>
  <si>
    <t>785-2455R-00820235</t>
  </si>
  <si>
    <t>2455R--00820235</t>
  </si>
  <si>
    <t>26M13635</t>
  </si>
  <si>
    <t>651-1778890</t>
  </si>
  <si>
    <t>Visual Order</t>
  </si>
  <si>
    <t>Document Number</t>
  </si>
  <si>
    <t>Document Date</t>
  </si>
  <si>
    <t>Branch</t>
  </si>
  <si>
    <t>Sales Person</t>
  </si>
  <si>
    <t>Customer/Supplier Name</t>
  </si>
  <si>
    <t>BP Reference No.</t>
  </si>
  <si>
    <t>Manufacturer Name</t>
  </si>
  <si>
    <t>DP</t>
  </si>
  <si>
    <t>Freight</t>
  </si>
  <si>
    <t>Service Type</t>
  </si>
  <si>
    <t>Service Category</t>
  </si>
  <si>
    <t>SM Percentage</t>
  </si>
  <si>
    <t>Supp service Charge percentage</t>
  </si>
  <si>
    <t>Service Charge %</t>
  </si>
  <si>
    <t>SM Commission Value</t>
  </si>
  <si>
    <t>SM Commission Value in USD</t>
  </si>
  <si>
    <t>Supp service charge value</t>
  </si>
  <si>
    <t>Supp service charge value in USD</t>
  </si>
  <si>
    <t>Service  Charge Amount</t>
  </si>
  <si>
    <t>Service  Charge Amount in USD</t>
  </si>
  <si>
    <t>Total Commission</t>
  </si>
  <si>
    <t>Total Commission in USD</t>
  </si>
  <si>
    <t>Sale order Document Number</t>
  </si>
  <si>
    <t>Sales Order DP</t>
  </si>
  <si>
    <t>MIS/Other Make</t>
  </si>
  <si>
    <t>DEL00046</t>
  </si>
  <si>
    <t>GENUS POWER INFRASTRUCTURES LTD</t>
  </si>
  <si>
    <t>GE-13791282</t>
  </si>
  <si>
    <t>RMLCD00000124</t>
  </si>
  <si>
    <t>TJMS5720</t>
  </si>
  <si>
    <t>Based On Sales Orders 341000095. 341000099. 341000101. 341000138.</t>
  </si>
  <si>
    <t>#</t>
  </si>
  <si>
    <t>Internal Number</t>
  </si>
  <si>
    <t>AHMEDABAD</t>
  </si>
  <si>
    <t>GUJARAT</t>
  </si>
  <si>
    <t>JAIPUR</t>
  </si>
  <si>
    <t>26L13666</t>
  </si>
  <si>
    <t>OLUS ENTERPRISES</t>
  </si>
  <si>
    <t>SM/10082026/OE</t>
  </si>
  <si>
    <t>EC200ACNHA-N06-MN0CA</t>
  </si>
  <si>
    <t>26L13687</t>
  </si>
  <si>
    <t>LUMINOUS POWER TECHNOLOGIES HP</t>
  </si>
  <si>
    <t>CR1220</t>
  </si>
  <si>
    <t>26L13729</t>
  </si>
  <si>
    <t>MEMIGHTY INVENTIONS PRIVATE LIMITED</t>
  </si>
  <si>
    <t>MIPLPO-02002</t>
  </si>
  <si>
    <t>ST1M</t>
  </si>
  <si>
    <t>MIPLPUR-21749/52</t>
  </si>
  <si>
    <t>26L13731</t>
  </si>
  <si>
    <t>LAN/PO-B15/26-27/0550</t>
  </si>
  <si>
    <t>ER14250-2PT</t>
  </si>
  <si>
    <t>26L13732</t>
  </si>
  <si>
    <t>26L13733</t>
  </si>
  <si>
    <t>26L13734</t>
  </si>
  <si>
    <t>LAN/P0-B15/26-27/0376</t>
  </si>
  <si>
    <t>ABS15Y</t>
  </si>
  <si>
    <t>Rectifiers</t>
  </si>
  <si>
    <t>26L13737</t>
  </si>
  <si>
    <t>MMBT2222A</t>
  </si>
  <si>
    <t>A14DS00262</t>
  </si>
  <si>
    <t>26L13738</t>
  </si>
  <si>
    <t>HELLA INDIA AUTOMOTIVE PRIVATE LIMITED-DEL</t>
  </si>
  <si>
    <t>MMBTRC102SS</t>
  </si>
  <si>
    <t>799.075-58</t>
  </si>
  <si>
    <t>26L13741</t>
  </si>
  <si>
    <t>HPL ELECTRIC &amp; POWER GURGAON 132133</t>
  </si>
  <si>
    <t>SDIN37-ABS15Y</t>
  </si>
  <si>
    <t>26L13742</t>
  </si>
  <si>
    <t>26L13744</t>
  </si>
  <si>
    <t>26L13745</t>
  </si>
  <si>
    <t>26L13746</t>
  </si>
  <si>
    <t>16 104 K 1J 1Z</t>
  </si>
  <si>
    <t>A12ED00896</t>
  </si>
  <si>
    <t>DEKI</t>
  </si>
  <si>
    <t>BOX &amp; DEKIBOX CAPS</t>
  </si>
  <si>
    <t>26L13754</t>
  </si>
  <si>
    <t>ZMM30B</t>
  </si>
  <si>
    <t>SDION69-TZMB30-GS0</t>
  </si>
  <si>
    <t>26L13755</t>
  </si>
  <si>
    <t>P6SMB350A</t>
  </si>
  <si>
    <t>SDIOL13-P6SMB350A</t>
  </si>
  <si>
    <t>26L13756</t>
  </si>
  <si>
    <t>26L13760</t>
  </si>
  <si>
    <t>1N4007</t>
  </si>
  <si>
    <t>26L13762</t>
  </si>
  <si>
    <t>ZMM6.8</t>
  </si>
  <si>
    <t>26L13763</t>
  </si>
  <si>
    <t>TRINITY ENERGY SYSTEMS PVT LTD</t>
  </si>
  <si>
    <t>RM/26-27/0356</t>
  </si>
  <si>
    <t>R5F10NPJDFB#15</t>
  </si>
  <si>
    <t>26L13787</t>
  </si>
  <si>
    <t>Email ref 03-07</t>
  </si>
  <si>
    <t>26L13794</t>
  </si>
  <si>
    <t>26L13801</t>
  </si>
  <si>
    <t>LIT INDIA PRIVATE LIMITED</t>
  </si>
  <si>
    <t>LDI1117-3.3H</t>
  </si>
  <si>
    <t>26L13804</t>
  </si>
  <si>
    <t>26L13862</t>
  </si>
  <si>
    <t>MKM/PO/26-27/425</t>
  </si>
  <si>
    <t>R5F100MFAFB#10</t>
  </si>
  <si>
    <t>26M13636</t>
  </si>
  <si>
    <t>771-BZX79-C39113</t>
  </si>
  <si>
    <t>BZX79-C39,113</t>
  </si>
  <si>
    <t>771-BZX79-C7V5113</t>
  </si>
  <si>
    <t>BZX79-C7V5,113</t>
  </si>
  <si>
    <t>26M13637</t>
  </si>
  <si>
    <t>2026-2027/749</t>
  </si>
  <si>
    <t>771-CBT3251PW118</t>
  </si>
  <si>
    <t>CBT3251PW,118</t>
  </si>
  <si>
    <t>26M13675</t>
  </si>
  <si>
    <t>EE/PO/26-27/1796</t>
  </si>
  <si>
    <t>660-SG73P2ATTD471J</t>
  </si>
  <si>
    <t>SG73P2ATTD471J</t>
  </si>
  <si>
    <t>80-C0805C332K5R</t>
  </si>
  <si>
    <t>C0805C332K5RACTU</t>
  </si>
  <si>
    <t>71-CRCW1206100KJNEAH</t>
  </si>
  <si>
    <t>CRCW1206100KJNEAHP</t>
  </si>
  <si>
    <t>26M13678</t>
  </si>
  <si>
    <t>947-SMBJ24CA</t>
  </si>
  <si>
    <t>SMBJ24CA</t>
  </si>
  <si>
    <t>26M13683</t>
  </si>
  <si>
    <t>26M13736</t>
  </si>
  <si>
    <t>490-CMM2718AT42108TR</t>
  </si>
  <si>
    <t>Same Sky</t>
  </si>
  <si>
    <t>CMM-2718AT-42108-TR</t>
  </si>
  <si>
    <t>81-GRM188R61E475KE1D</t>
  </si>
  <si>
    <t>GRM188R61E475KE11D</t>
  </si>
  <si>
    <t>490-SP-3541</t>
  </si>
  <si>
    <t>SP-3541</t>
  </si>
  <si>
    <t>26M13759</t>
  </si>
  <si>
    <t>673-J0018D21ENL</t>
  </si>
  <si>
    <t>Pulse</t>
  </si>
  <si>
    <t>J0018D21ENL</t>
  </si>
  <si>
    <t>26M13786</t>
  </si>
  <si>
    <t>LUBI INDUSTRIES LLP</t>
  </si>
  <si>
    <t>80-C0603C101K5RAULR</t>
  </si>
  <si>
    <t>C0603C101K5RACAUTO7411</t>
  </si>
  <si>
    <t>80-T491D227K016AT</t>
  </si>
  <si>
    <t>T491D227K016AT</t>
  </si>
  <si>
    <t>538-39512-6008</t>
  </si>
  <si>
    <t>39512-6008</t>
  </si>
  <si>
    <t>810-ACT45B5102PTL003</t>
  </si>
  <si>
    <t>ACT45B-510-2P-TL003</t>
  </si>
  <si>
    <t>771-PTN5150AHXMP</t>
  </si>
  <si>
    <t>PTN5150AHXMP</t>
  </si>
  <si>
    <t>652-SF-1206SA350M-2</t>
  </si>
  <si>
    <t>SF-1206SA350M-2</t>
  </si>
  <si>
    <t>581-KGM15ACG1E150FT</t>
  </si>
  <si>
    <t>KGM15ACG1E150FT</t>
  </si>
  <si>
    <t>667-ERJ-UP3F1004V</t>
  </si>
  <si>
    <t>ERJ-UP3F1004V</t>
  </si>
  <si>
    <t>179-TS0925WT160SMTTR</t>
  </si>
  <si>
    <t>TS09-63-25-WT-160-SMT-TR</t>
  </si>
  <si>
    <t>755-ESR03EZPD60R4</t>
  </si>
  <si>
    <t>ESR03EZPD60R4</t>
  </si>
  <si>
    <t>667-EEU-FM1V331L</t>
  </si>
  <si>
    <t>EEU-FM1V331L</t>
  </si>
  <si>
    <t>511-SM15T30CAY</t>
  </si>
  <si>
    <t>SM15T30CAY</t>
  </si>
  <si>
    <t>871-B72590D50H160</t>
  </si>
  <si>
    <t>B72590D50H160</t>
  </si>
  <si>
    <t>603-CC603KRX7R8BB104</t>
  </si>
  <si>
    <t>CC0603KRX7R8BB104</t>
  </si>
  <si>
    <t>594-MFU0603FF01500P1</t>
  </si>
  <si>
    <t>MFU0603FF01500P100</t>
  </si>
  <si>
    <t>652-SRN6045-2R2Y</t>
  </si>
  <si>
    <t>SRN6045-2R2Y</t>
  </si>
  <si>
    <t>791-1210X106K500CT</t>
  </si>
  <si>
    <t>1210X106K500CT</t>
  </si>
  <si>
    <t>963-UMK325BJ106KM-P</t>
  </si>
  <si>
    <t>UMK325BJ106KM-P</t>
  </si>
  <si>
    <t>603-AC0603FR-07100KL</t>
  </si>
  <si>
    <t>AC0603FR-07100KL</t>
  </si>
  <si>
    <t>187-CL10A475KO8NNNC</t>
  </si>
  <si>
    <t>Samsung Electro-Mechanics</t>
  </si>
  <si>
    <t>CL10A475KO8NNNC</t>
  </si>
  <si>
    <t>863-BAT54CLT3G</t>
  </si>
  <si>
    <t>ON Semiconductor</t>
  </si>
  <si>
    <t>BAT54CLT3G</t>
  </si>
  <si>
    <t>80-C0603J473K8RACLR</t>
  </si>
  <si>
    <t>C0603J473K8RAC7411</t>
  </si>
  <si>
    <t>603-SR0603FR-7T1KL</t>
  </si>
  <si>
    <t>SR0603FR-7T1KL</t>
  </si>
  <si>
    <t>652-SRN6045TA-2R2Y</t>
  </si>
  <si>
    <t>SRN6045TA-2R2Y</t>
  </si>
  <si>
    <t>538-39512-6006</t>
  </si>
  <si>
    <t>39512-6006</t>
  </si>
  <si>
    <t>649-62684-401100AHLF</t>
  </si>
  <si>
    <t>FCI / Amphenol</t>
  </si>
  <si>
    <t>62684-401100AHLF</t>
  </si>
  <si>
    <t>863-EMI8043MUTAG</t>
  </si>
  <si>
    <t>EMI8043MUTAG</t>
  </si>
  <si>
    <t>581-TAJA106K016R</t>
  </si>
  <si>
    <t>AVX</t>
  </si>
  <si>
    <t>TAJA106K016RNJ</t>
  </si>
  <si>
    <t>791-WR06X22R0FTL</t>
  </si>
  <si>
    <t>WR06X22R0FTL</t>
  </si>
  <si>
    <t>603-AC0805JR-070RL</t>
  </si>
  <si>
    <t>AC0805JR-070RL</t>
  </si>
  <si>
    <t>667-ERJ-3BQFR47V</t>
  </si>
  <si>
    <t>ERJ-3BQFR47V</t>
  </si>
  <si>
    <t>71-CRCW06032K00FKEE</t>
  </si>
  <si>
    <t>CRCW06032K00FKEE</t>
  </si>
  <si>
    <t>581-KAF15AR71H102KM</t>
  </si>
  <si>
    <t>KAF15AR71H102KM</t>
  </si>
  <si>
    <t>520-250-10-36Q-EST</t>
  </si>
  <si>
    <t>ECS-250-10-36Q-ES-TR</t>
  </si>
  <si>
    <t>279-CRGP0603F270R</t>
  </si>
  <si>
    <t>CRGP0603F270R</t>
  </si>
  <si>
    <t>810-C3225X7R1H106MAC</t>
  </si>
  <si>
    <t>C3225X7R1H106M250AC</t>
  </si>
  <si>
    <t>771-74HC14D-T</t>
  </si>
  <si>
    <t>74HC14D,653</t>
  </si>
  <si>
    <t>603-AC0603FR-104K7L</t>
  </si>
  <si>
    <t>AC0603FR-104K7L</t>
  </si>
  <si>
    <t>581-0201YC100KAT2A</t>
  </si>
  <si>
    <t>0201YC100KAT2A</t>
  </si>
  <si>
    <t>581-06035A330DAT2A</t>
  </si>
  <si>
    <t>06035A330DAT2A</t>
  </si>
  <si>
    <t>863-MBR120ESFT3G</t>
  </si>
  <si>
    <t>MBR120ESFT3G</t>
  </si>
  <si>
    <t>81-GRM188R61E106MA3J</t>
  </si>
  <si>
    <t>GRM188R61E106MA73J</t>
  </si>
  <si>
    <t>791-1206B102K251CT</t>
  </si>
  <si>
    <t>1206B102K251CT</t>
  </si>
  <si>
    <t>512-SS34</t>
  </si>
  <si>
    <t>SS34</t>
  </si>
  <si>
    <t>80-ESL107M035AE3AA</t>
  </si>
  <si>
    <t>ESL107M035AE3AA</t>
  </si>
  <si>
    <t>732-FA-23824MD30X-W5</t>
  </si>
  <si>
    <t>Epson</t>
  </si>
  <si>
    <t>FA-238 24.0000MD30X-W5</t>
  </si>
  <si>
    <t>187-CL31Y106KBKVPJE</t>
  </si>
  <si>
    <t>CL31Y106KBKVPJE</t>
  </si>
  <si>
    <t>946-MP62055EJLFZ</t>
  </si>
  <si>
    <t>Monolithic Power Systems (MPS)</t>
  </si>
  <si>
    <t>MP62055EJ-LF-Z</t>
  </si>
  <si>
    <t>80-C0603C100J5G</t>
  </si>
  <si>
    <t>C0603C100J5GACTU</t>
  </si>
  <si>
    <t>946-MP2759GQ-0000-P</t>
  </si>
  <si>
    <t>MP2759GQ-0000-P</t>
  </si>
  <si>
    <t>603-RC0603JR-070RL</t>
  </si>
  <si>
    <t>RC0603JR-070RL</t>
  </si>
  <si>
    <t>637-SMF5.0CA</t>
  </si>
  <si>
    <t>SMF5.0CA</t>
  </si>
  <si>
    <t>708-RMCF0603FG100K</t>
  </si>
  <si>
    <t>RMCF0603FG100K</t>
  </si>
  <si>
    <t>279-CPF0603F2K49C1</t>
  </si>
  <si>
    <t>CPF0603F2K49C1</t>
  </si>
  <si>
    <t>81-DLW21SZ900HQ2L</t>
  </si>
  <si>
    <t>DLW21SZ900HQ2L</t>
  </si>
  <si>
    <t>963-MAASJ21GBD7226MT</t>
  </si>
  <si>
    <t>MAASJ21GBD7226MTCA01</t>
  </si>
  <si>
    <t>603-AC0603FR-0753K6L</t>
  </si>
  <si>
    <t>AC0603FR-0753K6L</t>
  </si>
  <si>
    <t>652-SRR1210-120M</t>
  </si>
  <si>
    <t>SRR1210-120M</t>
  </si>
  <si>
    <t>595-TXS0102DCUR</t>
  </si>
  <si>
    <t>TXS0102DCUR</t>
  </si>
  <si>
    <t>791-WR12X1004FTL</t>
  </si>
  <si>
    <t>WR12X1004FTL</t>
  </si>
  <si>
    <t>512-BSS138L</t>
  </si>
  <si>
    <t>BSS138L</t>
  </si>
  <si>
    <t>603-AC0603FR-07510KL</t>
  </si>
  <si>
    <t>AC0603FR-07510KL</t>
  </si>
  <si>
    <t>26M13789</t>
  </si>
  <si>
    <t>NILE ELECTRONICS</t>
  </si>
  <si>
    <t>NE805</t>
  </si>
  <si>
    <t>603-CC0603JPNP0BN220</t>
  </si>
  <si>
    <t>CC0603JPNPO0BN220</t>
  </si>
  <si>
    <t>556-ATATMEL-ICE</t>
  </si>
  <si>
    <t>ATATMEL-ICE</t>
  </si>
  <si>
    <t>512-MMSD3070</t>
  </si>
  <si>
    <t>MMSD3070</t>
  </si>
  <si>
    <t>187-CL10C040CB8NNNC</t>
  </si>
  <si>
    <t>CL10C040CB8NNNC</t>
  </si>
  <si>
    <t>538-35507-0400</t>
  </si>
  <si>
    <t>35507-0400</t>
  </si>
  <si>
    <t>603-RC0603FR-7W10KL</t>
  </si>
  <si>
    <t>187-CL21B105KOFNNNG</t>
  </si>
  <si>
    <t>CL21B105KOFNNNG</t>
  </si>
  <si>
    <t>187-CL21A475KPFNNNF</t>
  </si>
  <si>
    <t>CL21A475KPFNNNF</t>
  </si>
  <si>
    <t>604-AP2012CGCK</t>
  </si>
  <si>
    <t>AP2012CGCK</t>
  </si>
  <si>
    <t>603-RT0603BRD07500RL</t>
  </si>
  <si>
    <t>RT0603BRD07500RL</t>
  </si>
  <si>
    <t>26M13796</t>
  </si>
  <si>
    <t>KRISHNA AUTOMATION</t>
  </si>
  <si>
    <t>E-Mail : Amit Patel</t>
  </si>
  <si>
    <t>595-LM324AD</t>
  </si>
  <si>
    <t>LM324AD</t>
  </si>
  <si>
    <t>511-TSH22IDT</t>
  </si>
  <si>
    <t>TSH22IDT</t>
  </si>
  <si>
    <t>595-TL074ACDR</t>
  </si>
  <si>
    <t>TL074ACDR</t>
  </si>
  <si>
    <t>863-MC33074ADR2G</t>
  </si>
  <si>
    <t>MC33074ADR2G</t>
  </si>
  <si>
    <t>595-LM358ADR</t>
  </si>
  <si>
    <t>LM358ADR</t>
  </si>
  <si>
    <t>595-LM393ADR</t>
  </si>
  <si>
    <t>LM393ADR</t>
  </si>
  <si>
    <t>26M13806</t>
  </si>
  <si>
    <t>VIRAJ SALES AND SERVICE</t>
  </si>
  <si>
    <t>512-BSS138K</t>
  </si>
  <si>
    <t>ONSemiconductor</t>
  </si>
  <si>
    <t>BSS138K</t>
  </si>
  <si>
    <t>863-MC74LCX14DTR2G</t>
  </si>
  <si>
    <t>MC74LCX14DTR2G</t>
  </si>
  <si>
    <t>595-74AHCT1G125DCKTE</t>
  </si>
  <si>
    <t>74AHCT1G125DCKTE4</t>
  </si>
  <si>
    <t>26M13811</t>
  </si>
  <si>
    <t>AGHPL/038</t>
  </si>
  <si>
    <t>603-PA2512FKF7T0R8E</t>
  </si>
  <si>
    <t>PA2512FKF7T0R008E</t>
  </si>
  <si>
    <t>26M13821</t>
  </si>
  <si>
    <t>DIGITAL ACOUSTICS PVT LTD</t>
  </si>
  <si>
    <t>E-Mail : Ravi Kumar</t>
  </si>
  <si>
    <t>579-0512GPG064T-E/PT</t>
  </si>
  <si>
    <t>PIC32MK0512GPG064T-E/PT</t>
  </si>
  <si>
    <t>634-CP2102NA02GQFN28</t>
  </si>
  <si>
    <t>Silicon Labs</t>
  </si>
  <si>
    <t>CP2102N-A02-GQFN28</t>
  </si>
  <si>
    <t>652-PEC16-4215FN0024</t>
  </si>
  <si>
    <t>PEC16-4215F-N0024</t>
  </si>
  <si>
    <t>490-SJ-43515TS</t>
  </si>
  <si>
    <t>SJ-43515TS</t>
  </si>
  <si>
    <t>998-MIC5317-3.3YD5TR</t>
  </si>
  <si>
    <t>MIC5317-3.3YD5-TR</t>
  </si>
  <si>
    <t>26M13822</t>
  </si>
  <si>
    <t>VMS AUTOCIRCUIT MICROSYSTEMS PRIVATE LIMITED</t>
  </si>
  <si>
    <t>SMETPL/SG/103</t>
  </si>
  <si>
    <t>81-PKM22EPPH4007-B0</t>
  </si>
  <si>
    <t>PKM22EPPH4007-B0</t>
  </si>
  <si>
    <t>26M13864</t>
  </si>
  <si>
    <t>595-TS5A23157DGSR</t>
  </si>
  <si>
    <t>TS5A23157DGSR</t>
  </si>
  <si>
    <t>26M13865</t>
  </si>
  <si>
    <t>595-TLV76733DGNR</t>
  </si>
  <si>
    <t>TLV76733DGNR</t>
  </si>
  <si>
    <t>595-ESDS552DBZR</t>
  </si>
  <si>
    <t>ESDS552DBZR</t>
  </si>
  <si>
    <t>26M13866</t>
  </si>
  <si>
    <t>595-LMR51430XDDCR</t>
  </si>
  <si>
    <t>LMR51430XDDCR</t>
  </si>
  <si>
    <t>26M13867</t>
  </si>
  <si>
    <t>OS/360121/32/26-27</t>
  </si>
  <si>
    <t>511-STM32L4P5VGT6</t>
  </si>
  <si>
    <t>STM32L4P5VGT6</t>
  </si>
  <si>
    <t>595-TPS62140RGTT</t>
  </si>
  <si>
    <t>TPS62140RGTT</t>
  </si>
  <si>
    <t>621-AP22655WU-7</t>
  </si>
  <si>
    <t>AP22655WU-7</t>
  </si>
  <si>
    <t>MX25L6433FM2I-08G TAPE &amp; REEL</t>
  </si>
  <si>
    <t>BIS108134</t>
  </si>
  <si>
    <t>ISL9113AIRAZ-T</t>
  </si>
  <si>
    <t>BIS108154</t>
  </si>
  <si>
    <t>INTERSIL-RENESAS</t>
  </si>
  <si>
    <t>ISL1208IB8Z-TK</t>
  </si>
  <si>
    <t>BIS108056</t>
  </si>
  <si>
    <t>R7FA6M5AG3CFB#AA0</t>
  </si>
  <si>
    <t>BIS1AA006</t>
  </si>
  <si>
    <t>UHW1C102MPD</t>
  </si>
  <si>
    <t>CAPM17ELEC1000UF35</t>
  </si>
  <si>
    <t>DS FR NICHICON SGAIRNI260006632</t>
  </si>
  <si>
    <t>SF72S006VBDR2500</t>
  </si>
  <si>
    <t>SIMM97 SF72S006VBD</t>
  </si>
  <si>
    <t>JAE</t>
  </si>
  <si>
    <t>LC NO 06999FOUU2621101DATED260731PI359000048</t>
  </si>
  <si>
    <t>BR24G512FJ-3AGTE2</t>
  </si>
  <si>
    <t>SIC762BR24G512FJ3A</t>
  </si>
  <si>
    <t>DS FR NICHICON SGAIRNI260006633</t>
  </si>
  <si>
    <t>SIC743MX25V4035F</t>
  </si>
  <si>
    <t>R5F566TAAGFM#30</t>
  </si>
  <si>
    <t>MLX92211LUA-BAA-050-BU</t>
  </si>
  <si>
    <t>MELEXIS</t>
  </si>
  <si>
    <t>ULD1H100MDD1TD</t>
  </si>
  <si>
    <t>GUJ00007</t>
  </si>
  <si>
    <t>EEPO2627549</t>
  </si>
  <si>
    <t>GBPC5010-G</t>
  </si>
  <si>
    <t>GBPC5010G</t>
  </si>
  <si>
    <t>COMCHIP</t>
  </si>
  <si>
    <t>EEPO25263950</t>
  </si>
  <si>
    <t>R7F0C001G2DFB-C#BA0</t>
  </si>
  <si>
    <t>R7F0C001G2DFBCBA0</t>
  </si>
  <si>
    <t>EEPO25263817</t>
  </si>
  <si>
    <t>R5F10WLDAFB#10</t>
  </si>
  <si>
    <t>R5F10WLDAFB10</t>
  </si>
  <si>
    <t>EEPO2627315</t>
  </si>
  <si>
    <t>R5F100FEAFP#50</t>
  </si>
  <si>
    <t>R5F100FEAFP50</t>
  </si>
  <si>
    <t>EEPO25263942</t>
  </si>
  <si>
    <t>SST3906MGT116</t>
  </si>
  <si>
    <t>EEPO2627200</t>
  </si>
  <si>
    <t>DTA114EKAT146</t>
  </si>
  <si>
    <t>EEPO2627461</t>
  </si>
  <si>
    <t>SST2222AMGT116</t>
  </si>
  <si>
    <t>BCX19MGT116</t>
  </si>
  <si>
    <t>BR24G256FJ-3GTE2</t>
  </si>
  <si>
    <t>BR24G256FJ3GTE2</t>
  </si>
  <si>
    <t>EEPO262768</t>
  </si>
  <si>
    <t>BA10393F-E2</t>
  </si>
  <si>
    <t>BA10393FE2</t>
  </si>
  <si>
    <t>GUJ00451</t>
  </si>
  <si>
    <t>SAMARTH EMOBILITY PVT LTD</t>
  </si>
  <si>
    <t>TM070RVGP41-00</t>
  </si>
  <si>
    <t>SEM119000200</t>
  </si>
  <si>
    <t>DS FR TIANMAINV13783683PI358000284 PARTIAL</t>
  </si>
  <si>
    <t>JPR00003</t>
  </si>
  <si>
    <t>JPY</t>
  </si>
  <si>
    <t>UCD1E101MCL1GS</t>
  </si>
  <si>
    <t>RMCAP00001029</t>
  </si>
  <si>
    <t>DEL02334</t>
  </si>
  <si>
    <t>SYRMA SGS TECHNOLOGY LIMITEDGURUGRAM</t>
  </si>
  <si>
    <t>UPW1V102MHD1TO</t>
  </si>
  <si>
    <t>DS FROM NICHICON MY TO SYRMA SGS</t>
  </si>
  <si>
    <t>Item/Service Description</t>
  </si>
  <si>
    <t>E7375 / RMLCD00000124 / LCD GLASS STN(Y-G) + 34Pin - 85/85/360h</t>
  </si>
  <si>
    <t>OTHERS</t>
  </si>
  <si>
    <t>DEL00859</t>
  </si>
  <si>
    <t>DROPSHIP FROM LUYOUFA TO PROBUS</t>
  </si>
  <si>
    <t>PSTPO262784</t>
  </si>
  <si>
    <t>1225-2102CNG0R185001</t>
  </si>
  <si>
    <t>12252102CNG0R185001</t>
  </si>
  <si>
    <t>2285-0102ANG1SYA01</t>
  </si>
  <si>
    <t>22850102ANG1SYA01</t>
  </si>
  <si>
    <t>1225-2106CNG0R190001</t>
  </si>
  <si>
    <t>12252106CNG0R190001</t>
  </si>
  <si>
    <t>2285-0106ANG4SYA01</t>
  </si>
  <si>
    <t>22850106ANG4SYA01</t>
  </si>
  <si>
    <t>DS FR JODINGINV JDIN26080301COOCHINA</t>
  </si>
  <si>
    <t>R5F566TAAGFM#10</t>
  </si>
  <si>
    <t>AO3423</t>
  </si>
  <si>
    <t>RMICC00000526</t>
  </si>
  <si>
    <t>DS FR AOS TO GENUSPICKUP ADDCHONGQING SIMIC SEMICONDUCTOR LIMITEDNO288 YUEFU ROAD BEIBEI DISTRICT CHONGQING 400709 PR CHINA</t>
  </si>
  <si>
    <t>26L13878</t>
  </si>
  <si>
    <t>ETQP5M100YFC</t>
  </si>
  <si>
    <t>AC0805JRNPO9BN100</t>
  </si>
  <si>
    <t>AC0805JRNPO9BN471</t>
  </si>
  <si>
    <t>ETQP3M4R7KVP</t>
  </si>
  <si>
    <t>B72207S0200K101</t>
  </si>
  <si>
    <t>26L13928</t>
  </si>
  <si>
    <t>MAHASHAKTI ENERGY LIMITED</t>
  </si>
  <si>
    <t>MEL/PO/26-27/033</t>
  </si>
  <si>
    <t>EC200NCNAD-N05-SNNSI</t>
  </si>
  <si>
    <t>26L13930</t>
  </si>
  <si>
    <t>26L13937</t>
  </si>
  <si>
    <t>SOFTECH CONTROL SOLUTIONS</t>
  </si>
  <si>
    <t>Ref Mail 12th Aug</t>
  </si>
  <si>
    <t>R5F121BCGFP#10</t>
  </si>
  <si>
    <t>R5F12008ASN#50</t>
  </si>
  <si>
    <t>R5F102AAASP#50</t>
  </si>
  <si>
    <t>26L13938</t>
  </si>
  <si>
    <t>MAS TECHNOLOGY SYSTEM PRIVATE LIMITED</t>
  </si>
  <si>
    <t>PO- 000194</t>
  </si>
  <si>
    <t>RAW0000012893</t>
  </si>
  <si>
    <t>RAW0000012894</t>
  </si>
  <si>
    <t>26L13942</t>
  </si>
  <si>
    <t>WHITELION SYSTEMS PVT LTD</t>
  </si>
  <si>
    <t>PO-2987</t>
  </si>
  <si>
    <t>1N4148W</t>
  </si>
  <si>
    <t>26L13944</t>
  </si>
  <si>
    <t>PO-2553</t>
  </si>
  <si>
    <t>UCS2W220MHD</t>
  </si>
  <si>
    <t>CAP 22UF 450V RADIAL</t>
  </si>
  <si>
    <t>26L13950</t>
  </si>
  <si>
    <t>NIKHAN CONTROLS OPC PVT LTD</t>
  </si>
  <si>
    <t>NC-26-27-/92</t>
  </si>
  <si>
    <t>NFM41CC222R2A3L</t>
  </si>
  <si>
    <t>26L13952</t>
  </si>
  <si>
    <t>NC/25-26/602</t>
  </si>
  <si>
    <t>26L13954</t>
  </si>
  <si>
    <t>NC-26-27-/131</t>
  </si>
  <si>
    <t>R7FA6M1AD3CFP#AA0</t>
  </si>
  <si>
    <t>26L13975</t>
  </si>
  <si>
    <t>26L13981</t>
  </si>
  <si>
    <t>MACHNO TECH PVT LTD</t>
  </si>
  <si>
    <t>MT/020/26-27</t>
  </si>
  <si>
    <t>DRUM-IND-6-8-250mA-1.5mH</t>
  </si>
  <si>
    <t>ITP ROHS</t>
  </si>
  <si>
    <t>26L13982</t>
  </si>
  <si>
    <t>MT/195/25-26</t>
  </si>
  <si>
    <t>UVY2W4R7MPD</t>
  </si>
  <si>
    <t>26L14002</t>
  </si>
  <si>
    <t>GINIX ASSEMBLIES PRIVATE LIMITED</t>
  </si>
  <si>
    <t>SM/13082026/GAPL</t>
  </si>
  <si>
    <t>R5F104BCAFP#10</t>
  </si>
  <si>
    <t>26L14008</t>
  </si>
  <si>
    <t>B72210S0301K101</t>
  </si>
  <si>
    <t>BZV55B2V4 L0G</t>
  </si>
  <si>
    <t>26L14010</t>
  </si>
  <si>
    <t>JNS INSTRUMENTS LIMITED</t>
  </si>
  <si>
    <t>5500005853-1</t>
  </si>
  <si>
    <t>Z1SMA18</t>
  </si>
  <si>
    <t>CP-SM-DIO-I-21411B</t>
  </si>
  <si>
    <t>26L14011</t>
  </si>
  <si>
    <t>BAS21</t>
  </si>
  <si>
    <t>SDION67-BAS20</t>
  </si>
  <si>
    <t>26L14012</t>
  </si>
  <si>
    <t>Email Ref 21-07</t>
  </si>
  <si>
    <t>LDI1117-05H</t>
  </si>
  <si>
    <t>26L14013</t>
  </si>
  <si>
    <t>MCIPL/25-26/RP/U1/000746</t>
  </si>
  <si>
    <t>R5F10EGEAFB#50</t>
  </si>
  <si>
    <t>MI48PN0001</t>
  </si>
  <si>
    <t>26L14014</t>
  </si>
  <si>
    <t>MCIPL/25-26/RP/U1/001017</t>
  </si>
  <si>
    <t>R5F100GEAFB#50</t>
  </si>
  <si>
    <t>MI48PN0002</t>
  </si>
  <si>
    <t>26L14015</t>
  </si>
  <si>
    <t>26L14016</t>
  </si>
  <si>
    <t>MCIPL/26-27/RP/U1/ 000037</t>
  </si>
  <si>
    <t>UF4007</t>
  </si>
  <si>
    <t>DRSCHD0005</t>
  </si>
  <si>
    <t>26L14017</t>
  </si>
  <si>
    <t>BAT54C</t>
  </si>
  <si>
    <t>RMDIO00000331</t>
  </si>
  <si>
    <t>26L14018</t>
  </si>
  <si>
    <t>LL4148</t>
  </si>
  <si>
    <t>DRRECT0027</t>
  </si>
  <si>
    <t>26L14019</t>
  </si>
  <si>
    <t>DRRECT0001</t>
  </si>
  <si>
    <t>MMSZ5250B</t>
  </si>
  <si>
    <t>DRZENE0045</t>
  </si>
  <si>
    <t>26L14020</t>
  </si>
  <si>
    <t>MMSZ5240B</t>
  </si>
  <si>
    <t>RMDIO00000275</t>
  </si>
  <si>
    <t>26L14021</t>
  </si>
  <si>
    <t>26L14022</t>
  </si>
  <si>
    <t>26L14023</t>
  </si>
  <si>
    <t>26L14024</t>
  </si>
  <si>
    <t>LUMAX INDUSTRIES LIMITED</t>
  </si>
  <si>
    <t>BZT52C18-AQ</t>
  </si>
  <si>
    <t>26M13872</t>
  </si>
  <si>
    <t>PO17998</t>
  </si>
  <si>
    <t>871-B41858D9337M</t>
  </si>
  <si>
    <t>B41858D9337M000</t>
  </si>
  <si>
    <t>625-SMCG54AHE3</t>
  </si>
  <si>
    <t>Vishay General Semiconductor</t>
  </si>
  <si>
    <t>SMCG54AHE3/57T</t>
  </si>
  <si>
    <t>571-2132230-8</t>
  </si>
  <si>
    <t>2132230-8</t>
  </si>
  <si>
    <t>26M13877</t>
  </si>
  <si>
    <t>MPL-PO-074</t>
  </si>
  <si>
    <t>641-ND89N12K</t>
  </si>
  <si>
    <t>ND89N12K</t>
  </si>
  <si>
    <t>747-DSEI2X61-12B</t>
  </si>
  <si>
    <t>IXYS</t>
  </si>
  <si>
    <t>DSEI2X61-12B</t>
  </si>
  <si>
    <t>26M13889</t>
  </si>
  <si>
    <t>ZYNERION SMARTSYS PRIVATE LIMITED</t>
  </si>
  <si>
    <t>E-Mail : Karan B</t>
  </si>
  <si>
    <t>581-08055C104J4T4A</t>
  </si>
  <si>
    <t>08055C104J4T4A</t>
  </si>
  <si>
    <t>708-RMCF0805FG499R</t>
  </si>
  <si>
    <t>RMCF0805FG499R</t>
  </si>
  <si>
    <t>810-CGA4J3X7R1H225KB</t>
  </si>
  <si>
    <t>CGA4J3X7R1H225K125AB</t>
  </si>
  <si>
    <t>708-RMCF0805FT8R20</t>
  </si>
  <si>
    <t>RMCF0805FT8R20</t>
  </si>
  <si>
    <t>71-CRCW251288R7FP</t>
  </si>
  <si>
    <t>CRCW251288R7FKTG</t>
  </si>
  <si>
    <t>791-MT21B103K500CT</t>
  </si>
  <si>
    <t>MT21B103K500CT</t>
  </si>
  <si>
    <t>708-RMCF0805FT1K00</t>
  </si>
  <si>
    <t>RMCF0805FT1K00</t>
  </si>
  <si>
    <t>594-2381-615-53103</t>
  </si>
  <si>
    <t>Vishay / BC Components</t>
  </si>
  <si>
    <t>NTCS0805E3103JMT</t>
  </si>
  <si>
    <t>708-RMCF0805FT1R50</t>
  </si>
  <si>
    <t>RMCF0805FT1R50</t>
  </si>
  <si>
    <t>581-08051C223K4T4A</t>
  </si>
  <si>
    <t>AC0603KRX7R9BB103</t>
  </si>
  <si>
    <t>708-RMCF0805FT10K0</t>
  </si>
  <si>
    <t>RMCF0805FT10K0</t>
  </si>
  <si>
    <t>26M13894</t>
  </si>
  <si>
    <t>187-CL32A106KOJNNNE</t>
  </si>
  <si>
    <t>CL32A106KOJNNNE</t>
  </si>
  <si>
    <t>26M13901</t>
  </si>
  <si>
    <t>IOTAI SOLUTIONS</t>
  </si>
  <si>
    <t>Email : Dhirendra Pandey</t>
  </si>
  <si>
    <t>726-IFX007TAUMA1</t>
  </si>
  <si>
    <t>IFX007TAUMA1</t>
  </si>
  <si>
    <t>26M13916</t>
  </si>
  <si>
    <t>579-PIC18F46K40-I/PT</t>
  </si>
  <si>
    <t>PIC18F46K40-I/PT</t>
  </si>
  <si>
    <t>26M13935</t>
  </si>
  <si>
    <t>538-51065-1100</t>
  </si>
  <si>
    <t>51065-1100</t>
  </si>
  <si>
    <t>26M13936</t>
  </si>
  <si>
    <t>576-0451.500MRL</t>
  </si>
  <si>
    <t>0451.500MRL</t>
  </si>
  <si>
    <t>755-KDZVTR16B</t>
  </si>
  <si>
    <t>KDZVTR16B</t>
  </si>
  <si>
    <t>26M13940</t>
  </si>
  <si>
    <t>512-1N5228B</t>
  </si>
  <si>
    <t>1N5228B</t>
  </si>
  <si>
    <t>26M13941</t>
  </si>
  <si>
    <t>C &amp; S ELECTRIC LTD</t>
  </si>
  <si>
    <t>869-TNY288PG</t>
  </si>
  <si>
    <t>PowerIntegrations</t>
  </si>
  <si>
    <t>TNY288PG</t>
  </si>
  <si>
    <t>595-HDC1080DMBR</t>
  </si>
  <si>
    <t>HDC1080DMBR</t>
  </si>
  <si>
    <t>26M13945</t>
  </si>
  <si>
    <t>INDIAN INSTITUTE OF TECHNOLOGY ROORKEE-DEL</t>
  </si>
  <si>
    <t>Email : Rohan Markanda</t>
  </si>
  <si>
    <t>356-ESP32-C3FH4</t>
  </si>
  <si>
    <t>Espressif</t>
  </si>
  <si>
    <t>ESP32-C3FH4</t>
  </si>
  <si>
    <t>26M13946</t>
  </si>
  <si>
    <t>997-LXR7SW50</t>
  </si>
  <si>
    <t>Lumileds</t>
  </si>
  <si>
    <t>LXR7-SW50</t>
  </si>
  <si>
    <t>26M13947</t>
  </si>
  <si>
    <t>595-LF347BDR</t>
  </si>
  <si>
    <t>LF347BDR</t>
  </si>
  <si>
    <t>26M13949</t>
  </si>
  <si>
    <t>PO/SRND2627/00166</t>
  </si>
  <si>
    <t>187-CL10B104KC8NNNC</t>
  </si>
  <si>
    <t>CL10B104KC8NNNC</t>
  </si>
  <si>
    <t>863-BZX84C2V7LT1G</t>
  </si>
  <si>
    <t>BZX84C2V7LT1G</t>
  </si>
  <si>
    <t>757-TLP2355TPLE</t>
  </si>
  <si>
    <t>TLP2355(TPL,E</t>
  </si>
  <si>
    <t>187-CL21B222KBANNNC</t>
  </si>
  <si>
    <t>CL21B222KBANNNC</t>
  </si>
  <si>
    <t>26M13970</t>
  </si>
  <si>
    <t>FUJIYAMA POWER SYSTEMS LIMITED-02AADCF2634F1Z8</t>
  </si>
  <si>
    <t>PODF-705/26-27INV</t>
  </si>
  <si>
    <t>470-1825680000</t>
  </si>
  <si>
    <t>Weidmuller</t>
  </si>
  <si>
    <t>26M13973</t>
  </si>
  <si>
    <t>81-BLM21PG121SN1D</t>
  </si>
  <si>
    <t>BLM21PG121SN1D</t>
  </si>
  <si>
    <t>576-SMBJ15CA</t>
  </si>
  <si>
    <t>SMBJ15CA</t>
  </si>
  <si>
    <t>595-TRS3232EIPWR</t>
  </si>
  <si>
    <t>TRS3232EIPWR</t>
  </si>
  <si>
    <t>26M14009</t>
  </si>
  <si>
    <t>78-1N4448W-HE3_A-08</t>
  </si>
  <si>
    <t>1N4448W-HE3_A-08</t>
  </si>
  <si>
    <t>810-C2012X7R1H224K</t>
  </si>
  <si>
    <t>C2012X7R1H224K125AA</t>
  </si>
  <si>
    <t>End Customer</t>
  </si>
  <si>
    <t>End Customer Segment</t>
  </si>
  <si>
    <t>End Customer Sub-Segment</t>
  </si>
  <si>
    <t>Energy_Meter</t>
  </si>
  <si>
    <t>Smart Meter</t>
  </si>
  <si>
    <t>KAYNES TECHNOLOGY INDIA LIMITED-DELHI</t>
  </si>
  <si>
    <t>EMS</t>
  </si>
  <si>
    <t>SAMARTH E-MOBILITY PVT LTD</t>
  </si>
  <si>
    <t>Industrial</t>
  </si>
  <si>
    <t>Automation</t>
  </si>
  <si>
    <t>ITRIANGLE INFOTECH PVT LTD</t>
  </si>
  <si>
    <t>Automotive_EV</t>
  </si>
  <si>
    <t>Telematics</t>
  </si>
  <si>
    <t>Charger</t>
  </si>
  <si>
    <t>MINDA CORPORATION LTD</t>
  </si>
  <si>
    <t>Automotive</t>
  </si>
  <si>
    <t>Lighting</t>
  </si>
  <si>
    <t>Panel Meter</t>
  </si>
  <si>
    <t>Fuel Injection System</t>
  </si>
  <si>
    <t>Single Phase</t>
  </si>
  <si>
    <t>Cluster</t>
  </si>
  <si>
    <t>Consumer</t>
  </si>
  <si>
    <t>White Goods</t>
  </si>
  <si>
    <t>BLUE STAR LIMITED</t>
  </si>
  <si>
    <t>DEL00042</t>
  </si>
  <si>
    <t>FIEM INDUSTRIES LTDALWAR</t>
  </si>
  <si>
    <t>UCD1H100MCL6GS</t>
  </si>
  <si>
    <t>DROP SHIP FROM NICHICON MY TO FIEM TAPUKARA</t>
  </si>
  <si>
    <t>DEL01317</t>
  </si>
  <si>
    <t>HMCMM AUTO LTD</t>
  </si>
  <si>
    <t>HERO MOTOCORP LTD</t>
  </si>
  <si>
    <t>OEM</t>
  </si>
  <si>
    <t>POCOMP24250111</t>
  </si>
  <si>
    <t>CGA6P1X7R1C226M</t>
  </si>
  <si>
    <t>IMRM00054</t>
  </si>
  <si>
    <t>CGA6P1X7R1E106K</t>
  </si>
  <si>
    <t>IMRM00040</t>
  </si>
  <si>
    <t>R5F11TLGDFB#15</t>
  </si>
  <si>
    <t>SIC897R5F11TLGDFB</t>
  </si>
  <si>
    <t>AMD00013</t>
  </si>
  <si>
    <t>MULTISPAN CONTROL INSTRUMENTS PVT LTD</t>
  </si>
  <si>
    <t>231pcs Rejected qty underINV 232404419</t>
  </si>
  <si>
    <t>HSN</t>
  </si>
  <si>
    <t>85.41.1000</t>
  </si>
  <si>
    <t>85.24.9990</t>
  </si>
  <si>
    <t>85.41.5000</t>
  </si>
  <si>
    <t>85.32.2200</t>
  </si>
  <si>
    <t>85.42.3100</t>
  </si>
  <si>
    <t>85.04.5090</t>
  </si>
  <si>
    <t>85.33.1000</t>
  </si>
  <si>
    <t>85.33.4090</t>
  </si>
  <si>
    <t>85.06.8010</t>
  </si>
  <si>
    <t>85.36.1090</t>
  </si>
  <si>
    <t>85.41.2900</t>
  </si>
  <si>
    <t>85.41.2100</t>
  </si>
  <si>
    <t>85.01.3119</t>
  </si>
  <si>
    <t>85.01.1019</t>
  </si>
  <si>
    <t>85.17.6290</t>
  </si>
  <si>
    <t>90.31.8000</t>
  </si>
  <si>
    <t>85.33.4030</t>
  </si>
  <si>
    <t>85.32.2400</t>
  </si>
  <si>
    <t>85.36.9090</t>
  </si>
  <si>
    <t>85.06.5000</t>
  </si>
  <si>
    <t>26L14045</t>
  </si>
  <si>
    <t>VOLTEX CONTROLS</t>
  </si>
  <si>
    <t>Email ref 26-02</t>
  </si>
  <si>
    <t>26L14046</t>
  </si>
  <si>
    <t>26L14056</t>
  </si>
  <si>
    <t>IIL-005677</t>
  </si>
  <si>
    <t>BCP56-16-Q</t>
  </si>
  <si>
    <t>TORB37.056</t>
  </si>
  <si>
    <t>26L14084</t>
  </si>
  <si>
    <t>Email ref 13-08</t>
  </si>
  <si>
    <t>BA159</t>
  </si>
  <si>
    <t>26L14102</t>
  </si>
  <si>
    <t>LOGIC FRUIT TECHNOLOGIES PRIVATE LIMITED</t>
  </si>
  <si>
    <t>LFTGGNR&amp;L/00019/2026</t>
  </si>
  <si>
    <t>LT8618SXB</t>
  </si>
  <si>
    <t>26L14111</t>
  </si>
  <si>
    <t>26L14112</t>
  </si>
  <si>
    <t>LDI559-3.3EN</t>
  </si>
  <si>
    <t>RMICC00000869</t>
  </si>
  <si>
    <t>26L14113</t>
  </si>
  <si>
    <t>26L14119</t>
  </si>
  <si>
    <t>26L14120</t>
  </si>
  <si>
    <t>CABCON TECHNOLOGIES PRIVATE LIMITED</t>
  </si>
  <si>
    <t>CTPL/2627/00037</t>
  </si>
  <si>
    <t>BLM18PG600SN1D</t>
  </si>
  <si>
    <t>85.05.1110</t>
  </si>
  <si>
    <t>FERRITE BEAD</t>
  </si>
  <si>
    <t>BLM18BA100SH1D</t>
  </si>
  <si>
    <t>26L14121</t>
  </si>
  <si>
    <t>EL380SM020</t>
  </si>
  <si>
    <t>MMTL431AR</t>
  </si>
  <si>
    <t>EL388SM023</t>
  </si>
  <si>
    <t>CT817D(S)(T1)-HG</t>
  </si>
  <si>
    <t>EL383SM003</t>
  </si>
  <si>
    <t>CT MICRO</t>
  </si>
  <si>
    <t>OPTO COUPLER</t>
  </si>
  <si>
    <t>26L14123</t>
  </si>
  <si>
    <t>MKM/PO/26-27/513</t>
  </si>
  <si>
    <t>JBY207152AW3C</t>
  </si>
  <si>
    <t>85.31.8000</t>
  </si>
  <si>
    <t>BACK LIGHT</t>
  </si>
  <si>
    <t>85.46.9010</t>
  </si>
  <si>
    <t>THERMAL</t>
  </si>
  <si>
    <t>PASSIVE</t>
  </si>
  <si>
    <t>85.38.9000</t>
  </si>
  <si>
    <t>CONNECTOR</t>
  </si>
  <si>
    <t>85.44.4999</t>
  </si>
  <si>
    <t>WIRE</t>
  </si>
  <si>
    <t>85.33.4010</t>
  </si>
  <si>
    <t>DISCRET</t>
  </si>
  <si>
    <t>ELECTRO MECHANICAL</t>
  </si>
  <si>
    <t>CIRCUIT PROTECTION</t>
  </si>
  <si>
    <t>85.41.3090</t>
  </si>
  <si>
    <t>85.36.5090</t>
  </si>
  <si>
    <t>1J11206000700PR</t>
  </si>
  <si>
    <t>90.31.9000</t>
  </si>
  <si>
    <t>85.42.3900</t>
  </si>
  <si>
    <t>SCIS1117C</t>
  </si>
  <si>
    <t>85.04.4090</t>
  </si>
  <si>
    <t>MEPC3961</t>
  </si>
  <si>
    <t>MEPC0957</t>
  </si>
  <si>
    <t>PASS</t>
  </si>
  <si>
    <t>85.41.6000</t>
  </si>
  <si>
    <t>MEPC1180</t>
  </si>
  <si>
    <t>MEPC1176</t>
  </si>
  <si>
    <t>MEPC3960</t>
  </si>
  <si>
    <t>MEPC1229</t>
  </si>
  <si>
    <t>MEPC3959</t>
  </si>
  <si>
    <t>MEPC1171</t>
  </si>
  <si>
    <t>MEPC1568</t>
  </si>
  <si>
    <t>MEPC1705</t>
  </si>
  <si>
    <t>MEPC1175</t>
  </si>
  <si>
    <t>MEPC1710</t>
  </si>
  <si>
    <t>MEPC1647</t>
  </si>
  <si>
    <t>MEPC3956</t>
  </si>
  <si>
    <t>85.04.5010</t>
  </si>
  <si>
    <t>85.32.2500</t>
  </si>
  <si>
    <t>40.16.9340</t>
  </si>
  <si>
    <t>85.41.4020</t>
  </si>
  <si>
    <t>OPT</t>
  </si>
  <si>
    <t>85.43.7099</t>
  </si>
  <si>
    <t>POWER</t>
  </si>
  <si>
    <t>GTELRMSOC000072</t>
  </si>
  <si>
    <t>GTELRMCRY000005</t>
  </si>
  <si>
    <t>EMBED</t>
  </si>
  <si>
    <t>85.04.3100</t>
  </si>
  <si>
    <t>MEPC0849</t>
  </si>
  <si>
    <t>MEPC0953</t>
  </si>
  <si>
    <t>MEPC0878</t>
  </si>
  <si>
    <t>MEPC0373</t>
  </si>
  <si>
    <t>MEPC2754</t>
  </si>
  <si>
    <t>MEPC0460</t>
  </si>
  <si>
    <t>MEPC3314</t>
  </si>
  <si>
    <t>MEPC0865</t>
  </si>
  <si>
    <t>MEPC1236</t>
  </si>
  <si>
    <t>MEPC0016</t>
  </si>
  <si>
    <t>MEPC0812</t>
  </si>
  <si>
    <t>MEPC0109</t>
  </si>
  <si>
    <t>MEPC1194</t>
  </si>
  <si>
    <t>MEPC0053</t>
  </si>
  <si>
    <t>MEPC4035</t>
  </si>
  <si>
    <t>MEPC0366</t>
  </si>
  <si>
    <t>MEPC1831</t>
  </si>
  <si>
    <t>MEPC0839</t>
  </si>
  <si>
    <t>MEPC0204</t>
  </si>
  <si>
    <t>MEPC0063</t>
  </si>
  <si>
    <t>MEPC0368</t>
  </si>
  <si>
    <t>MEPC2761</t>
  </si>
  <si>
    <t>MEPC2403</t>
  </si>
  <si>
    <t>MEPC0505</t>
  </si>
  <si>
    <t>MEPC0195</t>
  </si>
  <si>
    <t>MEPC0832</t>
  </si>
  <si>
    <t>MEPC0113</t>
  </si>
  <si>
    <t>MEPC0342</t>
  </si>
  <si>
    <t>MEPC2415</t>
  </si>
  <si>
    <t>MEPC0712</t>
  </si>
  <si>
    <t>MEPC2288</t>
  </si>
  <si>
    <t>RES04936</t>
  </si>
  <si>
    <t>90.30.9090</t>
  </si>
  <si>
    <t>YDSTLDRWCX</t>
  </si>
  <si>
    <t>ELN100650A</t>
  </si>
  <si>
    <t>MEPC4007</t>
  </si>
  <si>
    <t>MEPC3703</t>
  </si>
  <si>
    <t>MEPC0104</t>
  </si>
  <si>
    <t>MEPC3240</t>
  </si>
  <si>
    <t>MEPC2201</t>
  </si>
  <si>
    <t>MEPC3672</t>
  </si>
  <si>
    <t>MEPC0142</t>
  </si>
  <si>
    <t>MEPC3699</t>
  </si>
  <si>
    <t>MEPC4038</t>
  </si>
  <si>
    <t>MEPC3989</t>
  </si>
  <si>
    <t>MEPC0831</t>
  </si>
  <si>
    <t>MEPC4004</t>
  </si>
  <si>
    <t>MEPC2568</t>
  </si>
  <si>
    <t>MEPC3707</t>
  </si>
  <si>
    <t>MEPC3010</t>
  </si>
  <si>
    <t>MEPC0094</t>
  </si>
  <si>
    <t>MEPC3054</t>
  </si>
  <si>
    <t>MEPC1659</t>
  </si>
  <si>
    <t>MEPC1645</t>
  </si>
  <si>
    <t>MEPC3991</t>
  </si>
  <si>
    <t>MEPC3671</t>
  </si>
  <si>
    <t>MEPC3239</t>
  </si>
  <si>
    <t>MEPC3673</t>
  </si>
  <si>
    <t>MEPC0946</t>
  </si>
  <si>
    <t>MEPC1073</t>
  </si>
  <si>
    <t>MEPC0469</t>
  </si>
  <si>
    <t>MEPC2834</t>
  </si>
  <si>
    <t>MEPC3702</t>
  </si>
  <si>
    <t>MEPC3670</t>
  </si>
  <si>
    <t>MEPC0467</t>
  </si>
  <si>
    <t>MEPC2195</t>
  </si>
  <si>
    <t>MEPC2098</t>
  </si>
  <si>
    <t>MEPC4002</t>
  </si>
  <si>
    <t>MEPC3680</t>
  </si>
  <si>
    <t>MEPC3992</t>
  </si>
  <si>
    <t>MEPC0428</t>
  </si>
  <si>
    <t>MEPC4036</t>
  </si>
  <si>
    <t>3200000G000010FIB00L</t>
  </si>
  <si>
    <t>90.32.1090</t>
  </si>
  <si>
    <t>85.36.6990</t>
  </si>
  <si>
    <t>MEPC0145</t>
  </si>
  <si>
    <t>CON02510</t>
  </si>
  <si>
    <t>CAP01168</t>
  </si>
  <si>
    <t>85.18.1000</t>
  </si>
  <si>
    <t>AUD00036</t>
  </si>
  <si>
    <t>85.32.2100</t>
  </si>
  <si>
    <t>RMICC00001202</t>
  </si>
  <si>
    <t>RMICC00001201</t>
  </si>
  <si>
    <t>RMDIO00000473</t>
  </si>
  <si>
    <t>RMICC00001187</t>
  </si>
  <si>
    <t>RMICC00001185</t>
  </si>
  <si>
    <t>CAP01590</t>
  </si>
  <si>
    <t>CON01956</t>
  </si>
  <si>
    <t>DIO00803</t>
  </si>
  <si>
    <t>RMDIO00000245</t>
  </si>
  <si>
    <t>RMFER00000087</t>
  </si>
  <si>
    <t>RMDIO00000474</t>
  </si>
  <si>
    <t>RMICC00001177</t>
  </si>
  <si>
    <t>MEPC3674</t>
  </si>
  <si>
    <t>MEPC3684</t>
  </si>
  <si>
    <t>26M14034</t>
  </si>
  <si>
    <t>TEQ DILIGENT PRODUCT SOLUTIONS PVT LTD</t>
  </si>
  <si>
    <t>660-SG73P1EWTTP1000F</t>
  </si>
  <si>
    <t>SG73P1EWTTP1000F</t>
  </si>
  <si>
    <t>579-24LC01BT-I/OT</t>
  </si>
  <si>
    <t>MICROCHIP</t>
  </si>
  <si>
    <t>24LC01BT-I/OT</t>
  </si>
  <si>
    <t>77-VJ0603D221KXAAJ</t>
  </si>
  <si>
    <t>VJ0603D221KXAAJ</t>
  </si>
  <si>
    <t>200-SMPPFPHGSTMT1</t>
  </si>
  <si>
    <t>SMP-PF-P-HG-ST-MT1</t>
  </si>
  <si>
    <t>279-RP73PF1E174KBTD</t>
  </si>
  <si>
    <t>RP73PF1E174KBTD</t>
  </si>
  <si>
    <t>77-VJ0603D331KXAAJ</t>
  </si>
  <si>
    <t>VJ0603D331KXAAJ</t>
  </si>
  <si>
    <t>80-C0603C102K5R</t>
  </si>
  <si>
    <t>C0603C102K5RACTU</t>
  </si>
  <si>
    <t>200-SMPPFPHGSTTH3</t>
  </si>
  <si>
    <t>SMP-PF-P-HG-ST-TH3</t>
  </si>
  <si>
    <t>279-CPF0402B2K2E1</t>
  </si>
  <si>
    <t>CPF0402B2K2E1</t>
  </si>
  <si>
    <t>71-RCWE060320L0FQEA</t>
  </si>
  <si>
    <t>RCWE060320L0FQEA</t>
  </si>
  <si>
    <t>667-ERJ-2RKF3300X</t>
  </si>
  <si>
    <t>ERJ-2RKF3300X</t>
  </si>
  <si>
    <t>810-C1608C0G1V183JAC</t>
  </si>
  <si>
    <t>C1608C0G1V183J080AC</t>
  </si>
  <si>
    <t>71-PAT0603E4000BST1</t>
  </si>
  <si>
    <t>PAT0603E4000BST1</t>
  </si>
  <si>
    <t>523-1521-60051</t>
  </si>
  <si>
    <t>1521-60051</t>
  </si>
  <si>
    <t>926-LM7705MMX/NOPB</t>
  </si>
  <si>
    <t>LM7705MMX/NOPB</t>
  </si>
  <si>
    <t>26M14035</t>
  </si>
  <si>
    <t>SBI/2026-27/063</t>
  </si>
  <si>
    <t>538-43640-1001</t>
  </si>
  <si>
    <t>43640-1001</t>
  </si>
  <si>
    <t>538-39-01-3083</t>
  </si>
  <si>
    <t>39-01-3083</t>
  </si>
  <si>
    <t>538-39-00-0131</t>
  </si>
  <si>
    <t>39-00-0131</t>
  </si>
  <si>
    <t>538-43020-0601</t>
  </si>
  <si>
    <t>43020-0601</t>
  </si>
  <si>
    <t>538-43031-0011</t>
  </si>
  <si>
    <t>43031-0011</t>
  </si>
  <si>
    <t>538-43645-1000</t>
  </si>
  <si>
    <t>43645-1000</t>
  </si>
  <si>
    <t>26M14039</t>
  </si>
  <si>
    <t>NEXUS INDIA ENTERPRISE</t>
  </si>
  <si>
    <t>649-69168-114HLF</t>
  </si>
  <si>
    <t>69168-114HLF</t>
  </si>
  <si>
    <t>26M14040</t>
  </si>
  <si>
    <t>DELTA ELECTRONICS INDIA PRIVATE LIMITED(IN03)</t>
  </si>
  <si>
    <t>PO260806307400</t>
  </si>
  <si>
    <t>603-RL2512FK-070R18L</t>
  </si>
  <si>
    <t>RL2512FK-070R18L</t>
  </si>
  <si>
    <t>576-SC1103C-01UTG</t>
  </si>
  <si>
    <t>SC1103C-01UTG</t>
  </si>
  <si>
    <t>603-RV1206FR-074M7L</t>
  </si>
  <si>
    <t>RV1206FR-074M7L</t>
  </si>
  <si>
    <t>579-MCP6002T-I/SN</t>
  </si>
  <si>
    <t>MCP6002T-I/SN</t>
  </si>
  <si>
    <t>652-MF-LSMF300/24X-2</t>
  </si>
  <si>
    <t>MF-LSMF300/24X-2</t>
  </si>
  <si>
    <t>26M14047</t>
  </si>
  <si>
    <t>MV ELECTROSYSTEMS PVT LTD</t>
  </si>
  <si>
    <t>2025-2026\PPL\199</t>
  </si>
  <si>
    <t>645-553-0128F</t>
  </si>
  <si>
    <t>LEDX00007</t>
  </si>
  <si>
    <t>Dialight</t>
  </si>
  <si>
    <t>553-0128F</t>
  </si>
  <si>
    <t>80-C1206C104K1RAUTO</t>
  </si>
  <si>
    <t>C1206C104K1RACAUTO</t>
  </si>
  <si>
    <t>78-1N5250B</t>
  </si>
  <si>
    <t>DIODE00032</t>
  </si>
  <si>
    <t>1N5250B-TR</t>
  </si>
  <si>
    <t>647-UCQ1C220MCL1GB</t>
  </si>
  <si>
    <t>CAPS00076</t>
  </si>
  <si>
    <t>UCQ1C220MCL1GB</t>
  </si>
  <si>
    <t>122-3124-GR</t>
  </si>
  <si>
    <t>85.06.9000</t>
  </si>
  <si>
    <t>MISC00023</t>
  </si>
  <si>
    <t>Eagle Plastic Devices</t>
  </si>
  <si>
    <t>833-SMBJP6KE12CA-TP</t>
  </si>
  <si>
    <t>DIODE00024</t>
  </si>
  <si>
    <t>SMBJP6KE12CA-TP</t>
  </si>
  <si>
    <t>756-MFR4-220RFI</t>
  </si>
  <si>
    <t>REST00012</t>
  </si>
  <si>
    <t>TT Electronics</t>
  </si>
  <si>
    <t>MFR4-220RFI</t>
  </si>
  <si>
    <t>512-1N5231B</t>
  </si>
  <si>
    <t>DIODE00034</t>
  </si>
  <si>
    <t>1N5231B</t>
  </si>
  <si>
    <t>512-1N5242B</t>
  </si>
  <si>
    <t>DIODE00033</t>
  </si>
  <si>
    <t>1N5242B</t>
  </si>
  <si>
    <t>603-MFR-25FRF52-470R</t>
  </si>
  <si>
    <t>REST00006</t>
  </si>
  <si>
    <t>MFR-25FRF52-470R</t>
  </si>
  <si>
    <t>821-SA18AR0G</t>
  </si>
  <si>
    <t>DIODE00013</t>
  </si>
  <si>
    <t>SA18A</t>
  </si>
  <si>
    <t>26M14078</t>
  </si>
  <si>
    <t>NE809</t>
  </si>
  <si>
    <t>81-GRM155C8YA224KE1D</t>
  </si>
  <si>
    <t>GRM155C8YA224KE01D</t>
  </si>
  <si>
    <t>26M14080</t>
  </si>
  <si>
    <t>595-UCC27424QDGNRQ1</t>
  </si>
  <si>
    <t>UCC27424QDGNRQ1</t>
  </si>
  <si>
    <t>26M14090</t>
  </si>
  <si>
    <t>LIVGUARD DRIVETRAIN PVT. LTD.</t>
  </si>
  <si>
    <t>754-RG2012P-225B-T5</t>
  </si>
  <si>
    <t>RG2012P-225-B-T5</t>
  </si>
  <si>
    <t>26M14098</t>
  </si>
  <si>
    <t>511-STM32H733ZGT6</t>
  </si>
  <si>
    <t>1E1B11607085300</t>
  </si>
  <si>
    <t>STM32H733ZGT6</t>
  </si>
  <si>
    <t>26M14099</t>
  </si>
  <si>
    <t>595-TPSM863257RDXR</t>
  </si>
  <si>
    <t>TPSM863257RDXR</t>
  </si>
  <si>
    <t>534-5104TR</t>
  </si>
  <si>
    <t>Keystone Electronics</t>
  </si>
  <si>
    <t>5104TR</t>
  </si>
  <si>
    <t>581-0402ZD106MAT2A</t>
  </si>
  <si>
    <t>0402ZD106MAT2A</t>
  </si>
  <si>
    <t>594-MCT06030C2490FP5</t>
  </si>
  <si>
    <t>MCT06030C2490FP500</t>
  </si>
  <si>
    <t>810-CGA2B3X7R1H104KB</t>
  </si>
  <si>
    <t>CGA2B3X7R1H104K050BE</t>
  </si>
  <si>
    <t>595-TPD4EUSB30DQAR</t>
  </si>
  <si>
    <t>TPD4EUSB30DQAR</t>
  </si>
  <si>
    <t>26M14100</t>
  </si>
  <si>
    <t>CYBER LABS PVT LTD-133</t>
  </si>
  <si>
    <t>968-RTK7A8D1S01001BE</t>
  </si>
  <si>
    <t>RTK7EKA8D1S01001BE</t>
  </si>
  <si>
    <t>26M14101</t>
  </si>
  <si>
    <t>653-B3WN-6002</t>
  </si>
  <si>
    <t>B3WN-6002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</si>
</sst>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4" fontId="0" fillId="0" borderId="0" xfId="0" applyNumberForma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9FB3E-B93D-4038-9D5A-A2FB138B1129}">
  <dimension ref="A1:AE209"/>
  <sheetViews>
    <sheetView tabSelected="1" topLeftCell="M1" workbookViewId="0">
      <selection activeCell="T1" sqref="T1"/>
    </sheetView>
  </sheetViews>
  <sheetFormatPr defaultRowHeight="14.5" x14ac:dyDescent="0.35"/>
  <cols>
    <col min="1" max="1" width="3.81640625" bestFit="1" customWidth="1"/>
    <col min="2" max="2" width="14.7265625" bestFit="1" customWidth="1"/>
    <col min="3" max="3" width="9.81640625" bestFit="1" customWidth="1"/>
    <col min="4" max="4" width="9.54296875" bestFit="1" customWidth="1"/>
    <col min="5" max="5" width="11.81640625" bestFit="1" customWidth="1"/>
    <col min="6" max="6" width="10.08984375" bestFit="1" customWidth="1"/>
    <col min="7" max="7" width="54.453125" bestFit="1" customWidth="1"/>
    <col min="8" max="8" width="10.81640625" bestFit="1" customWidth="1"/>
    <col min="9" max="9" width="16.1796875" bestFit="1" customWidth="1"/>
    <col min="10" max="10" width="6.81640625" bestFit="1" customWidth="1"/>
    <col min="11" max="11" width="12" bestFit="1" customWidth="1"/>
    <col min="12" max="12" width="21.90625" bestFit="1" customWidth="1"/>
    <col min="13" max="13" width="16.08984375" bestFit="1" customWidth="1"/>
    <col min="14" max="14" width="26.08984375" bestFit="1" customWidth="1"/>
    <col min="15" max="15" width="9.90625" bestFit="1" customWidth="1"/>
    <col min="16" max="16" width="22.54296875" bestFit="1" customWidth="1"/>
    <col min="17" max="17" width="12.453125" bestFit="1" customWidth="1"/>
    <col min="18" max="18" width="20.36328125" bestFit="1" customWidth="1"/>
    <col min="19" max="19" width="10.26953125" bestFit="1" customWidth="1"/>
    <col min="21" max="21" width="11.26953125" bestFit="1" customWidth="1"/>
    <col min="22" max="22" width="5.08984375" bestFit="1" customWidth="1"/>
    <col min="23" max="23" width="4.90625" bestFit="1" customWidth="1"/>
    <col min="24" max="24" width="10.26953125" bestFit="1" customWidth="1"/>
    <col min="25" max="25" width="11.1796875" bestFit="1" customWidth="1"/>
    <col min="26" max="26" width="14.6328125" bestFit="1" customWidth="1"/>
    <col min="27" max="27" width="11.26953125" bestFit="1" customWidth="1"/>
    <col min="28" max="28" width="10.81640625" bestFit="1" customWidth="1"/>
    <col min="29" max="29" width="8.26953125" bestFit="1" customWidth="1"/>
    <col min="30" max="30" width="11.26953125" bestFit="1" customWidth="1"/>
    <col min="31" max="31" width="15.1796875" bestFit="1" customWidth="1"/>
  </cols>
  <sheetData>
    <row r="1" spans="1:31" x14ac:dyDescent="0.35">
      <c r="U1" s="3">
        <f>SUBTOTAL(9,U3:U209)</f>
        <v>35315119.149999999</v>
      </c>
    </row>
    <row r="2" spans="1:31" x14ac:dyDescent="0.35">
      <c r="A2" t="s">
        <v>1276</v>
      </c>
      <c r="B2" t="s">
        <v>1277</v>
      </c>
      <c r="C2" t="s">
        <v>0</v>
      </c>
      <c r="D2" t="s">
        <v>39</v>
      </c>
      <c r="E2" t="s">
        <v>26</v>
      </c>
      <c r="F2" t="s">
        <v>1</v>
      </c>
      <c r="G2" t="s">
        <v>2</v>
      </c>
      <c r="H2" t="s">
        <v>94</v>
      </c>
      <c r="I2" t="s">
        <v>95</v>
      </c>
      <c r="J2" t="s">
        <v>136</v>
      </c>
      <c r="K2" t="s">
        <v>135</v>
      </c>
      <c r="L2" t="s">
        <v>3</v>
      </c>
      <c r="M2" t="s">
        <v>20</v>
      </c>
      <c r="N2" t="s">
        <v>4</v>
      </c>
      <c r="O2" t="s">
        <v>1931</v>
      </c>
      <c r="P2" t="s">
        <v>27</v>
      </c>
      <c r="Q2" t="s">
        <v>5</v>
      </c>
      <c r="R2" t="s">
        <v>415</v>
      </c>
      <c r="S2" t="s">
        <v>7</v>
      </c>
      <c r="T2" t="s">
        <v>8</v>
      </c>
      <c r="U2" t="s">
        <v>9</v>
      </c>
      <c r="V2" t="s">
        <v>29</v>
      </c>
      <c r="W2" t="s">
        <v>30</v>
      </c>
      <c r="X2" t="s">
        <v>31</v>
      </c>
      <c r="Y2" t="s">
        <v>32</v>
      </c>
      <c r="Z2" t="s">
        <v>33</v>
      </c>
      <c r="AA2" t="s">
        <v>34</v>
      </c>
      <c r="AB2" t="s">
        <v>35</v>
      </c>
      <c r="AC2" t="s">
        <v>36</v>
      </c>
      <c r="AD2" t="s">
        <v>10</v>
      </c>
      <c r="AE2" t="s">
        <v>28</v>
      </c>
    </row>
    <row r="3" spans="1:31" x14ac:dyDescent="0.35">
      <c r="A3">
        <v>1</v>
      </c>
      <c r="B3">
        <v>281463</v>
      </c>
      <c r="C3">
        <v>328012886</v>
      </c>
      <c r="D3" t="s">
        <v>169</v>
      </c>
      <c r="E3" t="s">
        <v>51</v>
      </c>
      <c r="F3" s="1">
        <v>46237</v>
      </c>
      <c r="G3" t="s">
        <v>121</v>
      </c>
      <c r="H3">
        <v>4300065573</v>
      </c>
      <c r="I3" s="1">
        <v>46106</v>
      </c>
      <c r="J3" t="s">
        <v>138</v>
      </c>
      <c r="K3" t="s">
        <v>137</v>
      </c>
      <c r="L3" t="s">
        <v>13</v>
      </c>
      <c r="M3" t="s">
        <v>14</v>
      </c>
      <c r="N3" t="s">
        <v>122</v>
      </c>
      <c r="O3" t="s">
        <v>1932</v>
      </c>
      <c r="P3">
        <v>1110059316</v>
      </c>
      <c r="Q3" t="s">
        <v>52</v>
      </c>
      <c r="R3" t="s">
        <v>418</v>
      </c>
      <c r="S3" s="2">
        <v>6000</v>
      </c>
      <c r="T3">
        <v>0.97</v>
      </c>
      <c r="U3" s="2">
        <v>5820</v>
      </c>
      <c r="V3">
        <v>0</v>
      </c>
      <c r="W3">
        <v>0</v>
      </c>
      <c r="X3" s="2">
        <v>1047.5999999999999</v>
      </c>
      <c r="Y3">
        <v>0</v>
      </c>
      <c r="Z3">
        <v>0</v>
      </c>
      <c r="AA3" s="2">
        <v>6867.6</v>
      </c>
      <c r="AB3">
        <v>0</v>
      </c>
      <c r="AC3">
        <v>0</v>
      </c>
      <c r="AD3" s="2">
        <v>6867.6</v>
      </c>
      <c r="AE3" t="s">
        <v>53</v>
      </c>
    </row>
    <row r="4" spans="1:31" x14ac:dyDescent="0.35">
      <c r="A4">
        <v>2</v>
      </c>
      <c r="B4">
        <v>281464</v>
      </c>
      <c r="C4">
        <v>328012887</v>
      </c>
      <c r="D4" t="s">
        <v>170</v>
      </c>
      <c r="E4" t="s">
        <v>51</v>
      </c>
      <c r="F4" s="1">
        <v>46237</v>
      </c>
      <c r="G4" t="s">
        <v>121</v>
      </c>
      <c r="H4">
        <v>4300065400</v>
      </c>
      <c r="I4" s="1">
        <v>46072</v>
      </c>
      <c r="J4" t="s">
        <v>138</v>
      </c>
      <c r="K4" t="s">
        <v>137</v>
      </c>
      <c r="L4" t="s">
        <v>13</v>
      </c>
      <c r="M4" t="s">
        <v>14</v>
      </c>
      <c r="N4" t="s">
        <v>171</v>
      </c>
      <c r="O4" t="s">
        <v>1932</v>
      </c>
      <c r="P4">
        <v>1100029293</v>
      </c>
      <c r="Q4" t="s">
        <v>52</v>
      </c>
      <c r="R4" t="s">
        <v>418</v>
      </c>
      <c r="S4" s="2">
        <v>2500</v>
      </c>
      <c r="T4">
        <v>0.78</v>
      </c>
      <c r="U4" s="2">
        <v>1950</v>
      </c>
      <c r="V4">
        <v>0</v>
      </c>
      <c r="W4">
        <v>0</v>
      </c>
      <c r="X4">
        <v>351</v>
      </c>
      <c r="Y4">
        <v>0</v>
      </c>
      <c r="Z4">
        <v>0</v>
      </c>
      <c r="AA4" s="2">
        <v>2301</v>
      </c>
      <c r="AB4">
        <v>0</v>
      </c>
      <c r="AC4">
        <v>0</v>
      </c>
      <c r="AD4" s="2">
        <v>2301</v>
      </c>
      <c r="AE4" t="s">
        <v>53</v>
      </c>
    </row>
    <row r="5" spans="1:31" x14ac:dyDescent="0.35">
      <c r="A5">
        <v>3</v>
      </c>
      <c r="B5">
        <v>281468</v>
      </c>
      <c r="C5">
        <v>328012891</v>
      </c>
      <c r="D5" t="s">
        <v>172</v>
      </c>
      <c r="E5" t="s">
        <v>51</v>
      </c>
      <c r="F5" s="1">
        <v>46237</v>
      </c>
      <c r="G5" t="s">
        <v>132</v>
      </c>
      <c r="H5" t="s">
        <v>419</v>
      </c>
      <c r="I5" s="1">
        <v>46139</v>
      </c>
      <c r="J5" t="s">
        <v>138</v>
      </c>
      <c r="K5" t="s">
        <v>137</v>
      </c>
      <c r="L5" t="s">
        <v>13</v>
      </c>
      <c r="M5" t="s">
        <v>23</v>
      </c>
      <c r="N5" t="s">
        <v>173</v>
      </c>
      <c r="O5" t="s">
        <v>1933</v>
      </c>
      <c r="P5" t="s">
        <v>174</v>
      </c>
      <c r="Q5" t="s">
        <v>175</v>
      </c>
      <c r="R5" t="s">
        <v>420</v>
      </c>
      <c r="S5" s="2">
        <v>4990</v>
      </c>
      <c r="T5">
        <v>8</v>
      </c>
      <c r="U5" s="2">
        <v>39920</v>
      </c>
      <c r="V5">
        <v>0</v>
      </c>
      <c r="W5">
        <v>0</v>
      </c>
      <c r="X5" s="2">
        <v>7290.9</v>
      </c>
      <c r="Y5">
        <v>585</v>
      </c>
      <c r="Z5">
        <v>105.3</v>
      </c>
      <c r="AA5" s="2">
        <v>47795.9</v>
      </c>
      <c r="AB5">
        <v>0</v>
      </c>
      <c r="AC5">
        <v>0</v>
      </c>
      <c r="AD5" s="2">
        <v>47795.9</v>
      </c>
      <c r="AE5" t="s">
        <v>62</v>
      </c>
    </row>
    <row r="6" spans="1:31" x14ac:dyDescent="0.35">
      <c r="A6">
        <v>4</v>
      </c>
      <c r="B6">
        <v>281474</v>
      </c>
      <c r="C6">
        <v>328012896</v>
      </c>
      <c r="D6" t="s">
        <v>176</v>
      </c>
      <c r="E6" t="s">
        <v>51</v>
      </c>
      <c r="F6" s="1">
        <v>46237</v>
      </c>
      <c r="G6" t="s">
        <v>147</v>
      </c>
      <c r="H6" t="s">
        <v>421</v>
      </c>
      <c r="I6" s="1">
        <v>46153</v>
      </c>
      <c r="J6" t="s">
        <v>138</v>
      </c>
      <c r="K6" t="s">
        <v>137</v>
      </c>
      <c r="L6" t="s">
        <v>15</v>
      </c>
      <c r="M6" t="s">
        <v>14</v>
      </c>
      <c r="N6" t="s">
        <v>146</v>
      </c>
      <c r="O6" t="s">
        <v>1934</v>
      </c>
      <c r="P6" t="s">
        <v>177</v>
      </c>
      <c r="Q6" t="s">
        <v>52</v>
      </c>
      <c r="R6" t="s">
        <v>422</v>
      </c>
      <c r="S6" s="2">
        <v>3000</v>
      </c>
      <c r="T6">
        <v>0.56000000000000005</v>
      </c>
      <c r="U6" s="2">
        <v>1680</v>
      </c>
      <c r="V6">
        <v>0</v>
      </c>
      <c r="W6">
        <v>0</v>
      </c>
      <c r="X6">
        <v>302.39999999999998</v>
      </c>
      <c r="Y6">
        <v>0</v>
      </c>
      <c r="Z6">
        <v>0</v>
      </c>
      <c r="AA6" s="2">
        <v>1982.4</v>
      </c>
      <c r="AB6">
        <v>0</v>
      </c>
      <c r="AC6">
        <v>0</v>
      </c>
      <c r="AD6" s="2">
        <v>1982.4</v>
      </c>
      <c r="AE6" t="s">
        <v>53</v>
      </c>
    </row>
    <row r="7" spans="1:31" x14ac:dyDescent="0.35">
      <c r="A7">
        <v>5</v>
      </c>
      <c r="B7">
        <v>281475</v>
      </c>
      <c r="C7">
        <v>328012897</v>
      </c>
      <c r="D7" t="s">
        <v>178</v>
      </c>
      <c r="E7" t="s">
        <v>51</v>
      </c>
      <c r="F7" s="1">
        <v>46237</v>
      </c>
      <c r="G7" t="s">
        <v>75</v>
      </c>
      <c r="H7">
        <v>4100034558</v>
      </c>
      <c r="I7" s="1">
        <v>46139</v>
      </c>
      <c r="J7" t="s">
        <v>138</v>
      </c>
      <c r="K7" t="s">
        <v>1278</v>
      </c>
      <c r="L7" t="s">
        <v>12</v>
      </c>
      <c r="M7" t="s">
        <v>21</v>
      </c>
      <c r="N7" t="s">
        <v>179</v>
      </c>
      <c r="O7" t="s">
        <v>1932</v>
      </c>
      <c r="P7">
        <v>1000006536</v>
      </c>
      <c r="Q7" t="s">
        <v>52</v>
      </c>
      <c r="R7" t="s">
        <v>418</v>
      </c>
      <c r="S7" s="2">
        <v>12000</v>
      </c>
      <c r="T7">
        <v>5.75</v>
      </c>
      <c r="U7" s="2">
        <v>69000</v>
      </c>
      <c r="V7">
        <v>0</v>
      </c>
      <c r="W7">
        <v>0</v>
      </c>
      <c r="X7" s="2">
        <v>12420</v>
      </c>
      <c r="Y7">
        <v>0</v>
      </c>
      <c r="Z7">
        <v>0</v>
      </c>
      <c r="AA7" s="2">
        <v>81420</v>
      </c>
      <c r="AB7">
        <v>0</v>
      </c>
      <c r="AC7">
        <v>0</v>
      </c>
      <c r="AD7" s="2">
        <v>81420</v>
      </c>
      <c r="AE7" t="s">
        <v>53</v>
      </c>
    </row>
    <row r="8" spans="1:31" x14ac:dyDescent="0.35">
      <c r="A8">
        <v>6</v>
      </c>
      <c r="B8">
        <v>281476</v>
      </c>
      <c r="C8">
        <v>328012898</v>
      </c>
      <c r="D8" t="s">
        <v>180</v>
      </c>
      <c r="E8" t="s">
        <v>51</v>
      </c>
      <c r="F8" s="1">
        <v>46237</v>
      </c>
      <c r="G8" t="s">
        <v>139</v>
      </c>
      <c r="H8">
        <v>6012000786</v>
      </c>
      <c r="I8" s="1">
        <v>46195</v>
      </c>
      <c r="J8" t="s">
        <v>138</v>
      </c>
      <c r="K8" t="s">
        <v>1279</v>
      </c>
      <c r="L8" t="s">
        <v>12</v>
      </c>
      <c r="M8" t="s">
        <v>21</v>
      </c>
      <c r="N8" t="s">
        <v>181</v>
      </c>
      <c r="O8" t="s">
        <v>1932</v>
      </c>
      <c r="P8" t="s">
        <v>182</v>
      </c>
      <c r="Q8" t="s">
        <v>52</v>
      </c>
      <c r="R8" t="s">
        <v>418</v>
      </c>
      <c r="S8" s="2">
        <v>4000</v>
      </c>
      <c r="T8">
        <v>14.1</v>
      </c>
      <c r="U8" s="2">
        <v>56400</v>
      </c>
      <c r="V8">
        <v>0</v>
      </c>
      <c r="W8">
        <v>0</v>
      </c>
      <c r="X8" s="2">
        <v>10152</v>
      </c>
      <c r="Y8">
        <v>0</v>
      </c>
      <c r="Z8">
        <v>0</v>
      </c>
      <c r="AA8" s="2">
        <v>66552</v>
      </c>
      <c r="AB8">
        <v>0</v>
      </c>
      <c r="AC8">
        <v>0</v>
      </c>
      <c r="AD8" s="2">
        <v>66552</v>
      </c>
      <c r="AE8" t="s">
        <v>53</v>
      </c>
    </row>
    <row r="9" spans="1:31" x14ac:dyDescent="0.35">
      <c r="A9">
        <v>7</v>
      </c>
      <c r="B9">
        <v>281510</v>
      </c>
      <c r="C9">
        <v>328012913</v>
      </c>
      <c r="D9" t="s">
        <v>183</v>
      </c>
      <c r="E9" t="s">
        <v>51</v>
      </c>
      <c r="F9" s="1">
        <v>46238</v>
      </c>
      <c r="G9" t="s">
        <v>125</v>
      </c>
      <c r="H9" t="s">
        <v>423</v>
      </c>
      <c r="I9" s="1">
        <v>46167</v>
      </c>
      <c r="J9" t="s">
        <v>138</v>
      </c>
      <c r="K9" t="s">
        <v>137</v>
      </c>
      <c r="L9" t="s">
        <v>11</v>
      </c>
      <c r="M9" t="s">
        <v>21</v>
      </c>
      <c r="N9" t="s">
        <v>151</v>
      </c>
      <c r="O9" t="s">
        <v>1935</v>
      </c>
      <c r="P9" t="s">
        <v>184</v>
      </c>
      <c r="Q9" t="s">
        <v>58</v>
      </c>
      <c r="R9" t="s">
        <v>425</v>
      </c>
      <c r="S9" s="2">
        <v>9000</v>
      </c>
      <c r="T9">
        <v>9.5</v>
      </c>
      <c r="U9" s="2">
        <v>85500</v>
      </c>
      <c r="V9">
        <v>0</v>
      </c>
      <c r="W9">
        <v>0</v>
      </c>
      <c r="X9" s="2">
        <v>15390</v>
      </c>
      <c r="Y9">
        <v>452.90697999999998</v>
      </c>
      <c r="Z9">
        <v>81.523259999999993</v>
      </c>
      <c r="AA9" s="2">
        <v>101424.43023</v>
      </c>
      <c r="AB9">
        <v>0</v>
      </c>
      <c r="AC9">
        <v>0</v>
      </c>
      <c r="AD9" s="2">
        <v>101424.43023</v>
      </c>
      <c r="AE9" t="s">
        <v>53</v>
      </c>
    </row>
    <row r="10" spans="1:31" x14ac:dyDescent="0.35">
      <c r="A10">
        <v>8</v>
      </c>
      <c r="B10">
        <v>281510</v>
      </c>
      <c r="C10">
        <v>328012913</v>
      </c>
      <c r="D10" t="s">
        <v>183</v>
      </c>
      <c r="E10" t="s">
        <v>51</v>
      </c>
      <c r="F10" s="1">
        <v>46238</v>
      </c>
      <c r="G10" t="s">
        <v>125</v>
      </c>
      <c r="H10" t="s">
        <v>423</v>
      </c>
      <c r="I10" s="1">
        <v>46167</v>
      </c>
      <c r="J10" t="s">
        <v>138</v>
      </c>
      <c r="K10" t="s">
        <v>137</v>
      </c>
      <c r="L10" t="s">
        <v>11</v>
      </c>
      <c r="M10" t="s">
        <v>21</v>
      </c>
      <c r="N10" t="s">
        <v>185</v>
      </c>
      <c r="O10" t="s">
        <v>1936</v>
      </c>
      <c r="P10" t="s">
        <v>186</v>
      </c>
      <c r="Q10" t="s">
        <v>54</v>
      </c>
      <c r="R10" t="s">
        <v>424</v>
      </c>
      <c r="S10">
        <v>720</v>
      </c>
      <c r="T10">
        <v>150</v>
      </c>
      <c r="U10" s="2">
        <v>108000</v>
      </c>
      <c r="V10">
        <v>0</v>
      </c>
      <c r="W10">
        <v>0</v>
      </c>
      <c r="X10" s="2">
        <v>19624.5</v>
      </c>
      <c r="Y10">
        <v>572.09302000000002</v>
      </c>
      <c r="Z10">
        <v>102.97674000000001</v>
      </c>
      <c r="AA10" s="2">
        <v>128115.06977</v>
      </c>
      <c r="AB10">
        <v>0</v>
      </c>
      <c r="AC10">
        <v>0</v>
      </c>
      <c r="AD10" s="2">
        <v>128115.06977</v>
      </c>
      <c r="AE10" t="s">
        <v>55</v>
      </c>
    </row>
    <row r="11" spans="1:31" x14ac:dyDescent="0.35">
      <c r="A11">
        <v>9</v>
      </c>
      <c r="B11">
        <v>281514</v>
      </c>
      <c r="C11">
        <v>328012915</v>
      </c>
      <c r="D11" t="s">
        <v>187</v>
      </c>
      <c r="E11" t="s">
        <v>51</v>
      </c>
      <c r="F11" s="1">
        <v>46238</v>
      </c>
      <c r="G11" t="s">
        <v>133</v>
      </c>
      <c r="H11">
        <v>5500008244</v>
      </c>
      <c r="I11" s="1">
        <v>46101</v>
      </c>
      <c r="J11" t="s">
        <v>138</v>
      </c>
      <c r="K11" t="s">
        <v>137</v>
      </c>
      <c r="L11" t="s">
        <v>13</v>
      </c>
      <c r="M11" t="s">
        <v>24</v>
      </c>
      <c r="N11" t="s">
        <v>188</v>
      </c>
      <c r="O11" t="s">
        <v>1937</v>
      </c>
      <c r="P11">
        <v>13002901</v>
      </c>
      <c r="Q11" t="s">
        <v>101</v>
      </c>
      <c r="R11" t="s">
        <v>426</v>
      </c>
      <c r="S11" s="2">
        <v>3000</v>
      </c>
      <c r="T11">
        <v>27.84</v>
      </c>
      <c r="U11" s="2">
        <v>83520</v>
      </c>
      <c r="V11">
        <v>0</v>
      </c>
      <c r="W11">
        <v>0</v>
      </c>
      <c r="X11" s="2">
        <v>15033.6</v>
      </c>
      <c r="Y11">
        <v>0</v>
      </c>
      <c r="Z11">
        <v>0</v>
      </c>
      <c r="AA11" s="2">
        <v>98553.600000000006</v>
      </c>
      <c r="AB11">
        <v>0</v>
      </c>
      <c r="AC11">
        <v>0</v>
      </c>
      <c r="AD11" s="2">
        <v>98553.600000000006</v>
      </c>
      <c r="AE11" t="s">
        <v>53</v>
      </c>
    </row>
    <row r="12" spans="1:31" x14ac:dyDescent="0.35">
      <c r="A12">
        <v>10</v>
      </c>
      <c r="B12">
        <v>281515</v>
      </c>
      <c r="C12">
        <v>328012916</v>
      </c>
      <c r="D12" t="s">
        <v>189</v>
      </c>
      <c r="E12" t="s">
        <v>51</v>
      </c>
      <c r="F12" s="1">
        <v>46238</v>
      </c>
      <c r="G12" t="s">
        <v>133</v>
      </c>
      <c r="H12">
        <v>4500047016</v>
      </c>
      <c r="I12" s="1">
        <v>46185</v>
      </c>
      <c r="J12" t="s">
        <v>138</v>
      </c>
      <c r="K12" t="s">
        <v>137</v>
      </c>
      <c r="L12" t="s">
        <v>13</v>
      </c>
      <c r="M12" t="s">
        <v>24</v>
      </c>
      <c r="N12" t="s">
        <v>190</v>
      </c>
      <c r="O12" t="s">
        <v>1935</v>
      </c>
      <c r="P12">
        <v>13003934</v>
      </c>
      <c r="Q12" t="s">
        <v>101</v>
      </c>
      <c r="R12" t="s">
        <v>425</v>
      </c>
      <c r="S12" s="2">
        <v>3000</v>
      </c>
      <c r="T12">
        <v>5.2</v>
      </c>
      <c r="U12" s="2">
        <v>15600</v>
      </c>
      <c r="V12">
        <v>0</v>
      </c>
      <c r="W12">
        <v>0</v>
      </c>
      <c r="X12" s="2">
        <v>2808</v>
      </c>
      <c r="Y12">
        <v>0</v>
      </c>
      <c r="Z12">
        <v>0</v>
      </c>
      <c r="AA12" s="2">
        <v>18408</v>
      </c>
      <c r="AB12">
        <v>0</v>
      </c>
      <c r="AC12">
        <v>0</v>
      </c>
      <c r="AD12" s="2">
        <v>18408</v>
      </c>
      <c r="AE12" t="s">
        <v>53</v>
      </c>
    </row>
    <row r="13" spans="1:31" x14ac:dyDescent="0.35">
      <c r="A13">
        <v>11</v>
      </c>
      <c r="B13">
        <v>281525</v>
      </c>
      <c r="C13">
        <v>328012925</v>
      </c>
      <c r="D13" t="s">
        <v>191</v>
      </c>
      <c r="E13" t="s">
        <v>51</v>
      </c>
      <c r="F13" s="1">
        <v>46238</v>
      </c>
      <c r="G13" t="s">
        <v>192</v>
      </c>
      <c r="H13" t="s">
        <v>427</v>
      </c>
      <c r="I13" s="1">
        <v>46088</v>
      </c>
      <c r="J13" t="s">
        <v>138</v>
      </c>
      <c r="K13" t="s">
        <v>137</v>
      </c>
      <c r="L13" t="s">
        <v>15</v>
      </c>
      <c r="M13" t="s">
        <v>14</v>
      </c>
      <c r="N13" t="s">
        <v>221</v>
      </c>
      <c r="O13" t="s">
        <v>1938</v>
      </c>
      <c r="P13" t="s">
        <v>222</v>
      </c>
      <c r="Q13" t="s">
        <v>101</v>
      </c>
      <c r="R13" t="s">
        <v>428</v>
      </c>
      <c r="S13" s="2">
        <v>10000</v>
      </c>
      <c r="T13">
        <v>0.317</v>
      </c>
      <c r="U13" s="2">
        <v>3170</v>
      </c>
      <c r="V13">
        <v>0</v>
      </c>
      <c r="W13">
        <v>0</v>
      </c>
      <c r="X13">
        <v>570.6</v>
      </c>
      <c r="Y13">
        <v>57.212470000000003</v>
      </c>
      <c r="Z13">
        <v>10.29824</v>
      </c>
      <c r="AA13" s="2">
        <v>3808.1107200000001</v>
      </c>
      <c r="AB13">
        <v>0</v>
      </c>
      <c r="AC13">
        <v>0</v>
      </c>
      <c r="AD13" s="2">
        <v>3808.1107200000001</v>
      </c>
      <c r="AE13" t="s">
        <v>53</v>
      </c>
    </row>
    <row r="14" spans="1:31" x14ac:dyDescent="0.35">
      <c r="A14">
        <v>12</v>
      </c>
      <c r="B14">
        <v>281525</v>
      </c>
      <c r="C14">
        <v>328012925</v>
      </c>
      <c r="D14" t="s">
        <v>191</v>
      </c>
      <c r="E14" t="s">
        <v>51</v>
      </c>
      <c r="F14" s="1">
        <v>46238</v>
      </c>
      <c r="G14" t="s">
        <v>192</v>
      </c>
      <c r="H14" t="s">
        <v>427</v>
      </c>
      <c r="I14" s="1">
        <v>46088</v>
      </c>
      <c r="J14" t="s">
        <v>138</v>
      </c>
      <c r="K14" t="s">
        <v>137</v>
      </c>
      <c r="L14" t="s">
        <v>15</v>
      </c>
      <c r="M14" t="s">
        <v>14</v>
      </c>
      <c r="N14" t="s">
        <v>207</v>
      </c>
      <c r="O14" t="s">
        <v>1938</v>
      </c>
      <c r="P14" t="s">
        <v>208</v>
      </c>
      <c r="Q14" t="s">
        <v>101</v>
      </c>
      <c r="R14" t="s">
        <v>428</v>
      </c>
      <c r="S14" s="2">
        <v>25000</v>
      </c>
      <c r="T14">
        <v>0.22800000000000001</v>
      </c>
      <c r="U14" s="2">
        <v>5700</v>
      </c>
      <c r="V14">
        <v>0</v>
      </c>
      <c r="W14">
        <v>0</v>
      </c>
      <c r="X14" s="2">
        <v>1026</v>
      </c>
      <c r="Y14">
        <v>102.87416</v>
      </c>
      <c r="Z14">
        <v>18.51735</v>
      </c>
      <c r="AA14" s="2">
        <v>6847.3915100000004</v>
      </c>
      <c r="AB14">
        <v>0</v>
      </c>
      <c r="AC14">
        <v>0</v>
      </c>
      <c r="AD14" s="2">
        <v>6847.3915100000004</v>
      </c>
      <c r="AE14" t="s">
        <v>53</v>
      </c>
    </row>
    <row r="15" spans="1:31" x14ac:dyDescent="0.35">
      <c r="A15">
        <v>13</v>
      </c>
      <c r="B15">
        <v>281525</v>
      </c>
      <c r="C15">
        <v>328012925</v>
      </c>
      <c r="D15" t="s">
        <v>191</v>
      </c>
      <c r="E15" t="s">
        <v>51</v>
      </c>
      <c r="F15" s="1">
        <v>46238</v>
      </c>
      <c r="G15" t="s">
        <v>192</v>
      </c>
      <c r="H15" t="s">
        <v>427</v>
      </c>
      <c r="I15" s="1">
        <v>46088</v>
      </c>
      <c r="J15" t="s">
        <v>138</v>
      </c>
      <c r="K15" t="s">
        <v>137</v>
      </c>
      <c r="L15" t="s">
        <v>15</v>
      </c>
      <c r="M15" t="s">
        <v>14</v>
      </c>
      <c r="N15" t="s">
        <v>223</v>
      </c>
      <c r="O15" t="s">
        <v>1938</v>
      </c>
      <c r="P15" t="s">
        <v>224</v>
      </c>
      <c r="Q15" t="s">
        <v>101</v>
      </c>
      <c r="R15" t="s">
        <v>428</v>
      </c>
      <c r="S15" s="2">
        <v>5000</v>
      </c>
      <c r="T15">
        <v>0.317</v>
      </c>
      <c r="U15" s="2">
        <v>1585</v>
      </c>
      <c r="V15">
        <v>0</v>
      </c>
      <c r="W15">
        <v>0</v>
      </c>
      <c r="X15">
        <v>285.3</v>
      </c>
      <c r="Y15">
        <v>28.60624</v>
      </c>
      <c r="Z15">
        <v>5.1491199999999999</v>
      </c>
      <c r="AA15" s="2">
        <v>1904.0553600000001</v>
      </c>
      <c r="AB15">
        <v>0</v>
      </c>
      <c r="AC15">
        <v>0</v>
      </c>
      <c r="AD15" s="2">
        <v>1904.0553600000001</v>
      </c>
      <c r="AE15" t="s">
        <v>53</v>
      </c>
    </row>
    <row r="16" spans="1:31" x14ac:dyDescent="0.35">
      <c r="A16">
        <v>14</v>
      </c>
      <c r="B16">
        <v>281525</v>
      </c>
      <c r="C16">
        <v>328012925</v>
      </c>
      <c r="D16" t="s">
        <v>191</v>
      </c>
      <c r="E16" t="s">
        <v>51</v>
      </c>
      <c r="F16" s="1">
        <v>46238</v>
      </c>
      <c r="G16" t="s">
        <v>192</v>
      </c>
      <c r="H16" t="s">
        <v>427</v>
      </c>
      <c r="I16" s="1">
        <v>46088</v>
      </c>
      <c r="J16" t="s">
        <v>138</v>
      </c>
      <c r="K16" t="s">
        <v>137</v>
      </c>
      <c r="L16" t="s">
        <v>15</v>
      </c>
      <c r="M16" t="s">
        <v>14</v>
      </c>
      <c r="N16" t="s">
        <v>209</v>
      </c>
      <c r="O16" t="s">
        <v>1938</v>
      </c>
      <c r="P16" t="s">
        <v>210</v>
      </c>
      <c r="Q16" t="s">
        <v>101</v>
      </c>
      <c r="R16" t="s">
        <v>428</v>
      </c>
      <c r="S16" s="2">
        <v>5000</v>
      </c>
      <c r="T16">
        <v>0.317</v>
      </c>
      <c r="U16" s="2">
        <v>1585</v>
      </c>
      <c r="V16">
        <v>0</v>
      </c>
      <c r="W16">
        <v>0</v>
      </c>
      <c r="X16">
        <v>285.3</v>
      </c>
      <c r="Y16">
        <v>28.60624</v>
      </c>
      <c r="Z16">
        <v>5.1491199999999999</v>
      </c>
      <c r="AA16" s="2">
        <v>1904.0553600000001</v>
      </c>
      <c r="AB16">
        <v>0</v>
      </c>
      <c r="AC16">
        <v>0</v>
      </c>
      <c r="AD16" s="2">
        <v>1904.0553600000001</v>
      </c>
      <c r="AE16" t="s">
        <v>53</v>
      </c>
    </row>
    <row r="17" spans="1:31" x14ac:dyDescent="0.35">
      <c r="A17">
        <v>15</v>
      </c>
      <c r="B17">
        <v>281525</v>
      </c>
      <c r="C17">
        <v>328012925</v>
      </c>
      <c r="D17" t="s">
        <v>191</v>
      </c>
      <c r="E17" t="s">
        <v>51</v>
      </c>
      <c r="F17" s="1">
        <v>46238</v>
      </c>
      <c r="G17" t="s">
        <v>192</v>
      </c>
      <c r="H17" t="s">
        <v>427</v>
      </c>
      <c r="I17" s="1">
        <v>46088</v>
      </c>
      <c r="J17" t="s">
        <v>138</v>
      </c>
      <c r="K17" t="s">
        <v>137</v>
      </c>
      <c r="L17" t="s">
        <v>15</v>
      </c>
      <c r="M17" t="s">
        <v>14</v>
      </c>
      <c r="N17" t="s">
        <v>197</v>
      </c>
      <c r="O17" t="s">
        <v>1938</v>
      </c>
      <c r="P17" t="s">
        <v>198</v>
      </c>
      <c r="Q17" t="s">
        <v>101</v>
      </c>
      <c r="R17" t="s">
        <v>428</v>
      </c>
      <c r="S17" s="2">
        <v>10000</v>
      </c>
      <c r="T17">
        <v>0.22800000000000001</v>
      </c>
      <c r="U17" s="2">
        <v>2280</v>
      </c>
      <c r="V17">
        <v>0</v>
      </c>
      <c r="W17">
        <v>0</v>
      </c>
      <c r="X17">
        <v>410.4</v>
      </c>
      <c r="Y17">
        <v>41.149659999999997</v>
      </c>
      <c r="Z17">
        <v>7.4069399999999996</v>
      </c>
      <c r="AA17" s="2">
        <v>2738.9566</v>
      </c>
      <c r="AB17">
        <v>0</v>
      </c>
      <c r="AC17">
        <v>0</v>
      </c>
      <c r="AD17" s="2">
        <v>2738.9566</v>
      </c>
      <c r="AE17" t="s">
        <v>53</v>
      </c>
    </row>
    <row r="18" spans="1:31" x14ac:dyDescent="0.35">
      <c r="A18">
        <v>16</v>
      </c>
      <c r="B18">
        <v>281525</v>
      </c>
      <c r="C18">
        <v>328012925</v>
      </c>
      <c r="D18" t="s">
        <v>191</v>
      </c>
      <c r="E18" t="s">
        <v>51</v>
      </c>
      <c r="F18" s="1">
        <v>46238</v>
      </c>
      <c r="G18" t="s">
        <v>192</v>
      </c>
      <c r="H18" t="s">
        <v>427</v>
      </c>
      <c r="I18" s="1">
        <v>46088</v>
      </c>
      <c r="J18" t="s">
        <v>138</v>
      </c>
      <c r="K18" t="s">
        <v>137</v>
      </c>
      <c r="L18" t="s">
        <v>15</v>
      </c>
      <c r="M18" t="s">
        <v>14</v>
      </c>
      <c r="N18" t="s">
        <v>193</v>
      </c>
      <c r="O18" t="s">
        <v>1938</v>
      </c>
      <c r="P18" t="s">
        <v>194</v>
      </c>
      <c r="Q18" t="s">
        <v>101</v>
      </c>
      <c r="R18" t="s">
        <v>428</v>
      </c>
      <c r="S18" s="2">
        <v>5000</v>
      </c>
      <c r="T18">
        <v>0.317</v>
      </c>
      <c r="U18" s="2">
        <v>1585</v>
      </c>
      <c r="V18">
        <v>0</v>
      </c>
      <c r="W18">
        <v>0</v>
      </c>
      <c r="X18">
        <v>645.29999999999995</v>
      </c>
      <c r="Y18">
        <v>28.60624</v>
      </c>
      <c r="Z18">
        <v>5.1491199999999999</v>
      </c>
      <c r="AA18" s="2">
        <v>1904.0553600000001</v>
      </c>
      <c r="AB18">
        <v>0</v>
      </c>
      <c r="AC18">
        <v>0</v>
      </c>
      <c r="AD18" s="2">
        <v>1904.0553600000001</v>
      </c>
      <c r="AE18" t="s">
        <v>53</v>
      </c>
    </row>
    <row r="19" spans="1:31" x14ac:dyDescent="0.35">
      <c r="A19">
        <v>17</v>
      </c>
      <c r="B19">
        <v>281525</v>
      </c>
      <c r="C19">
        <v>328012925</v>
      </c>
      <c r="D19" t="s">
        <v>191</v>
      </c>
      <c r="E19" t="s">
        <v>51</v>
      </c>
      <c r="F19" s="1">
        <v>46238</v>
      </c>
      <c r="G19" t="s">
        <v>192</v>
      </c>
      <c r="H19" t="s">
        <v>427</v>
      </c>
      <c r="I19" s="1">
        <v>46088</v>
      </c>
      <c r="J19" t="s">
        <v>138</v>
      </c>
      <c r="K19" t="s">
        <v>137</v>
      </c>
      <c r="L19" t="s">
        <v>15</v>
      </c>
      <c r="M19" t="s">
        <v>14</v>
      </c>
      <c r="N19" t="s">
        <v>203</v>
      </c>
      <c r="O19" t="s">
        <v>1938</v>
      </c>
      <c r="P19" t="s">
        <v>204</v>
      </c>
      <c r="Q19" t="s">
        <v>101</v>
      </c>
      <c r="R19" t="s">
        <v>428</v>
      </c>
      <c r="S19" s="2">
        <v>10000</v>
      </c>
      <c r="T19">
        <v>0.317</v>
      </c>
      <c r="U19" s="2">
        <v>3170</v>
      </c>
      <c r="V19">
        <v>0</v>
      </c>
      <c r="W19">
        <v>0</v>
      </c>
      <c r="X19">
        <v>570.6</v>
      </c>
      <c r="Y19">
        <v>57.212470000000003</v>
      </c>
      <c r="Z19">
        <v>10.29824</v>
      </c>
      <c r="AA19" s="2">
        <v>3808.1107200000001</v>
      </c>
      <c r="AB19">
        <v>0</v>
      </c>
      <c r="AC19">
        <v>0</v>
      </c>
      <c r="AD19" s="2">
        <v>3808.1107200000001</v>
      </c>
      <c r="AE19" t="s">
        <v>53</v>
      </c>
    </row>
    <row r="20" spans="1:31" x14ac:dyDescent="0.35">
      <c r="A20">
        <v>18</v>
      </c>
      <c r="B20">
        <v>281525</v>
      </c>
      <c r="C20">
        <v>328012925</v>
      </c>
      <c r="D20" t="s">
        <v>191</v>
      </c>
      <c r="E20" t="s">
        <v>51</v>
      </c>
      <c r="F20" s="1">
        <v>46238</v>
      </c>
      <c r="G20" t="s">
        <v>192</v>
      </c>
      <c r="H20" t="s">
        <v>427</v>
      </c>
      <c r="I20" s="1">
        <v>46088</v>
      </c>
      <c r="J20" t="s">
        <v>138</v>
      </c>
      <c r="K20" t="s">
        <v>137</v>
      </c>
      <c r="L20" t="s">
        <v>15</v>
      </c>
      <c r="M20" t="s">
        <v>14</v>
      </c>
      <c r="N20" t="s">
        <v>211</v>
      </c>
      <c r="O20" t="s">
        <v>1938</v>
      </c>
      <c r="P20" t="s">
        <v>212</v>
      </c>
      <c r="Q20" t="s">
        <v>101</v>
      </c>
      <c r="R20" t="s">
        <v>428</v>
      </c>
      <c r="S20" s="2">
        <v>5000</v>
      </c>
      <c r="T20">
        <v>2.72</v>
      </c>
      <c r="U20" s="2">
        <v>13600</v>
      </c>
      <c r="V20">
        <v>0</v>
      </c>
      <c r="W20">
        <v>0</v>
      </c>
      <c r="X20" s="2">
        <v>2448</v>
      </c>
      <c r="Y20">
        <v>245.45414</v>
      </c>
      <c r="Z20">
        <v>44.181739999999998</v>
      </c>
      <c r="AA20" s="2">
        <v>16337.63588</v>
      </c>
      <c r="AB20">
        <v>0</v>
      </c>
      <c r="AC20">
        <v>0</v>
      </c>
      <c r="AD20" s="2">
        <v>16337.63588</v>
      </c>
      <c r="AE20" t="s">
        <v>53</v>
      </c>
    </row>
    <row r="21" spans="1:31" x14ac:dyDescent="0.35">
      <c r="A21">
        <v>19</v>
      </c>
      <c r="B21">
        <v>281525</v>
      </c>
      <c r="C21">
        <v>328012925</v>
      </c>
      <c r="D21" t="s">
        <v>191</v>
      </c>
      <c r="E21" t="s">
        <v>51</v>
      </c>
      <c r="F21" s="1">
        <v>46238</v>
      </c>
      <c r="G21" t="s">
        <v>192</v>
      </c>
      <c r="H21" t="s">
        <v>427</v>
      </c>
      <c r="I21" s="1">
        <v>46088</v>
      </c>
      <c r="J21" t="s">
        <v>138</v>
      </c>
      <c r="K21" t="s">
        <v>137</v>
      </c>
      <c r="L21" t="s">
        <v>15</v>
      </c>
      <c r="M21" t="s">
        <v>14</v>
      </c>
      <c r="N21" t="s">
        <v>205</v>
      </c>
      <c r="O21" t="s">
        <v>1938</v>
      </c>
      <c r="P21" t="s">
        <v>206</v>
      </c>
      <c r="Q21" t="s">
        <v>101</v>
      </c>
      <c r="R21" t="s">
        <v>428</v>
      </c>
      <c r="S21" s="2">
        <v>20000</v>
      </c>
      <c r="T21">
        <v>0.317</v>
      </c>
      <c r="U21" s="2">
        <v>6340</v>
      </c>
      <c r="V21">
        <v>0</v>
      </c>
      <c r="W21">
        <v>0</v>
      </c>
      <c r="X21" s="2">
        <v>1141.2</v>
      </c>
      <c r="Y21">
        <v>114.42494000000001</v>
      </c>
      <c r="Z21">
        <v>20.596489999999999</v>
      </c>
      <c r="AA21" s="2">
        <v>7616.2214299999996</v>
      </c>
      <c r="AB21">
        <v>0</v>
      </c>
      <c r="AC21">
        <v>0</v>
      </c>
      <c r="AD21" s="2">
        <v>7616.2214299999996</v>
      </c>
      <c r="AE21" t="s">
        <v>53</v>
      </c>
    </row>
    <row r="22" spans="1:31" x14ac:dyDescent="0.35">
      <c r="A22">
        <v>20</v>
      </c>
      <c r="B22">
        <v>281525</v>
      </c>
      <c r="C22">
        <v>328012925</v>
      </c>
      <c r="D22" t="s">
        <v>191</v>
      </c>
      <c r="E22" t="s">
        <v>51</v>
      </c>
      <c r="F22" s="1">
        <v>46238</v>
      </c>
      <c r="G22" t="s">
        <v>192</v>
      </c>
      <c r="H22" t="s">
        <v>427</v>
      </c>
      <c r="I22" s="1">
        <v>46088</v>
      </c>
      <c r="J22" t="s">
        <v>138</v>
      </c>
      <c r="K22" t="s">
        <v>137</v>
      </c>
      <c r="L22" t="s">
        <v>15</v>
      </c>
      <c r="M22" t="s">
        <v>14</v>
      </c>
      <c r="N22" t="s">
        <v>215</v>
      </c>
      <c r="O22" t="s">
        <v>1938</v>
      </c>
      <c r="P22" t="s">
        <v>216</v>
      </c>
      <c r="Q22" t="s">
        <v>101</v>
      </c>
      <c r="R22" t="s">
        <v>428</v>
      </c>
      <c r="S22" s="2">
        <v>5000</v>
      </c>
      <c r="T22">
        <v>0.317</v>
      </c>
      <c r="U22" s="2">
        <v>1585</v>
      </c>
      <c r="V22">
        <v>0</v>
      </c>
      <c r="W22">
        <v>0</v>
      </c>
      <c r="X22">
        <v>285.3</v>
      </c>
      <c r="Y22">
        <v>28.60624</v>
      </c>
      <c r="Z22">
        <v>5.1491199999999999</v>
      </c>
      <c r="AA22" s="2">
        <v>1904.0553600000001</v>
      </c>
      <c r="AB22">
        <v>0</v>
      </c>
      <c r="AC22">
        <v>0</v>
      </c>
      <c r="AD22" s="2">
        <v>1904.0553600000001</v>
      </c>
      <c r="AE22" t="s">
        <v>53</v>
      </c>
    </row>
    <row r="23" spans="1:31" x14ac:dyDescent="0.35">
      <c r="A23">
        <v>21</v>
      </c>
      <c r="B23">
        <v>281525</v>
      </c>
      <c r="C23">
        <v>328012925</v>
      </c>
      <c r="D23" t="s">
        <v>191</v>
      </c>
      <c r="E23" t="s">
        <v>51</v>
      </c>
      <c r="F23" s="1">
        <v>46238</v>
      </c>
      <c r="G23" t="s">
        <v>192</v>
      </c>
      <c r="H23" t="s">
        <v>427</v>
      </c>
      <c r="I23" s="1">
        <v>46088</v>
      </c>
      <c r="J23" t="s">
        <v>138</v>
      </c>
      <c r="K23" t="s">
        <v>137</v>
      </c>
      <c r="L23" t="s">
        <v>15</v>
      </c>
      <c r="M23" t="s">
        <v>14</v>
      </c>
      <c r="N23" t="s">
        <v>213</v>
      </c>
      <c r="O23" t="s">
        <v>1938</v>
      </c>
      <c r="P23" t="s">
        <v>214</v>
      </c>
      <c r="Q23" t="s">
        <v>101</v>
      </c>
      <c r="R23" t="s">
        <v>428</v>
      </c>
      <c r="S23" s="2">
        <v>30000</v>
      </c>
      <c r="T23">
        <v>0.317</v>
      </c>
      <c r="U23" s="2">
        <v>9510</v>
      </c>
      <c r="V23">
        <v>0</v>
      </c>
      <c r="W23">
        <v>0</v>
      </c>
      <c r="X23" s="2">
        <v>1711.8</v>
      </c>
      <c r="Y23">
        <v>171.63740999999999</v>
      </c>
      <c r="Z23">
        <v>30.894729999999999</v>
      </c>
      <c r="AA23" s="2">
        <v>11424.33215</v>
      </c>
      <c r="AB23">
        <v>0</v>
      </c>
      <c r="AC23">
        <v>0</v>
      </c>
      <c r="AD23" s="2">
        <v>11424.33215</v>
      </c>
      <c r="AE23" t="s">
        <v>53</v>
      </c>
    </row>
    <row r="24" spans="1:31" x14ac:dyDescent="0.35">
      <c r="A24">
        <v>22</v>
      </c>
      <c r="B24">
        <v>281525</v>
      </c>
      <c r="C24">
        <v>328012925</v>
      </c>
      <c r="D24" t="s">
        <v>191</v>
      </c>
      <c r="E24" t="s">
        <v>51</v>
      </c>
      <c r="F24" s="1">
        <v>46238</v>
      </c>
      <c r="G24" t="s">
        <v>192</v>
      </c>
      <c r="H24" t="s">
        <v>427</v>
      </c>
      <c r="I24" s="1">
        <v>46088</v>
      </c>
      <c r="J24" t="s">
        <v>138</v>
      </c>
      <c r="K24" t="s">
        <v>137</v>
      </c>
      <c r="L24" t="s">
        <v>15</v>
      </c>
      <c r="M24" t="s">
        <v>14</v>
      </c>
      <c r="N24" t="s">
        <v>199</v>
      </c>
      <c r="O24" t="s">
        <v>1938</v>
      </c>
      <c r="P24" t="s">
        <v>200</v>
      </c>
      <c r="Q24" t="s">
        <v>101</v>
      </c>
      <c r="R24" t="s">
        <v>428</v>
      </c>
      <c r="S24" s="2">
        <v>10000</v>
      </c>
      <c r="T24">
        <v>0.22800000000000001</v>
      </c>
      <c r="U24" s="2">
        <v>2280</v>
      </c>
      <c r="V24">
        <v>0</v>
      </c>
      <c r="W24">
        <v>0</v>
      </c>
      <c r="X24">
        <v>410.4</v>
      </c>
      <c r="Y24">
        <v>41.149659999999997</v>
      </c>
      <c r="Z24">
        <v>7.4069399999999996</v>
      </c>
      <c r="AA24" s="2">
        <v>2738.9566</v>
      </c>
      <c r="AB24">
        <v>0</v>
      </c>
      <c r="AC24">
        <v>0</v>
      </c>
      <c r="AD24" s="2">
        <v>2738.9566</v>
      </c>
      <c r="AE24" t="s">
        <v>53</v>
      </c>
    </row>
    <row r="25" spans="1:31" x14ac:dyDescent="0.35">
      <c r="A25">
        <v>23</v>
      </c>
      <c r="B25">
        <v>281525</v>
      </c>
      <c r="C25">
        <v>328012925</v>
      </c>
      <c r="D25" t="s">
        <v>191</v>
      </c>
      <c r="E25" t="s">
        <v>51</v>
      </c>
      <c r="F25" s="1">
        <v>46238</v>
      </c>
      <c r="G25" t="s">
        <v>192</v>
      </c>
      <c r="H25" t="s">
        <v>427</v>
      </c>
      <c r="I25" s="1">
        <v>46088</v>
      </c>
      <c r="J25" t="s">
        <v>138</v>
      </c>
      <c r="K25" t="s">
        <v>137</v>
      </c>
      <c r="L25" t="s">
        <v>15</v>
      </c>
      <c r="M25" t="s">
        <v>14</v>
      </c>
      <c r="N25" t="s">
        <v>201</v>
      </c>
      <c r="O25" t="s">
        <v>1935</v>
      </c>
      <c r="P25" t="s">
        <v>202</v>
      </c>
      <c r="Q25" t="s">
        <v>101</v>
      </c>
      <c r="R25" t="s">
        <v>429</v>
      </c>
      <c r="S25" s="2">
        <v>4500</v>
      </c>
      <c r="T25">
        <v>5.53</v>
      </c>
      <c r="U25" s="2">
        <v>24885</v>
      </c>
      <c r="V25">
        <v>0</v>
      </c>
      <c r="W25">
        <v>0</v>
      </c>
      <c r="X25" s="2">
        <v>4479.3</v>
      </c>
      <c r="Y25">
        <v>449.12691999999998</v>
      </c>
      <c r="Z25">
        <v>80.842849999999999</v>
      </c>
      <c r="AA25" s="2">
        <v>29894.269769999999</v>
      </c>
      <c r="AB25">
        <v>0</v>
      </c>
      <c r="AC25">
        <v>0</v>
      </c>
      <c r="AD25" s="2">
        <v>29894.269769999999</v>
      </c>
      <c r="AE25" t="s">
        <v>53</v>
      </c>
    </row>
    <row r="26" spans="1:31" x14ac:dyDescent="0.35">
      <c r="A26">
        <v>24</v>
      </c>
      <c r="B26">
        <v>281525</v>
      </c>
      <c r="C26">
        <v>328012925</v>
      </c>
      <c r="D26" t="s">
        <v>191</v>
      </c>
      <c r="E26" t="s">
        <v>51</v>
      </c>
      <c r="F26" s="1">
        <v>46238</v>
      </c>
      <c r="G26" t="s">
        <v>192</v>
      </c>
      <c r="H26" t="s">
        <v>427</v>
      </c>
      <c r="I26" s="1">
        <v>46088</v>
      </c>
      <c r="J26" t="s">
        <v>138</v>
      </c>
      <c r="K26" t="s">
        <v>137</v>
      </c>
      <c r="L26" t="s">
        <v>15</v>
      </c>
      <c r="M26" t="s">
        <v>14</v>
      </c>
      <c r="N26" t="s">
        <v>225</v>
      </c>
      <c r="O26" t="s">
        <v>1938</v>
      </c>
      <c r="P26" t="s">
        <v>226</v>
      </c>
      <c r="Q26" t="s">
        <v>101</v>
      </c>
      <c r="R26" t="s">
        <v>428</v>
      </c>
      <c r="S26" s="2">
        <v>5000</v>
      </c>
      <c r="T26">
        <v>0.317</v>
      </c>
      <c r="U26" s="2">
        <v>1585</v>
      </c>
      <c r="V26">
        <v>0</v>
      </c>
      <c r="W26">
        <v>0</v>
      </c>
      <c r="X26">
        <v>285.3</v>
      </c>
      <c r="Y26">
        <v>28.60624</v>
      </c>
      <c r="Z26">
        <v>5.1491199999999999</v>
      </c>
      <c r="AA26" s="2">
        <v>1904.0553600000001</v>
      </c>
      <c r="AB26">
        <v>0</v>
      </c>
      <c r="AC26">
        <v>0</v>
      </c>
      <c r="AD26" s="2">
        <v>1904.0553600000001</v>
      </c>
      <c r="AE26" t="s">
        <v>53</v>
      </c>
    </row>
    <row r="27" spans="1:31" x14ac:dyDescent="0.35">
      <c r="A27">
        <v>25</v>
      </c>
      <c r="B27">
        <v>281525</v>
      </c>
      <c r="C27">
        <v>328012925</v>
      </c>
      <c r="D27" t="s">
        <v>191</v>
      </c>
      <c r="E27" t="s">
        <v>51</v>
      </c>
      <c r="F27" s="1">
        <v>46238</v>
      </c>
      <c r="G27" t="s">
        <v>192</v>
      </c>
      <c r="H27" t="s">
        <v>427</v>
      </c>
      <c r="I27" s="1">
        <v>46088</v>
      </c>
      <c r="J27" t="s">
        <v>138</v>
      </c>
      <c r="K27" t="s">
        <v>137</v>
      </c>
      <c r="L27" t="s">
        <v>15</v>
      </c>
      <c r="M27" t="s">
        <v>14</v>
      </c>
      <c r="N27" t="s">
        <v>217</v>
      </c>
      <c r="O27" t="s">
        <v>1938</v>
      </c>
      <c r="P27" t="s">
        <v>218</v>
      </c>
      <c r="Q27" t="s">
        <v>101</v>
      </c>
      <c r="R27" t="s">
        <v>428</v>
      </c>
      <c r="S27" s="2">
        <v>15000</v>
      </c>
      <c r="T27">
        <v>0.317</v>
      </c>
      <c r="U27" s="2">
        <v>4755</v>
      </c>
      <c r="V27">
        <v>0</v>
      </c>
      <c r="W27">
        <v>0</v>
      </c>
      <c r="X27">
        <v>855.9</v>
      </c>
      <c r="Y27">
        <v>85.818709999999996</v>
      </c>
      <c r="Z27">
        <v>15.447369999999999</v>
      </c>
      <c r="AA27" s="2">
        <v>5712.1660700000002</v>
      </c>
      <c r="AB27">
        <v>0</v>
      </c>
      <c r="AC27">
        <v>0</v>
      </c>
      <c r="AD27" s="2">
        <v>5712.1660700000002</v>
      </c>
      <c r="AE27" t="s">
        <v>53</v>
      </c>
    </row>
    <row r="28" spans="1:31" x14ac:dyDescent="0.35">
      <c r="A28">
        <v>26</v>
      </c>
      <c r="B28">
        <v>281525</v>
      </c>
      <c r="C28">
        <v>328012925</v>
      </c>
      <c r="D28" t="s">
        <v>191</v>
      </c>
      <c r="E28" t="s">
        <v>51</v>
      </c>
      <c r="F28" s="1">
        <v>46238</v>
      </c>
      <c r="G28" t="s">
        <v>192</v>
      </c>
      <c r="H28" t="s">
        <v>427</v>
      </c>
      <c r="I28" s="1">
        <v>46088</v>
      </c>
      <c r="J28" t="s">
        <v>138</v>
      </c>
      <c r="K28" t="s">
        <v>137</v>
      </c>
      <c r="L28" t="s">
        <v>15</v>
      </c>
      <c r="M28" t="s">
        <v>14</v>
      </c>
      <c r="N28" t="s">
        <v>195</v>
      </c>
      <c r="O28" t="s">
        <v>1938</v>
      </c>
      <c r="P28" t="s">
        <v>196</v>
      </c>
      <c r="Q28" t="s">
        <v>101</v>
      </c>
      <c r="R28" t="s">
        <v>428</v>
      </c>
      <c r="S28" s="2">
        <v>5000</v>
      </c>
      <c r="T28">
        <v>2.72</v>
      </c>
      <c r="U28" s="2">
        <v>13600</v>
      </c>
      <c r="V28">
        <v>0</v>
      </c>
      <c r="W28">
        <v>0</v>
      </c>
      <c r="X28" s="2">
        <v>2448</v>
      </c>
      <c r="Y28">
        <v>245.45414</v>
      </c>
      <c r="Z28">
        <v>44.181739999999998</v>
      </c>
      <c r="AA28" s="2">
        <v>16337.63588</v>
      </c>
      <c r="AB28">
        <v>0</v>
      </c>
      <c r="AC28">
        <v>0</v>
      </c>
      <c r="AD28" s="2">
        <v>16337.63588</v>
      </c>
      <c r="AE28" t="s">
        <v>53</v>
      </c>
    </row>
    <row r="29" spans="1:31" x14ac:dyDescent="0.35">
      <c r="A29">
        <v>27</v>
      </c>
      <c r="B29">
        <v>281525</v>
      </c>
      <c r="C29">
        <v>328012925</v>
      </c>
      <c r="D29" t="s">
        <v>191</v>
      </c>
      <c r="E29" t="s">
        <v>51</v>
      </c>
      <c r="F29" s="1">
        <v>46238</v>
      </c>
      <c r="G29" t="s">
        <v>192</v>
      </c>
      <c r="H29" t="s">
        <v>427</v>
      </c>
      <c r="I29" s="1">
        <v>46088</v>
      </c>
      <c r="J29" t="s">
        <v>138</v>
      </c>
      <c r="K29" t="s">
        <v>137</v>
      </c>
      <c r="L29" t="s">
        <v>15</v>
      </c>
      <c r="M29" t="s">
        <v>14</v>
      </c>
      <c r="N29" t="s">
        <v>219</v>
      </c>
      <c r="O29" t="s">
        <v>1938</v>
      </c>
      <c r="P29" t="s">
        <v>220</v>
      </c>
      <c r="Q29" t="s">
        <v>101</v>
      </c>
      <c r="R29" t="s">
        <v>428</v>
      </c>
      <c r="S29" s="2">
        <v>5000</v>
      </c>
      <c r="T29">
        <v>2.72</v>
      </c>
      <c r="U29" s="2">
        <v>13600</v>
      </c>
      <c r="V29">
        <v>0</v>
      </c>
      <c r="W29">
        <v>0</v>
      </c>
      <c r="X29" s="2">
        <v>2448</v>
      </c>
      <c r="Y29">
        <v>245.45414</v>
      </c>
      <c r="Z29">
        <v>44.181739999999998</v>
      </c>
      <c r="AA29" s="2">
        <v>16337.63588</v>
      </c>
      <c r="AB29">
        <v>0</v>
      </c>
      <c r="AC29">
        <v>0</v>
      </c>
      <c r="AD29" s="2">
        <v>16337.63588</v>
      </c>
      <c r="AE29" t="s">
        <v>53</v>
      </c>
    </row>
    <row r="30" spans="1:31" x14ac:dyDescent="0.35">
      <c r="A30">
        <v>28</v>
      </c>
      <c r="B30">
        <v>281564</v>
      </c>
      <c r="C30">
        <v>328012951</v>
      </c>
      <c r="D30" t="s">
        <v>227</v>
      </c>
      <c r="E30" t="s">
        <v>51</v>
      </c>
      <c r="F30" s="1">
        <v>46238</v>
      </c>
      <c r="G30" t="s">
        <v>228</v>
      </c>
      <c r="H30" t="s">
        <v>430</v>
      </c>
      <c r="I30" s="1">
        <v>46122</v>
      </c>
      <c r="J30" t="s">
        <v>138</v>
      </c>
      <c r="K30" t="s">
        <v>1278</v>
      </c>
      <c r="L30" t="s">
        <v>12</v>
      </c>
      <c r="M30" t="s">
        <v>21</v>
      </c>
      <c r="N30" t="s">
        <v>229</v>
      </c>
      <c r="O30" t="s">
        <v>1937</v>
      </c>
      <c r="Q30" t="s">
        <v>230</v>
      </c>
      <c r="R30" t="s">
        <v>431</v>
      </c>
      <c r="S30">
        <v>400</v>
      </c>
      <c r="T30" s="2">
        <v>7415</v>
      </c>
      <c r="U30" s="2">
        <v>2966000</v>
      </c>
      <c r="V30">
        <v>0</v>
      </c>
      <c r="W30">
        <v>0</v>
      </c>
      <c r="X30" s="2">
        <v>533880</v>
      </c>
      <c r="Y30">
        <v>0</v>
      </c>
      <c r="Z30">
        <v>0</v>
      </c>
      <c r="AA30" s="2">
        <v>3499880</v>
      </c>
      <c r="AB30">
        <v>0</v>
      </c>
      <c r="AC30">
        <v>0</v>
      </c>
      <c r="AD30" s="2">
        <v>3499880</v>
      </c>
      <c r="AE30" t="s">
        <v>55</v>
      </c>
    </row>
    <row r="31" spans="1:31" x14ac:dyDescent="0.35">
      <c r="A31">
        <v>29</v>
      </c>
      <c r="B31">
        <v>281565</v>
      </c>
      <c r="C31">
        <v>328012952</v>
      </c>
      <c r="D31" t="s">
        <v>231</v>
      </c>
      <c r="E31" t="s">
        <v>51</v>
      </c>
      <c r="F31" s="1">
        <v>46238</v>
      </c>
      <c r="G31" t="s">
        <v>90</v>
      </c>
      <c r="H31" t="s">
        <v>432</v>
      </c>
      <c r="I31" s="1">
        <v>46192</v>
      </c>
      <c r="J31" t="s">
        <v>138</v>
      </c>
      <c r="K31" t="s">
        <v>1279</v>
      </c>
      <c r="L31" t="s">
        <v>12</v>
      </c>
      <c r="M31" t="s">
        <v>21</v>
      </c>
      <c r="N31" t="s">
        <v>91</v>
      </c>
      <c r="O31" t="s">
        <v>1936</v>
      </c>
      <c r="Q31" t="s">
        <v>54</v>
      </c>
      <c r="R31" t="s">
        <v>416</v>
      </c>
      <c r="S31" s="2">
        <v>3000</v>
      </c>
      <c r="T31">
        <v>33.25</v>
      </c>
      <c r="U31" s="2">
        <v>99750</v>
      </c>
      <c r="V31">
        <v>0</v>
      </c>
      <c r="W31">
        <v>0</v>
      </c>
      <c r="X31" s="2">
        <v>17955</v>
      </c>
      <c r="Y31">
        <v>0</v>
      </c>
      <c r="Z31">
        <v>0</v>
      </c>
      <c r="AA31" s="2">
        <v>117705</v>
      </c>
      <c r="AB31">
        <v>0</v>
      </c>
      <c r="AC31">
        <v>0</v>
      </c>
      <c r="AD31" s="2">
        <v>117705</v>
      </c>
      <c r="AE31" t="s">
        <v>55</v>
      </c>
    </row>
    <row r="32" spans="1:31" x14ac:dyDescent="0.35">
      <c r="A32">
        <v>30</v>
      </c>
      <c r="B32">
        <v>281595</v>
      </c>
      <c r="C32">
        <v>328012975</v>
      </c>
      <c r="D32" t="s">
        <v>232</v>
      </c>
      <c r="E32" t="s">
        <v>51</v>
      </c>
      <c r="F32" s="1">
        <v>46238</v>
      </c>
      <c r="G32" t="s">
        <v>87</v>
      </c>
      <c r="H32">
        <v>4501089204</v>
      </c>
      <c r="I32" s="1">
        <v>46213</v>
      </c>
      <c r="J32" t="s">
        <v>138</v>
      </c>
      <c r="K32" t="s">
        <v>137</v>
      </c>
      <c r="L32" t="s">
        <v>18</v>
      </c>
      <c r="M32" t="s">
        <v>21</v>
      </c>
      <c r="N32" t="s">
        <v>100</v>
      </c>
      <c r="O32" t="s">
        <v>1939</v>
      </c>
      <c r="P32" t="s">
        <v>149</v>
      </c>
      <c r="Q32" t="s">
        <v>101</v>
      </c>
      <c r="R32" t="s">
        <v>433</v>
      </c>
      <c r="S32" s="2">
        <v>30400</v>
      </c>
      <c r="T32">
        <v>39.1</v>
      </c>
      <c r="U32" s="2">
        <v>1188640</v>
      </c>
      <c r="V32">
        <v>0</v>
      </c>
      <c r="W32">
        <v>0</v>
      </c>
      <c r="X32" s="2">
        <v>213955.20000000001</v>
      </c>
      <c r="Y32">
        <v>0</v>
      </c>
      <c r="Z32">
        <v>0</v>
      </c>
      <c r="AA32" s="2">
        <v>1402595.2</v>
      </c>
      <c r="AB32">
        <v>0</v>
      </c>
      <c r="AC32">
        <v>0</v>
      </c>
      <c r="AD32" s="2">
        <v>1402595.2</v>
      </c>
      <c r="AE32" t="s">
        <v>53</v>
      </c>
    </row>
    <row r="33" spans="1:31" x14ac:dyDescent="0.35">
      <c r="A33">
        <v>31</v>
      </c>
      <c r="B33">
        <v>281595</v>
      </c>
      <c r="C33">
        <v>328012975</v>
      </c>
      <c r="D33" t="s">
        <v>232</v>
      </c>
      <c r="E33" t="s">
        <v>51</v>
      </c>
      <c r="F33" s="1">
        <v>46238</v>
      </c>
      <c r="G33" t="s">
        <v>87</v>
      </c>
      <c r="H33">
        <v>4501089204</v>
      </c>
      <c r="I33" s="1">
        <v>46213</v>
      </c>
      <c r="J33" t="s">
        <v>138</v>
      </c>
      <c r="K33" t="s">
        <v>137</v>
      </c>
      <c r="L33" t="s">
        <v>18</v>
      </c>
      <c r="M33" t="s">
        <v>21</v>
      </c>
      <c r="N33" t="s">
        <v>100</v>
      </c>
      <c r="O33" t="s">
        <v>1939</v>
      </c>
      <c r="P33" t="s">
        <v>149</v>
      </c>
      <c r="Q33" t="s">
        <v>101</v>
      </c>
      <c r="R33" t="s">
        <v>433</v>
      </c>
      <c r="S33" s="2">
        <v>9600</v>
      </c>
      <c r="T33">
        <v>39.1</v>
      </c>
      <c r="U33" s="2">
        <v>375360</v>
      </c>
      <c r="V33">
        <v>0</v>
      </c>
      <c r="W33">
        <v>0</v>
      </c>
      <c r="X33" s="2">
        <v>67564.800000000003</v>
      </c>
      <c r="Y33">
        <v>0</v>
      </c>
      <c r="Z33">
        <v>0</v>
      </c>
      <c r="AA33" s="2">
        <v>442924.79999999999</v>
      </c>
      <c r="AB33">
        <v>0</v>
      </c>
      <c r="AC33">
        <v>0</v>
      </c>
      <c r="AD33" s="2">
        <v>442924.79999999999</v>
      </c>
      <c r="AE33" t="s">
        <v>53</v>
      </c>
    </row>
    <row r="34" spans="1:31" x14ac:dyDescent="0.35">
      <c r="A34">
        <v>32</v>
      </c>
      <c r="B34">
        <v>281600</v>
      </c>
      <c r="C34">
        <v>328012979</v>
      </c>
      <c r="D34" t="s">
        <v>233</v>
      </c>
      <c r="E34" t="s">
        <v>51</v>
      </c>
      <c r="F34" s="1">
        <v>46238</v>
      </c>
      <c r="G34" t="s">
        <v>74</v>
      </c>
      <c r="H34" t="s">
        <v>434</v>
      </c>
      <c r="I34" s="1">
        <v>46171</v>
      </c>
      <c r="J34" t="s">
        <v>138</v>
      </c>
      <c r="K34" t="s">
        <v>137</v>
      </c>
      <c r="L34" t="s">
        <v>49</v>
      </c>
      <c r="M34" t="s">
        <v>14</v>
      </c>
      <c r="N34" t="s">
        <v>234</v>
      </c>
      <c r="O34" t="s">
        <v>1936</v>
      </c>
      <c r="P34" t="s">
        <v>234</v>
      </c>
      <c r="Q34" t="s">
        <v>54</v>
      </c>
      <c r="R34" t="s">
        <v>416</v>
      </c>
      <c r="S34" s="2">
        <v>10240</v>
      </c>
      <c r="T34">
        <v>129.1</v>
      </c>
      <c r="U34" s="2">
        <v>1321984</v>
      </c>
      <c r="V34">
        <v>0</v>
      </c>
      <c r="W34">
        <v>0</v>
      </c>
      <c r="X34" s="2">
        <v>238182.12</v>
      </c>
      <c r="Y34" s="2">
        <v>1250</v>
      </c>
      <c r="Z34">
        <v>225</v>
      </c>
      <c r="AA34" s="2">
        <v>1561416.12</v>
      </c>
      <c r="AB34">
        <v>0</v>
      </c>
      <c r="AC34">
        <v>0</v>
      </c>
      <c r="AD34" s="2">
        <v>1561416.12</v>
      </c>
      <c r="AE34" t="s">
        <v>55</v>
      </c>
    </row>
    <row r="35" spans="1:31" x14ac:dyDescent="0.35">
      <c r="A35">
        <v>33</v>
      </c>
      <c r="B35">
        <v>281601</v>
      </c>
      <c r="C35">
        <v>328012980</v>
      </c>
      <c r="D35" t="s">
        <v>235</v>
      </c>
      <c r="E35" t="s">
        <v>51</v>
      </c>
      <c r="F35" s="1">
        <v>46238</v>
      </c>
      <c r="G35" t="s">
        <v>140</v>
      </c>
      <c r="H35" t="s">
        <v>435</v>
      </c>
      <c r="I35" s="1">
        <v>46238</v>
      </c>
      <c r="J35" t="s">
        <v>138</v>
      </c>
      <c r="K35" t="s">
        <v>137</v>
      </c>
      <c r="L35" t="s">
        <v>78</v>
      </c>
      <c r="M35" t="s">
        <v>14</v>
      </c>
      <c r="N35" t="s">
        <v>145</v>
      </c>
      <c r="O35" t="s">
        <v>1940</v>
      </c>
      <c r="P35" t="s">
        <v>236</v>
      </c>
      <c r="Q35" t="s">
        <v>57</v>
      </c>
      <c r="R35" t="s">
        <v>436</v>
      </c>
      <c r="S35" s="2">
        <v>1000</v>
      </c>
      <c r="T35">
        <v>10</v>
      </c>
      <c r="U35" s="2">
        <v>10000</v>
      </c>
      <c r="V35">
        <v>0</v>
      </c>
      <c r="W35">
        <v>0</v>
      </c>
      <c r="X35" s="2">
        <v>1837.8</v>
      </c>
      <c r="Y35">
        <v>210</v>
      </c>
      <c r="Z35">
        <v>37.799999999999997</v>
      </c>
      <c r="AA35" s="2">
        <v>12047.8</v>
      </c>
      <c r="AB35">
        <v>0</v>
      </c>
      <c r="AC35">
        <v>0</v>
      </c>
      <c r="AD35" s="2">
        <v>12047.8</v>
      </c>
      <c r="AE35" t="s">
        <v>55</v>
      </c>
    </row>
    <row r="36" spans="1:31" x14ac:dyDescent="0.35">
      <c r="A36">
        <v>34</v>
      </c>
      <c r="B36">
        <v>281610</v>
      </c>
      <c r="C36">
        <v>328012988</v>
      </c>
      <c r="D36" t="s">
        <v>237</v>
      </c>
      <c r="E36" t="s">
        <v>51</v>
      </c>
      <c r="F36" s="1">
        <v>46238</v>
      </c>
      <c r="G36" t="s">
        <v>87</v>
      </c>
      <c r="H36">
        <v>4501072899</v>
      </c>
      <c r="I36" s="1">
        <v>46134</v>
      </c>
      <c r="J36" t="s">
        <v>138</v>
      </c>
      <c r="K36" t="s">
        <v>137</v>
      </c>
      <c r="L36" t="s">
        <v>18</v>
      </c>
      <c r="M36" t="s">
        <v>21</v>
      </c>
      <c r="N36" t="s">
        <v>83</v>
      </c>
      <c r="O36" t="s">
        <v>1932</v>
      </c>
      <c r="P36" t="s">
        <v>238</v>
      </c>
      <c r="Q36" t="s">
        <v>52</v>
      </c>
      <c r="R36" t="s">
        <v>418</v>
      </c>
      <c r="S36" s="2">
        <v>60000</v>
      </c>
      <c r="T36">
        <v>1.77</v>
      </c>
      <c r="U36" s="2">
        <v>106200</v>
      </c>
      <c r="V36">
        <v>0</v>
      </c>
      <c r="W36">
        <v>0</v>
      </c>
      <c r="X36" s="2">
        <v>19116</v>
      </c>
      <c r="Y36">
        <v>0</v>
      </c>
      <c r="Z36">
        <v>0</v>
      </c>
      <c r="AA36" s="2">
        <v>125316</v>
      </c>
      <c r="AB36">
        <v>0</v>
      </c>
      <c r="AC36">
        <v>0</v>
      </c>
      <c r="AD36" s="2">
        <v>125316</v>
      </c>
      <c r="AE36" t="s">
        <v>53</v>
      </c>
    </row>
    <row r="37" spans="1:31" x14ac:dyDescent="0.35">
      <c r="A37">
        <v>35</v>
      </c>
      <c r="B37">
        <v>281614</v>
      </c>
      <c r="C37">
        <v>328012991</v>
      </c>
      <c r="D37" t="s">
        <v>239</v>
      </c>
      <c r="E37" t="s">
        <v>51</v>
      </c>
      <c r="F37" s="1">
        <v>46238</v>
      </c>
      <c r="G37" t="s">
        <v>85</v>
      </c>
      <c r="H37">
        <v>5500008044</v>
      </c>
      <c r="I37" s="1">
        <v>46101</v>
      </c>
      <c r="J37" t="s">
        <v>138</v>
      </c>
      <c r="K37" t="s">
        <v>137</v>
      </c>
      <c r="L37" t="s">
        <v>13</v>
      </c>
      <c r="M37" t="s">
        <v>24</v>
      </c>
      <c r="N37" t="s">
        <v>86</v>
      </c>
      <c r="O37" t="s">
        <v>1932</v>
      </c>
      <c r="P37">
        <v>13000099</v>
      </c>
      <c r="Q37" t="s">
        <v>60</v>
      </c>
      <c r="R37" t="s">
        <v>418</v>
      </c>
      <c r="S37" s="2">
        <v>37500</v>
      </c>
      <c r="T37">
        <v>4.8730000000000002</v>
      </c>
      <c r="U37" s="2">
        <v>182737.5</v>
      </c>
      <c r="V37">
        <v>0</v>
      </c>
      <c r="W37">
        <v>0</v>
      </c>
      <c r="X37" s="2">
        <v>32892.75</v>
      </c>
      <c r="Y37">
        <v>0</v>
      </c>
      <c r="Z37">
        <v>0</v>
      </c>
      <c r="AA37" s="2">
        <v>215630.25</v>
      </c>
      <c r="AB37">
        <v>0</v>
      </c>
      <c r="AC37">
        <v>0</v>
      </c>
      <c r="AD37" s="2">
        <v>215630.25</v>
      </c>
      <c r="AE37" t="s">
        <v>53</v>
      </c>
    </row>
    <row r="38" spans="1:31" x14ac:dyDescent="0.35">
      <c r="A38">
        <v>36</v>
      </c>
      <c r="B38">
        <v>281615</v>
      </c>
      <c r="C38">
        <v>328012992</v>
      </c>
      <c r="D38" t="s">
        <v>240</v>
      </c>
      <c r="E38" t="s">
        <v>51</v>
      </c>
      <c r="F38" s="1">
        <v>46238</v>
      </c>
      <c r="G38" t="s">
        <v>97</v>
      </c>
      <c r="H38" t="s">
        <v>437</v>
      </c>
      <c r="I38" s="1">
        <v>46198</v>
      </c>
      <c r="J38" t="s">
        <v>138</v>
      </c>
      <c r="K38" t="s">
        <v>1279</v>
      </c>
      <c r="L38" t="s">
        <v>12</v>
      </c>
      <c r="M38" t="s">
        <v>21</v>
      </c>
      <c r="N38" t="s">
        <v>241</v>
      </c>
      <c r="O38" t="s">
        <v>1932</v>
      </c>
      <c r="P38" t="s">
        <v>242</v>
      </c>
      <c r="Q38" t="s">
        <v>52</v>
      </c>
      <c r="R38" t="s">
        <v>418</v>
      </c>
      <c r="S38" s="2">
        <v>6000</v>
      </c>
      <c r="T38">
        <v>3.66</v>
      </c>
      <c r="U38" s="2">
        <v>21960</v>
      </c>
      <c r="V38">
        <v>0</v>
      </c>
      <c r="W38">
        <v>0</v>
      </c>
      <c r="X38" s="2">
        <v>3952.8</v>
      </c>
      <c r="Y38">
        <v>0</v>
      </c>
      <c r="Z38">
        <v>0</v>
      </c>
      <c r="AA38" s="2">
        <v>25912.799999999999</v>
      </c>
      <c r="AB38">
        <v>0</v>
      </c>
      <c r="AC38">
        <v>0</v>
      </c>
      <c r="AD38" s="2">
        <v>25912.799999999999</v>
      </c>
      <c r="AE38" t="s">
        <v>53</v>
      </c>
    </row>
    <row r="39" spans="1:31" x14ac:dyDescent="0.35">
      <c r="A39">
        <v>37</v>
      </c>
      <c r="B39">
        <v>281649</v>
      </c>
      <c r="C39">
        <v>328013009</v>
      </c>
      <c r="D39" t="s">
        <v>243</v>
      </c>
      <c r="E39" t="s">
        <v>51</v>
      </c>
      <c r="F39" s="1">
        <v>46239</v>
      </c>
      <c r="G39" t="s">
        <v>61</v>
      </c>
      <c r="H39" t="s">
        <v>438</v>
      </c>
      <c r="I39" s="1">
        <v>46205</v>
      </c>
      <c r="J39" t="s">
        <v>138</v>
      </c>
      <c r="K39" t="s">
        <v>137</v>
      </c>
      <c r="L39" t="s">
        <v>15</v>
      </c>
      <c r="M39" t="s">
        <v>25</v>
      </c>
      <c r="N39" t="s">
        <v>145</v>
      </c>
      <c r="O39" t="s">
        <v>1940</v>
      </c>
      <c r="P39" t="s">
        <v>145</v>
      </c>
      <c r="Q39" t="s">
        <v>57</v>
      </c>
      <c r="R39" t="s">
        <v>436</v>
      </c>
      <c r="S39" s="2">
        <v>10000</v>
      </c>
      <c r="T39">
        <v>10</v>
      </c>
      <c r="U39" s="2">
        <v>100000</v>
      </c>
      <c r="V39">
        <v>0</v>
      </c>
      <c r="W39">
        <v>0</v>
      </c>
      <c r="X39" s="2">
        <v>18000</v>
      </c>
      <c r="Y39">
        <v>0</v>
      </c>
      <c r="Z39">
        <v>0</v>
      </c>
      <c r="AA39" s="2">
        <v>118000</v>
      </c>
      <c r="AB39">
        <v>0</v>
      </c>
      <c r="AC39">
        <v>0</v>
      </c>
      <c r="AD39" s="2">
        <v>118000</v>
      </c>
      <c r="AE39" t="s">
        <v>55</v>
      </c>
    </row>
    <row r="40" spans="1:31" x14ac:dyDescent="0.35">
      <c r="A40">
        <v>38</v>
      </c>
      <c r="B40">
        <v>281654</v>
      </c>
      <c r="C40">
        <v>328013014</v>
      </c>
      <c r="D40" t="s">
        <v>244</v>
      </c>
      <c r="E40" t="s">
        <v>51</v>
      </c>
      <c r="F40" s="1">
        <v>46239</v>
      </c>
      <c r="G40" t="s">
        <v>92</v>
      </c>
      <c r="H40" t="s">
        <v>439</v>
      </c>
      <c r="I40" s="1">
        <v>46188</v>
      </c>
      <c r="J40" t="s">
        <v>138</v>
      </c>
      <c r="K40" t="s">
        <v>1280</v>
      </c>
      <c r="L40" t="s">
        <v>13</v>
      </c>
      <c r="M40" t="s">
        <v>23</v>
      </c>
      <c r="N40" t="s">
        <v>245</v>
      </c>
      <c r="O40" t="s">
        <v>1941</v>
      </c>
      <c r="P40" t="s">
        <v>246</v>
      </c>
      <c r="Q40" t="s">
        <v>247</v>
      </c>
      <c r="R40" t="s">
        <v>440</v>
      </c>
      <c r="S40" s="2">
        <v>5000</v>
      </c>
      <c r="T40">
        <v>2.25</v>
      </c>
      <c r="U40" s="2">
        <v>11250</v>
      </c>
      <c r="V40">
        <v>0</v>
      </c>
      <c r="W40">
        <v>0</v>
      </c>
      <c r="X40" s="2">
        <v>2025</v>
      </c>
      <c r="Y40">
        <v>0</v>
      </c>
      <c r="Z40">
        <v>0</v>
      </c>
      <c r="AA40" s="2">
        <v>13275</v>
      </c>
      <c r="AB40">
        <v>0</v>
      </c>
      <c r="AC40">
        <v>0</v>
      </c>
      <c r="AD40" s="2">
        <v>13275</v>
      </c>
      <c r="AE40" t="s">
        <v>53</v>
      </c>
    </row>
    <row r="41" spans="1:31" x14ac:dyDescent="0.35">
      <c r="A41">
        <v>39</v>
      </c>
      <c r="B41">
        <v>281665</v>
      </c>
      <c r="C41">
        <v>328013024</v>
      </c>
      <c r="D41" t="s">
        <v>248</v>
      </c>
      <c r="E41" t="s">
        <v>51</v>
      </c>
      <c r="F41" s="1">
        <v>46239</v>
      </c>
      <c r="G41" t="s">
        <v>249</v>
      </c>
      <c r="H41">
        <v>510056639</v>
      </c>
      <c r="I41" s="1">
        <v>46135</v>
      </c>
      <c r="J41" t="s">
        <v>138</v>
      </c>
      <c r="K41" t="s">
        <v>137</v>
      </c>
      <c r="L41" t="s">
        <v>78</v>
      </c>
      <c r="M41" t="s">
        <v>24</v>
      </c>
      <c r="N41" t="s">
        <v>250</v>
      </c>
      <c r="O41" t="s">
        <v>1936</v>
      </c>
      <c r="P41">
        <v>39908769</v>
      </c>
      <c r="Q41" t="s">
        <v>54</v>
      </c>
      <c r="R41" t="s">
        <v>416</v>
      </c>
      <c r="S41" s="2">
        <v>1904</v>
      </c>
      <c r="T41">
        <v>183</v>
      </c>
      <c r="U41" s="2">
        <v>348432</v>
      </c>
      <c r="V41">
        <v>0</v>
      </c>
      <c r="W41">
        <v>0</v>
      </c>
      <c r="X41" s="2">
        <v>62717.760000000002</v>
      </c>
      <c r="Y41">
        <v>0</v>
      </c>
      <c r="Z41">
        <v>0</v>
      </c>
      <c r="AA41" s="2">
        <v>411149.76</v>
      </c>
      <c r="AB41">
        <v>0</v>
      </c>
      <c r="AC41">
        <v>0</v>
      </c>
      <c r="AD41" s="2">
        <v>411149.76</v>
      </c>
      <c r="AE41" t="s">
        <v>55</v>
      </c>
    </row>
    <row r="42" spans="1:31" x14ac:dyDescent="0.35">
      <c r="A42">
        <v>40</v>
      </c>
      <c r="B42">
        <v>281666</v>
      </c>
      <c r="C42">
        <v>328013025</v>
      </c>
      <c r="D42" t="s">
        <v>251</v>
      </c>
      <c r="E42" t="s">
        <v>51</v>
      </c>
      <c r="F42" s="1">
        <v>46239</v>
      </c>
      <c r="G42" t="s">
        <v>88</v>
      </c>
      <c r="H42" t="s">
        <v>441</v>
      </c>
      <c r="I42" s="1">
        <v>46237</v>
      </c>
      <c r="J42" t="s">
        <v>138</v>
      </c>
      <c r="K42" t="s">
        <v>1279</v>
      </c>
      <c r="L42" t="s">
        <v>12</v>
      </c>
      <c r="M42" t="s">
        <v>21</v>
      </c>
      <c r="N42" t="s">
        <v>119</v>
      </c>
      <c r="O42" t="s">
        <v>1936</v>
      </c>
      <c r="Q42" t="s">
        <v>54</v>
      </c>
      <c r="R42" t="s">
        <v>416</v>
      </c>
      <c r="S42">
        <v>630</v>
      </c>
      <c r="T42">
        <v>51.94</v>
      </c>
      <c r="U42" s="2">
        <v>32722.2</v>
      </c>
      <c r="V42">
        <v>0</v>
      </c>
      <c r="W42">
        <v>0</v>
      </c>
      <c r="X42" s="2">
        <v>5889.9960000000001</v>
      </c>
      <c r="Y42">
        <v>0</v>
      </c>
      <c r="Z42">
        <v>0</v>
      </c>
      <c r="AA42" s="2">
        <v>38612.196000000004</v>
      </c>
      <c r="AB42">
        <v>0</v>
      </c>
      <c r="AC42">
        <v>0</v>
      </c>
      <c r="AD42" s="2">
        <v>38612.196000000004</v>
      </c>
      <c r="AE42" t="s">
        <v>55</v>
      </c>
    </row>
    <row r="43" spans="1:31" x14ac:dyDescent="0.35">
      <c r="A43">
        <v>41</v>
      </c>
      <c r="B43">
        <v>281668</v>
      </c>
      <c r="C43">
        <v>328013027</v>
      </c>
      <c r="D43" t="s">
        <v>252</v>
      </c>
      <c r="E43" t="s">
        <v>51</v>
      </c>
      <c r="F43" s="1">
        <v>46239</v>
      </c>
      <c r="G43" t="s">
        <v>16</v>
      </c>
      <c r="H43">
        <v>1420035372</v>
      </c>
      <c r="I43" s="1">
        <v>46190</v>
      </c>
      <c r="J43" t="s">
        <v>138</v>
      </c>
      <c r="K43" t="s">
        <v>1280</v>
      </c>
      <c r="L43" t="s">
        <v>13</v>
      </c>
      <c r="M43" t="s">
        <v>22</v>
      </c>
      <c r="N43" t="s">
        <v>84</v>
      </c>
      <c r="O43" t="s">
        <v>1932</v>
      </c>
      <c r="P43" t="s">
        <v>148</v>
      </c>
      <c r="Q43" t="s">
        <v>52</v>
      </c>
      <c r="R43" t="s">
        <v>418</v>
      </c>
      <c r="S43" s="2">
        <v>165000</v>
      </c>
      <c r="T43">
        <v>0.92</v>
      </c>
      <c r="U43" s="2">
        <v>151800</v>
      </c>
      <c r="V43">
        <v>0</v>
      </c>
      <c r="W43">
        <v>0</v>
      </c>
      <c r="X43" s="2">
        <v>27324</v>
      </c>
      <c r="Y43">
        <v>0</v>
      </c>
      <c r="Z43">
        <v>0</v>
      </c>
      <c r="AA43" s="2">
        <v>179124</v>
      </c>
      <c r="AB43">
        <v>0</v>
      </c>
      <c r="AC43">
        <v>0</v>
      </c>
      <c r="AD43" s="2">
        <v>179124</v>
      </c>
      <c r="AE43" t="s">
        <v>53</v>
      </c>
    </row>
    <row r="44" spans="1:31" x14ac:dyDescent="0.35">
      <c r="A44">
        <v>42</v>
      </c>
      <c r="B44">
        <v>281682</v>
      </c>
      <c r="C44">
        <v>328013039</v>
      </c>
      <c r="D44" t="s">
        <v>253</v>
      </c>
      <c r="E44" t="s">
        <v>51</v>
      </c>
      <c r="F44" s="1">
        <v>46239</v>
      </c>
      <c r="G44" t="s">
        <v>117</v>
      </c>
      <c r="H44" t="s">
        <v>442</v>
      </c>
      <c r="I44" s="1">
        <v>46149</v>
      </c>
      <c r="J44" t="s">
        <v>138</v>
      </c>
      <c r="K44" t="s">
        <v>1280</v>
      </c>
      <c r="L44" t="s">
        <v>13</v>
      </c>
      <c r="M44" t="s">
        <v>14</v>
      </c>
      <c r="N44" t="s">
        <v>134</v>
      </c>
      <c r="O44" t="s">
        <v>1942</v>
      </c>
      <c r="P44" t="s">
        <v>134</v>
      </c>
      <c r="Q44" t="s">
        <v>81</v>
      </c>
      <c r="R44" t="s">
        <v>443</v>
      </c>
      <c r="S44" s="2">
        <v>5000</v>
      </c>
      <c r="T44">
        <v>19.57</v>
      </c>
      <c r="U44" s="2">
        <v>97850</v>
      </c>
      <c r="V44">
        <v>0</v>
      </c>
      <c r="W44">
        <v>0</v>
      </c>
      <c r="X44" s="2">
        <v>17686.8</v>
      </c>
      <c r="Y44">
        <v>410</v>
      </c>
      <c r="Z44">
        <v>73.8</v>
      </c>
      <c r="AA44" s="2">
        <v>115946.8</v>
      </c>
      <c r="AB44">
        <v>0</v>
      </c>
      <c r="AC44">
        <v>0</v>
      </c>
      <c r="AD44" s="2">
        <v>115946.8</v>
      </c>
      <c r="AE44" t="s">
        <v>55</v>
      </c>
    </row>
    <row r="45" spans="1:31" x14ac:dyDescent="0.35">
      <c r="A45">
        <v>43</v>
      </c>
      <c r="B45">
        <v>281763</v>
      </c>
      <c r="C45">
        <v>328013110</v>
      </c>
      <c r="D45" t="s">
        <v>444</v>
      </c>
      <c r="E45" t="s">
        <v>51</v>
      </c>
      <c r="F45" s="1">
        <v>46240</v>
      </c>
      <c r="G45" t="s">
        <v>411</v>
      </c>
      <c r="H45" t="s">
        <v>445</v>
      </c>
      <c r="I45" s="1">
        <v>46112</v>
      </c>
      <c r="J45" t="s">
        <v>138</v>
      </c>
      <c r="K45" t="s">
        <v>137</v>
      </c>
      <c r="L45" t="s">
        <v>78</v>
      </c>
      <c r="M45" t="s">
        <v>17</v>
      </c>
      <c r="N45" t="s">
        <v>446</v>
      </c>
      <c r="O45" t="s">
        <v>1940</v>
      </c>
      <c r="P45" t="s">
        <v>447</v>
      </c>
      <c r="Q45" t="s">
        <v>57</v>
      </c>
      <c r="R45" t="s">
        <v>436</v>
      </c>
      <c r="S45" s="2">
        <v>14400</v>
      </c>
      <c r="T45">
        <v>11.61</v>
      </c>
      <c r="U45" s="2">
        <v>167184</v>
      </c>
      <c r="V45">
        <v>0</v>
      </c>
      <c r="W45">
        <v>0</v>
      </c>
      <c r="X45" s="2">
        <v>30093.119999999999</v>
      </c>
      <c r="Y45">
        <v>0</v>
      </c>
      <c r="Z45">
        <v>0</v>
      </c>
      <c r="AA45" s="2">
        <v>197277.12</v>
      </c>
      <c r="AB45">
        <v>0</v>
      </c>
      <c r="AC45">
        <v>0</v>
      </c>
      <c r="AD45" s="2">
        <v>197277.12</v>
      </c>
      <c r="AE45" t="s">
        <v>55</v>
      </c>
    </row>
    <row r="46" spans="1:31" x14ac:dyDescent="0.35">
      <c r="A46">
        <v>44</v>
      </c>
      <c r="B46">
        <v>281835</v>
      </c>
      <c r="C46">
        <v>328013175</v>
      </c>
      <c r="D46" t="s">
        <v>448</v>
      </c>
      <c r="E46" t="s">
        <v>51</v>
      </c>
      <c r="F46" s="1">
        <v>46240</v>
      </c>
      <c r="G46" t="s">
        <v>449</v>
      </c>
      <c r="H46" t="s">
        <v>450</v>
      </c>
      <c r="I46" s="1">
        <v>45899</v>
      </c>
      <c r="J46" t="s">
        <v>138</v>
      </c>
      <c r="K46" t="s">
        <v>137</v>
      </c>
      <c r="L46" t="s">
        <v>13</v>
      </c>
      <c r="M46" t="s">
        <v>23</v>
      </c>
      <c r="N46" t="s">
        <v>451</v>
      </c>
      <c r="O46" t="s">
        <v>1939</v>
      </c>
      <c r="P46" t="s">
        <v>451</v>
      </c>
      <c r="Q46" t="s">
        <v>377</v>
      </c>
      <c r="R46" t="s">
        <v>433</v>
      </c>
      <c r="S46" s="2">
        <v>6000</v>
      </c>
      <c r="T46">
        <v>3.46</v>
      </c>
      <c r="U46" s="2">
        <v>20760</v>
      </c>
      <c r="V46">
        <v>0</v>
      </c>
      <c r="W46">
        <v>0</v>
      </c>
      <c r="X46" s="2">
        <v>3736.8</v>
      </c>
      <c r="Y46">
        <v>0</v>
      </c>
      <c r="Z46">
        <v>0</v>
      </c>
      <c r="AA46" s="2">
        <v>24496.799999999999</v>
      </c>
      <c r="AB46">
        <v>0</v>
      </c>
      <c r="AC46">
        <v>0</v>
      </c>
      <c r="AD46" s="2">
        <v>24496.799999999999</v>
      </c>
      <c r="AE46" t="s">
        <v>53</v>
      </c>
    </row>
    <row r="47" spans="1:31" x14ac:dyDescent="0.35">
      <c r="A47">
        <v>45</v>
      </c>
      <c r="B47">
        <v>281838</v>
      </c>
      <c r="C47">
        <v>328013178</v>
      </c>
      <c r="D47" t="s">
        <v>452</v>
      </c>
      <c r="E47" t="s">
        <v>51</v>
      </c>
      <c r="F47" s="1">
        <v>46240</v>
      </c>
      <c r="G47" t="s">
        <v>449</v>
      </c>
      <c r="H47" t="s">
        <v>453</v>
      </c>
      <c r="I47" s="1">
        <v>46192</v>
      </c>
      <c r="J47" t="s">
        <v>138</v>
      </c>
      <c r="K47" t="s">
        <v>137</v>
      </c>
      <c r="L47" t="s">
        <v>13</v>
      </c>
      <c r="M47" t="s">
        <v>23</v>
      </c>
      <c r="N47" t="s">
        <v>455</v>
      </c>
      <c r="O47" t="s">
        <v>1943</v>
      </c>
      <c r="P47" t="s">
        <v>455</v>
      </c>
      <c r="Q47" t="s">
        <v>52</v>
      </c>
      <c r="R47" t="s">
        <v>418</v>
      </c>
      <c r="S47" s="2">
        <v>12000</v>
      </c>
      <c r="T47">
        <v>0.62</v>
      </c>
      <c r="U47" s="2">
        <v>7440</v>
      </c>
      <c r="V47">
        <v>0</v>
      </c>
      <c r="W47">
        <v>0</v>
      </c>
      <c r="X47" s="2">
        <v>1339.2</v>
      </c>
      <c r="Y47">
        <v>0</v>
      </c>
      <c r="Z47">
        <v>0</v>
      </c>
      <c r="AA47" s="2">
        <v>8779.2000000000007</v>
      </c>
      <c r="AB47">
        <v>0</v>
      </c>
      <c r="AC47">
        <v>0</v>
      </c>
      <c r="AD47" s="2">
        <v>8779.2000000000007</v>
      </c>
      <c r="AE47" t="s">
        <v>53</v>
      </c>
    </row>
    <row r="48" spans="1:31" x14ac:dyDescent="0.35">
      <c r="A48">
        <v>46</v>
      </c>
      <c r="B48">
        <v>281838</v>
      </c>
      <c r="C48">
        <v>328013178</v>
      </c>
      <c r="D48" t="s">
        <v>452</v>
      </c>
      <c r="E48" t="s">
        <v>51</v>
      </c>
      <c r="F48" s="1">
        <v>46240</v>
      </c>
      <c r="G48" t="s">
        <v>449</v>
      </c>
      <c r="H48" t="s">
        <v>453</v>
      </c>
      <c r="I48" s="1">
        <v>46192</v>
      </c>
      <c r="J48" t="s">
        <v>138</v>
      </c>
      <c r="K48" t="s">
        <v>137</v>
      </c>
      <c r="L48" t="s">
        <v>13</v>
      </c>
      <c r="M48" t="s">
        <v>23</v>
      </c>
      <c r="N48" t="s">
        <v>457</v>
      </c>
      <c r="O48" t="s">
        <v>1932</v>
      </c>
      <c r="P48" t="s">
        <v>457</v>
      </c>
      <c r="Q48" t="s">
        <v>52</v>
      </c>
      <c r="R48" t="s">
        <v>418</v>
      </c>
      <c r="S48" s="2">
        <v>30000</v>
      </c>
      <c r="T48">
        <v>0.82</v>
      </c>
      <c r="U48" s="2">
        <v>24600</v>
      </c>
      <c r="V48">
        <v>0</v>
      </c>
      <c r="W48">
        <v>0</v>
      </c>
      <c r="X48" s="2">
        <v>4428</v>
      </c>
      <c r="Y48">
        <v>0</v>
      </c>
      <c r="Z48">
        <v>0</v>
      </c>
      <c r="AA48" s="2">
        <v>29028</v>
      </c>
      <c r="AB48">
        <v>0</v>
      </c>
      <c r="AC48">
        <v>0</v>
      </c>
      <c r="AD48" s="2">
        <v>29028</v>
      </c>
      <c r="AE48" t="s">
        <v>53</v>
      </c>
    </row>
    <row r="49" spans="1:31" x14ac:dyDescent="0.35">
      <c r="A49">
        <v>47</v>
      </c>
      <c r="B49">
        <v>281838</v>
      </c>
      <c r="C49">
        <v>328013178</v>
      </c>
      <c r="D49" t="s">
        <v>452</v>
      </c>
      <c r="E49" t="s">
        <v>51</v>
      </c>
      <c r="F49" s="1">
        <v>46240</v>
      </c>
      <c r="G49" t="s">
        <v>449</v>
      </c>
      <c r="H49" t="s">
        <v>453</v>
      </c>
      <c r="I49" s="1">
        <v>46192</v>
      </c>
      <c r="J49" t="s">
        <v>138</v>
      </c>
      <c r="K49" t="s">
        <v>137</v>
      </c>
      <c r="L49" t="s">
        <v>13</v>
      </c>
      <c r="M49" t="s">
        <v>23</v>
      </c>
      <c r="N49" t="s">
        <v>459</v>
      </c>
      <c r="O49" t="s">
        <v>1932</v>
      </c>
      <c r="P49" t="s">
        <v>459</v>
      </c>
      <c r="Q49" t="s">
        <v>52</v>
      </c>
      <c r="R49" t="s">
        <v>418</v>
      </c>
      <c r="S49" s="2">
        <v>7500</v>
      </c>
      <c r="T49">
        <v>2.74</v>
      </c>
      <c r="U49" s="2">
        <v>20550</v>
      </c>
      <c r="V49">
        <v>0</v>
      </c>
      <c r="W49">
        <v>0</v>
      </c>
      <c r="X49" s="2">
        <v>3699</v>
      </c>
      <c r="Y49">
        <v>0</v>
      </c>
      <c r="Z49">
        <v>0</v>
      </c>
      <c r="AA49" s="2">
        <v>24249</v>
      </c>
      <c r="AB49">
        <v>0</v>
      </c>
      <c r="AC49">
        <v>0</v>
      </c>
      <c r="AD49" s="2">
        <v>24249</v>
      </c>
      <c r="AE49" t="s">
        <v>53</v>
      </c>
    </row>
    <row r="50" spans="1:31" x14ac:dyDescent="0.35">
      <c r="A50">
        <v>48</v>
      </c>
      <c r="B50">
        <v>281838</v>
      </c>
      <c r="C50">
        <v>328013178</v>
      </c>
      <c r="D50" t="s">
        <v>452</v>
      </c>
      <c r="E50" t="s">
        <v>51</v>
      </c>
      <c r="F50" s="1">
        <v>46240</v>
      </c>
      <c r="G50" t="s">
        <v>449</v>
      </c>
      <c r="H50" t="s">
        <v>453</v>
      </c>
      <c r="I50" s="1">
        <v>46192</v>
      </c>
      <c r="J50" t="s">
        <v>138</v>
      </c>
      <c r="K50" t="s">
        <v>137</v>
      </c>
      <c r="L50" t="s">
        <v>13</v>
      </c>
      <c r="M50" t="s">
        <v>23</v>
      </c>
      <c r="N50" t="s">
        <v>456</v>
      </c>
      <c r="O50" t="s">
        <v>1932</v>
      </c>
      <c r="P50" t="s">
        <v>456</v>
      </c>
      <c r="Q50" t="s">
        <v>52</v>
      </c>
      <c r="R50" t="s">
        <v>418</v>
      </c>
      <c r="S50" s="2">
        <v>6000</v>
      </c>
      <c r="T50">
        <v>1.55</v>
      </c>
      <c r="U50" s="2">
        <v>9300</v>
      </c>
      <c r="V50">
        <v>0</v>
      </c>
      <c r="W50">
        <v>0</v>
      </c>
      <c r="X50" s="2">
        <v>1674</v>
      </c>
      <c r="Y50">
        <v>0</v>
      </c>
      <c r="Z50">
        <v>0</v>
      </c>
      <c r="AA50" s="2">
        <v>10974</v>
      </c>
      <c r="AB50">
        <v>0</v>
      </c>
      <c r="AC50">
        <v>0</v>
      </c>
      <c r="AD50" s="2">
        <v>10974</v>
      </c>
      <c r="AE50" t="s">
        <v>53</v>
      </c>
    </row>
    <row r="51" spans="1:31" x14ac:dyDescent="0.35">
      <c r="A51">
        <v>49</v>
      </c>
      <c r="B51">
        <v>281838</v>
      </c>
      <c r="C51">
        <v>328013178</v>
      </c>
      <c r="D51" t="s">
        <v>452</v>
      </c>
      <c r="E51" t="s">
        <v>51</v>
      </c>
      <c r="F51" s="1">
        <v>46240</v>
      </c>
      <c r="G51" t="s">
        <v>449</v>
      </c>
      <c r="H51" t="s">
        <v>453</v>
      </c>
      <c r="I51" s="1">
        <v>46192</v>
      </c>
      <c r="J51" t="s">
        <v>138</v>
      </c>
      <c r="K51" t="s">
        <v>137</v>
      </c>
      <c r="L51" t="s">
        <v>13</v>
      </c>
      <c r="M51" t="s">
        <v>23</v>
      </c>
      <c r="N51" t="s">
        <v>454</v>
      </c>
      <c r="O51" t="s">
        <v>1940</v>
      </c>
      <c r="P51" t="s">
        <v>454</v>
      </c>
      <c r="Q51" t="s">
        <v>57</v>
      </c>
      <c r="R51" t="s">
        <v>436</v>
      </c>
      <c r="S51" s="2">
        <v>2400</v>
      </c>
      <c r="T51">
        <v>10.49</v>
      </c>
      <c r="U51" s="2">
        <v>25176</v>
      </c>
      <c r="V51">
        <v>0</v>
      </c>
      <c r="W51">
        <v>0</v>
      </c>
      <c r="X51" s="2">
        <v>4531.68</v>
      </c>
      <c r="Y51">
        <v>0</v>
      </c>
      <c r="Z51">
        <v>0</v>
      </c>
      <c r="AA51" s="2">
        <v>29707.68</v>
      </c>
      <c r="AB51">
        <v>0</v>
      </c>
      <c r="AC51">
        <v>0</v>
      </c>
      <c r="AD51" s="2">
        <v>29707.68</v>
      </c>
      <c r="AE51" t="s">
        <v>55</v>
      </c>
    </row>
    <row r="52" spans="1:31" x14ac:dyDescent="0.35">
      <c r="A52">
        <v>50</v>
      </c>
      <c r="B52">
        <v>281838</v>
      </c>
      <c r="C52">
        <v>328013178</v>
      </c>
      <c r="D52" t="s">
        <v>452</v>
      </c>
      <c r="E52" t="s">
        <v>51</v>
      </c>
      <c r="F52" s="1">
        <v>46240</v>
      </c>
      <c r="G52" t="s">
        <v>449</v>
      </c>
      <c r="H52" t="s">
        <v>453</v>
      </c>
      <c r="I52" s="1">
        <v>46192</v>
      </c>
      <c r="J52" t="s">
        <v>138</v>
      </c>
      <c r="K52" t="s">
        <v>137</v>
      </c>
      <c r="L52" t="s">
        <v>13</v>
      </c>
      <c r="M52" t="s">
        <v>23</v>
      </c>
      <c r="N52" t="s">
        <v>458</v>
      </c>
      <c r="O52" t="s">
        <v>1942</v>
      </c>
      <c r="P52" t="s">
        <v>458</v>
      </c>
      <c r="Q52" t="s">
        <v>52</v>
      </c>
      <c r="R52" t="s">
        <v>422</v>
      </c>
      <c r="S52" s="2">
        <v>12000</v>
      </c>
      <c r="T52">
        <v>0.6</v>
      </c>
      <c r="U52" s="2">
        <v>7200</v>
      </c>
      <c r="V52">
        <v>0</v>
      </c>
      <c r="W52">
        <v>0</v>
      </c>
      <c r="X52" s="2">
        <v>1296</v>
      </c>
      <c r="Y52">
        <v>0</v>
      </c>
      <c r="Z52">
        <v>0</v>
      </c>
      <c r="AA52" s="2">
        <v>8496</v>
      </c>
      <c r="AB52">
        <v>0</v>
      </c>
      <c r="AC52">
        <v>0</v>
      </c>
      <c r="AD52" s="2">
        <v>8496</v>
      </c>
      <c r="AE52" t="s">
        <v>53</v>
      </c>
    </row>
    <row r="53" spans="1:31" x14ac:dyDescent="0.35">
      <c r="A53">
        <v>51</v>
      </c>
      <c r="B53">
        <v>281841</v>
      </c>
      <c r="C53">
        <v>328013181</v>
      </c>
      <c r="D53" t="s">
        <v>460</v>
      </c>
      <c r="E53" t="s">
        <v>51</v>
      </c>
      <c r="F53" s="1">
        <v>46240</v>
      </c>
      <c r="G53" t="s">
        <v>449</v>
      </c>
      <c r="H53" t="s">
        <v>461</v>
      </c>
      <c r="I53" s="1">
        <v>45959</v>
      </c>
      <c r="J53" t="s">
        <v>138</v>
      </c>
      <c r="K53" t="s">
        <v>137</v>
      </c>
      <c r="L53" t="s">
        <v>13</v>
      </c>
      <c r="M53" t="s">
        <v>23</v>
      </c>
      <c r="N53" t="s">
        <v>378</v>
      </c>
      <c r="O53" t="s">
        <v>1933</v>
      </c>
      <c r="P53" t="s">
        <v>378</v>
      </c>
      <c r="Q53" t="s">
        <v>380</v>
      </c>
      <c r="R53" t="s">
        <v>420</v>
      </c>
      <c r="S53" s="2">
        <v>1445</v>
      </c>
      <c r="T53">
        <v>37.85</v>
      </c>
      <c r="U53" s="2">
        <v>54693.25</v>
      </c>
      <c r="V53">
        <v>0</v>
      </c>
      <c r="W53">
        <v>0</v>
      </c>
      <c r="X53" s="2">
        <v>9844.7849999999999</v>
      </c>
      <c r="Y53">
        <v>582.38680999999997</v>
      </c>
      <c r="Z53">
        <v>104.82962999999999</v>
      </c>
      <c r="AA53" s="2">
        <v>65225.25144</v>
      </c>
      <c r="AB53">
        <v>0</v>
      </c>
      <c r="AC53">
        <v>0</v>
      </c>
      <c r="AD53" s="2">
        <v>65225.25144</v>
      </c>
      <c r="AE53" t="s">
        <v>55</v>
      </c>
    </row>
    <row r="54" spans="1:31" x14ac:dyDescent="0.35">
      <c r="A54">
        <v>52</v>
      </c>
      <c r="B54">
        <v>281841</v>
      </c>
      <c r="C54">
        <v>328013181</v>
      </c>
      <c r="D54" t="s">
        <v>460</v>
      </c>
      <c r="E54" t="s">
        <v>51</v>
      </c>
      <c r="F54" s="1">
        <v>46240</v>
      </c>
      <c r="G54" t="s">
        <v>449</v>
      </c>
      <c r="H54" t="s">
        <v>461</v>
      </c>
      <c r="I54" s="1">
        <v>45959</v>
      </c>
      <c r="J54" t="s">
        <v>138</v>
      </c>
      <c r="K54" t="s">
        <v>137</v>
      </c>
      <c r="L54" t="s">
        <v>13</v>
      </c>
      <c r="M54" t="s">
        <v>23</v>
      </c>
      <c r="N54" t="s">
        <v>378</v>
      </c>
      <c r="O54" t="s">
        <v>1933</v>
      </c>
      <c r="P54" t="s">
        <v>378</v>
      </c>
      <c r="Q54" t="s">
        <v>380</v>
      </c>
      <c r="R54" t="s">
        <v>420</v>
      </c>
      <c r="S54" s="2">
        <v>2376</v>
      </c>
      <c r="T54">
        <v>37.85</v>
      </c>
      <c r="U54" s="2">
        <v>89931.6</v>
      </c>
      <c r="V54">
        <v>0</v>
      </c>
      <c r="W54">
        <v>0</v>
      </c>
      <c r="X54" s="2">
        <v>16464.887999999999</v>
      </c>
      <c r="Y54">
        <v>957.61319000000003</v>
      </c>
      <c r="Z54">
        <v>172.37037000000001</v>
      </c>
      <c r="AA54" s="2">
        <v>107249.27155999999</v>
      </c>
      <c r="AB54">
        <v>0</v>
      </c>
      <c r="AC54">
        <v>0</v>
      </c>
      <c r="AD54" s="2">
        <v>107249.27155999999</v>
      </c>
      <c r="AE54" t="s">
        <v>55</v>
      </c>
    </row>
    <row r="55" spans="1:31" x14ac:dyDescent="0.35">
      <c r="A55">
        <v>53</v>
      </c>
      <c r="B55">
        <v>281852</v>
      </c>
      <c r="C55">
        <v>328013192</v>
      </c>
      <c r="D55" t="s">
        <v>462</v>
      </c>
      <c r="E55" t="s">
        <v>51</v>
      </c>
      <c r="F55" s="1">
        <v>46240</v>
      </c>
      <c r="G55" t="s">
        <v>463</v>
      </c>
      <c r="H55" t="s">
        <v>464</v>
      </c>
      <c r="I55" s="1">
        <v>46100</v>
      </c>
      <c r="J55" t="s">
        <v>138</v>
      </c>
      <c r="K55" t="s">
        <v>1278</v>
      </c>
      <c r="L55" t="s">
        <v>12</v>
      </c>
      <c r="M55" t="s">
        <v>21</v>
      </c>
      <c r="N55" t="s">
        <v>455</v>
      </c>
      <c r="O55" t="s">
        <v>1943</v>
      </c>
      <c r="P55" t="s">
        <v>465</v>
      </c>
      <c r="Q55" t="s">
        <v>52</v>
      </c>
      <c r="R55" t="s">
        <v>418</v>
      </c>
      <c r="S55" s="2">
        <v>201000</v>
      </c>
      <c r="T55">
        <v>0.57999999999999996</v>
      </c>
      <c r="U55" s="2">
        <v>116580</v>
      </c>
      <c r="V55">
        <v>0</v>
      </c>
      <c r="W55">
        <v>0</v>
      </c>
      <c r="X55" s="2">
        <v>20984.400000000001</v>
      </c>
      <c r="Y55">
        <v>0</v>
      </c>
      <c r="Z55">
        <v>0</v>
      </c>
      <c r="AA55" s="2">
        <v>137564.4</v>
      </c>
      <c r="AB55">
        <v>0</v>
      </c>
      <c r="AC55">
        <v>0</v>
      </c>
      <c r="AD55" s="2">
        <v>137564.4</v>
      </c>
      <c r="AE55" t="s">
        <v>53</v>
      </c>
    </row>
    <row r="56" spans="1:31" x14ac:dyDescent="0.35">
      <c r="A56">
        <v>54</v>
      </c>
      <c r="B56">
        <v>281856</v>
      </c>
      <c r="C56">
        <v>328013196</v>
      </c>
      <c r="D56" t="s">
        <v>466</v>
      </c>
      <c r="E56" t="s">
        <v>51</v>
      </c>
      <c r="F56" s="1">
        <v>46240</v>
      </c>
      <c r="G56" t="s">
        <v>463</v>
      </c>
      <c r="H56" t="s">
        <v>467</v>
      </c>
      <c r="I56" s="1">
        <v>46161</v>
      </c>
      <c r="J56" t="s">
        <v>138</v>
      </c>
      <c r="K56" t="s">
        <v>1278</v>
      </c>
      <c r="L56" t="s">
        <v>12</v>
      </c>
      <c r="M56" t="s">
        <v>21</v>
      </c>
      <c r="N56" t="s">
        <v>468</v>
      </c>
      <c r="O56" t="s">
        <v>1932</v>
      </c>
      <c r="P56" t="s">
        <v>469</v>
      </c>
      <c r="Q56" t="s">
        <v>52</v>
      </c>
      <c r="R56" t="s">
        <v>418</v>
      </c>
      <c r="S56" s="2">
        <v>60000</v>
      </c>
      <c r="T56">
        <v>1.34</v>
      </c>
      <c r="U56" s="2">
        <v>80400</v>
      </c>
      <c r="V56">
        <v>0</v>
      </c>
      <c r="W56">
        <v>0</v>
      </c>
      <c r="X56" s="2">
        <v>14472</v>
      </c>
      <c r="Y56">
        <v>0</v>
      </c>
      <c r="Z56">
        <v>0</v>
      </c>
      <c r="AA56" s="2">
        <v>94872</v>
      </c>
      <c r="AB56">
        <v>0</v>
      </c>
      <c r="AC56">
        <v>0</v>
      </c>
      <c r="AD56" s="2">
        <v>94872</v>
      </c>
      <c r="AE56" t="s">
        <v>53</v>
      </c>
    </row>
    <row r="57" spans="1:31" x14ac:dyDescent="0.35">
      <c r="A57">
        <v>55</v>
      </c>
      <c r="B57">
        <v>281870</v>
      </c>
      <c r="C57">
        <v>328013209</v>
      </c>
      <c r="D57" t="s">
        <v>470</v>
      </c>
      <c r="E57" t="s">
        <v>51</v>
      </c>
      <c r="F57" s="1">
        <v>46240</v>
      </c>
      <c r="G57" t="s">
        <v>463</v>
      </c>
      <c r="H57" t="s">
        <v>471</v>
      </c>
      <c r="I57" s="1">
        <v>46129</v>
      </c>
      <c r="J57" t="s">
        <v>138</v>
      </c>
      <c r="K57" t="s">
        <v>1278</v>
      </c>
      <c r="L57" t="s">
        <v>12</v>
      </c>
      <c r="M57" t="s">
        <v>21</v>
      </c>
      <c r="N57" t="s">
        <v>458</v>
      </c>
      <c r="O57" t="s">
        <v>1942</v>
      </c>
      <c r="P57" t="s">
        <v>472</v>
      </c>
      <c r="Q57" t="s">
        <v>52</v>
      </c>
      <c r="R57" t="s">
        <v>422</v>
      </c>
      <c r="S57" s="2">
        <v>498000</v>
      </c>
      <c r="T57">
        <v>0.54</v>
      </c>
      <c r="U57" s="2">
        <v>268920</v>
      </c>
      <c r="V57">
        <v>0</v>
      </c>
      <c r="W57">
        <v>0</v>
      </c>
      <c r="X57" s="2">
        <v>48405.599999999999</v>
      </c>
      <c r="Y57">
        <v>0</v>
      </c>
      <c r="Z57">
        <v>0</v>
      </c>
      <c r="AA57" s="2">
        <v>317325.59999999998</v>
      </c>
      <c r="AB57">
        <v>0</v>
      </c>
      <c r="AC57">
        <v>0</v>
      </c>
      <c r="AD57" s="2">
        <v>317325.59999999998</v>
      </c>
      <c r="AE57" t="s">
        <v>53</v>
      </c>
    </row>
    <row r="58" spans="1:31" x14ac:dyDescent="0.35">
      <c r="A58">
        <v>56</v>
      </c>
      <c r="B58">
        <v>281871</v>
      </c>
      <c r="C58">
        <v>328013210</v>
      </c>
      <c r="D58" t="s">
        <v>473</v>
      </c>
      <c r="E58" t="s">
        <v>51</v>
      </c>
      <c r="F58" s="1">
        <v>46240</v>
      </c>
      <c r="G58" t="s">
        <v>474</v>
      </c>
      <c r="H58">
        <v>62</v>
      </c>
      <c r="I58" s="1">
        <v>46240</v>
      </c>
      <c r="J58" t="s">
        <v>138</v>
      </c>
      <c r="K58" t="s">
        <v>137</v>
      </c>
      <c r="L58" t="s">
        <v>18</v>
      </c>
      <c r="M58" t="s">
        <v>25</v>
      </c>
      <c r="N58" t="s">
        <v>145</v>
      </c>
      <c r="O58" t="s">
        <v>1940</v>
      </c>
      <c r="Q58" t="s">
        <v>57</v>
      </c>
      <c r="R58" t="s">
        <v>436</v>
      </c>
      <c r="S58" s="2">
        <v>1000</v>
      </c>
      <c r="T58">
        <v>12</v>
      </c>
      <c r="U58" s="2">
        <v>12000</v>
      </c>
      <c r="V58">
        <v>0</v>
      </c>
      <c r="W58">
        <v>0</v>
      </c>
      <c r="X58" s="2">
        <v>2197.8000000000002</v>
      </c>
      <c r="Y58">
        <v>210</v>
      </c>
      <c r="Z58">
        <v>37.799999999999997</v>
      </c>
      <c r="AA58" s="2">
        <v>14407.8</v>
      </c>
      <c r="AB58">
        <v>0</v>
      </c>
      <c r="AC58">
        <v>0</v>
      </c>
      <c r="AD58" s="2">
        <v>14407.8</v>
      </c>
      <c r="AE58" t="s">
        <v>55</v>
      </c>
    </row>
    <row r="59" spans="1:31" x14ac:dyDescent="0.35">
      <c r="A59">
        <v>57</v>
      </c>
      <c r="B59">
        <v>281874</v>
      </c>
      <c r="C59">
        <v>328013212</v>
      </c>
      <c r="D59" t="s">
        <v>475</v>
      </c>
      <c r="E59" t="s">
        <v>51</v>
      </c>
      <c r="F59" s="1">
        <v>46240</v>
      </c>
      <c r="G59" t="s">
        <v>463</v>
      </c>
      <c r="H59" t="s">
        <v>464</v>
      </c>
      <c r="I59" s="1">
        <v>46100</v>
      </c>
      <c r="J59" t="s">
        <v>138</v>
      </c>
      <c r="K59" t="s">
        <v>1278</v>
      </c>
      <c r="L59" t="s">
        <v>12</v>
      </c>
      <c r="M59" t="s">
        <v>21</v>
      </c>
      <c r="N59" t="s">
        <v>476</v>
      </c>
      <c r="O59" t="s">
        <v>1932</v>
      </c>
      <c r="P59" t="s">
        <v>477</v>
      </c>
      <c r="Q59" t="s">
        <v>52</v>
      </c>
      <c r="R59" t="s">
        <v>418</v>
      </c>
      <c r="S59" s="2">
        <v>48000</v>
      </c>
      <c r="T59">
        <v>1.25</v>
      </c>
      <c r="U59" s="2">
        <v>60000</v>
      </c>
      <c r="V59">
        <v>0</v>
      </c>
      <c r="W59">
        <v>0</v>
      </c>
      <c r="X59" s="2">
        <v>10800</v>
      </c>
      <c r="Y59">
        <v>0</v>
      </c>
      <c r="Z59">
        <v>0</v>
      </c>
      <c r="AA59" s="2">
        <v>70800</v>
      </c>
      <c r="AB59">
        <v>0</v>
      </c>
      <c r="AC59">
        <v>0</v>
      </c>
      <c r="AD59" s="2">
        <v>70800</v>
      </c>
      <c r="AE59" t="s">
        <v>53</v>
      </c>
    </row>
    <row r="60" spans="1:31" x14ac:dyDescent="0.35">
      <c r="A60">
        <v>58</v>
      </c>
      <c r="B60">
        <v>281876</v>
      </c>
      <c r="C60">
        <v>328013214</v>
      </c>
      <c r="D60" t="s">
        <v>478</v>
      </c>
      <c r="E60" t="s">
        <v>51</v>
      </c>
      <c r="F60" s="1">
        <v>46240</v>
      </c>
      <c r="G60" t="s">
        <v>463</v>
      </c>
      <c r="H60" t="s">
        <v>467</v>
      </c>
      <c r="I60" s="1">
        <v>46161</v>
      </c>
      <c r="J60" t="s">
        <v>138</v>
      </c>
      <c r="K60" t="s">
        <v>1278</v>
      </c>
      <c r="L60" t="s">
        <v>12</v>
      </c>
      <c r="M60" t="s">
        <v>21</v>
      </c>
      <c r="N60" t="s">
        <v>479</v>
      </c>
      <c r="O60" t="s">
        <v>1932</v>
      </c>
      <c r="P60" t="s">
        <v>480</v>
      </c>
      <c r="Q60" t="s">
        <v>52</v>
      </c>
      <c r="R60" t="s">
        <v>418</v>
      </c>
      <c r="S60" s="2">
        <v>120000</v>
      </c>
      <c r="T60">
        <v>1.34</v>
      </c>
      <c r="U60" s="2">
        <v>160800</v>
      </c>
      <c r="V60">
        <v>0</v>
      </c>
      <c r="W60">
        <v>0</v>
      </c>
      <c r="X60" s="2">
        <v>28944</v>
      </c>
      <c r="Y60">
        <v>0</v>
      </c>
      <c r="Z60">
        <v>0</v>
      </c>
      <c r="AA60" s="2">
        <v>189744</v>
      </c>
      <c r="AB60">
        <v>0</v>
      </c>
      <c r="AC60">
        <v>0</v>
      </c>
      <c r="AD60" s="2">
        <v>189744</v>
      </c>
      <c r="AE60" t="s">
        <v>53</v>
      </c>
    </row>
    <row r="61" spans="1:31" x14ac:dyDescent="0.35">
      <c r="A61">
        <v>59</v>
      </c>
      <c r="B61">
        <v>281876</v>
      </c>
      <c r="C61">
        <v>328013214</v>
      </c>
      <c r="D61" t="s">
        <v>478</v>
      </c>
      <c r="E61" t="s">
        <v>51</v>
      </c>
      <c r="F61" s="1">
        <v>46240</v>
      </c>
      <c r="G61" t="s">
        <v>463</v>
      </c>
      <c r="H61" t="s">
        <v>467</v>
      </c>
      <c r="I61" s="1">
        <v>46161</v>
      </c>
      <c r="J61" t="s">
        <v>138</v>
      </c>
      <c r="K61" t="s">
        <v>1278</v>
      </c>
      <c r="L61" t="s">
        <v>12</v>
      </c>
      <c r="M61" t="s">
        <v>21</v>
      </c>
      <c r="N61" t="s">
        <v>481</v>
      </c>
      <c r="O61" t="s">
        <v>1932</v>
      </c>
      <c r="P61" t="s">
        <v>482</v>
      </c>
      <c r="Q61" t="s">
        <v>52</v>
      </c>
      <c r="R61" t="s">
        <v>418</v>
      </c>
      <c r="S61" s="2">
        <v>51000</v>
      </c>
      <c r="T61">
        <v>1.34</v>
      </c>
      <c r="U61" s="2">
        <v>68340</v>
      </c>
      <c r="V61">
        <v>0</v>
      </c>
      <c r="W61">
        <v>0</v>
      </c>
      <c r="X61" s="2">
        <v>12301.2</v>
      </c>
      <c r="Y61">
        <v>0</v>
      </c>
      <c r="Z61">
        <v>0</v>
      </c>
      <c r="AA61" s="2">
        <v>80641.2</v>
      </c>
      <c r="AB61">
        <v>0</v>
      </c>
      <c r="AC61">
        <v>0</v>
      </c>
      <c r="AD61" s="2">
        <v>80641.2</v>
      </c>
      <c r="AE61" t="s">
        <v>53</v>
      </c>
    </row>
    <row r="62" spans="1:31" x14ac:dyDescent="0.35">
      <c r="A62">
        <v>60</v>
      </c>
      <c r="B62">
        <v>281881</v>
      </c>
      <c r="C62">
        <v>328013217</v>
      </c>
      <c r="D62" t="s">
        <v>483</v>
      </c>
      <c r="E62" t="s">
        <v>51</v>
      </c>
      <c r="F62" s="1">
        <v>46240</v>
      </c>
      <c r="G62" t="s">
        <v>463</v>
      </c>
      <c r="H62" t="s">
        <v>471</v>
      </c>
      <c r="I62" s="1">
        <v>46129</v>
      </c>
      <c r="J62" t="s">
        <v>138</v>
      </c>
      <c r="K62" t="s">
        <v>1278</v>
      </c>
      <c r="L62" t="s">
        <v>12</v>
      </c>
      <c r="M62" t="s">
        <v>21</v>
      </c>
      <c r="N62" t="s">
        <v>486</v>
      </c>
      <c r="O62" t="s">
        <v>1936</v>
      </c>
      <c r="P62" t="s">
        <v>487</v>
      </c>
      <c r="Q62" t="s">
        <v>52</v>
      </c>
      <c r="R62" t="s">
        <v>488</v>
      </c>
      <c r="S62" s="2">
        <v>40000</v>
      </c>
      <c r="T62">
        <v>4.63</v>
      </c>
      <c r="U62" s="2">
        <v>185200</v>
      </c>
      <c r="V62">
        <v>0</v>
      </c>
      <c r="W62">
        <v>0</v>
      </c>
      <c r="X62" s="2">
        <v>33336</v>
      </c>
      <c r="Y62">
        <v>0</v>
      </c>
      <c r="Z62">
        <v>0</v>
      </c>
      <c r="AA62" s="2">
        <v>218536</v>
      </c>
      <c r="AB62">
        <v>0</v>
      </c>
      <c r="AC62">
        <v>0</v>
      </c>
      <c r="AD62" s="2">
        <v>218536</v>
      </c>
      <c r="AE62" t="s">
        <v>53</v>
      </c>
    </row>
    <row r="63" spans="1:31" x14ac:dyDescent="0.35">
      <c r="A63">
        <v>61</v>
      </c>
      <c r="B63">
        <v>281881</v>
      </c>
      <c r="C63">
        <v>328013217</v>
      </c>
      <c r="D63" t="s">
        <v>483</v>
      </c>
      <c r="E63" t="s">
        <v>51</v>
      </c>
      <c r="F63" s="1">
        <v>46240</v>
      </c>
      <c r="G63" t="s">
        <v>463</v>
      </c>
      <c r="H63" t="s">
        <v>471</v>
      </c>
      <c r="I63" s="1">
        <v>46129</v>
      </c>
      <c r="J63" t="s">
        <v>138</v>
      </c>
      <c r="K63" t="s">
        <v>1278</v>
      </c>
      <c r="L63" t="s">
        <v>12</v>
      </c>
      <c r="M63" t="s">
        <v>21</v>
      </c>
      <c r="N63" t="s">
        <v>489</v>
      </c>
      <c r="O63" t="s">
        <v>1932</v>
      </c>
      <c r="P63" t="s">
        <v>490</v>
      </c>
      <c r="Q63" t="s">
        <v>52</v>
      </c>
      <c r="R63" t="s">
        <v>418</v>
      </c>
      <c r="S63" s="2">
        <v>9000</v>
      </c>
      <c r="T63">
        <v>1.1499999999999999</v>
      </c>
      <c r="U63" s="2">
        <v>10350</v>
      </c>
      <c r="V63">
        <v>0</v>
      </c>
      <c r="W63">
        <v>0</v>
      </c>
      <c r="X63" s="2">
        <v>1863</v>
      </c>
      <c r="Y63">
        <v>0</v>
      </c>
      <c r="Z63">
        <v>0</v>
      </c>
      <c r="AA63" s="2">
        <v>12213</v>
      </c>
      <c r="AB63">
        <v>0</v>
      </c>
      <c r="AC63">
        <v>0</v>
      </c>
      <c r="AD63" s="2">
        <v>12213</v>
      </c>
      <c r="AE63" t="s">
        <v>53</v>
      </c>
    </row>
    <row r="64" spans="1:31" x14ac:dyDescent="0.35">
      <c r="A64">
        <v>62</v>
      </c>
      <c r="B64">
        <v>281881</v>
      </c>
      <c r="C64">
        <v>328013217</v>
      </c>
      <c r="D64" t="s">
        <v>483</v>
      </c>
      <c r="E64" t="s">
        <v>51</v>
      </c>
      <c r="F64" s="1">
        <v>46240</v>
      </c>
      <c r="G64" t="s">
        <v>463</v>
      </c>
      <c r="H64" t="s">
        <v>471</v>
      </c>
      <c r="I64" s="1">
        <v>46129</v>
      </c>
      <c r="J64" t="s">
        <v>138</v>
      </c>
      <c r="K64" t="s">
        <v>1278</v>
      </c>
      <c r="L64" t="s">
        <v>12</v>
      </c>
      <c r="M64" t="s">
        <v>21</v>
      </c>
      <c r="N64" t="s">
        <v>491</v>
      </c>
      <c r="O64" t="s">
        <v>1932</v>
      </c>
      <c r="P64" t="s">
        <v>492</v>
      </c>
      <c r="Q64" t="s">
        <v>52</v>
      </c>
      <c r="R64" t="s">
        <v>418</v>
      </c>
      <c r="S64" s="2">
        <v>21000</v>
      </c>
      <c r="T64">
        <v>2.14</v>
      </c>
      <c r="U64" s="2">
        <v>44940</v>
      </c>
      <c r="V64">
        <v>0</v>
      </c>
      <c r="W64">
        <v>0</v>
      </c>
      <c r="X64" s="2">
        <v>8089.2</v>
      </c>
      <c r="Y64">
        <v>0</v>
      </c>
      <c r="Z64">
        <v>0</v>
      </c>
      <c r="AA64" s="2">
        <v>53029.2</v>
      </c>
      <c r="AB64">
        <v>0</v>
      </c>
      <c r="AC64">
        <v>0</v>
      </c>
      <c r="AD64" s="2">
        <v>53029.2</v>
      </c>
      <c r="AE64" t="s">
        <v>53</v>
      </c>
    </row>
    <row r="65" spans="1:31" x14ac:dyDescent="0.35">
      <c r="A65">
        <v>63</v>
      </c>
      <c r="B65">
        <v>281881</v>
      </c>
      <c r="C65">
        <v>328013217</v>
      </c>
      <c r="D65" t="s">
        <v>483</v>
      </c>
      <c r="E65" t="s">
        <v>51</v>
      </c>
      <c r="F65" s="1">
        <v>46240</v>
      </c>
      <c r="G65" t="s">
        <v>463</v>
      </c>
      <c r="H65" t="s">
        <v>471</v>
      </c>
      <c r="I65" s="1">
        <v>46129</v>
      </c>
      <c r="J65" t="s">
        <v>138</v>
      </c>
      <c r="K65" t="s">
        <v>1278</v>
      </c>
      <c r="L65" t="s">
        <v>12</v>
      </c>
      <c r="M65" t="s">
        <v>21</v>
      </c>
      <c r="N65" t="s">
        <v>458</v>
      </c>
      <c r="O65" t="s">
        <v>1942</v>
      </c>
      <c r="P65" t="s">
        <v>472</v>
      </c>
      <c r="Q65" t="s">
        <v>52</v>
      </c>
      <c r="R65" t="s">
        <v>422</v>
      </c>
      <c r="S65" s="2">
        <v>30000</v>
      </c>
      <c r="T65">
        <v>0.54</v>
      </c>
      <c r="U65" s="2">
        <v>16200</v>
      </c>
      <c r="V65">
        <v>0</v>
      </c>
      <c r="W65">
        <v>0</v>
      </c>
      <c r="X65" s="2">
        <v>2916</v>
      </c>
      <c r="Y65">
        <v>0</v>
      </c>
      <c r="Z65">
        <v>0</v>
      </c>
      <c r="AA65" s="2">
        <v>19116</v>
      </c>
      <c r="AB65">
        <v>0</v>
      </c>
      <c r="AC65">
        <v>0</v>
      </c>
      <c r="AD65" s="2">
        <v>19116</v>
      </c>
      <c r="AE65" t="s">
        <v>53</v>
      </c>
    </row>
    <row r="66" spans="1:31" x14ac:dyDescent="0.35">
      <c r="A66">
        <v>64</v>
      </c>
      <c r="B66">
        <v>281881</v>
      </c>
      <c r="C66">
        <v>328013217</v>
      </c>
      <c r="D66" t="s">
        <v>483</v>
      </c>
      <c r="E66" t="s">
        <v>51</v>
      </c>
      <c r="F66" s="1">
        <v>46240</v>
      </c>
      <c r="G66" t="s">
        <v>463</v>
      </c>
      <c r="H66" t="s">
        <v>471</v>
      </c>
      <c r="I66" s="1">
        <v>46129</v>
      </c>
      <c r="J66" t="s">
        <v>138</v>
      </c>
      <c r="K66" t="s">
        <v>1278</v>
      </c>
      <c r="L66" t="s">
        <v>12</v>
      </c>
      <c r="M66" t="s">
        <v>21</v>
      </c>
      <c r="N66" t="s">
        <v>484</v>
      </c>
      <c r="O66" t="s">
        <v>1932</v>
      </c>
      <c r="P66" t="s">
        <v>485</v>
      </c>
      <c r="Q66" t="s">
        <v>52</v>
      </c>
      <c r="R66" t="s">
        <v>418</v>
      </c>
      <c r="S66" s="2">
        <v>84000</v>
      </c>
      <c r="T66">
        <v>1.34</v>
      </c>
      <c r="U66" s="2">
        <v>112560</v>
      </c>
      <c r="V66">
        <v>0</v>
      </c>
      <c r="W66">
        <v>0</v>
      </c>
      <c r="X66" s="2">
        <v>20260.8</v>
      </c>
      <c r="Y66">
        <v>0</v>
      </c>
      <c r="Z66">
        <v>0</v>
      </c>
      <c r="AA66" s="2">
        <v>132820.79999999999</v>
      </c>
      <c r="AB66">
        <v>0</v>
      </c>
      <c r="AC66">
        <v>0</v>
      </c>
      <c r="AD66" s="2">
        <v>132820.79999999999</v>
      </c>
      <c r="AE66" t="s">
        <v>53</v>
      </c>
    </row>
    <row r="67" spans="1:31" x14ac:dyDescent="0.35">
      <c r="A67">
        <v>65</v>
      </c>
      <c r="B67">
        <v>281881</v>
      </c>
      <c r="C67">
        <v>328013217</v>
      </c>
      <c r="D67" t="s">
        <v>483</v>
      </c>
      <c r="E67" t="s">
        <v>51</v>
      </c>
      <c r="F67" s="1">
        <v>46240</v>
      </c>
      <c r="G67" t="s">
        <v>463</v>
      </c>
      <c r="H67" t="s">
        <v>471</v>
      </c>
      <c r="I67" s="1">
        <v>46129</v>
      </c>
      <c r="J67" t="s">
        <v>138</v>
      </c>
      <c r="K67" t="s">
        <v>1278</v>
      </c>
      <c r="L67" t="s">
        <v>12</v>
      </c>
      <c r="M67" t="s">
        <v>21</v>
      </c>
      <c r="N67" t="s">
        <v>493</v>
      </c>
      <c r="O67" t="s">
        <v>1932</v>
      </c>
      <c r="P67" t="s">
        <v>494</v>
      </c>
      <c r="Q67" t="s">
        <v>52</v>
      </c>
      <c r="R67" t="s">
        <v>418</v>
      </c>
      <c r="S67" s="2">
        <v>10000</v>
      </c>
      <c r="T67">
        <v>2.12</v>
      </c>
      <c r="U67" s="2">
        <v>21200</v>
      </c>
      <c r="V67">
        <v>0</v>
      </c>
      <c r="W67">
        <v>0</v>
      </c>
      <c r="X67" s="2">
        <v>3816</v>
      </c>
      <c r="Y67">
        <v>0</v>
      </c>
      <c r="Z67">
        <v>0</v>
      </c>
      <c r="AA67" s="2">
        <v>25016</v>
      </c>
      <c r="AB67">
        <v>0</v>
      </c>
      <c r="AC67">
        <v>0</v>
      </c>
      <c r="AD67" s="2">
        <v>25016</v>
      </c>
      <c r="AE67" t="s">
        <v>53</v>
      </c>
    </row>
    <row r="68" spans="1:31" x14ac:dyDescent="0.35">
      <c r="A68">
        <v>66</v>
      </c>
      <c r="B68">
        <v>281881</v>
      </c>
      <c r="C68">
        <v>328013217</v>
      </c>
      <c r="D68" t="s">
        <v>483</v>
      </c>
      <c r="E68" t="s">
        <v>51</v>
      </c>
      <c r="F68" s="1">
        <v>46240</v>
      </c>
      <c r="G68" t="s">
        <v>463</v>
      </c>
      <c r="H68" t="s">
        <v>471</v>
      </c>
      <c r="I68" s="1">
        <v>46129</v>
      </c>
      <c r="J68" t="s">
        <v>138</v>
      </c>
      <c r="K68" t="s">
        <v>1278</v>
      </c>
      <c r="L68" t="s">
        <v>12</v>
      </c>
      <c r="M68" t="s">
        <v>21</v>
      </c>
      <c r="N68" t="s">
        <v>468</v>
      </c>
      <c r="O68" t="s">
        <v>1932</v>
      </c>
      <c r="P68" t="s">
        <v>469</v>
      </c>
      <c r="Q68" t="s">
        <v>52</v>
      </c>
      <c r="R68" t="s">
        <v>418</v>
      </c>
      <c r="S68" s="2">
        <v>99000</v>
      </c>
      <c r="T68">
        <v>1.34</v>
      </c>
      <c r="U68" s="2">
        <v>132660</v>
      </c>
      <c r="V68">
        <v>0</v>
      </c>
      <c r="W68">
        <v>0</v>
      </c>
      <c r="X68" s="2">
        <v>23878.799999999999</v>
      </c>
      <c r="Y68">
        <v>0</v>
      </c>
      <c r="Z68">
        <v>0</v>
      </c>
      <c r="AA68" s="2">
        <v>156538.79999999999</v>
      </c>
      <c r="AB68">
        <v>0</v>
      </c>
      <c r="AC68">
        <v>0</v>
      </c>
      <c r="AD68" s="2">
        <v>156538.79999999999</v>
      </c>
      <c r="AE68" t="s">
        <v>53</v>
      </c>
    </row>
    <row r="69" spans="1:31" x14ac:dyDescent="0.35">
      <c r="A69">
        <v>67</v>
      </c>
      <c r="B69">
        <v>281882</v>
      </c>
      <c r="C69">
        <v>328013218</v>
      </c>
      <c r="D69" t="s">
        <v>495</v>
      </c>
      <c r="E69" t="s">
        <v>51</v>
      </c>
      <c r="F69" s="1">
        <v>46240</v>
      </c>
      <c r="G69" t="s">
        <v>463</v>
      </c>
      <c r="H69" t="s">
        <v>496</v>
      </c>
      <c r="I69" s="1">
        <v>46085</v>
      </c>
      <c r="J69" t="s">
        <v>138</v>
      </c>
      <c r="K69" t="s">
        <v>1278</v>
      </c>
      <c r="L69" t="s">
        <v>12</v>
      </c>
      <c r="M69" t="s">
        <v>21</v>
      </c>
      <c r="N69" t="s">
        <v>497</v>
      </c>
      <c r="O69" t="s">
        <v>1942</v>
      </c>
      <c r="P69" t="s">
        <v>498</v>
      </c>
      <c r="Q69" t="s">
        <v>52</v>
      </c>
      <c r="R69" t="s">
        <v>422</v>
      </c>
      <c r="S69" s="2">
        <v>300000</v>
      </c>
      <c r="T69">
        <v>2.0499999999999998</v>
      </c>
      <c r="U69" s="2">
        <v>615000</v>
      </c>
      <c r="V69">
        <v>0</v>
      </c>
      <c r="W69">
        <v>0</v>
      </c>
      <c r="X69" s="2">
        <v>110700</v>
      </c>
      <c r="Y69">
        <v>0</v>
      </c>
      <c r="Z69">
        <v>0</v>
      </c>
      <c r="AA69" s="2">
        <v>725700</v>
      </c>
      <c r="AB69">
        <v>0</v>
      </c>
      <c r="AC69">
        <v>0</v>
      </c>
      <c r="AD69" s="2">
        <v>725700</v>
      </c>
      <c r="AE69" t="s">
        <v>53</v>
      </c>
    </row>
    <row r="70" spans="1:31" x14ac:dyDescent="0.35">
      <c r="A70">
        <v>68</v>
      </c>
      <c r="B70">
        <v>281917</v>
      </c>
      <c r="C70">
        <v>328013248</v>
      </c>
      <c r="D70" t="s">
        <v>499</v>
      </c>
      <c r="E70" t="s">
        <v>51</v>
      </c>
      <c r="F70" s="1">
        <v>46240</v>
      </c>
      <c r="G70" t="s">
        <v>500</v>
      </c>
      <c r="H70">
        <v>4501083070</v>
      </c>
      <c r="I70" s="1">
        <v>46181</v>
      </c>
      <c r="J70" t="s">
        <v>138</v>
      </c>
      <c r="K70" t="s">
        <v>137</v>
      </c>
      <c r="L70" t="s">
        <v>18</v>
      </c>
      <c r="M70" t="s">
        <v>21</v>
      </c>
      <c r="N70" t="s">
        <v>501</v>
      </c>
      <c r="O70" t="s">
        <v>1936</v>
      </c>
      <c r="P70" t="s">
        <v>502</v>
      </c>
      <c r="Q70" t="s">
        <v>52</v>
      </c>
      <c r="R70" t="s">
        <v>416</v>
      </c>
      <c r="S70" s="2">
        <v>3000</v>
      </c>
      <c r="T70">
        <v>5.4</v>
      </c>
      <c r="U70" s="2">
        <v>16200</v>
      </c>
      <c r="V70">
        <v>0</v>
      </c>
      <c r="W70">
        <v>0</v>
      </c>
      <c r="X70" s="2">
        <v>2916</v>
      </c>
      <c r="Y70">
        <v>0</v>
      </c>
      <c r="Z70">
        <v>0</v>
      </c>
      <c r="AA70" s="2">
        <v>19116</v>
      </c>
      <c r="AB70">
        <v>0</v>
      </c>
      <c r="AC70">
        <v>0</v>
      </c>
      <c r="AD70" s="2">
        <v>19116</v>
      </c>
      <c r="AE70" t="s">
        <v>53</v>
      </c>
    </row>
    <row r="71" spans="1:31" x14ac:dyDescent="0.35">
      <c r="A71">
        <v>69</v>
      </c>
      <c r="B71">
        <v>281918</v>
      </c>
      <c r="C71">
        <v>328013249</v>
      </c>
      <c r="D71" t="s">
        <v>503</v>
      </c>
      <c r="E71" t="s">
        <v>51</v>
      </c>
      <c r="F71" s="1">
        <v>46240</v>
      </c>
      <c r="G71" t="s">
        <v>500</v>
      </c>
      <c r="H71">
        <v>4501083206</v>
      </c>
      <c r="I71" s="1">
        <v>46182</v>
      </c>
      <c r="J71" t="s">
        <v>138</v>
      </c>
      <c r="K71" t="s">
        <v>137</v>
      </c>
      <c r="L71" t="s">
        <v>18</v>
      </c>
      <c r="M71" t="s">
        <v>21</v>
      </c>
      <c r="N71" t="s">
        <v>501</v>
      </c>
      <c r="O71" t="s">
        <v>1936</v>
      </c>
      <c r="P71" t="s">
        <v>502</v>
      </c>
      <c r="Q71" t="s">
        <v>52</v>
      </c>
      <c r="R71" t="s">
        <v>416</v>
      </c>
      <c r="S71" s="2">
        <v>18000</v>
      </c>
      <c r="T71">
        <v>5.4</v>
      </c>
      <c r="U71" s="2">
        <v>97200</v>
      </c>
      <c r="V71">
        <v>0</v>
      </c>
      <c r="W71">
        <v>0</v>
      </c>
      <c r="X71" s="2">
        <v>17496</v>
      </c>
      <c r="Y71">
        <v>0</v>
      </c>
      <c r="Z71">
        <v>0</v>
      </c>
      <c r="AA71" s="2">
        <v>114696</v>
      </c>
      <c r="AB71">
        <v>0</v>
      </c>
      <c r="AC71">
        <v>0</v>
      </c>
      <c r="AD71" s="2">
        <v>114696</v>
      </c>
      <c r="AE71" t="s">
        <v>53</v>
      </c>
    </row>
    <row r="72" spans="1:31" x14ac:dyDescent="0.35">
      <c r="A72">
        <v>70</v>
      </c>
      <c r="B72">
        <v>281922</v>
      </c>
      <c r="C72">
        <v>328013252</v>
      </c>
      <c r="D72" t="s">
        <v>504</v>
      </c>
      <c r="E72" t="s">
        <v>51</v>
      </c>
      <c r="F72" s="1">
        <v>46240</v>
      </c>
      <c r="G72" t="s">
        <v>500</v>
      </c>
      <c r="H72">
        <v>4501079853</v>
      </c>
      <c r="I72" s="1">
        <v>46170</v>
      </c>
      <c r="J72" t="s">
        <v>138</v>
      </c>
      <c r="K72" t="s">
        <v>137</v>
      </c>
      <c r="L72" t="s">
        <v>18</v>
      </c>
      <c r="M72" t="s">
        <v>21</v>
      </c>
      <c r="N72" t="s">
        <v>505</v>
      </c>
      <c r="O72" t="s">
        <v>1936</v>
      </c>
      <c r="P72" t="s">
        <v>506</v>
      </c>
      <c r="Q72" t="s">
        <v>52</v>
      </c>
      <c r="R72" t="s">
        <v>488</v>
      </c>
      <c r="S72" s="2">
        <v>39000</v>
      </c>
      <c r="T72">
        <v>4.58</v>
      </c>
      <c r="U72" s="2">
        <v>178620</v>
      </c>
      <c r="V72">
        <v>0</v>
      </c>
      <c r="W72">
        <v>0</v>
      </c>
      <c r="X72" s="2">
        <v>32151.599999999999</v>
      </c>
      <c r="Y72">
        <v>0</v>
      </c>
      <c r="Z72">
        <v>0</v>
      </c>
      <c r="AA72" s="2">
        <v>210771.6</v>
      </c>
      <c r="AB72">
        <v>0</v>
      </c>
      <c r="AC72">
        <v>0</v>
      </c>
      <c r="AD72" s="2">
        <v>210771.6</v>
      </c>
      <c r="AE72" t="s">
        <v>53</v>
      </c>
    </row>
    <row r="73" spans="1:31" x14ac:dyDescent="0.35">
      <c r="A73">
        <v>71</v>
      </c>
      <c r="B73">
        <v>281926</v>
      </c>
      <c r="C73">
        <v>328013256</v>
      </c>
      <c r="D73" t="s">
        <v>507</v>
      </c>
      <c r="E73" t="s">
        <v>51</v>
      </c>
      <c r="F73" s="1">
        <v>46240</v>
      </c>
      <c r="G73" t="s">
        <v>87</v>
      </c>
      <c r="H73">
        <v>4501064918</v>
      </c>
      <c r="I73" s="1">
        <v>46094</v>
      </c>
      <c r="J73" t="s">
        <v>138</v>
      </c>
      <c r="K73" t="s">
        <v>137</v>
      </c>
      <c r="L73" t="s">
        <v>18</v>
      </c>
      <c r="M73" t="s">
        <v>21</v>
      </c>
      <c r="N73" t="s">
        <v>501</v>
      </c>
      <c r="O73" t="s">
        <v>1936</v>
      </c>
      <c r="P73" t="s">
        <v>502</v>
      </c>
      <c r="Q73" t="s">
        <v>52</v>
      </c>
      <c r="R73" t="s">
        <v>416</v>
      </c>
      <c r="S73" s="2">
        <v>18000</v>
      </c>
      <c r="T73">
        <v>5.4</v>
      </c>
      <c r="U73" s="2">
        <v>97200</v>
      </c>
      <c r="V73">
        <v>0</v>
      </c>
      <c r="W73">
        <v>0</v>
      </c>
      <c r="X73" s="2">
        <v>17496</v>
      </c>
      <c r="Y73">
        <v>0</v>
      </c>
      <c r="Z73">
        <v>0</v>
      </c>
      <c r="AA73" s="2">
        <v>114696</v>
      </c>
      <c r="AB73">
        <v>0</v>
      </c>
      <c r="AC73">
        <v>0</v>
      </c>
      <c r="AD73" s="2">
        <v>114696</v>
      </c>
      <c r="AE73" t="s">
        <v>53</v>
      </c>
    </row>
    <row r="74" spans="1:31" x14ac:dyDescent="0.35">
      <c r="A74">
        <v>72</v>
      </c>
      <c r="B74">
        <v>281926</v>
      </c>
      <c r="C74">
        <v>328013256</v>
      </c>
      <c r="D74" t="s">
        <v>507</v>
      </c>
      <c r="E74" t="s">
        <v>51</v>
      </c>
      <c r="F74" s="1">
        <v>46240</v>
      </c>
      <c r="G74" t="s">
        <v>87</v>
      </c>
      <c r="H74">
        <v>4501064918</v>
      </c>
      <c r="I74" s="1">
        <v>46094</v>
      </c>
      <c r="J74" t="s">
        <v>138</v>
      </c>
      <c r="K74" t="s">
        <v>137</v>
      </c>
      <c r="L74" t="s">
        <v>18</v>
      </c>
      <c r="M74" t="s">
        <v>21</v>
      </c>
      <c r="N74" t="s">
        <v>501</v>
      </c>
      <c r="O74" t="s">
        <v>1936</v>
      </c>
      <c r="P74" t="s">
        <v>502</v>
      </c>
      <c r="Q74" t="s">
        <v>52</v>
      </c>
      <c r="R74" t="s">
        <v>416</v>
      </c>
      <c r="S74" s="2">
        <v>45000</v>
      </c>
      <c r="T74">
        <v>5.4</v>
      </c>
      <c r="U74" s="2">
        <v>243000</v>
      </c>
      <c r="V74">
        <v>0</v>
      </c>
      <c r="W74">
        <v>0</v>
      </c>
      <c r="X74" s="2">
        <v>43740</v>
      </c>
      <c r="Y74">
        <v>0</v>
      </c>
      <c r="Z74">
        <v>0</v>
      </c>
      <c r="AA74" s="2">
        <v>286740</v>
      </c>
      <c r="AB74">
        <v>0</v>
      </c>
      <c r="AC74">
        <v>0</v>
      </c>
      <c r="AD74" s="2">
        <v>286740</v>
      </c>
      <c r="AE74" t="s">
        <v>53</v>
      </c>
    </row>
    <row r="75" spans="1:31" x14ac:dyDescent="0.35">
      <c r="A75">
        <v>73</v>
      </c>
      <c r="B75">
        <v>281930</v>
      </c>
      <c r="C75">
        <v>328013260</v>
      </c>
      <c r="D75" t="s">
        <v>508</v>
      </c>
      <c r="E75" t="s">
        <v>51</v>
      </c>
      <c r="F75" s="1">
        <v>46240</v>
      </c>
      <c r="G75" t="s">
        <v>87</v>
      </c>
      <c r="H75">
        <v>4501084816</v>
      </c>
      <c r="I75" s="1">
        <v>46195</v>
      </c>
      <c r="J75" t="s">
        <v>138</v>
      </c>
      <c r="K75" t="s">
        <v>137</v>
      </c>
      <c r="L75" t="s">
        <v>18</v>
      </c>
      <c r="M75" t="s">
        <v>21</v>
      </c>
      <c r="N75" t="s">
        <v>509</v>
      </c>
      <c r="O75" t="s">
        <v>1942</v>
      </c>
      <c r="P75" t="s">
        <v>510</v>
      </c>
      <c r="Q75" t="s">
        <v>52</v>
      </c>
      <c r="R75" t="s">
        <v>422</v>
      </c>
      <c r="S75" s="2">
        <v>10000</v>
      </c>
      <c r="T75">
        <v>1.9</v>
      </c>
      <c r="U75" s="2">
        <v>19000</v>
      </c>
      <c r="V75">
        <v>0</v>
      </c>
      <c r="W75">
        <v>0</v>
      </c>
      <c r="X75" s="2">
        <v>3420</v>
      </c>
      <c r="Y75">
        <v>0</v>
      </c>
      <c r="Z75">
        <v>0</v>
      </c>
      <c r="AA75" s="2">
        <v>22420</v>
      </c>
      <c r="AB75">
        <v>0</v>
      </c>
      <c r="AC75">
        <v>0</v>
      </c>
      <c r="AD75" s="2">
        <v>22420</v>
      </c>
      <c r="AE75" t="s">
        <v>53</v>
      </c>
    </row>
    <row r="76" spans="1:31" x14ac:dyDescent="0.35">
      <c r="A76">
        <v>74</v>
      </c>
      <c r="B76">
        <v>281944</v>
      </c>
      <c r="C76">
        <v>328013272</v>
      </c>
      <c r="D76" t="s">
        <v>511</v>
      </c>
      <c r="E76" t="s">
        <v>51</v>
      </c>
      <c r="F76" s="1">
        <v>46240</v>
      </c>
      <c r="G76" t="s">
        <v>87</v>
      </c>
      <c r="H76">
        <v>4501079050</v>
      </c>
      <c r="I76" s="1">
        <v>46165</v>
      </c>
      <c r="J76" t="s">
        <v>138</v>
      </c>
      <c r="K76" t="s">
        <v>137</v>
      </c>
      <c r="L76" t="s">
        <v>18</v>
      </c>
      <c r="M76" t="s">
        <v>21</v>
      </c>
      <c r="N76" t="s">
        <v>512</v>
      </c>
      <c r="O76" t="s">
        <v>1942</v>
      </c>
      <c r="P76" t="s">
        <v>513</v>
      </c>
      <c r="Q76" t="s">
        <v>52</v>
      </c>
      <c r="R76" t="s">
        <v>418</v>
      </c>
      <c r="S76" s="2">
        <v>81000</v>
      </c>
      <c r="T76">
        <v>0.64</v>
      </c>
      <c r="U76" s="2">
        <v>51840</v>
      </c>
      <c r="V76">
        <v>0</v>
      </c>
      <c r="W76">
        <v>0</v>
      </c>
      <c r="X76" s="2">
        <v>9331.2000000000007</v>
      </c>
      <c r="Y76">
        <v>0</v>
      </c>
      <c r="Z76">
        <v>0</v>
      </c>
      <c r="AA76" s="2">
        <v>61171.199999999997</v>
      </c>
      <c r="AB76">
        <v>0</v>
      </c>
      <c r="AC76">
        <v>0</v>
      </c>
      <c r="AD76" s="2">
        <v>61171.199999999997</v>
      </c>
      <c r="AE76" t="s">
        <v>53</v>
      </c>
    </row>
    <row r="77" spans="1:31" x14ac:dyDescent="0.35">
      <c r="A77">
        <v>75</v>
      </c>
      <c r="B77">
        <v>281945</v>
      </c>
      <c r="C77">
        <v>328013273</v>
      </c>
      <c r="D77" t="s">
        <v>514</v>
      </c>
      <c r="E77" t="s">
        <v>51</v>
      </c>
      <c r="F77" s="1">
        <v>46240</v>
      </c>
      <c r="G77" t="s">
        <v>87</v>
      </c>
      <c r="H77">
        <v>4501084794</v>
      </c>
      <c r="I77" s="1">
        <v>46193</v>
      </c>
      <c r="J77" t="s">
        <v>138</v>
      </c>
      <c r="K77" t="s">
        <v>137</v>
      </c>
      <c r="L77" t="s">
        <v>18</v>
      </c>
      <c r="M77" t="s">
        <v>21</v>
      </c>
      <c r="N77" t="s">
        <v>512</v>
      </c>
      <c r="O77" t="s">
        <v>1942</v>
      </c>
      <c r="P77" t="s">
        <v>515</v>
      </c>
      <c r="Q77" t="s">
        <v>52</v>
      </c>
      <c r="R77" t="s">
        <v>418</v>
      </c>
      <c r="S77" s="2">
        <v>108000</v>
      </c>
      <c r="T77">
        <v>0.65</v>
      </c>
      <c r="U77" s="2">
        <v>70200</v>
      </c>
      <c r="V77">
        <v>0</v>
      </c>
      <c r="W77">
        <v>0</v>
      </c>
      <c r="X77" s="2">
        <v>12636</v>
      </c>
      <c r="Y77">
        <v>0</v>
      </c>
      <c r="Z77">
        <v>0</v>
      </c>
      <c r="AA77" s="2">
        <v>82836</v>
      </c>
      <c r="AB77">
        <v>0</v>
      </c>
      <c r="AC77">
        <v>0</v>
      </c>
      <c r="AD77" s="2">
        <v>82836</v>
      </c>
      <c r="AE77" t="s">
        <v>53</v>
      </c>
    </row>
    <row r="78" spans="1:31" x14ac:dyDescent="0.35">
      <c r="A78">
        <v>76</v>
      </c>
      <c r="B78">
        <v>281952</v>
      </c>
      <c r="C78">
        <v>328013279</v>
      </c>
      <c r="D78" t="s">
        <v>516</v>
      </c>
      <c r="E78" t="s">
        <v>51</v>
      </c>
      <c r="F78" s="1">
        <v>46240</v>
      </c>
      <c r="G78" t="s">
        <v>517</v>
      </c>
      <c r="H78" t="s">
        <v>518</v>
      </c>
      <c r="I78" s="1">
        <v>46238</v>
      </c>
      <c r="J78" t="s">
        <v>138</v>
      </c>
      <c r="K78" t="s">
        <v>137</v>
      </c>
      <c r="L78" t="s">
        <v>15</v>
      </c>
      <c r="M78" t="s">
        <v>22</v>
      </c>
      <c r="N78" t="s">
        <v>519</v>
      </c>
      <c r="O78" t="s">
        <v>1944</v>
      </c>
      <c r="P78" t="s">
        <v>520</v>
      </c>
      <c r="Q78" t="s">
        <v>101</v>
      </c>
      <c r="R78" t="s">
        <v>521</v>
      </c>
      <c r="S78" s="2">
        <v>1000</v>
      </c>
      <c r="T78" s="2">
        <v>1138.78</v>
      </c>
      <c r="U78" s="2">
        <v>1138780</v>
      </c>
      <c r="V78">
        <v>0</v>
      </c>
      <c r="W78">
        <v>0</v>
      </c>
      <c r="X78" s="2">
        <v>204980.4</v>
      </c>
      <c r="Y78">
        <v>0</v>
      </c>
      <c r="Z78">
        <v>0</v>
      </c>
      <c r="AA78" s="2">
        <v>1343760.4</v>
      </c>
      <c r="AB78">
        <v>0</v>
      </c>
      <c r="AC78">
        <v>0</v>
      </c>
      <c r="AD78" s="2">
        <v>1343760.4</v>
      </c>
      <c r="AE78" t="s">
        <v>53</v>
      </c>
    </row>
    <row r="79" spans="1:31" x14ac:dyDescent="0.35">
      <c r="A79">
        <v>77</v>
      </c>
      <c r="B79">
        <v>281955</v>
      </c>
      <c r="C79">
        <v>328013281</v>
      </c>
      <c r="D79" t="s">
        <v>522</v>
      </c>
      <c r="E79" t="s">
        <v>51</v>
      </c>
      <c r="F79" s="1">
        <v>46240</v>
      </c>
      <c r="G79" t="s">
        <v>517</v>
      </c>
      <c r="H79" t="s">
        <v>523</v>
      </c>
      <c r="I79" s="1">
        <v>46233</v>
      </c>
      <c r="J79" t="s">
        <v>138</v>
      </c>
      <c r="K79" t="s">
        <v>137</v>
      </c>
      <c r="L79" t="s">
        <v>15</v>
      </c>
      <c r="M79" t="s">
        <v>22</v>
      </c>
      <c r="N79" t="s">
        <v>524</v>
      </c>
      <c r="O79" t="s">
        <v>1945</v>
      </c>
      <c r="P79" t="s">
        <v>525</v>
      </c>
      <c r="Q79" t="s">
        <v>101</v>
      </c>
      <c r="R79" t="s">
        <v>526</v>
      </c>
      <c r="S79" s="2">
        <v>4320</v>
      </c>
      <c r="T79" s="2">
        <v>1023.96</v>
      </c>
      <c r="U79" s="2">
        <v>4423507.2</v>
      </c>
      <c r="V79">
        <v>0</v>
      </c>
      <c r="W79">
        <v>0</v>
      </c>
      <c r="X79" s="2">
        <v>796231.29599999997</v>
      </c>
      <c r="Y79">
        <v>0</v>
      </c>
      <c r="Z79">
        <v>0</v>
      </c>
      <c r="AA79" s="2">
        <v>5219738.4960000003</v>
      </c>
      <c r="AB79">
        <v>0</v>
      </c>
      <c r="AC79">
        <v>0</v>
      </c>
      <c r="AD79" s="2">
        <v>5219738.4960000003</v>
      </c>
      <c r="AE79" t="s">
        <v>53</v>
      </c>
    </row>
    <row r="80" spans="1:31" x14ac:dyDescent="0.35">
      <c r="A80">
        <v>78</v>
      </c>
      <c r="B80">
        <v>281957</v>
      </c>
      <c r="C80">
        <v>328013283</v>
      </c>
      <c r="D80" t="s">
        <v>527</v>
      </c>
      <c r="E80" t="s">
        <v>51</v>
      </c>
      <c r="F80" s="1">
        <v>46240</v>
      </c>
      <c r="G80" t="s">
        <v>528</v>
      </c>
      <c r="H80" t="s">
        <v>529</v>
      </c>
      <c r="I80" s="1">
        <v>46192</v>
      </c>
      <c r="J80" t="s">
        <v>138</v>
      </c>
      <c r="K80" t="s">
        <v>137</v>
      </c>
      <c r="L80" t="s">
        <v>18</v>
      </c>
      <c r="M80" t="s">
        <v>24</v>
      </c>
      <c r="N80" t="s">
        <v>530</v>
      </c>
      <c r="O80" t="s">
        <v>1946</v>
      </c>
      <c r="P80" t="s">
        <v>530</v>
      </c>
      <c r="Q80" t="s">
        <v>59</v>
      </c>
      <c r="R80" t="s">
        <v>431</v>
      </c>
      <c r="S80" s="2">
        <v>11000</v>
      </c>
      <c r="T80">
        <v>207</v>
      </c>
      <c r="U80" s="2">
        <v>2277000</v>
      </c>
      <c r="V80">
        <v>0</v>
      </c>
      <c r="W80">
        <v>0</v>
      </c>
      <c r="X80" s="2">
        <v>410310</v>
      </c>
      <c r="Y80" s="2">
        <v>2500</v>
      </c>
      <c r="Z80">
        <v>450</v>
      </c>
      <c r="AA80" s="2">
        <v>2689810</v>
      </c>
      <c r="AB80">
        <v>0</v>
      </c>
      <c r="AC80">
        <v>0</v>
      </c>
      <c r="AD80" s="2">
        <v>2689810</v>
      </c>
      <c r="AE80" t="s">
        <v>55</v>
      </c>
    </row>
    <row r="81" spans="1:31" x14ac:dyDescent="0.35">
      <c r="A81">
        <v>79</v>
      </c>
      <c r="B81">
        <v>281972</v>
      </c>
      <c r="C81">
        <v>328013290</v>
      </c>
      <c r="D81" t="s">
        <v>531</v>
      </c>
      <c r="E81" t="s">
        <v>51</v>
      </c>
      <c r="F81" s="1">
        <v>46241</v>
      </c>
      <c r="G81" t="s">
        <v>249</v>
      </c>
      <c r="H81">
        <v>510058375</v>
      </c>
      <c r="I81" s="1">
        <v>46184</v>
      </c>
      <c r="J81" t="s">
        <v>138</v>
      </c>
      <c r="K81" t="s">
        <v>137</v>
      </c>
      <c r="L81" t="s">
        <v>78</v>
      </c>
      <c r="M81" t="s">
        <v>24</v>
      </c>
      <c r="N81" t="s">
        <v>532</v>
      </c>
      <c r="O81" t="s">
        <v>1936</v>
      </c>
      <c r="P81">
        <v>39911956</v>
      </c>
      <c r="Q81" t="s">
        <v>54</v>
      </c>
      <c r="R81" t="s">
        <v>533</v>
      </c>
      <c r="S81" s="2">
        <v>3920</v>
      </c>
      <c r="T81">
        <v>28.66</v>
      </c>
      <c r="U81" s="2">
        <v>112347.2</v>
      </c>
      <c r="V81">
        <v>0</v>
      </c>
      <c r="W81">
        <v>0</v>
      </c>
      <c r="X81" s="2">
        <v>20222.495999999999</v>
      </c>
      <c r="Y81">
        <v>0</v>
      </c>
      <c r="Z81">
        <v>0</v>
      </c>
      <c r="AA81" s="2">
        <v>132569.696</v>
      </c>
      <c r="AB81">
        <v>0</v>
      </c>
      <c r="AC81">
        <v>0</v>
      </c>
      <c r="AD81" s="2">
        <v>132569.696</v>
      </c>
      <c r="AE81" t="s">
        <v>55</v>
      </c>
    </row>
    <row r="82" spans="1:31" x14ac:dyDescent="0.35">
      <c r="A82">
        <v>80</v>
      </c>
      <c r="B82">
        <v>281991</v>
      </c>
      <c r="C82">
        <v>328013302</v>
      </c>
      <c r="D82" t="s">
        <v>534</v>
      </c>
      <c r="E82" t="s">
        <v>51</v>
      </c>
      <c r="F82" s="1">
        <v>46241</v>
      </c>
      <c r="G82" t="s">
        <v>535</v>
      </c>
      <c r="H82" t="s">
        <v>536</v>
      </c>
      <c r="I82" s="1">
        <v>46164</v>
      </c>
      <c r="J82" t="s">
        <v>138</v>
      </c>
      <c r="K82" t="s">
        <v>137</v>
      </c>
      <c r="L82" t="s">
        <v>13</v>
      </c>
      <c r="M82" t="s">
        <v>14</v>
      </c>
      <c r="N82" t="s">
        <v>537</v>
      </c>
      <c r="O82" t="s">
        <v>1947</v>
      </c>
      <c r="P82" t="s">
        <v>538</v>
      </c>
      <c r="Q82" t="s">
        <v>539</v>
      </c>
      <c r="R82" t="s">
        <v>417</v>
      </c>
      <c r="S82">
        <v>485</v>
      </c>
      <c r="T82" s="2">
        <v>1380</v>
      </c>
      <c r="U82" s="2">
        <v>669300</v>
      </c>
      <c r="V82">
        <v>0</v>
      </c>
      <c r="W82">
        <v>0</v>
      </c>
      <c r="X82" s="2">
        <v>120474</v>
      </c>
      <c r="Y82">
        <v>0</v>
      </c>
      <c r="Z82">
        <v>0</v>
      </c>
      <c r="AA82" s="2">
        <v>789774</v>
      </c>
      <c r="AB82">
        <v>0</v>
      </c>
      <c r="AC82">
        <v>0</v>
      </c>
      <c r="AD82" s="2">
        <v>789774</v>
      </c>
      <c r="AE82" t="s">
        <v>53</v>
      </c>
    </row>
    <row r="83" spans="1:31" x14ac:dyDescent="0.35">
      <c r="A83">
        <v>81</v>
      </c>
      <c r="B83">
        <v>282007</v>
      </c>
      <c r="C83">
        <v>328013313</v>
      </c>
      <c r="D83" t="s">
        <v>540</v>
      </c>
      <c r="E83" t="s">
        <v>51</v>
      </c>
      <c r="F83" s="1">
        <v>46241</v>
      </c>
      <c r="G83" t="s">
        <v>405</v>
      </c>
      <c r="H83">
        <v>7100000514</v>
      </c>
      <c r="I83" s="1">
        <v>46135</v>
      </c>
      <c r="J83" t="s">
        <v>138</v>
      </c>
      <c r="K83" t="s">
        <v>137</v>
      </c>
      <c r="L83" t="s">
        <v>78</v>
      </c>
      <c r="M83" t="s">
        <v>17</v>
      </c>
      <c r="N83" t="s">
        <v>541</v>
      </c>
      <c r="O83" t="s">
        <v>1948</v>
      </c>
      <c r="P83">
        <v>1011002121</v>
      </c>
      <c r="Q83" t="s">
        <v>63</v>
      </c>
      <c r="R83" t="s">
        <v>542</v>
      </c>
      <c r="S83" s="2">
        <v>4800</v>
      </c>
      <c r="T83">
        <v>10.71</v>
      </c>
      <c r="U83" s="2">
        <v>51408</v>
      </c>
      <c r="V83">
        <v>0</v>
      </c>
      <c r="W83">
        <v>0</v>
      </c>
      <c r="X83" s="2">
        <v>9253.44</v>
      </c>
      <c r="Y83">
        <v>0</v>
      </c>
      <c r="Z83">
        <v>0</v>
      </c>
      <c r="AA83" s="2">
        <v>60661.440000000002</v>
      </c>
      <c r="AB83">
        <v>0</v>
      </c>
      <c r="AC83">
        <v>0</v>
      </c>
      <c r="AD83" s="2">
        <v>60661.440000000002</v>
      </c>
      <c r="AE83" t="s">
        <v>37</v>
      </c>
    </row>
    <row r="84" spans="1:31" x14ac:dyDescent="0.35">
      <c r="A84">
        <v>82</v>
      </c>
      <c r="B84">
        <v>282007</v>
      </c>
      <c r="C84">
        <v>328013313</v>
      </c>
      <c r="D84" t="s">
        <v>540</v>
      </c>
      <c r="E84" t="s">
        <v>51</v>
      </c>
      <c r="F84" s="1">
        <v>46241</v>
      </c>
      <c r="G84" t="s">
        <v>405</v>
      </c>
      <c r="H84">
        <v>7100000514</v>
      </c>
      <c r="I84" s="1">
        <v>46135</v>
      </c>
      <c r="J84" t="s">
        <v>138</v>
      </c>
      <c r="K84" t="s">
        <v>137</v>
      </c>
      <c r="L84" t="s">
        <v>78</v>
      </c>
      <c r="M84" t="s">
        <v>17</v>
      </c>
      <c r="N84" t="s">
        <v>541</v>
      </c>
      <c r="O84" t="s">
        <v>1948</v>
      </c>
      <c r="P84">
        <v>1011002121</v>
      </c>
      <c r="Q84" t="s">
        <v>63</v>
      </c>
      <c r="R84" t="s">
        <v>542</v>
      </c>
      <c r="S84" s="2">
        <v>11200</v>
      </c>
      <c r="T84">
        <v>10.71</v>
      </c>
      <c r="U84" s="2">
        <v>119952</v>
      </c>
      <c r="V84">
        <v>0</v>
      </c>
      <c r="W84">
        <v>0</v>
      </c>
      <c r="X84" s="2">
        <v>21591.360000000001</v>
      </c>
      <c r="Y84">
        <v>0</v>
      </c>
      <c r="Z84">
        <v>0</v>
      </c>
      <c r="AA84" s="2">
        <v>141543.35999999999</v>
      </c>
      <c r="AB84">
        <v>0</v>
      </c>
      <c r="AC84">
        <v>0</v>
      </c>
      <c r="AD84" s="2">
        <v>141543.35999999999</v>
      </c>
      <c r="AE84" t="s">
        <v>37</v>
      </c>
    </row>
    <row r="85" spans="1:31" x14ac:dyDescent="0.35">
      <c r="A85">
        <v>83</v>
      </c>
      <c r="B85">
        <v>282008</v>
      </c>
      <c r="C85">
        <v>328013314</v>
      </c>
      <c r="D85" t="s">
        <v>543</v>
      </c>
      <c r="E85" t="s">
        <v>51</v>
      </c>
      <c r="F85" s="1">
        <v>46241</v>
      </c>
      <c r="G85" t="s">
        <v>405</v>
      </c>
      <c r="H85">
        <v>7100004210</v>
      </c>
      <c r="I85" s="1">
        <v>46107</v>
      </c>
      <c r="J85" t="s">
        <v>138</v>
      </c>
      <c r="K85" t="s">
        <v>137</v>
      </c>
      <c r="L85" t="s">
        <v>78</v>
      </c>
      <c r="M85" t="s">
        <v>17</v>
      </c>
      <c r="N85" t="s">
        <v>544</v>
      </c>
      <c r="O85" t="s">
        <v>1949</v>
      </c>
      <c r="P85">
        <v>1011001225</v>
      </c>
      <c r="Q85" t="s">
        <v>545</v>
      </c>
      <c r="R85" t="s">
        <v>425</v>
      </c>
      <c r="S85" s="2">
        <v>6000</v>
      </c>
      <c r="T85">
        <v>0.95</v>
      </c>
      <c r="U85" s="2">
        <v>5700</v>
      </c>
      <c r="V85">
        <v>0</v>
      </c>
      <c r="W85">
        <v>0</v>
      </c>
      <c r="X85" s="2">
        <v>1026</v>
      </c>
      <c r="Y85">
        <v>0</v>
      </c>
      <c r="Z85">
        <v>0</v>
      </c>
      <c r="AA85" s="2">
        <v>6726</v>
      </c>
      <c r="AB85">
        <v>0</v>
      </c>
      <c r="AC85">
        <v>0</v>
      </c>
      <c r="AD85" s="2">
        <v>6726</v>
      </c>
      <c r="AE85" t="s">
        <v>62</v>
      </c>
    </row>
    <row r="86" spans="1:31" x14ac:dyDescent="0.35">
      <c r="A86">
        <v>84</v>
      </c>
      <c r="B86">
        <v>282008</v>
      </c>
      <c r="C86">
        <v>328013314</v>
      </c>
      <c r="D86" t="s">
        <v>543</v>
      </c>
      <c r="E86" t="s">
        <v>51</v>
      </c>
      <c r="F86" s="1">
        <v>46241</v>
      </c>
      <c r="G86" t="s">
        <v>405</v>
      </c>
      <c r="H86">
        <v>7100004210</v>
      </c>
      <c r="I86" s="1">
        <v>46107</v>
      </c>
      <c r="J86" t="s">
        <v>138</v>
      </c>
      <c r="K86" t="s">
        <v>137</v>
      </c>
      <c r="L86" t="s">
        <v>78</v>
      </c>
      <c r="M86" t="s">
        <v>17</v>
      </c>
      <c r="N86" t="s">
        <v>546</v>
      </c>
      <c r="O86" t="s">
        <v>1949</v>
      </c>
      <c r="P86">
        <v>1011001223</v>
      </c>
      <c r="Q86" t="s">
        <v>545</v>
      </c>
      <c r="R86" t="s">
        <v>425</v>
      </c>
      <c r="S86" s="2">
        <v>6000</v>
      </c>
      <c r="T86">
        <v>0.75</v>
      </c>
      <c r="U86" s="2">
        <v>4500</v>
      </c>
      <c r="V86">
        <v>0</v>
      </c>
      <c r="W86">
        <v>0</v>
      </c>
      <c r="X86">
        <v>810</v>
      </c>
      <c r="Y86">
        <v>0</v>
      </c>
      <c r="Z86">
        <v>0</v>
      </c>
      <c r="AA86" s="2">
        <v>5310</v>
      </c>
      <c r="AB86">
        <v>0</v>
      </c>
      <c r="AC86">
        <v>0</v>
      </c>
      <c r="AD86" s="2">
        <v>5310</v>
      </c>
      <c r="AE86" t="s">
        <v>62</v>
      </c>
    </row>
    <row r="87" spans="1:31" x14ac:dyDescent="0.35">
      <c r="A87">
        <v>85</v>
      </c>
      <c r="B87">
        <v>282010</v>
      </c>
      <c r="C87">
        <v>328013316</v>
      </c>
      <c r="D87" t="s">
        <v>547</v>
      </c>
      <c r="E87" t="s">
        <v>51</v>
      </c>
      <c r="F87" s="1">
        <v>46241</v>
      </c>
      <c r="G87" t="s">
        <v>405</v>
      </c>
      <c r="H87">
        <v>7100004048</v>
      </c>
      <c r="I87" s="1">
        <v>46053</v>
      </c>
      <c r="J87" t="s">
        <v>138</v>
      </c>
      <c r="K87" t="s">
        <v>137</v>
      </c>
      <c r="L87" t="s">
        <v>78</v>
      </c>
      <c r="M87" t="s">
        <v>17</v>
      </c>
      <c r="N87" t="s">
        <v>552</v>
      </c>
      <c r="O87" t="s">
        <v>1932</v>
      </c>
      <c r="P87">
        <v>1011000203</v>
      </c>
      <c r="Q87" t="s">
        <v>52</v>
      </c>
      <c r="R87" t="s">
        <v>418</v>
      </c>
      <c r="S87" s="2">
        <v>5000</v>
      </c>
      <c r="T87">
        <v>4.16</v>
      </c>
      <c r="U87" s="2">
        <v>20800</v>
      </c>
      <c r="V87">
        <v>0</v>
      </c>
      <c r="W87">
        <v>0</v>
      </c>
      <c r="X87" s="2">
        <v>3744</v>
      </c>
      <c r="Y87">
        <v>0</v>
      </c>
      <c r="Z87">
        <v>0</v>
      </c>
      <c r="AA87" s="2">
        <v>24544</v>
      </c>
      <c r="AB87">
        <v>0</v>
      </c>
      <c r="AC87">
        <v>0</v>
      </c>
      <c r="AD87" s="2">
        <v>24544</v>
      </c>
      <c r="AE87" t="s">
        <v>53</v>
      </c>
    </row>
    <row r="88" spans="1:31" x14ac:dyDescent="0.35">
      <c r="A88">
        <v>86</v>
      </c>
      <c r="B88">
        <v>282010</v>
      </c>
      <c r="C88">
        <v>328013316</v>
      </c>
      <c r="D88" t="s">
        <v>547</v>
      </c>
      <c r="E88" t="s">
        <v>51</v>
      </c>
      <c r="F88" s="1">
        <v>46241</v>
      </c>
      <c r="G88" t="s">
        <v>405</v>
      </c>
      <c r="H88">
        <v>7100004048</v>
      </c>
      <c r="I88" s="1">
        <v>46053</v>
      </c>
      <c r="J88" t="s">
        <v>138</v>
      </c>
      <c r="K88" t="s">
        <v>137</v>
      </c>
      <c r="L88" t="s">
        <v>78</v>
      </c>
      <c r="M88" t="s">
        <v>17</v>
      </c>
      <c r="N88" t="s">
        <v>550</v>
      </c>
      <c r="O88" t="s">
        <v>1932</v>
      </c>
      <c r="P88">
        <v>1011000415</v>
      </c>
      <c r="Q88" t="s">
        <v>52</v>
      </c>
      <c r="R88" t="s">
        <v>418</v>
      </c>
      <c r="S88" s="2">
        <v>22500</v>
      </c>
      <c r="T88">
        <v>0.43</v>
      </c>
      <c r="U88" s="2">
        <v>9675</v>
      </c>
      <c r="V88">
        <v>0</v>
      </c>
      <c r="W88">
        <v>0</v>
      </c>
      <c r="X88" s="2">
        <v>1741.5</v>
      </c>
      <c r="Y88">
        <v>0</v>
      </c>
      <c r="Z88">
        <v>0</v>
      </c>
      <c r="AA88" s="2">
        <v>11416.5</v>
      </c>
      <c r="AB88">
        <v>0</v>
      </c>
      <c r="AC88">
        <v>0</v>
      </c>
      <c r="AD88" s="2">
        <v>11416.5</v>
      </c>
      <c r="AE88" t="s">
        <v>53</v>
      </c>
    </row>
    <row r="89" spans="1:31" x14ac:dyDescent="0.35">
      <c r="A89">
        <v>87</v>
      </c>
      <c r="B89">
        <v>282010</v>
      </c>
      <c r="C89">
        <v>328013316</v>
      </c>
      <c r="D89" t="s">
        <v>547</v>
      </c>
      <c r="E89" t="s">
        <v>51</v>
      </c>
      <c r="F89" s="1">
        <v>46241</v>
      </c>
      <c r="G89" t="s">
        <v>405</v>
      </c>
      <c r="H89">
        <v>7100004048</v>
      </c>
      <c r="I89" s="1">
        <v>46053</v>
      </c>
      <c r="J89" t="s">
        <v>138</v>
      </c>
      <c r="K89" t="s">
        <v>137</v>
      </c>
      <c r="L89" t="s">
        <v>78</v>
      </c>
      <c r="M89" t="s">
        <v>17</v>
      </c>
      <c r="N89" t="s">
        <v>549</v>
      </c>
      <c r="O89" t="s">
        <v>1932</v>
      </c>
      <c r="P89">
        <v>1011000664</v>
      </c>
      <c r="Q89" t="s">
        <v>52</v>
      </c>
      <c r="R89" t="s">
        <v>418</v>
      </c>
      <c r="S89" s="2">
        <v>12000</v>
      </c>
      <c r="T89">
        <v>2.5299999999999998</v>
      </c>
      <c r="U89" s="2">
        <v>30360</v>
      </c>
      <c r="V89">
        <v>0</v>
      </c>
      <c r="W89">
        <v>0</v>
      </c>
      <c r="X89" s="2">
        <v>5464.8</v>
      </c>
      <c r="Y89">
        <v>0</v>
      </c>
      <c r="Z89">
        <v>0</v>
      </c>
      <c r="AA89" s="2">
        <v>35824.800000000003</v>
      </c>
      <c r="AB89">
        <v>0</v>
      </c>
      <c r="AC89">
        <v>0</v>
      </c>
      <c r="AD89" s="2">
        <v>35824.800000000003</v>
      </c>
      <c r="AE89" t="s">
        <v>53</v>
      </c>
    </row>
    <row r="90" spans="1:31" x14ac:dyDescent="0.35">
      <c r="A90">
        <v>88</v>
      </c>
      <c r="B90">
        <v>282010</v>
      </c>
      <c r="C90">
        <v>328013316</v>
      </c>
      <c r="D90" t="s">
        <v>547</v>
      </c>
      <c r="E90" t="s">
        <v>51</v>
      </c>
      <c r="F90" s="1">
        <v>46241</v>
      </c>
      <c r="G90" t="s">
        <v>405</v>
      </c>
      <c r="H90">
        <v>7100004048</v>
      </c>
      <c r="I90" s="1">
        <v>46053</v>
      </c>
      <c r="J90" t="s">
        <v>138</v>
      </c>
      <c r="K90" t="s">
        <v>137</v>
      </c>
      <c r="L90" t="s">
        <v>78</v>
      </c>
      <c r="M90" t="s">
        <v>17</v>
      </c>
      <c r="N90" t="s">
        <v>548</v>
      </c>
      <c r="O90" t="s">
        <v>1932</v>
      </c>
      <c r="P90">
        <v>1011001215</v>
      </c>
      <c r="Q90" t="s">
        <v>52</v>
      </c>
      <c r="R90" t="s">
        <v>418</v>
      </c>
      <c r="S90" s="2">
        <v>1000</v>
      </c>
      <c r="T90">
        <v>31.28</v>
      </c>
      <c r="U90" s="2">
        <v>31280</v>
      </c>
      <c r="V90">
        <v>0</v>
      </c>
      <c r="W90">
        <v>0</v>
      </c>
      <c r="X90" s="2">
        <v>5630.4</v>
      </c>
      <c r="Y90">
        <v>0</v>
      </c>
      <c r="Z90">
        <v>0</v>
      </c>
      <c r="AA90" s="2">
        <v>36910.400000000001</v>
      </c>
      <c r="AB90">
        <v>0</v>
      </c>
      <c r="AC90">
        <v>0</v>
      </c>
      <c r="AD90" s="2">
        <v>36910.400000000001</v>
      </c>
      <c r="AE90" t="s">
        <v>53</v>
      </c>
    </row>
    <row r="91" spans="1:31" x14ac:dyDescent="0.35">
      <c r="A91">
        <v>89</v>
      </c>
      <c r="B91">
        <v>282010</v>
      </c>
      <c r="C91">
        <v>328013316</v>
      </c>
      <c r="D91" t="s">
        <v>547</v>
      </c>
      <c r="E91" t="s">
        <v>51</v>
      </c>
      <c r="F91" s="1">
        <v>46241</v>
      </c>
      <c r="G91" t="s">
        <v>405</v>
      </c>
      <c r="H91">
        <v>7100004048</v>
      </c>
      <c r="I91" s="1">
        <v>46053</v>
      </c>
      <c r="J91" t="s">
        <v>138</v>
      </c>
      <c r="K91" t="s">
        <v>137</v>
      </c>
      <c r="L91" t="s">
        <v>78</v>
      </c>
      <c r="M91" t="s">
        <v>17</v>
      </c>
      <c r="N91" t="s">
        <v>551</v>
      </c>
      <c r="O91" t="s">
        <v>1935</v>
      </c>
      <c r="P91">
        <v>1011002411</v>
      </c>
      <c r="Q91" t="s">
        <v>377</v>
      </c>
      <c r="R91" t="s">
        <v>429</v>
      </c>
      <c r="S91" s="2">
        <v>6240</v>
      </c>
      <c r="T91">
        <v>15.53</v>
      </c>
      <c r="U91" s="2">
        <v>96907.199999999997</v>
      </c>
      <c r="V91">
        <v>0</v>
      </c>
      <c r="W91">
        <v>0</v>
      </c>
      <c r="X91" s="2">
        <v>17443.295999999998</v>
      </c>
      <c r="Y91">
        <v>0</v>
      </c>
      <c r="Z91">
        <v>0</v>
      </c>
      <c r="AA91" s="2">
        <v>114350.496</v>
      </c>
      <c r="AB91">
        <v>0</v>
      </c>
      <c r="AC91">
        <v>0</v>
      </c>
      <c r="AD91" s="2">
        <v>114350.496</v>
      </c>
      <c r="AE91" t="s">
        <v>53</v>
      </c>
    </row>
    <row r="92" spans="1:31" x14ac:dyDescent="0.35">
      <c r="A92">
        <v>90</v>
      </c>
      <c r="B92">
        <v>282138</v>
      </c>
      <c r="C92">
        <v>328013426</v>
      </c>
      <c r="D92" t="s">
        <v>554</v>
      </c>
      <c r="E92" t="s">
        <v>51</v>
      </c>
      <c r="F92" s="1">
        <v>46244</v>
      </c>
      <c r="G92" t="s">
        <v>392</v>
      </c>
      <c r="H92" t="s">
        <v>555</v>
      </c>
      <c r="I92" s="1">
        <v>46051</v>
      </c>
      <c r="J92" t="s">
        <v>138</v>
      </c>
      <c r="K92" t="s">
        <v>137</v>
      </c>
      <c r="L92" t="s">
        <v>15</v>
      </c>
      <c r="M92" t="s">
        <v>22</v>
      </c>
      <c r="N92" t="s">
        <v>556</v>
      </c>
      <c r="O92" t="s">
        <v>1932</v>
      </c>
      <c r="P92" t="s">
        <v>557</v>
      </c>
      <c r="Q92" t="s">
        <v>52</v>
      </c>
      <c r="R92" t="s">
        <v>418</v>
      </c>
      <c r="S92" s="2">
        <v>18000</v>
      </c>
      <c r="T92">
        <v>0.72</v>
      </c>
      <c r="U92" s="2">
        <v>12960</v>
      </c>
      <c r="V92">
        <v>0</v>
      </c>
      <c r="W92">
        <v>0</v>
      </c>
      <c r="X92" s="2">
        <v>2332.8000000000002</v>
      </c>
      <c r="Y92">
        <v>0</v>
      </c>
      <c r="Z92">
        <v>0</v>
      </c>
      <c r="AA92" s="2">
        <v>15292.8</v>
      </c>
      <c r="AB92">
        <v>0</v>
      </c>
      <c r="AC92">
        <v>0</v>
      </c>
      <c r="AD92" s="2">
        <v>15292.8</v>
      </c>
      <c r="AE92" t="s">
        <v>53</v>
      </c>
    </row>
    <row r="93" spans="1:31" x14ac:dyDescent="0.35">
      <c r="A93">
        <v>91</v>
      </c>
      <c r="B93">
        <v>282145</v>
      </c>
      <c r="C93">
        <v>328013433</v>
      </c>
      <c r="D93" t="s">
        <v>558</v>
      </c>
      <c r="E93" t="s">
        <v>51</v>
      </c>
      <c r="F93" s="1">
        <v>46244</v>
      </c>
      <c r="G93" t="s">
        <v>392</v>
      </c>
      <c r="H93" t="s">
        <v>559</v>
      </c>
      <c r="I93" s="1">
        <v>46063</v>
      </c>
      <c r="J93" t="s">
        <v>138</v>
      </c>
      <c r="K93" t="s">
        <v>137</v>
      </c>
      <c r="L93" t="s">
        <v>15</v>
      </c>
      <c r="M93" t="s">
        <v>22</v>
      </c>
      <c r="N93" t="s">
        <v>560</v>
      </c>
      <c r="O93" t="s">
        <v>1934</v>
      </c>
      <c r="P93" t="s">
        <v>561</v>
      </c>
      <c r="Q93" t="s">
        <v>52</v>
      </c>
      <c r="R93" t="s">
        <v>422</v>
      </c>
      <c r="S93" s="2">
        <v>40000</v>
      </c>
      <c r="T93">
        <v>7.01</v>
      </c>
      <c r="U93" s="2">
        <v>280400</v>
      </c>
      <c r="V93">
        <v>0</v>
      </c>
      <c r="W93">
        <v>0</v>
      </c>
      <c r="X93" s="2">
        <v>50472</v>
      </c>
      <c r="Y93">
        <v>0</v>
      </c>
      <c r="Z93">
        <v>0</v>
      </c>
      <c r="AA93" s="2">
        <v>330872</v>
      </c>
      <c r="AB93">
        <v>0</v>
      </c>
      <c r="AC93">
        <v>0</v>
      </c>
      <c r="AD93" s="2">
        <v>330872</v>
      </c>
      <c r="AE93" t="s">
        <v>53</v>
      </c>
    </row>
    <row r="94" spans="1:31" x14ac:dyDescent="0.35">
      <c r="A94">
        <v>92</v>
      </c>
      <c r="B94">
        <v>282148</v>
      </c>
      <c r="C94">
        <v>328013435</v>
      </c>
      <c r="D94" t="s">
        <v>562</v>
      </c>
      <c r="E94" t="s">
        <v>51</v>
      </c>
      <c r="F94" s="1">
        <v>46244</v>
      </c>
      <c r="G94" t="s">
        <v>392</v>
      </c>
      <c r="H94" t="s">
        <v>563</v>
      </c>
      <c r="I94" s="1">
        <v>46239</v>
      </c>
      <c r="J94" t="s">
        <v>138</v>
      </c>
      <c r="K94" t="s">
        <v>137</v>
      </c>
      <c r="L94" t="s">
        <v>15</v>
      </c>
      <c r="M94" t="s">
        <v>22</v>
      </c>
      <c r="N94" t="s">
        <v>564</v>
      </c>
      <c r="O94" t="s">
        <v>1936</v>
      </c>
      <c r="P94" t="s">
        <v>565</v>
      </c>
      <c r="Q94" t="s">
        <v>366</v>
      </c>
      <c r="R94" t="s">
        <v>566</v>
      </c>
      <c r="S94" s="2">
        <v>10000</v>
      </c>
      <c r="T94">
        <v>5.69</v>
      </c>
      <c r="U94" s="2">
        <v>56900</v>
      </c>
      <c r="V94">
        <v>0</v>
      </c>
      <c r="W94">
        <v>0</v>
      </c>
      <c r="X94" s="2">
        <v>10242</v>
      </c>
      <c r="Y94">
        <v>0</v>
      </c>
      <c r="Z94">
        <v>0</v>
      </c>
      <c r="AA94" s="2">
        <v>67142</v>
      </c>
      <c r="AB94">
        <v>0</v>
      </c>
      <c r="AC94">
        <v>0</v>
      </c>
      <c r="AD94" s="2">
        <v>67142</v>
      </c>
      <c r="AE94" t="s">
        <v>53</v>
      </c>
    </row>
    <row r="95" spans="1:31" x14ac:dyDescent="0.35">
      <c r="A95">
        <v>93</v>
      </c>
      <c r="B95">
        <v>282151</v>
      </c>
      <c r="C95">
        <v>328013438</v>
      </c>
      <c r="D95" t="s">
        <v>567</v>
      </c>
      <c r="E95" t="s">
        <v>51</v>
      </c>
      <c r="F95" s="1">
        <v>46244</v>
      </c>
      <c r="G95" t="s">
        <v>392</v>
      </c>
      <c r="H95" t="s">
        <v>568</v>
      </c>
      <c r="I95" s="1">
        <v>46063</v>
      </c>
      <c r="J95" t="s">
        <v>138</v>
      </c>
      <c r="K95" t="s">
        <v>137</v>
      </c>
      <c r="L95" t="s">
        <v>15</v>
      </c>
      <c r="M95" t="s">
        <v>22</v>
      </c>
      <c r="N95" t="s">
        <v>569</v>
      </c>
      <c r="O95" t="s">
        <v>1942</v>
      </c>
      <c r="P95" t="s">
        <v>570</v>
      </c>
      <c r="Q95" t="s">
        <v>52</v>
      </c>
      <c r="R95" t="s">
        <v>443</v>
      </c>
      <c r="S95" s="2">
        <v>24000</v>
      </c>
      <c r="T95">
        <v>1.03</v>
      </c>
      <c r="U95" s="2">
        <v>24720</v>
      </c>
      <c r="V95">
        <v>0</v>
      </c>
      <c r="W95">
        <v>0</v>
      </c>
      <c r="X95" s="2">
        <v>4449.6000000000004</v>
      </c>
      <c r="Y95">
        <v>0</v>
      </c>
      <c r="Z95">
        <v>0</v>
      </c>
      <c r="AA95" s="2">
        <v>29169.599999999999</v>
      </c>
      <c r="AB95">
        <v>0</v>
      </c>
      <c r="AC95">
        <v>0</v>
      </c>
      <c r="AD95" s="2">
        <v>29169.599999999999</v>
      </c>
      <c r="AE95" t="s">
        <v>53</v>
      </c>
    </row>
    <row r="96" spans="1:31" x14ac:dyDescent="0.35">
      <c r="A96">
        <v>94</v>
      </c>
      <c r="B96">
        <v>282153</v>
      </c>
      <c r="C96">
        <v>328013440</v>
      </c>
      <c r="D96" t="s">
        <v>571</v>
      </c>
      <c r="E96" t="s">
        <v>51</v>
      </c>
      <c r="F96" s="1">
        <v>46244</v>
      </c>
      <c r="G96" t="s">
        <v>392</v>
      </c>
      <c r="H96" t="s">
        <v>572</v>
      </c>
      <c r="I96" s="1">
        <v>46063</v>
      </c>
      <c r="J96" t="s">
        <v>138</v>
      </c>
      <c r="K96" t="s">
        <v>137</v>
      </c>
      <c r="L96" t="s">
        <v>15</v>
      </c>
      <c r="M96" t="s">
        <v>22</v>
      </c>
      <c r="N96" t="s">
        <v>569</v>
      </c>
      <c r="O96" t="s">
        <v>1942</v>
      </c>
      <c r="P96" t="s">
        <v>570</v>
      </c>
      <c r="Q96" t="s">
        <v>52</v>
      </c>
      <c r="R96" t="s">
        <v>443</v>
      </c>
      <c r="S96" s="2">
        <v>21000</v>
      </c>
      <c r="T96">
        <v>1.03</v>
      </c>
      <c r="U96" s="2">
        <v>21630</v>
      </c>
      <c r="V96">
        <v>0</v>
      </c>
      <c r="W96">
        <v>0</v>
      </c>
      <c r="X96" s="2">
        <v>3893.4</v>
      </c>
      <c r="Y96">
        <v>0</v>
      </c>
      <c r="Z96">
        <v>0</v>
      </c>
      <c r="AA96" s="2">
        <v>25523.4</v>
      </c>
      <c r="AB96">
        <v>0</v>
      </c>
      <c r="AC96">
        <v>0</v>
      </c>
      <c r="AD96" s="2">
        <v>25523.4</v>
      </c>
      <c r="AE96" t="s">
        <v>53</v>
      </c>
    </row>
    <row r="97" spans="1:31" x14ac:dyDescent="0.35">
      <c r="A97">
        <v>95</v>
      </c>
      <c r="B97">
        <v>282161</v>
      </c>
      <c r="C97">
        <v>328013447</v>
      </c>
      <c r="D97" t="s">
        <v>573</v>
      </c>
      <c r="E97" t="s">
        <v>51</v>
      </c>
      <c r="F97" s="1">
        <v>46244</v>
      </c>
      <c r="G97" t="s">
        <v>392</v>
      </c>
      <c r="H97" t="s">
        <v>574</v>
      </c>
      <c r="I97" s="1">
        <v>45308</v>
      </c>
      <c r="J97" t="s">
        <v>138</v>
      </c>
      <c r="K97" t="s">
        <v>137</v>
      </c>
      <c r="L97" t="s">
        <v>15</v>
      </c>
      <c r="M97" t="s">
        <v>22</v>
      </c>
      <c r="N97" t="s">
        <v>575</v>
      </c>
      <c r="O97" t="s">
        <v>1932</v>
      </c>
      <c r="P97" t="s">
        <v>576</v>
      </c>
      <c r="Q97" t="s">
        <v>52</v>
      </c>
      <c r="R97" t="s">
        <v>418</v>
      </c>
      <c r="S97" s="2">
        <v>22500</v>
      </c>
      <c r="T97">
        <v>1.33</v>
      </c>
      <c r="U97" s="2">
        <v>29925</v>
      </c>
      <c r="V97">
        <v>0</v>
      </c>
      <c r="W97">
        <v>0</v>
      </c>
      <c r="X97" s="2">
        <v>5386.5</v>
      </c>
      <c r="Y97">
        <v>0</v>
      </c>
      <c r="Z97">
        <v>0</v>
      </c>
      <c r="AA97" s="2">
        <v>35311.5</v>
      </c>
      <c r="AB97">
        <v>0</v>
      </c>
      <c r="AC97">
        <v>0</v>
      </c>
      <c r="AD97" s="2">
        <v>35311.5</v>
      </c>
      <c r="AE97" t="s">
        <v>53</v>
      </c>
    </row>
    <row r="98" spans="1:31" x14ac:dyDescent="0.35">
      <c r="A98">
        <v>96</v>
      </c>
      <c r="B98">
        <v>282163</v>
      </c>
      <c r="C98">
        <v>328013449</v>
      </c>
      <c r="D98" t="s">
        <v>577</v>
      </c>
      <c r="E98" t="s">
        <v>51</v>
      </c>
      <c r="F98" s="1">
        <v>46244</v>
      </c>
      <c r="G98" t="s">
        <v>392</v>
      </c>
      <c r="H98" t="s">
        <v>578</v>
      </c>
      <c r="I98" s="1">
        <v>46051</v>
      </c>
      <c r="J98" t="s">
        <v>138</v>
      </c>
      <c r="K98" t="s">
        <v>137</v>
      </c>
      <c r="L98" t="s">
        <v>15</v>
      </c>
      <c r="M98" t="s">
        <v>22</v>
      </c>
      <c r="N98" t="s">
        <v>579</v>
      </c>
      <c r="O98" t="s">
        <v>1932</v>
      </c>
      <c r="P98" t="s">
        <v>580</v>
      </c>
      <c r="Q98" t="s">
        <v>52</v>
      </c>
      <c r="R98" t="s">
        <v>418</v>
      </c>
      <c r="S98" s="2">
        <v>7500</v>
      </c>
      <c r="T98">
        <v>3.06</v>
      </c>
      <c r="U98" s="2">
        <v>22950</v>
      </c>
      <c r="V98">
        <v>0</v>
      </c>
      <c r="W98">
        <v>0</v>
      </c>
      <c r="X98" s="2">
        <v>4131</v>
      </c>
      <c r="Y98">
        <v>0</v>
      </c>
      <c r="Z98">
        <v>0</v>
      </c>
      <c r="AA98" s="2">
        <v>27081</v>
      </c>
      <c r="AB98">
        <v>0</v>
      </c>
      <c r="AC98">
        <v>0</v>
      </c>
      <c r="AD98" s="2">
        <v>27081</v>
      </c>
      <c r="AE98" t="s">
        <v>53</v>
      </c>
    </row>
    <row r="99" spans="1:31" x14ac:dyDescent="0.35">
      <c r="A99">
        <v>97</v>
      </c>
      <c r="B99">
        <v>282163</v>
      </c>
      <c r="C99">
        <v>328013449</v>
      </c>
      <c r="D99" t="s">
        <v>577</v>
      </c>
      <c r="E99" t="s">
        <v>51</v>
      </c>
      <c r="F99" s="1">
        <v>46244</v>
      </c>
      <c r="G99" t="s">
        <v>392</v>
      </c>
      <c r="H99" t="s">
        <v>578</v>
      </c>
      <c r="I99" s="1">
        <v>46051</v>
      </c>
      <c r="J99" t="s">
        <v>138</v>
      </c>
      <c r="K99" t="s">
        <v>137</v>
      </c>
      <c r="L99" t="s">
        <v>15</v>
      </c>
      <c r="M99" t="s">
        <v>22</v>
      </c>
      <c r="N99" t="s">
        <v>579</v>
      </c>
      <c r="O99" t="s">
        <v>1932</v>
      </c>
      <c r="P99" t="s">
        <v>580</v>
      </c>
      <c r="Q99" t="s">
        <v>52</v>
      </c>
      <c r="R99" t="s">
        <v>418</v>
      </c>
      <c r="S99" s="2">
        <v>22500</v>
      </c>
      <c r="T99">
        <v>3.06</v>
      </c>
      <c r="U99" s="2">
        <v>68850</v>
      </c>
      <c r="V99">
        <v>0</v>
      </c>
      <c r="W99">
        <v>0</v>
      </c>
      <c r="X99" s="2">
        <v>12393</v>
      </c>
      <c r="Y99">
        <v>0</v>
      </c>
      <c r="Z99">
        <v>0</v>
      </c>
      <c r="AA99" s="2">
        <v>81243</v>
      </c>
      <c r="AB99">
        <v>0</v>
      </c>
      <c r="AC99">
        <v>0</v>
      </c>
      <c r="AD99" s="2">
        <v>81243</v>
      </c>
      <c r="AE99" t="s">
        <v>53</v>
      </c>
    </row>
    <row r="100" spans="1:31" x14ac:dyDescent="0.35">
      <c r="A100">
        <v>98</v>
      </c>
      <c r="B100">
        <v>282165</v>
      </c>
      <c r="C100">
        <v>328013451</v>
      </c>
      <c r="D100" t="s">
        <v>581</v>
      </c>
      <c r="E100" t="s">
        <v>51</v>
      </c>
      <c r="F100" s="1">
        <v>46244</v>
      </c>
      <c r="G100" t="s">
        <v>392</v>
      </c>
      <c r="H100" t="s">
        <v>582</v>
      </c>
      <c r="I100" s="1">
        <v>46188</v>
      </c>
      <c r="J100" t="s">
        <v>138</v>
      </c>
      <c r="K100" t="s">
        <v>137</v>
      </c>
      <c r="L100" t="s">
        <v>15</v>
      </c>
      <c r="M100" t="s">
        <v>22</v>
      </c>
      <c r="N100" t="s">
        <v>583</v>
      </c>
      <c r="O100" t="s">
        <v>1932</v>
      </c>
      <c r="P100" t="s">
        <v>584</v>
      </c>
      <c r="Q100" t="s">
        <v>52</v>
      </c>
      <c r="R100" t="s">
        <v>418</v>
      </c>
      <c r="S100" s="2">
        <v>7500</v>
      </c>
      <c r="T100">
        <v>0.71</v>
      </c>
      <c r="U100" s="2">
        <v>5325</v>
      </c>
      <c r="V100">
        <v>0</v>
      </c>
      <c r="W100">
        <v>0</v>
      </c>
      <c r="X100">
        <v>958.5</v>
      </c>
      <c r="Y100">
        <v>0</v>
      </c>
      <c r="Z100">
        <v>0</v>
      </c>
      <c r="AA100" s="2">
        <v>6283.5</v>
      </c>
      <c r="AB100">
        <v>0</v>
      </c>
      <c r="AC100">
        <v>0</v>
      </c>
      <c r="AD100" s="2">
        <v>6283.5</v>
      </c>
      <c r="AE100" t="s">
        <v>53</v>
      </c>
    </row>
    <row r="101" spans="1:31" x14ac:dyDescent="0.35">
      <c r="A101">
        <v>99</v>
      </c>
      <c r="B101">
        <v>282174</v>
      </c>
      <c r="C101">
        <v>328013460</v>
      </c>
      <c r="D101" t="s">
        <v>585</v>
      </c>
      <c r="E101" t="s">
        <v>51</v>
      </c>
      <c r="F101" s="1">
        <v>46244</v>
      </c>
      <c r="G101" t="s">
        <v>392</v>
      </c>
      <c r="H101" t="s">
        <v>586</v>
      </c>
      <c r="I101" s="1">
        <v>46063</v>
      </c>
      <c r="J101" t="s">
        <v>138</v>
      </c>
      <c r="K101" t="s">
        <v>137</v>
      </c>
      <c r="L101" t="s">
        <v>15</v>
      </c>
      <c r="M101" t="s">
        <v>22</v>
      </c>
      <c r="N101" t="s">
        <v>550</v>
      </c>
      <c r="O101" t="s">
        <v>1932</v>
      </c>
      <c r="P101" t="s">
        <v>587</v>
      </c>
      <c r="Q101" t="s">
        <v>52</v>
      </c>
      <c r="R101" t="s">
        <v>418</v>
      </c>
      <c r="S101" s="2">
        <v>502500</v>
      </c>
      <c r="T101">
        <v>0.42499999999999999</v>
      </c>
      <c r="U101" s="2">
        <v>213562.5</v>
      </c>
      <c r="V101">
        <v>0</v>
      </c>
      <c r="W101">
        <v>0</v>
      </c>
      <c r="X101" s="2">
        <v>38441.25</v>
      </c>
      <c r="Y101">
        <v>0</v>
      </c>
      <c r="Z101">
        <v>0</v>
      </c>
      <c r="AA101" s="2">
        <v>252003.75</v>
      </c>
      <c r="AB101">
        <v>0</v>
      </c>
      <c r="AC101">
        <v>0</v>
      </c>
      <c r="AD101" s="2">
        <v>252003.75</v>
      </c>
      <c r="AE101" t="s">
        <v>53</v>
      </c>
    </row>
    <row r="102" spans="1:31" x14ac:dyDescent="0.35">
      <c r="A102">
        <v>100</v>
      </c>
      <c r="B102">
        <v>282174</v>
      </c>
      <c r="C102">
        <v>328013460</v>
      </c>
      <c r="D102" t="s">
        <v>585</v>
      </c>
      <c r="E102" t="s">
        <v>51</v>
      </c>
      <c r="F102" s="1">
        <v>46244</v>
      </c>
      <c r="G102" t="s">
        <v>392</v>
      </c>
      <c r="H102" t="s">
        <v>586</v>
      </c>
      <c r="I102" s="1">
        <v>46063</v>
      </c>
      <c r="J102" t="s">
        <v>138</v>
      </c>
      <c r="K102" t="s">
        <v>137</v>
      </c>
      <c r="L102" t="s">
        <v>15</v>
      </c>
      <c r="M102" t="s">
        <v>22</v>
      </c>
      <c r="N102" t="s">
        <v>550</v>
      </c>
      <c r="O102" t="s">
        <v>1932</v>
      </c>
      <c r="P102" t="s">
        <v>587</v>
      </c>
      <c r="Q102" t="s">
        <v>52</v>
      </c>
      <c r="R102" t="s">
        <v>418</v>
      </c>
      <c r="S102" s="2">
        <v>292500</v>
      </c>
      <c r="T102">
        <v>0.42499999999999999</v>
      </c>
      <c r="U102" s="2">
        <v>124312.5</v>
      </c>
      <c r="V102">
        <v>0</v>
      </c>
      <c r="W102">
        <v>0</v>
      </c>
      <c r="X102" s="2">
        <v>22376.25</v>
      </c>
      <c r="Y102">
        <v>0</v>
      </c>
      <c r="Z102">
        <v>0</v>
      </c>
      <c r="AA102" s="2">
        <v>146688.75</v>
      </c>
      <c r="AB102">
        <v>0</v>
      </c>
      <c r="AC102">
        <v>0</v>
      </c>
      <c r="AD102" s="2">
        <v>146688.75</v>
      </c>
      <c r="AE102" t="s">
        <v>53</v>
      </c>
    </row>
    <row r="103" spans="1:31" x14ac:dyDescent="0.35">
      <c r="A103">
        <v>101</v>
      </c>
      <c r="B103">
        <v>282182</v>
      </c>
      <c r="C103">
        <v>328013467</v>
      </c>
      <c r="D103" t="s">
        <v>588</v>
      </c>
      <c r="E103" t="s">
        <v>51</v>
      </c>
      <c r="F103" s="1">
        <v>46244</v>
      </c>
      <c r="G103" t="s">
        <v>589</v>
      </c>
      <c r="H103">
        <v>4300070854</v>
      </c>
      <c r="I103" s="1">
        <v>46045</v>
      </c>
      <c r="J103" t="s">
        <v>138</v>
      </c>
      <c r="K103" t="s">
        <v>137</v>
      </c>
      <c r="L103" t="s">
        <v>13</v>
      </c>
      <c r="M103" t="s">
        <v>14</v>
      </c>
      <c r="N103" t="s">
        <v>454</v>
      </c>
      <c r="O103" t="s">
        <v>1940</v>
      </c>
      <c r="Q103" t="s">
        <v>57</v>
      </c>
      <c r="R103" t="s">
        <v>436</v>
      </c>
      <c r="S103">
        <v>600</v>
      </c>
      <c r="T103">
        <v>12</v>
      </c>
      <c r="U103" s="2">
        <v>7200</v>
      </c>
      <c r="V103">
        <v>0</v>
      </c>
      <c r="W103">
        <v>0</v>
      </c>
      <c r="X103" s="2">
        <v>1324.8</v>
      </c>
      <c r="Y103">
        <v>160</v>
      </c>
      <c r="Z103">
        <v>28.8</v>
      </c>
      <c r="AA103" s="2">
        <v>8684.7999999999993</v>
      </c>
      <c r="AB103">
        <v>0</v>
      </c>
      <c r="AC103">
        <v>0</v>
      </c>
      <c r="AD103" s="2">
        <v>8684.7999999999993</v>
      </c>
      <c r="AE103" t="s">
        <v>55</v>
      </c>
    </row>
    <row r="104" spans="1:31" x14ac:dyDescent="0.35">
      <c r="A104">
        <v>102</v>
      </c>
      <c r="B104">
        <v>282203</v>
      </c>
      <c r="C104">
        <v>328013488</v>
      </c>
      <c r="D104" t="s">
        <v>590</v>
      </c>
      <c r="E104" t="s">
        <v>51</v>
      </c>
      <c r="F104" s="1">
        <v>46244</v>
      </c>
      <c r="G104" t="s">
        <v>392</v>
      </c>
      <c r="H104" t="s">
        <v>591</v>
      </c>
      <c r="I104" s="1">
        <v>46063</v>
      </c>
      <c r="J104" t="s">
        <v>138</v>
      </c>
      <c r="K104" t="s">
        <v>137</v>
      </c>
      <c r="L104" t="s">
        <v>15</v>
      </c>
      <c r="M104" t="s">
        <v>22</v>
      </c>
      <c r="N104" t="s">
        <v>592</v>
      </c>
      <c r="O104" t="s">
        <v>1932</v>
      </c>
      <c r="P104" t="s">
        <v>593</v>
      </c>
      <c r="Q104" t="s">
        <v>52</v>
      </c>
      <c r="R104" t="s">
        <v>418</v>
      </c>
      <c r="S104" s="2">
        <v>15000</v>
      </c>
      <c r="T104">
        <v>4.84</v>
      </c>
      <c r="U104" s="2">
        <v>72600</v>
      </c>
      <c r="V104">
        <v>0</v>
      </c>
      <c r="W104">
        <v>0</v>
      </c>
      <c r="X104" s="2">
        <v>13068</v>
      </c>
      <c r="Y104">
        <v>0</v>
      </c>
      <c r="Z104">
        <v>0</v>
      </c>
      <c r="AA104" s="2">
        <v>85668</v>
      </c>
      <c r="AB104">
        <v>0</v>
      </c>
      <c r="AC104">
        <v>0</v>
      </c>
      <c r="AD104" s="2">
        <v>85668</v>
      </c>
      <c r="AE104" t="s">
        <v>53</v>
      </c>
    </row>
    <row r="105" spans="1:31" x14ac:dyDescent="0.35">
      <c r="A105">
        <v>103</v>
      </c>
      <c r="B105">
        <v>282203</v>
      </c>
      <c r="C105">
        <v>328013488</v>
      </c>
      <c r="D105" t="s">
        <v>590</v>
      </c>
      <c r="E105" t="s">
        <v>51</v>
      </c>
      <c r="F105" s="1">
        <v>46244</v>
      </c>
      <c r="G105" t="s">
        <v>392</v>
      </c>
      <c r="H105" t="s">
        <v>591</v>
      </c>
      <c r="I105" s="1">
        <v>46063</v>
      </c>
      <c r="J105" t="s">
        <v>138</v>
      </c>
      <c r="K105" t="s">
        <v>137</v>
      </c>
      <c r="L105" t="s">
        <v>15</v>
      </c>
      <c r="M105" t="s">
        <v>22</v>
      </c>
      <c r="N105" t="s">
        <v>592</v>
      </c>
      <c r="O105" t="s">
        <v>1932</v>
      </c>
      <c r="P105" t="s">
        <v>593</v>
      </c>
      <c r="Q105" t="s">
        <v>52</v>
      </c>
      <c r="R105" t="s">
        <v>418</v>
      </c>
      <c r="S105" s="2">
        <v>15000</v>
      </c>
      <c r="T105">
        <v>4.84</v>
      </c>
      <c r="U105" s="2">
        <v>72600</v>
      </c>
      <c r="V105">
        <v>0</v>
      </c>
      <c r="W105">
        <v>0</v>
      </c>
      <c r="X105" s="2">
        <v>13068</v>
      </c>
      <c r="Y105">
        <v>0</v>
      </c>
      <c r="Z105">
        <v>0</v>
      </c>
      <c r="AA105" s="2">
        <v>85668</v>
      </c>
      <c r="AB105">
        <v>0</v>
      </c>
      <c r="AC105">
        <v>0</v>
      </c>
      <c r="AD105" s="2">
        <v>85668</v>
      </c>
      <c r="AE105" t="s">
        <v>53</v>
      </c>
    </row>
    <row r="106" spans="1:31" x14ac:dyDescent="0.35">
      <c r="A106">
        <v>104</v>
      </c>
      <c r="B106">
        <v>282205</v>
      </c>
      <c r="C106">
        <v>328013489</v>
      </c>
      <c r="D106" t="s">
        <v>594</v>
      </c>
      <c r="E106" t="s">
        <v>51</v>
      </c>
      <c r="F106" s="1">
        <v>46244</v>
      </c>
      <c r="G106" t="s">
        <v>392</v>
      </c>
      <c r="H106" t="s">
        <v>595</v>
      </c>
      <c r="I106" s="1">
        <v>46051</v>
      </c>
      <c r="J106" t="s">
        <v>138</v>
      </c>
      <c r="K106" t="s">
        <v>137</v>
      </c>
      <c r="L106" t="s">
        <v>15</v>
      </c>
      <c r="M106" t="s">
        <v>22</v>
      </c>
      <c r="N106" t="s">
        <v>592</v>
      </c>
      <c r="O106" t="s">
        <v>1932</v>
      </c>
      <c r="P106" t="s">
        <v>593</v>
      </c>
      <c r="Q106" t="s">
        <v>52</v>
      </c>
      <c r="R106" t="s">
        <v>418</v>
      </c>
      <c r="S106" s="2">
        <v>33000</v>
      </c>
      <c r="T106">
        <v>4.84</v>
      </c>
      <c r="U106" s="2">
        <v>159720</v>
      </c>
      <c r="V106">
        <v>0</v>
      </c>
      <c r="W106">
        <v>0</v>
      </c>
      <c r="X106" s="2">
        <v>28749.599999999999</v>
      </c>
      <c r="Y106">
        <v>0</v>
      </c>
      <c r="Z106">
        <v>0</v>
      </c>
      <c r="AA106" s="2">
        <v>188469.6</v>
      </c>
      <c r="AB106">
        <v>0</v>
      </c>
      <c r="AC106">
        <v>0</v>
      </c>
      <c r="AD106" s="2">
        <v>188469.6</v>
      </c>
      <c r="AE106" t="s">
        <v>53</v>
      </c>
    </row>
    <row r="107" spans="1:31" x14ac:dyDescent="0.35">
      <c r="A107">
        <v>105</v>
      </c>
      <c r="B107">
        <v>282264</v>
      </c>
      <c r="C107">
        <v>328013544</v>
      </c>
      <c r="D107" t="s">
        <v>596</v>
      </c>
      <c r="E107" t="s">
        <v>51</v>
      </c>
      <c r="F107" s="1">
        <v>46244</v>
      </c>
      <c r="G107" t="s">
        <v>363</v>
      </c>
      <c r="H107">
        <v>1019000913</v>
      </c>
      <c r="I107" s="1">
        <v>46170</v>
      </c>
      <c r="J107" t="s">
        <v>138</v>
      </c>
      <c r="K107" t="s">
        <v>137</v>
      </c>
      <c r="L107" t="s">
        <v>11</v>
      </c>
      <c r="M107" t="s">
        <v>14</v>
      </c>
      <c r="N107" t="s">
        <v>597</v>
      </c>
      <c r="O107" t="s">
        <v>1932</v>
      </c>
      <c r="P107" t="s">
        <v>598</v>
      </c>
      <c r="Q107" t="s">
        <v>52</v>
      </c>
      <c r="R107" t="s">
        <v>418</v>
      </c>
      <c r="S107" s="2">
        <v>25500</v>
      </c>
      <c r="T107">
        <v>2.84</v>
      </c>
      <c r="U107" s="2">
        <v>72420</v>
      </c>
      <c r="V107">
        <v>0</v>
      </c>
      <c r="W107">
        <v>0</v>
      </c>
      <c r="X107" s="2">
        <v>13035.6</v>
      </c>
      <c r="Y107">
        <v>0</v>
      </c>
      <c r="Z107">
        <v>0</v>
      </c>
      <c r="AA107" s="2">
        <v>85455.6</v>
      </c>
      <c r="AB107">
        <v>0</v>
      </c>
      <c r="AC107">
        <v>0</v>
      </c>
      <c r="AD107" s="2">
        <v>85455.6</v>
      </c>
      <c r="AE107" t="s">
        <v>53</v>
      </c>
    </row>
    <row r="108" spans="1:31" x14ac:dyDescent="0.35">
      <c r="A108">
        <v>106</v>
      </c>
      <c r="B108">
        <v>282272</v>
      </c>
      <c r="C108">
        <v>328013552</v>
      </c>
      <c r="D108" t="s">
        <v>599</v>
      </c>
      <c r="E108" t="s">
        <v>51</v>
      </c>
      <c r="F108" s="1">
        <v>46244</v>
      </c>
      <c r="G108" t="s">
        <v>140</v>
      </c>
      <c r="H108" t="s">
        <v>435</v>
      </c>
      <c r="I108" s="1">
        <v>46238</v>
      </c>
      <c r="J108" t="s">
        <v>138</v>
      </c>
      <c r="K108" t="s">
        <v>137</v>
      </c>
      <c r="L108" t="s">
        <v>78</v>
      </c>
      <c r="M108" t="s">
        <v>14</v>
      </c>
      <c r="N108" t="s">
        <v>145</v>
      </c>
      <c r="O108" t="s">
        <v>1940</v>
      </c>
      <c r="P108" t="s">
        <v>236</v>
      </c>
      <c r="Q108" t="s">
        <v>57</v>
      </c>
      <c r="R108" t="s">
        <v>436</v>
      </c>
      <c r="S108" s="2">
        <v>3000</v>
      </c>
      <c r="T108">
        <v>10</v>
      </c>
      <c r="U108" s="2">
        <v>30000</v>
      </c>
      <c r="V108">
        <v>0</v>
      </c>
      <c r="W108">
        <v>0</v>
      </c>
      <c r="X108" s="2">
        <v>5497.2</v>
      </c>
      <c r="Y108">
        <v>540</v>
      </c>
      <c r="Z108">
        <v>97.2</v>
      </c>
      <c r="AA108" s="2">
        <v>36037.199999999997</v>
      </c>
      <c r="AB108">
        <v>0</v>
      </c>
      <c r="AC108">
        <v>0</v>
      </c>
      <c r="AD108" s="2">
        <v>36037.199999999997</v>
      </c>
      <c r="AE108" t="s">
        <v>55</v>
      </c>
    </row>
    <row r="109" spans="1:31" x14ac:dyDescent="0.35">
      <c r="A109">
        <v>107</v>
      </c>
      <c r="B109">
        <v>282276</v>
      </c>
      <c r="C109">
        <v>328013556</v>
      </c>
      <c r="D109" t="s">
        <v>600</v>
      </c>
      <c r="E109" t="s">
        <v>51</v>
      </c>
      <c r="F109" s="1">
        <v>46244</v>
      </c>
      <c r="G109" t="s">
        <v>601</v>
      </c>
      <c r="H109">
        <v>6000009021</v>
      </c>
      <c r="I109" s="1">
        <v>46182</v>
      </c>
      <c r="J109" t="s">
        <v>138</v>
      </c>
      <c r="K109" t="s">
        <v>137</v>
      </c>
      <c r="L109" t="s">
        <v>49</v>
      </c>
      <c r="M109" t="s">
        <v>21</v>
      </c>
      <c r="N109" t="s">
        <v>602</v>
      </c>
      <c r="O109" t="s">
        <v>1932</v>
      </c>
      <c r="P109">
        <v>1106769</v>
      </c>
      <c r="Q109" t="s">
        <v>52</v>
      </c>
      <c r="R109" t="s">
        <v>418</v>
      </c>
      <c r="S109" s="2">
        <v>3000</v>
      </c>
      <c r="T109">
        <v>5.47</v>
      </c>
      <c r="U109" s="2">
        <v>16410</v>
      </c>
      <c r="V109">
        <v>0</v>
      </c>
      <c r="W109">
        <v>0</v>
      </c>
      <c r="X109" s="2">
        <v>2953.8</v>
      </c>
      <c r="Y109">
        <v>0</v>
      </c>
      <c r="Z109">
        <v>0</v>
      </c>
      <c r="AA109" s="2">
        <v>19363.8</v>
      </c>
      <c r="AB109">
        <v>0</v>
      </c>
      <c r="AC109">
        <v>0</v>
      </c>
      <c r="AD109" s="2">
        <v>19363.8</v>
      </c>
      <c r="AE109" t="s">
        <v>53</v>
      </c>
    </row>
    <row r="110" spans="1:31" x14ac:dyDescent="0.35">
      <c r="A110">
        <v>108</v>
      </c>
      <c r="B110">
        <v>282277</v>
      </c>
      <c r="C110">
        <v>328013557</v>
      </c>
      <c r="D110" t="s">
        <v>603</v>
      </c>
      <c r="E110" t="s">
        <v>51</v>
      </c>
      <c r="F110" s="1">
        <v>46244</v>
      </c>
      <c r="G110" t="s">
        <v>604</v>
      </c>
      <c r="H110" t="s">
        <v>605</v>
      </c>
      <c r="I110" s="1">
        <v>46158</v>
      </c>
      <c r="J110" t="s">
        <v>138</v>
      </c>
      <c r="K110" t="s">
        <v>137</v>
      </c>
      <c r="L110" t="s">
        <v>89</v>
      </c>
      <c r="M110" t="s">
        <v>21</v>
      </c>
      <c r="N110" t="s">
        <v>606</v>
      </c>
      <c r="O110" t="s">
        <v>1932</v>
      </c>
      <c r="Q110" t="s">
        <v>52</v>
      </c>
      <c r="R110" t="s">
        <v>418</v>
      </c>
      <c r="S110" s="2">
        <v>24000</v>
      </c>
      <c r="T110">
        <v>1.23</v>
      </c>
      <c r="U110" s="2">
        <v>29520</v>
      </c>
      <c r="V110">
        <v>0</v>
      </c>
      <c r="W110">
        <v>0</v>
      </c>
      <c r="X110" s="2">
        <v>5343.3</v>
      </c>
      <c r="Y110">
        <v>165</v>
      </c>
      <c r="Z110">
        <v>29.7</v>
      </c>
      <c r="AA110" s="2">
        <v>35028.300000000003</v>
      </c>
      <c r="AB110">
        <v>0</v>
      </c>
      <c r="AC110">
        <v>0</v>
      </c>
      <c r="AD110" s="2">
        <v>35028.300000000003</v>
      </c>
      <c r="AE110" t="s">
        <v>53</v>
      </c>
    </row>
    <row r="111" spans="1:31" x14ac:dyDescent="0.35">
      <c r="A111">
        <v>109</v>
      </c>
      <c r="B111">
        <v>282298</v>
      </c>
      <c r="C111">
        <v>328013575</v>
      </c>
      <c r="D111" t="s">
        <v>607</v>
      </c>
      <c r="E111" t="s">
        <v>51</v>
      </c>
      <c r="F111" s="1">
        <v>46244</v>
      </c>
      <c r="G111" t="s">
        <v>405</v>
      </c>
      <c r="H111">
        <v>7100000510</v>
      </c>
      <c r="I111" s="1">
        <v>46170</v>
      </c>
      <c r="J111" t="s">
        <v>138</v>
      </c>
      <c r="K111" t="s">
        <v>137</v>
      </c>
      <c r="L111" t="s">
        <v>78</v>
      </c>
      <c r="M111" t="s">
        <v>17</v>
      </c>
      <c r="N111" t="s">
        <v>608</v>
      </c>
      <c r="O111" t="s">
        <v>1950</v>
      </c>
      <c r="P111">
        <v>1011001269</v>
      </c>
      <c r="Q111" t="s">
        <v>609</v>
      </c>
      <c r="R111" t="s">
        <v>610</v>
      </c>
      <c r="S111" s="2">
        <v>65000</v>
      </c>
      <c r="T111">
        <v>2.4700000000000002</v>
      </c>
      <c r="U111" s="2">
        <v>160550</v>
      </c>
      <c r="V111">
        <v>0</v>
      </c>
      <c r="W111">
        <v>0</v>
      </c>
      <c r="X111" s="2">
        <v>28899</v>
      </c>
      <c r="Y111">
        <v>0</v>
      </c>
      <c r="Z111">
        <v>0</v>
      </c>
      <c r="AA111" s="2">
        <v>189449</v>
      </c>
      <c r="AB111">
        <v>0</v>
      </c>
      <c r="AC111">
        <v>0</v>
      </c>
      <c r="AD111" s="2">
        <v>189449</v>
      </c>
      <c r="AE111" t="s">
        <v>53</v>
      </c>
    </row>
    <row r="112" spans="1:31" x14ac:dyDescent="0.35">
      <c r="A112">
        <v>110</v>
      </c>
      <c r="B112">
        <v>282302</v>
      </c>
      <c r="C112">
        <v>328013579</v>
      </c>
      <c r="D112" t="s">
        <v>611</v>
      </c>
      <c r="E112" t="s">
        <v>51</v>
      </c>
      <c r="F112" s="1">
        <v>46244</v>
      </c>
      <c r="G112" t="s">
        <v>612</v>
      </c>
      <c r="H112" t="s">
        <v>613</v>
      </c>
      <c r="I112" s="1">
        <v>46244</v>
      </c>
      <c r="J112" t="s">
        <v>138</v>
      </c>
      <c r="K112" t="s">
        <v>1279</v>
      </c>
      <c r="L112" t="s">
        <v>12</v>
      </c>
      <c r="M112" t="s">
        <v>21</v>
      </c>
      <c r="N112" t="s">
        <v>119</v>
      </c>
      <c r="O112" t="s">
        <v>1936</v>
      </c>
      <c r="Q112" t="s">
        <v>54</v>
      </c>
      <c r="R112" t="s">
        <v>416</v>
      </c>
      <c r="S112">
        <v>420</v>
      </c>
      <c r="T112">
        <v>51.5</v>
      </c>
      <c r="U112" s="2">
        <v>21630</v>
      </c>
      <c r="V112">
        <v>0</v>
      </c>
      <c r="W112">
        <v>0</v>
      </c>
      <c r="X112" s="2">
        <v>3893.4</v>
      </c>
      <c r="Y112">
        <v>0</v>
      </c>
      <c r="Z112">
        <v>0</v>
      </c>
      <c r="AA112" s="2">
        <v>25523.4</v>
      </c>
      <c r="AB112">
        <v>0</v>
      </c>
      <c r="AC112">
        <v>0</v>
      </c>
      <c r="AD112" s="2">
        <v>25523.4</v>
      </c>
      <c r="AE112" t="s">
        <v>55</v>
      </c>
    </row>
    <row r="113" spans="1:31" x14ac:dyDescent="0.35">
      <c r="A113">
        <v>111</v>
      </c>
      <c r="B113">
        <v>282308</v>
      </c>
      <c r="C113">
        <v>328013585</v>
      </c>
      <c r="D113" t="s">
        <v>614</v>
      </c>
      <c r="E113" t="s">
        <v>51</v>
      </c>
      <c r="F113" s="1">
        <v>46244</v>
      </c>
      <c r="G113" t="s">
        <v>615</v>
      </c>
      <c r="H113" t="s">
        <v>613</v>
      </c>
      <c r="I113" s="1">
        <v>46244</v>
      </c>
      <c r="J113" t="s">
        <v>138</v>
      </c>
      <c r="K113" t="s">
        <v>1278</v>
      </c>
      <c r="L113" t="s">
        <v>12</v>
      </c>
      <c r="M113" t="s">
        <v>21</v>
      </c>
      <c r="N113" t="s">
        <v>616</v>
      </c>
      <c r="O113" t="s">
        <v>1936</v>
      </c>
      <c r="Q113" t="s">
        <v>54</v>
      </c>
      <c r="R113" t="s">
        <v>416</v>
      </c>
      <c r="S113">
        <v>500</v>
      </c>
      <c r="T113">
        <v>39</v>
      </c>
      <c r="U113" s="2">
        <v>19500</v>
      </c>
      <c r="V113">
        <v>0</v>
      </c>
      <c r="W113">
        <v>0</v>
      </c>
      <c r="X113" s="2">
        <v>3510</v>
      </c>
      <c r="Y113">
        <v>0</v>
      </c>
      <c r="Z113">
        <v>0</v>
      </c>
      <c r="AA113" s="2">
        <v>23010</v>
      </c>
      <c r="AB113">
        <v>0</v>
      </c>
      <c r="AC113">
        <v>0</v>
      </c>
      <c r="AD113" s="2">
        <v>23010</v>
      </c>
      <c r="AE113" t="s">
        <v>55</v>
      </c>
    </row>
    <row r="114" spans="1:31" x14ac:dyDescent="0.35">
      <c r="A114">
        <v>112</v>
      </c>
      <c r="B114">
        <v>282308</v>
      </c>
      <c r="C114">
        <v>328013585</v>
      </c>
      <c r="D114" t="s">
        <v>614</v>
      </c>
      <c r="E114" t="s">
        <v>51</v>
      </c>
      <c r="F114" s="1">
        <v>46244</v>
      </c>
      <c r="G114" t="s">
        <v>615</v>
      </c>
      <c r="H114" t="s">
        <v>613</v>
      </c>
      <c r="I114" s="1">
        <v>46244</v>
      </c>
      <c r="J114" t="s">
        <v>138</v>
      </c>
      <c r="K114" t="s">
        <v>1278</v>
      </c>
      <c r="L114" t="s">
        <v>12</v>
      </c>
      <c r="M114" t="s">
        <v>21</v>
      </c>
      <c r="N114" t="s">
        <v>119</v>
      </c>
      <c r="O114" t="s">
        <v>1936</v>
      </c>
      <c r="Q114" t="s">
        <v>54</v>
      </c>
      <c r="R114" t="s">
        <v>416</v>
      </c>
      <c r="S114">
        <v>630</v>
      </c>
      <c r="T114">
        <v>51.5</v>
      </c>
      <c r="U114" s="2">
        <v>32445</v>
      </c>
      <c r="V114">
        <v>0</v>
      </c>
      <c r="W114">
        <v>0</v>
      </c>
      <c r="X114" s="2">
        <v>5840.1</v>
      </c>
      <c r="Y114">
        <v>0</v>
      </c>
      <c r="Z114">
        <v>0</v>
      </c>
      <c r="AA114" s="2">
        <v>38285.1</v>
      </c>
      <c r="AB114">
        <v>0</v>
      </c>
      <c r="AC114">
        <v>0</v>
      </c>
      <c r="AD114" s="2">
        <v>38285.1</v>
      </c>
      <c r="AE114" t="s">
        <v>55</v>
      </c>
    </row>
    <row r="115" spans="1:31" x14ac:dyDescent="0.35">
      <c r="A115">
        <v>113</v>
      </c>
      <c r="B115">
        <v>282317</v>
      </c>
      <c r="C115">
        <v>328013592</v>
      </c>
      <c r="D115" t="s">
        <v>617</v>
      </c>
      <c r="E115" t="s">
        <v>51</v>
      </c>
      <c r="F115" s="1">
        <v>46244</v>
      </c>
      <c r="G115" t="s">
        <v>132</v>
      </c>
      <c r="H115" t="s">
        <v>618</v>
      </c>
      <c r="I115" s="1">
        <v>46242</v>
      </c>
      <c r="J115" t="s">
        <v>138</v>
      </c>
      <c r="K115" t="s">
        <v>137</v>
      </c>
      <c r="L115" t="s">
        <v>13</v>
      </c>
      <c r="M115" t="s">
        <v>23</v>
      </c>
      <c r="N115" t="s">
        <v>619</v>
      </c>
      <c r="O115" t="s">
        <v>1951</v>
      </c>
      <c r="P115" t="s">
        <v>620</v>
      </c>
      <c r="Q115" t="s">
        <v>57</v>
      </c>
      <c r="R115" t="s">
        <v>436</v>
      </c>
      <c r="S115" s="2">
        <v>5000</v>
      </c>
      <c r="T115">
        <v>44.8</v>
      </c>
      <c r="U115" s="2">
        <v>224000</v>
      </c>
      <c r="V115">
        <v>0</v>
      </c>
      <c r="W115">
        <v>0</v>
      </c>
      <c r="X115" s="2">
        <v>40500</v>
      </c>
      <c r="Y115" s="2">
        <v>1000</v>
      </c>
      <c r="Z115">
        <v>180</v>
      </c>
      <c r="AA115" s="2">
        <v>265500</v>
      </c>
      <c r="AB115">
        <v>0</v>
      </c>
      <c r="AC115">
        <v>0</v>
      </c>
      <c r="AD115" s="2">
        <v>265500</v>
      </c>
      <c r="AE115" t="s">
        <v>55</v>
      </c>
    </row>
    <row r="116" spans="1:31" x14ac:dyDescent="0.35">
      <c r="A116">
        <v>114</v>
      </c>
      <c r="B116">
        <v>282339</v>
      </c>
      <c r="C116">
        <v>328013614</v>
      </c>
      <c r="D116" t="s">
        <v>621</v>
      </c>
      <c r="E116" t="s">
        <v>51</v>
      </c>
      <c r="F116" s="1">
        <v>46244</v>
      </c>
      <c r="G116" t="s">
        <v>449</v>
      </c>
      <c r="H116" t="s">
        <v>453</v>
      </c>
      <c r="I116" s="1">
        <v>46192</v>
      </c>
      <c r="J116" t="s">
        <v>138</v>
      </c>
      <c r="K116" t="s">
        <v>137</v>
      </c>
      <c r="L116" t="s">
        <v>13</v>
      </c>
      <c r="M116" t="s">
        <v>23</v>
      </c>
      <c r="N116" t="s">
        <v>625</v>
      </c>
      <c r="O116" t="s">
        <v>1936</v>
      </c>
      <c r="P116" t="s">
        <v>625</v>
      </c>
      <c r="Q116" t="s">
        <v>52</v>
      </c>
      <c r="R116" t="s">
        <v>488</v>
      </c>
      <c r="S116" s="2">
        <v>15000</v>
      </c>
      <c r="T116">
        <v>3.96</v>
      </c>
      <c r="U116" s="2">
        <v>59400</v>
      </c>
      <c r="V116">
        <v>0</v>
      </c>
      <c r="W116">
        <v>0</v>
      </c>
      <c r="X116" s="2">
        <v>10781.1</v>
      </c>
      <c r="Y116">
        <v>211.57042999999999</v>
      </c>
      <c r="Z116">
        <v>38.082680000000003</v>
      </c>
      <c r="AA116" s="2">
        <v>70341.653099999996</v>
      </c>
      <c r="AB116">
        <v>0</v>
      </c>
      <c r="AC116">
        <v>0</v>
      </c>
      <c r="AD116" s="2">
        <v>70341.653099999996</v>
      </c>
      <c r="AE116" t="s">
        <v>53</v>
      </c>
    </row>
    <row r="117" spans="1:31" x14ac:dyDescent="0.35">
      <c r="A117">
        <v>115</v>
      </c>
      <c r="B117">
        <v>282339</v>
      </c>
      <c r="C117">
        <v>328013614</v>
      </c>
      <c r="D117" t="s">
        <v>621</v>
      </c>
      <c r="E117" t="s">
        <v>51</v>
      </c>
      <c r="F117" s="1">
        <v>46244</v>
      </c>
      <c r="G117" t="s">
        <v>449</v>
      </c>
      <c r="H117" t="s">
        <v>453</v>
      </c>
      <c r="I117" s="1">
        <v>46192</v>
      </c>
      <c r="J117" t="s">
        <v>138</v>
      </c>
      <c r="K117" t="s">
        <v>137</v>
      </c>
      <c r="L117" t="s">
        <v>13</v>
      </c>
      <c r="M117" t="s">
        <v>23</v>
      </c>
      <c r="N117" t="s">
        <v>623</v>
      </c>
      <c r="O117" t="s">
        <v>1932</v>
      </c>
      <c r="P117" t="s">
        <v>623</v>
      </c>
      <c r="Q117" t="s">
        <v>52</v>
      </c>
      <c r="R117" t="s">
        <v>418</v>
      </c>
      <c r="S117" s="2">
        <v>18000</v>
      </c>
      <c r="T117">
        <v>3.7</v>
      </c>
      <c r="U117" s="2">
        <v>66600</v>
      </c>
      <c r="V117">
        <v>0</v>
      </c>
      <c r="W117">
        <v>0</v>
      </c>
      <c r="X117" s="2">
        <v>11988</v>
      </c>
      <c r="Y117">
        <v>237.21532999999999</v>
      </c>
      <c r="Z117">
        <v>42.69876</v>
      </c>
      <c r="AA117" s="2">
        <v>78867.914090000006</v>
      </c>
      <c r="AB117">
        <v>0</v>
      </c>
      <c r="AC117">
        <v>0</v>
      </c>
      <c r="AD117" s="2">
        <v>78867.914090000006</v>
      </c>
      <c r="AE117" t="s">
        <v>53</v>
      </c>
    </row>
    <row r="118" spans="1:31" x14ac:dyDescent="0.35">
      <c r="A118">
        <v>116</v>
      </c>
      <c r="B118">
        <v>282339</v>
      </c>
      <c r="C118">
        <v>328013614</v>
      </c>
      <c r="D118" t="s">
        <v>621</v>
      </c>
      <c r="E118" t="s">
        <v>51</v>
      </c>
      <c r="F118" s="1">
        <v>46244</v>
      </c>
      <c r="G118" t="s">
        <v>449</v>
      </c>
      <c r="H118" t="s">
        <v>453</v>
      </c>
      <c r="I118" s="1">
        <v>46192</v>
      </c>
      <c r="J118" t="s">
        <v>138</v>
      </c>
      <c r="K118" t="s">
        <v>137</v>
      </c>
      <c r="L118" t="s">
        <v>13</v>
      </c>
      <c r="M118" t="s">
        <v>23</v>
      </c>
      <c r="N118" t="s">
        <v>624</v>
      </c>
      <c r="O118" t="s">
        <v>1932</v>
      </c>
      <c r="P118" t="s">
        <v>624</v>
      </c>
      <c r="Q118" t="s">
        <v>52</v>
      </c>
      <c r="R118" t="s">
        <v>418</v>
      </c>
      <c r="S118" s="2">
        <v>7500</v>
      </c>
      <c r="T118">
        <v>0.73</v>
      </c>
      <c r="U118" s="2">
        <v>5475</v>
      </c>
      <c r="V118">
        <v>0</v>
      </c>
      <c r="W118">
        <v>0</v>
      </c>
      <c r="X118">
        <v>985.5</v>
      </c>
      <c r="Y118">
        <v>19.500810000000001</v>
      </c>
      <c r="Z118">
        <v>3.5101499999999999</v>
      </c>
      <c r="AA118" s="2">
        <v>6483.5109599999996</v>
      </c>
      <c r="AB118">
        <v>0</v>
      </c>
      <c r="AC118">
        <v>0</v>
      </c>
      <c r="AD118" s="2">
        <v>6483.5109599999996</v>
      </c>
      <c r="AE118" t="s">
        <v>53</v>
      </c>
    </row>
    <row r="119" spans="1:31" x14ac:dyDescent="0.35">
      <c r="A119">
        <v>117</v>
      </c>
      <c r="B119">
        <v>282339</v>
      </c>
      <c r="C119">
        <v>328013614</v>
      </c>
      <c r="D119" t="s">
        <v>621</v>
      </c>
      <c r="E119" t="s">
        <v>51</v>
      </c>
      <c r="F119" s="1">
        <v>46244</v>
      </c>
      <c r="G119" t="s">
        <v>449</v>
      </c>
      <c r="H119" t="s">
        <v>453</v>
      </c>
      <c r="I119" s="1">
        <v>46192</v>
      </c>
      <c r="J119" t="s">
        <v>138</v>
      </c>
      <c r="K119" t="s">
        <v>137</v>
      </c>
      <c r="L119" t="s">
        <v>13</v>
      </c>
      <c r="M119" t="s">
        <v>23</v>
      </c>
      <c r="N119" t="s">
        <v>622</v>
      </c>
      <c r="O119" t="s">
        <v>1932</v>
      </c>
      <c r="P119" t="s">
        <v>622</v>
      </c>
      <c r="Q119" t="s">
        <v>52</v>
      </c>
      <c r="R119" t="s">
        <v>418</v>
      </c>
      <c r="S119" s="2">
        <v>6000</v>
      </c>
      <c r="T119">
        <v>1.25</v>
      </c>
      <c r="U119" s="2">
        <v>7500</v>
      </c>
      <c r="V119">
        <v>0</v>
      </c>
      <c r="W119">
        <v>0</v>
      </c>
      <c r="X119" s="2">
        <v>1350</v>
      </c>
      <c r="Y119">
        <v>26.713439999999999</v>
      </c>
      <c r="Z119">
        <v>4.8084199999999999</v>
      </c>
      <c r="AA119" s="2">
        <v>8881.5218600000007</v>
      </c>
      <c r="AB119">
        <v>0</v>
      </c>
      <c r="AC119">
        <v>0</v>
      </c>
      <c r="AD119" s="2">
        <v>8881.5218600000007</v>
      </c>
      <c r="AE119" t="s">
        <v>53</v>
      </c>
    </row>
    <row r="120" spans="1:31" x14ac:dyDescent="0.35">
      <c r="A120">
        <v>118</v>
      </c>
      <c r="B120">
        <v>282408</v>
      </c>
      <c r="C120">
        <v>328013666</v>
      </c>
      <c r="D120" t="s">
        <v>1281</v>
      </c>
      <c r="E120" t="s">
        <v>51</v>
      </c>
      <c r="F120" s="1">
        <v>46245</v>
      </c>
      <c r="G120" t="s">
        <v>1282</v>
      </c>
      <c r="H120" t="s">
        <v>1283</v>
      </c>
      <c r="I120" s="1">
        <v>46244</v>
      </c>
      <c r="J120" t="s">
        <v>138</v>
      </c>
      <c r="K120" t="s">
        <v>137</v>
      </c>
      <c r="L120" t="s">
        <v>13</v>
      </c>
      <c r="M120" t="s">
        <v>14</v>
      </c>
      <c r="N120" t="s">
        <v>1284</v>
      </c>
      <c r="O120" t="s">
        <v>1946</v>
      </c>
      <c r="Q120" t="s">
        <v>59</v>
      </c>
      <c r="R120" t="s">
        <v>431</v>
      </c>
      <c r="S120">
        <v>1</v>
      </c>
      <c r="T120" s="2">
        <v>1550</v>
      </c>
      <c r="U120" s="2">
        <v>1550</v>
      </c>
      <c r="V120">
        <v>0</v>
      </c>
      <c r="W120">
        <v>0</v>
      </c>
      <c r="X120">
        <v>297</v>
      </c>
      <c r="Y120">
        <v>100</v>
      </c>
      <c r="Z120">
        <v>18</v>
      </c>
      <c r="AA120" s="2">
        <v>1947</v>
      </c>
      <c r="AB120">
        <v>0</v>
      </c>
      <c r="AC120">
        <v>0</v>
      </c>
      <c r="AD120" s="2">
        <v>1947</v>
      </c>
      <c r="AE120" t="s">
        <v>55</v>
      </c>
    </row>
    <row r="121" spans="1:31" x14ac:dyDescent="0.35">
      <c r="A121">
        <v>119</v>
      </c>
      <c r="B121">
        <v>282431</v>
      </c>
      <c r="C121">
        <v>328013687</v>
      </c>
      <c r="D121" t="s">
        <v>1285</v>
      </c>
      <c r="E121" t="s">
        <v>51</v>
      </c>
      <c r="F121" s="1">
        <v>46245</v>
      </c>
      <c r="G121" t="s">
        <v>1286</v>
      </c>
      <c r="H121">
        <v>4400075341</v>
      </c>
      <c r="I121" s="1">
        <v>46141</v>
      </c>
      <c r="J121" t="s">
        <v>138</v>
      </c>
      <c r="K121" t="s">
        <v>137</v>
      </c>
      <c r="L121" t="s">
        <v>13</v>
      </c>
      <c r="M121" t="s">
        <v>17</v>
      </c>
      <c r="N121" t="s">
        <v>1287</v>
      </c>
      <c r="O121" t="s">
        <v>1940</v>
      </c>
      <c r="P121">
        <v>150003001220</v>
      </c>
      <c r="Q121" t="s">
        <v>57</v>
      </c>
      <c r="R121" t="s">
        <v>436</v>
      </c>
      <c r="S121" s="2">
        <v>8000</v>
      </c>
      <c r="T121">
        <v>20</v>
      </c>
      <c r="U121" s="2">
        <v>160000</v>
      </c>
      <c r="V121">
        <v>0</v>
      </c>
      <c r="W121">
        <v>0</v>
      </c>
      <c r="X121" s="2">
        <v>28944</v>
      </c>
      <c r="Y121">
        <v>800</v>
      </c>
      <c r="Z121">
        <v>144</v>
      </c>
      <c r="AA121" s="2">
        <v>189744</v>
      </c>
      <c r="AB121">
        <v>0</v>
      </c>
      <c r="AC121">
        <v>0</v>
      </c>
      <c r="AD121" s="2">
        <v>189744</v>
      </c>
      <c r="AE121" t="s">
        <v>55</v>
      </c>
    </row>
    <row r="122" spans="1:31" x14ac:dyDescent="0.35">
      <c r="A122">
        <v>120</v>
      </c>
      <c r="B122">
        <v>282484</v>
      </c>
      <c r="C122">
        <v>328013729</v>
      </c>
      <c r="D122" t="s">
        <v>1288</v>
      </c>
      <c r="E122" t="s">
        <v>51</v>
      </c>
      <c r="F122" s="1">
        <v>46245</v>
      </c>
      <c r="G122" t="s">
        <v>1289</v>
      </c>
      <c r="H122" t="s">
        <v>1290</v>
      </c>
      <c r="I122" s="1">
        <v>46160</v>
      </c>
      <c r="J122" t="s">
        <v>138</v>
      </c>
      <c r="K122" t="s">
        <v>137</v>
      </c>
      <c r="L122" t="s">
        <v>12</v>
      </c>
      <c r="M122" t="s">
        <v>21</v>
      </c>
      <c r="N122" t="s">
        <v>1291</v>
      </c>
      <c r="O122" t="s">
        <v>1932</v>
      </c>
      <c r="P122" t="s">
        <v>1292</v>
      </c>
      <c r="Q122" t="s">
        <v>52</v>
      </c>
      <c r="R122" t="s">
        <v>418</v>
      </c>
      <c r="S122" s="2">
        <v>10000</v>
      </c>
      <c r="T122">
        <v>0.71</v>
      </c>
      <c r="U122" s="2">
        <v>7100</v>
      </c>
      <c r="V122">
        <v>0</v>
      </c>
      <c r="W122">
        <v>0</v>
      </c>
      <c r="X122" s="2">
        <v>1278</v>
      </c>
      <c r="Y122">
        <v>0</v>
      </c>
      <c r="Z122">
        <v>0</v>
      </c>
      <c r="AA122" s="2">
        <v>8378</v>
      </c>
      <c r="AB122">
        <v>0</v>
      </c>
      <c r="AC122">
        <v>0</v>
      </c>
      <c r="AD122" s="2">
        <v>8378</v>
      </c>
      <c r="AE122" t="s">
        <v>53</v>
      </c>
    </row>
    <row r="123" spans="1:31" x14ac:dyDescent="0.35">
      <c r="A123">
        <v>121</v>
      </c>
      <c r="B123">
        <v>282488</v>
      </c>
      <c r="C123">
        <v>328013731</v>
      </c>
      <c r="D123" t="s">
        <v>1293</v>
      </c>
      <c r="E123" t="s">
        <v>51</v>
      </c>
      <c r="F123" s="1">
        <v>46245</v>
      </c>
      <c r="G123" t="s">
        <v>528</v>
      </c>
      <c r="H123" t="s">
        <v>1294</v>
      </c>
      <c r="I123" s="1">
        <v>46239</v>
      </c>
      <c r="J123" t="s">
        <v>138</v>
      </c>
      <c r="K123" t="s">
        <v>137</v>
      </c>
      <c r="L123" t="s">
        <v>18</v>
      </c>
      <c r="M123" t="s">
        <v>24</v>
      </c>
      <c r="N123" t="s">
        <v>1295</v>
      </c>
      <c r="O123" t="s">
        <v>1951</v>
      </c>
      <c r="P123" t="s">
        <v>1295</v>
      </c>
      <c r="Q123" t="s">
        <v>57</v>
      </c>
      <c r="R123" t="s">
        <v>436</v>
      </c>
      <c r="S123" s="2">
        <v>11000</v>
      </c>
      <c r="T123">
        <v>42.5</v>
      </c>
      <c r="U123" s="2">
        <v>467500</v>
      </c>
      <c r="V123">
        <v>0</v>
      </c>
      <c r="W123">
        <v>0</v>
      </c>
      <c r="X123" s="2">
        <v>84150</v>
      </c>
      <c r="Y123">
        <v>0</v>
      </c>
      <c r="Z123">
        <v>0</v>
      </c>
      <c r="AA123" s="2">
        <v>551650</v>
      </c>
      <c r="AB123">
        <v>0</v>
      </c>
      <c r="AC123">
        <v>0</v>
      </c>
      <c r="AD123" s="2">
        <v>551650</v>
      </c>
      <c r="AE123" t="s">
        <v>55</v>
      </c>
    </row>
    <row r="124" spans="1:31" x14ac:dyDescent="0.35">
      <c r="A124">
        <v>122</v>
      </c>
      <c r="B124">
        <v>282489</v>
      </c>
      <c r="C124">
        <v>328013732</v>
      </c>
      <c r="D124" t="s">
        <v>1296</v>
      </c>
      <c r="E124" t="s">
        <v>51</v>
      </c>
      <c r="F124" s="1">
        <v>46245</v>
      </c>
      <c r="G124" t="s">
        <v>87</v>
      </c>
      <c r="H124">
        <v>4501089204</v>
      </c>
      <c r="I124" s="1">
        <v>46213</v>
      </c>
      <c r="J124" t="s">
        <v>138</v>
      </c>
      <c r="K124" t="s">
        <v>137</v>
      </c>
      <c r="L124" t="s">
        <v>18</v>
      </c>
      <c r="M124" t="s">
        <v>21</v>
      </c>
      <c r="N124" t="s">
        <v>100</v>
      </c>
      <c r="O124" t="s">
        <v>1939</v>
      </c>
      <c r="P124" t="s">
        <v>149</v>
      </c>
      <c r="Q124" t="s">
        <v>101</v>
      </c>
      <c r="R124" t="s">
        <v>433</v>
      </c>
      <c r="S124" s="2">
        <v>54400</v>
      </c>
      <c r="T124">
        <v>39.1</v>
      </c>
      <c r="U124" s="2">
        <v>2127040</v>
      </c>
      <c r="V124">
        <v>0</v>
      </c>
      <c r="W124">
        <v>0</v>
      </c>
      <c r="X124" s="2">
        <v>382867.20000000001</v>
      </c>
      <c r="Y124">
        <v>0</v>
      </c>
      <c r="Z124">
        <v>0</v>
      </c>
      <c r="AA124" s="2">
        <v>2509907.2000000002</v>
      </c>
      <c r="AB124">
        <v>0</v>
      </c>
      <c r="AC124">
        <v>0</v>
      </c>
      <c r="AD124" s="2">
        <v>2509907.2000000002</v>
      </c>
      <c r="AE124" t="s">
        <v>53</v>
      </c>
    </row>
    <row r="125" spans="1:31" x14ac:dyDescent="0.35">
      <c r="A125">
        <v>123</v>
      </c>
      <c r="B125">
        <v>282490</v>
      </c>
      <c r="C125">
        <v>328013733</v>
      </c>
      <c r="D125" t="s">
        <v>1297</v>
      </c>
      <c r="E125" t="s">
        <v>51</v>
      </c>
      <c r="F125" s="1">
        <v>46245</v>
      </c>
      <c r="G125" t="s">
        <v>500</v>
      </c>
      <c r="H125">
        <v>4501089198</v>
      </c>
      <c r="I125" s="1">
        <v>46213</v>
      </c>
      <c r="J125" t="s">
        <v>138</v>
      </c>
      <c r="K125" t="s">
        <v>137</v>
      </c>
      <c r="L125" t="s">
        <v>18</v>
      </c>
      <c r="M125" t="s">
        <v>21</v>
      </c>
      <c r="N125" t="s">
        <v>100</v>
      </c>
      <c r="O125" t="s">
        <v>1939</v>
      </c>
      <c r="P125" t="s">
        <v>149</v>
      </c>
      <c r="Q125" t="s">
        <v>101</v>
      </c>
      <c r="R125" t="s">
        <v>433</v>
      </c>
      <c r="S125" s="2">
        <v>24800</v>
      </c>
      <c r="T125">
        <v>39.1</v>
      </c>
      <c r="U125" s="2">
        <v>969680</v>
      </c>
      <c r="V125">
        <v>0</v>
      </c>
      <c r="W125">
        <v>0</v>
      </c>
      <c r="X125" s="2">
        <v>174542.4</v>
      </c>
      <c r="Y125">
        <v>0</v>
      </c>
      <c r="Z125">
        <v>0</v>
      </c>
      <c r="AA125" s="2">
        <v>1144222.3999999999</v>
      </c>
      <c r="AB125">
        <v>0</v>
      </c>
      <c r="AC125">
        <v>0</v>
      </c>
      <c r="AD125" s="2">
        <v>1144222.3999999999</v>
      </c>
      <c r="AE125" t="s">
        <v>53</v>
      </c>
    </row>
    <row r="126" spans="1:31" x14ac:dyDescent="0.35">
      <c r="A126">
        <v>124</v>
      </c>
      <c r="B126">
        <v>282491</v>
      </c>
      <c r="C126">
        <v>328013734</v>
      </c>
      <c r="D126" t="s">
        <v>1298</v>
      </c>
      <c r="E126" t="s">
        <v>51</v>
      </c>
      <c r="F126" s="1">
        <v>46245</v>
      </c>
      <c r="G126" t="s">
        <v>528</v>
      </c>
      <c r="H126" t="s">
        <v>1299</v>
      </c>
      <c r="I126" s="1">
        <v>46205</v>
      </c>
      <c r="J126" t="s">
        <v>138</v>
      </c>
      <c r="K126" t="s">
        <v>137</v>
      </c>
      <c r="L126" t="s">
        <v>18</v>
      </c>
      <c r="M126" t="s">
        <v>24</v>
      </c>
      <c r="N126" t="s">
        <v>1300</v>
      </c>
      <c r="O126" t="s">
        <v>1932</v>
      </c>
      <c r="P126" t="s">
        <v>1300</v>
      </c>
      <c r="Q126" t="s">
        <v>52</v>
      </c>
      <c r="R126" t="s">
        <v>1301</v>
      </c>
      <c r="S126" s="2">
        <v>15000</v>
      </c>
      <c r="T126">
        <v>6.69</v>
      </c>
      <c r="U126" s="2">
        <v>100350</v>
      </c>
      <c r="V126">
        <v>0</v>
      </c>
      <c r="W126">
        <v>0</v>
      </c>
      <c r="X126" s="2">
        <v>18063</v>
      </c>
      <c r="Y126">
        <v>0</v>
      </c>
      <c r="Z126">
        <v>0</v>
      </c>
      <c r="AA126" s="2">
        <v>118413</v>
      </c>
      <c r="AB126">
        <v>0</v>
      </c>
      <c r="AC126">
        <v>0</v>
      </c>
      <c r="AD126" s="2">
        <v>118413</v>
      </c>
      <c r="AE126" t="s">
        <v>53</v>
      </c>
    </row>
    <row r="127" spans="1:31" x14ac:dyDescent="0.35">
      <c r="A127">
        <v>125</v>
      </c>
      <c r="B127">
        <v>282494</v>
      </c>
      <c r="C127">
        <v>328013737</v>
      </c>
      <c r="D127" t="s">
        <v>1302</v>
      </c>
      <c r="E127" t="s">
        <v>51</v>
      </c>
      <c r="F127" s="1">
        <v>46245</v>
      </c>
      <c r="G127" t="s">
        <v>139</v>
      </c>
      <c r="H127">
        <v>6012000818</v>
      </c>
      <c r="I127" s="1">
        <v>46207</v>
      </c>
      <c r="J127" t="s">
        <v>138</v>
      </c>
      <c r="K127" t="s">
        <v>1279</v>
      </c>
      <c r="L127" t="s">
        <v>12</v>
      </c>
      <c r="M127" t="s">
        <v>21</v>
      </c>
      <c r="N127" t="s">
        <v>1303</v>
      </c>
      <c r="O127" t="s">
        <v>1932</v>
      </c>
      <c r="P127" t="s">
        <v>1304</v>
      </c>
      <c r="Q127" t="s">
        <v>52</v>
      </c>
      <c r="R127" t="s">
        <v>418</v>
      </c>
      <c r="S127" s="2">
        <v>15000</v>
      </c>
      <c r="T127">
        <v>0.81</v>
      </c>
      <c r="U127" s="2">
        <v>12150</v>
      </c>
      <c r="V127">
        <v>0</v>
      </c>
      <c r="W127">
        <v>0</v>
      </c>
      <c r="X127" s="2">
        <v>2187</v>
      </c>
      <c r="Y127">
        <v>0</v>
      </c>
      <c r="Z127">
        <v>0</v>
      </c>
      <c r="AA127" s="2">
        <v>14337</v>
      </c>
      <c r="AB127">
        <v>0</v>
      </c>
      <c r="AC127">
        <v>0</v>
      </c>
      <c r="AD127" s="2">
        <v>14337</v>
      </c>
      <c r="AE127" t="s">
        <v>53</v>
      </c>
    </row>
    <row r="128" spans="1:31" x14ac:dyDescent="0.35">
      <c r="A128">
        <v>126</v>
      </c>
      <c r="B128">
        <v>282495</v>
      </c>
      <c r="C128">
        <v>328013738</v>
      </c>
      <c r="D128" t="s">
        <v>1305</v>
      </c>
      <c r="E128" t="s">
        <v>51</v>
      </c>
      <c r="F128" s="1">
        <v>46245</v>
      </c>
      <c r="G128" t="s">
        <v>1306</v>
      </c>
      <c r="H128">
        <v>5500012206</v>
      </c>
      <c r="I128" s="1">
        <v>45762</v>
      </c>
      <c r="J128" t="s">
        <v>138</v>
      </c>
      <c r="K128" t="s">
        <v>137</v>
      </c>
      <c r="L128" t="s">
        <v>11</v>
      </c>
      <c r="M128" t="s">
        <v>23</v>
      </c>
      <c r="N128" t="s">
        <v>1307</v>
      </c>
      <c r="O128" t="s">
        <v>1942</v>
      </c>
      <c r="P128" t="s">
        <v>1308</v>
      </c>
      <c r="Q128" t="s">
        <v>52</v>
      </c>
      <c r="R128" t="s">
        <v>422</v>
      </c>
      <c r="S128" s="2">
        <v>54000</v>
      </c>
      <c r="T128">
        <v>0.99</v>
      </c>
      <c r="U128" s="2">
        <v>53460</v>
      </c>
      <c r="V128">
        <v>0</v>
      </c>
      <c r="W128">
        <v>0</v>
      </c>
      <c r="X128" s="2">
        <v>9622.7999999999993</v>
      </c>
      <c r="Y128">
        <v>0</v>
      </c>
      <c r="Z128">
        <v>0</v>
      </c>
      <c r="AA128" s="2">
        <v>63082.8</v>
      </c>
      <c r="AB128">
        <v>0</v>
      </c>
      <c r="AC128">
        <v>0</v>
      </c>
      <c r="AD128" s="2">
        <v>63082.8</v>
      </c>
      <c r="AE128" t="s">
        <v>53</v>
      </c>
    </row>
    <row r="129" spans="1:31" x14ac:dyDescent="0.35">
      <c r="A129">
        <v>127</v>
      </c>
      <c r="B129">
        <v>282499</v>
      </c>
      <c r="C129">
        <v>328013741</v>
      </c>
      <c r="D129" t="s">
        <v>1309</v>
      </c>
      <c r="E129" t="s">
        <v>51</v>
      </c>
      <c r="F129" s="1">
        <v>46245</v>
      </c>
      <c r="G129" t="s">
        <v>1310</v>
      </c>
      <c r="H129">
        <v>4190086817</v>
      </c>
      <c r="I129" s="1">
        <v>46141</v>
      </c>
      <c r="J129" t="s">
        <v>138</v>
      </c>
      <c r="K129" t="s">
        <v>137</v>
      </c>
      <c r="L129" t="s">
        <v>13</v>
      </c>
      <c r="M129" t="s">
        <v>25</v>
      </c>
      <c r="N129" t="s">
        <v>1300</v>
      </c>
      <c r="O129" t="s">
        <v>1932</v>
      </c>
      <c r="P129" t="s">
        <v>1311</v>
      </c>
      <c r="Q129" t="s">
        <v>52</v>
      </c>
      <c r="R129" t="s">
        <v>1301</v>
      </c>
      <c r="S129" s="2">
        <v>40000</v>
      </c>
      <c r="T129">
        <v>6.55</v>
      </c>
      <c r="U129" s="2">
        <v>262000</v>
      </c>
      <c r="V129">
        <v>0</v>
      </c>
      <c r="W129">
        <v>0</v>
      </c>
      <c r="X129" s="2">
        <v>47160</v>
      </c>
      <c r="Y129">
        <v>0</v>
      </c>
      <c r="Z129">
        <v>0</v>
      </c>
      <c r="AA129" s="2">
        <v>309160</v>
      </c>
      <c r="AB129">
        <v>0</v>
      </c>
      <c r="AC129">
        <v>0</v>
      </c>
      <c r="AD129" s="2">
        <v>309160</v>
      </c>
      <c r="AE129" t="s">
        <v>53</v>
      </c>
    </row>
    <row r="130" spans="1:31" x14ac:dyDescent="0.35">
      <c r="A130">
        <v>128</v>
      </c>
      <c r="B130">
        <v>282500</v>
      </c>
      <c r="C130">
        <v>328013742</v>
      </c>
      <c r="D130" t="s">
        <v>1312</v>
      </c>
      <c r="E130" t="s">
        <v>51</v>
      </c>
      <c r="F130" s="1">
        <v>46245</v>
      </c>
      <c r="G130" t="s">
        <v>1310</v>
      </c>
      <c r="H130">
        <v>4190086817</v>
      </c>
      <c r="I130" s="1">
        <v>46141</v>
      </c>
      <c r="J130" t="s">
        <v>138</v>
      </c>
      <c r="K130" t="s">
        <v>137</v>
      </c>
      <c r="L130" t="s">
        <v>13</v>
      </c>
      <c r="M130" t="s">
        <v>25</v>
      </c>
      <c r="N130" t="s">
        <v>1300</v>
      </c>
      <c r="O130" t="s">
        <v>1932</v>
      </c>
      <c r="P130" t="s">
        <v>1311</v>
      </c>
      <c r="Q130" t="s">
        <v>52</v>
      </c>
      <c r="R130" t="s">
        <v>1301</v>
      </c>
      <c r="S130" s="2">
        <v>40000</v>
      </c>
      <c r="T130">
        <v>6.55</v>
      </c>
      <c r="U130" s="2">
        <v>262000</v>
      </c>
      <c r="V130">
        <v>0</v>
      </c>
      <c r="W130">
        <v>0</v>
      </c>
      <c r="X130" s="2">
        <v>47160</v>
      </c>
      <c r="Y130">
        <v>0</v>
      </c>
      <c r="Z130">
        <v>0</v>
      </c>
      <c r="AA130" s="2">
        <v>309160</v>
      </c>
      <c r="AB130">
        <v>0</v>
      </c>
      <c r="AC130">
        <v>0</v>
      </c>
      <c r="AD130" s="2">
        <v>309160</v>
      </c>
      <c r="AE130" t="s">
        <v>53</v>
      </c>
    </row>
    <row r="131" spans="1:31" x14ac:dyDescent="0.35">
      <c r="A131">
        <v>129</v>
      </c>
      <c r="B131">
        <v>282502</v>
      </c>
      <c r="C131">
        <v>328013744</v>
      </c>
      <c r="D131" t="s">
        <v>1313</v>
      </c>
      <c r="E131" t="s">
        <v>51</v>
      </c>
      <c r="F131" s="1">
        <v>46245</v>
      </c>
      <c r="G131" t="s">
        <v>1310</v>
      </c>
      <c r="H131">
        <v>4190086289</v>
      </c>
      <c r="I131" s="1">
        <v>46119</v>
      </c>
      <c r="J131" t="s">
        <v>138</v>
      </c>
      <c r="K131" t="s">
        <v>137</v>
      </c>
      <c r="L131" t="s">
        <v>13</v>
      </c>
      <c r="M131" t="s">
        <v>25</v>
      </c>
      <c r="N131" t="s">
        <v>1300</v>
      </c>
      <c r="O131" t="s">
        <v>1932</v>
      </c>
      <c r="P131" t="s">
        <v>1311</v>
      </c>
      <c r="Q131" t="s">
        <v>52</v>
      </c>
      <c r="R131" t="s">
        <v>1301</v>
      </c>
      <c r="S131" s="2">
        <v>30000</v>
      </c>
      <c r="T131">
        <v>6.55</v>
      </c>
      <c r="U131" s="2">
        <v>196500</v>
      </c>
      <c r="V131">
        <v>0</v>
      </c>
      <c r="W131">
        <v>0</v>
      </c>
      <c r="X131" s="2">
        <v>35370</v>
      </c>
      <c r="Y131">
        <v>0</v>
      </c>
      <c r="Z131">
        <v>0</v>
      </c>
      <c r="AA131" s="2">
        <v>231870</v>
      </c>
      <c r="AB131">
        <v>0</v>
      </c>
      <c r="AC131">
        <v>0</v>
      </c>
      <c r="AD131" s="2">
        <v>231870</v>
      </c>
      <c r="AE131" t="s">
        <v>53</v>
      </c>
    </row>
    <row r="132" spans="1:31" x14ac:dyDescent="0.35">
      <c r="A132">
        <v>130</v>
      </c>
      <c r="B132">
        <v>282503</v>
      </c>
      <c r="C132">
        <v>328013745</v>
      </c>
      <c r="D132" t="s">
        <v>1314</v>
      </c>
      <c r="E132" t="s">
        <v>51</v>
      </c>
      <c r="F132" s="1">
        <v>46245</v>
      </c>
      <c r="G132" t="s">
        <v>1310</v>
      </c>
      <c r="H132">
        <v>4190086015</v>
      </c>
      <c r="I132" s="1">
        <v>46112</v>
      </c>
      <c r="J132" t="s">
        <v>138</v>
      </c>
      <c r="K132" t="s">
        <v>137</v>
      </c>
      <c r="L132" t="s">
        <v>13</v>
      </c>
      <c r="M132" t="s">
        <v>25</v>
      </c>
      <c r="N132" t="s">
        <v>1300</v>
      </c>
      <c r="O132" t="s">
        <v>1932</v>
      </c>
      <c r="P132" t="s">
        <v>1311</v>
      </c>
      <c r="Q132" t="s">
        <v>52</v>
      </c>
      <c r="R132" t="s">
        <v>1301</v>
      </c>
      <c r="S132" s="2">
        <v>40000</v>
      </c>
      <c r="T132">
        <v>6.55</v>
      </c>
      <c r="U132" s="2">
        <v>262000</v>
      </c>
      <c r="V132">
        <v>0</v>
      </c>
      <c r="W132">
        <v>0</v>
      </c>
      <c r="X132" s="2">
        <v>47160</v>
      </c>
      <c r="Y132">
        <v>0</v>
      </c>
      <c r="Z132">
        <v>0</v>
      </c>
      <c r="AA132" s="2">
        <v>309160</v>
      </c>
      <c r="AB132">
        <v>0</v>
      </c>
      <c r="AC132">
        <v>0</v>
      </c>
      <c r="AD132" s="2">
        <v>309160</v>
      </c>
      <c r="AE132" t="s">
        <v>53</v>
      </c>
    </row>
    <row r="133" spans="1:31" x14ac:dyDescent="0.35">
      <c r="A133">
        <v>131</v>
      </c>
      <c r="B133">
        <v>282504</v>
      </c>
      <c r="C133">
        <v>328013746</v>
      </c>
      <c r="D133" t="s">
        <v>1315</v>
      </c>
      <c r="E133" t="s">
        <v>51</v>
      </c>
      <c r="F133" s="1">
        <v>46245</v>
      </c>
      <c r="G133" t="s">
        <v>363</v>
      </c>
      <c r="H133">
        <v>1069000677</v>
      </c>
      <c r="I133" s="1">
        <v>46203</v>
      </c>
      <c r="J133" t="s">
        <v>138</v>
      </c>
      <c r="K133" t="s">
        <v>137</v>
      </c>
      <c r="L133" t="s">
        <v>11</v>
      </c>
      <c r="M133" t="s">
        <v>14</v>
      </c>
      <c r="N133" t="s">
        <v>1316</v>
      </c>
      <c r="O133" t="s">
        <v>1935</v>
      </c>
      <c r="P133" t="s">
        <v>1317</v>
      </c>
      <c r="Q133" t="s">
        <v>1318</v>
      </c>
      <c r="R133" t="s">
        <v>1319</v>
      </c>
      <c r="S133" s="2">
        <v>15000</v>
      </c>
      <c r="T133">
        <v>1.56</v>
      </c>
      <c r="U133" s="2">
        <v>23400</v>
      </c>
      <c r="V133">
        <v>0</v>
      </c>
      <c r="W133">
        <v>0</v>
      </c>
      <c r="X133" s="2">
        <v>4212</v>
      </c>
      <c r="Y133">
        <v>0</v>
      </c>
      <c r="Z133">
        <v>0</v>
      </c>
      <c r="AA133" s="2">
        <v>27612</v>
      </c>
      <c r="AB133">
        <v>0</v>
      </c>
      <c r="AC133">
        <v>0</v>
      </c>
      <c r="AD133" s="2">
        <v>27612</v>
      </c>
      <c r="AE133" t="s">
        <v>53</v>
      </c>
    </row>
    <row r="134" spans="1:31" x14ac:dyDescent="0.35">
      <c r="A134">
        <v>132</v>
      </c>
      <c r="B134">
        <v>282513</v>
      </c>
      <c r="C134">
        <v>328013754</v>
      </c>
      <c r="D134" t="s">
        <v>1320</v>
      </c>
      <c r="E134" t="s">
        <v>51</v>
      </c>
      <c r="F134" s="1">
        <v>46245</v>
      </c>
      <c r="G134" t="s">
        <v>1310</v>
      </c>
      <c r="H134">
        <v>4190089583</v>
      </c>
      <c r="I134" s="1">
        <v>46227</v>
      </c>
      <c r="J134" t="s">
        <v>138</v>
      </c>
      <c r="K134" t="s">
        <v>137</v>
      </c>
      <c r="L134" t="s">
        <v>13</v>
      </c>
      <c r="M134" t="s">
        <v>25</v>
      </c>
      <c r="N134" t="s">
        <v>1321</v>
      </c>
      <c r="O134" t="s">
        <v>1932</v>
      </c>
      <c r="P134" t="s">
        <v>1322</v>
      </c>
      <c r="Q134" t="s">
        <v>52</v>
      </c>
      <c r="R134" t="s">
        <v>418</v>
      </c>
      <c r="S134" s="2">
        <v>30000</v>
      </c>
      <c r="T134">
        <v>1.33</v>
      </c>
      <c r="U134" s="2">
        <v>39900</v>
      </c>
      <c r="V134">
        <v>0</v>
      </c>
      <c r="W134">
        <v>0</v>
      </c>
      <c r="X134" s="2">
        <v>7182</v>
      </c>
      <c r="Y134">
        <v>0</v>
      </c>
      <c r="Z134">
        <v>0</v>
      </c>
      <c r="AA134" s="2">
        <v>47082</v>
      </c>
      <c r="AB134">
        <v>0</v>
      </c>
      <c r="AC134">
        <v>0</v>
      </c>
      <c r="AD134" s="2">
        <v>47082</v>
      </c>
      <c r="AE134" t="s">
        <v>53</v>
      </c>
    </row>
    <row r="135" spans="1:31" x14ac:dyDescent="0.35">
      <c r="A135">
        <v>133</v>
      </c>
      <c r="B135">
        <v>282514</v>
      </c>
      <c r="C135">
        <v>328013755</v>
      </c>
      <c r="D135" t="s">
        <v>1323</v>
      </c>
      <c r="E135" t="s">
        <v>51</v>
      </c>
      <c r="F135" s="1">
        <v>46245</v>
      </c>
      <c r="G135" t="s">
        <v>1310</v>
      </c>
      <c r="H135">
        <v>4190087018</v>
      </c>
      <c r="I135" s="1">
        <v>46147</v>
      </c>
      <c r="J135" t="s">
        <v>138</v>
      </c>
      <c r="K135" t="s">
        <v>137</v>
      </c>
      <c r="L135" t="s">
        <v>13</v>
      </c>
      <c r="M135" t="s">
        <v>25</v>
      </c>
      <c r="N135" t="s">
        <v>1324</v>
      </c>
      <c r="O135" t="s">
        <v>1932</v>
      </c>
      <c r="P135" t="s">
        <v>1325</v>
      </c>
      <c r="Q135" t="s">
        <v>52</v>
      </c>
      <c r="R135" t="s">
        <v>418</v>
      </c>
      <c r="S135" s="2">
        <v>75000</v>
      </c>
      <c r="T135">
        <v>3.65</v>
      </c>
      <c r="U135" s="2">
        <v>273750</v>
      </c>
      <c r="V135">
        <v>0</v>
      </c>
      <c r="W135">
        <v>0</v>
      </c>
      <c r="X135" s="2">
        <v>49275</v>
      </c>
      <c r="Y135">
        <v>0</v>
      </c>
      <c r="Z135">
        <v>0</v>
      </c>
      <c r="AA135" s="2">
        <v>323025</v>
      </c>
      <c r="AB135">
        <v>0</v>
      </c>
      <c r="AC135">
        <v>0</v>
      </c>
      <c r="AD135" s="2">
        <v>323025</v>
      </c>
      <c r="AE135" t="s">
        <v>53</v>
      </c>
    </row>
    <row r="136" spans="1:31" x14ac:dyDescent="0.35">
      <c r="A136">
        <v>134</v>
      </c>
      <c r="B136">
        <v>282516</v>
      </c>
      <c r="C136">
        <v>328013756</v>
      </c>
      <c r="D136" t="s">
        <v>1326</v>
      </c>
      <c r="E136" t="s">
        <v>51</v>
      </c>
      <c r="F136" s="1">
        <v>46245</v>
      </c>
      <c r="G136" t="s">
        <v>1310</v>
      </c>
      <c r="H136">
        <v>4190088127</v>
      </c>
      <c r="I136" s="1">
        <v>46178</v>
      </c>
      <c r="J136" t="s">
        <v>138</v>
      </c>
      <c r="K136" t="s">
        <v>137</v>
      </c>
      <c r="L136" t="s">
        <v>13</v>
      </c>
      <c r="M136" t="s">
        <v>25</v>
      </c>
      <c r="N136" t="s">
        <v>1321</v>
      </c>
      <c r="O136" t="s">
        <v>1932</v>
      </c>
      <c r="P136" t="s">
        <v>1322</v>
      </c>
      <c r="Q136" t="s">
        <v>52</v>
      </c>
      <c r="R136" t="s">
        <v>418</v>
      </c>
      <c r="S136" s="2">
        <v>30000</v>
      </c>
      <c r="T136">
        <v>1.2</v>
      </c>
      <c r="U136" s="2">
        <v>36000</v>
      </c>
      <c r="V136">
        <v>0</v>
      </c>
      <c r="W136">
        <v>0</v>
      </c>
      <c r="X136" s="2">
        <v>6480</v>
      </c>
      <c r="Y136">
        <v>0</v>
      </c>
      <c r="Z136">
        <v>0</v>
      </c>
      <c r="AA136" s="2">
        <v>42480</v>
      </c>
      <c r="AB136">
        <v>0</v>
      </c>
      <c r="AC136">
        <v>0</v>
      </c>
      <c r="AD136" s="2">
        <v>42480</v>
      </c>
      <c r="AE136" t="s">
        <v>53</v>
      </c>
    </row>
    <row r="137" spans="1:31" x14ac:dyDescent="0.35">
      <c r="A137">
        <v>135</v>
      </c>
      <c r="B137">
        <v>282537</v>
      </c>
      <c r="C137">
        <v>328013760</v>
      </c>
      <c r="D137" t="s">
        <v>1327</v>
      </c>
      <c r="E137" t="s">
        <v>51</v>
      </c>
      <c r="F137" s="1">
        <v>46246</v>
      </c>
      <c r="G137" t="s">
        <v>121</v>
      </c>
      <c r="H137">
        <v>4300068713</v>
      </c>
      <c r="I137" s="1">
        <v>46186</v>
      </c>
      <c r="J137" t="s">
        <v>138</v>
      </c>
      <c r="K137" t="s">
        <v>137</v>
      </c>
      <c r="L137" t="s">
        <v>13</v>
      </c>
      <c r="M137" t="s">
        <v>14</v>
      </c>
      <c r="N137" t="s">
        <v>1328</v>
      </c>
      <c r="O137" t="s">
        <v>1932</v>
      </c>
      <c r="P137">
        <v>1110005791</v>
      </c>
      <c r="Q137" t="s">
        <v>52</v>
      </c>
      <c r="R137" t="s">
        <v>418</v>
      </c>
      <c r="S137" s="2">
        <v>5000</v>
      </c>
      <c r="T137">
        <v>0.89</v>
      </c>
      <c r="U137" s="2">
        <v>4450</v>
      </c>
      <c r="V137">
        <v>0</v>
      </c>
      <c r="W137">
        <v>0</v>
      </c>
      <c r="X137">
        <v>801</v>
      </c>
      <c r="Y137">
        <v>0</v>
      </c>
      <c r="Z137">
        <v>0</v>
      </c>
      <c r="AA137" s="2">
        <v>5251</v>
      </c>
      <c r="AB137">
        <v>0</v>
      </c>
      <c r="AC137">
        <v>0</v>
      </c>
      <c r="AD137" s="2">
        <v>5251</v>
      </c>
      <c r="AE137" t="s">
        <v>53</v>
      </c>
    </row>
    <row r="138" spans="1:31" x14ac:dyDescent="0.35">
      <c r="A138">
        <v>136</v>
      </c>
      <c r="B138">
        <v>282539</v>
      </c>
      <c r="C138">
        <v>328013762</v>
      </c>
      <c r="D138" t="s">
        <v>1329</v>
      </c>
      <c r="E138" t="s">
        <v>51</v>
      </c>
      <c r="F138" s="1">
        <v>46246</v>
      </c>
      <c r="G138" t="s">
        <v>121</v>
      </c>
      <c r="H138">
        <v>4300065593</v>
      </c>
      <c r="I138" s="1">
        <v>46108</v>
      </c>
      <c r="J138" t="s">
        <v>138</v>
      </c>
      <c r="K138" t="s">
        <v>137</v>
      </c>
      <c r="L138" t="s">
        <v>13</v>
      </c>
      <c r="M138" t="s">
        <v>14</v>
      </c>
      <c r="N138" t="s">
        <v>1330</v>
      </c>
      <c r="O138" t="s">
        <v>1932</v>
      </c>
      <c r="P138" t="s">
        <v>1330</v>
      </c>
      <c r="Q138" t="s">
        <v>52</v>
      </c>
      <c r="R138" t="s">
        <v>418</v>
      </c>
      <c r="S138" s="2">
        <v>5000</v>
      </c>
      <c r="T138">
        <v>0.78</v>
      </c>
      <c r="U138" s="2">
        <v>3900</v>
      </c>
      <c r="V138">
        <v>0</v>
      </c>
      <c r="W138">
        <v>0</v>
      </c>
      <c r="X138">
        <v>702</v>
      </c>
      <c r="Y138">
        <v>0</v>
      </c>
      <c r="Z138">
        <v>0</v>
      </c>
      <c r="AA138" s="2">
        <v>4602</v>
      </c>
      <c r="AB138">
        <v>0</v>
      </c>
      <c r="AC138">
        <v>0</v>
      </c>
      <c r="AD138" s="2">
        <v>4602</v>
      </c>
      <c r="AE138" t="s">
        <v>53</v>
      </c>
    </row>
    <row r="139" spans="1:31" x14ac:dyDescent="0.35">
      <c r="A139">
        <v>137</v>
      </c>
      <c r="B139">
        <v>282539</v>
      </c>
      <c r="C139">
        <v>328013762</v>
      </c>
      <c r="D139" t="s">
        <v>1329</v>
      </c>
      <c r="E139" t="s">
        <v>51</v>
      </c>
      <c r="F139" s="1">
        <v>46246</v>
      </c>
      <c r="G139" t="s">
        <v>121</v>
      </c>
      <c r="H139">
        <v>4300065593</v>
      </c>
      <c r="I139" s="1">
        <v>46108</v>
      </c>
      <c r="J139" t="s">
        <v>138</v>
      </c>
      <c r="K139" t="s">
        <v>137</v>
      </c>
      <c r="L139" t="s">
        <v>13</v>
      </c>
      <c r="M139" t="s">
        <v>14</v>
      </c>
      <c r="N139" t="s">
        <v>583</v>
      </c>
      <c r="O139" t="s">
        <v>1932</v>
      </c>
      <c r="P139" t="s">
        <v>583</v>
      </c>
      <c r="Q139" t="s">
        <v>52</v>
      </c>
      <c r="R139" t="s">
        <v>418</v>
      </c>
      <c r="S139" s="2">
        <v>2500</v>
      </c>
      <c r="T139">
        <v>0.78</v>
      </c>
      <c r="U139" s="2">
        <v>1950</v>
      </c>
      <c r="V139">
        <v>0</v>
      </c>
      <c r="W139">
        <v>0</v>
      </c>
      <c r="X139">
        <v>351</v>
      </c>
      <c r="Y139">
        <v>0</v>
      </c>
      <c r="Z139">
        <v>0</v>
      </c>
      <c r="AA139" s="2">
        <v>2301</v>
      </c>
      <c r="AB139">
        <v>0</v>
      </c>
      <c r="AC139">
        <v>0</v>
      </c>
      <c r="AD139" s="2">
        <v>2301</v>
      </c>
      <c r="AE139" t="s">
        <v>53</v>
      </c>
    </row>
    <row r="140" spans="1:31" x14ac:dyDescent="0.35">
      <c r="A140">
        <v>138</v>
      </c>
      <c r="B140">
        <v>282542</v>
      </c>
      <c r="C140">
        <v>328013763</v>
      </c>
      <c r="D140" t="s">
        <v>1331</v>
      </c>
      <c r="E140" t="s">
        <v>51</v>
      </c>
      <c r="F140" s="1">
        <v>46246</v>
      </c>
      <c r="G140" t="s">
        <v>1332</v>
      </c>
      <c r="H140" t="s">
        <v>1333</v>
      </c>
      <c r="I140" s="1">
        <v>46198</v>
      </c>
      <c r="J140" t="s">
        <v>138</v>
      </c>
      <c r="K140" t="s">
        <v>1279</v>
      </c>
      <c r="L140" t="s">
        <v>12</v>
      </c>
      <c r="M140" t="s">
        <v>21</v>
      </c>
      <c r="N140" t="s">
        <v>1334</v>
      </c>
      <c r="O140" t="s">
        <v>1936</v>
      </c>
      <c r="Q140" t="s">
        <v>54</v>
      </c>
      <c r="R140" t="s">
        <v>416</v>
      </c>
      <c r="S140" s="2">
        <v>2160</v>
      </c>
      <c r="T140">
        <v>161.19999999999999</v>
      </c>
      <c r="U140" s="2">
        <v>348192</v>
      </c>
      <c r="V140">
        <v>0</v>
      </c>
      <c r="W140">
        <v>0</v>
      </c>
      <c r="X140" s="2">
        <v>62674.559999999998</v>
      </c>
      <c r="Y140">
        <v>0</v>
      </c>
      <c r="Z140">
        <v>0</v>
      </c>
      <c r="AA140" s="2">
        <v>410866.56</v>
      </c>
      <c r="AB140">
        <v>0</v>
      </c>
      <c r="AC140">
        <v>0</v>
      </c>
      <c r="AD140" s="2">
        <v>410866.56</v>
      </c>
      <c r="AE140" t="s">
        <v>55</v>
      </c>
    </row>
    <row r="141" spans="1:31" x14ac:dyDescent="0.35">
      <c r="A141">
        <v>139</v>
      </c>
      <c r="B141">
        <v>282599</v>
      </c>
      <c r="C141">
        <v>328013787</v>
      </c>
      <c r="D141" t="s">
        <v>1335</v>
      </c>
      <c r="E141" t="s">
        <v>51</v>
      </c>
      <c r="F141" s="1">
        <v>46246</v>
      </c>
      <c r="G141" t="s">
        <v>612</v>
      </c>
      <c r="H141" t="s">
        <v>1336</v>
      </c>
      <c r="I141" s="1">
        <v>46209</v>
      </c>
      <c r="J141" t="s">
        <v>138</v>
      </c>
      <c r="K141" t="s">
        <v>1279</v>
      </c>
      <c r="L141" t="s">
        <v>12</v>
      </c>
      <c r="M141" t="s">
        <v>21</v>
      </c>
      <c r="N141" t="s">
        <v>616</v>
      </c>
      <c r="O141" t="s">
        <v>1936</v>
      </c>
      <c r="Q141" t="s">
        <v>54</v>
      </c>
      <c r="R141" t="s">
        <v>416</v>
      </c>
      <c r="S141">
        <v>500</v>
      </c>
      <c r="T141">
        <v>39</v>
      </c>
      <c r="U141" s="2">
        <v>19500</v>
      </c>
      <c r="V141">
        <v>0</v>
      </c>
      <c r="W141">
        <v>0</v>
      </c>
      <c r="X141" s="2">
        <v>3510</v>
      </c>
      <c r="Y141">
        <v>0</v>
      </c>
      <c r="Z141">
        <v>0</v>
      </c>
      <c r="AA141" s="2">
        <v>23010</v>
      </c>
      <c r="AB141">
        <v>0</v>
      </c>
      <c r="AC141">
        <v>0</v>
      </c>
      <c r="AD141" s="2">
        <v>23010</v>
      </c>
      <c r="AE141" t="s">
        <v>55</v>
      </c>
    </row>
    <row r="142" spans="1:31" x14ac:dyDescent="0.35">
      <c r="A142">
        <v>140</v>
      </c>
      <c r="B142">
        <v>282614</v>
      </c>
      <c r="C142">
        <v>328013794</v>
      </c>
      <c r="D142" t="s">
        <v>1337</v>
      </c>
      <c r="E142" t="s">
        <v>51</v>
      </c>
      <c r="F142" s="1">
        <v>46246</v>
      </c>
      <c r="G142" t="s">
        <v>1310</v>
      </c>
      <c r="H142">
        <v>4190086817</v>
      </c>
      <c r="I142" s="1">
        <v>46141</v>
      </c>
      <c r="J142" t="s">
        <v>138</v>
      </c>
      <c r="K142" t="s">
        <v>137</v>
      </c>
      <c r="L142" t="s">
        <v>13</v>
      </c>
      <c r="M142" t="s">
        <v>25</v>
      </c>
      <c r="N142" t="s">
        <v>1300</v>
      </c>
      <c r="O142" t="s">
        <v>1932</v>
      </c>
      <c r="P142" t="s">
        <v>1311</v>
      </c>
      <c r="Q142" t="s">
        <v>52</v>
      </c>
      <c r="R142" t="s">
        <v>1301</v>
      </c>
      <c r="S142" s="2">
        <v>5000</v>
      </c>
      <c r="T142">
        <v>6.55</v>
      </c>
      <c r="U142" s="2">
        <v>32750</v>
      </c>
      <c r="V142">
        <v>0</v>
      </c>
      <c r="W142">
        <v>0</v>
      </c>
      <c r="X142" s="2">
        <v>5895</v>
      </c>
      <c r="Y142">
        <v>0</v>
      </c>
      <c r="Z142">
        <v>0</v>
      </c>
      <c r="AA142" s="2">
        <v>38645</v>
      </c>
      <c r="AB142">
        <v>0</v>
      </c>
      <c r="AC142">
        <v>0</v>
      </c>
      <c r="AD142" s="2">
        <v>38645</v>
      </c>
      <c r="AE142" t="s">
        <v>53</v>
      </c>
    </row>
    <row r="143" spans="1:31" x14ac:dyDescent="0.35">
      <c r="A143">
        <v>141</v>
      </c>
      <c r="B143">
        <v>282624</v>
      </c>
      <c r="C143">
        <v>328013801</v>
      </c>
      <c r="D143" t="s">
        <v>1338</v>
      </c>
      <c r="E143" t="s">
        <v>51</v>
      </c>
      <c r="F143" s="1">
        <v>46246</v>
      </c>
      <c r="G143" t="s">
        <v>1339</v>
      </c>
      <c r="H143">
        <v>300997</v>
      </c>
      <c r="I143" s="1">
        <v>46197</v>
      </c>
      <c r="J143" t="s">
        <v>138</v>
      </c>
      <c r="K143" t="s">
        <v>137</v>
      </c>
      <c r="L143" t="s">
        <v>13</v>
      </c>
      <c r="M143" t="s">
        <v>23</v>
      </c>
      <c r="N143" t="s">
        <v>1340</v>
      </c>
      <c r="O143" t="s">
        <v>1932</v>
      </c>
      <c r="P143" t="s">
        <v>1340</v>
      </c>
      <c r="Q143" t="s">
        <v>52</v>
      </c>
      <c r="R143" t="s">
        <v>418</v>
      </c>
      <c r="S143" s="2">
        <v>17500</v>
      </c>
      <c r="T143">
        <v>4.1399999999999997</v>
      </c>
      <c r="U143" s="2">
        <v>72450</v>
      </c>
      <c r="V143">
        <v>0</v>
      </c>
      <c r="W143">
        <v>0</v>
      </c>
      <c r="X143" s="2">
        <v>13041</v>
      </c>
      <c r="Y143">
        <v>0</v>
      </c>
      <c r="Z143">
        <v>0</v>
      </c>
      <c r="AA143" s="2">
        <v>85491</v>
      </c>
      <c r="AB143">
        <v>0</v>
      </c>
      <c r="AC143">
        <v>0</v>
      </c>
      <c r="AD143" s="2">
        <v>85491</v>
      </c>
      <c r="AE143" t="s">
        <v>53</v>
      </c>
    </row>
    <row r="144" spans="1:31" x14ac:dyDescent="0.35">
      <c r="A144">
        <v>142</v>
      </c>
      <c r="B144">
        <v>282629</v>
      </c>
      <c r="C144">
        <v>328013804</v>
      </c>
      <c r="D144" t="s">
        <v>1341</v>
      </c>
      <c r="E144" t="s">
        <v>51</v>
      </c>
      <c r="F144" s="1">
        <v>46246</v>
      </c>
      <c r="G144" t="s">
        <v>1310</v>
      </c>
      <c r="H144">
        <v>4190087016</v>
      </c>
      <c r="I144" s="1">
        <v>46170</v>
      </c>
      <c r="J144" t="s">
        <v>138</v>
      </c>
      <c r="K144" t="s">
        <v>137</v>
      </c>
      <c r="L144" t="s">
        <v>13</v>
      </c>
      <c r="M144" t="s">
        <v>25</v>
      </c>
      <c r="N144" t="s">
        <v>1300</v>
      </c>
      <c r="O144" t="s">
        <v>1932</v>
      </c>
      <c r="P144" t="s">
        <v>1311</v>
      </c>
      <c r="Q144" t="s">
        <v>52</v>
      </c>
      <c r="R144" t="s">
        <v>1301</v>
      </c>
      <c r="S144" s="2">
        <v>5000</v>
      </c>
      <c r="T144">
        <v>6.55</v>
      </c>
      <c r="U144" s="2">
        <v>32750</v>
      </c>
      <c r="V144">
        <v>0</v>
      </c>
      <c r="W144">
        <v>0</v>
      </c>
      <c r="X144" s="2">
        <v>5895</v>
      </c>
      <c r="Y144">
        <v>0</v>
      </c>
      <c r="Z144">
        <v>0</v>
      </c>
      <c r="AA144" s="2">
        <v>38645</v>
      </c>
      <c r="AB144">
        <v>0</v>
      </c>
      <c r="AC144">
        <v>0</v>
      </c>
      <c r="AD144" s="2">
        <v>38645</v>
      </c>
      <c r="AE144" t="s">
        <v>53</v>
      </c>
    </row>
    <row r="145" spans="1:31" x14ac:dyDescent="0.35">
      <c r="A145">
        <v>143</v>
      </c>
      <c r="B145">
        <v>282698</v>
      </c>
      <c r="C145">
        <v>328013862</v>
      </c>
      <c r="D145" t="s">
        <v>1342</v>
      </c>
      <c r="E145" t="s">
        <v>51</v>
      </c>
      <c r="F145" s="1">
        <v>46246</v>
      </c>
      <c r="G145" t="s">
        <v>61</v>
      </c>
      <c r="H145" t="s">
        <v>1343</v>
      </c>
      <c r="I145" s="1">
        <v>46172</v>
      </c>
      <c r="J145" t="s">
        <v>138</v>
      </c>
      <c r="K145" t="s">
        <v>137</v>
      </c>
      <c r="L145" t="s">
        <v>15</v>
      </c>
      <c r="M145" t="s">
        <v>25</v>
      </c>
      <c r="N145" t="s">
        <v>1344</v>
      </c>
      <c r="O145" t="s">
        <v>1936</v>
      </c>
      <c r="P145" t="s">
        <v>1344</v>
      </c>
      <c r="Q145" t="s">
        <v>54</v>
      </c>
      <c r="R145" t="s">
        <v>416</v>
      </c>
      <c r="S145">
        <v>952</v>
      </c>
      <c r="T145">
        <v>147</v>
      </c>
      <c r="U145" s="2">
        <v>139944</v>
      </c>
      <c r="V145">
        <v>0</v>
      </c>
      <c r="W145">
        <v>0</v>
      </c>
      <c r="X145" s="2">
        <v>25189.919999999998</v>
      </c>
      <c r="Y145">
        <v>0</v>
      </c>
      <c r="Z145">
        <v>0</v>
      </c>
      <c r="AA145" s="2">
        <v>165133.92000000001</v>
      </c>
      <c r="AB145">
        <v>0</v>
      </c>
      <c r="AC145">
        <v>0</v>
      </c>
      <c r="AD145" s="2">
        <v>165133.92000000001</v>
      </c>
      <c r="AE145" t="s">
        <v>55</v>
      </c>
    </row>
    <row r="146" spans="1:31" x14ac:dyDescent="0.35">
      <c r="A146">
        <v>144</v>
      </c>
      <c r="B146">
        <v>282722</v>
      </c>
      <c r="C146">
        <v>328013878</v>
      </c>
      <c r="D146" t="s">
        <v>1680</v>
      </c>
      <c r="E146" t="s">
        <v>51</v>
      </c>
      <c r="F146" s="1">
        <v>46247</v>
      </c>
      <c r="G146" t="s">
        <v>133</v>
      </c>
      <c r="H146">
        <v>5500008244</v>
      </c>
      <c r="I146" s="1">
        <v>46101</v>
      </c>
      <c r="J146" t="s">
        <v>138</v>
      </c>
      <c r="K146" t="s">
        <v>137</v>
      </c>
      <c r="L146" t="s">
        <v>13</v>
      </c>
      <c r="M146" t="s">
        <v>24</v>
      </c>
      <c r="N146" t="s">
        <v>1682</v>
      </c>
      <c r="O146" t="s">
        <v>1935</v>
      </c>
      <c r="P146">
        <v>13000058</v>
      </c>
      <c r="Q146" t="s">
        <v>40</v>
      </c>
      <c r="R146" t="s">
        <v>429</v>
      </c>
      <c r="S146" s="2">
        <v>12000</v>
      </c>
      <c r="T146">
        <v>0.497</v>
      </c>
      <c r="U146" s="2">
        <v>5964</v>
      </c>
      <c r="V146">
        <v>0</v>
      </c>
      <c r="W146">
        <v>0</v>
      </c>
      <c r="X146" s="2">
        <v>1073.52</v>
      </c>
      <c r="Y146">
        <v>0</v>
      </c>
      <c r="Z146">
        <v>0</v>
      </c>
      <c r="AA146" s="2">
        <v>7037.52</v>
      </c>
      <c r="AB146">
        <v>0</v>
      </c>
      <c r="AC146">
        <v>0</v>
      </c>
      <c r="AD146" s="2">
        <v>7037.52</v>
      </c>
      <c r="AE146" t="s">
        <v>53</v>
      </c>
    </row>
    <row r="147" spans="1:31" x14ac:dyDescent="0.35">
      <c r="A147">
        <v>145</v>
      </c>
      <c r="B147">
        <v>282722</v>
      </c>
      <c r="C147">
        <v>328013878</v>
      </c>
      <c r="D147" t="s">
        <v>1680</v>
      </c>
      <c r="E147" t="s">
        <v>51</v>
      </c>
      <c r="F147" s="1">
        <v>46247</v>
      </c>
      <c r="G147" t="s">
        <v>133</v>
      </c>
      <c r="H147">
        <v>5500008244</v>
      </c>
      <c r="I147" s="1">
        <v>46101</v>
      </c>
      <c r="J147" t="s">
        <v>138</v>
      </c>
      <c r="K147" t="s">
        <v>137</v>
      </c>
      <c r="L147" t="s">
        <v>13</v>
      </c>
      <c r="M147" t="s">
        <v>24</v>
      </c>
      <c r="N147" t="s">
        <v>1684</v>
      </c>
      <c r="O147" t="s">
        <v>1937</v>
      </c>
      <c r="P147">
        <v>13002745</v>
      </c>
      <c r="Q147" t="s">
        <v>101</v>
      </c>
      <c r="R147" t="s">
        <v>426</v>
      </c>
      <c r="S147" s="2">
        <v>28000</v>
      </c>
      <c r="T147">
        <v>17.239999999999998</v>
      </c>
      <c r="U147" s="2">
        <v>482720</v>
      </c>
      <c r="V147">
        <v>0</v>
      </c>
      <c r="W147">
        <v>0</v>
      </c>
      <c r="X147" s="2">
        <v>86889.600000000006</v>
      </c>
      <c r="Y147">
        <v>0</v>
      </c>
      <c r="Z147">
        <v>0</v>
      </c>
      <c r="AA147" s="2">
        <v>569609.6</v>
      </c>
      <c r="AB147">
        <v>0</v>
      </c>
      <c r="AC147">
        <v>0</v>
      </c>
      <c r="AD147" s="2">
        <v>569609.6</v>
      </c>
      <c r="AE147" t="s">
        <v>53</v>
      </c>
    </row>
    <row r="148" spans="1:31" x14ac:dyDescent="0.35">
      <c r="A148">
        <v>146</v>
      </c>
      <c r="B148">
        <v>282722</v>
      </c>
      <c r="C148">
        <v>328013878</v>
      </c>
      <c r="D148" t="s">
        <v>1680</v>
      </c>
      <c r="E148" t="s">
        <v>51</v>
      </c>
      <c r="F148" s="1">
        <v>46247</v>
      </c>
      <c r="G148" t="s">
        <v>133</v>
      </c>
      <c r="H148">
        <v>5500008244</v>
      </c>
      <c r="I148" s="1">
        <v>46101</v>
      </c>
      <c r="J148" t="s">
        <v>138</v>
      </c>
      <c r="K148" t="s">
        <v>137</v>
      </c>
      <c r="L148" t="s">
        <v>13</v>
      </c>
      <c r="M148" t="s">
        <v>24</v>
      </c>
      <c r="N148" t="s">
        <v>188</v>
      </c>
      <c r="O148" t="s">
        <v>1937</v>
      </c>
      <c r="P148">
        <v>13002901</v>
      </c>
      <c r="Q148" t="s">
        <v>101</v>
      </c>
      <c r="R148" t="s">
        <v>426</v>
      </c>
      <c r="S148" s="2">
        <v>8000</v>
      </c>
      <c r="T148">
        <v>27.84</v>
      </c>
      <c r="U148" s="2">
        <v>222720</v>
      </c>
      <c r="V148">
        <v>0</v>
      </c>
      <c r="W148">
        <v>0</v>
      </c>
      <c r="X148" s="2">
        <v>40089.599999999999</v>
      </c>
      <c r="Y148">
        <v>0</v>
      </c>
      <c r="Z148">
        <v>0</v>
      </c>
      <c r="AA148" s="2">
        <v>262809.59999999998</v>
      </c>
      <c r="AB148">
        <v>0</v>
      </c>
      <c r="AC148">
        <v>0</v>
      </c>
      <c r="AD148" s="2">
        <v>262809.59999999998</v>
      </c>
      <c r="AE148" t="s">
        <v>53</v>
      </c>
    </row>
    <row r="149" spans="1:31" x14ac:dyDescent="0.35">
      <c r="A149">
        <v>147</v>
      </c>
      <c r="B149">
        <v>282722</v>
      </c>
      <c r="C149">
        <v>328013878</v>
      </c>
      <c r="D149" t="s">
        <v>1680</v>
      </c>
      <c r="E149" t="s">
        <v>51</v>
      </c>
      <c r="F149" s="1">
        <v>46247</v>
      </c>
      <c r="G149" t="s">
        <v>133</v>
      </c>
      <c r="H149">
        <v>5500008244</v>
      </c>
      <c r="I149" s="1">
        <v>46101</v>
      </c>
      <c r="J149" t="s">
        <v>138</v>
      </c>
      <c r="K149" t="s">
        <v>137</v>
      </c>
      <c r="L149" t="s">
        <v>13</v>
      </c>
      <c r="M149" t="s">
        <v>24</v>
      </c>
      <c r="N149" t="s">
        <v>1683</v>
      </c>
      <c r="O149" t="s">
        <v>1935</v>
      </c>
      <c r="P149">
        <v>13000027</v>
      </c>
      <c r="Q149" t="s">
        <v>40</v>
      </c>
      <c r="R149" t="s">
        <v>429</v>
      </c>
      <c r="S149" s="2">
        <v>8000</v>
      </c>
      <c r="T149">
        <v>0.497</v>
      </c>
      <c r="U149" s="2">
        <v>3976</v>
      </c>
      <c r="V149">
        <v>0</v>
      </c>
      <c r="W149">
        <v>0</v>
      </c>
      <c r="X149">
        <v>715.68</v>
      </c>
      <c r="Y149">
        <v>0</v>
      </c>
      <c r="Z149">
        <v>0</v>
      </c>
      <c r="AA149" s="2">
        <v>4691.68</v>
      </c>
      <c r="AB149">
        <v>0</v>
      </c>
      <c r="AC149">
        <v>0</v>
      </c>
      <c r="AD149" s="2">
        <v>4691.68</v>
      </c>
      <c r="AE149" t="s">
        <v>53</v>
      </c>
    </row>
    <row r="150" spans="1:31" x14ac:dyDescent="0.35">
      <c r="A150">
        <v>148</v>
      </c>
      <c r="B150">
        <v>282722</v>
      </c>
      <c r="C150">
        <v>328013878</v>
      </c>
      <c r="D150" t="s">
        <v>1680</v>
      </c>
      <c r="E150" t="s">
        <v>51</v>
      </c>
      <c r="F150" s="1">
        <v>46247</v>
      </c>
      <c r="G150" t="s">
        <v>133</v>
      </c>
      <c r="H150">
        <v>5500008244</v>
      </c>
      <c r="I150" s="1">
        <v>46101</v>
      </c>
      <c r="J150" t="s">
        <v>138</v>
      </c>
      <c r="K150" t="s">
        <v>137</v>
      </c>
      <c r="L150" t="s">
        <v>13</v>
      </c>
      <c r="M150" t="s">
        <v>24</v>
      </c>
      <c r="N150" t="s">
        <v>1685</v>
      </c>
      <c r="O150" t="s">
        <v>1939</v>
      </c>
      <c r="P150">
        <v>13000087</v>
      </c>
      <c r="Q150" t="s">
        <v>377</v>
      </c>
      <c r="R150" t="s">
        <v>433</v>
      </c>
      <c r="S150" s="2">
        <v>6000</v>
      </c>
      <c r="T150">
        <v>2.7850000000000001</v>
      </c>
      <c r="U150" s="2">
        <v>16710</v>
      </c>
      <c r="V150">
        <v>0</v>
      </c>
      <c r="W150">
        <v>0</v>
      </c>
      <c r="X150" s="2">
        <v>3007.8</v>
      </c>
      <c r="Y150">
        <v>0</v>
      </c>
      <c r="Z150">
        <v>0</v>
      </c>
      <c r="AA150" s="2">
        <v>19717.8</v>
      </c>
      <c r="AB150">
        <v>0</v>
      </c>
      <c r="AC150">
        <v>0</v>
      </c>
      <c r="AD150" s="2">
        <v>19717.8</v>
      </c>
      <c r="AE150" t="s">
        <v>53</v>
      </c>
    </row>
    <row r="151" spans="1:31" x14ac:dyDescent="0.35">
      <c r="A151">
        <v>149</v>
      </c>
      <c r="B151">
        <v>282722</v>
      </c>
      <c r="C151">
        <v>328013878</v>
      </c>
      <c r="D151" t="s">
        <v>1680</v>
      </c>
      <c r="E151" t="s">
        <v>51</v>
      </c>
      <c r="F151" s="1">
        <v>46247</v>
      </c>
      <c r="G151" t="s">
        <v>133</v>
      </c>
      <c r="H151">
        <v>5500008244</v>
      </c>
      <c r="I151" s="1">
        <v>46101</v>
      </c>
      <c r="J151" t="s">
        <v>138</v>
      </c>
      <c r="K151" t="s">
        <v>137</v>
      </c>
      <c r="L151" t="s">
        <v>13</v>
      </c>
      <c r="M151" t="s">
        <v>24</v>
      </c>
      <c r="N151" t="s">
        <v>1684</v>
      </c>
      <c r="O151" t="s">
        <v>1937</v>
      </c>
      <c r="P151">
        <v>13002745</v>
      </c>
      <c r="Q151" t="s">
        <v>101</v>
      </c>
      <c r="R151" t="s">
        <v>426</v>
      </c>
      <c r="S151" s="2">
        <v>8000</v>
      </c>
      <c r="T151">
        <v>17.239999999999998</v>
      </c>
      <c r="U151" s="2">
        <v>137920</v>
      </c>
      <c r="V151">
        <v>0</v>
      </c>
      <c r="W151">
        <v>0</v>
      </c>
      <c r="X151" s="2">
        <v>24825.599999999999</v>
      </c>
      <c r="Y151">
        <v>0</v>
      </c>
      <c r="Z151">
        <v>0</v>
      </c>
      <c r="AA151" s="2">
        <v>162745.60000000001</v>
      </c>
      <c r="AB151">
        <v>0</v>
      </c>
      <c r="AC151">
        <v>0</v>
      </c>
      <c r="AD151" s="2">
        <v>162745.60000000001</v>
      </c>
      <c r="AE151" t="s">
        <v>53</v>
      </c>
    </row>
    <row r="152" spans="1:31" x14ac:dyDescent="0.35">
      <c r="A152">
        <v>150</v>
      </c>
      <c r="B152">
        <v>282722</v>
      </c>
      <c r="C152">
        <v>328013878</v>
      </c>
      <c r="D152" t="s">
        <v>1680</v>
      </c>
      <c r="E152" t="s">
        <v>51</v>
      </c>
      <c r="F152" s="1">
        <v>46247</v>
      </c>
      <c r="G152" t="s">
        <v>133</v>
      </c>
      <c r="H152">
        <v>5500008244</v>
      </c>
      <c r="I152" s="1">
        <v>46101</v>
      </c>
      <c r="J152" t="s">
        <v>138</v>
      </c>
      <c r="K152" t="s">
        <v>137</v>
      </c>
      <c r="L152" t="s">
        <v>13</v>
      </c>
      <c r="M152" t="s">
        <v>24</v>
      </c>
      <c r="N152" t="s">
        <v>1681</v>
      </c>
      <c r="O152" t="s">
        <v>1937</v>
      </c>
      <c r="P152">
        <v>13002880</v>
      </c>
      <c r="Q152" t="s">
        <v>101</v>
      </c>
      <c r="R152" t="s">
        <v>426</v>
      </c>
      <c r="S152" s="2">
        <v>6000</v>
      </c>
      <c r="T152">
        <v>31.7</v>
      </c>
      <c r="U152" s="2">
        <v>190200</v>
      </c>
      <c r="V152">
        <v>0</v>
      </c>
      <c r="W152">
        <v>0</v>
      </c>
      <c r="X152" s="2">
        <v>34236</v>
      </c>
      <c r="Y152">
        <v>0</v>
      </c>
      <c r="Z152">
        <v>0</v>
      </c>
      <c r="AA152" s="2">
        <v>224436</v>
      </c>
      <c r="AB152">
        <v>0</v>
      </c>
      <c r="AC152">
        <v>0</v>
      </c>
      <c r="AD152" s="2">
        <v>224436</v>
      </c>
      <c r="AE152" t="s">
        <v>53</v>
      </c>
    </row>
    <row r="153" spans="1:31" x14ac:dyDescent="0.35">
      <c r="A153">
        <v>151</v>
      </c>
      <c r="B153">
        <v>282780</v>
      </c>
      <c r="C153">
        <v>328013928</v>
      </c>
      <c r="D153" t="s">
        <v>1686</v>
      </c>
      <c r="E153" t="s">
        <v>51</v>
      </c>
      <c r="F153" s="1">
        <v>46247</v>
      </c>
      <c r="G153" t="s">
        <v>1687</v>
      </c>
      <c r="H153" t="s">
        <v>1688</v>
      </c>
      <c r="I153" s="1">
        <v>46206</v>
      </c>
      <c r="J153" t="s">
        <v>138</v>
      </c>
      <c r="K153" t="s">
        <v>137</v>
      </c>
      <c r="L153" t="s">
        <v>13</v>
      </c>
      <c r="M153" t="s">
        <v>17</v>
      </c>
      <c r="N153" t="s">
        <v>1689</v>
      </c>
      <c r="O153" t="s">
        <v>1946</v>
      </c>
      <c r="P153" t="s">
        <v>1689</v>
      </c>
      <c r="Q153" t="s">
        <v>59</v>
      </c>
      <c r="R153" t="s">
        <v>431</v>
      </c>
      <c r="S153">
        <v>250</v>
      </c>
      <c r="T153">
        <v>550</v>
      </c>
      <c r="U153" s="2">
        <v>137500</v>
      </c>
      <c r="V153">
        <v>0</v>
      </c>
      <c r="W153">
        <v>0</v>
      </c>
      <c r="X153" s="2">
        <v>24849</v>
      </c>
      <c r="Y153">
        <v>550</v>
      </c>
      <c r="Z153">
        <v>99</v>
      </c>
      <c r="AA153" s="2">
        <v>162899</v>
      </c>
      <c r="AB153">
        <v>0</v>
      </c>
      <c r="AC153">
        <v>0</v>
      </c>
      <c r="AD153" s="2">
        <v>162899</v>
      </c>
      <c r="AE153" t="s">
        <v>55</v>
      </c>
    </row>
    <row r="154" spans="1:31" x14ac:dyDescent="0.35">
      <c r="A154">
        <v>152</v>
      </c>
      <c r="B154">
        <v>282784</v>
      </c>
      <c r="C154">
        <v>328013930</v>
      </c>
      <c r="D154" t="s">
        <v>1690</v>
      </c>
      <c r="E154" t="s">
        <v>51</v>
      </c>
      <c r="F154" s="1">
        <v>46247</v>
      </c>
      <c r="G154" t="s">
        <v>1310</v>
      </c>
      <c r="H154">
        <v>4190089004</v>
      </c>
      <c r="J154" t="s">
        <v>138</v>
      </c>
      <c r="K154" t="s">
        <v>137</v>
      </c>
      <c r="L154" t="s">
        <v>13</v>
      </c>
      <c r="M154" t="s">
        <v>25</v>
      </c>
      <c r="N154" t="s">
        <v>1321</v>
      </c>
      <c r="O154" t="s">
        <v>1932</v>
      </c>
      <c r="P154" t="s">
        <v>1322</v>
      </c>
      <c r="Q154" t="s">
        <v>52</v>
      </c>
      <c r="R154" t="s">
        <v>418</v>
      </c>
      <c r="S154" s="2">
        <v>12500</v>
      </c>
      <c r="T154">
        <v>1.33</v>
      </c>
      <c r="U154" s="2">
        <v>16625</v>
      </c>
      <c r="V154">
        <v>0</v>
      </c>
      <c r="W154">
        <v>0</v>
      </c>
      <c r="X154" s="2">
        <v>2992.5</v>
      </c>
      <c r="Y154">
        <v>0</v>
      </c>
      <c r="Z154">
        <v>0</v>
      </c>
      <c r="AA154" s="2">
        <v>19617.5</v>
      </c>
      <c r="AB154">
        <v>0</v>
      </c>
      <c r="AC154">
        <v>0</v>
      </c>
      <c r="AD154" s="2">
        <v>19617.5</v>
      </c>
      <c r="AE154" t="s">
        <v>53</v>
      </c>
    </row>
    <row r="155" spans="1:31" x14ac:dyDescent="0.35">
      <c r="A155">
        <v>153</v>
      </c>
      <c r="B155">
        <v>282792</v>
      </c>
      <c r="C155">
        <v>328013937</v>
      </c>
      <c r="D155" t="s">
        <v>1691</v>
      </c>
      <c r="E155" t="s">
        <v>51</v>
      </c>
      <c r="F155" s="1">
        <v>46247</v>
      </c>
      <c r="G155" t="s">
        <v>1692</v>
      </c>
      <c r="H155" t="s">
        <v>1693</v>
      </c>
      <c r="I155" s="1">
        <v>46246</v>
      </c>
      <c r="J155" t="s">
        <v>138</v>
      </c>
      <c r="K155" t="s">
        <v>137</v>
      </c>
      <c r="L155" t="s">
        <v>78</v>
      </c>
      <c r="M155" t="s">
        <v>14</v>
      </c>
      <c r="N155" t="s">
        <v>1694</v>
      </c>
      <c r="O155" t="s">
        <v>1936</v>
      </c>
      <c r="Q155" t="s">
        <v>54</v>
      </c>
      <c r="R155" t="s">
        <v>416</v>
      </c>
      <c r="S155">
        <v>250</v>
      </c>
      <c r="T155">
        <v>45</v>
      </c>
      <c r="U155" s="2">
        <v>11250</v>
      </c>
      <c r="V155">
        <v>0</v>
      </c>
      <c r="W155">
        <v>0</v>
      </c>
      <c r="X155" s="2">
        <v>2098.8000000000002</v>
      </c>
      <c r="Y155">
        <v>32.654870000000003</v>
      </c>
      <c r="Z155">
        <v>5.8778800000000002</v>
      </c>
      <c r="AA155" s="2">
        <v>13313.532740000001</v>
      </c>
      <c r="AB155">
        <v>0</v>
      </c>
      <c r="AC155">
        <v>0</v>
      </c>
      <c r="AD155" s="2">
        <v>13313.532740000001</v>
      </c>
      <c r="AE155" t="s">
        <v>55</v>
      </c>
    </row>
    <row r="156" spans="1:31" x14ac:dyDescent="0.35">
      <c r="A156">
        <v>154</v>
      </c>
      <c r="B156">
        <v>282792</v>
      </c>
      <c r="C156">
        <v>328013937</v>
      </c>
      <c r="D156" t="s">
        <v>1691</v>
      </c>
      <c r="E156" t="s">
        <v>51</v>
      </c>
      <c r="F156" s="1">
        <v>46247</v>
      </c>
      <c r="G156" t="s">
        <v>1692</v>
      </c>
      <c r="H156" t="s">
        <v>1693</v>
      </c>
      <c r="I156" s="1">
        <v>46246</v>
      </c>
      <c r="J156" t="s">
        <v>138</v>
      </c>
      <c r="K156" t="s">
        <v>137</v>
      </c>
      <c r="L156" t="s">
        <v>78</v>
      </c>
      <c r="M156" t="s">
        <v>14</v>
      </c>
      <c r="N156" t="s">
        <v>1695</v>
      </c>
      <c r="O156" t="s">
        <v>1936</v>
      </c>
      <c r="Q156" t="s">
        <v>54</v>
      </c>
      <c r="R156" t="s">
        <v>416</v>
      </c>
      <c r="S156" s="2">
        <v>2400</v>
      </c>
      <c r="T156">
        <v>15.5</v>
      </c>
      <c r="U156" s="2">
        <v>37200</v>
      </c>
      <c r="V156">
        <v>0</v>
      </c>
      <c r="W156">
        <v>0</v>
      </c>
      <c r="X156" s="2">
        <v>6696</v>
      </c>
      <c r="Y156">
        <v>107.97875999999999</v>
      </c>
      <c r="Z156">
        <v>19.43618</v>
      </c>
      <c r="AA156" s="2">
        <v>44023.414940000002</v>
      </c>
      <c r="AB156">
        <v>0</v>
      </c>
      <c r="AC156">
        <v>0</v>
      </c>
      <c r="AD156" s="2">
        <v>44023.414940000002</v>
      </c>
      <c r="AE156" t="s">
        <v>55</v>
      </c>
    </row>
    <row r="157" spans="1:31" x14ac:dyDescent="0.35">
      <c r="A157">
        <v>155</v>
      </c>
      <c r="B157">
        <v>282792</v>
      </c>
      <c r="C157">
        <v>328013937</v>
      </c>
      <c r="D157" t="s">
        <v>1691</v>
      </c>
      <c r="E157" t="s">
        <v>51</v>
      </c>
      <c r="F157" s="1">
        <v>46247</v>
      </c>
      <c r="G157" t="s">
        <v>1692</v>
      </c>
      <c r="H157" t="s">
        <v>1693</v>
      </c>
      <c r="I157" s="1">
        <v>46246</v>
      </c>
      <c r="J157" t="s">
        <v>138</v>
      </c>
      <c r="K157" t="s">
        <v>137</v>
      </c>
      <c r="L157" t="s">
        <v>78</v>
      </c>
      <c r="M157" t="s">
        <v>14</v>
      </c>
      <c r="N157" t="s">
        <v>1696</v>
      </c>
      <c r="O157" t="s">
        <v>1936</v>
      </c>
      <c r="Q157" t="s">
        <v>54</v>
      </c>
      <c r="R157" t="s">
        <v>416</v>
      </c>
      <c r="S157" s="2">
        <v>1600</v>
      </c>
      <c r="T157">
        <v>58</v>
      </c>
      <c r="U157" s="2">
        <v>92800</v>
      </c>
      <c r="V157">
        <v>0</v>
      </c>
      <c r="W157">
        <v>0</v>
      </c>
      <c r="X157" s="2">
        <v>16704</v>
      </c>
      <c r="Y157">
        <v>269.36637000000002</v>
      </c>
      <c r="Z157">
        <v>48.485950000000003</v>
      </c>
      <c r="AA157" s="2">
        <v>109821.85232000001</v>
      </c>
      <c r="AB157">
        <v>0</v>
      </c>
      <c r="AC157">
        <v>0</v>
      </c>
      <c r="AD157" s="2">
        <v>109821.85232000001</v>
      </c>
      <c r="AE157" t="s">
        <v>55</v>
      </c>
    </row>
    <row r="158" spans="1:31" x14ac:dyDescent="0.35">
      <c r="A158">
        <v>156</v>
      </c>
      <c r="B158">
        <v>282793</v>
      </c>
      <c r="C158">
        <v>328013938</v>
      </c>
      <c r="D158" t="s">
        <v>1697</v>
      </c>
      <c r="E158" t="s">
        <v>51</v>
      </c>
      <c r="F158" s="1">
        <v>46247</v>
      </c>
      <c r="G158" t="s">
        <v>1698</v>
      </c>
      <c r="H158" t="s">
        <v>1699</v>
      </c>
      <c r="I158" s="1">
        <v>46239</v>
      </c>
      <c r="J158" t="s">
        <v>138</v>
      </c>
      <c r="K158" t="s">
        <v>137</v>
      </c>
      <c r="L158" t="s">
        <v>78</v>
      </c>
      <c r="M158" t="s">
        <v>23</v>
      </c>
      <c r="N158" t="s">
        <v>458</v>
      </c>
      <c r="O158" t="s">
        <v>1942</v>
      </c>
      <c r="P158" t="s">
        <v>1701</v>
      </c>
      <c r="Q158" t="s">
        <v>52</v>
      </c>
      <c r="R158" t="s">
        <v>422</v>
      </c>
      <c r="S158" s="2">
        <v>102000</v>
      </c>
      <c r="T158">
        <v>0.6</v>
      </c>
      <c r="U158" s="2">
        <v>61200</v>
      </c>
      <c r="V158">
        <v>0</v>
      </c>
      <c r="W158">
        <v>0</v>
      </c>
      <c r="X158" s="2">
        <v>11016</v>
      </c>
      <c r="Y158">
        <v>322.68270000000001</v>
      </c>
      <c r="Z158">
        <v>58.082889999999999</v>
      </c>
      <c r="AA158" s="2">
        <v>72596.765580000007</v>
      </c>
      <c r="AB158">
        <v>0</v>
      </c>
      <c r="AC158">
        <v>0</v>
      </c>
      <c r="AD158" s="2">
        <v>72596.765580000007</v>
      </c>
      <c r="AE158" t="s">
        <v>53</v>
      </c>
    </row>
    <row r="159" spans="1:31" x14ac:dyDescent="0.35">
      <c r="A159">
        <v>157</v>
      </c>
      <c r="B159">
        <v>282793</v>
      </c>
      <c r="C159">
        <v>328013938</v>
      </c>
      <c r="D159" t="s">
        <v>1697</v>
      </c>
      <c r="E159" t="s">
        <v>51</v>
      </c>
      <c r="F159" s="1">
        <v>46247</v>
      </c>
      <c r="G159" t="s">
        <v>1698</v>
      </c>
      <c r="H159" t="s">
        <v>1699</v>
      </c>
      <c r="I159" s="1">
        <v>46239</v>
      </c>
      <c r="J159" t="s">
        <v>138</v>
      </c>
      <c r="K159" t="s">
        <v>137</v>
      </c>
      <c r="L159" t="s">
        <v>78</v>
      </c>
      <c r="M159" t="s">
        <v>23</v>
      </c>
      <c r="N159" t="s">
        <v>455</v>
      </c>
      <c r="O159" t="s">
        <v>1943</v>
      </c>
      <c r="P159" t="s">
        <v>1700</v>
      </c>
      <c r="Q159" t="s">
        <v>52</v>
      </c>
      <c r="R159" t="s">
        <v>418</v>
      </c>
      <c r="S159" s="2">
        <v>57000</v>
      </c>
      <c r="T159">
        <v>0.59</v>
      </c>
      <c r="U159" s="2">
        <v>33630</v>
      </c>
      <c r="V159">
        <v>0</v>
      </c>
      <c r="W159">
        <v>0</v>
      </c>
      <c r="X159" s="2">
        <v>6143.4</v>
      </c>
      <c r="Y159">
        <v>177.31729999999999</v>
      </c>
      <c r="Z159">
        <v>31.917110000000001</v>
      </c>
      <c r="AA159" s="2">
        <v>39892.634420000002</v>
      </c>
      <c r="AB159">
        <v>0</v>
      </c>
      <c r="AC159">
        <v>0</v>
      </c>
      <c r="AD159" s="2">
        <v>39892.634420000002</v>
      </c>
      <c r="AE159" t="s">
        <v>53</v>
      </c>
    </row>
    <row r="160" spans="1:31" x14ac:dyDescent="0.35">
      <c r="A160">
        <v>158</v>
      </c>
      <c r="B160">
        <v>282798</v>
      </c>
      <c r="C160">
        <v>328013942</v>
      </c>
      <c r="D160" t="s">
        <v>1702</v>
      </c>
      <c r="E160" t="s">
        <v>51</v>
      </c>
      <c r="F160" s="1">
        <v>46247</v>
      </c>
      <c r="G160" t="s">
        <v>1703</v>
      </c>
      <c r="H160" t="s">
        <v>1704</v>
      </c>
      <c r="I160" s="1">
        <v>46246</v>
      </c>
      <c r="J160" t="s">
        <v>138</v>
      </c>
      <c r="K160" t="s">
        <v>1279</v>
      </c>
      <c r="L160" t="s">
        <v>12</v>
      </c>
      <c r="M160" t="s">
        <v>21</v>
      </c>
      <c r="N160" t="s">
        <v>1705</v>
      </c>
      <c r="O160" t="s">
        <v>1932</v>
      </c>
      <c r="Q160" t="s">
        <v>52</v>
      </c>
      <c r="R160" t="s">
        <v>418</v>
      </c>
      <c r="S160" s="2">
        <v>18000</v>
      </c>
      <c r="T160">
        <v>0.68</v>
      </c>
      <c r="U160" s="2">
        <v>12240</v>
      </c>
      <c r="V160">
        <v>0</v>
      </c>
      <c r="W160">
        <v>0</v>
      </c>
      <c r="X160" s="2">
        <v>2203.1999999999998</v>
      </c>
      <c r="Y160">
        <v>0</v>
      </c>
      <c r="Z160">
        <v>0</v>
      </c>
      <c r="AA160" s="2">
        <v>14443.2</v>
      </c>
      <c r="AB160">
        <v>0</v>
      </c>
      <c r="AC160">
        <v>0</v>
      </c>
      <c r="AD160" s="2">
        <v>14443.2</v>
      </c>
      <c r="AE160" t="s">
        <v>53</v>
      </c>
    </row>
    <row r="161" spans="1:31" x14ac:dyDescent="0.35">
      <c r="A161">
        <v>159</v>
      </c>
      <c r="B161">
        <v>282800</v>
      </c>
      <c r="C161">
        <v>328013944</v>
      </c>
      <c r="D161" t="s">
        <v>1706</v>
      </c>
      <c r="E161" t="s">
        <v>51</v>
      </c>
      <c r="F161" s="1">
        <v>46247</v>
      </c>
      <c r="G161" t="s">
        <v>1703</v>
      </c>
      <c r="H161" t="s">
        <v>1707</v>
      </c>
      <c r="I161" s="1">
        <v>46135</v>
      </c>
      <c r="J161" t="s">
        <v>138</v>
      </c>
      <c r="K161" t="s">
        <v>1279</v>
      </c>
      <c r="L161" t="s">
        <v>12</v>
      </c>
      <c r="M161" t="s">
        <v>21</v>
      </c>
      <c r="N161" t="s">
        <v>1708</v>
      </c>
      <c r="O161" t="s">
        <v>1935</v>
      </c>
      <c r="P161" t="s">
        <v>1709</v>
      </c>
      <c r="Q161" t="s">
        <v>58</v>
      </c>
      <c r="R161" t="s">
        <v>425</v>
      </c>
      <c r="S161" s="2">
        <v>3000</v>
      </c>
      <c r="T161">
        <v>19.25</v>
      </c>
      <c r="U161" s="2">
        <v>57750</v>
      </c>
      <c r="V161">
        <v>0</v>
      </c>
      <c r="W161">
        <v>0</v>
      </c>
      <c r="X161" s="2">
        <v>10395</v>
      </c>
      <c r="Y161">
        <v>0</v>
      </c>
      <c r="Z161">
        <v>0</v>
      </c>
      <c r="AA161" s="2">
        <v>68145</v>
      </c>
      <c r="AB161">
        <v>0</v>
      </c>
      <c r="AC161">
        <v>0</v>
      </c>
      <c r="AD161" s="2">
        <v>68145</v>
      </c>
      <c r="AE161" t="s">
        <v>53</v>
      </c>
    </row>
    <row r="162" spans="1:31" x14ac:dyDescent="0.35">
      <c r="A162">
        <v>160</v>
      </c>
      <c r="B162">
        <v>282810</v>
      </c>
      <c r="C162">
        <v>328013950</v>
      </c>
      <c r="D162" t="s">
        <v>1710</v>
      </c>
      <c r="E162" t="s">
        <v>51</v>
      </c>
      <c r="F162" s="1">
        <v>46247</v>
      </c>
      <c r="G162" t="s">
        <v>1711</v>
      </c>
      <c r="H162" t="s">
        <v>1712</v>
      </c>
      <c r="I162" s="1">
        <v>46188</v>
      </c>
      <c r="J162" t="s">
        <v>138</v>
      </c>
      <c r="K162" t="s">
        <v>137</v>
      </c>
      <c r="L162" t="s">
        <v>15</v>
      </c>
      <c r="M162" t="s">
        <v>14</v>
      </c>
      <c r="N162" t="s">
        <v>1713</v>
      </c>
      <c r="O162" t="s">
        <v>1935</v>
      </c>
      <c r="Q162" t="s">
        <v>72</v>
      </c>
      <c r="R162" t="s">
        <v>429</v>
      </c>
      <c r="S162" s="2">
        <v>20000</v>
      </c>
      <c r="T162">
        <v>8</v>
      </c>
      <c r="U162" s="2">
        <v>160000</v>
      </c>
      <c r="V162">
        <v>0</v>
      </c>
      <c r="W162">
        <v>0</v>
      </c>
      <c r="X162" s="2">
        <v>28800</v>
      </c>
      <c r="Y162">
        <v>0</v>
      </c>
      <c r="Z162">
        <v>0</v>
      </c>
      <c r="AA162" s="2">
        <v>188800</v>
      </c>
      <c r="AB162">
        <v>0</v>
      </c>
      <c r="AC162">
        <v>0</v>
      </c>
      <c r="AD162" s="2">
        <v>188800</v>
      </c>
      <c r="AE162" t="s">
        <v>53</v>
      </c>
    </row>
    <row r="163" spans="1:31" x14ac:dyDescent="0.35">
      <c r="A163">
        <v>161</v>
      </c>
      <c r="B163">
        <v>282812</v>
      </c>
      <c r="C163">
        <v>328013952</v>
      </c>
      <c r="D163" t="s">
        <v>1714</v>
      </c>
      <c r="E163" t="s">
        <v>51</v>
      </c>
      <c r="F163" s="1">
        <v>46247</v>
      </c>
      <c r="G163" t="s">
        <v>1711</v>
      </c>
      <c r="H163" t="s">
        <v>1715</v>
      </c>
      <c r="I163" s="1">
        <v>46097</v>
      </c>
      <c r="J163" t="s">
        <v>138</v>
      </c>
      <c r="K163" t="s">
        <v>137</v>
      </c>
      <c r="L163" t="s">
        <v>15</v>
      </c>
      <c r="M163" t="s">
        <v>14</v>
      </c>
      <c r="N163" t="s">
        <v>1643</v>
      </c>
      <c r="O163" t="s">
        <v>1936</v>
      </c>
      <c r="Q163" t="s">
        <v>366</v>
      </c>
      <c r="R163" t="s">
        <v>566</v>
      </c>
      <c r="S163" s="2">
        <v>2500</v>
      </c>
      <c r="T163">
        <v>10.34</v>
      </c>
      <c r="U163" s="2">
        <v>25850</v>
      </c>
      <c r="V163">
        <v>0</v>
      </c>
      <c r="W163">
        <v>0</v>
      </c>
      <c r="X163" s="2">
        <v>4653</v>
      </c>
      <c r="Y163">
        <v>0</v>
      </c>
      <c r="Z163">
        <v>0</v>
      </c>
      <c r="AA163" s="2">
        <v>30503</v>
      </c>
      <c r="AB163">
        <v>0</v>
      </c>
      <c r="AC163">
        <v>0</v>
      </c>
      <c r="AD163" s="2">
        <v>30503</v>
      </c>
      <c r="AE163" t="s">
        <v>53</v>
      </c>
    </row>
    <row r="164" spans="1:31" x14ac:dyDescent="0.35">
      <c r="A164">
        <v>162</v>
      </c>
      <c r="B164">
        <v>282814</v>
      </c>
      <c r="C164">
        <v>328013954</v>
      </c>
      <c r="D164" t="s">
        <v>1716</v>
      </c>
      <c r="E164" t="s">
        <v>51</v>
      </c>
      <c r="F164" s="1">
        <v>46247</v>
      </c>
      <c r="G164" t="s">
        <v>1711</v>
      </c>
      <c r="H164" t="s">
        <v>1717</v>
      </c>
      <c r="I164" s="1">
        <v>46246</v>
      </c>
      <c r="J164" t="s">
        <v>138</v>
      </c>
      <c r="K164" t="s">
        <v>137</v>
      </c>
      <c r="L164" t="s">
        <v>15</v>
      </c>
      <c r="M164" t="s">
        <v>14</v>
      </c>
      <c r="N164" t="s">
        <v>1718</v>
      </c>
      <c r="O164" t="s">
        <v>1936</v>
      </c>
      <c r="P164" t="s">
        <v>1718</v>
      </c>
      <c r="Q164" t="s">
        <v>54</v>
      </c>
      <c r="R164" t="s">
        <v>416</v>
      </c>
      <c r="S164">
        <v>540</v>
      </c>
      <c r="T164">
        <v>290</v>
      </c>
      <c r="U164" s="2">
        <v>156600</v>
      </c>
      <c r="V164">
        <v>0</v>
      </c>
      <c r="W164">
        <v>0</v>
      </c>
      <c r="X164" s="2">
        <v>28288.799999999999</v>
      </c>
      <c r="Y164">
        <v>560</v>
      </c>
      <c r="Z164">
        <v>100.8</v>
      </c>
      <c r="AA164" s="2">
        <v>185448.8</v>
      </c>
      <c r="AB164">
        <v>0</v>
      </c>
      <c r="AC164">
        <v>0</v>
      </c>
      <c r="AD164" s="2">
        <v>185448.8</v>
      </c>
      <c r="AE164" t="s">
        <v>55</v>
      </c>
    </row>
    <row r="165" spans="1:31" x14ac:dyDescent="0.35">
      <c r="A165">
        <v>163</v>
      </c>
      <c r="B165">
        <v>282839</v>
      </c>
      <c r="C165">
        <v>328013975</v>
      </c>
      <c r="D165" t="s">
        <v>1719</v>
      </c>
      <c r="E165" t="s">
        <v>51</v>
      </c>
      <c r="F165" s="1">
        <v>46247</v>
      </c>
      <c r="G165" t="s">
        <v>405</v>
      </c>
      <c r="H165">
        <v>7100000510</v>
      </c>
      <c r="I165" s="1">
        <v>46170</v>
      </c>
      <c r="J165" t="s">
        <v>138</v>
      </c>
      <c r="K165" t="s">
        <v>137</v>
      </c>
      <c r="L165" t="s">
        <v>78</v>
      </c>
      <c r="M165" t="s">
        <v>17</v>
      </c>
      <c r="N165" t="s">
        <v>608</v>
      </c>
      <c r="O165" t="s">
        <v>1950</v>
      </c>
      <c r="P165">
        <v>1011001269</v>
      </c>
      <c r="Q165" t="s">
        <v>609</v>
      </c>
      <c r="R165" t="s">
        <v>610</v>
      </c>
      <c r="S165" s="2">
        <v>5000</v>
      </c>
      <c r="T165">
        <v>2.4700000000000002</v>
      </c>
      <c r="U165" s="2">
        <v>12350</v>
      </c>
      <c r="V165">
        <v>0</v>
      </c>
      <c r="W165">
        <v>0</v>
      </c>
      <c r="X165" s="2">
        <v>2223</v>
      </c>
      <c r="Y165">
        <v>0</v>
      </c>
      <c r="Z165">
        <v>0</v>
      </c>
      <c r="AA165" s="2">
        <v>14573</v>
      </c>
      <c r="AB165">
        <v>0</v>
      </c>
      <c r="AC165">
        <v>0</v>
      </c>
      <c r="AD165" s="2">
        <v>14573</v>
      </c>
      <c r="AE165" t="s">
        <v>53</v>
      </c>
    </row>
    <row r="166" spans="1:31" x14ac:dyDescent="0.35">
      <c r="A166">
        <v>164</v>
      </c>
      <c r="B166">
        <v>282845</v>
      </c>
      <c r="C166">
        <v>328013981</v>
      </c>
      <c r="D166" t="s">
        <v>1720</v>
      </c>
      <c r="E166" t="s">
        <v>51</v>
      </c>
      <c r="F166" s="1">
        <v>46247</v>
      </c>
      <c r="G166" t="s">
        <v>1721</v>
      </c>
      <c r="H166" t="s">
        <v>1722</v>
      </c>
      <c r="I166" s="1">
        <v>46129</v>
      </c>
      <c r="J166" t="s">
        <v>138</v>
      </c>
      <c r="K166" t="s">
        <v>1278</v>
      </c>
      <c r="L166" t="s">
        <v>12</v>
      </c>
      <c r="M166" t="s">
        <v>21</v>
      </c>
      <c r="N166" t="s">
        <v>1723</v>
      </c>
      <c r="O166" t="s">
        <v>1937</v>
      </c>
      <c r="Q166" t="s">
        <v>1724</v>
      </c>
      <c r="R166" t="s">
        <v>1663</v>
      </c>
      <c r="S166" s="2">
        <v>11856</v>
      </c>
      <c r="T166">
        <v>4</v>
      </c>
      <c r="U166" s="2">
        <v>47424</v>
      </c>
      <c r="V166">
        <v>0</v>
      </c>
      <c r="W166">
        <v>0</v>
      </c>
      <c r="X166" s="2">
        <v>8536.32</v>
      </c>
      <c r="Y166">
        <v>0</v>
      </c>
      <c r="Z166">
        <v>0</v>
      </c>
      <c r="AA166" s="2">
        <v>55960.32</v>
      </c>
      <c r="AB166">
        <v>0</v>
      </c>
      <c r="AC166">
        <v>0</v>
      </c>
      <c r="AD166" s="2">
        <v>55960.32</v>
      </c>
      <c r="AE166" t="s">
        <v>53</v>
      </c>
    </row>
    <row r="167" spans="1:31" x14ac:dyDescent="0.35">
      <c r="A167">
        <v>165</v>
      </c>
      <c r="B167">
        <v>282846</v>
      </c>
      <c r="C167">
        <v>328013982</v>
      </c>
      <c r="D167" t="s">
        <v>1725</v>
      </c>
      <c r="E167" t="s">
        <v>51</v>
      </c>
      <c r="F167" s="1">
        <v>46247</v>
      </c>
      <c r="G167" t="s">
        <v>1721</v>
      </c>
      <c r="H167" t="s">
        <v>1726</v>
      </c>
      <c r="I167" s="1">
        <v>46050</v>
      </c>
      <c r="J167" t="s">
        <v>138</v>
      </c>
      <c r="K167" t="s">
        <v>1278</v>
      </c>
      <c r="L167" t="s">
        <v>12</v>
      </c>
      <c r="M167" t="s">
        <v>21</v>
      </c>
      <c r="N167" t="s">
        <v>1727</v>
      </c>
      <c r="O167" t="s">
        <v>1935</v>
      </c>
      <c r="Q167" t="s">
        <v>58</v>
      </c>
      <c r="R167" t="s">
        <v>425</v>
      </c>
      <c r="S167" s="2">
        <v>4000</v>
      </c>
      <c r="T167">
        <v>8.11</v>
      </c>
      <c r="U167" s="2">
        <v>32440</v>
      </c>
      <c r="V167">
        <v>0</v>
      </c>
      <c r="W167">
        <v>0</v>
      </c>
      <c r="X167" s="2">
        <v>5839.2</v>
      </c>
      <c r="Y167">
        <v>0</v>
      </c>
      <c r="Z167">
        <v>0</v>
      </c>
      <c r="AA167" s="2">
        <v>38279.199999999997</v>
      </c>
      <c r="AB167">
        <v>0</v>
      </c>
      <c r="AC167">
        <v>0</v>
      </c>
      <c r="AD167" s="2">
        <v>38279.199999999997</v>
      </c>
      <c r="AE167" t="s">
        <v>53</v>
      </c>
    </row>
    <row r="168" spans="1:31" x14ac:dyDescent="0.35">
      <c r="A168">
        <v>166</v>
      </c>
      <c r="B168">
        <v>282870</v>
      </c>
      <c r="C168">
        <v>328014002</v>
      </c>
      <c r="D168" t="s">
        <v>1728</v>
      </c>
      <c r="E168" t="s">
        <v>51</v>
      </c>
      <c r="F168" s="1">
        <v>46247</v>
      </c>
      <c r="G168" t="s">
        <v>1729</v>
      </c>
      <c r="H168" t="s">
        <v>1730</v>
      </c>
      <c r="I168" s="1">
        <v>46247</v>
      </c>
      <c r="J168" t="s">
        <v>138</v>
      </c>
      <c r="K168" t="s">
        <v>137</v>
      </c>
      <c r="L168" t="s">
        <v>15</v>
      </c>
      <c r="M168" t="s">
        <v>14</v>
      </c>
      <c r="N168" t="s">
        <v>1731</v>
      </c>
      <c r="O168" t="s">
        <v>1936</v>
      </c>
      <c r="Q168" t="s">
        <v>54</v>
      </c>
      <c r="R168" t="s">
        <v>416</v>
      </c>
      <c r="S168">
        <v>250</v>
      </c>
      <c r="T168">
        <v>85</v>
      </c>
      <c r="U168" s="2">
        <v>21250</v>
      </c>
      <c r="V168">
        <v>0</v>
      </c>
      <c r="W168">
        <v>0</v>
      </c>
      <c r="X168" s="2">
        <v>3825</v>
      </c>
      <c r="Y168">
        <v>0</v>
      </c>
      <c r="Z168">
        <v>0</v>
      </c>
      <c r="AA168" s="2">
        <v>25075</v>
      </c>
      <c r="AB168">
        <v>0</v>
      </c>
      <c r="AC168">
        <v>0</v>
      </c>
      <c r="AD168" s="2">
        <v>25075</v>
      </c>
      <c r="AE168" t="s">
        <v>55</v>
      </c>
    </row>
    <row r="169" spans="1:31" x14ac:dyDescent="0.35">
      <c r="A169">
        <v>167</v>
      </c>
      <c r="B169">
        <v>282876</v>
      </c>
      <c r="C169">
        <v>328014008</v>
      </c>
      <c r="D169" t="s">
        <v>1732</v>
      </c>
      <c r="E169" t="s">
        <v>51</v>
      </c>
      <c r="F169" s="1">
        <v>46247</v>
      </c>
      <c r="G169" t="s">
        <v>85</v>
      </c>
      <c r="H169">
        <v>5500008044</v>
      </c>
      <c r="I169" s="1">
        <v>46101</v>
      </c>
      <c r="J169" t="s">
        <v>138</v>
      </c>
      <c r="K169" t="s">
        <v>137</v>
      </c>
      <c r="L169" t="s">
        <v>13</v>
      </c>
      <c r="M169" t="s">
        <v>24</v>
      </c>
      <c r="N169" t="s">
        <v>188</v>
      </c>
      <c r="O169" t="s">
        <v>1937</v>
      </c>
      <c r="P169">
        <v>13002901</v>
      </c>
      <c r="Q169" t="s">
        <v>101</v>
      </c>
      <c r="R169" t="s">
        <v>426</v>
      </c>
      <c r="S169" s="2">
        <v>13000</v>
      </c>
      <c r="T169">
        <v>27.84</v>
      </c>
      <c r="U169" s="2">
        <v>361920</v>
      </c>
      <c r="V169">
        <v>0</v>
      </c>
      <c r="W169">
        <v>0</v>
      </c>
      <c r="X169" s="2">
        <v>65145.599999999999</v>
      </c>
      <c r="Y169">
        <v>0</v>
      </c>
      <c r="Z169">
        <v>0</v>
      </c>
      <c r="AA169" s="2">
        <v>427065.59999999998</v>
      </c>
      <c r="AB169">
        <v>0</v>
      </c>
      <c r="AC169">
        <v>0</v>
      </c>
      <c r="AD169" s="2">
        <v>427065.59999999998</v>
      </c>
      <c r="AE169" t="s">
        <v>53</v>
      </c>
    </row>
    <row r="170" spans="1:31" x14ac:dyDescent="0.35">
      <c r="A170">
        <v>168</v>
      </c>
      <c r="B170">
        <v>282876</v>
      </c>
      <c r="C170">
        <v>328014008</v>
      </c>
      <c r="D170" t="s">
        <v>1732</v>
      </c>
      <c r="E170" t="s">
        <v>51</v>
      </c>
      <c r="F170" s="1">
        <v>46247</v>
      </c>
      <c r="G170" t="s">
        <v>85</v>
      </c>
      <c r="H170">
        <v>5500008044</v>
      </c>
      <c r="I170" s="1">
        <v>46101</v>
      </c>
      <c r="J170" t="s">
        <v>138</v>
      </c>
      <c r="K170" t="s">
        <v>137</v>
      </c>
      <c r="L170" t="s">
        <v>13</v>
      </c>
      <c r="M170" t="s">
        <v>24</v>
      </c>
      <c r="N170" t="s">
        <v>1734</v>
      </c>
      <c r="O170" t="s">
        <v>1932</v>
      </c>
      <c r="P170">
        <v>13000090</v>
      </c>
      <c r="Q170" t="s">
        <v>60</v>
      </c>
      <c r="R170" t="s">
        <v>418</v>
      </c>
      <c r="S170" s="2">
        <v>20000</v>
      </c>
      <c r="T170">
        <v>1.1930000000000001</v>
      </c>
      <c r="U170" s="2">
        <v>23860</v>
      </c>
      <c r="V170">
        <v>0</v>
      </c>
      <c r="W170">
        <v>0</v>
      </c>
      <c r="X170" s="2">
        <v>4294.8</v>
      </c>
      <c r="Y170">
        <v>0</v>
      </c>
      <c r="Z170">
        <v>0</v>
      </c>
      <c r="AA170" s="2">
        <v>28154.799999999999</v>
      </c>
      <c r="AB170">
        <v>0</v>
      </c>
      <c r="AC170">
        <v>0</v>
      </c>
      <c r="AD170" s="2">
        <v>28154.799999999999</v>
      </c>
      <c r="AE170" t="s">
        <v>53</v>
      </c>
    </row>
    <row r="171" spans="1:31" x14ac:dyDescent="0.35">
      <c r="A171">
        <v>169</v>
      </c>
      <c r="B171">
        <v>282876</v>
      </c>
      <c r="C171">
        <v>328014008</v>
      </c>
      <c r="D171" t="s">
        <v>1732</v>
      </c>
      <c r="E171" t="s">
        <v>51</v>
      </c>
      <c r="F171" s="1">
        <v>46247</v>
      </c>
      <c r="G171" t="s">
        <v>85</v>
      </c>
      <c r="H171">
        <v>5500008044</v>
      </c>
      <c r="I171" s="1">
        <v>46101</v>
      </c>
      <c r="J171" t="s">
        <v>138</v>
      </c>
      <c r="K171" t="s">
        <v>137</v>
      </c>
      <c r="L171" t="s">
        <v>13</v>
      </c>
      <c r="M171" t="s">
        <v>24</v>
      </c>
      <c r="N171" t="s">
        <v>1733</v>
      </c>
      <c r="O171" t="s">
        <v>1939</v>
      </c>
      <c r="P171">
        <v>13000256</v>
      </c>
      <c r="Q171" t="s">
        <v>377</v>
      </c>
      <c r="R171" t="s">
        <v>433</v>
      </c>
      <c r="S171" s="2">
        <v>9000</v>
      </c>
      <c r="T171">
        <v>3.68</v>
      </c>
      <c r="U171" s="2">
        <v>33120</v>
      </c>
      <c r="V171">
        <v>0</v>
      </c>
      <c r="W171">
        <v>0</v>
      </c>
      <c r="X171" s="2">
        <v>5961.6</v>
      </c>
      <c r="Y171">
        <v>0</v>
      </c>
      <c r="Z171">
        <v>0</v>
      </c>
      <c r="AA171" s="2">
        <v>39081.599999999999</v>
      </c>
      <c r="AB171">
        <v>0</v>
      </c>
      <c r="AC171">
        <v>0</v>
      </c>
      <c r="AD171" s="2">
        <v>39081.599999999999</v>
      </c>
      <c r="AE171" t="s">
        <v>53</v>
      </c>
    </row>
    <row r="172" spans="1:31" x14ac:dyDescent="0.35">
      <c r="A172">
        <v>170</v>
      </c>
      <c r="B172">
        <v>282879</v>
      </c>
      <c r="C172">
        <v>328014010</v>
      </c>
      <c r="D172" t="s">
        <v>1735</v>
      </c>
      <c r="E172" t="s">
        <v>51</v>
      </c>
      <c r="F172" s="1">
        <v>46247</v>
      </c>
      <c r="G172" t="s">
        <v>1736</v>
      </c>
      <c r="H172" t="s">
        <v>1737</v>
      </c>
      <c r="I172" s="1">
        <v>46128</v>
      </c>
      <c r="J172" t="s">
        <v>138</v>
      </c>
      <c r="K172" t="s">
        <v>137</v>
      </c>
      <c r="L172" t="s">
        <v>11</v>
      </c>
      <c r="M172" t="s">
        <v>22</v>
      </c>
      <c r="N172" t="s">
        <v>1738</v>
      </c>
      <c r="O172" t="s">
        <v>1932</v>
      </c>
      <c r="P172" t="s">
        <v>1739</v>
      </c>
      <c r="Q172" t="s">
        <v>52</v>
      </c>
      <c r="R172" t="s">
        <v>418</v>
      </c>
      <c r="S172" s="2">
        <v>97500</v>
      </c>
      <c r="T172">
        <v>2.64</v>
      </c>
      <c r="U172" s="2">
        <v>257400</v>
      </c>
      <c r="V172">
        <v>0</v>
      </c>
      <c r="W172">
        <v>0</v>
      </c>
      <c r="X172" s="2">
        <v>46332</v>
      </c>
      <c r="Y172">
        <v>0</v>
      </c>
      <c r="Z172">
        <v>0</v>
      </c>
      <c r="AA172" s="2">
        <v>303732</v>
      </c>
      <c r="AB172">
        <v>0</v>
      </c>
      <c r="AC172">
        <v>0</v>
      </c>
      <c r="AD172" s="2">
        <v>303732</v>
      </c>
      <c r="AE172" t="s">
        <v>53</v>
      </c>
    </row>
    <row r="173" spans="1:31" x14ac:dyDescent="0.35">
      <c r="A173">
        <v>171</v>
      </c>
      <c r="B173">
        <v>282879</v>
      </c>
      <c r="C173">
        <v>328014010</v>
      </c>
      <c r="D173" t="s">
        <v>1735</v>
      </c>
      <c r="E173" t="s">
        <v>51</v>
      </c>
      <c r="F173" s="1">
        <v>46247</v>
      </c>
      <c r="G173" t="s">
        <v>1736</v>
      </c>
      <c r="H173" t="s">
        <v>1737</v>
      </c>
      <c r="I173" s="1">
        <v>46128</v>
      </c>
      <c r="J173" t="s">
        <v>138</v>
      </c>
      <c r="K173" t="s">
        <v>137</v>
      </c>
      <c r="L173" t="s">
        <v>11</v>
      </c>
      <c r="M173" t="s">
        <v>22</v>
      </c>
      <c r="N173" t="s">
        <v>1738</v>
      </c>
      <c r="O173" t="s">
        <v>1932</v>
      </c>
      <c r="P173" t="s">
        <v>1739</v>
      </c>
      <c r="Q173" t="s">
        <v>52</v>
      </c>
      <c r="R173" t="s">
        <v>418</v>
      </c>
      <c r="S173" s="2">
        <v>37500</v>
      </c>
      <c r="T173">
        <v>2.64</v>
      </c>
      <c r="U173" s="2">
        <v>99000</v>
      </c>
      <c r="V173">
        <v>0</v>
      </c>
      <c r="W173">
        <v>0</v>
      </c>
      <c r="X173" s="2">
        <v>17820</v>
      </c>
      <c r="Y173">
        <v>0</v>
      </c>
      <c r="Z173">
        <v>0</v>
      </c>
      <c r="AA173" s="2">
        <v>116820</v>
      </c>
      <c r="AB173">
        <v>0</v>
      </c>
      <c r="AC173">
        <v>0</v>
      </c>
      <c r="AD173" s="2">
        <v>116820</v>
      </c>
      <c r="AE173" t="s">
        <v>53</v>
      </c>
    </row>
    <row r="174" spans="1:31" x14ac:dyDescent="0.35">
      <c r="A174">
        <v>172</v>
      </c>
      <c r="B174">
        <v>282880</v>
      </c>
      <c r="C174">
        <v>328014011</v>
      </c>
      <c r="D174" t="s">
        <v>1740</v>
      </c>
      <c r="E174" t="s">
        <v>51</v>
      </c>
      <c r="F174" s="1">
        <v>46247</v>
      </c>
      <c r="G174" t="s">
        <v>1310</v>
      </c>
      <c r="H174">
        <v>4190089583</v>
      </c>
      <c r="I174" s="1">
        <v>46227</v>
      </c>
      <c r="J174" t="s">
        <v>138</v>
      </c>
      <c r="K174" t="s">
        <v>137</v>
      </c>
      <c r="L174" t="s">
        <v>13</v>
      </c>
      <c r="M174" t="s">
        <v>25</v>
      </c>
      <c r="N174" t="s">
        <v>1741</v>
      </c>
      <c r="O174" t="s">
        <v>1932</v>
      </c>
      <c r="P174" t="s">
        <v>1742</v>
      </c>
      <c r="Q174" t="s">
        <v>52</v>
      </c>
      <c r="R174" t="s">
        <v>418</v>
      </c>
      <c r="S174" s="2">
        <v>69000</v>
      </c>
      <c r="T174">
        <v>0.9</v>
      </c>
      <c r="U174" s="2">
        <v>62100</v>
      </c>
      <c r="V174">
        <v>0</v>
      </c>
      <c r="W174">
        <v>0</v>
      </c>
      <c r="X174" s="2">
        <v>11178</v>
      </c>
      <c r="Y174">
        <v>0</v>
      </c>
      <c r="Z174">
        <v>0</v>
      </c>
      <c r="AA174" s="2">
        <v>73278</v>
      </c>
      <c r="AB174">
        <v>0</v>
      </c>
      <c r="AC174">
        <v>0</v>
      </c>
      <c r="AD174" s="2">
        <v>73278</v>
      </c>
      <c r="AE174" t="s">
        <v>53</v>
      </c>
    </row>
    <row r="175" spans="1:31" x14ac:dyDescent="0.35">
      <c r="A175">
        <v>173</v>
      </c>
      <c r="B175">
        <v>282881</v>
      </c>
      <c r="C175">
        <v>328014012</v>
      </c>
      <c r="D175" t="s">
        <v>1743</v>
      </c>
      <c r="E175" t="s">
        <v>51</v>
      </c>
      <c r="F175" s="1">
        <v>46247</v>
      </c>
      <c r="G175" t="s">
        <v>90</v>
      </c>
      <c r="H175" t="s">
        <v>1744</v>
      </c>
      <c r="I175" s="1">
        <v>46224</v>
      </c>
      <c r="J175" t="s">
        <v>138</v>
      </c>
      <c r="K175" t="s">
        <v>1279</v>
      </c>
      <c r="L175" t="s">
        <v>12</v>
      </c>
      <c r="M175" t="s">
        <v>21</v>
      </c>
      <c r="N175" t="s">
        <v>1745</v>
      </c>
      <c r="O175" t="s">
        <v>1932</v>
      </c>
      <c r="Q175" t="s">
        <v>52</v>
      </c>
      <c r="R175" t="s">
        <v>418</v>
      </c>
      <c r="S175" s="2">
        <v>10000</v>
      </c>
      <c r="T175">
        <v>3.94</v>
      </c>
      <c r="U175" s="2">
        <v>39400</v>
      </c>
      <c r="V175">
        <v>0</v>
      </c>
      <c r="W175">
        <v>0</v>
      </c>
      <c r="X175" s="2">
        <v>7092</v>
      </c>
      <c r="Y175">
        <v>0</v>
      </c>
      <c r="Z175">
        <v>0</v>
      </c>
      <c r="AA175" s="2">
        <v>46492</v>
      </c>
      <c r="AB175">
        <v>0</v>
      </c>
      <c r="AC175">
        <v>0</v>
      </c>
      <c r="AD175" s="2">
        <v>46492</v>
      </c>
      <c r="AE175" t="s">
        <v>53</v>
      </c>
    </row>
    <row r="176" spans="1:31" x14ac:dyDescent="0.35">
      <c r="A176">
        <v>174</v>
      </c>
      <c r="B176">
        <v>282882</v>
      </c>
      <c r="C176">
        <v>328014013</v>
      </c>
      <c r="D176" t="s">
        <v>1746</v>
      </c>
      <c r="E176" t="s">
        <v>51</v>
      </c>
      <c r="F176" s="1">
        <v>46247</v>
      </c>
      <c r="G176" t="s">
        <v>463</v>
      </c>
      <c r="H176" t="s">
        <v>1747</v>
      </c>
      <c r="I176" s="1">
        <v>45971</v>
      </c>
      <c r="J176" t="s">
        <v>138</v>
      </c>
      <c r="K176" t="s">
        <v>1278</v>
      </c>
      <c r="L176" t="s">
        <v>12</v>
      </c>
      <c r="M176" t="s">
        <v>21</v>
      </c>
      <c r="N176" t="s">
        <v>1748</v>
      </c>
      <c r="O176" t="s">
        <v>1936</v>
      </c>
      <c r="P176" t="s">
        <v>1749</v>
      </c>
      <c r="Q176" t="s">
        <v>54</v>
      </c>
      <c r="R176" t="s">
        <v>416</v>
      </c>
      <c r="S176" s="2">
        <v>10000</v>
      </c>
      <c r="T176">
        <v>63.12</v>
      </c>
      <c r="U176" s="2">
        <v>631200</v>
      </c>
      <c r="V176">
        <v>0</v>
      </c>
      <c r="W176">
        <v>0</v>
      </c>
      <c r="X176" s="2">
        <v>113616</v>
      </c>
      <c r="Y176">
        <v>0</v>
      </c>
      <c r="Z176">
        <v>0</v>
      </c>
      <c r="AA176" s="2">
        <v>744816</v>
      </c>
      <c r="AB176">
        <v>0</v>
      </c>
      <c r="AC176">
        <v>0</v>
      </c>
      <c r="AD176" s="2">
        <v>744816</v>
      </c>
      <c r="AE176" t="s">
        <v>55</v>
      </c>
    </row>
    <row r="177" spans="1:31" x14ac:dyDescent="0.35">
      <c r="A177">
        <v>175</v>
      </c>
      <c r="B177">
        <v>282883</v>
      </c>
      <c r="C177">
        <v>328014014</v>
      </c>
      <c r="D177" t="s">
        <v>1750</v>
      </c>
      <c r="E177" t="s">
        <v>51</v>
      </c>
      <c r="F177" s="1">
        <v>46247</v>
      </c>
      <c r="G177" t="s">
        <v>463</v>
      </c>
      <c r="H177" t="s">
        <v>1751</v>
      </c>
      <c r="I177" s="1">
        <v>46029</v>
      </c>
      <c r="J177" t="s">
        <v>138</v>
      </c>
      <c r="K177" t="s">
        <v>1278</v>
      </c>
      <c r="L177" t="s">
        <v>12</v>
      </c>
      <c r="M177" t="s">
        <v>21</v>
      </c>
      <c r="N177" t="s">
        <v>1752</v>
      </c>
      <c r="O177" t="s">
        <v>1936</v>
      </c>
      <c r="P177" t="s">
        <v>1753</v>
      </c>
      <c r="Q177" t="s">
        <v>54</v>
      </c>
      <c r="R177" t="s">
        <v>424</v>
      </c>
      <c r="S177" s="2">
        <v>8000</v>
      </c>
      <c r="T177">
        <v>64.709999999999994</v>
      </c>
      <c r="U177" s="2">
        <v>517680</v>
      </c>
      <c r="V177">
        <v>0</v>
      </c>
      <c r="W177">
        <v>0</v>
      </c>
      <c r="X177" s="2">
        <v>93182.399999999994</v>
      </c>
      <c r="Y177">
        <v>0</v>
      </c>
      <c r="Z177">
        <v>0</v>
      </c>
      <c r="AA177" s="2">
        <v>610862.4</v>
      </c>
      <c r="AB177">
        <v>0</v>
      </c>
      <c r="AC177">
        <v>0</v>
      </c>
      <c r="AD177" s="2">
        <v>610862.4</v>
      </c>
      <c r="AE177" t="s">
        <v>55</v>
      </c>
    </row>
    <row r="178" spans="1:31" x14ac:dyDescent="0.35">
      <c r="A178">
        <v>176</v>
      </c>
      <c r="B178">
        <v>282884</v>
      </c>
      <c r="C178">
        <v>328014015</v>
      </c>
      <c r="D178" t="s">
        <v>1754</v>
      </c>
      <c r="E178" t="s">
        <v>51</v>
      </c>
      <c r="F178" s="1">
        <v>46247</v>
      </c>
      <c r="G178" t="s">
        <v>463</v>
      </c>
      <c r="H178" t="s">
        <v>464</v>
      </c>
      <c r="I178" s="1">
        <v>46100</v>
      </c>
      <c r="J178" t="s">
        <v>138</v>
      </c>
      <c r="K178" t="s">
        <v>1278</v>
      </c>
      <c r="L178" t="s">
        <v>12</v>
      </c>
      <c r="M178" t="s">
        <v>21</v>
      </c>
      <c r="N178" t="s">
        <v>455</v>
      </c>
      <c r="O178" t="s">
        <v>1943</v>
      </c>
      <c r="P178" t="s">
        <v>465</v>
      </c>
      <c r="Q178" t="s">
        <v>52</v>
      </c>
      <c r="R178" t="s">
        <v>418</v>
      </c>
      <c r="S178" s="2">
        <v>198000</v>
      </c>
      <c r="T178">
        <v>0.57999999999999996</v>
      </c>
      <c r="U178" s="2">
        <v>114840</v>
      </c>
      <c r="V178">
        <v>0</v>
      </c>
      <c r="W178">
        <v>0</v>
      </c>
      <c r="X178" s="2">
        <v>20671.2</v>
      </c>
      <c r="Y178">
        <v>0</v>
      </c>
      <c r="Z178">
        <v>0</v>
      </c>
      <c r="AA178" s="2">
        <v>135511.20000000001</v>
      </c>
      <c r="AB178">
        <v>0</v>
      </c>
      <c r="AC178">
        <v>0</v>
      </c>
      <c r="AD178" s="2">
        <v>135511.20000000001</v>
      </c>
      <c r="AE178" t="s">
        <v>53</v>
      </c>
    </row>
    <row r="179" spans="1:31" x14ac:dyDescent="0.35">
      <c r="A179">
        <v>177</v>
      </c>
      <c r="B179">
        <v>282885</v>
      </c>
      <c r="C179">
        <v>328014016</v>
      </c>
      <c r="D179" t="s">
        <v>1755</v>
      </c>
      <c r="E179" t="s">
        <v>51</v>
      </c>
      <c r="F179" s="1">
        <v>46247</v>
      </c>
      <c r="G179" t="s">
        <v>463</v>
      </c>
      <c r="H179" t="s">
        <v>1756</v>
      </c>
      <c r="I179" s="1">
        <v>46129</v>
      </c>
      <c r="J179" t="s">
        <v>138</v>
      </c>
      <c r="K179" t="s">
        <v>1278</v>
      </c>
      <c r="L179" t="s">
        <v>12</v>
      </c>
      <c r="M179" t="s">
        <v>21</v>
      </c>
      <c r="N179" t="s">
        <v>1757</v>
      </c>
      <c r="O179" t="s">
        <v>1932</v>
      </c>
      <c r="P179" t="s">
        <v>1758</v>
      </c>
      <c r="Q179" t="s">
        <v>52</v>
      </c>
      <c r="R179" t="s">
        <v>418</v>
      </c>
      <c r="S179" s="2">
        <v>10000</v>
      </c>
      <c r="T179">
        <v>1.34</v>
      </c>
      <c r="U179" s="2">
        <v>13400</v>
      </c>
      <c r="V179">
        <v>0</v>
      </c>
      <c r="W179">
        <v>0</v>
      </c>
      <c r="X179" s="2">
        <v>2412</v>
      </c>
      <c r="Y179">
        <v>0</v>
      </c>
      <c r="Z179">
        <v>0</v>
      </c>
      <c r="AA179" s="2">
        <v>15812</v>
      </c>
      <c r="AB179">
        <v>0</v>
      </c>
      <c r="AC179">
        <v>0</v>
      </c>
      <c r="AD179" s="2">
        <v>15812</v>
      </c>
      <c r="AE179" t="s">
        <v>53</v>
      </c>
    </row>
    <row r="180" spans="1:31" x14ac:dyDescent="0.35">
      <c r="A180">
        <v>178</v>
      </c>
      <c r="B180">
        <v>282887</v>
      </c>
      <c r="C180">
        <v>328014017</v>
      </c>
      <c r="D180" t="s">
        <v>1759</v>
      </c>
      <c r="E180" t="s">
        <v>51</v>
      </c>
      <c r="F180" s="1">
        <v>46247</v>
      </c>
      <c r="G180" t="s">
        <v>1271</v>
      </c>
      <c r="H180">
        <v>1430048407</v>
      </c>
      <c r="I180" s="1">
        <v>46219</v>
      </c>
      <c r="J180" t="s">
        <v>138</v>
      </c>
      <c r="K180" t="s">
        <v>137</v>
      </c>
      <c r="L180" t="s">
        <v>13</v>
      </c>
      <c r="M180" t="s">
        <v>22</v>
      </c>
      <c r="N180" t="s">
        <v>1760</v>
      </c>
      <c r="O180" t="s">
        <v>1932</v>
      </c>
      <c r="P180" t="s">
        <v>1761</v>
      </c>
      <c r="Q180" t="s">
        <v>52</v>
      </c>
      <c r="R180" t="s">
        <v>418</v>
      </c>
      <c r="S180" s="2">
        <v>399000</v>
      </c>
      <c r="T180">
        <v>0.63</v>
      </c>
      <c r="U180" s="2">
        <v>251370</v>
      </c>
      <c r="V180">
        <v>0</v>
      </c>
      <c r="W180">
        <v>0</v>
      </c>
      <c r="X180" s="2">
        <v>45246.6</v>
      </c>
      <c r="Y180">
        <v>0</v>
      </c>
      <c r="Z180">
        <v>0</v>
      </c>
      <c r="AA180" s="2">
        <v>296616.59999999998</v>
      </c>
      <c r="AB180">
        <v>0</v>
      </c>
      <c r="AC180">
        <v>0</v>
      </c>
      <c r="AD180" s="2">
        <v>296616.59999999998</v>
      </c>
      <c r="AE180" t="s">
        <v>53</v>
      </c>
    </row>
    <row r="181" spans="1:31" x14ac:dyDescent="0.35">
      <c r="A181">
        <v>179</v>
      </c>
      <c r="B181">
        <v>282888</v>
      </c>
      <c r="C181">
        <v>328014018</v>
      </c>
      <c r="D181" t="s">
        <v>1762</v>
      </c>
      <c r="E181" t="s">
        <v>51</v>
      </c>
      <c r="F181" s="1">
        <v>46247</v>
      </c>
      <c r="G181" t="s">
        <v>463</v>
      </c>
      <c r="H181" t="s">
        <v>467</v>
      </c>
      <c r="I181" s="1">
        <v>46161</v>
      </c>
      <c r="J181" t="s">
        <v>138</v>
      </c>
      <c r="K181" t="s">
        <v>1278</v>
      </c>
      <c r="L181" t="s">
        <v>12</v>
      </c>
      <c r="M181" t="s">
        <v>21</v>
      </c>
      <c r="N181" t="s">
        <v>1763</v>
      </c>
      <c r="O181" t="s">
        <v>1932</v>
      </c>
      <c r="P181" t="s">
        <v>1764</v>
      </c>
      <c r="Q181" t="s">
        <v>52</v>
      </c>
      <c r="R181" t="s">
        <v>418</v>
      </c>
      <c r="S181" s="2">
        <v>600000</v>
      </c>
      <c r="T181">
        <v>0.44</v>
      </c>
      <c r="U181" s="2">
        <v>264000</v>
      </c>
      <c r="V181">
        <v>0</v>
      </c>
      <c r="W181">
        <v>0</v>
      </c>
      <c r="X181" s="2">
        <v>47520</v>
      </c>
      <c r="Y181">
        <v>0</v>
      </c>
      <c r="Z181">
        <v>0</v>
      </c>
      <c r="AA181" s="2">
        <v>311520</v>
      </c>
      <c r="AB181">
        <v>0</v>
      </c>
      <c r="AC181">
        <v>0</v>
      </c>
      <c r="AD181" s="2">
        <v>311520</v>
      </c>
      <c r="AE181" t="s">
        <v>53</v>
      </c>
    </row>
    <row r="182" spans="1:31" x14ac:dyDescent="0.35">
      <c r="A182">
        <v>180</v>
      </c>
      <c r="B182">
        <v>282889</v>
      </c>
      <c r="C182">
        <v>328014019</v>
      </c>
      <c r="D182" t="s">
        <v>1765</v>
      </c>
      <c r="E182" t="s">
        <v>51</v>
      </c>
      <c r="F182" s="1">
        <v>46247</v>
      </c>
      <c r="G182" t="s">
        <v>463</v>
      </c>
      <c r="H182" t="s">
        <v>471</v>
      </c>
      <c r="I182" s="1">
        <v>46129</v>
      </c>
      <c r="J182" t="s">
        <v>138</v>
      </c>
      <c r="K182" t="s">
        <v>1278</v>
      </c>
      <c r="L182" t="s">
        <v>12</v>
      </c>
      <c r="M182" t="s">
        <v>21</v>
      </c>
      <c r="N182" t="s">
        <v>479</v>
      </c>
      <c r="O182" t="s">
        <v>1932</v>
      </c>
      <c r="P182" t="s">
        <v>480</v>
      </c>
      <c r="Q182" t="s">
        <v>52</v>
      </c>
      <c r="R182" t="s">
        <v>418</v>
      </c>
      <c r="S182" s="2">
        <v>60000</v>
      </c>
      <c r="T182">
        <v>1.34</v>
      </c>
      <c r="U182" s="2">
        <v>80400</v>
      </c>
      <c r="V182">
        <v>0</v>
      </c>
      <c r="W182">
        <v>0</v>
      </c>
      <c r="X182" s="2">
        <v>14472</v>
      </c>
      <c r="Y182">
        <v>0</v>
      </c>
      <c r="Z182">
        <v>0</v>
      </c>
      <c r="AA182" s="2">
        <v>94872</v>
      </c>
      <c r="AB182">
        <v>0</v>
      </c>
      <c r="AC182">
        <v>0</v>
      </c>
      <c r="AD182" s="2">
        <v>94872</v>
      </c>
      <c r="AE182" t="s">
        <v>53</v>
      </c>
    </row>
    <row r="183" spans="1:31" x14ac:dyDescent="0.35">
      <c r="A183">
        <v>181</v>
      </c>
      <c r="B183">
        <v>282889</v>
      </c>
      <c r="C183">
        <v>328014019</v>
      </c>
      <c r="D183" t="s">
        <v>1765</v>
      </c>
      <c r="E183" t="s">
        <v>51</v>
      </c>
      <c r="F183" s="1">
        <v>46247</v>
      </c>
      <c r="G183" t="s">
        <v>463</v>
      </c>
      <c r="H183" t="s">
        <v>471</v>
      </c>
      <c r="I183" s="1">
        <v>46129</v>
      </c>
      <c r="J183" t="s">
        <v>138</v>
      </c>
      <c r="K183" t="s">
        <v>1278</v>
      </c>
      <c r="L183" t="s">
        <v>12</v>
      </c>
      <c r="M183" t="s">
        <v>21</v>
      </c>
      <c r="N183" t="s">
        <v>1328</v>
      </c>
      <c r="O183" t="s">
        <v>1932</v>
      </c>
      <c r="P183" t="s">
        <v>1766</v>
      </c>
      <c r="Q183" t="s">
        <v>52</v>
      </c>
      <c r="R183" t="s">
        <v>418</v>
      </c>
      <c r="S183" s="2">
        <v>30000</v>
      </c>
      <c r="T183">
        <v>0.9</v>
      </c>
      <c r="U183" s="2">
        <v>27000</v>
      </c>
      <c r="V183">
        <v>0</v>
      </c>
      <c r="W183">
        <v>0</v>
      </c>
      <c r="X183" s="2">
        <v>4860</v>
      </c>
      <c r="Y183">
        <v>0</v>
      </c>
      <c r="Z183">
        <v>0</v>
      </c>
      <c r="AA183" s="2">
        <v>31860</v>
      </c>
      <c r="AB183">
        <v>0</v>
      </c>
      <c r="AC183">
        <v>0</v>
      </c>
      <c r="AD183" s="2">
        <v>31860</v>
      </c>
      <c r="AE183" t="s">
        <v>53</v>
      </c>
    </row>
    <row r="184" spans="1:31" x14ac:dyDescent="0.35">
      <c r="A184">
        <v>182</v>
      </c>
      <c r="B184">
        <v>282889</v>
      </c>
      <c r="C184">
        <v>328014019</v>
      </c>
      <c r="D184" t="s">
        <v>1765</v>
      </c>
      <c r="E184" t="s">
        <v>51</v>
      </c>
      <c r="F184" s="1">
        <v>46247</v>
      </c>
      <c r="G184" t="s">
        <v>463</v>
      </c>
      <c r="H184" t="s">
        <v>471</v>
      </c>
      <c r="I184" s="1">
        <v>46129</v>
      </c>
      <c r="J184" t="s">
        <v>138</v>
      </c>
      <c r="K184" t="s">
        <v>1278</v>
      </c>
      <c r="L184" t="s">
        <v>12</v>
      </c>
      <c r="M184" t="s">
        <v>21</v>
      </c>
      <c r="N184" t="s">
        <v>1767</v>
      </c>
      <c r="O184" t="s">
        <v>1932</v>
      </c>
      <c r="P184" t="s">
        <v>1768</v>
      </c>
      <c r="Q184" t="s">
        <v>52</v>
      </c>
      <c r="R184" t="s">
        <v>418</v>
      </c>
      <c r="S184" s="2">
        <v>18000</v>
      </c>
      <c r="T184">
        <v>1.21</v>
      </c>
      <c r="U184" s="2">
        <v>21780</v>
      </c>
      <c r="V184">
        <v>0</v>
      </c>
      <c r="W184">
        <v>0</v>
      </c>
      <c r="X184" s="2">
        <v>3920.4</v>
      </c>
      <c r="Y184">
        <v>0</v>
      </c>
      <c r="Z184">
        <v>0</v>
      </c>
      <c r="AA184" s="2">
        <v>25700.400000000001</v>
      </c>
      <c r="AB184">
        <v>0</v>
      </c>
      <c r="AC184">
        <v>0</v>
      </c>
      <c r="AD184" s="2">
        <v>25700.400000000001</v>
      </c>
      <c r="AE184" t="s">
        <v>53</v>
      </c>
    </row>
    <row r="185" spans="1:31" x14ac:dyDescent="0.35">
      <c r="A185">
        <v>183</v>
      </c>
      <c r="B185">
        <v>282889</v>
      </c>
      <c r="C185">
        <v>328014019</v>
      </c>
      <c r="D185" t="s">
        <v>1765</v>
      </c>
      <c r="E185" t="s">
        <v>51</v>
      </c>
      <c r="F185" s="1">
        <v>46247</v>
      </c>
      <c r="G185" t="s">
        <v>463</v>
      </c>
      <c r="H185" t="s">
        <v>471</v>
      </c>
      <c r="I185" s="1">
        <v>46129</v>
      </c>
      <c r="J185" t="s">
        <v>138</v>
      </c>
      <c r="K185" t="s">
        <v>1278</v>
      </c>
      <c r="L185" t="s">
        <v>12</v>
      </c>
      <c r="M185" t="s">
        <v>21</v>
      </c>
      <c r="N185" t="s">
        <v>458</v>
      </c>
      <c r="O185" t="s">
        <v>1942</v>
      </c>
      <c r="P185" t="s">
        <v>472</v>
      </c>
      <c r="Q185" t="s">
        <v>52</v>
      </c>
      <c r="R185" t="s">
        <v>422</v>
      </c>
      <c r="S185" s="2">
        <v>273000</v>
      </c>
      <c r="T185">
        <v>0.54</v>
      </c>
      <c r="U185" s="2">
        <v>147420</v>
      </c>
      <c r="V185">
        <v>0</v>
      </c>
      <c r="W185">
        <v>0</v>
      </c>
      <c r="X185" s="2">
        <v>26535.599999999999</v>
      </c>
      <c r="Y185">
        <v>0</v>
      </c>
      <c r="Z185">
        <v>0</v>
      </c>
      <c r="AA185" s="2">
        <v>173955.6</v>
      </c>
      <c r="AB185">
        <v>0</v>
      </c>
      <c r="AC185">
        <v>0</v>
      </c>
      <c r="AD185" s="2">
        <v>173955.6</v>
      </c>
      <c r="AE185" t="s">
        <v>53</v>
      </c>
    </row>
    <row r="186" spans="1:31" x14ac:dyDescent="0.35">
      <c r="A186">
        <v>184</v>
      </c>
      <c r="B186">
        <v>282889</v>
      </c>
      <c r="C186">
        <v>328014019</v>
      </c>
      <c r="D186" t="s">
        <v>1765</v>
      </c>
      <c r="E186" t="s">
        <v>51</v>
      </c>
      <c r="F186" s="1">
        <v>46247</v>
      </c>
      <c r="G186" t="s">
        <v>463</v>
      </c>
      <c r="H186" t="s">
        <v>471</v>
      </c>
      <c r="I186" s="1">
        <v>46129</v>
      </c>
      <c r="J186" t="s">
        <v>138</v>
      </c>
      <c r="K186" t="s">
        <v>1278</v>
      </c>
      <c r="L186" t="s">
        <v>12</v>
      </c>
      <c r="M186" t="s">
        <v>21</v>
      </c>
      <c r="N186" t="s">
        <v>476</v>
      </c>
      <c r="O186" t="s">
        <v>1932</v>
      </c>
      <c r="P186" t="s">
        <v>477</v>
      </c>
      <c r="Q186" t="s">
        <v>52</v>
      </c>
      <c r="R186" t="s">
        <v>418</v>
      </c>
      <c r="S186" s="2">
        <v>60000</v>
      </c>
      <c r="T186">
        <v>1.34</v>
      </c>
      <c r="U186" s="2">
        <v>80400</v>
      </c>
      <c r="V186">
        <v>0</v>
      </c>
      <c r="W186">
        <v>0</v>
      </c>
      <c r="X186" s="2">
        <v>14472</v>
      </c>
      <c r="Y186">
        <v>0</v>
      </c>
      <c r="Z186">
        <v>0</v>
      </c>
      <c r="AA186" s="2">
        <v>94872</v>
      </c>
      <c r="AB186">
        <v>0</v>
      </c>
      <c r="AC186">
        <v>0</v>
      </c>
      <c r="AD186" s="2">
        <v>94872</v>
      </c>
      <c r="AE186" t="s">
        <v>53</v>
      </c>
    </row>
    <row r="187" spans="1:31" x14ac:dyDescent="0.35">
      <c r="A187">
        <v>185</v>
      </c>
      <c r="B187">
        <v>282891</v>
      </c>
      <c r="C187">
        <v>328014020</v>
      </c>
      <c r="D187" t="s">
        <v>1769</v>
      </c>
      <c r="E187" t="s">
        <v>51</v>
      </c>
      <c r="F187" s="1">
        <v>46247</v>
      </c>
      <c r="G187" t="s">
        <v>1271</v>
      </c>
      <c r="H187">
        <v>1430048573</v>
      </c>
      <c r="I187" s="1">
        <v>46247</v>
      </c>
      <c r="J187" t="s">
        <v>138</v>
      </c>
      <c r="K187" t="s">
        <v>137</v>
      </c>
      <c r="L187" t="s">
        <v>13</v>
      </c>
      <c r="M187" t="s">
        <v>22</v>
      </c>
      <c r="N187" t="s">
        <v>1770</v>
      </c>
      <c r="O187" t="s">
        <v>1932</v>
      </c>
      <c r="P187" t="s">
        <v>1771</v>
      </c>
      <c r="Q187" t="s">
        <v>52</v>
      </c>
      <c r="R187" t="s">
        <v>418</v>
      </c>
      <c r="S187" s="2">
        <v>69000</v>
      </c>
      <c r="T187">
        <v>0.97</v>
      </c>
      <c r="U187" s="2">
        <v>66930</v>
      </c>
      <c r="V187">
        <v>0</v>
      </c>
      <c r="W187">
        <v>0</v>
      </c>
      <c r="X187" s="2">
        <v>12047.4</v>
      </c>
      <c r="Y187">
        <v>0</v>
      </c>
      <c r="Z187">
        <v>0</v>
      </c>
      <c r="AA187" s="2">
        <v>78977.399999999994</v>
      </c>
      <c r="AB187">
        <v>0</v>
      </c>
      <c r="AC187">
        <v>0</v>
      </c>
      <c r="AD187" s="2">
        <v>78977.399999999994</v>
      </c>
      <c r="AE187" t="s">
        <v>53</v>
      </c>
    </row>
    <row r="188" spans="1:31" x14ac:dyDescent="0.35">
      <c r="A188">
        <v>186</v>
      </c>
      <c r="B188">
        <v>282893</v>
      </c>
      <c r="C188">
        <v>328014021</v>
      </c>
      <c r="D188" t="s">
        <v>1772</v>
      </c>
      <c r="E188" t="s">
        <v>51</v>
      </c>
      <c r="F188" s="1">
        <v>46247</v>
      </c>
      <c r="G188" t="s">
        <v>16</v>
      </c>
      <c r="H188">
        <v>1420035389</v>
      </c>
      <c r="I188" s="1">
        <v>46189</v>
      </c>
      <c r="J188" t="s">
        <v>138</v>
      </c>
      <c r="K188" t="s">
        <v>1280</v>
      </c>
      <c r="L188" t="s">
        <v>13</v>
      </c>
      <c r="M188" t="s">
        <v>22</v>
      </c>
      <c r="N188" t="s">
        <v>1760</v>
      </c>
      <c r="O188" t="s">
        <v>1932</v>
      </c>
      <c r="P188" t="s">
        <v>1761</v>
      </c>
      <c r="Q188" t="s">
        <v>52</v>
      </c>
      <c r="R188" t="s">
        <v>418</v>
      </c>
      <c r="S188" s="2">
        <v>102000</v>
      </c>
      <c r="T188">
        <v>0.63</v>
      </c>
      <c r="U188" s="2">
        <v>64260</v>
      </c>
      <c r="V188">
        <v>0</v>
      </c>
      <c r="W188">
        <v>0</v>
      </c>
      <c r="X188" s="2">
        <v>11566.8</v>
      </c>
      <c r="Y188">
        <v>0</v>
      </c>
      <c r="Z188">
        <v>0</v>
      </c>
      <c r="AA188" s="2">
        <v>75826.8</v>
      </c>
      <c r="AB188">
        <v>0</v>
      </c>
      <c r="AC188">
        <v>0</v>
      </c>
      <c r="AD188" s="2">
        <v>75826.8</v>
      </c>
      <c r="AE188" t="s">
        <v>53</v>
      </c>
    </row>
    <row r="189" spans="1:31" x14ac:dyDescent="0.35">
      <c r="A189">
        <v>187</v>
      </c>
      <c r="B189">
        <v>282895</v>
      </c>
      <c r="C189">
        <v>328014022</v>
      </c>
      <c r="D189" t="s">
        <v>1773</v>
      </c>
      <c r="E189" t="s">
        <v>51</v>
      </c>
      <c r="F189" s="1">
        <v>46247</v>
      </c>
      <c r="G189" t="s">
        <v>16</v>
      </c>
      <c r="H189">
        <v>1420035372</v>
      </c>
      <c r="I189" s="1">
        <v>46190</v>
      </c>
      <c r="J189" t="s">
        <v>138</v>
      </c>
      <c r="K189" t="s">
        <v>1280</v>
      </c>
      <c r="L189" t="s">
        <v>13</v>
      </c>
      <c r="M189" t="s">
        <v>22</v>
      </c>
      <c r="N189" t="s">
        <v>1770</v>
      </c>
      <c r="O189" t="s">
        <v>1932</v>
      </c>
      <c r="P189" t="s">
        <v>1771</v>
      </c>
      <c r="Q189" t="s">
        <v>52</v>
      </c>
      <c r="R189" t="s">
        <v>418</v>
      </c>
      <c r="S189" s="2">
        <v>75000</v>
      </c>
      <c r="T189">
        <v>0.97</v>
      </c>
      <c r="U189" s="2">
        <v>72750</v>
      </c>
      <c r="V189">
        <v>0</v>
      </c>
      <c r="W189">
        <v>0</v>
      </c>
      <c r="X189" s="2">
        <v>13095</v>
      </c>
      <c r="Y189">
        <v>0</v>
      </c>
      <c r="Z189">
        <v>0</v>
      </c>
      <c r="AA189" s="2">
        <v>85845</v>
      </c>
      <c r="AB189">
        <v>0</v>
      </c>
      <c r="AC189">
        <v>0</v>
      </c>
      <c r="AD189" s="2">
        <v>85845</v>
      </c>
      <c r="AE189" t="s">
        <v>53</v>
      </c>
    </row>
    <row r="190" spans="1:31" x14ac:dyDescent="0.35">
      <c r="A190">
        <v>188</v>
      </c>
      <c r="B190">
        <v>282896</v>
      </c>
      <c r="C190">
        <v>328014023</v>
      </c>
      <c r="D190" t="s">
        <v>1774</v>
      </c>
      <c r="E190" t="s">
        <v>51</v>
      </c>
      <c r="F190" s="1">
        <v>46247</v>
      </c>
      <c r="G190" t="s">
        <v>1271</v>
      </c>
      <c r="H190">
        <v>1430048573</v>
      </c>
      <c r="I190" s="1">
        <v>46247</v>
      </c>
      <c r="J190" t="s">
        <v>138</v>
      </c>
      <c r="K190" t="s">
        <v>137</v>
      </c>
      <c r="L190" t="s">
        <v>13</v>
      </c>
      <c r="M190" t="s">
        <v>22</v>
      </c>
      <c r="N190" t="s">
        <v>1770</v>
      </c>
      <c r="O190" t="s">
        <v>1932</v>
      </c>
      <c r="P190" t="s">
        <v>1771</v>
      </c>
      <c r="Q190" t="s">
        <v>52</v>
      </c>
      <c r="R190" t="s">
        <v>418</v>
      </c>
      <c r="S190" s="2">
        <v>270000</v>
      </c>
      <c r="T190">
        <v>0.97</v>
      </c>
      <c r="U190" s="2">
        <v>261900</v>
      </c>
      <c r="V190">
        <v>0</v>
      </c>
      <c r="W190">
        <v>0</v>
      </c>
      <c r="X190" s="2">
        <v>47142</v>
      </c>
      <c r="Y190">
        <v>0</v>
      </c>
      <c r="Z190">
        <v>0</v>
      </c>
      <c r="AA190" s="2">
        <v>309042</v>
      </c>
      <c r="AB190">
        <v>0</v>
      </c>
      <c r="AC190">
        <v>0</v>
      </c>
      <c r="AD190" s="2">
        <v>309042</v>
      </c>
      <c r="AE190" t="s">
        <v>53</v>
      </c>
    </row>
    <row r="191" spans="1:31" x14ac:dyDescent="0.35">
      <c r="A191">
        <v>189</v>
      </c>
      <c r="B191">
        <v>282898</v>
      </c>
      <c r="C191">
        <v>328014024</v>
      </c>
      <c r="D191" t="s">
        <v>1775</v>
      </c>
      <c r="E191" t="s">
        <v>51</v>
      </c>
      <c r="F191" s="1">
        <v>46247</v>
      </c>
      <c r="G191" t="s">
        <v>1776</v>
      </c>
      <c r="H191">
        <v>5500001582</v>
      </c>
      <c r="I191" s="1">
        <v>45777</v>
      </c>
      <c r="J191" t="s">
        <v>138</v>
      </c>
      <c r="K191" t="s">
        <v>137</v>
      </c>
      <c r="L191" t="s">
        <v>15</v>
      </c>
      <c r="M191" t="s">
        <v>22</v>
      </c>
      <c r="N191" t="s">
        <v>1777</v>
      </c>
      <c r="O191" t="s">
        <v>1932</v>
      </c>
      <c r="P191">
        <v>12023136</v>
      </c>
      <c r="Q191" t="s">
        <v>52</v>
      </c>
      <c r="R191" t="s">
        <v>418</v>
      </c>
      <c r="S191" s="2">
        <v>141000</v>
      </c>
      <c r="T191">
        <v>1.1299999999999999</v>
      </c>
      <c r="U191" s="2">
        <v>159330</v>
      </c>
      <c r="V191">
        <v>0</v>
      </c>
      <c r="W191">
        <v>0</v>
      </c>
      <c r="X191" s="2">
        <v>28679.4</v>
      </c>
      <c r="Y191">
        <v>0</v>
      </c>
      <c r="Z191">
        <v>0</v>
      </c>
      <c r="AA191" s="2">
        <v>188009.4</v>
      </c>
      <c r="AB191">
        <v>0</v>
      </c>
      <c r="AC191">
        <v>0</v>
      </c>
      <c r="AD191" s="2">
        <v>188009.4</v>
      </c>
      <c r="AE191" t="s">
        <v>53</v>
      </c>
    </row>
    <row r="192" spans="1:31" x14ac:dyDescent="0.35">
      <c r="A192">
        <v>190</v>
      </c>
      <c r="B192">
        <v>282927</v>
      </c>
      <c r="C192">
        <v>328014045</v>
      </c>
      <c r="D192" t="s">
        <v>1952</v>
      </c>
      <c r="E192" t="s">
        <v>51</v>
      </c>
      <c r="F192" s="1">
        <v>46248</v>
      </c>
      <c r="G192" t="s">
        <v>1953</v>
      </c>
      <c r="H192" t="s">
        <v>1954</v>
      </c>
      <c r="I192" s="1">
        <v>46079</v>
      </c>
      <c r="J192" t="s">
        <v>138</v>
      </c>
      <c r="K192" t="s">
        <v>1278</v>
      </c>
      <c r="L192" t="s">
        <v>12</v>
      </c>
      <c r="M192" t="s">
        <v>21</v>
      </c>
      <c r="N192" t="s">
        <v>91</v>
      </c>
      <c r="O192" t="s">
        <v>1936</v>
      </c>
      <c r="Q192" t="s">
        <v>54</v>
      </c>
      <c r="R192" t="s">
        <v>416</v>
      </c>
      <c r="S192" s="2">
        <v>2500</v>
      </c>
      <c r="T192">
        <v>44.5</v>
      </c>
      <c r="U192" s="2">
        <v>111250</v>
      </c>
      <c r="V192">
        <v>0</v>
      </c>
      <c r="W192">
        <v>0</v>
      </c>
      <c r="X192" s="2">
        <v>20025</v>
      </c>
      <c r="Y192">
        <v>0</v>
      </c>
      <c r="Z192">
        <v>0</v>
      </c>
      <c r="AA192" s="2">
        <v>131275</v>
      </c>
      <c r="AB192">
        <v>0</v>
      </c>
      <c r="AC192">
        <v>0</v>
      </c>
      <c r="AD192" s="2">
        <v>131275</v>
      </c>
      <c r="AE192" t="s">
        <v>55</v>
      </c>
    </row>
    <row r="193" spans="1:31" x14ac:dyDescent="0.35">
      <c r="A193">
        <v>191</v>
      </c>
      <c r="B193">
        <v>282928</v>
      </c>
      <c r="C193">
        <v>328014046</v>
      </c>
      <c r="D193" t="s">
        <v>1955</v>
      </c>
      <c r="E193" t="s">
        <v>51</v>
      </c>
      <c r="F193" s="1">
        <v>46248</v>
      </c>
      <c r="G193" t="s">
        <v>90</v>
      </c>
      <c r="H193" t="s">
        <v>432</v>
      </c>
      <c r="I193" s="1">
        <v>46192</v>
      </c>
      <c r="J193" t="s">
        <v>138</v>
      </c>
      <c r="K193" t="s">
        <v>1279</v>
      </c>
      <c r="L193" t="s">
        <v>12</v>
      </c>
      <c r="M193" t="s">
        <v>21</v>
      </c>
      <c r="N193" t="s">
        <v>91</v>
      </c>
      <c r="O193" t="s">
        <v>1936</v>
      </c>
      <c r="Q193" t="s">
        <v>54</v>
      </c>
      <c r="R193" t="s">
        <v>416</v>
      </c>
      <c r="S193" s="2">
        <v>5000</v>
      </c>
      <c r="T193">
        <v>33.25</v>
      </c>
      <c r="U193" s="2">
        <v>166250</v>
      </c>
      <c r="V193">
        <v>0</v>
      </c>
      <c r="W193">
        <v>0</v>
      </c>
      <c r="X193" s="2">
        <v>29925</v>
      </c>
      <c r="Y193">
        <v>0</v>
      </c>
      <c r="Z193">
        <v>0</v>
      </c>
      <c r="AA193" s="2">
        <v>196175</v>
      </c>
      <c r="AB193">
        <v>0</v>
      </c>
      <c r="AC193">
        <v>0</v>
      </c>
      <c r="AD193" s="2">
        <v>196175</v>
      </c>
      <c r="AE193" t="s">
        <v>55</v>
      </c>
    </row>
    <row r="194" spans="1:31" x14ac:dyDescent="0.35">
      <c r="A194">
        <v>192</v>
      </c>
      <c r="B194">
        <v>282939</v>
      </c>
      <c r="C194">
        <v>328014056</v>
      </c>
      <c r="D194" t="s">
        <v>1956</v>
      </c>
      <c r="E194" t="s">
        <v>51</v>
      </c>
      <c r="F194" s="1">
        <v>46248</v>
      </c>
      <c r="G194" t="s">
        <v>392</v>
      </c>
      <c r="H194" t="s">
        <v>1957</v>
      </c>
      <c r="I194" s="1">
        <v>46093</v>
      </c>
      <c r="J194" t="s">
        <v>138</v>
      </c>
      <c r="K194" t="s">
        <v>137</v>
      </c>
      <c r="L194" t="s">
        <v>15</v>
      </c>
      <c r="M194" t="s">
        <v>22</v>
      </c>
      <c r="N194" t="s">
        <v>1958</v>
      </c>
      <c r="O194" t="s">
        <v>1942</v>
      </c>
      <c r="P194" t="s">
        <v>1959</v>
      </c>
      <c r="Q194" t="s">
        <v>52</v>
      </c>
      <c r="R194" t="s">
        <v>418</v>
      </c>
      <c r="S194" s="2">
        <v>24000</v>
      </c>
      <c r="T194">
        <v>3.29</v>
      </c>
      <c r="U194" s="2">
        <v>78960</v>
      </c>
      <c r="V194">
        <v>0</v>
      </c>
      <c r="W194">
        <v>0</v>
      </c>
      <c r="X194" s="2">
        <v>14212.8</v>
      </c>
      <c r="Y194">
        <v>0</v>
      </c>
      <c r="Z194">
        <v>0</v>
      </c>
      <c r="AA194" s="2">
        <v>93172.800000000003</v>
      </c>
      <c r="AB194">
        <v>0</v>
      </c>
      <c r="AC194">
        <v>0</v>
      </c>
      <c r="AD194" s="2">
        <v>93172.800000000003</v>
      </c>
      <c r="AE194" t="s">
        <v>53</v>
      </c>
    </row>
    <row r="195" spans="1:31" x14ac:dyDescent="0.35">
      <c r="A195">
        <v>193</v>
      </c>
      <c r="B195">
        <v>282973</v>
      </c>
      <c r="C195">
        <v>328014084</v>
      </c>
      <c r="D195" t="s">
        <v>1960</v>
      </c>
      <c r="E195" t="s">
        <v>51</v>
      </c>
      <c r="F195" s="1">
        <v>46248</v>
      </c>
      <c r="G195" t="s">
        <v>689</v>
      </c>
      <c r="H195" t="s">
        <v>1961</v>
      </c>
      <c r="I195" s="1">
        <v>46247</v>
      </c>
      <c r="J195" t="s">
        <v>138</v>
      </c>
      <c r="K195" t="s">
        <v>1278</v>
      </c>
      <c r="L195" t="s">
        <v>12</v>
      </c>
      <c r="M195" t="s">
        <v>21</v>
      </c>
      <c r="N195" t="s">
        <v>1962</v>
      </c>
      <c r="O195" t="s">
        <v>1932</v>
      </c>
      <c r="Q195" t="s">
        <v>52</v>
      </c>
      <c r="R195" t="s">
        <v>418</v>
      </c>
      <c r="S195" s="2">
        <v>15000</v>
      </c>
      <c r="T195">
        <v>1.1499999999999999</v>
      </c>
      <c r="U195" s="2">
        <v>17250</v>
      </c>
      <c r="V195">
        <v>0</v>
      </c>
      <c r="W195">
        <v>0</v>
      </c>
      <c r="X195" s="2">
        <v>3105</v>
      </c>
      <c r="Y195">
        <v>0</v>
      </c>
      <c r="Z195">
        <v>0</v>
      </c>
      <c r="AA195" s="2">
        <v>20355</v>
      </c>
      <c r="AB195">
        <v>0</v>
      </c>
      <c r="AC195">
        <v>0</v>
      </c>
      <c r="AD195" s="2">
        <v>20355</v>
      </c>
      <c r="AE195" t="s">
        <v>53</v>
      </c>
    </row>
    <row r="196" spans="1:31" x14ac:dyDescent="0.35">
      <c r="A196">
        <v>194</v>
      </c>
      <c r="B196">
        <v>282992</v>
      </c>
      <c r="C196">
        <v>328014102</v>
      </c>
      <c r="D196" t="s">
        <v>1963</v>
      </c>
      <c r="E196" t="s">
        <v>51</v>
      </c>
      <c r="F196" s="1">
        <v>46248</v>
      </c>
      <c r="G196" t="s">
        <v>1964</v>
      </c>
      <c r="H196" t="s">
        <v>1965</v>
      </c>
      <c r="I196" s="1">
        <v>46230</v>
      </c>
      <c r="J196" t="s">
        <v>138</v>
      </c>
      <c r="K196" t="s">
        <v>137</v>
      </c>
      <c r="L196" t="s">
        <v>15</v>
      </c>
      <c r="M196" t="s">
        <v>14</v>
      </c>
      <c r="N196" t="s">
        <v>1966</v>
      </c>
      <c r="O196" t="s">
        <v>1936</v>
      </c>
      <c r="Q196" t="s">
        <v>63</v>
      </c>
      <c r="R196" t="s">
        <v>416</v>
      </c>
      <c r="S196">
        <v>21</v>
      </c>
      <c r="T196">
        <v>957</v>
      </c>
      <c r="U196" s="2">
        <v>20097</v>
      </c>
      <c r="V196">
        <v>0</v>
      </c>
      <c r="W196">
        <v>0</v>
      </c>
      <c r="X196" s="2">
        <v>3680.46</v>
      </c>
      <c r="Y196">
        <v>350</v>
      </c>
      <c r="Z196">
        <v>63</v>
      </c>
      <c r="AA196" s="2">
        <v>24127.46</v>
      </c>
      <c r="AB196">
        <v>0</v>
      </c>
      <c r="AC196">
        <v>0</v>
      </c>
      <c r="AD196" s="2">
        <v>24127.46</v>
      </c>
      <c r="AE196" t="s">
        <v>37</v>
      </c>
    </row>
    <row r="197" spans="1:31" x14ac:dyDescent="0.35">
      <c r="A197">
        <v>195</v>
      </c>
      <c r="B197">
        <v>283002</v>
      </c>
      <c r="C197">
        <v>328014111</v>
      </c>
      <c r="D197" t="s">
        <v>1967</v>
      </c>
      <c r="E197" t="s">
        <v>51</v>
      </c>
      <c r="F197" s="1">
        <v>46248</v>
      </c>
      <c r="G197" t="s">
        <v>132</v>
      </c>
      <c r="H197" t="s">
        <v>419</v>
      </c>
      <c r="I197" s="1">
        <v>46139</v>
      </c>
      <c r="J197" t="s">
        <v>138</v>
      </c>
      <c r="K197" t="s">
        <v>137</v>
      </c>
      <c r="L197" t="s">
        <v>13</v>
      </c>
      <c r="M197" t="s">
        <v>23</v>
      </c>
      <c r="N197" t="s">
        <v>173</v>
      </c>
      <c r="O197" t="s">
        <v>1933</v>
      </c>
      <c r="P197" t="s">
        <v>174</v>
      </c>
      <c r="Q197" t="s">
        <v>175</v>
      </c>
      <c r="R197" t="s">
        <v>420</v>
      </c>
      <c r="S197">
        <v>15</v>
      </c>
      <c r="T197">
        <v>8</v>
      </c>
      <c r="U197">
        <v>120</v>
      </c>
      <c r="V197">
        <v>0</v>
      </c>
      <c r="W197">
        <v>0</v>
      </c>
      <c r="X197">
        <v>21.6</v>
      </c>
      <c r="Y197">
        <v>0.96503000000000005</v>
      </c>
      <c r="Z197">
        <v>0.17371</v>
      </c>
      <c r="AA197">
        <v>142.73874000000001</v>
      </c>
      <c r="AB197">
        <v>0</v>
      </c>
      <c r="AC197">
        <v>0</v>
      </c>
      <c r="AD197">
        <v>142.73874000000001</v>
      </c>
      <c r="AE197" t="s">
        <v>62</v>
      </c>
    </row>
    <row r="198" spans="1:31" x14ac:dyDescent="0.35">
      <c r="A198">
        <v>196</v>
      </c>
      <c r="B198">
        <v>283002</v>
      </c>
      <c r="C198">
        <v>328014111</v>
      </c>
      <c r="D198" t="s">
        <v>1967</v>
      </c>
      <c r="E198" t="s">
        <v>51</v>
      </c>
      <c r="F198" s="1">
        <v>46248</v>
      </c>
      <c r="G198" t="s">
        <v>132</v>
      </c>
      <c r="H198" t="s">
        <v>419</v>
      </c>
      <c r="I198" s="1">
        <v>46139</v>
      </c>
      <c r="J198" t="s">
        <v>138</v>
      </c>
      <c r="K198" t="s">
        <v>137</v>
      </c>
      <c r="L198" t="s">
        <v>13</v>
      </c>
      <c r="M198" t="s">
        <v>23</v>
      </c>
      <c r="N198" t="s">
        <v>173</v>
      </c>
      <c r="O198" t="s">
        <v>1933</v>
      </c>
      <c r="P198" t="s">
        <v>174</v>
      </c>
      <c r="Q198" t="s">
        <v>175</v>
      </c>
      <c r="R198" t="s">
        <v>420</v>
      </c>
      <c r="S198" s="2">
        <v>15000</v>
      </c>
      <c r="T198">
        <v>8</v>
      </c>
      <c r="U198" s="2">
        <v>120000</v>
      </c>
      <c r="V198">
        <v>0</v>
      </c>
      <c r="W198">
        <v>0</v>
      </c>
      <c r="X198" s="2">
        <v>21600</v>
      </c>
      <c r="Y198">
        <v>965.03497000000004</v>
      </c>
      <c r="Z198">
        <v>173.70629</v>
      </c>
      <c r="AA198" s="2">
        <v>142738.74126000001</v>
      </c>
      <c r="AB198">
        <v>0</v>
      </c>
      <c r="AC198">
        <v>0</v>
      </c>
      <c r="AD198" s="2">
        <v>142738.74126000001</v>
      </c>
      <c r="AE198" t="s">
        <v>62</v>
      </c>
    </row>
    <row r="199" spans="1:31" x14ac:dyDescent="0.35">
      <c r="A199">
        <v>197</v>
      </c>
      <c r="B199">
        <v>283002</v>
      </c>
      <c r="C199">
        <v>328014111</v>
      </c>
      <c r="D199" t="s">
        <v>1967</v>
      </c>
      <c r="E199" t="s">
        <v>51</v>
      </c>
      <c r="F199" s="1">
        <v>46248</v>
      </c>
      <c r="G199" t="s">
        <v>132</v>
      </c>
      <c r="H199" t="s">
        <v>419</v>
      </c>
      <c r="I199" s="1">
        <v>46139</v>
      </c>
      <c r="J199" t="s">
        <v>138</v>
      </c>
      <c r="K199" t="s">
        <v>137</v>
      </c>
      <c r="L199" t="s">
        <v>13</v>
      </c>
      <c r="M199" t="s">
        <v>23</v>
      </c>
      <c r="N199" t="s">
        <v>173</v>
      </c>
      <c r="O199" t="s">
        <v>1933</v>
      </c>
      <c r="P199" t="s">
        <v>174</v>
      </c>
      <c r="Q199" t="s">
        <v>175</v>
      </c>
      <c r="R199" t="s">
        <v>420</v>
      </c>
      <c r="S199" s="2">
        <v>10010</v>
      </c>
      <c r="T199">
        <v>8</v>
      </c>
      <c r="U199" s="2">
        <v>80080</v>
      </c>
      <c r="V199">
        <v>0</v>
      </c>
      <c r="W199">
        <v>0</v>
      </c>
      <c r="X199" s="2">
        <v>14704.2</v>
      </c>
      <c r="Y199">
        <v>644</v>
      </c>
      <c r="Z199">
        <v>115.92</v>
      </c>
      <c r="AA199" s="2">
        <v>95254.32</v>
      </c>
      <c r="AB199">
        <v>0</v>
      </c>
      <c r="AC199">
        <v>0</v>
      </c>
      <c r="AD199" s="2">
        <v>95254.32</v>
      </c>
      <c r="AE199" t="s">
        <v>62</v>
      </c>
    </row>
    <row r="200" spans="1:31" x14ac:dyDescent="0.35">
      <c r="A200">
        <v>198</v>
      </c>
      <c r="B200">
        <v>283003</v>
      </c>
      <c r="C200">
        <v>328014112</v>
      </c>
      <c r="D200" t="s">
        <v>1968</v>
      </c>
      <c r="E200" t="s">
        <v>51</v>
      </c>
      <c r="F200" s="1">
        <v>46248</v>
      </c>
      <c r="G200" t="s">
        <v>16</v>
      </c>
      <c r="H200">
        <v>1420035071</v>
      </c>
      <c r="I200" s="1">
        <v>46147</v>
      </c>
      <c r="J200" t="s">
        <v>138</v>
      </c>
      <c r="K200" t="s">
        <v>1280</v>
      </c>
      <c r="L200" t="s">
        <v>13</v>
      </c>
      <c r="M200" t="s">
        <v>22</v>
      </c>
      <c r="N200" t="s">
        <v>1969</v>
      </c>
      <c r="O200" t="s">
        <v>1936</v>
      </c>
      <c r="P200" t="s">
        <v>1970</v>
      </c>
      <c r="Q200" t="s">
        <v>52</v>
      </c>
      <c r="R200" t="s">
        <v>488</v>
      </c>
      <c r="S200" s="2">
        <v>93000</v>
      </c>
      <c r="T200">
        <v>2.57</v>
      </c>
      <c r="U200" s="2">
        <v>239010</v>
      </c>
      <c r="V200">
        <v>0</v>
      </c>
      <c r="W200">
        <v>0</v>
      </c>
      <c r="X200" s="2">
        <v>43021.8</v>
      </c>
      <c r="Y200">
        <v>0</v>
      </c>
      <c r="Z200">
        <v>0</v>
      </c>
      <c r="AA200" s="2">
        <v>282031.8</v>
      </c>
      <c r="AB200">
        <v>0</v>
      </c>
      <c r="AC200">
        <v>0</v>
      </c>
      <c r="AD200" s="2">
        <v>282031.8</v>
      </c>
      <c r="AE200" t="s">
        <v>53</v>
      </c>
    </row>
    <row r="201" spans="1:31" x14ac:dyDescent="0.35">
      <c r="A201">
        <v>199</v>
      </c>
      <c r="B201">
        <v>283004</v>
      </c>
      <c r="C201">
        <v>328014113</v>
      </c>
      <c r="D201" t="s">
        <v>1971</v>
      </c>
      <c r="E201" t="s">
        <v>51</v>
      </c>
      <c r="F201" s="1">
        <v>46248</v>
      </c>
      <c r="G201" t="s">
        <v>16</v>
      </c>
      <c r="H201">
        <v>1420035295</v>
      </c>
      <c r="I201" s="1">
        <v>46175</v>
      </c>
      <c r="J201" t="s">
        <v>138</v>
      </c>
      <c r="K201" t="s">
        <v>1280</v>
      </c>
      <c r="L201" t="s">
        <v>13</v>
      </c>
      <c r="M201" t="s">
        <v>22</v>
      </c>
      <c r="N201" t="s">
        <v>1969</v>
      </c>
      <c r="O201" t="s">
        <v>1936</v>
      </c>
      <c r="P201" t="s">
        <v>1970</v>
      </c>
      <c r="Q201" t="s">
        <v>52</v>
      </c>
      <c r="R201" t="s">
        <v>488</v>
      </c>
      <c r="S201" s="2">
        <v>42000</v>
      </c>
      <c r="T201">
        <v>2.57</v>
      </c>
      <c r="U201" s="2">
        <v>107940</v>
      </c>
      <c r="V201">
        <v>0</v>
      </c>
      <c r="W201">
        <v>0</v>
      </c>
      <c r="X201" s="2">
        <v>19429.2</v>
      </c>
      <c r="Y201">
        <v>0</v>
      </c>
      <c r="Z201">
        <v>0</v>
      </c>
      <c r="AA201" s="2">
        <v>127369.2</v>
      </c>
      <c r="AB201">
        <v>0</v>
      </c>
      <c r="AC201">
        <v>0</v>
      </c>
      <c r="AD201" s="2">
        <v>127369.2</v>
      </c>
      <c r="AE201" t="s">
        <v>53</v>
      </c>
    </row>
    <row r="202" spans="1:31" x14ac:dyDescent="0.35">
      <c r="A202">
        <v>200</v>
      </c>
      <c r="B202">
        <v>283004</v>
      </c>
      <c r="C202">
        <v>328014113</v>
      </c>
      <c r="D202" t="s">
        <v>1971</v>
      </c>
      <c r="E202" t="s">
        <v>51</v>
      </c>
      <c r="F202" s="1">
        <v>46248</v>
      </c>
      <c r="G202" t="s">
        <v>16</v>
      </c>
      <c r="H202">
        <v>1420035295</v>
      </c>
      <c r="I202" s="1">
        <v>46175</v>
      </c>
      <c r="J202" t="s">
        <v>138</v>
      </c>
      <c r="K202" t="s">
        <v>1280</v>
      </c>
      <c r="L202" t="s">
        <v>13</v>
      </c>
      <c r="M202" t="s">
        <v>22</v>
      </c>
      <c r="N202" t="s">
        <v>1969</v>
      </c>
      <c r="O202" t="s">
        <v>1936</v>
      </c>
      <c r="P202" t="s">
        <v>1970</v>
      </c>
      <c r="Q202" t="s">
        <v>52</v>
      </c>
      <c r="R202" t="s">
        <v>488</v>
      </c>
      <c r="S202" s="2">
        <v>228000</v>
      </c>
      <c r="T202">
        <v>2.57</v>
      </c>
      <c r="U202" s="2">
        <v>585960</v>
      </c>
      <c r="V202">
        <v>0</v>
      </c>
      <c r="W202">
        <v>0</v>
      </c>
      <c r="X202" s="2">
        <v>105472.8</v>
      </c>
      <c r="Y202">
        <v>0</v>
      </c>
      <c r="Z202">
        <v>0</v>
      </c>
      <c r="AA202" s="2">
        <v>691432.8</v>
      </c>
      <c r="AB202">
        <v>0</v>
      </c>
      <c r="AC202">
        <v>0</v>
      </c>
      <c r="AD202" s="2">
        <v>691432.8</v>
      </c>
      <c r="AE202" t="s">
        <v>53</v>
      </c>
    </row>
    <row r="203" spans="1:31" x14ac:dyDescent="0.35">
      <c r="A203">
        <v>201</v>
      </c>
      <c r="B203">
        <v>283011</v>
      </c>
      <c r="C203">
        <v>328014119</v>
      </c>
      <c r="D203" t="s">
        <v>1972</v>
      </c>
      <c r="E203" t="s">
        <v>51</v>
      </c>
      <c r="F203" s="1">
        <v>46248</v>
      </c>
      <c r="G203" t="s">
        <v>16</v>
      </c>
      <c r="H203">
        <v>1420035389</v>
      </c>
      <c r="I203" s="1">
        <v>46189</v>
      </c>
      <c r="J203" t="s">
        <v>138</v>
      </c>
      <c r="K203" t="s">
        <v>1280</v>
      </c>
      <c r="L203" t="s">
        <v>13</v>
      </c>
      <c r="M203" t="s">
        <v>22</v>
      </c>
      <c r="N203" t="s">
        <v>1760</v>
      </c>
      <c r="O203" t="s">
        <v>1932</v>
      </c>
      <c r="P203" t="s">
        <v>1761</v>
      </c>
      <c r="Q203" t="s">
        <v>52</v>
      </c>
      <c r="R203" t="s">
        <v>418</v>
      </c>
      <c r="S203" s="2">
        <v>90000</v>
      </c>
      <c r="T203">
        <v>0.63</v>
      </c>
      <c r="U203" s="2">
        <v>56700</v>
      </c>
      <c r="V203">
        <v>0</v>
      </c>
      <c r="W203">
        <v>0</v>
      </c>
      <c r="X203" s="2">
        <v>10206</v>
      </c>
      <c r="Y203">
        <v>0</v>
      </c>
      <c r="Z203">
        <v>0</v>
      </c>
      <c r="AA203" s="2">
        <v>66906</v>
      </c>
      <c r="AB203">
        <v>0</v>
      </c>
      <c r="AC203">
        <v>0</v>
      </c>
      <c r="AD203" s="2">
        <v>66906</v>
      </c>
      <c r="AE203" t="s">
        <v>53</v>
      </c>
    </row>
    <row r="204" spans="1:31" x14ac:dyDescent="0.35">
      <c r="A204">
        <v>202</v>
      </c>
      <c r="B204">
        <v>283012</v>
      </c>
      <c r="C204">
        <v>328014120</v>
      </c>
      <c r="D204" t="s">
        <v>1973</v>
      </c>
      <c r="E204" t="s">
        <v>51</v>
      </c>
      <c r="F204" s="1">
        <v>46248</v>
      </c>
      <c r="G204" t="s">
        <v>1974</v>
      </c>
      <c r="H204" t="s">
        <v>1975</v>
      </c>
      <c r="I204" s="1">
        <v>46197</v>
      </c>
      <c r="J204" t="s">
        <v>138</v>
      </c>
      <c r="K204" t="s">
        <v>137</v>
      </c>
      <c r="L204" t="s">
        <v>13</v>
      </c>
      <c r="M204" t="s">
        <v>23</v>
      </c>
      <c r="N204" t="s">
        <v>1976</v>
      </c>
      <c r="O204" t="s">
        <v>1977</v>
      </c>
      <c r="P204" t="s">
        <v>1976</v>
      </c>
      <c r="Q204" t="s">
        <v>72</v>
      </c>
      <c r="R204" t="s">
        <v>1978</v>
      </c>
      <c r="S204" s="2">
        <v>4000</v>
      </c>
      <c r="T204">
        <v>1.08</v>
      </c>
      <c r="U204" s="2">
        <v>4320</v>
      </c>
      <c r="V204">
        <v>0</v>
      </c>
      <c r="W204">
        <v>0</v>
      </c>
      <c r="X204">
        <v>777.6</v>
      </c>
      <c r="Y204">
        <v>44.44444</v>
      </c>
      <c r="Z204">
        <v>8</v>
      </c>
      <c r="AA204" s="2">
        <v>5150.0444399999997</v>
      </c>
      <c r="AB204">
        <v>0</v>
      </c>
      <c r="AC204">
        <v>0</v>
      </c>
      <c r="AD204" s="2">
        <v>5150.0444399999997</v>
      </c>
      <c r="AE204" t="s">
        <v>53</v>
      </c>
    </row>
    <row r="205" spans="1:31" x14ac:dyDescent="0.35">
      <c r="A205">
        <v>203</v>
      </c>
      <c r="B205">
        <v>283012</v>
      </c>
      <c r="C205">
        <v>328014120</v>
      </c>
      <c r="D205" t="s">
        <v>1973</v>
      </c>
      <c r="E205" t="s">
        <v>51</v>
      </c>
      <c r="F205" s="1">
        <v>46248</v>
      </c>
      <c r="G205" t="s">
        <v>1974</v>
      </c>
      <c r="H205" t="s">
        <v>1975</v>
      </c>
      <c r="I205" s="1">
        <v>46197</v>
      </c>
      <c r="J205" t="s">
        <v>138</v>
      </c>
      <c r="K205" t="s">
        <v>137</v>
      </c>
      <c r="L205" t="s">
        <v>13</v>
      </c>
      <c r="M205" t="s">
        <v>23</v>
      </c>
      <c r="N205" t="s">
        <v>1979</v>
      </c>
      <c r="O205" t="s">
        <v>1977</v>
      </c>
      <c r="P205" t="s">
        <v>1979</v>
      </c>
      <c r="Q205" t="s">
        <v>72</v>
      </c>
      <c r="R205" t="s">
        <v>1978</v>
      </c>
      <c r="S205" s="2">
        <v>4000</v>
      </c>
      <c r="T205">
        <v>1.35</v>
      </c>
      <c r="U205" s="2">
        <v>5400</v>
      </c>
      <c r="V205">
        <v>0</v>
      </c>
      <c r="W205">
        <v>0</v>
      </c>
      <c r="X205">
        <v>990</v>
      </c>
      <c r="Y205">
        <v>55.55556</v>
      </c>
      <c r="Z205">
        <v>10</v>
      </c>
      <c r="AA205" s="2">
        <v>6437.5555599999998</v>
      </c>
      <c r="AB205">
        <v>0</v>
      </c>
      <c r="AC205">
        <v>0</v>
      </c>
      <c r="AD205" s="2">
        <v>6437.5555599999998</v>
      </c>
      <c r="AE205" t="s">
        <v>53</v>
      </c>
    </row>
    <row r="206" spans="1:31" x14ac:dyDescent="0.35">
      <c r="A206">
        <v>204</v>
      </c>
      <c r="B206">
        <v>283013</v>
      </c>
      <c r="C206">
        <v>328014121</v>
      </c>
      <c r="D206" t="s">
        <v>1980</v>
      </c>
      <c r="E206" t="s">
        <v>51</v>
      </c>
      <c r="F206" s="1">
        <v>46248</v>
      </c>
      <c r="G206" t="s">
        <v>132</v>
      </c>
      <c r="H206" t="s">
        <v>419</v>
      </c>
      <c r="I206" s="1">
        <v>46139</v>
      </c>
      <c r="J206" t="s">
        <v>138</v>
      </c>
      <c r="K206" t="s">
        <v>137</v>
      </c>
      <c r="L206" t="s">
        <v>13</v>
      </c>
      <c r="M206" t="s">
        <v>23</v>
      </c>
      <c r="N206" t="s">
        <v>84</v>
      </c>
      <c r="O206" t="s">
        <v>1932</v>
      </c>
      <c r="P206" t="s">
        <v>1981</v>
      </c>
      <c r="Q206" t="s">
        <v>52</v>
      </c>
      <c r="R206" t="s">
        <v>418</v>
      </c>
      <c r="S206" s="2">
        <v>15000</v>
      </c>
      <c r="T206">
        <v>1.22</v>
      </c>
      <c r="U206" s="2">
        <v>18300</v>
      </c>
      <c r="V206">
        <v>0</v>
      </c>
      <c r="W206">
        <v>0</v>
      </c>
      <c r="X206" s="2">
        <v>3330</v>
      </c>
      <c r="Y206">
        <v>65.031980000000004</v>
      </c>
      <c r="Z206">
        <v>11.70576</v>
      </c>
      <c r="AA206" s="2">
        <v>21670.73774</v>
      </c>
      <c r="AB206">
        <v>0</v>
      </c>
      <c r="AC206">
        <v>0</v>
      </c>
      <c r="AD206" s="2">
        <v>21670.73774</v>
      </c>
      <c r="AE206" t="s">
        <v>53</v>
      </c>
    </row>
    <row r="207" spans="1:31" x14ac:dyDescent="0.35">
      <c r="A207">
        <v>205</v>
      </c>
      <c r="B207">
        <v>283013</v>
      </c>
      <c r="C207">
        <v>328014121</v>
      </c>
      <c r="D207" t="s">
        <v>1980</v>
      </c>
      <c r="E207" t="s">
        <v>51</v>
      </c>
      <c r="F207" s="1">
        <v>46248</v>
      </c>
      <c r="G207" t="s">
        <v>132</v>
      </c>
      <c r="H207" t="s">
        <v>419</v>
      </c>
      <c r="I207" s="1">
        <v>46139</v>
      </c>
      <c r="J207" t="s">
        <v>138</v>
      </c>
      <c r="K207" t="s">
        <v>137</v>
      </c>
      <c r="L207" t="s">
        <v>13</v>
      </c>
      <c r="M207" t="s">
        <v>23</v>
      </c>
      <c r="N207" t="s">
        <v>1982</v>
      </c>
      <c r="O207" t="s">
        <v>1932</v>
      </c>
      <c r="P207" t="s">
        <v>1983</v>
      </c>
      <c r="Q207" t="s">
        <v>52</v>
      </c>
      <c r="R207" t="s">
        <v>418</v>
      </c>
      <c r="S207" s="2">
        <v>6000</v>
      </c>
      <c r="T207">
        <v>1.58</v>
      </c>
      <c r="U207" s="2">
        <v>9480</v>
      </c>
      <c r="V207">
        <v>0</v>
      </c>
      <c r="W207">
        <v>0</v>
      </c>
      <c r="X207" s="2">
        <v>1706.4</v>
      </c>
      <c r="Y207">
        <v>33.688699999999997</v>
      </c>
      <c r="Z207">
        <v>6.0639700000000003</v>
      </c>
      <c r="AA207" s="2">
        <v>11226.152669999999</v>
      </c>
      <c r="AB207">
        <v>0</v>
      </c>
      <c r="AC207">
        <v>0</v>
      </c>
      <c r="AD207" s="2">
        <v>11226.152669999999</v>
      </c>
      <c r="AE207" t="s">
        <v>53</v>
      </c>
    </row>
    <row r="208" spans="1:31" x14ac:dyDescent="0.35">
      <c r="A208">
        <v>206</v>
      </c>
      <c r="B208">
        <v>283013</v>
      </c>
      <c r="C208">
        <v>328014121</v>
      </c>
      <c r="D208" t="s">
        <v>1980</v>
      </c>
      <c r="E208" t="s">
        <v>51</v>
      </c>
      <c r="F208" s="1">
        <v>46248</v>
      </c>
      <c r="G208" t="s">
        <v>132</v>
      </c>
      <c r="H208" t="s">
        <v>419</v>
      </c>
      <c r="I208" s="1">
        <v>46139</v>
      </c>
      <c r="J208" t="s">
        <v>138</v>
      </c>
      <c r="K208" t="s">
        <v>137</v>
      </c>
      <c r="L208" t="s">
        <v>13</v>
      </c>
      <c r="M208" t="s">
        <v>23</v>
      </c>
      <c r="N208" t="s">
        <v>1984</v>
      </c>
      <c r="O208" t="s">
        <v>1942</v>
      </c>
      <c r="P208" t="s">
        <v>1985</v>
      </c>
      <c r="Q208" t="s">
        <v>1986</v>
      </c>
      <c r="R208" t="s">
        <v>1987</v>
      </c>
      <c r="S208" s="2">
        <v>15000</v>
      </c>
      <c r="T208">
        <v>1.9</v>
      </c>
      <c r="U208" s="2">
        <v>28500</v>
      </c>
      <c r="V208">
        <v>0</v>
      </c>
      <c r="W208">
        <v>0</v>
      </c>
      <c r="X208" s="2">
        <v>5130</v>
      </c>
      <c r="Y208">
        <v>101.27932</v>
      </c>
      <c r="Z208">
        <v>18.23028</v>
      </c>
      <c r="AA208" s="2">
        <v>33749.509590000001</v>
      </c>
      <c r="AB208">
        <v>0</v>
      </c>
      <c r="AC208">
        <v>0</v>
      </c>
      <c r="AD208" s="2">
        <v>33749.509590000001</v>
      </c>
      <c r="AE208" t="s">
        <v>53</v>
      </c>
    </row>
    <row r="209" spans="1:31" x14ac:dyDescent="0.35">
      <c r="A209">
        <v>207</v>
      </c>
      <c r="B209">
        <v>283015</v>
      </c>
      <c r="C209">
        <v>328014123</v>
      </c>
      <c r="D209" t="s">
        <v>1988</v>
      </c>
      <c r="E209" t="s">
        <v>51</v>
      </c>
      <c r="F209" s="1">
        <v>46248</v>
      </c>
      <c r="G209" t="s">
        <v>61</v>
      </c>
      <c r="H209" t="s">
        <v>1989</v>
      </c>
      <c r="I209" s="1">
        <v>46184</v>
      </c>
      <c r="J209" t="s">
        <v>138</v>
      </c>
      <c r="K209" t="s">
        <v>137</v>
      </c>
      <c r="L209" t="s">
        <v>15</v>
      </c>
      <c r="M209" t="s">
        <v>25</v>
      </c>
      <c r="N209" t="s">
        <v>1990</v>
      </c>
      <c r="O209" t="s">
        <v>1991</v>
      </c>
      <c r="P209" t="s">
        <v>1990</v>
      </c>
      <c r="Q209" t="s">
        <v>175</v>
      </c>
      <c r="R209" t="s">
        <v>1992</v>
      </c>
      <c r="S209" s="2">
        <v>15000</v>
      </c>
      <c r="T209">
        <v>34.58</v>
      </c>
      <c r="U209" s="2">
        <v>518700</v>
      </c>
      <c r="V209">
        <v>0</v>
      </c>
      <c r="W209">
        <v>0</v>
      </c>
      <c r="X209" s="2">
        <v>93366</v>
      </c>
      <c r="Y209">
        <v>0</v>
      </c>
      <c r="Z209">
        <v>0</v>
      </c>
      <c r="AA209" s="2">
        <v>612066</v>
      </c>
      <c r="AB209">
        <v>0</v>
      </c>
      <c r="AC209">
        <v>0</v>
      </c>
      <c r="AD209" s="2">
        <v>612066</v>
      </c>
      <c r="AE209" t="s">
        <v>62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8CC96-DE23-4D96-84CD-3CB9C7D518A5}">
  <dimension ref="A1:AG456"/>
  <sheetViews>
    <sheetView topLeftCell="O1" workbookViewId="0">
      <selection activeCell="U1" sqref="U1"/>
    </sheetView>
  </sheetViews>
  <sheetFormatPr defaultRowHeight="14.5" x14ac:dyDescent="0.35"/>
  <cols>
    <col min="1" max="1" width="3.81640625" bestFit="1" customWidth="1"/>
    <col min="2" max="2" width="14.7265625" bestFit="1" customWidth="1"/>
    <col min="3" max="3" width="9.81640625" bestFit="1" customWidth="1"/>
    <col min="4" max="4" width="9.54296875" bestFit="1" customWidth="1"/>
    <col min="5" max="5" width="11.81640625" bestFit="1" customWidth="1"/>
    <col min="6" max="6" width="10.08984375" bestFit="1" customWidth="1"/>
    <col min="7" max="7" width="48.1796875" bestFit="1" customWidth="1"/>
    <col min="8" max="8" width="24.36328125" bestFit="1" customWidth="1"/>
    <col min="9" max="9" width="16.1796875" bestFit="1" customWidth="1"/>
    <col min="10" max="10" width="6.81640625" bestFit="1" customWidth="1"/>
    <col min="11" max="11" width="12" bestFit="1" customWidth="1"/>
    <col min="12" max="12" width="21.90625" bestFit="1" customWidth="1"/>
    <col min="13" max="13" width="16.08984375" bestFit="1" customWidth="1"/>
    <col min="14" max="14" width="23.1796875" bestFit="1" customWidth="1"/>
    <col min="15" max="15" width="9.90625" bestFit="1" customWidth="1"/>
    <col min="16" max="16" width="20.6328125" bestFit="1" customWidth="1"/>
    <col min="17" max="17" width="13.6328125" bestFit="1" customWidth="1"/>
    <col min="18" max="18" width="33.1796875" bestFit="1" customWidth="1"/>
    <col min="19" max="19" width="26.453125" bestFit="1" customWidth="1"/>
    <col min="20" max="20" width="20" bestFit="1" customWidth="1"/>
    <col min="21" max="22" width="8.81640625" bestFit="1" customWidth="1"/>
    <col min="23" max="23" width="10.26953125" bestFit="1" customWidth="1"/>
    <col min="24" max="24" width="5.08984375" bestFit="1" customWidth="1"/>
    <col min="25" max="25" width="4.90625" bestFit="1" customWidth="1"/>
    <col min="26" max="26" width="8.81640625" bestFit="1" customWidth="1"/>
    <col min="27" max="27" width="11.1796875" bestFit="1" customWidth="1"/>
    <col min="28" max="28" width="14.6328125" bestFit="1" customWidth="1"/>
    <col min="29" max="29" width="10.26953125" bestFit="1" customWidth="1"/>
    <col min="30" max="30" width="10.81640625" bestFit="1" customWidth="1"/>
    <col min="31" max="31" width="8.26953125" bestFit="1" customWidth="1"/>
    <col min="32" max="32" width="10.26953125" bestFit="1" customWidth="1"/>
    <col min="33" max="33" width="15.1796875" bestFit="1" customWidth="1"/>
  </cols>
  <sheetData>
    <row r="1" spans="1:33" x14ac:dyDescent="0.35">
      <c r="W1" s="3">
        <f>SUBTOTAL(9,W3:W456)</f>
        <v>4424529.4800000004</v>
      </c>
    </row>
    <row r="2" spans="1:33" x14ac:dyDescent="0.35">
      <c r="A2" t="s">
        <v>1276</v>
      </c>
      <c r="B2" t="s">
        <v>1277</v>
      </c>
      <c r="C2" t="s">
        <v>0</v>
      </c>
      <c r="D2" t="s">
        <v>39</v>
      </c>
      <c r="E2" t="s">
        <v>26</v>
      </c>
      <c r="F2" t="s">
        <v>1</v>
      </c>
      <c r="G2" t="s">
        <v>2</v>
      </c>
      <c r="H2" t="s">
        <v>94</v>
      </c>
      <c r="I2" t="s">
        <v>95</v>
      </c>
      <c r="J2" t="s">
        <v>136</v>
      </c>
      <c r="K2" t="s">
        <v>135</v>
      </c>
      <c r="L2" t="s">
        <v>3</v>
      </c>
      <c r="M2" t="s">
        <v>20</v>
      </c>
      <c r="N2" t="s">
        <v>4</v>
      </c>
      <c r="O2" t="s">
        <v>1931</v>
      </c>
      <c r="P2" t="s">
        <v>27</v>
      </c>
      <c r="Q2" t="s">
        <v>5</v>
      </c>
      <c r="R2" t="s">
        <v>6</v>
      </c>
      <c r="S2" t="s">
        <v>553</v>
      </c>
      <c r="T2" t="s">
        <v>415</v>
      </c>
      <c r="U2" t="s">
        <v>7</v>
      </c>
      <c r="V2" t="s">
        <v>8</v>
      </c>
      <c r="W2" t="s">
        <v>9</v>
      </c>
      <c r="X2" t="s">
        <v>29</v>
      </c>
      <c r="Y2" t="s">
        <v>30</v>
      </c>
      <c r="Z2" t="s">
        <v>31</v>
      </c>
      <c r="AA2" t="s">
        <v>32</v>
      </c>
      <c r="AB2" t="s">
        <v>33</v>
      </c>
      <c r="AC2" t="s">
        <v>34</v>
      </c>
      <c r="AD2" t="s">
        <v>35</v>
      </c>
      <c r="AE2" t="s">
        <v>36</v>
      </c>
      <c r="AF2" t="s">
        <v>10</v>
      </c>
      <c r="AG2" t="s">
        <v>28</v>
      </c>
    </row>
    <row r="3" spans="1:33" x14ac:dyDescent="0.35">
      <c r="A3">
        <v>1</v>
      </c>
      <c r="B3">
        <v>281443</v>
      </c>
      <c r="C3">
        <v>328012867</v>
      </c>
      <c r="D3" t="s">
        <v>254</v>
      </c>
      <c r="E3" t="s">
        <v>50</v>
      </c>
      <c r="F3" s="1">
        <v>46237</v>
      </c>
      <c r="G3" t="s">
        <v>255</v>
      </c>
      <c r="H3" t="s">
        <v>256</v>
      </c>
      <c r="I3" s="1">
        <v>46227</v>
      </c>
      <c r="J3" t="s">
        <v>138</v>
      </c>
      <c r="K3" t="s">
        <v>137</v>
      </c>
      <c r="L3" t="s">
        <v>18</v>
      </c>
      <c r="M3" t="s">
        <v>14</v>
      </c>
      <c r="N3" t="s">
        <v>142</v>
      </c>
      <c r="O3" t="s">
        <v>1993</v>
      </c>
      <c r="Q3" t="s">
        <v>6</v>
      </c>
      <c r="R3" t="s">
        <v>143</v>
      </c>
      <c r="S3" t="s">
        <v>628</v>
      </c>
      <c r="T3" t="s">
        <v>1994</v>
      </c>
      <c r="U3">
        <v>50</v>
      </c>
      <c r="V3">
        <v>31.08</v>
      </c>
      <c r="W3" s="2">
        <v>1554</v>
      </c>
      <c r="X3">
        <v>0</v>
      </c>
      <c r="Y3">
        <v>0</v>
      </c>
      <c r="Z3">
        <v>279.72000000000003</v>
      </c>
      <c r="AA3">
        <v>0</v>
      </c>
      <c r="AB3">
        <v>0</v>
      </c>
      <c r="AC3" s="2">
        <v>1833.72</v>
      </c>
      <c r="AD3">
        <v>0</v>
      </c>
      <c r="AE3">
        <v>0</v>
      </c>
      <c r="AF3" s="2">
        <v>1833.72</v>
      </c>
      <c r="AG3" t="s">
        <v>37</v>
      </c>
    </row>
    <row r="4" spans="1:33" x14ac:dyDescent="0.35">
      <c r="A4">
        <v>2</v>
      </c>
      <c r="B4">
        <v>281443</v>
      </c>
      <c r="C4">
        <v>328012867</v>
      </c>
      <c r="D4" t="s">
        <v>254</v>
      </c>
      <c r="E4" t="s">
        <v>50</v>
      </c>
      <c r="F4" s="1">
        <v>46237</v>
      </c>
      <c r="G4" t="s">
        <v>255</v>
      </c>
      <c r="H4" t="s">
        <v>256</v>
      </c>
      <c r="I4" s="1">
        <v>46227</v>
      </c>
      <c r="J4" t="s">
        <v>138</v>
      </c>
      <c r="K4" t="s">
        <v>137</v>
      </c>
      <c r="L4" t="s">
        <v>18</v>
      </c>
      <c r="M4" t="s">
        <v>14</v>
      </c>
      <c r="N4" t="s">
        <v>258</v>
      </c>
      <c r="O4" t="s">
        <v>1938</v>
      </c>
      <c r="Q4" t="s">
        <v>6</v>
      </c>
      <c r="R4" t="s">
        <v>43</v>
      </c>
      <c r="S4" t="s">
        <v>626</v>
      </c>
      <c r="T4" t="s">
        <v>1995</v>
      </c>
      <c r="U4">
        <v>50</v>
      </c>
      <c r="V4">
        <v>12.36</v>
      </c>
      <c r="W4">
        <v>618</v>
      </c>
      <c r="X4">
        <v>0</v>
      </c>
      <c r="Y4">
        <v>0</v>
      </c>
      <c r="Z4">
        <v>111.24</v>
      </c>
      <c r="AA4">
        <v>0</v>
      </c>
      <c r="AB4">
        <v>0</v>
      </c>
      <c r="AC4">
        <v>729.24</v>
      </c>
      <c r="AD4">
        <v>0</v>
      </c>
      <c r="AE4">
        <v>0</v>
      </c>
      <c r="AF4">
        <v>729.24</v>
      </c>
      <c r="AG4" t="s">
        <v>37</v>
      </c>
    </row>
    <row r="5" spans="1:33" x14ac:dyDescent="0.35">
      <c r="A5">
        <v>3</v>
      </c>
      <c r="B5">
        <v>281443</v>
      </c>
      <c r="C5">
        <v>328012867</v>
      </c>
      <c r="D5" t="s">
        <v>254</v>
      </c>
      <c r="E5" t="s">
        <v>50</v>
      </c>
      <c r="F5" s="1">
        <v>46237</v>
      </c>
      <c r="G5" t="s">
        <v>255</v>
      </c>
      <c r="H5" t="s">
        <v>256</v>
      </c>
      <c r="I5" s="1">
        <v>46227</v>
      </c>
      <c r="J5" t="s">
        <v>138</v>
      </c>
      <c r="K5" t="s">
        <v>137</v>
      </c>
      <c r="L5" t="s">
        <v>18</v>
      </c>
      <c r="M5" t="s">
        <v>14</v>
      </c>
      <c r="N5" t="s">
        <v>257</v>
      </c>
      <c r="O5" t="s">
        <v>1938</v>
      </c>
      <c r="Q5" t="s">
        <v>6</v>
      </c>
      <c r="R5" t="s">
        <v>40</v>
      </c>
      <c r="S5" t="s">
        <v>627</v>
      </c>
      <c r="T5" t="s">
        <v>1995</v>
      </c>
      <c r="U5">
        <v>100</v>
      </c>
      <c r="V5">
        <v>12.26</v>
      </c>
      <c r="W5" s="2">
        <v>1226</v>
      </c>
      <c r="X5">
        <v>0</v>
      </c>
      <c r="Y5">
        <v>0</v>
      </c>
      <c r="Z5">
        <v>220.68</v>
      </c>
      <c r="AA5">
        <v>0</v>
      </c>
      <c r="AB5">
        <v>0</v>
      </c>
      <c r="AC5" s="2">
        <v>1446.68</v>
      </c>
      <c r="AD5">
        <v>0</v>
      </c>
      <c r="AE5">
        <v>0</v>
      </c>
      <c r="AF5" s="2">
        <v>1446.68</v>
      </c>
      <c r="AG5" t="s">
        <v>37</v>
      </c>
    </row>
    <row r="6" spans="1:33" x14ac:dyDescent="0.35">
      <c r="A6">
        <v>4</v>
      </c>
      <c r="B6">
        <v>281465</v>
      </c>
      <c r="C6">
        <v>328012888</v>
      </c>
      <c r="D6" t="s">
        <v>259</v>
      </c>
      <c r="E6" t="s">
        <v>50</v>
      </c>
      <c r="F6" s="1">
        <v>46237</v>
      </c>
      <c r="G6" t="s">
        <v>46</v>
      </c>
      <c r="H6">
        <v>4000010016</v>
      </c>
      <c r="I6" s="1">
        <v>46227</v>
      </c>
      <c r="J6" t="s">
        <v>138</v>
      </c>
      <c r="K6" t="s">
        <v>137</v>
      </c>
      <c r="L6" t="s">
        <v>15</v>
      </c>
      <c r="M6" t="s">
        <v>14</v>
      </c>
      <c r="N6" t="s">
        <v>260</v>
      </c>
      <c r="O6" t="s">
        <v>1996</v>
      </c>
      <c r="P6">
        <v>12115340</v>
      </c>
      <c r="Q6" t="s">
        <v>6</v>
      </c>
      <c r="R6" t="s">
        <v>47</v>
      </c>
      <c r="S6" t="s">
        <v>629</v>
      </c>
      <c r="T6" t="s">
        <v>1997</v>
      </c>
      <c r="U6">
        <v>50</v>
      </c>
      <c r="V6">
        <v>243</v>
      </c>
      <c r="W6" s="2">
        <v>12150</v>
      </c>
      <c r="X6">
        <v>0</v>
      </c>
      <c r="Y6">
        <v>0</v>
      </c>
      <c r="Z6" s="2">
        <v>2187</v>
      </c>
      <c r="AA6">
        <v>0</v>
      </c>
      <c r="AB6">
        <v>0</v>
      </c>
      <c r="AC6" s="2">
        <v>14337</v>
      </c>
      <c r="AD6">
        <v>0</v>
      </c>
      <c r="AE6">
        <v>0</v>
      </c>
      <c r="AF6" s="2">
        <v>14337</v>
      </c>
      <c r="AG6" t="s">
        <v>37</v>
      </c>
    </row>
    <row r="7" spans="1:33" x14ac:dyDescent="0.35">
      <c r="A7">
        <v>5</v>
      </c>
      <c r="B7">
        <v>281466</v>
      </c>
      <c r="C7">
        <v>328012889</v>
      </c>
      <c r="D7" t="s">
        <v>261</v>
      </c>
      <c r="E7" t="s">
        <v>50</v>
      </c>
      <c r="F7" s="1">
        <v>46237</v>
      </c>
      <c r="G7" t="s">
        <v>98</v>
      </c>
      <c r="H7" t="s">
        <v>262</v>
      </c>
      <c r="I7" s="1">
        <v>46223</v>
      </c>
      <c r="J7" t="s">
        <v>138</v>
      </c>
      <c r="K7" t="s">
        <v>137</v>
      </c>
      <c r="L7" t="s">
        <v>19</v>
      </c>
      <c r="M7" t="s">
        <v>150</v>
      </c>
      <c r="N7" t="s">
        <v>99</v>
      </c>
      <c r="O7" t="s">
        <v>1998</v>
      </c>
      <c r="Q7" t="s">
        <v>6</v>
      </c>
      <c r="R7" t="s">
        <v>47</v>
      </c>
      <c r="S7" t="s">
        <v>630</v>
      </c>
      <c r="T7" t="s">
        <v>1999</v>
      </c>
      <c r="U7">
        <v>525</v>
      </c>
      <c r="V7">
        <v>295.10000000000002</v>
      </c>
      <c r="W7" s="2">
        <v>154927.5</v>
      </c>
      <c r="X7">
        <v>0</v>
      </c>
      <c r="Y7">
        <v>0</v>
      </c>
      <c r="Z7" s="2">
        <v>27886.95</v>
      </c>
      <c r="AA7">
        <v>0</v>
      </c>
      <c r="AB7">
        <v>0</v>
      </c>
      <c r="AC7" s="2">
        <v>182814.45</v>
      </c>
      <c r="AD7">
        <v>0</v>
      </c>
      <c r="AE7">
        <v>0</v>
      </c>
      <c r="AF7" s="2">
        <v>182814.45</v>
      </c>
      <c r="AG7" t="s">
        <v>37</v>
      </c>
    </row>
    <row r="8" spans="1:33" x14ac:dyDescent="0.35">
      <c r="A8">
        <v>6</v>
      </c>
      <c r="B8">
        <v>281467</v>
      </c>
      <c r="C8">
        <v>328012890</v>
      </c>
      <c r="D8" t="s">
        <v>263</v>
      </c>
      <c r="E8" t="s">
        <v>50</v>
      </c>
      <c r="F8" s="1">
        <v>46237</v>
      </c>
      <c r="G8" t="s">
        <v>264</v>
      </c>
      <c r="H8" t="s">
        <v>265</v>
      </c>
      <c r="I8" s="1">
        <v>46206</v>
      </c>
      <c r="J8" t="s">
        <v>138</v>
      </c>
      <c r="K8" t="s">
        <v>1279</v>
      </c>
      <c r="L8" t="s">
        <v>12</v>
      </c>
      <c r="M8" t="s">
        <v>21</v>
      </c>
      <c r="N8" t="s">
        <v>266</v>
      </c>
      <c r="O8" t="s">
        <v>2000</v>
      </c>
      <c r="Q8" t="s">
        <v>6</v>
      </c>
      <c r="R8" t="s">
        <v>44</v>
      </c>
      <c r="S8" t="s">
        <v>631</v>
      </c>
      <c r="T8" t="s">
        <v>1995</v>
      </c>
      <c r="U8">
        <v>100</v>
      </c>
      <c r="V8">
        <v>575.70000000000005</v>
      </c>
      <c r="W8" s="2">
        <v>57570</v>
      </c>
      <c r="X8">
        <v>0</v>
      </c>
      <c r="Y8">
        <v>0</v>
      </c>
      <c r="Z8" s="2">
        <v>10362.6</v>
      </c>
      <c r="AA8">
        <v>0</v>
      </c>
      <c r="AB8">
        <v>0</v>
      </c>
      <c r="AC8" s="2">
        <v>67932.600000000006</v>
      </c>
      <c r="AD8">
        <v>0</v>
      </c>
      <c r="AE8">
        <v>0</v>
      </c>
      <c r="AF8" s="2">
        <v>67932.600000000006</v>
      </c>
      <c r="AG8" t="s">
        <v>37</v>
      </c>
    </row>
    <row r="9" spans="1:33" x14ac:dyDescent="0.35">
      <c r="A9">
        <v>7</v>
      </c>
      <c r="B9">
        <v>281470</v>
      </c>
      <c r="C9">
        <v>328012892</v>
      </c>
      <c r="D9" t="s">
        <v>267</v>
      </c>
      <c r="E9" t="s">
        <v>50</v>
      </c>
      <c r="F9" s="1">
        <v>46237</v>
      </c>
      <c r="G9" t="s">
        <v>268</v>
      </c>
      <c r="H9" t="s">
        <v>123</v>
      </c>
      <c r="I9" s="1">
        <v>46227</v>
      </c>
      <c r="J9" t="s">
        <v>138</v>
      </c>
      <c r="K9" t="s">
        <v>137</v>
      </c>
      <c r="L9" t="s">
        <v>11</v>
      </c>
      <c r="M9" t="s">
        <v>150</v>
      </c>
      <c r="N9" t="s">
        <v>272</v>
      </c>
      <c r="O9" t="s">
        <v>1938</v>
      </c>
      <c r="Q9" t="s">
        <v>6</v>
      </c>
      <c r="R9" t="s">
        <v>43</v>
      </c>
      <c r="S9" t="s">
        <v>640</v>
      </c>
      <c r="T9" t="s">
        <v>1995</v>
      </c>
      <c r="U9">
        <v>30</v>
      </c>
      <c r="V9">
        <v>1.85</v>
      </c>
      <c r="W9">
        <v>55.5</v>
      </c>
      <c r="X9">
        <v>0</v>
      </c>
      <c r="Y9">
        <v>0</v>
      </c>
      <c r="Z9">
        <v>9.99</v>
      </c>
      <c r="AA9">
        <v>0</v>
      </c>
      <c r="AB9">
        <v>0</v>
      </c>
      <c r="AC9">
        <v>65.489999999999995</v>
      </c>
      <c r="AD9">
        <v>0</v>
      </c>
      <c r="AE9">
        <v>0</v>
      </c>
      <c r="AF9">
        <v>65.489999999999995</v>
      </c>
      <c r="AG9" t="s">
        <v>37</v>
      </c>
    </row>
    <row r="10" spans="1:33" x14ac:dyDescent="0.35">
      <c r="A10">
        <v>8</v>
      </c>
      <c r="B10">
        <v>281470</v>
      </c>
      <c r="C10">
        <v>328012892</v>
      </c>
      <c r="D10" t="s">
        <v>267</v>
      </c>
      <c r="E10" t="s">
        <v>50</v>
      </c>
      <c r="F10" s="1">
        <v>46237</v>
      </c>
      <c r="G10" t="s">
        <v>268</v>
      </c>
      <c r="H10" t="s">
        <v>123</v>
      </c>
      <c r="I10" s="1">
        <v>46227</v>
      </c>
      <c r="J10" t="s">
        <v>138</v>
      </c>
      <c r="K10" t="s">
        <v>137</v>
      </c>
      <c r="L10" t="s">
        <v>11</v>
      </c>
      <c r="M10" t="s">
        <v>150</v>
      </c>
      <c r="N10" t="s">
        <v>275</v>
      </c>
      <c r="O10" t="s">
        <v>1938</v>
      </c>
      <c r="Q10" t="s">
        <v>6</v>
      </c>
      <c r="R10" t="s">
        <v>43</v>
      </c>
      <c r="S10" t="s">
        <v>639</v>
      </c>
      <c r="T10" t="s">
        <v>1995</v>
      </c>
      <c r="U10">
        <v>10</v>
      </c>
      <c r="V10">
        <v>2.06</v>
      </c>
      <c r="W10">
        <v>20.6</v>
      </c>
      <c r="X10">
        <v>0</v>
      </c>
      <c r="Y10">
        <v>0</v>
      </c>
      <c r="Z10">
        <v>3.7080000000000002</v>
      </c>
      <c r="AA10">
        <v>0</v>
      </c>
      <c r="AB10">
        <v>0</v>
      </c>
      <c r="AC10">
        <v>24.308</v>
      </c>
      <c r="AD10">
        <v>0</v>
      </c>
      <c r="AE10">
        <v>0</v>
      </c>
      <c r="AF10">
        <v>24.308</v>
      </c>
      <c r="AG10" t="s">
        <v>37</v>
      </c>
    </row>
    <row r="11" spans="1:33" x14ac:dyDescent="0.35">
      <c r="A11">
        <v>9</v>
      </c>
      <c r="B11">
        <v>281470</v>
      </c>
      <c r="C11">
        <v>328012892</v>
      </c>
      <c r="D11" t="s">
        <v>267</v>
      </c>
      <c r="E11" t="s">
        <v>50</v>
      </c>
      <c r="F11" s="1">
        <v>46237</v>
      </c>
      <c r="G11" t="s">
        <v>268</v>
      </c>
      <c r="H11" t="s">
        <v>123</v>
      </c>
      <c r="I11" s="1">
        <v>46227</v>
      </c>
      <c r="J11" t="s">
        <v>138</v>
      </c>
      <c r="K11" t="s">
        <v>137</v>
      </c>
      <c r="L11" t="s">
        <v>11</v>
      </c>
      <c r="M11" t="s">
        <v>150</v>
      </c>
      <c r="N11" t="s">
        <v>277</v>
      </c>
      <c r="O11" t="s">
        <v>1938</v>
      </c>
      <c r="Q11" t="s">
        <v>6</v>
      </c>
      <c r="R11" t="s">
        <v>43</v>
      </c>
      <c r="S11" t="s">
        <v>637</v>
      </c>
      <c r="T11" t="s">
        <v>1995</v>
      </c>
      <c r="U11">
        <v>10</v>
      </c>
      <c r="V11">
        <v>2.06</v>
      </c>
      <c r="W11">
        <v>20.6</v>
      </c>
      <c r="X11">
        <v>0</v>
      </c>
      <c r="Y11">
        <v>0</v>
      </c>
      <c r="Z11">
        <v>3.7080000000000002</v>
      </c>
      <c r="AA11">
        <v>0</v>
      </c>
      <c r="AB11">
        <v>0</v>
      </c>
      <c r="AC11">
        <v>24.308</v>
      </c>
      <c r="AD11">
        <v>0</v>
      </c>
      <c r="AE11">
        <v>0</v>
      </c>
      <c r="AF11">
        <v>24.308</v>
      </c>
      <c r="AG11" t="s">
        <v>37</v>
      </c>
    </row>
    <row r="12" spans="1:33" x14ac:dyDescent="0.35">
      <c r="A12">
        <v>10</v>
      </c>
      <c r="B12">
        <v>281470</v>
      </c>
      <c r="C12">
        <v>328012892</v>
      </c>
      <c r="D12" t="s">
        <v>267</v>
      </c>
      <c r="E12" t="s">
        <v>50</v>
      </c>
      <c r="F12" s="1">
        <v>46237</v>
      </c>
      <c r="G12" t="s">
        <v>268</v>
      </c>
      <c r="H12" t="s">
        <v>123</v>
      </c>
      <c r="I12" s="1">
        <v>46227</v>
      </c>
      <c r="J12" t="s">
        <v>138</v>
      </c>
      <c r="K12" t="s">
        <v>137</v>
      </c>
      <c r="L12" t="s">
        <v>11</v>
      </c>
      <c r="M12" t="s">
        <v>150</v>
      </c>
      <c r="N12" t="s">
        <v>279</v>
      </c>
      <c r="O12" t="s">
        <v>1938</v>
      </c>
      <c r="Q12" t="s">
        <v>6</v>
      </c>
      <c r="R12" t="s">
        <v>43</v>
      </c>
      <c r="S12" t="s">
        <v>633</v>
      </c>
      <c r="T12" t="s">
        <v>1995</v>
      </c>
      <c r="U12">
        <v>120</v>
      </c>
      <c r="V12">
        <v>1.65</v>
      </c>
      <c r="W12">
        <v>198</v>
      </c>
      <c r="X12">
        <v>0</v>
      </c>
      <c r="Y12">
        <v>0</v>
      </c>
      <c r="Z12">
        <v>35.64</v>
      </c>
      <c r="AA12">
        <v>0</v>
      </c>
      <c r="AB12">
        <v>0</v>
      </c>
      <c r="AC12">
        <v>233.64</v>
      </c>
      <c r="AD12">
        <v>0</v>
      </c>
      <c r="AE12">
        <v>0</v>
      </c>
      <c r="AF12">
        <v>233.64</v>
      </c>
      <c r="AG12" t="s">
        <v>37</v>
      </c>
    </row>
    <row r="13" spans="1:33" x14ac:dyDescent="0.35">
      <c r="A13">
        <v>11</v>
      </c>
      <c r="B13">
        <v>281470</v>
      </c>
      <c r="C13">
        <v>328012892</v>
      </c>
      <c r="D13" t="s">
        <v>267</v>
      </c>
      <c r="E13" t="s">
        <v>50</v>
      </c>
      <c r="F13" s="1">
        <v>46237</v>
      </c>
      <c r="G13" t="s">
        <v>268</v>
      </c>
      <c r="H13" t="s">
        <v>123</v>
      </c>
      <c r="I13" s="1">
        <v>46227</v>
      </c>
      <c r="J13" t="s">
        <v>138</v>
      </c>
      <c r="K13" t="s">
        <v>137</v>
      </c>
      <c r="L13" t="s">
        <v>11</v>
      </c>
      <c r="M13" t="s">
        <v>150</v>
      </c>
      <c r="N13" t="s">
        <v>278</v>
      </c>
      <c r="O13" t="s">
        <v>1938</v>
      </c>
      <c r="Q13" t="s">
        <v>6</v>
      </c>
      <c r="R13" t="s">
        <v>43</v>
      </c>
      <c r="S13" t="s">
        <v>636</v>
      </c>
      <c r="T13" t="s">
        <v>1995</v>
      </c>
      <c r="U13">
        <v>20</v>
      </c>
      <c r="V13">
        <v>2.06</v>
      </c>
      <c r="W13">
        <v>41.2</v>
      </c>
      <c r="X13">
        <v>0</v>
      </c>
      <c r="Y13">
        <v>0</v>
      </c>
      <c r="Z13">
        <v>7.4160000000000004</v>
      </c>
      <c r="AA13">
        <v>0</v>
      </c>
      <c r="AB13">
        <v>0</v>
      </c>
      <c r="AC13">
        <v>48.616</v>
      </c>
      <c r="AD13">
        <v>0</v>
      </c>
      <c r="AE13">
        <v>0</v>
      </c>
      <c r="AF13">
        <v>48.616</v>
      </c>
      <c r="AG13" t="s">
        <v>37</v>
      </c>
    </row>
    <row r="14" spans="1:33" x14ac:dyDescent="0.35">
      <c r="A14">
        <v>12</v>
      </c>
      <c r="B14">
        <v>281470</v>
      </c>
      <c r="C14">
        <v>328012892</v>
      </c>
      <c r="D14" t="s">
        <v>267</v>
      </c>
      <c r="E14" t="s">
        <v>50</v>
      </c>
      <c r="F14" s="1">
        <v>46237</v>
      </c>
      <c r="G14" t="s">
        <v>268</v>
      </c>
      <c r="H14" t="s">
        <v>123</v>
      </c>
      <c r="I14" s="1">
        <v>46227</v>
      </c>
      <c r="J14" t="s">
        <v>138</v>
      </c>
      <c r="K14" t="s">
        <v>137</v>
      </c>
      <c r="L14" t="s">
        <v>11</v>
      </c>
      <c r="M14" t="s">
        <v>150</v>
      </c>
      <c r="N14" t="s">
        <v>269</v>
      </c>
      <c r="O14" t="s">
        <v>1938</v>
      </c>
      <c r="Q14" t="s">
        <v>6</v>
      </c>
      <c r="R14" t="s">
        <v>43</v>
      </c>
      <c r="S14" t="s">
        <v>632</v>
      </c>
      <c r="T14" t="s">
        <v>1995</v>
      </c>
      <c r="U14">
        <v>20</v>
      </c>
      <c r="V14">
        <v>1.85</v>
      </c>
      <c r="W14">
        <v>37</v>
      </c>
      <c r="X14">
        <v>0</v>
      </c>
      <c r="Y14">
        <v>0</v>
      </c>
      <c r="Z14">
        <v>6.66</v>
      </c>
      <c r="AA14">
        <v>0</v>
      </c>
      <c r="AB14">
        <v>0</v>
      </c>
      <c r="AC14">
        <v>43.66</v>
      </c>
      <c r="AD14">
        <v>0</v>
      </c>
      <c r="AE14">
        <v>0</v>
      </c>
      <c r="AF14">
        <v>43.66</v>
      </c>
      <c r="AG14" t="s">
        <v>37</v>
      </c>
    </row>
    <row r="15" spans="1:33" x14ac:dyDescent="0.35">
      <c r="A15">
        <v>13</v>
      </c>
      <c r="B15">
        <v>281470</v>
      </c>
      <c r="C15">
        <v>328012892</v>
      </c>
      <c r="D15" t="s">
        <v>267</v>
      </c>
      <c r="E15" t="s">
        <v>50</v>
      </c>
      <c r="F15" s="1">
        <v>46237</v>
      </c>
      <c r="G15" t="s">
        <v>268</v>
      </c>
      <c r="H15" t="s">
        <v>123</v>
      </c>
      <c r="I15" s="1">
        <v>46227</v>
      </c>
      <c r="J15" t="s">
        <v>138</v>
      </c>
      <c r="K15" t="s">
        <v>137</v>
      </c>
      <c r="L15" t="s">
        <v>11</v>
      </c>
      <c r="M15" t="s">
        <v>150</v>
      </c>
      <c r="N15" t="s">
        <v>270</v>
      </c>
      <c r="O15" t="s">
        <v>1942</v>
      </c>
      <c r="Q15" t="s">
        <v>6</v>
      </c>
      <c r="R15" t="s">
        <v>45</v>
      </c>
      <c r="S15" t="s">
        <v>634</v>
      </c>
      <c r="T15" t="s">
        <v>2001</v>
      </c>
      <c r="U15">
        <v>30</v>
      </c>
      <c r="V15">
        <v>43.88</v>
      </c>
      <c r="W15" s="2">
        <v>1316.4</v>
      </c>
      <c r="X15">
        <v>0</v>
      </c>
      <c r="Y15">
        <v>0</v>
      </c>
      <c r="Z15">
        <v>236.952</v>
      </c>
      <c r="AA15">
        <v>0</v>
      </c>
      <c r="AB15">
        <v>0</v>
      </c>
      <c r="AC15" s="2">
        <v>1553.3520000000001</v>
      </c>
      <c r="AD15">
        <v>0</v>
      </c>
      <c r="AE15">
        <v>0</v>
      </c>
      <c r="AF15" s="2">
        <v>1553.3520000000001</v>
      </c>
      <c r="AG15" t="s">
        <v>37</v>
      </c>
    </row>
    <row r="16" spans="1:33" x14ac:dyDescent="0.35">
      <c r="A16">
        <v>14</v>
      </c>
      <c r="B16">
        <v>281470</v>
      </c>
      <c r="C16">
        <v>328012892</v>
      </c>
      <c r="D16" t="s">
        <v>267</v>
      </c>
      <c r="E16" t="s">
        <v>50</v>
      </c>
      <c r="F16" s="1">
        <v>46237</v>
      </c>
      <c r="G16" t="s">
        <v>268</v>
      </c>
      <c r="H16" t="s">
        <v>123</v>
      </c>
      <c r="I16" s="1">
        <v>46227</v>
      </c>
      <c r="J16" t="s">
        <v>138</v>
      </c>
      <c r="K16" t="s">
        <v>137</v>
      </c>
      <c r="L16" t="s">
        <v>11</v>
      </c>
      <c r="M16" t="s">
        <v>150</v>
      </c>
      <c r="N16" t="s">
        <v>274</v>
      </c>
      <c r="O16" t="s">
        <v>1938</v>
      </c>
      <c r="Q16" t="s">
        <v>6</v>
      </c>
      <c r="R16" t="s">
        <v>43</v>
      </c>
      <c r="S16" t="s">
        <v>635</v>
      </c>
      <c r="T16" t="s">
        <v>1995</v>
      </c>
      <c r="U16">
        <v>10</v>
      </c>
      <c r="V16">
        <v>2.06</v>
      </c>
      <c r="W16">
        <v>20.6</v>
      </c>
      <c r="X16">
        <v>0</v>
      </c>
      <c r="Y16">
        <v>0</v>
      </c>
      <c r="Z16">
        <v>3.7080000000000002</v>
      </c>
      <c r="AA16">
        <v>0</v>
      </c>
      <c r="AB16">
        <v>0</v>
      </c>
      <c r="AC16">
        <v>24.308</v>
      </c>
      <c r="AD16">
        <v>0</v>
      </c>
      <c r="AE16">
        <v>0</v>
      </c>
      <c r="AF16">
        <v>24.308</v>
      </c>
      <c r="AG16" t="s">
        <v>37</v>
      </c>
    </row>
    <row r="17" spans="1:33" x14ac:dyDescent="0.35">
      <c r="A17">
        <v>15</v>
      </c>
      <c r="B17">
        <v>281470</v>
      </c>
      <c r="C17">
        <v>328012892</v>
      </c>
      <c r="D17" t="s">
        <v>267</v>
      </c>
      <c r="E17" t="s">
        <v>50</v>
      </c>
      <c r="F17" s="1">
        <v>46237</v>
      </c>
      <c r="G17" t="s">
        <v>268</v>
      </c>
      <c r="H17" t="s">
        <v>123</v>
      </c>
      <c r="I17" s="1">
        <v>46227</v>
      </c>
      <c r="J17" t="s">
        <v>138</v>
      </c>
      <c r="K17" t="s">
        <v>137</v>
      </c>
      <c r="L17" t="s">
        <v>11</v>
      </c>
      <c r="M17" t="s">
        <v>150</v>
      </c>
      <c r="N17" t="s">
        <v>271</v>
      </c>
      <c r="O17" t="s">
        <v>1938</v>
      </c>
      <c r="Q17" t="s">
        <v>6</v>
      </c>
      <c r="R17" t="s">
        <v>43</v>
      </c>
      <c r="S17" t="s">
        <v>642</v>
      </c>
      <c r="T17" t="s">
        <v>1995</v>
      </c>
      <c r="U17">
        <v>30</v>
      </c>
      <c r="V17">
        <v>2.58</v>
      </c>
      <c r="W17">
        <v>77.400000000000006</v>
      </c>
      <c r="X17">
        <v>0</v>
      </c>
      <c r="Y17">
        <v>0</v>
      </c>
      <c r="Z17">
        <v>13.932</v>
      </c>
      <c r="AA17">
        <v>0</v>
      </c>
      <c r="AB17">
        <v>0</v>
      </c>
      <c r="AC17">
        <v>91.331999999999994</v>
      </c>
      <c r="AD17">
        <v>0</v>
      </c>
      <c r="AE17">
        <v>0</v>
      </c>
      <c r="AF17">
        <v>91.331999999999994</v>
      </c>
      <c r="AG17" t="s">
        <v>37</v>
      </c>
    </row>
    <row r="18" spans="1:33" x14ac:dyDescent="0.35">
      <c r="A18">
        <v>16</v>
      </c>
      <c r="B18">
        <v>281470</v>
      </c>
      <c r="C18">
        <v>328012892</v>
      </c>
      <c r="D18" t="s">
        <v>267</v>
      </c>
      <c r="E18" t="s">
        <v>50</v>
      </c>
      <c r="F18" s="1">
        <v>46237</v>
      </c>
      <c r="G18" t="s">
        <v>268</v>
      </c>
      <c r="H18" t="s">
        <v>123</v>
      </c>
      <c r="I18" s="1">
        <v>46227</v>
      </c>
      <c r="J18" t="s">
        <v>138</v>
      </c>
      <c r="K18" t="s">
        <v>137</v>
      </c>
      <c r="L18" t="s">
        <v>11</v>
      </c>
      <c r="M18" t="s">
        <v>150</v>
      </c>
      <c r="N18" t="s">
        <v>276</v>
      </c>
      <c r="O18" t="s">
        <v>1938</v>
      </c>
      <c r="Q18" t="s">
        <v>6</v>
      </c>
      <c r="R18" t="s">
        <v>40</v>
      </c>
      <c r="S18" t="s">
        <v>638</v>
      </c>
      <c r="T18" t="s">
        <v>1995</v>
      </c>
      <c r="U18">
        <v>10</v>
      </c>
      <c r="V18">
        <v>1.75</v>
      </c>
      <c r="W18">
        <v>17.5</v>
      </c>
      <c r="X18">
        <v>0</v>
      </c>
      <c r="Y18">
        <v>0</v>
      </c>
      <c r="Z18">
        <v>3.15</v>
      </c>
      <c r="AA18">
        <v>0</v>
      </c>
      <c r="AB18">
        <v>0</v>
      </c>
      <c r="AC18">
        <v>20.65</v>
      </c>
      <c r="AD18">
        <v>0</v>
      </c>
      <c r="AE18">
        <v>0</v>
      </c>
      <c r="AF18">
        <v>20.65</v>
      </c>
      <c r="AG18" t="s">
        <v>37</v>
      </c>
    </row>
    <row r="19" spans="1:33" x14ac:dyDescent="0.35">
      <c r="A19">
        <v>17</v>
      </c>
      <c r="B19">
        <v>281470</v>
      </c>
      <c r="C19">
        <v>328012892</v>
      </c>
      <c r="D19" t="s">
        <v>267</v>
      </c>
      <c r="E19" t="s">
        <v>50</v>
      </c>
      <c r="F19" s="1">
        <v>46237</v>
      </c>
      <c r="G19" t="s">
        <v>268</v>
      </c>
      <c r="H19" t="s">
        <v>123</v>
      </c>
      <c r="I19" s="1">
        <v>46227</v>
      </c>
      <c r="J19" t="s">
        <v>138</v>
      </c>
      <c r="K19" t="s">
        <v>137</v>
      </c>
      <c r="L19" t="s">
        <v>11</v>
      </c>
      <c r="M19" t="s">
        <v>150</v>
      </c>
      <c r="N19" t="s">
        <v>273</v>
      </c>
      <c r="O19" t="s">
        <v>1938</v>
      </c>
      <c r="Q19" t="s">
        <v>6</v>
      </c>
      <c r="R19" t="s">
        <v>43</v>
      </c>
      <c r="S19" t="s">
        <v>641</v>
      </c>
      <c r="T19" t="s">
        <v>1995</v>
      </c>
      <c r="U19">
        <v>10</v>
      </c>
      <c r="V19">
        <v>2.06</v>
      </c>
      <c r="W19">
        <v>20.6</v>
      </c>
      <c r="X19">
        <v>0</v>
      </c>
      <c r="Y19">
        <v>0</v>
      </c>
      <c r="Z19">
        <v>3.7080000000000002</v>
      </c>
      <c r="AA19">
        <v>0</v>
      </c>
      <c r="AB19">
        <v>0</v>
      </c>
      <c r="AC19">
        <v>24.308</v>
      </c>
      <c r="AD19">
        <v>0</v>
      </c>
      <c r="AE19">
        <v>0</v>
      </c>
      <c r="AF19">
        <v>24.308</v>
      </c>
      <c r="AG19" t="s">
        <v>37</v>
      </c>
    </row>
    <row r="20" spans="1:33" x14ac:dyDescent="0.35">
      <c r="A20">
        <v>18</v>
      </c>
      <c r="B20">
        <v>281471</v>
      </c>
      <c r="C20">
        <v>328012893</v>
      </c>
      <c r="D20" t="s">
        <v>280</v>
      </c>
      <c r="E20" t="s">
        <v>50</v>
      </c>
      <c r="F20" s="1">
        <v>46237</v>
      </c>
      <c r="G20" t="s">
        <v>281</v>
      </c>
      <c r="H20" t="s">
        <v>282</v>
      </c>
      <c r="I20" s="1">
        <v>46065</v>
      </c>
      <c r="J20" t="s">
        <v>138</v>
      </c>
      <c r="K20" t="s">
        <v>137</v>
      </c>
      <c r="L20" t="s">
        <v>19</v>
      </c>
      <c r="M20" t="s">
        <v>150</v>
      </c>
      <c r="N20" t="s">
        <v>283</v>
      </c>
      <c r="O20" t="s">
        <v>1941</v>
      </c>
      <c r="Q20" t="s">
        <v>6</v>
      </c>
      <c r="R20" t="s">
        <v>93</v>
      </c>
      <c r="S20" t="s">
        <v>643</v>
      </c>
      <c r="T20" t="s">
        <v>2002</v>
      </c>
      <c r="U20">
        <v>50</v>
      </c>
      <c r="V20">
        <v>189</v>
      </c>
      <c r="W20" s="2">
        <v>9450</v>
      </c>
      <c r="X20">
        <v>0</v>
      </c>
      <c r="Y20">
        <v>0</v>
      </c>
      <c r="Z20" s="2">
        <v>1701</v>
      </c>
      <c r="AA20">
        <v>0</v>
      </c>
      <c r="AB20">
        <v>0</v>
      </c>
      <c r="AC20" s="2">
        <v>11151</v>
      </c>
      <c r="AD20">
        <v>0</v>
      </c>
      <c r="AE20">
        <v>0</v>
      </c>
      <c r="AF20" s="2">
        <v>11151</v>
      </c>
      <c r="AG20" t="s">
        <v>37</v>
      </c>
    </row>
    <row r="21" spans="1:33" x14ac:dyDescent="0.35">
      <c r="A21">
        <v>19</v>
      </c>
      <c r="B21">
        <v>281471</v>
      </c>
      <c r="C21">
        <v>328012893</v>
      </c>
      <c r="D21" t="s">
        <v>280</v>
      </c>
      <c r="E21" t="s">
        <v>50</v>
      </c>
      <c r="F21" s="1">
        <v>46237</v>
      </c>
      <c r="G21" t="s">
        <v>281</v>
      </c>
      <c r="H21" t="s">
        <v>282</v>
      </c>
      <c r="I21" s="1">
        <v>46065</v>
      </c>
      <c r="J21" t="s">
        <v>138</v>
      </c>
      <c r="K21" t="s">
        <v>137</v>
      </c>
      <c r="L21" t="s">
        <v>19</v>
      </c>
      <c r="M21" t="s">
        <v>150</v>
      </c>
      <c r="N21" t="s">
        <v>284</v>
      </c>
      <c r="O21" t="s">
        <v>1941</v>
      </c>
      <c r="Q21" t="s">
        <v>6</v>
      </c>
      <c r="R21" t="s">
        <v>93</v>
      </c>
      <c r="S21">
        <v>39600500440</v>
      </c>
      <c r="T21" t="s">
        <v>2003</v>
      </c>
      <c r="U21">
        <v>50</v>
      </c>
      <c r="V21">
        <v>240.87</v>
      </c>
      <c r="W21" s="2">
        <v>12043.5</v>
      </c>
      <c r="X21">
        <v>0</v>
      </c>
      <c r="Y21">
        <v>0</v>
      </c>
      <c r="Z21" s="2">
        <v>2167.83</v>
      </c>
      <c r="AA21">
        <v>0</v>
      </c>
      <c r="AB21">
        <v>0</v>
      </c>
      <c r="AC21" s="2">
        <v>14211.33</v>
      </c>
      <c r="AD21">
        <v>0</v>
      </c>
      <c r="AE21">
        <v>0</v>
      </c>
      <c r="AF21" s="2">
        <v>14211.33</v>
      </c>
      <c r="AG21" t="s">
        <v>37</v>
      </c>
    </row>
    <row r="22" spans="1:33" x14ac:dyDescent="0.35">
      <c r="A22">
        <v>20</v>
      </c>
      <c r="B22">
        <v>281473</v>
      </c>
      <c r="C22">
        <v>328012895</v>
      </c>
      <c r="D22" t="s">
        <v>285</v>
      </c>
      <c r="E22" t="s">
        <v>50</v>
      </c>
      <c r="F22" s="1">
        <v>46237</v>
      </c>
      <c r="G22" t="s">
        <v>41</v>
      </c>
      <c r="H22" t="s">
        <v>286</v>
      </c>
      <c r="I22" s="1">
        <v>46227</v>
      </c>
      <c r="J22" t="s">
        <v>138</v>
      </c>
      <c r="K22" t="s">
        <v>137</v>
      </c>
      <c r="L22" t="s">
        <v>89</v>
      </c>
      <c r="M22" t="s">
        <v>14</v>
      </c>
      <c r="N22" t="s">
        <v>287</v>
      </c>
      <c r="O22" t="s">
        <v>1998</v>
      </c>
      <c r="Q22" t="s">
        <v>6</v>
      </c>
      <c r="R22" t="s">
        <v>96</v>
      </c>
      <c r="S22" t="s">
        <v>644</v>
      </c>
      <c r="T22" t="s">
        <v>1999</v>
      </c>
      <c r="U22">
        <v>2</v>
      </c>
      <c r="V22" s="2">
        <v>1892.75</v>
      </c>
      <c r="W22" s="2">
        <v>3785.5</v>
      </c>
      <c r="X22">
        <v>0</v>
      </c>
      <c r="Y22">
        <v>0</v>
      </c>
      <c r="Z22">
        <v>681.39</v>
      </c>
      <c r="AA22">
        <v>0</v>
      </c>
      <c r="AB22">
        <v>0</v>
      </c>
      <c r="AC22" s="2">
        <v>4466.8900000000003</v>
      </c>
      <c r="AD22">
        <v>0</v>
      </c>
      <c r="AE22">
        <v>0</v>
      </c>
      <c r="AF22" s="2">
        <v>4466.8900000000003</v>
      </c>
      <c r="AG22" t="s">
        <v>37</v>
      </c>
    </row>
    <row r="23" spans="1:33" x14ac:dyDescent="0.35">
      <c r="A23">
        <v>21</v>
      </c>
      <c r="B23">
        <v>281473</v>
      </c>
      <c r="C23">
        <v>328012895</v>
      </c>
      <c r="D23" t="s">
        <v>285</v>
      </c>
      <c r="E23" t="s">
        <v>50</v>
      </c>
      <c r="F23" s="1">
        <v>46237</v>
      </c>
      <c r="G23" t="s">
        <v>41</v>
      </c>
      <c r="H23" t="s">
        <v>286</v>
      </c>
      <c r="I23" s="1">
        <v>46227</v>
      </c>
      <c r="J23" t="s">
        <v>138</v>
      </c>
      <c r="K23" t="s">
        <v>137</v>
      </c>
      <c r="L23" t="s">
        <v>89</v>
      </c>
      <c r="M23" t="s">
        <v>14</v>
      </c>
      <c r="N23" t="s">
        <v>288</v>
      </c>
      <c r="O23" t="s">
        <v>1996</v>
      </c>
      <c r="Q23" t="s">
        <v>6</v>
      </c>
      <c r="R23" t="s">
        <v>96</v>
      </c>
      <c r="S23" t="s">
        <v>645</v>
      </c>
      <c r="T23" t="s">
        <v>1997</v>
      </c>
      <c r="U23">
        <v>4</v>
      </c>
      <c r="V23">
        <v>838.46</v>
      </c>
      <c r="W23" s="2">
        <v>3353.84</v>
      </c>
      <c r="X23">
        <v>0</v>
      </c>
      <c r="Y23">
        <v>0</v>
      </c>
      <c r="Z23">
        <v>603.69119999999998</v>
      </c>
      <c r="AA23">
        <v>0</v>
      </c>
      <c r="AB23">
        <v>0</v>
      </c>
      <c r="AC23" s="2">
        <v>3957.5311999999999</v>
      </c>
      <c r="AD23">
        <v>0</v>
      </c>
      <c r="AE23">
        <v>0</v>
      </c>
      <c r="AF23" s="2">
        <v>3957.5311999999999</v>
      </c>
      <c r="AG23" t="s">
        <v>37</v>
      </c>
    </row>
    <row r="24" spans="1:33" x14ac:dyDescent="0.35">
      <c r="A24">
        <v>22</v>
      </c>
      <c r="B24">
        <v>281521</v>
      </c>
      <c r="C24">
        <v>328012921</v>
      </c>
      <c r="D24" t="s">
        <v>289</v>
      </c>
      <c r="E24" t="s">
        <v>50</v>
      </c>
      <c r="F24" s="1">
        <v>46238</v>
      </c>
      <c r="G24" t="s">
        <v>290</v>
      </c>
      <c r="H24" t="s">
        <v>291</v>
      </c>
      <c r="I24" s="1">
        <v>46223</v>
      </c>
      <c r="J24" t="s">
        <v>138</v>
      </c>
      <c r="K24" t="s">
        <v>1279</v>
      </c>
      <c r="L24" t="s">
        <v>12</v>
      </c>
      <c r="M24" t="s">
        <v>21</v>
      </c>
      <c r="N24" t="s">
        <v>292</v>
      </c>
      <c r="O24" t="s">
        <v>2004</v>
      </c>
      <c r="Q24" t="s">
        <v>6</v>
      </c>
      <c r="R24" t="s">
        <v>76</v>
      </c>
      <c r="S24" t="s">
        <v>646</v>
      </c>
      <c r="T24" t="s">
        <v>416</v>
      </c>
      <c r="U24">
        <v>50</v>
      </c>
      <c r="V24">
        <v>55.9</v>
      </c>
      <c r="W24" s="2">
        <v>2795</v>
      </c>
      <c r="X24">
        <v>0</v>
      </c>
      <c r="Y24">
        <v>0</v>
      </c>
      <c r="Z24">
        <v>503.1</v>
      </c>
      <c r="AA24">
        <v>0</v>
      </c>
      <c r="AB24">
        <v>0</v>
      </c>
      <c r="AC24" s="2">
        <v>3298.1</v>
      </c>
      <c r="AD24">
        <v>0</v>
      </c>
      <c r="AE24">
        <v>0</v>
      </c>
      <c r="AF24" s="2">
        <v>3298.1</v>
      </c>
      <c r="AG24" t="s">
        <v>37</v>
      </c>
    </row>
    <row r="25" spans="1:33" x14ac:dyDescent="0.35">
      <c r="A25">
        <v>23</v>
      </c>
      <c r="B25">
        <v>281586</v>
      </c>
      <c r="C25">
        <v>328012967</v>
      </c>
      <c r="D25" t="s">
        <v>293</v>
      </c>
      <c r="E25" t="s">
        <v>50</v>
      </c>
      <c r="F25" s="1">
        <v>46238</v>
      </c>
      <c r="G25" t="s">
        <v>46</v>
      </c>
      <c r="H25">
        <v>4000009978</v>
      </c>
      <c r="I25" s="1">
        <v>46226</v>
      </c>
      <c r="J25" t="s">
        <v>138</v>
      </c>
      <c r="K25" t="s">
        <v>137</v>
      </c>
      <c r="L25" t="s">
        <v>15</v>
      </c>
      <c r="M25" t="s">
        <v>14</v>
      </c>
      <c r="N25" t="s">
        <v>294</v>
      </c>
      <c r="O25" t="s">
        <v>2005</v>
      </c>
      <c r="P25">
        <v>12104403</v>
      </c>
      <c r="Q25" t="s">
        <v>6</v>
      </c>
      <c r="R25" t="s">
        <v>295</v>
      </c>
      <c r="S25" t="s">
        <v>295</v>
      </c>
      <c r="T25" t="s">
        <v>2002</v>
      </c>
      <c r="U25">
        <v>80</v>
      </c>
      <c r="V25">
        <v>62.15</v>
      </c>
      <c r="W25" s="2">
        <v>4972</v>
      </c>
      <c r="X25">
        <v>0</v>
      </c>
      <c r="Y25">
        <v>0</v>
      </c>
      <c r="Z25">
        <v>894.96</v>
      </c>
      <c r="AA25">
        <v>0</v>
      </c>
      <c r="AB25">
        <v>0</v>
      </c>
      <c r="AC25" s="2">
        <v>5866.96</v>
      </c>
      <c r="AD25">
        <v>0</v>
      </c>
      <c r="AE25">
        <v>0</v>
      </c>
      <c r="AF25" s="2">
        <v>5866.96</v>
      </c>
      <c r="AG25" t="s">
        <v>37</v>
      </c>
    </row>
    <row r="26" spans="1:33" x14ac:dyDescent="0.35">
      <c r="A26">
        <v>24</v>
      </c>
      <c r="B26">
        <v>281587</v>
      </c>
      <c r="C26">
        <v>328012968</v>
      </c>
      <c r="D26" t="s">
        <v>296</v>
      </c>
      <c r="E26" t="s">
        <v>50</v>
      </c>
      <c r="F26" s="1">
        <v>46238</v>
      </c>
      <c r="G26" t="s">
        <v>48</v>
      </c>
      <c r="H26">
        <v>14123984</v>
      </c>
      <c r="I26" s="1">
        <v>46225</v>
      </c>
      <c r="J26" t="s">
        <v>138</v>
      </c>
      <c r="K26" t="s">
        <v>137</v>
      </c>
      <c r="L26" t="s">
        <v>15</v>
      </c>
      <c r="M26" t="s">
        <v>14</v>
      </c>
      <c r="N26" t="s">
        <v>297</v>
      </c>
      <c r="O26" t="s">
        <v>2005</v>
      </c>
      <c r="P26">
        <v>10310282</v>
      </c>
      <c r="Q26" t="s">
        <v>6</v>
      </c>
      <c r="R26" t="s">
        <v>298</v>
      </c>
      <c r="S26" t="s">
        <v>647</v>
      </c>
      <c r="T26" t="s">
        <v>2002</v>
      </c>
      <c r="U26">
        <v>10</v>
      </c>
      <c r="V26" s="2">
        <v>5725.71</v>
      </c>
      <c r="W26" s="2">
        <v>57257.1</v>
      </c>
      <c r="X26">
        <v>0</v>
      </c>
      <c r="Y26">
        <v>0</v>
      </c>
      <c r="Z26" s="2">
        <v>10306.278</v>
      </c>
      <c r="AA26">
        <v>0</v>
      </c>
      <c r="AB26">
        <v>0</v>
      </c>
      <c r="AC26" s="2">
        <v>67563.377999999997</v>
      </c>
      <c r="AD26">
        <v>0</v>
      </c>
      <c r="AE26">
        <v>0</v>
      </c>
      <c r="AF26" s="2">
        <v>67563.377999999997</v>
      </c>
      <c r="AG26" t="s">
        <v>37</v>
      </c>
    </row>
    <row r="27" spans="1:33" x14ac:dyDescent="0.35">
      <c r="A27">
        <v>25</v>
      </c>
      <c r="B27">
        <v>281588</v>
      </c>
      <c r="C27">
        <v>328012969</v>
      </c>
      <c r="D27" t="s">
        <v>299</v>
      </c>
      <c r="E27" t="s">
        <v>50</v>
      </c>
      <c r="F27" s="1">
        <v>46238</v>
      </c>
      <c r="G27" t="s">
        <v>77</v>
      </c>
      <c r="H27">
        <v>901853352</v>
      </c>
      <c r="I27" s="1">
        <v>46231</v>
      </c>
      <c r="J27" t="s">
        <v>138</v>
      </c>
      <c r="K27" t="s">
        <v>137</v>
      </c>
      <c r="L27" t="s">
        <v>78</v>
      </c>
      <c r="M27" t="s">
        <v>14</v>
      </c>
      <c r="N27" t="s">
        <v>300</v>
      </c>
      <c r="O27" t="s">
        <v>1938</v>
      </c>
      <c r="P27" t="s">
        <v>2006</v>
      </c>
      <c r="Q27" t="s">
        <v>6</v>
      </c>
      <c r="R27" t="s">
        <v>43</v>
      </c>
      <c r="S27" t="s">
        <v>648</v>
      </c>
      <c r="T27" t="s">
        <v>1995</v>
      </c>
      <c r="U27" s="2">
        <v>5000</v>
      </c>
      <c r="V27">
        <v>39.78</v>
      </c>
      <c r="W27" s="2">
        <v>198900</v>
      </c>
      <c r="X27">
        <v>0</v>
      </c>
      <c r="Y27">
        <v>0</v>
      </c>
      <c r="Z27" s="2">
        <v>35802</v>
      </c>
      <c r="AA27">
        <v>0</v>
      </c>
      <c r="AB27">
        <v>0</v>
      </c>
      <c r="AC27" s="2">
        <v>234702</v>
      </c>
      <c r="AD27">
        <v>0</v>
      </c>
      <c r="AE27">
        <v>0</v>
      </c>
      <c r="AF27" s="2">
        <v>234702</v>
      </c>
      <c r="AG27" t="s">
        <v>37</v>
      </c>
    </row>
    <row r="28" spans="1:33" x14ac:dyDescent="0.35">
      <c r="A28">
        <v>26</v>
      </c>
      <c r="B28">
        <v>281669</v>
      </c>
      <c r="C28">
        <v>328013028</v>
      </c>
      <c r="D28" t="s">
        <v>301</v>
      </c>
      <c r="E28" t="s">
        <v>50</v>
      </c>
      <c r="F28" s="1">
        <v>46239</v>
      </c>
      <c r="G28" t="s">
        <v>249</v>
      </c>
      <c r="H28">
        <v>210015014</v>
      </c>
      <c r="I28" s="1">
        <v>46223</v>
      </c>
      <c r="J28" t="s">
        <v>138</v>
      </c>
      <c r="K28" t="s">
        <v>137</v>
      </c>
      <c r="L28" t="s">
        <v>78</v>
      </c>
      <c r="M28" t="s">
        <v>24</v>
      </c>
      <c r="N28" t="s">
        <v>302</v>
      </c>
      <c r="O28" t="s">
        <v>1936</v>
      </c>
      <c r="Q28" t="s">
        <v>6</v>
      </c>
      <c r="R28" t="s">
        <v>42</v>
      </c>
      <c r="S28" t="s">
        <v>649</v>
      </c>
      <c r="T28" t="s">
        <v>416</v>
      </c>
      <c r="U28">
        <v>5</v>
      </c>
      <c r="V28">
        <v>865.98</v>
      </c>
      <c r="W28" s="2">
        <v>4329.8999999999996</v>
      </c>
      <c r="X28">
        <v>0</v>
      </c>
      <c r="Y28">
        <v>0</v>
      </c>
      <c r="Z28">
        <v>779.38199999999995</v>
      </c>
      <c r="AA28">
        <v>0</v>
      </c>
      <c r="AB28">
        <v>0</v>
      </c>
      <c r="AC28" s="2">
        <v>5109.2820000000002</v>
      </c>
      <c r="AD28">
        <v>0</v>
      </c>
      <c r="AE28">
        <v>0</v>
      </c>
      <c r="AF28" s="2">
        <v>5109.2820000000002</v>
      </c>
      <c r="AG28" t="s">
        <v>37</v>
      </c>
    </row>
    <row r="29" spans="1:33" x14ac:dyDescent="0.35">
      <c r="A29">
        <v>27</v>
      </c>
      <c r="B29">
        <v>281710</v>
      </c>
      <c r="C29">
        <v>328013066</v>
      </c>
      <c r="D29" t="s">
        <v>303</v>
      </c>
      <c r="E29" t="s">
        <v>50</v>
      </c>
      <c r="F29" s="1">
        <v>46239</v>
      </c>
      <c r="G29" t="s">
        <v>120</v>
      </c>
      <c r="H29" t="s">
        <v>304</v>
      </c>
      <c r="I29" s="1">
        <v>46227</v>
      </c>
      <c r="J29" t="s">
        <v>138</v>
      </c>
      <c r="K29" t="s">
        <v>137</v>
      </c>
      <c r="L29" t="s">
        <v>12</v>
      </c>
      <c r="M29" t="s">
        <v>25</v>
      </c>
      <c r="N29" t="s">
        <v>305</v>
      </c>
      <c r="O29" t="s">
        <v>1936</v>
      </c>
      <c r="Q29" t="s">
        <v>6</v>
      </c>
      <c r="R29" t="s">
        <v>141</v>
      </c>
      <c r="S29" t="s">
        <v>650</v>
      </c>
      <c r="T29" t="s">
        <v>416</v>
      </c>
      <c r="U29">
        <v>10</v>
      </c>
      <c r="V29">
        <v>210.12</v>
      </c>
      <c r="W29" s="2">
        <v>2101.1999999999998</v>
      </c>
      <c r="X29">
        <v>0</v>
      </c>
      <c r="Y29">
        <v>0</v>
      </c>
      <c r="Z29">
        <v>378.21600000000001</v>
      </c>
      <c r="AA29">
        <v>0</v>
      </c>
      <c r="AB29">
        <v>0</v>
      </c>
      <c r="AC29" s="2">
        <v>2479.4160000000002</v>
      </c>
      <c r="AD29">
        <v>0</v>
      </c>
      <c r="AE29">
        <v>0</v>
      </c>
      <c r="AF29" s="2">
        <v>2479.4160000000002</v>
      </c>
      <c r="AG29" t="s">
        <v>37</v>
      </c>
    </row>
    <row r="30" spans="1:33" x14ac:dyDescent="0.35">
      <c r="A30">
        <v>28</v>
      </c>
      <c r="B30">
        <v>281712</v>
      </c>
      <c r="C30">
        <v>328013068</v>
      </c>
      <c r="D30" t="s">
        <v>306</v>
      </c>
      <c r="E30" t="s">
        <v>50</v>
      </c>
      <c r="F30" s="1">
        <v>46239</v>
      </c>
      <c r="G30" t="s">
        <v>307</v>
      </c>
      <c r="H30">
        <v>723</v>
      </c>
      <c r="I30" s="1">
        <v>46226</v>
      </c>
      <c r="J30" t="s">
        <v>138</v>
      </c>
      <c r="K30" t="s">
        <v>137</v>
      </c>
      <c r="L30" t="s">
        <v>49</v>
      </c>
      <c r="M30" t="s">
        <v>14</v>
      </c>
      <c r="N30" t="s">
        <v>308</v>
      </c>
      <c r="O30" t="s">
        <v>1950</v>
      </c>
      <c r="Q30" t="s">
        <v>6</v>
      </c>
      <c r="R30" t="s">
        <v>309</v>
      </c>
      <c r="S30" t="s">
        <v>651</v>
      </c>
      <c r="T30" t="s">
        <v>1997</v>
      </c>
      <c r="U30">
        <v>100</v>
      </c>
      <c r="V30" s="2">
        <v>1268.99</v>
      </c>
      <c r="W30" s="2">
        <v>126899</v>
      </c>
      <c r="X30">
        <v>0</v>
      </c>
      <c r="Y30">
        <v>0</v>
      </c>
      <c r="Z30" s="2">
        <v>22841.82</v>
      </c>
      <c r="AA30">
        <v>0</v>
      </c>
      <c r="AB30">
        <v>0</v>
      </c>
      <c r="AC30" s="2">
        <v>149740.82</v>
      </c>
      <c r="AD30">
        <v>0</v>
      </c>
      <c r="AE30">
        <v>0</v>
      </c>
      <c r="AF30" s="2">
        <v>149740.82</v>
      </c>
      <c r="AG30" t="s">
        <v>37</v>
      </c>
    </row>
    <row r="31" spans="1:33" x14ac:dyDescent="0.35">
      <c r="A31">
        <v>29</v>
      </c>
      <c r="B31">
        <v>281774</v>
      </c>
      <c r="C31">
        <v>328013120</v>
      </c>
      <c r="D31" t="s">
        <v>652</v>
      </c>
      <c r="E31" t="s">
        <v>50</v>
      </c>
      <c r="F31" s="1">
        <v>46240</v>
      </c>
      <c r="G31" t="s">
        <v>653</v>
      </c>
      <c r="H31" t="s">
        <v>654</v>
      </c>
      <c r="I31" s="1">
        <v>46224</v>
      </c>
      <c r="J31" t="s">
        <v>138</v>
      </c>
      <c r="K31" t="s">
        <v>137</v>
      </c>
      <c r="L31" t="s">
        <v>19</v>
      </c>
      <c r="M31" t="s">
        <v>150</v>
      </c>
      <c r="N31" t="s">
        <v>655</v>
      </c>
      <c r="O31" t="s">
        <v>1950</v>
      </c>
      <c r="Q31" t="s">
        <v>6</v>
      </c>
      <c r="R31" t="s">
        <v>656</v>
      </c>
      <c r="T31" t="s">
        <v>1997</v>
      </c>
      <c r="U31">
        <v>4</v>
      </c>
      <c r="V31" s="2">
        <v>1512</v>
      </c>
      <c r="W31" s="2">
        <v>6048</v>
      </c>
      <c r="X31">
        <v>0</v>
      </c>
      <c r="Y31">
        <v>0</v>
      </c>
      <c r="Z31" s="2">
        <v>1088.6400000000001</v>
      </c>
      <c r="AA31">
        <v>0</v>
      </c>
      <c r="AB31">
        <v>0</v>
      </c>
      <c r="AC31" s="2">
        <v>7136.64</v>
      </c>
      <c r="AD31">
        <v>0</v>
      </c>
      <c r="AE31">
        <v>0</v>
      </c>
      <c r="AF31" s="2">
        <v>7136.64</v>
      </c>
      <c r="AG31" t="s">
        <v>37</v>
      </c>
    </row>
    <row r="32" spans="1:33" x14ac:dyDescent="0.35">
      <c r="A32">
        <v>30</v>
      </c>
      <c r="B32">
        <v>281791</v>
      </c>
      <c r="C32">
        <v>328013136</v>
      </c>
      <c r="D32" t="s">
        <v>657</v>
      </c>
      <c r="E32" t="s">
        <v>50</v>
      </c>
      <c r="F32" s="1">
        <v>46240</v>
      </c>
      <c r="G32" t="s">
        <v>658</v>
      </c>
      <c r="H32" t="s">
        <v>123</v>
      </c>
      <c r="I32" s="1">
        <v>46226</v>
      </c>
      <c r="J32" t="s">
        <v>138</v>
      </c>
      <c r="K32" t="s">
        <v>137</v>
      </c>
      <c r="L32" t="s">
        <v>19</v>
      </c>
      <c r="M32" t="s">
        <v>24</v>
      </c>
      <c r="N32" t="s">
        <v>659</v>
      </c>
      <c r="O32" t="s">
        <v>2007</v>
      </c>
      <c r="Q32" t="s">
        <v>6</v>
      </c>
      <c r="R32" t="s">
        <v>660</v>
      </c>
      <c r="S32" t="s">
        <v>661</v>
      </c>
      <c r="T32" t="s">
        <v>417</v>
      </c>
      <c r="U32">
        <v>2</v>
      </c>
      <c r="V32">
        <v>576.80999999999995</v>
      </c>
      <c r="W32" s="2">
        <v>1153.6199999999999</v>
      </c>
      <c r="X32">
        <v>0</v>
      </c>
      <c r="Y32">
        <v>0</v>
      </c>
      <c r="Z32">
        <v>207.6516</v>
      </c>
      <c r="AA32">
        <v>0</v>
      </c>
      <c r="AB32">
        <v>0</v>
      </c>
      <c r="AC32" s="2">
        <v>1361.2716</v>
      </c>
      <c r="AD32">
        <v>0</v>
      </c>
      <c r="AE32">
        <v>0</v>
      </c>
      <c r="AF32" s="2">
        <v>1361.2716</v>
      </c>
      <c r="AG32" t="s">
        <v>37</v>
      </c>
    </row>
    <row r="33" spans="1:33" x14ac:dyDescent="0.35">
      <c r="A33">
        <v>31</v>
      </c>
      <c r="B33">
        <v>281799</v>
      </c>
      <c r="C33">
        <v>328013144</v>
      </c>
      <c r="D33" t="s">
        <v>662</v>
      </c>
      <c r="E33" t="s">
        <v>50</v>
      </c>
      <c r="F33" s="1">
        <v>46240</v>
      </c>
      <c r="G33" t="s">
        <v>658</v>
      </c>
      <c r="H33" t="s">
        <v>663</v>
      </c>
      <c r="I33" s="1">
        <v>46232</v>
      </c>
      <c r="J33" t="s">
        <v>138</v>
      </c>
      <c r="K33" t="s">
        <v>137</v>
      </c>
      <c r="L33" t="s">
        <v>19</v>
      </c>
      <c r="M33" t="s">
        <v>24</v>
      </c>
      <c r="N33" t="s">
        <v>664</v>
      </c>
      <c r="O33" t="s">
        <v>2008</v>
      </c>
      <c r="Q33" t="s">
        <v>6</v>
      </c>
      <c r="R33" t="s">
        <v>660</v>
      </c>
      <c r="S33" t="s">
        <v>665</v>
      </c>
      <c r="T33" t="s">
        <v>416</v>
      </c>
      <c r="U33">
        <v>3</v>
      </c>
      <c r="V33">
        <v>183.34</v>
      </c>
      <c r="W33">
        <v>550.02</v>
      </c>
      <c r="X33">
        <v>0</v>
      </c>
      <c r="Y33">
        <v>0</v>
      </c>
      <c r="Z33">
        <v>99.003600000000006</v>
      </c>
      <c r="AA33">
        <v>0</v>
      </c>
      <c r="AB33">
        <v>0</v>
      </c>
      <c r="AC33">
        <v>649.02359999999999</v>
      </c>
      <c r="AD33">
        <v>0</v>
      </c>
      <c r="AE33">
        <v>0</v>
      </c>
      <c r="AF33">
        <v>649.02359999999999</v>
      </c>
      <c r="AG33" t="s">
        <v>37</v>
      </c>
    </row>
    <row r="34" spans="1:33" x14ac:dyDescent="0.35">
      <c r="A34">
        <v>32</v>
      </c>
      <c r="B34">
        <v>281833</v>
      </c>
      <c r="C34">
        <v>328013173</v>
      </c>
      <c r="D34" t="s">
        <v>666</v>
      </c>
      <c r="E34" t="s">
        <v>50</v>
      </c>
      <c r="F34" s="1">
        <v>46240</v>
      </c>
      <c r="G34" t="s">
        <v>667</v>
      </c>
      <c r="H34" t="s">
        <v>668</v>
      </c>
      <c r="I34" s="1">
        <v>46217</v>
      </c>
      <c r="J34" t="s">
        <v>138</v>
      </c>
      <c r="K34" t="s">
        <v>137</v>
      </c>
      <c r="L34" t="s">
        <v>13</v>
      </c>
      <c r="M34" t="s">
        <v>25</v>
      </c>
      <c r="N34" t="s">
        <v>669</v>
      </c>
      <c r="O34" t="s">
        <v>1936</v>
      </c>
      <c r="P34" t="s">
        <v>2009</v>
      </c>
      <c r="Q34" t="s">
        <v>6</v>
      </c>
      <c r="R34" t="s">
        <v>670</v>
      </c>
      <c r="T34" t="s">
        <v>416</v>
      </c>
      <c r="U34" s="2">
        <v>2500</v>
      </c>
      <c r="V34">
        <v>25.04</v>
      </c>
      <c r="W34" s="2">
        <v>62600</v>
      </c>
      <c r="X34">
        <v>0</v>
      </c>
      <c r="Y34">
        <v>0</v>
      </c>
      <c r="Z34" s="2">
        <v>11268</v>
      </c>
      <c r="AA34">
        <v>0</v>
      </c>
      <c r="AB34">
        <v>0</v>
      </c>
      <c r="AC34" s="2">
        <v>73868</v>
      </c>
      <c r="AD34">
        <v>0</v>
      </c>
      <c r="AE34">
        <v>0</v>
      </c>
      <c r="AF34" s="2">
        <v>73868</v>
      </c>
      <c r="AG34" t="s">
        <v>37</v>
      </c>
    </row>
    <row r="35" spans="1:33" x14ac:dyDescent="0.35">
      <c r="A35">
        <v>33</v>
      </c>
      <c r="B35">
        <v>281834</v>
      </c>
      <c r="C35">
        <v>328013174</v>
      </c>
      <c r="D35" t="s">
        <v>671</v>
      </c>
      <c r="E35" t="s">
        <v>50</v>
      </c>
      <c r="F35" s="1">
        <v>46240</v>
      </c>
      <c r="G35" t="s">
        <v>41</v>
      </c>
      <c r="H35" t="s">
        <v>672</v>
      </c>
      <c r="I35" s="1">
        <v>46227</v>
      </c>
      <c r="J35" t="s">
        <v>138</v>
      </c>
      <c r="K35" t="s">
        <v>137</v>
      </c>
      <c r="L35" t="s">
        <v>89</v>
      </c>
      <c r="M35" t="s">
        <v>14</v>
      </c>
      <c r="N35" t="s">
        <v>673</v>
      </c>
      <c r="O35" t="s">
        <v>1936</v>
      </c>
      <c r="Q35" t="s">
        <v>6</v>
      </c>
      <c r="R35" t="s">
        <v>42</v>
      </c>
      <c r="S35" t="s">
        <v>674</v>
      </c>
      <c r="T35" t="s">
        <v>416</v>
      </c>
      <c r="U35">
        <v>5</v>
      </c>
      <c r="V35">
        <v>144.19999999999999</v>
      </c>
      <c r="W35">
        <v>721</v>
      </c>
      <c r="X35">
        <v>0</v>
      </c>
      <c r="Y35">
        <v>0</v>
      </c>
      <c r="Z35">
        <v>129.78</v>
      </c>
      <c r="AA35">
        <v>0</v>
      </c>
      <c r="AB35">
        <v>0</v>
      </c>
      <c r="AC35">
        <v>850.78</v>
      </c>
      <c r="AD35">
        <v>0</v>
      </c>
      <c r="AE35">
        <v>0</v>
      </c>
      <c r="AF35">
        <v>850.78</v>
      </c>
      <c r="AG35" t="s">
        <v>37</v>
      </c>
    </row>
    <row r="36" spans="1:33" x14ac:dyDescent="0.35">
      <c r="A36">
        <v>34</v>
      </c>
      <c r="B36">
        <v>281836</v>
      </c>
      <c r="C36">
        <v>328013176</v>
      </c>
      <c r="D36" t="s">
        <v>675</v>
      </c>
      <c r="E36" t="s">
        <v>50</v>
      </c>
      <c r="F36" s="1">
        <v>46240</v>
      </c>
      <c r="G36" t="s">
        <v>41</v>
      </c>
      <c r="H36" t="s">
        <v>676</v>
      </c>
      <c r="I36" s="1">
        <v>46230</v>
      </c>
      <c r="J36" t="s">
        <v>138</v>
      </c>
      <c r="K36" t="s">
        <v>137</v>
      </c>
      <c r="L36" t="s">
        <v>89</v>
      </c>
      <c r="M36" t="s">
        <v>14</v>
      </c>
      <c r="N36" t="s">
        <v>677</v>
      </c>
      <c r="O36" t="s">
        <v>1938</v>
      </c>
      <c r="Q36" t="s">
        <v>6</v>
      </c>
      <c r="R36" t="s">
        <v>43</v>
      </c>
      <c r="S36" t="s">
        <v>678</v>
      </c>
      <c r="T36" t="s">
        <v>1995</v>
      </c>
      <c r="U36">
        <v>100</v>
      </c>
      <c r="V36">
        <v>11.95</v>
      </c>
      <c r="W36" s="2">
        <v>1195</v>
      </c>
      <c r="X36">
        <v>0</v>
      </c>
      <c r="Y36">
        <v>0</v>
      </c>
      <c r="Z36">
        <v>215.1</v>
      </c>
      <c r="AA36">
        <v>0</v>
      </c>
      <c r="AB36">
        <v>0</v>
      </c>
      <c r="AC36" s="2">
        <v>1410.1</v>
      </c>
      <c r="AD36">
        <v>0</v>
      </c>
      <c r="AE36">
        <v>0</v>
      </c>
      <c r="AF36" s="2">
        <v>1410.1</v>
      </c>
      <c r="AG36" t="s">
        <v>37</v>
      </c>
    </row>
    <row r="37" spans="1:33" x14ac:dyDescent="0.35">
      <c r="A37">
        <v>35</v>
      </c>
      <c r="B37">
        <v>281837</v>
      </c>
      <c r="C37">
        <v>328013177</v>
      </c>
      <c r="D37" t="s">
        <v>679</v>
      </c>
      <c r="E37" t="s">
        <v>50</v>
      </c>
      <c r="F37" s="1">
        <v>46240</v>
      </c>
      <c r="G37" t="s">
        <v>41</v>
      </c>
      <c r="H37" t="s">
        <v>680</v>
      </c>
      <c r="I37" s="1">
        <v>46231</v>
      </c>
      <c r="J37" t="s">
        <v>138</v>
      </c>
      <c r="K37" t="s">
        <v>137</v>
      </c>
      <c r="L37" t="s">
        <v>89</v>
      </c>
      <c r="M37" t="s">
        <v>14</v>
      </c>
      <c r="N37" t="s">
        <v>681</v>
      </c>
      <c r="O37" t="s">
        <v>2010</v>
      </c>
      <c r="Q37" t="s">
        <v>6</v>
      </c>
      <c r="R37" t="s">
        <v>682</v>
      </c>
      <c r="S37" t="s">
        <v>683</v>
      </c>
      <c r="T37" t="s">
        <v>416</v>
      </c>
      <c r="U37">
        <v>5</v>
      </c>
      <c r="V37" s="2">
        <v>2064.6</v>
      </c>
      <c r="W37" s="2">
        <v>10323</v>
      </c>
      <c r="X37">
        <v>0</v>
      </c>
      <c r="Y37">
        <v>0</v>
      </c>
      <c r="Z37" s="2">
        <v>1858.14</v>
      </c>
      <c r="AA37">
        <v>0</v>
      </c>
      <c r="AB37">
        <v>0</v>
      </c>
      <c r="AC37" s="2">
        <v>12181.14</v>
      </c>
      <c r="AD37">
        <v>0</v>
      </c>
      <c r="AE37">
        <v>0</v>
      </c>
      <c r="AF37" s="2">
        <v>12181.14</v>
      </c>
      <c r="AG37" t="s">
        <v>37</v>
      </c>
    </row>
    <row r="38" spans="1:33" x14ac:dyDescent="0.35">
      <c r="A38">
        <v>36</v>
      </c>
      <c r="B38">
        <v>281839</v>
      </c>
      <c r="C38">
        <v>328013179</v>
      </c>
      <c r="D38" t="s">
        <v>684</v>
      </c>
      <c r="E38" t="s">
        <v>50</v>
      </c>
      <c r="F38" s="1">
        <v>46240</v>
      </c>
      <c r="G38" t="s">
        <v>685</v>
      </c>
      <c r="H38">
        <v>5510001718</v>
      </c>
      <c r="I38" s="1">
        <v>46191</v>
      </c>
      <c r="J38" t="s">
        <v>138</v>
      </c>
      <c r="K38" t="s">
        <v>137</v>
      </c>
      <c r="L38" t="s">
        <v>11</v>
      </c>
      <c r="M38" t="s">
        <v>23</v>
      </c>
      <c r="N38" t="s">
        <v>686</v>
      </c>
      <c r="O38" t="s">
        <v>1936</v>
      </c>
      <c r="P38">
        <v>11104985</v>
      </c>
      <c r="Q38" t="s">
        <v>6</v>
      </c>
      <c r="R38" t="s">
        <v>660</v>
      </c>
      <c r="S38" t="s">
        <v>687</v>
      </c>
      <c r="T38" t="s">
        <v>416</v>
      </c>
      <c r="U38" s="2">
        <v>2480</v>
      </c>
      <c r="V38">
        <v>4.2</v>
      </c>
      <c r="W38" s="2">
        <v>10416</v>
      </c>
      <c r="X38">
        <v>0</v>
      </c>
      <c r="Y38">
        <v>0</v>
      </c>
      <c r="Z38" s="2">
        <v>1874.88</v>
      </c>
      <c r="AA38">
        <v>0</v>
      </c>
      <c r="AB38">
        <v>0</v>
      </c>
      <c r="AC38" s="2">
        <v>12290.88</v>
      </c>
      <c r="AD38">
        <v>0</v>
      </c>
      <c r="AE38">
        <v>0</v>
      </c>
      <c r="AF38" s="2">
        <v>12290.88</v>
      </c>
      <c r="AG38" t="s">
        <v>37</v>
      </c>
    </row>
    <row r="39" spans="1:33" x14ac:dyDescent="0.35">
      <c r="A39">
        <v>37</v>
      </c>
      <c r="B39">
        <v>281840</v>
      </c>
      <c r="C39">
        <v>328013180</v>
      </c>
      <c r="D39" t="s">
        <v>688</v>
      </c>
      <c r="E39" t="s">
        <v>50</v>
      </c>
      <c r="F39" s="1">
        <v>46240</v>
      </c>
      <c r="G39" t="s">
        <v>689</v>
      </c>
      <c r="H39" t="s">
        <v>690</v>
      </c>
      <c r="I39" s="1">
        <v>46232</v>
      </c>
      <c r="J39" t="s">
        <v>138</v>
      </c>
      <c r="K39" t="s">
        <v>1278</v>
      </c>
      <c r="L39" t="s">
        <v>12</v>
      </c>
      <c r="M39" t="s">
        <v>21</v>
      </c>
      <c r="N39" t="s">
        <v>694</v>
      </c>
      <c r="O39" t="s">
        <v>1950</v>
      </c>
      <c r="Q39" t="s">
        <v>6</v>
      </c>
      <c r="R39" t="s">
        <v>695</v>
      </c>
      <c r="S39">
        <v>7499111615</v>
      </c>
      <c r="T39" t="s">
        <v>1997</v>
      </c>
      <c r="U39">
        <v>5</v>
      </c>
      <c r="V39" s="2">
        <v>1393.28</v>
      </c>
      <c r="W39" s="2">
        <v>6966.4</v>
      </c>
      <c r="X39">
        <v>0</v>
      </c>
      <c r="Y39">
        <v>0</v>
      </c>
      <c r="Z39" s="2">
        <v>1253.952</v>
      </c>
      <c r="AA39">
        <v>0</v>
      </c>
      <c r="AB39">
        <v>0</v>
      </c>
      <c r="AC39" s="2">
        <v>8220.3520000000008</v>
      </c>
      <c r="AD39">
        <v>0</v>
      </c>
      <c r="AE39">
        <v>0</v>
      </c>
      <c r="AF39" s="2">
        <v>8220.3520000000008</v>
      </c>
      <c r="AG39" t="s">
        <v>37</v>
      </c>
    </row>
    <row r="40" spans="1:33" x14ac:dyDescent="0.35">
      <c r="A40">
        <v>38</v>
      </c>
      <c r="B40">
        <v>281840</v>
      </c>
      <c r="C40">
        <v>328013180</v>
      </c>
      <c r="D40" t="s">
        <v>688</v>
      </c>
      <c r="E40" t="s">
        <v>50</v>
      </c>
      <c r="F40" s="1">
        <v>46240</v>
      </c>
      <c r="G40" t="s">
        <v>689</v>
      </c>
      <c r="H40" t="s">
        <v>690</v>
      </c>
      <c r="I40" s="1">
        <v>46232</v>
      </c>
      <c r="J40" t="s">
        <v>138</v>
      </c>
      <c r="K40" t="s">
        <v>1278</v>
      </c>
      <c r="L40" t="s">
        <v>12</v>
      </c>
      <c r="M40" t="s">
        <v>21</v>
      </c>
      <c r="N40" t="s">
        <v>691</v>
      </c>
      <c r="O40" t="s">
        <v>1950</v>
      </c>
      <c r="Q40" t="s">
        <v>6</v>
      </c>
      <c r="R40" t="s">
        <v>692</v>
      </c>
      <c r="S40" t="s">
        <v>693</v>
      </c>
      <c r="T40" t="s">
        <v>1997</v>
      </c>
      <c r="U40">
        <v>5</v>
      </c>
      <c r="V40">
        <v>859.04</v>
      </c>
      <c r="W40" s="2">
        <v>4295.2</v>
      </c>
      <c r="X40">
        <v>0</v>
      </c>
      <c r="Y40">
        <v>0</v>
      </c>
      <c r="Z40">
        <v>773.13599999999997</v>
      </c>
      <c r="AA40">
        <v>0</v>
      </c>
      <c r="AB40">
        <v>0</v>
      </c>
      <c r="AC40" s="2">
        <v>5068.3360000000002</v>
      </c>
      <c r="AD40">
        <v>0</v>
      </c>
      <c r="AE40">
        <v>0</v>
      </c>
      <c r="AF40" s="2">
        <v>5068.3360000000002</v>
      </c>
      <c r="AG40" t="s">
        <v>37</v>
      </c>
    </row>
    <row r="41" spans="1:33" x14ac:dyDescent="0.35">
      <c r="A41">
        <v>39</v>
      </c>
      <c r="B41">
        <v>281842</v>
      </c>
      <c r="C41">
        <v>328013182</v>
      </c>
      <c r="D41" t="s">
        <v>696</v>
      </c>
      <c r="E41" t="s">
        <v>50</v>
      </c>
      <c r="F41" s="1">
        <v>46240</v>
      </c>
      <c r="G41" t="s">
        <v>697</v>
      </c>
      <c r="H41">
        <v>43593</v>
      </c>
      <c r="I41" s="1">
        <v>46207</v>
      </c>
      <c r="J41" t="s">
        <v>138</v>
      </c>
      <c r="K41" t="s">
        <v>137</v>
      </c>
      <c r="L41" t="s">
        <v>78</v>
      </c>
      <c r="M41" t="s">
        <v>21</v>
      </c>
      <c r="N41" t="s">
        <v>704</v>
      </c>
      <c r="O41" t="s">
        <v>1938</v>
      </c>
      <c r="P41" t="s">
        <v>2011</v>
      </c>
      <c r="Q41" t="s">
        <v>6</v>
      </c>
      <c r="R41" t="s">
        <v>40</v>
      </c>
      <c r="S41" t="s">
        <v>705</v>
      </c>
      <c r="T41" t="s">
        <v>1995</v>
      </c>
      <c r="U41">
        <v>50</v>
      </c>
      <c r="V41">
        <v>0.82</v>
      </c>
      <c r="W41">
        <v>41</v>
      </c>
      <c r="X41">
        <v>0</v>
      </c>
      <c r="Y41">
        <v>0</v>
      </c>
      <c r="Z41">
        <v>7.38</v>
      </c>
      <c r="AA41">
        <v>0</v>
      </c>
      <c r="AB41">
        <v>0</v>
      </c>
      <c r="AC41">
        <v>48.38</v>
      </c>
      <c r="AD41">
        <v>0</v>
      </c>
      <c r="AE41">
        <v>0</v>
      </c>
      <c r="AF41">
        <v>48.38</v>
      </c>
      <c r="AG41" t="s">
        <v>37</v>
      </c>
    </row>
    <row r="42" spans="1:33" x14ac:dyDescent="0.35">
      <c r="A42">
        <v>40</v>
      </c>
      <c r="B42">
        <v>281842</v>
      </c>
      <c r="C42">
        <v>328013182</v>
      </c>
      <c r="D42" t="s">
        <v>696</v>
      </c>
      <c r="E42" t="s">
        <v>50</v>
      </c>
      <c r="F42" s="1">
        <v>46240</v>
      </c>
      <c r="G42" t="s">
        <v>697</v>
      </c>
      <c r="H42">
        <v>43593</v>
      </c>
      <c r="I42" s="1">
        <v>46207</v>
      </c>
      <c r="J42" t="s">
        <v>138</v>
      </c>
      <c r="K42" t="s">
        <v>137</v>
      </c>
      <c r="L42" t="s">
        <v>78</v>
      </c>
      <c r="M42" t="s">
        <v>21</v>
      </c>
      <c r="N42" t="s">
        <v>720</v>
      </c>
      <c r="O42" t="s">
        <v>1938</v>
      </c>
      <c r="P42" t="s">
        <v>2012</v>
      </c>
      <c r="Q42" t="s">
        <v>6</v>
      </c>
      <c r="R42" t="s">
        <v>702</v>
      </c>
      <c r="S42" t="s">
        <v>721</v>
      </c>
      <c r="T42" t="s">
        <v>2013</v>
      </c>
      <c r="U42">
        <v>100</v>
      </c>
      <c r="V42">
        <v>0.41</v>
      </c>
      <c r="W42">
        <v>41</v>
      </c>
      <c r="X42">
        <v>0</v>
      </c>
      <c r="Y42">
        <v>0</v>
      </c>
      <c r="Z42">
        <v>7.38</v>
      </c>
      <c r="AA42">
        <v>0</v>
      </c>
      <c r="AB42">
        <v>0</v>
      </c>
      <c r="AC42">
        <v>48.38</v>
      </c>
      <c r="AD42">
        <v>0</v>
      </c>
      <c r="AE42">
        <v>0</v>
      </c>
      <c r="AF42">
        <v>48.38</v>
      </c>
      <c r="AG42" t="s">
        <v>37</v>
      </c>
    </row>
    <row r="43" spans="1:33" x14ac:dyDescent="0.35">
      <c r="A43">
        <v>41</v>
      </c>
      <c r="B43">
        <v>281842</v>
      </c>
      <c r="C43">
        <v>328013182</v>
      </c>
      <c r="D43" t="s">
        <v>696</v>
      </c>
      <c r="E43" t="s">
        <v>50</v>
      </c>
      <c r="F43" s="1">
        <v>46240</v>
      </c>
      <c r="G43" t="s">
        <v>697</v>
      </c>
      <c r="H43">
        <v>43593</v>
      </c>
      <c r="I43" s="1">
        <v>46207</v>
      </c>
      <c r="J43" t="s">
        <v>138</v>
      </c>
      <c r="K43" t="s">
        <v>137</v>
      </c>
      <c r="L43" t="s">
        <v>78</v>
      </c>
      <c r="M43" t="s">
        <v>21</v>
      </c>
      <c r="N43" t="s">
        <v>724</v>
      </c>
      <c r="O43" t="s">
        <v>2014</v>
      </c>
      <c r="P43" t="s">
        <v>2015</v>
      </c>
      <c r="Q43" t="s">
        <v>6</v>
      </c>
      <c r="R43" t="s">
        <v>725</v>
      </c>
      <c r="S43" t="s">
        <v>726</v>
      </c>
      <c r="T43" t="s">
        <v>1995</v>
      </c>
      <c r="U43">
        <v>10</v>
      </c>
      <c r="V43">
        <v>45.22</v>
      </c>
      <c r="W43">
        <v>452.2</v>
      </c>
      <c r="X43">
        <v>0</v>
      </c>
      <c r="Y43">
        <v>0</v>
      </c>
      <c r="Z43">
        <v>81.396000000000001</v>
      </c>
      <c r="AA43">
        <v>0</v>
      </c>
      <c r="AB43">
        <v>0</v>
      </c>
      <c r="AC43">
        <v>533.596</v>
      </c>
      <c r="AD43">
        <v>0</v>
      </c>
      <c r="AE43">
        <v>0</v>
      </c>
      <c r="AF43">
        <v>533.596</v>
      </c>
      <c r="AG43" t="s">
        <v>37</v>
      </c>
    </row>
    <row r="44" spans="1:33" x14ac:dyDescent="0.35">
      <c r="A44">
        <v>42</v>
      </c>
      <c r="B44">
        <v>281842</v>
      </c>
      <c r="C44">
        <v>328013182</v>
      </c>
      <c r="D44" t="s">
        <v>696</v>
      </c>
      <c r="E44" t="s">
        <v>50</v>
      </c>
      <c r="F44" s="1">
        <v>46240</v>
      </c>
      <c r="G44" t="s">
        <v>697</v>
      </c>
      <c r="H44">
        <v>43593</v>
      </c>
      <c r="I44" s="1">
        <v>46207</v>
      </c>
      <c r="J44" t="s">
        <v>138</v>
      </c>
      <c r="K44" t="s">
        <v>137</v>
      </c>
      <c r="L44" t="s">
        <v>78</v>
      </c>
      <c r="M44" t="s">
        <v>21</v>
      </c>
      <c r="N44" t="s">
        <v>715</v>
      </c>
      <c r="O44" t="s">
        <v>1949</v>
      </c>
      <c r="P44" t="s">
        <v>2016</v>
      </c>
      <c r="Q44" t="s">
        <v>6</v>
      </c>
      <c r="R44" t="s">
        <v>716</v>
      </c>
      <c r="S44" t="s">
        <v>717</v>
      </c>
      <c r="T44" t="s">
        <v>1995</v>
      </c>
      <c r="U44">
        <v>10</v>
      </c>
      <c r="V44">
        <v>6.55</v>
      </c>
      <c r="W44">
        <v>65.5</v>
      </c>
      <c r="X44">
        <v>0</v>
      </c>
      <c r="Y44">
        <v>0</v>
      </c>
      <c r="Z44">
        <v>11.79</v>
      </c>
      <c r="AA44">
        <v>0</v>
      </c>
      <c r="AB44">
        <v>0</v>
      </c>
      <c r="AC44">
        <v>77.290000000000006</v>
      </c>
      <c r="AD44">
        <v>0</v>
      </c>
      <c r="AE44">
        <v>0</v>
      </c>
      <c r="AF44">
        <v>77.290000000000006</v>
      </c>
      <c r="AG44" t="s">
        <v>37</v>
      </c>
    </row>
    <row r="45" spans="1:33" x14ac:dyDescent="0.35">
      <c r="A45">
        <v>43</v>
      </c>
      <c r="B45">
        <v>281842</v>
      </c>
      <c r="C45">
        <v>328013182</v>
      </c>
      <c r="D45" t="s">
        <v>696</v>
      </c>
      <c r="E45" t="s">
        <v>50</v>
      </c>
      <c r="F45" s="1">
        <v>46240</v>
      </c>
      <c r="G45" t="s">
        <v>697</v>
      </c>
      <c r="H45">
        <v>43593</v>
      </c>
      <c r="I45" s="1">
        <v>46207</v>
      </c>
      <c r="J45" t="s">
        <v>138</v>
      </c>
      <c r="K45" t="s">
        <v>137</v>
      </c>
      <c r="L45" t="s">
        <v>78</v>
      </c>
      <c r="M45" t="s">
        <v>21</v>
      </c>
      <c r="N45" t="s">
        <v>712</v>
      </c>
      <c r="O45" t="s">
        <v>1938</v>
      </c>
      <c r="P45" t="s">
        <v>2017</v>
      </c>
      <c r="Q45" t="s">
        <v>6</v>
      </c>
      <c r="R45" t="s">
        <v>702</v>
      </c>
      <c r="S45" t="s">
        <v>713</v>
      </c>
      <c r="T45" t="s">
        <v>1995</v>
      </c>
      <c r="U45">
        <v>50</v>
      </c>
      <c r="V45">
        <v>0.93</v>
      </c>
      <c r="W45">
        <v>46.5</v>
      </c>
      <c r="X45">
        <v>0</v>
      </c>
      <c r="Y45">
        <v>0</v>
      </c>
      <c r="Z45">
        <v>8.3699999999999992</v>
      </c>
      <c r="AA45">
        <v>0</v>
      </c>
      <c r="AB45">
        <v>0</v>
      </c>
      <c r="AC45">
        <v>54.87</v>
      </c>
      <c r="AD45">
        <v>0</v>
      </c>
      <c r="AE45">
        <v>0</v>
      </c>
      <c r="AF45">
        <v>54.87</v>
      </c>
      <c r="AG45" t="s">
        <v>37</v>
      </c>
    </row>
    <row r="46" spans="1:33" x14ac:dyDescent="0.35">
      <c r="A46">
        <v>44</v>
      </c>
      <c r="B46">
        <v>281842</v>
      </c>
      <c r="C46">
        <v>328013182</v>
      </c>
      <c r="D46" t="s">
        <v>696</v>
      </c>
      <c r="E46" t="s">
        <v>50</v>
      </c>
      <c r="F46" s="1">
        <v>46240</v>
      </c>
      <c r="G46" t="s">
        <v>697</v>
      </c>
      <c r="H46">
        <v>43593</v>
      </c>
      <c r="I46" s="1">
        <v>46207</v>
      </c>
      <c r="J46" t="s">
        <v>138</v>
      </c>
      <c r="K46" t="s">
        <v>137</v>
      </c>
      <c r="L46" t="s">
        <v>78</v>
      </c>
      <c r="M46" t="s">
        <v>21</v>
      </c>
      <c r="N46" t="s">
        <v>706</v>
      </c>
      <c r="O46" t="s">
        <v>1996</v>
      </c>
      <c r="P46" t="s">
        <v>2018</v>
      </c>
      <c r="Q46" t="s">
        <v>6</v>
      </c>
      <c r="R46" t="s">
        <v>706</v>
      </c>
      <c r="S46" t="s">
        <v>707</v>
      </c>
      <c r="T46" t="s">
        <v>1997</v>
      </c>
      <c r="U46">
        <v>10</v>
      </c>
      <c r="V46">
        <v>55.14</v>
      </c>
      <c r="W46">
        <v>551.4</v>
      </c>
      <c r="X46">
        <v>0</v>
      </c>
      <c r="Y46">
        <v>0</v>
      </c>
      <c r="Z46">
        <v>99.251999999999995</v>
      </c>
      <c r="AA46">
        <v>0</v>
      </c>
      <c r="AB46">
        <v>0</v>
      </c>
      <c r="AC46">
        <v>650.65200000000004</v>
      </c>
      <c r="AD46">
        <v>0</v>
      </c>
      <c r="AE46">
        <v>0</v>
      </c>
      <c r="AF46">
        <v>650.65200000000004</v>
      </c>
      <c r="AG46" t="s">
        <v>37</v>
      </c>
    </row>
    <row r="47" spans="1:33" x14ac:dyDescent="0.35">
      <c r="A47">
        <v>45</v>
      </c>
      <c r="B47">
        <v>281842</v>
      </c>
      <c r="C47">
        <v>328013182</v>
      </c>
      <c r="D47" t="s">
        <v>696</v>
      </c>
      <c r="E47" t="s">
        <v>50</v>
      </c>
      <c r="F47" s="1">
        <v>46240</v>
      </c>
      <c r="G47" t="s">
        <v>697</v>
      </c>
      <c r="H47">
        <v>43593</v>
      </c>
      <c r="I47" s="1">
        <v>46207</v>
      </c>
      <c r="J47" t="s">
        <v>138</v>
      </c>
      <c r="K47" t="s">
        <v>137</v>
      </c>
      <c r="L47" t="s">
        <v>78</v>
      </c>
      <c r="M47" t="s">
        <v>21</v>
      </c>
      <c r="N47" t="s">
        <v>710</v>
      </c>
      <c r="O47" t="s">
        <v>1938</v>
      </c>
      <c r="P47" t="s">
        <v>2019</v>
      </c>
      <c r="Q47" t="s">
        <v>6</v>
      </c>
      <c r="R47" t="s">
        <v>40</v>
      </c>
      <c r="S47" t="s">
        <v>711</v>
      </c>
      <c r="T47" t="s">
        <v>1995</v>
      </c>
      <c r="U47">
        <v>100</v>
      </c>
      <c r="V47">
        <v>0.52</v>
      </c>
      <c r="W47">
        <v>52</v>
      </c>
      <c r="X47">
        <v>0</v>
      </c>
      <c r="Y47">
        <v>0</v>
      </c>
      <c r="Z47">
        <v>9.36</v>
      </c>
      <c r="AA47">
        <v>0</v>
      </c>
      <c r="AB47">
        <v>0</v>
      </c>
      <c r="AC47">
        <v>61.36</v>
      </c>
      <c r="AD47">
        <v>0</v>
      </c>
      <c r="AE47">
        <v>0</v>
      </c>
      <c r="AF47">
        <v>61.36</v>
      </c>
      <c r="AG47" t="s">
        <v>37</v>
      </c>
    </row>
    <row r="48" spans="1:33" x14ac:dyDescent="0.35">
      <c r="A48">
        <v>46</v>
      </c>
      <c r="B48">
        <v>281842</v>
      </c>
      <c r="C48">
        <v>328013182</v>
      </c>
      <c r="D48" t="s">
        <v>696</v>
      </c>
      <c r="E48" t="s">
        <v>50</v>
      </c>
      <c r="F48" s="1">
        <v>46240</v>
      </c>
      <c r="G48" t="s">
        <v>697</v>
      </c>
      <c r="H48">
        <v>43593</v>
      </c>
      <c r="I48" s="1">
        <v>46207</v>
      </c>
      <c r="J48" t="s">
        <v>138</v>
      </c>
      <c r="K48" t="s">
        <v>137</v>
      </c>
      <c r="L48" t="s">
        <v>78</v>
      </c>
      <c r="M48" t="s">
        <v>21</v>
      </c>
      <c r="N48" t="s">
        <v>718</v>
      </c>
      <c r="O48" t="s">
        <v>1949</v>
      </c>
      <c r="P48" t="s">
        <v>2020</v>
      </c>
      <c r="Q48" t="s">
        <v>6</v>
      </c>
      <c r="R48" t="s">
        <v>699</v>
      </c>
      <c r="S48" t="s">
        <v>719</v>
      </c>
      <c r="T48" t="s">
        <v>1995</v>
      </c>
      <c r="U48">
        <v>100</v>
      </c>
      <c r="V48">
        <v>1.34</v>
      </c>
      <c r="W48">
        <v>134</v>
      </c>
      <c r="X48">
        <v>0</v>
      </c>
      <c r="Y48">
        <v>0</v>
      </c>
      <c r="Z48">
        <v>24.12</v>
      </c>
      <c r="AA48">
        <v>0</v>
      </c>
      <c r="AB48">
        <v>0</v>
      </c>
      <c r="AC48">
        <v>158.12</v>
      </c>
      <c r="AD48">
        <v>0</v>
      </c>
      <c r="AE48">
        <v>0</v>
      </c>
      <c r="AF48">
        <v>158.12</v>
      </c>
      <c r="AG48" t="s">
        <v>37</v>
      </c>
    </row>
    <row r="49" spans="1:33" x14ac:dyDescent="0.35">
      <c r="A49">
        <v>47</v>
      </c>
      <c r="B49">
        <v>281842</v>
      </c>
      <c r="C49">
        <v>328013182</v>
      </c>
      <c r="D49" t="s">
        <v>696</v>
      </c>
      <c r="E49" t="s">
        <v>50</v>
      </c>
      <c r="F49" s="1">
        <v>46240</v>
      </c>
      <c r="G49" t="s">
        <v>697</v>
      </c>
      <c r="H49">
        <v>43593</v>
      </c>
      <c r="I49" s="1">
        <v>46207</v>
      </c>
      <c r="J49" t="s">
        <v>138</v>
      </c>
      <c r="K49" t="s">
        <v>137</v>
      </c>
      <c r="L49" t="s">
        <v>78</v>
      </c>
      <c r="M49" t="s">
        <v>21</v>
      </c>
      <c r="N49" t="s">
        <v>708</v>
      </c>
      <c r="O49" t="s">
        <v>1938</v>
      </c>
      <c r="P49" t="s">
        <v>2021</v>
      </c>
      <c r="Q49" t="s">
        <v>6</v>
      </c>
      <c r="R49" t="s">
        <v>702</v>
      </c>
      <c r="S49" t="s">
        <v>709</v>
      </c>
      <c r="T49" t="s">
        <v>1995</v>
      </c>
      <c r="U49">
        <v>100</v>
      </c>
      <c r="V49">
        <v>0.62</v>
      </c>
      <c r="W49">
        <v>62</v>
      </c>
      <c r="X49">
        <v>0</v>
      </c>
      <c r="Y49">
        <v>0</v>
      </c>
      <c r="Z49">
        <v>11.16</v>
      </c>
      <c r="AA49">
        <v>0</v>
      </c>
      <c r="AB49">
        <v>0</v>
      </c>
      <c r="AC49">
        <v>73.16</v>
      </c>
      <c r="AD49">
        <v>0</v>
      </c>
      <c r="AE49">
        <v>0</v>
      </c>
      <c r="AF49">
        <v>73.16</v>
      </c>
      <c r="AG49" t="s">
        <v>37</v>
      </c>
    </row>
    <row r="50" spans="1:33" x14ac:dyDescent="0.35">
      <c r="A50">
        <v>48</v>
      </c>
      <c r="B50">
        <v>281842</v>
      </c>
      <c r="C50">
        <v>328013182</v>
      </c>
      <c r="D50" t="s">
        <v>696</v>
      </c>
      <c r="E50" t="s">
        <v>50</v>
      </c>
      <c r="F50" s="1">
        <v>46240</v>
      </c>
      <c r="G50" t="s">
        <v>697</v>
      </c>
      <c r="H50">
        <v>43593</v>
      </c>
      <c r="I50" s="1">
        <v>46207</v>
      </c>
      <c r="J50" t="s">
        <v>138</v>
      </c>
      <c r="K50" t="s">
        <v>137</v>
      </c>
      <c r="L50" t="s">
        <v>78</v>
      </c>
      <c r="M50" t="s">
        <v>21</v>
      </c>
      <c r="N50" t="s">
        <v>714</v>
      </c>
      <c r="O50" t="s">
        <v>1996</v>
      </c>
      <c r="P50" t="s">
        <v>2022</v>
      </c>
      <c r="Q50" t="s">
        <v>6</v>
      </c>
      <c r="R50" t="s">
        <v>695</v>
      </c>
      <c r="S50">
        <v>61300311121</v>
      </c>
      <c r="T50" t="s">
        <v>1997</v>
      </c>
      <c r="U50">
        <v>40</v>
      </c>
      <c r="V50">
        <v>10.62</v>
      </c>
      <c r="W50">
        <v>424.8</v>
      </c>
      <c r="X50">
        <v>0</v>
      </c>
      <c r="Y50">
        <v>0</v>
      </c>
      <c r="Z50">
        <v>76.463999999999999</v>
      </c>
      <c r="AA50">
        <v>0</v>
      </c>
      <c r="AB50">
        <v>0</v>
      </c>
      <c r="AC50">
        <v>501.26400000000001</v>
      </c>
      <c r="AD50">
        <v>0</v>
      </c>
      <c r="AE50">
        <v>0</v>
      </c>
      <c r="AF50">
        <v>501.26400000000001</v>
      </c>
      <c r="AG50" t="s">
        <v>37</v>
      </c>
    </row>
    <row r="51" spans="1:33" x14ac:dyDescent="0.35">
      <c r="A51">
        <v>49</v>
      </c>
      <c r="B51">
        <v>281842</v>
      </c>
      <c r="C51">
        <v>328013182</v>
      </c>
      <c r="D51" t="s">
        <v>696</v>
      </c>
      <c r="E51" t="s">
        <v>50</v>
      </c>
      <c r="F51" s="1">
        <v>46240</v>
      </c>
      <c r="G51" t="s">
        <v>697</v>
      </c>
      <c r="H51">
        <v>43593</v>
      </c>
      <c r="I51" s="1">
        <v>46207</v>
      </c>
      <c r="J51" t="s">
        <v>138</v>
      </c>
      <c r="K51" t="s">
        <v>137</v>
      </c>
      <c r="L51" t="s">
        <v>78</v>
      </c>
      <c r="M51" t="s">
        <v>21</v>
      </c>
      <c r="N51" t="s">
        <v>698</v>
      </c>
      <c r="O51" t="s">
        <v>1977</v>
      </c>
      <c r="P51" t="s">
        <v>2023</v>
      </c>
      <c r="Q51" t="s">
        <v>6</v>
      </c>
      <c r="R51" t="s">
        <v>699</v>
      </c>
      <c r="S51" t="s">
        <v>700</v>
      </c>
      <c r="T51" t="s">
        <v>1995</v>
      </c>
      <c r="U51">
        <v>20</v>
      </c>
      <c r="V51">
        <v>5.99</v>
      </c>
      <c r="W51">
        <v>119.8</v>
      </c>
      <c r="X51">
        <v>0</v>
      </c>
      <c r="Y51">
        <v>0</v>
      </c>
      <c r="Z51">
        <v>21.564</v>
      </c>
      <c r="AA51">
        <v>0</v>
      </c>
      <c r="AB51">
        <v>0</v>
      </c>
      <c r="AC51">
        <v>141.364</v>
      </c>
      <c r="AD51">
        <v>0</v>
      </c>
      <c r="AE51">
        <v>0</v>
      </c>
      <c r="AF51">
        <v>141.364</v>
      </c>
      <c r="AG51" t="s">
        <v>37</v>
      </c>
    </row>
    <row r="52" spans="1:33" x14ac:dyDescent="0.35">
      <c r="A52">
        <v>50</v>
      </c>
      <c r="B52">
        <v>281842</v>
      </c>
      <c r="C52">
        <v>328013182</v>
      </c>
      <c r="D52" t="s">
        <v>696</v>
      </c>
      <c r="E52" t="s">
        <v>50</v>
      </c>
      <c r="F52" s="1">
        <v>46240</v>
      </c>
      <c r="G52" t="s">
        <v>697</v>
      </c>
      <c r="H52">
        <v>43593</v>
      </c>
      <c r="I52" s="1">
        <v>46207</v>
      </c>
      <c r="J52" t="s">
        <v>138</v>
      </c>
      <c r="K52" t="s">
        <v>137</v>
      </c>
      <c r="L52" t="s">
        <v>78</v>
      </c>
      <c r="M52" t="s">
        <v>21</v>
      </c>
      <c r="N52" t="s">
        <v>727</v>
      </c>
      <c r="O52" t="s">
        <v>1938</v>
      </c>
      <c r="P52" t="s">
        <v>2024</v>
      </c>
      <c r="Q52" t="s">
        <v>6</v>
      </c>
      <c r="R52" t="s">
        <v>702</v>
      </c>
      <c r="S52" t="s">
        <v>728</v>
      </c>
      <c r="T52" t="s">
        <v>1995</v>
      </c>
      <c r="U52">
        <v>50</v>
      </c>
      <c r="V52">
        <v>1.1299999999999999</v>
      </c>
      <c r="W52">
        <v>56.5</v>
      </c>
      <c r="X52">
        <v>0</v>
      </c>
      <c r="Y52">
        <v>0</v>
      </c>
      <c r="Z52">
        <v>10.17</v>
      </c>
      <c r="AA52">
        <v>0</v>
      </c>
      <c r="AB52">
        <v>0</v>
      </c>
      <c r="AC52">
        <v>66.67</v>
      </c>
      <c r="AD52">
        <v>0</v>
      </c>
      <c r="AE52">
        <v>0</v>
      </c>
      <c r="AF52">
        <v>66.67</v>
      </c>
      <c r="AG52" t="s">
        <v>37</v>
      </c>
    </row>
    <row r="53" spans="1:33" x14ac:dyDescent="0.35">
      <c r="A53">
        <v>51</v>
      </c>
      <c r="B53">
        <v>281842</v>
      </c>
      <c r="C53">
        <v>328013182</v>
      </c>
      <c r="D53" t="s">
        <v>696</v>
      </c>
      <c r="E53" t="s">
        <v>50</v>
      </c>
      <c r="F53" s="1">
        <v>46240</v>
      </c>
      <c r="G53" t="s">
        <v>697</v>
      </c>
      <c r="H53">
        <v>43593</v>
      </c>
      <c r="I53" s="1">
        <v>46207</v>
      </c>
      <c r="J53" t="s">
        <v>138</v>
      </c>
      <c r="K53" t="s">
        <v>137</v>
      </c>
      <c r="L53" t="s">
        <v>78</v>
      </c>
      <c r="M53" t="s">
        <v>21</v>
      </c>
      <c r="N53" t="s">
        <v>722</v>
      </c>
      <c r="O53" t="s">
        <v>1949</v>
      </c>
      <c r="P53" t="s">
        <v>2025</v>
      </c>
      <c r="Q53" t="s">
        <v>6</v>
      </c>
      <c r="R53" t="s">
        <v>38</v>
      </c>
      <c r="S53" t="s">
        <v>723</v>
      </c>
      <c r="T53" t="s">
        <v>1995</v>
      </c>
      <c r="U53">
        <v>100</v>
      </c>
      <c r="V53">
        <v>2.78</v>
      </c>
      <c r="W53">
        <v>278</v>
      </c>
      <c r="X53">
        <v>0</v>
      </c>
      <c r="Y53">
        <v>0</v>
      </c>
      <c r="Z53">
        <v>50.04</v>
      </c>
      <c r="AA53">
        <v>0</v>
      </c>
      <c r="AB53">
        <v>0</v>
      </c>
      <c r="AC53">
        <v>328.04</v>
      </c>
      <c r="AD53">
        <v>0</v>
      </c>
      <c r="AE53">
        <v>0</v>
      </c>
      <c r="AF53">
        <v>328.04</v>
      </c>
      <c r="AG53" t="s">
        <v>37</v>
      </c>
    </row>
    <row r="54" spans="1:33" x14ac:dyDescent="0.35">
      <c r="A54">
        <v>52</v>
      </c>
      <c r="B54">
        <v>281842</v>
      </c>
      <c r="C54">
        <v>328013182</v>
      </c>
      <c r="D54" t="s">
        <v>696</v>
      </c>
      <c r="E54" t="s">
        <v>50</v>
      </c>
      <c r="F54" s="1">
        <v>46240</v>
      </c>
      <c r="G54" t="s">
        <v>697</v>
      </c>
      <c r="H54">
        <v>43593</v>
      </c>
      <c r="I54" s="1">
        <v>46207</v>
      </c>
      <c r="J54" t="s">
        <v>138</v>
      </c>
      <c r="K54" t="s">
        <v>137</v>
      </c>
      <c r="L54" t="s">
        <v>78</v>
      </c>
      <c r="M54" t="s">
        <v>21</v>
      </c>
      <c r="N54" t="s">
        <v>701</v>
      </c>
      <c r="O54" t="s">
        <v>1949</v>
      </c>
      <c r="P54" t="s">
        <v>2026</v>
      </c>
      <c r="Q54" t="s">
        <v>6</v>
      </c>
      <c r="R54" t="s">
        <v>702</v>
      </c>
      <c r="S54" t="s">
        <v>703</v>
      </c>
      <c r="T54" t="s">
        <v>1995</v>
      </c>
      <c r="U54">
        <v>100</v>
      </c>
      <c r="V54">
        <v>1.44</v>
      </c>
      <c r="W54">
        <v>144</v>
      </c>
      <c r="X54">
        <v>0</v>
      </c>
      <c r="Y54">
        <v>0</v>
      </c>
      <c r="Z54">
        <v>25.92</v>
      </c>
      <c r="AA54">
        <v>0</v>
      </c>
      <c r="AB54">
        <v>0</v>
      </c>
      <c r="AC54">
        <v>169.92</v>
      </c>
      <c r="AD54">
        <v>0</v>
      </c>
      <c r="AE54">
        <v>0</v>
      </c>
      <c r="AF54">
        <v>169.92</v>
      </c>
      <c r="AG54" t="s">
        <v>37</v>
      </c>
    </row>
    <row r="55" spans="1:33" x14ac:dyDescent="0.35">
      <c r="A55">
        <v>53</v>
      </c>
      <c r="B55">
        <v>281843</v>
      </c>
      <c r="C55">
        <v>328013183</v>
      </c>
      <c r="D55" t="s">
        <v>729</v>
      </c>
      <c r="E55" t="s">
        <v>50</v>
      </c>
      <c r="F55" s="1">
        <v>46240</v>
      </c>
      <c r="G55" t="s">
        <v>730</v>
      </c>
      <c r="H55" t="s">
        <v>731</v>
      </c>
      <c r="I55" s="1">
        <v>46227</v>
      </c>
      <c r="J55" t="s">
        <v>138</v>
      </c>
      <c r="K55" t="s">
        <v>1278</v>
      </c>
      <c r="L55" t="s">
        <v>12</v>
      </c>
      <c r="M55" t="s">
        <v>21</v>
      </c>
      <c r="N55" t="s">
        <v>752</v>
      </c>
      <c r="O55" t="s">
        <v>1932</v>
      </c>
      <c r="Q55" t="s">
        <v>6</v>
      </c>
      <c r="R55" t="s">
        <v>753</v>
      </c>
      <c r="S55" t="s">
        <v>754</v>
      </c>
      <c r="T55" t="s">
        <v>2003</v>
      </c>
      <c r="U55">
        <v>100</v>
      </c>
      <c r="V55">
        <v>17.14</v>
      </c>
      <c r="W55" s="2">
        <v>1714</v>
      </c>
      <c r="X55">
        <v>0</v>
      </c>
      <c r="Y55">
        <v>0</v>
      </c>
      <c r="Z55">
        <v>308.52</v>
      </c>
      <c r="AA55">
        <v>0</v>
      </c>
      <c r="AB55">
        <v>0</v>
      </c>
      <c r="AC55" s="2">
        <v>2022.52</v>
      </c>
      <c r="AD55">
        <v>0</v>
      </c>
      <c r="AE55">
        <v>0</v>
      </c>
      <c r="AF55" s="2">
        <v>2022.52</v>
      </c>
      <c r="AG55" t="s">
        <v>37</v>
      </c>
    </row>
    <row r="56" spans="1:33" x14ac:dyDescent="0.35">
      <c r="A56">
        <v>54</v>
      </c>
      <c r="B56">
        <v>281843</v>
      </c>
      <c r="C56">
        <v>328013183</v>
      </c>
      <c r="D56" t="s">
        <v>729</v>
      </c>
      <c r="E56" t="s">
        <v>50</v>
      </c>
      <c r="F56" s="1">
        <v>46240</v>
      </c>
      <c r="G56" t="s">
        <v>730</v>
      </c>
      <c r="H56" t="s">
        <v>731</v>
      </c>
      <c r="I56" s="1">
        <v>46227</v>
      </c>
      <c r="J56" t="s">
        <v>138</v>
      </c>
      <c r="K56" t="s">
        <v>1278</v>
      </c>
      <c r="L56" t="s">
        <v>12</v>
      </c>
      <c r="M56" t="s">
        <v>21</v>
      </c>
      <c r="N56" t="s">
        <v>800</v>
      </c>
      <c r="O56" t="s">
        <v>2008</v>
      </c>
      <c r="Q56" t="s">
        <v>6</v>
      </c>
      <c r="R56" t="s">
        <v>660</v>
      </c>
      <c r="S56" t="s">
        <v>801</v>
      </c>
      <c r="T56" t="s">
        <v>416</v>
      </c>
      <c r="U56">
        <v>51</v>
      </c>
      <c r="V56">
        <v>197</v>
      </c>
      <c r="W56" s="2">
        <v>10047</v>
      </c>
      <c r="X56">
        <v>0</v>
      </c>
      <c r="Y56">
        <v>0</v>
      </c>
      <c r="Z56" s="2">
        <v>1808.46</v>
      </c>
      <c r="AA56">
        <v>0</v>
      </c>
      <c r="AB56">
        <v>0</v>
      </c>
      <c r="AC56" s="2">
        <v>11855.46</v>
      </c>
      <c r="AD56">
        <v>0</v>
      </c>
      <c r="AE56">
        <v>0</v>
      </c>
      <c r="AF56" s="2">
        <v>11855.46</v>
      </c>
      <c r="AG56" t="s">
        <v>37</v>
      </c>
    </row>
    <row r="57" spans="1:33" x14ac:dyDescent="0.35">
      <c r="A57">
        <v>55</v>
      </c>
      <c r="B57">
        <v>281843</v>
      </c>
      <c r="C57">
        <v>328013183</v>
      </c>
      <c r="D57" t="s">
        <v>729</v>
      </c>
      <c r="E57" t="s">
        <v>50</v>
      </c>
      <c r="F57" s="1">
        <v>46240</v>
      </c>
      <c r="G57" t="s">
        <v>730</v>
      </c>
      <c r="H57" t="s">
        <v>731</v>
      </c>
      <c r="I57" s="1">
        <v>46227</v>
      </c>
      <c r="J57" t="s">
        <v>138</v>
      </c>
      <c r="K57" t="s">
        <v>1278</v>
      </c>
      <c r="L57" t="s">
        <v>12</v>
      </c>
      <c r="M57" t="s">
        <v>21</v>
      </c>
      <c r="N57" t="s">
        <v>745</v>
      </c>
      <c r="O57" t="s">
        <v>1938</v>
      </c>
      <c r="Q57" t="s">
        <v>6</v>
      </c>
      <c r="R57" t="s">
        <v>746</v>
      </c>
      <c r="S57" t="s">
        <v>747</v>
      </c>
      <c r="T57" t="s">
        <v>1995</v>
      </c>
      <c r="U57">
        <v>250</v>
      </c>
      <c r="V57">
        <v>1.02</v>
      </c>
      <c r="W57">
        <v>255</v>
      </c>
      <c r="X57">
        <v>0</v>
      </c>
      <c r="Y57">
        <v>0</v>
      </c>
      <c r="Z57">
        <v>45.9</v>
      </c>
      <c r="AA57">
        <v>0</v>
      </c>
      <c r="AB57">
        <v>0</v>
      </c>
      <c r="AC57">
        <v>300.89999999999998</v>
      </c>
      <c r="AD57">
        <v>0</v>
      </c>
      <c r="AE57">
        <v>0</v>
      </c>
      <c r="AF57">
        <v>300.89999999999998</v>
      </c>
      <c r="AG57" t="s">
        <v>37</v>
      </c>
    </row>
    <row r="58" spans="1:33" x14ac:dyDescent="0.35">
      <c r="A58">
        <v>56</v>
      </c>
      <c r="B58">
        <v>281843</v>
      </c>
      <c r="C58">
        <v>328013183</v>
      </c>
      <c r="D58" t="s">
        <v>729</v>
      </c>
      <c r="E58" t="s">
        <v>50</v>
      </c>
      <c r="F58" s="1">
        <v>46240</v>
      </c>
      <c r="G58" t="s">
        <v>730</v>
      </c>
      <c r="H58" t="s">
        <v>731</v>
      </c>
      <c r="I58" s="1">
        <v>46227</v>
      </c>
      <c r="J58" t="s">
        <v>138</v>
      </c>
      <c r="K58" t="s">
        <v>1278</v>
      </c>
      <c r="L58" t="s">
        <v>12</v>
      </c>
      <c r="M58" t="s">
        <v>21</v>
      </c>
      <c r="N58" t="s">
        <v>823</v>
      </c>
      <c r="O58" t="s">
        <v>1937</v>
      </c>
      <c r="Q58" t="s">
        <v>6</v>
      </c>
      <c r="R58" t="s">
        <v>699</v>
      </c>
      <c r="S58" t="s">
        <v>824</v>
      </c>
      <c r="T58" t="s">
        <v>1995</v>
      </c>
      <c r="U58">
        <v>100</v>
      </c>
      <c r="V58">
        <v>11.88</v>
      </c>
      <c r="W58" s="2">
        <v>1188</v>
      </c>
      <c r="X58">
        <v>0</v>
      </c>
      <c r="Y58">
        <v>0</v>
      </c>
      <c r="Z58">
        <v>213.84</v>
      </c>
      <c r="AA58">
        <v>0</v>
      </c>
      <c r="AB58">
        <v>0</v>
      </c>
      <c r="AC58" s="2">
        <v>1401.84</v>
      </c>
      <c r="AD58">
        <v>0</v>
      </c>
      <c r="AE58">
        <v>0</v>
      </c>
      <c r="AF58" s="2">
        <v>1401.84</v>
      </c>
      <c r="AG58" t="s">
        <v>37</v>
      </c>
    </row>
    <row r="59" spans="1:33" x14ac:dyDescent="0.35">
      <c r="A59">
        <v>57</v>
      </c>
      <c r="B59">
        <v>281843</v>
      </c>
      <c r="C59">
        <v>328013183</v>
      </c>
      <c r="D59" t="s">
        <v>729</v>
      </c>
      <c r="E59" t="s">
        <v>50</v>
      </c>
      <c r="F59" s="1">
        <v>46240</v>
      </c>
      <c r="G59" t="s">
        <v>730</v>
      </c>
      <c r="H59" t="s">
        <v>731</v>
      </c>
      <c r="I59" s="1">
        <v>46227</v>
      </c>
      <c r="J59" t="s">
        <v>138</v>
      </c>
      <c r="K59" t="s">
        <v>1278</v>
      </c>
      <c r="L59" t="s">
        <v>12</v>
      </c>
      <c r="M59" t="s">
        <v>21</v>
      </c>
      <c r="N59" t="s">
        <v>812</v>
      </c>
      <c r="O59" t="s">
        <v>1938</v>
      </c>
      <c r="Q59" t="s">
        <v>6</v>
      </c>
      <c r="R59" t="s">
        <v>43</v>
      </c>
      <c r="S59" t="s">
        <v>813</v>
      </c>
      <c r="T59" t="s">
        <v>1995</v>
      </c>
      <c r="U59">
        <v>60</v>
      </c>
      <c r="V59">
        <v>10.41</v>
      </c>
      <c r="W59">
        <v>624.6</v>
      </c>
      <c r="X59">
        <v>0</v>
      </c>
      <c r="Y59">
        <v>0</v>
      </c>
      <c r="Z59">
        <v>112.428</v>
      </c>
      <c r="AA59">
        <v>0</v>
      </c>
      <c r="AB59">
        <v>0</v>
      </c>
      <c r="AC59">
        <v>737.02800000000002</v>
      </c>
      <c r="AD59">
        <v>0</v>
      </c>
      <c r="AE59">
        <v>0</v>
      </c>
      <c r="AF59">
        <v>737.02800000000002</v>
      </c>
      <c r="AG59" t="s">
        <v>37</v>
      </c>
    </row>
    <row r="60" spans="1:33" x14ac:dyDescent="0.35">
      <c r="A60">
        <v>58</v>
      </c>
      <c r="B60">
        <v>281843</v>
      </c>
      <c r="C60">
        <v>328013183</v>
      </c>
      <c r="D60" t="s">
        <v>729</v>
      </c>
      <c r="E60" t="s">
        <v>50</v>
      </c>
      <c r="F60" s="1">
        <v>46240</v>
      </c>
      <c r="G60" t="s">
        <v>730</v>
      </c>
      <c r="H60" t="s">
        <v>731</v>
      </c>
      <c r="I60" s="1">
        <v>46227</v>
      </c>
      <c r="J60" t="s">
        <v>138</v>
      </c>
      <c r="K60" t="s">
        <v>1278</v>
      </c>
      <c r="L60" t="s">
        <v>12</v>
      </c>
      <c r="M60" t="s">
        <v>21</v>
      </c>
      <c r="N60" t="s">
        <v>760</v>
      </c>
      <c r="O60" t="s">
        <v>1938</v>
      </c>
      <c r="Q60" t="s">
        <v>6</v>
      </c>
      <c r="R60" t="s">
        <v>43</v>
      </c>
      <c r="S60" t="s">
        <v>761</v>
      </c>
      <c r="T60" t="s">
        <v>1995</v>
      </c>
      <c r="U60">
        <v>100</v>
      </c>
      <c r="V60">
        <v>1.64</v>
      </c>
      <c r="W60">
        <v>164</v>
      </c>
      <c r="X60">
        <v>0</v>
      </c>
      <c r="Y60">
        <v>0</v>
      </c>
      <c r="Z60">
        <v>29.52</v>
      </c>
      <c r="AA60">
        <v>0</v>
      </c>
      <c r="AB60">
        <v>0</v>
      </c>
      <c r="AC60">
        <v>193.52</v>
      </c>
      <c r="AD60">
        <v>0</v>
      </c>
      <c r="AE60">
        <v>0</v>
      </c>
      <c r="AF60">
        <v>193.52</v>
      </c>
      <c r="AG60" t="s">
        <v>37</v>
      </c>
    </row>
    <row r="61" spans="1:33" x14ac:dyDescent="0.35">
      <c r="A61">
        <v>59</v>
      </c>
      <c r="B61">
        <v>281843</v>
      </c>
      <c r="C61">
        <v>328013183</v>
      </c>
      <c r="D61" t="s">
        <v>729</v>
      </c>
      <c r="E61" t="s">
        <v>50</v>
      </c>
      <c r="F61" s="1">
        <v>46240</v>
      </c>
      <c r="G61" t="s">
        <v>730</v>
      </c>
      <c r="H61" t="s">
        <v>731</v>
      </c>
      <c r="I61" s="1">
        <v>46227</v>
      </c>
      <c r="J61" t="s">
        <v>138</v>
      </c>
      <c r="K61" t="s">
        <v>1278</v>
      </c>
      <c r="L61" t="s">
        <v>12</v>
      </c>
      <c r="M61" t="s">
        <v>21</v>
      </c>
      <c r="N61" t="s">
        <v>804</v>
      </c>
      <c r="O61" t="s">
        <v>1937</v>
      </c>
      <c r="Q61" t="s">
        <v>6</v>
      </c>
      <c r="R61" t="s">
        <v>38</v>
      </c>
      <c r="S61" t="s">
        <v>805</v>
      </c>
      <c r="T61" t="s">
        <v>1995</v>
      </c>
      <c r="U61">
        <v>70</v>
      </c>
      <c r="V61">
        <v>10.76</v>
      </c>
      <c r="W61">
        <v>753.2</v>
      </c>
      <c r="X61">
        <v>0</v>
      </c>
      <c r="Y61">
        <v>0</v>
      </c>
      <c r="Z61">
        <v>135.57599999999999</v>
      </c>
      <c r="AA61">
        <v>0</v>
      </c>
      <c r="AB61">
        <v>0</v>
      </c>
      <c r="AC61">
        <v>888.77599999999995</v>
      </c>
      <c r="AD61">
        <v>0</v>
      </c>
      <c r="AE61">
        <v>0</v>
      </c>
      <c r="AF61">
        <v>888.77599999999995</v>
      </c>
      <c r="AG61" t="s">
        <v>37</v>
      </c>
    </row>
    <row r="62" spans="1:33" x14ac:dyDescent="0.35">
      <c r="A62">
        <v>60</v>
      </c>
      <c r="B62">
        <v>281843</v>
      </c>
      <c r="C62">
        <v>328013183</v>
      </c>
      <c r="D62" t="s">
        <v>729</v>
      </c>
      <c r="E62" t="s">
        <v>50</v>
      </c>
      <c r="F62" s="1">
        <v>46240</v>
      </c>
      <c r="G62" t="s">
        <v>730</v>
      </c>
      <c r="H62" t="s">
        <v>731</v>
      </c>
      <c r="I62" s="1">
        <v>46227</v>
      </c>
      <c r="J62" t="s">
        <v>138</v>
      </c>
      <c r="K62" t="s">
        <v>1278</v>
      </c>
      <c r="L62" t="s">
        <v>12</v>
      </c>
      <c r="M62" t="s">
        <v>21</v>
      </c>
      <c r="N62" t="s">
        <v>828</v>
      </c>
      <c r="O62" t="s">
        <v>2027</v>
      </c>
      <c r="Q62" t="s">
        <v>6</v>
      </c>
      <c r="R62" t="s">
        <v>699</v>
      </c>
      <c r="S62" t="s">
        <v>829</v>
      </c>
      <c r="T62" t="s">
        <v>1995</v>
      </c>
      <c r="U62">
        <v>51</v>
      </c>
      <c r="V62">
        <v>68.94</v>
      </c>
      <c r="W62" s="2">
        <v>3515.94</v>
      </c>
      <c r="X62">
        <v>0</v>
      </c>
      <c r="Y62">
        <v>0</v>
      </c>
      <c r="Z62">
        <v>632.86919999999998</v>
      </c>
      <c r="AA62">
        <v>0</v>
      </c>
      <c r="AB62">
        <v>0</v>
      </c>
      <c r="AC62" s="2">
        <v>4148.8091999999997</v>
      </c>
      <c r="AD62">
        <v>0</v>
      </c>
      <c r="AE62">
        <v>0</v>
      </c>
      <c r="AF62" s="2">
        <v>4148.8091999999997</v>
      </c>
      <c r="AG62" t="s">
        <v>37</v>
      </c>
    </row>
    <row r="63" spans="1:33" x14ac:dyDescent="0.35">
      <c r="A63">
        <v>61</v>
      </c>
      <c r="B63">
        <v>281843</v>
      </c>
      <c r="C63">
        <v>328013183</v>
      </c>
      <c r="D63" t="s">
        <v>729</v>
      </c>
      <c r="E63" t="s">
        <v>50</v>
      </c>
      <c r="F63" s="1">
        <v>46240</v>
      </c>
      <c r="G63" t="s">
        <v>730</v>
      </c>
      <c r="H63" t="s">
        <v>731</v>
      </c>
      <c r="I63" s="1">
        <v>46227</v>
      </c>
      <c r="J63" t="s">
        <v>138</v>
      </c>
      <c r="K63" t="s">
        <v>1278</v>
      </c>
      <c r="L63" t="s">
        <v>12</v>
      </c>
      <c r="M63" t="s">
        <v>21</v>
      </c>
      <c r="N63" t="s">
        <v>781</v>
      </c>
      <c r="O63" t="s">
        <v>1936</v>
      </c>
      <c r="Q63" t="s">
        <v>6</v>
      </c>
      <c r="R63" t="s">
        <v>660</v>
      </c>
      <c r="S63" t="s">
        <v>782</v>
      </c>
      <c r="T63" t="s">
        <v>416</v>
      </c>
      <c r="U63">
        <v>51</v>
      </c>
      <c r="V63">
        <v>196</v>
      </c>
      <c r="W63" s="2">
        <v>9996</v>
      </c>
      <c r="X63">
        <v>0</v>
      </c>
      <c r="Y63">
        <v>0</v>
      </c>
      <c r="Z63" s="2">
        <v>1799.28</v>
      </c>
      <c r="AA63">
        <v>0</v>
      </c>
      <c r="AB63">
        <v>0</v>
      </c>
      <c r="AC63" s="2">
        <v>11795.28</v>
      </c>
      <c r="AD63">
        <v>0</v>
      </c>
      <c r="AE63">
        <v>0</v>
      </c>
      <c r="AF63" s="2">
        <v>11795.28</v>
      </c>
      <c r="AG63" t="s">
        <v>37</v>
      </c>
    </row>
    <row r="64" spans="1:33" x14ac:dyDescent="0.35">
      <c r="A64">
        <v>62</v>
      </c>
      <c r="B64">
        <v>281843</v>
      </c>
      <c r="C64">
        <v>328013183</v>
      </c>
      <c r="D64" t="s">
        <v>729</v>
      </c>
      <c r="E64" t="s">
        <v>50</v>
      </c>
      <c r="F64" s="1">
        <v>46240</v>
      </c>
      <c r="G64" t="s">
        <v>730</v>
      </c>
      <c r="H64" t="s">
        <v>731</v>
      </c>
      <c r="I64" s="1">
        <v>46227</v>
      </c>
      <c r="J64" t="s">
        <v>138</v>
      </c>
      <c r="K64" t="s">
        <v>1278</v>
      </c>
      <c r="L64" t="s">
        <v>12</v>
      </c>
      <c r="M64" t="s">
        <v>21</v>
      </c>
      <c r="N64" t="s">
        <v>785</v>
      </c>
      <c r="O64" t="s">
        <v>2028</v>
      </c>
      <c r="Q64" t="s">
        <v>6</v>
      </c>
      <c r="R64" t="s">
        <v>699</v>
      </c>
      <c r="S64" t="s">
        <v>786</v>
      </c>
      <c r="T64" t="s">
        <v>1995</v>
      </c>
      <c r="U64">
        <v>100</v>
      </c>
      <c r="V64">
        <v>9.69</v>
      </c>
      <c r="W64">
        <v>969</v>
      </c>
      <c r="X64">
        <v>0</v>
      </c>
      <c r="Y64">
        <v>0</v>
      </c>
      <c r="Z64">
        <v>174.42</v>
      </c>
      <c r="AA64">
        <v>0</v>
      </c>
      <c r="AB64">
        <v>0</v>
      </c>
      <c r="AC64" s="2">
        <v>1143.42</v>
      </c>
      <c r="AD64">
        <v>0</v>
      </c>
      <c r="AE64">
        <v>0</v>
      </c>
      <c r="AF64" s="2">
        <v>1143.42</v>
      </c>
      <c r="AG64" t="s">
        <v>37</v>
      </c>
    </row>
    <row r="65" spans="1:33" x14ac:dyDescent="0.35">
      <c r="A65">
        <v>63</v>
      </c>
      <c r="B65">
        <v>281843</v>
      </c>
      <c r="C65">
        <v>328013183</v>
      </c>
      <c r="D65" t="s">
        <v>729</v>
      </c>
      <c r="E65" t="s">
        <v>50</v>
      </c>
      <c r="F65" s="1">
        <v>46240</v>
      </c>
      <c r="G65" t="s">
        <v>730</v>
      </c>
      <c r="H65" t="s">
        <v>731</v>
      </c>
      <c r="I65" s="1">
        <v>46227</v>
      </c>
      <c r="J65" t="s">
        <v>138</v>
      </c>
      <c r="K65" t="s">
        <v>1278</v>
      </c>
      <c r="L65" t="s">
        <v>12</v>
      </c>
      <c r="M65" t="s">
        <v>21</v>
      </c>
      <c r="N65" t="s">
        <v>787</v>
      </c>
      <c r="O65" t="s">
        <v>1942</v>
      </c>
      <c r="Q65" t="s">
        <v>6</v>
      </c>
      <c r="R65" t="s">
        <v>768</v>
      </c>
      <c r="S65" t="s">
        <v>788</v>
      </c>
      <c r="T65" t="s">
        <v>2001</v>
      </c>
      <c r="U65">
        <v>170</v>
      </c>
      <c r="V65">
        <v>16.47</v>
      </c>
      <c r="W65" s="2">
        <v>2799.9</v>
      </c>
      <c r="X65">
        <v>0</v>
      </c>
      <c r="Y65">
        <v>0</v>
      </c>
      <c r="Z65">
        <v>503.98200000000003</v>
      </c>
      <c r="AA65">
        <v>0</v>
      </c>
      <c r="AB65">
        <v>0</v>
      </c>
      <c r="AC65" s="2">
        <v>3303.8820000000001</v>
      </c>
      <c r="AD65">
        <v>0</v>
      </c>
      <c r="AE65">
        <v>0</v>
      </c>
      <c r="AF65" s="2">
        <v>3303.8820000000001</v>
      </c>
      <c r="AG65" t="s">
        <v>37</v>
      </c>
    </row>
    <row r="66" spans="1:33" x14ac:dyDescent="0.35">
      <c r="A66">
        <v>64</v>
      </c>
      <c r="B66">
        <v>281843</v>
      </c>
      <c r="C66">
        <v>328013183</v>
      </c>
      <c r="D66" t="s">
        <v>729</v>
      </c>
      <c r="E66" t="s">
        <v>50</v>
      </c>
      <c r="F66" s="1">
        <v>46240</v>
      </c>
      <c r="G66" t="s">
        <v>730</v>
      </c>
      <c r="H66" t="s">
        <v>731</v>
      </c>
      <c r="I66" s="1">
        <v>46227</v>
      </c>
      <c r="J66" t="s">
        <v>138</v>
      </c>
      <c r="K66" t="s">
        <v>1278</v>
      </c>
      <c r="L66" t="s">
        <v>12</v>
      </c>
      <c r="M66" t="s">
        <v>21</v>
      </c>
      <c r="N66" t="s">
        <v>825</v>
      </c>
      <c r="O66" t="s">
        <v>2029</v>
      </c>
      <c r="Q66" t="s">
        <v>6</v>
      </c>
      <c r="R66" t="s">
        <v>826</v>
      </c>
      <c r="S66" t="s">
        <v>827</v>
      </c>
      <c r="T66" t="s">
        <v>1995</v>
      </c>
      <c r="U66">
        <v>210</v>
      </c>
      <c r="V66">
        <v>23.87</v>
      </c>
      <c r="W66" s="2">
        <v>5012.7</v>
      </c>
      <c r="X66">
        <v>0</v>
      </c>
      <c r="Y66">
        <v>0</v>
      </c>
      <c r="Z66">
        <v>902.28599999999994</v>
      </c>
      <c r="AA66">
        <v>0</v>
      </c>
      <c r="AB66">
        <v>0</v>
      </c>
      <c r="AC66" s="2">
        <v>5914.9859999999999</v>
      </c>
      <c r="AD66">
        <v>0</v>
      </c>
      <c r="AE66">
        <v>0</v>
      </c>
      <c r="AF66" s="2">
        <v>5914.9859999999999</v>
      </c>
      <c r="AG66" t="s">
        <v>37</v>
      </c>
    </row>
    <row r="67" spans="1:33" x14ac:dyDescent="0.35">
      <c r="A67">
        <v>65</v>
      </c>
      <c r="B67">
        <v>281843</v>
      </c>
      <c r="C67">
        <v>328013183</v>
      </c>
      <c r="D67" t="s">
        <v>729</v>
      </c>
      <c r="E67" t="s">
        <v>50</v>
      </c>
      <c r="F67" s="1">
        <v>46240</v>
      </c>
      <c r="G67" t="s">
        <v>730</v>
      </c>
      <c r="H67" t="s">
        <v>731</v>
      </c>
      <c r="I67" s="1">
        <v>46227</v>
      </c>
      <c r="J67" t="s">
        <v>138</v>
      </c>
      <c r="K67" t="s">
        <v>1278</v>
      </c>
      <c r="L67" t="s">
        <v>12</v>
      </c>
      <c r="M67" t="s">
        <v>21</v>
      </c>
      <c r="N67" t="s">
        <v>777</v>
      </c>
      <c r="O67" t="s">
        <v>1936</v>
      </c>
      <c r="Q67" t="s">
        <v>6</v>
      </c>
      <c r="R67" t="s">
        <v>768</v>
      </c>
      <c r="S67" t="s">
        <v>778</v>
      </c>
      <c r="T67" t="s">
        <v>416</v>
      </c>
      <c r="U67">
        <v>55</v>
      </c>
      <c r="V67">
        <v>10.82</v>
      </c>
      <c r="W67">
        <v>595.1</v>
      </c>
      <c r="X67">
        <v>0</v>
      </c>
      <c r="Y67">
        <v>0</v>
      </c>
      <c r="Z67">
        <v>107.11799999999999</v>
      </c>
      <c r="AA67">
        <v>0</v>
      </c>
      <c r="AB67">
        <v>0</v>
      </c>
      <c r="AC67">
        <v>702.21799999999996</v>
      </c>
      <c r="AD67">
        <v>0</v>
      </c>
      <c r="AE67">
        <v>0</v>
      </c>
      <c r="AF67">
        <v>702.21799999999996</v>
      </c>
      <c r="AG67" t="s">
        <v>37</v>
      </c>
    </row>
    <row r="68" spans="1:33" x14ac:dyDescent="0.35">
      <c r="A68">
        <v>66</v>
      </c>
      <c r="B68">
        <v>281843</v>
      </c>
      <c r="C68">
        <v>328013183</v>
      </c>
      <c r="D68" t="s">
        <v>729</v>
      </c>
      <c r="E68" t="s">
        <v>50</v>
      </c>
      <c r="F68" s="1">
        <v>46240</v>
      </c>
      <c r="G68" t="s">
        <v>730</v>
      </c>
      <c r="H68" t="s">
        <v>731</v>
      </c>
      <c r="I68" s="1">
        <v>46227</v>
      </c>
      <c r="J68" t="s">
        <v>138</v>
      </c>
      <c r="K68" t="s">
        <v>1278</v>
      </c>
      <c r="L68" t="s">
        <v>12</v>
      </c>
      <c r="M68" t="s">
        <v>21</v>
      </c>
      <c r="N68" t="s">
        <v>779</v>
      </c>
      <c r="O68" t="s">
        <v>1936</v>
      </c>
      <c r="Q68" t="s">
        <v>6</v>
      </c>
      <c r="R68" t="s">
        <v>660</v>
      </c>
      <c r="S68" t="s">
        <v>780</v>
      </c>
      <c r="T68" t="s">
        <v>416</v>
      </c>
      <c r="U68">
        <v>51</v>
      </c>
      <c r="V68">
        <v>371.68</v>
      </c>
      <c r="W68" s="2">
        <v>18955.68</v>
      </c>
      <c r="X68">
        <v>0</v>
      </c>
      <c r="Y68">
        <v>0</v>
      </c>
      <c r="Z68" s="2">
        <v>3412.0223999999998</v>
      </c>
      <c r="AA68">
        <v>0</v>
      </c>
      <c r="AB68">
        <v>0</v>
      </c>
      <c r="AC68" s="2">
        <v>22367.702399999998</v>
      </c>
      <c r="AD68">
        <v>0</v>
      </c>
      <c r="AE68">
        <v>0</v>
      </c>
      <c r="AF68" s="2">
        <v>22367.702399999998</v>
      </c>
      <c r="AG68" t="s">
        <v>37</v>
      </c>
    </row>
    <row r="69" spans="1:33" x14ac:dyDescent="0.35">
      <c r="A69">
        <v>67</v>
      </c>
      <c r="B69">
        <v>281843</v>
      </c>
      <c r="C69">
        <v>328013183</v>
      </c>
      <c r="D69" t="s">
        <v>729</v>
      </c>
      <c r="E69" t="s">
        <v>50</v>
      </c>
      <c r="F69" s="1">
        <v>46240</v>
      </c>
      <c r="G69" t="s">
        <v>730</v>
      </c>
      <c r="H69" t="s">
        <v>731</v>
      </c>
      <c r="I69" s="1">
        <v>46227</v>
      </c>
      <c r="J69" t="s">
        <v>138</v>
      </c>
      <c r="K69" t="s">
        <v>1278</v>
      </c>
      <c r="L69" t="s">
        <v>12</v>
      </c>
      <c r="M69" t="s">
        <v>21</v>
      </c>
      <c r="N69" t="s">
        <v>770</v>
      </c>
      <c r="O69" t="s">
        <v>1936</v>
      </c>
      <c r="Q69" t="s">
        <v>6</v>
      </c>
      <c r="R69" t="s">
        <v>660</v>
      </c>
      <c r="S69" t="s">
        <v>771</v>
      </c>
      <c r="T69" t="s">
        <v>416</v>
      </c>
      <c r="U69">
        <v>50</v>
      </c>
      <c r="V69">
        <v>298</v>
      </c>
      <c r="W69" s="2">
        <v>14900</v>
      </c>
      <c r="X69">
        <v>0</v>
      </c>
      <c r="Y69">
        <v>0</v>
      </c>
      <c r="Z69" s="2">
        <v>2682</v>
      </c>
      <c r="AA69">
        <v>0</v>
      </c>
      <c r="AB69">
        <v>0</v>
      </c>
      <c r="AC69" s="2">
        <v>17582</v>
      </c>
      <c r="AD69">
        <v>0</v>
      </c>
      <c r="AE69">
        <v>0</v>
      </c>
      <c r="AF69" s="2">
        <v>17582</v>
      </c>
      <c r="AG69" t="s">
        <v>37</v>
      </c>
    </row>
    <row r="70" spans="1:33" x14ac:dyDescent="0.35">
      <c r="A70">
        <v>68</v>
      </c>
      <c r="B70">
        <v>281843</v>
      </c>
      <c r="C70">
        <v>328013183</v>
      </c>
      <c r="D70" t="s">
        <v>729</v>
      </c>
      <c r="E70" t="s">
        <v>50</v>
      </c>
      <c r="F70" s="1">
        <v>46240</v>
      </c>
      <c r="G70" t="s">
        <v>730</v>
      </c>
      <c r="H70" t="s">
        <v>731</v>
      </c>
      <c r="I70" s="1">
        <v>46227</v>
      </c>
      <c r="J70" t="s">
        <v>138</v>
      </c>
      <c r="K70" t="s">
        <v>1278</v>
      </c>
      <c r="L70" t="s">
        <v>12</v>
      </c>
      <c r="M70" t="s">
        <v>21</v>
      </c>
      <c r="N70" t="s">
        <v>772</v>
      </c>
      <c r="O70" t="s">
        <v>1936</v>
      </c>
      <c r="Q70" t="s">
        <v>6</v>
      </c>
      <c r="R70" t="s">
        <v>670</v>
      </c>
      <c r="S70" t="s">
        <v>773</v>
      </c>
      <c r="T70" t="s">
        <v>416</v>
      </c>
      <c r="U70">
        <v>50</v>
      </c>
      <c r="V70">
        <v>742.7</v>
      </c>
      <c r="W70" s="2">
        <v>37135</v>
      </c>
      <c r="X70">
        <v>0</v>
      </c>
      <c r="Y70">
        <v>0</v>
      </c>
      <c r="Z70" s="2">
        <v>6684.3</v>
      </c>
      <c r="AA70">
        <v>0</v>
      </c>
      <c r="AB70">
        <v>0</v>
      </c>
      <c r="AC70" s="2">
        <v>43819.3</v>
      </c>
      <c r="AD70">
        <v>0</v>
      </c>
      <c r="AE70">
        <v>0</v>
      </c>
      <c r="AF70" s="2">
        <v>43819.3</v>
      </c>
      <c r="AG70" t="s">
        <v>37</v>
      </c>
    </row>
    <row r="71" spans="1:33" x14ac:dyDescent="0.35">
      <c r="A71">
        <v>69</v>
      </c>
      <c r="B71">
        <v>281843</v>
      </c>
      <c r="C71">
        <v>328013183</v>
      </c>
      <c r="D71" t="s">
        <v>729</v>
      </c>
      <c r="E71" t="s">
        <v>50</v>
      </c>
      <c r="F71" s="1">
        <v>46240</v>
      </c>
      <c r="G71" t="s">
        <v>730</v>
      </c>
      <c r="H71" t="s">
        <v>731</v>
      </c>
      <c r="I71" s="1">
        <v>46227</v>
      </c>
      <c r="J71" t="s">
        <v>138</v>
      </c>
      <c r="K71" t="s">
        <v>1278</v>
      </c>
      <c r="L71" t="s">
        <v>12</v>
      </c>
      <c r="M71" t="s">
        <v>21</v>
      </c>
      <c r="N71" t="s">
        <v>739</v>
      </c>
      <c r="O71" t="s">
        <v>1938</v>
      </c>
      <c r="Q71" t="s">
        <v>6</v>
      </c>
      <c r="R71" t="s">
        <v>740</v>
      </c>
      <c r="S71" t="s">
        <v>741</v>
      </c>
      <c r="T71" t="s">
        <v>1995</v>
      </c>
      <c r="U71">
        <v>250</v>
      </c>
      <c r="V71">
        <v>0.41</v>
      </c>
      <c r="W71">
        <v>102.5</v>
      </c>
      <c r="X71">
        <v>0</v>
      </c>
      <c r="Y71">
        <v>0</v>
      </c>
      <c r="Z71">
        <v>18.45</v>
      </c>
      <c r="AA71">
        <v>0</v>
      </c>
      <c r="AB71">
        <v>0</v>
      </c>
      <c r="AC71">
        <v>120.95</v>
      </c>
      <c r="AD71">
        <v>0</v>
      </c>
      <c r="AE71">
        <v>0</v>
      </c>
      <c r="AF71">
        <v>120.95</v>
      </c>
      <c r="AG71" t="s">
        <v>37</v>
      </c>
    </row>
    <row r="72" spans="1:33" x14ac:dyDescent="0.35">
      <c r="A72">
        <v>70</v>
      </c>
      <c r="B72">
        <v>281843</v>
      </c>
      <c r="C72">
        <v>328013183</v>
      </c>
      <c r="D72" t="s">
        <v>729</v>
      </c>
      <c r="E72" t="s">
        <v>50</v>
      </c>
      <c r="F72" s="1">
        <v>46240</v>
      </c>
      <c r="G72" t="s">
        <v>730</v>
      </c>
      <c r="H72" t="s">
        <v>731</v>
      </c>
      <c r="I72" s="1">
        <v>46227</v>
      </c>
      <c r="J72" t="s">
        <v>138</v>
      </c>
      <c r="K72" t="s">
        <v>1278</v>
      </c>
      <c r="L72" t="s">
        <v>12</v>
      </c>
      <c r="M72" t="s">
        <v>21</v>
      </c>
      <c r="N72" t="s">
        <v>814</v>
      </c>
      <c r="O72" t="s">
        <v>1938</v>
      </c>
      <c r="Q72" t="s">
        <v>6</v>
      </c>
      <c r="R72" t="s">
        <v>815</v>
      </c>
      <c r="S72" t="s">
        <v>816</v>
      </c>
      <c r="T72" t="s">
        <v>417</v>
      </c>
      <c r="U72">
        <v>70</v>
      </c>
      <c r="V72">
        <v>14.08</v>
      </c>
      <c r="W72">
        <v>985.6</v>
      </c>
      <c r="X72">
        <v>0</v>
      </c>
      <c r="Y72">
        <v>0</v>
      </c>
      <c r="Z72">
        <v>177.40799999999999</v>
      </c>
      <c r="AA72">
        <v>0</v>
      </c>
      <c r="AB72">
        <v>0</v>
      </c>
      <c r="AC72" s="2">
        <v>1163.008</v>
      </c>
      <c r="AD72">
        <v>0</v>
      </c>
      <c r="AE72">
        <v>0</v>
      </c>
      <c r="AF72" s="2">
        <v>1163.008</v>
      </c>
      <c r="AG72" t="s">
        <v>37</v>
      </c>
    </row>
    <row r="73" spans="1:33" x14ac:dyDescent="0.35">
      <c r="A73">
        <v>71</v>
      </c>
      <c r="B73">
        <v>281843</v>
      </c>
      <c r="C73">
        <v>328013183</v>
      </c>
      <c r="D73" t="s">
        <v>729</v>
      </c>
      <c r="E73" t="s">
        <v>50</v>
      </c>
      <c r="F73" s="1">
        <v>46240</v>
      </c>
      <c r="G73" t="s">
        <v>730</v>
      </c>
      <c r="H73" t="s">
        <v>731</v>
      </c>
      <c r="I73" s="1">
        <v>46227</v>
      </c>
      <c r="J73" t="s">
        <v>138</v>
      </c>
      <c r="K73" t="s">
        <v>1278</v>
      </c>
      <c r="L73" t="s">
        <v>12</v>
      </c>
      <c r="M73" t="s">
        <v>21</v>
      </c>
      <c r="N73" t="s">
        <v>821</v>
      </c>
      <c r="O73" t="s">
        <v>1938</v>
      </c>
      <c r="Q73" t="s">
        <v>6</v>
      </c>
      <c r="R73" t="s">
        <v>44</v>
      </c>
      <c r="S73" t="s">
        <v>822</v>
      </c>
      <c r="T73" t="s">
        <v>1995</v>
      </c>
      <c r="U73">
        <v>200</v>
      </c>
      <c r="V73">
        <v>0.51</v>
      </c>
      <c r="W73">
        <v>102</v>
      </c>
      <c r="X73">
        <v>0</v>
      </c>
      <c r="Y73">
        <v>0</v>
      </c>
      <c r="Z73">
        <v>18.36</v>
      </c>
      <c r="AA73">
        <v>0</v>
      </c>
      <c r="AB73">
        <v>0</v>
      </c>
      <c r="AC73">
        <v>120.36</v>
      </c>
      <c r="AD73">
        <v>0</v>
      </c>
      <c r="AE73">
        <v>0</v>
      </c>
      <c r="AF73">
        <v>120.36</v>
      </c>
      <c r="AG73" t="s">
        <v>37</v>
      </c>
    </row>
    <row r="74" spans="1:33" x14ac:dyDescent="0.35">
      <c r="A74">
        <v>72</v>
      </c>
      <c r="B74">
        <v>281843</v>
      </c>
      <c r="C74">
        <v>328013183</v>
      </c>
      <c r="D74" t="s">
        <v>729</v>
      </c>
      <c r="E74" t="s">
        <v>50</v>
      </c>
      <c r="F74" s="1">
        <v>46240</v>
      </c>
      <c r="G74" t="s">
        <v>730</v>
      </c>
      <c r="H74" t="s">
        <v>731</v>
      </c>
      <c r="I74" s="1">
        <v>46227</v>
      </c>
      <c r="J74" t="s">
        <v>138</v>
      </c>
      <c r="K74" t="s">
        <v>1278</v>
      </c>
      <c r="L74" t="s">
        <v>12</v>
      </c>
      <c r="M74" t="s">
        <v>21</v>
      </c>
      <c r="N74" t="s">
        <v>789</v>
      </c>
      <c r="O74" t="s">
        <v>2030</v>
      </c>
      <c r="Q74" t="s">
        <v>6</v>
      </c>
      <c r="R74" t="s">
        <v>775</v>
      </c>
      <c r="S74" t="s">
        <v>790</v>
      </c>
      <c r="T74" t="s">
        <v>2031</v>
      </c>
      <c r="U74">
        <v>110</v>
      </c>
      <c r="V74">
        <v>23.37</v>
      </c>
      <c r="W74" s="2">
        <v>2570.6999999999998</v>
      </c>
      <c r="X74">
        <v>0</v>
      </c>
      <c r="Y74">
        <v>0</v>
      </c>
      <c r="Z74">
        <v>462.726</v>
      </c>
      <c r="AA74">
        <v>0</v>
      </c>
      <c r="AB74">
        <v>0</v>
      </c>
      <c r="AC74" s="2">
        <v>3033.4259999999999</v>
      </c>
      <c r="AD74">
        <v>0</v>
      </c>
      <c r="AE74">
        <v>0</v>
      </c>
      <c r="AF74" s="2">
        <v>3033.4259999999999</v>
      </c>
      <c r="AG74" t="s">
        <v>37</v>
      </c>
    </row>
    <row r="75" spans="1:33" x14ac:dyDescent="0.35">
      <c r="A75">
        <v>73</v>
      </c>
      <c r="B75">
        <v>281843</v>
      </c>
      <c r="C75">
        <v>328013183</v>
      </c>
      <c r="D75" t="s">
        <v>729</v>
      </c>
      <c r="E75" t="s">
        <v>50</v>
      </c>
      <c r="F75" s="1">
        <v>46240</v>
      </c>
      <c r="G75" t="s">
        <v>730</v>
      </c>
      <c r="H75" t="s">
        <v>731</v>
      </c>
      <c r="I75" s="1">
        <v>46227</v>
      </c>
      <c r="J75" t="s">
        <v>138</v>
      </c>
      <c r="K75" t="s">
        <v>1278</v>
      </c>
      <c r="L75" t="s">
        <v>12</v>
      </c>
      <c r="M75" t="s">
        <v>21</v>
      </c>
      <c r="N75" t="s">
        <v>755</v>
      </c>
      <c r="O75" t="s">
        <v>1937</v>
      </c>
      <c r="Q75" t="s">
        <v>6</v>
      </c>
      <c r="R75" t="s">
        <v>756</v>
      </c>
      <c r="S75" t="s">
        <v>757</v>
      </c>
      <c r="T75" t="s">
        <v>416</v>
      </c>
      <c r="U75">
        <v>50</v>
      </c>
      <c r="V75">
        <v>558.53</v>
      </c>
      <c r="W75" s="2">
        <v>27926.5</v>
      </c>
      <c r="X75">
        <v>0</v>
      </c>
      <c r="Y75">
        <v>0</v>
      </c>
      <c r="Z75" s="2">
        <v>5026.7700000000004</v>
      </c>
      <c r="AA75">
        <v>0</v>
      </c>
      <c r="AB75">
        <v>0</v>
      </c>
      <c r="AC75" s="2">
        <v>32953.269999999997</v>
      </c>
      <c r="AD75">
        <v>0</v>
      </c>
      <c r="AE75">
        <v>0</v>
      </c>
      <c r="AF75" s="2">
        <v>32953.269999999997</v>
      </c>
      <c r="AG75" t="s">
        <v>37</v>
      </c>
    </row>
    <row r="76" spans="1:33" x14ac:dyDescent="0.35">
      <c r="A76">
        <v>74</v>
      </c>
      <c r="B76">
        <v>281843</v>
      </c>
      <c r="C76">
        <v>328013183</v>
      </c>
      <c r="D76" t="s">
        <v>729</v>
      </c>
      <c r="E76" t="s">
        <v>50</v>
      </c>
      <c r="F76" s="1">
        <v>46240</v>
      </c>
      <c r="G76" t="s">
        <v>730</v>
      </c>
      <c r="H76" t="s">
        <v>731</v>
      </c>
      <c r="I76" s="1">
        <v>46227</v>
      </c>
      <c r="J76" t="s">
        <v>138</v>
      </c>
      <c r="K76" t="s">
        <v>1278</v>
      </c>
      <c r="L76" t="s">
        <v>12</v>
      </c>
      <c r="M76" t="s">
        <v>21</v>
      </c>
      <c r="N76" t="s">
        <v>795</v>
      </c>
      <c r="O76" t="s">
        <v>1938</v>
      </c>
      <c r="Q76" t="s">
        <v>6</v>
      </c>
      <c r="R76" t="s">
        <v>796</v>
      </c>
      <c r="S76" t="s">
        <v>797</v>
      </c>
      <c r="T76" t="s">
        <v>1995</v>
      </c>
      <c r="U76">
        <v>100</v>
      </c>
      <c r="V76">
        <v>6.33</v>
      </c>
      <c r="W76">
        <v>633</v>
      </c>
      <c r="X76">
        <v>0</v>
      </c>
      <c r="Y76">
        <v>0</v>
      </c>
      <c r="Z76">
        <v>113.94</v>
      </c>
      <c r="AA76">
        <v>0</v>
      </c>
      <c r="AB76">
        <v>0</v>
      </c>
      <c r="AC76">
        <v>746.94</v>
      </c>
      <c r="AD76">
        <v>0</v>
      </c>
      <c r="AE76">
        <v>0</v>
      </c>
      <c r="AF76">
        <v>746.94</v>
      </c>
      <c r="AG76" t="s">
        <v>37</v>
      </c>
    </row>
    <row r="77" spans="1:33" x14ac:dyDescent="0.35">
      <c r="A77">
        <v>75</v>
      </c>
      <c r="B77">
        <v>281843</v>
      </c>
      <c r="C77">
        <v>328013183</v>
      </c>
      <c r="D77" t="s">
        <v>729</v>
      </c>
      <c r="E77" t="s">
        <v>50</v>
      </c>
      <c r="F77" s="1">
        <v>46240</v>
      </c>
      <c r="G77" t="s">
        <v>730</v>
      </c>
      <c r="H77" t="s">
        <v>731</v>
      </c>
      <c r="I77" s="1">
        <v>46227</v>
      </c>
      <c r="J77" t="s">
        <v>138</v>
      </c>
      <c r="K77" t="s">
        <v>1278</v>
      </c>
      <c r="L77" t="s">
        <v>12</v>
      </c>
      <c r="M77" t="s">
        <v>21</v>
      </c>
      <c r="N77" t="s">
        <v>748</v>
      </c>
      <c r="O77" t="s">
        <v>1977</v>
      </c>
      <c r="Q77" t="s">
        <v>6</v>
      </c>
      <c r="R77" t="s">
        <v>38</v>
      </c>
      <c r="S77" t="s">
        <v>749</v>
      </c>
      <c r="T77" t="s">
        <v>1995</v>
      </c>
      <c r="U77">
        <v>100</v>
      </c>
      <c r="V77">
        <v>5.04</v>
      </c>
      <c r="W77">
        <v>504</v>
      </c>
      <c r="X77">
        <v>0</v>
      </c>
      <c r="Y77">
        <v>0</v>
      </c>
      <c r="Z77">
        <v>90.72</v>
      </c>
      <c r="AA77">
        <v>0</v>
      </c>
      <c r="AB77">
        <v>0</v>
      </c>
      <c r="AC77">
        <v>594.72</v>
      </c>
      <c r="AD77">
        <v>0</v>
      </c>
      <c r="AE77">
        <v>0</v>
      </c>
      <c r="AF77">
        <v>594.72</v>
      </c>
      <c r="AG77" t="s">
        <v>37</v>
      </c>
    </row>
    <row r="78" spans="1:33" x14ac:dyDescent="0.35">
      <c r="A78">
        <v>76</v>
      </c>
      <c r="B78">
        <v>281843</v>
      </c>
      <c r="C78">
        <v>328013183</v>
      </c>
      <c r="D78" t="s">
        <v>729</v>
      </c>
      <c r="E78" t="s">
        <v>50</v>
      </c>
      <c r="F78" s="1">
        <v>46240</v>
      </c>
      <c r="G78" t="s">
        <v>730</v>
      </c>
      <c r="H78" t="s">
        <v>731</v>
      </c>
      <c r="I78" s="1">
        <v>46227</v>
      </c>
      <c r="J78" t="s">
        <v>138</v>
      </c>
      <c r="K78" t="s">
        <v>1278</v>
      </c>
      <c r="L78" t="s">
        <v>12</v>
      </c>
      <c r="M78" t="s">
        <v>21</v>
      </c>
      <c r="N78" t="s">
        <v>736</v>
      </c>
      <c r="O78" t="s">
        <v>2005</v>
      </c>
      <c r="Q78" t="s">
        <v>6</v>
      </c>
      <c r="R78" t="s">
        <v>737</v>
      </c>
      <c r="S78" t="s">
        <v>738</v>
      </c>
      <c r="T78" t="s">
        <v>2002</v>
      </c>
      <c r="U78">
        <v>52</v>
      </c>
      <c r="V78">
        <v>35.619999999999997</v>
      </c>
      <c r="W78" s="2">
        <v>1852.24</v>
      </c>
      <c r="X78">
        <v>0</v>
      </c>
      <c r="Y78">
        <v>0</v>
      </c>
      <c r="Z78">
        <v>333.40320000000003</v>
      </c>
      <c r="AA78">
        <v>0</v>
      </c>
      <c r="AB78">
        <v>0</v>
      </c>
      <c r="AC78" s="2">
        <v>2185.6432</v>
      </c>
      <c r="AD78">
        <v>0</v>
      </c>
      <c r="AE78">
        <v>0</v>
      </c>
      <c r="AF78" s="2">
        <v>2185.6432</v>
      </c>
      <c r="AG78" t="s">
        <v>37</v>
      </c>
    </row>
    <row r="79" spans="1:33" x14ac:dyDescent="0.35">
      <c r="A79">
        <v>77</v>
      </c>
      <c r="B79">
        <v>281843</v>
      </c>
      <c r="C79">
        <v>328013183</v>
      </c>
      <c r="D79" t="s">
        <v>729</v>
      </c>
      <c r="E79" t="s">
        <v>50</v>
      </c>
      <c r="F79" s="1">
        <v>46240</v>
      </c>
      <c r="G79" t="s">
        <v>730</v>
      </c>
      <c r="H79" t="s">
        <v>731</v>
      </c>
      <c r="I79" s="1">
        <v>46227</v>
      </c>
      <c r="J79" t="s">
        <v>138</v>
      </c>
      <c r="K79" t="s">
        <v>1278</v>
      </c>
      <c r="L79" t="s">
        <v>12</v>
      </c>
      <c r="M79" t="s">
        <v>21</v>
      </c>
      <c r="N79" t="s">
        <v>791</v>
      </c>
      <c r="O79" t="s">
        <v>1938</v>
      </c>
      <c r="Q79" t="s">
        <v>6</v>
      </c>
      <c r="R79" t="s">
        <v>47</v>
      </c>
      <c r="S79" t="s">
        <v>792</v>
      </c>
      <c r="T79" t="s">
        <v>1995</v>
      </c>
      <c r="U79">
        <v>150</v>
      </c>
      <c r="V79">
        <v>1.64</v>
      </c>
      <c r="W79">
        <v>246</v>
      </c>
      <c r="X79">
        <v>0</v>
      </c>
      <c r="Y79">
        <v>0</v>
      </c>
      <c r="Z79">
        <v>44.28</v>
      </c>
      <c r="AA79">
        <v>0</v>
      </c>
      <c r="AB79">
        <v>0</v>
      </c>
      <c r="AC79">
        <v>290.27999999999997</v>
      </c>
      <c r="AD79">
        <v>0</v>
      </c>
      <c r="AE79">
        <v>0</v>
      </c>
      <c r="AF79">
        <v>290.27999999999997</v>
      </c>
      <c r="AG79" t="s">
        <v>37</v>
      </c>
    </row>
    <row r="80" spans="1:33" x14ac:dyDescent="0.35">
      <c r="A80">
        <v>78</v>
      </c>
      <c r="B80">
        <v>281843</v>
      </c>
      <c r="C80">
        <v>328013183</v>
      </c>
      <c r="D80" t="s">
        <v>729</v>
      </c>
      <c r="E80" t="s">
        <v>50</v>
      </c>
      <c r="F80" s="1">
        <v>46240</v>
      </c>
      <c r="G80" t="s">
        <v>730</v>
      </c>
      <c r="H80" t="s">
        <v>731</v>
      </c>
      <c r="I80" s="1">
        <v>46227</v>
      </c>
      <c r="J80" t="s">
        <v>138</v>
      </c>
      <c r="K80" t="s">
        <v>1278</v>
      </c>
      <c r="L80" t="s">
        <v>12</v>
      </c>
      <c r="M80" t="s">
        <v>21</v>
      </c>
      <c r="N80" t="s">
        <v>774</v>
      </c>
      <c r="O80" t="s">
        <v>2030</v>
      </c>
      <c r="Q80" t="s">
        <v>6</v>
      </c>
      <c r="R80" t="s">
        <v>775</v>
      </c>
      <c r="S80" t="s">
        <v>776</v>
      </c>
      <c r="T80" t="s">
        <v>2031</v>
      </c>
      <c r="U80">
        <v>100</v>
      </c>
      <c r="V80">
        <v>40</v>
      </c>
      <c r="W80" s="2">
        <v>4000</v>
      </c>
      <c r="X80">
        <v>0</v>
      </c>
      <c r="Y80">
        <v>0</v>
      </c>
      <c r="Z80">
        <v>720</v>
      </c>
      <c r="AA80">
        <v>0</v>
      </c>
      <c r="AB80">
        <v>0</v>
      </c>
      <c r="AC80" s="2">
        <v>4720</v>
      </c>
      <c r="AD80">
        <v>0</v>
      </c>
      <c r="AE80">
        <v>0</v>
      </c>
      <c r="AF80" s="2">
        <v>4720</v>
      </c>
      <c r="AG80" t="s">
        <v>37</v>
      </c>
    </row>
    <row r="81" spans="1:33" x14ac:dyDescent="0.35">
      <c r="A81">
        <v>79</v>
      </c>
      <c r="B81">
        <v>281843</v>
      </c>
      <c r="C81">
        <v>328013183</v>
      </c>
      <c r="D81" t="s">
        <v>729</v>
      </c>
      <c r="E81" t="s">
        <v>50</v>
      </c>
      <c r="F81" s="1">
        <v>46240</v>
      </c>
      <c r="G81" t="s">
        <v>730</v>
      </c>
      <c r="H81" t="s">
        <v>731</v>
      </c>
      <c r="I81" s="1">
        <v>46227</v>
      </c>
      <c r="J81" t="s">
        <v>138</v>
      </c>
      <c r="K81" t="s">
        <v>1278</v>
      </c>
      <c r="L81" t="s">
        <v>12</v>
      </c>
      <c r="M81" t="s">
        <v>21</v>
      </c>
      <c r="N81" t="s">
        <v>758</v>
      </c>
      <c r="O81" t="s">
        <v>1938</v>
      </c>
      <c r="Q81" t="s">
        <v>6</v>
      </c>
      <c r="R81" t="s">
        <v>746</v>
      </c>
      <c r="S81" t="s">
        <v>759</v>
      </c>
      <c r="T81" t="s">
        <v>1995</v>
      </c>
      <c r="U81">
        <v>100</v>
      </c>
      <c r="V81">
        <v>1.33</v>
      </c>
      <c r="W81">
        <v>133</v>
      </c>
      <c r="X81">
        <v>0</v>
      </c>
      <c r="Y81">
        <v>0</v>
      </c>
      <c r="Z81">
        <v>23.94</v>
      </c>
      <c r="AA81">
        <v>0</v>
      </c>
      <c r="AB81">
        <v>0</v>
      </c>
      <c r="AC81">
        <v>156.94</v>
      </c>
      <c r="AD81">
        <v>0</v>
      </c>
      <c r="AE81">
        <v>0</v>
      </c>
      <c r="AF81">
        <v>156.94</v>
      </c>
      <c r="AG81" t="s">
        <v>37</v>
      </c>
    </row>
    <row r="82" spans="1:33" x14ac:dyDescent="0.35">
      <c r="A82">
        <v>80</v>
      </c>
      <c r="B82">
        <v>281843</v>
      </c>
      <c r="C82">
        <v>328013183</v>
      </c>
      <c r="D82" t="s">
        <v>729</v>
      </c>
      <c r="E82" t="s">
        <v>50</v>
      </c>
      <c r="F82" s="1">
        <v>46240</v>
      </c>
      <c r="G82" t="s">
        <v>730</v>
      </c>
      <c r="H82" t="s">
        <v>731</v>
      </c>
      <c r="I82" s="1">
        <v>46227</v>
      </c>
      <c r="J82" t="s">
        <v>138</v>
      </c>
      <c r="K82" t="s">
        <v>1278</v>
      </c>
      <c r="L82" t="s">
        <v>12</v>
      </c>
      <c r="M82" t="s">
        <v>21</v>
      </c>
      <c r="N82" t="s">
        <v>798</v>
      </c>
      <c r="O82" t="s">
        <v>1977</v>
      </c>
      <c r="Q82" t="s">
        <v>6</v>
      </c>
      <c r="R82" t="s">
        <v>38</v>
      </c>
      <c r="S82" t="s">
        <v>799</v>
      </c>
      <c r="T82" t="s">
        <v>1995</v>
      </c>
      <c r="U82">
        <v>180</v>
      </c>
      <c r="V82">
        <v>4.4800000000000004</v>
      </c>
      <c r="W82">
        <v>806.4</v>
      </c>
      <c r="X82">
        <v>0</v>
      </c>
      <c r="Y82">
        <v>0</v>
      </c>
      <c r="Z82">
        <v>145.15199999999999</v>
      </c>
      <c r="AA82">
        <v>0</v>
      </c>
      <c r="AB82">
        <v>0</v>
      </c>
      <c r="AC82">
        <v>951.55200000000002</v>
      </c>
      <c r="AD82">
        <v>0</v>
      </c>
      <c r="AE82">
        <v>0</v>
      </c>
      <c r="AF82">
        <v>951.55200000000002</v>
      </c>
      <c r="AG82" t="s">
        <v>37</v>
      </c>
    </row>
    <row r="83" spans="1:33" x14ac:dyDescent="0.35">
      <c r="A83">
        <v>81</v>
      </c>
      <c r="B83">
        <v>281843</v>
      </c>
      <c r="C83">
        <v>328013183</v>
      </c>
      <c r="D83" t="s">
        <v>729</v>
      </c>
      <c r="E83" t="s">
        <v>50</v>
      </c>
      <c r="F83" s="1">
        <v>46240</v>
      </c>
      <c r="G83" t="s">
        <v>730</v>
      </c>
      <c r="H83" t="s">
        <v>731</v>
      </c>
      <c r="I83" s="1">
        <v>46227</v>
      </c>
      <c r="J83" t="s">
        <v>138</v>
      </c>
      <c r="K83" t="s">
        <v>1278</v>
      </c>
      <c r="L83" t="s">
        <v>12</v>
      </c>
      <c r="M83" t="s">
        <v>21</v>
      </c>
      <c r="N83" t="s">
        <v>793</v>
      </c>
      <c r="O83" t="s">
        <v>2027</v>
      </c>
      <c r="Q83" t="s">
        <v>6</v>
      </c>
      <c r="R83" t="s">
        <v>699</v>
      </c>
      <c r="S83" t="s">
        <v>794</v>
      </c>
      <c r="T83" t="s">
        <v>1995</v>
      </c>
      <c r="U83">
        <v>60</v>
      </c>
      <c r="V83">
        <v>8.07</v>
      </c>
      <c r="W83">
        <v>484.2</v>
      </c>
      <c r="X83">
        <v>0</v>
      </c>
      <c r="Y83">
        <v>0</v>
      </c>
      <c r="Z83">
        <v>87.156000000000006</v>
      </c>
      <c r="AA83">
        <v>0</v>
      </c>
      <c r="AB83">
        <v>0</v>
      </c>
      <c r="AC83">
        <v>571.35599999999999</v>
      </c>
      <c r="AD83">
        <v>0</v>
      </c>
      <c r="AE83">
        <v>0</v>
      </c>
      <c r="AF83">
        <v>571.35599999999999</v>
      </c>
      <c r="AG83" t="s">
        <v>37</v>
      </c>
    </row>
    <row r="84" spans="1:33" x14ac:dyDescent="0.35">
      <c r="A84">
        <v>82</v>
      </c>
      <c r="B84">
        <v>281843</v>
      </c>
      <c r="C84">
        <v>328013183</v>
      </c>
      <c r="D84" t="s">
        <v>729</v>
      </c>
      <c r="E84" t="s">
        <v>50</v>
      </c>
      <c r="F84" s="1">
        <v>46240</v>
      </c>
      <c r="G84" t="s">
        <v>730</v>
      </c>
      <c r="H84" t="s">
        <v>731</v>
      </c>
      <c r="I84" s="1">
        <v>46227</v>
      </c>
      <c r="J84" t="s">
        <v>138</v>
      </c>
      <c r="K84" t="s">
        <v>1278</v>
      </c>
      <c r="L84" t="s">
        <v>12</v>
      </c>
      <c r="M84" t="s">
        <v>21</v>
      </c>
      <c r="N84" t="s">
        <v>767</v>
      </c>
      <c r="O84" t="s">
        <v>1942</v>
      </c>
      <c r="Q84" t="s">
        <v>6</v>
      </c>
      <c r="R84" t="s">
        <v>768</v>
      </c>
      <c r="S84" t="s">
        <v>769</v>
      </c>
      <c r="T84" t="s">
        <v>2001</v>
      </c>
      <c r="U84">
        <v>220</v>
      </c>
      <c r="V84">
        <v>14.14</v>
      </c>
      <c r="W84" s="2">
        <v>3110.8</v>
      </c>
      <c r="X84">
        <v>0</v>
      </c>
      <c r="Y84">
        <v>0</v>
      </c>
      <c r="Z84">
        <v>559.94399999999996</v>
      </c>
      <c r="AA84">
        <v>0</v>
      </c>
      <c r="AB84">
        <v>0</v>
      </c>
      <c r="AC84" s="2">
        <v>3670.7440000000001</v>
      </c>
      <c r="AD84">
        <v>0</v>
      </c>
      <c r="AE84">
        <v>0</v>
      </c>
      <c r="AF84" s="2">
        <v>3670.7440000000001</v>
      </c>
      <c r="AG84" t="s">
        <v>37</v>
      </c>
    </row>
    <row r="85" spans="1:33" x14ac:dyDescent="0.35">
      <c r="A85">
        <v>83</v>
      </c>
      <c r="B85">
        <v>281843</v>
      </c>
      <c r="C85">
        <v>328013183</v>
      </c>
      <c r="D85" t="s">
        <v>729</v>
      </c>
      <c r="E85" t="s">
        <v>50</v>
      </c>
      <c r="F85" s="1">
        <v>46240</v>
      </c>
      <c r="G85" t="s">
        <v>730</v>
      </c>
      <c r="H85" t="s">
        <v>731</v>
      </c>
      <c r="I85" s="1">
        <v>46227</v>
      </c>
      <c r="J85" t="s">
        <v>138</v>
      </c>
      <c r="K85" t="s">
        <v>1278</v>
      </c>
      <c r="L85" t="s">
        <v>12</v>
      </c>
      <c r="M85" t="s">
        <v>21</v>
      </c>
      <c r="N85" t="s">
        <v>802</v>
      </c>
      <c r="O85" t="s">
        <v>1938</v>
      </c>
      <c r="Q85" t="s">
        <v>6</v>
      </c>
      <c r="R85" t="s">
        <v>40</v>
      </c>
      <c r="S85" t="s">
        <v>803</v>
      </c>
      <c r="T85" t="s">
        <v>1995</v>
      </c>
      <c r="U85">
        <v>100</v>
      </c>
      <c r="V85">
        <v>0.72</v>
      </c>
      <c r="W85">
        <v>72</v>
      </c>
      <c r="X85">
        <v>0</v>
      </c>
      <c r="Y85">
        <v>0</v>
      </c>
      <c r="Z85">
        <v>12.96</v>
      </c>
      <c r="AA85">
        <v>0</v>
      </c>
      <c r="AB85">
        <v>0</v>
      </c>
      <c r="AC85">
        <v>84.96</v>
      </c>
      <c r="AD85">
        <v>0</v>
      </c>
      <c r="AE85">
        <v>0</v>
      </c>
      <c r="AF85">
        <v>84.96</v>
      </c>
      <c r="AG85" t="s">
        <v>37</v>
      </c>
    </row>
    <row r="86" spans="1:33" x14ac:dyDescent="0.35">
      <c r="A86">
        <v>84</v>
      </c>
      <c r="B86">
        <v>281843</v>
      </c>
      <c r="C86">
        <v>328013183</v>
      </c>
      <c r="D86" t="s">
        <v>729</v>
      </c>
      <c r="E86" t="s">
        <v>50</v>
      </c>
      <c r="F86" s="1">
        <v>46240</v>
      </c>
      <c r="G86" t="s">
        <v>730</v>
      </c>
      <c r="H86" t="s">
        <v>731</v>
      </c>
      <c r="I86" s="1">
        <v>46227</v>
      </c>
      <c r="J86" t="s">
        <v>138</v>
      </c>
      <c r="K86" t="s">
        <v>1278</v>
      </c>
      <c r="L86" t="s">
        <v>12</v>
      </c>
      <c r="M86" t="s">
        <v>21</v>
      </c>
      <c r="N86" t="s">
        <v>806</v>
      </c>
      <c r="O86" t="s">
        <v>1996</v>
      </c>
      <c r="Q86" t="s">
        <v>6</v>
      </c>
      <c r="R86" t="s">
        <v>807</v>
      </c>
      <c r="S86" t="s">
        <v>808</v>
      </c>
      <c r="T86" t="s">
        <v>1997</v>
      </c>
      <c r="U86">
        <v>51</v>
      </c>
      <c r="V86">
        <v>47.83</v>
      </c>
      <c r="W86" s="2">
        <v>2439.33</v>
      </c>
      <c r="X86">
        <v>0</v>
      </c>
      <c r="Y86">
        <v>0</v>
      </c>
      <c r="Z86">
        <v>439.07940000000002</v>
      </c>
      <c r="AA86">
        <v>0</v>
      </c>
      <c r="AB86">
        <v>0</v>
      </c>
      <c r="AC86" s="2">
        <v>2878.4094</v>
      </c>
      <c r="AD86">
        <v>0</v>
      </c>
      <c r="AE86">
        <v>0</v>
      </c>
      <c r="AF86" s="2">
        <v>2878.4094</v>
      </c>
      <c r="AG86" t="s">
        <v>37</v>
      </c>
    </row>
    <row r="87" spans="1:33" x14ac:dyDescent="0.35">
      <c r="A87">
        <v>85</v>
      </c>
      <c r="B87">
        <v>281843</v>
      </c>
      <c r="C87">
        <v>328013183</v>
      </c>
      <c r="D87" t="s">
        <v>729</v>
      </c>
      <c r="E87" t="s">
        <v>50</v>
      </c>
      <c r="F87" s="1">
        <v>46240</v>
      </c>
      <c r="G87" t="s">
        <v>730</v>
      </c>
      <c r="H87" t="s">
        <v>731</v>
      </c>
      <c r="I87" s="1">
        <v>46227</v>
      </c>
      <c r="J87" t="s">
        <v>138</v>
      </c>
      <c r="K87" t="s">
        <v>1278</v>
      </c>
      <c r="L87" t="s">
        <v>12</v>
      </c>
      <c r="M87" t="s">
        <v>21</v>
      </c>
      <c r="N87" t="s">
        <v>750</v>
      </c>
      <c r="O87" t="s">
        <v>1938</v>
      </c>
      <c r="Q87" t="s">
        <v>6</v>
      </c>
      <c r="R87" t="s">
        <v>746</v>
      </c>
      <c r="S87" t="s">
        <v>751</v>
      </c>
      <c r="T87" t="s">
        <v>1995</v>
      </c>
      <c r="U87">
        <v>350</v>
      </c>
      <c r="V87">
        <v>1.02</v>
      </c>
      <c r="W87">
        <v>357</v>
      </c>
      <c r="X87">
        <v>0</v>
      </c>
      <c r="Y87">
        <v>0</v>
      </c>
      <c r="Z87">
        <v>64.260000000000005</v>
      </c>
      <c r="AA87">
        <v>0</v>
      </c>
      <c r="AB87">
        <v>0</v>
      </c>
      <c r="AC87">
        <v>421.26</v>
      </c>
      <c r="AD87">
        <v>0</v>
      </c>
      <c r="AE87">
        <v>0</v>
      </c>
      <c r="AF87">
        <v>421.26</v>
      </c>
      <c r="AG87" t="s">
        <v>37</v>
      </c>
    </row>
    <row r="88" spans="1:33" x14ac:dyDescent="0.35">
      <c r="A88">
        <v>86</v>
      </c>
      <c r="B88">
        <v>281843</v>
      </c>
      <c r="C88">
        <v>328013183</v>
      </c>
      <c r="D88" t="s">
        <v>729</v>
      </c>
      <c r="E88" t="s">
        <v>50</v>
      </c>
      <c r="F88" s="1">
        <v>46240</v>
      </c>
      <c r="G88" t="s">
        <v>730</v>
      </c>
      <c r="H88" t="s">
        <v>731</v>
      </c>
      <c r="I88" s="1">
        <v>46227</v>
      </c>
      <c r="J88" t="s">
        <v>138</v>
      </c>
      <c r="K88" t="s">
        <v>1278</v>
      </c>
      <c r="L88" t="s">
        <v>12</v>
      </c>
      <c r="M88" t="s">
        <v>21</v>
      </c>
      <c r="N88" t="s">
        <v>734</v>
      </c>
      <c r="O88" t="s">
        <v>1938</v>
      </c>
      <c r="Q88" t="s">
        <v>6</v>
      </c>
      <c r="R88" t="s">
        <v>43</v>
      </c>
      <c r="S88" t="s">
        <v>735</v>
      </c>
      <c r="T88" t="s">
        <v>1995</v>
      </c>
      <c r="U88">
        <v>100</v>
      </c>
      <c r="V88">
        <v>1.94</v>
      </c>
      <c r="W88">
        <v>194</v>
      </c>
      <c r="X88">
        <v>0</v>
      </c>
      <c r="Y88">
        <v>0</v>
      </c>
      <c r="Z88">
        <v>34.92</v>
      </c>
      <c r="AA88">
        <v>0</v>
      </c>
      <c r="AB88">
        <v>0</v>
      </c>
      <c r="AC88">
        <v>228.92</v>
      </c>
      <c r="AD88">
        <v>0</v>
      </c>
      <c r="AE88">
        <v>0</v>
      </c>
      <c r="AF88">
        <v>228.92</v>
      </c>
      <c r="AG88" t="s">
        <v>37</v>
      </c>
    </row>
    <row r="89" spans="1:33" x14ac:dyDescent="0.35">
      <c r="A89">
        <v>87</v>
      </c>
      <c r="B89">
        <v>281843</v>
      </c>
      <c r="C89">
        <v>328013183</v>
      </c>
      <c r="D89" t="s">
        <v>729</v>
      </c>
      <c r="E89" t="s">
        <v>50</v>
      </c>
      <c r="F89" s="1">
        <v>46240</v>
      </c>
      <c r="G89" t="s">
        <v>730</v>
      </c>
      <c r="H89" t="s">
        <v>731</v>
      </c>
      <c r="I89" s="1">
        <v>46227</v>
      </c>
      <c r="J89" t="s">
        <v>138</v>
      </c>
      <c r="K89" t="s">
        <v>1278</v>
      </c>
      <c r="L89" t="s">
        <v>12</v>
      </c>
      <c r="M89" t="s">
        <v>21</v>
      </c>
      <c r="N89" t="s">
        <v>742</v>
      </c>
      <c r="O89" t="s">
        <v>1949</v>
      </c>
      <c r="Q89" t="s">
        <v>6</v>
      </c>
      <c r="R89" t="s">
        <v>699</v>
      </c>
      <c r="S89" t="s">
        <v>743</v>
      </c>
      <c r="T89" t="s">
        <v>1995</v>
      </c>
      <c r="U89">
        <v>210</v>
      </c>
      <c r="V89">
        <v>15.68</v>
      </c>
      <c r="W89" s="2">
        <v>3292.8</v>
      </c>
      <c r="X89">
        <v>0</v>
      </c>
      <c r="Y89">
        <v>0</v>
      </c>
      <c r="Z89">
        <v>592.70399999999995</v>
      </c>
      <c r="AA89">
        <v>0</v>
      </c>
      <c r="AB89">
        <v>0</v>
      </c>
      <c r="AC89" s="2">
        <v>3885.5039999999999</v>
      </c>
      <c r="AD89">
        <v>0</v>
      </c>
      <c r="AE89">
        <v>0</v>
      </c>
      <c r="AF89" s="2">
        <v>3885.5039999999999</v>
      </c>
      <c r="AG89" t="s">
        <v>37</v>
      </c>
    </row>
    <row r="90" spans="1:33" x14ac:dyDescent="0.35">
      <c r="A90">
        <v>88</v>
      </c>
      <c r="B90">
        <v>281843</v>
      </c>
      <c r="C90">
        <v>328013183</v>
      </c>
      <c r="D90" t="s">
        <v>729</v>
      </c>
      <c r="E90" t="s">
        <v>50</v>
      </c>
      <c r="F90" s="1">
        <v>46240</v>
      </c>
      <c r="G90" t="s">
        <v>730</v>
      </c>
      <c r="H90" t="s">
        <v>731</v>
      </c>
      <c r="I90" s="1">
        <v>46227</v>
      </c>
      <c r="J90" t="s">
        <v>138</v>
      </c>
      <c r="K90" t="s">
        <v>1278</v>
      </c>
      <c r="L90" t="s">
        <v>12</v>
      </c>
      <c r="M90" t="s">
        <v>21</v>
      </c>
      <c r="N90" t="s">
        <v>809</v>
      </c>
      <c r="O90" t="s">
        <v>1936</v>
      </c>
      <c r="Q90" t="s">
        <v>6</v>
      </c>
      <c r="R90" t="s">
        <v>810</v>
      </c>
      <c r="S90" t="s">
        <v>811</v>
      </c>
      <c r="T90" t="s">
        <v>416</v>
      </c>
      <c r="U90">
        <v>50</v>
      </c>
      <c r="V90" s="2">
        <v>2388.89</v>
      </c>
      <c r="W90" s="2">
        <v>119444.5</v>
      </c>
      <c r="X90">
        <v>0</v>
      </c>
      <c r="Y90">
        <v>0</v>
      </c>
      <c r="Z90" s="2">
        <v>21500.01</v>
      </c>
      <c r="AA90">
        <v>0</v>
      </c>
      <c r="AB90">
        <v>0</v>
      </c>
      <c r="AC90" s="2">
        <v>140944.51</v>
      </c>
      <c r="AD90">
        <v>0</v>
      </c>
      <c r="AE90">
        <v>0</v>
      </c>
      <c r="AF90" s="2">
        <v>140944.51</v>
      </c>
      <c r="AG90" t="s">
        <v>37</v>
      </c>
    </row>
    <row r="91" spans="1:33" x14ac:dyDescent="0.35">
      <c r="A91">
        <v>89</v>
      </c>
      <c r="B91">
        <v>281843</v>
      </c>
      <c r="C91">
        <v>328013183</v>
      </c>
      <c r="D91" t="s">
        <v>729</v>
      </c>
      <c r="E91" t="s">
        <v>50</v>
      </c>
      <c r="F91" s="1">
        <v>46240</v>
      </c>
      <c r="G91" t="s">
        <v>730</v>
      </c>
      <c r="H91" t="s">
        <v>731</v>
      </c>
      <c r="I91" s="1">
        <v>46227</v>
      </c>
      <c r="J91" t="s">
        <v>138</v>
      </c>
      <c r="K91" t="s">
        <v>1278</v>
      </c>
      <c r="L91" t="s">
        <v>12</v>
      </c>
      <c r="M91" t="s">
        <v>21</v>
      </c>
      <c r="N91" t="s">
        <v>819</v>
      </c>
      <c r="O91" t="s">
        <v>1937</v>
      </c>
      <c r="Q91" t="s">
        <v>6</v>
      </c>
      <c r="R91" t="s">
        <v>44</v>
      </c>
      <c r="S91" t="s">
        <v>820</v>
      </c>
      <c r="T91" t="s">
        <v>1995</v>
      </c>
      <c r="U91">
        <v>160</v>
      </c>
      <c r="V91">
        <v>20.87</v>
      </c>
      <c r="W91" s="2">
        <v>3339.2</v>
      </c>
      <c r="X91">
        <v>0</v>
      </c>
      <c r="Y91">
        <v>0</v>
      </c>
      <c r="Z91">
        <v>601.05600000000004</v>
      </c>
      <c r="AA91">
        <v>0</v>
      </c>
      <c r="AB91">
        <v>0</v>
      </c>
      <c r="AC91" s="2">
        <v>3940.2559999999999</v>
      </c>
      <c r="AD91">
        <v>0</v>
      </c>
      <c r="AE91">
        <v>0</v>
      </c>
      <c r="AF91" s="2">
        <v>3940.2559999999999</v>
      </c>
      <c r="AG91" t="s">
        <v>37</v>
      </c>
    </row>
    <row r="92" spans="1:33" x14ac:dyDescent="0.35">
      <c r="A92">
        <v>90</v>
      </c>
      <c r="B92">
        <v>281843</v>
      </c>
      <c r="C92">
        <v>328013183</v>
      </c>
      <c r="D92" t="s">
        <v>729</v>
      </c>
      <c r="E92" t="s">
        <v>50</v>
      </c>
      <c r="F92" s="1">
        <v>46240</v>
      </c>
      <c r="G92" t="s">
        <v>730</v>
      </c>
      <c r="H92" t="s">
        <v>731</v>
      </c>
      <c r="I92" s="1">
        <v>46227</v>
      </c>
      <c r="J92" t="s">
        <v>138</v>
      </c>
      <c r="K92" t="s">
        <v>1278</v>
      </c>
      <c r="L92" t="s">
        <v>12</v>
      </c>
      <c r="M92" t="s">
        <v>21</v>
      </c>
      <c r="N92" t="s">
        <v>783</v>
      </c>
      <c r="O92" t="s">
        <v>1938</v>
      </c>
      <c r="Q92" t="s">
        <v>6</v>
      </c>
      <c r="R92" t="s">
        <v>43</v>
      </c>
      <c r="S92" t="s">
        <v>784</v>
      </c>
      <c r="T92" t="s">
        <v>1995</v>
      </c>
      <c r="U92">
        <v>100</v>
      </c>
      <c r="V92">
        <v>1.64</v>
      </c>
      <c r="W92">
        <v>164</v>
      </c>
      <c r="X92">
        <v>0</v>
      </c>
      <c r="Y92">
        <v>0</v>
      </c>
      <c r="Z92">
        <v>29.52</v>
      </c>
      <c r="AA92">
        <v>0</v>
      </c>
      <c r="AB92">
        <v>0</v>
      </c>
      <c r="AC92">
        <v>193.52</v>
      </c>
      <c r="AD92">
        <v>0</v>
      </c>
      <c r="AE92">
        <v>0</v>
      </c>
      <c r="AF92">
        <v>193.52</v>
      </c>
      <c r="AG92" t="s">
        <v>37</v>
      </c>
    </row>
    <row r="93" spans="1:33" x14ac:dyDescent="0.35">
      <c r="A93">
        <v>91</v>
      </c>
      <c r="B93">
        <v>281843</v>
      </c>
      <c r="C93">
        <v>328013183</v>
      </c>
      <c r="D93" t="s">
        <v>729</v>
      </c>
      <c r="E93" t="s">
        <v>50</v>
      </c>
      <c r="F93" s="1">
        <v>46240</v>
      </c>
      <c r="G93" t="s">
        <v>730</v>
      </c>
      <c r="H93" t="s">
        <v>731</v>
      </c>
      <c r="I93" s="1">
        <v>46227</v>
      </c>
      <c r="J93" t="s">
        <v>138</v>
      </c>
      <c r="K93" t="s">
        <v>1278</v>
      </c>
      <c r="L93" t="s">
        <v>12</v>
      </c>
      <c r="M93" t="s">
        <v>21</v>
      </c>
      <c r="N93" t="s">
        <v>732</v>
      </c>
      <c r="O93" t="s">
        <v>1937</v>
      </c>
      <c r="Q93" t="s">
        <v>6</v>
      </c>
      <c r="R93" t="s">
        <v>699</v>
      </c>
      <c r="S93" t="s">
        <v>733</v>
      </c>
      <c r="T93" t="s">
        <v>1995</v>
      </c>
      <c r="U93">
        <v>100</v>
      </c>
      <c r="V93">
        <v>7.73</v>
      </c>
      <c r="W93">
        <v>773</v>
      </c>
      <c r="X93">
        <v>0</v>
      </c>
      <c r="Y93">
        <v>0</v>
      </c>
      <c r="Z93">
        <v>139.13999999999999</v>
      </c>
      <c r="AA93">
        <v>0</v>
      </c>
      <c r="AB93">
        <v>0</v>
      </c>
      <c r="AC93">
        <v>912.14</v>
      </c>
      <c r="AD93">
        <v>0</v>
      </c>
      <c r="AE93">
        <v>0</v>
      </c>
      <c r="AF93">
        <v>912.14</v>
      </c>
      <c r="AG93" t="s">
        <v>37</v>
      </c>
    </row>
    <row r="94" spans="1:33" x14ac:dyDescent="0.35">
      <c r="A94">
        <v>92</v>
      </c>
      <c r="B94">
        <v>281843</v>
      </c>
      <c r="C94">
        <v>328013183</v>
      </c>
      <c r="D94" t="s">
        <v>729</v>
      </c>
      <c r="E94" t="s">
        <v>50</v>
      </c>
      <c r="F94" s="1">
        <v>46240</v>
      </c>
      <c r="G94" t="s">
        <v>730</v>
      </c>
      <c r="H94" t="s">
        <v>731</v>
      </c>
      <c r="I94" s="1">
        <v>46227</v>
      </c>
      <c r="J94" t="s">
        <v>138</v>
      </c>
      <c r="K94" t="s">
        <v>1278</v>
      </c>
      <c r="L94" t="s">
        <v>12</v>
      </c>
      <c r="M94" t="s">
        <v>21</v>
      </c>
      <c r="N94" t="s">
        <v>817</v>
      </c>
      <c r="O94" t="s">
        <v>1936</v>
      </c>
      <c r="Q94" t="s">
        <v>6</v>
      </c>
      <c r="R94" t="s">
        <v>660</v>
      </c>
      <c r="S94" t="s">
        <v>818</v>
      </c>
      <c r="T94" t="s">
        <v>416</v>
      </c>
      <c r="U94">
        <v>55</v>
      </c>
      <c r="V94">
        <v>6.02</v>
      </c>
      <c r="W94">
        <v>331.1</v>
      </c>
      <c r="X94">
        <v>0</v>
      </c>
      <c r="Y94">
        <v>0</v>
      </c>
      <c r="Z94">
        <v>59.597999999999999</v>
      </c>
      <c r="AA94">
        <v>0</v>
      </c>
      <c r="AB94">
        <v>0</v>
      </c>
      <c r="AC94">
        <v>390.69799999999998</v>
      </c>
      <c r="AD94">
        <v>0</v>
      </c>
      <c r="AE94">
        <v>0</v>
      </c>
      <c r="AF94">
        <v>390.69799999999998</v>
      </c>
      <c r="AG94" t="s">
        <v>37</v>
      </c>
    </row>
    <row r="95" spans="1:33" x14ac:dyDescent="0.35">
      <c r="A95">
        <v>93</v>
      </c>
      <c r="B95">
        <v>281843</v>
      </c>
      <c r="C95">
        <v>328013183</v>
      </c>
      <c r="D95" t="s">
        <v>729</v>
      </c>
      <c r="E95" t="s">
        <v>50</v>
      </c>
      <c r="F95" s="1">
        <v>46240</v>
      </c>
      <c r="G95" t="s">
        <v>730</v>
      </c>
      <c r="H95" t="s">
        <v>731</v>
      </c>
      <c r="I95" s="1">
        <v>46227</v>
      </c>
      <c r="J95" t="s">
        <v>138</v>
      </c>
      <c r="K95" t="s">
        <v>1278</v>
      </c>
      <c r="L95" t="s">
        <v>12</v>
      </c>
      <c r="M95" t="s">
        <v>21</v>
      </c>
      <c r="N95" t="s">
        <v>764</v>
      </c>
      <c r="O95" t="s">
        <v>1950</v>
      </c>
      <c r="Q95" t="s">
        <v>6</v>
      </c>
      <c r="R95" t="s">
        <v>765</v>
      </c>
      <c r="S95" t="s">
        <v>766</v>
      </c>
      <c r="T95" t="s">
        <v>1997</v>
      </c>
      <c r="U95">
        <v>51</v>
      </c>
      <c r="V95">
        <v>140.97</v>
      </c>
      <c r="W95" s="2">
        <v>7189.47</v>
      </c>
      <c r="X95">
        <v>0</v>
      </c>
      <c r="Y95">
        <v>0</v>
      </c>
      <c r="Z95" s="2">
        <v>1294.1045999999999</v>
      </c>
      <c r="AA95">
        <v>0</v>
      </c>
      <c r="AB95">
        <v>0</v>
      </c>
      <c r="AC95" s="2">
        <v>8483.5745999999999</v>
      </c>
      <c r="AD95">
        <v>0</v>
      </c>
      <c r="AE95">
        <v>0</v>
      </c>
      <c r="AF95" s="2">
        <v>8483.5745999999999</v>
      </c>
      <c r="AG95" t="s">
        <v>37</v>
      </c>
    </row>
    <row r="96" spans="1:33" x14ac:dyDescent="0.35">
      <c r="A96">
        <v>94</v>
      </c>
      <c r="B96">
        <v>281843</v>
      </c>
      <c r="C96">
        <v>328013183</v>
      </c>
      <c r="D96" t="s">
        <v>729</v>
      </c>
      <c r="E96" t="s">
        <v>50</v>
      </c>
      <c r="F96" s="1">
        <v>46240</v>
      </c>
      <c r="G96" t="s">
        <v>730</v>
      </c>
      <c r="H96" t="s">
        <v>731</v>
      </c>
      <c r="I96" s="1">
        <v>46227</v>
      </c>
      <c r="J96" t="s">
        <v>138</v>
      </c>
      <c r="K96" t="s">
        <v>1278</v>
      </c>
      <c r="L96" t="s">
        <v>12</v>
      </c>
      <c r="M96" t="s">
        <v>21</v>
      </c>
      <c r="N96" t="s">
        <v>744</v>
      </c>
      <c r="O96" t="s">
        <v>1937</v>
      </c>
      <c r="Q96" t="s">
        <v>6</v>
      </c>
      <c r="R96" t="s">
        <v>695</v>
      </c>
      <c r="S96">
        <v>744901047</v>
      </c>
      <c r="T96" t="s">
        <v>1995</v>
      </c>
      <c r="U96">
        <v>75</v>
      </c>
      <c r="V96">
        <v>33.81</v>
      </c>
      <c r="W96" s="2">
        <v>2535.75</v>
      </c>
      <c r="X96">
        <v>0</v>
      </c>
      <c r="Y96">
        <v>0</v>
      </c>
      <c r="Z96">
        <v>456.435</v>
      </c>
      <c r="AA96">
        <v>0</v>
      </c>
      <c r="AB96">
        <v>0</v>
      </c>
      <c r="AC96" s="2">
        <v>2992.1849999999999</v>
      </c>
      <c r="AD96">
        <v>0</v>
      </c>
      <c r="AE96">
        <v>0</v>
      </c>
      <c r="AF96" s="2">
        <v>2992.1849999999999</v>
      </c>
      <c r="AG96" t="s">
        <v>37</v>
      </c>
    </row>
    <row r="97" spans="1:33" x14ac:dyDescent="0.35">
      <c r="A97">
        <v>95</v>
      </c>
      <c r="B97">
        <v>281843</v>
      </c>
      <c r="C97">
        <v>328013183</v>
      </c>
      <c r="D97" t="s">
        <v>729</v>
      </c>
      <c r="E97" t="s">
        <v>50</v>
      </c>
      <c r="F97" s="1">
        <v>46240</v>
      </c>
      <c r="G97" t="s">
        <v>730</v>
      </c>
      <c r="H97" t="s">
        <v>731</v>
      </c>
      <c r="I97" s="1">
        <v>46227</v>
      </c>
      <c r="J97" t="s">
        <v>138</v>
      </c>
      <c r="K97" t="s">
        <v>1278</v>
      </c>
      <c r="L97" t="s">
        <v>12</v>
      </c>
      <c r="M97" t="s">
        <v>21</v>
      </c>
      <c r="N97" t="s">
        <v>762</v>
      </c>
      <c r="O97" t="s">
        <v>2008</v>
      </c>
      <c r="Q97" t="s">
        <v>6</v>
      </c>
      <c r="R97" t="s">
        <v>660</v>
      </c>
      <c r="S97" t="s">
        <v>763</v>
      </c>
      <c r="T97" t="s">
        <v>416</v>
      </c>
      <c r="U97">
        <v>51</v>
      </c>
      <c r="V97">
        <v>187</v>
      </c>
      <c r="W97" s="2">
        <v>9537</v>
      </c>
      <c r="X97">
        <v>0</v>
      </c>
      <c r="Y97">
        <v>0</v>
      </c>
      <c r="Z97" s="2">
        <v>1716.66</v>
      </c>
      <c r="AA97">
        <v>0</v>
      </c>
      <c r="AB97">
        <v>0</v>
      </c>
      <c r="AC97" s="2">
        <v>11253.66</v>
      </c>
      <c r="AD97">
        <v>0</v>
      </c>
      <c r="AE97">
        <v>0</v>
      </c>
      <c r="AF97" s="2">
        <v>11253.66</v>
      </c>
      <c r="AG97" t="s">
        <v>37</v>
      </c>
    </row>
    <row r="98" spans="1:33" x14ac:dyDescent="0.35">
      <c r="A98">
        <v>96</v>
      </c>
      <c r="B98">
        <v>281844</v>
      </c>
      <c r="C98">
        <v>328013184</v>
      </c>
      <c r="D98" t="s">
        <v>830</v>
      </c>
      <c r="E98" t="s">
        <v>50</v>
      </c>
      <c r="F98" s="1">
        <v>46240</v>
      </c>
      <c r="G98" t="s">
        <v>831</v>
      </c>
      <c r="H98" t="s">
        <v>832</v>
      </c>
      <c r="I98" s="1">
        <v>46230</v>
      </c>
      <c r="J98" t="s">
        <v>138</v>
      </c>
      <c r="K98" t="s">
        <v>1278</v>
      </c>
      <c r="L98" t="s">
        <v>12</v>
      </c>
      <c r="M98" t="s">
        <v>21</v>
      </c>
      <c r="N98" t="s">
        <v>833</v>
      </c>
      <c r="O98" t="s">
        <v>2032</v>
      </c>
      <c r="P98" t="s">
        <v>834</v>
      </c>
      <c r="Q98" t="s">
        <v>6</v>
      </c>
      <c r="R98" t="s">
        <v>47</v>
      </c>
      <c r="S98" t="s">
        <v>834</v>
      </c>
      <c r="T98" t="s">
        <v>2033</v>
      </c>
      <c r="U98">
        <v>18</v>
      </c>
      <c r="V98" s="2">
        <v>7316.96</v>
      </c>
      <c r="W98" s="2">
        <v>131705.28</v>
      </c>
      <c r="X98">
        <v>0</v>
      </c>
      <c r="Y98">
        <v>0</v>
      </c>
      <c r="Z98" s="2">
        <v>23706.950400000002</v>
      </c>
      <c r="AA98">
        <v>0</v>
      </c>
      <c r="AB98">
        <v>0</v>
      </c>
      <c r="AC98" s="2">
        <v>155412.2304</v>
      </c>
      <c r="AD98">
        <v>0</v>
      </c>
      <c r="AE98">
        <v>0</v>
      </c>
      <c r="AF98" s="2">
        <v>155412.2304</v>
      </c>
      <c r="AG98" t="s">
        <v>37</v>
      </c>
    </row>
    <row r="99" spans="1:33" x14ac:dyDescent="0.35">
      <c r="A99">
        <v>97</v>
      </c>
      <c r="B99">
        <v>281847</v>
      </c>
      <c r="C99">
        <v>328013187</v>
      </c>
      <c r="D99" t="s">
        <v>835</v>
      </c>
      <c r="E99" t="s">
        <v>50</v>
      </c>
      <c r="F99" s="1">
        <v>46240</v>
      </c>
      <c r="G99" t="s">
        <v>97</v>
      </c>
      <c r="H99" t="s">
        <v>836</v>
      </c>
      <c r="I99" s="1">
        <v>46231</v>
      </c>
      <c r="J99" t="s">
        <v>138</v>
      </c>
      <c r="K99" t="s">
        <v>1279</v>
      </c>
      <c r="L99" t="s">
        <v>12</v>
      </c>
      <c r="M99" t="s">
        <v>21</v>
      </c>
      <c r="N99" t="s">
        <v>837</v>
      </c>
      <c r="O99" t="s">
        <v>1936</v>
      </c>
      <c r="P99" t="s">
        <v>2034</v>
      </c>
      <c r="Q99" t="s">
        <v>6</v>
      </c>
      <c r="R99" t="s">
        <v>838</v>
      </c>
      <c r="S99" t="s">
        <v>839</v>
      </c>
      <c r="T99" t="s">
        <v>416</v>
      </c>
      <c r="U99">
        <v>300</v>
      </c>
      <c r="V99">
        <v>58.65</v>
      </c>
      <c r="W99" s="2">
        <v>17595</v>
      </c>
      <c r="X99">
        <v>0</v>
      </c>
      <c r="Y99">
        <v>0</v>
      </c>
      <c r="Z99" s="2">
        <v>3167.1</v>
      </c>
      <c r="AA99">
        <v>0</v>
      </c>
      <c r="AB99">
        <v>0</v>
      </c>
      <c r="AC99" s="2">
        <v>20762.099999999999</v>
      </c>
      <c r="AD99">
        <v>0</v>
      </c>
      <c r="AE99">
        <v>0</v>
      </c>
      <c r="AF99" s="2">
        <v>20762.099999999999</v>
      </c>
      <c r="AG99" t="s">
        <v>37</v>
      </c>
    </row>
    <row r="100" spans="1:33" x14ac:dyDescent="0.35">
      <c r="A100">
        <v>98</v>
      </c>
      <c r="B100">
        <v>281847</v>
      </c>
      <c r="C100">
        <v>328013187</v>
      </c>
      <c r="D100" t="s">
        <v>835</v>
      </c>
      <c r="E100" t="s">
        <v>50</v>
      </c>
      <c r="F100" s="1">
        <v>46240</v>
      </c>
      <c r="G100" t="s">
        <v>97</v>
      </c>
      <c r="H100" t="s">
        <v>836</v>
      </c>
      <c r="I100" s="1">
        <v>46231</v>
      </c>
      <c r="J100" t="s">
        <v>138</v>
      </c>
      <c r="K100" t="s">
        <v>1279</v>
      </c>
      <c r="L100" t="s">
        <v>12</v>
      </c>
      <c r="M100" t="s">
        <v>21</v>
      </c>
      <c r="N100" t="s">
        <v>840</v>
      </c>
      <c r="O100" t="s">
        <v>2014</v>
      </c>
      <c r="P100" t="s">
        <v>2035</v>
      </c>
      <c r="Q100" t="s">
        <v>6</v>
      </c>
      <c r="R100" t="s">
        <v>841</v>
      </c>
      <c r="S100" t="s">
        <v>842</v>
      </c>
      <c r="T100" t="s">
        <v>1995</v>
      </c>
      <c r="U100">
        <v>300</v>
      </c>
      <c r="V100">
        <v>18.16</v>
      </c>
      <c r="W100" s="2">
        <v>5448</v>
      </c>
      <c r="X100">
        <v>0</v>
      </c>
      <c r="Y100">
        <v>0</v>
      </c>
      <c r="Z100">
        <v>980.64</v>
      </c>
      <c r="AA100">
        <v>0</v>
      </c>
      <c r="AB100">
        <v>0</v>
      </c>
      <c r="AC100" s="2">
        <v>6428.64</v>
      </c>
      <c r="AD100">
        <v>0</v>
      </c>
      <c r="AE100">
        <v>0</v>
      </c>
      <c r="AF100" s="2">
        <v>6428.64</v>
      </c>
      <c r="AG100" t="s">
        <v>37</v>
      </c>
    </row>
    <row r="101" spans="1:33" x14ac:dyDescent="0.35">
      <c r="A101">
        <v>99</v>
      </c>
      <c r="B101">
        <v>281848</v>
      </c>
      <c r="C101">
        <v>328013188</v>
      </c>
      <c r="D101" t="s">
        <v>843</v>
      </c>
      <c r="E101" t="s">
        <v>50</v>
      </c>
      <c r="F101" s="1">
        <v>46240</v>
      </c>
      <c r="G101" t="s">
        <v>844</v>
      </c>
      <c r="H101">
        <v>4000640863</v>
      </c>
      <c r="I101" s="1">
        <v>46227</v>
      </c>
      <c r="J101" t="s">
        <v>138</v>
      </c>
      <c r="K101" t="s">
        <v>137</v>
      </c>
      <c r="L101" t="s">
        <v>15</v>
      </c>
      <c r="M101" t="s">
        <v>23</v>
      </c>
      <c r="N101" t="s">
        <v>845</v>
      </c>
      <c r="O101" t="s">
        <v>1950</v>
      </c>
      <c r="P101">
        <v>465474120287</v>
      </c>
      <c r="Q101" t="s">
        <v>6</v>
      </c>
      <c r="R101" t="s">
        <v>846</v>
      </c>
      <c r="S101" t="s">
        <v>847</v>
      </c>
      <c r="T101" t="s">
        <v>1997</v>
      </c>
      <c r="U101">
        <v>223</v>
      </c>
      <c r="V101">
        <v>384</v>
      </c>
      <c r="W101" s="2">
        <v>85632</v>
      </c>
      <c r="X101">
        <v>0</v>
      </c>
      <c r="Y101">
        <v>0</v>
      </c>
      <c r="Z101" s="2">
        <v>15413.76</v>
      </c>
      <c r="AA101">
        <v>0</v>
      </c>
      <c r="AB101">
        <v>0</v>
      </c>
      <c r="AC101" s="2">
        <v>101045.75999999999</v>
      </c>
      <c r="AD101">
        <v>0</v>
      </c>
      <c r="AE101">
        <v>0</v>
      </c>
      <c r="AF101" s="2">
        <v>101045.75999999999</v>
      </c>
      <c r="AG101" t="s">
        <v>37</v>
      </c>
    </row>
    <row r="102" spans="1:33" x14ac:dyDescent="0.35">
      <c r="A102">
        <v>100</v>
      </c>
      <c r="B102">
        <v>281853</v>
      </c>
      <c r="C102">
        <v>328013193</v>
      </c>
      <c r="D102" t="s">
        <v>848</v>
      </c>
      <c r="E102" t="s">
        <v>50</v>
      </c>
      <c r="F102" s="1">
        <v>46240</v>
      </c>
      <c r="G102" t="s">
        <v>48</v>
      </c>
      <c r="H102">
        <v>14124028</v>
      </c>
      <c r="I102" s="1">
        <v>46230</v>
      </c>
      <c r="J102" t="s">
        <v>138</v>
      </c>
      <c r="K102" t="s">
        <v>137</v>
      </c>
      <c r="L102" t="s">
        <v>15</v>
      </c>
      <c r="M102" t="s">
        <v>14</v>
      </c>
      <c r="N102" t="s">
        <v>849</v>
      </c>
      <c r="O102" t="s">
        <v>1932</v>
      </c>
      <c r="P102">
        <v>10450156</v>
      </c>
      <c r="Q102" t="s">
        <v>6</v>
      </c>
      <c r="R102" t="s">
        <v>93</v>
      </c>
      <c r="S102" t="s">
        <v>850</v>
      </c>
      <c r="T102" t="s">
        <v>2036</v>
      </c>
      <c r="U102" s="2">
        <v>1200</v>
      </c>
      <c r="V102">
        <v>23.07</v>
      </c>
      <c r="W102" s="2">
        <v>27684</v>
      </c>
      <c r="X102">
        <v>0</v>
      </c>
      <c r="Y102">
        <v>0</v>
      </c>
      <c r="Z102" s="2">
        <v>4983.12</v>
      </c>
      <c r="AA102">
        <v>0</v>
      </c>
      <c r="AB102">
        <v>0</v>
      </c>
      <c r="AC102" s="2">
        <v>32667.119999999999</v>
      </c>
      <c r="AD102">
        <v>0</v>
      </c>
      <c r="AE102">
        <v>0</v>
      </c>
      <c r="AF102" s="2">
        <v>32667.119999999999</v>
      </c>
      <c r="AG102" t="s">
        <v>37</v>
      </c>
    </row>
    <row r="103" spans="1:33" x14ac:dyDescent="0.35">
      <c r="A103">
        <v>101</v>
      </c>
      <c r="B103">
        <v>281909</v>
      </c>
      <c r="C103">
        <v>328013242</v>
      </c>
      <c r="D103" t="s">
        <v>851</v>
      </c>
      <c r="E103" t="s">
        <v>50</v>
      </c>
      <c r="F103" s="1">
        <v>46240</v>
      </c>
      <c r="G103" t="s">
        <v>852</v>
      </c>
      <c r="H103" t="s">
        <v>123</v>
      </c>
      <c r="I103" s="1">
        <v>46232</v>
      </c>
      <c r="J103" t="s">
        <v>138</v>
      </c>
      <c r="K103" t="s">
        <v>1279</v>
      </c>
      <c r="L103" t="s">
        <v>12</v>
      </c>
      <c r="M103" t="s">
        <v>21</v>
      </c>
      <c r="N103" t="s">
        <v>859</v>
      </c>
      <c r="O103" t="s">
        <v>1937</v>
      </c>
      <c r="Q103" t="s">
        <v>6</v>
      </c>
      <c r="R103" t="s">
        <v>38</v>
      </c>
      <c r="S103" t="s">
        <v>860</v>
      </c>
      <c r="T103" t="s">
        <v>1995</v>
      </c>
      <c r="U103">
        <v>7</v>
      </c>
      <c r="V103">
        <v>119.84</v>
      </c>
      <c r="W103">
        <v>838.88</v>
      </c>
      <c r="X103">
        <v>0</v>
      </c>
      <c r="Y103">
        <v>0</v>
      </c>
      <c r="Z103">
        <v>150.9984</v>
      </c>
      <c r="AA103">
        <v>0</v>
      </c>
      <c r="AB103">
        <v>0</v>
      </c>
      <c r="AC103">
        <v>989.87840000000006</v>
      </c>
      <c r="AD103">
        <v>0</v>
      </c>
      <c r="AE103">
        <v>0</v>
      </c>
      <c r="AF103">
        <v>989.87840000000006</v>
      </c>
      <c r="AG103" t="s">
        <v>37</v>
      </c>
    </row>
    <row r="104" spans="1:33" x14ac:dyDescent="0.35">
      <c r="A104">
        <v>102</v>
      </c>
      <c r="B104">
        <v>281909</v>
      </c>
      <c r="C104">
        <v>328013242</v>
      </c>
      <c r="D104" t="s">
        <v>851</v>
      </c>
      <c r="E104" t="s">
        <v>50</v>
      </c>
      <c r="F104" s="1">
        <v>46240</v>
      </c>
      <c r="G104" t="s">
        <v>852</v>
      </c>
      <c r="H104" t="s">
        <v>123</v>
      </c>
      <c r="I104" s="1">
        <v>46232</v>
      </c>
      <c r="J104" t="s">
        <v>138</v>
      </c>
      <c r="K104" t="s">
        <v>1279</v>
      </c>
      <c r="L104" t="s">
        <v>12</v>
      </c>
      <c r="M104" t="s">
        <v>21</v>
      </c>
      <c r="N104" t="s">
        <v>863</v>
      </c>
      <c r="O104" t="s">
        <v>1936</v>
      </c>
      <c r="Q104" t="s">
        <v>6</v>
      </c>
      <c r="R104" t="s">
        <v>660</v>
      </c>
      <c r="S104" t="s">
        <v>864</v>
      </c>
      <c r="T104" t="s">
        <v>416</v>
      </c>
      <c r="U104">
        <v>14</v>
      </c>
      <c r="V104">
        <v>177.48</v>
      </c>
      <c r="W104" s="2">
        <v>2484.7199999999998</v>
      </c>
      <c r="X104">
        <v>0</v>
      </c>
      <c r="Y104">
        <v>0</v>
      </c>
      <c r="Z104">
        <v>447.24959999999999</v>
      </c>
      <c r="AA104">
        <v>0</v>
      </c>
      <c r="AB104">
        <v>0</v>
      </c>
      <c r="AC104" s="2">
        <v>2931.9695999999999</v>
      </c>
      <c r="AD104">
        <v>0</v>
      </c>
      <c r="AE104">
        <v>0</v>
      </c>
      <c r="AF104" s="2">
        <v>2931.9695999999999</v>
      </c>
      <c r="AG104" t="s">
        <v>37</v>
      </c>
    </row>
    <row r="105" spans="1:33" x14ac:dyDescent="0.35">
      <c r="A105">
        <v>103</v>
      </c>
      <c r="B105">
        <v>281909</v>
      </c>
      <c r="C105">
        <v>328013242</v>
      </c>
      <c r="D105" t="s">
        <v>851</v>
      </c>
      <c r="E105" t="s">
        <v>50</v>
      </c>
      <c r="F105" s="1">
        <v>46240</v>
      </c>
      <c r="G105" t="s">
        <v>852</v>
      </c>
      <c r="H105" t="s">
        <v>123</v>
      </c>
      <c r="I105" s="1">
        <v>46232</v>
      </c>
      <c r="J105" t="s">
        <v>138</v>
      </c>
      <c r="K105" t="s">
        <v>1279</v>
      </c>
      <c r="L105" t="s">
        <v>12</v>
      </c>
      <c r="M105" t="s">
        <v>21</v>
      </c>
      <c r="N105" t="s">
        <v>762</v>
      </c>
      <c r="O105" t="s">
        <v>2008</v>
      </c>
      <c r="Q105" t="s">
        <v>6</v>
      </c>
      <c r="R105" t="s">
        <v>660</v>
      </c>
      <c r="S105" t="s">
        <v>763</v>
      </c>
      <c r="T105" t="s">
        <v>416</v>
      </c>
      <c r="U105">
        <v>7</v>
      </c>
      <c r="V105">
        <v>279.48</v>
      </c>
      <c r="W105" s="2">
        <v>1956.36</v>
      </c>
      <c r="X105">
        <v>0</v>
      </c>
      <c r="Y105">
        <v>0</v>
      </c>
      <c r="Z105">
        <v>352.14479999999998</v>
      </c>
      <c r="AA105">
        <v>0</v>
      </c>
      <c r="AB105">
        <v>0</v>
      </c>
      <c r="AC105" s="2">
        <v>2308.5048000000002</v>
      </c>
      <c r="AD105">
        <v>0</v>
      </c>
      <c r="AE105">
        <v>0</v>
      </c>
      <c r="AF105" s="2">
        <v>2308.5048000000002</v>
      </c>
      <c r="AG105" t="s">
        <v>37</v>
      </c>
    </row>
    <row r="106" spans="1:33" x14ac:dyDescent="0.35">
      <c r="A106">
        <v>104</v>
      </c>
      <c r="B106">
        <v>281909</v>
      </c>
      <c r="C106">
        <v>328013242</v>
      </c>
      <c r="D106" t="s">
        <v>851</v>
      </c>
      <c r="E106" t="s">
        <v>50</v>
      </c>
      <c r="F106" s="1">
        <v>46240</v>
      </c>
      <c r="G106" t="s">
        <v>852</v>
      </c>
      <c r="H106" t="s">
        <v>123</v>
      </c>
      <c r="I106" s="1">
        <v>46232</v>
      </c>
      <c r="J106" t="s">
        <v>138</v>
      </c>
      <c r="K106" t="s">
        <v>1279</v>
      </c>
      <c r="L106" t="s">
        <v>12</v>
      </c>
      <c r="M106" t="s">
        <v>21</v>
      </c>
      <c r="N106" t="s">
        <v>865</v>
      </c>
      <c r="O106" t="s">
        <v>1936</v>
      </c>
      <c r="Q106" t="s">
        <v>6</v>
      </c>
      <c r="R106" t="s">
        <v>660</v>
      </c>
      <c r="S106" t="s">
        <v>866</v>
      </c>
      <c r="T106" t="s">
        <v>416</v>
      </c>
      <c r="U106">
        <v>7</v>
      </c>
      <c r="V106">
        <v>109.14</v>
      </c>
      <c r="W106">
        <v>763.98</v>
      </c>
      <c r="X106">
        <v>0</v>
      </c>
      <c r="Y106">
        <v>0</v>
      </c>
      <c r="Z106">
        <v>137.5164</v>
      </c>
      <c r="AA106">
        <v>0</v>
      </c>
      <c r="AB106">
        <v>0</v>
      </c>
      <c r="AC106">
        <v>901.49639999999999</v>
      </c>
      <c r="AD106">
        <v>0</v>
      </c>
      <c r="AE106">
        <v>0</v>
      </c>
      <c r="AF106">
        <v>901.49639999999999</v>
      </c>
      <c r="AG106" t="s">
        <v>37</v>
      </c>
    </row>
    <row r="107" spans="1:33" x14ac:dyDescent="0.35">
      <c r="A107">
        <v>105</v>
      </c>
      <c r="B107">
        <v>281909</v>
      </c>
      <c r="C107">
        <v>328013242</v>
      </c>
      <c r="D107" t="s">
        <v>851</v>
      </c>
      <c r="E107" t="s">
        <v>50</v>
      </c>
      <c r="F107" s="1">
        <v>46240</v>
      </c>
      <c r="G107" t="s">
        <v>852</v>
      </c>
      <c r="H107" t="s">
        <v>123</v>
      </c>
      <c r="I107" s="1">
        <v>46232</v>
      </c>
      <c r="J107" t="s">
        <v>138</v>
      </c>
      <c r="K107" t="s">
        <v>1279</v>
      </c>
      <c r="L107" t="s">
        <v>12</v>
      </c>
      <c r="M107" t="s">
        <v>21</v>
      </c>
      <c r="N107" t="s">
        <v>861</v>
      </c>
      <c r="O107" t="s">
        <v>1936</v>
      </c>
      <c r="Q107" t="s">
        <v>6</v>
      </c>
      <c r="R107" t="s">
        <v>660</v>
      </c>
      <c r="S107" t="s">
        <v>862</v>
      </c>
      <c r="T107" t="s">
        <v>416</v>
      </c>
      <c r="U107">
        <v>7</v>
      </c>
      <c r="V107">
        <v>92.82</v>
      </c>
      <c r="W107">
        <v>649.74</v>
      </c>
      <c r="X107">
        <v>0</v>
      </c>
      <c r="Y107">
        <v>0</v>
      </c>
      <c r="Z107">
        <v>116.9532</v>
      </c>
      <c r="AA107">
        <v>0</v>
      </c>
      <c r="AB107">
        <v>0</v>
      </c>
      <c r="AC107">
        <v>766.69320000000005</v>
      </c>
      <c r="AD107">
        <v>0</v>
      </c>
      <c r="AE107">
        <v>0</v>
      </c>
      <c r="AF107">
        <v>766.69320000000005</v>
      </c>
      <c r="AG107" t="s">
        <v>37</v>
      </c>
    </row>
    <row r="108" spans="1:33" x14ac:dyDescent="0.35">
      <c r="A108">
        <v>106</v>
      </c>
      <c r="B108">
        <v>281909</v>
      </c>
      <c r="C108">
        <v>328013242</v>
      </c>
      <c r="D108" t="s">
        <v>851</v>
      </c>
      <c r="E108" t="s">
        <v>50</v>
      </c>
      <c r="F108" s="1">
        <v>46240</v>
      </c>
      <c r="G108" t="s">
        <v>852</v>
      </c>
      <c r="H108" t="s">
        <v>123</v>
      </c>
      <c r="I108" s="1">
        <v>46232</v>
      </c>
      <c r="J108" t="s">
        <v>138</v>
      </c>
      <c r="K108" t="s">
        <v>1279</v>
      </c>
      <c r="L108" t="s">
        <v>12</v>
      </c>
      <c r="M108" t="s">
        <v>21</v>
      </c>
      <c r="N108" t="s">
        <v>857</v>
      </c>
      <c r="O108" t="s">
        <v>1937</v>
      </c>
      <c r="Q108" t="s">
        <v>6</v>
      </c>
      <c r="R108" t="s">
        <v>699</v>
      </c>
      <c r="S108" t="s">
        <v>858</v>
      </c>
      <c r="T108" t="s">
        <v>1995</v>
      </c>
      <c r="U108">
        <v>7</v>
      </c>
      <c r="V108">
        <v>28</v>
      </c>
      <c r="W108">
        <v>196</v>
      </c>
      <c r="X108">
        <v>0</v>
      </c>
      <c r="Y108">
        <v>0</v>
      </c>
      <c r="Z108">
        <v>35.28</v>
      </c>
      <c r="AA108">
        <v>0</v>
      </c>
      <c r="AB108">
        <v>0</v>
      </c>
      <c r="AC108">
        <v>231.28</v>
      </c>
      <c r="AD108">
        <v>0</v>
      </c>
      <c r="AE108">
        <v>0</v>
      </c>
      <c r="AF108">
        <v>231.28</v>
      </c>
      <c r="AG108" t="s">
        <v>37</v>
      </c>
    </row>
    <row r="109" spans="1:33" x14ac:dyDescent="0.35">
      <c r="A109">
        <v>107</v>
      </c>
      <c r="B109">
        <v>281909</v>
      </c>
      <c r="C109">
        <v>328013242</v>
      </c>
      <c r="D109" t="s">
        <v>851</v>
      </c>
      <c r="E109" t="s">
        <v>50</v>
      </c>
      <c r="F109" s="1">
        <v>46240</v>
      </c>
      <c r="G109" t="s">
        <v>852</v>
      </c>
      <c r="H109" t="s">
        <v>123</v>
      </c>
      <c r="I109" s="1">
        <v>46232</v>
      </c>
      <c r="J109" t="s">
        <v>138</v>
      </c>
      <c r="K109" t="s">
        <v>1279</v>
      </c>
      <c r="L109" t="s">
        <v>12</v>
      </c>
      <c r="M109" t="s">
        <v>21</v>
      </c>
      <c r="N109" t="s">
        <v>855</v>
      </c>
      <c r="O109" t="s">
        <v>2008</v>
      </c>
      <c r="Q109" t="s">
        <v>6</v>
      </c>
      <c r="R109" t="s">
        <v>699</v>
      </c>
      <c r="S109" t="s">
        <v>856</v>
      </c>
      <c r="T109" t="s">
        <v>416</v>
      </c>
      <c r="U109">
        <v>7</v>
      </c>
      <c r="V109">
        <v>195.84</v>
      </c>
      <c r="W109" s="2">
        <v>1370.88</v>
      </c>
      <c r="X109">
        <v>0</v>
      </c>
      <c r="Y109">
        <v>0</v>
      </c>
      <c r="Z109">
        <v>246.75839999999999</v>
      </c>
      <c r="AA109">
        <v>0</v>
      </c>
      <c r="AB109">
        <v>0</v>
      </c>
      <c r="AC109" s="2">
        <v>1617.6384</v>
      </c>
      <c r="AD109">
        <v>0</v>
      </c>
      <c r="AE109">
        <v>0</v>
      </c>
      <c r="AF109" s="2">
        <v>1617.6384</v>
      </c>
      <c r="AG109" t="s">
        <v>37</v>
      </c>
    </row>
    <row r="110" spans="1:33" x14ac:dyDescent="0.35">
      <c r="A110">
        <v>108</v>
      </c>
      <c r="B110">
        <v>281909</v>
      </c>
      <c r="C110">
        <v>328013242</v>
      </c>
      <c r="D110" t="s">
        <v>851</v>
      </c>
      <c r="E110" t="s">
        <v>50</v>
      </c>
      <c r="F110" s="1">
        <v>46240</v>
      </c>
      <c r="G110" t="s">
        <v>852</v>
      </c>
      <c r="H110" t="s">
        <v>123</v>
      </c>
      <c r="I110" s="1">
        <v>46232</v>
      </c>
      <c r="J110" t="s">
        <v>138</v>
      </c>
      <c r="K110" t="s">
        <v>1279</v>
      </c>
      <c r="L110" t="s">
        <v>12</v>
      </c>
      <c r="M110" t="s">
        <v>21</v>
      </c>
      <c r="N110" t="s">
        <v>853</v>
      </c>
      <c r="O110" t="s">
        <v>1942</v>
      </c>
      <c r="Q110" t="s">
        <v>6</v>
      </c>
      <c r="R110" t="s">
        <v>768</v>
      </c>
      <c r="S110" t="s">
        <v>854</v>
      </c>
      <c r="T110" t="s">
        <v>2001</v>
      </c>
      <c r="U110">
        <v>21</v>
      </c>
      <c r="V110">
        <v>21.83</v>
      </c>
      <c r="W110">
        <v>458.43</v>
      </c>
      <c r="X110">
        <v>0</v>
      </c>
      <c r="Y110">
        <v>0</v>
      </c>
      <c r="Z110">
        <v>82.517399999999995</v>
      </c>
      <c r="AA110">
        <v>0</v>
      </c>
      <c r="AB110">
        <v>0</v>
      </c>
      <c r="AC110">
        <v>540.94740000000002</v>
      </c>
      <c r="AD110">
        <v>0</v>
      </c>
      <c r="AE110">
        <v>0</v>
      </c>
      <c r="AF110">
        <v>540.94740000000002</v>
      </c>
      <c r="AG110" t="s">
        <v>37</v>
      </c>
    </row>
    <row r="111" spans="1:33" x14ac:dyDescent="0.35">
      <c r="A111">
        <v>109</v>
      </c>
      <c r="B111">
        <v>281916</v>
      </c>
      <c r="C111">
        <v>328013247</v>
      </c>
      <c r="D111" t="s">
        <v>867</v>
      </c>
      <c r="E111" t="s">
        <v>50</v>
      </c>
      <c r="F111" s="1">
        <v>46240</v>
      </c>
      <c r="G111" t="s">
        <v>868</v>
      </c>
      <c r="H111" t="s">
        <v>123</v>
      </c>
      <c r="I111" s="1">
        <v>46232</v>
      </c>
      <c r="J111" t="s">
        <v>138</v>
      </c>
      <c r="K111" t="s">
        <v>1279</v>
      </c>
      <c r="L111" t="s">
        <v>12</v>
      </c>
      <c r="M111" t="s">
        <v>21</v>
      </c>
      <c r="N111" t="s">
        <v>869</v>
      </c>
      <c r="O111" t="s">
        <v>2037</v>
      </c>
      <c r="Q111" t="s">
        <v>6</v>
      </c>
      <c r="R111" t="s">
        <v>870</v>
      </c>
      <c r="S111" t="s">
        <v>871</v>
      </c>
      <c r="T111" t="s">
        <v>2033</v>
      </c>
      <c r="U111">
        <v>10</v>
      </c>
      <c r="V111">
        <v>874.72</v>
      </c>
      <c r="W111" s="2">
        <v>8747.2000000000007</v>
      </c>
      <c r="X111">
        <v>0</v>
      </c>
      <c r="Y111">
        <v>0</v>
      </c>
      <c r="Z111" s="2">
        <v>1574.4960000000001</v>
      </c>
      <c r="AA111">
        <v>0</v>
      </c>
      <c r="AB111">
        <v>0</v>
      </c>
      <c r="AC111" s="2">
        <v>10321.696</v>
      </c>
      <c r="AD111">
        <v>0</v>
      </c>
      <c r="AE111">
        <v>0</v>
      </c>
      <c r="AF111" s="2">
        <v>10321.696</v>
      </c>
      <c r="AG111" t="s">
        <v>37</v>
      </c>
    </row>
    <row r="112" spans="1:33" x14ac:dyDescent="0.35">
      <c r="A112">
        <v>110</v>
      </c>
      <c r="B112">
        <v>281923</v>
      </c>
      <c r="C112">
        <v>328013253</v>
      </c>
      <c r="D112" t="s">
        <v>872</v>
      </c>
      <c r="E112" t="s">
        <v>50</v>
      </c>
      <c r="F112" s="1">
        <v>46240</v>
      </c>
      <c r="G112" t="s">
        <v>697</v>
      </c>
      <c r="H112">
        <v>43701</v>
      </c>
      <c r="I112" s="1">
        <v>46240</v>
      </c>
      <c r="J112" t="s">
        <v>138</v>
      </c>
      <c r="K112" t="s">
        <v>137</v>
      </c>
      <c r="L112" t="s">
        <v>78</v>
      </c>
      <c r="M112" t="s">
        <v>21</v>
      </c>
      <c r="N112" t="s">
        <v>900</v>
      </c>
      <c r="O112" t="s">
        <v>1949</v>
      </c>
      <c r="P112" t="s">
        <v>2038</v>
      </c>
      <c r="Q112" t="s">
        <v>6</v>
      </c>
      <c r="R112" t="s">
        <v>38</v>
      </c>
      <c r="S112" t="s">
        <v>901</v>
      </c>
      <c r="T112" t="s">
        <v>1995</v>
      </c>
      <c r="U112">
        <v>50</v>
      </c>
      <c r="V112">
        <v>4.75</v>
      </c>
      <c r="W112">
        <v>237.5</v>
      </c>
      <c r="X112">
        <v>0</v>
      </c>
      <c r="Y112">
        <v>0</v>
      </c>
      <c r="Z112">
        <v>42.75</v>
      </c>
      <c r="AA112">
        <v>0</v>
      </c>
      <c r="AB112">
        <v>0</v>
      </c>
      <c r="AC112">
        <v>280.25</v>
      </c>
      <c r="AD112">
        <v>0</v>
      </c>
      <c r="AE112">
        <v>0</v>
      </c>
      <c r="AF112">
        <v>280.25</v>
      </c>
      <c r="AG112" t="s">
        <v>37</v>
      </c>
    </row>
    <row r="113" spans="1:33" x14ac:dyDescent="0.35">
      <c r="A113">
        <v>111</v>
      </c>
      <c r="B113">
        <v>281923</v>
      </c>
      <c r="C113">
        <v>328013253</v>
      </c>
      <c r="D113" t="s">
        <v>872</v>
      </c>
      <c r="E113" t="s">
        <v>50</v>
      </c>
      <c r="F113" s="1">
        <v>46240</v>
      </c>
      <c r="G113" t="s">
        <v>697</v>
      </c>
      <c r="H113">
        <v>43701</v>
      </c>
      <c r="I113" s="1">
        <v>46240</v>
      </c>
      <c r="J113" t="s">
        <v>138</v>
      </c>
      <c r="K113" t="s">
        <v>137</v>
      </c>
      <c r="L113" t="s">
        <v>78</v>
      </c>
      <c r="M113" t="s">
        <v>21</v>
      </c>
      <c r="N113" t="s">
        <v>890</v>
      </c>
      <c r="O113" t="s">
        <v>1949</v>
      </c>
      <c r="P113" t="s">
        <v>2039</v>
      </c>
      <c r="Q113" t="s">
        <v>6</v>
      </c>
      <c r="R113" t="s">
        <v>886</v>
      </c>
      <c r="S113" t="s">
        <v>891</v>
      </c>
      <c r="T113" t="s">
        <v>1995</v>
      </c>
      <c r="U113">
        <v>10</v>
      </c>
      <c r="V113">
        <v>21.82</v>
      </c>
      <c r="W113">
        <v>218.2</v>
      </c>
      <c r="X113">
        <v>0</v>
      </c>
      <c r="Y113">
        <v>0</v>
      </c>
      <c r="Z113">
        <v>39.276000000000003</v>
      </c>
      <c r="AA113">
        <v>0</v>
      </c>
      <c r="AB113">
        <v>0</v>
      </c>
      <c r="AC113">
        <v>257.476</v>
      </c>
      <c r="AD113">
        <v>0</v>
      </c>
      <c r="AE113">
        <v>0</v>
      </c>
      <c r="AF113">
        <v>257.476</v>
      </c>
      <c r="AG113" t="s">
        <v>37</v>
      </c>
    </row>
    <row r="114" spans="1:33" x14ac:dyDescent="0.35">
      <c r="A114">
        <v>112</v>
      </c>
      <c r="B114">
        <v>281923</v>
      </c>
      <c r="C114">
        <v>328013253</v>
      </c>
      <c r="D114" t="s">
        <v>872</v>
      </c>
      <c r="E114" t="s">
        <v>50</v>
      </c>
      <c r="F114" s="1">
        <v>46240</v>
      </c>
      <c r="G114" t="s">
        <v>697</v>
      </c>
      <c r="H114">
        <v>43701</v>
      </c>
      <c r="I114" s="1">
        <v>46240</v>
      </c>
      <c r="J114" t="s">
        <v>138</v>
      </c>
      <c r="K114" t="s">
        <v>137</v>
      </c>
      <c r="L114" t="s">
        <v>78</v>
      </c>
      <c r="M114" t="s">
        <v>21</v>
      </c>
      <c r="N114" t="s">
        <v>898</v>
      </c>
      <c r="O114" t="s">
        <v>1936</v>
      </c>
      <c r="P114" t="s">
        <v>2040</v>
      </c>
      <c r="Q114" t="s">
        <v>6</v>
      </c>
      <c r="R114" t="s">
        <v>660</v>
      </c>
      <c r="S114" t="s">
        <v>899</v>
      </c>
      <c r="T114" t="s">
        <v>416</v>
      </c>
      <c r="U114">
        <v>10</v>
      </c>
      <c r="V114">
        <v>81.41</v>
      </c>
      <c r="W114">
        <v>814.1</v>
      </c>
      <c r="X114">
        <v>0</v>
      </c>
      <c r="Y114">
        <v>0</v>
      </c>
      <c r="Z114">
        <v>146.53800000000001</v>
      </c>
      <c r="AA114">
        <v>0</v>
      </c>
      <c r="AB114">
        <v>0</v>
      </c>
      <c r="AC114">
        <v>960.63800000000003</v>
      </c>
      <c r="AD114">
        <v>0</v>
      </c>
      <c r="AE114">
        <v>0</v>
      </c>
      <c r="AF114">
        <v>960.63800000000003</v>
      </c>
      <c r="AG114" t="s">
        <v>37</v>
      </c>
    </row>
    <row r="115" spans="1:33" x14ac:dyDescent="0.35">
      <c r="A115">
        <v>113</v>
      </c>
      <c r="B115">
        <v>281923</v>
      </c>
      <c r="C115">
        <v>328013253</v>
      </c>
      <c r="D115" t="s">
        <v>872</v>
      </c>
      <c r="E115" t="s">
        <v>50</v>
      </c>
      <c r="F115" s="1">
        <v>46240</v>
      </c>
      <c r="G115" t="s">
        <v>697</v>
      </c>
      <c r="H115">
        <v>43701</v>
      </c>
      <c r="I115" s="1">
        <v>46240</v>
      </c>
      <c r="J115" t="s">
        <v>138</v>
      </c>
      <c r="K115" t="s">
        <v>137</v>
      </c>
      <c r="L115" t="s">
        <v>78</v>
      </c>
      <c r="M115" t="s">
        <v>21</v>
      </c>
      <c r="N115" t="s">
        <v>914</v>
      </c>
      <c r="O115" t="s">
        <v>1932</v>
      </c>
      <c r="P115" t="s">
        <v>2041</v>
      </c>
      <c r="Q115" t="s">
        <v>6</v>
      </c>
      <c r="R115" t="s">
        <v>915</v>
      </c>
      <c r="S115" t="s">
        <v>916</v>
      </c>
      <c r="T115" t="s">
        <v>2001</v>
      </c>
      <c r="U115">
        <v>10</v>
      </c>
      <c r="V115">
        <v>10.3</v>
      </c>
      <c r="W115">
        <v>103</v>
      </c>
      <c r="X115">
        <v>0</v>
      </c>
      <c r="Y115">
        <v>0</v>
      </c>
      <c r="Z115">
        <v>18.54</v>
      </c>
      <c r="AA115">
        <v>0</v>
      </c>
      <c r="AB115">
        <v>0</v>
      </c>
      <c r="AC115">
        <v>121.54</v>
      </c>
      <c r="AD115">
        <v>0</v>
      </c>
      <c r="AE115">
        <v>0</v>
      </c>
      <c r="AF115">
        <v>121.54</v>
      </c>
      <c r="AG115" t="s">
        <v>37</v>
      </c>
    </row>
    <row r="116" spans="1:33" x14ac:dyDescent="0.35">
      <c r="A116">
        <v>114</v>
      </c>
      <c r="B116">
        <v>281923</v>
      </c>
      <c r="C116">
        <v>328013253</v>
      </c>
      <c r="D116" t="s">
        <v>872</v>
      </c>
      <c r="E116" t="s">
        <v>50</v>
      </c>
      <c r="F116" s="1">
        <v>46240</v>
      </c>
      <c r="G116" t="s">
        <v>697</v>
      </c>
      <c r="H116">
        <v>43701</v>
      </c>
      <c r="I116" s="1">
        <v>46240</v>
      </c>
      <c r="J116" t="s">
        <v>138</v>
      </c>
      <c r="K116" t="s">
        <v>137</v>
      </c>
      <c r="L116" t="s">
        <v>78</v>
      </c>
      <c r="M116" t="s">
        <v>21</v>
      </c>
      <c r="N116" t="s">
        <v>928</v>
      </c>
      <c r="O116" t="s">
        <v>1949</v>
      </c>
      <c r="P116" t="s">
        <v>2042</v>
      </c>
      <c r="Q116" t="s">
        <v>6</v>
      </c>
      <c r="R116" t="s">
        <v>740</v>
      </c>
      <c r="S116" t="s">
        <v>929</v>
      </c>
      <c r="T116" t="s">
        <v>1995</v>
      </c>
      <c r="U116">
        <v>82</v>
      </c>
      <c r="V116">
        <v>1.52</v>
      </c>
      <c r="W116">
        <v>124.64</v>
      </c>
      <c r="X116">
        <v>0</v>
      </c>
      <c r="Y116">
        <v>0</v>
      </c>
      <c r="Z116">
        <v>22.435199999999998</v>
      </c>
      <c r="AA116">
        <v>0</v>
      </c>
      <c r="AB116">
        <v>0</v>
      </c>
      <c r="AC116">
        <v>147.0752</v>
      </c>
      <c r="AD116">
        <v>0</v>
      </c>
      <c r="AE116">
        <v>0</v>
      </c>
      <c r="AF116">
        <v>147.0752</v>
      </c>
      <c r="AG116" t="s">
        <v>37</v>
      </c>
    </row>
    <row r="117" spans="1:33" x14ac:dyDescent="0.35">
      <c r="A117">
        <v>115</v>
      </c>
      <c r="B117">
        <v>281923</v>
      </c>
      <c r="C117">
        <v>328013253</v>
      </c>
      <c r="D117" t="s">
        <v>872</v>
      </c>
      <c r="E117" t="s">
        <v>50</v>
      </c>
      <c r="F117" s="1">
        <v>46240</v>
      </c>
      <c r="G117" t="s">
        <v>697</v>
      </c>
      <c r="H117">
        <v>43701</v>
      </c>
      <c r="I117" s="1">
        <v>46240</v>
      </c>
      <c r="J117" t="s">
        <v>138</v>
      </c>
      <c r="K117" t="s">
        <v>137</v>
      </c>
      <c r="L117" t="s">
        <v>78</v>
      </c>
      <c r="M117" t="s">
        <v>21</v>
      </c>
      <c r="N117" t="s">
        <v>921</v>
      </c>
      <c r="O117" t="s">
        <v>1935</v>
      </c>
      <c r="P117" t="s">
        <v>2043</v>
      </c>
      <c r="Q117" t="s">
        <v>6</v>
      </c>
      <c r="R117" t="s">
        <v>796</v>
      </c>
      <c r="S117" t="s">
        <v>922</v>
      </c>
      <c r="T117" t="s">
        <v>1995</v>
      </c>
      <c r="U117">
        <v>10</v>
      </c>
      <c r="V117">
        <v>71.709999999999994</v>
      </c>
      <c r="W117">
        <v>717.1</v>
      </c>
      <c r="X117">
        <v>0</v>
      </c>
      <c r="Y117">
        <v>0</v>
      </c>
      <c r="Z117">
        <v>129.078</v>
      </c>
      <c r="AA117">
        <v>0</v>
      </c>
      <c r="AB117">
        <v>0</v>
      </c>
      <c r="AC117">
        <v>846.178</v>
      </c>
      <c r="AD117">
        <v>0</v>
      </c>
      <c r="AE117">
        <v>0</v>
      </c>
      <c r="AF117">
        <v>846.178</v>
      </c>
      <c r="AG117" t="s">
        <v>37</v>
      </c>
    </row>
    <row r="118" spans="1:33" x14ac:dyDescent="0.35">
      <c r="A118">
        <v>116</v>
      </c>
      <c r="B118">
        <v>281923</v>
      </c>
      <c r="C118">
        <v>328013253</v>
      </c>
      <c r="D118" t="s">
        <v>872</v>
      </c>
      <c r="E118" t="s">
        <v>50</v>
      </c>
      <c r="F118" s="1">
        <v>46240</v>
      </c>
      <c r="G118" t="s">
        <v>697</v>
      </c>
      <c r="H118">
        <v>43701</v>
      </c>
      <c r="I118" s="1">
        <v>46240</v>
      </c>
      <c r="J118" t="s">
        <v>138</v>
      </c>
      <c r="K118" t="s">
        <v>137</v>
      </c>
      <c r="L118" t="s">
        <v>78</v>
      </c>
      <c r="M118" t="s">
        <v>21</v>
      </c>
      <c r="N118" t="s">
        <v>904</v>
      </c>
      <c r="O118" t="s">
        <v>1932</v>
      </c>
      <c r="P118" t="s">
        <v>2044</v>
      </c>
      <c r="Q118" t="s">
        <v>6</v>
      </c>
      <c r="R118" t="s">
        <v>93</v>
      </c>
      <c r="S118" t="s">
        <v>905</v>
      </c>
      <c r="T118" t="s">
        <v>2003</v>
      </c>
      <c r="U118">
        <v>40</v>
      </c>
      <c r="V118">
        <v>165.64</v>
      </c>
      <c r="W118" s="2">
        <v>6625.6</v>
      </c>
      <c r="X118">
        <v>0</v>
      </c>
      <c r="Y118">
        <v>0</v>
      </c>
      <c r="Z118" s="2">
        <v>1192.6079999999999</v>
      </c>
      <c r="AA118">
        <v>0</v>
      </c>
      <c r="AB118">
        <v>0</v>
      </c>
      <c r="AC118" s="2">
        <v>7818.2079999999996</v>
      </c>
      <c r="AD118">
        <v>0</v>
      </c>
      <c r="AE118">
        <v>0</v>
      </c>
      <c r="AF118" s="2">
        <v>7818.2079999999996</v>
      </c>
      <c r="AG118" t="s">
        <v>37</v>
      </c>
    </row>
    <row r="119" spans="1:33" x14ac:dyDescent="0.35">
      <c r="A119">
        <v>117</v>
      </c>
      <c r="B119">
        <v>281923</v>
      </c>
      <c r="C119">
        <v>328013253</v>
      </c>
      <c r="D119" t="s">
        <v>872</v>
      </c>
      <c r="E119" t="s">
        <v>50</v>
      </c>
      <c r="F119" s="1">
        <v>46240</v>
      </c>
      <c r="G119" t="s">
        <v>697</v>
      </c>
      <c r="H119">
        <v>43701</v>
      </c>
      <c r="I119" s="1">
        <v>46240</v>
      </c>
      <c r="J119" t="s">
        <v>138</v>
      </c>
      <c r="K119" t="s">
        <v>137</v>
      </c>
      <c r="L119" t="s">
        <v>78</v>
      </c>
      <c r="M119" t="s">
        <v>21</v>
      </c>
      <c r="N119" t="s">
        <v>936</v>
      </c>
      <c r="O119" t="s">
        <v>1948</v>
      </c>
      <c r="P119" t="s">
        <v>2045</v>
      </c>
      <c r="Q119" t="s">
        <v>6</v>
      </c>
      <c r="R119" t="s">
        <v>937</v>
      </c>
      <c r="S119" t="s">
        <v>938</v>
      </c>
      <c r="T119" t="s">
        <v>2003</v>
      </c>
      <c r="U119">
        <v>10</v>
      </c>
      <c r="V119">
        <v>185.37</v>
      </c>
      <c r="W119" s="2">
        <v>1853.7</v>
      </c>
      <c r="X119">
        <v>0</v>
      </c>
      <c r="Y119">
        <v>0</v>
      </c>
      <c r="Z119">
        <v>333.666</v>
      </c>
      <c r="AA119">
        <v>0</v>
      </c>
      <c r="AB119">
        <v>0</v>
      </c>
      <c r="AC119" s="2">
        <v>2187.366</v>
      </c>
      <c r="AD119">
        <v>0</v>
      </c>
      <c r="AE119">
        <v>0</v>
      </c>
      <c r="AF119" s="2">
        <v>2187.366</v>
      </c>
      <c r="AG119" t="s">
        <v>37</v>
      </c>
    </row>
    <row r="120" spans="1:33" x14ac:dyDescent="0.35">
      <c r="A120">
        <v>118</v>
      </c>
      <c r="B120">
        <v>281923</v>
      </c>
      <c r="C120">
        <v>328013253</v>
      </c>
      <c r="D120" t="s">
        <v>872</v>
      </c>
      <c r="E120" t="s">
        <v>50</v>
      </c>
      <c r="F120" s="1">
        <v>46240</v>
      </c>
      <c r="G120" t="s">
        <v>697</v>
      </c>
      <c r="H120">
        <v>43701</v>
      </c>
      <c r="I120" s="1">
        <v>46240</v>
      </c>
      <c r="J120" t="s">
        <v>138</v>
      </c>
      <c r="K120" t="s">
        <v>137</v>
      </c>
      <c r="L120" t="s">
        <v>78</v>
      </c>
      <c r="M120" t="s">
        <v>21</v>
      </c>
      <c r="N120" t="s">
        <v>902</v>
      </c>
      <c r="O120" t="s">
        <v>1932</v>
      </c>
      <c r="P120" t="s">
        <v>2046</v>
      </c>
      <c r="Q120" t="s">
        <v>6</v>
      </c>
      <c r="R120" t="s">
        <v>43</v>
      </c>
      <c r="S120" t="s">
        <v>903</v>
      </c>
      <c r="T120" t="s">
        <v>2001</v>
      </c>
      <c r="U120">
        <v>100</v>
      </c>
      <c r="V120">
        <v>21.01</v>
      </c>
      <c r="W120" s="2">
        <v>2101</v>
      </c>
      <c r="X120">
        <v>0</v>
      </c>
      <c r="Y120">
        <v>0</v>
      </c>
      <c r="Z120">
        <v>378.18</v>
      </c>
      <c r="AA120">
        <v>0</v>
      </c>
      <c r="AB120">
        <v>0</v>
      </c>
      <c r="AC120" s="2">
        <v>2479.1799999999998</v>
      </c>
      <c r="AD120">
        <v>0</v>
      </c>
      <c r="AE120">
        <v>0</v>
      </c>
      <c r="AF120" s="2">
        <v>2479.1799999999998</v>
      </c>
      <c r="AG120" t="s">
        <v>37</v>
      </c>
    </row>
    <row r="121" spans="1:33" x14ac:dyDescent="0.35">
      <c r="A121">
        <v>119</v>
      </c>
      <c r="B121">
        <v>281923</v>
      </c>
      <c r="C121">
        <v>328013253</v>
      </c>
      <c r="D121" t="s">
        <v>872</v>
      </c>
      <c r="E121" t="s">
        <v>50</v>
      </c>
      <c r="F121" s="1">
        <v>46240</v>
      </c>
      <c r="G121" t="s">
        <v>697</v>
      </c>
      <c r="H121">
        <v>43701</v>
      </c>
      <c r="I121" s="1">
        <v>46240</v>
      </c>
      <c r="J121" t="s">
        <v>138</v>
      </c>
      <c r="K121" t="s">
        <v>137</v>
      </c>
      <c r="L121" t="s">
        <v>78</v>
      </c>
      <c r="M121" t="s">
        <v>21</v>
      </c>
      <c r="N121" t="s">
        <v>939</v>
      </c>
      <c r="O121" t="s">
        <v>1932</v>
      </c>
      <c r="P121" t="s">
        <v>2047</v>
      </c>
      <c r="Q121" t="s">
        <v>6</v>
      </c>
      <c r="R121" t="s">
        <v>670</v>
      </c>
      <c r="S121" t="s">
        <v>940</v>
      </c>
      <c r="T121" t="s">
        <v>2001</v>
      </c>
      <c r="U121">
        <v>10</v>
      </c>
      <c r="V121">
        <v>27.27</v>
      </c>
      <c r="W121">
        <v>272.7</v>
      </c>
      <c r="X121">
        <v>0</v>
      </c>
      <c r="Y121">
        <v>0</v>
      </c>
      <c r="Z121">
        <v>49.085999999999999</v>
      </c>
      <c r="AA121">
        <v>0</v>
      </c>
      <c r="AB121">
        <v>0</v>
      </c>
      <c r="AC121">
        <v>321.786</v>
      </c>
      <c r="AD121">
        <v>0</v>
      </c>
      <c r="AE121">
        <v>0</v>
      </c>
      <c r="AF121">
        <v>321.786</v>
      </c>
      <c r="AG121" t="s">
        <v>37</v>
      </c>
    </row>
    <row r="122" spans="1:33" x14ac:dyDescent="0.35">
      <c r="A122">
        <v>120</v>
      </c>
      <c r="B122">
        <v>281923</v>
      </c>
      <c r="C122">
        <v>328013253</v>
      </c>
      <c r="D122" t="s">
        <v>872</v>
      </c>
      <c r="E122" t="s">
        <v>50</v>
      </c>
      <c r="F122" s="1">
        <v>46240</v>
      </c>
      <c r="G122" t="s">
        <v>697</v>
      </c>
      <c r="H122">
        <v>43701</v>
      </c>
      <c r="I122" s="1">
        <v>46240</v>
      </c>
      <c r="J122" t="s">
        <v>138</v>
      </c>
      <c r="K122" t="s">
        <v>137</v>
      </c>
      <c r="L122" t="s">
        <v>78</v>
      </c>
      <c r="M122" t="s">
        <v>21</v>
      </c>
      <c r="N122" t="s">
        <v>919</v>
      </c>
      <c r="O122" t="s">
        <v>1949</v>
      </c>
      <c r="P122" t="s">
        <v>2048</v>
      </c>
      <c r="Q122" t="s">
        <v>6</v>
      </c>
      <c r="R122" t="s">
        <v>38</v>
      </c>
      <c r="S122" t="s">
        <v>920</v>
      </c>
      <c r="T122" t="s">
        <v>1995</v>
      </c>
      <c r="U122">
        <v>10</v>
      </c>
      <c r="V122">
        <v>82.32</v>
      </c>
      <c r="W122">
        <v>823.2</v>
      </c>
      <c r="X122">
        <v>0</v>
      </c>
      <c r="Y122">
        <v>0</v>
      </c>
      <c r="Z122">
        <v>148.17599999999999</v>
      </c>
      <c r="AA122">
        <v>0</v>
      </c>
      <c r="AB122">
        <v>0</v>
      </c>
      <c r="AC122">
        <v>971.37599999999998</v>
      </c>
      <c r="AD122">
        <v>0</v>
      </c>
      <c r="AE122">
        <v>0</v>
      </c>
      <c r="AF122">
        <v>971.37599999999998</v>
      </c>
      <c r="AG122" t="s">
        <v>37</v>
      </c>
    </row>
    <row r="123" spans="1:33" x14ac:dyDescent="0.35">
      <c r="A123">
        <v>121</v>
      </c>
      <c r="B123">
        <v>281923</v>
      </c>
      <c r="C123">
        <v>328013253</v>
      </c>
      <c r="D123" t="s">
        <v>872</v>
      </c>
      <c r="E123" t="s">
        <v>50</v>
      </c>
      <c r="F123" s="1">
        <v>46240</v>
      </c>
      <c r="G123" t="s">
        <v>697</v>
      </c>
      <c r="H123">
        <v>43701</v>
      </c>
      <c r="I123" s="1">
        <v>46240</v>
      </c>
      <c r="J123" t="s">
        <v>138</v>
      </c>
      <c r="K123" t="s">
        <v>137</v>
      </c>
      <c r="L123" t="s">
        <v>78</v>
      </c>
      <c r="M123" t="s">
        <v>21</v>
      </c>
      <c r="N123" t="s">
        <v>881</v>
      </c>
      <c r="O123" t="s">
        <v>1938</v>
      </c>
      <c r="P123" t="s">
        <v>2049</v>
      </c>
      <c r="Q123" t="s">
        <v>6</v>
      </c>
      <c r="R123" t="s">
        <v>43</v>
      </c>
      <c r="S123" t="s">
        <v>882</v>
      </c>
      <c r="T123" t="s">
        <v>1995</v>
      </c>
      <c r="U123">
        <v>70</v>
      </c>
      <c r="V123">
        <v>1.92</v>
      </c>
      <c r="W123">
        <v>134.4</v>
      </c>
      <c r="X123">
        <v>0</v>
      </c>
      <c r="Y123">
        <v>0</v>
      </c>
      <c r="Z123">
        <v>24.192</v>
      </c>
      <c r="AA123">
        <v>0</v>
      </c>
      <c r="AB123">
        <v>0</v>
      </c>
      <c r="AC123">
        <v>158.59200000000001</v>
      </c>
      <c r="AD123">
        <v>0</v>
      </c>
      <c r="AE123">
        <v>0</v>
      </c>
      <c r="AF123">
        <v>158.59200000000001</v>
      </c>
      <c r="AG123" t="s">
        <v>37</v>
      </c>
    </row>
    <row r="124" spans="1:33" x14ac:dyDescent="0.35">
      <c r="A124">
        <v>122</v>
      </c>
      <c r="B124">
        <v>281923</v>
      </c>
      <c r="C124">
        <v>328013253</v>
      </c>
      <c r="D124" t="s">
        <v>872</v>
      </c>
      <c r="E124" t="s">
        <v>50</v>
      </c>
      <c r="F124" s="1">
        <v>46240</v>
      </c>
      <c r="G124" t="s">
        <v>697</v>
      </c>
      <c r="H124">
        <v>43701</v>
      </c>
      <c r="I124" s="1">
        <v>46240</v>
      </c>
      <c r="J124" t="s">
        <v>138</v>
      </c>
      <c r="K124" t="s">
        <v>137</v>
      </c>
      <c r="L124" t="s">
        <v>78</v>
      </c>
      <c r="M124" t="s">
        <v>21</v>
      </c>
      <c r="N124" t="s">
        <v>910</v>
      </c>
      <c r="O124" t="s">
        <v>1938</v>
      </c>
      <c r="P124" t="s">
        <v>2050</v>
      </c>
      <c r="Q124" t="s">
        <v>6</v>
      </c>
      <c r="R124" t="s">
        <v>740</v>
      </c>
      <c r="S124" t="s">
        <v>911</v>
      </c>
      <c r="T124" t="s">
        <v>1995</v>
      </c>
      <c r="U124">
        <v>10</v>
      </c>
      <c r="V124">
        <v>1.62</v>
      </c>
      <c r="W124">
        <v>16.2</v>
      </c>
      <c r="X124">
        <v>0</v>
      </c>
      <c r="Y124">
        <v>0</v>
      </c>
      <c r="Z124">
        <v>2.9159999999999999</v>
      </c>
      <c r="AA124">
        <v>0</v>
      </c>
      <c r="AB124">
        <v>0</v>
      </c>
      <c r="AC124">
        <v>19.116</v>
      </c>
      <c r="AD124">
        <v>0</v>
      </c>
      <c r="AE124">
        <v>0</v>
      </c>
      <c r="AF124">
        <v>19.116</v>
      </c>
      <c r="AG124" t="s">
        <v>37</v>
      </c>
    </row>
    <row r="125" spans="1:33" x14ac:dyDescent="0.35">
      <c r="A125">
        <v>123</v>
      </c>
      <c r="B125">
        <v>281923</v>
      </c>
      <c r="C125">
        <v>328013253</v>
      </c>
      <c r="D125" t="s">
        <v>872</v>
      </c>
      <c r="E125" t="s">
        <v>50</v>
      </c>
      <c r="F125" s="1">
        <v>46240</v>
      </c>
      <c r="G125" t="s">
        <v>697</v>
      </c>
      <c r="H125">
        <v>43701</v>
      </c>
      <c r="I125" s="1">
        <v>46240</v>
      </c>
      <c r="J125" t="s">
        <v>138</v>
      </c>
      <c r="K125" t="s">
        <v>137</v>
      </c>
      <c r="L125" t="s">
        <v>78</v>
      </c>
      <c r="M125" t="s">
        <v>21</v>
      </c>
      <c r="N125" t="s">
        <v>873</v>
      </c>
      <c r="O125" t="s">
        <v>1938</v>
      </c>
      <c r="P125" t="s">
        <v>2051</v>
      </c>
      <c r="Q125" t="s">
        <v>6</v>
      </c>
      <c r="R125" t="s">
        <v>702</v>
      </c>
      <c r="S125" t="s">
        <v>874</v>
      </c>
      <c r="T125" t="s">
        <v>1995</v>
      </c>
      <c r="U125">
        <v>50</v>
      </c>
      <c r="V125">
        <v>1.31</v>
      </c>
      <c r="W125">
        <v>65.5</v>
      </c>
      <c r="X125">
        <v>0</v>
      </c>
      <c r="Y125">
        <v>0</v>
      </c>
      <c r="Z125">
        <v>11.79</v>
      </c>
      <c r="AA125">
        <v>0</v>
      </c>
      <c r="AB125">
        <v>0</v>
      </c>
      <c r="AC125">
        <v>77.290000000000006</v>
      </c>
      <c r="AD125">
        <v>0</v>
      </c>
      <c r="AE125">
        <v>0</v>
      </c>
      <c r="AF125">
        <v>77.290000000000006</v>
      </c>
      <c r="AG125" t="s">
        <v>37</v>
      </c>
    </row>
    <row r="126" spans="1:33" x14ac:dyDescent="0.35">
      <c r="A126">
        <v>124</v>
      </c>
      <c r="B126">
        <v>281923</v>
      </c>
      <c r="C126">
        <v>328013253</v>
      </c>
      <c r="D126" t="s">
        <v>872</v>
      </c>
      <c r="E126" t="s">
        <v>50</v>
      </c>
      <c r="F126" s="1">
        <v>46240</v>
      </c>
      <c r="G126" t="s">
        <v>697</v>
      </c>
      <c r="H126">
        <v>43701</v>
      </c>
      <c r="I126" s="1">
        <v>46240</v>
      </c>
      <c r="J126" t="s">
        <v>138</v>
      </c>
      <c r="K126" t="s">
        <v>137</v>
      </c>
      <c r="L126" t="s">
        <v>78</v>
      </c>
      <c r="M126" t="s">
        <v>21</v>
      </c>
      <c r="N126" t="s">
        <v>917</v>
      </c>
      <c r="O126" t="s">
        <v>1936</v>
      </c>
      <c r="P126" t="s">
        <v>2052</v>
      </c>
      <c r="Q126" t="s">
        <v>6</v>
      </c>
      <c r="R126" t="s">
        <v>670</v>
      </c>
      <c r="S126" t="s">
        <v>918</v>
      </c>
      <c r="T126" t="s">
        <v>416</v>
      </c>
      <c r="U126">
        <v>10</v>
      </c>
      <c r="V126">
        <v>371.85</v>
      </c>
      <c r="W126" s="2">
        <v>3718.5</v>
      </c>
      <c r="X126">
        <v>0</v>
      </c>
      <c r="Y126">
        <v>0</v>
      </c>
      <c r="Z126">
        <v>669.33</v>
      </c>
      <c r="AA126">
        <v>0</v>
      </c>
      <c r="AB126">
        <v>0</v>
      </c>
      <c r="AC126" s="2">
        <v>4387.83</v>
      </c>
      <c r="AD126">
        <v>0</v>
      </c>
      <c r="AE126">
        <v>0</v>
      </c>
      <c r="AF126" s="2">
        <v>4387.83</v>
      </c>
      <c r="AG126" t="s">
        <v>37</v>
      </c>
    </row>
    <row r="127" spans="1:33" x14ac:dyDescent="0.35">
      <c r="A127">
        <v>125</v>
      </c>
      <c r="B127">
        <v>281923</v>
      </c>
      <c r="C127">
        <v>328013253</v>
      </c>
      <c r="D127" t="s">
        <v>872</v>
      </c>
      <c r="E127" t="s">
        <v>50</v>
      </c>
      <c r="F127" s="1">
        <v>46240</v>
      </c>
      <c r="G127" t="s">
        <v>697</v>
      </c>
      <c r="H127">
        <v>43701</v>
      </c>
      <c r="I127" s="1">
        <v>46240</v>
      </c>
      <c r="J127" t="s">
        <v>138</v>
      </c>
      <c r="K127" t="s">
        <v>137</v>
      </c>
      <c r="L127" t="s">
        <v>78</v>
      </c>
      <c r="M127" t="s">
        <v>21</v>
      </c>
      <c r="N127" t="s">
        <v>883</v>
      </c>
      <c r="O127" t="s">
        <v>2030</v>
      </c>
      <c r="P127" t="s">
        <v>2053</v>
      </c>
      <c r="Q127" t="s">
        <v>6</v>
      </c>
      <c r="R127" t="s">
        <v>775</v>
      </c>
      <c r="S127" t="s">
        <v>884</v>
      </c>
      <c r="T127" t="s">
        <v>2031</v>
      </c>
      <c r="U127">
        <v>20</v>
      </c>
      <c r="V127">
        <v>40.630000000000003</v>
      </c>
      <c r="W127">
        <v>812.6</v>
      </c>
      <c r="X127">
        <v>0</v>
      </c>
      <c r="Y127">
        <v>0</v>
      </c>
      <c r="Z127">
        <v>146.268</v>
      </c>
      <c r="AA127">
        <v>0</v>
      </c>
      <c r="AB127">
        <v>0</v>
      </c>
      <c r="AC127">
        <v>958.86800000000005</v>
      </c>
      <c r="AD127">
        <v>0</v>
      </c>
      <c r="AE127">
        <v>0</v>
      </c>
      <c r="AF127">
        <v>958.86800000000005</v>
      </c>
      <c r="AG127" t="s">
        <v>37</v>
      </c>
    </row>
    <row r="128" spans="1:33" x14ac:dyDescent="0.35">
      <c r="A128">
        <v>126</v>
      </c>
      <c r="B128">
        <v>281923</v>
      </c>
      <c r="C128">
        <v>328013253</v>
      </c>
      <c r="D128" t="s">
        <v>872</v>
      </c>
      <c r="E128" t="s">
        <v>50</v>
      </c>
      <c r="F128" s="1">
        <v>46240</v>
      </c>
      <c r="G128" t="s">
        <v>697</v>
      </c>
      <c r="H128">
        <v>43701</v>
      </c>
      <c r="I128" s="1">
        <v>46240</v>
      </c>
      <c r="J128" t="s">
        <v>138</v>
      </c>
      <c r="K128" t="s">
        <v>137</v>
      </c>
      <c r="L128" t="s">
        <v>78</v>
      </c>
      <c r="M128" t="s">
        <v>21</v>
      </c>
      <c r="N128" t="s">
        <v>932</v>
      </c>
      <c r="O128" t="s">
        <v>1949</v>
      </c>
      <c r="P128" t="s">
        <v>2054</v>
      </c>
      <c r="Q128" t="s">
        <v>6</v>
      </c>
      <c r="R128" t="s">
        <v>43</v>
      </c>
      <c r="S128" t="s">
        <v>933</v>
      </c>
      <c r="T128" t="s">
        <v>1995</v>
      </c>
      <c r="U128">
        <v>20</v>
      </c>
      <c r="V128">
        <v>8.18</v>
      </c>
      <c r="W128">
        <v>163.6</v>
      </c>
      <c r="X128">
        <v>0</v>
      </c>
      <c r="Y128">
        <v>0</v>
      </c>
      <c r="Z128">
        <v>29.448</v>
      </c>
      <c r="AA128">
        <v>0</v>
      </c>
      <c r="AB128">
        <v>0</v>
      </c>
      <c r="AC128">
        <v>193.048</v>
      </c>
      <c r="AD128">
        <v>0</v>
      </c>
      <c r="AE128">
        <v>0</v>
      </c>
      <c r="AF128">
        <v>193.048</v>
      </c>
      <c r="AG128" t="s">
        <v>37</v>
      </c>
    </row>
    <row r="129" spans="1:33" x14ac:dyDescent="0.35">
      <c r="A129">
        <v>127</v>
      </c>
      <c r="B129">
        <v>281923</v>
      </c>
      <c r="C129">
        <v>328013253</v>
      </c>
      <c r="D129" t="s">
        <v>872</v>
      </c>
      <c r="E129" t="s">
        <v>50</v>
      </c>
      <c r="F129" s="1">
        <v>46240</v>
      </c>
      <c r="G129" t="s">
        <v>697</v>
      </c>
      <c r="H129">
        <v>43701</v>
      </c>
      <c r="I129" s="1">
        <v>46240</v>
      </c>
      <c r="J129" t="s">
        <v>138</v>
      </c>
      <c r="K129" t="s">
        <v>137</v>
      </c>
      <c r="L129" t="s">
        <v>78</v>
      </c>
      <c r="M129" t="s">
        <v>21</v>
      </c>
      <c r="N129" t="s">
        <v>892</v>
      </c>
      <c r="O129" t="s">
        <v>1949</v>
      </c>
      <c r="P129" t="s">
        <v>2055</v>
      </c>
      <c r="Q129" t="s">
        <v>6</v>
      </c>
      <c r="R129" t="s">
        <v>38</v>
      </c>
      <c r="S129" t="s">
        <v>893</v>
      </c>
      <c r="T129" t="s">
        <v>1995</v>
      </c>
      <c r="U129">
        <v>10</v>
      </c>
      <c r="V129">
        <v>50.5</v>
      </c>
      <c r="W129">
        <v>505</v>
      </c>
      <c r="X129">
        <v>0</v>
      </c>
      <c r="Y129">
        <v>0</v>
      </c>
      <c r="Z129">
        <v>90.9</v>
      </c>
      <c r="AA129">
        <v>0</v>
      </c>
      <c r="AB129">
        <v>0</v>
      </c>
      <c r="AC129">
        <v>595.9</v>
      </c>
      <c r="AD129">
        <v>0</v>
      </c>
      <c r="AE129">
        <v>0</v>
      </c>
      <c r="AF129">
        <v>595.9</v>
      </c>
      <c r="AG129" t="s">
        <v>37</v>
      </c>
    </row>
    <row r="130" spans="1:33" x14ac:dyDescent="0.35">
      <c r="A130">
        <v>128</v>
      </c>
      <c r="B130">
        <v>281923</v>
      </c>
      <c r="C130">
        <v>328013253</v>
      </c>
      <c r="D130" t="s">
        <v>872</v>
      </c>
      <c r="E130" t="s">
        <v>50</v>
      </c>
      <c r="F130" s="1">
        <v>46240</v>
      </c>
      <c r="G130" t="s">
        <v>697</v>
      </c>
      <c r="H130">
        <v>43701</v>
      </c>
      <c r="I130" s="1">
        <v>46240</v>
      </c>
      <c r="J130" t="s">
        <v>138</v>
      </c>
      <c r="K130" t="s">
        <v>137</v>
      </c>
      <c r="L130" t="s">
        <v>78</v>
      </c>
      <c r="M130" t="s">
        <v>21</v>
      </c>
      <c r="N130" t="s">
        <v>885</v>
      </c>
      <c r="O130" t="s">
        <v>1949</v>
      </c>
      <c r="P130" t="s">
        <v>2056</v>
      </c>
      <c r="Q130" t="s">
        <v>6</v>
      </c>
      <c r="R130" t="s">
        <v>886</v>
      </c>
      <c r="S130" t="s">
        <v>887</v>
      </c>
      <c r="T130" t="s">
        <v>1995</v>
      </c>
      <c r="U130">
        <v>120</v>
      </c>
      <c r="V130">
        <v>3.54</v>
      </c>
      <c r="W130">
        <v>424.8</v>
      </c>
      <c r="X130">
        <v>0</v>
      </c>
      <c r="Y130">
        <v>0</v>
      </c>
      <c r="Z130">
        <v>76.463999999999999</v>
      </c>
      <c r="AA130">
        <v>0</v>
      </c>
      <c r="AB130">
        <v>0</v>
      </c>
      <c r="AC130">
        <v>501.26400000000001</v>
      </c>
      <c r="AD130">
        <v>0</v>
      </c>
      <c r="AE130">
        <v>0</v>
      </c>
      <c r="AF130">
        <v>501.26400000000001</v>
      </c>
      <c r="AG130" t="s">
        <v>37</v>
      </c>
    </row>
    <row r="131" spans="1:33" x14ac:dyDescent="0.35">
      <c r="A131">
        <v>129</v>
      </c>
      <c r="B131">
        <v>281923</v>
      </c>
      <c r="C131">
        <v>328013253</v>
      </c>
      <c r="D131" t="s">
        <v>872</v>
      </c>
      <c r="E131" t="s">
        <v>50</v>
      </c>
      <c r="F131" s="1">
        <v>46240</v>
      </c>
      <c r="G131" t="s">
        <v>697</v>
      </c>
      <c r="H131">
        <v>43701</v>
      </c>
      <c r="I131" s="1">
        <v>46240</v>
      </c>
      <c r="J131" t="s">
        <v>138</v>
      </c>
      <c r="K131" t="s">
        <v>137</v>
      </c>
      <c r="L131" t="s">
        <v>78</v>
      </c>
      <c r="M131" t="s">
        <v>21</v>
      </c>
      <c r="N131" t="s">
        <v>896</v>
      </c>
      <c r="O131" t="s">
        <v>1938</v>
      </c>
      <c r="P131" t="s">
        <v>2057</v>
      </c>
      <c r="Q131" t="s">
        <v>6</v>
      </c>
      <c r="R131" t="s">
        <v>702</v>
      </c>
      <c r="S131" t="s">
        <v>897</v>
      </c>
      <c r="T131" t="s">
        <v>1995</v>
      </c>
      <c r="U131">
        <v>20</v>
      </c>
      <c r="V131">
        <v>1.1100000000000001</v>
      </c>
      <c r="W131">
        <v>22.2</v>
      </c>
      <c r="X131">
        <v>0</v>
      </c>
      <c r="Y131">
        <v>0</v>
      </c>
      <c r="Z131">
        <v>3.996</v>
      </c>
      <c r="AA131">
        <v>0</v>
      </c>
      <c r="AB131">
        <v>0</v>
      </c>
      <c r="AC131">
        <v>26.196000000000002</v>
      </c>
      <c r="AD131">
        <v>0</v>
      </c>
      <c r="AE131">
        <v>0</v>
      </c>
      <c r="AF131">
        <v>26.196000000000002</v>
      </c>
      <c r="AG131" t="s">
        <v>37</v>
      </c>
    </row>
    <row r="132" spans="1:33" x14ac:dyDescent="0.35">
      <c r="A132">
        <v>130</v>
      </c>
      <c r="B132">
        <v>281923</v>
      </c>
      <c r="C132">
        <v>328013253</v>
      </c>
      <c r="D132" t="s">
        <v>872</v>
      </c>
      <c r="E132" t="s">
        <v>50</v>
      </c>
      <c r="F132" s="1">
        <v>46240</v>
      </c>
      <c r="G132" t="s">
        <v>697</v>
      </c>
      <c r="H132">
        <v>43701</v>
      </c>
      <c r="I132" s="1">
        <v>46240</v>
      </c>
      <c r="J132" t="s">
        <v>138</v>
      </c>
      <c r="K132" t="s">
        <v>137</v>
      </c>
      <c r="L132" t="s">
        <v>78</v>
      </c>
      <c r="M132" t="s">
        <v>21</v>
      </c>
      <c r="N132" t="s">
        <v>894</v>
      </c>
      <c r="O132" t="s">
        <v>1938</v>
      </c>
      <c r="P132" t="s">
        <v>2058</v>
      </c>
      <c r="Q132" t="s">
        <v>6</v>
      </c>
      <c r="R132" t="s">
        <v>43</v>
      </c>
      <c r="S132" t="s">
        <v>895</v>
      </c>
      <c r="T132" t="s">
        <v>1995</v>
      </c>
      <c r="U132">
        <v>20</v>
      </c>
      <c r="V132">
        <v>1.92</v>
      </c>
      <c r="W132">
        <v>38.4</v>
      </c>
      <c r="X132">
        <v>0</v>
      </c>
      <c r="Y132">
        <v>0</v>
      </c>
      <c r="Z132">
        <v>6.9119999999999999</v>
      </c>
      <c r="AA132">
        <v>0</v>
      </c>
      <c r="AB132">
        <v>0</v>
      </c>
      <c r="AC132">
        <v>45.311999999999998</v>
      </c>
      <c r="AD132">
        <v>0</v>
      </c>
      <c r="AE132">
        <v>0</v>
      </c>
      <c r="AF132">
        <v>45.311999999999998</v>
      </c>
      <c r="AG132" t="s">
        <v>37</v>
      </c>
    </row>
    <row r="133" spans="1:33" x14ac:dyDescent="0.35">
      <c r="A133">
        <v>131</v>
      </c>
      <c r="B133">
        <v>281923</v>
      </c>
      <c r="C133">
        <v>328013253</v>
      </c>
      <c r="D133" t="s">
        <v>872</v>
      </c>
      <c r="E133" t="s">
        <v>50</v>
      </c>
      <c r="F133" s="1">
        <v>46240</v>
      </c>
      <c r="G133" t="s">
        <v>697</v>
      </c>
      <c r="H133">
        <v>43701</v>
      </c>
      <c r="I133" s="1">
        <v>46240</v>
      </c>
      <c r="J133" t="s">
        <v>138</v>
      </c>
      <c r="K133" t="s">
        <v>137</v>
      </c>
      <c r="L133" t="s">
        <v>78</v>
      </c>
      <c r="M133" t="s">
        <v>21</v>
      </c>
      <c r="N133" t="s">
        <v>906</v>
      </c>
      <c r="O133" t="s">
        <v>1949</v>
      </c>
      <c r="P133" t="s">
        <v>2059</v>
      </c>
      <c r="Q133" t="s">
        <v>6</v>
      </c>
      <c r="R133" t="s">
        <v>740</v>
      </c>
      <c r="S133" t="s">
        <v>907</v>
      </c>
      <c r="T133" t="s">
        <v>1995</v>
      </c>
      <c r="U133">
        <v>10</v>
      </c>
      <c r="V133">
        <v>4.75</v>
      </c>
      <c r="W133">
        <v>47.5</v>
      </c>
      <c r="X133">
        <v>0</v>
      </c>
      <c r="Y133">
        <v>0</v>
      </c>
      <c r="Z133">
        <v>8.5500000000000007</v>
      </c>
      <c r="AA133">
        <v>0</v>
      </c>
      <c r="AB133">
        <v>0</v>
      </c>
      <c r="AC133">
        <v>56.05</v>
      </c>
      <c r="AD133">
        <v>0</v>
      </c>
      <c r="AE133">
        <v>0</v>
      </c>
      <c r="AF133">
        <v>56.05</v>
      </c>
      <c r="AG133" t="s">
        <v>37</v>
      </c>
    </row>
    <row r="134" spans="1:33" x14ac:dyDescent="0.35">
      <c r="A134">
        <v>132</v>
      </c>
      <c r="B134">
        <v>281923</v>
      </c>
      <c r="C134">
        <v>328013253</v>
      </c>
      <c r="D134" t="s">
        <v>872</v>
      </c>
      <c r="E134" t="s">
        <v>50</v>
      </c>
      <c r="F134" s="1">
        <v>46240</v>
      </c>
      <c r="G134" t="s">
        <v>697</v>
      </c>
      <c r="H134">
        <v>43701</v>
      </c>
      <c r="I134" s="1">
        <v>46240</v>
      </c>
      <c r="J134" t="s">
        <v>138</v>
      </c>
      <c r="K134" t="s">
        <v>137</v>
      </c>
      <c r="L134" t="s">
        <v>78</v>
      </c>
      <c r="M134" t="s">
        <v>21</v>
      </c>
      <c r="N134" t="s">
        <v>878</v>
      </c>
      <c r="O134" t="s">
        <v>1932</v>
      </c>
      <c r="P134" t="s">
        <v>2060</v>
      </c>
      <c r="Q134" t="s">
        <v>6</v>
      </c>
      <c r="R134" t="s">
        <v>879</v>
      </c>
      <c r="S134" t="s">
        <v>880</v>
      </c>
      <c r="T134" t="s">
        <v>2001</v>
      </c>
      <c r="U134">
        <v>24</v>
      </c>
      <c r="V134">
        <v>25.76</v>
      </c>
      <c r="W134">
        <v>618.24</v>
      </c>
      <c r="X134">
        <v>0</v>
      </c>
      <c r="Y134">
        <v>0</v>
      </c>
      <c r="Z134">
        <v>111.28319999999999</v>
      </c>
      <c r="AA134">
        <v>0</v>
      </c>
      <c r="AB134">
        <v>0</v>
      </c>
      <c r="AC134">
        <v>729.52319999999997</v>
      </c>
      <c r="AD134">
        <v>0</v>
      </c>
      <c r="AE134">
        <v>0</v>
      </c>
      <c r="AF134">
        <v>729.52319999999997</v>
      </c>
      <c r="AG134" t="s">
        <v>37</v>
      </c>
    </row>
    <row r="135" spans="1:33" x14ac:dyDescent="0.35">
      <c r="A135">
        <v>133</v>
      </c>
      <c r="B135">
        <v>281923</v>
      </c>
      <c r="C135">
        <v>328013253</v>
      </c>
      <c r="D135" t="s">
        <v>872</v>
      </c>
      <c r="E135" t="s">
        <v>50</v>
      </c>
      <c r="F135" s="1">
        <v>46240</v>
      </c>
      <c r="G135" t="s">
        <v>697</v>
      </c>
      <c r="H135">
        <v>43701</v>
      </c>
      <c r="I135" s="1">
        <v>46240</v>
      </c>
      <c r="J135" t="s">
        <v>138</v>
      </c>
      <c r="K135" t="s">
        <v>137</v>
      </c>
      <c r="L135" t="s">
        <v>78</v>
      </c>
      <c r="M135" t="s">
        <v>21</v>
      </c>
      <c r="N135" t="s">
        <v>875</v>
      </c>
      <c r="O135" t="s">
        <v>1938</v>
      </c>
      <c r="P135" t="s">
        <v>2061</v>
      </c>
      <c r="Q135" t="s">
        <v>6</v>
      </c>
      <c r="R135" t="s">
        <v>876</v>
      </c>
      <c r="S135" t="s">
        <v>877</v>
      </c>
      <c r="T135" t="s">
        <v>1995</v>
      </c>
      <c r="U135">
        <v>10</v>
      </c>
      <c r="V135">
        <v>5.25</v>
      </c>
      <c r="W135">
        <v>52.5</v>
      </c>
      <c r="X135">
        <v>0</v>
      </c>
      <c r="Y135">
        <v>0</v>
      </c>
      <c r="Z135">
        <v>9.4499999999999993</v>
      </c>
      <c r="AA135">
        <v>0</v>
      </c>
      <c r="AB135">
        <v>0</v>
      </c>
      <c r="AC135">
        <v>61.95</v>
      </c>
      <c r="AD135">
        <v>0</v>
      </c>
      <c r="AE135">
        <v>0</v>
      </c>
      <c r="AF135">
        <v>61.95</v>
      </c>
      <c r="AG135" t="s">
        <v>37</v>
      </c>
    </row>
    <row r="136" spans="1:33" x14ac:dyDescent="0.35">
      <c r="A136">
        <v>134</v>
      </c>
      <c r="B136">
        <v>281923</v>
      </c>
      <c r="C136">
        <v>328013253</v>
      </c>
      <c r="D136" t="s">
        <v>872</v>
      </c>
      <c r="E136" t="s">
        <v>50</v>
      </c>
      <c r="F136" s="1">
        <v>46240</v>
      </c>
      <c r="G136" t="s">
        <v>697</v>
      </c>
      <c r="H136">
        <v>43701</v>
      </c>
      <c r="I136" s="1">
        <v>46240</v>
      </c>
      <c r="J136" t="s">
        <v>138</v>
      </c>
      <c r="K136" t="s">
        <v>137</v>
      </c>
      <c r="L136" t="s">
        <v>78</v>
      </c>
      <c r="M136" t="s">
        <v>21</v>
      </c>
      <c r="N136" t="s">
        <v>923</v>
      </c>
      <c r="O136" t="s">
        <v>1949</v>
      </c>
      <c r="P136" t="s">
        <v>2062</v>
      </c>
      <c r="Q136" t="s">
        <v>6</v>
      </c>
      <c r="R136" t="s">
        <v>924</v>
      </c>
      <c r="S136" t="s">
        <v>925</v>
      </c>
      <c r="T136" t="s">
        <v>1995</v>
      </c>
      <c r="U136">
        <v>10</v>
      </c>
      <c r="V136">
        <v>4.95</v>
      </c>
      <c r="W136">
        <v>49.5</v>
      </c>
      <c r="X136">
        <v>0</v>
      </c>
      <c r="Y136">
        <v>0</v>
      </c>
      <c r="Z136">
        <v>8.91</v>
      </c>
      <c r="AA136">
        <v>0</v>
      </c>
      <c r="AB136">
        <v>0</v>
      </c>
      <c r="AC136">
        <v>58.41</v>
      </c>
      <c r="AD136">
        <v>0</v>
      </c>
      <c r="AE136">
        <v>0</v>
      </c>
      <c r="AF136">
        <v>58.41</v>
      </c>
      <c r="AG136" t="s">
        <v>37</v>
      </c>
    </row>
    <row r="137" spans="1:33" x14ac:dyDescent="0.35">
      <c r="A137">
        <v>135</v>
      </c>
      <c r="B137">
        <v>281923</v>
      </c>
      <c r="C137">
        <v>328013253</v>
      </c>
      <c r="D137" t="s">
        <v>872</v>
      </c>
      <c r="E137" t="s">
        <v>50</v>
      </c>
      <c r="F137" s="1">
        <v>46240</v>
      </c>
      <c r="G137" t="s">
        <v>697</v>
      </c>
      <c r="H137">
        <v>43701</v>
      </c>
      <c r="I137" s="1">
        <v>46240</v>
      </c>
      <c r="J137" t="s">
        <v>138</v>
      </c>
      <c r="K137" t="s">
        <v>137</v>
      </c>
      <c r="L137" t="s">
        <v>78</v>
      </c>
      <c r="M137" t="s">
        <v>21</v>
      </c>
      <c r="N137" t="s">
        <v>888</v>
      </c>
      <c r="O137" t="s">
        <v>2008</v>
      </c>
      <c r="P137" t="s">
        <v>2063</v>
      </c>
      <c r="Q137" t="s">
        <v>6</v>
      </c>
      <c r="R137" t="s">
        <v>660</v>
      </c>
      <c r="S137" t="s">
        <v>889</v>
      </c>
      <c r="T137" t="s">
        <v>416</v>
      </c>
      <c r="U137">
        <v>10</v>
      </c>
      <c r="V137">
        <v>376.29</v>
      </c>
      <c r="W137" s="2">
        <v>3762.9</v>
      </c>
      <c r="X137">
        <v>0</v>
      </c>
      <c r="Y137">
        <v>0</v>
      </c>
      <c r="Z137">
        <v>677.322</v>
      </c>
      <c r="AA137">
        <v>0</v>
      </c>
      <c r="AB137">
        <v>0</v>
      </c>
      <c r="AC137" s="2">
        <v>4440.2219999999998</v>
      </c>
      <c r="AD137">
        <v>0</v>
      </c>
      <c r="AE137">
        <v>0</v>
      </c>
      <c r="AF137" s="2">
        <v>4440.2219999999998</v>
      </c>
      <c r="AG137" t="s">
        <v>37</v>
      </c>
    </row>
    <row r="138" spans="1:33" x14ac:dyDescent="0.35">
      <c r="A138">
        <v>136</v>
      </c>
      <c r="B138">
        <v>281923</v>
      </c>
      <c r="C138">
        <v>328013253</v>
      </c>
      <c r="D138" t="s">
        <v>872</v>
      </c>
      <c r="E138" t="s">
        <v>50</v>
      </c>
      <c r="F138" s="1">
        <v>46240</v>
      </c>
      <c r="G138" t="s">
        <v>697</v>
      </c>
      <c r="H138">
        <v>43701</v>
      </c>
      <c r="I138" s="1">
        <v>46240</v>
      </c>
      <c r="J138" t="s">
        <v>138</v>
      </c>
      <c r="K138" t="s">
        <v>137</v>
      </c>
      <c r="L138" t="s">
        <v>78</v>
      </c>
      <c r="M138" t="s">
        <v>21</v>
      </c>
      <c r="N138" t="s">
        <v>908</v>
      </c>
      <c r="O138" t="s">
        <v>1938</v>
      </c>
      <c r="P138" t="s">
        <v>2064</v>
      </c>
      <c r="Q138" t="s">
        <v>6</v>
      </c>
      <c r="R138" t="s">
        <v>43</v>
      </c>
      <c r="S138" t="s">
        <v>909</v>
      </c>
      <c r="T138" t="s">
        <v>1995</v>
      </c>
      <c r="U138">
        <v>60</v>
      </c>
      <c r="V138">
        <v>2.02</v>
      </c>
      <c r="W138">
        <v>121.2</v>
      </c>
      <c r="X138">
        <v>0</v>
      </c>
      <c r="Y138">
        <v>0</v>
      </c>
      <c r="Z138">
        <v>21.815999999999999</v>
      </c>
      <c r="AA138">
        <v>0</v>
      </c>
      <c r="AB138">
        <v>0</v>
      </c>
      <c r="AC138">
        <v>143.01599999999999</v>
      </c>
      <c r="AD138">
        <v>0</v>
      </c>
      <c r="AE138">
        <v>0</v>
      </c>
      <c r="AF138">
        <v>143.01599999999999</v>
      </c>
      <c r="AG138" t="s">
        <v>37</v>
      </c>
    </row>
    <row r="139" spans="1:33" x14ac:dyDescent="0.35">
      <c r="A139">
        <v>137</v>
      </c>
      <c r="B139">
        <v>281923</v>
      </c>
      <c r="C139">
        <v>328013253</v>
      </c>
      <c r="D139" t="s">
        <v>872</v>
      </c>
      <c r="E139" t="s">
        <v>50</v>
      </c>
      <c r="F139" s="1">
        <v>46240</v>
      </c>
      <c r="G139" t="s">
        <v>697</v>
      </c>
      <c r="H139">
        <v>43701</v>
      </c>
      <c r="I139" s="1">
        <v>46240</v>
      </c>
      <c r="J139" t="s">
        <v>138</v>
      </c>
      <c r="K139" t="s">
        <v>137</v>
      </c>
      <c r="L139" t="s">
        <v>78</v>
      </c>
      <c r="M139" t="s">
        <v>21</v>
      </c>
      <c r="N139" t="s">
        <v>930</v>
      </c>
      <c r="O139" t="s">
        <v>1949</v>
      </c>
      <c r="P139" t="s">
        <v>2065</v>
      </c>
      <c r="Q139" t="s">
        <v>6</v>
      </c>
      <c r="R139" t="s">
        <v>699</v>
      </c>
      <c r="S139" t="s">
        <v>931</v>
      </c>
      <c r="T139" t="s">
        <v>1995</v>
      </c>
      <c r="U139">
        <v>10</v>
      </c>
      <c r="V139">
        <v>33.33</v>
      </c>
      <c r="W139">
        <v>333.3</v>
      </c>
      <c r="X139">
        <v>0</v>
      </c>
      <c r="Y139">
        <v>0</v>
      </c>
      <c r="Z139">
        <v>59.994</v>
      </c>
      <c r="AA139">
        <v>0</v>
      </c>
      <c r="AB139">
        <v>0</v>
      </c>
      <c r="AC139">
        <v>393.29399999999998</v>
      </c>
      <c r="AD139">
        <v>0</v>
      </c>
      <c r="AE139">
        <v>0</v>
      </c>
      <c r="AF139">
        <v>393.29399999999998</v>
      </c>
      <c r="AG139" t="s">
        <v>37</v>
      </c>
    </row>
    <row r="140" spans="1:33" x14ac:dyDescent="0.35">
      <c r="A140">
        <v>138</v>
      </c>
      <c r="B140">
        <v>281923</v>
      </c>
      <c r="C140">
        <v>328013253</v>
      </c>
      <c r="D140" t="s">
        <v>872</v>
      </c>
      <c r="E140" t="s">
        <v>50</v>
      </c>
      <c r="F140" s="1">
        <v>46240</v>
      </c>
      <c r="G140" t="s">
        <v>697</v>
      </c>
      <c r="H140">
        <v>43701</v>
      </c>
      <c r="I140" s="1">
        <v>46240</v>
      </c>
      <c r="J140" t="s">
        <v>138</v>
      </c>
      <c r="K140" t="s">
        <v>137</v>
      </c>
      <c r="L140" t="s">
        <v>78</v>
      </c>
      <c r="M140" t="s">
        <v>21</v>
      </c>
      <c r="N140" t="s">
        <v>934</v>
      </c>
      <c r="O140" t="s">
        <v>1936</v>
      </c>
      <c r="P140" t="s">
        <v>2066</v>
      </c>
      <c r="Q140" t="s">
        <v>6</v>
      </c>
      <c r="R140" t="s">
        <v>670</v>
      </c>
      <c r="S140" t="s">
        <v>935</v>
      </c>
      <c r="T140" t="s">
        <v>416</v>
      </c>
      <c r="U140">
        <v>20</v>
      </c>
      <c r="V140">
        <v>202.02</v>
      </c>
      <c r="W140" s="2">
        <v>4040.4</v>
      </c>
      <c r="X140">
        <v>0</v>
      </c>
      <c r="Y140">
        <v>0</v>
      </c>
      <c r="Z140">
        <v>727.27200000000005</v>
      </c>
      <c r="AA140">
        <v>0</v>
      </c>
      <c r="AB140">
        <v>0</v>
      </c>
      <c r="AC140" s="2">
        <v>4767.6719999999996</v>
      </c>
      <c r="AD140">
        <v>0</v>
      </c>
      <c r="AE140">
        <v>0</v>
      </c>
      <c r="AF140" s="2">
        <v>4767.6719999999996</v>
      </c>
      <c r="AG140" t="s">
        <v>37</v>
      </c>
    </row>
    <row r="141" spans="1:33" x14ac:dyDescent="0.35">
      <c r="A141">
        <v>139</v>
      </c>
      <c r="B141">
        <v>281923</v>
      </c>
      <c r="C141">
        <v>328013253</v>
      </c>
      <c r="D141" t="s">
        <v>872</v>
      </c>
      <c r="E141" t="s">
        <v>50</v>
      </c>
      <c r="F141" s="1">
        <v>46240</v>
      </c>
      <c r="G141" t="s">
        <v>697</v>
      </c>
      <c r="H141">
        <v>43701</v>
      </c>
      <c r="I141" s="1">
        <v>46240</v>
      </c>
      <c r="J141" t="s">
        <v>138</v>
      </c>
      <c r="K141" t="s">
        <v>137</v>
      </c>
      <c r="L141" t="s">
        <v>78</v>
      </c>
      <c r="M141" t="s">
        <v>21</v>
      </c>
      <c r="N141" t="s">
        <v>912</v>
      </c>
      <c r="O141" t="s">
        <v>1938</v>
      </c>
      <c r="P141" t="s">
        <v>2067</v>
      </c>
      <c r="Q141" t="s">
        <v>6</v>
      </c>
      <c r="R141" t="s">
        <v>702</v>
      </c>
      <c r="S141" t="s">
        <v>913</v>
      </c>
      <c r="T141" t="s">
        <v>1995</v>
      </c>
      <c r="U141">
        <v>260</v>
      </c>
      <c r="V141">
        <v>0.81</v>
      </c>
      <c r="W141">
        <v>210.6</v>
      </c>
      <c r="X141">
        <v>0</v>
      </c>
      <c r="Y141">
        <v>0</v>
      </c>
      <c r="Z141">
        <v>37.908000000000001</v>
      </c>
      <c r="AA141">
        <v>0</v>
      </c>
      <c r="AB141">
        <v>0</v>
      </c>
      <c r="AC141">
        <v>248.50800000000001</v>
      </c>
      <c r="AD141">
        <v>0</v>
      </c>
      <c r="AE141">
        <v>0</v>
      </c>
      <c r="AF141">
        <v>248.50800000000001</v>
      </c>
      <c r="AG141" t="s">
        <v>37</v>
      </c>
    </row>
    <row r="142" spans="1:33" x14ac:dyDescent="0.35">
      <c r="A142">
        <v>140</v>
      </c>
      <c r="B142">
        <v>281923</v>
      </c>
      <c r="C142">
        <v>328013253</v>
      </c>
      <c r="D142" t="s">
        <v>872</v>
      </c>
      <c r="E142" t="s">
        <v>50</v>
      </c>
      <c r="F142" s="1">
        <v>46240</v>
      </c>
      <c r="G142" t="s">
        <v>697</v>
      </c>
      <c r="H142">
        <v>43701</v>
      </c>
      <c r="I142" s="1">
        <v>46240</v>
      </c>
      <c r="J142" t="s">
        <v>138</v>
      </c>
      <c r="K142" t="s">
        <v>137</v>
      </c>
      <c r="L142" t="s">
        <v>78</v>
      </c>
      <c r="M142" t="s">
        <v>21</v>
      </c>
      <c r="N142" t="s">
        <v>896</v>
      </c>
      <c r="O142" t="s">
        <v>1938</v>
      </c>
      <c r="P142" t="s">
        <v>2057</v>
      </c>
      <c r="Q142" t="s">
        <v>6</v>
      </c>
      <c r="R142" t="s">
        <v>702</v>
      </c>
      <c r="S142" t="s">
        <v>897</v>
      </c>
      <c r="T142" t="s">
        <v>1995</v>
      </c>
      <c r="U142">
        <v>20</v>
      </c>
      <c r="V142">
        <v>1.1100000000000001</v>
      </c>
      <c r="W142">
        <v>22.2</v>
      </c>
      <c r="X142">
        <v>0</v>
      </c>
      <c r="Y142">
        <v>0</v>
      </c>
      <c r="Z142">
        <v>3.996</v>
      </c>
      <c r="AA142">
        <v>0</v>
      </c>
      <c r="AB142">
        <v>0</v>
      </c>
      <c r="AC142">
        <v>26.196000000000002</v>
      </c>
      <c r="AD142">
        <v>0</v>
      </c>
      <c r="AE142">
        <v>0</v>
      </c>
      <c r="AF142">
        <v>26.196000000000002</v>
      </c>
      <c r="AG142" t="s">
        <v>37</v>
      </c>
    </row>
    <row r="143" spans="1:33" x14ac:dyDescent="0.35">
      <c r="A143">
        <v>141</v>
      </c>
      <c r="B143">
        <v>281923</v>
      </c>
      <c r="C143">
        <v>328013253</v>
      </c>
      <c r="D143" t="s">
        <v>872</v>
      </c>
      <c r="E143" t="s">
        <v>50</v>
      </c>
      <c r="F143" s="1">
        <v>46240</v>
      </c>
      <c r="G143" t="s">
        <v>697</v>
      </c>
      <c r="H143">
        <v>43701</v>
      </c>
      <c r="I143" s="1">
        <v>46240</v>
      </c>
      <c r="J143" t="s">
        <v>138</v>
      </c>
      <c r="K143" t="s">
        <v>137</v>
      </c>
      <c r="L143" t="s">
        <v>78</v>
      </c>
      <c r="M143" t="s">
        <v>21</v>
      </c>
      <c r="N143" t="s">
        <v>926</v>
      </c>
      <c r="O143" t="s">
        <v>1938</v>
      </c>
      <c r="P143" t="s">
        <v>2068</v>
      </c>
      <c r="Q143" t="s">
        <v>6</v>
      </c>
      <c r="R143" t="s">
        <v>746</v>
      </c>
      <c r="S143" t="s">
        <v>927</v>
      </c>
      <c r="T143" t="s">
        <v>1995</v>
      </c>
      <c r="U143">
        <v>30</v>
      </c>
      <c r="V143">
        <v>2.02</v>
      </c>
      <c r="W143">
        <v>60.6</v>
      </c>
      <c r="X143">
        <v>0</v>
      </c>
      <c r="Y143">
        <v>0</v>
      </c>
      <c r="Z143">
        <v>10.907999999999999</v>
      </c>
      <c r="AA143">
        <v>0</v>
      </c>
      <c r="AB143">
        <v>0</v>
      </c>
      <c r="AC143">
        <v>71.507999999999996</v>
      </c>
      <c r="AD143">
        <v>0</v>
      </c>
      <c r="AE143">
        <v>0</v>
      </c>
      <c r="AF143">
        <v>71.507999999999996</v>
      </c>
      <c r="AG143" t="s">
        <v>37</v>
      </c>
    </row>
    <row r="144" spans="1:33" x14ac:dyDescent="0.35">
      <c r="A144">
        <v>142</v>
      </c>
      <c r="B144">
        <v>281923</v>
      </c>
      <c r="C144">
        <v>328013253</v>
      </c>
      <c r="D144" t="s">
        <v>872</v>
      </c>
      <c r="E144" t="s">
        <v>50</v>
      </c>
      <c r="F144" s="1">
        <v>46240</v>
      </c>
      <c r="G144" t="s">
        <v>697</v>
      </c>
      <c r="H144">
        <v>43701</v>
      </c>
      <c r="I144" s="1">
        <v>46240</v>
      </c>
      <c r="J144" t="s">
        <v>138</v>
      </c>
      <c r="K144" t="s">
        <v>137</v>
      </c>
      <c r="L144" t="s">
        <v>78</v>
      </c>
      <c r="M144" t="s">
        <v>21</v>
      </c>
      <c r="N144" t="s">
        <v>881</v>
      </c>
      <c r="O144" t="s">
        <v>1938</v>
      </c>
      <c r="P144" t="s">
        <v>2049</v>
      </c>
      <c r="Q144" t="s">
        <v>6</v>
      </c>
      <c r="R144" t="s">
        <v>43</v>
      </c>
      <c r="S144" t="s">
        <v>882</v>
      </c>
      <c r="T144" t="s">
        <v>1995</v>
      </c>
      <c r="U144">
        <v>70</v>
      </c>
      <c r="V144">
        <v>1.92</v>
      </c>
      <c r="W144">
        <v>134.4</v>
      </c>
      <c r="X144">
        <v>0</v>
      </c>
      <c r="Y144">
        <v>0</v>
      </c>
      <c r="Z144">
        <v>24.192</v>
      </c>
      <c r="AA144">
        <v>0</v>
      </c>
      <c r="AB144">
        <v>0</v>
      </c>
      <c r="AC144">
        <v>158.59200000000001</v>
      </c>
      <c r="AD144">
        <v>0</v>
      </c>
      <c r="AE144">
        <v>0</v>
      </c>
      <c r="AF144">
        <v>158.59200000000001</v>
      </c>
      <c r="AG144" t="s">
        <v>37</v>
      </c>
    </row>
    <row r="145" spans="1:33" x14ac:dyDescent="0.35">
      <c r="A145">
        <v>143</v>
      </c>
      <c r="B145">
        <v>281938</v>
      </c>
      <c r="C145">
        <v>328013268</v>
      </c>
      <c r="D145" t="s">
        <v>941</v>
      </c>
      <c r="E145" t="s">
        <v>50</v>
      </c>
      <c r="F145" s="1">
        <v>46240</v>
      </c>
      <c r="G145" t="s">
        <v>46</v>
      </c>
      <c r="H145">
        <v>4000010132</v>
      </c>
      <c r="I145" s="1">
        <v>46231</v>
      </c>
      <c r="J145" t="s">
        <v>138</v>
      </c>
      <c r="K145" t="s">
        <v>137</v>
      </c>
      <c r="L145" t="s">
        <v>15</v>
      </c>
      <c r="M145" t="s">
        <v>14</v>
      </c>
      <c r="N145" t="s">
        <v>942</v>
      </c>
      <c r="O145" t="s">
        <v>1932</v>
      </c>
      <c r="Q145" t="s">
        <v>6</v>
      </c>
      <c r="R145" t="s">
        <v>43</v>
      </c>
      <c r="S145" t="s">
        <v>943</v>
      </c>
      <c r="T145" t="s">
        <v>2001</v>
      </c>
      <c r="U145">
        <v>62</v>
      </c>
      <c r="V145">
        <v>22.15</v>
      </c>
      <c r="W145" s="2">
        <v>1373.3</v>
      </c>
      <c r="X145">
        <v>0</v>
      </c>
      <c r="Y145">
        <v>0</v>
      </c>
      <c r="Z145">
        <v>247.19399999999999</v>
      </c>
      <c r="AA145">
        <v>0</v>
      </c>
      <c r="AB145">
        <v>0</v>
      </c>
      <c r="AC145" s="2">
        <v>1620.4939999999999</v>
      </c>
      <c r="AD145">
        <v>0</v>
      </c>
      <c r="AE145">
        <v>0</v>
      </c>
      <c r="AF145" s="2">
        <v>1620.4939999999999</v>
      </c>
      <c r="AG145" t="s">
        <v>37</v>
      </c>
    </row>
    <row r="146" spans="1:33" x14ac:dyDescent="0.35">
      <c r="A146">
        <v>144</v>
      </c>
      <c r="B146">
        <v>281941</v>
      </c>
      <c r="C146">
        <v>328013270</v>
      </c>
      <c r="D146" t="s">
        <v>944</v>
      </c>
      <c r="E146" t="s">
        <v>50</v>
      </c>
      <c r="F146" s="1">
        <v>46240</v>
      </c>
      <c r="G146" t="s">
        <v>945</v>
      </c>
      <c r="H146" t="s">
        <v>946</v>
      </c>
      <c r="I146" s="1">
        <v>46227</v>
      </c>
      <c r="J146" t="s">
        <v>138</v>
      </c>
      <c r="K146" t="s">
        <v>137</v>
      </c>
      <c r="L146" t="s">
        <v>19</v>
      </c>
      <c r="M146" t="s">
        <v>14</v>
      </c>
      <c r="N146" t="s">
        <v>947</v>
      </c>
      <c r="O146" t="s">
        <v>1933</v>
      </c>
      <c r="Q146" t="s">
        <v>6</v>
      </c>
      <c r="R146" t="s">
        <v>948</v>
      </c>
      <c r="S146" t="s">
        <v>949</v>
      </c>
      <c r="T146" t="s">
        <v>2031</v>
      </c>
      <c r="U146">
        <v>36</v>
      </c>
      <c r="V146" s="2">
        <v>8450</v>
      </c>
      <c r="W146" s="2">
        <v>304200</v>
      </c>
      <c r="X146">
        <v>0</v>
      </c>
      <c r="Y146">
        <v>0</v>
      </c>
      <c r="Z146" s="2">
        <v>54756</v>
      </c>
      <c r="AA146">
        <v>0</v>
      </c>
      <c r="AB146">
        <v>0</v>
      </c>
      <c r="AC146" s="2">
        <v>358956</v>
      </c>
      <c r="AD146">
        <v>0</v>
      </c>
      <c r="AE146">
        <v>0</v>
      </c>
      <c r="AF146" s="2">
        <v>358956</v>
      </c>
      <c r="AG146" t="s">
        <v>37</v>
      </c>
    </row>
    <row r="147" spans="1:33" x14ac:dyDescent="0.35">
      <c r="A147">
        <v>145</v>
      </c>
      <c r="B147">
        <v>281949</v>
      </c>
      <c r="C147">
        <v>328013277</v>
      </c>
      <c r="D147" t="s">
        <v>950</v>
      </c>
      <c r="E147" t="s">
        <v>50</v>
      </c>
      <c r="F147" s="1">
        <v>46240</v>
      </c>
      <c r="G147" t="s">
        <v>249</v>
      </c>
      <c r="H147">
        <v>210015045</v>
      </c>
      <c r="I147" s="1">
        <v>46231</v>
      </c>
      <c r="J147" t="s">
        <v>138</v>
      </c>
      <c r="K147" t="s">
        <v>137</v>
      </c>
      <c r="L147" t="s">
        <v>78</v>
      </c>
      <c r="M147" t="s">
        <v>24</v>
      </c>
      <c r="N147" t="s">
        <v>951</v>
      </c>
      <c r="O147" t="s">
        <v>1950</v>
      </c>
      <c r="Q147" t="s">
        <v>6</v>
      </c>
      <c r="R147" t="s">
        <v>952</v>
      </c>
      <c r="S147">
        <v>1333816</v>
      </c>
      <c r="T147" t="s">
        <v>1997</v>
      </c>
      <c r="U147">
        <v>10</v>
      </c>
      <c r="V147">
        <v>463.3</v>
      </c>
      <c r="W147" s="2">
        <v>4633</v>
      </c>
      <c r="X147">
        <v>0</v>
      </c>
      <c r="Y147">
        <v>0</v>
      </c>
      <c r="Z147">
        <v>833.94</v>
      </c>
      <c r="AA147">
        <v>0</v>
      </c>
      <c r="AB147">
        <v>0</v>
      </c>
      <c r="AC147" s="2">
        <v>5466.94</v>
      </c>
      <c r="AD147">
        <v>0</v>
      </c>
      <c r="AE147">
        <v>0</v>
      </c>
      <c r="AF147" s="2">
        <v>5466.94</v>
      </c>
      <c r="AG147" t="s">
        <v>37</v>
      </c>
    </row>
    <row r="148" spans="1:33" x14ac:dyDescent="0.35">
      <c r="A148">
        <v>146</v>
      </c>
      <c r="B148">
        <v>281968</v>
      </c>
      <c r="C148">
        <v>328013288</v>
      </c>
      <c r="D148" t="s">
        <v>953</v>
      </c>
      <c r="E148" t="s">
        <v>50</v>
      </c>
      <c r="F148" s="1">
        <v>46241</v>
      </c>
      <c r="G148" t="s">
        <v>954</v>
      </c>
      <c r="H148">
        <v>17980</v>
      </c>
      <c r="I148" s="1">
        <v>46231</v>
      </c>
      <c r="J148" t="s">
        <v>138</v>
      </c>
      <c r="K148" t="s">
        <v>1279</v>
      </c>
      <c r="L148" t="s">
        <v>12</v>
      </c>
      <c r="M148" t="s">
        <v>21</v>
      </c>
      <c r="N148" t="s">
        <v>955</v>
      </c>
      <c r="O148" t="s">
        <v>1938</v>
      </c>
      <c r="P148" t="s">
        <v>2069</v>
      </c>
      <c r="Q148" t="s">
        <v>6</v>
      </c>
      <c r="R148" t="s">
        <v>796</v>
      </c>
      <c r="S148" t="s">
        <v>956</v>
      </c>
      <c r="T148" t="s">
        <v>1995</v>
      </c>
      <c r="U148">
        <v>560</v>
      </c>
      <c r="V148">
        <v>4.08</v>
      </c>
      <c r="W148" s="2">
        <v>2284.8000000000002</v>
      </c>
      <c r="X148">
        <v>0</v>
      </c>
      <c r="Y148">
        <v>0</v>
      </c>
      <c r="Z148">
        <v>411.26400000000001</v>
      </c>
      <c r="AA148">
        <v>0</v>
      </c>
      <c r="AB148">
        <v>0</v>
      </c>
      <c r="AC148" s="2">
        <v>2696.0639999999999</v>
      </c>
      <c r="AD148">
        <v>0</v>
      </c>
      <c r="AE148">
        <v>0</v>
      </c>
      <c r="AF148" s="2">
        <v>2696.0639999999999</v>
      </c>
      <c r="AG148" t="s">
        <v>37</v>
      </c>
    </row>
    <row r="149" spans="1:33" x14ac:dyDescent="0.35">
      <c r="A149">
        <v>147</v>
      </c>
      <c r="B149">
        <v>281990</v>
      </c>
      <c r="C149">
        <v>328013301</v>
      </c>
      <c r="D149" t="s">
        <v>957</v>
      </c>
      <c r="E149" t="s">
        <v>50</v>
      </c>
      <c r="F149" s="1">
        <v>46241</v>
      </c>
      <c r="G149" t="s">
        <v>958</v>
      </c>
      <c r="H149" t="s">
        <v>731</v>
      </c>
      <c r="I149" s="1">
        <v>46231</v>
      </c>
      <c r="J149" t="s">
        <v>138</v>
      </c>
      <c r="K149" t="s">
        <v>1279</v>
      </c>
      <c r="L149" t="s">
        <v>12</v>
      </c>
      <c r="M149" t="s">
        <v>21</v>
      </c>
      <c r="N149" t="s">
        <v>959</v>
      </c>
      <c r="O149" t="s">
        <v>2007</v>
      </c>
      <c r="Q149" t="s">
        <v>6</v>
      </c>
      <c r="R149" t="s">
        <v>756</v>
      </c>
      <c r="S149" t="s">
        <v>960</v>
      </c>
      <c r="T149" t="s">
        <v>417</v>
      </c>
      <c r="U149">
        <v>25</v>
      </c>
      <c r="V149">
        <v>452.1</v>
      </c>
      <c r="W149" s="2">
        <v>11302.5</v>
      </c>
      <c r="X149">
        <v>0</v>
      </c>
      <c r="Y149">
        <v>0</v>
      </c>
      <c r="Z149" s="2">
        <v>2034.45</v>
      </c>
      <c r="AA149">
        <v>0</v>
      </c>
      <c r="AB149">
        <v>0</v>
      </c>
      <c r="AC149" s="2">
        <v>13336.95</v>
      </c>
      <c r="AD149">
        <v>0</v>
      </c>
      <c r="AE149">
        <v>0</v>
      </c>
      <c r="AF149" s="2">
        <v>13336.95</v>
      </c>
      <c r="AG149" t="s">
        <v>37</v>
      </c>
    </row>
    <row r="150" spans="1:33" x14ac:dyDescent="0.35">
      <c r="A150">
        <v>148</v>
      </c>
      <c r="B150">
        <v>282013</v>
      </c>
      <c r="C150">
        <v>328013318</v>
      </c>
      <c r="D150" t="s">
        <v>961</v>
      </c>
      <c r="E150" t="s">
        <v>50</v>
      </c>
      <c r="F150" s="1">
        <v>46241</v>
      </c>
      <c r="G150" t="s">
        <v>962</v>
      </c>
      <c r="H150" t="s">
        <v>731</v>
      </c>
      <c r="I150" s="1">
        <v>46231</v>
      </c>
      <c r="J150" t="s">
        <v>138</v>
      </c>
      <c r="K150" t="s">
        <v>1279</v>
      </c>
      <c r="L150" t="s">
        <v>12</v>
      </c>
      <c r="M150" t="s">
        <v>21</v>
      </c>
      <c r="N150" t="s">
        <v>963</v>
      </c>
      <c r="O150" t="s">
        <v>2032</v>
      </c>
      <c r="Q150" t="s">
        <v>6</v>
      </c>
      <c r="R150" t="s">
        <v>670</v>
      </c>
      <c r="S150" t="s">
        <v>964</v>
      </c>
      <c r="T150" t="s">
        <v>2002</v>
      </c>
      <c r="U150">
        <v>2</v>
      </c>
      <c r="V150" s="2">
        <v>2254.56</v>
      </c>
      <c r="W150" s="2">
        <v>4509.12</v>
      </c>
      <c r="X150">
        <v>0</v>
      </c>
      <c r="Y150">
        <v>0</v>
      </c>
      <c r="Z150">
        <v>811.64160000000004</v>
      </c>
      <c r="AA150">
        <v>0</v>
      </c>
      <c r="AB150">
        <v>0</v>
      </c>
      <c r="AC150" s="2">
        <v>5320.7615999999998</v>
      </c>
      <c r="AD150">
        <v>0</v>
      </c>
      <c r="AE150">
        <v>0</v>
      </c>
      <c r="AF150" s="2">
        <v>5320.7615999999998</v>
      </c>
      <c r="AG150" t="s">
        <v>37</v>
      </c>
    </row>
    <row r="151" spans="1:33" x14ac:dyDescent="0.35">
      <c r="A151">
        <v>149</v>
      </c>
      <c r="B151">
        <v>282063</v>
      </c>
      <c r="C151">
        <v>328013355</v>
      </c>
      <c r="D151" t="s">
        <v>965</v>
      </c>
      <c r="E151" t="s">
        <v>50</v>
      </c>
      <c r="F151" s="1">
        <v>46244</v>
      </c>
      <c r="G151" t="s">
        <v>966</v>
      </c>
      <c r="H151">
        <v>4300000173</v>
      </c>
      <c r="I151" s="1">
        <v>46230</v>
      </c>
      <c r="J151" t="s">
        <v>138</v>
      </c>
      <c r="K151" t="s">
        <v>137</v>
      </c>
      <c r="L151" t="s">
        <v>11</v>
      </c>
      <c r="M151" t="s">
        <v>22</v>
      </c>
      <c r="N151" t="s">
        <v>970</v>
      </c>
      <c r="O151" t="s">
        <v>2070</v>
      </c>
      <c r="P151">
        <v>6000000954</v>
      </c>
      <c r="Q151" t="s">
        <v>6</v>
      </c>
      <c r="R151" t="s">
        <v>971</v>
      </c>
      <c r="S151">
        <v>4005</v>
      </c>
      <c r="T151" t="s">
        <v>1997</v>
      </c>
      <c r="U151">
        <v>1</v>
      </c>
      <c r="V151" s="2">
        <v>8710.44</v>
      </c>
      <c r="W151" s="2">
        <v>8710.44</v>
      </c>
      <c r="X151">
        <v>0</v>
      </c>
      <c r="Y151">
        <v>0</v>
      </c>
      <c r="Z151" s="2">
        <v>1567.8792000000001</v>
      </c>
      <c r="AA151">
        <v>0</v>
      </c>
      <c r="AB151">
        <v>0</v>
      </c>
      <c r="AC151" s="2">
        <v>10278.3192</v>
      </c>
      <c r="AD151">
        <v>0</v>
      </c>
      <c r="AE151">
        <v>0</v>
      </c>
      <c r="AF151" s="2">
        <v>10278.3192</v>
      </c>
      <c r="AG151" t="s">
        <v>37</v>
      </c>
    </row>
    <row r="152" spans="1:33" x14ac:dyDescent="0.35">
      <c r="A152">
        <v>150</v>
      </c>
      <c r="B152">
        <v>282063</v>
      </c>
      <c r="C152">
        <v>328013355</v>
      </c>
      <c r="D152" t="s">
        <v>965</v>
      </c>
      <c r="E152" t="s">
        <v>50</v>
      </c>
      <c r="F152" s="1">
        <v>46244</v>
      </c>
      <c r="G152" t="s">
        <v>966</v>
      </c>
      <c r="H152">
        <v>4300000173</v>
      </c>
      <c r="I152" s="1">
        <v>46230</v>
      </c>
      <c r="J152" t="s">
        <v>138</v>
      </c>
      <c r="K152" t="s">
        <v>137</v>
      </c>
      <c r="L152" t="s">
        <v>11</v>
      </c>
      <c r="M152" t="s">
        <v>22</v>
      </c>
      <c r="N152" t="s">
        <v>967</v>
      </c>
      <c r="O152" t="s">
        <v>2032</v>
      </c>
      <c r="P152">
        <v>6000000952</v>
      </c>
      <c r="Q152" t="s">
        <v>6</v>
      </c>
      <c r="R152" t="s">
        <v>968</v>
      </c>
      <c r="S152" t="s">
        <v>969</v>
      </c>
      <c r="T152" t="s">
        <v>2001</v>
      </c>
      <c r="U152">
        <v>2</v>
      </c>
      <c r="V152" s="2">
        <v>89974.5</v>
      </c>
      <c r="W152" s="2">
        <v>179949</v>
      </c>
      <c r="X152">
        <v>0</v>
      </c>
      <c r="Y152">
        <v>0</v>
      </c>
      <c r="Z152" s="2">
        <v>32390.82</v>
      </c>
      <c r="AA152">
        <v>0</v>
      </c>
      <c r="AB152">
        <v>0</v>
      </c>
      <c r="AC152" s="2">
        <v>212339.82</v>
      </c>
      <c r="AD152">
        <v>0</v>
      </c>
      <c r="AE152">
        <v>0</v>
      </c>
      <c r="AF152" s="2">
        <v>212339.82</v>
      </c>
      <c r="AG152" t="s">
        <v>37</v>
      </c>
    </row>
    <row r="153" spans="1:33" x14ac:dyDescent="0.35">
      <c r="A153">
        <v>151</v>
      </c>
      <c r="B153">
        <v>282100</v>
      </c>
      <c r="C153">
        <v>328013389</v>
      </c>
      <c r="D153" t="s">
        <v>972</v>
      </c>
      <c r="E153" t="s">
        <v>50</v>
      </c>
      <c r="F153" s="1">
        <v>46244</v>
      </c>
      <c r="G153" t="s">
        <v>92</v>
      </c>
      <c r="H153" t="s">
        <v>973</v>
      </c>
      <c r="I153" s="1">
        <v>46231</v>
      </c>
      <c r="J153" t="s">
        <v>138</v>
      </c>
      <c r="K153" t="s">
        <v>1280</v>
      </c>
      <c r="L153" t="s">
        <v>13</v>
      </c>
      <c r="M153" t="s">
        <v>23</v>
      </c>
      <c r="N153" t="s">
        <v>974</v>
      </c>
      <c r="O153" t="s">
        <v>2030</v>
      </c>
      <c r="P153" t="s">
        <v>2071</v>
      </c>
      <c r="Q153" t="s">
        <v>6</v>
      </c>
      <c r="R153" t="s">
        <v>975</v>
      </c>
      <c r="S153" t="s">
        <v>976</v>
      </c>
      <c r="T153" t="s">
        <v>2031</v>
      </c>
      <c r="U153" s="2">
        <v>2000</v>
      </c>
      <c r="V153">
        <v>20.49</v>
      </c>
      <c r="W153" s="2">
        <v>40980</v>
      </c>
      <c r="X153">
        <v>0</v>
      </c>
      <c r="Y153">
        <v>0</v>
      </c>
      <c r="Z153" s="2">
        <v>7376.4</v>
      </c>
      <c r="AA153">
        <v>0</v>
      </c>
      <c r="AB153">
        <v>0</v>
      </c>
      <c r="AC153" s="2">
        <v>48356.4</v>
      </c>
      <c r="AD153">
        <v>0</v>
      </c>
      <c r="AE153">
        <v>0</v>
      </c>
      <c r="AF153" s="2">
        <v>48356.4</v>
      </c>
      <c r="AG153" t="s">
        <v>37</v>
      </c>
    </row>
    <row r="154" spans="1:33" x14ac:dyDescent="0.35">
      <c r="A154">
        <v>152</v>
      </c>
      <c r="B154">
        <v>282101</v>
      </c>
      <c r="C154">
        <v>328013390</v>
      </c>
      <c r="D154" t="s">
        <v>977</v>
      </c>
      <c r="E154" t="s">
        <v>50</v>
      </c>
      <c r="F154" s="1">
        <v>46244</v>
      </c>
      <c r="G154" t="s">
        <v>689</v>
      </c>
      <c r="H154" t="s">
        <v>123</v>
      </c>
      <c r="I154" s="1">
        <v>46234</v>
      </c>
      <c r="J154" t="s">
        <v>138</v>
      </c>
      <c r="K154" t="s">
        <v>1278</v>
      </c>
      <c r="L154" t="s">
        <v>12</v>
      </c>
      <c r="M154" t="s">
        <v>21</v>
      </c>
      <c r="N154" t="s">
        <v>978</v>
      </c>
      <c r="O154" t="s">
        <v>1949</v>
      </c>
      <c r="Q154" t="s">
        <v>6</v>
      </c>
      <c r="R154" t="s">
        <v>699</v>
      </c>
      <c r="S154" t="s">
        <v>979</v>
      </c>
      <c r="T154" t="s">
        <v>1995</v>
      </c>
      <c r="U154">
        <v>41</v>
      </c>
      <c r="V154">
        <v>9.59</v>
      </c>
      <c r="W154">
        <v>393.19</v>
      </c>
      <c r="X154">
        <v>0</v>
      </c>
      <c r="Y154">
        <v>0</v>
      </c>
      <c r="Z154">
        <v>70.774199999999993</v>
      </c>
      <c r="AA154">
        <v>0</v>
      </c>
      <c r="AB154">
        <v>0</v>
      </c>
      <c r="AC154">
        <v>463.96420000000001</v>
      </c>
      <c r="AD154">
        <v>0</v>
      </c>
      <c r="AE154">
        <v>0</v>
      </c>
      <c r="AF154">
        <v>463.96420000000001</v>
      </c>
      <c r="AG154" t="s">
        <v>37</v>
      </c>
    </row>
    <row r="155" spans="1:33" x14ac:dyDescent="0.35">
      <c r="A155">
        <v>153</v>
      </c>
      <c r="B155">
        <v>282101</v>
      </c>
      <c r="C155">
        <v>328013390</v>
      </c>
      <c r="D155" t="s">
        <v>977</v>
      </c>
      <c r="E155" t="s">
        <v>50</v>
      </c>
      <c r="F155" s="1">
        <v>46244</v>
      </c>
      <c r="G155" t="s">
        <v>689</v>
      </c>
      <c r="H155" t="s">
        <v>123</v>
      </c>
      <c r="I155" s="1">
        <v>46234</v>
      </c>
      <c r="J155" t="s">
        <v>138</v>
      </c>
      <c r="K155" t="s">
        <v>1278</v>
      </c>
      <c r="L155" t="s">
        <v>12</v>
      </c>
      <c r="M155" t="s">
        <v>21</v>
      </c>
      <c r="N155" t="s">
        <v>698</v>
      </c>
      <c r="O155" t="s">
        <v>1977</v>
      </c>
      <c r="Q155" t="s">
        <v>6</v>
      </c>
      <c r="R155" t="s">
        <v>699</v>
      </c>
      <c r="S155" t="s">
        <v>700</v>
      </c>
      <c r="T155" t="s">
        <v>1995</v>
      </c>
      <c r="U155">
        <v>85</v>
      </c>
      <c r="V155">
        <v>4.4800000000000004</v>
      </c>
      <c r="W155">
        <v>380.8</v>
      </c>
      <c r="X155">
        <v>0</v>
      </c>
      <c r="Y155">
        <v>0</v>
      </c>
      <c r="Z155">
        <v>68.543999999999997</v>
      </c>
      <c r="AA155">
        <v>0</v>
      </c>
      <c r="AB155">
        <v>0</v>
      </c>
      <c r="AC155">
        <v>449.34399999999999</v>
      </c>
      <c r="AD155">
        <v>0</v>
      </c>
      <c r="AE155">
        <v>0</v>
      </c>
      <c r="AF155">
        <v>449.34399999999999</v>
      </c>
      <c r="AG155" t="s">
        <v>37</v>
      </c>
    </row>
    <row r="156" spans="1:33" x14ac:dyDescent="0.35">
      <c r="A156">
        <v>154</v>
      </c>
      <c r="B156">
        <v>282110</v>
      </c>
      <c r="C156">
        <v>328013399</v>
      </c>
      <c r="D156" t="s">
        <v>980</v>
      </c>
      <c r="E156" t="s">
        <v>50</v>
      </c>
      <c r="F156" s="1">
        <v>46244</v>
      </c>
      <c r="G156" t="s">
        <v>981</v>
      </c>
      <c r="H156" t="s">
        <v>982</v>
      </c>
      <c r="I156" s="1">
        <v>46233</v>
      </c>
      <c r="J156" t="s">
        <v>138</v>
      </c>
      <c r="K156" t="s">
        <v>1279</v>
      </c>
      <c r="L156" t="s">
        <v>12</v>
      </c>
      <c r="M156" t="s">
        <v>21</v>
      </c>
      <c r="N156" t="s">
        <v>1006</v>
      </c>
      <c r="O156" t="s">
        <v>1932</v>
      </c>
      <c r="Q156" t="s">
        <v>6</v>
      </c>
      <c r="R156" t="s">
        <v>93</v>
      </c>
      <c r="S156" t="s">
        <v>1007</v>
      </c>
      <c r="T156" t="s">
        <v>2001</v>
      </c>
      <c r="U156">
        <v>20</v>
      </c>
      <c r="V156">
        <v>23.87</v>
      </c>
      <c r="W156">
        <v>477.4</v>
      </c>
      <c r="X156">
        <v>0</v>
      </c>
      <c r="Y156">
        <v>0</v>
      </c>
      <c r="Z156">
        <v>85.932000000000002</v>
      </c>
      <c r="AA156">
        <v>0</v>
      </c>
      <c r="AB156">
        <v>0</v>
      </c>
      <c r="AC156">
        <v>563.33199999999999</v>
      </c>
      <c r="AD156">
        <v>0</v>
      </c>
      <c r="AE156">
        <v>0</v>
      </c>
      <c r="AF156">
        <v>563.33199999999999</v>
      </c>
      <c r="AG156" t="s">
        <v>37</v>
      </c>
    </row>
    <row r="157" spans="1:33" x14ac:dyDescent="0.35">
      <c r="A157">
        <v>155</v>
      </c>
      <c r="B157">
        <v>282110</v>
      </c>
      <c r="C157">
        <v>328013399</v>
      </c>
      <c r="D157" t="s">
        <v>980</v>
      </c>
      <c r="E157" t="s">
        <v>50</v>
      </c>
      <c r="F157" s="1">
        <v>46244</v>
      </c>
      <c r="G157" t="s">
        <v>981</v>
      </c>
      <c r="H157" t="s">
        <v>982</v>
      </c>
      <c r="I157" s="1">
        <v>46233</v>
      </c>
      <c r="J157" t="s">
        <v>138</v>
      </c>
      <c r="K157" t="s">
        <v>1279</v>
      </c>
      <c r="L157" t="s">
        <v>12</v>
      </c>
      <c r="M157" t="s">
        <v>21</v>
      </c>
      <c r="N157" t="s">
        <v>1035</v>
      </c>
      <c r="O157" t="s">
        <v>1949</v>
      </c>
      <c r="Q157" t="s">
        <v>6</v>
      </c>
      <c r="R157" t="s">
        <v>740</v>
      </c>
      <c r="S157" t="s">
        <v>1036</v>
      </c>
      <c r="T157" t="s">
        <v>1995</v>
      </c>
      <c r="U157">
        <v>50</v>
      </c>
      <c r="V157">
        <v>0.82</v>
      </c>
      <c r="W157">
        <v>41</v>
      </c>
      <c r="X157">
        <v>0</v>
      </c>
      <c r="Y157">
        <v>0</v>
      </c>
      <c r="Z157">
        <v>7.38</v>
      </c>
      <c r="AA157">
        <v>0</v>
      </c>
      <c r="AB157">
        <v>0</v>
      </c>
      <c r="AC157">
        <v>48.38</v>
      </c>
      <c r="AD157">
        <v>0</v>
      </c>
      <c r="AE157">
        <v>0</v>
      </c>
      <c r="AF157">
        <v>48.38</v>
      </c>
      <c r="AG157" t="s">
        <v>37</v>
      </c>
    </row>
    <row r="158" spans="1:33" x14ac:dyDescent="0.35">
      <c r="A158">
        <v>156</v>
      </c>
      <c r="B158">
        <v>282110</v>
      </c>
      <c r="C158">
        <v>328013399</v>
      </c>
      <c r="D158" t="s">
        <v>980</v>
      </c>
      <c r="E158" t="s">
        <v>50</v>
      </c>
      <c r="F158" s="1">
        <v>46244</v>
      </c>
      <c r="G158" t="s">
        <v>981</v>
      </c>
      <c r="H158" t="s">
        <v>982</v>
      </c>
      <c r="I158" s="1">
        <v>46233</v>
      </c>
      <c r="J158" t="s">
        <v>138</v>
      </c>
      <c r="K158" t="s">
        <v>1279</v>
      </c>
      <c r="L158" t="s">
        <v>12</v>
      </c>
      <c r="M158" t="s">
        <v>21</v>
      </c>
      <c r="N158" t="s">
        <v>1012</v>
      </c>
      <c r="O158" t="s">
        <v>2008</v>
      </c>
      <c r="Q158" t="s">
        <v>6</v>
      </c>
      <c r="R158" t="s">
        <v>768</v>
      </c>
      <c r="S158" t="s">
        <v>1013</v>
      </c>
      <c r="T158" t="s">
        <v>416</v>
      </c>
      <c r="U158">
        <v>10</v>
      </c>
      <c r="V158">
        <v>20.61</v>
      </c>
      <c r="W158">
        <v>206.1</v>
      </c>
      <c r="X158">
        <v>0</v>
      </c>
      <c r="Y158">
        <v>0</v>
      </c>
      <c r="Z158">
        <v>37.097999999999999</v>
      </c>
      <c r="AA158">
        <v>0</v>
      </c>
      <c r="AB158">
        <v>0</v>
      </c>
      <c r="AC158">
        <v>243.19800000000001</v>
      </c>
      <c r="AD158">
        <v>0</v>
      </c>
      <c r="AE158">
        <v>0</v>
      </c>
      <c r="AF158">
        <v>243.19800000000001</v>
      </c>
      <c r="AG158" t="s">
        <v>37</v>
      </c>
    </row>
    <row r="159" spans="1:33" x14ac:dyDescent="0.35">
      <c r="A159">
        <v>157</v>
      </c>
      <c r="B159">
        <v>282110</v>
      </c>
      <c r="C159">
        <v>328013399</v>
      </c>
      <c r="D159" t="s">
        <v>980</v>
      </c>
      <c r="E159" t="s">
        <v>50</v>
      </c>
      <c r="F159" s="1">
        <v>46244</v>
      </c>
      <c r="G159" t="s">
        <v>981</v>
      </c>
      <c r="H159" t="s">
        <v>982</v>
      </c>
      <c r="I159" s="1">
        <v>46233</v>
      </c>
      <c r="J159" t="s">
        <v>138</v>
      </c>
      <c r="K159" t="s">
        <v>1279</v>
      </c>
      <c r="L159" t="s">
        <v>12</v>
      </c>
      <c r="M159" t="s">
        <v>21</v>
      </c>
      <c r="N159" t="s">
        <v>1032</v>
      </c>
      <c r="O159" t="s">
        <v>1949</v>
      </c>
      <c r="Q159" t="s">
        <v>6</v>
      </c>
      <c r="R159" t="s">
        <v>1033</v>
      </c>
      <c r="S159" t="s">
        <v>1034</v>
      </c>
      <c r="T159" t="s">
        <v>1995</v>
      </c>
      <c r="U159">
        <v>60</v>
      </c>
      <c r="V159">
        <v>2.76</v>
      </c>
      <c r="W159">
        <v>165.6</v>
      </c>
      <c r="X159">
        <v>0</v>
      </c>
      <c r="Y159">
        <v>0</v>
      </c>
      <c r="Z159">
        <v>29.808</v>
      </c>
      <c r="AA159">
        <v>0</v>
      </c>
      <c r="AB159">
        <v>0</v>
      </c>
      <c r="AC159">
        <v>195.40799999999999</v>
      </c>
      <c r="AD159">
        <v>0</v>
      </c>
      <c r="AE159">
        <v>0</v>
      </c>
      <c r="AF159">
        <v>195.40799999999999</v>
      </c>
      <c r="AG159" t="s">
        <v>37</v>
      </c>
    </row>
    <row r="160" spans="1:33" x14ac:dyDescent="0.35">
      <c r="A160">
        <v>158</v>
      </c>
      <c r="B160">
        <v>282110</v>
      </c>
      <c r="C160">
        <v>328013399</v>
      </c>
      <c r="D160" t="s">
        <v>980</v>
      </c>
      <c r="E160" t="s">
        <v>50</v>
      </c>
      <c r="F160" s="1">
        <v>46244</v>
      </c>
      <c r="G160" t="s">
        <v>981</v>
      </c>
      <c r="H160" t="s">
        <v>982</v>
      </c>
      <c r="I160" s="1">
        <v>46233</v>
      </c>
      <c r="J160" t="s">
        <v>138</v>
      </c>
      <c r="K160" t="s">
        <v>1279</v>
      </c>
      <c r="L160" t="s">
        <v>12</v>
      </c>
      <c r="M160" t="s">
        <v>21</v>
      </c>
      <c r="N160" t="s">
        <v>1010</v>
      </c>
      <c r="O160" t="s">
        <v>1938</v>
      </c>
      <c r="Q160" t="s">
        <v>6</v>
      </c>
      <c r="R160" t="s">
        <v>40</v>
      </c>
      <c r="S160" t="s">
        <v>1011</v>
      </c>
      <c r="T160" t="s">
        <v>1995</v>
      </c>
      <c r="U160">
        <v>60</v>
      </c>
      <c r="V160">
        <v>1.02</v>
      </c>
      <c r="W160">
        <v>61.2</v>
      </c>
      <c r="X160">
        <v>0</v>
      </c>
      <c r="Y160">
        <v>0</v>
      </c>
      <c r="Z160">
        <v>11.016</v>
      </c>
      <c r="AA160">
        <v>0</v>
      </c>
      <c r="AB160">
        <v>0</v>
      </c>
      <c r="AC160">
        <v>72.215999999999994</v>
      </c>
      <c r="AD160">
        <v>0</v>
      </c>
      <c r="AE160">
        <v>0</v>
      </c>
      <c r="AF160">
        <v>72.215999999999994</v>
      </c>
      <c r="AG160" t="s">
        <v>37</v>
      </c>
    </row>
    <row r="161" spans="1:33" x14ac:dyDescent="0.35">
      <c r="A161">
        <v>159</v>
      </c>
      <c r="B161">
        <v>282110</v>
      </c>
      <c r="C161">
        <v>328013399</v>
      </c>
      <c r="D161" t="s">
        <v>980</v>
      </c>
      <c r="E161" t="s">
        <v>50</v>
      </c>
      <c r="F161" s="1">
        <v>46244</v>
      </c>
      <c r="G161" t="s">
        <v>981</v>
      </c>
      <c r="H161" t="s">
        <v>982</v>
      </c>
      <c r="I161" s="1">
        <v>46233</v>
      </c>
      <c r="J161" t="s">
        <v>138</v>
      </c>
      <c r="K161" t="s">
        <v>1279</v>
      </c>
      <c r="L161" t="s">
        <v>12</v>
      </c>
      <c r="M161" t="s">
        <v>21</v>
      </c>
      <c r="N161" t="s">
        <v>1016</v>
      </c>
      <c r="O161" t="s">
        <v>1949</v>
      </c>
      <c r="Q161" t="s">
        <v>6</v>
      </c>
      <c r="R161" t="s">
        <v>699</v>
      </c>
      <c r="S161" t="s">
        <v>1017</v>
      </c>
      <c r="T161" t="s">
        <v>1995</v>
      </c>
      <c r="U161">
        <v>20</v>
      </c>
      <c r="V161">
        <v>10.92</v>
      </c>
      <c r="W161">
        <v>218.4</v>
      </c>
      <c r="X161">
        <v>0</v>
      </c>
      <c r="Y161">
        <v>0</v>
      </c>
      <c r="Z161">
        <v>39.311999999999998</v>
      </c>
      <c r="AA161">
        <v>0</v>
      </c>
      <c r="AB161">
        <v>0</v>
      </c>
      <c r="AC161">
        <v>257.71199999999999</v>
      </c>
      <c r="AD161">
        <v>0</v>
      </c>
      <c r="AE161">
        <v>0</v>
      </c>
      <c r="AF161">
        <v>257.71199999999999</v>
      </c>
      <c r="AG161" t="s">
        <v>37</v>
      </c>
    </row>
    <row r="162" spans="1:33" x14ac:dyDescent="0.35">
      <c r="A162">
        <v>160</v>
      </c>
      <c r="B162">
        <v>282110</v>
      </c>
      <c r="C162">
        <v>328013399</v>
      </c>
      <c r="D162" t="s">
        <v>980</v>
      </c>
      <c r="E162" t="s">
        <v>50</v>
      </c>
      <c r="F162" s="1">
        <v>46244</v>
      </c>
      <c r="G162" t="s">
        <v>981</v>
      </c>
      <c r="H162" t="s">
        <v>982</v>
      </c>
      <c r="I162" s="1">
        <v>46233</v>
      </c>
      <c r="J162" t="s">
        <v>138</v>
      </c>
      <c r="K162" t="s">
        <v>1279</v>
      </c>
      <c r="L162" t="s">
        <v>12</v>
      </c>
      <c r="M162" t="s">
        <v>21</v>
      </c>
      <c r="N162" t="s">
        <v>1020</v>
      </c>
      <c r="O162" t="s">
        <v>1937</v>
      </c>
      <c r="Q162" t="s">
        <v>6</v>
      </c>
      <c r="R162" t="s">
        <v>841</v>
      </c>
      <c r="S162" t="s">
        <v>1021</v>
      </c>
      <c r="T162" t="s">
        <v>1995</v>
      </c>
      <c r="U162">
        <v>10</v>
      </c>
      <c r="V162">
        <v>24.87</v>
      </c>
      <c r="W162">
        <v>248.7</v>
      </c>
      <c r="X162">
        <v>0</v>
      </c>
      <c r="Y162">
        <v>0</v>
      </c>
      <c r="Z162">
        <v>44.765999999999998</v>
      </c>
      <c r="AA162">
        <v>0</v>
      </c>
      <c r="AB162">
        <v>0</v>
      </c>
      <c r="AC162">
        <v>293.46600000000001</v>
      </c>
      <c r="AD162">
        <v>0</v>
      </c>
      <c r="AE162">
        <v>0</v>
      </c>
      <c r="AF162">
        <v>293.46600000000001</v>
      </c>
      <c r="AG162" t="s">
        <v>37</v>
      </c>
    </row>
    <row r="163" spans="1:33" x14ac:dyDescent="0.35">
      <c r="A163">
        <v>161</v>
      </c>
      <c r="B163">
        <v>282110</v>
      </c>
      <c r="C163">
        <v>328013399</v>
      </c>
      <c r="D163" t="s">
        <v>980</v>
      </c>
      <c r="E163" t="s">
        <v>50</v>
      </c>
      <c r="F163" s="1">
        <v>46244</v>
      </c>
      <c r="G163" t="s">
        <v>981</v>
      </c>
      <c r="H163" t="s">
        <v>982</v>
      </c>
      <c r="I163" s="1">
        <v>46233</v>
      </c>
      <c r="J163" t="s">
        <v>138</v>
      </c>
      <c r="K163" t="s">
        <v>1279</v>
      </c>
      <c r="L163" t="s">
        <v>12</v>
      </c>
      <c r="M163" t="s">
        <v>21</v>
      </c>
      <c r="N163" t="s">
        <v>1002</v>
      </c>
      <c r="O163" t="s">
        <v>1949</v>
      </c>
      <c r="Q163" t="s">
        <v>6</v>
      </c>
      <c r="R163" t="s">
        <v>699</v>
      </c>
      <c r="S163" t="s">
        <v>1003</v>
      </c>
      <c r="T163" t="s">
        <v>1995</v>
      </c>
      <c r="U163">
        <v>30</v>
      </c>
      <c r="V163">
        <v>3.88</v>
      </c>
      <c r="W163">
        <v>116.4</v>
      </c>
      <c r="X163">
        <v>0</v>
      </c>
      <c r="Y163">
        <v>0</v>
      </c>
      <c r="Z163">
        <v>20.952000000000002</v>
      </c>
      <c r="AA163">
        <v>0</v>
      </c>
      <c r="AB163">
        <v>0</v>
      </c>
      <c r="AC163">
        <v>137.352</v>
      </c>
      <c r="AD163">
        <v>0</v>
      </c>
      <c r="AE163">
        <v>0</v>
      </c>
      <c r="AF163">
        <v>137.352</v>
      </c>
      <c r="AG163" t="s">
        <v>37</v>
      </c>
    </row>
    <row r="164" spans="1:33" x14ac:dyDescent="0.35">
      <c r="A164">
        <v>162</v>
      </c>
      <c r="B164">
        <v>282110</v>
      </c>
      <c r="C164">
        <v>328013399</v>
      </c>
      <c r="D164" t="s">
        <v>980</v>
      </c>
      <c r="E164" t="s">
        <v>50</v>
      </c>
      <c r="F164" s="1">
        <v>46244</v>
      </c>
      <c r="G164" t="s">
        <v>981</v>
      </c>
      <c r="H164" t="s">
        <v>982</v>
      </c>
      <c r="I164" s="1">
        <v>46233</v>
      </c>
      <c r="J164" t="s">
        <v>138</v>
      </c>
      <c r="K164" t="s">
        <v>1279</v>
      </c>
      <c r="L164" t="s">
        <v>12</v>
      </c>
      <c r="M164" t="s">
        <v>21</v>
      </c>
      <c r="N164" t="s">
        <v>1014</v>
      </c>
      <c r="O164" t="s">
        <v>1949</v>
      </c>
      <c r="Q164" t="s">
        <v>6</v>
      </c>
      <c r="R164" t="s">
        <v>699</v>
      </c>
      <c r="S164" t="s">
        <v>1015</v>
      </c>
      <c r="T164" t="s">
        <v>1995</v>
      </c>
      <c r="U164">
        <v>60</v>
      </c>
      <c r="V164">
        <v>3.98</v>
      </c>
      <c r="W164">
        <v>238.8</v>
      </c>
      <c r="X164">
        <v>0</v>
      </c>
      <c r="Y164">
        <v>0</v>
      </c>
      <c r="Z164">
        <v>42.984000000000002</v>
      </c>
      <c r="AA164">
        <v>0</v>
      </c>
      <c r="AB164">
        <v>0</v>
      </c>
      <c r="AC164">
        <v>281.78399999999999</v>
      </c>
      <c r="AD164">
        <v>0</v>
      </c>
      <c r="AE164">
        <v>0</v>
      </c>
      <c r="AF164">
        <v>281.78399999999999</v>
      </c>
      <c r="AG164" t="s">
        <v>37</v>
      </c>
    </row>
    <row r="165" spans="1:33" x14ac:dyDescent="0.35">
      <c r="A165">
        <v>163</v>
      </c>
      <c r="B165">
        <v>282110</v>
      </c>
      <c r="C165">
        <v>328013399</v>
      </c>
      <c r="D165" t="s">
        <v>980</v>
      </c>
      <c r="E165" t="s">
        <v>50</v>
      </c>
      <c r="F165" s="1">
        <v>46244</v>
      </c>
      <c r="G165" t="s">
        <v>981</v>
      </c>
      <c r="H165" t="s">
        <v>982</v>
      </c>
      <c r="I165" s="1">
        <v>46233</v>
      </c>
      <c r="J165" t="s">
        <v>138</v>
      </c>
      <c r="K165" t="s">
        <v>1279</v>
      </c>
      <c r="L165" t="s">
        <v>12</v>
      </c>
      <c r="M165" t="s">
        <v>21</v>
      </c>
      <c r="N165" t="s">
        <v>1027</v>
      </c>
      <c r="O165" t="s">
        <v>1938</v>
      </c>
      <c r="Q165" t="s">
        <v>6</v>
      </c>
      <c r="R165" t="s">
        <v>1028</v>
      </c>
      <c r="S165" t="s">
        <v>1029</v>
      </c>
      <c r="T165" t="s">
        <v>1995</v>
      </c>
      <c r="U165">
        <v>60</v>
      </c>
      <c r="V165">
        <v>0.92</v>
      </c>
      <c r="W165">
        <v>55.2</v>
      </c>
      <c r="X165">
        <v>0</v>
      </c>
      <c r="Y165">
        <v>0</v>
      </c>
      <c r="Z165">
        <v>9.9359999999999999</v>
      </c>
      <c r="AA165">
        <v>0</v>
      </c>
      <c r="AB165">
        <v>0</v>
      </c>
      <c r="AC165">
        <v>65.135999999999996</v>
      </c>
      <c r="AD165">
        <v>0</v>
      </c>
      <c r="AE165">
        <v>0</v>
      </c>
      <c r="AF165">
        <v>65.135999999999996</v>
      </c>
      <c r="AG165" t="s">
        <v>37</v>
      </c>
    </row>
    <row r="166" spans="1:33" x14ac:dyDescent="0.35">
      <c r="A166">
        <v>164</v>
      </c>
      <c r="B166">
        <v>282110</v>
      </c>
      <c r="C166">
        <v>328013399</v>
      </c>
      <c r="D166" t="s">
        <v>980</v>
      </c>
      <c r="E166" t="s">
        <v>50</v>
      </c>
      <c r="F166" s="1">
        <v>46244</v>
      </c>
      <c r="G166" t="s">
        <v>981</v>
      </c>
      <c r="H166" t="s">
        <v>982</v>
      </c>
      <c r="I166" s="1">
        <v>46233</v>
      </c>
      <c r="J166" t="s">
        <v>138</v>
      </c>
      <c r="K166" t="s">
        <v>1279</v>
      </c>
      <c r="L166" t="s">
        <v>12</v>
      </c>
      <c r="M166" t="s">
        <v>21</v>
      </c>
      <c r="N166" t="s">
        <v>1030</v>
      </c>
      <c r="O166" t="s">
        <v>1949</v>
      </c>
      <c r="Q166" t="s">
        <v>6</v>
      </c>
      <c r="R166" t="s">
        <v>699</v>
      </c>
      <c r="S166" t="s">
        <v>1031</v>
      </c>
      <c r="T166" t="s">
        <v>1995</v>
      </c>
      <c r="U166">
        <v>30</v>
      </c>
      <c r="V166">
        <v>3.57</v>
      </c>
      <c r="W166">
        <v>107.1</v>
      </c>
      <c r="X166">
        <v>0</v>
      </c>
      <c r="Y166">
        <v>0</v>
      </c>
      <c r="Z166">
        <v>19.277999999999999</v>
      </c>
      <c r="AA166">
        <v>0</v>
      </c>
      <c r="AB166">
        <v>0</v>
      </c>
      <c r="AC166">
        <v>126.378</v>
      </c>
      <c r="AD166">
        <v>0</v>
      </c>
      <c r="AE166">
        <v>0</v>
      </c>
      <c r="AF166">
        <v>126.378</v>
      </c>
      <c r="AG166" t="s">
        <v>37</v>
      </c>
    </row>
    <row r="167" spans="1:33" x14ac:dyDescent="0.35">
      <c r="A167">
        <v>165</v>
      </c>
      <c r="B167">
        <v>282110</v>
      </c>
      <c r="C167">
        <v>328013399</v>
      </c>
      <c r="D167" t="s">
        <v>980</v>
      </c>
      <c r="E167" t="s">
        <v>50</v>
      </c>
      <c r="F167" s="1">
        <v>46244</v>
      </c>
      <c r="G167" t="s">
        <v>981</v>
      </c>
      <c r="H167" t="s">
        <v>982</v>
      </c>
      <c r="I167" s="1">
        <v>46233</v>
      </c>
      <c r="J167" t="s">
        <v>138</v>
      </c>
      <c r="K167" t="s">
        <v>1279</v>
      </c>
      <c r="L167" t="s">
        <v>12</v>
      </c>
      <c r="M167" t="s">
        <v>21</v>
      </c>
      <c r="N167" t="s">
        <v>996</v>
      </c>
      <c r="O167" t="s">
        <v>1932</v>
      </c>
      <c r="Q167" t="s">
        <v>6</v>
      </c>
      <c r="R167" t="s">
        <v>40</v>
      </c>
      <c r="S167" t="s">
        <v>997</v>
      </c>
      <c r="T167" t="s">
        <v>2003</v>
      </c>
      <c r="U167">
        <v>10</v>
      </c>
      <c r="V167">
        <v>15.3</v>
      </c>
      <c r="W167">
        <v>153</v>
      </c>
      <c r="X167">
        <v>0</v>
      </c>
      <c r="Y167">
        <v>0</v>
      </c>
      <c r="Z167">
        <v>27.54</v>
      </c>
      <c r="AA167">
        <v>0</v>
      </c>
      <c r="AB167">
        <v>0</v>
      </c>
      <c r="AC167">
        <v>180.54</v>
      </c>
      <c r="AD167">
        <v>0</v>
      </c>
      <c r="AE167">
        <v>0</v>
      </c>
      <c r="AF167">
        <v>180.54</v>
      </c>
      <c r="AG167" t="s">
        <v>37</v>
      </c>
    </row>
    <row r="168" spans="1:33" x14ac:dyDescent="0.35">
      <c r="A168">
        <v>166</v>
      </c>
      <c r="B168">
        <v>282110</v>
      </c>
      <c r="C168">
        <v>328013399</v>
      </c>
      <c r="D168" t="s">
        <v>980</v>
      </c>
      <c r="E168" t="s">
        <v>50</v>
      </c>
      <c r="F168" s="1">
        <v>46244</v>
      </c>
      <c r="G168" t="s">
        <v>981</v>
      </c>
      <c r="H168" t="s">
        <v>982</v>
      </c>
      <c r="I168" s="1">
        <v>46233</v>
      </c>
      <c r="J168" t="s">
        <v>138</v>
      </c>
      <c r="K168" t="s">
        <v>1279</v>
      </c>
      <c r="L168" t="s">
        <v>12</v>
      </c>
      <c r="M168" t="s">
        <v>21</v>
      </c>
      <c r="N168" t="s">
        <v>989</v>
      </c>
      <c r="O168" t="s">
        <v>2008</v>
      </c>
      <c r="Q168" t="s">
        <v>6</v>
      </c>
      <c r="R168" t="s">
        <v>660</v>
      </c>
      <c r="S168" t="s">
        <v>990</v>
      </c>
      <c r="T168" t="s">
        <v>416</v>
      </c>
      <c r="U168">
        <v>10</v>
      </c>
      <c r="V168">
        <v>7.25</v>
      </c>
      <c r="W168">
        <v>72.5</v>
      </c>
      <c r="X168">
        <v>0</v>
      </c>
      <c r="Y168">
        <v>0</v>
      </c>
      <c r="Z168">
        <v>13.05</v>
      </c>
      <c r="AA168">
        <v>0</v>
      </c>
      <c r="AB168">
        <v>0</v>
      </c>
      <c r="AC168">
        <v>85.55</v>
      </c>
      <c r="AD168">
        <v>0</v>
      </c>
      <c r="AE168">
        <v>0</v>
      </c>
      <c r="AF168">
        <v>85.55</v>
      </c>
      <c r="AG168" t="s">
        <v>37</v>
      </c>
    </row>
    <row r="169" spans="1:33" x14ac:dyDescent="0.35">
      <c r="A169">
        <v>167</v>
      </c>
      <c r="B169">
        <v>282110</v>
      </c>
      <c r="C169">
        <v>328013399</v>
      </c>
      <c r="D169" t="s">
        <v>980</v>
      </c>
      <c r="E169" t="s">
        <v>50</v>
      </c>
      <c r="F169" s="1">
        <v>46244</v>
      </c>
      <c r="G169" t="s">
        <v>981</v>
      </c>
      <c r="H169" t="s">
        <v>982</v>
      </c>
      <c r="I169" s="1">
        <v>46233</v>
      </c>
      <c r="J169" t="s">
        <v>138</v>
      </c>
      <c r="K169" t="s">
        <v>1279</v>
      </c>
      <c r="L169" t="s">
        <v>12</v>
      </c>
      <c r="M169" t="s">
        <v>21</v>
      </c>
      <c r="N169" t="s">
        <v>983</v>
      </c>
      <c r="O169" t="s">
        <v>1949</v>
      </c>
      <c r="Q169" t="s">
        <v>6</v>
      </c>
      <c r="R169" t="s">
        <v>984</v>
      </c>
      <c r="S169" t="s">
        <v>985</v>
      </c>
      <c r="T169" t="s">
        <v>1995</v>
      </c>
      <c r="U169">
        <v>30</v>
      </c>
      <c r="V169">
        <v>4.08</v>
      </c>
      <c r="W169">
        <v>122.4</v>
      </c>
      <c r="X169">
        <v>0</v>
      </c>
      <c r="Y169">
        <v>0</v>
      </c>
      <c r="Z169">
        <v>22.032</v>
      </c>
      <c r="AA169">
        <v>0</v>
      </c>
      <c r="AB169">
        <v>0</v>
      </c>
      <c r="AC169">
        <v>144.43199999999999</v>
      </c>
      <c r="AD169">
        <v>0</v>
      </c>
      <c r="AE169">
        <v>0</v>
      </c>
      <c r="AF169">
        <v>144.43199999999999</v>
      </c>
      <c r="AG169" t="s">
        <v>37</v>
      </c>
    </row>
    <row r="170" spans="1:33" x14ac:dyDescent="0.35">
      <c r="A170">
        <v>168</v>
      </c>
      <c r="B170">
        <v>282110</v>
      </c>
      <c r="C170">
        <v>328013399</v>
      </c>
      <c r="D170" t="s">
        <v>980</v>
      </c>
      <c r="E170" t="s">
        <v>50</v>
      </c>
      <c r="F170" s="1">
        <v>46244</v>
      </c>
      <c r="G170" t="s">
        <v>981</v>
      </c>
      <c r="H170" t="s">
        <v>982</v>
      </c>
      <c r="I170" s="1">
        <v>46233</v>
      </c>
      <c r="J170" t="s">
        <v>138</v>
      </c>
      <c r="K170" t="s">
        <v>1279</v>
      </c>
      <c r="L170" t="s">
        <v>12</v>
      </c>
      <c r="M170" t="s">
        <v>21</v>
      </c>
      <c r="N170" t="s">
        <v>1004</v>
      </c>
      <c r="O170" t="s">
        <v>1949</v>
      </c>
      <c r="Q170" t="s">
        <v>6</v>
      </c>
      <c r="R170" t="s">
        <v>740</v>
      </c>
      <c r="S170" t="s">
        <v>1005</v>
      </c>
      <c r="T170" t="s">
        <v>1995</v>
      </c>
      <c r="U170">
        <v>30</v>
      </c>
      <c r="V170">
        <v>1.1299999999999999</v>
      </c>
      <c r="W170">
        <v>33.9</v>
      </c>
      <c r="X170">
        <v>0</v>
      </c>
      <c r="Y170">
        <v>0</v>
      </c>
      <c r="Z170">
        <v>6.1020000000000003</v>
      </c>
      <c r="AA170">
        <v>0</v>
      </c>
      <c r="AB170">
        <v>0</v>
      </c>
      <c r="AC170">
        <v>40.002000000000002</v>
      </c>
      <c r="AD170">
        <v>0</v>
      </c>
      <c r="AE170">
        <v>0</v>
      </c>
      <c r="AF170">
        <v>40.002000000000002</v>
      </c>
      <c r="AG170" t="s">
        <v>37</v>
      </c>
    </row>
    <row r="171" spans="1:33" x14ac:dyDescent="0.35">
      <c r="A171">
        <v>169</v>
      </c>
      <c r="B171">
        <v>282110</v>
      </c>
      <c r="C171">
        <v>328013399</v>
      </c>
      <c r="D171" t="s">
        <v>980</v>
      </c>
      <c r="E171" t="s">
        <v>50</v>
      </c>
      <c r="F171" s="1">
        <v>46244</v>
      </c>
      <c r="G171" t="s">
        <v>981</v>
      </c>
      <c r="H171" t="s">
        <v>982</v>
      </c>
      <c r="I171" s="1">
        <v>46233</v>
      </c>
      <c r="J171" t="s">
        <v>138</v>
      </c>
      <c r="K171" t="s">
        <v>1279</v>
      </c>
      <c r="L171" t="s">
        <v>12</v>
      </c>
      <c r="M171" t="s">
        <v>21</v>
      </c>
      <c r="N171" t="s">
        <v>1022</v>
      </c>
      <c r="O171" t="s">
        <v>1942</v>
      </c>
      <c r="Q171" t="s">
        <v>6</v>
      </c>
      <c r="R171" t="s">
        <v>1023</v>
      </c>
      <c r="S171" t="s">
        <v>1024</v>
      </c>
      <c r="T171" t="s">
        <v>2001</v>
      </c>
      <c r="U171">
        <v>20</v>
      </c>
      <c r="V171">
        <v>6.84</v>
      </c>
      <c r="W171">
        <v>136.80000000000001</v>
      </c>
      <c r="X171">
        <v>0</v>
      </c>
      <c r="Y171">
        <v>0</v>
      </c>
      <c r="Z171">
        <v>24.623999999999999</v>
      </c>
      <c r="AA171">
        <v>0</v>
      </c>
      <c r="AB171">
        <v>0</v>
      </c>
      <c r="AC171">
        <v>161.42400000000001</v>
      </c>
      <c r="AD171">
        <v>0</v>
      </c>
      <c r="AE171">
        <v>0</v>
      </c>
      <c r="AF171">
        <v>161.42400000000001</v>
      </c>
      <c r="AG171" t="s">
        <v>37</v>
      </c>
    </row>
    <row r="172" spans="1:33" x14ac:dyDescent="0.35">
      <c r="A172">
        <v>170</v>
      </c>
      <c r="B172">
        <v>282110</v>
      </c>
      <c r="C172">
        <v>328013399</v>
      </c>
      <c r="D172" t="s">
        <v>980</v>
      </c>
      <c r="E172" t="s">
        <v>50</v>
      </c>
      <c r="F172" s="1">
        <v>46244</v>
      </c>
      <c r="G172" t="s">
        <v>981</v>
      </c>
      <c r="H172" t="s">
        <v>982</v>
      </c>
      <c r="I172" s="1">
        <v>46233</v>
      </c>
      <c r="J172" t="s">
        <v>138</v>
      </c>
      <c r="K172" t="s">
        <v>1279</v>
      </c>
      <c r="L172" t="s">
        <v>12</v>
      </c>
      <c r="M172" t="s">
        <v>21</v>
      </c>
      <c r="N172" t="s">
        <v>1025</v>
      </c>
      <c r="O172" t="s">
        <v>1938</v>
      </c>
      <c r="Q172" t="s">
        <v>6</v>
      </c>
      <c r="R172" t="s">
        <v>43</v>
      </c>
      <c r="S172" t="s">
        <v>1026</v>
      </c>
      <c r="T172" t="s">
        <v>1995</v>
      </c>
      <c r="U172">
        <v>60</v>
      </c>
      <c r="V172">
        <v>1.84</v>
      </c>
      <c r="W172">
        <v>110.4</v>
      </c>
      <c r="X172">
        <v>0</v>
      </c>
      <c r="Y172">
        <v>0</v>
      </c>
      <c r="Z172">
        <v>19.872</v>
      </c>
      <c r="AA172">
        <v>0</v>
      </c>
      <c r="AB172">
        <v>0</v>
      </c>
      <c r="AC172">
        <v>130.27199999999999</v>
      </c>
      <c r="AD172">
        <v>0</v>
      </c>
      <c r="AE172">
        <v>0</v>
      </c>
      <c r="AF172">
        <v>130.27199999999999</v>
      </c>
      <c r="AG172" t="s">
        <v>37</v>
      </c>
    </row>
    <row r="173" spans="1:33" x14ac:dyDescent="0.35">
      <c r="A173">
        <v>171</v>
      </c>
      <c r="B173">
        <v>282110</v>
      </c>
      <c r="C173">
        <v>328013399</v>
      </c>
      <c r="D173" t="s">
        <v>980</v>
      </c>
      <c r="E173" t="s">
        <v>50</v>
      </c>
      <c r="F173" s="1">
        <v>46244</v>
      </c>
      <c r="G173" t="s">
        <v>981</v>
      </c>
      <c r="H173" t="s">
        <v>982</v>
      </c>
      <c r="I173" s="1">
        <v>46233</v>
      </c>
      <c r="J173" t="s">
        <v>138</v>
      </c>
      <c r="K173" t="s">
        <v>1279</v>
      </c>
      <c r="L173" t="s">
        <v>12</v>
      </c>
      <c r="M173" t="s">
        <v>21</v>
      </c>
      <c r="N173" t="s">
        <v>994</v>
      </c>
      <c r="O173" t="s">
        <v>1938</v>
      </c>
      <c r="Q173" t="s">
        <v>6</v>
      </c>
      <c r="R173" t="s">
        <v>40</v>
      </c>
      <c r="S173" t="s">
        <v>995</v>
      </c>
      <c r="T173" t="s">
        <v>1995</v>
      </c>
      <c r="U173">
        <v>30</v>
      </c>
      <c r="V173">
        <v>1.1299999999999999</v>
      </c>
      <c r="W173">
        <v>33.9</v>
      </c>
      <c r="X173">
        <v>0</v>
      </c>
      <c r="Y173">
        <v>0</v>
      </c>
      <c r="Z173">
        <v>6.1020000000000003</v>
      </c>
      <c r="AA173">
        <v>0</v>
      </c>
      <c r="AB173">
        <v>0</v>
      </c>
      <c r="AC173">
        <v>40.002000000000002</v>
      </c>
      <c r="AD173">
        <v>0</v>
      </c>
      <c r="AE173">
        <v>0</v>
      </c>
      <c r="AF173">
        <v>40.002000000000002</v>
      </c>
      <c r="AG173" t="s">
        <v>37</v>
      </c>
    </row>
    <row r="174" spans="1:33" x14ac:dyDescent="0.35">
      <c r="A174">
        <v>172</v>
      </c>
      <c r="B174">
        <v>282110</v>
      </c>
      <c r="C174">
        <v>328013399</v>
      </c>
      <c r="D174" t="s">
        <v>980</v>
      </c>
      <c r="E174" t="s">
        <v>50</v>
      </c>
      <c r="F174" s="1">
        <v>46244</v>
      </c>
      <c r="G174" t="s">
        <v>981</v>
      </c>
      <c r="H174" t="s">
        <v>982</v>
      </c>
      <c r="I174" s="1">
        <v>46233</v>
      </c>
      <c r="J174" t="s">
        <v>138</v>
      </c>
      <c r="K174" t="s">
        <v>1279</v>
      </c>
      <c r="L174" t="s">
        <v>12</v>
      </c>
      <c r="M174" t="s">
        <v>21</v>
      </c>
      <c r="N174" t="s">
        <v>1018</v>
      </c>
      <c r="O174" t="s">
        <v>1949</v>
      </c>
      <c r="Q174" t="s">
        <v>6</v>
      </c>
      <c r="R174" t="s">
        <v>699</v>
      </c>
      <c r="S174" t="s">
        <v>1019</v>
      </c>
      <c r="T174" t="s">
        <v>1995</v>
      </c>
      <c r="U174">
        <v>30</v>
      </c>
      <c r="V174">
        <v>2.04</v>
      </c>
      <c r="W174">
        <v>61.2</v>
      </c>
      <c r="X174">
        <v>0</v>
      </c>
      <c r="Y174">
        <v>0</v>
      </c>
      <c r="Z174">
        <v>11.016</v>
      </c>
      <c r="AA174">
        <v>0</v>
      </c>
      <c r="AB174">
        <v>0</v>
      </c>
      <c r="AC174">
        <v>72.215999999999994</v>
      </c>
      <c r="AD174">
        <v>0</v>
      </c>
      <c r="AE174">
        <v>0</v>
      </c>
      <c r="AF174">
        <v>72.215999999999994</v>
      </c>
      <c r="AG174" t="s">
        <v>37</v>
      </c>
    </row>
    <row r="175" spans="1:33" x14ac:dyDescent="0.35">
      <c r="A175">
        <v>173</v>
      </c>
      <c r="B175">
        <v>282110</v>
      </c>
      <c r="C175">
        <v>328013399</v>
      </c>
      <c r="D175" t="s">
        <v>980</v>
      </c>
      <c r="E175" t="s">
        <v>50</v>
      </c>
      <c r="F175" s="1">
        <v>46244</v>
      </c>
      <c r="G175" t="s">
        <v>981</v>
      </c>
      <c r="H175" t="s">
        <v>982</v>
      </c>
      <c r="I175" s="1">
        <v>46233</v>
      </c>
      <c r="J175" t="s">
        <v>138</v>
      </c>
      <c r="K175" t="s">
        <v>1279</v>
      </c>
      <c r="L175" t="s">
        <v>12</v>
      </c>
      <c r="M175" t="s">
        <v>21</v>
      </c>
      <c r="N175" t="s">
        <v>986</v>
      </c>
      <c r="O175" t="s">
        <v>1938</v>
      </c>
      <c r="Q175" t="s">
        <v>6</v>
      </c>
      <c r="R175" t="s">
        <v>987</v>
      </c>
      <c r="S175" t="s">
        <v>988</v>
      </c>
      <c r="T175" t="s">
        <v>1995</v>
      </c>
      <c r="U175">
        <v>30</v>
      </c>
      <c r="V175">
        <v>1.23</v>
      </c>
      <c r="W175">
        <v>36.9</v>
      </c>
      <c r="X175">
        <v>0</v>
      </c>
      <c r="Y175">
        <v>0</v>
      </c>
      <c r="Z175">
        <v>6.6420000000000003</v>
      </c>
      <c r="AA175">
        <v>0</v>
      </c>
      <c r="AB175">
        <v>0</v>
      </c>
      <c r="AC175">
        <v>43.542000000000002</v>
      </c>
      <c r="AD175">
        <v>0</v>
      </c>
      <c r="AE175">
        <v>0</v>
      </c>
      <c r="AF175">
        <v>43.542000000000002</v>
      </c>
      <c r="AG175" t="s">
        <v>37</v>
      </c>
    </row>
    <row r="176" spans="1:33" x14ac:dyDescent="0.35">
      <c r="A176">
        <v>174</v>
      </c>
      <c r="B176">
        <v>282110</v>
      </c>
      <c r="C176">
        <v>328013399</v>
      </c>
      <c r="D176" t="s">
        <v>980</v>
      </c>
      <c r="E176" t="s">
        <v>50</v>
      </c>
      <c r="F176" s="1">
        <v>46244</v>
      </c>
      <c r="G176" t="s">
        <v>981</v>
      </c>
      <c r="H176" t="s">
        <v>982</v>
      </c>
      <c r="I176" s="1">
        <v>46233</v>
      </c>
      <c r="J176" t="s">
        <v>138</v>
      </c>
      <c r="K176" t="s">
        <v>1279</v>
      </c>
      <c r="L176" t="s">
        <v>12</v>
      </c>
      <c r="M176" t="s">
        <v>21</v>
      </c>
      <c r="N176" t="s">
        <v>998</v>
      </c>
      <c r="O176" t="s">
        <v>1936</v>
      </c>
      <c r="Q176" t="s">
        <v>6</v>
      </c>
      <c r="R176" t="s">
        <v>660</v>
      </c>
      <c r="S176" t="s">
        <v>999</v>
      </c>
      <c r="T176" t="s">
        <v>416</v>
      </c>
      <c r="U176">
        <v>30</v>
      </c>
      <c r="V176">
        <v>11.84</v>
      </c>
      <c r="W176">
        <v>355.2</v>
      </c>
      <c r="X176">
        <v>0</v>
      </c>
      <c r="Y176">
        <v>0</v>
      </c>
      <c r="Z176">
        <v>63.936</v>
      </c>
      <c r="AA176">
        <v>0</v>
      </c>
      <c r="AB176">
        <v>0</v>
      </c>
      <c r="AC176">
        <v>419.13600000000002</v>
      </c>
      <c r="AD176">
        <v>0</v>
      </c>
      <c r="AE176">
        <v>0</v>
      </c>
      <c r="AF176">
        <v>419.13600000000002</v>
      </c>
      <c r="AG176" t="s">
        <v>37</v>
      </c>
    </row>
    <row r="177" spans="1:33" x14ac:dyDescent="0.35">
      <c r="A177">
        <v>175</v>
      </c>
      <c r="B177">
        <v>282110</v>
      </c>
      <c r="C177">
        <v>328013399</v>
      </c>
      <c r="D177" t="s">
        <v>980</v>
      </c>
      <c r="E177" t="s">
        <v>50</v>
      </c>
      <c r="F177" s="1">
        <v>46244</v>
      </c>
      <c r="G177" t="s">
        <v>981</v>
      </c>
      <c r="H177" t="s">
        <v>982</v>
      </c>
      <c r="I177" s="1">
        <v>46233</v>
      </c>
      <c r="J177" t="s">
        <v>138</v>
      </c>
      <c r="K177" t="s">
        <v>1279</v>
      </c>
      <c r="L177" t="s">
        <v>12</v>
      </c>
      <c r="M177" t="s">
        <v>21</v>
      </c>
      <c r="N177" t="s">
        <v>1008</v>
      </c>
      <c r="O177" t="s">
        <v>1938</v>
      </c>
      <c r="Q177" t="s">
        <v>6</v>
      </c>
      <c r="R177" t="s">
        <v>43</v>
      </c>
      <c r="S177" t="s">
        <v>1009</v>
      </c>
      <c r="T177" t="s">
        <v>1995</v>
      </c>
      <c r="U177">
        <v>30</v>
      </c>
      <c r="V177">
        <v>2.04</v>
      </c>
      <c r="W177">
        <v>61.2</v>
      </c>
      <c r="X177">
        <v>0</v>
      </c>
      <c r="Y177">
        <v>0</v>
      </c>
      <c r="Z177">
        <v>11.016</v>
      </c>
      <c r="AA177">
        <v>0</v>
      </c>
      <c r="AB177">
        <v>0</v>
      </c>
      <c r="AC177">
        <v>72.215999999999994</v>
      </c>
      <c r="AD177">
        <v>0</v>
      </c>
      <c r="AE177">
        <v>0</v>
      </c>
      <c r="AF177">
        <v>72.215999999999994</v>
      </c>
      <c r="AG177" t="s">
        <v>37</v>
      </c>
    </row>
    <row r="178" spans="1:33" x14ac:dyDescent="0.35">
      <c r="A178">
        <v>176</v>
      </c>
      <c r="B178">
        <v>282110</v>
      </c>
      <c r="C178">
        <v>328013399</v>
      </c>
      <c r="D178" t="s">
        <v>980</v>
      </c>
      <c r="E178" t="s">
        <v>50</v>
      </c>
      <c r="F178" s="1">
        <v>46244</v>
      </c>
      <c r="G178" t="s">
        <v>981</v>
      </c>
      <c r="H178" t="s">
        <v>982</v>
      </c>
      <c r="I178" s="1">
        <v>46233</v>
      </c>
      <c r="J178" t="s">
        <v>138</v>
      </c>
      <c r="K178" t="s">
        <v>1279</v>
      </c>
      <c r="L178" t="s">
        <v>12</v>
      </c>
      <c r="M178" t="s">
        <v>21</v>
      </c>
      <c r="N178" t="s">
        <v>1000</v>
      </c>
      <c r="O178" t="s">
        <v>1949</v>
      </c>
      <c r="Q178" t="s">
        <v>6</v>
      </c>
      <c r="R178" t="s">
        <v>740</v>
      </c>
      <c r="S178" t="s">
        <v>1001</v>
      </c>
      <c r="T178" t="s">
        <v>1995</v>
      </c>
      <c r="U178">
        <v>30</v>
      </c>
      <c r="V178">
        <v>1.02</v>
      </c>
      <c r="W178">
        <v>30.6</v>
      </c>
      <c r="X178">
        <v>0</v>
      </c>
      <c r="Y178">
        <v>0</v>
      </c>
      <c r="Z178">
        <v>5.508</v>
      </c>
      <c r="AA178">
        <v>0</v>
      </c>
      <c r="AB178">
        <v>0</v>
      </c>
      <c r="AC178">
        <v>36.107999999999997</v>
      </c>
      <c r="AD178">
        <v>0</v>
      </c>
      <c r="AE178">
        <v>0</v>
      </c>
      <c r="AF178">
        <v>36.107999999999997</v>
      </c>
      <c r="AG178" t="s">
        <v>37</v>
      </c>
    </row>
    <row r="179" spans="1:33" x14ac:dyDescent="0.35">
      <c r="A179">
        <v>177</v>
      </c>
      <c r="B179">
        <v>282110</v>
      </c>
      <c r="C179">
        <v>328013399</v>
      </c>
      <c r="D179" t="s">
        <v>980</v>
      </c>
      <c r="E179" t="s">
        <v>50</v>
      </c>
      <c r="F179" s="1">
        <v>46244</v>
      </c>
      <c r="G179" t="s">
        <v>981</v>
      </c>
      <c r="H179" t="s">
        <v>982</v>
      </c>
      <c r="I179" s="1">
        <v>46233</v>
      </c>
      <c r="J179" t="s">
        <v>138</v>
      </c>
      <c r="K179" t="s">
        <v>1279</v>
      </c>
      <c r="L179" t="s">
        <v>12</v>
      </c>
      <c r="M179" t="s">
        <v>21</v>
      </c>
      <c r="N179" t="s">
        <v>991</v>
      </c>
      <c r="O179" t="s">
        <v>1932</v>
      </c>
      <c r="Q179" t="s">
        <v>6</v>
      </c>
      <c r="R179" t="s">
        <v>992</v>
      </c>
      <c r="S179" t="s">
        <v>993</v>
      </c>
      <c r="T179" t="s">
        <v>2003</v>
      </c>
      <c r="U179">
        <v>10</v>
      </c>
      <c r="V179">
        <v>71.709999999999994</v>
      </c>
      <c r="W179">
        <v>717.1</v>
      </c>
      <c r="X179">
        <v>0</v>
      </c>
      <c r="Y179">
        <v>0</v>
      </c>
      <c r="Z179">
        <v>129.078</v>
      </c>
      <c r="AA179">
        <v>0</v>
      </c>
      <c r="AB179">
        <v>0</v>
      </c>
      <c r="AC179">
        <v>846.178</v>
      </c>
      <c r="AD179">
        <v>0</v>
      </c>
      <c r="AE179">
        <v>0</v>
      </c>
      <c r="AF179">
        <v>846.178</v>
      </c>
      <c r="AG179" t="s">
        <v>37</v>
      </c>
    </row>
    <row r="180" spans="1:33" x14ac:dyDescent="0.35">
      <c r="A180">
        <v>178</v>
      </c>
      <c r="B180">
        <v>282111</v>
      </c>
      <c r="C180">
        <v>328013400</v>
      </c>
      <c r="D180" t="s">
        <v>1037</v>
      </c>
      <c r="E180" t="s">
        <v>50</v>
      </c>
      <c r="F180" s="1">
        <v>46244</v>
      </c>
      <c r="G180" t="s">
        <v>1038</v>
      </c>
      <c r="H180" t="s">
        <v>731</v>
      </c>
      <c r="I180" s="1">
        <v>46231</v>
      </c>
      <c r="J180" t="s">
        <v>138</v>
      </c>
      <c r="K180" t="s">
        <v>1279</v>
      </c>
      <c r="L180" t="s">
        <v>12</v>
      </c>
      <c r="M180" t="s">
        <v>21</v>
      </c>
      <c r="N180" t="s">
        <v>1039</v>
      </c>
      <c r="O180" t="s">
        <v>1996</v>
      </c>
      <c r="Q180" t="s">
        <v>6</v>
      </c>
      <c r="R180" t="s">
        <v>1040</v>
      </c>
      <c r="S180" t="s">
        <v>1041</v>
      </c>
      <c r="T180" t="s">
        <v>1997</v>
      </c>
      <c r="U180">
        <v>25</v>
      </c>
      <c r="V180">
        <v>60.6</v>
      </c>
      <c r="W180" s="2">
        <v>1515</v>
      </c>
      <c r="X180">
        <v>0</v>
      </c>
      <c r="Y180">
        <v>0</v>
      </c>
      <c r="Z180">
        <v>272.7</v>
      </c>
      <c r="AA180">
        <v>0</v>
      </c>
      <c r="AB180">
        <v>0</v>
      </c>
      <c r="AC180" s="2">
        <v>1787.7</v>
      </c>
      <c r="AD180">
        <v>0</v>
      </c>
      <c r="AE180">
        <v>0</v>
      </c>
      <c r="AF180" s="2">
        <v>1787.7</v>
      </c>
      <c r="AG180" t="s">
        <v>37</v>
      </c>
    </row>
    <row r="181" spans="1:33" x14ac:dyDescent="0.35">
      <c r="A181">
        <v>179</v>
      </c>
      <c r="B181">
        <v>282128</v>
      </c>
      <c r="C181">
        <v>328013416</v>
      </c>
      <c r="D181" t="s">
        <v>1042</v>
      </c>
      <c r="E181" t="s">
        <v>50</v>
      </c>
      <c r="F181" s="1">
        <v>46244</v>
      </c>
      <c r="G181" t="s">
        <v>1043</v>
      </c>
      <c r="H181" t="s">
        <v>1044</v>
      </c>
      <c r="I181" s="1">
        <v>46233</v>
      </c>
      <c r="J181" t="s">
        <v>138</v>
      </c>
      <c r="K181" t="s">
        <v>137</v>
      </c>
      <c r="L181" t="s">
        <v>11</v>
      </c>
      <c r="M181" t="s">
        <v>24</v>
      </c>
      <c r="N181" t="s">
        <v>1048</v>
      </c>
      <c r="O181" t="s">
        <v>2032</v>
      </c>
      <c r="Q181" t="s">
        <v>6</v>
      </c>
      <c r="R181" t="s">
        <v>1049</v>
      </c>
      <c r="S181" t="s">
        <v>1050</v>
      </c>
      <c r="T181" t="s">
        <v>1995</v>
      </c>
      <c r="U181">
        <v>50</v>
      </c>
      <c r="V181">
        <v>84.9</v>
      </c>
      <c r="W181" s="2">
        <v>4245</v>
      </c>
      <c r="X181">
        <v>0</v>
      </c>
      <c r="Y181">
        <v>0</v>
      </c>
      <c r="Z181">
        <v>764.1</v>
      </c>
      <c r="AA181">
        <v>0</v>
      </c>
      <c r="AB181">
        <v>0</v>
      </c>
      <c r="AC181" s="2">
        <v>5009.1000000000004</v>
      </c>
      <c r="AD181">
        <v>0</v>
      </c>
      <c r="AE181">
        <v>0</v>
      </c>
      <c r="AF181" s="2">
        <v>5009.1000000000004</v>
      </c>
      <c r="AG181" t="s">
        <v>37</v>
      </c>
    </row>
    <row r="182" spans="1:33" x14ac:dyDescent="0.35">
      <c r="A182">
        <v>180</v>
      </c>
      <c r="B182">
        <v>282128</v>
      </c>
      <c r="C182">
        <v>328013416</v>
      </c>
      <c r="D182" t="s">
        <v>1042</v>
      </c>
      <c r="E182" t="s">
        <v>50</v>
      </c>
      <c r="F182" s="1">
        <v>46244</v>
      </c>
      <c r="G182" t="s">
        <v>1043</v>
      </c>
      <c r="H182" t="s">
        <v>1044</v>
      </c>
      <c r="I182" s="1">
        <v>46233</v>
      </c>
      <c r="J182" t="s">
        <v>138</v>
      </c>
      <c r="K182" t="s">
        <v>137</v>
      </c>
      <c r="L182" t="s">
        <v>11</v>
      </c>
      <c r="M182" t="s">
        <v>24</v>
      </c>
      <c r="N182" t="s">
        <v>1045</v>
      </c>
      <c r="O182" t="s">
        <v>1950</v>
      </c>
      <c r="Q182" t="s">
        <v>6</v>
      </c>
      <c r="R182" t="s">
        <v>1046</v>
      </c>
      <c r="S182" t="s">
        <v>1047</v>
      </c>
      <c r="T182" t="s">
        <v>1995</v>
      </c>
      <c r="U182">
        <v>50</v>
      </c>
      <c r="V182">
        <v>184.91</v>
      </c>
      <c r="W182" s="2">
        <v>9245.5</v>
      </c>
      <c r="X182">
        <v>0</v>
      </c>
      <c r="Y182">
        <v>0</v>
      </c>
      <c r="Z182" s="2">
        <v>1664.19</v>
      </c>
      <c r="AA182">
        <v>0</v>
      </c>
      <c r="AB182">
        <v>0</v>
      </c>
      <c r="AC182" s="2">
        <v>10909.69</v>
      </c>
      <c r="AD182">
        <v>0</v>
      </c>
      <c r="AE182">
        <v>0</v>
      </c>
      <c r="AF182" s="2">
        <v>10909.69</v>
      </c>
      <c r="AG182" t="s">
        <v>37</v>
      </c>
    </row>
    <row r="183" spans="1:33" x14ac:dyDescent="0.35">
      <c r="A183">
        <v>181</v>
      </c>
      <c r="B183">
        <v>282133</v>
      </c>
      <c r="C183">
        <v>328013421</v>
      </c>
      <c r="D183" t="s">
        <v>1051</v>
      </c>
      <c r="E183" t="s">
        <v>50</v>
      </c>
      <c r="F183" s="1">
        <v>46244</v>
      </c>
      <c r="G183" t="s">
        <v>1052</v>
      </c>
      <c r="H183" t="s">
        <v>1053</v>
      </c>
      <c r="I183" s="1">
        <v>46231</v>
      </c>
      <c r="J183" t="s">
        <v>138</v>
      </c>
      <c r="K183" t="s">
        <v>137</v>
      </c>
      <c r="L183" t="s">
        <v>15</v>
      </c>
      <c r="M183" t="s">
        <v>14</v>
      </c>
      <c r="N183" t="s">
        <v>1056</v>
      </c>
      <c r="O183" t="s">
        <v>1991</v>
      </c>
      <c r="Q183" t="s">
        <v>6</v>
      </c>
      <c r="R183" t="s">
        <v>1040</v>
      </c>
      <c r="S183" t="s">
        <v>1057</v>
      </c>
      <c r="T183" t="s">
        <v>416</v>
      </c>
      <c r="U183">
        <v>1</v>
      </c>
      <c r="V183" s="2">
        <v>2456.6</v>
      </c>
      <c r="W183" s="2">
        <v>2456.6</v>
      </c>
      <c r="X183">
        <v>0</v>
      </c>
      <c r="Y183">
        <v>0</v>
      </c>
      <c r="Z183">
        <v>442.18799999999999</v>
      </c>
      <c r="AA183">
        <v>0</v>
      </c>
      <c r="AB183">
        <v>0</v>
      </c>
      <c r="AC183" s="2">
        <v>2898.788</v>
      </c>
      <c r="AD183">
        <v>0</v>
      </c>
      <c r="AE183">
        <v>0</v>
      </c>
      <c r="AF183" s="2">
        <v>2898.788</v>
      </c>
      <c r="AG183" t="s">
        <v>37</v>
      </c>
    </row>
    <row r="184" spans="1:33" x14ac:dyDescent="0.35">
      <c r="A184">
        <v>182</v>
      </c>
      <c r="B184">
        <v>282133</v>
      </c>
      <c r="C184">
        <v>328013421</v>
      </c>
      <c r="D184" t="s">
        <v>1051</v>
      </c>
      <c r="E184" t="s">
        <v>50</v>
      </c>
      <c r="F184" s="1">
        <v>46244</v>
      </c>
      <c r="G184" t="s">
        <v>1052</v>
      </c>
      <c r="H184" t="s">
        <v>1053</v>
      </c>
      <c r="I184" s="1">
        <v>46231</v>
      </c>
      <c r="J184" t="s">
        <v>138</v>
      </c>
      <c r="K184" t="s">
        <v>137</v>
      </c>
      <c r="L184" t="s">
        <v>15</v>
      </c>
      <c r="M184" t="s">
        <v>14</v>
      </c>
      <c r="N184" t="s">
        <v>1054</v>
      </c>
      <c r="O184" t="s">
        <v>1937</v>
      </c>
      <c r="Q184" t="s">
        <v>6</v>
      </c>
      <c r="R184" t="s">
        <v>43</v>
      </c>
      <c r="S184" t="s">
        <v>1055</v>
      </c>
      <c r="T184" t="s">
        <v>1995</v>
      </c>
      <c r="U184">
        <v>10</v>
      </c>
      <c r="V184">
        <v>46.67</v>
      </c>
      <c r="W184">
        <v>466.7</v>
      </c>
      <c r="X184">
        <v>0</v>
      </c>
      <c r="Y184">
        <v>0</v>
      </c>
      <c r="Z184">
        <v>84.006</v>
      </c>
      <c r="AA184">
        <v>0</v>
      </c>
      <c r="AB184">
        <v>0</v>
      </c>
      <c r="AC184">
        <v>550.70600000000002</v>
      </c>
      <c r="AD184">
        <v>0</v>
      </c>
      <c r="AE184">
        <v>0</v>
      </c>
      <c r="AF184">
        <v>550.70600000000002</v>
      </c>
      <c r="AG184" t="s">
        <v>37</v>
      </c>
    </row>
    <row r="185" spans="1:33" x14ac:dyDescent="0.35">
      <c r="A185">
        <v>183</v>
      </c>
      <c r="B185">
        <v>282135</v>
      </c>
      <c r="C185">
        <v>328013423</v>
      </c>
      <c r="D185" t="s">
        <v>1058</v>
      </c>
      <c r="E185" t="s">
        <v>50</v>
      </c>
      <c r="F185" s="1">
        <v>46244</v>
      </c>
      <c r="G185" t="s">
        <v>1059</v>
      </c>
      <c r="H185" t="s">
        <v>1060</v>
      </c>
      <c r="I185" s="1">
        <v>46225</v>
      </c>
      <c r="J185" t="s">
        <v>138</v>
      </c>
      <c r="K185" t="s">
        <v>137</v>
      </c>
      <c r="L185" t="s">
        <v>19</v>
      </c>
      <c r="M185" t="s">
        <v>150</v>
      </c>
      <c r="N185" t="s">
        <v>1061</v>
      </c>
      <c r="O185" t="s">
        <v>2010</v>
      </c>
      <c r="Q185" t="s">
        <v>6</v>
      </c>
      <c r="R185" t="s">
        <v>1062</v>
      </c>
      <c r="S185" t="s">
        <v>1063</v>
      </c>
      <c r="T185" t="s">
        <v>416</v>
      </c>
      <c r="U185">
        <v>10</v>
      </c>
      <c r="V185">
        <v>866.71</v>
      </c>
      <c r="W185" s="2">
        <v>8667.1</v>
      </c>
      <c r="X185">
        <v>0</v>
      </c>
      <c r="Y185">
        <v>0</v>
      </c>
      <c r="Z185" s="2">
        <v>1560.078</v>
      </c>
      <c r="AA185">
        <v>0</v>
      </c>
      <c r="AB185">
        <v>0</v>
      </c>
      <c r="AC185" s="2">
        <v>10227.178</v>
      </c>
      <c r="AD185">
        <v>0</v>
      </c>
      <c r="AE185">
        <v>0</v>
      </c>
      <c r="AF185" s="2">
        <v>10227.178</v>
      </c>
      <c r="AG185" t="s">
        <v>37</v>
      </c>
    </row>
    <row r="186" spans="1:33" x14ac:dyDescent="0.35">
      <c r="A186">
        <v>184</v>
      </c>
      <c r="B186">
        <v>282156</v>
      </c>
      <c r="C186">
        <v>328013443</v>
      </c>
      <c r="D186" t="s">
        <v>1064</v>
      </c>
      <c r="E186" t="s">
        <v>50</v>
      </c>
      <c r="F186" s="1">
        <v>46244</v>
      </c>
      <c r="G186" t="s">
        <v>852</v>
      </c>
      <c r="H186" t="s">
        <v>123</v>
      </c>
      <c r="I186" s="1">
        <v>46233</v>
      </c>
      <c r="J186" t="s">
        <v>138</v>
      </c>
      <c r="K186" t="s">
        <v>1279</v>
      </c>
      <c r="L186" t="s">
        <v>12</v>
      </c>
      <c r="M186" t="s">
        <v>21</v>
      </c>
      <c r="N186" t="s">
        <v>1065</v>
      </c>
      <c r="O186" t="s">
        <v>1937</v>
      </c>
      <c r="Q186" t="s">
        <v>6</v>
      </c>
      <c r="R186" t="s">
        <v>44</v>
      </c>
      <c r="S186" t="s">
        <v>1066</v>
      </c>
      <c r="T186" t="s">
        <v>1995</v>
      </c>
      <c r="U186">
        <v>7</v>
      </c>
      <c r="V186">
        <v>14.56</v>
      </c>
      <c r="W186">
        <v>101.92</v>
      </c>
      <c r="X186">
        <v>0</v>
      </c>
      <c r="Y186">
        <v>0</v>
      </c>
      <c r="Z186">
        <v>18.345600000000001</v>
      </c>
      <c r="AA186">
        <v>0</v>
      </c>
      <c r="AB186">
        <v>0</v>
      </c>
      <c r="AC186">
        <v>120.26560000000001</v>
      </c>
      <c r="AD186">
        <v>0</v>
      </c>
      <c r="AE186">
        <v>0</v>
      </c>
      <c r="AF186">
        <v>120.26560000000001</v>
      </c>
      <c r="AG186" t="s">
        <v>37</v>
      </c>
    </row>
    <row r="187" spans="1:33" x14ac:dyDescent="0.35">
      <c r="A187">
        <v>185</v>
      </c>
      <c r="B187">
        <v>282170</v>
      </c>
      <c r="C187">
        <v>328013456</v>
      </c>
      <c r="D187" t="s">
        <v>1067</v>
      </c>
      <c r="E187" t="s">
        <v>50</v>
      </c>
      <c r="F187" s="1">
        <v>46244</v>
      </c>
      <c r="G187" t="s">
        <v>1068</v>
      </c>
      <c r="H187">
        <v>4500015719</v>
      </c>
      <c r="I187" s="1">
        <v>46225</v>
      </c>
      <c r="J187" t="s">
        <v>138</v>
      </c>
      <c r="K187" t="s">
        <v>1278</v>
      </c>
      <c r="L187" t="s">
        <v>12</v>
      </c>
      <c r="M187" t="s">
        <v>21</v>
      </c>
      <c r="N187" t="s">
        <v>1075</v>
      </c>
      <c r="O187" t="s">
        <v>1938</v>
      </c>
      <c r="P187">
        <v>25009078</v>
      </c>
      <c r="Q187" t="s">
        <v>6</v>
      </c>
      <c r="R187" t="s">
        <v>796</v>
      </c>
      <c r="S187" t="s">
        <v>1076</v>
      </c>
      <c r="T187" t="s">
        <v>1995</v>
      </c>
      <c r="U187">
        <v>50</v>
      </c>
      <c r="V187">
        <v>3.94</v>
      </c>
      <c r="W187">
        <v>197</v>
      </c>
      <c r="X187">
        <v>0</v>
      </c>
      <c r="Y187">
        <v>0</v>
      </c>
      <c r="Z187">
        <v>35.46</v>
      </c>
      <c r="AA187">
        <v>0</v>
      </c>
      <c r="AB187">
        <v>0</v>
      </c>
      <c r="AC187">
        <v>232.46</v>
      </c>
      <c r="AD187">
        <v>0</v>
      </c>
      <c r="AE187">
        <v>0</v>
      </c>
      <c r="AF187">
        <v>232.46</v>
      </c>
      <c r="AG187" t="s">
        <v>37</v>
      </c>
    </row>
    <row r="188" spans="1:33" x14ac:dyDescent="0.35">
      <c r="A188">
        <v>186</v>
      </c>
      <c r="B188">
        <v>282170</v>
      </c>
      <c r="C188">
        <v>328013456</v>
      </c>
      <c r="D188" t="s">
        <v>1067</v>
      </c>
      <c r="E188" t="s">
        <v>50</v>
      </c>
      <c r="F188" s="1">
        <v>46244</v>
      </c>
      <c r="G188" t="s">
        <v>1068</v>
      </c>
      <c r="H188">
        <v>4500015719</v>
      </c>
      <c r="I188" s="1">
        <v>46225</v>
      </c>
      <c r="J188" t="s">
        <v>138</v>
      </c>
      <c r="K188" t="s">
        <v>1278</v>
      </c>
      <c r="L188" t="s">
        <v>12</v>
      </c>
      <c r="M188" t="s">
        <v>21</v>
      </c>
      <c r="N188" t="s">
        <v>1069</v>
      </c>
      <c r="O188" t="s">
        <v>1938</v>
      </c>
      <c r="P188">
        <v>25000111</v>
      </c>
      <c r="Q188" t="s">
        <v>6</v>
      </c>
      <c r="R188" t="s">
        <v>40</v>
      </c>
      <c r="S188" t="s">
        <v>1070</v>
      </c>
      <c r="T188" t="s">
        <v>1995</v>
      </c>
      <c r="U188">
        <v>20</v>
      </c>
      <c r="V188">
        <v>1.01</v>
      </c>
      <c r="W188">
        <v>20.2</v>
      </c>
      <c r="X188">
        <v>0</v>
      </c>
      <c r="Y188">
        <v>0</v>
      </c>
      <c r="Z188">
        <v>3.6360000000000001</v>
      </c>
      <c r="AA188">
        <v>0</v>
      </c>
      <c r="AB188">
        <v>0</v>
      </c>
      <c r="AC188">
        <v>23.835999999999999</v>
      </c>
      <c r="AD188">
        <v>0</v>
      </c>
      <c r="AE188">
        <v>0</v>
      </c>
      <c r="AF188">
        <v>23.835999999999999</v>
      </c>
      <c r="AG188" t="s">
        <v>37</v>
      </c>
    </row>
    <row r="189" spans="1:33" x14ac:dyDescent="0.35">
      <c r="A189">
        <v>187</v>
      </c>
      <c r="B189">
        <v>282170</v>
      </c>
      <c r="C189">
        <v>328013456</v>
      </c>
      <c r="D189" t="s">
        <v>1067</v>
      </c>
      <c r="E189" t="s">
        <v>50</v>
      </c>
      <c r="F189" s="1">
        <v>46244</v>
      </c>
      <c r="G189" t="s">
        <v>1068</v>
      </c>
      <c r="H189">
        <v>4500015719</v>
      </c>
      <c r="I189" s="1">
        <v>46225</v>
      </c>
      <c r="J189" t="s">
        <v>138</v>
      </c>
      <c r="K189" t="s">
        <v>1278</v>
      </c>
      <c r="L189" t="s">
        <v>12</v>
      </c>
      <c r="M189" t="s">
        <v>21</v>
      </c>
      <c r="N189" t="s">
        <v>1073</v>
      </c>
      <c r="O189" t="s">
        <v>1938</v>
      </c>
      <c r="P189">
        <v>25001693</v>
      </c>
      <c r="Q189" t="s">
        <v>6</v>
      </c>
      <c r="R189" t="s">
        <v>43</v>
      </c>
      <c r="S189" t="s">
        <v>1074</v>
      </c>
      <c r="T189" t="s">
        <v>1995</v>
      </c>
      <c r="U189">
        <v>10</v>
      </c>
      <c r="V189">
        <v>342.39</v>
      </c>
      <c r="W189" s="2">
        <v>3423.9</v>
      </c>
      <c r="X189">
        <v>0</v>
      </c>
      <c r="Y189">
        <v>0</v>
      </c>
      <c r="Z189">
        <v>616.30200000000002</v>
      </c>
      <c r="AA189">
        <v>0</v>
      </c>
      <c r="AB189">
        <v>0</v>
      </c>
      <c r="AC189" s="2">
        <v>4040.2020000000002</v>
      </c>
      <c r="AD189">
        <v>0</v>
      </c>
      <c r="AE189">
        <v>0</v>
      </c>
      <c r="AF189" s="2">
        <v>4040.2020000000002</v>
      </c>
      <c r="AG189" t="s">
        <v>37</v>
      </c>
    </row>
    <row r="190" spans="1:33" x14ac:dyDescent="0.35">
      <c r="A190">
        <v>188</v>
      </c>
      <c r="B190">
        <v>282170</v>
      </c>
      <c r="C190">
        <v>328013456</v>
      </c>
      <c r="D190" t="s">
        <v>1067</v>
      </c>
      <c r="E190" t="s">
        <v>50</v>
      </c>
      <c r="F190" s="1">
        <v>46244</v>
      </c>
      <c r="G190" t="s">
        <v>1068</v>
      </c>
      <c r="H190">
        <v>4500015719</v>
      </c>
      <c r="I190" s="1">
        <v>46225</v>
      </c>
      <c r="J190" t="s">
        <v>138</v>
      </c>
      <c r="K190" t="s">
        <v>1278</v>
      </c>
      <c r="L190" t="s">
        <v>12</v>
      </c>
      <c r="M190" t="s">
        <v>21</v>
      </c>
      <c r="N190" t="s">
        <v>1071</v>
      </c>
      <c r="O190" t="s">
        <v>1949</v>
      </c>
      <c r="P190">
        <v>25001171</v>
      </c>
      <c r="Q190" t="s">
        <v>6</v>
      </c>
      <c r="R190" t="s">
        <v>38</v>
      </c>
      <c r="S190" t="s">
        <v>1072</v>
      </c>
      <c r="T190" t="s">
        <v>1995</v>
      </c>
      <c r="U190">
        <v>20</v>
      </c>
      <c r="V190">
        <v>10.210000000000001</v>
      </c>
      <c r="W190">
        <v>204.2</v>
      </c>
      <c r="X190">
        <v>0</v>
      </c>
      <c r="Y190">
        <v>0</v>
      </c>
      <c r="Z190">
        <v>36.756</v>
      </c>
      <c r="AA190">
        <v>0</v>
      </c>
      <c r="AB190">
        <v>0</v>
      </c>
      <c r="AC190">
        <v>240.95599999999999</v>
      </c>
      <c r="AD190">
        <v>0</v>
      </c>
      <c r="AE190">
        <v>0</v>
      </c>
      <c r="AF190">
        <v>240.95599999999999</v>
      </c>
      <c r="AG190" t="s">
        <v>37</v>
      </c>
    </row>
    <row r="191" spans="1:33" x14ac:dyDescent="0.35">
      <c r="A191">
        <v>189</v>
      </c>
      <c r="B191">
        <v>282173</v>
      </c>
      <c r="C191">
        <v>328013459</v>
      </c>
      <c r="D191" t="s">
        <v>1077</v>
      </c>
      <c r="E191" t="s">
        <v>50</v>
      </c>
      <c r="F191" s="1">
        <v>46244</v>
      </c>
      <c r="G191" t="s">
        <v>1068</v>
      </c>
      <c r="H191">
        <v>4500015317</v>
      </c>
      <c r="I191" s="1">
        <v>46231</v>
      </c>
      <c r="J191" t="s">
        <v>138</v>
      </c>
      <c r="K191" t="s">
        <v>1278</v>
      </c>
      <c r="L191" t="s">
        <v>12</v>
      </c>
      <c r="M191" t="s">
        <v>21</v>
      </c>
      <c r="N191" t="s">
        <v>1078</v>
      </c>
      <c r="O191" t="s">
        <v>1949</v>
      </c>
      <c r="P191">
        <v>25016462</v>
      </c>
      <c r="Q191" t="s">
        <v>6</v>
      </c>
      <c r="R191" t="s">
        <v>699</v>
      </c>
      <c r="S191" t="s">
        <v>1079</v>
      </c>
      <c r="T191" t="s">
        <v>1995</v>
      </c>
      <c r="U191">
        <v>5</v>
      </c>
      <c r="V191">
        <v>10.199999999999999</v>
      </c>
      <c r="W191">
        <v>51</v>
      </c>
      <c r="X191">
        <v>0</v>
      </c>
      <c r="Y191">
        <v>0</v>
      </c>
      <c r="Z191">
        <v>9.18</v>
      </c>
      <c r="AA191">
        <v>0</v>
      </c>
      <c r="AB191">
        <v>0</v>
      </c>
      <c r="AC191">
        <v>60.18</v>
      </c>
      <c r="AD191">
        <v>0</v>
      </c>
      <c r="AE191">
        <v>0</v>
      </c>
      <c r="AF191">
        <v>60.18</v>
      </c>
      <c r="AG191" t="s">
        <v>37</v>
      </c>
    </row>
    <row r="192" spans="1:33" x14ac:dyDescent="0.35">
      <c r="A192">
        <v>190</v>
      </c>
      <c r="B192">
        <v>282173</v>
      </c>
      <c r="C192">
        <v>328013459</v>
      </c>
      <c r="D192" t="s">
        <v>1077</v>
      </c>
      <c r="E192" t="s">
        <v>50</v>
      </c>
      <c r="F192" s="1">
        <v>46244</v>
      </c>
      <c r="G192" t="s">
        <v>1068</v>
      </c>
      <c r="H192">
        <v>4500015317</v>
      </c>
      <c r="I192" s="1">
        <v>46231</v>
      </c>
      <c r="J192" t="s">
        <v>138</v>
      </c>
      <c r="K192" t="s">
        <v>1278</v>
      </c>
      <c r="L192" t="s">
        <v>12</v>
      </c>
      <c r="M192" t="s">
        <v>21</v>
      </c>
      <c r="N192" t="s">
        <v>1080</v>
      </c>
      <c r="O192" t="s">
        <v>1949</v>
      </c>
      <c r="P192">
        <v>25016461</v>
      </c>
      <c r="Q192" t="s">
        <v>6</v>
      </c>
      <c r="R192" t="s">
        <v>699</v>
      </c>
      <c r="S192" t="s">
        <v>1081</v>
      </c>
      <c r="T192" t="s">
        <v>1995</v>
      </c>
      <c r="U192">
        <v>12</v>
      </c>
      <c r="V192">
        <v>3.17</v>
      </c>
      <c r="W192">
        <v>38.04</v>
      </c>
      <c r="X192">
        <v>0</v>
      </c>
      <c r="Y192">
        <v>0</v>
      </c>
      <c r="Z192">
        <v>6.8472</v>
      </c>
      <c r="AA192">
        <v>0</v>
      </c>
      <c r="AB192">
        <v>0</v>
      </c>
      <c r="AC192">
        <v>44.8872</v>
      </c>
      <c r="AD192">
        <v>0</v>
      </c>
      <c r="AE192">
        <v>0</v>
      </c>
      <c r="AF192">
        <v>44.8872</v>
      </c>
      <c r="AG192" t="s">
        <v>37</v>
      </c>
    </row>
    <row r="193" spans="1:33" x14ac:dyDescent="0.35">
      <c r="A193">
        <v>191</v>
      </c>
      <c r="B193">
        <v>282173</v>
      </c>
      <c r="C193">
        <v>328013459</v>
      </c>
      <c r="D193" t="s">
        <v>1077</v>
      </c>
      <c r="E193" t="s">
        <v>50</v>
      </c>
      <c r="F193" s="1">
        <v>46244</v>
      </c>
      <c r="G193" t="s">
        <v>1068</v>
      </c>
      <c r="H193">
        <v>4500015317</v>
      </c>
      <c r="I193" s="1">
        <v>46231</v>
      </c>
      <c r="J193" t="s">
        <v>138</v>
      </c>
      <c r="K193" t="s">
        <v>1278</v>
      </c>
      <c r="L193" t="s">
        <v>12</v>
      </c>
      <c r="M193" t="s">
        <v>21</v>
      </c>
      <c r="N193" t="s">
        <v>1082</v>
      </c>
      <c r="O193" t="s">
        <v>1950</v>
      </c>
      <c r="P193">
        <v>25016485</v>
      </c>
      <c r="Q193" t="s">
        <v>6</v>
      </c>
      <c r="R193" t="s">
        <v>765</v>
      </c>
      <c r="S193" t="s">
        <v>1083</v>
      </c>
      <c r="T193" t="s">
        <v>1997</v>
      </c>
      <c r="U193">
        <v>20</v>
      </c>
      <c r="V193">
        <v>488.37</v>
      </c>
      <c r="W193" s="2">
        <v>9767.4</v>
      </c>
      <c r="X193">
        <v>0</v>
      </c>
      <c r="Y193">
        <v>0</v>
      </c>
      <c r="Z193" s="2">
        <v>1758.1320000000001</v>
      </c>
      <c r="AA193">
        <v>0</v>
      </c>
      <c r="AB193">
        <v>0</v>
      </c>
      <c r="AC193" s="2">
        <v>11525.531999999999</v>
      </c>
      <c r="AD193">
        <v>0</v>
      </c>
      <c r="AE193">
        <v>0</v>
      </c>
      <c r="AF193" s="2">
        <v>11525.531999999999</v>
      </c>
      <c r="AG193" t="s">
        <v>37</v>
      </c>
    </row>
    <row r="194" spans="1:33" x14ac:dyDescent="0.35">
      <c r="A194">
        <v>192</v>
      </c>
      <c r="B194">
        <v>282173</v>
      </c>
      <c r="C194">
        <v>328013459</v>
      </c>
      <c r="D194" t="s">
        <v>1077</v>
      </c>
      <c r="E194" t="s">
        <v>50</v>
      </c>
      <c r="F194" s="1">
        <v>46244</v>
      </c>
      <c r="G194" t="s">
        <v>1068</v>
      </c>
      <c r="H194">
        <v>4500015317</v>
      </c>
      <c r="I194" s="1">
        <v>46231</v>
      </c>
      <c r="J194" t="s">
        <v>138</v>
      </c>
      <c r="K194" t="s">
        <v>1278</v>
      </c>
      <c r="L194" t="s">
        <v>12</v>
      </c>
      <c r="M194" t="s">
        <v>21</v>
      </c>
      <c r="N194" t="s">
        <v>1084</v>
      </c>
      <c r="O194" t="s">
        <v>1949</v>
      </c>
      <c r="P194">
        <v>25016464</v>
      </c>
      <c r="Q194" t="s">
        <v>6</v>
      </c>
      <c r="R194" t="s">
        <v>699</v>
      </c>
      <c r="S194" t="s">
        <v>1085</v>
      </c>
      <c r="T194" t="s">
        <v>1995</v>
      </c>
      <c r="U194">
        <v>5</v>
      </c>
      <c r="V194">
        <v>10.199999999999999</v>
      </c>
      <c r="W194">
        <v>51</v>
      </c>
      <c r="X194">
        <v>0</v>
      </c>
      <c r="Y194">
        <v>0</v>
      </c>
      <c r="Z194">
        <v>9.18</v>
      </c>
      <c r="AA194">
        <v>0</v>
      </c>
      <c r="AB194">
        <v>0</v>
      </c>
      <c r="AC194">
        <v>60.18</v>
      </c>
      <c r="AD194">
        <v>0</v>
      </c>
      <c r="AE194">
        <v>0</v>
      </c>
      <c r="AF194">
        <v>60.18</v>
      </c>
      <c r="AG194" t="s">
        <v>37</v>
      </c>
    </row>
    <row r="195" spans="1:33" x14ac:dyDescent="0.35">
      <c r="A195">
        <v>193</v>
      </c>
      <c r="B195">
        <v>282177</v>
      </c>
      <c r="C195">
        <v>328013462</v>
      </c>
      <c r="D195" t="s">
        <v>1086</v>
      </c>
      <c r="E195" t="s">
        <v>50</v>
      </c>
      <c r="F195" s="1">
        <v>46244</v>
      </c>
      <c r="G195" t="s">
        <v>689</v>
      </c>
      <c r="H195" t="s">
        <v>123</v>
      </c>
      <c r="I195" s="1">
        <v>46233</v>
      </c>
      <c r="J195" t="s">
        <v>138</v>
      </c>
      <c r="K195" t="s">
        <v>1278</v>
      </c>
      <c r="L195" t="s">
        <v>12</v>
      </c>
      <c r="M195" t="s">
        <v>21</v>
      </c>
      <c r="N195" t="s">
        <v>1087</v>
      </c>
      <c r="O195" t="s">
        <v>1949</v>
      </c>
      <c r="Q195" t="s">
        <v>6</v>
      </c>
      <c r="R195" t="s">
        <v>1033</v>
      </c>
      <c r="S195" t="s">
        <v>1088</v>
      </c>
      <c r="T195" t="s">
        <v>1995</v>
      </c>
      <c r="U195" s="2">
        <v>1443</v>
      </c>
      <c r="V195">
        <v>3.27</v>
      </c>
      <c r="W195" s="2">
        <v>4718.6099999999997</v>
      </c>
      <c r="X195">
        <v>0</v>
      </c>
      <c r="Y195">
        <v>0</v>
      </c>
      <c r="Z195">
        <v>849.34979999999996</v>
      </c>
      <c r="AA195">
        <v>0</v>
      </c>
      <c r="AB195">
        <v>0</v>
      </c>
      <c r="AC195" s="2">
        <v>5567.9597999999996</v>
      </c>
      <c r="AD195">
        <v>0</v>
      </c>
      <c r="AE195">
        <v>0</v>
      </c>
      <c r="AF195" s="2">
        <v>5567.9597999999996</v>
      </c>
      <c r="AG195" t="s">
        <v>37</v>
      </c>
    </row>
    <row r="196" spans="1:33" x14ac:dyDescent="0.35">
      <c r="A196">
        <v>194</v>
      </c>
      <c r="B196">
        <v>282180</v>
      </c>
      <c r="C196">
        <v>328013465</v>
      </c>
      <c r="D196" t="s">
        <v>1089</v>
      </c>
      <c r="E196" t="s">
        <v>50</v>
      </c>
      <c r="F196" s="1">
        <v>46244</v>
      </c>
      <c r="G196" t="s">
        <v>697</v>
      </c>
      <c r="H196">
        <v>43809</v>
      </c>
      <c r="I196" s="1">
        <v>46231</v>
      </c>
      <c r="J196" t="s">
        <v>138</v>
      </c>
      <c r="K196" t="s">
        <v>137</v>
      </c>
      <c r="L196" t="s">
        <v>78</v>
      </c>
      <c r="M196" t="s">
        <v>21</v>
      </c>
      <c r="N196" t="s">
        <v>1090</v>
      </c>
      <c r="O196" t="s">
        <v>2032</v>
      </c>
      <c r="P196" t="s">
        <v>2072</v>
      </c>
      <c r="Q196" t="s">
        <v>6</v>
      </c>
      <c r="R196" t="s">
        <v>660</v>
      </c>
      <c r="S196" t="s">
        <v>1091</v>
      </c>
      <c r="T196" t="s">
        <v>416</v>
      </c>
      <c r="U196">
        <v>1</v>
      </c>
      <c r="V196" s="2">
        <v>7312.23</v>
      </c>
      <c r="W196" s="2">
        <v>7312.23</v>
      </c>
      <c r="X196">
        <v>0</v>
      </c>
      <c r="Y196">
        <v>0</v>
      </c>
      <c r="Z196" s="2">
        <v>1316.2013999999999</v>
      </c>
      <c r="AA196">
        <v>0</v>
      </c>
      <c r="AB196">
        <v>0</v>
      </c>
      <c r="AC196" s="2">
        <v>8628.4313999999995</v>
      </c>
      <c r="AD196">
        <v>0</v>
      </c>
      <c r="AE196">
        <v>0</v>
      </c>
      <c r="AF196" s="2">
        <v>8628.4313999999995</v>
      </c>
      <c r="AG196" t="s">
        <v>37</v>
      </c>
    </row>
    <row r="197" spans="1:33" x14ac:dyDescent="0.35">
      <c r="A197">
        <v>195</v>
      </c>
      <c r="B197">
        <v>282181</v>
      </c>
      <c r="C197">
        <v>328013466</v>
      </c>
      <c r="D197" t="s">
        <v>1092</v>
      </c>
      <c r="E197" t="s">
        <v>50</v>
      </c>
      <c r="F197" s="1">
        <v>46244</v>
      </c>
      <c r="G197" t="s">
        <v>1093</v>
      </c>
      <c r="H197" t="s">
        <v>1094</v>
      </c>
      <c r="I197" s="1">
        <v>46234</v>
      </c>
      <c r="J197" t="s">
        <v>138</v>
      </c>
      <c r="K197" t="s">
        <v>1279</v>
      </c>
      <c r="L197" t="s">
        <v>12</v>
      </c>
      <c r="M197" t="s">
        <v>21</v>
      </c>
      <c r="N197" t="s">
        <v>1095</v>
      </c>
      <c r="O197" t="s">
        <v>1950</v>
      </c>
      <c r="Q197" t="s">
        <v>6</v>
      </c>
      <c r="R197" t="s">
        <v>1096</v>
      </c>
      <c r="S197" t="s">
        <v>1097</v>
      </c>
      <c r="T197" t="s">
        <v>1997</v>
      </c>
      <c r="U197">
        <v>200</v>
      </c>
      <c r="V197">
        <v>311.36</v>
      </c>
      <c r="W197" s="2">
        <v>62272</v>
      </c>
      <c r="X197">
        <v>0</v>
      </c>
      <c r="Y197">
        <v>0</v>
      </c>
      <c r="Z197" s="2">
        <v>11208.96</v>
      </c>
      <c r="AA197">
        <v>0</v>
      </c>
      <c r="AB197">
        <v>0</v>
      </c>
      <c r="AC197" s="2">
        <v>73480.960000000006</v>
      </c>
      <c r="AD197">
        <v>0</v>
      </c>
      <c r="AE197">
        <v>0</v>
      </c>
      <c r="AF197" s="2">
        <v>73480.960000000006</v>
      </c>
      <c r="AG197" t="s">
        <v>37</v>
      </c>
    </row>
    <row r="198" spans="1:33" x14ac:dyDescent="0.35">
      <c r="A198">
        <v>196</v>
      </c>
      <c r="B198">
        <v>282184</v>
      </c>
      <c r="C198">
        <v>328013469</v>
      </c>
      <c r="D198" t="s">
        <v>1098</v>
      </c>
      <c r="E198" t="s">
        <v>50</v>
      </c>
      <c r="F198" s="1">
        <v>46244</v>
      </c>
      <c r="G198" t="s">
        <v>1099</v>
      </c>
      <c r="H198" t="s">
        <v>123</v>
      </c>
      <c r="I198" s="1">
        <v>46234</v>
      </c>
      <c r="J198" t="s">
        <v>138</v>
      </c>
      <c r="K198" t="s">
        <v>1279</v>
      </c>
      <c r="L198" t="s">
        <v>12</v>
      </c>
      <c r="M198" t="s">
        <v>21</v>
      </c>
      <c r="N198" t="s">
        <v>1100</v>
      </c>
      <c r="O198" t="s">
        <v>2032</v>
      </c>
      <c r="Q198" t="s">
        <v>6</v>
      </c>
      <c r="R198" t="s">
        <v>1101</v>
      </c>
      <c r="S198" t="s">
        <v>1102</v>
      </c>
      <c r="T198" t="s">
        <v>416</v>
      </c>
      <c r="U198">
        <v>1</v>
      </c>
      <c r="V198" s="2">
        <v>50274.559999999998</v>
      </c>
      <c r="W198" s="2">
        <v>50274.559999999998</v>
      </c>
      <c r="X198">
        <v>0</v>
      </c>
      <c r="Y198">
        <v>0</v>
      </c>
      <c r="Z198" s="2">
        <v>9049.4207999999999</v>
      </c>
      <c r="AA198">
        <v>0</v>
      </c>
      <c r="AB198">
        <v>0</v>
      </c>
      <c r="AC198" s="2">
        <v>59323.980799999998</v>
      </c>
      <c r="AD198">
        <v>0</v>
      </c>
      <c r="AE198">
        <v>0</v>
      </c>
      <c r="AF198" s="2">
        <v>59323.980799999998</v>
      </c>
      <c r="AG198" t="s">
        <v>37</v>
      </c>
    </row>
    <row r="199" spans="1:33" x14ac:dyDescent="0.35">
      <c r="A199">
        <v>197</v>
      </c>
      <c r="B199">
        <v>282185</v>
      </c>
      <c r="C199">
        <v>328013470</v>
      </c>
      <c r="D199" t="s">
        <v>1103</v>
      </c>
      <c r="E199" t="s">
        <v>50</v>
      </c>
      <c r="F199" s="1">
        <v>46244</v>
      </c>
      <c r="G199" t="s">
        <v>1104</v>
      </c>
      <c r="H199" t="s">
        <v>123</v>
      </c>
      <c r="I199" s="1">
        <v>46233</v>
      </c>
      <c r="J199" t="s">
        <v>138</v>
      </c>
      <c r="K199" t="s">
        <v>1279</v>
      </c>
      <c r="L199" t="s">
        <v>12</v>
      </c>
      <c r="M199" t="s">
        <v>21</v>
      </c>
      <c r="N199" t="s">
        <v>1105</v>
      </c>
      <c r="O199" t="s">
        <v>1938</v>
      </c>
      <c r="Q199" t="s">
        <v>6</v>
      </c>
      <c r="R199" t="s">
        <v>1106</v>
      </c>
      <c r="S199" t="s">
        <v>1107</v>
      </c>
      <c r="T199" t="s">
        <v>1995</v>
      </c>
      <c r="U199" s="2">
        <v>4000</v>
      </c>
      <c r="V199">
        <v>10.210000000000001</v>
      </c>
      <c r="W199" s="2">
        <v>40840</v>
      </c>
      <c r="X199">
        <v>0</v>
      </c>
      <c r="Y199">
        <v>0</v>
      </c>
      <c r="Z199" s="2">
        <v>7351.2</v>
      </c>
      <c r="AA199">
        <v>0</v>
      </c>
      <c r="AB199">
        <v>0</v>
      </c>
      <c r="AC199" s="2">
        <v>48191.199999999997</v>
      </c>
      <c r="AD199">
        <v>0</v>
      </c>
      <c r="AE199">
        <v>0</v>
      </c>
      <c r="AF199" s="2">
        <v>48191.199999999997</v>
      </c>
      <c r="AG199" t="s">
        <v>37</v>
      </c>
    </row>
    <row r="200" spans="1:33" x14ac:dyDescent="0.35">
      <c r="A200">
        <v>198</v>
      </c>
      <c r="B200">
        <v>282185</v>
      </c>
      <c r="C200">
        <v>328013470</v>
      </c>
      <c r="D200" t="s">
        <v>1103</v>
      </c>
      <c r="E200" t="s">
        <v>50</v>
      </c>
      <c r="F200" s="1">
        <v>46244</v>
      </c>
      <c r="G200" t="s">
        <v>1104</v>
      </c>
      <c r="H200" t="s">
        <v>123</v>
      </c>
      <c r="I200" s="1">
        <v>46233</v>
      </c>
      <c r="J200" t="s">
        <v>138</v>
      </c>
      <c r="K200" t="s">
        <v>1279</v>
      </c>
      <c r="L200" t="s">
        <v>12</v>
      </c>
      <c r="M200" t="s">
        <v>21</v>
      </c>
      <c r="N200" t="s">
        <v>1108</v>
      </c>
      <c r="O200" t="s">
        <v>1942</v>
      </c>
      <c r="Q200" t="s">
        <v>6</v>
      </c>
      <c r="R200" t="s">
        <v>1109</v>
      </c>
      <c r="S200" t="s">
        <v>1110</v>
      </c>
      <c r="T200" t="s">
        <v>2001</v>
      </c>
      <c r="U200">
        <v>50</v>
      </c>
      <c r="V200">
        <v>625.24</v>
      </c>
      <c r="W200" s="2">
        <v>31262</v>
      </c>
      <c r="X200">
        <v>0</v>
      </c>
      <c r="Y200">
        <v>0</v>
      </c>
      <c r="Z200" s="2">
        <v>5627.16</v>
      </c>
      <c r="AA200">
        <v>0</v>
      </c>
      <c r="AB200">
        <v>0</v>
      </c>
      <c r="AC200" s="2">
        <v>36889.160000000003</v>
      </c>
      <c r="AD200">
        <v>0</v>
      </c>
      <c r="AE200">
        <v>0</v>
      </c>
      <c r="AF200" s="2">
        <v>36889.160000000003</v>
      </c>
      <c r="AG200" t="s">
        <v>37</v>
      </c>
    </row>
    <row r="201" spans="1:33" x14ac:dyDescent="0.35">
      <c r="A201">
        <v>199</v>
      </c>
      <c r="B201">
        <v>282188</v>
      </c>
      <c r="C201">
        <v>328013473</v>
      </c>
      <c r="D201" t="s">
        <v>1111</v>
      </c>
      <c r="E201" t="s">
        <v>50</v>
      </c>
      <c r="F201" s="1">
        <v>46244</v>
      </c>
      <c r="G201" t="s">
        <v>1112</v>
      </c>
      <c r="H201" t="s">
        <v>1113</v>
      </c>
      <c r="I201" s="1">
        <v>46232</v>
      </c>
      <c r="J201" t="s">
        <v>138</v>
      </c>
      <c r="K201" t="s">
        <v>1278</v>
      </c>
      <c r="L201" t="s">
        <v>12</v>
      </c>
      <c r="M201" t="s">
        <v>21</v>
      </c>
      <c r="N201" t="s">
        <v>1114</v>
      </c>
      <c r="O201" t="s">
        <v>2004</v>
      </c>
      <c r="Q201" t="s">
        <v>6</v>
      </c>
      <c r="R201" t="s">
        <v>76</v>
      </c>
      <c r="S201" t="s">
        <v>1115</v>
      </c>
      <c r="T201" t="s">
        <v>416</v>
      </c>
      <c r="U201">
        <v>60</v>
      </c>
      <c r="V201">
        <v>168.3</v>
      </c>
      <c r="W201" s="2">
        <v>10098</v>
      </c>
      <c r="X201">
        <v>0</v>
      </c>
      <c r="Y201">
        <v>0</v>
      </c>
      <c r="Z201" s="2">
        <v>1817.64</v>
      </c>
      <c r="AA201">
        <v>0</v>
      </c>
      <c r="AB201">
        <v>0</v>
      </c>
      <c r="AC201" s="2">
        <v>11915.64</v>
      </c>
      <c r="AD201">
        <v>0</v>
      </c>
      <c r="AE201">
        <v>0</v>
      </c>
      <c r="AF201" s="2">
        <v>11915.64</v>
      </c>
      <c r="AG201" t="s">
        <v>37</v>
      </c>
    </row>
    <row r="202" spans="1:33" x14ac:dyDescent="0.35">
      <c r="A202">
        <v>200</v>
      </c>
      <c r="B202">
        <v>282217</v>
      </c>
      <c r="C202">
        <v>328013500</v>
      </c>
      <c r="D202" t="s">
        <v>1116</v>
      </c>
      <c r="E202" t="s">
        <v>50</v>
      </c>
      <c r="F202" s="1">
        <v>46244</v>
      </c>
      <c r="G202" t="s">
        <v>48</v>
      </c>
      <c r="H202">
        <v>14124052</v>
      </c>
      <c r="I202" s="1">
        <v>46233</v>
      </c>
      <c r="J202" t="s">
        <v>138</v>
      </c>
      <c r="K202" t="s">
        <v>137</v>
      </c>
      <c r="L202" t="s">
        <v>15</v>
      </c>
      <c r="M202" t="s">
        <v>14</v>
      </c>
      <c r="N202" t="s">
        <v>1117</v>
      </c>
      <c r="O202" t="s">
        <v>1998</v>
      </c>
      <c r="P202">
        <v>10310002</v>
      </c>
      <c r="Q202" t="s">
        <v>6</v>
      </c>
      <c r="R202" t="s">
        <v>47</v>
      </c>
      <c r="S202" t="s">
        <v>1118</v>
      </c>
      <c r="T202" t="s">
        <v>1999</v>
      </c>
      <c r="U202">
        <v>100</v>
      </c>
      <c r="V202">
        <v>695.27</v>
      </c>
      <c r="W202" s="2">
        <v>69527</v>
      </c>
      <c r="X202">
        <v>0</v>
      </c>
      <c r="Y202">
        <v>0</v>
      </c>
      <c r="Z202" s="2">
        <v>12514.86</v>
      </c>
      <c r="AA202">
        <v>0</v>
      </c>
      <c r="AB202">
        <v>0</v>
      </c>
      <c r="AC202" s="2">
        <v>82041.86</v>
      </c>
      <c r="AD202">
        <v>0</v>
      </c>
      <c r="AE202">
        <v>0</v>
      </c>
      <c r="AF202" s="2">
        <v>82041.86</v>
      </c>
      <c r="AG202" t="s">
        <v>37</v>
      </c>
    </row>
    <row r="203" spans="1:33" x14ac:dyDescent="0.35">
      <c r="A203">
        <v>201</v>
      </c>
      <c r="B203">
        <v>282218</v>
      </c>
      <c r="C203">
        <v>328013501</v>
      </c>
      <c r="D203" t="s">
        <v>1119</v>
      </c>
      <c r="E203" t="s">
        <v>50</v>
      </c>
      <c r="F203" s="1">
        <v>46244</v>
      </c>
      <c r="G203" t="s">
        <v>1120</v>
      </c>
      <c r="H203">
        <v>54112547</v>
      </c>
      <c r="I203" s="1">
        <v>46221</v>
      </c>
      <c r="J203" t="s">
        <v>138</v>
      </c>
      <c r="K203" t="s">
        <v>137</v>
      </c>
      <c r="L203" t="s">
        <v>11</v>
      </c>
      <c r="M203" t="s">
        <v>23</v>
      </c>
      <c r="N203" t="s">
        <v>1121</v>
      </c>
      <c r="O203" t="s">
        <v>1950</v>
      </c>
      <c r="P203">
        <v>10460372</v>
      </c>
      <c r="Q203" t="s">
        <v>6</v>
      </c>
      <c r="R203" t="s">
        <v>1040</v>
      </c>
      <c r="S203" t="s">
        <v>1122</v>
      </c>
      <c r="T203" t="s">
        <v>1997</v>
      </c>
      <c r="U203">
        <v>300</v>
      </c>
      <c r="V203">
        <v>151.62</v>
      </c>
      <c r="W203" s="2">
        <v>45486</v>
      </c>
      <c r="X203">
        <v>0</v>
      </c>
      <c r="Y203">
        <v>0</v>
      </c>
      <c r="Z203" s="2">
        <v>8187.48</v>
      </c>
      <c r="AA203">
        <v>0</v>
      </c>
      <c r="AB203">
        <v>0</v>
      </c>
      <c r="AC203" s="2">
        <v>53673.48</v>
      </c>
      <c r="AD203">
        <v>0</v>
      </c>
      <c r="AE203">
        <v>0</v>
      </c>
      <c r="AF203" s="2">
        <v>53673.48</v>
      </c>
      <c r="AG203" t="s">
        <v>37</v>
      </c>
    </row>
    <row r="204" spans="1:33" x14ac:dyDescent="0.35">
      <c r="A204">
        <v>202</v>
      </c>
      <c r="B204">
        <v>282221</v>
      </c>
      <c r="C204">
        <v>328013504</v>
      </c>
      <c r="D204" t="s">
        <v>1123</v>
      </c>
      <c r="E204" t="s">
        <v>50</v>
      </c>
      <c r="F204" s="1">
        <v>46244</v>
      </c>
      <c r="G204" t="s">
        <v>75</v>
      </c>
      <c r="H204">
        <v>4100048495</v>
      </c>
      <c r="I204" s="1">
        <v>46233</v>
      </c>
      <c r="J204" t="s">
        <v>138</v>
      </c>
      <c r="K204" t="s">
        <v>1278</v>
      </c>
      <c r="L204" t="s">
        <v>12</v>
      </c>
      <c r="M204" t="s">
        <v>21</v>
      </c>
      <c r="N204" t="s">
        <v>1124</v>
      </c>
      <c r="O204" t="s">
        <v>1936</v>
      </c>
      <c r="P204">
        <v>1000021361</v>
      </c>
      <c r="Q204" t="s">
        <v>6</v>
      </c>
      <c r="R204" t="s">
        <v>45</v>
      </c>
      <c r="S204" t="s">
        <v>1125</v>
      </c>
      <c r="T204" t="s">
        <v>416</v>
      </c>
      <c r="U204" s="2">
        <v>2500</v>
      </c>
      <c r="V204">
        <v>15</v>
      </c>
      <c r="W204" s="2">
        <v>37500</v>
      </c>
      <c r="X204">
        <v>0</v>
      </c>
      <c r="Y204">
        <v>0</v>
      </c>
      <c r="Z204" s="2">
        <v>6750</v>
      </c>
      <c r="AA204">
        <v>0</v>
      </c>
      <c r="AB204">
        <v>0</v>
      </c>
      <c r="AC204" s="2">
        <v>44250</v>
      </c>
      <c r="AD204">
        <v>0</v>
      </c>
      <c r="AE204">
        <v>0</v>
      </c>
      <c r="AF204" s="2">
        <v>44250</v>
      </c>
      <c r="AG204" t="s">
        <v>37</v>
      </c>
    </row>
    <row r="205" spans="1:33" x14ac:dyDescent="0.35">
      <c r="A205">
        <v>203</v>
      </c>
      <c r="B205">
        <v>282222</v>
      </c>
      <c r="C205">
        <v>328013505</v>
      </c>
      <c r="D205" t="s">
        <v>1126</v>
      </c>
      <c r="E205" t="s">
        <v>50</v>
      </c>
      <c r="F205" s="1">
        <v>46244</v>
      </c>
      <c r="G205" t="s">
        <v>1127</v>
      </c>
      <c r="H205" t="s">
        <v>1128</v>
      </c>
      <c r="I205" s="1">
        <v>46232</v>
      </c>
      <c r="J205" t="s">
        <v>138</v>
      </c>
      <c r="K205" t="s">
        <v>1279</v>
      </c>
      <c r="L205" t="s">
        <v>12</v>
      </c>
      <c r="M205" t="s">
        <v>21</v>
      </c>
      <c r="N205" t="s">
        <v>1131</v>
      </c>
      <c r="O205" t="s">
        <v>1936</v>
      </c>
      <c r="Q205" t="s">
        <v>6</v>
      </c>
      <c r="R205" t="s">
        <v>1132</v>
      </c>
      <c r="S205" t="s">
        <v>1133</v>
      </c>
      <c r="T205" t="s">
        <v>416</v>
      </c>
      <c r="U205">
        <v>5</v>
      </c>
      <c r="V205">
        <v>383.52</v>
      </c>
      <c r="W205" s="2">
        <v>1917.6</v>
      </c>
      <c r="X205">
        <v>0</v>
      </c>
      <c r="Y205">
        <v>0</v>
      </c>
      <c r="Z205">
        <v>345.16800000000001</v>
      </c>
      <c r="AA205">
        <v>0</v>
      </c>
      <c r="AB205">
        <v>0</v>
      </c>
      <c r="AC205" s="2">
        <v>2262.768</v>
      </c>
      <c r="AD205">
        <v>0</v>
      </c>
      <c r="AE205">
        <v>0</v>
      </c>
      <c r="AF205" s="2">
        <v>2262.768</v>
      </c>
      <c r="AG205" t="s">
        <v>37</v>
      </c>
    </row>
    <row r="206" spans="1:33" x14ac:dyDescent="0.35">
      <c r="A206">
        <v>204</v>
      </c>
      <c r="B206">
        <v>282222</v>
      </c>
      <c r="C206">
        <v>328013505</v>
      </c>
      <c r="D206" t="s">
        <v>1126</v>
      </c>
      <c r="E206" t="s">
        <v>50</v>
      </c>
      <c r="F206" s="1">
        <v>46244</v>
      </c>
      <c r="G206" t="s">
        <v>1127</v>
      </c>
      <c r="H206" t="s">
        <v>1128</v>
      </c>
      <c r="I206" s="1">
        <v>46232</v>
      </c>
      <c r="J206" t="s">
        <v>138</v>
      </c>
      <c r="K206" t="s">
        <v>1279</v>
      </c>
      <c r="L206" t="s">
        <v>12</v>
      </c>
      <c r="M206" t="s">
        <v>21</v>
      </c>
      <c r="N206" t="s">
        <v>1129</v>
      </c>
      <c r="O206" t="s">
        <v>1942</v>
      </c>
      <c r="Q206" t="s">
        <v>6</v>
      </c>
      <c r="R206" t="s">
        <v>660</v>
      </c>
      <c r="S206" t="s">
        <v>1130</v>
      </c>
      <c r="T206" t="s">
        <v>2001</v>
      </c>
      <c r="U206">
        <v>20</v>
      </c>
      <c r="V206">
        <v>88.13</v>
      </c>
      <c r="W206" s="2">
        <v>1762.6</v>
      </c>
      <c r="X206">
        <v>0</v>
      </c>
      <c r="Y206">
        <v>0</v>
      </c>
      <c r="Z206">
        <v>317.26799999999997</v>
      </c>
      <c r="AA206">
        <v>0</v>
      </c>
      <c r="AB206">
        <v>0</v>
      </c>
      <c r="AC206" s="2">
        <v>2079.8679999999999</v>
      </c>
      <c r="AD206">
        <v>0</v>
      </c>
      <c r="AE206">
        <v>0</v>
      </c>
      <c r="AF206" s="2">
        <v>2079.8679999999999</v>
      </c>
      <c r="AG206" t="s">
        <v>37</v>
      </c>
    </row>
    <row r="207" spans="1:33" x14ac:dyDescent="0.35">
      <c r="A207">
        <v>205</v>
      </c>
      <c r="B207">
        <v>282222</v>
      </c>
      <c r="C207">
        <v>328013505</v>
      </c>
      <c r="D207" t="s">
        <v>1126</v>
      </c>
      <c r="E207" t="s">
        <v>50</v>
      </c>
      <c r="F207" s="1">
        <v>46244</v>
      </c>
      <c r="G207" t="s">
        <v>1127</v>
      </c>
      <c r="H207" t="s">
        <v>1128</v>
      </c>
      <c r="I207" s="1">
        <v>46232</v>
      </c>
      <c r="J207" t="s">
        <v>138</v>
      </c>
      <c r="K207" t="s">
        <v>1279</v>
      </c>
      <c r="L207" t="s">
        <v>12</v>
      </c>
      <c r="M207" t="s">
        <v>21</v>
      </c>
      <c r="N207" t="s">
        <v>1134</v>
      </c>
      <c r="O207" t="s">
        <v>2028</v>
      </c>
      <c r="Q207" t="s">
        <v>6</v>
      </c>
      <c r="R207" t="s">
        <v>43</v>
      </c>
      <c r="S207" t="s">
        <v>1135</v>
      </c>
      <c r="T207" t="s">
        <v>1995</v>
      </c>
      <c r="U207">
        <v>25</v>
      </c>
      <c r="V207">
        <v>22.85</v>
      </c>
      <c r="W207">
        <v>571.25</v>
      </c>
      <c r="X207">
        <v>0</v>
      </c>
      <c r="Y207">
        <v>0</v>
      </c>
      <c r="Z207">
        <v>102.825</v>
      </c>
      <c r="AA207">
        <v>0</v>
      </c>
      <c r="AB207">
        <v>0</v>
      </c>
      <c r="AC207">
        <v>674.07500000000005</v>
      </c>
      <c r="AD207">
        <v>0</v>
      </c>
      <c r="AE207">
        <v>0</v>
      </c>
      <c r="AF207">
        <v>674.07500000000005</v>
      </c>
      <c r="AG207" t="s">
        <v>37</v>
      </c>
    </row>
    <row r="208" spans="1:33" x14ac:dyDescent="0.35">
      <c r="A208">
        <v>206</v>
      </c>
      <c r="B208">
        <v>282305</v>
      </c>
      <c r="C208">
        <v>328013582</v>
      </c>
      <c r="D208" t="s">
        <v>1136</v>
      </c>
      <c r="E208" t="s">
        <v>50</v>
      </c>
      <c r="F208" s="1">
        <v>46244</v>
      </c>
      <c r="G208" t="s">
        <v>697</v>
      </c>
      <c r="H208">
        <v>43844</v>
      </c>
      <c r="I208" s="1">
        <v>46241</v>
      </c>
      <c r="J208" t="s">
        <v>138</v>
      </c>
      <c r="K208" t="s">
        <v>137</v>
      </c>
      <c r="L208" t="s">
        <v>78</v>
      </c>
      <c r="M208" t="s">
        <v>21</v>
      </c>
      <c r="N208" t="s">
        <v>1164</v>
      </c>
      <c r="O208" t="s">
        <v>1936</v>
      </c>
      <c r="P208" t="s">
        <v>2073</v>
      </c>
      <c r="Q208" t="s">
        <v>6</v>
      </c>
      <c r="R208" t="s">
        <v>660</v>
      </c>
      <c r="S208" t="s">
        <v>1165</v>
      </c>
      <c r="T208" t="s">
        <v>416</v>
      </c>
      <c r="U208">
        <v>10</v>
      </c>
      <c r="V208">
        <v>40.89</v>
      </c>
      <c r="W208">
        <v>408.9</v>
      </c>
      <c r="X208">
        <v>0</v>
      </c>
      <c r="Y208">
        <v>0</v>
      </c>
      <c r="Z208">
        <v>73.602000000000004</v>
      </c>
      <c r="AA208">
        <v>0</v>
      </c>
      <c r="AB208">
        <v>0</v>
      </c>
      <c r="AC208">
        <v>482.50200000000001</v>
      </c>
      <c r="AD208">
        <v>0</v>
      </c>
      <c r="AE208">
        <v>0</v>
      </c>
      <c r="AF208">
        <v>482.50200000000001</v>
      </c>
      <c r="AG208" t="s">
        <v>37</v>
      </c>
    </row>
    <row r="209" spans="1:33" x14ac:dyDescent="0.35">
      <c r="A209">
        <v>207</v>
      </c>
      <c r="B209">
        <v>282305</v>
      </c>
      <c r="C209">
        <v>328013582</v>
      </c>
      <c r="D209" t="s">
        <v>1136</v>
      </c>
      <c r="E209" t="s">
        <v>50</v>
      </c>
      <c r="F209" s="1">
        <v>46244</v>
      </c>
      <c r="G209" t="s">
        <v>697</v>
      </c>
      <c r="H209">
        <v>43844</v>
      </c>
      <c r="I209" s="1">
        <v>46241</v>
      </c>
      <c r="J209" t="s">
        <v>138</v>
      </c>
      <c r="K209" t="s">
        <v>137</v>
      </c>
      <c r="L209" t="s">
        <v>78</v>
      </c>
      <c r="M209" t="s">
        <v>21</v>
      </c>
      <c r="N209" t="s">
        <v>1203</v>
      </c>
      <c r="O209" t="s">
        <v>1938</v>
      </c>
      <c r="P209" t="s">
        <v>2074</v>
      </c>
      <c r="Q209" t="s">
        <v>6</v>
      </c>
      <c r="R209" t="s">
        <v>43</v>
      </c>
      <c r="S209" t="s">
        <v>1204</v>
      </c>
      <c r="T209" t="s">
        <v>1995</v>
      </c>
      <c r="U209">
        <v>10</v>
      </c>
      <c r="V209">
        <v>2.06</v>
      </c>
      <c r="W209">
        <v>20.6</v>
      </c>
      <c r="X209">
        <v>0</v>
      </c>
      <c r="Y209">
        <v>0</v>
      </c>
      <c r="Z209">
        <v>3.7080000000000002</v>
      </c>
      <c r="AA209">
        <v>0</v>
      </c>
      <c r="AB209">
        <v>0</v>
      </c>
      <c r="AC209">
        <v>24.308</v>
      </c>
      <c r="AD209">
        <v>0</v>
      </c>
      <c r="AE209">
        <v>0</v>
      </c>
      <c r="AF209">
        <v>24.308</v>
      </c>
      <c r="AG209" t="s">
        <v>37</v>
      </c>
    </row>
    <row r="210" spans="1:33" x14ac:dyDescent="0.35">
      <c r="A210">
        <v>208</v>
      </c>
      <c r="B210">
        <v>282305</v>
      </c>
      <c r="C210">
        <v>328013582</v>
      </c>
      <c r="D210" t="s">
        <v>1136</v>
      </c>
      <c r="E210" t="s">
        <v>50</v>
      </c>
      <c r="F210" s="1">
        <v>46244</v>
      </c>
      <c r="G210" t="s">
        <v>697</v>
      </c>
      <c r="H210">
        <v>43844</v>
      </c>
      <c r="I210" s="1">
        <v>46241</v>
      </c>
      <c r="J210" t="s">
        <v>138</v>
      </c>
      <c r="K210" t="s">
        <v>137</v>
      </c>
      <c r="L210" t="s">
        <v>78</v>
      </c>
      <c r="M210" t="s">
        <v>21</v>
      </c>
      <c r="N210" t="s">
        <v>1145</v>
      </c>
      <c r="O210" t="s">
        <v>1938</v>
      </c>
      <c r="P210" t="s">
        <v>2075</v>
      </c>
      <c r="Q210" t="s">
        <v>6</v>
      </c>
      <c r="R210" t="s">
        <v>43</v>
      </c>
      <c r="S210" t="s">
        <v>1146</v>
      </c>
      <c r="T210" t="s">
        <v>1995</v>
      </c>
      <c r="U210">
        <v>160</v>
      </c>
      <c r="V210">
        <v>1.65</v>
      </c>
      <c r="W210">
        <v>264</v>
      </c>
      <c r="X210">
        <v>0</v>
      </c>
      <c r="Y210">
        <v>0</v>
      </c>
      <c r="Z210">
        <v>47.52</v>
      </c>
      <c r="AA210">
        <v>0</v>
      </c>
      <c r="AB210">
        <v>0</v>
      </c>
      <c r="AC210">
        <v>311.52</v>
      </c>
      <c r="AD210">
        <v>0</v>
      </c>
      <c r="AE210">
        <v>0</v>
      </c>
      <c r="AF210">
        <v>311.52</v>
      </c>
      <c r="AG210" t="s">
        <v>37</v>
      </c>
    </row>
    <row r="211" spans="1:33" x14ac:dyDescent="0.35">
      <c r="A211">
        <v>209</v>
      </c>
      <c r="B211">
        <v>282305</v>
      </c>
      <c r="C211">
        <v>328013582</v>
      </c>
      <c r="D211" t="s">
        <v>1136</v>
      </c>
      <c r="E211" t="s">
        <v>50</v>
      </c>
      <c r="F211" s="1">
        <v>46244</v>
      </c>
      <c r="G211" t="s">
        <v>697</v>
      </c>
      <c r="H211">
        <v>43844</v>
      </c>
      <c r="I211" s="1">
        <v>46241</v>
      </c>
      <c r="J211" t="s">
        <v>138</v>
      </c>
      <c r="K211" t="s">
        <v>137</v>
      </c>
      <c r="L211" t="s">
        <v>78</v>
      </c>
      <c r="M211" t="s">
        <v>21</v>
      </c>
      <c r="N211" t="s">
        <v>1170</v>
      </c>
      <c r="O211" t="s">
        <v>1932</v>
      </c>
      <c r="P211" t="s">
        <v>2076</v>
      </c>
      <c r="Q211" t="s">
        <v>6</v>
      </c>
      <c r="R211" t="s">
        <v>876</v>
      </c>
      <c r="S211" t="s">
        <v>1171</v>
      </c>
      <c r="T211" t="s">
        <v>2003</v>
      </c>
      <c r="U211">
        <v>30</v>
      </c>
      <c r="V211">
        <v>45.84</v>
      </c>
      <c r="W211" s="2">
        <v>1375.2</v>
      </c>
      <c r="X211">
        <v>0</v>
      </c>
      <c r="Y211">
        <v>0</v>
      </c>
      <c r="Z211">
        <v>247.536</v>
      </c>
      <c r="AA211">
        <v>0</v>
      </c>
      <c r="AB211">
        <v>0</v>
      </c>
      <c r="AC211" s="2">
        <v>1622.7360000000001</v>
      </c>
      <c r="AD211">
        <v>0</v>
      </c>
      <c r="AE211">
        <v>0</v>
      </c>
      <c r="AF211" s="2">
        <v>1622.7360000000001</v>
      </c>
      <c r="AG211" t="s">
        <v>37</v>
      </c>
    </row>
    <row r="212" spans="1:33" x14ac:dyDescent="0.35">
      <c r="A212">
        <v>210</v>
      </c>
      <c r="B212">
        <v>282305</v>
      </c>
      <c r="C212">
        <v>328013582</v>
      </c>
      <c r="D212" t="s">
        <v>1136</v>
      </c>
      <c r="E212" t="s">
        <v>50</v>
      </c>
      <c r="F212" s="1">
        <v>46244</v>
      </c>
      <c r="G212" t="s">
        <v>697</v>
      </c>
      <c r="H212">
        <v>43844</v>
      </c>
      <c r="I212" s="1">
        <v>46241</v>
      </c>
      <c r="J212" t="s">
        <v>138</v>
      </c>
      <c r="K212" t="s">
        <v>137</v>
      </c>
      <c r="L212" t="s">
        <v>78</v>
      </c>
      <c r="M212" t="s">
        <v>21</v>
      </c>
      <c r="N212" t="s">
        <v>1197</v>
      </c>
      <c r="O212" t="s">
        <v>1948</v>
      </c>
      <c r="P212" t="s">
        <v>2077</v>
      </c>
      <c r="Q212" t="s">
        <v>6</v>
      </c>
      <c r="R212" t="s">
        <v>38</v>
      </c>
      <c r="S212" t="s">
        <v>1198</v>
      </c>
      <c r="T212" t="s">
        <v>2003</v>
      </c>
      <c r="U212">
        <v>10</v>
      </c>
      <c r="V212">
        <v>11.12</v>
      </c>
      <c r="W212">
        <v>111.2</v>
      </c>
      <c r="X212">
        <v>0</v>
      </c>
      <c r="Y212">
        <v>0</v>
      </c>
      <c r="Z212">
        <v>20.015999999999998</v>
      </c>
      <c r="AA212">
        <v>0</v>
      </c>
      <c r="AB212">
        <v>0</v>
      </c>
      <c r="AC212">
        <v>131.21600000000001</v>
      </c>
      <c r="AD212">
        <v>0</v>
      </c>
      <c r="AE212">
        <v>0</v>
      </c>
      <c r="AF212">
        <v>131.21600000000001</v>
      </c>
      <c r="AG212" t="s">
        <v>37</v>
      </c>
    </row>
    <row r="213" spans="1:33" x14ac:dyDescent="0.35">
      <c r="A213">
        <v>211</v>
      </c>
      <c r="B213">
        <v>282305</v>
      </c>
      <c r="C213">
        <v>328013582</v>
      </c>
      <c r="D213" t="s">
        <v>1136</v>
      </c>
      <c r="E213" t="s">
        <v>50</v>
      </c>
      <c r="F213" s="1">
        <v>46244</v>
      </c>
      <c r="G213" t="s">
        <v>697</v>
      </c>
      <c r="H213">
        <v>43844</v>
      </c>
      <c r="I213" s="1">
        <v>46241</v>
      </c>
      <c r="J213" t="s">
        <v>138</v>
      </c>
      <c r="K213" t="s">
        <v>137</v>
      </c>
      <c r="L213" t="s">
        <v>78</v>
      </c>
      <c r="M213" t="s">
        <v>21</v>
      </c>
      <c r="N213" t="s">
        <v>1191</v>
      </c>
      <c r="O213" t="s">
        <v>1949</v>
      </c>
      <c r="P213" t="s">
        <v>2078</v>
      </c>
      <c r="Q213" t="s">
        <v>6</v>
      </c>
      <c r="R213" t="s">
        <v>699</v>
      </c>
      <c r="S213" t="s">
        <v>1192</v>
      </c>
      <c r="T213" t="s">
        <v>1995</v>
      </c>
      <c r="U213">
        <v>10</v>
      </c>
      <c r="V213">
        <v>12.26</v>
      </c>
      <c r="W213">
        <v>122.6</v>
      </c>
      <c r="X213">
        <v>0</v>
      </c>
      <c r="Y213">
        <v>0</v>
      </c>
      <c r="Z213">
        <v>22.068000000000001</v>
      </c>
      <c r="AA213">
        <v>0</v>
      </c>
      <c r="AB213">
        <v>0</v>
      </c>
      <c r="AC213">
        <v>144.66800000000001</v>
      </c>
      <c r="AD213">
        <v>0</v>
      </c>
      <c r="AE213">
        <v>0</v>
      </c>
      <c r="AF213">
        <v>144.66800000000001</v>
      </c>
      <c r="AG213" t="s">
        <v>37</v>
      </c>
    </row>
    <row r="214" spans="1:33" x14ac:dyDescent="0.35">
      <c r="A214">
        <v>212</v>
      </c>
      <c r="B214">
        <v>282305</v>
      </c>
      <c r="C214">
        <v>328013582</v>
      </c>
      <c r="D214" t="s">
        <v>1136</v>
      </c>
      <c r="E214" t="s">
        <v>50</v>
      </c>
      <c r="F214" s="1">
        <v>46244</v>
      </c>
      <c r="G214" t="s">
        <v>697</v>
      </c>
      <c r="H214">
        <v>43844</v>
      </c>
      <c r="I214" s="1">
        <v>46241</v>
      </c>
      <c r="J214" t="s">
        <v>138</v>
      </c>
      <c r="K214" t="s">
        <v>137</v>
      </c>
      <c r="L214" t="s">
        <v>78</v>
      </c>
      <c r="M214" t="s">
        <v>21</v>
      </c>
      <c r="N214" t="s">
        <v>1149</v>
      </c>
      <c r="O214" t="s">
        <v>1949</v>
      </c>
      <c r="P214" t="s">
        <v>2079</v>
      </c>
      <c r="Q214" t="s">
        <v>6</v>
      </c>
      <c r="R214" t="s">
        <v>886</v>
      </c>
      <c r="S214" t="s">
        <v>1150</v>
      </c>
      <c r="T214" t="s">
        <v>1995</v>
      </c>
      <c r="U214">
        <v>40</v>
      </c>
      <c r="V214">
        <v>4.84</v>
      </c>
      <c r="W214">
        <v>193.6</v>
      </c>
      <c r="X214">
        <v>0</v>
      </c>
      <c r="Y214">
        <v>0</v>
      </c>
      <c r="Z214">
        <v>34.847999999999999</v>
      </c>
      <c r="AA214">
        <v>0</v>
      </c>
      <c r="AB214">
        <v>0</v>
      </c>
      <c r="AC214">
        <v>228.44800000000001</v>
      </c>
      <c r="AD214">
        <v>0</v>
      </c>
      <c r="AE214">
        <v>0</v>
      </c>
      <c r="AF214">
        <v>228.44800000000001</v>
      </c>
      <c r="AG214" t="s">
        <v>37</v>
      </c>
    </row>
    <row r="215" spans="1:33" x14ac:dyDescent="0.35">
      <c r="A215">
        <v>213</v>
      </c>
      <c r="B215">
        <v>282305</v>
      </c>
      <c r="C215">
        <v>328013582</v>
      </c>
      <c r="D215" t="s">
        <v>1136</v>
      </c>
      <c r="E215" t="s">
        <v>50</v>
      </c>
      <c r="F215" s="1">
        <v>46244</v>
      </c>
      <c r="G215" t="s">
        <v>697</v>
      </c>
      <c r="H215">
        <v>43844</v>
      </c>
      <c r="I215" s="1">
        <v>46241</v>
      </c>
      <c r="J215" t="s">
        <v>138</v>
      </c>
      <c r="K215" t="s">
        <v>137</v>
      </c>
      <c r="L215" t="s">
        <v>78</v>
      </c>
      <c r="M215" t="s">
        <v>21</v>
      </c>
      <c r="N215" t="s">
        <v>1149</v>
      </c>
      <c r="O215" t="s">
        <v>1949</v>
      </c>
      <c r="P215" t="s">
        <v>2079</v>
      </c>
      <c r="Q215" t="s">
        <v>6</v>
      </c>
      <c r="R215" t="s">
        <v>886</v>
      </c>
      <c r="S215" t="s">
        <v>1150</v>
      </c>
      <c r="T215" t="s">
        <v>1995</v>
      </c>
      <c r="U215">
        <v>10</v>
      </c>
      <c r="V215">
        <v>4.84</v>
      </c>
      <c r="W215">
        <v>48.4</v>
      </c>
      <c r="X215">
        <v>0</v>
      </c>
      <c r="Y215">
        <v>0</v>
      </c>
      <c r="Z215">
        <v>8.7119999999999997</v>
      </c>
      <c r="AA215">
        <v>0</v>
      </c>
      <c r="AB215">
        <v>0</v>
      </c>
      <c r="AC215">
        <v>57.112000000000002</v>
      </c>
      <c r="AD215">
        <v>0</v>
      </c>
      <c r="AE215">
        <v>0</v>
      </c>
      <c r="AF215">
        <v>57.112000000000002</v>
      </c>
      <c r="AG215" t="s">
        <v>37</v>
      </c>
    </row>
    <row r="216" spans="1:33" x14ac:dyDescent="0.35">
      <c r="A216">
        <v>214</v>
      </c>
      <c r="B216">
        <v>282305</v>
      </c>
      <c r="C216">
        <v>328013582</v>
      </c>
      <c r="D216" t="s">
        <v>1136</v>
      </c>
      <c r="E216" t="s">
        <v>50</v>
      </c>
      <c r="F216" s="1">
        <v>46244</v>
      </c>
      <c r="G216" t="s">
        <v>697</v>
      </c>
      <c r="H216">
        <v>43844</v>
      </c>
      <c r="I216" s="1">
        <v>46241</v>
      </c>
      <c r="J216" t="s">
        <v>138</v>
      </c>
      <c r="K216" t="s">
        <v>137</v>
      </c>
      <c r="L216" t="s">
        <v>78</v>
      </c>
      <c r="M216" t="s">
        <v>21</v>
      </c>
      <c r="N216" t="s">
        <v>1137</v>
      </c>
      <c r="O216" t="s">
        <v>1938</v>
      </c>
      <c r="P216" t="s">
        <v>2080</v>
      </c>
      <c r="Q216" t="s">
        <v>6</v>
      </c>
      <c r="R216" t="s">
        <v>43</v>
      </c>
      <c r="S216" t="s">
        <v>1138</v>
      </c>
      <c r="T216" t="s">
        <v>1995</v>
      </c>
      <c r="U216">
        <v>10</v>
      </c>
      <c r="V216">
        <v>2.06</v>
      </c>
      <c r="W216">
        <v>20.6</v>
      </c>
      <c r="X216">
        <v>0</v>
      </c>
      <c r="Y216">
        <v>0</v>
      </c>
      <c r="Z216">
        <v>3.7080000000000002</v>
      </c>
      <c r="AA216">
        <v>0</v>
      </c>
      <c r="AB216">
        <v>0</v>
      </c>
      <c r="AC216">
        <v>24.308</v>
      </c>
      <c r="AD216">
        <v>0</v>
      </c>
      <c r="AE216">
        <v>0</v>
      </c>
      <c r="AF216">
        <v>24.308</v>
      </c>
      <c r="AG216" t="s">
        <v>37</v>
      </c>
    </row>
    <row r="217" spans="1:33" x14ac:dyDescent="0.35">
      <c r="A217">
        <v>215</v>
      </c>
      <c r="B217">
        <v>282305</v>
      </c>
      <c r="C217">
        <v>328013582</v>
      </c>
      <c r="D217" t="s">
        <v>1136</v>
      </c>
      <c r="E217" t="s">
        <v>50</v>
      </c>
      <c r="F217" s="1">
        <v>46244</v>
      </c>
      <c r="G217" t="s">
        <v>697</v>
      </c>
      <c r="H217">
        <v>43844</v>
      </c>
      <c r="I217" s="1">
        <v>46241</v>
      </c>
      <c r="J217" t="s">
        <v>138</v>
      </c>
      <c r="K217" t="s">
        <v>137</v>
      </c>
      <c r="L217" t="s">
        <v>78</v>
      </c>
      <c r="M217" t="s">
        <v>21</v>
      </c>
      <c r="N217" t="s">
        <v>1201</v>
      </c>
      <c r="O217" t="s">
        <v>1950</v>
      </c>
      <c r="P217" t="s">
        <v>2081</v>
      </c>
      <c r="Q217" t="s">
        <v>6</v>
      </c>
      <c r="R217" t="s">
        <v>1202</v>
      </c>
      <c r="S217">
        <v>15150502601000</v>
      </c>
      <c r="T217" t="s">
        <v>1997</v>
      </c>
      <c r="U217">
        <v>10</v>
      </c>
      <c r="V217">
        <v>559.35</v>
      </c>
      <c r="W217" s="2">
        <v>5593.5</v>
      </c>
      <c r="X217">
        <v>0</v>
      </c>
      <c r="Y217">
        <v>0</v>
      </c>
      <c r="Z217" s="2">
        <v>1006.83</v>
      </c>
      <c r="AA217">
        <v>0</v>
      </c>
      <c r="AB217">
        <v>0</v>
      </c>
      <c r="AC217" s="2">
        <v>6600.33</v>
      </c>
      <c r="AD217">
        <v>0</v>
      </c>
      <c r="AE217">
        <v>0</v>
      </c>
      <c r="AF217" s="2">
        <v>6600.33</v>
      </c>
      <c r="AG217" t="s">
        <v>37</v>
      </c>
    </row>
    <row r="218" spans="1:33" x14ac:dyDescent="0.35">
      <c r="A218">
        <v>216</v>
      </c>
      <c r="B218">
        <v>282305</v>
      </c>
      <c r="C218">
        <v>328013582</v>
      </c>
      <c r="D218" t="s">
        <v>1136</v>
      </c>
      <c r="E218" t="s">
        <v>50</v>
      </c>
      <c r="F218" s="1">
        <v>46244</v>
      </c>
      <c r="G218" t="s">
        <v>697</v>
      </c>
      <c r="H218">
        <v>43844</v>
      </c>
      <c r="I218" s="1">
        <v>46241</v>
      </c>
      <c r="J218" t="s">
        <v>138</v>
      </c>
      <c r="K218" t="s">
        <v>137</v>
      </c>
      <c r="L218" t="s">
        <v>78</v>
      </c>
      <c r="M218" t="s">
        <v>21</v>
      </c>
      <c r="N218" t="s">
        <v>1195</v>
      </c>
      <c r="O218" t="s">
        <v>1949</v>
      </c>
      <c r="P218" t="s">
        <v>2082</v>
      </c>
      <c r="Q218" t="s">
        <v>6</v>
      </c>
      <c r="R218" t="s">
        <v>740</v>
      </c>
      <c r="S218" t="s">
        <v>1196</v>
      </c>
      <c r="T218" t="s">
        <v>1995</v>
      </c>
      <c r="U218">
        <v>10</v>
      </c>
      <c r="V218">
        <v>5.05</v>
      </c>
      <c r="W218">
        <v>50.5</v>
      </c>
      <c r="X218">
        <v>0</v>
      </c>
      <c r="Y218">
        <v>0</v>
      </c>
      <c r="Z218">
        <v>9.09</v>
      </c>
      <c r="AA218">
        <v>0</v>
      </c>
      <c r="AB218">
        <v>0</v>
      </c>
      <c r="AC218">
        <v>59.59</v>
      </c>
      <c r="AD218">
        <v>0</v>
      </c>
      <c r="AE218">
        <v>0</v>
      </c>
      <c r="AF218">
        <v>59.59</v>
      </c>
      <c r="AG218" t="s">
        <v>37</v>
      </c>
    </row>
    <row r="219" spans="1:33" x14ac:dyDescent="0.35">
      <c r="A219">
        <v>217</v>
      </c>
      <c r="B219">
        <v>282305</v>
      </c>
      <c r="C219">
        <v>328013582</v>
      </c>
      <c r="D219" t="s">
        <v>1136</v>
      </c>
      <c r="E219" t="s">
        <v>50</v>
      </c>
      <c r="F219" s="1">
        <v>46244</v>
      </c>
      <c r="G219" t="s">
        <v>697</v>
      </c>
      <c r="H219">
        <v>43844</v>
      </c>
      <c r="I219" s="1">
        <v>46241</v>
      </c>
      <c r="J219" t="s">
        <v>138</v>
      </c>
      <c r="K219" t="s">
        <v>137</v>
      </c>
      <c r="L219" t="s">
        <v>78</v>
      </c>
      <c r="M219" t="s">
        <v>21</v>
      </c>
      <c r="N219" t="s">
        <v>1158</v>
      </c>
      <c r="O219" t="s">
        <v>1949</v>
      </c>
      <c r="P219" t="s">
        <v>2083</v>
      </c>
      <c r="Q219" t="s">
        <v>6</v>
      </c>
      <c r="R219" t="s">
        <v>699</v>
      </c>
      <c r="S219" t="s">
        <v>1159</v>
      </c>
      <c r="T219" t="s">
        <v>1995</v>
      </c>
      <c r="U219">
        <v>20</v>
      </c>
      <c r="V219">
        <v>2.68</v>
      </c>
      <c r="W219">
        <v>53.6</v>
      </c>
      <c r="X219">
        <v>0</v>
      </c>
      <c r="Y219">
        <v>0</v>
      </c>
      <c r="Z219">
        <v>9.6479999999999997</v>
      </c>
      <c r="AA219">
        <v>0</v>
      </c>
      <c r="AB219">
        <v>0</v>
      </c>
      <c r="AC219">
        <v>63.247999999999998</v>
      </c>
      <c r="AD219">
        <v>0</v>
      </c>
      <c r="AE219">
        <v>0</v>
      </c>
      <c r="AF219">
        <v>63.247999999999998</v>
      </c>
      <c r="AG219" t="s">
        <v>37</v>
      </c>
    </row>
    <row r="220" spans="1:33" x14ac:dyDescent="0.35">
      <c r="A220">
        <v>218</v>
      </c>
      <c r="B220">
        <v>282305</v>
      </c>
      <c r="C220">
        <v>328013582</v>
      </c>
      <c r="D220" t="s">
        <v>1136</v>
      </c>
      <c r="E220" t="s">
        <v>50</v>
      </c>
      <c r="F220" s="1">
        <v>46244</v>
      </c>
      <c r="G220" t="s">
        <v>697</v>
      </c>
      <c r="H220">
        <v>43844</v>
      </c>
      <c r="I220" s="1">
        <v>46241</v>
      </c>
      <c r="J220" t="s">
        <v>138</v>
      </c>
      <c r="K220" t="s">
        <v>137</v>
      </c>
      <c r="L220" t="s">
        <v>78</v>
      </c>
      <c r="M220" t="s">
        <v>21</v>
      </c>
      <c r="N220" t="s">
        <v>1199</v>
      </c>
      <c r="O220" t="s">
        <v>1938</v>
      </c>
      <c r="P220" t="s">
        <v>2084</v>
      </c>
      <c r="Q220" t="s">
        <v>6</v>
      </c>
      <c r="R220" t="s">
        <v>43</v>
      </c>
      <c r="S220" t="s">
        <v>1200</v>
      </c>
      <c r="T220" t="s">
        <v>1995</v>
      </c>
      <c r="U220">
        <v>10</v>
      </c>
      <c r="V220">
        <v>67.77</v>
      </c>
      <c r="W220">
        <v>677.7</v>
      </c>
      <c r="X220">
        <v>0</v>
      </c>
      <c r="Y220">
        <v>0</v>
      </c>
      <c r="Z220">
        <v>121.986</v>
      </c>
      <c r="AA220">
        <v>0</v>
      </c>
      <c r="AB220">
        <v>0</v>
      </c>
      <c r="AC220">
        <v>799.68600000000004</v>
      </c>
      <c r="AD220">
        <v>0</v>
      </c>
      <c r="AE220">
        <v>0</v>
      </c>
      <c r="AF220">
        <v>799.68600000000004</v>
      </c>
      <c r="AG220" t="s">
        <v>37</v>
      </c>
    </row>
    <row r="221" spans="1:33" x14ac:dyDescent="0.35">
      <c r="A221">
        <v>219</v>
      </c>
      <c r="B221">
        <v>282305</v>
      </c>
      <c r="C221">
        <v>328013582</v>
      </c>
      <c r="D221" t="s">
        <v>1136</v>
      </c>
      <c r="E221" t="s">
        <v>50</v>
      </c>
      <c r="F221" s="1">
        <v>46244</v>
      </c>
      <c r="G221" t="s">
        <v>697</v>
      </c>
      <c r="H221">
        <v>43844</v>
      </c>
      <c r="I221" s="1">
        <v>46241</v>
      </c>
      <c r="J221" t="s">
        <v>138</v>
      </c>
      <c r="K221" t="s">
        <v>137</v>
      </c>
      <c r="L221" t="s">
        <v>78</v>
      </c>
      <c r="M221" t="s">
        <v>21</v>
      </c>
      <c r="N221" t="s">
        <v>873</v>
      </c>
      <c r="O221" t="s">
        <v>1938</v>
      </c>
      <c r="P221" t="s">
        <v>2051</v>
      </c>
      <c r="Q221" t="s">
        <v>6</v>
      </c>
      <c r="R221" t="s">
        <v>702</v>
      </c>
      <c r="S221" t="s">
        <v>874</v>
      </c>
      <c r="T221" t="s">
        <v>1995</v>
      </c>
      <c r="U221">
        <v>30</v>
      </c>
      <c r="V221">
        <v>1.34</v>
      </c>
      <c r="W221">
        <v>40.200000000000003</v>
      </c>
      <c r="X221">
        <v>0</v>
      </c>
      <c r="Y221">
        <v>0</v>
      </c>
      <c r="Z221">
        <v>7.2359999999999998</v>
      </c>
      <c r="AA221">
        <v>0</v>
      </c>
      <c r="AB221">
        <v>0</v>
      </c>
      <c r="AC221">
        <v>47.436</v>
      </c>
      <c r="AD221">
        <v>0</v>
      </c>
      <c r="AE221">
        <v>0</v>
      </c>
      <c r="AF221">
        <v>47.436</v>
      </c>
      <c r="AG221" t="s">
        <v>37</v>
      </c>
    </row>
    <row r="222" spans="1:33" x14ac:dyDescent="0.35">
      <c r="A222">
        <v>220</v>
      </c>
      <c r="B222">
        <v>282305</v>
      </c>
      <c r="C222">
        <v>328013582</v>
      </c>
      <c r="D222" t="s">
        <v>1136</v>
      </c>
      <c r="E222" t="s">
        <v>50</v>
      </c>
      <c r="F222" s="1">
        <v>46244</v>
      </c>
      <c r="G222" t="s">
        <v>697</v>
      </c>
      <c r="H222">
        <v>43844</v>
      </c>
      <c r="I222" s="1">
        <v>46241</v>
      </c>
      <c r="J222" t="s">
        <v>138</v>
      </c>
      <c r="K222" t="s">
        <v>137</v>
      </c>
      <c r="L222" t="s">
        <v>78</v>
      </c>
      <c r="M222" t="s">
        <v>21</v>
      </c>
      <c r="N222" t="s">
        <v>1182</v>
      </c>
      <c r="O222" t="s">
        <v>1949</v>
      </c>
      <c r="P222" t="s">
        <v>2085</v>
      </c>
      <c r="Q222" t="s">
        <v>6</v>
      </c>
      <c r="R222" t="s">
        <v>695</v>
      </c>
      <c r="S222">
        <v>885012206076</v>
      </c>
      <c r="T222" t="s">
        <v>1995</v>
      </c>
      <c r="U222">
        <v>30</v>
      </c>
      <c r="V222">
        <v>6.9</v>
      </c>
      <c r="W222">
        <v>207</v>
      </c>
      <c r="X222">
        <v>0</v>
      </c>
      <c r="Y222">
        <v>0</v>
      </c>
      <c r="Z222">
        <v>37.26</v>
      </c>
      <c r="AA222">
        <v>0</v>
      </c>
      <c r="AB222">
        <v>0</v>
      </c>
      <c r="AC222">
        <v>244.26</v>
      </c>
      <c r="AD222">
        <v>0</v>
      </c>
      <c r="AE222">
        <v>0</v>
      </c>
      <c r="AF222">
        <v>244.26</v>
      </c>
      <c r="AG222" t="s">
        <v>37</v>
      </c>
    </row>
    <row r="223" spans="1:33" x14ac:dyDescent="0.35">
      <c r="A223">
        <v>221</v>
      </c>
      <c r="B223">
        <v>282305</v>
      </c>
      <c r="C223">
        <v>328013582</v>
      </c>
      <c r="D223" t="s">
        <v>1136</v>
      </c>
      <c r="E223" t="s">
        <v>50</v>
      </c>
      <c r="F223" s="1">
        <v>46244</v>
      </c>
      <c r="G223" t="s">
        <v>697</v>
      </c>
      <c r="H223">
        <v>43844</v>
      </c>
      <c r="I223" s="1">
        <v>46241</v>
      </c>
      <c r="J223" t="s">
        <v>138</v>
      </c>
      <c r="K223" t="s">
        <v>137</v>
      </c>
      <c r="L223" t="s">
        <v>78</v>
      </c>
      <c r="M223" t="s">
        <v>21</v>
      </c>
      <c r="N223" t="s">
        <v>1139</v>
      </c>
      <c r="O223" t="s">
        <v>2008</v>
      </c>
      <c r="P223" t="s">
        <v>2086</v>
      </c>
      <c r="Q223" t="s">
        <v>6</v>
      </c>
      <c r="R223" t="s">
        <v>660</v>
      </c>
      <c r="S223" t="s">
        <v>1140</v>
      </c>
      <c r="T223" t="s">
        <v>416</v>
      </c>
      <c r="U223">
        <v>10</v>
      </c>
      <c r="V223">
        <v>457.32</v>
      </c>
      <c r="W223" s="2">
        <v>4573.2</v>
      </c>
      <c r="X223">
        <v>0</v>
      </c>
      <c r="Y223">
        <v>0</v>
      </c>
      <c r="Z223">
        <v>823.17600000000004</v>
      </c>
      <c r="AA223">
        <v>0</v>
      </c>
      <c r="AB223">
        <v>0</v>
      </c>
      <c r="AC223" s="2">
        <v>5396.3760000000002</v>
      </c>
      <c r="AD223">
        <v>0</v>
      </c>
      <c r="AE223">
        <v>0</v>
      </c>
      <c r="AF223" s="2">
        <v>5396.3760000000002</v>
      </c>
      <c r="AG223" t="s">
        <v>37</v>
      </c>
    </row>
    <row r="224" spans="1:33" x14ac:dyDescent="0.35">
      <c r="A224">
        <v>222</v>
      </c>
      <c r="B224">
        <v>282305</v>
      </c>
      <c r="C224">
        <v>328013582</v>
      </c>
      <c r="D224" t="s">
        <v>1136</v>
      </c>
      <c r="E224" t="s">
        <v>50</v>
      </c>
      <c r="F224" s="1">
        <v>46244</v>
      </c>
      <c r="G224" t="s">
        <v>697</v>
      </c>
      <c r="H224">
        <v>43844</v>
      </c>
      <c r="I224" s="1">
        <v>46241</v>
      </c>
      <c r="J224" t="s">
        <v>138</v>
      </c>
      <c r="K224" t="s">
        <v>137</v>
      </c>
      <c r="L224" t="s">
        <v>78</v>
      </c>
      <c r="M224" t="s">
        <v>21</v>
      </c>
      <c r="N224" t="s">
        <v>1143</v>
      </c>
      <c r="O224" t="s">
        <v>1949</v>
      </c>
      <c r="P224" t="s">
        <v>2087</v>
      </c>
      <c r="Q224" t="s">
        <v>6</v>
      </c>
      <c r="R224" t="s">
        <v>699</v>
      </c>
      <c r="S224" t="s">
        <v>1144</v>
      </c>
      <c r="T224" t="s">
        <v>1995</v>
      </c>
      <c r="U224">
        <v>30</v>
      </c>
      <c r="V224">
        <v>6.28</v>
      </c>
      <c r="W224">
        <v>188.4</v>
      </c>
      <c r="X224">
        <v>0</v>
      </c>
      <c r="Y224">
        <v>0</v>
      </c>
      <c r="Z224">
        <v>33.911999999999999</v>
      </c>
      <c r="AA224">
        <v>0</v>
      </c>
      <c r="AB224">
        <v>0</v>
      </c>
      <c r="AC224">
        <v>222.31200000000001</v>
      </c>
      <c r="AD224">
        <v>0</v>
      </c>
      <c r="AE224">
        <v>0</v>
      </c>
      <c r="AF224">
        <v>222.31200000000001</v>
      </c>
      <c r="AG224" t="s">
        <v>37</v>
      </c>
    </row>
    <row r="225" spans="1:33" x14ac:dyDescent="0.35">
      <c r="A225">
        <v>223</v>
      </c>
      <c r="B225">
        <v>282305</v>
      </c>
      <c r="C225">
        <v>328013582</v>
      </c>
      <c r="D225" t="s">
        <v>1136</v>
      </c>
      <c r="E225" t="s">
        <v>50</v>
      </c>
      <c r="F225" s="1">
        <v>46244</v>
      </c>
      <c r="G225" t="s">
        <v>697</v>
      </c>
      <c r="H225">
        <v>43844</v>
      </c>
      <c r="I225" s="1">
        <v>46241</v>
      </c>
      <c r="J225" t="s">
        <v>138</v>
      </c>
      <c r="K225" t="s">
        <v>137</v>
      </c>
      <c r="L225" t="s">
        <v>78</v>
      </c>
      <c r="M225" t="s">
        <v>21</v>
      </c>
      <c r="N225" t="s">
        <v>1174</v>
      </c>
      <c r="O225" t="s">
        <v>1977</v>
      </c>
      <c r="P225" t="s">
        <v>2088</v>
      </c>
      <c r="Q225" t="s">
        <v>6</v>
      </c>
      <c r="R225" t="s">
        <v>699</v>
      </c>
      <c r="S225" t="s">
        <v>1175</v>
      </c>
      <c r="T225" t="s">
        <v>1995</v>
      </c>
      <c r="U225">
        <v>30</v>
      </c>
      <c r="V225">
        <v>6.78</v>
      </c>
      <c r="W225">
        <v>203.4</v>
      </c>
      <c r="X225">
        <v>0</v>
      </c>
      <c r="Y225">
        <v>0</v>
      </c>
      <c r="Z225">
        <v>36.612000000000002</v>
      </c>
      <c r="AA225">
        <v>0</v>
      </c>
      <c r="AB225">
        <v>0</v>
      </c>
      <c r="AC225">
        <v>240.012</v>
      </c>
      <c r="AD225">
        <v>0</v>
      </c>
      <c r="AE225">
        <v>0</v>
      </c>
      <c r="AF225">
        <v>240.012</v>
      </c>
      <c r="AG225" t="s">
        <v>37</v>
      </c>
    </row>
    <row r="226" spans="1:33" x14ac:dyDescent="0.35">
      <c r="A226">
        <v>224</v>
      </c>
      <c r="B226">
        <v>282305</v>
      </c>
      <c r="C226">
        <v>328013582</v>
      </c>
      <c r="D226" t="s">
        <v>1136</v>
      </c>
      <c r="E226" t="s">
        <v>50</v>
      </c>
      <c r="F226" s="1">
        <v>46244</v>
      </c>
      <c r="G226" t="s">
        <v>697</v>
      </c>
      <c r="H226">
        <v>43844</v>
      </c>
      <c r="I226" s="1">
        <v>46241</v>
      </c>
      <c r="J226" t="s">
        <v>138</v>
      </c>
      <c r="K226" t="s">
        <v>137</v>
      </c>
      <c r="L226" t="s">
        <v>78</v>
      </c>
      <c r="M226" t="s">
        <v>21</v>
      </c>
      <c r="N226" t="s">
        <v>1166</v>
      </c>
      <c r="O226" t="s">
        <v>1938</v>
      </c>
      <c r="P226" t="s">
        <v>2089</v>
      </c>
      <c r="Q226" t="s">
        <v>6</v>
      </c>
      <c r="R226" t="s">
        <v>796</v>
      </c>
      <c r="S226" t="s">
        <v>1167</v>
      </c>
      <c r="T226" t="s">
        <v>1995</v>
      </c>
      <c r="U226">
        <v>30</v>
      </c>
      <c r="V226">
        <v>1.96</v>
      </c>
      <c r="W226">
        <v>58.8</v>
      </c>
      <c r="X226">
        <v>0</v>
      </c>
      <c r="Y226">
        <v>0</v>
      </c>
      <c r="Z226">
        <v>10.584</v>
      </c>
      <c r="AA226">
        <v>0</v>
      </c>
      <c r="AB226">
        <v>0</v>
      </c>
      <c r="AC226">
        <v>69.384</v>
      </c>
      <c r="AD226">
        <v>0</v>
      </c>
      <c r="AE226">
        <v>0</v>
      </c>
      <c r="AF226">
        <v>69.384</v>
      </c>
      <c r="AG226" t="s">
        <v>37</v>
      </c>
    </row>
    <row r="227" spans="1:33" x14ac:dyDescent="0.35">
      <c r="A227">
        <v>225</v>
      </c>
      <c r="B227">
        <v>282305</v>
      </c>
      <c r="C227">
        <v>328013582</v>
      </c>
      <c r="D227" t="s">
        <v>1136</v>
      </c>
      <c r="E227" t="s">
        <v>50</v>
      </c>
      <c r="F227" s="1">
        <v>46244</v>
      </c>
      <c r="G227" t="s">
        <v>697</v>
      </c>
      <c r="H227">
        <v>43844</v>
      </c>
      <c r="I227" s="1">
        <v>46241</v>
      </c>
      <c r="J227" t="s">
        <v>138</v>
      </c>
      <c r="K227" t="s">
        <v>137</v>
      </c>
      <c r="L227" t="s">
        <v>78</v>
      </c>
      <c r="M227" t="s">
        <v>21</v>
      </c>
      <c r="N227" t="s">
        <v>1205</v>
      </c>
      <c r="O227" t="s">
        <v>1949</v>
      </c>
      <c r="P227" t="s">
        <v>2090</v>
      </c>
      <c r="Q227" t="s">
        <v>6</v>
      </c>
      <c r="R227" t="s">
        <v>702</v>
      </c>
      <c r="S227" t="s">
        <v>1206</v>
      </c>
      <c r="T227" t="s">
        <v>1995</v>
      </c>
      <c r="U227">
        <v>20</v>
      </c>
      <c r="V227">
        <v>2.16</v>
      </c>
      <c r="W227">
        <v>43.2</v>
      </c>
      <c r="X227">
        <v>0</v>
      </c>
      <c r="Y227">
        <v>0</v>
      </c>
      <c r="Z227">
        <v>7.7759999999999998</v>
      </c>
      <c r="AA227">
        <v>0</v>
      </c>
      <c r="AB227">
        <v>0</v>
      </c>
      <c r="AC227">
        <v>50.975999999999999</v>
      </c>
      <c r="AD227">
        <v>0</v>
      </c>
      <c r="AE227">
        <v>0</v>
      </c>
      <c r="AF227">
        <v>50.975999999999999</v>
      </c>
      <c r="AG227" t="s">
        <v>37</v>
      </c>
    </row>
    <row r="228" spans="1:33" x14ac:dyDescent="0.35">
      <c r="A228">
        <v>226</v>
      </c>
      <c r="B228">
        <v>282305</v>
      </c>
      <c r="C228">
        <v>328013582</v>
      </c>
      <c r="D228" t="s">
        <v>1136</v>
      </c>
      <c r="E228" t="s">
        <v>50</v>
      </c>
      <c r="F228" s="1">
        <v>46244</v>
      </c>
      <c r="G228" t="s">
        <v>697</v>
      </c>
      <c r="H228">
        <v>43844</v>
      </c>
      <c r="I228" s="1">
        <v>46241</v>
      </c>
      <c r="J228" t="s">
        <v>138</v>
      </c>
      <c r="K228" t="s">
        <v>137</v>
      </c>
      <c r="L228" t="s">
        <v>78</v>
      </c>
      <c r="M228" t="s">
        <v>21</v>
      </c>
      <c r="N228" t="s">
        <v>1153</v>
      </c>
      <c r="O228" t="s">
        <v>1938</v>
      </c>
      <c r="P228" t="s">
        <v>2091</v>
      </c>
      <c r="Q228" t="s">
        <v>6</v>
      </c>
      <c r="R228" t="s">
        <v>702</v>
      </c>
      <c r="S228" t="s">
        <v>1154</v>
      </c>
      <c r="T228" t="s">
        <v>1995</v>
      </c>
      <c r="U228">
        <v>90</v>
      </c>
      <c r="V228">
        <v>4.53</v>
      </c>
      <c r="W228">
        <v>407.7</v>
      </c>
      <c r="X228">
        <v>0</v>
      </c>
      <c r="Y228">
        <v>0</v>
      </c>
      <c r="Z228">
        <v>73.385999999999996</v>
      </c>
      <c r="AA228">
        <v>0</v>
      </c>
      <c r="AB228">
        <v>0</v>
      </c>
      <c r="AC228">
        <v>481.08600000000001</v>
      </c>
      <c r="AD228">
        <v>0</v>
      </c>
      <c r="AE228">
        <v>0</v>
      </c>
      <c r="AF228">
        <v>481.08600000000001</v>
      </c>
      <c r="AG228" t="s">
        <v>37</v>
      </c>
    </row>
    <row r="229" spans="1:33" x14ac:dyDescent="0.35">
      <c r="A229">
        <v>227</v>
      </c>
      <c r="B229">
        <v>282305</v>
      </c>
      <c r="C229">
        <v>328013582</v>
      </c>
      <c r="D229" t="s">
        <v>1136</v>
      </c>
      <c r="E229" t="s">
        <v>50</v>
      </c>
      <c r="F229" s="1">
        <v>46244</v>
      </c>
      <c r="G229" t="s">
        <v>697</v>
      </c>
      <c r="H229">
        <v>43844</v>
      </c>
      <c r="I229" s="1">
        <v>46241</v>
      </c>
      <c r="J229" t="s">
        <v>138</v>
      </c>
      <c r="K229" t="s">
        <v>137</v>
      </c>
      <c r="L229" t="s">
        <v>78</v>
      </c>
      <c r="M229" t="s">
        <v>21</v>
      </c>
      <c r="N229" t="s">
        <v>1172</v>
      </c>
      <c r="O229" t="s">
        <v>1977</v>
      </c>
      <c r="P229" t="s">
        <v>2092</v>
      </c>
      <c r="Q229" t="s">
        <v>6</v>
      </c>
      <c r="R229" t="s">
        <v>699</v>
      </c>
      <c r="S229" t="s">
        <v>1173</v>
      </c>
      <c r="T229" t="s">
        <v>1995</v>
      </c>
      <c r="U229">
        <v>10</v>
      </c>
      <c r="V229">
        <v>7.23</v>
      </c>
      <c r="W229">
        <v>72.3</v>
      </c>
      <c r="X229">
        <v>0</v>
      </c>
      <c r="Y229">
        <v>0</v>
      </c>
      <c r="Z229">
        <v>13.013999999999999</v>
      </c>
      <c r="AA229">
        <v>0</v>
      </c>
      <c r="AB229">
        <v>0</v>
      </c>
      <c r="AC229">
        <v>85.313999999999993</v>
      </c>
      <c r="AD229">
        <v>0</v>
      </c>
      <c r="AE229">
        <v>0</v>
      </c>
      <c r="AF229">
        <v>85.313999999999993</v>
      </c>
      <c r="AG229" t="s">
        <v>37</v>
      </c>
    </row>
    <row r="230" spans="1:33" x14ac:dyDescent="0.35">
      <c r="A230">
        <v>228</v>
      </c>
      <c r="B230">
        <v>282305</v>
      </c>
      <c r="C230">
        <v>328013582</v>
      </c>
      <c r="D230" t="s">
        <v>1136</v>
      </c>
      <c r="E230" t="s">
        <v>50</v>
      </c>
      <c r="F230" s="1">
        <v>46244</v>
      </c>
      <c r="G230" t="s">
        <v>697</v>
      </c>
      <c r="H230">
        <v>43844</v>
      </c>
      <c r="I230" s="1">
        <v>46241</v>
      </c>
      <c r="J230" t="s">
        <v>138</v>
      </c>
      <c r="K230" t="s">
        <v>137</v>
      </c>
      <c r="L230" t="s">
        <v>78</v>
      </c>
      <c r="M230" t="s">
        <v>21</v>
      </c>
      <c r="N230" t="s">
        <v>930</v>
      </c>
      <c r="O230" t="s">
        <v>1949</v>
      </c>
      <c r="P230" t="s">
        <v>2065</v>
      </c>
      <c r="Q230" t="s">
        <v>6</v>
      </c>
      <c r="R230" t="s">
        <v>699</v>
      </c>
      <c r="S230" t="s">
        <v>931</v>
      </c>
      <c r="T230" t="s">
        <v>1995</v>
      </c>
      <c r="U230">
        <v>30</v>
      </c>
      <c r="V230">
        <v>33.99</v>
      </c>
      <c r="W230" s="2">
        <v>1019.7</v>
      </c>
      <c r="X230">
        <v>0</v>
      </c>
      <c r="Y230">
        <v>0</v>
      </c>
      <c r="Z230">
        <v>183.54599999999999</v>
      </c>
      <c r="AA230">
        <v>0</v>
      </c>
      <c r="AB230">
        <v>0</v>
      </c>
      <c r="AC230" s="2">
        <v>1203.2460000000001</v>
      </c>
      <c r="AD230">
        <v>0</v>
      </c>
      <c r="AE230">
        <v>0</v>
      </c>
      <c r="AF230" s="2">
        <v>1203.2460000000001</v>
      </c>
      <c r="AG230" t="s">
        <v>37</v>
      </c>
    </row>
    <row r="231" spans="1:33" x14ac:dyDescent="0.35">
      <c r="A231">
        <v>229</v>
      </c>
      <c r="B231">
        <v>282305</v>
      </c>
      <c r="C231">
        <v>328013582</v>
      </c>
      <c r="D231" t="s">
        <v>1136</v>
      </c>
      <c r="E231" t="s">
        <v>50</v>
      </c>
      <c r="F231" s="1">
        <v>46244</v>
      </c>
      <c r="G231" t="s">
        <v>697</v>
      </c>
      <c r="H231">
        <v>43844</v>
      </c>
      <c r="I231" s="1">
        <v>46241</v>
      </c>
      <c r="J231" t="s">
        <v>138</v>
      </c>
      <c r="K231" t="s">
        <v>137</v>
      </c>
      <c r="L231" t="s">
        <v>78</v>
      </c>
      <c r="M231" t="s">
        <v>21</v>
      </c>
      <c r="N231" t="s">
        <v>1207</v>
      </c>
      <c r="O231" t="s">
        <v>1949</v>
      </c>
      <c r="P231" t="s">
        <v>2093</v>
      </c>
      <c r="Q231" t="s">
        <v>6</v>
      </c>
      <c r="R231" t="s">
        <v>699</v>
      </c>
      <c r="S231" t="s">
        <v>1208</v>
      </c>
      <c r="T231" t="s">
        <v>1995</v>
      </c>
      <c r="U231">
        <v>10</v>
      </c>
      <c r="V231">
        <v>55.83</v>
      </c>
      <c r="W231">
        <v>558.29999999999995</v>
      </c>
      <c r="X231">
        <v>0</v>
      </c>
      <c r="Y231">
        <v>0</v>
      </c>
      <c r="Z231">
        <v>100.494</v>
      </c>
      <c r="AA231">
        <v>0</v>
      </c>
      <c r="AB231">
        <v>0</v>
      </c>
      <c r="AC231">
        <v>658.79399999999998</v>
      </c>
      <c r="AD231">
        <v>0</v>
      </c>
      <c r="AE231">
        <v>0</v>
      </c>
      <c r="AF231">
        <v>658.79399999999998</v>
      </c>
      <c r="AG231" t="s">
        <v>37</v>
      </c>
    </row>
    <row r="232" spans="1:33" x14ac:dyDescent="0.35">
      <c r="A232">
        <v>230</v>
      </c>
      <c r="B232">
        <v>282305</v>
      </c>
      <c r="C232">
        <v>328013582</v>
      </c>
      <c r="D232" t="s">
        <v>1136</v>
      </c>
      <c r="E232" t="s">
        <v>50</v>
      </c>
      <c r="F232" s="1">
        <v>46244</v>
      </c>
      <c r="G232" t="s">
        <v>697</v>
      </c>
      <c r="H232">
        <v>43844</v>
      </c>
      <c r="I232" s="1">
        <v>46241</v>
      </c>
      <c r="J232" t="s">
        <v>138</v>
      </c>
      <c r="K232" t="s">
        <v>137</v>
      </c>
      <c r="L232" t="s">
        <v>78</v>
      </c>
      <c r="M232" t="s">
        <v>21</v>
      </c>
      <c r="N232" t="s">
        <v>1160</v>
      </c>
      <c r="O232" t="s">
        <v>1949</v>
      </c>
      <c r="P232" t="s">
        <v>2094</v>
      </c>
      <c r="Q232" t="s">
        <v>6</v>
      </c>
      <c r="R232" t="s">
        <v>38</v>
      </c>
      <c r="S232" t="s">
        <v>1161</v>
      </c>
      <c r="T232" t="s">
        <v>1995</v>
      </c>
      <c r="U232">
        <v>30</v>
      </c>
      <c r="V232">
        <v>23.28</v>
      </c>
      <c r="W232">
        <v>698.4</v>
      </c>
      <c r="X232">
        <v>0</v>
      </c>
      <c r="Y232">
        <v>0</v>
      </c>
      <c r="Z232">
        <v>125.712</v>
      </c>
      <c r="AA232">
        <v>0</v>
      </c>
      <c r="AB232">
        <v>0</v>
      </c>
      <c r="AC232">
        <v>824.11199999999997</v>
      </c>
      <c r="AD232">
        <v>0</v>
      </c>
      <c r="AE232">
        <v>0</v>
      </c>
      <c r="AF232">
        <v>824.11199999999997</v>
      </c>
      <c r="AG232" t="s">
        <v>37</v>
      </c>
    </row>
    <row r="233" spans="1:33" x14ac:dyDescent="0.35">
      <c r="A233">
        <v>231</v>
      </c>
      <c r="B233">
        <v>282305</v>
      </c>
      <c r="C233">
        <v>328013582</v>
      </c>
      <c r="D233" t="s">
        <v>1136</v>
      </c>
      <c r="E233" t="s">
        <v>50</v>
      </c>
      <c r="F233" s="1">
        <v>46244</v>
      </c>
      <c r="G233" t="s">
        <v>697</v>
      </c>
      <c r="H233">
        <v>43844</v>
      </c>
      <c r="I233" s="1">
        <v>46241</v>
      </c>
      <c r="J233" t="s">
        <v>138</v>
      </c>
      <c r="K233" t="s">
        <v>137</v>
      </c>
      <c r="L233" t="s">
        <v>78</v>
      </c>
      <c r="M233" t="s">
        <v>21</v>
      </c>
      <c r="N233" t="s">
        <v>1162</v>
      </c>
      <c r="O233" t="s">
        <v>1949</v>
      </c>
      <c r="P233" t="s">
        <v>2095</v>
      </c>
      <c r="Q233" t="s">
        <v>6</v>
      </c>
      <c r="R233" t="s">
        <v>699</v>
      </c>
      <c r="S233" t="s">
        <v>1163</v>
      </c>
      <c r="T233" t="s">
        <v>1995</v>
      </c>
      <c r="U233">
        <v>10</v>
      </c>
      <c r="V233">
        <v>5.56</v>
      </c>
      <c r="W233">
        <v>55.6</v>
      </c>
      <c r="X233">
        <v>0</v>
      </c>
      <c r="Y233">
        <v>0</v>
      </c>
      <c r="Z233">
        <v>10.007999999999999</v>
      </c>
      <c r="AA233">
        <v>0</v>
      </c>
      <c r="AB233">
        <v>0</v>
      </c>
      <c r="AC233">
        <v>65.608000000000004</v>
      </c>
      <c r="AD233">
        <v>0</v>
      </c>
      <c r="AE233">
        <v>0</v>
      </c>
      <c r="AF233">
        <v>65.608000000000004</v>
      </c>
      <c r="AG233" t="s">
        <v>37</v>
      </c>
    </row>
    <row r="234" spans="1:33" x14ac:dyDescent="0.35">
      <c r="A234">
        <v>232</v>
      </c>
      <c r="B234">
        <v>282305</v>
      </c>
      <c r="C234">
        <v>328013582</v>
      </c>
      <c r="D234" t="s">
        <v>1136</v>
      </c>
      <c r="E234" t="s">
        <v>50</v>
      </c>
      <c r="F234" s="1">
        <v>46244</v>
      </c>
      <c r="G234" t="s">
        <v>697</v>
      </c>
      <c r="H234">
        <v>43844</v>
      </c>
      <c r="I234" s="1">
        <v>46241</v>
      </c>
      <c r="J234" t="s">
        <v>138</v>
      </c>
      <c r="K234" t="s">
        <v>137</v>
      </c>
      <c r="L234" t="s">
        <v>78</v>
      </c>
      <c r="M234" t="s">
        <v>21</v>
      </c>
      <c r="N234" t="s">
        <v>1151</v>
      </c>
      <c r="O234" t="s">
        <v>1938</v>
      </c>
      <c r="P234" t="s">
        <v>2096</v>
      </c>
      <c r="Q234" t="s">
        <v>6</v>
      </c>
      <c r="R234" t="s">
        <v>796</v>
      </c>
      <c r="S234" t="s">
        <v>1152</v>
      </c>
      <c r="T234" t="s">
        <v>1995</v>
      </c>
      <c r="U234">
        <v>20</v>
      </c>
      <c r="V234">
        <v>2.37</v>
      </c>
      <c r="W234">
        <v>47.4</v>
      </c>
      <c r="X234">
        <v>0</v>
      </c>
      <c r="Y234">
        <v>0</v>
      </c>
      <c r="Z234">
        <v>8.532</v>
      </c>
      <c r="AA234">
        <v>0</v>
      </c>
      <c r="AB234">
        <v>0</v>
      </c>
      <c r="AC234">
        <v>55.932000000000002</v>
      </c>
      <c r="AD234">
        <v>0</v>
      </c>
      <c r="AE234">
        <v>0</v>
      </c>
      <c r="AF234">
        <v>55.932000000000002</v>
      </c>
      <c r="AG234" t="s">
        <v>37</v>
      </c>
    </row>
    <row r="235" spans="1:33" x14ac:dyDescent="0.35">
      <c r="A235">
        <v>233</v>
      </c>
      <c r="B235">
        <v>282305</v>
      </c>
      <c r="C235">
        <v>328013582</v>
      </c>
      <c r="D235" t="s">
        <v>1136</v>
      </c>
      <c r="E235" t="s">
        <v>50</v>
      </c>
      <c r="F235" s="1">
        <v>46244</v>
      </c>
      <c r="G235" t="s">
        <v>697</v>
      </c>
      <c r="H235">
        <v>43844</v>
      </c>
      <c r="I235" s="1">
        <v>46241</v>
      </c>
      <c r="J235" t="s">
        <v>138</v>
      </c>
      <c r="K235" t="s">
        <v>137</v>
      </c>
      <c r="L235" t="s">
        <v>78</v>
      </c>
      <c r="M235" t="s">
        <v>21</v>
      </c>
      <c r="N235" t="s">
        <v>1178</v>
      </c>
      <c r="O235" t="s">
        <v>1938</v>
      </c>
      <c r="P235" t="s">
        <v>2097</v>
      </c>
      <c r="Q235" t="s">
        <v>6</v>
      </c>
      <c r="R235" t="s">
        <v>796</v>
      </c>
      <c r="S235" t="s">
        <v>1179</v>
      </c>
      <c r="T235" t="s">
        <v>1995</v>
      </c>
      <c r="U235">
        <v>10</v>
      </c>
      <c r="V235">
        <v>2.4700000000000002</v>
      </c>
      <c r="W235">
        <v>24.7</v>
      </c>
      <c r="X235">
        <v>0</v>
      </c>
      <c r="Y235">
        <v>0</v>
      </c>
      <c r="Z235">
        <v>4.4459999999999997</v>
      </c>
      <c r="AA235">
        <v>0</v>
      </c>
      <c r="AB235">
        <v>0</v>
      </c>
      <c r="AC235">
        <v>29.146000000000001</v>
      </c>
      <c r="AD235">
        <v>0</v>
      </c>
      <c r="AE235">
        <v>0</v>
      </c>
      <c r="AF235">
        <v>29.146000000000001</v>
      </c>
      <c r="AG235" t="s">
        <v>37</v>
      </c>
    </row>
    <row r="236" spans="1:33" x14ac:dyDescent="0.35">
      <c r="A236">
        <v>234</v>
      </c>
      <c r="B236">
        <v>282305</v>
      </c>
      <c r="C236">
        <v>328013582</v>
      </c>
      <c r="D236" t="s">
        <v>1136</v>
      </c>
      <c r="E236" t="s">
        <v>50</v>
      </c>
      <c r="F236" s="1">
        <v>46244</v>
      </c>
      <c r="G236" t="s">
        <v>697</v>
      </c>
      <c r="H236">
        <v>43844</v>
      </c>
      <c r="I236" s="1">
        <v>46241</v>
      </c>
      <c r="J236" t="s">
        <v>138</v>
      </c>
      <c r="K236" t="s">
        <v>137</v>
      </c>
      <c r="L236" t="s">
        <v>78</v>
      </c>
      <c r="M236" t="s">
        <v>21</v>
      </c>
      <c r="N236" t="s">
        <v>923</v>
      </c>
      <c r="O236" t="s">
        <v>1949</v>
      </c>
      <c r="P236" t="s">
        <v>2062</v>
      </c>
      <c r="Q236" t="s">
        <v>6</v>
      </c>
      <c r="R236" t="s">
        <v>924</v>
      </c>
      <c r="S236" t="s">
        <v>925</v>
      </c>
      <c r="T236" t="s">
        <v>1995</v>
      </c>
      <c r="U236">
        <v>10</v>
      </c>
      <c r="V236">
        <v>5.05</v>
      </c>
      <c r="W236">
        <v>50.5</v>
      </c>
      <c r="X236">
        <v>0</v>
      </c>
      <c r="Y236">
        <v>0</v>
      </c>
      <c r="Z236">
        <v>9.09</v>
      </c>
      <c r="AA236">
        <v>0</v>
      </c>
      <c r="AB236">
        <v>0</v>
      </c>
      <c r="AC236">
        <v>59.59</v>
      </c>
      <c r="AD236">
        <v>0</v>
      </c>
      <c r="AE236">
        <v>0</v>
      </c>
      <c r="AF236">
        <v>59.59</v>
      </c>
      <c r="AG236" t="s">
        <v>37</v>
      </c>
    </row>
    <row r="237" spans="1:33" x14ac:dyDescent="0.35">
      <c r="A237">
        <v>235</v>
      </c>
      <c r="B237">
        <v>282305</v>
      </c>
      <c r="C237">
        <v>328013582</v>
      </c>
      <c r="D237" t="s">
        <v>1136</v>
      </c>
      <c r="E237" t="s">
        <v>50</v>
      </c>
      <c r="F237" s="1">
        <v>46244</v>
      </c>
      <c r="G237" t="s">
        <v>697</v>
      </c>
      <c r="H237">
        <v>43844</v>
      </c>
      <c r="I237" s="1">
        <v>46241</v>
      </c>
      <c r="J237" t="s">
        <v>138</v>
      </c>
      <c r="K237" t="s">
        <v>137</v>
      </c>
      <c r="L237" t="s">
        <v>78</v>
      </c>
      <c r="M237" t="s">
        <v>21</v>
      </c>
      <c r="N237" t="s">
        <v>1187</v>
      </c>
      <c r="O237" t="s">
        <v>1949</v>
      </c>
      <c r="P237" t="s">
        <v>2056</v>
      </c>
      <c r="Q237" t="s">
        <v>6</v>
      </c>
      <c r="R237" t="s">
        <v>702</v>
      </c>
      <c r="S237" t="s">
        <v>1188</v>
      </c>
      <c r="T237" t="s">
        <v>1995</v>
      </c>
      <c r="U237">
        <v>40</v>
      </c>
      <c r="V237">
        <v>4.22</v>
      </c>
      <c r="W237">
        <v>168.8</v>
      </c>
      <c r="X237">
        <v>0</v>
      </c>
      <c r="Y237">
        <v>0</v>
      </c>
      <c r="Z237">
        <v>30.384</v>
      </c>
      <c r="AA237">
        <v>0</v>
      </c>
      <c r="AB237">
        <v>0</v>
      </c>
      <c r="AC237">
        <v>199.184</v>
      </c>
      <c r="AD237">
        <v>0</v>
      </c>
      <c r="AE237">
        <v>0</v>
      </c>
      <c r="AF237">
        <v>199.184</v>
      </c>
      <c r="AG237" t="s">
        <v>37</v>
      </c>
    </row>
    <row r="238" spans="1:33" x14ac:dyDescent="0.35">
      <c r="A238">
        <v>236</v>
      </c>
      <c r="B238">
        <v>282305</v>
      </c>
      <c r="C238">
        <v>328013582</v>
      </c>
      <c r="D238" t="s">
        <v>1136</v>
      </c>
      <c r="E238" t="s">
        <v>50</v>
      </c>
      <c r="F238" s="1">
        <v>46244</v>
      </c>
      <c r="G238" t="s">
        <v>697</v>
      </c>
      <c r="H238">
        <v>43844</v>
      </c>
      <c r="I238" s="1">
        <v>46241</v>
      </c>
      <c r="J238" t="s">
        <v>138</v>
      </c>
      <c r="K238" t="s">
        <v>137</v>
      </c>
      <c r="L238" t="s">
        <v>78</v>
      </c>
      <c r="M238" t="s">
        <v>21</v>
      </c>
      <c r="N238" t="s">
        <v>1185</v>
      </c>
      <c r="O238" t="s">
        <v>1949</v>
      </c>
      <c r="P238" t="s">
        <v>2098</v>
      </c>
      <c r="Q238" t="s">
        <v>6</v>
      </c>
      <c r="R238" t="s">
        <v>886</v>
      </c>
      <c r="S238" t="s">
        <v>1186</v>
      </c>
      <c r="T238" t="s">
        <v>1995</v>
      </c>
      <c r="U238">
        <v>30</v>
      </c>
      <c r="V238">
        <v>12.88</v>
      </c>
      <c r="W238">
        <v>386.4</v>
      </c>
      <c r="X238">
        <v>0</v>
      </c>
      <c r="Y238">
        <v>0</v>
      </c>
      <c r="Z238">
        <v>69.552000000000007</v>
      </c>
      <c r="AA238">
        <v>0</v>
      </c>
      <c r="AB238">
        <v>0</v>
      </c>
      <c r="AC238">
        <v>455.952</v>
      </c>
      <c r="AD238">
        <v>0</v>
      </c>
      <c r="AE238">
        <v>0</v>
      </c>
      <c r="AF238">
        <v>455.952</v>
      </c>
      <c r="AG238" t="s">
        <v>37</v>
      </c>
    </row>
    <row r="239" spans="1:33" x14ac:dyDescent="0.35">
      <c r="A239">
        <v>237</v>
      </c>
      <c r="B239">
        <v>282305</v>
      </c>
      <c r="C239">
        <v>328013582</v>
      </c>
      <c r="D239" t="s">
        <v>1136</v>
      </c>
      <c r="E239" t="s">
        <v>50</v>
      </c>
      <c r="F239" s="1">
        <v>46244</v>
      </c>
      <c r="G239" t="s">
        <v>697</v>
      </c>
      <c r="H239">
        <v>43844</v>
      </c>
      <c r="I239" s="1">
        <v>46241</v>
      </c>
      <c r="J239" t="s">
        <v>138</v>
      </c>
      <c r="K239" t="s">
        <v>137</v>
      </c>
      <c r="L239" t="s">
        <v>78</v>
      </c>
      <c r="M239" t="s">
        <v>21</v>
      </c>
      <c r="N239" t="s">
        <v>1176</v>
      </c>
      <c r="O239" t="s">
        <v>1938</v>
      </c>
      <c r="P239" t="s">
        <v>2099</v>
      </c>
      <c r="Q239" t="s">
        <v>6</v>
      </c>
      <c r="R239" t="s">
        <v>40</v>
      </c>
      <c r="S239" t="s">
        <v>1177</v>
      </c>
      <c r="T239" t="s">
        <v>1995</v>
      </c>
      <c r="U239">
        <v>60</v>
      </c>
      <c r="V239">
        <v>1.75</v>
      </c>
      <c r="W239">
        <v>105</v>
      </c>
      <c r="X239">
        <v>0</v>
      </c>
      <c r="Y239">
        <v>0</v>
      </c>
      <c r="Z239">
        <v>18.899999999999999</v>
      </c>
      <c r="AA239">
        <v>0</v>
      </c>
      <c r="AB239">
        <v>0</v>
      </c>
      <c r="AC239">
        <v>123.9</v>
      </c>
      <c r="AD239">
        <v>0</v>
      </c>
      <c r="AE239">
        <v>0</v>
      </c>
      <c r="AF239">
        <v>123.9</v>
      </c>
      <c r="AG239" t="s">
        <v>37</v>
      </c>
    </row>
    <row r="240" spans="1:33" x14ac:dyDescent="0.35">
      <c r="A240">
        <v>238</v>
      </c>
      <c r="B240">
        <v>282305</v>
      </c>
      <c r="C240">
        <v>328013582</v>
      </c>
      <c r="D240" t="s">
        <v>1136</v>
      </c>
      <c r="E240" t="s">
        <v>50</v>
      </c>
      <c r="F240" s="1">
        <v>46244</v>
      </c>
      <c r="G240" t="s">
        <v>697</v>
      </c>
      <c r="H240">
        <v>43844</v>
      </c>
      <c r="I240" s="1">
        <v>46241</v>
      </c>
      <c r="J240" t="s">
        <v>138</v>
      </c>
      <c r="K240" t="s">
        <v>137</v>
      </c>
      <c r="L240" t="s">
        <v>78</v>
      </c>
      <c r="M240" t="s">
        <v>21</v>
      </c>
      <c r="N240" t="s">
        <v>1183</v>
      </c>
      <c r="O240" t="s">
        <v>1938</v>
      </c>
      <c r="P240" t="s">
        <v>2100</v>
      </c>
      <c r="Q240" t="s">
        <v>6</v>
      </c>
      <c r="R240" t="s">
        <v>43</v>
      </c>
      <c r="S240" t="s">
        <v>1184</v>
      </c>
      <c r="T240" t="s">
        <v>1995</v>
      </c>
      <c r="U240">
        <v>10</v>
      </c>
      <c r="V240">
        <v>2.88</v>
      </c>
      <c r="W240">
        <v>28.8</v>
      </c>
      <c r="X240">
        <v>0</v>
      </c>
      <c r="Y240">
        <v>0</v>
      </c>
      <c r="Z240">
        <v>5.1840000000000002</v>
      </c>
      <c r="AA240">
        <v>0</v>
      </c>
      <c r="AB240">
        <v>0</v>
      </c>
      <c r="AC240">
        <v>33.984000000000002</v>
      </c>
      <c r="AD240">
        <v>0</v>
      </c>
      <c r="AE240">
        <v>0</v>
      </c>
      <c r="AF240">
        <v>33.984000000000002</v>
      </c>
      <c r="AG240" t="s">
        <v>37</v>
      </c>
    </row>
    <row r="241" spans="1:33" x14ac:dyDescent="0.35">
      <c r="A241">
        <v>239</v>
      </c>
      <c r="B241">
        <v>282305</v>
      </c>
      <c r="C241">
        <v>328013582</v>
      </c>
      <c r="D241" t="s">
        <v>1136</v>
      </c>
      <c r="E241" t="s">
        <v>50</v>
      </c>
      <c r="F241" s="1">
        <v>46244</v>
      </c>
      <c r="G241" t="s">
        <v>697</v>
      </c>
      <c r="H241">
        <v>43844</v>
      </c>
      <c r="I241" s="1">
        <v>46241</v>
      </c>
      <c r="J241" t="s">
        <v>138</v>
      </c>
      <c r="K241" t="s">
        <v>137</v>
      </c>
      <c r="L241" t="s">
        <v>78</v>
      </c>
      <c r="M241" t="s">
        <v>21</v>
      </c>
      <c r="N241" t="s">
        <v>1180</v>
      </c>
      <c r="O241" t="s">
        <v>1949</v>
      </c>
      <c r="P241" t="s">
        <v>2101</v>
      </c>
      <c r="Q241" t="s">
        <v>6</v>
      </c>
      <c r="R241" t="s">
        <v>38</v>
      </c>
      <c r="S241" t="s">
        <v>1181</v>
      </c>
      <c r="T241" t="s">
        <v>1995</v>
      </c>
      <c r="U241">
        <v>10</v>
      </c>
      <c r="V241">
        <v>174.07</v>
      </c>
      <c r="W241" s="2">
        <v>1740.7</v>
      </c>
      <c r="X241">
        <v>0</v>
      </c>
      <c r="Y241">
        <v>0</v>
      </c>
      <c r="Z241">
        <v>313.32600000000002</v>
      </c>
      <c r="AA241">
        <v>0</v>
      </c>
      <c r="AB241">
        <v>0</v>
      </c>
      <c r="AC241" s="2">
        <v>2054.0259999999998</v>
      </c>
      <c r="AD241">
        <v>0</v>
      </c>
      <c r="AE241">
        <v>0</v>
      </c>
      <c r="AF241" s="2">
        <v>2054.0259999999998</v>
      </c>
      <c r="AG241" t="s">
        <v>37</v>
      </c>
    </row>
    <row r="242" spans="1:33" x14ac:dyDescent="0.35">
      <c r="A242">
        <v>240</v>
      </c>
      <c r="B242">
        <v>282305</v>
      </c>
      <c r="C242">
        <v>328013582</v>
      </c>
      <c r="D242" t="s">
        <v>1136</v>
      </c>
      <c r="E242" t="s">
        <v>50</v>
      </c>
      <c r="F242" s="1">
        <v>46244</v>
      </c>
      <c r="G242" t="s">
        <v>697</v>
      </c>
      <c r="H242">
        <v>43844</v>
      </c>
      <c r="I242" s="1">
        <v>46241</v>
      </c>
      <c r="J242" t="s">
        <v>138</v>
      </c>
      <c r="K242" t="s">
        <v>137</v>
      </c>
      <c r="L242" t="s">
        <v>78</v>
      </c>
      <c r="M242" t="s">
        <v>21</v>
      </c>
      <c r="N242" t="s">
        <v>1189</v>
      </c>
      <c r="O242" t="s">
        <v>1949</v>
      </c>
      <c r="P242" t="s">
        <v>2102</v>
      </c>
      <c r="Q242" t="s">
        <v>6</v>
      </c>
      <c r="R242" t="s">
        <v>924</v>
      </c>
      <c r="S242" t="s">
        <v>1190</v>
      </c>
      <c r="T242" t="s">
        <v>1995</v>
      </c>
      <c r="U242">
        <v>20</v>
      </c>
      <c r="V242">
        <v>43.67</v>
      </c>
      <c r="W242">
        <v>873.4</v>
      </c>
      <c r="X242">
        <v>0</v>
      </c>
      <c r="Y242">
        <v>0</v>
      </c>
      <c r="Z242">
        <v>157.21199999999999</v>
      </c>
      <c r="AA242">
        <v>0</v>
      </c>
      <c r="AB242">
        <v>0</v>
      </c>
      <c r="AC242" s="2">
        <v>1030.6120000000001</v>
      </c>
      <c r="AD242">
        <v>0</v>
      </c>
      <c r="AE242">
        <v>0</v>
      </c>
      <c r="AF242" s="2">
        <v>1030.6120000000001</v>
      </c>
      <c r="AG242" t="s">
        <v>37</v>
      </c>
    </row>
    <row r="243" spans="1:33" x14ac:dyDescent="0.35">
      <c r="A243">
        <v>241</v>
      </c>
      <c r="B243">
        <v>282305</v>
      </c>
      <c r="C243">
        <v>328013582</v>
      </c>
      <c r="D243" t="s">
        <v>1136</v>
      </c>
      <c r="E243" t="s">
        <v>50</v>
      </c>
      <c r="F243" s="1">
        <v>46244</v>
      </c>
      <c r="G243" t="s">
        <v>697</v>
      </c>
      <c r="H243">
        <v>43844</v>
      </c>
      <c r="I243" s="1">
        <v>46241</v>
      </c>
      <c r="J243" t="s">
        <v>138</v>
      </c>
      <c r="K243" t="s">
        <v>137</v>
      </c>
      <c r="L243" t="s">
        <v>78</v>
      </c>
      <c r="M243" t="s">
        <v>21</v>
      </c>
      <c r="N243" t="s">
        <v>1209</v>
      </c>
      <c r="O243" t="s">
        <v>1938</v>
      </c>
      <c r="P243" t="s">
        <v>2103</v>
      </c>
      <c r="Q243" t="s">
        <v>6</v>
      </c>
      <c r="R243" t="s">
        <v>740</v>
      </c>
      <c r="S243" t="s">
        <v>1210</v>
      </c>
      <c r="T243" t="s">
        <v>1995</v>
      </c>
      <c r="U243">
        <v>20</v>
      </c>
      <c r="V243">
        <v>0.93</v>
      </c>
      <c r="W243">
        <v>18.600000000000001</v>
      </c>
      <c r="X243">
        <v>0</v>
      </c>
      <c r="Y243">
        <v>0</v>
      </c>
      <c r="Z243">
        <v>3.3479999999999999</v>
      </c>
      <c r="AA243">
        <v>0</v>
      </c>
      <c r="AB243">
        <v>0</v>
      </c>
      <c r="AC243">
        <v>21.948</v>
      </c>
      <c r="AD243">
        <v>0</v>
      </c>
      <c r="AE243">
        <v>0</v>
      </c>
      <c r="AF243">
        <v>21.948</v>
      </c>
      <c r="AG243" t="s">
        <v>37</v>
      </c>
    </row>
    <row r="244" spans="1:33" x14ac:dyDescent="0.35">
      <c r="A244">
        <v>242</v>
      </c>
      <c r="B244">
        <v>282305</v>
      </c>
      <c r="C244">
        <v>328013582</v>
      </c>
      <c r="D244" t="s">
        <v>1136</v>
      </c>
      <c r="E244" t="s">
        <v>50</v>
      </c>
      <c r="F244" s="1">
        <v>46244</v>
      </c>
      <c r="G244" t="s">
        <v>697</v>
      </c>
      <c r="H244">
        <v>43844</v>
      </c>
      <c r="I244" s="1">
        <v>46241</v>
      </c>
      <c r="J244" t="s">
        <v>138</v>
      </c>
      <c r="K244" t="s">
        <v>137</v>
      </c>
      <c r="L244" t="s">
        <v>78</v>
      </c>
      <c r="M244" t="s">
        <v>21</v>
      </c>
      <c r="N244" t="s">
        <v>1193</v>
      </c>
      <c r="O244" t="s">
        <v>1936</v>
      </c>
      <c r="P244" t="s">
        <v>2104</v>
      </c>
      <c r="Q244" t="s">
        <v>6</v>
      </c>
      <c r="R244" t="s">
        <v>660</v>
      </c>
      <c r="S244" t="s">
        <v>1194</v>
      </c>
      <c r="T244" t="s">
        <v>416</v>
      </c>
      <c r="U244">
        <v>30</v>
      </c>
      <c r="V244">
        <v>151.41</v>
      </c>
      <c r="W244" s="2">
        <v>4542.3</v>
      </c>
      <c r="X244">
        <v>0</v>
      </c>
      <c r="Y244">
        <v>0</v>
      </c>
      <c r="Z244">
        <v>817.61400000000003</v>
      </c>
      <c r="AA244">
        <v>0</v>
      </c>
      <c r="AB244">
        <v>0</v>
      </c>
      <c r="AC244" s="2">
        <v>5359.9139999999998</v>
      </c>
      <c r="AD244">
        <v>0</v>
      </c>
      <c r="AE244">
        <v>0</v>
      </c>
      <c r="AF244" s="2">
        <v>5359.9139999999998</v>
      </c>
      <c r="AG244" t="s">
        <v>37</v>
      </c>
    </row>
    <row r="245" spans="1:33" x14ac:dyDescent="0.35">
      <c r="A245">
        <v>243</v>
      </c>
      <c r="B245">
        <v>282305</v>
      </c>
      <c r="C245">
        <v>328013582</v>
      </c>
      <c r="D245" t="s">
        <v>1136</v>
      </c>
      <c r="E245" t="s">
        <v>50</v>
      </c>
      <c r="F245" s="1">
        <v>46244</v>
      </c>
      <c r="G245" t="s">
        <v>697</v>
      </c>
      <c r="H245">
        <v>43844</v>
      </c>
      <c r="I245" s="1">
        <v>46241</v>
      </c>
      <c r="J245" t="s">
        <v>138</v>
      </c>
      <c r="K245" t="s">
        <v>137</v>
      </c>
      <c r="L245" t="s">
        <v>78</v>
      </c>
      <c r="M245" t="s">
        <v>21</v>
      </c>
      <c r="N245" t="s">
        <v>1147</v>
      </c>
      <c r="O245" t="s">
        <v>1938</v>
      </c>
      <c r="P245" t="s">
        <v>2105</v>
      </c>
      <c r="Q245" t="s">
        <v>6</v>
      </c>
      <c r="R245" t="s">
        <v>43</v>
      </c>
      <c r="S245" t="s">
        <v>1148</v>
      </c>
      <c r="T245" t="s">
        <v>1995</v>
      </c>
      <c r="U245">
        <v>60</v>
      </c>
      <c r="V245">
        <v>3.5</v>
      </c>
      <c r="W245">
        <v>210</v>
      </c>
      <c r="X245">
        <v>0</v>
      </c>
      <c r="Y245">
        <v>0</v>
      </c>
      <c r="Z245">
        <v>37.799999999999997</v>
      </c>
      <c r="AA245">
        <v>0</v>
      </c>
      <c r="AB245">
        <v>0</v>
      </c>
      <c r="AC245">
        <v>247.8</v>
      </c>
      <c r="AD245">
        <v>0</v>
      </c>
      <c r="AE245">
        <v>0</v>
      </c>
      <c r="AF245">
        <v>247.8</v>
      </c>
      <c r="AG245" t="s">
        <v>37</v>
      </c>
    </row>
    <row r="246" spans="1:33" x14ac:dyDescent="0.35">
      <c r="A246">
        <v>244</v>
      </c>
      <c r="B246">
        <v>282305</v>
      </c>
      <c r="C246">
        <v>328013582</v>
      </c>
      <c r="D246" t="s">
        <v>1136</v>
      </c>
      <c r="E246" t="s">
        <v>50</v>
      </c>
      <c r="F246" s="1">
        <v>46244</v>
      </c>
      <c r="G246" t="s">
        <v>697</v>
      </c>
      <c r="H246">
        <v>43844</v>
      </c>
      <c r="I246" s="1">
        <v>46241</v>
      </c>
      <c r="J246" t="s">
        <v>138</v>
      </c>
      <c r="K246" t="s">
        <v>137</v>
      </c>
      <c r="L246" t="s">
        <v>78</v>
      </c>
      <c r="M246" t="s">
        <v>21</v>
      </c>
      <c r="N246" t="s">
        <v>1156</v>
      </c>
      <c r="O246" t="s">
        <v>1932</v>
      </c>
      <c r="P246" t="s">
        <v>2106</v>
      </c>
      <c r="Q246" t="s">
        <v>6</v>
      </c>
      <c r="R246" t="s">
        <v>768</v>
      </c>
      <c r="S246" t="s">
        <v>1157</v>
      </c>
      <c r="T246" t="s">
        <v>2001</v>
      </c>
      <c r="U246">
        <v>10</v>
      </c>
      <c r="V246">
        <v>42.44</v>
      </c>
      <c r="W246">
        <v>424.4</v>
      </c>
      <c r="X246">
        <v>0</v>
      </c>
      <c r="Y246">
        <v>0</v>
      </c>
      <c r="Z246">
        <v>76.391999999999996</v>
      </c>
      <c r="AA246">
        <v>0</v>
      </c>
      <c r="AB246">
        <v>0</v>
      </c>
      <c r="AC246">
        <v>500.79199999999997</v>
      </c>
      <c r="AD246">
        <v>0</v>
      </c>
      <c r="AE246">
        <v>0</v>
      </c>
      <c r="AF246">
        <v>500.79199999999997</v>
      </c>
      <c r="AG246" t="s">
        <v>37</v>
      </c>
    </row>
    <row r="247" spans="1:33" x14ac:dyDescent="0.35">
      <c r="A247">
        <v>245</v>
      </c>
      <c r="B247">
        <v>282305</v>
      </c>
      <c r="C247">
        <v>328013582</v>
      </c>
      <c r="D247" t="s">
        <v>1136</v>
      </c>
      <c r="E247" t="s">
        <v>50</v>
      </c>
      <c r="F247" s="1">
        <v>46244</v>
      </c>
      <c r="G247" t="s">
        <v>697</v>
      </c>
      <c r="H247">
        <v>43844</v>
      </c>
      <c r="I247" s="1">
        <v>46241</v>
      </c>
      <c r="J247" t="s">
        <v>138</v>
      </c>
      <c r="K247" t="s">
        <v>137</v>
      </c>
      <c r="L247" t="s">
        <v>78</v>
      </c>
      <c r="M247" t="s">
        <v>21</v>
      </c>
      <c r="N247" t="s">
        <v>1155</v>
      </c>
      <c r="O247" t="s">
        <v>1977</v>
      </c>
      <c r="P247" t="s">
        <v>2107</v>
      </c>
      <c r="Q247" t="s">
        <v>6</v>
      </c>
      <c r="R247" t="s">
        <v>695</v>
      </c>
      <c r="S247">
        <v>74269244182</v>
      </c>
      <c r="T247" t="s">
        <v>1995</v>
      </c>
      <c r="U247">
        <v>20</v>
      </c>
      <c r="V247">
        <v>13.79</v>
      </c>
      <c r="W247">
        <v>275.8</v>
      </c>
      <c r="X247">
        <v>0</v>
      </c>
      <c r="Y247">
        <v>0</v>
      </c>
      <c r="Z247">
        <v>49.643999999999998</v>
      </c>
      <c r="AA247">
        <v>0</v>
      </c>
      <c r="AB247">
        <v>0</v>
      </c>
      <c r="AC247">
        <v>325.44400000000002</v>
      </c>
      <c r="AD247">
        <v>0</v>
      </c>
      <c r="AE247">
        <v>0</v>
      </c>
      <c r="AF247">
        <v>325.44400000000002</v>
      </c>
      <c r="AG247" t="s">
        <v>37</v>
      </c>
    </row>
    <row r="248" spans="1:33" x14ac:dyDescent="0.35">
      <c r="A248">
        <v>246</v>
      </c>
      <c r="B248">
        <v>282305</v>
      </c>
      <c r="C248">
        <v>328013582</v>
      </c>
      <c r="D248" t="s">
        <v>1136</v>
      </c>
      <c r="E248" t="s">
        <v>50</v>
      </c>
      <c r="F248" s="1">
        <v>46244</v>
      </c>
      <c r="G248" t="s">
        <v>697</v>
      </c>
      <c r="H248">
        <v>43844</v>
      </c>
      <c r="I248" s="1">
        <v>46241</v>
      </c>
      <c r="J248" t="s">
        <v>138</v>
      </c>
      <c r="K248" t="s">
        <v>137</v>
      </c>
      <c r="L248" t="s">
        <v>78</v>
      </c>
      <c r="M248" t="s">
        <v>21</v>
      </c>
      <c r="N248" t="s">
        <v>1168</v>
      </c>
      <c r="O248" t="s">
        <v>1949</v>
      </c>
      <c r="P248" t="s">
        <v>2108</v>
      </c>
      <c r="Q248" t="s">
        <v>6</v>
      </c>
      <c r="R248" t="s">
        <v>924</v>
      </c>
      <c r="S248" t="s">
        <v>1169</v>
      </c>
      <c r="T248" t="s">
        <v>1995</v>
      </c>
      <c r="U248">
        <v>30</v>
      </c>
      <c r="V248">
        <v>7.83</v>
      </c>
      <c r="W248">
        <v>234.9</v>
      </c>
      <c r="X248">
        <v>0</v>
      </c>
      <c r="Y248">
        <v>0</v>
      </c>
      <c r="Z248">
        <v>42.281999999999996</v>
      </c>
      <c r="AA248">
        <v>0</v>
      </c>
      <c r="AB248">
        <v>0</v>
      </c>
      <c r="AC248">
        <v>277.18200000000002</v>
      </c>
      <c r="AD248">
        <v>0</v>
      </c>
      <c r="AE248">
        <v>0</v>
      </c>
      <c r="AF248">
        <v>277.18200000000002</v>
      </c>
      <c r="AG248" t="s">
        <v>37</v>
      </c>
    </row>
    <row r="249" spans="1:33" x14ac:dyDescent="0.35">
      <c r="A249">
        <v>247</v>
      </c>
      <c r="B249">
        <v>282305</v>
      </c>
      <c r="C249">
        <v>328013582</v>
      </c>
      <c r="D249" t="s">
        <v>1136</v>
      </c>
      <c r="E249" t="s">
        <v>50</v>
      </c>
      <c r="F249" s="1">
        <v>46244</v>
      </c>
      <c r="G249" t="s">
        <v>697</v>
      </c>
      <c r="H249">
        <v>43844</v>
      </c>
      <c r="I249" s="1">
        <v>46241</v>
      </c>
      <c r="J249" t="s">
        <v>138</v>
      </c>
      <c r="K249" t="s">
        <v>137</v>
      </c>
      <c r="L249" t="s">
        <v>78</v>
      </c>
      <c r="M249" t="s">
        <v>21</v>
      </c>
      <c r="N249" t="s">
        <v>1141</v>
      </c>
      <c r="O249" t="s">
        <v>2028</v>
      </c>
      <c r="P249" t="s">
        <v>2109</v>
      </c>
      <c r="Q249" t="s">
        <v>6</v>
      </c>
      <c r="R249" t="s">
        <v>38</v>
      </c>
      <c r="S249" t="s">
        <v>1142</v>
      </c>
      <c r="T249" t="s">
        <v>1995</v>
      </c>
      <c r="U249">
        <v>20</v>
      </c>
      <c r="V249">
        <v>148.32</v>
      </c>
      <c r="W249" s="2">
        <v>2966.4</v>
      </c>
      <c r="X249">
        <v>0</v>
      </c>
      <c r="Y249">
        <v>0</v>
      </c>
      <c r="Z249">
        <v>533.952</v>
      </c>
      <c r="AA249">
        <v>0</v>
      </c>
      <c r="AB249">
        <v>0</v>
      </c>
      <c r="AC249" s="2">
        <v>3500.3519999999999</v>
      </c>
      <c r="AD249">
        <v>0</v>
      </c>
      <c r="AE249">
        <v>0</v>
      </c>
      <c r="AF249" s="2">
        <v>3500.3519999999999</v>
      </c>
      <c r="AG249" t="s">
        <v>37</v>
      </c>
    </row>
    <row r="250" spans="1:33" x14ac:dyDescent="0.35">
      <c r="A250">
        <v>248</v>
      </c>
      <c r="B250">
        <v>282316</v>
      </c>
      <c r="C250">
        <v>328013591</v>
      </c>
      <c r="D250" t="s">
        <v>1211</v>
      </c>
      <c r="E250" t="s">
        <v>50</v>
      </c>
      <c r="F250" s="1">
        <v>46244</v>
      </c>
      <c r="G250" t="s">
        <v>954</v>
      </c>
      <c r="H250" t="s">
        <v>1212</v>
      </c>
      <c r="I250" s="1">
        <v>46231</v>
      </c>
      <c r="J250" t="s">
        <v>138</v>
      </c>
      <c r="K250" t="s">
        <v>1279</v>
      </c>
      <c r="L250" t="s">
        <v>12</v>
      </c>
      <c r="M250" t="s">
        <v>21</v>
      </c>
      <c r="N250" t="s">
        <v>1215</v>
      </c>
      <c r="O250" t="s">
        <v>1935</v>
      </c>
      <c r="Q250" t="s">
        <v>6</v>
      </c>
      <c r="R250" t="s">
        <v>1216</v>
      </c>
      <c r="S250" t="s">
        <v>1217</v>
      </c>
      <c r="T250" t="s">
        <v>1995</v>
      </c>
      <c r="U250">
        <v>25</v>
      </c>
      <c r="V250">
        <v>258.06</v>
      </c>
      <c r="W250" s="2">
        <v>6451.5</v>
      </c>
      <c r="X250">
        <v>0</v>
      </c>
      <c r="Y250">
        <v>0</v>
      </c>
      <c r="Z250" s="2">
        <v>1161.27</v>
      </c>
      <c r="AA250">
        <v>0</v>
      </c>
      <c r="AB250">
        <v>0</v>
      </c>
      <c r="AC250" s="2">
        <v>7612.77</v>
      </c>
      <c r="AD250">
        <v>0</v>
      </c>
      <c r="AE250">
        <v>0</v>
      </c>
      <c r="AF250" s="2">
        <v>7612.77</v>
      </c>
      <c r="AG250" t="s">
        <v>37</v>
      </c>
    </row>
    <row r="251" spans="1:33" x14ac:dyDescent="0.35">
      <c r="A251">
        <v>249</v>
      </c>
      <c r="B251">
        <v>282316</v>
      </c>
      <c r="C251">
        <v>328013591</v>
      </c>
      <c r="D251" t="s">
        <v>1211</v>
      </c>
      <c r="E251" t="s">
        <v>50</v>
      </c>
      <c r="F251" s="1">
        <v>46244</v>
      </c>
      <c r="G251" t="s">
        <v>954</v>
      </c>
      <c r="H251" t="s">
        <v>1212</v>
      </c>
      <c r="I251" s="1">
        <v>46231</v>
      </c>
      <c r="J251" t="s">
        <v>138</v>
      </c>
      <c r="K251" t="s">
        <v>1279</v>
      </c>
      <c r="L251" t="s">
        <v>12</v>
      </c>
      <c r="M251" t="s">
        <v>21</v>
      </c>
      <c r="N251" t="s">
        <v>1213</v>
      </c>
      <c r="O251" t="s">
        <v>1936</v>
      </c>
      <c r="Q251" t="s">
        <v>6</v>
      </c>
      <c r="R251" t="s">
        <v>915</v>
      </c>
      <c r="S251" t="s">
        <v>1214</v>
      </c>
      <c r="T251" t="s">
        <v>416</v>
      </c>
      <c r="U251">
        <v>11</v>
      </c>
      <c r="V251">
        <v>37.130000000000003</v>
      </c>
      <c r="W251">
        <v>408.43</v>
      </c>
      <c r="X251">
        <v>0</v>
      </c>
      <c r="Y251">
        <v>0</v>
      </c>
      <c r="Z251">
        <v>73.517399999999995</v>
      </c>
      <c r="AA251">
        <v>0</v>
      </c>
      <c r="AB251">
        <v>0</v>
      </c>
      <c r="AC251">
        <v>481.94740000000002</v>
      </c>
      <c r="AD251">
        <v>0</v>
      </c>
      <c r="AE251">
        <v>0</v>
      </c>
      <c r="AF251">
        <v>481.94740000000002</v>
      </c>
      <c r="AG251" t="s">
        <v>37</v>
      </c>
    </row>
    <row r="252" spans="1:33" x14ac:dyDescent="0.35">
      <c r="A252">
        <v>250</v>
      </c>
      <c r="B252">
        <v>282333</v>
      </c>
      <c r="C252">
        <v>328013608</v>
      </c>
      <c r="D252" t="s">
        <v>1218</v>
      </c>
      <c r="E252" t="s">
        <v>50</v>
      </c>
      <c r="F252" s="1">
        <v>46244</v>
      </c>
      <c r="G252" t="s">
        <v>1043</v>
      </c>
      <c r="H252" t="s">
        <v>1219</v>
      </c>
      <c r="I252" s="1">
        <v>46234</v>
      </c>
      <c r="J252" t="s">
        <v>138</v>
      </c>
      <c r="K252" t="s">
        <v>137</v>
      </c>
      <c r="L252" t="s">
        <v>11</v>
      </c>
      <c r="M252" t="s">
        <v>24</v>
      </c>
      <c r="N252" t="s">
        <v>1220</v>
      </c>
      <c r="O252" t="s">
        <v>1996</v>
      </c>
      <c r="Q252" t="s">
        <v>6</v>
      </c>
      <c r="R252" t="s">
        <v>47</v>
      </c>
      <c r="S252" t="s">
        <v>1221</v>
      </c>
      <c r="T252" t="s">
        <v>1994</v>
      </c>
      <c r="U252">
        <v>50</v>
      </c>
      <c r="V252">
        <v>51.64</v>
      </c>
      <c r="W252" s="2">
        <v>2582</v>
      </c>
      <c r="X252">
        <v>0</v>
      </c>
      <c r="Y252">
        <v>0</v>
      </c>
      <c r="Z252">
        <v>464.76</v>
      </c>
      <c r="AA252">
        <v>0</v>
      </c>
      <c r="AB252">
        <v>0</v>
      </c>
      <c r="AC252" s="2">
        <v>3046.76</v>
      </c>
      <c r="AD252">
        <v>0</v>
      </c>
      <c r="AE252">
        <v>0</v>
      </c>
      <c r="AF252" s="2">
        <v>3046.76</v>
      </c>
      <c r="AG252" t="s">
        <v>37</v>
      </c>
    </row>
    <row r="253" spans="1:33" x14ac:dyDescent="0.35">
      <c r="A253">
        <v>251</v>
      </c>
      <c r="B253">
        <v>282340</v>
      </c>
      <c r="C253">
        <v>328013615</v>
      </c>
      <c r="D253" t="s">
        <v>1222</v>
      </c>
      <c r="E253" t="s">
        <v>50</v>
      </c>
      <c r="F253" s="1">
        <v>46244</v>
      </c>
      <c r="G253" t="s">
        <v>1223</v>
      </c>
      <c r="H253" t="s">
        <v>123</v>
      </c>
      <c r="I253" s="1">
        <v>46237</v>
      </c>
      <c r="J253" t="s">
        <v>138</v>
      </c>
      <c r="K253" t="s">
        <v>1278</v>
      </c>
      <c r="L253" t="s">
        <v>12</v>
      </c>
      <c r="M253" t="s">
        <v>21</v>
      </c>
      <c r="N253" t="s">
        <v>1224</v>
      </c>
      <c r="O253" t="s">
        <v>1936</v>
      </c>
      <c r="Q253" t="s">
        <v>6</v>
      </c>
      <c r="R253" t="s">
        <v>660</v>
      </c>
      <c r="S253" t="s">
        <v>1225</v>
      </c>
      <c r="T253" t="s">
        <v>416</v>
      </c>
      <c r="U253">
        <v>100</v>
      </c>
      <c r="V253">
        <v>876.96</v>
      </c>
      <c r="W253" s="2">
        <v>87696</v>
      </c>
      <c r="X253">
        <v>0</v>
      </c>
      <c r="Y253">
        <v>0</v>
      </c>
      <c r="Z253" s="2">
        <v>15785.28</v>
      </c>
      <c r="AA253">
        <v>0</v>
      </c>
      <c r="AB253">
        <v>0</v>
      </c>
      <c r="AC253" s="2">
        <v>103481.28</v>
      </c>
      <c r="AD253">
        <v>0</v>
      </c>
      <c r="AE253">
        <v>0</v>
      </c>
      <c r="AF253" s="2">
        <v>103481.28</v>
      </c>
      <c r="AG253" t="s">
        <v>37</v>
      </c>
    </row>
    <row r="254" spans="1:33" x14ac:dyDescent="0.35">
      <c r="A254">
        <v>252</v>
      </c>
      <c r="B254">
        <v>282342</v>
      </c>
      <c r="C254">
        <v>328013617</v>
      </c>
      <c r="D254" t="s">
        <v>1226</v>
      </c>
      <c r="E254" t="s">
        <v>50</v>
      </c>
      <c r="F254" s="1">
        <v>46244</v>
      </c>
      <c r="G254" t="s">
        <v>1227</v>
      </c>
      <c r="H254" t="s">
        <v>1228</v>
      </c>
      <c r="I254" s="1">
        <v>46227</v>
      </c>
      <c r="J254" t="s">
        <v>138</v>
      </c>
      <c r="K254" t="s">
        <v>1279</v>
      </c>
      <c r="L254" t="s">
        <v>12</v>
      </c>
      <c r="M254" t="s">
        <v>21</v>
      </c>
      <c r="N254" t="s">
        <v>1229</v>
      </c>
      <c r="O254" t="s">
        <v>2008</v>
      </c>
      <c r="Q254" t="s">
        <v>6</v>
      </c>
      <c r="R254" t="s">
        <v>660</v>
      </c>
      <c r="S254" t="s">
        <v>1230</v>
      </c>
      <c r="T254" t="s">
        <v>416</v>
      </c>
      <c r="U254">
        <v>10</v>
      </c>
      <c r="V254">
        <v>561</v>
      </c>
      <c r="W254" s="2">
        <v>5610</v>
      </c>
      <c r="X254">
        <v>0</v>
      </c>
      <c r="Y254">
        <v>0</v>
      </c>
      <c r="Z254" s="2">
        <v>1009.8</v>
      </c>
      <c r="AA254">
        <v>0</v>
      </c>
      <c r="AB254">
        <v>0</v>
      </c>
      <c r="AC254" s="2">
        <v>6619.8</v>
      </c>
      <c r="AD254">
        <v>0</v>
      </c>
      <c r="AE254">
        <v>0</v>
      </c>
      <c r="AF254" s="2">
        <v>6619.8</v>
      </c>
      <c r="AG254" t="s">
        <v>37</v>
      </c>
    </row>
    <row r="255" spans="1:33" x14ac:dyDescent="0.35">
      <c r="A255">
        <v>253</v>
      </c>
      <c r="B255">
        <v>282343</v>
      </c>
      <c r="C255">
        <v>328013618</v>
      </c>
      <c r="D255" t="s">
        <v>1231</v>
      </c>
      <c r="E255" t="s">
        <v>50</v>
      </c>
      <c r="F255" s="1">
        <v>46244</v>
      </c>
      <c r="G255" t="s">
        <v>1127</v>
      </c>
      <c r="H255" t="s">
        <v>1232</v>
      </c>
      <c r="I255" s="1">
        <v>46235</v>
      </c>
      <c r="J255" t="s">
        <v>138</v>
      </c>
      <c r="K255" t="s">
        <v>1279</v>
      </c>
      <c r="L255" t="s">
        <v>12</v>
      </c>
      <c r="M255" t="s">
        <v>21</v>
      </c>
      <c r="N255" t="s">
        <v>1233</v>
      </c>
      <c r="O255" t="s">
        <v>1950</v>
      </c>
      <c r="P255" t="s">
        <v>2110</v>
      </c>
      <c r="Q255" t="s">
        <v>6</v>
      </c>
      <c r="R255" t="s">
        <v>1234</v>
      </c>
      <c r="S255" t="s">
        <v>1235</v>
      </c>
      <c r="T255" t="s">
        <v>1997</v>
      </c>
      <c r="U255">
        <v>25</v>
      </c>
      <c r="V255">
        <v>61.72</v>
      </c>
      <c r="W255" s="2">
        <v>1543</v>
      </c>
      <c r="X255">
        <v>0</v>
      </c>
      <c r="Y255">
        <v>0</v>
      </c>
      <c r="Z255">
        <v>277.74</v>
      </c>
      <c r="AA255">
        <v>0</v>
      </c>
      <c r="AB255">
        <v>0</v>
      </c>
      <c r="AC255" s="2">
        <v>1820.74</v>
      </c>
      <c r="AD255">
        <v>0</v>
      </c>
      <c r="AE255">
        <v>0</v>
      </c>
      <c r="AF255" s="2">
        <v>1820.74</v>
      </c>
      <c r="AG255" t="s">
        <v>37</v>
      </c>
    </row>
    <row r="256" spans="1:33" x14ac:dyDescent="0.35">
      <c r="A256">
        <v>254</v>
      </c>
      <c r="B256">
        <v>282359</v>
      </c>
      <c r="C256">
        <v>328013634</v>
      </c>
      <c r="D256" t="s">
        <v>1236</v>
      </c>
      <c r="E256" t="s">
        <v>50</v>
      </c>
      <c r="F256" s="1">
        <v>46244</v>
      </c>
      <c r="G256" t="s">
        <v>1227</v>
      </c>
      <c r="H256" t="s">
        <v>1237</v>
      </c>
      <c r="I256" s="1">
        <v>46237</v>
      </c>
      <c r="J256" t="s">
        <v>138</v>
      </c>
      <c r="K256" t="s">
        <v>1279</v>
      </c>
      <c r="L256" t="s">
        <v>12</v>
      </c>
      <c r="M256" t="s">
        <v>21</v>
      </c>
      <c r="N256" t="s">
        <v>1238</v>
      </c>
      <c r="O256" t="s">
        <v>2111</v>
      </c>
      <c r="Q256" t="s">
        <v>6</v>
      </c>
      <c r="R256" t="s">
        <v>298</v>
      </c>
      <c r="S256" t="s">
        <v>1239</v>
      </c>
      <c r="T256" t="s">
        <v>417</v>
      </c>
      <c r="U256">
        <v>2</v>
      </c>
      <c r="V256" s="2">
        <v>3503.36</v>
      </c>
      <c r="W256" s="2">
        <v>7006.72</v>
      </c>
      <c r="X256">
        <v>0</v>
      </c>
      <c r="Y256">
        <v>0</v>
      </c>
      <c r="Z256" s="2">
        <v>1261.2095999999999</v>
      </c>
      <c r="AA256">
        <v>0</v>
      </c>
      <c r="AB256">
        <v>0</v>
      </c>
      <c r="AC256" s="2">
        <v>8267.9295999999995</v>
      </c>
      <c r="AD256">
        <v>0</v>
      </c>
      <c r="AE256">
        <v>0</v>
      </c>
      <c r="AF256" s="2">
        <v>8267.9295999999995</v>
      </c>
      <c r="AG256" t="s">
        <v>37</v>
      </c>
    </row>
    <row r="257" spans="1:33" x14ac:dyDescent="0.35">
      <c r="A257">
        <v>255</v>
      </c>
      <c r="B257">
        <v>282359</v>
      </c>
      <c r="C257">
        <v>328013634</v>
      </c>
      <c r="D257" t="s">
        <v>1236</v>
      </c>
      <c r="E257" t="s">
        <v>50</v>
      </c>
      <c r="F257" s="1">
        <v>46244</v>
      </c>
      <c r="G257" t="s">
        <v>1227</v>
      </c>
      <c r="H257" t="s">
        <v>1237</v>
      </c>
      <c r="I257" s="1">
        <v>46237</v>
      </c>
      <c r="J257" t="s">
        <v>138</v>
      </c>
      <c r="K257" t="s">
        <v>1279</v>
      </c>
      <c r="L257" t="s">
        <v>12</v>
      </c>
      <c r="M257" t="s">
        <v>21</v>
      </c>
      <c r="N257" t="s">
        <v>1240</v>
      </c>
      <c r="O257" t="s">
        <v>2111</v>
      </c>
      <c r="Q257" t="s">
        <v>6</v>
      </c>
      <c r="R257" t="s">
        <v>298</v>
      </c>
      <c r="S257" t="s">
        <v>1241</v>
      </c>
      <c r="T257" t="s">
        <v>417</v>
      </c>
      <c r="U257">
        <v>2</v>
      </c>
      <c r="V257" s="2">
        <v>2723.84</v>
      </c>
      <c r="W257" s="2">
        <v>5447.68</v>
      </c>
      <c r="X257">
        <v>0</v>
      </c>
      <c r="Y257">
        <v>0</v>
      </c>
      <c r="Z257">
        <v>980.58240000000001</v>
      </c>
      <c r="AA257">
        <v>0</v>
      </c>
      <c r="AB257">
        <v>0</v>
      </c>
      <c r="AC257" s="2">
        <v>6428.2623999999996</v>
      </c>
      <c r="AD257">
        <v>0</v>
      </c>
      <c r="AE257">
        <v>0</v>
      </c>
      <c r="AF257" s="2">
        <v>6428.2623999999996</v>
      </c>
      <c r="AG257" t="s">
        <v>37</v>
      </c>
    </row>
    <row r="258" spans="1:33" x14ac:dyDescent="0.35">
      <c r="A258">
        <v>256</v>
      </c>
      <c r="B258">
        <v>282360</v>
      </c>
      <c r="C258">
        <v>328013635</v>
      </c>
      <c r="D258" t="s">
        <v>1242</v>
      </c>
      <c r="E258" t="s">
        <v>50</v>
      </c>
      <c r="F258" s="1">
        <v>46244</v>
      </c>
      <c r="G258" t="s">
        <v>48</v>
      </c>
      <c r="H258">
        <v>14124090</v>
      </c>
      <c r="I258" s="1">
        <v>46235</v>
      </c>
      <c r="J258" t="s">
        <v>138</v>
      </c>
      <c r="K258" t="s">
        <v>137</v>
      </c>
      <c r="L258" t="s">
        <v>15</v>
      </c>
      <c r="M258" t="s">
        <v>14</v>
      </c>
      <c r="N258" t="s">
        <v>1243</v>
      </c>
      <c r="O258" t="s">
        <v>2112</v>
      </c>
      <c r="Q258" t="s">
        <v>6</v>
      </c>
      <c r="R258" t="s">
        <v>952</v>
      </c>
      <c r="S258">
        <v>1778890</v>
      </c>
      <c r="T258" t="s">
        <v>1997</v>
      </c>
      <c r="U258">
        <v>50</v>
      </c>
      <c r="V258">
        <v>368.38</v>
      </c>
      <c r="W258" s="2">
        <v>18419</v>
      </c>
      <c r="X258">
        <v>0</v>
      </c>
      <c r="Y258">
        <v>0</v>
      </c>
      <c r="Z258" s="2">
        <v>3315.42</v>
      </c>
      <c r="AA258">
        <v>0</v>
      </c>
      <c r="AB258">
        <v>0</v>
      </c>
      <c r="AC258" s="2">
        <v>21734.42</v>
      </c>
      <c r="AD258">
        <v>0</v>
      </c>
      <c r="AE258">
        <v>0</v>
      </c>
      <c r="AF258" s="2">
        <v>21734.42</v>
      </c>
      <c r="AG258" t="s">
        <v>37</v>
      </c>
    </row>
    <row r="259" spans="1:33" x14ac:dyDescent="0.35">
      <c r="A259">
        <v>257</v>
      </c>
      <c r="B259">
        <v>282374</v>
      </c>
      <c r="C259">
        <v>328013636</v>
      </c>
      <c r="D259" t="s">
        <v>1345</v>
      </c>
      <c r="E259" t="s">
        <v>50</v>
      </c>
      <c r="F259" s="1">
        <v>46245</v>
      </c>
      <c r="G259" t="s">
        <v>954</v>
      </c>
      <c r="H259">
        <v>18021</v>
      </c>
      <c r="I259" s="1">
        <v>46236</v>
      </c>
      <c r="J259" t="s">
        <v>138</v>
      </c>
      <c r="K259" t="s">
        <v>1279</v>
      </c>
      <c r="L259" t="s">
        <v>12</v>
      </c>
      <c r="M259" t="s">
        <v>21</v>
      </c>
      <c r="N259" t="s">
        <v>1348</v>
      </c>
      <c r="O259" t="s">
        <v>1932</v>
      </c>
      <c r="Q259" t="s">
        <v>6</v>
      </c>
      <c r="R259" t="s">
        <v>915</v>
      </c>
      <c r="S259" t="s">
        <v>1349</v>
      </c>
      <c r="T259" t="s">
        <v>2001</v>
      </c>
      <c r="U259">
        <v>45</v>
      </c>
      <c r="V259">
        <v>9.08</v>
      </c>
      <c r="W259">
        <v>408.6</v>
      </c>
      <c r="X259">
        <v>0</v>
      </c>
      <c r="Y259">
        <v>0</v>
      </c>
      <c r="Z259">
        <v>73.548000000000002</v>
      </c>
      <c r="AA259">
        <v>0</v>
      </c>
      <c r="AB259">
        <v>0</v>
      </c>
      <c r="AC259">
        <v>482.14800000000002</v>
      </c>
      <c r="AD259">
        <v>0</v>
      </c>
      <c r="AE259">
        <v>0</v>
      </c>
      <c r="AF259">
        <v>482.14800000000002</v>
      </c>
      <c r="AG259" t="s">
        <v>37</v>
      </c>
    </row>
    <row r="260" spans="1:33" x14ac:dyDescent="0.35">
      <c r="A260">
        <v>258</v>
      </c>
      <c r="B260">
        <v>282374</v>
      </c>
      <c r="C260">
        <v>328013636</v>
      </c>
      <c r="D260" t="s">
        <v>1345</v>
      </c>
      <c r="E260" t="s">
        <v>50</v>
      </c>
      <c r="F260" s="1">
        <v>46245</v>
      </c>
      <c r="G260" t="s">
        <v>954</v>
      </c>
      <c r="H260">
        <v>18021</v>
      </c>
      <c r="I260" s="1">
        <v>46236</v>
      </c>
      <c r="J260" t="s">
        <v>138</v>
      </c>
      <c r="K260" t="s">
        <v>1279</v>
      </c>
      <c r="L260" t="s">
        <v>12</v>
      </c>
      <c r="M260" t="s">
        <v>21</v>
      </c>
      <c r="N260" t="s">
        <v>1346</v>
      </c>
      <c r="O260" t="s">
        <v>1932</v>
      </c>
      <c r="Q260" t="s">
        <v>6</v>
      </c>
      <c r="R260" t="s">
        <v>915</v>
      </c>
      <c r="S260" t="s">
        <v>1347</v>
      </c>
      <c r="T260" t="s">
        <v>2001</v>
      </c>
      <c r="U260">
        <v>85</v>
      </c>
      <c r="V260">
        <v>23.77</v>
      </c>
      <c r="W260" s="2">
        <v>2020.45</v>
      </c>
      <c r="X260">
        <v>0</v>
      </c>
      <c r="Y260">
        <v>0</v>
      </c>
      <c r="Z260">
        <v>363.68099999999998</v>
      </c>
      <c r="AA260">
        <v>0</v>
      </c>
      <c r="AB260">
        <v>0</v>
      </c>
      <c r="AC260" s="2">
        <v>2384.1309999999999</v>
      </c>
      <c r="AD260">
        <v>0</v>
      </c>
      <c r="AE260">
        <v>0</v>
      </c>
      <c r="AF260" s="2">
        <v>2384.1309999999999</v>
      </c>
      <c r="AG260" t="s">
        <v>37</v>
      </c>
    </row>
    <row r="261" spans="1:33" x14ac:dyDescent="0.35">
      <c r="A261">
        <v>259</v>
      </c>
      <c r="B261">
        <v>282375</v>
      </c>
      <c r="C261">
        <v>328013637</v>
      </c>
      <c r="D261" t="s">
        <v>1350</v>
      </c>
      <c r="E261" t="s">
        <v>50</v>
      </c>
      <c r="F261" s="1">
        <v>46245</v>
      </c>
      <c r="G261" t="s">
        <v>92</v>
      </c>
      <c r="H261" t="s">
        <v>1351</v>
      </c>
      <c r="I261" s="1">
        <v>46235</v>
      </c>
      <c r="J261" t="s">
        <v>138</v>
      </c>
      <c r="K261" t="s">
        <v>1280</v>
      </c>
      <c r="L261" t="s">
        <v>13</v>
      </c>
      <c r="M261" t="s">
        <v>23</v>
      </c>
      <c r="N261" t="s">
        <v>1352</v>
      </c>
      <c r="O261" t="s">
        <v>1936</v>
      </c>
      <c r="Q261" t="s">
        <v>6</v>
      </c>
      <c r="R261" t="s">
        <v>915</v>
      </c>
      <c r="S261" t="s">
        <v>1353</v>
      </c>
      <c r="T261" t="s">
        <v>416</v>
      </c>
      <c r="U261">
        <v>250</v>
      </c>
      <c r="V261">
        <v>23.17</v>
      </c>
      <c r="W261" s="2">
        <v>5792.5</v>
      </c>
      <c r="X261">
        <v>0</v>
      </c>
      <c r="Y261">
        <v>0</v>
      </c>
      <c r="Z261" s="2">
        <v>1042.6500000000001</v>
      </c>
      <c r="AA261">
        <v>0</v>
      </c>
      <c r="AB261">
        <v>0</v>
      </c>
      <c r="AC261" s="2">
        <v>6835.15</v>
      </c>
      <c r="AD261">
        <v>0</v>
      </c>
      <c r="AE261">
        <v>0</v>
      </c>
      <c r="AF261" s="2">
        <v>6835.15</v>
      </c>
      <c r="AG261" t="s">
        <v>37</v>
      </c>
    </row>
    <row r="262" spans="1:33" x14ac:dyDescent="0.35">
      <c r="A262">
        <v>260</v>
      </c>
      <c r="B262">
        <v>282417</v>
      </c>
      <c r="C262">
        <v>328013675</v>
      </c>
      <c r="D262" t="s">
        <v>1354</v>
      </c>
      <c r="E262" t="s">
        <v>50</v>
      </c>
      <c r="F262" s="1">
        <v>46245</v>
      </c>
      <c r="G262" t="s">
        <v>120</v>
      </c>
      <c r="H262" t="s">
        <v>1355</v>
      </c>
      <c r="I262" s="1">
        <v>46235</v>
      </c>
      <c r="J262" t="s">
        <v>138</v>
      </c>
      <c r="K262" t="s">
        <v>137</v>
      </c>
      <c r="L262" t="s">
        <v>12</v>
      </c>
      <c r="M262" t="s">
        <v>25</v>
      </c>
      <c r="N262" t="s">
        <v>1356</v>
      </c>
      <c r="O262" t="s">
        <v>1938</v>
      </c>
      <c r="Q262" t="s">
        <v>6</v>
      </c>
      <c r="R262" t="s">
        <v>746</v>
      </c>
      <c r="S262" t="s">
        <v>1357</v>
      </c>
      <c r="T262" t="s">
        <v>1995</v>
      </c>
      <c r="U262" s="2">
        <v>5000</v>
      </c>
      <c r="V262">
        <v>1.84</v>
      </c>
      <c r="W262" s="2">
        <v>9200</v>
      </c>
      <c r="X262">
        <v>0</v>
      </c>
      <c r="Y262">
        <v>0</v>
      </c>
      <c r="Z262" s="2">
        <v>1656</v>
      </c>
      <c r="AA262">
        <v>0</v>
      </c>
      <c r="AB262">
        <v>0</v>
      </c>
      <c r="AC262" s="2">
        <v>10856</v>
      </c>
      <c r="AD262">
        <v>0</v>
      </c>
      <c r="AE262">
        <v>0</v>
      </c>
      <c r="AF262" s="2">
        <v>10856</v>
      </c>
      <c r="AG262" t="s">
        <v>37</v>
      </c>
    </row>
    <row r="263" spans="1:33" x14ac:dyDescent="0.35">
      <c r="A263">
        <v>261</v>
      </c>
      <c r="B263">
        <v>282417</v>
      </c>
      <c r="C263">
        <v>328013675</v>
      </c>
      <c r="D263" t="s">
        <v>1354</v>
      </c>
      <c r="E263" t="s">
        <v>50</v>
      </c>
      <c r="F263" s="1">
        <v>46245</v>
      </c>
      <c r="G263" t="s">
        <v>120</v>
      </c>
      <c r="H263" t="s">
        <v>1355</v>
      </c>
      <c r="I263" s="1">
        <v>46235</v>
      </c>
      <c r="J263" t="s">
        <v>138</v>
      </c>
      <c r="K263" t="s">
        <v>137</v>
      </c>
      <c r="L263" t="s">
        <v>12</v>
      </c>
      <c r="M263" t="s">
        <v>25</v>
      </c>
      <c r="N263" t="s">
        <v>1360</v>
      </c>
      <c r="O263" t="s">
        <v>1938</v>
      </c>
      <c r="Q263" t="s">
        <v>6</v>
      </c>
      <c r="R263" t="s">
        <v>43</v>
      </c>
      <c r="S263" t="s">
        <v>1361</v>
      </c>
      <c r="T263" t="s">
        <v>1995</v>
      </c>
      <c r="U263" s="2">
        <v>2016</v>
      </c>
      <c r="V263">
        <v>6.63</v>
      </c>
      <c r="W263" s="2">
        <v>13366.08</v>
      </c>
      <c r="X263">
        <v>0</v>
      </c>
      <c r="Y263">
        <v>0</v>
      </c>
      <c r="Z263" s="2">
        <v>2405.8944000000001</v>
      </c>
      <c r="AA263">
        <v>0</v>
      </c>
      <c r="AB263">
        <v>0</v>
      </c>
      <c r="AC263" s="2">
        <v>15771.974399999999</v>
      </c>
      <c r="AD263">
        <v>0</v>
      </c>
      <c r="AE263">
        <v>0</v>
      </c>
      <c r="AF263" s="2">
        <v>15771.974399999999</v>
      </c>
      <c r="AG263" t="s">
        <v>37</v>
      </c>
    </row>
    <row r="264" spans="1:33" x14ac:dyDescent="0.35">
      <c r="A264">
        <v>262</v>
      </c>
      <c r="B264">
        <v>282417</v>
      </c>
      <c r="C264">
        <v>328013675</v>
      </c>
      <c r="D264" t="s">
        <v>1354</v>
      </c>
      <c r="E264" t="s">
        <v>50</v>
      </c>
      <c r="F264" s="1">
        <v>46245</v>
      </c>
      <c r="G264" t="s">
        <v>120</v>
      </c>
      <c r="H264" t="s">
        <v>1355</v>
      </c>
      <c r="I264" s="1">
        <v>46235</v>
      </c>
      <c r="J264" t="s">
        <v>138</v>
      </c>
      <c r="K264" t="s">
        <v>137</v>
      </c>
      <c r="L264" t="s">
        <v>12</v>
      </c>
      <c r="M264" t="s">
        <v>25</v>
      </c>
      <c r="N264" t="s">
        <v>1358</v>
      </c>
      <c r="O264" t="s">
        <v>1949</v>
      </c>
      <c r="Q264" t="s">
        <v>6</v>
      </c>
      <c r="R264" t="s">
        <v>886</v>
      </c>
      <c r="S264" t="s">
        <v>1359</v>
      </c>
      <c r="T264" t="s">
        <v>1995</v>
      </c>
      <c r="U264" s="2">
        <v>4000</v>
      </c>
      <c r="V264">
        <v>1.23</v>
      </c>
      <c r="W264" s="2">
        <v>4920</v>
      </c>
      <c r="X264">
        <v>0</v>
      </c>
      <c r="Y264">
        <v>0</v>
      </c>
      <c r="Z264">
        <v>885.6</v>
      </c>
      <c r="AA264">
        <v>0</v>
      </c>
      <c r="AB264">
        <v>0</v>
      </c>
      <c r="AC264" s="2">
        <v>5805.6</v>
      </c>
      <c r="AD264">
        <v>0</v>
      </c>
      <c r="AE264">
        <v>0</v>
      </c>
      <c r="AF264" s="2">
        <v>5805.6</v>
      </c>
      <c r="AG264" t="s">
        <v>37</v>
      </c>
    </row>
    <row r="265" spans="1:33" x14ac:dyDescent="0.35">
      <c r="A265">
        <v>263</v>
      </c>
      <c r="B265">
        <v>282422</v>
      </c>
      <c r="C265">
        <v>328013678</v>
      </c>
      <c r="D265" t="s">
        <v>1362</v>
      </c>
      <c r="E265" t="s">
        <v>50</v>
      </c>
      <c r="F265" s="1">
        <v>46245</v>
      </c>
      <c r="G265" t="s">
        <v>697</v>
      </c>
      <c r="H265">
        <v>43561</v>
      </c>
      <c r="I265" s="1">
        <v>46238</v>
      </c>
      <c r="J265" t="s">
        <v>138</v>
      </c>
      <c r="K265" t="s">
        <v>137</v>
      </c>
      <c r="L265" t="s">
        <v>78</v>
      </c>
      <c r="M265" t="s">
        <v>21</v>
      </c>
      <c r="N265" t="s">
        <v>1363</v>
      </c>
      <c r="O265" t="s">
        <v>1932</v>
      </c>
      <c r="P265" t="s">
        <v>2113</v>
      </c>
      <c r="Q265" t="s">
        <v>6</v>
      </c>
      <c r="R265" t="s">
        <v>992</v>
      </c>
      <c r="S265" t="s">
        <v>1364</v>
      </c>
      <c r="T265" t="s">
        <v>2003</v>
      </c>
      <c r="U265">
        <v>10</v>
      </c>
      <c r="V265">
        <v>62.93</v>
      </c>
      <c r="W265">
        <v>629.29999999999995</v>
      </c>
      <c r="X265">
        <v>0</v>
      </c>
      <c r="Y265">
        <v>0</v>
      </c>
      <c r="Z265">
        <v>113.274</v>
      </c>
      <c r="AA265">
        <v>0</v>
      </c>
      <c r="AB265">
        <v>0</v>
      </c>
      <c r="AC265">
        <v>742.57399999999996</v>
      </c>
      <c r="AD265">
        <v>0</v>
      </c>
      <c r="AE265">
        <v>0</v>
      </c>
      <c r="AF265">
        <v>742.57399999999996</v>
      </c>
      <c r="AG265" t="s">
        <v>37</v>
      </c>
    </row>
    <row r="266" spans="1:33" x14ac:dyDescent="0.35">
      <c r="A266">
        <v>264</v>
      </c>
      <c r="B266">
        <v>282427</v>
      </c>
      <c r="C266">
        <v>328013683</v>
      </c>
      <c r="D266" t="s">
        <v>1365</v>
      </c>
      <c r="E266" t="s">
        <v>50</v>
      </c>
      <c r="F266" s="1">
        <v>46245</v>
      </c>
      <c r="G266" t="s">
        <v>48</v>
      </c>
      <c r="H266">
        <v>14124088</v>
      </c>
      <c r="I266" s="1">
        <v>46234</v>
      </c>
      <c r="J266" t="s">
        <v>138</v>
      </c>
      <c r="K266" t="s">
        <v>137</v>
      </c>
      <c r="L266" t="s">
        <v>15</v>
      </c>
      <c r="M266" t="s">
        <v>14</v>
      </c>
      <c r="N266" t="s">
        <v>297</v>
      </c>
      <c r="O266" t="s">
        <v>2005</v>
      </c>
      <c r="P266">
        <v>10310282</v>
      </c>
      <c r="Q266" t="s">
        <v>6</v>
      </c>
      <c r="R266" t="s">
        <v>298</v>
      </c>
      <c r="S266" t="s">
        <v>647</v>
      </c>
      <c r="T266" t="s">
        <v>2002</v>
      </c>
      <c r="U266">
        <v>10</v>
      </c>
      <c r="V266" s="2">
        <v>5713</v>
      </c>
      <c r="W266" s="2">
        <v>57130</v>
      </c>
      <c r="X266">
        <v>0</v>
      </c>
      <c r="Y266">
        <v>0</v>
      </c>
      <c r="Z266" s="2">
        <v>10283.4</v>
      </c>
      <c r="AA266">
        <v>0</v>
      </c>
      <c r="AB266">
        <v>0</v>
      </c>
      <c r="AC266" s="2">
        <v>67413.399999999994</v>
      </c>
      <c r="AD266">
        <v>0</v>
      </c>
      <c r="AE266">
        <v>0</v>
      </c>
      <c r="AF266" s="2">
        <v>67413.399999999994</v>
      </c>
      <c r="AG266" t="s">
        <v>37</v>
      </c>
    </row>
    <row r="267" spans="1:33" x14ac:dyDescent="0.35">
      <c r="A267">
        <v>265</v>
      </c>
      <c r="B267">
        <v>282493</v>
      </c>
      <c r="C267">
        <v>328013736</v>
      </c>
      <c r="D267" t="s">
        <v>1366</v>
      </c>
      <c r="E267" t="s">
        <v>50</v>
      </c>
      <c r="F267" s="1">
        <v>46245</v>
      </c>
      <c r="G267" t="s">
        <v>954</v>
      </c>
      <c r="H267">
        <v>18000</v>
      </c>
      <c r="I267" s="1">
        <v>46236</v>
      </c>
      <c r="J267" t="s">
        <v>138</v>
      </c>
      <c r="K267" t="s">
        <v>1279</v>
      </c>
      <c r="L267" t="s">
        <v>12</v>
      </c>
      <c r="M267" t="s">
        <v>21</v>
      </c>
      <c r="N267" t="s">
        <v>1372</v>
      </c>
      <c r="O267" t="s">
        <v>1950</v>
      </c>
      <c r="P267" t="s">
        <v>2114</v>
      </c>
      <c r="Q267" t="s">
        <v>6</v>
      </c>
      <c r="R267" t="s">
        <v>1368</v>
      </c>
      <c r="S267" t="s">
        <v>1373</v>
      </c>
      <c r="T267" t="s">
        <v>1997</v>
      </c>
      <c r="U267" s="2">
        <v>1000</v>
      </c>
      <c r="V267">
        <v>201</v>
      </c>
      <c r="W267" s="2">
        <v>201000</v>
      </c>
      <c r="X267">
        <v>0</v>
      </c>
      <c r="Y267">
        <v>0</v>
      </c>
      <c r="Z267" s="2">
        <v>36180</v>
      </c>
      <c r="AA267">
        <v>0</v>
      </c>
      <c r="AB267">
        <v>0</v>
      </c>
      <c r="AC267" s="2">
        <v>237180</v>
      </c>
      <c r="AD267">
        <v>0</v>
      </c>
      <c r="AE267">
        <v>0</v>
      </c>
      <c r="AF267" s="2">
        <v>237180</v>
      </c>
      <c r="AG267" t="s">
        <v>37</v>
      </c>
    </row>
    <row r="268" spans="1:33" x14ac:dyDescent="0.35">
      <c r="A268">
        <v>266</v>
      </c>
      <c r="B268">
        <v>282493</v>
      </c>
      <c r="C268">
        <v>328013736</v>
      </c>
      <c r="D268" t="s">
        <v>1366</v>
      </c>
      <c r="E268" t="s">
        <v>50</v>
      </c>
      <c r="F268" s="1">
        <v>46245</v>
      </c>
      <c r="G268" t="s">
        <v>954</v>
      </c>
      <c r="H268">
        <v>18000</v>
      </c>
      <c r="I268" s="1">
        <v>46236</v>
      </c>
      <c r="J268" t="s">
        <v>138</v>
      </c>
      <c r="K268" t="s">
        <v>1279</v>
      </c>
      <c r="L268" t="s">
        <v>12</v>
      </c>
      <c r="M268" t="s">
        <v>21</v>
      </c>
      <c r="N268" t="s">
        <v>1370</v>
      </c>
      <c r="O268" t="s">
        <v>1949</v>
      </c>
      <c r="P268" t="s">
        <v>2115</v>
      </c>
      <c r="Q268" t="s">
        <v>6</v>
      </c>
      <c r="R268" t="s">
        <v>699</v>
      </c>
      <c r="S268" t="s">
        <v>1371</v>
      </c>
      <c r="T268" t="s">
        <v>1995</v>
      </c>
      <c r="U268" s="2">
        <v>7250</v>
      </c>
      <c r="V268">
        <v>4.59</v>
      </c>
      <c r="W268" s="2">
        <v>33277.5</v>
      </c>
      <c r="X268">
        <v>0</v>
      </c>
      <c r="Y268">
        <v>0</v>
      </c>
      <c r="Z268" s="2">
        <v>5989.95</v>
      </c>
      <c r="AA268">
        <v>0</v>
      </c>
      <c r="AB268">
        <v>0</v>
      </c>
      <c r="AC268" s="2">
        <v>39267.449999999997</v>
      </c>
      <c r="AD268">
        <v>0</v>
      </c>
      <c r="AE268">
        <v>0</v>
      </c>
      <c r="AF268" s="2">
        <v>39267.449999999997</v>
      </c>
      <c r="AG268" t="s">
        <v>37</v>
      </c>
    </row>
    <row r="269" spans="1:33" x14ac:dyDescent="0.35">
      <c r="A269">
        <v>267</v>
      </c>
      <c r="B269">
        <v>282493</v>
      </c>
      <c r="C269">
        <v>328013736</v>
      </c>
      <c r="D269" t="s">
        <v>1366</v>
      </c>
      <c r="E269" t="s">
        <v>50</v>
      </c>
      <c r="F269" s="1">
        <v>46245</v>
      </c>
      <c r="G269" t="s">
        <v>954</v>
      </c>
      <c r="H269">
        <v>18000</v>
      </c>
      <c r="I269" s="1">
        <v>46236</v>
      </c>
      <c r="J269" t="s">
        <v>138</v>
      </c>
      <c r="K269" t="s">
        <v>1279</v>
      </c>
      <c r="L269" t="s">
        <v>12</v>
      </c>
      <c r="M269" t="s">
        <v>21</v>
      </c>
      <c r="N269" t="s">
        <v>1367</v>
      </c>
      <c r="O269" t="s">
        <v>2116</v>
      </c>
      <c r="P269" t="s">
        <v>2117</v>
      </c>
      <c r="Q269" t="s">
        <v>6</v>
      </c>
      <c r="R269" t="s">
        <v>1368</v>
      </c>
      <c r="S269" t="s">
        <v>1369</v>
      </c>
      <c r="T269" t="s">
        <v>417</v>
      </c>
      <c r="U269" s="2">
        <v>1005</v>
      </c>
      <c r="V269">
        <v>66.23</v>
      </c>
      <c r="W269" s="2">
        <v>66561.149999999994</v>
      </c>
      <c r="X269">
        <v>0</v>
      </c>
      <c r="Y269">
        <v>0</v>
      </c>
      <c r="Z269" s="2">
        <v>11981.007</v>
      </c>
      <c r="AA269">
        <v>0</v>
      </c>
      <c r="AB269">
        <v>0</v>
      </c>
      <c r="AC269" s="2">
        <v>78542.157000000007</v>
      </c>
      <c r="AD269">
        <v>0</v>
      </c>
      <c r="AE269">
        <v>0</v>
      </c>
      <c r="AF269" s="2">
        <v>78542.157000000007</v>
      </c>
      <c r="AG269" t="s">
        <v>37</v>
      </c>
    </row>
    <row r="270" spans="1:33" x14ac:dyDescent="0.35">
      <c r="A270">
        <v>268</v>
      </c>
      <c r="B270">
        <v>282532</v>
      </c>
      <c r="C270">
        <v>328013759</v>
      </c>
      <c r="D270" t="s">
        <v>1374</v>
      </c>
      <c r="E270" t="s">
        <v>50</v>
      </c>
      <c r="F270" s="1">
        <v>46246</v>
      </c>
      <c r="G270" t="s">
        <v>868</v>
      </c>
      <c r="H270" t="s">
        <v>123</v>
      </c>
      <c r="I270" s="1">
        <v>46237</v>
      </c>
      <c r="J270" t="s">
        <v>138</v>
      </c>
      <c r="K270" t="s">
        <v>1279</v>
      </c>
      <c r="L270" t="s">
        <v>12</v>
      </c>
      <c r="M270" t="s">
        <v>21</v>
      </c>
      <c r="N270" t="s">
        <v>1375</v>
      </c>
      <c r="O270" t="s">
        <v>1950</v>
      </c>
      <c r="Q270" t="s">
        <v>6</v>
      </c>
      <c r="R270" t="s">
        <v>1376</v>
      </c>
      <c r="S270" t="s">
        <v>1377</v>
      </c>
      <c r="T270" t="s">
        <v>1997</v>
      </c>
      <c r="U270">
        <v>2</v>
      </c>
      <c r="V270" s="2">
        <v>1045.6199999999999</v>
      </c>
      <c r="W270" s="2">
        <v>2091.2399999999998</v>
      </c>
      <c r="X270">
        <v>0</v>
      </c>
      <c r="Y270">
        <v>0</v>
      </c>
      <c r="Z270">
        <v>376.42320000000001</v>
      </c>
      <c r="AA270">
        <v>0</v>
      </c>
      <c r="AB270">
        <v>0</v>
      </c>
      <c r="AC270" s="2">
        <v>2467.6632</v>
      </c>
      <c r="AD270">
        <v>0</v>
      </c>
      <c r="AE270">
        <v>0</v>
      </c>
      <c r="AF270" s="2">
        <v>2467.6632</v>
      </c>
      <c r="AG270" t="s">
        <v>37</v>
      </c>
    </row>
    <row r="271" spans="1:33" x14ac:dyDescent="0.35">
      <c r="A271">
        <v>269</v>
      </c>
      <c r="B271">
        <v>282598</v>
      </c>
      <c r="C271">
        <v>328013786</v>
      </c>
      <c r="D271" t="s">
        <v>1378</v>
      </c>
      <c r="E271" t="s">
        <v>50</v>
      </c>
      <c r="F271" s="1">
        <v>46246</v>
      </c>
      <c r="G271" t="s">
        <v>1379</v>
      </c>
      <c r="H271">
        <v>4800000006</v>
      </c>
      <c r="I271" s="1">
        <v>46237</v>
      </c>
      <c r="J271" t="s">
        <v>138</v>
      </c>
      <c r="K271" t="s">
        <v>1278</v>
      </c>
      <c r="L271" t="s">
        <v>12</v>
      </c>
      <c r="M271" t="s">
        <v>21</v>
      </c>
      <c r="N271" t="s">
        <v>1406</v>
      </c>
      <c r="O271" t="s">
        <v>1949</v>
      </c>
      <c r="P271">
        <v>1000022811</v>
      </c>
      <c r="Q271" t="s">
        <v>6</v>
      </c>
      <c r="R271" t="s">
        <v>702</v>
      </c>
      <c r="S271" t="s">
        <v>1407</v>
      </c>
      <c r="T271" t="s">
        <v>1995</v>
      </c>
      <c r="U271">
        <v>830</v>
      </c>
      <c r="V271">
        <v>1.94</v>
      </c>
      <c r="W271" s="2">
        <v>1610.2</v>
      </c>
      <c r="X271">
        <v>0</v>
      </c>
      <c r="Y271">
        <v>0</v>
      </c>
      <c r="Z271">
        <v>289.83600000000001</v>
      </c>
      <c r="AA271">
        <v>0</v>
      </c>
      <c r="AB271">
        <v>0</v>
      </c>
      <c r="AC271" s="2">
        <v>1900.0360000000001</v>
      </c>
      <c r="AD271">
        <v>0</v>
      </c>
      <c r="AE271">
        <v>0</v>
      </c>
      <c r="AF271" s="2">
        <v>1900.0360000000001</v>
      </c>
      <c r="AG271" t="s">
        <v>37</v>
      </c>
    </row>
    <row r="272" spans="1:33" x14ac:dyDescent="0.35">
      <c r="A272">
        <v>270</v>
      </c>
      <c r="B272">
        <v>282598</v>
      </c>
      <c r="C272">
        <v>328013786</v>
      </c>
      <c r="D272" t="s">
        <v>1378</v>
      </c>
      <c r="E272" t="s">
        <v>50</v>
      </c>
      <c r="F272" s="1">
        <v>46246</v>
      </c>
      <c r="G272" t="s">
        <v>1379</v>
      </c>
      <c r="H272">
        <v>4800000006</v>
      </c>
      <c r="I272" s="1">
        <v>46237</v>
      </c>
      <c r="J272" t="s">
        <v>138</v>
      </c>
      <c r="K272" t="s">
        <v>1278</v>
      </c>
      <c r="L272" t="s">
        <v>12</v>
      </c>
      <c r="M272" t="s">
        <v>21</v>
      </c>
      <c r="N272" t="s">
        <v>1412</v>
      </c>
      <c r="O272" t="s">
        <v>1949</v>
      </c>
      <c r="P272">
        <v>1000022811</v>
      </c>
      <c r="Q272" t="s">
        <v>6</v>
      </c>
      <c r="R272" t="s">
        <v>740</v>
      </c>
      <c r="S272" t="s">
        <v>1413</v>
      </c>
      <c r="T272" t="s">
        <v>1995</v>
      </c>
      <c r="U272">
        <v>10</v>
      </c>
      <c r="V272">
        <v>32.85</v>
      </c>
      <c r="W272">
        <v>328.5</v>
      </c>
      <c r="X272">
        <v>0</v>
      </c>
      <c r="Y272">
        <v>0</v>
      </c>
      <c r="Z272">
        <v>59.13</v>
      </c>
      <c r="AA272">
        <v>0</v>
      </c>
      <c r="AB272">
        <v>0</v>
      </c>
      <c r="AC272">
        <v>387.63</v>
      </c>
      <c r="AD272">
        <v>0</v>
      </c>
      <c r="AE272">
        <v>0</v>
      </c>
      <c r="AF272">
        <v>387.63</v>
      </c>
      <c r="AG272" t="s">
        <v>37</v>
      </c>
    </row>
    <row r="273" spans="1:33" x14ac:dyDescent="0.35">
      <c r="A273">
        <v>271</v>
      </c>
      <c r="B273">
        <v>282598</v>
      </c>
      <c r="C273">
        <v>328013786</v>
      </c>
      <c r="D273" t="s">
        <v>1378</v>
      </c>
      <c r="E273" t="s">
        <v>50</v>
      </c>
      <c r="F273" s="1">
        <v>46246</v>
      </c>
      <c r="G273" t="s">
        <v>1379</v>
      </c>
      <c r="H273">
        <v>4800000006</v>
      </c>
      <c r="I273" s="1">
        <v>46237</v>
      </c>
      <c r="J273" t="s">
        <v>138</v>
      </c>
      <c r="K273" t="s">
        <v>1278</v>
      </c>
      <c r="L273" t="s">
        <v>12</v>
      </c>
      <c r="M273" t="s">
        <v>21</v>
      </c>
      <c r="N273" t="s">
        <v>1506</v>
      </c>
      <c r="O273" t="s">
        <v>1942</v>
      </c>
      <c r="P273">
        <v>1000022807</v>
      </c>
      <c r="Q273" t="s">
        <v>6</v>
      </c>
      <c r="R273" t="s">
        <v>1422</v>
      </c>
      <c r="S273" t="s">
        <v>1507</v>
      </c>
      <c r="T273" t="s">
        <v>2001</v>
      </c>
      <c r="U273">
        <v>30</v>
      </c>
      <c r="V273">
        <v>24.48</v>
      </c>
      <c r="W273">
        <v>734.4</v>
      </c>
      <c r="X273">
        <v>0</v>
      </c>
      <c r="Y273">
        <v>0</v>
      </c>
      <c r="Z273">
        <v>132.19200000000001</v>
      </c>
      <c r="AA273">
        <v>0</v>
      </c>
      <c r="AB273">
        <v>0</v>
      </c>
      <c r="AC273">
        <v>866.59199999999998</v>
      </c>
      <c r="AD273">
        <v>0</v>
      </c>
      <c r="AE273">
        <v>0</v>
      </c>
      <c r="AF273">
        <v>866.59199999999998</v>
      </c>
      <c r="AG273" t="s">
        <v>37</v>
      </c>
    </row>
    <row r="274" spans="1:33" x14ac:dyDescent="0.35">
      <c r="A274">
        <v>272</v>
      </c>
      <c r="B274">
        <v>282598</v>
      </c>
      <c r="C274">
        <v>328013786</v>
      </c>
      <c r="D274" t="s">
        <v>1378</v>
      </c>
      <c r="E274" t="s">
        <v>50</v>
      </c>
      <c r="F274" s="1">
        <v>46246</v>
      </c>
      <c r="G274" t="s">
        <v>1379</v>
      </c>
      <c r="H274">
        <v>4800000006</v>
      </c>
      <c r="I274" s="1">
        <v>46237</v>
      </c>
      <c r="J274" t="s">
        <v>138</v>
      </c>
      <c r="K274" t="s">
        <v>1278</v>
      </c>
      <c r="L274" t="s">
        <v>12</v>
      </c>
      <c r="M274" t="s">
        <v>21</v>
      </c>
      <c r="N274" t="s">
        <v>1384</v>
      </c>
      <c r="O274" t="s">
        <v>1950</v>
      </c>
      <c r="P274">
        <v>1000022813</v>
      </c>
      <c r="Q274" t="s">
        <v>6</v>
      </c>
      <c r="R274" t="s">
        <v>1096</v>
      </c>
      <c r="S274" t="s">
        <v>1385</v>
      </c>
      <c r="T274" t="s">
        <v>1997</v>
      </c>
      <c r="U274">
        <v>10</v>
      </c>
      <c r="V274">
        <v>267.68</v>
      </c>
      <c r="W274" s="2">
        <v>2676.8</v>
      </c>
      <c r="X274">
        <v>0</v>
      </c>
      <c r="Y274">
        <v>0</v>
      </c>
      <c r="Z274">
        <v>481.82400000000001</v>
      </c>
      <c r="AA274">
        <v>0</v>
      </c>
      <c r="AB274">
        <v>0</v>
      </c>
      <c r="AC274" s="2">
        <v>3158.6239999999998</v>
      </c>
      <c r="AD274">
        <v>0</v>
      </c>
      <c r="AE274">
        <v>0</v>
      </c>
      <c r="AF274" s="2">
        <v>3158.6239999999998</v>
      </c>
      <c r="AG274" t="s">
        <v>37</v>
      </c>
    </row>
    <row r="275" spans="1:33" x14ac:dyDescent="0.35">
      <c r="A275">
        <v>273</v>
      </c>
      <c r="B275">
        <v>282598</v>
      </c>
      <c r="C275">
        <v>328013786</v>
      </c>
      <c r="D275" t="s">
        <v>1378</v>
      </c>
      <c r="E275" t="s">
        <v>50</v>
      </c>
      <c r="F275" s="1">
        <v>46246</v>
      </c>
      <c r="G275" t="s">
        <v>1379</v>
      </c>
      <c r="H275">
        <v>4800000006</v>
      </c>
      <c r="I275" s="1">
        <v>46237</v>
      </c>
      <c r="J275" t="s">
        <v>138</v>
      </c>
      <c r="K275" t="s">
        <v>1278</v>
      </c>
      <c r="L275" t="s">
        <v>12</v>
      </c>
      <c r="M275" t="s">
        <v>21</v>
      </c>
      <c r="N275" t="s">
        <v>1382</v>
      </c>
      <c r="O275" t="s">
        <v>2118</v>
      </c>
      <c r="P275">
        <v>1000022811</v>
      </c>
      <c r="Q275" t="s">
        <v>6</v>
      </c>
      <c r="R275" t="s">
        <v>886</v>
      </c>
      <c r="S275" t="s">
        <v>1383</v>
      </c>
      <c r="T275" t="s">
        <v>1995</v>
      </c>
      <c r="U275">
        <v>20</v>
      </c>
      <c r="V275">
        <v>159.12</v>
      </c>
      <c r="W275" s="2">
        <v>3182.4</v>
      </c>
      <c r="X275">
        <v>0</v>
      </c>
      <c r="Y275">
        <v>0</v>
      </c>
      <c r="Z275">
        <v>572.83199999999999</v>
      </c>
      <c r="AA275">
        <v>0</v>
      </c>
      <c r="AB275">
        <v>0</v>
      </c>
      <c r="AC275" s="2">
        <v>3755.232</v>
      </c>
      <c r="AD275">
        <v>0</v>
      </c>
      <c r="AE275">
        <v>0</v>
      </c>
      <c r="AF275" s="2">
        <v>3755.232</v>
      </c>
      <c r="AG275" t="s">
        <v>37</v>
      </c>
    </row>
    <row r="276" spans="1:33" x14ac:dyDescent="0.35">
      <c r="A276">
        <v>274</v>
      </c>
      <c r="B276">
        <v>282598</v>
      </c>
      <c r="C276">
        <v>328013786</v>
      </c>
      <c r="D276" t="s">
        <v>1378</v>
      </c>
      <c r="E276" t="s">
        <v>50</v>
      </c>
      <c r="F276" s="1">
        <v>46246</v>
      </c>
      <c r="G276" t="s">
        <v>1379</v>
      </c>
      <c r="H276">
        <v>4800000006</v>
      </c>
      <c r="I276" s="1">
        <v>46237</v>
      </c>
      <c r="J276" t="s">
        <v>138</v>
      </c>
      <c r="K276" t="s">
        <v>1278</v>
      </c>
      <c r="L276" t="s">
        <v>12</v>
      </c>
      <c r="M276" t="s">
        <v>21</v>
      </c>
      <c r="N276" t="s">
        <v>1458</v>
      </c>
      <c r="O276" t="s">
        <v>1938</v>
      </c>
      <c r="P276">
        <v>1000022805</v>
      </c>
      <c r="Q276" t="s">
        <v>6</v>
      </c>
      <c r="R276" t="s">
        <v>702</v>
      </c>
      <c r="S276" t="s">
        <v>1459</v>
      </c>
      <c r="T276" t="s">
        <v>1995</v>
      </c>
      <c r="U276">
        <v>450</v>
      </c>
      <c r="V276">
        <v>0.92</v>
      </c>
      <c r="W276">
        <v>414</v>
      </c>
      <c r="X276">
        <v>0</v>
      </c>
      <c r="Y276">
        <v>0</v>
      </c>
      <c r="Z276">
        <v>74.52</v>
      </c>
      <c r="AA276">
        <v>0</v>
      </c>
      <c r="AB276">
        <v>0</v>
      </c>
      <c r="AC276">
        <v>488.52</v>
      </c>
      <c r="AD276">
        <v>0</v>
      </c>
      <c r="AE276">
        <v>0</v>
      </c>
      <c r="AF276">
        <v>488.52</v>
      </c>
      <c r="AG276" t="s">
        <v>37</v>
      </c>
    </row>
    <row r="277" spans="1:33" x14ac:dyDescent="0.35">
      <c r="A277">
        <v>275</v>
      </c>
      <c r="B277">
        <v>282598</v>
      </c>
      <c r="C277">
        <v>328013786</v>
      </c>
      <c r="D277" t="s">
        <v>1378</v>
      </c>
      <c r="E277" t="s">
        <v>50</v>
      </c>
      <c r="F277" s="1">
        <v>46246</v>
      </c>
      <c r="G277" t="s">
        <v>1379</v>
      </c>
      <c r="H277">
        <v>4800000006</v>
      </c>
      <c r="I277" s="1">
        <v>46237</v>
      </c>
      <c r="J277" t="s">
        <v>138</v>
      </c>
      <c r="K277" t="s">
        <v>1278</v>
      </c>
      <c r="L277" t="s">
        <v>12</v>
      </c>
      <c r="M277" t="s">
        <v>21</v>
      </c>
      <c r="N277" t="s">
        <v>1390</v>
      </c>
      <c r="O277" t="s">
        <v>1941</v>
      </c>
      <c r="P277">
        <v>1000022814</v>
      </c>
      <c r="Q277" t="s">
        <v>6</v>
      </c>
      <c r="R277" t="s">
        <v>44</v>
      </c>
      <c r="S277" t="s">
        <v>1391</v>
      </c>
      <c r="T277" t="s">
        <v>2003</v>
      </c>
      <c r="U277">
        <v>20</v>
      </c>
      <c r="V277">
        <v>85.46</v>
      </c>
      <c r="W277" s="2">
        <v>1709.2</v>
      </c>
      <c r="X277">
        <v>0</v>
      </c>
      <c r="Y277">
        <v>0</v>
      </c>
      <c r="Z277">
        <v>307.65600000000001</v>
      </c>
      <c r="AA277">
        <v>0</v>
      </c>
      <c r="AB277">
        <v>0</v>
      </c>
      <c r="AC277" s="2">
        <v>2016.856</v>
      </c>
      <c r="AD277">
        <v>0</v>
      </c>
      <c r="AE277">
        <v>0</v>
      </c>
      <c r="AF277" s="2">
        <v>2016.856</v>
      </c>
      <c r="AG277" t="s">
        <v>37</v>
      </c>
    </row>
    <row r="278" spans="1:33" x14ac:dyDescent="0.35">
      <c r="A278">
        <v>276</v>
      </c>
      <c r="B278">
        <v>282598</v>
      </c>
      <c r="C278">
        <v>328013786</v>
      </c>
      <c r="D278" t="s">
        <v>1378</v>
      </c>
      <c r="E278" t="s">
        <v>50</v>
      </c>
      <c r="F278" s="1">
        <v>46246</v>
      </c>
      <c r="G278" t="s">
        <v>1379</v>
      </c>
      <c r="H278">
        <v>4800000006</v>
      </c>
      <c r="I278" s="1">
        <v>46237</v>
      </c>
      <c r="J278" t="s">
        <v>138</v>
      </c>
      <c r="K278" t="s">
        <v>1278</v>
      </c>
      <c r="L278" t="s">
        <v>12</v>
      </c>
      <c r="M278" t="s">
        <v>21</v>
      </c>
      <c r="N278" t="s">
        <v>1466</v>
      </c>
      <c r="O278" t="s">
        <v>1949</v>
      </c>
      <c r="P278">
        <v>1000022811</v>
      </c>
      <c r="Q278" t="s">
        <v>6</v>
      </c>
      <c r="R278" t="s">
        <v>699</v>
      </c>
      <c r="S278" t="s">
        <v>1467</v>
      </c>
      <c r="T278" t="s">
        <v>2013</v>
      </c>
      <c r="U278">
        <v>50</v>
      </c>
      <c r="V278">
        <v>10</v>
      </c>
      <c r="W278">
        <v>500</v>
      </c>
      <c r="X278">
        <v>0</v>
      </c>
      <c r="Y278">
        <v>0</v>
      </c>
      <c r="Z278">
        <v>90</v>
      </c>
      <c r="AA278">
        <v>0</v>
      </c>
      <c r="AB278">
        <v>0</v>
      </c>
      <c r="AC278">
        <v>590</v>
      </c>
      <c r="AD278">
        <v>0</v>
      </c>
      <c r="AE278">
        <v>0</v>
      </c>
      <c r="AF278">
        <v>590</v>
      </c>
      <c r="AG278" t="s">
        <v>37</v>
      </c>
    </row>
    <row r="279" spans="1:33" x14ac:dyDescent="0.35">
      <c r="A279">
        <v>277</v>
      </c>
      <c r="B279">
        <v>282598</v>
      </c>
      <c r="C279">
        <v>328013786</v>
      </c>
      <c r="D279" t="s">
        <v>1378</v>
      </c>
      <c r="E279" t="s">
        <v>50</v>
      </c>
      <c r="F279" s="1">
        <v>46246</v>
      </c>
      <c r="G279" t="s">
        <v>1379</v>
      </c>
      <c r="H279">
        <v>4800000006</v>
      </c>
      <c r="I279" s="1">
        <v>46237</v>
      </c>
      <c r="J279" t="s">
        <v>138</v>
      </c>
      <c r="K279" t="s">
        <v>1278</v>
      </c>
      <c r="L279" t="s">
        <v>12</v>
      </c>
      <c r="M279" t="s">
        <v>21</v>
      </c>
      <c r="N279" t="s">
        <v>1418</v>
      </c>
      <c r="O279" t="s">
        <v>1949</v>
      </c>
      <c r="P279">
        <v>1000022811</v>
      </c>
      <c r="Q279" t="s">
        <v>6</v>
      </c>
      <c r="R279" t="s">
        <v>1419</v>
      </c>
      <c r="S279" t="s">
        <v>1420</v>
      </c>
      <c r="T279" t="s">
        <v>2003</v>
      </c>
      <c r="U279">
        <v>100</v>
      </c>
      <c r="V279">
        <v>4.08</v>
      </c>
      <c r="W279">
        <v>408</v>
      </c>
      <c r="X279">
        <v>0</v>
      </c>
      <c r="Y279">
        <v>0</v>
      </c>
      <c r="Z279">
        <v>73.44</v>
      </c>
      <c r="AA279">
        <v>0</v>
      </c>
      <c r="AB279">
        <v>0</v>
      </c>
      <c r="AC279">
        <v>481.44</v>
      </c>
      <c r="AD279">
        <v>0</v>
      </c>
      <c r="AE279">
        <v>0</v>
      </c>
      <c r="AF279">
        <v>481.44</v>
      </c>
      <c r="AG279" t="s">
        <v>37</v>
      </c>
    </row>
    <row r="280" spans="1:33" x14ac:dyDescent="0.35">
      <c r="A280">
        <v>278</v>
      </c>
      <c r="B280">
        <v>282598</v>
      </c>
      <c r="C280">
        <v>328013786</v>
      </c>
      <c r="D280" t="s">
        <v>1378</v>
      </c>
      <c r="E280" t="s">
        <v>50</v>
      </c>
      <c r="F280" s="1">
        <v>46246</v>
      </c>
      <c r="G280" t="s">
        <v>1379</v>
      </c>
      <c r="H280">
        <v>4800000006</v>
      </c>
      <c r="I280" s="1">
        <v>46237</v>
      </c>
      <c r="J280" t="s">
        <v>138</v>
      </c>
      <c r="K280" t="s">
        <v>1278</v>
      </c>
      <c r="L280" t="s">
        <v>12</v>
      </c>
      <c r="M280" t="s">
        <v>21</v>
      </c>
      <c r="N280" t="s">
        <v>1396</v>
      </c>
      <c r="O280" t="s">
        <v>2005</v>
      </c>
      <c r="P280">
        <v>1000022807</v>
      </c>
      <c r="Q280" t="s">
        <v>6</v>
      </c>
      <c r="R280" t="s">
        <v>1368</v>
      </c>
      <c r="S280" t="s">
        <v>1397</v>
      </c>
      <c r="T280" t="s">
        <v>2002</v>
      </c>
      <c r="U280">
        <v>10</v>
      </c>
      <c r="V280">
        <v>25.32</v>
      </c>
      <c r="W280">
        <v>253.2</v>
      </c>
      <c r="X280">
        <v>0</v>
      </c>
      <c r="Y280">
        <v>0</v>
      </c>
      <c r="Z280">
        <v>45.576000000000001</v>
      </c>
      <c r="AA280">
        <v>0</v>
      </c>
      <c r="AB280">
        <v>0</v>
      </c>
      <c r="AC280">
        <v>298.77600000000001</v>
      </c>
      <c r="AD280">
        <v>0</v>
      </c>
      <c r="AE280">
        <v>0</v>
      </c>
      <c r="AF280">
        <v>298.77600000000001</v>
      </c>
      <c r="AG280" t="s">
        <v>37</v>
      </c>
    </row>
    <row r="281" spans="1:33" x14ac:dyDescent="0.35">
      <c r="A281">
        <v>279</v>
      </c>
      <c r="B281">
        <v>282598</v>
      </c>
      <c r="C281">
        <v>328013786</v>
      </c>
      <c r="D281" t="s">
        <v>1378</v>
      </c>
      <c r="E281" t="s">
        <v>50</v>
      </c>
      <c r="F281" s="1">
        <v>46246</v>
      </c>
      <c r="G281" t="s">
        <v>1379</v>
      </c>
      <c r="H281">
        <v>4800000006</v>
      </c>
      <c r="I281" s="1">
        <v>46237</v>
      </c>
      <c r="J281" t="s">
        <v>138</v>
      </c>
      <c r="K281" t="s">
        <v>1278</v>
      </c>
      <c r="L281" t="s">
        <v>12</v>
      </c>
      <c r="M281" t="s">
        <v>21</v>
      </c>
      <c r="N281" t="s">
        <v>1394</v>
      </c>
      <c r="O281" t="s">
        <v>1938</v>
      </c>
      <c r="P281">
        <v>1000022805</v>
      </c>
      <c r="Q281" t="s">
        <v>6</v>
      </c>
      <c r="R281" t="s">
        <v>796</v>
      </c>
      <c r="S281" t="s">
        <v>1395</v>
      </c>
      <c r="T281" t="s">
        <v>1995</v>
      </c>
      <c r="U281">
        <v>10</v>
      </c>
      <c r="V281">
        <v>7.55</v>
      </c>
      <c r="W281">
        <v>75.5</v>
      </c>
      <c r="X281">
        <v>0</v>
      </c>
      <c r="Y281">
        <v>0</v>
      </c>
      <c r="Z281">
        <v>13.59</v>
      </c>
      <c r="AA281">
        <v>0</v>
      </c>
      <c r="AB281">
        <v>0</v>
      </c>
      <c r="AC281">
        <v>89.09</v>
      </c>
      <c r="AD281">
        <v>0</v>
      </c>
      <c r="AE281">
        <v>0</v>
      </c>
      <c r="AF281">
        <v>89.09</v>
      </c>
      <c r="AG281" t="s">
        <v>37</v>
      </c>
    </row>
    <row r="282" spans="1:33" x14ac:dyDescent="0.35">
      <c r="A282">
        <v>280</v>
      </c>
      <c r="B282">
        <v>282598</v>
      </c>
      <c r="C282">
        <v>328013786</v>
      </c>
      <c r="D282" t="s">
        <v>1378</v>
      </c>
      <c r="E282" t="s">
        <v>50</v>
      </c>
      <c r="F282" s="1">
        <v>46246</v>
      </c>
      <c r="G282" t="s">
        <v>1379</v>
      </c>
      <c r="H282">
        <v>4800000006</v>
      </c>
      <c r="I282" s="1">
        <v>46237</v>
      </c>
      <c r="J282" t="s">
        <v>138</v>
      </c>
      <c r="K282" t="s">
        <v>1278</v>
      </c>
      <c r="L282" t="s">
        <v>12</v>
      </c>
      <c r="M282" t="s">
        <v>21</v>
      </c>
      <c r="N282" t="s">
        <v>1496</v>
      </c>
      <c r="O282" t="s">
        <v>1949</v>
      </c>
      <c r="P282">
        <v>1000022811</v>
      </c>
      <c r="Q282" t="s">
        <v>6</v>
      </c>
      <c r="R282" t="s">
        <v>1033</v>
      </c>
      <c r="S282" t="s">
        <v>1497</v>
      </c>
      <c r="T282" t="s">
        <v>1995</v>
      </c>
      <c r="U282">
        <v>10</v>
      </c>
      <c r="V282">
        <v>45.9</v>
      </c>
      <c r="W282">
        <v>459</v>
      </c>
      <c r="X282">
        <v>0</v>
      </c>
      <c r="Y282">
        <v>0</v>
      </c>
      <c r="Z282">
        <v>82.62</v>
      </c>
      <c r="AA282">
        <v>0</v>
      </c>
      <c r="AB282">
        <v>0</v>
      </c>
      <c r="AC282">
        <v>541.62</v>
      </c>
      <c r="AD282">
        <v>0</v>
      </c>
      <c r="AE282">
        <v>0</v>
      </c>
      <c r="AF282">
        <v>541.62</v>
      </c>
      <c r="AG282" t="s">
        <v>37</v>
      </c>
    </row>
    <row r="283" spans="1:33" x14ac:dyDescent="0.35">
      <c r="A283">
        <v>281</v>
      </c>
      <c r="B283">
        <v>282598</v>
      </c>
      <c r="C283">
        <v>328013786</v>
      </c>
      <c r="D283" t="s">
        <v>1378</v>
      </c>
      <c r="E283" t="s">
        <v>50</v>
      </c>
      <c r="F283" s="1">
        <v>46246</v>
      </c>
      <c r="G283" t="s">
        <v>1379</v>
      </c>
      <c r="H283">
        <v>4800000006</v>
      </c>
      <c r="I283" s="1">
        <v>46237</v>
      </c>
      <c r="J283" t="s">
        <v>138</v>
      </c>
      <c r="K283" t="s">
        <v>1278</v>
      </c>
      <c r="L283" t="s">
        <v>12</v>
      </c>
      <c r="M283" t="s">
        <v>21</v>
      </c>
      <c r="N283" t="s">
        <v>1470</v>
      </c>
      <c r="O283" t="s">
        <v>1932</v>
      </c>
      <c r="P283">
        <v>1000022801</v>
      </c>
      <c r="Q283" t="s">
        <v>6</v>
      </c>
      <c r="R283" t="s">
        <v>1422</v>
      </c>
      <c r="S283" t="s">
        <v>1471</v>
      </c>
      <c r="T283" t="s">
        <v>2001</v>
      </c>
      <c r="U283">
        <v>30</v>
      </c>
      <c r="V283">
        <v>64.37</v>
      </c>
      <c r="W283" s="2">
        <v>1931.1</v>
      </c>
      <c r="X283">
        <v>0</v>
      </c>
      <c r="Y283">
        <v>0</v>
      </c>
      <c r="Z283">
        <v>347.59800000000001</v>
      </c>
      <c r="AA283">
        <v>0</v>
      </c>
      <c r="AB283">
        <v>0</v>
      </c>
      <c r="AC283" s="2">
        <v>2278.6979999999999</v>
      </c>
      <c r="AD283">
        <v>0</v>
      </c>
      <c r="AE283">
        <v>0</v>
      </c>
      <c r="AF283" s="2">
        <v>2278.6979999999999</v>
      </c>
      <c r="AG283" t="s">
        <v>37</v>
      </c>
    </row>
    <row r="284" spans="1:33" x14ac:dyDescent="0.35">
      <c r="A284">
        <v>282</v>
      </c>
      <c r="B284">
        <v>282598</v>
      </c>
      <c r="C284">
        <v>328013786</v>
      </c>
      <c r="D284" t="s">
        <v>1378</v>
      </c>
      <c r="E284" t="s">
        <v>50</v>
      </c>
      <c r="F284" s="1">
        <v>46246</v>
      </c>
      <c r="G284" t="s">
        <v>1379</v>
      </c>
      <c r="H284">
        <v>4800000006</v>
      </c>
      <c r="I284" s="1">
        <v>46237</v>
      </c>
      <c r="J284" t="s">
        <v>138</v>
      </c>
      <c r="K284" t="s">
        <v>1278</v>
      </c>
      <c r="L284" t="s">
        <v>12</v>
      </c>
      <c r="M284" t="s">
        <v>21</v>
      </c>
      <c r="N284" t="s">
        <v>1392</v>
      </c>
      <c r="O284" t="s">
        <v>1949</v>
      </c>
      <c r="P284">
        <v>1000022811</v>
      </c>
      <c r="Q284" t="s">
        <v>6</v>
      </c>
      <c r="R284" t="s">
        <v>984</v>
      </c>
      <c r="S284" t="s">
        <v>1393</v>
      </c>
      <c r="T284" t="s">
        <v>1995</v>
      </c>
      <c r="U284">
        <v>40</v>
      </c>
      <c r="V284">
        <v>19.28</v>
      </c>
      <c r="W284">
        <v>771.2</v>
      </c>
      <c r="X284">
        <v>0</v>
      </c>
      <c r="Y284">
        <v>0</v>
      </c>
      <c r="Z284">
        <v>138.816</v>
      </c>
      <c r="AA284">
        <v>0</v>
      </c>
      <c r="AB284">
        <v>0</v>
      </c>
      <c r="AC284">
        <v>910.01599999999996</v>
      </c>
      <c r="AD284">
        <v>0</v>
      </c>
      <c r="AE284">
        <v>0</v>
      </c>
      <c r="AF284">
        <v>910.01599999999996</v>
      </c>
      <c r="AG284" t="s">
        <v>37</v>
      </c>
    </row>
    <row r="285" spans="1:33" x14ac:dyDescent="0.35">
      <c r="A285">
        <v>283</v>
      </c>
      <c r="B285">
        <v>282598</v>
      </c>
      <c r="C285">
        <v>328013786</v>
      </c>
      <c r="D285" t="s">
        <v>1378</v>
      </c>
      <c r="E285" t="s">
        <v>50</v>
      </c>
      <c r="F285" s="1">
        <v>46246</v>
      </c>
      <c r="G285" t="s">
        <v>1379</v>
      </c>
      <c r="H285">
        <v>4800000006</v>
      </c>
      <c r="I285" s="1">
        <v>46237</v>
      </c>
      <c r="J285" t="s">
        <v>138</v>
      </c>
      <c r="K285" t="s">
        <v>1278</v>
      </c>
      <c r="L285" t="s">
        <v>12</v>
      </c>
      <c r="M285" t="s">
        <v>21</v>
      </c>
      <c r="N285" t="s">
        <v>1421</v>
      </c>
      <c r="O285" t="s">
        <v>1932</v>
      </c>
      <c r="P285">
        <v>1000022801</v>
      </c>
      <c r="Q285" t="s">
        <v>6</v>
      </c>
      <c r="R285" t="s">
        <v>1422</v>
      </c>
      <c r="S285" t="s">
        <v>1423</v>
      </c>
      <c r="T285" t="s">
        <v>2001</v>
      </c>
      <c r="U285">
        <v>10</v>
      </c>
      <c r="V285">
        <v>8.27</v>
      </c>
      <c r="W285">
        <v>82.7</v>
      </c>
      <c r="X285">
        <v>0</v>
      </c>
      <c r="Y285">
        <v>0</v>
      </c>
      <c r="Z285">
        <v>14.885999999999999</v>
      </c>
      <c r="AA285">
        <v>0</v>
      </c>
      <c r="AB285">
        <v>0</v>
      </c>
      <c r="AC285">
        <v>97.585999999999999</v>
      </c>
      <c r="AD285">
        <v>0</v>
      </c>
      <c r="AE285">
        <v>0</v>
      </c>
      <c r="AF285">
        <v>97.585999999999999</v>
      </c>
      <c r="AG285" t="s">
        <v>37</v>
      </c>
    </row>
    <row r="286" spans="1:33" x14ac:dyDescent="0.35">
      <c r="A286">
        <v>284</v>
      </c>
      <c r="B286">
        <v>282598</v>
      </c>
      <c r="C286">
        <v>328013786</v>
      </c>
      <c r="D286" t="s">
        <v>1378</v>
      </c>
      <c r="E286" t="s">
        <v>50</v>
      </c>
      <c r="F286" s="1">
        <v>46246</v>
      </c>
      <c r="G286" t="s">
        <v>1379</v>
      </c>
      <c r="H286">
        <v>4800000006</v>
      </c>
      <c r="I286" s="1">
        <v>46237</v>
      </c>
      <c r="J286" t="s">
        <v>138</v>
      </c>
      <c r="K286" t="s">
        <v>1278</v>
      </c>
      <c r="L286" t="s">
        <v>12</v>
      </c>
      <c r="M286" t="s">
        <v>21</v>
      </c>
      <c r="N286" t="s">
        <v>1454</v>
      </c>
      <c r="O286" t="s">
        <v>1949</v>
      </c>
      <c r="P286">
        <v>1000022811</v>
      </c>
      <c r="Q286" t="s">
        <v>6</v>
      </c>
      <c r="R286" t="s">
        <v>38</v>
      </c>
      <c r="S286" t="s">
        <v>1455</v>
      </c>
      <c r="T286" t="s">
        <v>1995</v>
      </c>
      <c r="U286">
        <v>20</v>
      </c>
      <c r="V286">
        <v>52.43</v>
      </c>
      <c r="W286" s="2">
        <v>1048.5999999999999</v>
      </c>
      <c r="X286">
        <v>0</v>
      </c>
      <c r="Y286">
        <v>0</v>
      </c>
      <c r="Z286">
        <v>188.74799999999999</v>
      </c>
      <c r="AA286">
        <v>0</v>
      </c>
      <c r="AB286">
        <v>0</v>
      </c>
      <c r="AC286" s="2">
        <v>1237.348</v>
      </c>
      <c r="AD286">
        <v>0</v>
      </c>
      <c r="AE286">
        <v>0</v>
      </c>
      <c r="AF286" s="2">
        <v>1237.348</v>
      </c>
      <c r="AG286" t="s">
        <v>37</v>
      </c>
    </row>
    <row r="287" spans="1:33" x14ac:dyDescent="0.35">
      <c r="A287">
        <v>285</v>
      </c>
      <c r="B287">
        <v>282598</v>
      </c>
      <c r="C287">
        <v>328013786</v>
      </c>
      <c r="D287" t="s">
        <v>1378</v>
      </c>
      <c r="E287" t="s">
        <v>50</v>
      </c>
      <c r="F287" s="1">
        <v>46246</v>
      </c>
      <c r="G287" t="s">
        <v>1379</v>
      </c>
      <c r="H287">
        <v>4800000006</v>
      </c>
      <c r="I287" s="1">
        <v>46237</v>
      </c>
      <c r="J287" t="s">
        <v>138</v>
      </c>
      <c r="K287" t="s">
        <v>1278</v>
      </c>
      <c r="L287" t="s">
        <v>12</v>
      </c>
      <c r="M287" t="s">
        <v>21</v>
      </c>
      <c r="N287" t="s">
        <v>1440</v>
      </c>
      <c r="O287" t="s">
        <v>1938</v>
      </c>
      <c r="P287">
        <v>1000022805</v>
      </c>
      <c r="Q287" t="s">
        <v>6</v>
      </c>
      <c r="R287" t="s">
        <v>740</v>
      </c>
      <c r="S287" t="s">
        <v>1441</v>
      </c>
      <c r="T287" t="s">
        <v>1995</v>
      </c>
      <c r="U287">
        <v>33</v>
      </c>
      <c r="V287">
        <v>0.92</v>
      </c>
      <c r="W287">
        <v>30.36</v>
      </c>
      <c r="X287">
        <v>0</v>
      </c>
      <c r="Y287">
        <v>0</v>
      </c>
      <c r="Z287">
        <v>5.4648000000000003</v>
      </c>
      <c r="AA287">
        <v>0</v>
      </c>
      <c r="AB287">
        <v>0</v>
      </c>
      <c r="AC287">
        <v>35.824800000000003</v>
      </c>
      <c r="AD287">
        <v>0</v>
      </c>
      <c r="AE287">
        <v>0</v>
      </c>
      <c r="AF287">
        <v>35.824800000000003</v>
      </c>
      <c r="AG287" t="s">
        <v>37</v>
      </c>
    </row>
    <row r="288" spans="1:33" x14ac:dyDescent="0.35">
      <c r="A288">
        <v>286</v>
      </c>
      <c r="B288">
        <v>282598</v>
      </c>
      <c r="C288">
        <v>328013786</v>
      </c>
      <c r="D288" t="s">
        <v>1378</v>
      </c>
      <c r="E288" t="s">
        <v>50</v>
      </c>
      <c r="F288" s="1">
        <v>46246</v>
      </c>
      <c r="G288" t="s">
        <v>1379</v>
      </c>
      <c r="H288">
        <v>4800000006</v>
      </c>
      <c r="I288" s="1">
        <v>46237</v>
      </c>
      <c r="J288" t="s">
        <v>138</v>
      </c>
      <c r="K288" t="s">
        <v>1278</v>
      </c>
      <c r="L288" t="s">
        <v>12</v>
      </c>
      <c r="M288" t="s">
        <v>21</v>
      </c>
      <c r="N288" t="s">
        <v>1416</v>
      </c>
      <c r="O288" t="s">
        <v>1938</v>
      </c>
      <c r="P288">
        <v>1000022805</v>
      </c>
      <c r="Q288" t="s">
        <v>6</v>
      </c>
      <c r="R288" t="s">
        <v>702</v>
      </c>
      <c r="S288" t="s">
        <v>1417</v>
      </c>
      <c r="T288" t="s">
        <v>1995</v>
      </c>
      <c r="U288">
        <v>160</v>
      </c>
      <c r="V288">
        <v>0.92</v>
      </c>
      <c r="W288">
        <v>147.19999999999999</v>
      </c>
      <c r="X288">
        <v>0</v>
      </c>
      <c r="Y288">
        <v>0</v>
      </c>
      <c r="Z288">
        <v>26.495999999999999</v>
      </c>
      <c r="AA288">
        <v>0</v>
      </c>
      <c r="AB288">
        <v>0</v>
      </c>
      <c r="AC288">
        <v>173.696</v>
      </c>
      <c r="AD288">
        <v>0</v>
      </c>
      <c r="AE288">
        <v>0</v>
      </c>
      <c r="AF288">
        <v>173.696</v>
      </c>
      <c r="AG288" t="s">
        <v>37</v>
      </c>
    </row>
    <row r="289" spans="1:33" x14ac:dyDescent="0.35">
      <c r="A289">
        <v>287</v>
      </c>
      <c r="B289">
        <v>282598</v>
      </c>
      <c r="C289">
        <v>328013786</v>
      </c>
      <c r="D289" t="s">
        <v>1378</v>
      </c>
      <c r="E289" t="s">
        <v>50</v>
      </c>
      <c r="F289" s="1">
        <v>46246</v>
      </c>
      <c r="G289" t="s">
        <v>1379</v>
      </c>
      <c r="H289">
        <v>4800000006</v>
      </c>
      <c r="I289" s="1">
        <v>46237</v>
      </c>
      <c r="J289" t="s">
        <v>138</v>
      </c>
      <c r="K289" t="s">
        <v>1278</v>
      </c>
      <c r="L289" t="s">
        <v>12</v>
      </c>
      <c r="M289" t="s">
        <v>21</v>
      </c>
      <c r="N289" t="s">
        <v>1508</v>
      </c>
      <c r="O289" t="s">
        <v>1938</v>
      </c>
      <c r="P289">
        <v>1000022805</v>
      </c>
      <c r="Q289" t="s">
        <v>6</v>
      </c>
      <c r="R289" t="s">
        <v>40</v>
      </c>
      <c r="S289" t="s">
        <v>1509</v>
      </c>
      <c r="T289" t="s">
        <v>1995</v>
      </c>
      <c r="U289">
        <v>20</v>
      </c>
      <c r="V289">
        <v>1.43</v>
      </c>
      <c r="W289">
        <v>28.6</v>
      </c>
      <c r="X289">
        <v>0</v>
      </c>
      <c r="Y289">
        <v>0</v>
      </c>
      <c r="Z289">
        <v>5.1479999999999997</v>
      </c>
      <c r="AA289">
        <v>0</v>
      </c>
      <c r="AB289">
        <v>0</v>
      </c>
      <c r="AC289">
        <v>33.747999999999998</v>
      </c>
      <c r="AD289">
        <v>0</v>
      </c>
      <c r="AE289">
        <v>0</v>
      </c>
      <c r="AF289">
        <v>33.747999999999998</v>
      </c>
      <c r="AG289" t="s">
        <v>37</v>
      </c>
    </row>
    <row r="290" spans="1:33" x14ac:dyDescent="0.35">
      <c r="A290">
        <v>288</v>
      </c>
      <c r="B290">
        <v>282598</v>
      </c>
      <c r="C290">
        <v>328013786</v>
      </c>
      <c r="D290" t="s">
        <v>1378</v>
      </c>
      <c r="E290" t="s">
        <v>50</v>
      </c>
      <c r="F290" s="1">
        <v>46246</v>
      </c>
      <c r="G290" t="s">
        <v>1379</v>
      </c>
      <c r="H290">
        <v>4800000006</v>
      </c>
      <c r="I290" s="1">
        <v>46237</v>
      </c>
      <c r="J290" t="s">
        <v>138</v>
      </c>
      <c r="K290" t="s">
        <v>1278</v>
      </c>
      <c r="L290" t="s">
        <v>12</v>
      </c>
      <c r="M290" t="s">
        <v>21</v>
      </c>
      <c r="N290" t="s">
        <v>1442</v>
      </c>
      <c r="O290" t="s">
        <v>1938</v>
      </c>
      <c r="P290">
        <v>1000022805</v>
      </c>
      <c r="Q290" t="s">
        <v>6</v>
      </c>
      <c r="R290" t="s">
        <v>702</v>
      </c>
      <c r="S290" t="s">
        <v>1443</v>
      </c>
      <c r="T290" t="s">
        <v>1995</v>
      </c>
      <c r="U290">
        <v>500</v>
      </c>
      <c r="V290">
        <v>0.92</v>
      </c>
      <c r="W290">
        <v>460</v>
      </c>
      <c r="X290">
        <v>0</v>
      </c>
      <c r="Y290">
        <v>0</v>
      </c>
      <c r="Z290">
        <v>82.8</v>
      </c>
      <c r="AA290">
        <v>0</v>
      </c>
      <c r="AB290">
        <v>0</v>
      </c>
      <c r="AC290">
        <v>542.79999999999995</v>
      </c>
      <c r="AD290">
        <v>0</v>
      </c>
      <c r="AE290">
        <v>0</v>
      </c>
      <c r="AF290">
        <v>542.79999999999995</v>
      </c>
      <c r="AG290" t="s">
        <v>37</v>
      </c>
    </row>
    <row r="291" spans="1:33" x14ac:dyDescent="0.35">
      <c r="A291">
        <v>289</v>
      </c>
      <c r="B291">
        <v>282598</v>
      </c>
      <c r="C291">
        <v>328013786</v>
      </c>
      <c r="D291" t="s">
        <v>1378</v>
      </c>
      <c r="E291" t="s">
        <v>50</v>
      </c>
      <c r="F291" s="1">
        <v>46246</v>
      </c>
      <c r="G291" t="s">
        <v>1379</v>
      </c>
      <c r="H291">
        <v>4800000006</v>
      </c>
      <c r="I291" s="1">
        <v>46237</v>
      </c>
      <c r="J291" t="s">
        <v>138</v>
      </c>
      <c r="K291" t="s">
        <v>1278</v>
      </c>
      <c r="L291" t="s">
        <v>12</v>
      </c>
      <c r="M291" t="s">
        <v>21</v>
      </c>
      <c r="N291" t="s">
        <v>1472</v>
      </c>
      <c r="O291" t="s">
        <v>1935</v>
      </c>
      <c r="P291">
        <v>1000022811</v>
      </c>
      <c r="Q291" t="s">
        <v>6</v>
      </c>
      <c r="R291" t="s">
        <v>886</v>
      </c>
      <c r="S291" t="s">
        <v>1473</v>
      </c>
      <c r="T291" t="s">
        <v>1995</v>
      </c>
      <c r="U291">
        <v>20</v>
      </c>
      <c r="V291">
        <v>11.63</v>
      </c>
      <c r="W291">
        <v>232.6</v>
      </c>
      <c r="X291">
        <v>0</v>
      </c>
      <c r="Y291">
        <v>0</v>
      </c>
      <c r="Z291">
        <v>41.868000000000002</v>
      </c>
      <c r="AA291">
        <v>0</v>
      </c>
      <c r="AB291">
        <v>0</v>
      </c>
      <c r="AC291">
        <v>274.46800000000002</v>
      </c>
      <c r="AD291">
        <v>0</v>
      </c>
      <c r="AE291">
        <v>0</v>
      </c>
      <c r="AF291">
        <v>274.46800000000002</v>
      </c>
      <c r="AG291" t="s">
        <v>37</v>
      </c>
    </row>
    <row r="292" spans="1:33" x14ac:dyDescent="0.35">
      <c r="A292">
        <v>290</v>
      </c>
      <c r="B292">
        <v>282598</v>
      </c>
      <c r="C292">
        <v>328013786</v>
      </c>
      <c r="D292" t="s">
        <v>1378</v>
      </c>
      <c r="E292" t="s">
        <v>50</v>
      </c>
      <c r="F292" s="1">
        <v>46246</v>
      </c>
      <c r="G292" t="s">
        <v>1379</v>
      </c>
      <c r="H292">
        <v>4800000006</v>
      </c>
      <c r="I292" s="1">
        <v>46237</v>
      </c>
      <c r="J292" t="s">
        <v>138</v>
      </c>
      <c r="K292" t="s">
        <v>1278</v>
      </c>
      <c r="L292" t="s">
        <v>12</v>
      </c>
      <c r="M292" t="s">
        <v>21</v>
      </c>
      <c r="N292" t="s">
        <v>1500</v>
      </c>
      <c r="O292" t="s">
        <v>1937</v>
      </c>
      <c r="P292">
        <v>1000022814</v>
      </c>
      <c r="Q292" t="s">
        <v>6</v>
      </c>
      <c r="R292" t="s">
        <v>44</v>
      </c>
      <c r="S292" t="s">
        <v>1501</v>
      </c>
      <c r="T292" t="s">
        <v>1995</v>
      </c>
      <c r="U292">
        <v>25</v>
      </c>
      <c r="V292">
        <v>124.32</v>
      </c>
      <c r="W292" s="2">
        <v>3108</v>
      </c>
      <c r="X292">
        <v>0</v>
      </c>
      <c r="Y292">
        <v>0</v>
      </c>
      <c r="Z292">
        <v>559.44000000000005</v>
      </c>
      <c r="AA292">
        <v>0</v>
      </c>
      <c r="AB292">
        <v>0</v>
      </c>
      <c r="AC292" s="2">
        <v>3667.44</v>
      </c>
      <c r="AD292">
        <v>0</v>
      </c>
      <c r="AE292">
        <v>0</v>
      </c>
      <c r="AF292" s="2">
        <v>3667.44</v>
      </c>
      <c r="AG292" t="s">
        <v>37</v>
      </c>
    </row>
    <row r="293" spans="1:33" x14ac:dyDescent="0.35">
      <c r="A293">
        <v>291</v>
      </c>
      <c r="B293">
        <v>282598</v>
      </c>
      <c r="C293">
        <v>328013786</v>
      </c>
      <c r="D293" t="s">
        <v>1378</v>
      </c>
      <c r="E293" t="s">
        <v>50</v>
      </c>
      <c r="F293" s="1">
        <v>46246</v>
      </c>
      <c r="G293" t="s">
        <v>1379</v>
      </c>
      <c r="H293">
        <v>4800000006</v>
      </c>
      <c r="I293" s="1">
        <v>46237</v>
      </c>
      <c r="J293" t="s">
        <v>138</v>
      </c>
      <c r="K293" t="s">
        <v>1278</v>
      </c>
      <c r="L293" t="s">
        <v>12</v>
      </c>
      <c r="M293" t="s">
        <v>21</v>
      </c>
      <c r="N293" t="s">
        <v>1502</v>
      </c>
      <c r="O293" t="s">
        <v>1936</v>
      </c>
      <c r="P293">
        <v>1000022802</v>
      </c>
      <c r="Q293" t="s">
        <v>6</v>
      </c>
      <c r="R293" t="s">
        <v>660</v>
      </c>
      <c r="S293" t="s">
        <v>1503</v>
      </c>
      <c r="T293" t="s">
        <v>416</v>
      </c>
      <c r="U293">
        <v>10</v>
      </c>
      <c r="V293">
        <v>45.39</v>
      </c>
      <c r="W293">
        <v>453.9</v>
      </c>
      <c r="X293">
        <v>0</v>
      </c>
      <c r="Y293">
        <v>0</v>
      </c>
      <c r="Z293">
        <v>81.701999999999998</v>
      </c>
      <c r="AA293">
        <v>0</v>
      </c>
      <c r="AB293">
        <v>0</v>
      </c>
      <c r="AC293">
        <v>535.60199999999998</v>
      </c>
      <c r="AD293">
        <v>0</v>
      </c>
      <c r="AE293">
        <v>0</v>
      </c>
      <c r="AF293">
        <v>535.60199999999998</v>
      </c>
      <c r="AG293" t="s">
        <v>37</v>
      </c>
    </row>
    <row r="294" spans="1:33" x14ac:dyDescent="0.35">
      <c r="A294">
        <v>292</v>
      </c>
      <c r="B294">
        <v>282598</v>
      </c>
      <c r="C294">
        <v>328013786</v>
      </c>
      <c r="D294" t="s">
        <v>1378</v>
      </c>
      <c r="E294" t="s">
        <v>50</v>
      </c>
      <c r="F294" s="1">
        <v>46246</v>
      </c>
      <c r="G294" t="s">
        <v>1379</v>
      </c>
      <c r="H294">
        <v>4800000006</v>
      </c>
      <c r="I294" s="1">
        <v>46237</v>
      </c>
      <c r="J294" t="s">
        <v>138</v>
      </c>
      <c r="K294" t="s">
        <v>1278</v>
      </c>
      <c r="L294" t="s">
        <v>12</v>
      </c>
      <c r="M294" t="s">
        <v>21</v>
      </c>
      <c r="N294" t="s">
        <v>1410</v>
      </c>
      <c r="O294" t="s">
        <v>1937</v>
      </c>
      <c r="P294">
        <v>1000022814</v>
      </c>
      <c r="Q294" t="s">
        <v>6</v>
      </c>
      <c r="R294" t="s">
        <v>44</v>
      </c>
      <c r="S294" t="s">
        <v>1411</v>
      </c>
      <c r="T294" t="s">
        <v>1995</v>
      </c>
      <c r="U294">
        <v>100</v>
      </c>
      <c r="V294">
        <v>32.93</v>
      </c>
      <c r="W294" s="2">
        <v>3293</v>
      </c>
      <c r="X294">
        <v>0</v>
      </c>
      <c r="Y294">
        <v>0</v>
      </c>
      <c r="Z294">
        <v>592.74</v>
      </c>
      <c r="AA294">
        <v>0</v>
      </c>
      <c r="AB294">
        <v>0</v>
      </c>
      <c r="AC294" s="2">
        <v>3885.74</v>
      </c>
      <c r="AD294">
        <v>0</v>
      </c>
      <c r="AE294">
        <v>0</v>
      </c>
      <c r="AF294" s="2">
        <v>3885.74</v>
      </c>
      <c r="AG294" t="s">
        <v>37</v>
      </c>
    </row>
    <row r="295" spans="1:33" x14ac:dyDescent="0.35">
      <c r="A295">
        <v>293</v>
      </c>
      <c r="B295">
        <v>282598</v>
      </c>
      <c r="C295">
        <v>328013786</v>
      </c>
      <c r="D295" t="s">
        <v>1378</v>
      </c>
      <c r="E295" t="s">
        <v>50</v>
      </c>
      <c r="F295" s="1">
        <v>46246</v>
      </c>
      <c r="G295" t="s">
        <v>1379</v>
      </c>
      <c r="H295">
        <v>4800000006</v>
      </c>
      <c r="I295" s="1">
        <v>46237</v>
      </c>
      <c r="J295" t="s">
        <v>138</v>
      </c>
      <c r="K295" t="s">
        <v>1278</v>
      </c>
      <c r="L295" t="s">
        <v>12</v>
      </c>
      <c r="M295" t="s">
        <v>21</v>
      </c>
      <c r="N295" t="s">
        <v>1468</v>
      </c>
      <c r="O295" t="s">
        <v>1949</v>
      </c>
      <c r="P295">
        <v>1000022811</v>
      </c>
      <c r="Q295" t="s">
        <v>6</v>
      </c>
      <c r="R295" t="s">
        <v>740</v>
      </c>
      <c r="S295" t="s">
        <v>1469</v>
      </c>
      <c r="T295" t="s">
        <v>1995</v>
      </c>
      <c r="U295">
        <v>20</v>
      </c>
      <c r="V295">
        <v>5.41</v>
      </c>
      <c r="W295">
        <v>108.2</v>
      </c>
      <c r="X295">
        <v>0</v>
      </c>
      <c r="Y295">
        <v>0</v>
      </c>
      <c r="Z295">
        <v>19.475999999999999</v>
      </c>
      <c r="AA295">
        <v>0</v>
      </c>
      <c r="AB295">
        <v>0</v>
      </c>
      <c r="AC295">
        <v>127.676</v>
      </c>
      <c r="AD295">
        <v>0</v>
      </c>
      <c r="AE295">
        <v>0</v>
      </c>
      <c r="AF295">
        <v>127.676</v>
      </c>
      <c r="AG295" t="s">
        <v>37</v>
      </c>
    </row>
    <row r="296" spans="1:33" x14ac:dyDescent="0.35">
      <c r="A296">
        <v>294</v>
      </c>
      <c r="B296">
        <v>282598</v>
      </c>
      <c r="C296">
        <v>328013786</v>
      </c>
      <c r="D296" t="s">
        <v>1378</v>
      </c>
      <c r="E296" t="s">
        <v>50</v>
      </c>
      <c r="F296" s="1">
        <v>46246</v>
      </c>
      <c r="G296" t="s">
        <v>1379</v>
      </c>
      <c r="H296">
        <v>4800000006</v>
      </c>
      <c r="I296" s="1">
        <v>46237</v>
      </c>
      <c r="J296" t="s">
        <v>138</v>
      </c>
      <c r="K296" t="s">
        <v>1278</v>
      </c>
      <c r="L296" t="s">
        <v>12</v>
      </c>
      <c r="M296" t="s">
        <v>21</v>
      </c>
      <c r="N296" t="s">
        <v>1482</v>
      </c>
      <c r="O296" t="s">
        <v>1949</v>
      </c>
      <c r="P296">
        <v>1000022811</v>
      </c>
      <c r="Q296" t="s">
        <v>6</v>
      </c>
      <c r="R296" t="s">
        <v>886</v>
      </c>
      <c r="S296" t="s">
        <v>1483</v>
      </c>
      <c r="T296" t="s">
        <v>1995</v>
      </c>
      <c r="U296">
        <v>10</v>
      </c>
      <c r="V296">
        <v>5.31</v>
      </c>
      <c r="W296">
        <v>53.1</v>
      </c>
      <c r="X296">
        <v>0</v>
      </c>
      <c r="Y296">
        <v>0</v>
      </c>
      <c r="Z296">
        <v>9.5579999999999998</v>
      </c>
      <c r="AA296">
        <v>0</v>
      </c>
      <c r="AB296">
        <v>0</v>
      </c>
      <c r="AC296">
        <v>62.658000000000001</v>
      </c>
      <c r="AD296">
        <v>0</v>
      </c>
      <c r="AE296">
        <v>0</v>
      </c>
      <c r="AF296">
        <v>62.658000000000001</v>
      </c>
      <c r="AG296" t="s">
        <v>37</v>
      </c>
    </row>
    <row r="297" spans="1:33" x14ac:dyDescent="0.35">
      <c r="A297">
        <v>295</v>
      </c>
      <c r="B297">
        <v>282598</v>
      </c>
      <c r="C297">
        <v>328013786</v>
      </c>
      <c r="D297" t="s">
        <v>1378</v>
      </c>
      <c r="E297" t="s">
        <v>50</v>
      </c>
      <c r="F297" s="1">
        <v>46246</v>
      </c>
      <c r="G297" t="s">
        <v>1379</v>
      </c>
      <c r="H297">
        <v>4800000006</v>
      </c>
      <c r="I297" s="1">
        <v>46237</v>
      </c>
      <c r="J297" t="s">
        <v>138</v>
      </c>
      <c r="K297" t="s">
        <v>1278</v>
      </c>
      <c r="L297" t="s">
        <v>12</v>
      </c>
      <c r="M297" t="s">
        <v>21</v>
      </c>
      <c r="N297" t="s">
        <v>1494</v>
      </c>
      <c r="O297" t="s">
        <v>2027</v>
      </c>
      <c r="P297">
        <v>1000022814</v>
      </c>
      <c r="Q297" t="s">
        <v>6</v>
      </c>
      <c r="R297" t="s">
        <v>699</v>
      </c>
      <c r="S297" t="s">
        <v>1495</v>
      </c>
      <c r="T297" t="s">
        <v>1995</v>
      </c>
      <c r="U297">
        <v>10</v>
      </c>
      <c r="V297">
        <v>27.33</v>
      </c>
      <c r="W297">
        <v>273.3</v>
      </c>
      <c r="X297">
        <v>0</v>
      </c>
      <c r="Y297">
        <v>0</v>
      </c>
      <c r="Z297">
        <v>49.194000000000003</v>
      </c>
      <c r="AA297">
        <v>0</v>
      </c>
      <c r="AB297">
        <v>0</v>
      </c>
      <c r="AC297">
        <v>322.49400000000003</v>
      </c>
      <c r="AD297">
        <v>0</v>
      </c>
      <c r="AE297">
        <v>0</v>
      </c>
      <c r="AF297">
        <v>322.49400000000003</v>
      </c>
      <c r="AG297" t="s">
        <v>37</v>
      </c>
    </row>
    <row r="298" spans="1:33" x14ac:dyDescent="0.35">
      <c r="A298">
        <v>296</v>
      </c>
      <c r="B298">
        <v>282598</v>
      </c>
      <c r="C298">
        <v>328013786</v>
      </c>
      <c r="D298" t="s">
        <v>1378</v>
      </c>
      <c r="E298" t="s">
        <v>50</v>
      </c>
      <c r="F298" s="1">
        <v>46246</v>
      </c>
      <c r="G298" t="s">
        <v>1379</v>
      </c>
      <c r="H298">
        <v>4800000006</v>
      </c>
      <c r="I298" s="1">
        <v>46237</v>
      </c>
      <c r="J298" t="s">
        <v>138</v>
      </c>
      <c r="K298" t="s">
        <v>1278</v>
      </c>
      <c r="L298" t="s">
        <v>12</v>
      </c>
      <c r="M298" t="s">
        <v>21</v>
      </c>
      <c r="N298" t="s">
        <v>1479</v>
      </c>
      <c r="O298" t="s">
        <v>1936</v>
      </c>
      <c r="P298">
        <v>1000022802</v>
      </c>
      <c r="Q298" t="s">
        <v>6</v>
      </c>
      <c r="R298" t="s">
        <v>1480</v>
      </c>
      <c r="S298" t="s">
        <v>1481</v>
      </c>
      <c r="T298" t="s">
        <v>416</v>
      </c>
      <c r="U298">
        <v>10</v>
      </c>
      <c r="V298">
        <v>76.400000000000006</v>
      </c>
      <c r="W298">
        <v>764</v>
      </c>
      <c r="X298">
        <v>0</v>
      </c>
      <c r="Y298">
        <v>0</v>
      </c>
      <c r="Z298">
        <v>137.52000000000001</v>
      </c>
      <c r="AA298">
        <v>0</v>
      </c>
      <c r="AB298">
        <v>0</v>
      </c>
      <c r="AC298">
        <v>901.52</v>
      </c>
      <c r="AD298">
        <v>0</v>
      </c>
      <c r="AE298">
        <v>0</v>
      </c>
      <c r="AF298">
        <v>901.52</v>
      </c>
      <c r="AG298" t="s">
        <v>37</v>
      </c>
    </row>
    <row r="299" spans="1:33" x14ac:dyDescent="0.35">
      <c r="A299">
        <v>297</v>
      </c>
      <c r="B299">
        <v>282598</v>
      </c>
      <c r="C299">
        <v>328013786</v>
      </c>
      <c r="D299" t="s">
        <v>1378</v>
      </c>
      <c r="E299" t="s">
        <v>50</v>
      </c>
      <c r="F299" s="1">
        <v>46246</v>
      </c>
      <c r="G299" t="s">
        <v>1379</v>
      </c>
      <c r="H299">
        <v>4800000006</v>
      </c>
      <c r="I299" s="1">
        <v>46237</v>
      </c>
      <c r="J299" t="s">
        <v>138</v>
      </c>
      <c r="K299" t="s">
        <v>1278</v>
      </c>
      <c r="L299" t="s">
        <v>12</v>
      </c>
      <c r="M299" t="s">
        <v>21</v>
      </c>
      <c r="N299" t="s">
        <v>1492</v>
      </c>
      <c r="O299" t="s">
        <v>1938</v>
      </c>
      <c r="P299">
        <v>1000022805</v>
      </c>
      <c r="Q299" t="s">
        <v>6</v>
      </c>
      <c r="R299" t="s">
        <v>47</v>
      </c>
      <c r="S299" t="s">
        <v>1493</v>
      </c>
      <c r="T299" t="s">
        <v>1995</v>
      </c>
      <c r="U299">
        <v>20</v>
      </c>
      <c r="V299">
        <v>12.14</v>
      </c>
      <c r="W299">
        <v>242.8</v>
      </c>
      <c r="X299">
        <v>0</v>
      </c>
      <c r="Y299">
        <v>0</v>
      </c>
      <c r="Z299">
        <v>43.704000000000001</v>
      </c>
      <c r="AA299">
        <v>0</v>
      </c>
      <c r="AB299">
        <v>0</v>
      </c>
      <c r="AC299">
        <v>286.50400000000002</v>
      </c>
      <c r="AD299">
        <v>0</v>
      </c>
      <c r="AE299">
        <v>0</v>
      </c>
      <c r="AF299">
        <v>286.50400000000002</v>
      </c>
      <c r="AG299" t="s">
        <v>37</v>
      </c>
    </row>
    <row r="300" spans="1:33" x14ac:dyDescent="0.35">
      <c r="A300">
        <v>298</v>
      </c>
      <c r="B300">
        <v>282598</v>
      </c>
      <c r="C300">
        <v>328013786</v>
      </c>
      <c r="D300" t="s">
        <v>1378</v>
      </c>
      <c r="E300" t="s">
        <v>50</v>
      </c>
      <c r="F300" s="1">
        <v>46246</v>
      </c>
      <c r="G300" t="s">
        <v>1379</v>
      </c>
      <c r="H300">
        <v>4800000006</v>
      </c>
      <c r="I300" s="1">
        <v>46237</v>
      </c>
      <c r="J300" t="s">
        <v>138</v>
      </c>
      <c r="K300" t="s">
        <v>1278</v>
      </c>
      <c r="L300" t="s">
        <v>12</v>
      </c>
      <c r="M300" t="s">
        <v>21</v>
      </c>
      <c r="N300" t="s">
        <v>1456</v>
      </c>
      <c r="O300" t="s">
        <v>1936</v>
      </c>
      <c r="P300">
        <v>1000022802</v>
      </c>
      <c r="Q300" t="s">
        <v>6</v>
      </c>
      <c r="R300" t="s">
        <v>915</v>
      </c>
      <c r="S300" t="s">
        <v>1457</v>
      </c>
      <c r="T300" t="s">
        <v>416</v>
      </c>
      <c r="U300">
        <v>20</v>
      </c>
      <c r="V300">
        <v>13.16</v>
      </c>
      <c r="W300">
        <v>263.2</v>
      </c>
      <c r="X300">
        <v>0</v>
      </c>
      <c r="Y300">
        <v>0</v>
      </c>
      <c r="Z300">
        <v>47.375999999999998</v>
      </c>
      <c r="AA300">
        <v>0</v>
      </c>
      <c r="AB300">
        <v>0</v>
      </c>
      <c r="AC300">
        <v>310.57600000000002</v>
      </c>
      <c r="AD300">
        <v>0</v>
      </c>
      <c r="AE300">
        <v>0</v>
      </c>
      <c r="AF300">
        <v>310.57600000000002</v>
      </c>
      <c r="AG300" t="s">
        <v>37</v>
      </c>
    </row>
    <row r="301" spans="1:33" x14ac:dyDescent="0.35">
      <c r="A301">
        <v>299</v>
      </c>
      <c r="B301">
        <v>282598</v>
      </c>
      <c r="C301">
        <v>328013786</v>
      </c>
      <c r="D301" t="s">
        <v>1378</v>
      </c>
      <c r="E301" t="s">
        <v>50</v>
      </c>
      <c r="F301" s="1">
        <v>46246</v>
      </c>
      <c r="G301" t="s">
        <v>1379</v>
      </c>
      <c r="H301">
        <v>4800000006</v>
      </c>
      <c r="I301" s="1">
        <v>46237</v>
      </c>
      <c r="J301" t="s">
        <v>138</v>
      </c>
      <c r="K301" t="s">
        <v>1278</v>
      </c>
      <c r="L301" t="s">
        <v>12</v>
      </c>
      <c r="M301" t="s">
        <v>21</v>
      </c>
      <c r="N301" t="s">
        <v>1460</v>
      </c>
      <c r="O301" t="s">
        <v>1949</v>
      </c>
      <c r="P301">
        <v>1000022811</v>
      </c>
      <c r="Q301" t="s">
        <v>6</v>
      </c>
      <c r="R301" t="s">
        <v>984</v>
      </c>
      <c r="S301" t="s">
        <v>1461</v>
      </c>
      <c r="T301" t="s">
        <v>1995</v>
      </c>
      <c r="U301">
        <v>30</v>
      </c>
      <c r="V301">
        <v>2.25</v>
      </c>
      <c r="W301">
        <v>67.5</v>
      </c>
      <c r="X301">
        <v>0</v>
      </c>
      <c r="Y301">
        <v>0</v>
      </c>
      <c r="Z301">
        <v>12.15</v>
      </c>
      <c r="AA301">
        <v>0</v>
      </c>
      <c r="AB301">
        <v>0</v>
      </c>
      <c r="AC301">
        <v>79.650000000000006</v>
      </c>
      <c r="AD301">
        <v>0</v>
      </c>
      <c r="AE301">
        <v>0</v>
      </c>
      <c r="AF301">
        <v>79.650000000000006</v>
      </c>
      <c r="AG301" t="s">
        <v>37</v>
      </c>
    </row>
    <row r="302" spans="1:33" x14ac:dyDescent="0.35">
      <c r="A302">
        <v>300</v>
      </c>
      <c r="B302">
        <v>282598</v>
      </c>
      <c r="C302">
        <v>328013786</v>
      </c>
      <c r="D302" t="s">
        <v>1378</v>
      </c>
      <c r="E302" t="s">
        <v>50</v>
      </c>
      <c r="F302" s="1">
        <v>46246</v>
      </c>
      <c r="G302" t="s">
        <v>1379</v>
      </c>
      <c r="H302">
        <v>4800000006</v>
      </c>
      <c r="I302" s="1">
        <v>46237</v>
      </c>
      <c r="J302" t="s">
        <v>138</v>
      </c>
      <c r="K302" t="s">
        <v>1278</v>
      </c>
      <c r="L302" t="s">
        <v>12</v>
      </c>
      <c r="M302" t="s">
        <v>21</v>
      </c>
      <c r="N302" t="s">
        <v>1400</v>
      </c>
      <c r="O302" t="s">
        <v>1935</v>
      </c>
      <c r="P302">
        <v>1000022811</v>
      </c>
      <c r="Q302" t="s">
        <v>6</v>
      </c>
      <c r="R302" t="s">
        <v>796</v>
      </c>
      <c r="S302" t="s">
        <v>1401</v>
      </c>
      <c r="T302" t="s">
        <v>1995</v>
      </c>
      <c r="U302">
        <v>10</v>
      </c>
      <c r="V302">
        <v>57.63</v>
      </c>
      <c r="W302">
        <v>576.29999999999995</v>
      </c>
      <c r="X302">
        <v>0</v>
      </c>
      <c r="Y302">
        <v>0</v>
      </c>
      <c r="Z302">
        <v>103.73399999999999</v>
      </c>
      <c r="AA302">
        <v>0</v>
      </c>
      <c r="AB302">
        <v>0</v>
      </c>
      <c r="AC302">
        <v>680.03399999999999</v>
      </c>
      <c r="AD302">
        <v>0</v>
      </c>
      <c r="AE302">
        <v>0</v>
      </c>
      <c r="AF302">
        <v>680.03399999999999</v>
      </c>
      <c r="AG302" t="s">
        <v>37</v>
      </c>
    </row>
    <row r="303" spans="1:33" x14ac:dyDescent="0.35">
      <c r="A303">
        <v>301</v>
      </c>
      <c r="B303">
        <v>282598</v>
      </c>
      <c r="C303">
        <v>328013786</v>
      </c>
      <c r="D303" t="s">
        <v>1378</v>
      </c>
      <c r="E303" t="s">
        <v>50</v>
      </c>
      <c r="F303" s="1">
        <v>46246</v>
      </c>
      <c r="G303" t="s">
        <v>1379</v>
      </c>
      <c r="H303">
        <v>4800000006</v>
      </c>
      <c r="I303" s="1">
        <v>46237</v>
      </c>
      <c r="J303" t="s">
        <v>138</v>
      </c>
      <c r="K303" t="s">
        <v>1278</v>
      </c>
      <c r="L303" t="s">
        <v>12</v>
      </c>
      <c r="M303" t="s">
        <v>21</v>
      </c>
      <c r="N303" t="s">
        <v>991</v>
      </c>
      <c r="O303" t="s">
        <v>1932</v>
      </c>
      <c r="P303">
        <v>1000022801</v>
      </c>
      <c r="Q303" t="s">
        <v>6</v>
      </c>
      <c r="R303" t="s">
        <v>992</v>
      </c>
      <c r="S303" t="s">
        <v>993</v>
      </c>
      <c r="T303" t="s">
        <v>2003</v>
      </c>
      <c r="U303">
        <v>30</v>
      </c>
      <c r="V303">
        <v>71.709999999999994</v>
      </c>
      <c r="W303" s="2">
        <v>2151.3000000000002</v>
      </c>
      <c r="X303">
        <v>0</v>
      </c>
      <c r="Y303">
        <v>0</v>
      </c>
      <c r="Z303">
        <v>387.23399999999998</v>
      </c>
      <c r="AA303">
        <v>0</v>
      </c>
      <c r="AB303">
        <v>0</v>
      </c>
      <c r="AC303" s="2">
        <v>2538.5340000000001</v>
      </c>
      <c r="AD303">
        <v>0</v>
      </c>
      <c r="AE303">
        <v>0</v>
      </c>
      <c r="AF303" s="2">
        <v>2538.5340000000001</v>
      </c>
      <c r="AG303" t="s">
        <v>37</v>
      </c>
    </row>
    <row r="304" spans="1:33" x14ac:dyDescent="0.35">
      <c r="A304">
        <v>302</v>
      </c>
      <c r="B304">
        <v>282598</v>
      </c>
      <c r="C304">
        <v>328013786</v>
      </c>
      <c r="D304" t="s">
        <v>1378</v>
      </c>
      <c r="E304" t="s">
        <v>50</v>
      </c>
      <c r="F304" s="1">
        <v>46246</v>
      </c>
      <c r="G304" t="s">
        <v>1379</v>
      </c>
      <c r="H304">
        <v>4800000006</v>
      </c>
      <c r="I304" s="1">
        <v>46237</v>
      </c>
      <c r="J304" t="s">
        <v>138</v>
      </c>
      <c r="K304" t="s">
        <v>1278</v>
      </c>
      <c r="L304" t="s">
        <v>12</v>
      </c>
      <c r="M304" t="s">
        <v>21</v>
      </c>
      <c r="N304" t="s">
        <v>1464</v>
      </c>
      <c r="O304" t="s">
        <v>1932</v>
      </c>
      <c r="P304">
        <v>1000022801</v>
      </c>
      <c r="Q304" t="s">
        <v>6</v>
      </c>
      <c r="R304" t="s">
        <v>1422</v>
      </c>
      <c r="S304" t="s">
        <v>1465</v>
      </c>
      <c r="T304" t="s">
        <v>2001</v>
      </c>
      <c r="U304">
        <v>30</v>
      </c>
      <c r="V304">
        <v>53.66</v>
      </c>
      <c r="W304" s="2">
        <v>1609.8</v>
      </c>
      <c r="X304">
        <v>0</v>
      </c>
      <c r="Y304">
        <v>0</v>
      </c>
      <c r="Z304">
        <v>289.76400000000001</v>
      </c>
      <c r="AA304">
        <v>0</v>
      </c>
      <c r="AB304">
        <v>0</v>
      </c>
      <c r="AC304" s="2">
        <v>1899.5640000000001</v>
      </c>
      <c r="AD304">
        <v>0</v>
      </c>
      <c r="AE304">
        <v>0</v>
      </c>
      <c r="AF304" s="2">
        <v>1899.5640000000001</v>
      </c>
      <c r="AG304" t="s">
        <v>37</v>
      </c>
    </row>
    <row r="305" spans="1:33" x14ac:dyDescent="0.35">
      <c r="A305">
        <v>303</v>
      </c>
      <c r="B305">
        <v>282598</v>
      </c>
      <c r="C305">
        <v>328013786</v>
      </c>
      <c r="D305" t="s">
        <v>1378</v>
      </c>
      <c r="E305" t="s">
        <v>50</v>
      </c>
      <c r="F305" s="1">
        <v>46246</v>
      </c>
      <c r="G305" t="s">
        <v>1379</v>
      </c>
      <c r="H305">
        <v>4800000006</v>
      </c>
      <c r="I305" s="1">
        <v>46237</v>
      </c>
      <c r="J305" t="s">
        <v>138</v>
      </c>
      <c r="K305" t="s">
        <v>1278</v>
      </c>
      <c r="L305" t="s">
        <v>12</v>
      </c>
      <c r="M305" t="s">
        <v>21</v>
      </c>
      <c r="N305" t="s">
        <v>1444</v>
      </c>
      <c r="O305" t="s">
        <v>1938</v>
      </c>
      <c r="P305">
        <v>1000022805</v>
      </c>
      <c r="Q305" t="s">
        <v>6</v>
      </c>
      <c r="R305" t="s">
        <v>796</v>
      </c>
      <c r="S305" t="s">
        <v>1445</v>
      </c>
      <c r="T305" t="s">
        <v>1995</v>
      </c>
      <c r="U305">
        <v>10</v>
      </c>
      <c r="V305">
        <v>14.39</v>
      </c>
      <c r="W305">
        <v>143.9</v>
      </c>
      <c r="X305">
        <v>0</v>
      </c>
      <c r="Y305">
        <v>0</v>
      </c>
      <c r="Z305">
        <v>25.902000000000001</v>
      </c>
      <c r="AA305">
        <v>0</v>
      </c>
      <c r="AB305">
        <v>0</v>
      </c>
      <c r="AC305">
        <v>169.80199999999999</v>
      </c>
      <c r="AD305">
        <v>0</v>
      </c>
      <c r="AE305">
        <v>0</v>
      </c>
      <c r="AF305">
        <v>169.80199999999999</v>
      </c>
      <c r="AG305" t="s">
        <v>37</v>
      </c>
    </row>
    <row r="306" spans="1:33" x14ac:dyDescent="0.35">
      <c r="A306">
        <v>304</v>
      </c>
      <c r="B306">
        <v>282598</v>
      </c>
      <c r="C306">
        <v>328013786</v>
      </c>
      <c r="D306" t="s">
        <v>1378</v>
      </c>
      <c r="E306" t="s">
        <v>50</v>
      </c>
      <c r="F306" s="1">
        <v>46246</v>
      </c>
      <c r="G306" t="s">
        <v>1379</v>
      </c>
      <c r="H306">
        <v>4800000006</v>
      </c>
      <c r="I306" s="1">
        <v>46237</v>
      </c>
      <c r="J306" t="s">
        <v>138</v>
      </c>
      <c r="K306" t="s">
        <v>1278</v>
      </c>
      <c r="L306" t="s">
        <v>12</v>
      </c>
      <c r="M306" t="s">
        <v>21</v>
      </c>
      <c r="N306" t="s">
        <v>1477</v>
      </c>
      <c r="O306" t="s">
        <v>1949</v>
      </c>
      <c r="P306">
        <v>1000022811</v>
      </c>
      <c r="Q306" t="s">
        <v>6</v>
      </c>
      <c r="R306" t="s">
        <v>1419</v>
      </c>
      <c r="S306" t="s">
        <v>1478</v>
      </c>
      <c r="T306" t="s">
        <v>1995</v>
      </c>
      <c r="U306">
        <v>100</v>
      </c>
      <c r="V306">
        <v>41.11</v>
      </c>
      <c r="W306" s="2">
        <v>4111</v>
      </c>
      <c r="X306">
        <v>0</v>
      </c>
      <c r="Y306">
        <v>0</v>
      </c>
      <c r="Z306">
        <v>739.98</v>
      </c>
      <c r="AA306">
        <v>0</v>
      </c>
      <c r="AB306">
        <v>0</v>
      </c>
      <c r="AC306" s="2">
        <v>4850.9799999999996</v>
      </c>
      <c r="AD306">
        <v>0</v>
      </c>
      <c r="AE306">
        <v>0</v>
      </c>
      <c r="AF306" s="2">
        <v>4850.9799999999996</v>
      </c>
      <c r="AG306" t="s">
        <v>37</v>
      </c>
    </row>
    <row r="307" spans="1:33" x14ac:dyDescent="0.35">
      <c r="A307">
        <v>305</v>
      </c>
      <c r="B307">
        <v>282598</v>
      </c>
      <c r="C307">
        <v>328013786</v>
      </c>
      <c r="D307" t="s">
        <v>1378</v>
      </c>
      <c r="E307" t="s">
        <v>50</v>
      </c>
      <c r="F307" s="1">
        <v>46246</v>
      </c>
      <c r="G307" t="s">
        <v>1379</v>
      </c>
      <c r="H307">
        <v>4800000006</v>
      </c>
      <c r="I307" s="1">
        <v>46237</v>
      </c>
      <c r="J307" t="s">
        <v>138</v>
      </c>
      <c r="K307" t="s">
        <v>1278</v>
      </c>
      <c r="L307" t="s">
        <v>12</v>
      </c>
      <c r="M307" t="s">
        <v>21</v>
      </c>
      <c r="N307" t="s">
        <v>1426</v>
      </c>
      <c r="O307" t="s">
        <v>1938</v>
      </c>
      <c r="P307">
        <v>1000022805</v>
      </c>
      <c r="Q307" t="s">
        <v>6</v>
      </c>
      <c r="R307" t="s">
        <v>40</v>
      </c>
      <c r="S307" t="s">
        <v>1427</v>
      </c>
      <c r="T307" t="s">
        <v>1995</v>
      </c>
      <c r="U307">
        <v>330</v>
      </c>
      <c r="V307">
        <v>4.08</v>
      </c>
      <c r="W307" s="2">
        <v>1346.4</v>
      </c>
      <c r="X307">
        <v>0</v>
      </c>
      <c r="Y307">
        <v>0</v>
      </c>
      <c r="Z307">
        <v>242.352</v>
      </c>
      <c r="AA307">
        <v>0</v>
      </c>
      <c r="AB307">
        <v>0</v>
      </c>
      <c r="AC307" s="2">
        <v>1588.752</v>
      </c>
      <c r="AD307">
        <v>0</v>
      </c>
      <c r="AE307">
        <v>0</v>
      </c>
      <c r="AF307" s="2">
        <v>1588.752</v>
      </c>
      <c r="AG307" t="s">
        <v>37</v>
      </c>
    </row>
    <row r="308" spans="1:33" x14ac:dyDescent="0.35">
      <c r="A308">
        <v>306</v>
      </c>
      <c r="B308">
        <v>282598</v>
      </c>
      <c r="C308">
        <v>328013786</v>
      </c>
      <c r="D308" t="s">
        <v>1378</v>
      </c>
      <c r="E308" t="s">
        <v>50</v>
      </c>
      <c r="F308" s="1">
        <v>46246</v>
      </c>
      <c r="G308" t="s">
        <v>1379</v>
      </c>
      <c r="H308">
        <v>4800000006</v>
      </c>
      <c r="I308" s="1">
        <v>46237</v>
      </c>
      <c r="J308" t="s">
        <v>138</v>
      </c>
      <c r="K308" t="s">
        <v>1278</v>
      </c>
      <c r="L308" t="s">
        <v>12</v>
      </c>
      <c r="M308" t="s">
        <v>21</v>
      </c>
      <c r="N308" t="s">
        <v>1484</v>
      </c>
      <c r="O308" t="s">
        <v>1936</v>
      </c>
      <c r="P308">
        <v>1000022807</v>
      </c>
      <c r="Q308" t="s">
        <v>6</v>
      </c>
      <c r="R308" t="s">
        <v>1480</v>
      </c>
      <c r="S308" t="s">
        <v>1485</v>
      </c>
      <c r="T308" t="s">
        <v>416</v>
      </c>
      <c r="U308">
        <v>10</v>
      </c>
      <c r="V308">
        <v>295.8</v>
      </c>
      <c r="W308" s="2">
        <v>2958</v>
      </c>
      <c r="X308">
        <v>0</v>
      </c>
      <c r="Y308">
        <v>0</v>
      </c>
      <c r="Z308">
        <v>532.44000000000005</v>
      </c>
      <c r="AA308">
        <v>0</v>
      </c>
      <c r="AB308">
        <v>0</v>
      </c>
      <c r="AC308" s="2">
        <v>3490.44</v>
      </c>
      <c r="AD308">
        <v>0</v>
      </c>
      <c r="AE308">
        <v>0</v>
      </c>
      <c r="AF308" s="2">
        <v>3490.44</v>
      </c>
      <c r="AG308" t="s">
        <v>37</v>
      </c>
    </row>
    <row r="309" spans="1:33" x14ac:dyDescent="0.35">
      <c r="A309">
        <v>307</v>
      </c>
      <c r="B309">
        <v>282598</v>
      </c>
      <c r="C309">
        <v>328013786</v>
      </c>
      <c r="D309" t="s">
        <v>1378</v>
      </c>
      <c r="E309" t="s">
        <v>50</v>
      </c>
      <c r="F309" s="1">
        <v>46246</v>
      </c>
      <c r="G309" t="s">
        <v>1379</v>
      </c>
      <c r="H309">
        <v>4800000006</v>
      </c>
      <c r="I309" s="1">
        <v>46237</v>
      </c>
      <c r="J309" t="s">
        <v>138</v>
      </c>
      <c r="K309" t="s">
        <v>1278</v>
      </c>
      <c r="L309" t="s">
        <v>12</v>
      </c>
      <c r="M309" t="s">
        <v>21</v>
      </c>
      <c r="N309" t="s">
        <v>1448</v>
      </c>
      <c r="O309" t="s">
        <v>1949</v>
      </c>
      <c r="P309">
        <v>1000022811</v>
      </c>
      <c r="Q309" t="s">
        <v>6</v>
      </c>
      <c r="R309" t="s">
        <v>984</v>
      </c>
      <c r="S309" t="s">
        <v>1449</v>
      </c>
      <c r="T309" t="s">
        <v>1995</v>
      </c>
      <c r="U309">
        <v>20</v>
      </c>
      <c r="V309">
        <v>7.35</v>
      </c>
      <c r="W309">
        <v>147</v>
      </c>
      <c r="X309">
        <v>0</v>
      </c>
      <c r="Y309">
        <v>0</v>
      </c>
      <c r="Z309">
        <v>26.46</v>
      </c>
      <c r="AA309">
        <v>0</v>
      </c>
      <c r="AB309">
        <v>0</v>
      </c>
      <c r="AC309">
        <v>173.46</v>
      </c>
      <c r="AD309">
        <v>0</v>
      </c>
      <c r="AE309">
        <v>0</v>
      </c>
      <c r="AF309">
        <v>173.46</v>
      </c>
      <c r="AG309" t="s">
        <v>37</v>
      </c>
    </row>
    <row r="310" spans="1:33" x14ac:dyDescent="0.35">
      <c r="A310">
        <v>308</v>
      </c>
      <c r="B310">
        <v>282598</v>
      </c>
      <c r="C310">
        <v>328013786</v>
      </c>
      <c r="D310" t="s">
        <v>1378</v>
      </c>
      <c r="E310" t="s">
        <v>50</v>
      </c>
      <c r="F310" s="1">
        <v>46246</v>
      </c>
      <c r="G310" t="s">
        <v>1379</v>
      </c>
      <c r="H310">
        <v>4800000006</v>
      </c>
      <c r="I310" s="1">
        <v>46237</v>
      </c>
      <c r="J310" t="s">
        <v>138</v>
      </c>
      <c r="K310" t="s">
        <v>1278</v>
      </c>
      <c r="L310" t="s">
        <v>12</v>
      </c>
      <c r="M310" t="s">
        <v>21</v>
      </c>
      <c r="N310" t="s">
        <v>1435</v>
      </c>
      <c r="O310" t="s">
        <v>2032</v>
      </c>
      <c r="P310">
        <v>1000022802</v>
      </c>
      <c r="Q310" t="s">
        <v>6</v>
      </c>
      <c r="R310" t="s">
        <v>76</v>
      </c>
      <c r="S310" t="s">
        <v>1436</v>
      </c>
      <c r="T310" t="s">
        <v>1995</v>
      </c>
      <c r="U310">
        <v>20</v>
      </c>
      <c r="V310">
        <v>107.75</v>
      </c>
      <c r="W310" s="2">
        <v>2155</v>
      </c>
      <c r="X310">
        <v>0</v>
      </c>
      <c r="Y310">
        <v>0</v>
      </c>
      <c r="Z310">
        <v>387.9</v>
      </c>
      <c r="AA310">
        <v>0</v>
      </c>
      <c r="AB310">
        <v>0</v>
      </c>
      <c r="AC310" s="2">
        <v>2542.9</v>
      </c>
      <c r="AD310">
        <v>0</v>
      </c>
      <c r="AE310">
        <v>0</v>
      </c>
      <c r="AF310" s="2">
        <v>2542.9</v>
      </c>
      <c r="AG310" t="s">
        <v>37</v>
      </c>
    </row>
    <row r="311" spans="1:33" x14ac:dyDescent="0.35">
      <c r="A311">
        <v>309</v>
      </c>
      <c r="B311">
        <v>282598</v>
      </c>
      <c r="C311">
        <v>328013786</v>
      </c>
      <c r="D311" t="s">
        <v>1378</v>
      </c>
      <c r="E311" t="s">
        <v>50</v>
      </c>
      <c r="F311" s="1">
        <v>46246</v>
      </c>
      <c r="G311" t="s">
        <v>1379</v>
      </c>
      <c r="H311">
        <v>4800000006</v>
      </c>
      <c r="I311" s="1">
        <v>46237</v>
      </c>
      <c r="J311" t="s">
        <v>138</v>
      </c>
      <c r="K311" t="s">
        <v>1278</v>
      </c>
      <c r="L311" t="s">
        <v>12</v>
      </c>
      <c r="M311" t="s">
        <v>21</v>
      </c>
      <c r="N311" t="s">
        <v>1408</v>
      </c>
      <c r="O311" t="s">
        <v>1941</v>
      </c>
      <c r="P311">
        <v>1000022814</v>
      </c>
      <c r="Q311" t="s">
        <v>6</v>
      </c>
      <c r="R311" t="s">
        <v>43</v>
      </c>
      <c r="S311" t="s">
        <v>1409</v>
      </c>
      <c r="T311" t="s">
        <v>2003</v>
      </c>
      <c r="U311">
        <v>100</v>
      </c>
      <c r="V311">
        <v>26.77</v>
      </c>
      <c r="W311" s="2">
        <v>2677</v>
      </c>
      <c r="X311">
        <v>0</v>
      </c>
      <c r="Y311">
        <v>0</v>
      </c>
      <c r="Z311">
        <v>481.86</v>
      </c>
      <c r="AA311">
        <v>0</v>
      </c>
      <c r="AB311">
        <v>0</v>
      </c>
      <c r="AC311" s="2">
        <v>3158.86</v>
      </c>
      <c r="AD311">
        <v>0</v>
      </c>
      <c r="AE311">
        <v>0</v>
      </c>
      <c r="AF311" s="2">
        <v>3158.86</v>
      </c>
      <c r="AG311" t="s">
        <v>37</v>
      </c>
    </row>
    <row r="312" spans="1:33" x14ac:dyDescent="0.35">
      <c r="A312">
        <v>310</v>
      </c>
      <c r="B312">
        <v>282598</v>
      </c>
      <c r="C312">
        <v>328013786</v>
      </c>
      <c r="D312" t="s">
        <v>1378</v>
      </c>
      <c r="E312" t="s">
        <v>50</v>
      </c>
      <c r="F312" s="1">
        <v>46246</v>
      </c>
      <c r="G312" t="s">
        <v>1379</v>
      </c>
      <c r="H312">
        <v>4800000006</v>
      </c>
      <c r="I312" s="1">
        <v>46237</v>
      </c>
      <c r="J312" t="s">
        <v>138</v>
      </c>
      <c r="K312" t="s">
        <v>1278</v>
      </c>
      <c r="L312" t="s">
        <v>12</v>
      </c>
      <c r="M312" t="s">
        <v>21</v>
      </c>
      <c r="N312" t="s">
        <v>1504</v>
      </c>
      <c r="O312" t="s">
        <v>1938</v>
      </c>
      <c r="P312">
        <v>1000022805</v>
      </c>
      <c r="Q312" t="s">
        <v>6</v>
      </c>
      <c r="R312" t="s">
        <v>740</v>
      </c>
      <c r="S312" t="s">
        <v>1505</v>
      </c>
      <c r="T312" t="s">
        <v>1995</v>
      </c>
      <c r="U312">
        <v>100</v>
      </c>
      <c r="V312">
        <v>1.53</v>
      </c>
      <c r="W312">
        <v>153</v>
      </c>
      <c r="X312">
        <v>0</v>
      </c>
      <c r="Y312">
        <v>0</v>
      </c>
      <c r="Z312">
        <v>27.54</v>
      </c>
      <c r="AA312">
        <v>0</v>
      </c>
      <c r="AB312">
        <v>0</v>
      </c>
      <c r="AC312">
        <v>180.54</v>
      </c>
      <c r="AD312">
        <v>0</v>
      </c>
      <c r="AE312">
        <v>0</v>
      </c>
      <c r="AF312">
        <v>180.54</v>
      </c>
      <c r="AG312" t="s">
        <v>37</v>
      </c>
    </row>
    <row r="313" spans="1:33" x14ac:dyDescent="0.35">
      <c r="A313">
        <v>311</v>
      </c>
      <c r="B313">
        <v>282598</v>
      </c>
      <c r="C313">
        <v>328013786</v>
      </c>
      <c r="D313" t="s">
        <v>1378</v>
      </c>
      <c r="E313" t="s">
        <v>50</v>
      </c>
      <c r="F313" s="1">
        <v>46246</v>
      </c>
      <c r="G313" t="s">
        <v>1379</v>
      </c>
      <c r="H313">
        <v>4800000006</v>
      </c>
      <c r="I313" s="1">
        <v>46237</v>
      </c>
      <c r="J313" t="s">
        <v>138</v>
      </c>
      <c r="K313" t="s">
        <v>1278</v>
      </c>
      <c r="L313" t="s">
        <v>12</v>
      </c>
      <c r="M313" t="s">
        <v>21</v>
      </c>
      <c r="N313" t="s">
        <v>1380</v>
      </c>
      <c r="O313" t="s">
        <v>1949</v>
      </c>
      <c r="P313">
        <v>1000022811</v>
      </c>
      <c r="Q313" t="s">
        <v>6</v>
      </c>
      <c r="R313" t="s">
        <v>886</v>
      </c>
      <c r="S313" t="s">
        <v>1381</v>
      </c>
      <c r="T313" t="s">
        <v>1995</v>
      </c>
      <c r="U313">
        <v>20</v>
      </c>
      <c r="V313">
        <v>4.9000000000000004</v>
      </c>
      <c r="W313">
        <v>98</v>
      </c>
      <c r="X313">
        <v>0</v>
      </c>
      <c r="Y313">
        <v>0</v>
      </c>
      <c r="Z313">
        <v>17.64</v>
      </c>
      <c r="AA313">
        <v>0</v>
      </c>
      <c r="AB313">
        <v>0</v>
      </c>
      <c r="AC313">
        <v>115.64</v>
      </c>
      <c r="AD313">
        <v>0</v>
      </c>
      <c r="AE313">
        <v>0</v>
      </c>
      <c r="AF313">
        <v>115.64</v>
      </c>
      <c r="AG313" t="s">
        <v>37</v>
      </c>
    </row>
    <row r="314" spans="1:33" x14ac:dyDescent="0.35">
      <c r="A314">
        <v>312</v>
      </c>
      <c r="B314">
        <v>282598</v>
      </c>
      <c r="C314">
        <v>328013786</v>
      </c>
      <c r="D314" t="s">
        <v>1378</v>
      </c>
      <c r="E314" t="s">
        <v>50</v>
      </c>
      <c r="F314" s="1">
        <v>46246</v>
      </c>
      <c r="G314" t="s">
        <v>1379</v>
      </c>
      <c r="H314">
        <v>4800000006</v>
      </c>
      <c r="I314" s="1">
        <v>46237</v>
      </c>
      <c r="J314" t="s">
        <v>138</v>
      </c>
      <c r="K314" t="s">
        <v>1278</v>
      </c>
      <c r="L314" t="s">
        <v>12</v>
      </c>
      <c r="M314" t="s">
        <v>21</v>
      </c>
      <c r="N314" t="s">
        <v>1404</v>
      </c>
      <c r="O314" t="s">
        <v>1939</v>
      </c>
      <c r="P314">
        <v>1000022801</v>
      </c>
      <c r="Q314" t="s">
        <v>6</v>
      </c>
      <c r="R314" t="s">
        <v>38</v>
      </c>
      <c r="S314" t="s">
        <v>1405</v>
      </c>
      <c r="T314" t="s">
        <v>2003</v>
      </c>
      <c r="U314">
        <v>100</v>
      </c>
      <c r="V314">
        <v>6.02</v>
      </c>
      <c r="W314">
        <v>602</v>
      </c>
      <c r="X314">
        <v>0</v>
      </c>
      <c r="Y314">
        <v>0</v>
      </c>
      <c r="Z314">
        <v>108.36</v>
      </c>
      <c r="AA314">
        <v>0</v>
      </c>
      <c r="AB314">
        <v>0</v>
      </c>
      <c r="AC314">
        <v>710.36</v>
      </c>
      <c r="AD314">
        <v>0</v>
      </c>
      <c r="AE314">
        <v>0</v>
      </c>
      <c r="AF314">
        <v>710.36</v>
      </c>
      <c r="AG314" t="s">
        <v>37</v>
      </c>
    </row>
    <row r="315" spans="1:33" x14ac:dyDescent="0.35">
      <c r="A315">
        <v>313</v>
      </c>
      <c r="B315">
        <v>282598</v>
      </c>
      <c r="C315">
        <v>328013786</v>
      </c>
      <c r="D315" t="s">
        <v>1378</v>
      </c>
      <c r="E315" t="s">
        <v>50</v>
      </c>
      <c r="F315" s="1">
        <v>46246</v>
      </c>
      <c r="G315" t="s">
        <v>1379</v>
      </c>
      <c r="H315">
        <v>4800000006</v>
      </c>
      <c r="I315" s="1">
        <v>46237</v>
      </c>
      <c r="J315" t="s">
        <v>138</v>
      </c>
      <c r="K315" t="s">
        <v>1278</v>
      </c>
      <c r="L315" t="s">
        <v>12</v>
      </c>
      <c r="M315" t="s">
        <v>21</v>
      </c>
      <c r="N315" t="s">
        <v>1452</v>
      </c>
      <c r="O315" t="s">
        <v>1938</v>
      </c>
      <c r="P315">
        <v>1000022805</v>
      </c>
      <c r="Q315" t="s">
        <v>6</v>
      </c>
      <c r="R315" t="s">
        <v>47</v>
      </c>
      <c r="S315" t="s">
        <v>1453</v>
      </c>
      <c r="T315" t="s">
        <v>1995</v>
      </c>
      <c r="U315">
        <v>20</v>
      </c>
      <c r="V315">
        <v>11.94</v>
      </c>
      <c r="W315">
        <v>238.8</v>
      </c>
      <c r="X315">
        <v>0</v>
      </c>
      <c r="Y315">
        <v>0</v>
      </c>
      <c r="Z315">
        <v>42.984000000000002</v>
      </c>
      <c r="AA315">
        <v>0</v>
      </c>
      <c r="AB315">
        <v>0</v>
      </c>
      <c r="AC315">
        <v>281.78399999999999</v>
      </c>
      <c r="AD315">
        <v>0</v>
      </c>
      <c r="AE315">
        <v>0</v>
      </c>
      <c r="AF315">
        <v>281.78399999999999</v>
      </c>
      <c r="AG315" t="s">
        <v>37</v>
      </c>
    </row>
    <row r="316" spans="1:33" x14ac:dyDescent="0.35">
      <c r="A316">
        <v>314</v>
      </c>
      <c r="B316">
        <v>282598</v>
      </c>
      <c r="C316">
        <v>328013786</v>
      </c>
      <c r="D316" t="s">
        <v>1378</v>
      </c>
      <c r="E316" t="s">
        <v>50</v>
      </c>
      <c r="F316" s="1">
        <v>46246</v>
      </c>
      <c r="G316" t="s">
        <v>1379</v>
      </c>
      <c r="H316">
        <v>4800000006</v>
      </c>
      <c r="I316" s="1">
        <v>46237</v>
      </c>
      <c r="J316" t="s">
        <v>138</v>
      </c>
      <c r="K316" t="s">
        <v>1278</v>
      </c>
      <c r="L316" t="s">
        <v>12</v>
      </c>
      <c r="M316" t="s">
        <v>21</v>
      </c>
      <c r="N316" t="s">
        <v>1398</v>
      </c>
      <c r="O316" t="s">
        <v>1938</v>
      </c>
      <c r="P316">
        <v>1000022805</v>
      </c>
      <c r="Q316" t="s">
        <v>6</v>
      </c>
      <c r="R316" t="s">
        <v>876</v>
      </c>
      <c r="S316" t="s">
        <v>1399</v>
      </c>
      <c r="T316" t="s">
        <v>1995</v>
      </c>
      <c r="U316">
        <v>100</v>
      </c>
      <c r="V316">
        <v>6.33</v>
      </c>
      <c r="W316">
        <v>633</v>
      </c>
      <c r="X316">
        <v>0</v>
      </c>
      <c r="Y316">
        <v>0</v>
      </c>
      <c r="Z316">
        <v>113.94</v>
      </c>
      <c r="AA316">
        <v>0</v>
      </c>
      <c r="AB316">
        <v>0</v>
      </c>
      <c r="AC316">
        <v>746.94</v>
      </c>
      <c r="AD316">
        <v>0</v>
      </c>
      <c r="AE316">
        <v>0</v>
      </c>
      <c r="AF316">
        <v>746.94</v>
      </c>
      <c r="AG316" t="s">
        <v>37</v>
      </c>
    </row>
    <row r="317" spans="1:33" x14ac:dyDescent="0.35">
      <c r="A317">
        <v>315</v>
      </c>
      <c r="B317">
        <v>282598</v>
      </c>
      <c r="C317">
        <v>328013786</v>
      </c>
      <c r="D317" t="s">
        <v>1378</v>
      </c>
      <c r="E317" t="s">
        <v>50</v>
      </c>
      <c r="F317" s="1">
        <v>46246</v>
      </c>
      <c r="G317" t="s">
        <v>1379</v>
      </c>
      <c r="H317">
        <v>4800000006</v>
      </c>
      <c r="I317" s="1">
        <v>46237</v>
      </c>
      <c r="J317" t="s">
        <v>138</v>
      </c>
      <c r="K317" t="s">
        <v>1278</v>
      </c>
      <c r="L317" t="s">
        <v>12</v>
      </c>
      <c r="M317" t="s">
        <v>21</v>
      </c>
      <c r="N317" t="s">
        <v>1402</v>
      </c>
      <c r="O317" t="s">
        <v>1932</v>
      </c>
      <c r="P317">
        <v>1000022801</v>
      </c>
      <c r="Q317" t="s">
        <v>6</v>
      </c>
      <c r="R317" t="s">
        <v>670</v>
      </c>
      <c r="S317" t="s">
        <v>1403</v>
      </c>
      <c r="T317" t="s">
        <v>2003</v>
      </c>
      <c r="U317">
        <v>10</v>
      </c>
      <c r="V317">
        <v>101.49</v>
      </c>
      <c r="W317" s="2">
        <v>1014.9</v>
      </c>
      <c r="X317">
        <v>0</v>
      </c>
      <c r="Y317">
        <v>0</v>
      </c>
      <c r="Z317">
        <v>182.68199999999999</v>
      </c>
      <c r="AA317">
        <v>0</v>
      </c>
      <c r="AB317">
        <v>0</v>
      </c>
      <c r="AC317" s="2">
        <v>1197.5820000000001</v>
      </c>
      <c r="AD317">
        <v>0</v>
      </c>
      <c r="AE317">
        <v>0</v>
      </c>
      <c r="AF317" s="2">
        <v>1197.5820000000001</v>
      </c>
      <c r="AG317" t="s">
        <v>37</v>
      </c>
    </row>
    <row r="318" spans="1:33" x14ac:dyDescent="0.35">
      <c r="A318">
        <v>316</v>
      </c>
      <c r="B318">
        <v>282598</v>
      </c>
      <c r="C318">
        <v>328013786</v>
      </c>
      <c r="D318" t="s">
        <v>1378</v>
      </c>
      <c r="E318" t="s">
        <v>50</v>
      </c>
      <c r="F318" s="1">
        <v>46246</v>
      </c>
      <c r="G318" t="s">
        <v>1379</v>
      </c>
      <c r="H318">
        <v>4800000006</v>
      </c>
      <c r="I318" s="1">
        <v>46237</v>
      </c>
      <c r="J318" t="s">
        <v>138</v>
      </c>
      <c r="K318" t="s">
        <v>1278</v>
      </c>
      <c r="L318" t="s">
        <v>12</v>
      </c>
      <c r="M318" t="s">
        <v>21</v>
      </c>
      <c r="N318" t="s">
        <v>1437</v>
      </c>
      <c r="O318" t="s">
        <v>2118</v>
      </c>
      <c r="P318">
        <v>1000022811</v>
      </c>
      <c r="Q318" t="s">
        <v>6</v>
      </c>
      <c r="R318" t="s">
        <v>1438</v>
      </c>
      <c r="S318" t="s">
        <v>1439</v>
      </c>
      <c r="T318" t="s">
        <v>1995</v>
      </c>
      <c r="U318">
        <v>50</v>
      </c>
      <c r="V318">
        <v>22.55</v>
      </c>
      <c r="W318" s="2">
        <v>1127.5</v>
      </c>
      <c r="X318">
        <v>0</v>
      </c>
      <c r="Y318">
        <v>0</v>
      </c>
      <c r="Z318">
        <v>202.95</v>
      </c>
      <c r="AA318">
        <v>0</v>
      </c>
      <c r="AB318">
        <v>0</v>
      </c>
      <c r="AC318" s="2">
        <v>1330.45</v>
      </c>
      <c r="AD318">
        <v>0</v>
      </c>
      <c r="AE318">
        <v>0</v>
      </c>
      <c r="AF318" s="2">
        <v>1330.45</v>
      </c>
      <c r="AG318" t="s">
        <v>37</v>
      </c>
    </row>
    <row r="319" spans="1:33" x14ac:dyDescent="0.35">
      <c r="A319">
        <v>317</v>
      </c>
      <c r="B319">
        <v>282598</v>
      </c>
      <c r="C319">
        <v>328013786</v>
      </c>
      <c r="D319" t="s">
        <v>1378</v>
      </c>
      <c r="E319" t="s">
        <v>50</v>
      </c>
      <c r="F319" s="1">
        <v>46246</v>
      </c>
      <c r="G319" t="s">
        <v>1379</v>
      </c>
      <c r="H319">
        <v>4800000006</v>
      </c>
      <c r="I319" s="1">
        <v>46237</v>
      </c>
      <c r="J319" t="s">
        <v>138</v>
      </c>
      <c r="K319" t="s">
        <v>1278</v>
      </c>
      <c r="L319" t="s">
        <v>12</v>
      </c>
      <c r="M319" t="s">
        <v>21</v>
      </c>
      <c r="N319" t="s">
        <v>1490</v>
      </c>
      <c r="O319" t="s">
        <v>1938</v>
      </c>
      <c r="P319">
        <v>1000022805</v>
      </c>
      <c r="Q319" t="s">
        <v>6</v>
      </c>
      <c r="R319" t="s">
        <v>987</v>
      </c>
      <c r="S319" t="s">
        <v>1491</v>
      </c>
      <c r="T319" t="s">
        <v>1995</v>
      </c>
      <c r="U319">
        <v>100</v>
      </c>
      <c r="V319">
        <v>1.02</v>
      </c>
      <c r="W319">
        <v>102</v>
      </c>
      <c r="X319">
        <v>0</v>
      </c>
      <c r="Y319">
        <v>0</v>
      </c>
      <c r="Z319">
        <v>18.36</v>
      </c>
      <c r="AA319">
        <v>0</v>
      </c>
      <c r="AB319">
        <v>0</v>
      </c>
      <c r="AC319">
        <v>120.36</v>
      </c>
      <c r="AD319">
        <v>0</v>
      </c>
      <c r="AE319">
        <v>0</v>
      </c>
      <c r="AF319">
        <v>120.36</v>
      </c>
      <c r="AG319" t="s">
        <v>37</v>
      </c>
    </row>
    <row r="320" spans="1:33" x14ac:dyDescent="0.35">
      <c r="A320">
        <v>318</v>
      </c>
      <c r="B320">
        <v>282598</v>
      </c>
      <c r="C320">
        <v>328013786</v>
      </c>
      <c r="D320" t="s">
        <v>1378</v>
      </c>
      <c r="E320" t="s">
        <v>50</v>
      </c>
      <c r="F320" s="1">
        <v>46246</v>
      </c>
      <c r="G320" t="s">
        <v>1379</v>
      </c>
      <c r="H320">
        <v>4800000006</v>
      </c>
      <c r="I320" s="1">
        <v>46237</v>
      </c>
      <c r="J320" t="s">
        <v>138</v>
      </c>
      <c r="K320" t="s">
        <v>1278</v>
      </c>
      <c r="L320" t="s">
        <v>12</v>
      </c>
      <c r="M320" t="s">
        <v>21</v>
      </c>
      <c r="N320" t="s">
        <v>1424</v>
      </c>
      <c r="O320" t="s">
        <v>1949</v>
      </c>
      <c r="P320">
        <v>1000022811</v>
      </c>
      <c r="Q320" t="s">
        <v>6</v>
      </c>
      <c r="R320" t="s">
        <v>886</v>
      </c>
      <c r="S320" t="s">
        <v>1425</v>
      </c>
      <c r="T320" t="s">
        <v>1995</v>
      </c>
      <c r="U320">
        <v>30</v>
      </c>
      <c r="V320">
        <v>51.11</v>
      </c>
      <c r="W320" s="2">
        <v>1533.3</v>
      </c>
      <c r="X320">
        <v>0</v>
      </c>
      <c r="Y320">
        <v>0</v>
      </c>
      <c r="Z320">
        <v>275.99400000000003</v>
      </c>
      <c r="AA320">
        <v>0</v>
      </c>
      <c r="AB320">
        <v>0</v>
      </c>
      <c r="AC320" s="2">
        <v>1809.2940000000001</v>
      </c>
      <c r="AD320">
        <v>0</v>
      </c>
      <c r="AE320">
        <v>0</v>
      </c>
      <c r="AF320" s="2">
        <v>1809.2940000000001</v>
      </c>
      <c r="AG320" t="s">
        <v>37</v>
      </c>
    </row>
    <row r="321" spans="1:33" x14ac:dyDescent="0.35">
      <c r="A321">
        <v>319</v>
      </c>
      <c r="B321">
        <v>282598</v>
      </c>
      <c r="C321">
        <v>328013786</v>
      </c>
      <c r="D321" t="s">
        <v>1378</v>
      </c>
      <c r="E321" t="s">
        <v>50</v>
      </c>
      <c r="F321" s="1">
        <v>46246</v>
      </c>
      <c r="G321" t="s">
        <v>1379</v>
      </c>
      <c r="H321">
        <v>4800000006</v>
      </c>
      <c r="I321" s="1">
        <v>46237</v>
      </c>
      <c r="J321" t="s">
        <v>138</v>
      </c>
      <c r="K321" t="s">
        <v>1278</v>
      </c>
      <c r="L321" t="s">
        <v>12</v>
      </c>
      <c r="M321" t="s">
        <v>21</v>
      </c>
      <c r="N321" t="s">
        <v>1498</v>
      </c>
      <c r="O321" t="s">
        <v>1938</v>
      </c>
      <c r="P321">
        <v>1000022805</v>
      </c>
      <c r="Q321" t="s">
        <v>6</v>
      </c>
      <c r="R321" t="s">
        <v>40</v>
      </c>
      <c r="S321" t="s">
        <v>1499</v>
      </c>
      <c r="T321" t="s">
        <v>1995</v>
      </c>
      <c r="U321">
        <v>20</v>
      </c>
      <c r="V321">
        <v>1.74</v>
      </c>
      <c r="W321">
        <v>34.799999999999997</v>
      </c>
      <c r="X321">
        <v>0</v>
      </c>
      <c r="Y321">
        <v>0</v>
      </c>
      <c r="Z321">
        <v>6.2640000000000002</v>
      </c>
      <c r="AA321">
        <v>0</v>
      </c>
      <c r="AB321">
        <v>0</v>
      </c>
      <c r="AC321">
        <v>41.064</v>
      </c>
      <c r="AD321">
        <v>0</v>
      </c>
      <c r="AE321">
        <v>0</v>
      </c>
      <c r="AF321">
        <v>41.064</v>
      </c>
      <c r="AG321" t="s">
        <v>37</v>
      </c>
    </row>
    <row r="322" spans="1:33" x14ac:dyDescent="0.35">
      <c r="A322">
        <v>320</v>
      </c>
      <c r="B322">
        <v>282598</v>
      </c>
      <c r="C322">
        <v>328013786</v>
      </c>
      <c r="D322" t="s">
        <v>1378</v>
      </c>
      <c r="E322" t="s">
        <v>50</v>
      </c>
      <c r="F322" s="1">
        <v>46246</v>
      </c>
      <c r="G322" t="s">
        <v>1379</v>
      </c>
      <c r="H322">
        <v>4800000006</v>
      </c>
      <c r="I322" s="1">
        <v>46237</v>
      </c>
      <c r="J322" t="s">
        <v>138</v>
      </c>
      <c r="K322" t="s">
        <v>1278</v>
      </c>
      <c r="L322" t="s">
        <v>12</v>
      </c>
      <c r="M322" t="s">
        <v>21</v>
      </c>
      <c r="N322" t="s">
        <v>1446</v>
      </c>
      <c r="O322" t="s">
        <v>1938</v>
      </c>
      <c r="P322">
        <v>1000022805</v>
      </c>
      <c r="Q322" t="s">
        <v>6</v>
      </c>
      <c r="R322" t="s">
        <v>43</v>
      </c>
      <c r="S322" t="s">
        <v>1447</v>
      </c>
      <c r="T322" t="s">
        <v>1995</v>
      </c>
      <c r="U322">
        <v>10</v>
      </c>
      <c r="V322">
        <v>6.43</v>
      </c>
      <c r="W322">
        <v>64.3</v>
      </c>
      <c r="X322">
        <v>0</v>
      </c>
      <c r="Y322">
        <v>0</v>
      </c>
      <c r="Z322">
        <v>11.574</v>
      </c>
      <c r="AA322">
        <v>0</v>
      </c>
      <c r="AB322">
        <v>0</v>
      </c>
      <c r="AC322">
        <v>75.873999999999995</v>
      </c>
      <c r="AD322">
        <v>0</v>
      </c>
      <c r="AE322">
        <v>0</v>
      </c>
      <c r="AF322">
        <v>75.873999999999995</v>
      </c>
      <c r="AG322" t="s">
        <v>37</v>
      </c>
    </row>
    <row r="323" spans="1:33" x14ac:dyDescent="0.35">
      <c r="A323">
        <v>321</v>
      </c>
      <c r="B323">
        <v>282598</v>
      </c>
      <c r="C323">
        <v>328013786</v>
      </c>
      <c r="D323" t="s">
        <v>1378</v>
      </c>
      <c r="E323" t="s">
        <v>50</v>
      </c>
      <c r="F323" s="1">
        <v>46246</v>
      </c>
      <c r="G323" t="s">
        <v>1379</v>
      </c>
      <c r="H323">
        <v>4800000006</v>
      </c>
      <c r="I323" s="1">
        <v>46237</v>
      </c>
      <c r="J323" t="s">
        <v>138</v>
      </c>
      <c r="K323" t="s">
        <v>1278</v>
      </c>
      <c r="L323" t="s">
        <v>12</v>
      </c>
      <c r="M323" t="s">
        <v>21</v>
      </c>
      <c r="N323" t="s">
        <v>1474</v>
      </c>
      <c r="O323" t="s">
        <v>2014</v>
      </c>
      <c r="P323">
        <v>1000022807</v>
      </c>
      <c r="Q323" t="s">
        <v>6</v>
      </c>
      <c r="R323" t="s">
        <v>1475</v>
      </c>
      <c r="S323" t="s">
        <v>1476</v>
      </c>
      <c r="T323" t="s">
        <v>1995</v>
      </c>
      <c r="U323">
        <v>10</v>
      </c>
      <c r="V323">
        <v>39.380000000000003</v>
      </c>
      <c r="W323">
        <v>393.8</v>
      </c>
      <c r="X323">
        <v>0</v>
      </c>
      <c r="Y323">
        <v>0</v>
      </c>
      <c r="Z323">
        <v>70.884</v>
      </c>
      <c r="AA323">
        <v>0</v>
      </c>
      <c r="AB323">
        <v>0</v>
      </c>
      <c r="AC323">
        <v>464.68400000000003</v>
      </c>
      <c r="AD323">
        <v>0</v>
      </c>
      <c r="AE323">
        <v>0</v>
      </c>
      <c r="AF323">
        <v>464.68400000000003</v>
      </c>
      <c r="AG323" t="s">
        <v>37</v>
      </c>
    </row>
    <row r="324" spans="1:33" x14ac:dyDescent="0.35">
      <c r="A324">
        <v>322</v>
      </c>
      <c r="B324">
        <v>282598</v>
      </c>
      <c r="C324">
        <v>328013786</v>
      </c>
      <c r="D324" t="s">
        <v>1378</v>
      </c>
      <c r="E324" t="s">
        <v>50</v>
      </c>
      <c r="F324" s="1">
        <v>46246</v>
      </c>
      <c r="G324" t="s">
        <v>1379</v>
      </c>
      <c r="H324">
        <v>4800000006</v>
      </c>
      <c r="I324" s="1">
        <v>46237</v>
      </c>
      <c r="J324" t="s">
        <v>138</v>
      </c>
      <c r="K324" t="s">
        <v>1278</v>
      </c>
      <c r="L324" t="s">
        <v>12</v>
      </c>
      <c r="M324" t="s">
        <v>21</v>
      </c>
      <c r="N324" t="s">
        <v>1430</v>
      </c>
      <c r="O324" t="s">
        <v>1950</v>
      </c>
      <c r="P324">
        <v>1000022813</v>
      </c>
      <c r="Q324" t="s">
        <v>6</v>
      </c>
      <c r="R324" t="s">
        <v>1096</v>
      </c>
      <c r="S324" t="s">
        <v>1431</v>
      </c>
      <c r="T324" t="s">
        <v>1997</v>
      </c>
      <c r="U324">
        <v>10</v>
      </c>
      <c r="V324">
        <v>207.2</v>
      </c>
      <c r="W324" s="2">
        <v>2072</v>
      </c>
      <c r="X324">
        <v>0</v>
      </c>
      <c r="Y324">
        <v>0</v>
      </c>
      <c r="Z324">
        <v>372.96</v>
      </c>
      <c r="AA324">
        <v>0</v>
      </c>
      <c r="AB324">
        <v>0</v>
      </c>
      <c r="AC324" s="2">
        <v>2444.96</v>
      </c>
      <c r="AD324">
        <v>0</v>
      </c>
      <c r="AE324">
        <v>0</v>
      </c>
      <c r="AF324" s="2">
        <v>2444.96</v>
      </c>
      <c r="AG324" t="s">
        <v>37</v>
      </c>
    </row>
    <row r="325" spans="1:33" x14ac:dyDescent="0.35">
      <c r="A325">
        <v>323</v>
      </c>
      <c r="B325">
        <v>282598</v>
      </c>
      <c r="C325">
        <v>328013786</v>
      </c>
      <c r="D325" t="s">
        <v>1378</v>
      </c>
      <c r="E325" t="s">
        <v>50</v>
      </c>
      <c r="F325" s="1">
        <v>46246</v>
      </c>
      <c r="G325" t="s">
        <v>1379</v>
      </c>
      <c r="H325">
        <v>4800000006</v>
      </c>
      <c r="I325" s="1">
        <v>46237</v>
      </c>
      <c r="J325" t="s">
        <v>138</v>
      </c>
      <c r="K325" t="s">
        <v>1278</v>
      </c>
      <c r="L325" t="s">
        <v>12</v>
      </c>
      <c r="M325" t="s">
        <v>21</v>
      </c>
      <c r="N325" t="s">
        <v>1486</v>
      </c>
      <c r="O325" t="s">
        <v>1938</v>
      </c>
      <c r="P325">
        <v>1000022805</v>
      </c>
      <c r="Q325" t="s">
        <v>6</v>
      </c>
      <c r="R325" t="s">
        <v>702</v>
      </c>
      <c r="S325" t="s">
        <v>1487</v>
      </c>
      <c r="T325" t="s">
        <v>1995</v>
      </c>
      <c r="U325">
        <v>600</v>
      </c>
      <c r="V325">
        <v>0.51</v>
      </c>
      <c r="W325">
        <v>306</v>
      </c>
      <c r="X325">
        <v>0</v>
      </c>
      <c r="Y325">
        <v>0</v>
      </c>
      <c r="Z325">
        <v>55.08</v>
      </c>
      <c r="AA325">
        <v>0</v>
      </c>
      <c r="AB325">
        <v>0</v>
      </c>
      <c r="AC325">
        <v>361.08</v>
      </c>
      <c r="AD325">
        <v>0</v>
      </c>
      <c r="AE325">
        <v>0</v>
      </c>
      <c r="AF325">
        <v>361.08</v>
      </c>
      <c r="AG325" t="s">
        <v>37</v>
      </c>
    </row>
    <row r="326" spans="1:33" x14ac:dyDescent="0.35">
      <c r="A326">
        <v>324</v>
      </c>
      <c r="B326">
        <v>282598</v>
      </c>
      <c r="C326">
        <v>328013786</v>
      </c>
      <c r="D326" t="s">
        <v>1378</v>
      </c>
      <c r="E326" t="s">
        <v>50</v>
      </c>
      <c r="F326" s="1">
        <v>46246</v>
      </c>
      <c r="G326" t="s">
        <v>1379</v>
      </c>
      <c r="H326">
        <v>4800000006</v>
      </c>
      <c r="I326" s="1">
        <v>46237</v>
      </c>
      <c r="J326" t="s">
        <v>138</v>
      </c>
      <c r="K326" t="s">
        <v>1278</v>
      </c>
      <c r="L326" t="s">
        <v>12</v>
      </c>
      <c r="M326" t="s">
        <v>21</v>
      </c>
      <c r="N326" t="s">
        <v>1388</v>
      </c>
      <c r="O326" t="s">
        <v>1936</v>
      </c>
      <c r="P326">
        <v>1000022802</v>
      </c>
      <c r="Q326" t="s">
        <v>6</v>
      </c>
      <c r="R326" t="s">
        <v>756</v>
      </c>
      <c r="S326" t="s">
        <v>1389</v>
      </c>
      <c r="T326" t="s">
        <v>416</v>
      </c>
      <c r="U326">
        <v>10</v>
      </c>
      <c r="V326">
        <v>108.12</v>
      </c>
      <c r="W326" s="2">
        <v>1081.2</v>
      </c>
      <c r="X326">
        <v>0</v>
      </c>
      <c r="Y326">
        <v>0</v>
      </c>
      <c r="Z326">
        <v>194.61600000000001</v>
      </c>
      <c r="AA326">
        <v>0</v>
      </c>
      <c r="AB326">
        <v>0</v>
      </c>
      <c r="AC326" s="2">
        <v>1275.816</v>
      </c>
      <c r="AD326">
        <v>0</v>
      </c>
      <c r="AE326">
        <v>0</v>
      </c>
      <c r="AF326" s="2">
        <v>1275.816</v>
      </c>
      <c r="AG326" t="s">
        <v>37</v>
      </c>
    </row>
    <row r="327" spans="1:33" x14ac:dyDescent="0.35">
      <c r="A327">
        <v>325</v>
      </c>
      <c r="B327">
        <v>282598</v>
      </c>
      <c r="C327">
        <v>328013786</v>
      </c>
      <c r="D327" t="s">
        <v>1378</v>
      </c>
      <c r="E327" t="s">
        <v>50</v>
      </c>
      <c r="F327" s="1">
        <v>46246</v>
      </c>
      <c r="G327" t="s">
        <v>1379</v>
      </c>
      <c r="H327">
        <v>4800000006</v>
      </c>
      <c r="I327" s="1">
        <v>46237</v>
      </c>
      <c r="J327" t="s">
        <v>138</v>
      </c>
      <c r="K327" t="s">
        <v>1278</v>
      </c>
      <c r="L327" t="s">
        <v>12</v>
      </c>
      <c r="M327" t="s">
        <v>21</v>
      </c>
      <c r="N327" t="s">
        <v>1386</v>
      </c>
      <c r="O327" t="s">
        <v>2027</v>
      </c>
      <c r="P327">
        <v>1000022814</v>
      </c>
      <c r="Q327" t="s">
        <v>6</v>
      </c>
      <c r="R327" t="s">
        <v>38</v>
      </c>
      <c r="S327" t="s">
        <v>1387</v>
      </c>
      <c r="T327" t="s">
        <v>1995</v>
      </c>
      <c r="U327">
        <v>30</v>
      </c>
      <c r="V327">
        <v>123.2</v>
      </c>
      <c r="W327" s="2">
        <v>3696</v>
      </c>
      <c r="X327">
        <v>0</v>
      </c>
      <c r="Y327">
        <v>0</v>
      </c>
      <c r="Z327">
        <v>665.28</v>
      </c>
      <c r="AA327">
        <v>0</v>
      </c>
      <c r="AB327">
        <v>0</v>
      </c>
      <c r="AC327" s="2">
        <v>4361.28</v>
      </c>
      <c r="AD327">
        <v>0</v>
      </c>
      <c r="AE327">
        <v>0</v>
      </c>
      <c r="AF327" s="2">
        <v>4361.28</v>
      </c>
      <c r="AG327" t="s">
        <v>37</v>
      </c>
    </row>
    <row r="328" spans="1:33" x14ac:dyDescent="0.35">
      <c r="A328">
        <v>326</v>
      </c>
      <c r="B328">
        <v>282598</v>
      </c>
      <c r="C328">
        <v>328013786</v>
      </c>
      <c r="D328" t="s">
        <v>1378</v>
      </c>
      <c r="E328" t="s">
        <v>50</v>
      </c>
      <c r="F328" s="1">
        <v>46246</v>
      </c>
      <c r="G328" t="s">
        <v>1379</v>
      </c>
      <c r="H328">
        <v>4800000006</v>
      </c>
      <c r="I328" s="1">
        <v>46237</v>
      </c>
      <c r="J328" t="s">
        <v>138</v>
      </c>
      <c r="K328" t="s">
        <v>1278</v>
      </c>
      <c r="L328" t="s">
        <v>12</v>
      </c>
      <c r="M328" t="s">
        <v>21</v>
      </c>
      <c r="N328" t="s">
        <v>1432</v>
      </c>
      <c r="O328" t="s">
        <v>1950</v>
      </c>
      <c r="P328">
        <v>1000022813</v>
      </c>
      <c r="Q328" t="s">
        <v>6</v>
      </c>
      <c r="R328" t="s">
        <v>1433</v>
      </c>
      <c r="S328" t="s">
        <v>1434</v>
      </c>
      <c r="T328" t="s">
        <v>1997</v>
      </c>
      <c r="U328">
        <v>10</v>
      </c>
      <c r="V328">
        <v>69</v>
      </c>
      <c r="W328">
        <v>690</v>
      </c>
      <c r="X328">
        <v>0</v>
      </c>
      <c r="Y328">
        <v>0</v>
      </c>
      <c r="Z328">
        <v>124.2</v>
      </c>
      <c r="AA328">
        <v>0</v>
      </c>
      <c r="AB328">
        <v>0</v>
      </c>
      <c r="AC328">
        <v>814.2</v>
      </c>
      <c r="AD328">
        <v>0</v>
      </c>
      <c r="AE328">
        <v>0</v>
      </c>
      <c r="AF328">
        <v>814.2</v>
      </c>
      <c r="AG328" t="s">
        <v>37</v>
      </c>
    </row>
    <row r="329" spans="1:33" x14ac:dyDescent="0.35">
      <c r="A329">
        <v>327</v>
      </c>
      <c r="B329">
        <v>282598</v>
      </c>
      <c r="C329">
        <v>328013786</v>
      </c>
      <c r="D329" t="s">
        <v>1378</v>
      </c>
      <c r="E329" t="s">
        <v>50</v>
      </c>
      <c r="F329" s="1">
        <v>46246</v>
      </c>
      <c r="G329" t="s">
        <v>1379</v>
      </c>
      <c r="H329">
        <v>4800000006</v>
      </c>
      <c r="I329" s="1">
        <v>46237</v>
      </c>
      <c r="J329" t="s">
        <v>138</v>
      </c>
      <c r="K329" t="s">
        <v>1278</v>
      </c>
      <c r="L329" t="s">
        <v>12</v>
      </c>
      <c r="M329" t="s">
        <v>21</v>
      </c>
      <c r="N329" t="s">
        <v>1450</v>
      </c>
      <c r="O329" t="s">
        <v>2014</v>
      </c>
      <c r="P329">
        <v>1000022807</v>
      </c>
      <c r="Q329" t="s">
        <v>6</v>
      </c>
      <c r="R329" t="s">
        <v>725</v>
      </c>
      <c r="S329" t="s">
        <v>1451</v>
      </c>
      <c r="T329" t="s">
        <v>1995</v>
      </c>
      <c r="U329">
        <v>20</v>
      </c>
      <c r="V329">
        <v>54.17</v>
      </c>
      <c r="W329" s="2">
        <v>1083.4000000000001</v>
      </c>
      <c r="X329">
        <v>0</v>
      </c>
      <c r="Y329">
        <v>0</v>
      </c>
      <c r="Z329">
        <v>195.012</v>
      </c>
      <c r="AA329">
        <v>0</v>
      </c>
      <c r="AB329">
        <v>0</v>
      </c>
      <c r="AC329" s="2">
        <v>1278.412</v>
      </c>
      <c r="AD329">
        <v>0</v>
      </c>
      <c r="AE329">
        <v>0</v>
      </c>
      <c r="AF329" s="2">
        <v>1278.412</v>
      </c>
      <c r="AG329" t="s">
        <v>37</v>
      </c>
    </row>
    <row r="330" spans="1:33" x14ac:dyDescent="0.35">
      <c r="A330">
        <v>328</v>
      </c>
      <c r="B330">
        <v>282598</v>
      </c>
      <c r="C330">
        <v>328013786</v>
      </c>
      <c r="D330" t="s">
        <v>1378</v>
      </c>
      <c r="E330" t="s">
        <v>50</v>
      </c>
      <c r="F330" s="1">
        <v>46246</v>
      </c>
      <c r="G330" t="s">
        <v>1379</v>
      </c>
      <c r="H330">
        <v>4800000006</v>
      </c>
      <c r="I330" s="1">
        <v>46237</v>
      </c>
      <c r="J330" t="s">
        <v>138</v>
      </c>
      <c r="K330" t="s">
        <v>1278</v>
      </c>
      <c r="L330" t="s">
        <v>12</v>
      </c>
      <c r="M330" t="s">
        <v>21</v>
      </c>
      <c r="N330" t="s">
        <v>1414</v>
      </c>
      <c r="O330" t="s">
        <v>1949</v>
      </c>
      <c r="P330">
        <v>1000022811</v>
      </c>
      <c r="Q330" t="s">
        <v>6</v>
      </c>
      <c r="R330" t="s">
        <v>924</v>
      </c>
      <c r="S330" t="s">
        <v>1415</v>
      </c>
      <c r="T330" t="s">
        <v>1995</v>
      </c>
      <c r="U330">
        <v>89</v>
      </c>
      <c r="V330">
        <v>24.59</v>
      </c>
      <c r="W330" s="2">
        <v>2188.5100000000002</v>
      </c>
      <c r="X330">
        <v>0</v>
      </c>
      <c r="Y330">
        <v>0</v>
      </c>
      <c r="Z330">
        <v>393.93180000000001</v>
      </c>
      <c r="AA330">
        <v>0</v>
      </c>
      <c r="AB330">
        <v>0</v>
      </c>
      <c r="AC330" s="2">
        <v>2582.4418000000001</v>
      </c>
      <c r="AD330">
        <v>0</v>
      </c>
      <c r="AE330">
        <v>0</v>
      </c>
      <c r="AF330" s="2">
        <v>2582.4418000000001</v>
      </c>
      <c r="AG330" t="s">
        <v>37</v>
      </c>
    </row>
    <row r="331" spans="1:33" x14ac:dyDescent="0.35">
      <c r="A331">
        <v>329</v>
      </c>
      <c r="B331">
        <v>282598</v>
      </c>
      <c r="C331">
        <v>328013786</v>
      </c>
      <c r="D331" t="s">
        <v>1378</v>
      </c>
      <c r="E331" t="s">
        <v>50</v>
      </c>
      <c r="F331" s="1">
        <v>46246</v>
      </c>
      <c r="G331" t="s">
        <v>1379</v>
      </c>
      <c r="H331">
        <v>4800000006</v>
      </c>
      <c r="I331" s="1">
        <v>46237</v>
      </c>
      <c r="J331" t="s">
        <v>138</v>
      </c>
      <c r="K331" t="s">
        <v>1278</v>
      </c>
      <c r="L331" t="s">
        <v>12</v>
      </c>
      <c r="M331" t="s">
        <v>21</v>
      </c>
      <c r="N331" t="s">
        <v>1488</v>
      </c>
      <c r="O331" t="s">
        <v>1932</v>
      </c>
      <c r="P331">
        <v>1000022801</v>
      </c>
      <c r="Q331" t="s">
        <v>6</v>
      </c>
      <c r="R331" t="s">
        <v>1023</v>
      </c>
      <c r="S331" t="s">
        <v>1489</v>
      </c>
      <c r="T331" t="s">
        <v>2003</v>
      </c>
      <c r="U331">
        <v>100</v>
      </c>
      <c r="V331">
        <v>10.51</v>
      </c>
      <c r="W331" s="2">
        <v>1051</v>
      </c>
      <c r="X331">
        <v>0</v>
      </c>
      <c r="Y331">
        <v>0</v>
      </c>
      <c r="Z331">
        <v>189.18</v>
      </c>
      <c r="AA331">
        <v>0</v>
      </c>
      <c r="AB331">
        <v>0</v>
      </c>
      <c r="AC331" s="2">
        <v>1240.18</v>
      </c>
      <c r="AD331">
        <v>0</v>
      </c>
      <c r="AE331">
        <v>0</v>
      </c>
      <c r="AF331" s="2">
        <v>1240.18</v>
      </c>
      <c r="AG331" t="s">
        <v>37</v>
      </c>
    </row>
    <row r="332" spans="1:33" x14ac:dyDescent="0.35">
      <c r="A332">
        <v>330</v>
      </c>
      <c r="B332">
        <v>282598</v>
      </c>
      <c r="C332">
        <v>328013786</v>
      </c>
      <c r="D332" t="s">
        <v>1378</v>
      </c>
      <c r="E332" t="s">
        <v>50</v>
      </c>
      <c r="F332" s="1">
        <v>46246</v>
      </c>
      <c r="G332" t="s">
        <v>1379</v>
      </c>
      <c r="H332">
        <v>4800000006</v>
      </c>
      <c r="I332" s="1">
        <v>46237</v>
      </c>
      <c r="J332" t="s">
        <v>138</v>
      </c>
      <c r="K332" t="s">
        <v>1278</v>
      </c>
      <c r="L332" t="s">
        <v>12</v>
      </c>
      <c r="M332" t="s">
        <v>21</v>
      </c>
      <c r="N332" t="s">
        <v>1462</v>
      </c>
      <c r="O332" t="s">
        <v>1949</v>
      </c>
      <c r="P332">
        <v>1000022811</v>
      </c>
      <c r="Q332" t="s">
        <v>6</v>
      </c>
      <c r="R332" t="s">
        <v>984</v>
      </c>
      <c r="S332" t="s">
        <v>1463</v>
      </c>
      <c r="T332" t="s">
        <v>1995</v>
      </c>
      <c r="U332">
        <v>30</v>
      </c>
      <c r="V332">
        <v>29.38</v>
      </c>
      <c r="W332">
        <v>881.4</v>
      </c>
      <c r="X332">
        <v>0</v>
      </c>
      <c r="Y332">
        <v>0</v>
      </c>
      <c r="Z332">
        <v>158.65199999999999</v>
      </c>
      <c r="AA332">
        <v>0</v>
      </c>
      <c r="AB332">
        <v>0</v>
      </c>
      <c r="AC332" s="2">
        <v>1040.0519999999999</v>
      </c>
      <c r="AD332">
        <v>0</v>
      </c>
      <c r="AE332">
        <v>0</v>
      </c>
      <c r="AF332" s="2">
        <v>1040.0519999999999</v>
      </c>
      <c r="AG332" t="s">
        <v>37</v>
      </c>
    </row>
    <row r="333" spans="1:33" x14ac:dyDescent="0.35">
      <c r="A333">
        <v>331</v>
      </c>
      <c r="B333">
        <v>282598</v>
      </c>
      <c r="C333">
        <v>328013786</v>
      </c>
      <c r="D333" t="s">
        <v>1378</v>
      </c>
      <c r="E333" t="s">
        <v>50</v>
      </c>
      <c r="F333" s="1">
        <v>46246</v>
      </c>
      <c r="G333" t="s">
        <v>1379</v>
      </c>
      <c r="H333">
        <v>4800000006</v>
      </c>
      <c r="I333" s="1">
        <v>46237</v>
      </c>
      <c r="J333" t="s">
        <v>138</v>
      </c>
      <c r="K333" t="s">
        <v>1278</v>
      </c>
      <c r="L333" t="s">
        <v>12</v>
      </c>
      <c r="M333" t="s">
        <v>21</v>
      </c>
      <c r="N333" t="s">
        <v>1428</v>
      </c>
      <c r="O333" t="s">
        <v>1937</v>
      </c>
      <c r="P333">
        <v>1000022814</v>
      </c>
      <c r="Q333" t="s">
        <v>6</v>
      </c>
      <c r="R333" t="s">
        <v>44</v>
      </c>
      <c r="S333" t="s">
        <v>1429</v>
      </c>
      <c r="T333" t="s">
        <v>1995</v>
      </c>
      <c r="U333">
        <v>20</v>
      </c>
      <c r="V333">
        <v>42.79</v>
      </c>
      <c r="W333">
        <v>855.8</v>
      </c>
      <c r="X333">
        <v>0</v>
      </c>
      <c r="Y333">
        <v>0</v>
      </c>
      <c r="Z333">
        <v>154.04400000000001</v>
      </c>
      <c r="AA333">
        <v>0</v>
      </c>
      <c r="AB333">
        <v>0</v>
      </c>
      <c r="AC333" s="2">
        <v>1009.8440000000001</v>
      </c>
      <c r="AD333">
        <v>0</v>
      </c>
      <c r="AE333">
        <v>0</v>
      </c>
      <c r="AF333" s="2">
        <v>1009.8440000000001</v>
      </c>
      <c r="AG333" t="s">
        <v>37</v>
      </c>
    </row>
    <row r="334" spans="1:33" x14ac:dyDescent="0.35">
      <c r="A334">
        <v>332</v>
      </c>
      <c r="B334">
        <v>282606</v>
      </c>
      <c r="C334">
        <v>328013789</v>
      </c>
      <c r="D334" t="s">
        <v>1510</v>
      </c>
      <c r="E334" t="s">
        <v>50</v>
      </c>
      <c r="F334" s="1">
        <v>46246</v>
      </c>
      <c r="G334" t="s">
        <v>1511</v>
      </c>
      <c r="H334" t="s">
        <v>1512</v>
      </c>
      <c r="I334" s="1">
        <v>46237</v>
      </c>
      <c r="J334" t="s">
        <v>138</v>
      </c>
      <c r="K334" t="s">
        <v>1278</v>
      </c>
      <c r="L334" t="s">
        <v>12</v>
      </c>
      <c r="M334" t="s">
        <v>21</v>
      </c>
      <c r="N334" t="s">
        <v>1528</v>
      </c>
      <c r="O334" t="s">
        <v>2030</v>
      </c>
      <c r="Q334" t="s">
        <v>6</v>
      </c>
      <c r="R334" t="s">
        <v>775</v>
      </c>
      <c r="S334" t="s">
        <v>1529</v>
      </c>
      <c r="T334" t="s">
        <v>2031</v>
      </c>
      <c r="U334">
        <v>10</v>
      </c>
      <c r="V334">
        <v>16.940000000000001</v>
      </c>
      <c r="W334">
        <v>169.4</v>
      </c>
      <c r="X334">
        <v>0</v>
      </c>
      <c r="Y334">
        <v>0</v>
      </c>
      <c r="Z334">
        <v>30.492000000000001</v>
      </c>
      <c r="AA334">
        <v>0</v>
      </c>
      <c r="AB334">
        <v>0</v>
      </c>
      <c r="AC334">
        <v>199.892</v>
      </c>
      <c r="AD334">
        <v>0</v>
      </c>
      <c r="AE334">
        <v>0</v>
      </c>
      <c r="AF334">
        <v>199.892</v>
      </c>
      <c r="AG334" t="s">
        <v>37</v>
      </c>
    </row>
    <row r="335" spans="1:33" x14ac:dyDescent="0.35">
      <c r="A335">
        <v>333</v>
      </c>
      <c r="B335">
        <v>282606</v>
      </c>
      <c r="C335">
        <v>328013789</v>
      </c>
      <c r="D335" t="s">
        <v>1510</v>
      </c>
      <c r="E335" t="s">
        <v>50</v>
      </c>
      <c r="F335" s="1">
        <v>46246</v>
      </c>
      <c r="G335" t="s">
        <v>1511</v>
      </c>
      <c r="H335" t="s">
        <v>1512</v>
      </c>
      <c r="I335" s="1">
        <v>46237</v>
      </c>
      <c r="J335" t="s">
        <v>138</v>
      </c>
      <c r="K335" t="s">
        <v>1278</v>
      </c>
      <c r="L335" t="s">
        <v>12</v>
      </c>
      <c r="M335" t="s">
        <v>21</v>
      </c>
      <c r="N335" t="s">
        <v>1519</v>
      </c>
      <c r="O335" t="s">
        <v>1949</v>
      </c>
      <c r="Q335" t="s">
        <v>6</v>
      </c>
      <c r="R335" t="s">
        <v>1419</v>
      </c>
      <c r="S335" t="s">
        <v>1520</v>
      </c>
      <c r="T335" t="s">
        <v>1995</v>
      </c>
      <c r="U335">
        <v>8</v>
      </c>
      <c r="V335">
        <v>10.199999999999999</v>
      </c>
      <c r="W335">
        <v>81.599999999999994</v>
      </c>
      <c r="X335">
        <v>0</v>
      </c>
      <c r="Y335">
        <v>0</v>
      </c>
      <c r="Z335">
        <v>14.688000000000001</v>
      </c>
      <c r="AA335">
        <v>0</v>
      </c>
      <c r="AB335">
        <v>0</v>
      </c>
      <c r="AC335">
        <v>96.287999999999997</v>
      </c>
      <c r="AD335">
        <v>0</v>
      </c>
      <c r="AE335">
        <v>0</v>
      </c>
      <c r="AF335">
        <v>96.287999999999997</v>
      </c>
      <c r="AG335" t="s">
        <v>37</v>
      </c>
    </row>
    <row r="336" spans="1:33" x14ac:dyDescent="0.35">
      <c r="A336">
        <v>334</v>
      </c>
      <c r="B336">
        <v>282606</v>
      </c>
      <c r="C336">
        <v>328013789</v>
      </c>
      <c r="D336" t="s">
        <v>1510</v>
      </c>
      <c r="E336" t="s">
        <v>50</v>
      </c>
      <c r="F336" s="1">
        <v>46246</v>
      </c>
      <c r="G336" t="s">
        <v>1511</v>
      </c>
      <c r="H336" t="s">
        <v>1512</v>
      </c>
      <c r="I336" s="1">
        <v>46237</v>
      </c>
      <c r="J336" t="s">
        <v>138</v>
      </c>
      <c r="K336" t="s">
        <v>1278</v>
      </c>
      <c r="L336" t="s">
        <v>12</v>
      </c>
      <c r="M336" t="s">
        <v>21</v>
      </c>
      <c r="N336" t="s">
        <v>1513</v>
      </c>
      <c r="O336" t="s">
        <v>1949</v>
      </c>
      <c r="Q336" t="s">
        <v>6</v>
      </c>
      <c r="R336" t="s">
        <v>40</v>
      </c>
      <c r="S336" t="s">
        <v>1514</v>
      </c>
      <c r="T336" t="s">
        <v>1995</v>
      </c>
      <c r="U336">
        <v>8</v>
      </c>
      <c r="V336">
        <v>10.199999999999999</v>
      </c>
      <c r="W336">
        <v>81.599999999999994</v>
      </c>
      <c r="X336">
        <v>0</v>
      </c>
      <c r="Y336">
        <v>0</v>
      </c>
      <c r="Z336">
        <v>14.688000000000001</v>
      </c>
      <c r="AA336">
        <v>0</v>
      </c>
      <c r="AB336">
        <v>0</v>
      </c>
      <c r="AC336">
        <v>96.287999999999997</v>
      </c>
      <c r="AD336">
        <v>0</v>
      </c>
      <c r="AE336">
        <v>0</v>
      </c>
      <c r="AF336">
        <v>96.287999999999997</v>
      </c>
      <c r="AG336" t="s">
        <v>37</v>
      </c>
    </row>
    <row r="337" spans="1:33" x14ac:dyDescent="0.35">
      <c r="A337">
        <v>335</v>
      </c>
      <c r="B337">
        <v>282606</v>
      </c>
      <c r="C337">
        <v>328013789</v>
      </c>
      <c r="D337" t="s">
        <v>1510</v>
      </c>
      <c r="E337" t="s">
        <v>50</v>
      </c>
      <c r="F337" s="1">
        <v>46246</v>
      </c>
      <c r="G337" t="s">
        <v>1511</v>
      </c>
      <c r="H337" t="s">
        <v>1512</v>
      </c>
      <c r="I337" s="1">
        <v>46237</v>
      </c>
      <c r="J337" t="s">
        <v>138</v>
      </c>
      <c r="K337" t="s">
        <v>1278</v>
      </c>
      <c r="L337" t="s">
        <v>12</v>
      </c>
      <c r="M337" t="s">
        <v>21</v>
      </c>
      <c r="N337" t="s">
        <v>1517</v>
      </c>
      <c r="O337" t="s">
        <v>1932</v>
      </c>
      <c r="Q337" t="s">
        <v>6</v>
      </c>
      <c r="R337" t="s">
        <v>76</v>
      </c>
      <c r="S337" t="s">
        <v>1518</v>
      </c>
      <c r="T337" t="s">
        <v>2001</v>
      </c>
      <c r="U337">
        <v>5</v>
      </c>
      <c r="V337">
        <v>21.42</v>
      </c>
      <c r="W337">
        <v>107.1</v>
      </c>
      <c r="X337">
        <v>0</v>
      </c>
      <c r="Y337">
        <v>0</v>
      </c>
      <c r="Z337">
        <v>19.277999999999999</v>
      </c>
      <c r="AA337">
        <v>0</v>
      </c>
      <c r="AB337">
        <v>0</v>
      </c>
      <c r="AC337">
        <v>126.378</v>
      </c>
      <c r="AD337">
        <v>0</v>
      </c>
      <c r="AE337">
        <v>0</v>
      </c>
      <c r="AF337">
        <v>126.378</v>
      </c>
      <c r="AG337" t="s">
        <v>37</v>
      </c>
    </row>
    <row r="338" spans="1:33" x14ac:dyDescent="0.35">
      <c r="A338">
        <v>336</v>
      </c>
      <c r="B338">
        <v>282606</v>
      </c>
      <c r="C338">
        <v>328013789</v>
      </c>
      <c r="D338" t="s">
        <v>1510</v>
      </c>
      <c r="E338" t="s">
        <v>50</v>
      </c>
      <c r="F338" s="1">
        <v>46246</v>
      </c>
      <c r="G338" t="s">
        <v>1511</v>
      </c>
      <c r="H338" t="s">
        <v>1512</v>
      </c>
      <c r="I338" s="1">
        <v>46237</v>
      </c>
      <c r="J338" t="s">
        <v>138</v>
      </c>
      <c r="K338" t="s">
        <v>1278</v>
      </c>
      <c r="L338" t="s">
        <v>12</v>
      </c>
      <c r="M338" t="s">
        <v>21</v>
      </c>
      <c r="N338" t="s">
        <v>1515</v>
      </c>
      <c r="O338" t="s">
        <v>2032</v>
      </c>
      <c r="Q338" t="s">
        <v>6</v>
      </c>
      <c r="R338" t="s">
        <v>42</v>
      </c>
      <c r="S338" t="s">
        <v>1516</v>
      </c>
      <c r="T338" t="s">
        <v>2036</v>
      </c>
      <c r="U338">
        <v>5</v>
      </c>
      <c r="V338" s="2">
        <v>11321</v>
      </c>
      <c r="W338" s="2">
        <v>56605</v>
      </c>
      <c r="X338">
        <v>0</v>
      </c>
      <c r="Y338">
        <v>0</v>
      </c>
      <c r="Z338" s="2">
        <v>10188.9</v>
      </c>
      <c r="AA338">
        <v>0</v>
      </c>
      <c r="AB338">
        <v>0</v>
      </c>
      <c r="AC338" s="2">
        <v>66793.899999999994</v>
      </c>
      <c r="AD338">
        <v>0</v>
      </c>
      <c r="AE338">
        <v>0</v>
      </c>
      <c r="AF338" s="2">
        <v>66793.899999999994</v>
      </c>
      <c r="AG338" t="s">
        <v>37</v>
      </c>
    </row>
    <row r="339" spans="1:33" x14ac:dyDescent="0.35">
      <c r="A339">
        <v>337</v>
      </c>
      <c r="B339">
        <v>282606</v>
      </c>
      <c r="C339">
        <v>328013789</v>
      </c>
      <c r="D339" t="s">
        <v>1510</v>
      </c>
      <c r="E339" t="s">
        <v>50</v>
      </c>
      <c r="F339" s="1">
        <v>46246</v>
      </c>
      <c r="G339" t="s">
        <v>1511</v>
      </c>
      <c r="H339" t="s">
        <v>1512</v>
      </c>
      <c r="I339" s="1">
        <v>46237</v>
      </c>
      <c r="J339" t="s">
        <v>138</v>
      </c>
      <c r="K339" t="s">
        <v>1278</v>
      </c>
      <c r="L339" t="s">
        <v>12</v>
      </c>
      <c r="M339" t="s">
        <v>21</v>
      </c>
      <c r="N339" t="s">
        <v>1523</v>
      </c>
      <c r="O339" t="s">
        <v>1938</v>
      </c>
      <c r="Q339" t="s">
        <v>6</v>
      </c>
      <c r="R339" t="s">
        <v>702</v>
      </c>
      <c r="S339" t="s">
        <v>1523</v>
      </c>
      <c r="T339" t="s">
        <v>1995</v>
      </c>
      <c r="U339">
        <v>12</v>
      </c>
      <c r="V339">
        <v>1.94</v>
      </c>
      <c r="W339">
        <v>23.28</v>
      </c>
      <c r="X339">
        <v>0</v>
      </c>
      <c r="Y339">
        <v>0</v>
      </c>
      <c r="Z339">
        <v>4.1904000000000003</v>
      </c>
      <c r="AA339">
        <v>0</v>
      </c>
      <c r="AB339">
        <v>0</v>
      </c>
      <c r="AC339">
        <v>27.470400000000001</v>
      </c>
      <c r="AD339">
        <v>0</v>
      </c>
      <c r="AE339">
        <v>0</v>
      </c>
      <c r="AF339">
        <v>27.470400000000001</v>
      </c>
      <c r="AG339" t="s">
        <v>37</v>
      </c>
    </row>
    <row r="340" spans="1:33" x14ac:dyDescent="0.35">
      <c r="A340">
        <v>338</v>
      </c>
      <c r="B340">
        <v>282606</v>
      </c>
      <c r="C340">
        <v>328013789</v>
      </c>
      <c r="D340" t="s">
        <v>1510</v>
      </c>
      <c r="E340" t="s">
        <v>50</v>
      </c>
      <c r="F340" s="1">
        <v>46246</v>
      </c>
      <c r="G340" t="s">
        <v>1511</v>
      </c>
      <c r="H340" t="s">
        <v>1512</v>
      </c>
      <c r="I340" s="1">
        <v>46237</v>
      </c>
      <c r="J340" t="s">
        <v>138</v>
      </c>
      <c r="K340" t="s">
        <v>1278</v>
      </c>
      <c r="L340" t="s">
        <v>12</v>
      </c>
      <c r="M340" t="s">
        <v>21</v>
      </c>
      <c r="N340" t="s">
        <v>1526</v>
      </c>
      <c r="O340" t="s">
        <v>1949</v>
      </c>
      <c r="Q340" t="s">
        <v>6</v>
      </c>
      <c r="R340" t="s">
        <v>1419</v>
      </c>
      <c r="S340" t="s">
        <v>1527</v>
      </c>
      <c r="T340" t="s">
        <v>1995</v>
      </c>
      <c r="U340">
        <v>10</v>
      </c>
      <c r="V340">
        <v>3.68</v>
      </c>
      <c r="W340">
        <v>36.799999999999997</v>
      </c>
      <c r="X340">
        <v>0</v>
      </c>
      <c r="Y340">
        <v>0</v>
      </c>
      <c r="Z340">
        <v>6.6239999999999997</v>
      </c>
      <c r="AA340">
        <v>0</v>
      </c>
      <c r="AB340">
        <v>0</v>
      </c>
      <c r="AC340">
        <v>43.423999999999999</v>
      </c>
      <c r="AD340">
        <v>0</v>
      </c>
      <c r="AE340">
        <v>0</v>
      </c>
      <c r="AF340">
        <v>43.423999999999999</v>
      </c>
      <c r="AG340" t="s">
        <v>37</v>
      </c>
    </row>
    <row r="341" spans="1:33" x14ac:dyDescent="0.35">
      <c r="A341">
        <v>339</v>
      </c>
      <c r="B341">
        <v>282606</v>
      </c>
      <c r="C341">
        <v>328013789</v>
      </c>
      <c r="D341" t="s">
        <v>1510</v>
      </c>
      <c r="E341" t="s">
        <v>50</v>
      </c>
      <c r="F341" s="1">
        <v>46246</v>
      </c>
      <c r="G341" t="s">
        <v>1511</v>
      </c>
      <c r="H341" t="s">
        <v>1512</v>
      </c>
      <c r="I341" s="1">
        <v>46237</v>
      </c>
      <c r="J341" t="s">
        <v>138</v>
      </c>
      <c r="K341" t="s">
        <v>1278</v>
      </c>
      <c r="L341" t="s">
        <v>12</v>
      </c>
      <c r="M341" t="s">
        <v>21</v>
      </c>
      <c r="N341" t="s">
        <v>1524</v>
      </c>
      <c r="O341" t="s">
        <v>1949</v>
      </c>
      <c r="Q341" t="s">
        <v>6</v>
      </c>
      <c r="R341" t="s">
        <v>1419</v>
      </c>
      <c r="S341" t="s">
        <v>1525</v>
      </c>
      <c r="T341" t="s">
        <v>1995</v>
      </c>
      <c r="U341">
        <v>10</v>
      </c>
      <c r="V341">
        <v>2.96</v>
      </c>
      <c r="W341">
        <v>29.6</v>
      </c>
      <c r="X341">
        <v>0</v>
      </c>
      <c r="Y341">
        <v>0</v>
      </c>
      <c r="Z341">
        <v>5.3280000000000003</v>
      </c>
      <c r="AA341">
        <v>0</v>
      </c>
      <c r="AB341">
        <v>0</v>
      </c>
      <c r="AC341">
        <v>34.927999999999997</v>
      </c>
      <c r="AD341">
        <v>0</v>
      </c>
      <c r="AE341">
        <v>0</v>
      </c>
      <c r="AF341">
        <v>34.927999999999997</v>
      </c>
      <c r="AG341" t="s">
        <v>37</v>
      </c>
    </row>
    <row r="342" spans="1:33" x14ac:dyDescent="0.35">
      <c r="A342">
        <v>340</v>
      </c>
      <c r="B342">
        <v>282606</v>
      </c>
      <c r="C342">
        <v>328013789</v>
      </c>
      <c r="D342" t="s">
        <v>1510</v>
      </c>
      <c r="E342" t="s">
        <v>50</v>
      </c>
      <c r="F342" s="1">
        <v>46246</v>
      </c>
      <c r="G342" t="s">
        <v>1511</v>
      </c>
      <c r="H342" t="s">
        <v>1512</v>
      </c>
      <c r="I342" s="1">
        <v>46237</v>
      </c>
      <c r="J342" t="s">
        <v>138</v>
      </c>
      <c r="K342" t="s">
        <v>1278</v>
      </c>
      <c r="L342" t="s">
        <v>12</v>
      </c>
      <c r="M342" t="s">
        <v>21</v>
      </c>
      <c r="N342" t="s">
        <v>1530</v>
      </c>
      <c r="O342" t="s">
        <v>1938</v>
      </c>
      <c r="Q342" t="s">
        <v>6</v>
      </c>
      <c r="R342" t="s">
        <v>40</v>
      </c>
      <c r="S342" t="s">
        <v>1531</v>
      </c>
      <c r="T342" t="s">
        <v>1995</v>
      </c>
      <c r="U342">
        <v>10</v>
      </c>
      <c r="V342">
        <v>5.82</v>
      </c>
      <c r="W342">
        <v>58.2</v>
      </c>
      <c r="X342">
        <v>0</v>
      </c>
      <c r="Y342">
        <v>0</v>
      </c>
      <c r="Z342">
        <v>10.476000000000001</v>
      </c>
      <c r="AA342">
        <v>0</v>
      </c>
      <c r="AB342">
        <v>0</v>
      </c>
      <c r="AC342">
        <v>68.676000000000002</v>
      </c>
      <c r="AD342">
        <v>0</v>
      </c>
      <c r="AE342">
        <v>0</v>
      </c>
      <c r="AF342">
        <v>68.676000000000002</v>
      </c>
      <c r="AG342" t="s">
        <v>37</v>
      </c>
    </row>
    <row r="343" spans="1:33" x14ac:dyDescent="0.35">
      <c r="A343">
        <v>341</v>
      </c>
      <c r="B343">
        <v>282606</v>
      </c>
      <c r="C343">
        <v>328013789</v>
      </c>
      <c r="D343" t="s">
        <v>1510</v>
      </c>
      <c r="E343" t="s">
        <v>50</v>
      </c>
      <c r="F343" s="1">
        <v>46246</v>
      </c>
      <c r="G343" t="s">
        <v>1511</v>
      </c>
      <c r="H343" t="s">
        <v>1512</v>
      </c>
      <c r="I343" s="1">
        <v>46237</v>
      </c>
      <c r="J343" t="s">
        <v>138</v>
      </c>
      <c r="K343" t="s">
        <v>1278</v>
      </c>
      <c r="L343" t="s">
        <v>12</v>
      </c>
      <c r="M343" t="s">
        <v>21</v>
      </c>
      <c r="N343" t="s">
        <v>1521</v>
      </c>
      <c r="O343" t="s">
        <v>1996</v>
      </c>
      <c r="Q343" t="s">
        <v>6</v>
      </c>
      <c r="R343" t="s">
        <v>1096</v>
      </c>
      <c r="S343" t="s">
        <v>1522</v>
      </c>
      <c r="T343" t="s">
        <v>1997</v>
      </c>
      <c r="U343">
        <v>10</v>
      </c>
      <c r="V343">
        <v>7.96</v>
      </c>
      <c r="W343">
        <v>79.599999999999994</v>
      </c>
      <c r="X343">
        <v>0</v>
      </c>
      <c r="Y343">
        <v>0</v>
      </c>
      <c r="Z343">
        <v>14.327999999999999</v>
      </c>
      <c r="AA343">
        <v>0</v>
      </c>
      <c r="AB343">
        <v>0</v>
      </c>
      <c r="AC343">
        <v>93.927999999999997</v>
      </c>
      <c r="AD343">
        <v>0</v>
      </c>
      <c r="AE343">
        <v>0</v>
      </c>
      <c r="AF343">
        <v>93.927999999999997</v>
      </c>
      <c r="AG343" t="s">
        <v>37</v>
      </c>
    </row>
    <row r="344" spans="1:33" x14ac:dyDescent="0.35">
      <c r="A344">
        <v>342</v>
      </c>
      <c r="B344">
        <v>282616</v>
      </c>
      <c r="C344">
        <v>328013796</v>
      </c>
      <c r="D344" t="s">
        <v>1532</v>
      </c>
      <c r="E344" t="s">
        <v>50</v>
      </c>
      <c r="F344" s="1">
        <v>46246</v>
      </c>
      <c r="G344" t="s">
        <v>1533</v>
      </c>
      <c r="H344" t="s">
        <v>1534</v>
      </c>
      <c r="I344" s="1">
        <v>46234</v>
      </c>
      <c r="J344" t="s">
        <v>138</v>
      </c>
      <c r="K344" t="s">
        <v>1279</v>
      </c>
      <c r="L344" t="s">
        <v>12</v>
      </c>
      <c r="M344" t="s">
        <v>21</v>
      </c>
      <c r="N344" t="s">
        <v>1537</v>
      </c>
      <c r="O344" t="s">
        <v>1936</v>
      </c>
      <c r="Q344" t="s">
        <v>6</v>
      </c>
      <c r="R344" t="s">
        <v>670</v>
      </c>
      <c r="S344" t="s">
        <v>1538</v>
      </c>
      <c r="T344" t="s">
        <v>416</v>
      </c>
      <c r="U344">
        <v>10</v>
      </c>
      <c r="V344">
        <v>148.91999999999999</v>
      </c>
      <c r="W344" s="2">
        <v>1489.2</v>
      </c>
      <c r="X344">
        <v>0</v>
      </c>
      <c r="Y344">
        <v>0</v>
      </c>
      <c r="Z344">
        <v>268.05599999999998</v>
      </c>
      <c r="AA344">
        <v>0</v>
      </c>
      <c r="AB344">
        <v>0</v>
      </c>
      <c r="AC344" s="2">
        <v>1757.2560000000001</v>
      </c>
      <c r="AD344">
        <v>0</v>
      </c>
      <c r="AE344">
        <v>0</v>
      </c>
      <c r="AF344" s="2">
        <v>1757.2560000000001</v>
      </c>
      <c r="AG344" t="s">
        <v>37</v>
      </c>
    </row>
    <row r="345" spans="1:33" x14ac:dyDescent="0.35">
      <c r="A345">
        <v>343</v>
      </c>
      <c r="B345">
        <v>282616</v>
      </c>
      <c r="C345">
        <v>328013796</v>
      </c>
      <c r="D345" t="s">
        <v>1532</v>
      </c>
      <c r="E345" t="s">
        <v>50</v>
      </c>
      <c r="F345" s="1">
        <v>46246</v>
      </c>
      <c r="G345" t="s">
        <v>1533</v>
      </c>
      <c r="H345" t="s">
        <v>1534</v>
      </c>
      <c r="I345" s="1">
        <v>46234</v>
      </c>
      <c r="J345" t="s">
        <v>138</v>
      </c>
      <c r="K345" t="s">
        <v>1279</v>
      </c>
      <c r="L345" t="s">
        <v>12</v>
      </c>
      <c r="M345" t="s">
        <v>21</v>
      </c>
      <c r="N345" t="s">
        <v>1535</v>
      </c>
      <c r="O345" t="s">
        <v>1936</v>
      </c>
      <c r="Q345" t="s">
        <v>6</v>
      </c>
      <c r="R345" t="s">
        <v>660</v>
      </c>
      <c r="S345" t="s">
        <v>1536</v>
      </c>
      <c r="T345" t="s">
        <v>416</v>
      </c>
      <c r="U345">
        <v>30</v>
      </c>
      <c r="V345">
        <v>66.510000000000005</v>
      </c>
      <c r="W345" s="2">
        <v>1995.3</v>
      </c>
      <c r="X345">
        <v>0</v>
      </c>
      <c r="Y345">
        <v>0</v>
      </c>
      <c r="Z345">
        <v>359.154</v>
      </c>
      <c r="AA345">
        <v>0</v>
      </c>
      <c r="AB345">
        <v>0</v>
      </c>
      <c r="AC345" s="2">
        <v>2354.4540000000002</v>
      </c>
      <c r="AD345">
        <v>0</v>
      </c>
      <c r="AE345">
        <v>0</v>
      </c>
      <c r="AF345" s="2">
        <v>2354.4540000000002</v>
      </c>
      <c r="AG345" t="s">
        <v>37</v>
      </c>
    </row>
    <row r="346" spans="1:33" x14ac:dyDescent="0.35">
      <c r="A346">
        <v>344</v>
      </c>
      <c r="B346">
        <v>282616</v>
      </c>
      <c r="C346">
        <v>328013796</v>
      </c>
      <c r="D346" t="s">
        <v>1532</v>
      </c>
      <c r="E346" t="s">
        <v>50</v>
      </c>
      <c r="F346" s="1">
        <v>46246</v>
      </c>
      <c r="G346" t="s">
        <v>1533</v>
      </c>
      <c r="H346" t="s">
        <v>1534</v>
      </c>
      <c r="I346" s="1">
        <v>46234</v>
      </c>
      <c r="J346" t="s">
        <v>138</v>
      </c>
      <c r="K346" t="s">
        <v>1279</v>
      </c>
      <c r="L346" t="s">
        <v>12</v>
      </c>
      <c r="M346" t="s">
        <v>21</v>
      </c>
      <c r="N346" t="s">
        <v>1545</v>
      </c>
      <c r="O346" t="s">
        <v>1936</v>
      </c>
      <c r="Q346" t="s">
        <v>6</v>
      </c>
      <c r="R346" t="s">
        <v>660</v>
      </c>
      <c r="S346" t="s">
        <v>1546</v>
      </c>
      <c r="T346" t="s">
        <v>416</v>
      </c>
      <c r="U346">
        <v>100</v>
      </c>
      <c r="V346">
        <v>20.61</v>
      </c>
      <c r="W346" s="2">
        <v>2061</v>
      </c>
      <c r="X346">
        <v>0</v>
      </c>
      <c r="Y346">
        <v>0</v>
      </c>
      <c r="Z346">
        <v>370.98</v>
      </c>
      <c r="AA346">
        <v>0</v>
      </c>
      <c r="AB346">
        <v>0</v>
      </c>
      <c r="AC346" s="2">
        <v>2431.98</v>
      </c>
      <c r="AD346">
        <v>0</v>
      </c>
      <c r="AE346">
        <v>0</v>
      </c>
      <c r="AF346" s="2">
        <v>2431.98</v>
      </c>
      <c r="AG346" t="s">
        <v>37</v>
      </c>
    </row>
    <row r="347" spans="1:33" x14ac:dyDescent="0.35">
      <c r="A347">
        <v>345</v>
      </c>
      <c r="B347">
        <v>282616</v>
      </c>
      <c r="C347">
        <v>328013796</v>
      </c>
      <c r="D347" t="s">
        <v>1532</v>
      </c>
      <c r="E347" t="s">
        <v>50</v>
      </c>
      <c r="F347" s="1">
        <v>46246</v>
      </c>
      <c r="G347" t="s">
        <v>1533</v>
      </c>
      <c r="H347" t="s">
        <v>1534</v>
      </c>
      <c r="I347" s="1">
        <v>46234</v>
      </c>
      <c r="J347" t="s">
        <v>138</v>
      </c>
      <c r="K347" t="s">
        <v>1279</v>
      </c>
      <c r="L347" t="s">
        <v>12</v>
      </c>
      <c r="M347" t="s">
        <v>21</v>
      </c>
      <c r="N347" t="s">
        <v>1539</v>
      </c>
      <c r="O347" t="s">
        <v>1936</v>
      </c>
      <c r="Q347" t="s">
        <v>6</v>
      </c>
      <c r="R347" t="s">
        <v>660</v>
      </c>
      <c r="S347" t="s">
        <v>1540</v>
      </c>
      <c r="T347" t="s">
        <v>416</v>
      </c>
      <c r="U347">
        <v>25</v>
      </c>
      <c r="V347">
        <v>65.489999999999995</v>
      </c>
      <c r="W347" s="2">
        <v>1637.25</v>
      </c>
      <c r="X347">
        <v>0</v>
      </c>
      <c r="Y347">
        <v>0</v>
      </c>
      <c r="Z347">
        <v>294.70499999999998</v>
      </c>
      <c r="AA347">
        <v>0</v>
      </c>
      <c r="AB347">
        <v>0</v>
      </c>
      <c r="AC347" s="2">
        <v>1931.9549999999999</v>
      </c>
      <c r="AD347">
        <v>0</v>
      </c>
      <c r="AE347">
        <v>0</v>
      </c>
      <c r="AF347" s="2">
        <v>1931.9549999999999</v>
      </c>
      <c r="AG347" t="s">
        <v>37</v>
      </c>
    </row>
    <row r="348" spans="1:33" x14ac:dyDescent="0.35">
      <c r="A348">
        <v>346</v>
      </c>
      <c r="B348">
        <v>282616</v>
      </c>
      <c r="C348">
        <v>328013796</v>
      </c>
      <c r="D348" t="s">
        <v>1532</v>
      </c>
      <c r="E348" t="s">
        <v>50</v>
      </c>
      <c r="F348" s="1">
        <v>46246</v>
      </c>
      <c r="G348" t="s">
        <v>1533</v>
      </c>
      <c r="H348" t="s">
        <v>1534</v>
      </c>
      <c r="I348" s="1">
        <v>46234</v>
      </c>
      <c r="J348" t="s">
        <v>138</v>
      </c>
      <c r="K348" t="s">
        <v>1279</v>
      </c>
      <c r="L348" t="s">
        <v>12</v>
      </c>
      <c r="M348" t="s">
        <v>21</v>
      </c>
      <c r="N348" t="s">
        <v>1541</v>
      </c>
      <c r="O348" t="s">
        <v>1936</v>
      </c>
      <c r="Q348" t="s">
        <v>6</v>
      </c>
      <c r="R348" t="s">
        <v>76</v>
      </c>
      <c r="S348" t="s">
        <v>1542</v>
      </c>
      <c r="T348" t="s">
        <v>416</v>
      </c>
      <c r="U348">
        <v>10</v>
      </c>
      <c r="V348">
        <v>57.33</v>
      </c>
      <c r="W348">
        <v>573.29999999999995</v>
      </c>
      <c r="X348">
        <v>0</v>
      </c>
      <c r="Y348">
        <v>0</v>
      </c>
      <c r="Z348">
        <v>103.194</v>
      </c>
      <c r="AA348">
        <v>0</v>
      </c>
      <c r="AB348">
        <v>0</v>
      </c>
      <c r="AC348">
        <v>676.49400000000003</v>
      </c>
      <c r="AD348">
        <v>0</v>
      </c>
      <c r="AE348">
        <v>0</v>
      </c>
      <c r="AF348">
        <v>676.49400000000003</v>
      </c>
      <c r="AG348" t="s">
        <v>37</v>
      </c>
    </row>
    <row r="349" spans="1:33" x14ac:dyDescent="0.35">
      <c r="A349">
        <v>347</v>
      </c>
      <c r="B349">
        <v>282616</v>
      </c>
      <c r="C349">
        <v>328013796</v>
      </c>
      <c r="D349" t="s">
        <v>1532</v>
      </c>
      <c r="E349" t="s">
        <v>50</v>
      </c>
      <c r="F349" s="1">
        <v>46246</v>
      </c>
      <c r="G349" t="s">
        <v>1533</v>
      </c>
      <c r="H349" t="s">
        <v>1534</v>
      </c>
      <c r="I349" s="1">
        <v>46234</v>
      </c>
      <c r="J349" t="s">
        <v>138</v>
      </c>
      <c r="K349" t="s">
        <v>1279</v>
      </c>
      <c r="L349" t="s">
        <v>12</v>
      </c>
      <c r="M349" t="s">
        <v>21</v>
      </c>
      <c r="N349" t="s">
        <v>1543</v>
      </c>
      <c r="O349" t="s">
        <v>1936</v>
      </c>
      <c r="Q349" t="s">
        <v>6</v>
      </c>
      <c r="R349" t="s">
        <v>660</v>
      </c>
      <c r="S349" t="s">
        <v>1544</v>
      </c>
      <c r="T349" t="s">
        <v>416</v>
      </c>
      <c r="U349">
        <v>100</v>
      </c>
      <c r="V349">
        <v>13.88</v>
      </c>
      <c r="W349" s="2">
        <v>1388</v>
      </c>
      <c r="X349">
        <v>0</v>
      </c>
      <c r="Y349">
        <v>0</v>
      </c>
      <c r="Z349">
        <v>249.84</v>
      </c>
      <c r="AA349">
        <v>0</v>
      </c>
      <c r="AB349">
        <v>0</v>
      </c>
      <c r="AC349" s="2">
        <v>1637.84</v>
      </c>
      <c r="AD349">
        <v>0</v>
      </c>
      <c r="AE349">
        <v>0</v>
      </c>
      <c r="AF349" s="2">
        <v>1637.84</v>
      </c>
      <c r="AG349" t="s">
        <v>37</v>
      </c>
    </row>
    <row r="350" spans="1:33" x14ac:dyDescent="0.35">
      <c r="A350">
        <v>348</v>
      </c>
      <c r="B350">
        <v>282631</v>
      </c>
      <c r="C350">
        <v>328013806</v>
      </c>
      <c r="D350" t="s">
        <v>1547</v>
      </c>
      <c r="E350" t="s">
        <v>50</v>
      </c>
      <c r="F350" s="1">
        <v>46246</v>
      </c>
      <c r="G350" t="s">
        <v>1548</v>
      </c>
      <c r="H350" t="s">
        <v>731</v>
      </c>
      <c r="I350" s="1">
        <v>46234</v>
      </c>
      <c r="J350" t="s">
        <v>138</v>
      </c>
      <c r="K350" t="s">
        <v>1279</v>
      </c>
      <c r="L350" t="s">
        <v>12</v>
      </c>
      <c r="M350" t="s">
        <v>21</v>
      </c>
      <c r="N350" t="s">
        <v>1552</v>
      </c>
      <c r="O350" t="s">
        <v>1936</v>
      </c>
      <c r="Q350" t="s">
        <v>6</v>
      </c>
      <c r="R350" t="s">
        <v>76</v>
      </c>
      <c r="S350" t="s">
        <v>1553</v>
      </c>
      <c r="T350" t="s">
        <v>416</v>
      </c>
      <c r="U350">
        <v>11</v>
      </c>
      <c r="V350">
        <v>33.659999999999997</v>
      </c>
      <c r="W350">
        <v>370.26</v>
      </c>
      <c r="X350">
        <v>0</v>
      </c>
      <c r="Y350">
        <v>0</v>
      </c>
      <c r="Z350">
        <v>66.646799999999999</v>
      </c>
      <c r="AA350">
        <v>0</v>
      </c>
      <c r="AB350">
        <v>0</v>
      </c>
      <c r="AC350">
        <v>436.90679999999998</v>
      </c>
      <c r="AD350">
        <v>0</v>
      </c>
      <c r="AE350">
        <v>0</v>
      </c>
      <c r="AF350">
        <v>436.90679999999998</v>
      </c>
      <c r="AG350" t="s">
        <v>37</v>
      </c>
    </row>
    <row r="351" spans="1:33" x14ac:dyDescent="0.35">
      <c r="A351">
        <v>349</v>
      </c>
      <c r="B351">
        <v>282631</v>
      </c>
      <c r="C351">
        <v>328013806</v>
      </c>
      <c r="D351" t="s">
        <v>1547</v>
      </c>
      <c r="E351" t="s">
        <v>50</v>
      </c>
      <c r="F351" s="1">
        <v>46246</v>
      </c>
      <c r="G351" t="s">
        <v>1548</v>
      </c>
      <c r="H351" t="s">
        <v>731</v>
      </c>
      <c r="I351" s="1">
        <v>46234</v>
      </c>
      <c r="J351" t="s">
        <v>138</v>
      </c>
      <c r="K351" t="s">
        <v>1279</v>
      </c>
      <c r="L351" t="s">
        <v>12</v>
      </c>
      <c r="M351" t="s">
        <v>21</v>
      </c>
      <c r="N351" t="s">
        <v>1549</v>
      </c>
      <c r="O351" t="s">
        <v>1942</v>
      </c>
      <c r="Q351" t="s">
        <v>6</v>
      </c>
      <c r="R351" t="s">
        <v>1550</v>
      </c>
      <c r="S351" t="s">
        <v>1551</v>
      </c>
      <c r="T351" t="s">
        <v>2001</v>
      </c>
      <c r="U351">
        <v>30</v>
      </c>
      <c r="V351">
        <v>20.81</v>
      </c>
      <c r="W351">
        <v>624.29999999999995</v>
      </c>
      <c r="X351">
        <v>0</v>
      </c>
      <c r="Y351">
        <v>0</v>
      </c>
      <c r="Z351">
        <v>112.374</v>
      </c>
      <c r="AA351">
        <v>0</v>
      </c>
      <c r="AB351">
        <v>0</v>
      </c>
      <c r="AC351">
        <v>736.67399999999998</v>
      </c>
      <c r="AD351">
        <v>0</v>
      </c>
      <c r="AE351">
        <v>0</v>
      </c>
      <c r="AF351">
        <v>736.67399999999998</v>
      </c>
      <c r="AG351" t="s">
        <v>37</v>
      </c>
    </row>
    <row r="352" spans="1:33" x14ac:dyDescent="0.35">
      <c r="A352">
        <v>350</v>
      </c>
      <c r="B352">
        <v>282631</v>
      </c>
      <c r="C352">
        <v>328013806</v>
      </c>
      <c r="D352" t="s">
        <v>1547</v>
      </c>
      <c r="E352" t="s">
        <v>50</v>
      </c>
      <c r="F352" s="1">
        <v>46246</v>
      </c>
      <c r="G352" t="s">
        <v>1548</v>
      </c>
      <c r="H352" t="s">
        <v>731</v>
      </c>
      <c r="I352" s="1">
        <v>46234</v>
      </c>
      <c r="J352" t="s">
        <v>138</v>
      </c>
      <c r="K352" t="s">
        <v>1279</v>
      </c>
      <c r="L352" t="s">
        <v>12</v>
      </c>
      <c r="M352" t="s">
        <v>21</v>
      </c>
      <c r="N352" t="s">
        <v>1554</v>
      </c>
      <c r="O352" t="s">
        <v>1936</v>
      </c>
      <c r="Q352" t="s">
        <v>6</v>
      </c>
      <c r="R352" t="s">
        <v>660</v>
      </c>
      <c r="S352" t="s">
        <v>1555</v>
      </c>
      <c r="T352" t="s">
        <v>2001</v>
      </c>
      <c r="U352">
        <v>10</v>
      </c>
      <c r="V352">
        <v>104.04</v>
      </c>
      <c r="W352" s="2">
        <v>1040.4000000000001</v>
      </c>
      <c r="X352">
        <v>0</v>
      </c>
      <c r="Y352">
        <v>0</v>
      </c>
      <c r="Z352">
        <v>187.27199999999999</v>
      </c>
      <c r="AA352">
        <v>0</v>
      </c>
      <c r="AB352">
        <v>0</v>
      </c>
      <c r="AC352" s="2">
        <v>1227.672</v>
      </c>
      <c r="AD352">
        <v>0</v>
      </c>
      <c r="AE352">
        <v>0</v>
      </c>
      <c r="AF352" s="2">
        <v>1227.672</v>
      </c>
      <c r="AG352" t="s">
        <v>37</v>
      </c>
    </row>
    <row r="353" spans="1:33" x14ac:dyDescent="0.35">
      <c r="A353">
        <v>351</v>
      </c>
      <c r="B353">
        <v>282636</v>
      </c>
      <c r="C353">
        <v>328013811</v>
      </c>
      <c r="D353" t="s">
        <v>1556</v>
      </c>
      <c r="E353" t="s">
        <v>50</v>
      </c>
      <c r="F353" s="1">
        <v>46246</v>
      </c>
      <c r="G353" t="s">
        <v>1052</v>
      </c>
      <c r="H353" t="s">
        <v>1557</v>
      </c>
      <c r="I353" s="1">
        <v>46233</v>
      </c>
      <c r="J353" t="s">
        <v>138</v>
      </c>
      <c r="K353" t="s">
        <v>137</v>
      </c>
      <c r="L353" t="s">
        <v>15</v>
      </c>
      <c r="M353" t="s">
        <v>14</v>
      </c>
      <c r="N353" t="s">
        <v>1558</v>
      </c>
      <c r="O353" t="s">
        <v>1938</v>
      </c>
      <c r="Q353" t="s">
        <v>6</v>
      </c>
      <c r="R353" t="s">
        <v>40</v>
      </c>
      <c r="S353" t="s">
        <v>1559</v>
      </c>
      <c r="T353" t="s">
        <v>1995</v>
      </c>
      <c r="U353">
        <v>3</v>
      </c>
      <c r="V353">
        <v>109.2</v>
      </c>
      <c r="W353">
        <v>327.60000000000002</v>
      </c>
      <c r="X353">
        <v>0</v>
      </c>
      <c r="Y353">
        <v>0</v>
      </c>
      <c r="Z353">
        <v>58.968000000000004</v>
      </c>
      <c r="AA353">
        <v>0</v>
      </c>
      <c r="AB353">
        <v>0</v>
      </c>
      <c r="AC353">
        <v>386.56799999999998</v>
      </c>
      <c r="AD353">
        <v>0</v>
      </c>
      <c r="AE353">
        <v>0</v>
      </c>
      <c r="AF353">
        <v>386.56799999999998</v>
      </c>
      <c r="AG353" t="s">
        <v>37</v>
      </c>
    </row>
    <row r="354" spans="1:33" x14ac:dyDescent="0.35">
      <c r="A354">
        <v>352</v>
      </c>
      <c r="B354">
        <v>282646</v>
      </c>
      <c r="C354">
        <v>328013821</v>
      </c>
      <c r="D354" t="s">
        <v>1560</v>
      </c>
      <c r="E354" t="s">
        <v>50</v>
      </c>
      <c r="F354" s="1">
        <v>46246</v>
      </c>
      <c r="G354" t="s">
        <v>1561</v>
      </c>
      <c r="H354" t="s">
        <v>1562</v>
      </c>
      <c r="I354" s="1">
        <v>46239</v>
      </c>
      <c r="J354" t="s">
        <v>138</v>
      </c>
      <c r="K354" t="s">
        <v>137</v>
      </c>
      <c r="L354" t="s">
        <v>15</v>
      </c>
      <c r="M354" t="s">
        <v>23</v>
      </c>
      <c r="N354" t="s">
        <v>1570</v>
      </c>
      <c r="O354" t="s">
        <v>1950</v>
      </c>
      <c r="Q354" t="s">
        <v>6</v>
      </c>
      <c r="R354" t="s">
        <v>1040</v>
      </c>
      <c r="S354" t="s">
        <v>1571</v>
      </c>
      <c r="T354" t="s">
        <v>1997</v>
      </c>
      <c r="U354">
        <v>300</v>
      </c>
      <c r="V354">
        <v>88.06</v>
      </c>
      <c r="W354" s="2">
        <v>26418</v>
      </c>
      <c r="X354">
        <v>0</v>
      </c>
      <c r="Y354">
        <v>0</v>
      </c>
      <c r="Z354" s="2">
        <v>4755.24</v>
      </c>
      <c r="AA354">
        <v>0</v>
      </c>
      <c r="AB354">
        <v>0</v>
      </c>
      <c r="AC354" s="2">
        <v>31173.24</v>
      </c>
      <c r="AD354">
        <v>0</v>
      </c>
      <c r="AE354">
        <v>0</v>
      </c>
      <c r="AF354" s="2">
        <v>31173.24</v>
      </c>
      <c r="AG354" t="s">
        <v>37</v>
      </c>
    </row>
    <row r="355" spans="1:33" x14ac:dyDescent="0.35">
      <c r="A355">
        <v>353</v>
      </c>
      <c r="B355">
        <v>282646</v>
      </c>
      <c r="C355">
        <v>328013821</v>
      </c>
      <c r="D355" t="s">
        <v>1560</v>
      </c>
      <c r="E355" t="s">
        <v>50</v>
      </c>
      <c r="F355" s="1">
        <v>46246</v>
      </c>
      <c r="G355" t="s">
        <v>1561</v>
      </c>
      <c r="H355" t="s">
        <v>1562</v>
      </c>
      <c r="I355" s="1">
        <v>46239</v>
      </c>
      <c r="J355" t="s">
        <v>138</v>
      </c>
      <c r="K355" t="s">
        <v>137</v>
      </c>
      <c r="L355" t="s">
        <v>15</v>
      </c>
      <c r="M355" t="s">
        <v>23</v>
      </c>
      <c r="N355" t="s">
        <v>1572</v>
      </c>
      <c r="O355" t="s">
        <v>2008</v>
      </c>
      <c r="Q355" t="s">
        <v>6</v>
      </c>
      <c r="R355" t="s">
        <v>42</v>
      </c>
      <c r="S355" t="s">
        <v>1573</v>
      </c>
      <c r="T355" t="s">
        <v>416</v>
      </c>
      <c r="U355">
        <v>150</v>
      </c>
      <c r="V355">
        <v>25.5</v>
      </c>
      <c r="W355" s="2">
        <v>3825</v>
      </c>
      <c r="X355">
        <v>0</v>
      </c>
      <c r="Y355">
        <v>0</v>
      </c>
      <c r="Z355">
        <v>688.5</v>
      </c>
      <c r="AA355">
        <v>0</v>
      </c>
      <c r="AB355">
        <v>0</v>
      </c>
      <c r="AC355" s="2">
        <v>4513.5</v>
      </c>
      <c r="AD355">
        <v>0</v>
      </c>
      <c r="AE355">
        <v>0</v>
      </c>
      <c r="AF355" s="2">
        <v>4513.5</v>
      </c>
      <c r="AG355" t="s">
        <v>37</v>
      </c>
    </row>
    <row r="356" spans="1:33" x14ac:dyDescent="0.35">
      <c r="A356">
        <v>354</v>
      </c>
      <c r="B356">
        <v>282646</v>
      </c>
      <c r="C356">
        <v>328013821</v>
      </c>
      <c r="D356" t="s">
        <v>1560</v>
      </c>
      <c r="E356" t="s">
        <v>50</v>
      </c>
      <c r="F356" s="1">
        <v>46246</v>
      </c>
      <c r="G356" t="s">
        <v>1561</v>
      </c>
      <c r="H356" t="s">
        <v>1562</v>
      </c>
      <c r="I356" s="1">
        <v>46239</v>
      </c>
      <c r="J356" t="s">
        <v>138</v>
      </c>
      <c r="K356" t="s">
        <v>137</v>
      </c>
      <c r="L356" t="s">
        <v>15</v>
      </c>
      <c r="M356" t="s">
        <v>23</v>
      </c>
      <c r="N356" t="s">
        <v>1568</v>
      </c>
      <c r="O356" t="s">
        <v>2005</v>
      </c>
      <c r="Q356" t="s">
        <v>6</v>
      </c>
      <c r="R356" t="s">
        <v>44</v>
      </c>
      <c r="S356" t="s">
        <v>1569</v>
      </c>
      <c r="T356" t="s">
        <v>416</v>
      </c>
      <c r="U356">
        <v>200</v>
      </c>
      <c r="V356">
        <v>121.77</v>
      </c>
      <c r="W356" s="2">
        <v>24354</v>
      </c>
      <c r="X356">
        <v>0</v>
      </c>
      <c r="Y356">
        <v>0</v>
      </c>
      <c r="Z356" s="2">
        <v>4383.72</v>
      </c>
      <c r="AA356">
        <v>0</v>
      </c>
      <c r="AB356">
        <v>0</v>
      </c>
      <c r="AC356" s="2">
        <v>28737.72</v>
      </c>
      <c r="AD356">
        <v>0</v>
      </c>
      <c r="AE356">
        <v>0</v>
      </c>
      <c r="AF356" s="2">
        <v>28737.72</v>
      </c>
      <c r="AG356" t="s">
        <v>37</v>
      </c>
    </row>
    <row r="357" spans="1:33" x14ac:dyDescent="0.35">
      <c r="A357">
        <v>355</v>
      </c>
      <c r="B357">
        <v>282646</v>
      </c>
      <c r="C357">
        <v>328013821</v>
      </c>
      <c r="D357" t="s">
        <v>1560</v>
      </c>
      <c r="E357" t="s">
        <v>50</v>
      </c>
      <c r="F357" s="1">
        <v>46246</v>
      </c>
      <c r="G357" t="s">
        <v>1561</v>
      </c>
      <c r="H357" t="s">
        <v>1562</v>
      </c>
      <c r="I357" s="1">
        <v>46239</v>
      </c>
      <c r="J357" t="s">
        <v>138</v>
      </c>
      <c r="K357" t="s">
        <v>137</v>
      </c>
      <c r="L357" t="s">
        <v>15</v>
      </c>
      <c r="M357" t="s">
        <v>23</v>
      </c>
      <c r="N357" t="s">
        <v>1563</v>
      </c>
      <c r="O357" t="s">
        <v>1936</v>
      </c>
      <c r="Q357" t="s">
        <v>6</v>
      </c>
      <c r="R357" t="s">
        <v>42</v>
      </c>
      <c r="S357" t="s">
        <v>1564</v>
      </c>
      <c r="T357" t="s">
        <v>416</v>
      </c>
      <c r="U357">
        <v>100</v>
      </c>
      <c r="V357">
        <v>779.28</v>
      </c>
      <c r="W357" s="2">
        <v>77928</v>
      </c>
      <c r="X357">
        <v>0</v>
      </c>
      <c r="Y357">
        <v>0</v>
      </c>
      <c r="Z357" s="2">
        <v>14027.04</v>
      </c>
      <c r="AA357">
        <v>0</v>
      </c>
      <c r="AB357">
        <v>0</v>
      </c>
      <c r="AC357" s="2">
        <v>91955.04</v>
      </c>
      <c r="AD357">
        <v>0</v>
      </c>
      <c r="AE357">
        <v>0</v>
      </c>
      <c r="AF357" s="2">
        <v>91955.04</v>
      </c>
      <c r="AG357" t="s">
        <v>37</v>
      </c>
    </row>
    <row r="358" spans="1:33" x14ac:dyDescent="0.35">
      <c r="A358">
        <v>356</v>
      </c>
      <c r="B358">
        <v>282646</v>
      </c>
      <c r="C358">
        <v>328013821</v>
      </c>
      <c r="D358" t="s">
        <v>1560</v>
      </c>
      <c r="E358" t="s">
        <v>50</v>
      </c>
      <c r="F358" s="1">
        <v>46246</v>
      </c>
      <c r="G358" t="s">
        <v>1561</v>
      </c>
      <c r="H358" t="s">
        <v>1562</v>
      </c>
      <c r="I358" s="1">
        <v>46239</v>
      </c>
      <c r="J358" t="s">
        <v>138</v>
      </c>
      <c r="K358" t="s">
        <v>137</v>
      </c>
      <c r="L358" t="s">
        <v>15</v>
      </c>
      <c r="M358" t="s">
        <v>23</v>
      </c>
      <c r="N358" t="s">
        <v>1565</v>
      </c>
      <c r="O358" t="s">
        <v>1936</v>
      </c>
      <c r="Q358" t="s">
        <v>6</v>
      </c>
      <c r="R358" t="s">
        <v>1566</v>
      </c>
      <c r="S358" t="s">
        <v>1567</v>
      </c>
      <c r="T358" t="s">
        <v>416</v>
      </c>
      <c r="U358">
        <v>50</v>
      </c>
      <c r="V358">
        <v>353.94</v>
      </c>
      <c r="W358" s="2">
        <v>17697</v>
      </c>
      <c r="X358">
        <v>0</v>
      </c>
      <c r="Y358">
        <v>0</v>
      </c>
      <c r="Z358" s="2">
        <v>3185.46</v>
      </c>
      <c r="AA358">
        <v>0</v>
      </c>
      <c r="AB358">
        <v>0</v>
      </c>
      <c r="AC358" s="2">
        <v>20882.46</v>
      </c>
      <c r="AD358">
        <v>0</v>
      </c>
      <c r="AE358">
        <v>0</v>
      </c>
      <c r="AF358" s="2">
        <v>20882.46</v>
      </c>
      <c r="AG358" t="s">
        <v>37</v>
      </c>
    </row>
    <row r="359" spans="1:33" x14ac:dyDescent="0.35">
      <c r="A359">
        <v>357</v>
      </c>
      <c r="B359">
        <v>282648</v>
      </c>
      <c r="C359">
        <v>328013822</v>
      </c>
      <c r="D359" t="s">
        <v>1574</v>
      </c>
      <c r="E359" t="s">
        <v>50</v>
      </c>
      <c r="F359" s="1">
        <v>46246</v>
      </c>
      <c r="G359" t="s">
        <v>1575</v>
      </c>
      <c r="H359" t="s">
        <v>1576</v>
      </c>
      <c r="I359" s="1">
        <v>46238</v>
      </c>
      <c r="J359" t="s">
        <v>138</v>
      </c>
      <c r="K359" t="s">
        <v>137</v>
      </c>
      <c r="L359" t="s">
        <v>19</v>
      </c>
      <c r="M359" t="s">
        <v>150</v>
      </c>
      <c r="N359" t="s">
        <v>1577</v>
      </c>
      <c r="O359" t="s">
        <v>1991</v>
      </c>
      <c r="Q359" t="s">
        <v>6</v>
      </c>
      <c r="R359" t="s">
        <v>699</v>
      </c>
      <c r="S359" t="s">
        <v>1578</v>
      </c>
      <c r="T359" t="s">
        <v>416</v>
      </c>
      <c r="U359">
        <v>100</v>
      </c>
      <c r="V359">
        <v>57.97</v>
      </c>
      <c r="W359" s="2">
        <v>5797</v>
      </c>
      <c r="X359">
        <v>0</v>
      </c>
      <c r="Y359">
        <v>0</v>
      </c>
      <c r="Z359" s="2">
        <v>1043.46</v>
      </c>
      <c r="AA359">
        <v>0</v>
      </c>
      <c r="AB359">
        <v>0</v>
      </c>
      <c r="AC359" s="2">
        <v>6840.46</v>
      </c>
      <c r="AD359">
        <v>0</v>
      </c>
      <c r="AE359">
        <v>0</v>
      </c>
      <c r="AF359" s="2">
        <v>6840.46</v>
      </c>
      <c r="AG359" t="s">
        <v>37</v>
      </c>
    </row>
    <row r="360" spans="1:33" x14ac:dyDescent="0.35">
      <c r="A360">
        <v>358</v>
      </c>
      <c r="B360">
        <v>282701</v>
      </c>
      <c r="C360">
        <v>328013864</v>
      </c>
      <c r="D360" t="s">
        <v>1579</v>
      </c>
      <c r="E360" t="s">
        <v>50</v>
      </c>
      <c r="F360" s="1">
        <v>46246</v>
      </c>
      <c r="G360" t="s">
        <v>16</v>
      </c>
      <c r="H360">
        <v>4600004247</v>
      </c>
      <c r="I360" s="1">
        <v>46240</v>
      </c>
      <c r="J360" t="s">
        <v>138</v>
      </c>
      <c r="K360" t="s">
        <v>1280</v>
      </c>
      <c r="L360" t="s">
        <v>13</v>
      </c>
      <c r="M360" t="s">
        <v>22</v>
      </c>
      <c r="N360" t="s">
        <v>1502</v>
      </c>
      <c r="O360" t="s">
        <v>1936</v>
      </c>
      <c r="P360" t="s">
        <v>2119</v>
      </c>
      <c r="Q360" t="s">
        <v>6</v>
      </c>
      <c r="R360" t="s">
        <v>660</v>
      </c>
      <c r="S360" t="s">
        <v>1503</v>
      </c>
      <c r="T360" t="s">
        <v>416</v>
      </c>
      <c r="U360">
        <v>300</v>
      </c>
      <c r="V360">
        <v>33.369999999999997</v>
      </c>
      <c r="W360" s="2">
        <v>10011</v>
      </c>
      <c r="X360">
        <v>0</v>
      </c>
      <c r="Y360">
        <v>0</v>
      </c>
      <c r="Z360" s="2">
        <v>1801.98</v>
      </c>
      <c r="AA360">
        <v>0</v>
      </c>
      <c r="AB360">
        <v>0</v>
      </c>
      <c r="AC360" s="2">
        <v>11812.98</v>
      </c>
      <c r="AD360">
        <v>0</v>
      </c>
      <c r="AE360">
        <v>0</v>
      </c>
      <c r="AF360" s="2">
        <v>11812.98</v>
      </c>
      <c r="AG360" t="s">
        <v>37</v>
      </c>
    </row>
    <row r="361" spans="1:33" x14ac:dyDescent="0.35">
      <c r="A361">
        <v>359</v>
      </c>
      <c r="B361">
        <v>282701</v>
      </c>
      <c r="C361">
        <v>328013864</v>
      </c>
      <c r="D361" t="s">
        <v>1579</v>
      </c>
      <c r="E361" t="s">
        <v>50</v>
      </c>
      <c r="F361" s="1">
        <v>46246</v>
      </c>
      <c r="G361" t="s">
        <v>16</v>
      </c>
      <c r="H361">
        <v>4600004247</v>
      </c>
      <c r="I361" s="1">
        <v>46240</v>
      </c>
      <c r="J361" t="s">
        <v>138</v>
      </c>
      <c r="K361" t="s">
        <v>1280</v>
      </c>
      <c r="L361" t="s">
        <v>13</v>
      </c>
      <c r="M361" t="s">
        <v>22</v>
      </c>
      <c r="N361" t="s">
        <v>1580</v>
      </c>
      <c r="O361" t="s">
        <v>1936</v>
      </c>
      <c r="P361" t="s">
        <v>2120</v>
      </c>
      <c r="Q361" t="s">
        <v>6</v>
      </c>
      <c r="R361" t="s">
        <v>660</v>
      </c>
      <c r="S361" t="s">
        <v>1581</v>
      </c>
      <c r="T361" t="s">
        <v>416</v>
      </c>
      <c r="U361">
        <v>300</v>
      </c>
      <c r="V361">
        <v>29.46</v>
      </c>
      <c r="W361" s="2">
        <v>8838</v>
      </c>
      <c r="X361">
        <v>0</v>
      </c>
      <c r="Y361">
        <v>0</v>
      </c>
      <c r="Z361" s="2">
        <v>1590.84</v>
      </c>
      <c r="AA361">
        <v>0</v>
      </c>
      <c r="AB361">
        <v>0</v>
      </c>
      <c r="AC361" s="2">
        <v>10428.84</v>
      </c>
      <c r="AD361">
        <v>0</v>
      </c>
      <c r="AE361">
        <v>0</v>
      </c>
      <c r="AF361" s="2">
        <v>10428.84</v>
      </c>
      <c r="AG361" t="s">
        <v>37</v>
      </c>
    </row>
    <row r="362" spans="1:33" x14ac:dyDescent="0.35">
      <c r="A362">
        <v>360</v>
      </c>
      <c r="B362">
        <v>282702</v>
      </c>
      <c r="C362">
        <v>328013865</v>
      </c>
      <c r="D362" t="s">
        <v>1582</v>
      </c>
      <c r="E362" t="s">
        <v>50</v>
      </c>
      <c r="F362" s="1">
        <v>46246</v>
      </c>
      <c r="G362" t="s">
        <v>16</v>
      </c>
      <c r="H362">
        <v>4600004246</v>
      </c>
      <c r="I362" s="1">
        <v>46240</v>
      </c>
      <c r="J362" t="s">
        <v>138</v>
      </c>
      <c r="K362" t="s">
        <v>1280</v>
      </c>
      <c r="L362" t="s">
        <v>13</v>
      </c>
      <c r="M362" t="s">
        <v>22</v>
      </c>
      <c r="N362" t="s">
        <v>1585</v>
      </c>
      <c r="O362" t="s">
        <v>1932</v>
      </c>
      <c r="P362" t="s">
        <v>2121</v>
      </c>
      <c r="Q362" t="s">
        <v>6</v>
      </c>
      <c r="R362" t="s">
        <v>660</v>
      </c>
      <c r="S362" t="s">
        <v>1586</v>
      </c>
      <c r="T362" t="s">
        <v>2003</v>
      </c>
      <c r="U362">
        <v>300</v>
      </c>
      <c r="V362">
        <v>30.08</v>
      </c>
      <c r="W362" s="2">
        <v>9024</v>
      </c>
      <c r="X362">
        <v>0</v>
      </c>
      <c r="Y362">
        <v>0</v>
      </c>
      <c r="Z362" s="2">
        <v>1624.32</v>
      </c>
      <c r="AA362">
        <v>0</v>
      </c>
      <c r="AB362">
        <v>0</v>
      </c>
      <c r="AC362" s="2">
        <v>10648.32</v>
      </c>
      <c r="AD362">
        <v>0</v>
      </c>
      <c r="AE362">
        <v>0</v>
      </c>
      <c r="AF362" s="2">
        <v>10648.32</v>
      </c>
      <c r="AG362" t="s">
        <v>37</v>
      </c>
    </row>
    <row r="363" spans="1:33" x14ac:dyDescent="0.35">
      <c r="A363">
        <v>361</v>
      </c>
      <c r="B363">
        <v>282702</v>
      </c>
      <c r="C363">
        <v>328013865</v>
      </c>
      <c r="D363" t="s">
        <v>1582</v>
      </c>
      <c r="E363" t="s">
        <v>50</v>
      </c>
      <c r="F363" s="1">
        <v>46246</v>
      </c>
      <c r="G363" t="s">
        <v>16</v>
      </c>
      <c r="H363">
        <v>4600004246</v>
      </c>
      <c r="I363" s="1">
        <v>46240</v>
      </c>
      <c r="J363" t="s">
        <v>138</v>
      </c>
      <c r="K363" t="s">
        <v>1280</v>
      </c>
      <c r="L363" t="s">
        <v>13</v>
      </c>
      <c r="M363" t="s">
        <v>22</v>
      </c>
      <c r="N363" t="s">
        <v>1583</v>
      </c>
      <c r="O363" t="s">
        <v>2008</v>
      </c>
      <c r="P363" t="s">
        <v>2122</v>
      </c>
      <c r="Q363" t="s">
        <v>6</v>
      </c>
      <c r="R363" t="s">
        <v>660</v>
      </c>
      <c r="S363" t="s">
        <v>1584</v>
      </c>
      <c r="T363" t="s">
        <v>416</v>
      </c>
      <c r="U363">
        <v>300</v>
      </c>
      <c r="V363">
        <v>59.33</v>
      </c>
      <c r="W363" s="2">
        <v>17799</v>
      </c>
      <c r="X363">
        <v>0</v>
      </c>
      <c r="Y363">
        <v>0</v>
      </c>
      <c r="Z363" s="2">
        <v>3203.82</v>
      </c>
      <c r="AA363">
        <v>0</v>
      </c>
      <c r="AB363">
        <v>0</v>
      </c>
      <c r="AC363" s="2">
        <v>21002.82</v>
      </c>
      <c r="AD363">
        <v>0</v>
      </c>
      <c r="AE363">
        <v>0</v>
      </c>
      <c r="AF363" s="2">
        <v>21002.82</v>
      </c>
      <c r="AG363" t="s">
        <v>37</v>
      </c>
    </row>
    <row r="364" spans="1:33" x14ac:dyDescent="0.35">
      <c r="A364">
        <v>362</v>
      </c>
      <c r="B364">
        <v>282703</v>
      </c>
      <c r="C364">
        <v>328013866</v>
      </c>
      <c r="D364" t="s">
        <v>1587</v>
      </c>
      <c r="E364" t="s">
        <v>50</v>
      </c>
      <c r="F364" s="1">
        <v>46246</v>
      </c>
      <c r="G364" t="s">
        <v>16</v>
      </c>
      <c r="H364">
        <v>4600004245</v>
      </c>
      <c r="I364" s="1">
        <v>46240</v>
      </c>
      <c r="J364" t="s">
        <v>138</v>
      </c>
      <c r="K364" t="s">
        <v>1280</v>
      </c>
      <c r="L364" t="s">
        <v>13</v>
      </c>
      <c r="M364" t="s">
        <v>22</v>
      </c>
      <c r="N364" t="s">
        <v>1588</v>
      </c>
      <c r="O364" t="s">
        <v>2008</v>
      </c>
      <c r="P364" t="s">
        <v>2123</v>
      </c>
      <c r="Q364" t="s">
        <v>6</v>
      </c>
      <c r="R364" t="s">
        <v>660</v>
      </c>
      <c r="S364" t="s">
        <v>1589</v>
      </c>
      <c r="T364" t="s">
        <v>416</v>
      </c>
      <c r="U364">
        <v>300</v>
      </c>
      <c r="V364">
        <v>107.12</v>
      </c>
      <c r="W364" s="2">
        <v>32136</v>
      </c>
      <c r="X364">
        <v>0</v>
      </c>
      <c r="Y364">
        <v>0</v>
      </c>
      <c r="Z364" s="2">
        <v>5784.48</v>
      </c>
      <c r="AA364">
        <v>0</v>
      </c>
      <c r="AB364">
        <v>0</v>
      </c>
      <c r="AC364" s="2">
        <v>37920.480000000003</v>
      </c>
      <c r="AD364">
        <v>0</v>
      </c>
      <c r="AE364">
        <v>0</v>
      </c>
      <c r="AF364" s="2">
        <v>37920.480000000003</v>
      </c>
      <c r="AG364" t="s">
        <v>37</v>
      </c>
    </row>
    <row r="365" spans="1:33" x14ac:dyDescent="0.35">
      <c r="A365">
        <v>363</v>
      </c>
      <c r="B365">
        <v>282704</v>
      </c>
      <c r="C365">
        <v>328013867</v>
      </c>
      <c r="D365" t="s">
        <v>1590</v>
      </c>
      <c r="E365" t="s">
        <v>50</v>
      </c>
      <c r="F365" s="1">
        <v>46246</v>
      </c>
      <c r="G365" t="s">
        <v>831</v>
      </c>
      <c r="H365" t="s">
        <v>1591</v>
      </c>
      <c r="I365" s="1">
        <v>46232</v>
      </c>
      <c r="J365" t="s">
        <v>138</v>
      </c>
      <c r="K365" t="s">
        <v>1278</v>
      </c>
      <c r="L365" t="s">
        <v>12</v>
      </c>
      <c r="M365" t="s">
        <v>21</v>
      </c>
      <c r="N365" t="s">
        <v>1596</v>
      </c>
      <c r="O365" t="s">
        <v>1936</v>
      </c>
      <c r="Q365" t="s">
        <v>6</v>
      </c>
      <c r="R365" t="s">
        <v>768</v>
      </c>
      <c r="S365" t="s">
        <v>1597</v>
      </c>
      <c r="T365" t="s">
        <v>416</v>
      </c>
      <c r="U365">
        <v>10</v>
      </c>
      <c r="V365">
        <v>34.1</v>
      </c>
      <c r="W365">
        <v>341</v>
      </c>
      <c r="X365">
        <v>0</v>
      </c>
      <c r="Y365">
        <v>0</v>
      </c>
      <c r="Z365">
        <v>61.38</v>
      </c>
      <c r="AA365">
        <v>0</v>
      </c>
      <c r="AB365">
        <v>0</v>
      </c>
      <c r="AC365">
        <v>402.38</v>
      </c>
      <c r="AD365">
        <v>0</v>
      </c>
      <c r="AE365">
        <v>0</v>
      </c>
      <c r="AF365">
        <v>402.38</v>
      </c>
      <c r="AG365" t="s">
        <v>37</v>
      </c>
    </row>
    <row r="366" spans="1:33" x14ac:dyDescent="0.35">
      <c r="A366">
        <v>364</v>
      </c>
      <c r="B366">
        <v>282704</v>
      </c>
      <c r="C366">
        <v>328013867</v>
      </c>
      <c r="D366" t="s">
        <v>1590</v>
      </c>
      <c r="E366" t="s">
        <v>50</v>
      </c>
      <c r="F366" s="1">
        <v>46246</v>
      </c>
      <c r="G366" t="s">
        <v>831</v>
      </c>
      <c r="H366" t="s">
        <v>1591</v>
      </c>
      <c r="I366" s="1">
        <v>46232</v>
      </c>
      <c r="J366" t="s">
        <v>138</v>
      </c>
      <c r="K366" t="s">
        <v>1278</v>
      </c>
      <c r="L366" t="s">
        <v>12</v>
      </c>
      <c r="M366" t="s">
        <v>21</v>
      </c>
      <c r="N366" t="s">
        <v>1592</v>
      </c>
      <c r="O366" t="s">
        <v>1936</v>
      </c>
      <c r="Q366" t="s">
        <v>6</v>
      </c>
      <c r="R366" t="s">
        <v>670</v>
      </c>
      <c r="S366" t="s">
        <v>1593</v>
      </c>
      <c r="T366" t="s">
        <v>416</v>
      </c>
      <c r="U366">
        <v>3</v>
      </c>
      <c r="V366" s="2">
        <v>1227.06</v>
      </c>
      <c r="W366" s="2">
        <v>3681.18</v>
      </c>
      <c r="X366">
        <v>0</v>
      </c>
      <c r="Y366">
        <v>0</v>
      </c>
      <c r="Z366">
        <v>662.61239999999998</v>
      </c>
      <c r="AA366">
        <v>0</v>
      </c>
      <c r="AB366">
        <v>0</v>
      </c>
      <c r="AC366" s="2">
        <v>4343.7924000000003</v>
      </c>
      <c r="AD366">
        <v>0</v>
      </c>
      <c r="AE366">
        <v>0</v>
      </c>
      <c r="AF366" s="2">
        <v>4343.7924000000003</v>
      </c>
      <c r="AG366" t="s">
        <v>37</v>
      </c>
    </row>
    <row r="367" spans="1:33" x14ac:dyDescent="0.35">
      <c r="A367">
        <v>365</v>
      </c>
      <c r="B367">
        <v>282704</v>
      </c>
      <c r="C367">
        <v>328013867</v>
      </c>
      <c r="D367" t="s">
        <v>1590</v>
      </c>
      <c r="E367" t="s">
        <v>50</v>
      </c>
      <c r="F367" s="1">
        <v>46246</v>
      </c>
      <c r="G367" t="s">
        <v>831</v>
      </c>
      <c r="H367" t="s">
        <v>1591</v>
      </c>
      <c r="I367" s="1">
        <v>46232</v>
      </c>
      <c r="J367" t="s">
        <v>138</v>
      </c>
      <c r="K367" t="s">
        <v>1278</v>
      </c>
      <c r="L367" t="s">
        <v>12</v>
      </c>
      <c r="M367" t="s">
        <v>21</v>
      </c>
      <c r="N367" t="s">
        <v>1594</v>
      </c>
      <c r="O367" t="s">
        <v>2008</v>
      </c>
      <c r="Q367" t="s">
        <v>6</v>
      </c>
      <c r="R367" t="s">
        <v>660</v>
      </c>
      <c r="S367" t="s">
        <v>1595</v>
      </c>
      <c r="T367" t="s">
        <v>416</v>
      </c>
      <c r="U367">
        <v>3</v>
      </c>
      <c r="V367">
        <v>244.8</v>
      </c>
      <c r="W367">
        <v>734.4</v>
      </c>
      <c r="X367">
        <v>0</v>
      </c>
      <c r="Y367">
        <v>0</v>
      </c>
      <c r="Z367">
        <v>132.19200000000001</v>
      </c>
      <c r="AA367">
        <v>0</v>
      </c>
      <c r="AB367">
        <v>0</v>
      </c>
      <c r="AC367">
        <v>866.59199999999998</v>
      </c>
      <c r="AD367">
        <v>0</v>
      </c>
      <c r="AE367">
        <v>0</v>
      </c>
      <c r="AF367">
        <v>866.59199999999998</v>
      </c>
      <c r="AG367" t="s">
        <v>37</v>
      </c>
    </row>
    <row r="368" spans="1:33" x14ac:dyDescent="0.35">
      <c r="A368">
        <v>366</v>
      </c>
      <c r="B368">
        <v>282714</v>
      </c>
      <c r="C368">
        <v>328013872</v>
      </c>
      <c r="D368" t="s">
        <v>1778</v>
      </c>
      <c r="E368" t="s">
        <v>50</v>
      </c>
      <c r="F368" s="1">
        <v>46247</v>
      </c>
      <c r="G368" t="s">
        <v>954</v>
      </c>
      <c r="H368" t="s">
        <v>1779</v>
      </c>
      <c r="I368" s="1">
        <v>46233</v>
      </c>
      <c r="J368" t="s">
        <v>138</v>
      </c>
      <c r="K368" t="s">
        <v>1279</v>
      </c>
      <c r="L368" t="s">
        <v>12</v>
      </c>
      <c r="M368" t="s">
        <v>21</v>
      </c>
      <c r="N368" t="s">
        <v>1780</v>
      </c>
      <c r="O368" t="s">
        <v>1935</v>
      </c>
      <c r="P368" t="s">
        <v>2124</v>
      </c>
      <c r="Q368" t="s">
        <v>6</v>
      </c>
      <c r="R368" t="s">
        <v>38</v>
      </c>
      <c r="S368" t="s">
        <v>1781</v>
      </c>
      <c r="T368" t="s">
        <v>1995</v>
      </c>
      <c r="U368">
        <v>200</v>
      </c>
      <c r="V368">
        <v>113.22</v>
      </c>
      <c r="W368" s="2">
        <v>22644</v>
      </c>
      <c r="X368">
        <v>0</v>
      </c>
      <c r="Y368">
        <v>0</v>
      </c>
      <c r="Z368" s="2">
        <v>4075.92</v>
      </c>
      <c r="AA368">
        <v>0</v>
      </c>
      <c r="AB368">
        <v>0</v>
      </c>
      <c r="AC368" s="2">
        <v>26719.919999999998</v>
      </c>
      <c r="AD368">
        <v>0</v>
      </c>
      <c r="AE368">
        <v>0</v>
      </c>
      <c r="AF368" s="2">
        <v>26719.919999999998</v>
      </c>
      <c r="AG368" t="s">
        <v>37</v>
      </c>
    </row>
    <row r="369" spans="1:33" x14ac:dyDescent="0.35">
      <c r="A369">
        <v>367</v>
      </c>
      <c r="B369">
        <v>282714</v>
      </c>
      <c r="C369">
        <v>328013872</v>
      </c>
      <c r="D369" t="s">
        <v>1778</v>
      </c>
      <c r="E369" t="s">
        <v>50</v>
      </c>
      <c r="F369" s="1">
        <v>46247</v>
      </c>
      <c r="G369" t="s">
        <v>954</v>
      </c>
      <c r="H369" t="s">
        <v>1779</v>
      </c>
      <c r="I369" s="1">
        <v>46233</v>
      </c>
      <c r="J369" t="s">
        <v>138</v>
      </c>
      <c r="K369" t="s">
        <v>1279</v>
      </c>
      <c r="L369" t="s">
        <v>12</v>
      </c>
      <c r="M369" t="s">
        <v>21</v>
      </c>
      <c r="N369" t="s">
        <v>1785</v>
      </c>
      <c r="O369" t="s">
        <v>1996</v>
      </c>
      <c r="P369" t="s">
        <v>2125</v>
      </c>
      <c r="Q369" t="s">
        <v>6</v>
      </c>
      <c r="R369" t="s">
        <v>47</v>
      </c>
      <c r="S369" t="s">
        <v>1786</v>
      </c>
      <c r="T369" t="s">
        <v>1997</v>
      </c>
      <c r="U369">
        <v>105</v>
      </c>
      <c r="V369">
        <v>52.76</v>
      </c>
      <c r="W369" s="2">
        <v>5539.8</v>
      </c>
      <c r="X369">
        <v>0</v>
      </c>
      <c r="Y369">
        <v>0</v>
      </c>
      <c r="Z369">
        <v>997.16399999999999</v>
      </c>
      <c r="AA369">
        <v>0</v>
      </c>
      <c r="AB369">
        <v>0</v>
      </c>
      <c r="AC369" s="2">
        <v>6536.9639999999999</v>
      </c>
      <c r="AD369">
        <v>0</v>
      </c>
      <c r="AE369">
        <v>0</v>
      </c>
      <c r="AF369" s="2">
        <v>6536.9639999999999</v>
      </c>
      <c r="AG369" t="s">
        <v>37</v>
      </c>
    </row>
    <row r="370" spans="1:33" x14ac:dyDescent="0.35">
      <c r="A370">
        <v>368</v>
      </c>
      <c r="B370">
        <v>282714</v>
      </c>
      <c r="C370">
        <v>328013872</v>
      </c>
      <c r="D370" t="s">
        <v>1778</v>
      </c>
      <c r="E370" t="s">
        <v>50</v>
      </c>
      <c r="F370" s="1">
        <v>46247</v>
      </c>
      <c r="G370" t="s">
        <v>954</v>
      </c>
      <c r="H370" t="s">
        <v>1779</v>
      </c>
      <c r="I370" s="1">
        <v>46233</v>
      </c>
      <c r="J370" t="s">
        <v>138</v>
      </c>
      <c r="K370" t="s">
        <v>1279</v>
      </c>
      <c r="L370" t="s">
        <v>12</v>
      </c>
      <c r="M370" t="s">
        <v>21</v>
      </c>
      <c r="N370" t="s">
        <v>1782</v>
      </c>
      <c r="O370" t="s">
        <v>1932</v>
      </c>
      <c r="P370" t="s">
        <v>2126</v>
      </c>
      <c r="Q370" t="s">
        <v>6</v>
      </c>
      <c r="R370" t="s">
        <v>1783</v>
      </c>
      <c r="S370" t="s">
        <v>1784</v>
      </c>
      <c r="T370" t="s">
        <v>2003</v>
      </c>
      <c r="U370">
        <v>230</v>
      </c>
      <c r="V370">
        <v>101.39</v>
      </c>
      <c r="W370" s="2">
        <v>23319.7</v>
      </c>
      <c r="X370">
        <v>0</v>
      </c>
      <c r="Y370">
        <v>0</v>
      </c>
      <c r="Z370" s="2">
        <v>4197.5460000000003</v>
      </c>
      <c r="AA370">
        <v>0</v>
      </c>
      <c r="AB370">
        <v>0</v>
      </c>
      <c r="AC370" s="2">
        <v>27517.245999999999</v>
      </c>
      <c r="AD370">
        <v>0</v>
      </c>
      <c r="AE370">
        <v>0</v>
      </c>
      <c r="AF370" s="2">
        <v>27517.245999999999</v>
      </c>
      <c r="AG370" t="s">
        <v>37</v>
      </c>
    </row>
    <row r="371" spans="1:33" x14ac:dyDescent="0.35">
      <c r="A371">
        <v>369</v>
      </c>
      <c r="B371">
        <v>282721</v>
      </c>
      <c r="C371">
        <v>328013877</v>
      </c>
      <c r="D371" t="s">
        <v>1787</v>
      </c>
      <c r="E371" t="s">
        <v>50</v>
      </c>
      <c r="F371" s="1">
        <v>46247</v>
      </c>
      <c r="G371" t="s">
        <v>1043</v>
      </c>
      <c r="H371" t="s">
        <v>1788</v>
      </c>
      <c r="I371" s="1">
        <v>46237</v>
      </c>
      <c r="J371" t="s">
        <v>138</v>
      </c>
      <c r="K371" t="s">
        <v>137</v>
      </c>
      <c r="L371" t="s">
        <v>11</v>
      </c>
      <c r="M371" t="s">
        <v>24</v>
      </c>
      <c r="N371" t="s">
        <v>1791</v>
      </c>
      <c r="O371" t="s">
        <v>1932</v>
      </c>
      <c r="Q371" t="s">
        <v>6</v>
      </c>
      <c r="R371" t="s">
        <v>1792</v>
      </c>
      <c r="S371" t="s">
        <v>1793</v>
      </c>
      <c r="T371" t="s">
        <v>2001</v>
      </c>
      <c r="U371">
        <v>2</v>
      </c>
      <c r="V371" s="2">
        <v>4244.22</v>
      </c>
      <c r="W371" s="2">
        <v>8488.44</v>
      </c>
      <c r="X371">
        <v>0</v>
      </c>
      <c r="Y371">
        <v>0</v>
      </c>
      <c r="Z371" s="2">
        <v>1527.9192</v>
      </c>
      <c r="AA371">
        <v>0</v>
      </c>
      <c r="AB371">
        <v>0</v>
      </c>
      <c r="AC371" s="2">
        <v>10016.359200000001</v>
      </c>
      <c r="AD371">
        <v>0</v>
      </c>
      <c r="AE371">
        <v>0</v>
      </c>
      <c r="AF371" s="2">
        <v>10016.359200000001</v>
      </c>
      <c r="AG371" t="s">
        <v>37</v>
      </c>
    </row>
    <row r="372" spans="1:33" x14ac:dyDescent="0.35">
      <c r="A372">
        <v>370</v>
      </c>
      <c r="B372">
        <v>282721</v>
      </c>
      <c r="C372">
        <v>328013877</v>
      </c>
      <c r="D372" t="s">
        <v>1787</v>
      </c>
      <c r="E372" t="s">
        <v>50</v>
      </c>
      <c r="F372" s="1">
        <v>46247</v>
      </c>
      <c r="G372" t="s">
        <v>1043</v>
      </c>
      <c r="H372" t="s">
        <v>1788</v>
      </c>
      <c r="I372" s="1">
        <v>46237</v>
      </c>
      <c r="J372" t="s">
        <v>138</v>
      </c>
      <c r="K372" t="s">
        <v>137</v>
      </c>
      <c r="L372" t="s">
        <v>11</v>
      </c>
      <c r="M372" t="s">
        <v>24</v>
      </c>
      <c r="N372" t="s">
        <v>1789</v>
      </c>
      <c r="O372" t="s">
        <v>2004</v>
      </c>
      <c r="Q372" t="s">
        <v>6</v>
      </c>
      <c r="R372" t="s">
        <v>1109</v>
      </c>
      <c r="S372" t="s">
        <v>1790</v>
      </c>
      <c r="T372" t="s">
        <v>2001</v>
      </c>
      <c r="U372">
        <v>8</v>
      </c>
      <c r="V372" s="2">
        <v>11498.46</v>
      </c>
      <c r="W372" s="2">
        <v>91987.68</v>
      </c>
      <c r="X372">
        <v>0</v>
      </c>
      <c r="Y372">
        <v>0</v>
      </c>
      <c r="Z372" s="2">
        <v>16557.7824</v>
      </c>
      <c r="AA372">
        <v>0</v>
      </c>
      <c r="AB372">
        <v>0</v>
      </c>
      <c r="AC372" s="2">
        <v>108545.4624</v>
      </c>
      <c r="AD372">
        <v>0</v>
      </c>
      <c r="AE372">
        <v>0</v>
      </c>
      <c r="AF372" s="2">
        <v>108545.4624</v>
      </c>
      <c r="AG372" t="s">
        <v>37</v>
      </c>
    </row>
    <row r="373" spans="1:33" x14ac:dyDescent="0.35">
      <c r="A373">
        <v>371</v>
      </c>
      <c r="B373">
        <v>282736</v>
      </c>
      <c r="C373">
        <v>328013889</v>
      </c>
      <c r="D373" t="s">
        <v>1794</v>
      </c>
      <c r="E373" t="s">
        <v>50</v>
      </c>
      <c r="F373" s="1">
        <v>46247</v>
      </c>
      <c r="G373" t="s">
        <v>1795</v>
      </c>
      <c r="H373" t="s">
        <v>1796</v>
      </c>
      <c r="I373" s="1">
        <v>46234</v>
      </c>
      <c r="J373" t="s">
        <v>138</v>
      </c>
      <c r="K373" t="s">
        <v>1279</v>
      </c>
      <c r="L373" t="s">
        <v>12</v>
      </c>
      <c r="M373" t="s">
        <v>21</v>
      </c>
      <c r="N373" t="s">
        <v>1799</v>
      </c>
      <c r="O373" t="s">
        <v>1938</v>
      </c>
      <c r="Q373" t="s">
        <v>6</v>
      </c>
      <c r="R373" t="s">
        <v>987</v>
      </c>
      <c r="S373" t="s">
        <v>1800</v>
      </c>
      <c r="T373" t="s">
        <v>1995</v>
      </c>
      <c r="U373">
        <v>10</v>
      </c>
      <c r="V373">
        <v>0.81</v>
      </c>
      <c r="W373">
        <v>8.1</v>
      </c>
      <c r="X373">
        <v>0</v>
      </c>
      <c r="Y373">
        <v>0</v>
      </c>
      <c r="Z373">
        <v>1.458</v>
      </c>
      <c r="AA373">
        <v>0</v>
      </c>
      <c r="AB373">
        <v>0</v>
      </c>
      <c r="AC373">
        <v>9.5579999999999998</v>
      </c>
      <c r="AD373">
        <v>0</v>
      </c>
      <c r="AE373">
        <v>0</v>
      </c>
      <c r="AF373">
        <v>9.5579999999999998</v>
      </c>
      <c r="AG373" t="s">
        <v>37</v>
      </c>
    </row>
    <row r="374" spans="1:33" x14ac:dyDescent="0.35">
      <c r="A374">
        <v>372</v>
      </c>
      <c r="B374">
        <v>282736</v>
      </c>
      <c r="C374">
        <v>328013889</v>
      </c>
      <c r="D374" t="s">
        <v>1794</v>
      </c>
      <c r="E374" t="s">
        <v>50</v>
      </c>
      <c r="F374" s="1">
        <v>46247</v>
      </c>
      <c r="G374" t="s">
        <v>1795</v>
      </c>
      <c r="H374" t="s">
        <v>1796</v>
      </c>
      <c r="I374" s="1">
        <v>46234</v>
      </c>
      <c r="J374" t="s">
        <v>138</v>
      </c>
      <c r="K374" t="s">
        <v>1279</v>
      </c>
      <c r="L374" t="s">
        <v>12</v>
      </c>
      <c r="M374" t="s">
        <v>21</v>
      </c>
      <c r="N374" t="s">
        <v>1811</v>
      </c>
      <c r="O374" t="s">
        <v>1948</v>
      </c>
      <c r="Q374" t="s">
        <v>6</v>
      </c>
      <c r="R374" t="s">
        <v>1812</v>
      </c>
      <c r="S374" t="s">
        <v>1813</v>
      </c>
      <c r="T374" t="s">
        <v>2003</v>
      </c>
      <c r="U374">
        <v>10</v>
      </c>
      <c r="V374">
        <v>34.450000000000003</v>
      </c>
      <c r="W374">
        <v>344.5</v>
      </c>
      <c r="X374">
        <v>0</v>
      </c>
      <c r="Y374">
        <v>0</v>
      </c>
      <c r="Z374">
        <v>62.01</v>
      </c>
      <c r="AA374">
        <v>0</v>
      </c>
      <c r="AB374">
        <v>0</v>
      </c>
      <c r="AC374">
        <v>406.51</v>
      </c>
      <c r="AD374">
        <v>0</v>
      </c>
      <c r="AE374">
        <v>0</v>
      </c>
      <c r="AF374">
        <v>406.51</v>
      </c>
      <c r="AG374" t="s">
        <v>37</v>
      </c>
    </row>
    <row r="375" spans="1:33" x14ac:dyDescent="0.35">
      <c r="A375">
        <v>373</v>
      </c>
      <c r="B375">
        <v>282736</v>
      </c>
      <c r="C375">
        <v>328013889</v>
      </c>
      <c r="D375" t="s">
        <v>1794</v>
      </c>
      <c r="E375" t="s">
        <v>50</v>
      </c>
      <c r="F375" s="1">
        <v>46247</v>
      </c>
      <c r="G375" t="s">
        <v>1795</v>
      </c>
      <c r="H375" t="s">
        <v>1796</v>
      </c>
      <c r="I375" s="1">
        <v>46234</v>
      </c>
      <c r="J375" t="s">
        <v>138</v>
      </c>
      <c r="K375" t="s">
        <v>1279</v>
      </c>
      <c r="L375" t="s">
        <v>12</v>
      </c>
      <c r="M375" t="s">
        <v>21</v>
      </c>
      <c r="N375" t="s">
        <v>1807</v>
      </c>
      <c r="O375" t="s">
        <v>1949</v>
      </c>
      <c r="Q375" t="s">
        <v>6</v>
      </c>
      <c r="R375" t="s">
        <v>740</v>
      </c>
      <c r="S375" t="s">
        <v>1808</v>
      </c>
      <c r="T375" t="s">
        <v>1995</v>
      </c>
      <c r="U375">
        <v>10</v>
      </c>
      <c r="V375">
        <v>2.5299999999999998</v>
      </c>
      <c r="W375">
        <v>25.3</v>
      </c>
      <c r="X375">
        <v>0</v>
      </c>
      <c r="Y375">
        <v>0</v>
      </c>
      <c r="Z375">
        <v>4.5540000000000003</v>
      </c>
      <c r="AA375">
        <v>0</v>
      </c>
      <c r="AB375">
        <v>0</v>
      </c>
      <c r="AC375">
        <v>29.853999999999999</v>
      </c>
      <c r="AD375">
        <v>0</v>
      </c>
      <c r="AE375">
        <v>0</v>
      </c>
      <c r="AF375">
        <v>29.853999999999999</v>
      </c>
      <c r="AG375" t="s">
        <v>37</v>
      </c>
    </row>
    <row r="376" spans="1:33" x14ac:dyDescent="0.35">
      <c r="A376">
        <v>374</v>
      </c>
      <c r="B376">
        <v>282736</v>
      </c>
      <c r="C376">
        <v>328013889</v>
      </c>
      <c r="D376" t="s">
        <v>1794</v>
      </c>
      <c r="E376" t="s">
        <v>50</v>
      </c>
      <c r="F376" s="1">
        <v>46247</v>
      </c>
      <c r="G376" t="s">
        <v>1795</v>
      </c>
      <c r="H376" t="s">
        <v>1796</v>
      </c>
      <c r="I376" s="1">
        <v>46234</v>
      </c>
      <c r="J376" t="s">
        <v>138</v>
      </c>
      <c r="K376" t="s">
        <v>1279</v>
      </c>
      <c r="L376" t="s">
        <v>12</v>
      </c>
      <c r="M376" t="s">
        <v>21</v>
      </c>
      <c r="N376" t="s">
        <v>1803</v>
      </c>
      <c r="O376" t="s">
        <v>1938</v>
      </c>
      <c r="Q376" t="s">
        <v>6</v>
      </c>
      <c r="R376" t="s">
        <v>987</v>
      </c>
      <c r="S376" t="s">
        <v>1804</v>
      </c>
      <c r="T376" t="s">
        <v>1995</v>
      </c>
      <c r="U376">
        <v>20</v>
      </c>
      <c r="V376">
        <v>1.92</v>
      </c>
      <c r="W376">
        <v>38.4</v>
      </c>
      <c r="X376">
        <v>0</v>
      </c>
      <c r="Y376">
        <v>0</v>
      </c>
      <c r="Z376">
        <v>6.9119999999999999</v>
      </c>
      <c r="AA376">
        <v>0</v>
      </c>
      <c r="AB376">
        <v>0</v>
      </c>
      <c r="AC376">
        <v>45.311999999999998</v>
      </c>
      <c r="AD376">
        <v>0</v>
      </c>
      <c r="AE376">
        <v>0</v>
      </c>
      <c r="AF376">
        <v>45.311999999999998</v>
      </c>
      <c r="AG376" t="s">
        <v>37</v>
      </c>
    </row>
    <row r="377" spans="1:33" x14ac:dyDescent="0.35">
      <c r="A377">
        <v>375</v>
      </c>
      <c r="B377">
        <v>282736</v>
      </c>
      <c r="C377">
        <v>328013889</v>
      </c>
      <c r="D377" t="s">
        <v>1794</v>
      </c>
      <c r="E377" t="s">
        <v>50</v>
      </c>
      <c r="F377" s="1">
        <v>46247</v>
      </c>
      <c r="G377" t="s">
        <v>1795</v>
      </c>
      <c r="H377" t="s">
        <v>1796</v>
      </c>
      <c r="I377" s="1">
        <v>46234</v>
      </c>
      <c r="J377" t="s">
        <v>138</v>
      </c>
      <c r="K377" t="s">
        <v>1279</v>
      </c>
      <c r="L377" t="s">
        <v>12</v>
      </c>
      <c r="M377" t="s">
        <v>21</v>
      </c>
      <c r="N377" t="s">
        <v>1801</v>
      </c>
      <c r="O377" t="s">
        <v>1949</v>
      </c>
      <c r="Q377" t="s">
        <v>6</v>
      </c>
      <c r="R377" t="s">
        <v>38</v>
      </c>
      <c r="S377" t="s">
        <v>1802</v>
      </c>
      <c r="T377" t="s">
        <v>1995</v>
      </c>
      <c r="U377">
        <v>10</v>
      </c>
      <c r="V377">
        <v>23.03</v>
      </c>
      <c r="W377">
        <v>230.3</v>
      </c>
      <c r="X377">
        <v>0</v>
      </c>
      <c r="Y377">
        <v>0</v>
      </c>
      <c r="Z377">
        <v>41.454000000000001</v>
      </c>
      <c r="AA377">
        <v>0</v>
      </c>
      <c r="AB377">
        <v>0</v>
      </c>
      <c r="AC377">
        <v>271.75400000000002</v>
      </c>
      <c r="AD377">
        <v>0</v>
      </c>
      <c r="AE377">
        <v>0</v>
      </c>
      <c r="AF377">
        <v>271.75400000000002</v>
      </c>
      <c r="AG377" t="s">
        <v>37</v>
      </c>
    </row>
    <row r="378" spans="1:33" x14ac:dyDescent="0.35">
      <c r="A378">
        <v>376</v>
      </c>
      <c r="B378">
        <v>282736</v>
      </c>
      <c r="C378">
        <v>328013889</v>
      </c>
      <c r="D378" t="s">
        <v>1794</v>
      </c>
      <c r="E378" t="s">
        <v>50</v>
      </c>
      <c r="F378" s="1">
        <v>46247</v>
      </c>
      <c r="G378" t="s">
        <v>1795</v>
      </c>
      <c r="H378" t="s">
        <v>1796</v>
      </c>
      <c r="I378" s="1">
        <v>46234</v>
      </c>
      <c r="J378" t="s">
        <v>138</v>
      </c>
      <c r="K378" t="s">
        <v>1279</v>
      </c>
      <c r="L378" t="s">
        <v>12</v>
      </c>
      <c r="M378" t="s">
        <v>21</v>
      </c>
      <c r="N378" t="s">
        <v>1818</v>
      </c>
      <c r="O378" t="s">
        <v>1938</v>
      </c>
      <c r="Q378" t="s">
        <v>6</v>
      </c>
      <c r="R378" t="s">
        <v>987</v>
      </c>
      <c r="S378" t="s">
        <v>1819</v>
      </c>
      <c r="T378" t="s">
        <v>1995</v>
      </c>
      <c r="U378">
        <v>30</v>
      </c>
      <c r="V378">
        <v>1.62</v>
      </c>
      <c r="W378">
        <v>48.6</v>
      </c>
      <c r="X378">
        <v>0</v>
      </c>
      <c r="Y378">
        <v>0</v>
      </c>
      <c r="Z378">
        <v>8.7479999999999993</v>
      </c>
      <c r="AA378">
        <v>0</v>
      </c>
      <c r="AB378">
        <v>0</v>
      </c>
      <c r="AC378">
        <v>57.347999999999999</v>
      </c>
      <c r="AD378">
        <v>0</v>
      </c>
      <c r="AE378">
        <v>0</v>
      </c>
      <c r="AF378">
        <v>57.347999999999999</v>
      </c>
      <c r="AG378" t="s">
        <v>37</v>
      </c>
    </row>
    <row r="379" spans="1:33" x14ac:dyDescent="0.35">
      <c r="A379">
        <v>377</v>
      </c>
      <c r="B379">
        <v>282736</v>
      </c>
      <c r="C379">
        <v>328013889</v>
      </c>
      <c r="D379" t="s">
        <v>1794</v>
      </c>
      <c r="E379" t="s">
        <v>50</v>
      </c>
      <c r="F379" s="1">
        <v>46247</v>
      </c>
      <c r="G379" t="s">
        <v>1795</v>
      </c>
      <c r="H379" t="s">
        <v>1796</v>
      </c>
      <c r="I379" s="1">
        <v>46234</v>
      </c>
      <c r="J379" t="s">
        <v>138</v>
      </c>
      <c r="K379" t="s">
        <v>1279</v>
      </c>
      <c r="L379" t="s">
        <v>12</v>
      </c>
      <c r="M379" t="s">
        <v>21</v>
      </c>
      <c r="N379" t="s">
        <v>1816</v>
      </c>
      <c r="O379" t="s">
        <v>1949</v>
      </c>
      <c r="Q379" t="s">
        <v>6</v>
      </c>
      <c r="R379" t="s">
        <v>40</v>
      </c>
      <c r="S379" t="s">
        <v>1817</v>
      </c>
      <c r="T379" t="s">
        <v>1995</v>
      </c>
      <c r="U379">
        <v>40</v>
      </c>
      <c r="V379">
        <v>4.55</v>
      </c>
      <c r="W379">
        <v>182</v>
      </c>
      <c r="X379">
        <v>0</v>
      </c>
      <c r="Y379">
        <v>0</v>
      </c>
      <c r="Z379">
        <v>32.76</v>
      </c>
      <c r="AA379">
        <v>0</v>
      </c>
      <c r="AB379">
        <v>0</v>
      </c>
      <c r="AC379">
        <v>214.76</v>
      </c>
      <c r="AD379">
        <v>0</v>
      </c>
      <c r="AE379">
        <v>0</v>
      </c>
      <c r="AF379">
        <v>214.76</v>
      </c>
      <c r="AG379" t="s">
        <v>37</v>
      </c>
    </row>
    <row r="380" spans="1:33" x14ac:dyDescent="0.35">
      <c r="A380">
        <v>378</v>
      </c>
      <c r="B380">
        <v>282736</v>
      </c>
      <c r="C380">
        <v>328013889</v>
      </c>
      <c r="D380" t="s">
        <v>1794</v>
      </c>
      <c r="E380" t="s">
        <v>50</v>
      </c>
      <c r="F380" s="1">
        <v>46247</v>
      </c>
      <c r="G380" t="s">
        <v>1795</v>
      </c>
      <c r="H380" t="s">
        <v>1796</v>
      </c>
      <c r="I380" s="1">
        <v>46234</v>
      </c>
      <c r="J380" t="s">
        <v>138</v>
      </c>
      <c r="K380" t="s">
        <v>1279</v>
      </c>
      <c r="L380" t="s">
        <v>12</v>
      </c>
      <c r="M380" t="s">
        <v>21</v>
      </c>
      <c r="N380" t="s">
        <v>1809</v>
      </c>
      <c r="O380" t="s">
        <v>1938</v>
      </c>
      <c r="Q380" t="s">
        <v>6</v>
      </c>
      <c r="R380" t="s">
        <v>987</v>
      </c>
      <c r="S380" t="s">
        <v>1810</v>
      </c>
      <c r="T380" t="s">
        <v>1995</v>
      </c>
      <c r="U380">
        <v>20</v>
      </c>
      <c r="V380">
        <v>1.62</v>
      </c>
      <c r="W380">
        <v>32.4</v>
      </c>
      <c r="X380">
        <v>0</v>
      </c>
      <c r="Y380">
        <v>0</v>
      </c>
      <c r="Z380">
        <v>5.8319999999999999</v>
      </c>
      <c r="AA380">
        <v>0</v>
      </c>
      <c r="AB380">
        <v>0</v>
      </c>
      <c r="AC380">
        <v>38.231999999999999</v>
      </c>
      <c r="AD380">
        <v>0</v>
      </c>
      <c r="AE380">
        <v>0</v>
      </c>
      <c r="AF380">
        <v>38.231999999999999</v>
      </c>
      <c r="AG380" t="s">
        <v>37</v>
      </c>
    </row>
    <row r="381" spans="1:33" x14ac:dyDescent="0.35">
      <c r="A381">
        <v>379</v>
      </c>
      <c r="B381">
        <v>282736</v>
      </c>
      <c r="C381">
        <v>328013889</v>
      </c>
      <c r="D381" t="s">
        <v>1794</v>
      </c>
      <c r="E381" t="s">
        <v>50</v>
      </c>
      <c r="F381" s="1">
        <v>46247</v>
      </c>
      <c r="G381" t="s">
        <v>1795</v>
      </c>
      <c r="H381" t="s">
        <v>1796</v>
      </c>
      <c r="I381" s="1">
        <v>46234</v>
      </c>
      <c r="J381" t="s">
        <v>138</v>
      </c>
      <c r="K381" t="s">
        <v>1279</v>
      </c>
      <c r="L381" t="s">
        <v>12</v>
      </c>
      <c r="M381" t="s">
        <v>21</v>
      </c>
      <c r="N381" t="s">
        <v>1797</v>
      </c>
      <c r="O381" t="s">
        <v>1949</v>
      </c>
      <c r="Q381" t="s">
        <v>6</v>
      </c>
      <c r="R381" t="s">
        <v>984</v>
      </c>
      <c r="S381" t="s">
        <v>1798</v>
      </c>
      <c r="T381" t="s">
        <v>1995</v>
      </c>
      <c r="U381">
        <v>20</v>
      </c>
      <c r="V381">
        <v>7.48</v>
      </c>
      <c r="W381">
        <v>149.6</v>
      </c>
      <c r="X381">
        <v>0</v>
      </c>
      <c r="Y381">
        <v>0</v>
      </c>
      <c r="Z381">
        <v>26.928000000000001</v>
      </c>
      <c r="AA381">
        <v>0</v>
      </c>
      <c r="AB381">
        <v>0</v>
      </c>
      <c r="AC381">
        <v>176.52799999999999</v>
      </c>
      <c r="AD381">
        <v>0</v>
      </c>
      <c r="AE381">
        <v>0</v>
      </c>
      <c r="AF381">
        <v>176.52799999999999</v>
      </c>
      <c r="AG381" t="s">
        <v>37</v>
      </c>
    </row>
    <row r="382" spans="1:33" x14ac:dyDescent="0.35">
      <c r="A382">
        <v>380</v>
      </c>
      <c r="B382">
        <v>282736</v>
      </c>
      <c r="C382">
        <v>328013889</v>
      </c>
      <c r="D382" t="s">
        <v>1794</v>
      </c>
      <c r="E382" t="s">
        <v>50</v>
      </c>
      <c r="F382" s="1">
        <v>46247</v>
      </c>
      <c r="G382" t="s">
        <v>1795</v>
      </c>
      <c r="H382" t="s">
        <v>1796</v>
      </c>
      <c r="I382" s="1">
        <v>46234</v>
      </c>
      <c r="J382" t="s">
        <v>138</v>
      </c>
      <c r="K382" t="s">
        <v>1279</v>
      </c>
      <c r="L382" t="s">
        <v>12</v>
      </c>
      <c r="M382" t="s">
        <v>21</v>
      </c>
      <c r="N382" t="s">
        <v>1814</v>
      </c>
      <c r="O382" t="s">
        <v>1938</v>
      </c>
      <c r="Q382" t="s">
        <v>6</v>
      </c>
      <c r="R382" t="s">
        <v>987</v>
      </c>
      <c r="S382" t="s">
        <v>1815</v>
      </c>
      <c r="T382" t="s">
        <v>1995</v>
      </c>
      <c r="U382">
        <v>10</v>
      </c>
      <c r="V382">
        <v>1.92</v>
      </c>
      <c r="W382">
        <v>19.2</v>
      </c>
      <c r="X382">
        <v>0</v>
      </c>
      <c r="Y382">
        <v>0</v>
      </c>
      <c r="Z382">
        <v>3.456</v>
      </c>
      <c r="AA382">
        <v>0</v>
      </c>
      <c r="AB382">
        <v>0</v>
      </c>
      <c r="AC382">
        <v>22.655999999999999</v>
      </c>
      <c r="AD382">
        <v>0</v>
      </c>
      <c r="AE382">
        <v>0</v>
      </c>
      <c r="AF382">
        <v>22.655999999999999</v>
      </c>
      <c r="AG382" t="s">
        <v>37</v>
      </c>
    </row>
    <row r="383" spans="1:33" x14ac:dyDescent="0.35">
      <c r="A383">
        <v>381</v>
      </c>
      <c r="B383">
        <v>282736</v>
      </c>
      <c r="C383">
        <v>328013889</v>
      </c>
      <c r="D383" t="s">
        <v>1794</v>
      </c>
      <c r="E383" t="s">
        <v>50</v>
      </c>
      <c r="F383" s="1">
        <v>46247</v>
      </c>
      <c r="G383" t="s">
        <v>1795</v>
      </c>
      <c r="H383" t="s">
        <v>1796</v>
      </c>
      <c r="I383" s="1">
        <v>46234</v>
      </c>
      <c r="J383" t="s">
        <v>138</v>
      </c>
      <c r="K383" t="s">
        <v>1279</v>
      </c>
      <c r="L383" t="s">
        <v>12</v>
      </c>
      <c r="M383" t="s">
        <v>21</v>
      </c>
      <c r="N383" t="s">
        <v>1805</v>
      </c>
      <c r="O383" t="s">
        <v>1938</v>
      </c>
      <c r="Q383" t="s">
        <v>6</v>
      </c>
      <c r="R383" t="s">
        <v>43</v>
      </c>
      <c r="S383" t="s">
        <v>1806</v>
      </c>
      <c r="T383" t="s">
        <v>1995</v>
      </c>
      <c r="U383">
        <v>30</v>
      </c>
      <c r="V383">
        <v>55.05</v>
      </c>
      <c r="W383" s="2">
        <v>1651.5</v>
      </c>
      <c r="X383">
        <v>0</v>
      </c>
      <c r="Y383">
        <v>0</v>
      </c>
      <c r="Z383">
        <v>297.27</v>
      </c>
      <c r="AA383">
        <v>0</v>
      </c>
      <c r="AB383">
        <v>0</v>
      </c>
      <c r="AC383" s="2">
        <v>1948.77</v>
      </c>
      <c r="AD383">
        <v>0</v>
      </c>
      <c r="AE383">
        <v>0</v>
      </c>
      <c r="AF383" s="2">
        <v>1948.77</v>
      </c>
      <c r="AG383" t="s">
        <v>37</v>
      </c>
    </row>
    <row r="384" spans="1:33" x14ac:dyDescent="0.35">
      <c r="A384">
        <v>382</v>
      </c>
      <c r="B384">
        <v>282742</v>
      </c>
      <c r="C384">
        <v>328013894</v>
      </c>
      <c r="D384" t="s">
        <v>1820</v>
      </c>
      <c r="E384" t="s">
        <v>50</v>
      </c>
      <c r="F384" s="1">
        <v>46247</v>
      </c>
      <c r="G384" t="s">
        <v>1511</v>
      </c>
      <c r="H384" t="s">
        <v>1512</v>
      </c>
      <c r="I384" s="1">
        <v>46237</v>
      </c>
      <c r="J384" t="s">
        <v>138</v>
      </c>
      <c r="K384" t="s">
        <v>1278</v>
      </c>
      <c r="L384" t="s">
        <v>12</v>
      </c>
      <c r="M384" t="s">
        <v>21</v>
      </c>
      <c r="N384" t="s">
        <v>1821</v>
      </c>
      <c r="O384" t="s">
        <v>1949</v>
      </c>
      <c r="Q384" t="s">
        <v>6</v>
      </c>
      <c r="R384" t="s">
        <v>1419</v>
      </c>
      <c r="S384" t="s">
        <v>1822</v>
      </c>
      <c r="T384" t="s">
        <v>1995</v>
      </c>
      <c r="U384">
        <v>10</v>
      </c>
      <c r="V384">
        <v>14.79</v>
      </c>
      <c r="W384">
        <v>147.9</v>
      </c>
      <c r="X384">
        <v>0</v>
      </c>
      <c r="Y384">
        <v>0</v>
      </c>
      <c r="Z384">
        <v>26.622</v>
      </c>
      <c r="AA384">
        <v>0</v>
      </c>
      <c r="AB384">
        <v>0</v>
      </c>
      <c r="AC384">
        <v>174.52199999999999</v>
      </c>
      <c r="AD384">
        <v>0</v>
      </c>
      <c r="AE384">
        <v>0</v>
      </c>
      <c r="AF384">
        <v>174.52199999999999</v>
      </c>
      <c r="AG384" t="s">
        <v>37</v>
      </c>
    </row>
    <row r="385" spans="1:33" x14ac:dyDescent="0.35">
      <c r="A385">
        <v>383</v>
      </c>
      <c r="B385">
        <v>282749</v>
      </c>
      <c r="C385">
        <v>328013901</v>
      </c>
      <c r="D385" t="s">
        <v>1823</v>
      </c>
      <c r="E385" t="s">
        <v>50</v>
      </c>
      <c r="F385" s="1">
        <v>46247</v>
      </c>
      <c r="G385" t="s">
        <v>1824</v>
      </c>
      <c r="H385" t="s">
        <v>1825</v>
      </c>
      <c r="I385" s="1">
        <v>46234</v>
      </c>
      <c r="J385" t="s">
        <v>138</v>
      </c>
      <c r="K385" t="s">
        <v>137</v>
      </c>
      <c r="L385" t="s">
        <v>89</v>
      </c>
      <c r="M385" t="s">
        <v>150</v>
      </c>
      <c r="N385" t="s">
        <v>1826</v>
      </c>
      <c r="O385" t="s">
        <v>1936</v>
      </c>
      <c r="Q385" t="s">
        <v>6</v>
      </c>
      <c r="R385" t="s">
        <v>1109</v>
      </c>
      <c r="S385" t="s">
        <v>1827</v>
      </c>
      <c r="T385" t="s">
        <v>416</v>
      </c>
      <c r="U385">
        <v>220</v>
      </c>
      <c r="V385">
        <v>222.36</v>
      </c>
      <c r="W385" s="2">
        <v>48919.199999999997</v>
      </c>
      <c r="X385">
        <v>0</v>
      </c>
      <c r="Y385">
        <v>0</v>
      </c>
      <c r="Z385" s="2">
        <v>8805.4560000000001</v>
      </c>
      <c r="AA385">
        <v>0</v>
      </c>
      <c r="AB385">
        <v>0</v>
      </c>
      <c r="AC385" s="2">
        <v>57724.656000000003</v>
      </c>
      <c r="AD385">
        <v>0</v>
      </c>
      <c r="AE385">
        <v>0</v>
      </c>
      <c r="AF385" s="2">
        <v>57724.656000000003</v>
      </c>
      <c r="AG385" t="s">
        <v>37</v>
      </c>
    </row>
    <row r="386" spans="1:33" x14ac:dyDescent="0.35">
      <c r="A386">
        <v>384</v>
      </c>
      <c r="B386">
        <v>282764</v>
      </c>
      <c r="C386">
        <v>328013916</v>
      </c>
      <c r="D386" t="s">
        <v>1828</v>
      </c>
      <c r="E386" t="s">
        <v>50</v>
      </c>
      <c r="F386" s="1">
        <v>46247</v>
      </c>
      <c r="G386" t="s">
        <v>689</v>
      </c>
      <c r="H386" t="s">
        <v>690</v>
      </c>
      <c r="I386" s="1">
        <v>46239</v>
      </c>
      <c r="J386" t="s">
        <v>138</v>
      </c>
      <c r="K386" t="s">
        <v>1278</v>
      </c>
      <c r="L386" t="s">
        <v>12</v>
      </c>
      <c r="M386" t="s">
        <v>21</v>
      </c>
      <c r="N386" t="s">
        <v>1829</v>
      </c>
      <c r="O386" t="s">
        <v>1936</v>
      </c>
      <c r="Q386" t="s">
        <v>6</v>
      </c>
      <c r="R386" t="s">
        <v>42</v>
      </c>
      <c r="S386" t="s">
        <v>1830</v>
      </c>
      <c r="T386" t="s">
        <v>416</v>
      </c>
      <c r="U386">
        <v>50</v>
      </c>
      <c r="V386">
        <v>213.18</v>
      </c>
      <c r="W386" s="2">
        <v>10659</v>
      </c>
      <c r="X386">
        <v>0</v>
      </c>
      <c r="Y386">
        <v>0</v>
      </c>
      <c r="Z386" s="2">
        <v>1918.62</v>
      </c>
      <c r="AA386">
        <v>0</v>
      </c>
      <c r="AB386">
        <v>0</v>
      </c>
      <c r="AC386" s="2">
        <v>12577.62</v>
      </c>
      <c r="AD386">
        <v>0</v>
      </c>
      <c r="AE386">
        <v>0</v>
      </c>
      <c r="AF386" s="2">
        <v>12577.62</v>
      </c>
      <c r="AG386" t="s">
        <v>37</v>
      </c>
    </row>
    <row r="387" spans="1:33" x14ac:dyDescent="0.35">
      <c r="A387">
        <v>385</v>
      </c>
      <c r="B387">
        <v>282789</v>
      </c>
      <c r="C387">
        <v>328013935</v>
      </c>
      <c r="D387" t="s">
        <v>1831</v>
      </c>
      <c r="E387" t="s">
        <v>50</v>
      </c>
      <c r="F387" s="1">
        <v>46247</v>
      </c>
      <c r="G387" t="s">
        <v>689</v>
      </c>
      <c r="H387" t="s">
        <v>690</v>
      </c>
      <c r="I387" s="1">
        <v>46234</v>
      </c>
      <c r="J387" t="s">
        <v>138</v>
      </c>
      <c r="K387" t="s">
        <v>1278</v>
      </c>
      <c r="L387" t="s">
        <v>12</v>
      </c>
      <c r="M387" t="s">
        <v>21</v>
      </c>
      <c r="N387" t="s">
        <v>1832</v>
      </c>
      <c r="O387" t="s">
        <v>1996</v>
      </c>
      <c r="Q387" t="s">
        <v>6</v>
      </c>
      <c r="R387" t="s">
        <v>1096</v>
      </c>
      <c r="S387" t="s">
        <v>1833</v>
      </c>
      <c r="T387" t="s">
        <v>1997</v>
      </c>
      <c r="U387">
        <v>150</v>
      </c>
      <c r="V387">
        <v>9.19</v>
      </c>
      <c r="W387" s="2">
        <v>1378.5</v>
      </c>
      <c r="X387">
        <v>0</v>
      </c>
      <c r="Y387">
        <v>0</v>
      </c>
      <c r="Z387">
        <v>248.13</v>
      </c>
      <c r="AA387">
        <v>0</v>
      </c>
      <c r="AB387">
        <v>0</v>
      </c>
      <c r="AC387" s="2">
        <v>1626.63</v>
      </c>
      <c r="AD387">
        <v>0</v>
      </c>
      <c r="AE387">
        <v>0</v>
      </c>
      <c r="AF387" s="2">
        <v>1626.63</v>
      </c>
      <c r="AG387" t="s">
        <v>37</v>
      </c>
    </row>
    <row r="388" spans="1:33" x14ac:dyDescent="0.35">
      <c r="A388">
        <v>386</v>
      </c>
      <c r="B388">
        <v>282790</v>
      </c>
      <c r="C388">
        <v>328013936</v>
      </c>
      <c r="D388" t="s">
        <v>1834</v>
      </c>
      <c r="E388" t="s">
        <v>50</v>
      </c>
      <c r="F388" s="1">
        <v>46247</v>
      </c>
      <c r="G388" t="s">
        <v>689</v>
      </c>
      <c r="H388" t="s">
        <v>123</v>
      </c>
      <c r="I388" s="1">
        <v>46237</v>
      </c>
      <c r="J388" t="s">
        <v>138</v>
      </c>
      <c r="K388" t="s">
        <v>1278</v>
      </c>
      <c r="L388" t="s">
        <v>12</v>
      </c>
      <c r="M388" t="s">
        <v>21</v>
      </c>
      <c r="N388" t="s">
        <v>1837</v>
      </c>
      <c r="O388" t="s">
        <v>1932</v>
      </c>
      <c r="Q388" t="s">
        <v>6</v>
      </c>
      <c r="R388" t="s">
        <v>876</v>
      </c>
      <c r="S388" t="s">
        <v>1838</v>
      </c>
      <c r="T388" t="s">
        <v>2001</v>
      </c>
      <c r="U388">
        <v>500</v>
      </c>
      <c r="V388">
        <v>17.04</v>
      </c>
      <c r="W388" s="2">
        <v>8520</v>
      </c>
      <c r="X388">
        <v>0</v>
      </c>
      <c r="Y388">
        <v>0</v>
      </c>
      <c r="Z388" s="2">
        <v>1533.6</v>
      </c>
      <c r="AA388">
        <v>0</v>
      </c>
      <c r="AB388">
        <v>0</v>
      </c>
      <c r="AC388" s="2">
        <v>10053.6</v>
      </c>
      <c r="AD388">
        <v>0</v>
      </c>
      <c r="AE388">
        <v>0</v>
      </c>
      <c r="AF388" s="2">
        <v>10053.6</v>
      </c>
      <c r="AG388" t="s">
        <v>37</v>
      </c>
    </row>
    <row r="389" spans="1:33" x14ac:dyDescent="0.35">
      <c r="A389">
        <v>387</v>
      </c>
      <c r="B389">
        <v>282790</v>
      </c>
      <c r="C389">
        <v>328013936</v>
      </c>
      <c r="D389" t="s">
        <v>1834</v>
      </c>
      <c r="E389" t="s">
        <v>50</v>
      </c>
      <c r="F389" s="1">
        <v>46247</v>
      </c>
      <c r="G389" t="s">
        <v>689</v>
      </c>
      <c r="H389" t="s">
        <v>123</v>
      </c>
      <c r="I389" s="1">
        <v>46237</v>
      </c>
      <c r="J389" t="s">
        <v>138</v>
      </c>
      <c r="K389" t="s">
        <v>1278</v>
      </c>
      <c r="L389" t="s">
        <v>12</v>
      </c>
      <c r="M389" t="s">
        <v>21</v>
      </c>
      <c r="N389" t="s">
        <v>1835</v>
      </c>
      <c r="O389" t="s">
        <v>1941</v>
      </c>
      <c r="Q389" t="s">
        <v>6</v>
      </c>
      <c r="R389" t="s">
        <v>93</v>
      </c>
      <c r="S389" t="s">
        <v>1836</v>
      </c>
      <c r="T389" t="s">
        <v>2003</v>
      </c>
      <c r="U389">
        <v>100</v>
      </c>
      <c r="V389">
        <v>82.77</v>
      </c>
      <c r="W389" s="2">
        <v>8277</v>
      </c>
      <c r="X389">
        <v>0</v>
      </c>
      <c r="Y389">
        <v>0</v>
      </c>
      <c r="Z389" s="2">
        <v>1489.86</v>
      </c>
      <c r="AA389">
        <v>0</v>
      </c>
      <c r="AB389">
        <v>0</v>
      </c>
      <c r="AC389" s="2">
        <v>9766.86</v>
      </c>
      <c r="AD389">
        <v>0</v>
      </c>
      <c r="AE389">
        <v>0</v>
      </c>
      <c r="AF389" s="2">
        <v>9766.86</v>
      </c>
      <c r="AG389" t="s">
        <v>37</v>
      </c>
    </row>
    <row r="390" spans="1:33" x14ac:dyDescent="0.35">
      <c r="A390">
        <v>388</v>
      </c>
      <c r="B390">
        <v>282796</v>
      </c>
      <c r="C390">
        <v>328013940</v>
      </c>
      <c r="D390" t="s">
        <v>1839</v>
      </c>
      <c r="E390" t="s">
        <v>50</v>
      </c>
      <c r="F390" s="1">
        <v>46247</v>
      </c>
      <c r="G390" t="s">
        <v>1271</v>
      </c>
      <c r="H390">
        <v>1430048482</v>
      </c>
      <c r="I390" s="1">
        <v>46226</v>
      </c>
      <c r="J390" t="s">
        <v>138</v>
      </c>
      <c r="K390" t="s">
        <v>137</v>
      </c>
      <c r="L390" t="s">
        <v>13</v>
      </c>
      <c r="M390" t="s">
        <v>22</v>
      </c>
      <c r="N390" t="s">
        <v>1840</v>
      </c>
      <c r="O390" t="s">
        <v>1932</v>
      </c>
      <c r="P390" t="s">
        <v>2127</v>
      </c>
      <c r="Q390" t="s">
        <v>6</v>
      </c>
      <c r="R390" t="s">
        <v>76</v>
      </c>
      <c r="S390" t="s">
        <v>1841</v>
      </c>
      <c r="T390" t="s">
        <v>2001</v>
      </c>
      <c r="U390" s="2">
        <v>1000</v>
      </c>
      <c r="V390">
        <v>3.57</v>
      </c>
      <c r="W390" s="2">
        <v>3570</v>
      </c>
      <c r="X390">
        <v>0</v>
      </c>
      <c r="Y390">
        <v>0</v>
      </c>
      <c r="Z390">
        <v>642.6</v>
      </c>
      <c r="AA390">
        <v>0</v>
      </c>
      <c r="AB390">
        <v>0</v>
      </c>
      <c r="AC390" s="2">
        <v>4212.6000000000004</v>
      </c>
      <c r="AD390">
        <v>0</v>
      </c>
      <c r="AE390">
        <v>0</v>
      </c>
      <c r="AF390" s="2">
        <v>4212.6000000000004</v>
      </c>
      <c r="AG390" t="s">
        <v>37</v>
      </c>
    </row>
    <row r="391" spans="1:33" x14ac:dyDescent="0.35">
      <c r="A391">
        <v>389</v>
      </c>
      <c r="B391">
        <v>282797</v>
      </c>
      <c r="C391">
        <v>328013941</v>
      </c>
      <c r="D391" t="s">
        <v>1842</v>
      </c>
      <c r="E391" t="s">
        <v>50</v>
      </c>
      <c r="F391" s="1">
        <v>46247</v>
      </c>
      <c r="G391" t="s">
        <v>1843</v>
      </c>
      <c r="H391">
        <v>26316501774</v>
      </c>
      <c r="I391" s="1">
        <v>45981</v>
      </c>
      <c r="J391" t="s">
        <v>138</v>
      </c>
      <c r="K391" t="s">
        <v>137</v>
      </c>
      <c r="L391" t="s">
        <v>11</v>
      </c>
      <c r="M391" t="s">
        <v>14</v>
      </c>
      <c r="N391" t="s">
        <v>1844</v>
      </c>
      <c r="O391" t="s">
        <v>1936</v>
      </c>
      <c r="Q391" t="s">
        <v>6</v>
      </c>
      <c r="R391" t="s">
        <v>1845</v>
      </c>
      <c r="S391" t="s">
        <v>1846</v>
      </c>
      <c r="T391" t="s">
        <v>416</v>
      </c>
      <c r="U391">
        <v>10</v>
      </c>
      <c r="V391">
        <v>110.21</v>
      </c>
      <c r="W391" s="2">
        <v>1102.0999999999999</v>
      </c>
      <c r="X391">
        <v>0</v>
      </c>
      <c r="Y391">
        <v>0</v>
      </c>
      <c r="Z391">
        <v>198.37799999999999</v>
      </c>
      <c r="AA391">
        <v>0</v>
      </c>
      <c r="AB391">
        <v>0</v>
      </c>
      <c r="AC391" s="2">
        <v>1300.4780000000001</v>
      </c>
      <c r="AD391">
        <v>0</v>
      </c>
      <c r="AE391">
        <v>0</v>
      </c>
      <c r="AF391" s="2">
        <v>1300.4780000000001</v>
      </c>
      <c r="AG391" t="s">
        <v>37</v>
      </c>
    </row>
    <row r="392" spans="1:33" x14ac:dyDescent="0.35">
      <c r="A392">
        <v>390</v>
      </c>
      <c r="B392">
        <v>282797</v>
      </c>
      <c r="C392">
        <v>328013941</v>
      </c>
      <c r="D392" t="s">
        <v>1842</v>
      </c>
      <c r="E392" t="s">
        <v>50</v>
      </c>
      <c r="F392" s="1">
        <v>46247</v>
      </c>
      <c r="G392" t="s">
        <v>1843</v>
      </c>
      <c r="H392">
        <v>26316501774</v>
      </c>
      <c r="I392" s="1">
        <v>45981</v>
      </c>
      <c r="J392" t="s">
        <v>138</v>
      </c>
      <c r="K392" t="s">
        <v>137</v>
      </c>
      <c r="L392" t="s">
        <v>11</v>
      </c>
      <c r="M392" t="s">
        <v>14</v>
      </c>
      <c r="N392" t="s">
        <v>1847</v>
      </c>
      <c r="O392" t="s">
        <v>2007</v>
      </c>
      <c r="Q392" t="s">
        <v>6</v>
      </c>
      <c r="R392" t="s">
        <v>660</v>
      </c>
      <c r="S392" t="s">
        <v>1848</v>
      </c>
      <c r="T392" t="s">
        <v>417</v>
      </c>
      <c r="U392">
        <v>10</v>
      </c>
      <c r="V392">
        <v>182</v>
      </c>
      <c r="W392" s="2">
        <v>1820</v>
      </c>
      <c r="X392">
        <v>0</v>
      </c>
      <c r="Y392">
        <v>0</v>
      </c>
      <c r="Z392">
        <v>327.60000000000002</v>
      </c>
      <c r="AA392">
        <v>0</v>
      </c>
      <c r="AB392">
        <v>0</v>
      </c>
      <c r="AC392" s="2">
        <v>2147.6</v>
      </c>
      <c r="AD392">
        <v>0</v>
      </c>
      <c r="AE392">
        <v>0</v>
      </c>
      <c r="AF392" s="2">
        <v>2147.6</v>
      </c>
      <c r="AG392" t="s">
        <v>37</v>
      </c>
    </row>
    <row r="393" spans="1:33" x14ac:dyDescent="0.35">
      <c r="A393">
        <v>391</v>
      </c>
      <c r="B393">
        <v>282802</v>
      </c>
      <c r="C393">
        <v>328013945</v>
      </c>
      <c r="D393" t="s">
        <v>1849</v>
      </c>
      <c r="E393" t="s">
        <v>50</v>
      </c>
      <c r="F393" s="1">
        <v>46247</v>
      </c>
      <c r="G393" t="s">
        <v>1850</v>
      </c>
      <c r="H393" t="s">
        <v>1851</v>
      </c>
      <c r="I393" s="1">
        <v>46238</v>
      </c>
      <c r="J393" t="s">
        <v>138</v>
      </c>
      <c r="K393" t="s">
        <v>137</v>
      </c>
      <c r="L393" t="s">
        <v>19</v>
      </c>
      <c r="M393" t="s">
        <v>150</v>
      </c>
      <c r="N393" t="s">
        <v>1852</v>
      </c>
      <c r="O393" t="s">
        <v>1936</v>
      </c>
      <c r="Q393" t="s">
        <v>6</v>
      </c>
      <c r="R393" t="s">
        <v>1853</v>
      </c>
      <c r="S393" t="s">
        <v>1854</v>
      </c>
      <c r="T393" t="s">
        <v>416</v>
      </c>
      <c r="U393">
        <v>3</v>
      </c>
      <c r="V393">
        <v>257.5</v>
      </c>
      <c r="W393">
        <v>772.5</v>
      </c>
      <c r="X393">
        <v>0</v>
      </c>
      <c r="Y393">
        <v>0</v>
      </c>
      <c r="Z393">
        <v>139.05000000000001</v>
      </c>
      <c r="AA393">
        <v>0</v>
      </c>
      <c r="AB393">
        <v>0</v>
      </c>
      <c r="AC393">
        <v>911.55</v>
      </c>
      <c r="AD393">
        <v>0</v>
      </c>
      <c r="AE393">
        <v>0</v>
      </c>
      <c r="AF393">
        <v>911.55</v>
      </c>
      <c r="AG393" t="s">
        <v>37</v>
      </c>
    </row>
    <row r="394" spans="1:33" x14ac:dyDescent="0.35">
      <c r="A394">
        <v>392</v>
      </c>
      <c r="B394">
        <v>282804</v>
      </c>
      <c r="C394">
        <v>328013946</v>
      </c>
      <c r="D394" t="s">
        <v>1855</v>
      </c>
      <c r="E394" t="s">
        <v>50</v>
      </c>
      <c r="F394" s="1">
        <v>46247</v>
      </c>
      <c r="G394" t="s">
        <v>46</v>
      </c>
      <c r="H394">
        <v>4000010234</v>
      </c>
      <c r="I394" s="1">
        <v>46234</v>
      </c>
      <c r="J394" t="s">
        <v>138</v>
      </c>
      <c r="K394" t="s">
        <v>137</v>
      </c>
      <c r="L394" t="s">
        <v>15</v>
      </c>
      <c r="M394" t="s">
        <v>14</v>
      </c>
      <c r="N394" t="s">
        <v>1856</v>
      </c>
      <c r="O394" t="s">
        <v>2030</v>
      </c>
      <c r="P394">
        <v>12110559</v>
      </c>
      <c r="Q394" t="s">
        <v>6</v>
      </c>
      <c r="R394" t="s">
        <v>1857</v>
      </c>
      <c r="S394" t="s">
        <v>1858</v>
      </c>
      <c r="T394" t="s">
        <v>2031</v>
      </c>
      <c r="U394">
        <v>100</v>
      </c>
      <c r="V394">
        <v>584</v>
      </c>
      <c r="W394" s="2">
        <v>58400</v>
      </c>
      <c r="X394">
        <v>0</v>
      </c>
      <c r="Y394">
        <v>0</v>
      </c>
      <c r="Z394" s="2">
        <v>10512</v>
      </c>
      <c r="AA394">
        <v>0</v>
      </c>
      <c r="AB394">
        <v>0</v>
      </c>
      <c r="AC394" s="2">
        <v>68912</v>
      </c>
      <c r="AD394">
        <v>0</v>
      </c>
      <c r="AE394">
        <v>0</v>
      </c>
      <c r="AF394" s="2">
        <v>68912</v>
      </c>
      <c r="AG394" t="s">
        <v>37</v>
      </c>
    </row>
    <row r="395" spans="1:33" x14ac:dyDescent="0.35">
      <c r="A395">
        <v>393</v>
      </c>
      <c r="B395">
        <v>282805</v>
      </c>
      <c r="C395">
        <v>328013947</v>
      </c>
      <c r="D395" t="s">
        <v>1859</v>
      </c>
      <c r="E395" t="s">
        <v>50</v>
      </c>
      <c r="F395" s="1">
        <v>46247</v>
      </c>
      <c r="G395" t="s">
        <v>46</v>
      </c>
      <c r="H395">
        <v>4000010229</v>
      </c>
      <c r="I395" s="1">
        <v>46233</v>
      </c>
      <c r="J395" t="s">
        <v>138</v>
      </c>
      <c r="K395" t="s">
        <v>137</v>
      </c>
      <c r="L395" t="s">
        <v>15</v>
      </c>
      <c r="M395" t="s">
        <v>14</v>
      </c>
      <c r="N395" t="s">
        <v>1860</v>
      </c>
      <c r="O395" t="s">
        <v>1936</v>
      </c>
      <c r="P395">
        <v>12115639</v>
      </c>
      <c r="Q395" t="s">
        <v>6</v>
      </c>
      <c r="R395" t="s">
        <v>660</v>
      </c>
      <c r="S395" t="s">
        <v>1861</v>
      </c>
      <c r="T395" t="s">
        <v>416</v>
      </c>
      <c r="U395">
        <v>20</v>
      </c>
      <c r="V395">
        <v>58.92</v>
      </c>
      <c r="W395" s="2">
        <v>1178.4000000000001</v>
      </c>
      <c r="X395">
        <v>0</v>
      </c>
      <c r="Y395">
        <v>0</v>
      </c>
      <c r="Z395">
        <v>212.11199999999999</v>
      </c>
      <c r="AA395">
        <v>0</v>
      </c>
      <c r="AB395">
        <v>0</v>
      </c>
      <c r="AC395" s="2">
        <v>1390.5119999999999</v>
      </c>
      <c r="AD395">
        <v>0</v>
      </c>
      <c r="AE395">
        <v>0</v>
      </c>
      <c r="AF395" s="2">
        <v>1390.5119999999999</v>
      </c>
      <c r="AG395" t="s">
        <v>37</v>
      </c>
    </row>
    <row r="396" spans="1:33" x14ac:dyDescent="0.35">
      <c r="A396">
        <v>394</v>
      </c>
      <c r="B396">
        <v>282808</v>
      </c>
      <c r="C396">
        <v>328013949</v>
      </c>
      <c r="D396" t="s">
        <v>1862</v>
      </c>
      <c r="E396" t="s">
        <v>50</v>
      </c>
      <c r="F396" s="1">
        <v>46247</v>
      </c>
      <c r="G396" t="s">
        <v>1127</v>
      </c>
      <c r="H396" t="s">
        <v>1863</v>
      </c>
      <c r="I396" s="1">
        <v>46233</v>
      </c>
      <c r="J396" t="s">
        <v>138</v>
      </c>
      <c r="K396" t="s">
        <v>1279</v>
      </c>
      <c r="L396" t="s">
        <v>12</v>
      </c>
      <c r="M396" t="s">
        <v>21</v>
      </c>
      <c r="N396" t="s">
        <v>1868</v>
      </c>
      <c r="O396" t="s">
        <v>2004</v>
      </c>
      <c r="Q396" t="s">
        <v>6</v>
      </c>
      <c r="R396" t="s">
        <v>45</v>
      </c>
      <c r="S396" t="s">
        <v>1869</v>
      </c>
      <c r="T396" t="s">
        <v>2031</v>
      </c>
      <c r="U396">
        <v>20</v>
      </c>
      <c r="V396">
        <v>86.4</v>
      </c>
      <c r="W396" s="2">
        <v>1728</v>
      </c>
      <c r="X396">
        <v>0</v>
      </c>
      <c r="Y396">
        <v>0</v>
      </c>
      <c r="Z396">
        <v>311.04000000000002</v>
      </c>
      <c r="AA396">
        <v>0</v>
      </c>
      <c r="AB396">
        <v>0</v>
      </c>
      <c r="AC396" s="2">
        <v>2039.04</v>
      </c>
      <c r="AD396">
        <v>0</v>
      </c>
      <c r="AE396">
        <v>0</v>
      </c>
      <c r="AF396" s="2">
        <v>2039.04</v>
      </c>
      <c r="AG396" t="s">
        <v>37</v>
      </c>
    </row>
    <row r="397" spans="1:33" x14ac:dyDescent="0.35">
      <c r="A397">
        <v>395</v>
      </c>
      <c r="B397">
        <v>282808</v>
      </c>
      <c r="C397">
        <v>328013949</v>
      </c>
      <c r="D397" t="s">
        <v>1862</v>
      </c>
      <c r="E397" t="s">
        <v>50</v>
      </c>
      <c r="F397" s="1">
        <v>46247</v>
      </c>
      <c r="G397" t="s">
        <v>1127</v>
      </c>
      <c r="H397" t="s">
        <v>1863</v>
      </c>
      <c r="I397" s="1">
        <v>46233</v>
      </c>
      <c r="J397" t="s">
        <v>138</v>
      </c>
      <c r="K397" t="s">
        <v>1279</v>
      </c>
      <c r="L397" t="s">
        <v>12</v>
      </c>
      <c r="M397" t="s">
        <v>21</v>
      </c>
      <c r="N397" t="s">
        <v>1870</v>
      </c>
      <c r="O397" t="s">
        <v>1949</v>
      </c>
      <c r="Q397" t="s">
        <v>6</v>
      </c>
      <c r="R397" t="s">
        <v>1419</v>
      </c>
      <c r="S397" t="s">
        <v>1871</v>
      </c>
      <c r="T397" t="s">
        <v>1995</v>
      </c>
      <c r="U397">
        <v>50</v>
      </c>
      <c r="V397">
        <v>2.5499999999999998</v>
      </c>
      <c r="W397">
        <v>127.5</v>
      </c>
      <c r="X397">
        <v>0</v>
      </c>
      <c r="Y397">
        <v>0</v>
      </c>
      <c r="Z397">
        <v>22.95</v>
      </c>
      <c r="AA397">
        <v>0</v>
      </c>
      <c r="AB397">
        <v>0</v>
      </c>
      <c r="AC397">
        <v>150.44999999999999</v>
      </c>
      <c r="AD397">
        <v>0</v>
      </c>
      <c r="AE397">
        <v>0</v>
      </c>
      <c r="AF397">
        <v>150.44999999999999</v>
      </c>
      <c r="AG397" t="s">
        <v>37</v>
      </c>
    </row>
    <row r="398" spans="1:33" x14ac:dyDescent="0.35">
      <c r="A398">
        <v>396</v>
      </c>
      <c r="B398">
        <v>282808</v>
      </c>
      <c r="C398">
        <v>328013949</v>
      </c>
      <c r="D398" t="s">
        <v>1862</v>
      </c>
      <c r="E398" t="s">
        <v>50</v>
      </c>
      <c r="F398" s="1">
        <v>46247</v>
      </c>
      <c r="G398" t="s">
        <v>1127</v>
      </c>
      <c r="H398" t="s">
        <v>1863</v>
      </c>
      <c r="I398" s="1">
        <v>46233</v>
      </c>
      <c r="J398" t="s">
        <v>138</v>
      </c>
      <c r="K398" t="s">
        <v>1279</v>
      </c>
      <c r="L398" t="s">
        <v>12</v>
      </c>
      <c r="M398" t="s">
        <v>21</v>
      </c>
      <c r="N398" t="s">
        <v>1864</v>
      </c>
      <c r="O398" t="s">
        <v>1949</v>
      </c>
      <c r="Q398" t="s">
        <v>6</v>
      </c>
      <c r="R398" t="s">
        <v>1419</v>
      </c>
      <c r="S398" t="s">
        <v>1865</v>
      </c>
      <c r="T398" t="s">
        <v>1995</v>
      </c>
      <c r="U398">
        <v>500</v>
      </c>
      <c r="V398">
        <v>2.15</v>
      </c>
      <c r="W398" s="2">
        <v>1075</v>
      </c>
      <c r="X398">
        <v>0</v>
      </c>
      <c r="Y398">
        <v>0</v>
      </c>
      <c r="Z398">
        <v>193.5</v>
      </c>
      <c r="AA398">
        <v>0</v>
      </c>
      <c r="AB398">
        <v>0</v>
      </c>
      <c r="AC398" s="2">
        <v>1268.5</v>
      </c>
      <c r="AD398">
        <v>0</v>
      </c>
      <c r="AE398">
        <v>0</v>
      </c>
      <c r="AF398" s="2">
        <v>1268.5</v>
      </c>
      <c r="AG398" t="s">
        <v>37</v>
      </c>
    </row>
    <row r="399" spans="1:33" x14ac:dyDescent="0.35">
      <c r="A399">
        <v>397</v>
      </c>
      <c r="B399">
        <v>282808</v>
      </c>
      <c r="C399">
        <v>328013949</v>
      </c>
      <c r="D399" t="s">
        <v>1862</v>
      </c>
      <c r="E399" t="s">
        <v>50</v>
      </c>
      <c r="F399" s="1">
        <v>46247</v>
      </c>
      <c r="G399" t="s">
        <v>1127</v>
      </c>
      <c r="H399" t="s">
        <v>1863</v>
      </c>
      <c r="I399" s="1">
        <v>46233</v>
      </c>
      <c r="J399" t="s">
        <v>138</v>
      </c>
      <c r="K399" t="s">
        <v>1279</v>
      </c>
      <c r="L399" t="s">
        <v>12</v>
      </c>
      <c r="M399" t="s">
        <v>21</v>
      </c>
      <c r="N399" t="s">
        <v>1866</v>
      </c>
      <c r="O399" t="s">
        <v>1932</v>
      </c>
      <c r="Q399" t="s">
        <v>6</v>
      </c>
      <c r="R399" t="s">
        <v>1422</v>
      </c>
      <c r="S399" t="s">
        <v>1867</v>
      </c>
      <c r="T399" t="s">
        <v>2001</v>
      </c>
      <c r="U399">
        <v>50</v>
      </c>
      <c r="V399">
        <v>10.61</v>
      </c>
      <c r="W399">
        <v>530.5</v>
      </c>
      <c r="X399">
        <v>0</v>
      </c>
      <c r="Y399">
        <v>0</v>
      </c>
      <c r="Z399">
        <v>95.49</v>
      </c>
      <c r="AA399">
        <v>0</v>
      </c>
      <c r="AB399">
        <v>0</v>
      </c>
      <c r="AC399">
        <v>625.99</v>
      </c>
      <c r="AD399">
        <v>0</v>
      </c>
      <c r="AE399">
        <v>0</v>
      </c>
      <c r="AF399">
        <v>625.99</v>
      </c>
      <c r="AG399" t="s">
        <v>37</v>
      </c>
    </row>
    <row r="400" spans="1:33" x14ac:dyDescent="0.35">
      <c r="A400">
        <v>398</v>
      </c>
      <c r="B400">
        <v>282833</v>
      </c>
      <c r="C400">
        <v>328013970</v>
      </c>
      <c r="D400" t="s">
        <v>1872</v>
      </c>
      <c r="E400" t="s">
        <v>50</v>
      </c>
      <c r="F400" s="1">
        <v>46247</v>
      </c>
      <c r="G400" t="s">
        <v>1873</v>
      </c>
      <c r="H400" t="s">
        <v>1874</v>
      </c>
      <c r="I400" s="1">
        <v>46239</v>
      </c>
      <c r="J400" t="s">
        <v>138</v>
      </c>
      <c r="K400" t="s">
        <v>137</v>
      </c>
      <c r="L400" t="s">
        <v>11</v>
      </c>
      <c r="M400" t="s">
        <v>14</v>
      </c>
      <c r="N400" t="s">
        <v>1875</v>
      </c>
      <c r="O400" t="s">
        <v>1996</v>
      </c>
      <c r="Q400" t="s">
        <v>6</v>
      </c>
      <c r="R400" t="s">
        <v>1876</v>
      </c>
      <c r="S400">
        <v>1825680000</v>
      </c>
      <c r="T400" t="s">
        <v>1995</v>
      </c>
      <c r="U400">
        <v>180</v>
      </c>
      <c r="V400">
        <v>240.24</v>
      </c>
      <c r="W400" s="2">
        <v>43243.199999999997</v>
      </c>
      <c r="X400">
        <v>0</v>
      </c>
      <c r="Y400">
        <v>0</v>
      </c>
      <c r="Z400" s="2">
        <v>7783.7759999999998</v>
      </c>
      <c r="AA400">
        <v>0</v>
      </c>
      <c r="AB400">
        <v>0</v>
      </c>
      <c r="AC400" s="2">
        <v>51026.976000000002</v>
      </c>
      <c r="AD400">
        <v>0</v>
      </c>
      <c r="AE400">
        <v>0</v>
      </c>
      <c r="AF400" s="2">
        <v>51026.976000000002</v>
      </c>
      <c r="AG400" t="s">
        <v>37</v>
      </c>
    </row>
    <row r="401" spans="1:33" x14ac:dyDescent="0.35">
      <c r="A401">
        <v>399</v>
      </c>
      <c r="B401">
        <v>282836</v>
      </c>
      <c r="C401">
        <v>328013973</v>
      </c>
      <c r="D401" t="s">
        <v>1877</v>
      </c>
      <c r="E401" t="s">
        <v>50</v>
      </c>
      <c r="F401" s="1">
        <v>46247</v>
      </c>
      <c r="G401" t="s">
        <v>16</v>
      </c>
      <c r="H401">
        <v>4600004244</v>
      </c>
      <c r="I401" s="1">
        <v>46240</v>
      </c>
      <c r="J401" t="s">
        <v>138</v>
      </c>
      <c r="K401" t="s">
        <v>1280</v>
      </c>
      <c r="L401" t="s">
        <v>13</v>
      </c>
      <c r="M401" t="s">
        <v>22</v>
      </c>
      <c r="N401" t="s">
        <v>1878</v>
      </c>
      <c r="O401" t="s">
        <v>1977</v>
      </c>
      <c r="P401" t="s">
        <v>2128</v>
      </c>
      <c r="Q401" t="s">
        <v>6</v>
      </c>
      <c r="R401" t="s">
        <v>699</v>
      </c>
      <c r="S401" t="s">
        <v>1879</v>
      </c>
      <c r="T401" t="s">
        <v>1995</v>
      </c>
      <c r="U401">
        <v>300</v>
      </c>
      <c r="V401">
        <v>5.54</v>
      </c>
      <c r="W401" s="2">
        <v>1662</v>
      </c>
      <c r="X401">
        <v>0</v>
      </c>
      <c r="Y401">
        <v>0</v>
      </c>
      <c r="Z401">
        <v>299.16000000000003</v>
      </c>
      <c r="AA401">
        <v>0</v>
      </c>
      <c r="AB401">
        <v>0</v>
      </c>
      <c r="AC401" s="2">
        <v>1961.16</v>
      </c>
      <c r="AD401">
        <v>0</v>
      </c>
      <c r="AE401">
        <v>0</v>
      </c>
      <c r="AF401" s="2">
        <v>1961.16</v>
      </c>
      <c r="AG401" t="s">
        <v>37</v>
      </c>
    </row>
    <row r="402" spans="1:33" x14ac:dyDescent="0.35">
      <c r="A402">
        <v>400</v>
      </c>
      <c r="B402">
        <v>282836</v>
      </c>
      <c r="C402">
        <v>328013973</v>
      </c>
      <c r="D402" t="s">
        <v>1877</v>
      </c>
      <c r="E402" t="s">
        <v>50</v>
      </c>
      <c r="F402" s="1">
        <v>46247</v>
      </c>
      <c r="G402" t="s">
        <v>16</v>
      </c>
      <c r="H402">
        <v>4600004244</v>
      </c>
      <c r="I402" s="1">
        <v>46240</v>
      </c>
      <c r="J402" t="s">
        <v>138</v>
      </c>
      <c r="K402" t="s">
        <v>1280</v>
      </c>
      <c r="L402" t="s">
        <v>13</v>
      </c>
      <c r="M402" t="s">
        <v>22</v>
      </c>
      <c r="N402" t="s">
        <v>1880</v>
      </c>
      <c r="O402" t="s">
        <v>1932</v>
      </c>
      <c r="P402" t="s">
        <v>2129</v>
      </c>
      <c r="Q402" t="s">
        <v>6</v>
      </c>
      <c r="R402" t="s">
        <v>93</v>
      </c>
      <c r="S402" t="s">
        <v>1881</v>
      </c>
      <c r="T402" t="s">
        <v>2001</v>
      </c>
      <c r="U402">
        <v>900</v>
      </c>
      <c r="V402">
        <v>15.71</v>
      </c>
      <c r="W402" s="2">
        <v>14139</v>
      </c>
      <c r="X402">
        <v>0</v>
      </c>
      <c r="Y402">
        <v>0</v>
      </c>
      <c r="Z402" s="2">
        <v>2545.02</v>
      </c>
      <c r="AA402">
        <v>0</v>
      </c>
      <c r="AB402">
        <v>0</v>
      </c>
      <c r="AC402" s="2">
        <v>16684.02</v>
      </c>
      <c r="AD402">
        <v>0</v>
      </c>
      <c r="AE402">
        <v>0</v>
      </c>
      <c r="AF402" s="2">
        <v>16684.02</v>
      </c>
      <c r="AG402" t="s">
        <v>37</v>
      </c>
    </row>
    <row r="403" spans="1:33" x14ac:dyDescent="0.35">
      <c r="A403">
        <v>401</v>
      </c>
      <c r="B403">
        <v>282836</v>
      </c>
      <c r="C403">
        <v>328013973</v>
      </c>
      <c r="D403" t="s">
        <v>1877</v>
      </c>
      <c r="E403" t="s">
        <v>50</v>
      </c>
      <c r="F403" s="1">
        <v>46247</v>
      </c>
      <c r="G403" t="s">
        <v>16</v>
      </c>
      <c r="H403">
        <v>4600004244</v>
      </c>
      <c r="I403" s="1">
        <v>46240</v>
      </c>
      <c r="J403" t="s">
        <v>138</v>
      </c>
      <c r="K403" t="s">
        <v>1280</v>
      </c>
      <c r="L403" t="s">
        <v>13</v>
      </c>
      <c r="M403" t="s">
        <v>22</v>
      </c>
      <c r="N403" t="s">
        <v>1882</v>
      </c>
      <c r="O403" t="s">
        <v>1936</v>
      </c>
      <c r="P403" t="s">
        <v>2130</v>
      </c>
      <c r="Q403" t="s">
        <v>6</v>
      </c>
      <c r="R403" t="s">
        <v>660</v>
      </c>
      <c r="S403" t="s">
        <v>1883</v>
      </c>
      <c r="T403" t="s">
        <v>416</v>
      </c>
      <c r="U403">
        <v>300</v>
      </c>
      <c r="V403">
        <v>68.599999999999994</v>
      </c>
      <c r="W403" s="2">
        <v>20580</v>
      </c>
      <c r="X403">
        <v>0</v>
      </c>
      <c r="Y403">
        <v>0</v>
      </c>
      <c r="Z403" s="2">
        <v>3704.4</v>
      </c>
      <c r="AA403">
        <v>0</v>
      </c>
      <c r="AB403">
        <v>0</v>
      </c>
      <c r="AC403" s="2">
        <v>24284.400000000001</v>
      </c>
      <c r="AD403">
        <v>0</v>
      </c>
      <c r="AE403">
        <v>0</v>
      </c>
      <c r="AF403" s="2">
        <v>24284.400000000001</v>
      </c>
      <c r="AG403" t="s">
        <v>37</v>
      </c>
    </row>
    <row r="404" spans="1:33" x14ac:dyDescent="0.35">
      <c r="A404">
        <v>402</v>
      </c>
      <c r="B404">
        <v>282878</v>
      </c>
      <c r="C404">
        <v>328014009</v>
      </c>
      <c r="D404" t="s">
        <v>1884</v>
      </c>
      <c r="E404" t="s">
        <v>50</v>
      </c>
      <c r="F404" s="1">
        <v>46247</v>
      </c>
      <c r="G404" t="s">
        <v>697</v>
      </c>
      <c r="H404">
        <v>44069</v>
      </c>
      <c r="I404" s="1">
        <v>46247</v>
      </c>
      <c r="J404" t="s">
        <v>138</v>
      </c>
      <c r="K404" t="s">
        <v>137</v>
      </c>
      <c r="L404" t="s">
        <v>78</v>
      </c>
      <c r="M404" t="s">
        <v>21</v>
      </c>
      <c r="N404" t="s">
        <v>1887</v>
      </c>
      <c r="O404" t="s">
        <v>1949</v>
      </c>
      <c r="P404" t="s">
        <v>2131</v>
      </c>
      <c r="Q404" t="s">
        <v>6</v>
      </c>
      <c r="R404" t="s">
        <v>38</v>
      </c>
      <c r="S404" t="s">
        <v>1888</v>
      </c>
      <c r="T404" t="s">
        <v>1995</v>
      </c>
      <c r="U404">
        <v>20</v>
      </c>
      <c r="V404">
        <v>5.56</v>
      </c>
      <c r="W404">
        <v>111.2</v>
      </c>
      <c r="X404">
        <v>0</v>
      </c>
      <c r="Y404">
        <v>0</v>
      </c>
      <c r="Z404">
        <v>20.015999999999998</v>
      </c>
      <c r="AA404">
        <v>0</v>
      </c>
      <c r="AB404">
        <v>0</v>
      </c>
      <c r="AC404">
        <v>131.21600000000001</v>
      </c>
      <c r="AD404">
        <v>0</v>
      </c>
      <c r="AE404">
        <v>0</v>
      </c>
      <c r="AF404">
        <v>131.21600000000001</v>
      </c>
      <c r="AG404" t="s">
        <v>37</v>
      </c>
    </row>
    <row r="405" spans="1:33" x14ac:dyDescent="0.35">
      <c r="A405">
        <v>403</v>
      </c>
      <c r="B405">
        <v>282878</v>
      </c>
      <c r="C405">
        <v>328014009</v>
      </c>
      <c r="D405" t="s">
        <v>1884</v>
      </c>
      <c r="E405" t="s">
        <v>50</v>
      </c>
      <c r="F405" s="1">
        <v>46247</v>
      </c>
      <c r="G405" t="s">
        <v>697</v>
      </c>
      <c r="H405">
        <v>44069</v>
      </c>
      <c r="I405" s="1">
        <v>46247</v>
      </c>
      <c r="J405" t="s">
        <v>138</v>
      </c>
      <c r="K405" t="s">
        <v>137</v>
      </c>
      <c r="L405" t="s">
        <v>78</v>
      </c>
      <c r="M405" t="s">
        <v>21</v>
      </c>
      <c r="N405" t="s">
        <v>1885</v>
      </c>
      <c r="O405" t="s">
        <v>1932</v>
      </c>
      <c r="P405" t="s">
        <v>2132</v>
      </c>
      <c r="Q405" t="s">
        <v>6</v>
      </c>
      <c r="R405" t="s">
        <v>43</v>
      </c>
      <c r="S405" t="s">
        <v>1886</v>
      </c>
      <c r="T405" t="s">
        <v>1995</v>
      </c>
      <c r="U405">
        <v>10</v>
      </c>
      <c r="V405">
        <v>29.56</v>
      </c>
      <c r="W405">
        <v>295.60000000000002</v>
      </c>
      <c r="X405">
        <v>0</v>
      </c>
      <c r="Y405">
        <v>0</v>
      </c>
      <c r="Z405">
        <v>53.207999999999998</v>
      </c>
      <c r="AA405">
        <v>0</v>
      </c>
      <c r="AB405">
        <v>0</v>
      </c>
      <c r="AC405">
        <v>348.80799999999999</v>
      </c>
      <c r="AD405">
        <v>0</v>
      </c>
      <c r="AE405">
        <v>0</v>
      </c>
      <c r="AF405">
        <v>348.80799999999999</v>
      </c>
      <c r="AG405" t="s">
        <v>37</v>
      </c>
    </row>
    <row r="406" spans="1:33" x14ac:dyDescent="0.35">
      <c r="A406">
        <v>404</v>
      </c>
      <c r="B406">
        <v>282912</v>
      </c>
      <c r="C406">
        <v>328014034</v>
      </c>
      <c r="D406" t="s">
        <v>2133</v>
      </c>
      <c r="E406" t="s">
        <v>50</v>
      </c>
      <c r="F406" s="1">
        <v>46248</v>
      </c>
      <c r="G406" t="s">
        <v>2134</v>
      </c>
      <c r="H406" t="s">
        <v>731</v>
      </c>
      <c r="I406" s="1">
        <v>46240</v>
      </c>
      <c r="J406" t="s">
        <v>138</v>
      </c>
      <c r="K406" t="s">
        <v>1278</v>
      </c>
      <c r="L406" t="s">
        <v>12</v>
      </c>
      <c r="M406" t="s">
        <v>21</v>
      </c>
      <c r="N406" t="s">
        <v>2135</v>
      </c>
      <c r="O406" t="s">
        <v>1938</v>
      </c>
      <c r="Q406" t="s">
        <v>6</v>
      </c>
      <c r="R406" t="s">
        <v>746</v>
      </c>
      <c r="S406" t="s">
        <v>2136</v>
      </c>
      <c r="T406" t="s">
        <v>1995</v>
      </c>
      <c r="U406">
        <v>50</v>
      </c>
      <c r="V406">
        <v>5.51</v>
      </c>
      <c r="W406">
        <v>275.5</v>
      </c>
      <c r="X406">
        <v>0</v>
      </c>
      <c r="Y406">
        <v>0</v>
      </c>
      <c r="Z406">
        <v>49.59</v>
      </c>
      <c r="AA406">
        <v>0</v>
      </c>
      <c r="AB406">
        <v>0</v>
      </c>
      <c r="AC406">
        <v>325.08999999999997</v>
      </c>
      <c r="AD406">
        <v>0</v>
      </c>
      <c r="AE406">
        <v>0</v>
      </c>
      <c r="AF406">
        <v>325.08999999999997</v>
      </c>
      <c r="AG406" t="s">
        <v>37</v>
      </c>
    </row>
    <row r="407" spans="1:33" x14ac:dyDescent="0.35">
      <c r="A407">
        <v>405</v>
      </c>
      <c r="B407">
        <v>282912</v>
      </c>
      <c r="C407">
        <v>328014034</v>
      </c>
      <c r="D407" t="s">
        <v>2133</v>
      </c>
      <c r="E407" t="s">
        <v>50</v>
      </c>
      <c r="F407" s="1">
        <v>46248</v>
      </c>
      <c r="G407" t="s">
        <v>2134</v>
      </c>
      <c r="H407" t="s">
        <v>731</v>
      </c>
      <c r="I407" s="1">
        <v>46240</v>
      </c>
      <c r="J407" t="s">
        <v>138</v>
      </c>
      <c r="K407" t="s">
        <v>1278</v>
      </c>
      <c r="L407" t="s">
        <v>12</v>
      </c>
      <c r="M407" t="s">
        <v>21</v>
      </c>
      <c r="N407" t="s">
        <v>2137</v>
      </c>
      <c r="O407" t="s">
        <v>1936</v>
      </c>
      <c r="Q407" t="s">
        <v>6</v>
      </c>
      <c r="R407" t="s">
        <v>2138</v>
      </c>
      <c r="S407" t="s">
        <v>2139</v>
      </c>
      <c r="T407" t="s">
        <v>416</v>
      </c>
      <c r="U407">
        <v>11</v>
      </c>
      <c r="V407">
        <v>26.01</v>
      </c>
      <c r="W407">
        <v>286.11</v>
      </c>
      <c r="X407">
        <v>0</v>
      </c>
      <c r="Y407">
        <v>0</v>
      </c>
      <c r="Z407">
        <v>51.4998</v>
      </c>
      <c r="AA407">
        <v>0</v>
      </c>
      <c r="AB407">
        <v>0</v>
      </c>
      <c r="AC407">
        <v>337.60980000000001</v>
      </c>
      <c r="AD407">
        <v>0</v>
      </c>
      <c r="AE407">
        <v>0</v>
      </c>
      <c r="AF407">
        <v>337.60980000000001</v>
      </c>
      <c r="AG407" t="s">
        <v>37</v>
      </c>
    </row>
    <row r="408" spans="1:33" x14ac:dyDescent="0.35">
      <c r="A408">
        <v>406</v>
      </c>
      <c r="B408">
        <v>282912</v>
      </c>
      <c r="C408">
        <v>328014034</v>
      </c>
      <c r="D408" t="s">
        <v>2133</v>
      </c>
      <c r="E408" t="s">
        <v>50</v>
      </c>
      <c r="F408" s="1">
        <v>46248</v>
      </c>
      <c r="G408" t="s">
        <v>2134</v>
      </c>
      <c r="H408" t="s">
        <v>731</v>
      </c>
      <c r="I408" s="1">
        <v>46240</v>
      </c>
      <c r="J408" t="s">
        <v>138</v>
      </c>
      <c r="K408" t="s">
        <v>1278</v>
      </c>
      <c r="L408" t="s">
        <v>12</v>
      </c>
      <c r="M408" t="s">
        <v>21</v>
      </c>
      <c r="N408" t="s">
        <v>2140</v>
      </c>
      <c r="O408" t="s">
        <v>1949</v>
      </c>
      <c r="Q408" t="s">
        <v>6</v>
      </c>
      <c r="R408" t="s">
        <v>43</v>
      </c>
      <c r="S408" t="s">
        <v>2141</v>
      </c>
      <c r="T408" t="s">
        <v>1995</v>
      </c>
      <c r="U408">
        <v>40</v>
      </c>
      <c r="V408">
        <v>19.18</v>
      </c>
      <c r="W408">
        <v>767.2</v>
      </c>
      <c r="X408">
        <v>0</v>
      </c>
      <c r="Y408">
        <v>0</v>
      </c>
      <c r="Z408">
        <v>138.096</v>
      </c>
      <c r="AA408">
        <v>0</v>
      </c>
      <c r="AB408">
        <v>0</v>
      </c>
      <c r="AC408">
        <v>905.29600000000005</v>
      </c>
      <c r="AD408">
        <v>0</v>
      </c>
      <c r="AE408">
        <v>0</v>
      </c>
      <c r="AF408">
        <v>905.29600000000005</v>
      </c>
      <c r="AG408" t="s">
        <v>37</v>
      </c>
    </row>
    <row r="409" spans="1:33" x14ac:dyDescent="0.35">
      <c r="A409">
        <v>407</v>
      </c>
      <c r="B409">
        <v>282912</v>
      </c>
      <c r="C409">
        <v>328014034</v>
      </c>
      <c r="D409" t="s">
        <v>2133</v>
      </c>
      <c r="E409" t="s">
        <v>50</v>
      </c>
      <c r="F409" s="1">
        <v>46248</v>
      </c>
      <c r="G409" t="s">
        <v>2134</v>
      </c>
      <c r="H409" t="s">
        <v>731</v>
      </c>
      <c r="I409" s="1">
        <v>46240</v>
      </c>
      <c r="J409" t="s">
        <v>138</v>
      </c>
      <c r="K409" t="s">
        <v>1278</v>
      </c>
      <c r="L409" t="s">
        <v>12</v>
      </c>
      <c r="M409" t="s">
        <v>21</v>
      </c>
      <c r="N409" t="s">
        <v>2142</v>
      </c>
      <c r="O409" t="s">
        <v>1950</v>
      </c>
      <c r="Q409" t="s">
        <v>6</v>
      </c>
      <c r="R409" t="s">
        <v>96</v>
      </c>
      <c r="S409" t="s">
        <v>2143</v>
      </c>
      <c r="T409" t="s">
        <v>1997</v>
      </c>
      <c r="U409">
        <v>20</v>
      </c>
      <c r="V409" s="2">
        <v>1382.08</v>
      </c>
      <c r="W409" s="2">
        <v>27641.599999999999</v>
      </c>
      <c r="X409">
        <v>0</v>
      </c>
      <c r="Y409">
        <v>0</v>
      </c>
      <c r="Z409" s="2">
        <v>4975.4880000000003</v>
      </c>
      <c r="AA409">
        <v>0</v>
      </c>
      <c r="AB409">
        <v>0</v>
      </c>
      <c r="AC409" s="2">
        <v>32617.088</v>
      </c>
      <c r="AD409">
        <v>0</v>
      </c>
      <c r="AE409">
        <v>0</v>
      </c>
      <c r="AF409" s="2">
        <v>32617.088</v>
      </c>
      <c r="AG409" t="s">
        <v>37</v>
      </c>
    </row>
    <row r="410" spans="1:33" x14ac:dyDescent="0.35">
      <c r="A410">
        <v>408</v>
      </c>
      <c r="B410">
        <v>282912</v>
      </c>
      <c r="C410">
        <v>328014034</v>
      </c>
      <c r="D410" t="s">
        <v>2133</v>
      </c>
      <c r="E410" t="s">
        <v>50</v>
      </c>
      <c r="F410" s="1">
        <v>46248</v>
      </c>
      <c r="G410" t="s">
        <v>2134</v>
      </c>
      <c r="H410" t="s">
        <v>731</v>
      </c>
      <c r="I410" s="1">
        <v>46240</v>
      </c>
      <c r="J410" t="s">
        <v>138</v>
      </c>
      <c r="K410" t="s">
        <v>1278</v>
      </c>
      <c r="L410" t="s">
        <v>12</v>
      </c>
      <c r="M410" t="s">
        <v>21</v>
      </c>
      <c r="N410" t="s">
        <v>2144</v>
      </c>
      <c r="O410" t="s">
        <v>1938</v>
      </c>
      <c r="Q410" t="s">
        <v>6</v>
      </c>
      <c r="R410" t="s">
        <v>47</v>
      </c>
      <c r="S410" t="s">
        <v>2145</v>
      </c>
      <c r="T410" t="s">
        <v>1995</v>
      </c>
      <c r="U410">
        <v>35</v>
      </c>
      <c r="V410">
        <v>23.26</v>
      </c>
      <c r="W410">
        <v>814.1</v>
      </c>
      <c r="X410">
        <v>0</v>
      </c>
      <c r="Y410">
        <v>0</v>
      </c>
      <c r="Z410">
        <v>146.53800000000001</v>
      </c>
      <c r="AA410">
        <v>0</v>
      </c>
      <c r="AB410">
        <v>0</v>
      </c>
      <c r="AC410">
        <v>960.63800000000003</v>
      </c>
      <c r="AD410">
        <v>0</v>
      </c>
      <c r="AE410">
        <v>0</v>
      </c>
      <c r="AF410">
        <v>960.63800000000003</v>
      </c>
      <c r="AG410" t="s">
        <v>37</v>
      </c>
    </row>
    <row r="411" spans="1:33" x14ac:dyDescent="0.35">
      <c r="A411">
        <v>409</v>
      </c>
      <c r="B411">
        <v>282912</v>
      </c>
      <c r="C411">
        <v>328014034</v>
      </c>
      <c r="D411" t="s">
        <v>2133</v>
      </c>
      <c r="E411" t="s">
        <v>50</v>
      </c>
      <c r="F411" s="1">
        <v>46248</v>
      </c>
      <c r="G411" t="s">
        <v>2134</v>
      </c>
      <c r="H411" t="s">
        <v>731</v>
      </c>
      <c r="I411" s="1">
        <v>46240</v>
      </c>
      <c r="J411" t="s">
        <v>138</v>
      </c>
      <c r="K411" t="s">
        <v>1278</v>
      </c>
      <c r="L411" t="s">
        <v>12</v>
      </c>
      <c r="M411" t="s">
        <v>21</v>
      </c>
      <c r="N411" t="s">
        <v>2146</v>
      </c>
      <c r="O411" t="s">
        <v>1949</v>
      </c>
      <c r="Q411" t="s">
        <v>6</v>
      </c>
      <c r="R411" t="s">
        <v>43</v>
      </c>
      <c r="S411" t="s">
        <v>2147</v>
      </c>
      <c r="T411" t="s">
        <v>1995</v>
      </c>
      <c r="U411">
        <v>40</v>
      </c>
      <c r="V411">
        <v>19.18</v>
      </c>
      <c r="W411">
        <v>767.2</v>
      </c>
      <c r="X411">
        <v>0</v>
      </c>
      <c r="Y411">
        <v>0</v>
      </c>
      <c r="Z411">
        <v>138.096</v>
      </c>
      <c r="AA411">
        <v>0</v>
      </c>
      <c r="AB411">
        <v>0</v>
      </c>
      <c r="AC411">
        <v>905.29600000000005</v>
      </c>
      <c r="AD411">
        <v>0</v>
      </c>
      <c r="AE411">
        <v>0</v>
      </c>
      <c r="AF411">
        <v>905.29600000000005</v>
      </c>
      <c r="AG411" t="s">
        <v>37</v>
      </c>
    </row>
    <row r="412" spans="1:33" x14ac:dyDescent="0.35">
      <c r="A412">
        <v>410</v>
      </c>
      <c r="B412">
        <v>282912</v>
      </c>
      <c r="C412">
        <v>328014034</v>
      </c>
      <c r="D412" t="s">
        <v>2133</v>
      </c>
      <c r="E412" t="s">
        <v>50</v>
      </c>
      <c r="F412" s="1">
        <v>46248</v>
      </c>
      <c r="G412" t="s">
        <v>2134</v>
      </c>
      <c r="H412" t="s">
        <v>731</v>
      </c>
      <c r="I412" s="1">
        <v>46240</v>
      </c>
      <c r="J412" t="s">
        <v>138</v>
      </c>
      <c r="K412" t="s">
        <v>1278</v>
      </c>
      <c r="L412" t="s">
        <v>12</v>
      </c>
      <c r="M412" t="s">
        <v>21</v>
      </c>
      <c r="N412" t="s">
        <v>2148</v>
      </c>
      <c r="O412" t="s">
        <v>1949</v>
      </c>
      <c r="Q412" t="s">
        <v>6</v>
      </c>
      <c r="R412" t="s">
        <v>886</v>
      </c>
      <c r="S412" t="s">
        <v>2149</v>
      </c>
      <c r="T412" t="s">
        <v>1995</v>
      </c>
      <c r="U412">
        <v>50</v>
      </c>
      <c r="V412">
        <v>3.78</v>
      </c>
      <c r="W412">
        <v>189</v>
      </c>
      <c r="X412">
        <v>0</v>
      </c>
      <c r="Y412">
        <v>0</v>
      </c>
      <c r="Z412">
        <v>34.020000000000003</v>
      </c>
      <c r="AA412">
        <v>0</v>
      </c>
      <c r="AB412">
        <v>0</v>
      </c>
      <c r="AC412">
        <v>223.02</v>
      </c>
      <c r="AD412">
        <v>0</v>
      </c>
      <c r="AE412">
        <v>0</v>
      </c>
      <c r="AF412">
        <v>223.02</v>
      </c>
      <c r="AG412" t="s">
        <v>37</v>
      </c>
    </row>
    <row r="413" spans="1:33" x14ac:dyDescent="0.35">
      <c r="A413">
        <v>411</v>
      </c>
      <c r="B413">
        <v>282912</v>
      </c>
      <c r="C413">
        <v>328014034</v>
      </c>
      <c r="D413" t="s">
        <v>2133</v>
      </c>
      <c r="E413" t="s">
        <v>50</v>
      </c>
      <c r="F413" s="1">
        <v>46248</v>
      </c>
      <c r="G413" t="s">
        <v>2134</v>
      </c>
      <c r="H413" t="s">
        <v>731</v>
      </c>
      <c r="I413" s="1">
        <v>46240</v>
      </c>
      <c r="J413" t="s">
        <v>138</v>
      </c>
      <c r="K413" t="s">
        <v>1278</v>
      </c>
      <c r="L413" t="s">
        <v>12</v>
      </c>
      <c r="M413" t="s">
        <v>21</v>
      </c>
      <c r="N413" t="s">
        <v>2150</v>
      </c>
      <c r="O413" t="s">
        <v>1950</v>
      </c>
      <c r="Q413" t="s">
        <v>6</v>
      </c>
      <c r="R413" t="s">
        <v>96</v>
      </c>
      <c r="S413" t="s">
        <v>2151</v>
      </c>
      <c r="T413" t="s">
        <v>1997</v>
      </c>
      <c r="U413">
        <v>20</v>
      </c>
      <c r="V413" s="2">
        <v>1135.68</v>
      </c>
      <c r="W413" s="2">
        <v>22713.599999999999</v>
      </c>
      <c r="X413">
        <v>0</v>
      </c>
      <c r="Y413">
        <v>0</v>
      </c>
      <c r="Z413" s="2">
        <v>4088.4479999999999</v>
      </c>
      <c r="AA413">
        <v>0</v>
      </c>
      <c r="AB413">
        <v>0</v>
      </c>
      <c r="AC413" s="2">
        <v>26802.047999999999</v>
      </c>
      <c r="AD413">
        <v>0</v>
      </c>
      <c r="AE413">
        <v>0</v>
      </c>
      <c r="AF413" s="2">
        <v>26802.047999999999</v>
      </c>
      <c r="AG413" t="s">
        <v>37</v>
      </c>
    </row>
    <row r="414" spans="1:33" x14ac:dyDescent="0.35">
      <c r="A414">
        <v>412</v>
      </c>
      <c r="B414">
        <v>282912</v>
      </c>
      <c r="C414">
        <v>328014034</v>
      </c>
      <c r="D414" t="s">
        <v>2133</v>
      </c>
      <c r="E414" t="s">
        <v>50</v>
      </c>
      <c r="F414" s="1">
        <v>46248</v>
      </c>
      <c r="G414" t="s">
        <v>2134</v>
      </c>
      <c r="H414" t="s">
        <v>731</v>
      </c>
      <c r="I414" s="1">
        <v>46240</v>
      </c>
      <c r="J414" t="s">
        <v>138</v>
      </c>
      <c r="K414" t="s">
        <v>1278</v>
      </c>
      <c r="L414" t="s">
        <v>12</v>
      </c>
      <c r="M414" t="s">
        <v>21</v>
      </c>
      <c r="N414" t="s">
        <v>2152</v>
      </c>
      <c r="O414" t="s">
        <v>1938</v>
      </c>
      <c r="Q414" t="s">
        <v>6</v>
      </c>
      <c r="R414" t="s">
        <v>47</v>
      </c>
      <c r="S414" t="s">
        <v>2153</v>
      </c>
      <c r="T414" t="s">
        <v>1995</v>
      </c>
      <c r="U414">
        <v>35</v>
      </c>
      <c r="V414">
        <v>36.83</v>
      </c>
      <c r="W414" s="2">
        <v>1289.05</v>
      </c>
      <c r="X414">
        <v>0</v>
      </c>
      <c r="Y414">
        <v>0</v>
      </c>
      <c r="Z414">
        <v>232.029</v>
      </c>
      <c r="AA414">
        <v>0</v>
      </c>
      <c r="AB414">
        <v>0</v>
      </c>
      <c r="AC414" s="2">
        <v>1521.079</v>
      </c>
      <c r="AD414">
        <v>0</v>
      </c>
      <c r="AE414">
        <v>0</v>
      </c>
      <c r="AF414" s="2">
        <v>1521.079</v>
      </c>
      <c r="AG414" t="s">
        <v>37</v>
      </c>
    </row>
    <row r="415" spans="1:33" x14ac:dyDescent="0.35">
      <c r="A415">
        <v>413</v>
      </c>
      <c r="B415">
        <v>282912</v>
      </c>
      <c r="C415">
        <v>328014034</v>
      </c>
      <c r="D415" t="s">
        <v>2133</v>
      </c>
      <c r="E415" t="s">
        <v>50</v>
      </c>
      <c r="F415" s="1">
        <v>46248</v>
      </c>
      <c r="G415" t="s">
        <v>2134</v>
      </c>
      <c r="H415" t="s">
        <v>731</v>
      </c>
      <c r="I415" s="1">
        <v>46240</v>
      </c>
      <c r="J415" t="s">
        <v>138</v>
      </c>
      <c r="K415" t="s">
        <v>1278</v>
      </c>
      <c r="L415" t="s">
        <v>12</v>
      </c>
      <c r="M415" t="s">
        <v>21</v>
      </c>
      <c r="N415" t="s">
        <v>2154</v>
      </c>
      <c r="O415" t="s">
        <v>1938</v>
      </c>
      <c r="Q415" t="s">
        <v>6</v>
      </c>
      <c r="R415" t="s">
        <v>43</v>
      </c>
      <c r="S415" t="s">
        <v>2155</v>
      </c>
      <c r="T415" t="s">
        <v>1995</v>
      </c>
      <c r="U415">
        <v>50</v>
      </c>
      <c r="V415">
        <v>38.15</v>
      </c>
      <c r="W415" s="2">
        <v>1907.5</v>
      </c>
      <c r="X415">
        <v>0</v>
      </c>
      <c r="Y415">
        <v>0</v>
      </c>
      <c r="Z415">
        <v>343.35</v>
      </c>
      <c r="AA415">
        <v>0</v>
      </c>
      <c r="AB415">
        <v>0</v>
      </c>
      <c r="AC415" s="2">
        <v>2250.85</v>
      </c>
      <c r="AD415">
        <v>0</v>
      </c>
      <c r="AE415">
        <v>0</v>
      </c>
      <c r="AF415" s="2">
        <v>2250.85</v>
      </c>
      <c r="AG415" t="s">
        <v>37</v>
      </c>
    </row>
    <row r="416" spans="1:33" x14ac:dyDescent="0.35">
      <c r="A416">
        <v>414</v>
      </c>
      <c r="B416">
        <v>282912</v>
      </c>
      <c r="C416">
        <v>328014034</v>
      </c>
      <c r="D416" t="s">
        <v>2133</v>
      </c>
      <c r="E416" t="s">
        <v>50</v>
      </c>
      <c r="F416" s="1">
        <v>46248</v>
      </c>
      <c r="G416" t="s">
        <v>2134</v>
      </c>
      <c r="H416" t="s">
        <v>731</v>
      </c>
      <c r="I416" s="1">
        <v>46240</v>
      </c>
      <c r="J416" t="s">
        <v>138</v>
      </c>
      <c r="K416" t="s">
        <v>1278</v>
      </c>
      <c r="L416" t="s">
        <v>12</v>
      </c>
      <c r="M416" t="s">
        <v>21</v>
      </c>
      <c r="N416" t="s">
        <v>2156</v>
      </c>
      <c r="O416" t="s">
        <v>1938</v>
      </c>
      <c r="Q416" t="s">
        <v>6</v>
      </c>
      <c r="R416" t="s">
        <v>796</v>
      </c>
      <c r="S416" t="s">
        <v>2157</v>
      </c>
      <c r="T416" t="s">
        <v>2013</v>
      </c>
      <c r="U416">
        <v>50</v>
      </c>
      <c r="V416">
        <v>1.94</v>
      </c>
      <c r="W416">
        <v>97</v>
      </c>
      <c r="X416">
        <v>0</v>
      </c>
      <c r="Y416">
        <v>0</v>
      </c>
      <c r="Z416">
        <v>17.46</v>
      </c>
      <c r="AA416">
        <v>0</v>
      </c>
      <c r="AB416">
        <v>0</v>
      </c>
      <c r="AC416">
        <v>114.46</v>
      </c>
      <c r="AD416">
        <v>0</v>
      </c>
      <c r="AE416">
        <v>0</v>
      </c>
      <c r="AF416">
        <v>114.46</v>
      </c>
      <c r="AG416" t="s">
        <v>37</v>
      </c>
    </row>
    <row r="417" spans="1:33" x14ac:dyDescent="0.35">
      <c r="A417">
        <v>415</v>
      </c>
      <c r="B417">
        <v>282912</v>
      </c>
      <c r="C417">
        <v>328014034</v>
      </c>
      <c r="D417" t="s">
        <v>2133</v>
      </c>
      <c r="E417" t="s">
        <v>50</v>
      </c>
      <c r="F417" s="1">
        <v>46248</v>
      </c>
      <c r="G417" t="s">
        <v>2134</v>
      </c>
      <c r="H417" t="s">
        <v>731</v>
      </c>
      <c r="I417" s="1">
        <v>46240</v>
      </c>
      <c r="J417" t="s">
        <v>138</v>
      </c>
      <c r="K417" t="s">
        <v>1278</v>
      </c>
      <c r="L417" t="s">
        <v>12</v>
      </c>
      <c r="M417" t="s">
        <v>21</v>
      </c>
      <c r="N417" t="s">
        <v>2158</v>
      </c>
      <c r="O417" t="s">
        <v>1949</v>
      </c>
      <c r="Q417" t="s">
        <v>6</v>
      </c>
      <c r="R417" t="s">
        <v>38</v>
      </c>
      <c r="S417" t="s">
        <v>2159</v>
      </c>
      <c r="T417" t="s">
        <v>1995</v>
      </c>
      <c r="U417">
        <v>50</v>
      </c>
      <c r="V417">
        <v>13.98</v>
      </c>
      <c r="W417">
        <v>699</v>
      </c>
      <c r="X417">
        <v>0</v>
      </c>
      <c r="Y417">
        <v>0</v>
      </c>
      <c r="Z417">
        <v>125.82</v>
      </c>
      <c r="AA417">
        <v>0</v>
      </c>
      <c r="AB417">
        <v>0</v>
      </c>
      <c r="AC417">
        <v>824.82</v>
      </c>
      <c r="AD417">
        <v>0</v>
      </c>
      <c r="AE417">
        <v>0</v>
      </c>
      <c r="AF417">
        <v>824.82</v>
      </c>
      <c r="AG417" t="s">
        <v>37</v>
      </c>
    </row>
    <row r="418" spans="1:33" x14ac:dyDescent="0.35">
      <c r="A418">
        <v>416</v>
      </c>
      <c r="B418">
        <v>282912</v>
      </c>
      <c r="C418">
        <v>328014034</v>
      </c>
      <c r="D418" t="s">
        <v>2133</v>
      </c>
      <c r="E418" t="s">
        <v>50</v>
      </c>
      <c r="F418" s="1">
        <v>46248</v>
      </c>
      <c r="G418" t="s">
        <v>2134</v>
      </c>
      <c r="H418" t="s">
        <v>731</v>
      </c>
      <c r="I418" s="1">
        <v>46240</v>
      </c>
      <c r="J418" t="s">
        <v>138</v>
      </c>
      <c r="K418" t="s">
        <v>1278</v>
      </c>
      <c r="L418" t="s">
        <v>12</v>
      </c>
      <c r="M418" t="s">
        <v>21</v>
      </c>
      <c r="N418" t="s">
        <v>2160</v>
      </c>
      <c r="O418" t="s">
        <v>1938</v>
      </c>
      <c r="Q418" t="s">
        <v>6</v>
      </c>
      <c r="R418" t="s">
        <v>131</v>
      </c>
      <c r="S418" t="s">
        <v>2161</v>
      </c>
      <c r="T418" t="s">
        <v>1995</v>
      </c>
      <c r="U418">
        <v>40</v>
      </c>
      <c r="V418">
        <v>77.930000000000007</v>
      </c>
      <c r="W418" s="2">
        <v>3117.2</v>
      </c>
      <c r="X418">
        <v>0</v>
      </c>
      <c r="Y418">
        <v>0</v>
      </c>
      <c r="Z418">
        <v>561.096</v>
      </c>
      <c r="AA418">
        <v>0</v>
      </c>
      <c r="AB418">
        <v>0</v>
      </c>
      <c r="AC418" s="2">
        <v>3678.2959999999998</v>
      </c>
      <c r="AD418">
        <v>0</v>
      </c>
      <c r="AE418">
        <v>0</v>
      </c>
      <c r="AF418" s="2">
        <v>3678.2959999999998</v>
      </c>
      <c r="AG418" t="s">
        <v>37</v>
      </c>
    </row>
    <row r="419" spans="1:33" x14ac:dyDescent="0.35">
      <c r="A419">
        <v>417</v>
      </c>
      <c r="B419">
        <v>282912</v>
      </c>
      <c r="C419">
        <v>328014034</v>
      </c>
      <c r="D419" t="s">
        <v>2133</v>
      </c>
      <c r="E419" t="s">
        <v>50</v>
      </c>
      <c r="F419" s="1">
        <v>46248</v>
      </c>
      <c r="G419" t="s">
        <v>2134</v>
      </c>
      <c r="H419" t="s">
        <v>731</v>
      </c>
      <c r="I419" s="1">
        <v>46240</v>
      </c>
      <c r="J419" t="s">
        <v>138</v>
      </c>
      <c r="K419" t="s">
        <v>1278</v>
      </c>
      <c r="L419" t="s">
        <v>12</v>
      </c>
      <c r="M419" t="s">
        <v>21</v>
      </c>
      <c r="N419" t="s">
        <v>2162</v>
      </c>
      <c r="O419" t="s">
        <v>1950</v>
      </c>
      <c r="Q419" t="s">
        <v>6</v>
      </c>
      <c r="R419" t="s">
        <v>765</v>
      </c>
      <c r="S419" t="s">
        <v>2163</v>
      </c>
      <c r="T419" t="s">
        <v>1997</v>
      </c>
      <c r="U419">
        <v>20</v>
      </c>
      <c r="V419" s="2">
        <v>6042.4</v>
      </c>
      <c r="W419" s="2">
        <v>120848</v>
      </c>
      <c r="X419">
        <v>0</v>
      </c>
      <c r="Y419">
        <v>0</v>
      </c>
      <c r="Z419" s="2">
        <v>21752.639999999999</v>
      </c>
      <c r="AA419">
        <v>0</v>
      </c>
      <c r="AB419">
        <v>0</v>
      </c>
      <c r="AC419" s="2">
        <v>142600.64000000001</v>
      </c>
      <c r="AD419">
        <v>0</v>
      </c>
      <c r="AE419">
        <v>0</v>
      </c>
      <c r="AF419" s="2">
        <v>142600.64000000001</v>
      </c>
      <c r="AG419" t="s">
        <v>37</v>
      </c>
    </row>
    <row r="420" spans="1:33" x14ac:dyDescent="0.35">
      <c r="A420">
        <v>418</v>
      </c>
      <c r="B420">
        <v>282912</v>
      </c>
      <c r="C420">
        <v>328014034</v>
      </c>
      <c r="D420" t="s">
        <v>2133</v>
      </c>
      <c r="E420" t="s">
        <v>50</v>
      </c>
      <c r="F420" s="1">
        <v>46248</v>
      </c>
      <c r="G420" t="s">
        <v>2134</v>
      </c>
      <c r="H420" t="s">
        <v>731</v>
      </c>
      <c r="I420" s="1">
        <v>46240</v>
      </c>
      <c r="J420" t="s">
        <v>138</v>
      </c>
      <c r="K420" t="s">
        <v>1278</v>
      </c>
      <c r="L420" t="s">
        <v>12</v>
      </c>
      <c r="M420" t="s">
        <v>21</v>
      </c>
      <c r="N420" t="s">
        <v>2164</v>
      </c>
      <c r="O420" t="s">
        <v>2008</v>
      </c>
      <c r="Q420" t="s">
        <v>6</v>
      </c>
      <c r="R420" t="s">
        <v>660</v>
      </c>
      <c r="S420" t="s">
        <v>2165</v>
      </c>
      <c r="T420" t="s">
        <v>416</v>
      </c>
      <c r="U420">
        <v>22</v>
      </c>
      <c r="V420">
        <v>72.12</v>
      </c>
      <c r="W420" s="2">
        <v>1586.64</v>
      </c>
      <c r="X420">
        <v>0</v>
      </c>
      <c r="Y420">
        <v>0</v>
      </c>
      <c r="Z420">
        <v>285.59519999999998</v>
      </c>
      <c r="AA420">
        <v>0</v>
      </c>
      <c r="AB420">
        <v>0</v>
      </c>
      <c r="AC420" s="2">
        <v>1872.2352000000001</v>
      </c>
      <c r="AD420">
        <v>0</v>
      </c>
      <c r="AE420">
        <v>0</v>
      </c>
      <c r="AF420" s="2">
        <v>1872.2352000000001</v>
      </c>
      <c r="AG420" t="s">
        <v>37</v>
      </c>
    </row>
    <row r="421" spans="1:33" x14ac:dyDescent="0.35">
      <c r="A421">
        <v>419</v>
      </c>
      <c r="B421">
        <v>282914</v>
      </c>
      <c r="C421">
        <v>328014035</v>
      </c>
      <c r="D421" t="s">
        <v>2166</v>
      </c>
      <c r="E421" t="s">
        <v>50</v>
      </c>
      <c r="F421" s="1">
        <v>46248</v>
      </c>
      <c r="G421" t="s">
        <v>255</v>
      </c>
      <c r="H421" t="s">
        <v>2167</v>
      </c>
      <c r="I421" s="1">
        <v>46239</v>
      </c>
      <c r="J421" t="s">
        <v>138</v>
      </c>
      <c r="K421" t="s">
        <v>137</v>
      </c>
      <c r="L421" t="s">
        <v>18</v>
      </c>
      <c r="M421" t="s">
        <v>14</v>
      </c>
      <c r="N421" t="s">
        <v>2168</v>
      </c>
      <c r="O421" t="s">
        <v>1996</v>
      </c>
      <c r="Q421" t="s">
        <v>6</v>
      </c>
      <c r="R421" t="s">
        <v>1096</v>
      </c>
      <c r="S421" t="s">
        <v>2169</v>
      </c>
      <c r="T421" t="s">
        <v>1997</v>
      </c>
      <c r="U421">
        <v>10</v>
      </c>
      <c r="V421">
        <v>35.479999999999997</v>
      </c>
      <c r="W421">
        <v>354.8</v>
      </c>
      <c r="X421">
        <v>0</v>
      </c>
      <c r="Y421">
        <v>0</v>
      </c>
      <c r="Z421">
        <v>63.863999999999997</v>
      </c>
      <c r="AA421">
        <v>0</v>
      </c>
      <c r="AB421">
        <v>0</v>
      </c>
      <c r="AC421">
        <v>418.66399999999999</v>
      </c>
      <c r="AD421">
        <v>0</v>
      </c>
      <c r="AE421">
        <v>0</v>
      </c>
      <c r="AF421">
        <v>418.66399999999999</v>
      </c>
      <c r="AG421" t="s">
        <v>37</v>
      </c>
    </row>
    <row r="422" spans="1:33" x14ac:dyDescent="0.35">
      <c r="A422">
        <v>420</v>
      </c>
      <c r="B422">
        <v>282914</v>
      </c>
      <c r="C422">
        <v>328014035</v>
      </c>
      <c r="D422" t="s">
        <v>2166</v>
      </c>
      <c r="E422" t="s">
        <v>50</v>
      </c>
      <c r="F422" s="1">
        <v>46248</v>
      </c>
      <c r="G422" t="s">
        <v>255</v>
      </c>
      <c r="H422" t="s">
        <v>2167</v>
      </c>
      <c r="I422" s="1">
        <v>46239</v>
      </c>
      <c r="J422" t="s">
        <v>138</v>
      </c>
      <c r="K422" t="s">
        <v>137</v>
      </c>
      <c r="L422" t="s">
        <v>18</v>
      </c>
      <c r="M422" t="s">
        <v>14</v>
      </c>
      <c r="N422" t="s">
        <v>2170</v>
      </c>
      <c r="O422" t="s">
        <v>1996</v>
      </c>
      <c r="Q422" t="s">
        <v>6</v>
      </c>
      <c r="R422" t="s">
        <v>1096</v>
      </c>
      <c r="S422" t="s">
        <v>2171</v>
      </c>
      <c r="T422" t="s">
        <v>1997</v>
      </c>
      <c r="U422">
        <v>10</v>
      </c>
      <c r="V422">
        <v>38.76</v>
      </c>
      <c r="W422">
        <v>387.6</v>
      </c>
      <c r="X422">
        <v>0</v>
      </c>
      <c r="Y422">
        <v>0</v>
      </c>
      <c r="Z422">
        <v>69.768000000000001</v>
      </c>
      <c r="AA422">
        <v>0</v>
      </c>
      <c r="AB422">
        <v>0</v>
      </c>
      <c r="AC422">
        <v>457.36799999999999</v>
      </c>
      <c r="AD422">
        <v>0</v>
      </c>
      <c r="AE422">
        <v>0</v>
      </c>
      <c r="AF422">
        <v>457.36799999999999</v>
      </c>
      <c r="AG422" t="s">
        <v>37</v>
      </c>
    </row>
    <row r="423" spans="1:33" x14ac:dyDescent="0.35">
      <c r="A423">
        <v>421</v>
      </c>
      <c r="B423">
        <v>282914</v>
      </c>
      <c r="C423">
        <v>328014035</v>
      </c>
      <c r="D423" t="s">
        <v>2166</v>
      </c>
      <c r="E423" t="s">
        <v>50</v>
      </c>
      <c r="F423" s="1">
        <v>46248</v>
      </c>
      <c r="G423" t="s">
        <v>255</v>
      </c>
      <c r="H423" t="s">
        <v>2167</v>
      </c>
      <c r="I423" s="1">
        <v>46239</v>
      </c>
      <c r="J423" t="s">
        <v>138</v>
      </c>
      <c r="K423" t="s">
        <v>137</v>
      </c>
      <c r="L423" t="s">
        <v>18</v>
      </c>
      <c r="M423" t="s">
        <v>14</v>
      </c>
      <c r="N423" t="s">
        <v>2172</v>
      </c>
      <c r="O423" t="s">
        <v>1996</v>
      </c>
      <c r="Q423" t="s">
        <v>6</v>
      </c>
      <c r="R423" t="s">
        <v>1096</v>
      </c>
      <c r="S423" t="s">
        <v>2173</v>
      </c>
      <c r="T423" t="s">
        <v>1997</v>
      </c>
      <c r="U423">
        <v>40</v>
      </c>
      <c r="V423">
        <v>21.81</v>
      </c>
      <c r="W423">
        <v>872.4</v>
      </c>
      <c r="X423">
        <v>0</v>
      </c>
      <c r="Y423">
        <v>0</v>
      </c>
      <c r="Z423">
        <v>157.03200000000001</v>
      </c>
      <c r="AA423">
        <v>0</v>
      </c>
      <c r="AB423">
        <v>0</v>
      </c>
      <c r="AC423" s="2">
        <v>1029.432</v>
      </c>
      <c r="AD423">
        <v>0</v>
      </c>
      <c r="AE423">
        <v>0</v>
      </c>
      <c r="AF423" s="2">
        <v>1029.432</v>
      </c>
      <c r="AG423" t="s">
        <v>37</v>
      </c>
    </row>
    <row r="424" spans="1:33" x14ac:dyDescent="0.35">
      <c r="A424">
        <v>422</v>
      </c>
      <c r="B424">
        <v>282914</v>
      </c>
      <c r="C424">
        <v>328014035</v>
      </c>
      <c r="D424" t="s">
        <v>2166</v>
      </c>
      <c r="E424" t="s">
        <v>50</v>
      </c>
      <c r="F424" s="1">
        <v>46248</v>
      </c>
      <c r="G424" t="s">
        <v>255</v>
      </c>
      <c r="H424" t="s">
        <v>2167</v>
      </c>
      <c r="I424" s="1">
        <v>46239</v>
      </c>
      <c r="J424" t="s">
        <v>138</v>
      </c>
      <c r="K424" t="s">
        <v>137</v>
      </c>
      <c r="L424" t="s">
        <v>18</v>
      </c>
      <c r="M424" t="s">
        <v>14</v>
      </c>
      <c r="N424" t="s">
        <v>2174</v>
      </c>
      <c r="O424" t="s">
        <v>1996</v>
      </c>
      <c r="Q424" t="s">
        <v>6</v>
      </c>
      <c r="R424" t="s">
        <v>1096</v>
      </c>
      <c r="S424" t="s">
        <v>2175</v>
      </c>
      <c r="T424" t="s">
        <v>1997</v>
      </c>
      <c r="U424">
        <v>10</v>
      </c>
      <c r="V424">
        <v>47.57</v>
      </c>
      <c r="W424">
        <v>475.7</v>
      </c>
      <c r="X424">
        <v>0</v>
      </c>
      <c r="Y424">
        <v>0</v>
      </c>
      <c r="Z424">
        <v>85.626000000000005</v>
      </c>
      <c r="AA424">
        <v>0</v>
      </c>
      <c r="AB424">
        <v>0</v>
      </c>
      <c r="AC424">
        <v>561.32600000000002</v>
      </c>
      <c r="AD424">
        <v>0</v>
      </c>
      <c r="AE424">
        <v>0</v>
      </c>
      <c r="AF424">
        <v>561.32600000000002</v>
      </c>
      <c r="AG424" t="s">
        <v>37</v>
      </c>
    </row>
    <row r="425" spans="1:33" x14ac:dyDescent="0.35">
      <c r="A425">
        <v>423</v>
      </c>
      <c r="B425">
        <v>282914</v>
      </c>
      <c r="C425">
        <v>328014035</v>
      </c>
      <c r="D425" t="s">
        <v>2166</v>
      </c>
      <c r="E425" t="s">
        <v>50</v>
      </c>
      <c r="F425" s="1">
        <v>46248</v>
      </c>
      <c r="G425" t="s">
        <v>255</v>
      </c>
      <c r="H425" t="s">
        <v>2167</v>
      </c>
      <c r="I425" s="1">
        <v>46239</v>
      </c>
      <c r="J425" t="s">
        <v>138</v>
      </c>
      <c r="K425" t="s">
        <v>137</v>
      </c>
      <c r="L425" t="s">
        <v>18</v>
      </c>
      <c r="M425" t="s">
        <v>14</v>
      </c>
      <c r="N425" t="s">
        <v>2176</v>
      </c>
      <c r="O425" t="s">
        <v>1996</v>
      </c>
      <c r="Q425" t="s">
        <v>6</v>
      </c>
      <c r="R425" t="s">
        <v>1096</v>
      </c>
      <c r="S425" t="s">
        <v>2177</v>
      </c>
      <c r="T425" t="s">
        <v>1997</v>
      </c>
      <c r="U425">
        <v>40</v>
      </c>
      <c r="V425">
        <v>20.57</v>
      </c>
      <c r="W425">
        <v>822.8</v>
      </c>
      <c r="X425">
        <v>0</v>
      </c>
      <c r="Y425">
        <v>0</v>
      </c>
      <c r="Z425">
        <v>148.10400000000001</v>
      </c>
      <c r="AA425">
        <v>0</v>
      </c>
      <c r="AB425">
        <v>0</v>
      </c>
      <c r="AC425">
        <v>970.904</v>
      </c>
      <c r="AD425">
        <v>0</v>
      </c>
      <c r="AE425">
        <v>0</v>
      </c>
      <c r="AF425">
        <v>970.904</v>
      </c>
      <c r="AG425" t="s">
        <v>37</v>
      </c>
    </row>
    <row r="426" spans="1:33" x14ac:dyDescent="0.35">
      <c r="A426">
        <v>424</v>
      </c>
      <c r="B426">
        <v>282914</v>
      </c>
      <c r="C426">
        <v>328014035</v>
      </c>
      <c r="D426" t="s">
        <v>2166</v>
      </c>
      <c r="E426" t="s">
        <v>50</v>
      </c>
      <c r="F426" s="1">
        <v>46248</v>
      </c>
      <c r="G426" t="s">
        <v>255</v>
      </c>
      <c r="H426" t="s">
        <v>2167</v>
      </c>
      <c r="I426" s="1">
        <v>46239</v>
      </c>
      <c r="J426" t="s">
        <v>138</v>
      </c>
      <c r="K426" t="s">
        <v>137</v>
      </c>
      <c r="L426" t="s">
        <v>18</v>
      </c>
      <c r="M426" t="s">
        <v>14</v>
      </c>
      <c r="N426" t="s">
        <v>2178</v>
      </c>
      <c r="O426" t="s">
        <v>1996</v>
      </c>
      <c r="Q426" t="s">
        <v>6</v>
      </c>
      <c r="R426" t="s">
        <v>1096</v>
      </c>
      <c r="S426" t="s">
        <v>2179</v>
      </c>
      <c r="T426" t="s">
        <v>1997</v>
      </c>
      <c r="U426">
        <v>10</v>
      </c>
      <c r="V426">
        <v>57.07</v>
      </c>
      <c r="W426">
        <v>570.70000000000005</v>
      </c>
      <c r="X426">
        <v>0</v>
      </c>
      <c r="Y426">
        <v>0</v>
      </c>
      <c r="Z426">
        <v>102.726</v>
      </c>
      <c r="AA426">
        <v>0</v>
      </c>
      <c r="AB426">
        <v>0</v>
      </c>
      <c r="AC426">
        <v>673.42600000000004</v>
      </c>
      <c r="AD426">
        <v>0</v>
      </c>
      <c r="AE426">
        <v>0</v>
      </c>
      <c r="AF426">
        <v>673.42600000000004</v>
      </c>
      <c r="AG426" t="s">
        <v>37</v>
      </c>
    </row>
    <row r="427" spans="1:33" x14ac:dyDescent="0.35">
      <c r="A427">
        <v>425</v>
      </c>
      <c r="B427">
        <v>282919</v>
      </c>
      <c r="C427">
        <v>328014039</v>
      </c>
      <c r="D427" t="s">
        <v>2180</v>
      </c>
      <c r="E427" t="s">
        <v>50</v>
      </c>
      <c r="F427" s="1">
        <v>46248</v>
      </c>
      <c r="G427" t="s">
        <v>2181</v>
      </c>
      <c r="H427">
        <v>240</v>
      </c>
      <c r="I427" s="1">
        <v>46239</v>
      </c>
      <c r="J427" t="s">
        <v>138</v>
      </c>
      <c r="K427" t="s">
        <v>1279</v>
      </c>
      <c r="L427" t="s">
        <v>12</v>
      </c>
      <c r="M427" t="s">
        <v>21</v>
      </c>
      <c r="N427" t="s">
        <v>2182</v>
      </c>
      <c r="O427" t="s">
        <v>1996</v>
      </c>
      <c r="Q427" t="s">
        <v>6</v>
      </c>
      <c r="R427" t="s">
        <v>765</v>
      </c>
      <c r="S427" t="s">
        <v>2183</v>
      </c>
      <c r="T427" t="s">
        <v>1997</v>
      </c>
      <c r="U427">
        <v>2</v>
      </c>
      <c r="V427">
        <v>241.92</v>
      </c>
      <c r="W427">
        <v>483.84</v>
      </c>
      <c r="X427">
        <v>0</v>
      </c>
      <c r="Y427">
        <v>0</v>
      </c>
      <c r="Z427">
        <v>87.091200000000001</v>
      </c>
      <c r="AA427">
        <v>0</v>
      </c>
      <c r="AB427">
        <v>0</v>
      </c>
      <c r="AC427">
        <v>570.93119999999999</v>
      </c>
      <c r="AD427">
        <v>0</v>
      </c>
      <c r="AE427">
        <v>0</v>
      </c>
      <c r="AF427">
        <v>570.93119999999999</v>
      </c>
      <c r="AG427" t="s">
        <v>37</v>
      </c>
    </row>
    <row r="428" spans="1:33" x14ac:dyDescent="0.35">
      <c r="A428">
        <v>426</v>
      </c>
      <c r="B428">
        <v>282921</v>
      </c>
      <c r="C428">
        <v>328014040</v>
      </c>
      <c r="D428" t="s">
        <v>2184</v>
      </c>
      <c r="E428" t="s">
        <v>50</v>
      </c>
      <c r="F428" s="1">
        <v>46248</v>
      </c>
      <c r="G428" t="s">
        <v>2185</v>
      </c>
      <c r="H428" t="s">
        <v>2186</v>
      </c>
      <c r="I428" s="1">
        <v>46240</v>
      </c>
      <c r="J428" t="s">
        <v>138</v>
      </c>
      <c r="K428" t="s">
        <v>137</v>
      </c>
      <c r="L428" t="s">
        <v>15</v>
      </c>
      <c r="M428" t="s">
        <v>14</v>
      </c>
      <c r="N428" t="s">
        <v>2187</v>
      </c>
      <c r="O428" t="s">
        <v>1938</v>
      </c>
      <c r="Q428" t="s">
        <v>6</v>
      </c>
      <c r="R428" t="s">
        <v>702</v>
      </c>
      <c r="S428" t="s">
        <v>2188</v>
      </c>
      <c r="T428" t="s">
        <v>1995</v>
      </c>
      <c r="U428">
        <v>30</v>
      </c>
      <c r="V428">
        <v>18.57</v>
      </c>
      <c r="W428">
        <v>557.1</v>
      </c>
      <c r="X428">
        <v>0</v>
      </c>
      <c r="Y428">
        <v>0</v>
      </c>
      <c r="Z428">
        <v>100.27800000000001</v>
      </c>
      <c r="AA428">
        <v>0</v>
      </c>
      <c r="AB428">
        <v>0</v>
      </c>
      <c r="AC428">
        <v>657.37800000000004</v>
      </c>
      <c r="AD428">
        <v>0</v>
      </c>
      <c r="AE428">
        <v>0</v>
      </c>
      <c r="AF428">
        <v>657.37800000000004</v>
      </c>
      <c r="AG428" t="s">
        <v>37</v>
      </c>
    </row>
    <row r="429" spans="1:33" x14ac:dyDescent="0.35">
      <c r="A429">
        <v>427</v>
      </c>
      <c r="B429">
        <v>282921</v>
      </c>
      <c r="C429">
        <v>328014040</v>
      </c>
      <c r="D429" t="s">
        <v>2184</v>
      </c>
      <c r="E429" t="s">
        <v>50</v>
      </c>
      <c r="F429" s="1">
        <v>46248</v>
      </c>
      <c r="G429" t="s">
        <v>2185</v>
      </c>
      <c r="H429" t="s">
        <v>2186</v>
      </c>
      <c r="I429" s="1">
        <v>46240</v>
      </c>
      <c r="J429" t="s">
        <v>138</v>
      </c>
      <c r="K429" t="s">
        <v>137</v>
      </c>
      <c r="L429" t="s">
        <v>15</v>
      </c>
      <c r="M429" t="s">
        <v>14</v>
      </c>
      <c r="N429" t="s">
        <v>2189</v>
      </c>
      <c r="O429" t="s">
        <v>1932</v>
      </c>
      <c r="Q429" t="s">
        <v>6</v>
      </c>
      <c r="R429" t="s">
        <v>93</v>
      </c>
      <c r="S429" t="s">
        <v>2190</v>
      </c>
      <c r="T429" t="s">
        <v>2003</v>
      </c>
      <c r="U429">
        <v>10</v>
      </c>
      <c r="V429">
        <v>59.16</v>
      </c>
      <c r="W429">
        <v>591.6</v>
      </c>
      <c r="X429">
        <v>0</v>
      </c>
      <c r="Y429">
        <v>0</v>
      </c>
      <c r="Z429">
        <v>106.488</v>
      </c>
      <c r="AA429">
        <v>0</v>
      </c>
      <c r="AB429">
        <v>0</v>
      </c>
      <c r="AC429">
        <v>698.08799999999997</v>
      </c>
      <c r="AD429">
        <v>0</v>
      </c>
      <c r="AE429">
        <v>0</v>
      </c>
      <c r="AF429">
        <v>698.08799999999997</v>
      </c>
      <c r="AG429" t="s">
        <v>37</v>
      </c>
    </row>
    <row r="430" spans="1:33" x14ac:dyDescent="0.35">
      <c r="A430">
        <v>428</v>
      </c>
      <c r="B430">
        <v>282921</v>
      </c>
      <c r="C430">
        <v>328014040</v>
      </c>
      <c r="D430" t="s">
        <v>2184</v>
      </c>
      <c r="E430" t="s">
        <v>50</v>
      </c>
      <c r="F430" s="1">
        <v>46248</v>
      </c>
      <c r="G430" t="s">
        <v>2185</v>
      </c>
      <c r="H430" t="s">
        <v>2186</v>
      </c>
      <c r="I430" s="1">
        <v>46240</v>
      </c>
      <c r="J430" t="s">
        <v>138</v>
      </c>
      <c r="K430" t="s">
        <v>137</v>
      </c>
      <c r="L430" t="s">
        <v>15</v>
      </c>
      <c r="M430" t="s">
        <v>14</v>
      </c>
      <c r="N430" t="s">
        <v>2191</v>
      </c>
      <c r="O430" t="s">
        <v>1938</v>
      </c>
      <c r="Q430" t="s">
        <v>6</v>
      </c>
      <c r="R430" t="s">
        <v>40</v>
      </c>
      <c r="S430" t="s">
        <v>2192</v>
      </c>
      <c r="T430" t="s">
        <v>1995</v>
      </c>
      <c r="U430">
        <v>15</v>
      </c>
      <c r="V430">
        <v>5.82</v>
      </c>
      <c r="W430">
        <v>87.3</v>
      </c>
      <c r="X430">
        <v>0</v>
      </c>
      <c r="Y430">
        <v>0</v>
      </c>
      <c r="Z430">
        <v>15.714</v>
      </c>
      <c r="AA430">
        <v>0</v>
      </c>
      <c r="AB430">
        <v>0</v>
      </c>
      <c r="AC430">
        <v>103.014</v>
      </c>
      <c r="AD430">
        <v>0</v>
      </c>
      <c r="AE430">
        <v>0</v>
      </c>
      <c r="AF430">
        <v>103.014</v>
      </c>
      <c r="AG430" t="s">
        <v>37</v>
      </c>
    </row>
    <row r="431" spans="1:33" x14ac:dyDescent="0.35">
      <c r="A431">
        <v>429</v>
      </c>
      <c r="B431">
        <v>282921</v>
      </c>
      <c r="C431">
        <v>328014040</v>
      </c>
      <c r="D431" t="s">
        <v>2184</v>
      </c>
      <c r="E431" t="s">
        <v>50</v>
      </c>
      <c r="F431" s="1">
        <v>46248</v>
      </c>
      <c r="G431" t="s">
        <v>2185</v>
      </c>
      <c r="H431" t="s">
        <v>2186</v>
      </c>
      <c r="I431" s="1">
        <v>46240</v>
      </c>
      <c r="J431" t="s">
        <v>138</v>
      </c>
      <c r="K431" t="s">
        <v>137</v>
      </c>
      <c r="L431" t="s">
        <v>15</v>
      </c>
      <c r="M431" t="s">
        <v>14</v>
      </c>
      <c r="N431" t="s">
        <v>2193</v>
      </c>
      <c r="O431" t="s">
        <v>1936</v>
      </c>
      <c r="Q431" t="s">
        <v>6</v>
      </c>
      <c r="R431" t="s">
        <v>42</v>
      </c>
      <c r="S431" t="s">
        <v>2194</v>
      </c>
      <c r="T431" t="s">
        <v>416</v>
      </c>
      <c r="U431">
        <v>10</v>
      </c>
      <c r="V431">
        <v>41.82</v>
      </c>
      <c r="W431">
        <v>418.2</v>
      </c>
      <c r="X431">
        <v>0</v>
      </c>
      <c r="Y431">
        <v>0</v>
      </c>
      <c r="Z431">
        <v>75.275999999999996</v>
      </c>
      <c r="AA431">
        <v>0</v>
      </c>
      <c r="AB431">
        <v>0</v>
      </c>
      <c r="AC431">
        <v>493.476</v>
      </c>
      <c r="AD431">
        <v>0</v>
      </c>
      <c r="AE431">
        <v>0</v>
      </c>
      <c r="AF431">
        <v>493.476</v>
      </c>
      <c r="AG431" t="s">
        <v>37</v>
      </c>
    </row>
    <row r="432" spans="1:33" x14ac:dyDescent="0.35">
      <c r="A432">
        <v>430</v>
      </c>
      <c r="B432">
        <v>282921</v>
      </c>
      <c r="C432">
        <v>328014040</v>
      </c>
      <c r="D432" t="s">
        <v>2184</v>
      </c>
      <c r="E432" t="s">
        <v>50</v>
      </c>
      <c r="F432" s="1">
        <v>46248</v>
      </c>
      <c r="G432" t="s">
        <v>2185</v>
      </c>
      <c r="H432" t="s">
        <v>2186</v>
      </c>
      <c r="I432" s="1">
        <v>46240</v>
      </c>
      <c r="J432" t="s">
        <v>138</v>
      </c>
      <c r="K432" t="s">
        <v>137</v>
      </c>
      <c r="L432" t="s">
        <v>15</v>
      </c>
      <c r="M432" t="s">
        <v>14</v>
      </c>
      <c r="N432" t="s">
        <v>2195</v>
      </c>
      <c r="O432" t="s">
        <v>1941</v>
      </c>
      <c r="Q432" t="s">
        <v>6</v>
      </c>
      <c r="R432" t="s">
        <v>44</v>
      </c>
      <c r="S432" t="s">
        <v>2196</v>
      </c>
      <c r="T432" t="s">
        <v>2003</v>
      </c>
      <c r="U432">
        <v>20</v>
      </c>
      <c r="V432">
        <v>85.57</v>
      </c>
      <c r="W432" s="2">
        <v>1711.4</v>
      </c>
      <c r="X432">
        <v>0</v>
      </c>
      <c r="Y432">
        <v>0</v>
      </c>
      <c r="Z432">
        <v>308.05200000000002</v>
      </c>
      <c r="AA432">
        <v>0</v>
      </c>
      <c r="AB432">
        <v>0</v>
      </c>
      <c r="AC432" s="2">
        <v>2019.452</v>
      </c>
      <c r="AD432">
        <v>0</v>
      </c>
      <c r="AE432">
        <v>0</v>
      </c>
      <c r="AF432" s="2">
        <v>2019.452</v>
      </c>
      <c r="AG432" t="s">
        <v>37</v>
      </c>
    </row>
    <row r="433" spans="1:33" x14ac:dyDescent="0.35">
      <c r="A433">
        <v>431</v>
      </c>
      <c r="B433">
        <v>282929</v>
      </c>
      <c r="C433">
        <v>328014047</v>
      </c>
      <c r="D433" t="s">
        <v>2197</v>
      </c>
      <c r="E433" t="s">
        <v>50</v>
      </c>
      <c r="F433" s="1">
        <v>46248</v>
      </c>
      <c r="G433" t="s">
        <v>2198</v>
      </c>
      <c r="H433" t="s">
        <v>2199</v>
      </c>
      <c r="I433" s="1">
        <v>46219</v>
      </c>
      <c r="J433" t="s">
        <v>138</v>
      </c>
      <c r="K433" t="s">
        <v>137</v>
      </c>
      <c r="L433" t="s">
        <v>15</v>
      </c>
      <c r="M433" t="s">
        <v>23</v>
      </c>
      <c r="N433" t="s">
        <v>2200</v>
      </c>
      <c r="O433" t="s">
        <v>1991</v>
      </c>
      <c r="P433" t="s">
        <v>2201</v>
      </c>
      <c r="Q433" t="s">
        <v>6</v>
      </c>
      <c r="R433" t="s">
        <v>2202</v>
      </c>
      <c r="S433" t="s">
        <v>2203</v>
      </c>
      <c r="T433" t="s">
        <v>2031</v>
      </c>
      <c r="U433">
        <v>172</v>
      </c>
      <c r="V433">
        <v>364.99</v>
      </c>
      <c r="W433" s="2">
        <v>62778.28</v>
      </c>
      <c r="X433">
        <v>0</v>
      </c>
      <c r="Y433">
        <v>0</v>
      </c>
      <c r="Z433" s="2">
        <v>11300.090399999999</v>
      </c>
      <c r="AA433">
        <v>0</v>
      </c>
      <c r="AB433">
        <v>0</v>
      </c>
      <c r="AC433" s="2">
        <v>74078.3704</v>
      </c>
      <c r="AD433">
        <v>0</v>
      </c>
      <c r="AE433">
        <v>0</v>
      </c>
      <c r="AF433" s="2">
        <v>74078.3704</v>
      </c>
      <c r="AG433" t="s">
        <v>37</v>
      </c>
    </row>
    <row r="434" spans="1:33" x14ac:dyDescent="0.35">
      <c r="A434">
        <v>432</v>
      </c>
      <c r="B434">
        <v>282929</v>
      </c>
      <c r="C434">
        <v>328014047</v>
      </c>
      <c r="D434" t="s">
        <v>2197</v>
      </c>
      <c r="E434" t="s">
        <v>50</v>
      </c>
      <c r="F434" s="1">
        <v>46248</v>
      </c>
      <c r="G434" t="s">
        <v>2198</v>
      </c>
      <c r="H434" t="s">
        <v>2199</v>
      </c>
      <c r="I434" s="1">
        <v>46219</v>
      </c>
      <c r="J434" t="s">
        <v>138</v>
      </c>
      <c r="K434" t="s">
        <v>137</v>
      </c>
      <c r="L434" t="s">
        <v>15</v>
      </c>
      <c r="M434" t="s">
        <v>23</v>
      </c>
      <c r="N434" t="s">
        <v>2204</v>
      </c>
      <c r="O434" t="s">
        <v>1949</v>
      </c>
      <c r="Q434" t="s">
        <v>6</v>
      </c>
      <c r="R434" t="s">
        <v>886</v>
      </c>
      <c r="S434" t="s">
        <v>2205</v>
      </c>
      <c r="T434" t="s">
        <v>1995</v>
      </c>
      <c r="U434" s="2">
        <v>1000</v>
      </c>
      <c r="V434">
        <v>7.52</v>
      </c>
      <c r="W434" s="2">
        <v>7520</v>
      </c>
      <c r="X434">
        <v>0</v>
      </c>
      <c r="Y434">
        <v>0</v>
      </c>
      <c r="Z434" s="2">
        <v>1353.6</v>
      </c>
      <c r="AA434">
        <v>0</v>
      </c>
      <c r="AB434">
        <v>0</v>
      </c>
      <c r="AC434" s="2">
        <v>8873.6</v>
      </c>
      <c r="AD434">
        <v>0</v>
      </c>
      <c r="AE434">
        <v>0</v>
      </c>
      <c r="AF434" s="2">
        <v>8873.6</v>
      </c>
      <c r="AG434" t="s">
        <v>37</v>
      </c>
    </row>
    <row r="435" spans="1:33" x14ac:dyDescent="0.35">
      <c r="A435">
        <v>433</v>
      </c>
      <c r="B435">
        <v>282929</v>
      </c>
      <c r="C435">
        <v>328014047</v>
      </c>
      <c r="D435" t="s">
        <v>2197</v>
      </c>
      <c r="E435" t="s">
        <v>50</v>
      </c>
      <c r="F435" s="1">
        <v>46248</v>
      </c>
      <c r="G435" t="s">
        <v>2198</v>
      </c>
      <c r="H435" t="s">
        <v>2199</v>
      </c>
      <c r="I435" s="1">
        <v>46219</v>
      </c>
      <c r="J435" t="s">
        <v>138</v>
      </c>
      <c r="K435" t="s">
        <v>137</v>
      </c>
      <c r="L435" t="s">
        <v>15</v>
      </c>
      <c r="M435" t="s">
        <v>23</v>
      </c>
      <c r="N435" t="s">
        <v>2206</v>
      </c>
      <c r="O435" t="s">
        <v>1932</v>
      </c>
      <c r="P435" t="s">
        <v>2207</v>
      </c>
      <c r="Q435" t="s">
        <v>6</v>
      </c>
      <c r="R435" t="s">
        <v>43</v>
      </c>
      <c r="S435" t="s">
        <v>2208</v>
      </c>
      <c r="T435" t="s">
        <v>2001</v>
      </c>
      <c r="U435" s="2">
        <v>1000</v>
      </c>
      <c r="V435">
        <v>11.74</v>
      </c>
      <c r="W435" s="2">
        <v>11740</v>
      </c>
      <c r="X435">
        <v>0</v>
      </c>
      <c r="Y435">
        <v>0</v>
      </c>
      <c r="Z435" s="2">
        <v>2113.1999999999998</v>
      </c>
      <c r="AA435">
        <v>0</v>
      </c>
      <c r="AB435">
        <v>0</v>
      </c>
      <c r="AC435" s="2">
        <v>13853.2</v>
      </c>
      <c r="AD435">
        <v>0</v>
      </c>
      <c r="AE435">
        <v>0</v>
      </c>
      <c r="AF435" s="2">
        <v>13853.2</v>
      </c>
      <c r="AG435" t="s">
        <v>37</v>
      </c>
    </row>
    <row r="436" spans="1:33" x14ac:dyDescent="0.35">
      <c r="A436">
        <v>434</v>
      </c>
      <c r="B436">
        <v>282929</v>
      </c>
      <c r="C436">
        <v>328014047</v>
      </c>
      <c r="D436" t="s">
        <v>2197</v>
      </c>
      <c r="E436" t="s">
        <v>50</v>
      </c>
      <c r="F436" s="1">
        <v>46248</v>
      </c>
      <c r="G436" t="s">
        <v>2198</v>
      </c>
      <c r="H436" t="s">
        <v>2199</v>
      </c>
      <c r="I436" s="1">
        <v>46219</v>
      </c>
      <c r="J436" t="s">
        <v>138</v>
      </c>
      <c r="K436" t="s">
        <v>137</v>
      </c>
      <c r="L436" t="s">
        <v>15</v>
      </c>
      <c r="M436" t="s">
        <v>23</v>
      </c>
      <c r="N436" t="s">
        <v>2209</v>
      </c>
      <c r="O436" t="s">
        <v>1935</v>
      </c>
      <c r="P436" t="s">
        <v>2210</v>
      </c>
      <c r="Q436" t="s">
        <v>6</v>
      </c>
      <c r="R436" t="s">
        <v>1216</v>
      </c>
      <c r="S436" t="s">
        <v>2211</v>
      </c>
      <c r="T436" t="s">
        <v>1995</v>
      </c>
      <c r="U436" s="2">
        <v>2000</v>
      </c>
      <c r="V436">
        <v>19.670000000000002</v>
      </c>
      <c r="W436" s="2">
        <v>39340</v>
      </c>
      <c r="X436">
        <v>0</v>
      </c>
      <c r="Y436">
        <v>0</v>
      </c>
      <c r="Z436" s="2">
        <v>7081.2</v>
      </c>
      <c r="AA436">
        <v>0</v>
      </c>
      <c r="AB436">
        <v>0</v>
      </c>
      <c r="AC436" s="2">
        <v>46421.2</v>
      </c>
      <c r="AD436">
        <v>0</v>
      </c>
      <c r="AE436">
        <v>0</v>
      </c>
      <c r="AF436" s="2">
        <v>46421.2</v>
      </c>
      <c r="AG436" t="s">
        <v>37</v>
      </c>
    </row>
    <row r="437" spans="1:33" x14ac:dyDescent="0.35">
      <c r="A437">
        <v>435</v>
      </c>
      <c r="B437">
        <v>282929</v>
      </c>
      <c r="C437">
        <v>328014047</v>
      </c>
      <c r="D437" t="s">
        <v>2197</v>
      </c>
      <c r="E437" t="s">
        <v>50</v>
      </c>
      <c r="F437" s="1">
        <v>46248</v>
      </c>
      <c r="G437" t="s">
        <v>2198</v>
      </c>
      <c r="H437" t="s">
        <v>2199</v>
      </c>
      <c r="I437" s="1">
        <v>46219</v>
      </c>
      <c r="J437" t="s">
        <v>138</v>
      </c>
      <c r="K437" t="s">
        <v>137</v>
      </c>
      <c r="L437" t="s">
        <v>15</v>
      </c>
      <c r="M437" t="s">
        <v>23</v>
      </c>
      <c r="N437" t="s">
        <v>2212</v>
      </c>
      <c r="O437" t="s">
        <v>2213</v>
      </c>
      <c r="P437" t="s">
        <v>2214</v>
      </c>
      <c r="Q437" t="s">
        <v>6</v>
      </c>
      <c r="R437" t="s">
        <v>2215</v>
      </c>
      <c r="S437" t="s">
        <v>2212</v>
      </c>
      <c r="T437" t="s">
        <v>416</v>
      </c>
      <c r="U437">
        <v>650</v>
      </c>
      <c r="V437">
        <v>138.99</v>
      </c>
      <c r="W437" s="2">
        <v>90343.5</v>
      </c>
      <c r="X437">
        <v>0</v>
      </c>
      <c r="Y437">
        <v>0</v>
      </c>
      <c r="Z437" s="2">
        <v>16261.83</v>
      </c>
      <c r="AA437">
        <v>0</v>
      </c>
      <c r="AB437">
        <v>0</v>
      </c>
      <c r="AC437" s="2">
        <v>106605.33</v>
      </c>
      <c r="AD437">
        <v>0</v>
      </c>
      <c r="AE437">
        <v>0</v>
      </c>
      <c r="AF437" s="2">
        <v>106605.33</v>
      </c>
      <c r="AG437" t="s">
        <v>37</v>
      </c>
    </row>
    <row r="438" spans="1:33" x14ac:dyDescent="0.35">
      <c r="A438">
        <v>436</v>
      </c>
      <c r="B438">
        <v>282929</v>
      </c>
      <c r="C438">
        <v>328014047</v>
      </c>
      <c r="D438" t="s">
        <v>2197</v>
      </c>
      <c r="E438" t="s">
        <v>50</v>
      </c>
      <c r="F438" s="1">
        <v>46248</v>
      </c>
      <c r="G438" t="s">
        <v>2198</v>
      </c>
      <c r="H438" t="s">
        <v>2199</v>
      </c>
      <c r="I438" s="1">
        <v>46219</v>
      </c>
      <c r="J438" t="s">
        <v>138</v>
      </c>
      <c r="K438" t="s">
        <v>137</v>
      </c>
      <c r="L438" t="s">
        <v>15</v>
      </c>
      <c r="M438" t="s">
        <v>23</v>
      </c>
      <c r="N438" t="s">
        <v>2216</v>
      </c>
      <c r="O438" t="s">
        <v>1932</v>
      </c>
      <c r="P438" t="s">
        <v>2217</v>
      </c>
      <c r="Q438" t="s">
        <v>6</v>
      </c>
      <c r="R438" t="s">
        <v>879</v>
      </c>
      <c r="S438" t="s">
        <v>2218</v>
      </c>
      <c r="T438" t="s">
        <v>2003</v>
      </c>
      <c r="U438" s="2">
        <v>1000</v>
      </c>
      <c r="V438">
        <v>16.79</v>
      </c>
      <c r="W438" s="2">
        <v>16790</v>
      </c>
      <c r="X438">
        <v>0</v>
      </c>
      <c r="Y438">
        <v>0</v>
      </c>
      <c r="Z438" s="2">
        <v>3022.2</v>
      </c>
      <c r="AA438">
        <v>0</v>
      </c>
      <c r="AB438">
        <v>0</v>
      </c>
      <c r="AC438" s="2">
        <v>19812.2</v>
      </c>
      <c r="AD438">
        <v>0</v>
      </c>
      <c r="AE438">
        <v>0</v>
      </c>
      <c r="AF438" s="2">
        <v>19812.2</v>
      </c>
      <c r="AG438" t="s">
        <v>37</v>
      </c>
    </row>
    <row r="439" spans="1:33" x14ac:dyDescent="0.35">
      <c r="A439">
        <v>437</v>
      </c>
      <c r="B439">
        <v>282929</v>
      </c>
      <c r="C439">
        <v>328014047</v>
      </c>
      <c r="D439" t="s">
        <v>2197</v>
      </c>
      <c r="E439" t="s">
        <v>50</v>
      </c>
      <c r="F439" s="1">
        <v>46248</v>
      </c>
      <c r="G439" t="s">
        <v>2198</v>
      </c>
      <c r="H439" t="s">
        <v>2199</v>
      </c>
      <c r="I439" s="1">
        <v>46219</v>
      </c>
      <c r="J439" t="s">
        <v>138</v>
      </c>
      <c r="K439" t="s">
        <v>137</v>
      </c>
      <c r="L439" t="s">
        <v>15</v>
      </c>
      <c r="M439" t="s">
        <v>23</v>
      </c>
      <c r="N439" t="s">
        <v>2219</v>
      </c>
      <c r="O439" t="s">
        <v>1938</v>
      </c>
      <c r="P439" t="s">
        <v>2220</v>
      </c>
      <c r="Q439" t="s">
        <v>6</v>
      </c>
      <c r="R439" t="s">
        <v>2221</v>
      </c>
      <c r="S439" t="s">
        <v>2222</v>
      </c>
      <c r="T439" t="s">
        <v>1995</v>
      </c>
      <c r="U439" s="2">
        <v>2000</v>
      </c>
      <c r="V439">
        <v>10.71</v>
      </c>
      <c r="W439" s="2">
        <v>21420</v>
      </c>
      <c r="X439">
        <v>0</v>
      </c>
      <c r="Y439">
        <v>0</v>
      </c>
      <c r="Z439" s="2">
        <v>3855.6</v>
      </c>
      <c r="AA439">
        <v>0</v>
      </c>
      <c r="AB439">
        <v>0</v>
      </c>
      <c r="AC439" s="2">
        <v>25275.599999999999</v>
      </c>
      <c r="AD439">
        <v>0</v>
      </c>
      <c r="AE439">
        <v>0</v>
      </c>
      <c r="AF439" s="2">
        <v>25275.599999999999</v>
      </c>
      <c r="AG439" t="s">
        <v>37</v>
      </c>
    </row>
    <row r="440" spans="1:33" x14ac:dyDescent="0.35">
      <c r="A440">
        <v>438</v>
      </c>
      <c r="B440">
        <v>282929</v>
      </c>
      <c r="C440">
        <v>328014047</v>
      </c>
      <c r="D440" t="s">
        <v>2197</v>
      </c>
      <c r="E440" t="s">
        <v>50</v>
      </c>
      <c r="F440" s="1">
        <v>46248</v>
      </c>
      <c r="G440" t="s">
        <v>2198</v>
      </c>
      <c r="H440" t="s">
        <v>2199</v>
      </c>
      <c r="I440" s="1">
        <v>46219</v>
      </c>
      <c r="J440" t="s">
        <v>138</v>
      </c>
      <c r="K440" t="s">
        <v>137</v>
      </c>
      <c r="L440" t="s">
        <v>15</v>
      </c>
      <c r="M440" t="s">
        <v>23</v>
      </c>
      <c r="N440" t="s">
        <v>2223</v>
      </c>
      <c r="O440" t="s">
        <v>1932</v>
      </c>
      <c r="P440" t="s">
        <v>2224</v>
      </c>
      <c r="Q440" t="s">
        <v>6</v>
      </c>
      <c r="R440" t="s">
        <v>76</v>
      </c>
      <c r="S440" t="s">
        <v>2225</v>
      </c>
      <c r="T440" t="s">
        <v>2001</v>
      </c>
      <c r="U440" s="2">
        <v>5000</v>
      </c>
      <c r="V440">
        <v>2.99</v>
      </c>
      <c r="W440" s="2">
        <v>14950</v>
      </c>
      <c r="X440">
        <v>0</v>
      </c>
      <c r="Y440">
        <v>0</v>
      </c>
      <c r="Z440" s="2">
        <v>2691</v>
      </c>
      <c r="AA440">
        <v>0</v>
      </c>
      <c r="AB440">
        <v>0</v>
      </c>
      <c r="AC440" s="2">
        <v>17641</v>
      </c>
      <c r="AD440">
        <v>0</v>
      </c>
      <c r="AE440">
        <v>0</v>
      </c>
      <c r="AF440" s="2">
        <v>17641</v>
      </c>
      <c r="AG440" t="s">
        <v>37</v>
      </c>
    </row>
    <row r="441" spans="1:33" x14ac:dyDescent="0.35">
      <c r="A441">
        <v>439</v>
      </c>
      <c r="B441">
        <v>282929</v>
      </c>
      <c r="C441">
        <v>328014047</v>
      </c>
      <c r="D441" t="s">
        <v>2197</v>
      </c>
      <c r="E441" t="s">
        <v>50</v>
      </c>
      <c r="F441" s="1">
        <v>46248</v>
      </c>
      <c r="G441" t="s">
        <v>2198</v>
      </c>
      <c r="H441" t="s">
        <v>2199</v>
      </c>
      <c r="I441" s="1">
        <v>46219</v>
      </c>
      <c r="J441" t="s">
        <v>138</v>
      </c>
      <c r="K441" t="s">
        <v>137</v>
      </c>
      <c r="L441" t="s">
        <v>15</v>
      </c>
      <c r="M441" t="s">
        <v>23</v>
      </c>
      <c r="N441" t="s">
        <v>2226</v>
      </c>
      <c r="O441" t="s">
        <v>1937</v>
      </c>
      <c r="P441" t="s">
        <v>2227</v>
      </c>
      <c r="Q441" t="s">
        <v>6</v>
      </c>
      <c r="R441" t="s">
        <v>76</v>
      </c>
      <c r="S441" t="s">
        <v>2228</v>
      </c>
      <c r="T441" t="s">
        <v>2001</v>
      </c>
      <c r="U441" s="2">
        <v>5000</v>
      </c>
      <c r="V441">
        <v>3.4</v>
      </c>
      <c r="W441" s="2">
        <v>17000</v>
      </c>
      <c r="X441">
        <v>0</v>
      </c>
      <c r="Y441">
        <v>0</v>
      </c>
      <c r="Z441" s="2">
        <v>3060</v>
      </c>
      <c r="AA441">
        <v>0</v>
      </c>
      <c r="AB441">
        <v>0</v>
      </c>
      <c r="AC441" s="2">
        <v>20060</v>
      </c>
      <c r="AD441">
        <v>0</v>
      </c>
      <c r="AE441">
        <v>0</v>
      </c>
      <c r="AF441" s="2">
        <v>20060</v>
      </c>
      <c r="AG441" t="s">
        <v>37</v>
      </c>
    </row>
    <row r="442" spans="1:33" x14ac:dyDescent="0.35">
      <c r="A442">
        <v>440</v>
      </c>
      <c r="B442">
        <v>282929</v>
      </c>
      <c r="C442">
        <v>328014047</v>
      </c>
      <c r="D442" t="s">
        <v>2197</v>
      </c>
      <c r="E442" t="s">
        <v>50</v>
      </c>
      <c r="F442" s="1">
        <v>46248</v>
      </c>
      <c r="G442" t="s">
        <v>2198</v>
      </c>
      <c r="H442" t="s">
        <v>2199</v>
      </c>
      <c r="I442" s="1">
        <v>46219</v>
      </c>
      <c r="J442" t="s">
        <v>138</v>
      </c>
      <c r="K442" t="s">
        <v>137</v>
      </c>
      <c r="L442" t="s">
        <v>15</v>
      </c>
      <c r="M442" t="s">
        <v>23</v>
      </c>
      <c r="N442" t="s">
        <v>2229</v>
      </c>
      <c r="O442" t="s">
        <v>1938</v>
      </c>
      <c r="P442" t="s">
        <v>2230</v>
      </c>
      <c r="Q442" t="s">
        <v>6</v>
      </c>
      <c r="R442" t="s">
        <v>40</v>
      </c>
      <c r="S442" t="s">
        <v>2231</v>
      </c>
      <c r="T442" t="s">
        <v>1995</v>
      </c>
      <c r="U442" s="2">
        <v>2000</v>
      </c>
      <c r="V442">
        <v>1.85</v>
      </c>
      <c r="W442" s="2">
        <v>3700</v>
      </c>
      <c r="X442">
        <v>0</v>
      </c>
      <c r="Y442">
        <v>0</v>
      </c>
      <c r="Z442">
        <v>666</v>
      </c>
      <c r="AA442">
        <v>0</v>
      </c>
      <c r="AB442">
        <v>0</v>
      </c>
      <c r="AC442" s="2">
        <v>4366</v>
      </c>
      <c r="AD442">
        <v>0</v>
      </c>
      <c r="AE442">
        <v>0</v>
      </c>
      <c r="AF442" s="2">
        <v>4366</v>
      </c>
      <c r="AG442" t="s">
        <v>37</v>
      </c>
    </row>
    <row r="443" spans="1:33" x14ac:dyDescent="0.35">
      <c r="A443">
        <v>441</v>
      </c>
      <c r="B443">
        <v>282929</v>
      </c>
      <c r="C443">
        <v>328014047</v>
      </c>
      <c r="D443" t="s">
        <v>2197</v>
      </c>
      <c r="E443" t="s">
        <v>50</v>
      </c>
      <c r="F443" s="1">
        <v>46248</v>
      </c>
      <c r="G443" t="s">
        <v>2198</v>
      </c>
      <c r="H443" t="s">
        <v>2199</v>
      </c>
      <c r="I443" s="1">
        <v>46219</v>
      </c>
      <c r="J443" t="s">
        <v>138</v>
      </c>
      <c r="K443" t="s">
        <v>137</v>
      </c>
      <c r="L443" t="s">
        <v>15</v>
      </c>
      <c r="M443" t="s">
        <v>23</v>
      </c>
      <c r="N443" t="s">
        <v>2232</v>
      </c>
      <c r="O443" t="s">
        <v>1932</v>
      </c>
      <c r="P443" t="s">
        <v>2233</v>
      </c>
      <c r="Q443" t="s">
        <v>6</v>
      </c>
      <c r="R443" t="s">
        <v>753</v>
      </c>
      <c r="S443" t="s">
        <v>2234</v>
      </c>
      <c r="T443" t="s">
        <v>2003</v>
      </c>
      <c r="U443">
        <v>500</v>
      </c>
      <c r="V443">
        <v>20.5</v>
      </c>
      <c r="W443" s="2">
        <v>10250</v>
      </c>
      <c r="X443">
        <v>0</v>
      </c>
      <c r="Y443">
        <v>0</v>
      </c>
      <c r="Z443" s="2">
        <v>1845</v>
      </c>
      <c r="AA443">
        <v>0</v>
      </c>
      <c r="AB443">
        <v>0</v>
      </c>
      <c r="AC443" s="2">
        <v>12095</v>
      </c>
      <c r="AD443">
        <v>0</v>
      </c>
      <c r="AE443">
        <v>0</v>
      </c>
      <c r="AF443" s="2">
        <v>12095</v>
      </c>
      <c r="AG443" t="s">
        <v>37</v>
      </c>
    </row>
    <row r="444" spans="1:33" x14ac:dyDescent="0.35">
      <c r="A444">
        <v>442</v>
      </c>
      <c r="B444">
        <v>282965</v>
      </c>
      <c r="C444">
        <v>328014078</v>
      </c>
      <c r="D444" t="s">
        <v>2235</v>
      </c>
      <c r="E444" t="s">
        <v>50</v>
      </c>
      <c r="F444" s="1">
        <v>46248</v>
      </c>
      <c r="G444" t="s">
        <v>1511</v>
      </c>
      <c r="H444" t="s">
        <v>2236</v>
      </c>
      <c r="I444" s="1">
        <v>46240</v>
      </c>
      <c r="J444" t="s">
        <v>138</v>
      </c>
      <c r="K444" t="s">
        <v>1278</v>
      </c>
      <c r="L444" t="s">
        <v>12</v>
      </c>
      <c r="M444" t="s">
        <v>21</v>
      </c>
      <c r="N444" t="s">
        <v>2237</v>
      </c>
      <c r="O444" t="s">
        <v>1949</v>
      </c>
      <c r="Q444" t="s">
        <v>6</v>
      </c>
      <c r="R444" t="s">
        <v>699</v>
      </c>
      <c r="S444" t="s">
        <v>2238</v>
      </c>
      <c r="T444" t="s">
        <v>1995</v>
      </c>
      <c r="U444">
        <v>200</v>
      </c>
      <c r="V444">
        <v>2.5499999999999998</v>
      </c>
      <c r="W444">
        <v>510</v>
      </c>
      <c r="X444">
        <v>0</v>
      </c>
      <c r="Y444">
        <v>0</v>
      </c>
      <c r="Z444">
        <v>91.8</v>
      </c>
      <c r="AA444">
        <v>0</v>
      </c>
      <c r="AB444">
        <v>0</v>
      </c>
      <c r="AC444">
        <v>601.79999999999995</v>
      </c>
      <c r="AD444">
        <v>0</v>
      </c>
      <c r="AE444">
        <v>0</v>
      </c>
      <c r="AF444">
        <v>601.79999999999995</v>
      </c>
      <c r="AG444" t="s">
        <v>37</v>
      </c>
    </row>
    <row r="445" spans="1:33" x14ac:dyDescent="0.35">
      <c r="A445">
        <v>443</v>
      </c>
      <c r="B445">
        <v>282967</v>
      </c>
      <c r="C445">
        <v>328014080</v>
      </c>
      <c r="D445" t="s">
        <v>2239</v>
      </c>
      <c r="E445" t="s">
        <v>50</v>
      </c>
      <c r="F445" s="1">
        <v>46248</v>
      </c>
      <c r="G445" t="s">
        <v>868</v>
      </c>
      <c r="H445" t="s">
        <v>123</v>
      </c>
      <c r="I445" s="1">
        <v>46238</v>
      </c>
      <c r="J445" t="s">
        <v>138</v>
      </c>
      <c r="K445" t="s">
        <v>1279</v>
      </c>
      <c r="L445" t="s">
        <v>12</v>
      </c>
      <c r="M445" t="s">
        <v>21</v>
      </c>
      <c r="N445" t="s">
        <v>2240</v>
      </c>
      <c r="O445" t="s">
        <v>1936</v>
      </c>
      <c r="Q445" t="s">
        <v>6</v>
      </c>
      <c r="R445" t="s">
        <v>660</v>
      </c>
      <c r="S445" t="s">
        <v>2241</v>
      </c>
      <c r="T445" t="s">
        <v>416</v>
      </c>
      <c r="U445">
        <v>5</v>
      </c>
      <c r="V445">
        <v>198.9</v>
      </c>
      <c r="W445">
        <v>994.5</v>
      </c>
      <c r="X445">
        <v>0</v>
      </c>
      <c r="Y445">
        <v>0</v>
      </c>
      <c r="Z445">
        <v>179.01</v>
      </c>
      <c r="AA445">
        <v>0</v>
      </c>
      <c r="AB445">
        <v>0</v>
      </c>
      <c r="AC445" s="2">
        <v>1173.51</v>
      </c>
      <c r="AD445">
        <v>0</v>
      </c>
      <c r="AE445">
        <v>0</v>
      </c>
      <c r="AF445" s="2">
        <v>1173.51</v>
      </c>
      <c r="AG445" t="s">
        <v>37</v>
      </c>
    </row>
    <row r="446" spans="1:33" x14ac:dyDescent="0.35">
      <c r="A446">
        <v>444</v>
      </c>
      <c r="B446">
        <v>282979</v>
      </c>
      <c r="C446">
        <v>328014090</v>
      </c>
      <c r="D446" t="s">
        <v>2242</v>
      </c>
      <c r="E446" t="s">
        <v>50</v>
      </c>
      <c r="F446" s="1">
        <v>46248</v>
      </c>
      <c r="G446" t="s">
        <v>2243</v>
      </c>
      <c r="H446">
        <v>5310004629</v>
      </c>
      <c r="I446" s="1">
        <v>46233</v>
      </c>
      <c r="J446" t="s">
        <v>138</v>
      </c>
      <c r="K446" t="s">
        <v>137</v>
      </c>
      <c r="L446" t="s">
        <v>11</v>
      </c>
      <c r="M446" t="s">
        <v>23</v>
      </c>
      <c r="N446" t="s">
        <v>2244</v>
      </c>
      <c r="O446" t="s">
        <v>1938</v>
      </c>
      <c r="P446">
        <v>11119754</v>
      </c>
      <c r="Q446" t="s">
        <v>6</v>
      </c>
      <c r="R446" t="s">
        <v>815</v>
      </c>
      <c r="S446" t="s">
        <v>2245</v>
      </c>
      <c r="T446" t="s">
        <v>1995</v>
      </c>
      <c r="U446" s="2">
        <v>10000</v>
      </c>
      <c r="V446">
        <v>8.7799999999999994</v>
      </c>
      <c r="W446" s="2">
        <v>87800</v>
      </c>
      <c r="X446">
        <v>0</v>
      </c>
      <c r="Y446">
        <v>0</v>
      </c>
      <c r="Z446" s="2">
        <v>15804</v>
      </c>
      <c r="AA446">
        <v>0</v>
      </c>
      <c r="AB446">
        <v>0</v>
      </c>
      <c r="AC446" s="2">
        <v>103604</v>
      </c>
      <c r="AD446">
        <v>0</v>
      </c>
      <c r="AE446">
        <v>0</v>
      </c>
      <c r="AF446" s="2">
        <v>103604</v>
      </c>
      <c r="AG446" t="s">
        <v>37</v>
      </c>
    </row>
    <row r="447" spans="1:33" x14ac:dyDescent="0.35">
      <c r="A447">
        <v>445</v>
      </c>
      <c r="B447">
        <v>282988</v>
      </c>
      <c r="C447">
        <v>328014098</v>
      </c>
      <c r="D447" t="s">
        <v>2246</v>
      </c>
      <c r="E447" t="s">
        <v>50</v>
      </c>
      <c r="F447" s="1">
        <v>46248</v>
      </c>
      <c r="G447" t="s">
        <v>77</v>
      </c>
      <c r="H447">
        <v>901853522</v>
      </c>
      <c r="I447" s="1">
        <v>46240</v>
      </c>
      <c r="J447" t="s">
        <v>138</v>
      </c>
      <c r="K447" t="s">
        <v>137</v>
      </c>
      <c r="L447" t="s">
        <v>78</v>
      </c>
      <c r="M447" t="s">
        <v>14</v>
      </c>
      <c r="N447" t="s">
        <v>2247</v>
      </c>
      <c r="O447" t="s">
        <v>1936</v>
      </c>
      <c r="P447" t="s">
        <v>2248</v>
      </c>
      <c r="Q447" t="s">
        <v>6</v>
      </c>
      <c r="R447" t="s">
        <v>670</v>
      </c>
      <c r="S447" t="s">
        <v>2249</v>
      </c>
      <c r="T447" t="s">
        <v>416</v>
      </c>
      <c r="U447">
        <v>76</v>
      </c>
      <c r="V447">
        <v>952.68</v>
      </c>
      <c r="W447" s="2">
        <v>72403.679999999993</v>
      </c>
      <c r="X447">
        <v>0</v>
      </c>
      <c r="Y447">
        <v>0</v>
      </c>
      <c r="Z447" s="2">
        <v>13032.662399999999</v>
      </c>
      <c r="AA447">
        <v>0</v>
      </c>
      <c r="AB447">
        <v>0</v>
      </c>
      <c r="AC447" s="2">
        <v>85436.342399999994</v>
      </c>
      <c r="AD447">
        <v>0</v>
      </c>
      <c r="AE447">
        <v>0</v>
      </c>
      <c r="AF447" s="2">
        <v>85436.342399999994</v>
      </c>
      <c r="AG447" t="s">
        <v>37</v>
      </c>
    </row>
    <row r="448" spans="1:33" x14ac:dyDescent="0.35">
      <c r="A448">
        <v>446</v>
      </c>
      <c r="B448">
        <v>282989</v>
      </c>
      <c r="C448">
        <v>328014099</v>
      </c>
      <c r="D448" t="s">
        <v>2250</v>
      </c>
      <c r="E448" t="s">
        <v>50</v>
      </c>
      <c r="F448" s="1">
        <v>46248</v>
      </c>
      <c r="G448" t="s">
        <v>954</v>
      </c>
      <c r="H448">
        <v>18055</v>
      </c>
      <c r="I448" s="1">
        <v>46239</v>
      </c>
      <c r="J448" t="s">
        <v>138</v>
      </c>
      <c r="K448" t="s">
        <v>1279</v>
      </c>
      <c r="L448" t="s">
        <v>12</v>
      </c>
      <c r="M448" t="s">
        <v>21</v>
      </c>
      <c r="N448" t="s">
        <v>2251</v>
      </c>
      <c r="O448" t="s">
        <v>2008</v>
      </c>
      <c r="Q448" t="s">
        <v>6</v>
      </c>
      <c r="R448" t="s">
        <v>660</v>
      </c>
      <c r="S448" t="s">
        <v>2252</v>
      </c>
      <c r="T448" t="s">
        <v>416</v>
      </c>
      <c r="U448">
        <v>150</v>
      </c>
      <c r="V448">
        <v>188.7</v>
      </c>
      <c r="W448" s="2">
        <v>28305</v>
      </c>
      <c r="X448">
        <v>0</v>
      </c>
      <c r="Y448">
        <v>0</v>
      </c>
      <c r="Z448" s="2">
        <v>5094.8999999999996</v>
      </c>
      <c r="AA448">
        <v>0</v>
      </c>
      <c r="AB448">
        <v>0</v>
      </c>
      <c r="AC448" s="2">
        <v>33399.9</v>
      </c>
      <c r="AD448">
        <v>0</v>
      </c>
      <c r="AE448">
        <v>0</v>
      </c>
      <c r="AF448" s="2">
        <v>33399.9</v>
      </c>
      <c r="AG448" t="s">
        <v>37</v>
      </c>
    </row>
    <row r="449" spans="1:33" x14ac:dyDescent="0.35">
      <c r="A449">
        <v>447</v>
      </c>
      <c r="B449">
        <v>282989</v>
      </c>
      <c r="C449">
        <v>328014099</v>
      </c>
      <c r="D449" t="s">
        <v>2250</v>
      </c>
      <c r="E449" t="s">
        <v>50</v>
      </c>
      <c r="F449" s="1">
        <v>46248</v>
      </c>
      <c r="G449" t="s">
        <v>954</v>
      </c>
      <c r="H449">
        <v>18055</v>
      </c>
      <c r="I449" s="1">
        <v>46239</v>
      </c>
      <c r="J449" t="s">
        <v>138</v>
      </c>
      <c r="K449" t="s">
        <v>1279</v>
      </c>
      <c r="L449" t="s">
        <v>12</v>
      </c>
      <c r="M449" t="s">
        <v>21</v>
      </c>
      <c r="N449" t="s">
        <v>2253</v>
      </c>
      <c r="O449" t="s">
        <v>2112</v>
      </c>
      <c r="Q449" t="s">
        <v>6</v>
      </c>
      <c r="R449" t="s">
        <v>2254</v>
      </c>
      <c r="S449" t="s">
        <v>2255</v>
      </c>
      <c r="T449" t="s">
        <v>1997</v>
      </c>
      <c r="U449">
        <v>220</v>
      </c>
      <c r="V449">
        <v>19.72</v>
      </c>
      <c r="W449" s="2">
        <v>4338.3999999999996</v>
      </c>
      <c r="X449">
        <v>0</v>
      </c>
      <c r="Y449">
        <v>0</v>
      </c>
      <c r="Z449">
        <v>780.91200000000003</v>
      </c>
      <c r="AA449">
        <v>0</v>
      </c>
      <c r="AB449">
        <v>0</v>
      </c>
      <c r="AC449" s="2">
        <v>5119.3119999999999</v>
      </c>
      <c r="AD449">
        <v>0</v>
      </c>
      <c r="AE449">
        <v>0</v>
      </c>
      <c r="AF449" s="2">
        <v>5119.3119999999999</v>
      </c>
      <c r="AG449" t="s">
        <v>37</v>
      </c>
    </row>
    <row r="450" spans="1:33" x14ac:dyDescent="0.35">
      <c r="A450">
        <v>448</v>
      </c>
      <c r="B450">
        <v>282989</v>
      </c>
      <c r="C450">
        <v>328014099</v>
      </c>
      <c r="D450" t="s">
        <v>2250</v>
      </c>
      <c r="E450" t="s">
        <v>50</v>
      </c>
      <c r="F450" s="1">
        <v>46248</v>
      </c>
      <c r="G450" t="s">
        <v>954</v>
      </c>
      <c r="H450">
        <v>18055</v>
      </c>
      <c r="I450" s="1">
        <v>46239</v>
      </c>
      <c r="J450" t="s">
        <v>138</v>
      </c>
      <c r="K450" t="s">
        <v>1279</v>
      </c>
      <c r="L450" t="s">
        <v>12</v>
      </c>
      <c r="M450" t="s">
        <v>21</v>
      </c>
      <c r="N450" t="s">
        <v>2256</v>
      </c>
      <c r="O450" t="s">
        <v>1949</v>
      </c>
      <c r="Q450" t="s">
        <v>6</v>
      </c>
      <c r="R450" t="s">
        <v>1438</v>
      </c>
      <c r="S450" t="s">
        <v>2257</v>
      </c>
      <c r="T450" t="s">
        <v>1995</v>
      </c>
      <c r="U450">
        <v>185</v>
      </c>
      <c r="V450">
        <v>9.8000000000000007</v>
      </c>
      <c r="W450" s="2">
        <v>1813</v>
      </c>
      <c r="X450">
        <v>0</v>
      </c>
      <c r="Y450">
        <v>0</v>
      </c>
      <c r="Z450">
        <v>326.33999999999997</v>
      </c>
      <c r="AA450">
        <v>0</v>
      </c>
      <c r="AB450">
        <v>0</v>
      </c>
      <c r="AC450" s="2">
        <v>2139.34</v>
      </c>
      <c r="AD450">
        <v>0</v>
      </c>
      <c r="AE450">
        <v>0</v>
      </c>
      <c r="AF450" s="2">
        <v>2139.34</v>
      </c>
      <c r="AG450" t="s">
        <v>37</v>
      </c>
    </row>
    <row r="451" spans="1:33" x14ac:dyDescent="0.35">
      <c r="A451">
        <v>449</v>
      </c>
      <c r="B451">
        <v>282989</v>
      </c>
      <c r="C451">
        <v>328014099</v>
      </c>
      <c r="D451" t="s">
        <v>2250</v>
      </c>
      <c r="E451" t="s">
        <v>50</v>
      </c>
      <c r="F451" s="1">
        <v>46248</v>
      </c>
      <c r="G451" t="s">
        <v>954</v>
      </c>
      <c r="H451">
        <v>18055</v>
      </c>
      <c r="I451" s="1">
        <v>46239</v>
      </c>
      <c r="J451" t="s">
        <v>138</v>
      </c>
      <c r="K451" t="s">
        <v>1279</v>
      </c>
      <c r="L451" t="s">
        <v>12</v>
      </c>
      <c r="M451" t="s">
        <v>21</v>
      </c>
      <c r="N451" t="s">
        <v>2258</v>
      </c>
      <c r="O451" t="s">
        <v>1938</v>
      </c>
      <c r="Q451" t="s">
        <v>6</v>
      </c>
      <c r="R451" t="s">
        <v>43</v>
      </c>
      <c r="S451" t="s">
        <v>2259</v>
      </c>
      <c r="T451" t="s">
        <v>1995</v>
      </c>
      <c r="U451">
        <v>460</v>
      </c>
      <c r="V451">
        <v>2.4500000000000002</v>
      </c>
      <c r="W451" s="2">
        <v>1127</v>
      </c>
      <c r="X451">
        <v>0</v>
      </c>
      <c r="Y451">
        <v>0</v>
      </c>
      <c r="Z451">
        <v>202.86</v>
      </c>
      <c r="AA451">
        <v>0</v>
      </c>
      <c r="AB451">
        <v>0</v>
      </c>
      <c r="AC451" s="2">
        <v>1329.86</v>
      </c>
      <c r="AD451">
        <v>0</v>
      </c>
      <c r="AE451">
        <v>0</v>
      </c>
      <c r="AF451" s="2">
        <v>1329.86</v>
      </c>
      <c r="AG451" t="s">
        <v>37</v>
      </c>
    </row>
    <row r="452" spans="1:33" x14ac:dyDescent="0.35">
      <c r="A452">
        <v>450</v>
      </c>
      <c r="B452">
        <v>282989</v>
      </c>
      <c r="C452">
        <v>328014099</v>
      </c>
      <c r="D452" t="s">
        <v>2250</v>
      </c>
      <c r="E452" t="s">
        <v>50</v>
      </c>
      <c r="F452" s="1">
        <v>46248</v>
      </c>
      <c r="G452" t="s">
        <v>954</v>
      </c>
      <c r="H452">
        <v>18055</v>
      </c>
      <c r="I452" s="1">
        <v>46239</v>
      </c>
      <c r="J452" t="s">
        <v>138</v>
      </c>
      <c r="K452" t="s">
        <v>1279</v>
      </c>
      <c r="L452" t="s">
        <v>12</v>
      </c>
      <c r="M452" t="s">
        <v>21</v>
      </c>
      <c r="N452" t="s">
        <v>1215</v>
      </c>
      <c r="O452" t="s">
        <v>1935</v>
      </c>
      <c r="Q452" t="s">
        <v>6</v>
      </c>
      <c r="R452" t="s">
        <v>1216</v>
      </c>
      <c r="S452" t="s">
        <v>1217</v>
      </c>
      <c r="T452" t="s">
        <v>1995</v>
      </c>
      <c r="U452">
        <v>105</v>
      </c>
      <c r="V452">
        <v>223.38</v>
      </c>
      <c r="W452" s="2">
        <v>23454.9</v>
      </c>
      <c r="X452">
        <v>0</v>
      </c>
      <c r="Y452">
        <v>0</v>
      </c>
      <c r="Z452" s="2">
        <v>4221.8819999999996</v>
      </c>
      <c r="AA452">
        <v>0</v>
      </c>
      <c r="AB452">
        <v>0</v>
      </c>
      <c r="AC452" s="2">
        <v>27676.781999999999</v>
      </c>
      <c r="AD452">
        <v>0</v>
      </c>
      <c r="AE452">
        <v>0</v>
      </c>
      <c r="AF452" s="2">
        <v>27676.781999999999</v>
      </c>
      <c r="AG452" t="s">
        <v>37</v>
      </c>
    </row>
    <row r="453" spans="1:33" x14ac:dyDescent="0.35">
      <c r="A453">
        <v>451</v>
      </c>
      <c r="B453">
        <v>282989</v>
      </c>
      <c r="C453">
        <v>328014099</v>
      </c>
      <c r="D453" t="s">
        <v>2250</v>
      </c>
      <c r="E453" t="s">
        <v>50</v>
      </c>
      <c r="F453" s="1">
        <v>46248</v>
      </c>
      <c r="G453" t="s">
        <v>954</v>
      </c>
      <c r="H453">
        <v>18055</v>
      </c>
      <c r="I453" s="1">
        <v>46239</v>
      </c>
      <c r="J453" t="s">
        <v>138</v>
      </c>
      <c r="K453" t="s">
        <v>1279</v>
      </c>
      <c r="L453" t="s">
        <v>12</v>
      </c>
      <c r="M453" t="s">
        <v>21</v>
      </c>
      <c r="N453" t="s">
        <v>2260</v>
      </c>
      <c r="O453" t="s">
        <v>1949</v>
      </c>
      <c r="Q453" t="s">
        <v>6</v>
      </c>
      <c r="R453" t="s">
        <v>38</v>
      </c>
      <c r="S453" t="s">
        <v>2261</v>
      </c>
      <c r="T453" t="s">
        <v>1995</v>
      </c>
      <c r="U453" s="2">
        <v>1385</v>
      </c>
      <c r="V453">
        <v>4.59</v>
      </c>
      <c r="W453" s="2">
        <v>6357.15</v>
      </c>
      <c r="X453">
        <v>0</v>
      </c>
      <c r="Y453">
        <v>0</v>
      </c>
      <c r="Z453" s="2">
        <v>1144.287</v>
      </c>
      <c r="AA453">
        <v>0</v>
      </c>
      <c r="AB453">
        <v>0</v>
      </c>
      <c r="AC453" s="2">
        <v>7501.4369999999999</v>
      </c>
      <c r="AD453">
        <v>0</v>
      </c>
      <c r="AE453">
        <v>0</v>
      </c>
      <c r="AF453" s="2">
        <v>7501.4369999999999</v>
      </c>
      <c r="AG453" t="s">
        <v>37</v>
      </c>
    </row>
    <row r="454" spans="1:33" x14ac:dyDescent="0.35">
      <c r="A454">
        <v>452</v>
      </c>
      <c r="B454">
        <v>282989</v>
      </c>
      <c r="C454">
        <v>328014099</v>
      </c>
      <c r="D454" t="s">
        <v>2250</v>
      </c>
      <c r="E454" t="s">
        <v>50</v>
      </c>
      <c r="F454" s="1">
        <v>46248</v>
      </c>
      <c r="G454" t="s">
        <v>954</v>
      </c>
      <c r="H454">
        <v>18055</v>
      </c>
      <c r="I454" s="1">
        <v>46239</v>
      </c>
      <c r="J454" t="s">
        <v>138</v>
      </c>
      <c r="K454" t="s">
        <v>1279</v>
      </c>
      <c r="L454" t="s">
        <v>12</v>
      </c>
      <c r="M454" t="s">
        <v>21</v>
      </c>
      <c r="N454" t="s">
        <v>2262</v>
      </c>
      <c r="O454" t="s">
        <v>1932</v>
      </c>
      <c r="Q454" t="s">
        <v>6</v>
      </c>
      <c r="R454" t="s">
        <v>660</v>
      </c>
      <c r="S454" t="s">
        <v>2263</v>
      </c>
      <c r="T454" t="s">
        <v>2003</v>
      </c>
      <c r="U454">
        <v>155</v>
      </c>
      <c r="V454">
        <v>59.98</v>
      </c>
      <c r="W454" s="2">
        <v>9296.9</v>
      </c>
      <c r="X454">
        <v>0</v>
      </c>
      <c r="Y454">
        <v>0</v>
      </c>
      <c r="Z454" s="2">
        <v>1673.442</v>
      </c>
      <c r="AA454">
        <v>0</v>
      </c>
      <c r="AB454">
        <v>0</v>
      </c>
      <c r="AC454" s="2">
        <v>10970.342000000001</v>
      </c>
      <c r="AD454">
        <v>0</v>
      </c>
      <c r="AE454">
        <v>0</v>
      </c>
      <c r="AF454" s="2">
        <v>10970.342000000001</v>
      </c>
      <c r="AG454" t="s">
        <v>37</v>
      </c>
    </row>
    <row r="455" spans="1:33" x14ac:dyDescent="0.35">
      <c r="A455">
        <v>453</v>
      </c>
      <c r="B455">
        <v>282990</v>
      </c>
      <c r="C455">
        <v>328014100</v>
      </c>
      <c r="D455" t="s">
        <v>2264</v>
      </c>
      <c r="E455" t="s">
        <v>50</v>
      </c>
      <c r="F455" s="1">
        <v>46248</v>
      </c>
      <c r="G455" t="s">
        <v>2265</v>
      </c>
      <c r="H455" t="s">
        <v>731</v>
      </c>
      <c r="I455" s="1">
        <v>46231</v>
      </c>
      <c r="J455" t="s">
        <v>138</v>
      </c>
      <c r="K455" t="s">
        <v>137</v>
      </c>
      <c r="L455" t="s">
        <v>11</v>
      </c>
      <c r="M455" t="s">
        <v>14</v>
      </c>
      <c r="N455" t="s">
        <v>2266</v>
      </c>
      <c r="O455" t="s">
        <v>2032</v>
      </c>
      <c r="Q455" t="s">
        <v>6</v>
      </c>
      <c r="R455" t="s">
        <v>141</v>
      </c>
      <c r="S455" t="s">
        <v>2267</v>
      </c>
      <c r="T455" t="s">
        <v>2036</v>
      </c>
      <c r="U455">
        <v>1</v>
      </c>
      <c r="V455" s="2">
        <v>37784.32</v>
      </c>
      <c r="W455" s="2">
        <v>37784.32</v>
      </c>
      <c r="X455">
        <v>0</v>
      </c>
      <c r="Y455">
        <v>0</v>
      </c>
      <c r="Z455" s="2">
        <v>6801.1776</v>
      </c>
      <c r="AA455">
        <v>0</v>
      </c>
      <c r="AB455">
        <v>0</v>
      </c>
      <c r="AC455" s="2">
        <v>44585.497600000002</v>
      </c>
      <c r="AD455">
        <v>0</v>
      </c>
      <c r="AE455">
        <v>0</v>
      </c>
      <c r="AF455" s="2">
        <v>44585.497600000002</v>
      </c>
      <c r="AG455" t="s">
        <v>37</v>
      </c>
    </row>
    <row r="456" spans="1:33" x14ac:dyDescent="0.35">
      <c r="A456">
        <v>454</v>
      </c>
      <c r="B456">
        <v>282991</v>
      </c>
      <c r="C456">
        <v>328014101</v>
      </c>
      <c r="D456" t="s">
        <v>2268</v>
      </c>
      <c r="E456" t="s">
        <v>50</v>
      </c>
      <c r="F456" s="1">
        <v>46248</v>
      </c>
      <c r="G456" t="s">
        <v>46</v>
      </c>
      <c r="H456">
        <v>4000010466</v>
      </c>
      <c r="I456" s="1">
        <v>46240</v>
      </c>
      <c r="J456" t="s">
        <v>138</v>
      </c>
      <c r="K456" t="s">
        <v>137</v>
      </c>
      <c r="L456" t="s">
        <v>15</v>
      </c>
      <c r="M456" t="s">
        <v>14</v>
      </c>
      <c r="N456" t="s">
        <v>2269</v>
      </c>
      <c r="O456" t="s">
        <v>2005</v>
      </c>
      <c r="P456">
        <v>12107074</v>
      </c>
      <c r="Q456" t="s">
        <v>6</v>
      </c>
      <c r="R456" t="s">
        <v>309</v>
      </c>
      <c r="S456" t="s">
        <v>2270</v>
      </c>
      <c r="T456" t="s">
        <v>2002</v>
      </c>
      <c r="U456">
        <v>50</v>
      </c>
      <c r="V456">
        <v>81.36</v>
      </c>
      <c r="W456" s="2">
        <v>4068</v>
      </c>
      <c r="X456">
        <v>0</v>
      </c>
      <c r="Y456">
        <v>0</v>
      </c>
      <c r="Z456">
        <v>732.24</v>
      </c>
      <c r="AA456">
        <v>0</v>
      </c>
      <c r="AB456">
        <v>0</v>
      </c>
      <c r="AC456" s="2">
        <v>4800.24</v>
      </c>
      <c r="AD456">
        <v>0</v>
      </c>
      <c r="AE456">
        <v>0</v>
      </c>
      <c r="AF456" s="2">
        <v>4800.24</v>
      </c>
      <c r="AG456" t="s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C0368-710F-4791-BA3D-51DC031F333C}">
  <dimension ref="A1:AB133"/>
  <sheetViews>
    <sheetView topLeftCell="M1" workbookViewId="0">
      <selection activeCell="V1" sqref="V1"/>
    </sheetView>
  </sheetViews>
  <sheetFormatPr defaultRowHeight="14.5" x14ac:dyDescent="0.35"/>
  <cols>
    <col min="1" max="1" width="9.81640625" bestFit="1" customWidth="1"/>
    <col min="2" max="2" width="25.81640625" bestFit="1" customWidth="1"/>
    <col min="3" max="3" width="13.7265625" bestFit="1" customWidth="1"/>
    <col min="4" max="4" width="35.36328125" bestFit="1" customWidth="1"/>
    <col min="5" max="5" width="54.453125" bestFit="1" customWidth="1"/>
    <col min="6" max="6" width="20.36328125" bestFit="1" customWidth="1"/>
    <col min="7" max="7" width="24.1796875" bestFit="1" customWidth="1"/>
    <col min="8" max="8" width="19" bestFit="1" customWidth="1"/>
    <col min="9" max="9" width="11.1796875" bestFit="1" customWidth="1"/>
    <col min="10" max="10" width="13.1796875" bestFit="1" customWidth="1"/>
    <col min="11" max="11" width="17.54296875" bestFit="1" customWidth="1"/>
    <col min="12" max="12" width="29.7265625" bestFit="1" customWidth="1"/>
    <col min="13" max="13" width="27.6328125" bestFit="1" customWidth="1"/>
    <col min="14" max="14" width="16.08984375" bestFit="1" customWidth="1"/>
    <col min="15" max="15" width="15.1796875" bestFit="1" customWidth="1"/>
    <col min="16" max="16" width="8" bestFit="1" customWidth="1"/>
    <col min="17" max="17" width="13.26953125" bestFit="1" customWidth="1"/>
    <col min="18" max="18" width="13.6328125" bestFit="1" customWidth="1"/>
    <col min="19" max="19" width="12.90625" bestFit="1" customWidth="1"/>
    <col min="20" max="20" width="14.7265625" bestFit="1" customWidth="1"/>
    <col min="21" max="21" width="15.08984375" bestFit="1" customWidth="1"/>
    <col min="22" max="22" width="12" bestFit="1" customWidth="1"/>
    <col min="23" max="23" width="6.81640625" bestFit="1" customWidth="1"/>
    <col min="24" max="24" width="21.90625" bestFit="1" customWidth="1"/>
    <col min="25" max="25" width="15.1796875" bestFit="1" customWidth="1"/>
    <col min="26" max="26" width="15.08984375" bestFit="1" customWidth="1"/>
    <col min="27" max="27" width="14" bestFit="1" customWidth="1"/>
    <col min="28" max="28" width="126.36328125" bestFit="1" customWidth="1"/>
  </cols>
  <sheetData>
    <row r="1" spans="1:28" x14ac:dyDescent="0.35">
      <c r="U1" s="3">
        <f>SUBTOTAL(9,U3:U133)</f>
        <v>595836.25000000023</v>
      </c>
    </row>
    <row r="2" spans="1:28" x14ac:dyDescent="0.35">
      <c r="A2" t="s">
        <v>152</v>
      </c>
      <c r="B2" t="s">
        <v>310</v>
      </c>
      <c r="C2" t="s">
        <v>64</v>
      </c>
      <c r="D2" t="s">
        <v>2</v>
      </c>
      <c r="E2" t="s">
        <v>1889</v>
      </c>
      <c r="F2" t="s">
        <v>1890</v>
      </c>
      <c r="G2" t="s">
        <v>1891</v>
      </c>
      <c r="H2" t="s">
        <v>153</v>
      </c>
      <c r="I2" t="s">
        <v>113</v>
      </c>
      <c r="J2" t="s">
        <v>154</v>
      </c>
      <c r="K2" t="s">
        <v>114</v>
      </c>
      <c r="L2" t="s">
        <v>65</v>
      </c>
      <c r="M2" t="s">
        <v>155</v>
      </c>
      <c r="N2" t="s">
        <v>5</v>
      </c>
      <c r="O2" t="s">
        <v>28</v>
      </c>
      <c r="P2" t="s">
        <v>7</v>
      </c>
      <c r="Q2" t="s">
        <v>156</v>
      </c>
      <c r="R2" t="s">
        <v>157</v>
      </c>
      <c r="S2" t="s">
        <v>118</v>
      </c>
      <c r="T2" t="s">
        <v>102</v>
      </c>
      <c r="U2" t="s">
        <v>66</v>
      </c>
      <c r="V2" t="s">
        <v>135</v>
      </c>
      <c r="W2" t="s">
        <v>136</v>
      </c>
      <c r="X2" t="s">
        <v>67</v>
      </c>
      <c r="Y2" t="s">
        <v>68</v>
      </c>
      <c r="Z2" t="s">
        <v>115</v>
      </c>
      <c r="AA2" t="s">
        <v>158</v>
      </c>
      <c r="AB2" t="s">
        <v>103</v>
      </c>
    </row>
    <row r="3" spans="1:28" x14ac:dyDescent="0.35">
      <c r="A3">
        <v>345101270</v>
      </c>
      <c r="B3" s="1">
        <v>46239</v>
      </c>
      <c r="C3" t="s">
        <v>69</v>
      </c>
      <c r="D3" t="s">
        <v>160</v>
      </c>
      <c r="E3" t="s">
        <v>1310</v>
      </c>
      <c r="F3" t="s">
        <v>1892</v>
      </c>
      <c r="G3" t="s">
        <v>1893</v>
      </c>
      <c r="H3">
        <v>4190084144</v>
      </c>
      <c r="I3" s="1">
        <v>46234</v>
      </c>
      <c r="J3" s="1">
        <v>46239</v>
      </c>
      <c r="K3" t="s">
        <v>104</v>
      </c>
      <c r="L3" t="s">
        <v>71</v>
      </c>
      <c r="M3" t="s">
        <v>161</v>
      </c>
      <c r="N3" t="s">
        <v>59</v>
      </c>
      <c r="O3" t="s">
        <v>55</v>
      </c>
      <c r="P3">
        <v>250</v>
      </c>
      <c r="Q3">
        <v>1.93</v>
      </c>
      <c r="R3">
        <v>482.5</v>
      </c>
      <c r="S3">
        <v>1</v>
      </c>
      <c r="T3">
        <v>1.93</v>
      </c>
      <c r="U3">
        <v>482.5</v>
      </c>
      <c r="V3" t="s">
        <v>137</v>
      </c>
      <c r="W3" t="s">
        <v>138</v>
      </c>
      <c r="X3" t="s">
        <v>13</v>
      </c>
      <c r="Y3" t="s">
        <v>25</v>
      </c>
      <c r="Z3" t="s">
        <v>116</v>
      </c>
      <c r="AA3">
        <v>341002601</v>
      </c>
      <c r="AB3" t="s">
        <v>336</v>
      </c>
    </row>
    <row r="4" spans="1:28" x14ac:dyDescent="0.35">
      <c r="A4">
        <v>345101270</v>
      </c>
      <c r="B4" s="1">
        <v>46239</v>
      </c>
      <c r="C4" t="s">
        <v>69</v>
      </c>
      <c r="D4" t="s">
        <v>160</v>
      </c>
      <c r="E4" t="s">
        <v>1310</v>
      </c>
      <c r="F4" t="s">
        <v>1892</v>
      </c>
      <c r="G4" t="s">
        <v>1893</v>
      </c>
      <c r="H4">
        <v>4190085015</v>
      </c>
      <c r="I4" s="1">
        <v>46234</v>
      </c>
      <c r="J4" s="1">
        <v>46239</v>
      </c>
      <c r="K4" t="s">
        <v>104</v>
      </c>
      <c r="L4" t="s">
        <v>71</v>
      </c>
      <c r="M4" t="s">
        <v>161</v>
      </c>
      <c r="N4" t="s">
        <v>59</v>
      </c>
      <c r="O4" t="s">
        <v>55</v>
      </c>
      <c r="P4">
        <v>15000</v>
      </c>
      <c r="Q4">
        <v>1.93</v>
      </c>
      <c r="R4">
        <v>28950</v>
      </c>
      <c r="S4">
        <v>1</v>
      </c>
      <c r="T4">
        <v>1.93</v>
      </c>
      <c r="U4">
        <v>28950</v>
      </c>
      <c r="V4" t="s">
        <v>137</v>
      </c>
      <c r="W4" t="s">
        <v>138</v>
      </c>
      <c r="X4" t="s">
        <v>13</v>
      </c>
      <c r="Y4" t="s">
        <v>25</v>
      </c>
      <c r="Z4" t="s">
        <v>116</v>
      </c>
      <c r="AA4">
        <v>341002979</v>
      </c>
      <c r="AB4" t="s">
        <v>336</v>
      </c>
    </row>
    <row r="5" spans="1:28" x14ac:dyDescent="0.35">
      <c r="A5">
        <v>345101270</v>
      </c>
      <c r="B5" s="1">
        <v>46239</v>
      </c>
      <c r="C5" t="s">
        <v>69</v>
      </c>
      <c r="D5" t="s">
        <v>160</v>
      </c>
      <c r="E5" t="s">
        <v>1310</v>
      </c>
      <c r="F5" t="s">
        <v>1892</v>
      </c>
      <c r="G5" t="s">
        <v>1893</v>
      </c>
      <c r="H5">
        <v>4190085015</v>
      </c>
      <c r="I5" s="1">
        <v>46234</v>
      </c>
      <c r="J5" s="1">
        <v>46239</v>
      </c>
      <c r="K5" t="s">
        <v>104</v>
      </c>
      <c r="L5" t="s">
        <v>71</v>
      </c>
      <c r="M5" t="s">
        <v>161</v>
      </c>
      <c r="N5" t="s">
        <v>59</v>
      </c>
      <c r="O5" t="s">
        <v>55</v>
      </c>
      <c r="P5">
        <v>4500</v>
      </c>
      <c r="Q5">
        <v>1.93</v>
      </c>
      <c r="R5">
        <v>8685</v>
      </c>
      <c r="S5">
        <v>1</v>
      </c>
      <c r="T5">
        <v>1.93</v>
      </c>
      <c r="U5">
        <v>8685</v>
      </c>
      <c r="V5" t="s">
        <v>137</v>
      </c>
      <c r="W5" t="s">
        <v>138</v>
      </c>
      <c r="X5" t="s">
        <v>13</v>
      </c>
      <c r="Y5" t="s">
        <v>25</v>
      </c>
      <c r="Z5" t="s">
        <v>116</v>
      </c>
      <c r="AA5">
        <v>341002979</v>
      </c>
      <c r="AB5" t="s">
        <v>336</v>
      </c>
    </row>
    <row r="6" spans="1:28" x14ac:dyDescent="0.35">
      <c r="A6">
        <v>345101270</v>
      </c>
      <c r="B6" s="1">
        <v>46239</v>
      </c>
      <c r="C6" t="s">
        <v>69</v>
      </c>
      <c r="D6" t="s">
        <v>160</v>
      </c>
      <c r="E6" t="s">
        <v>1310</v>
      </c>
      <c r="F6" t="s">
        <v>1892</v>
      </c>
      <c r="G6" t="s">
        <v>1893</v>
      </c>
      <c r="H6">
        <v>4190089494</v>
      </c>
      <c r="I6" s="1">
        <v>46234</v>
      </c>
      <c r="J6" s="1">
        <v>46239</v>
      </c>
      <c r="K6" t="s">
        <v>104</v>
      </c>
      <c r="L6" t="s">
        <v>107</v>
      </c>
      <c r="M6" t="s">
        <v>163</v>
      </c>
      <c r="N6" t="s">
        <v>106</v>
      </c>
      <c r="O6" t="s">
        <v>53</v>
      </c>
      <c r="P6">
        <v>6000</v>
      </c>
      <c r="Q6">
        <v>6.8000000000000005E-2</v>
      </c>
      <c r="R6">
        <v>408</v>
      </c>
      <c r="S6">
        <v>1</v>
      </c>
      <c r="T6">
        <v>6.8000000000000005E-2</v>
      </c>
      <c r="U6">
        <v>408</v>
      </c>
      <c r="V6" t="s">
        <v>137</v>
      </c>
      <c r="W6" t="s">
        <v>138</v>
      </c>
      <c r="X6" t="s">
        <v>13</v>
      </c>
      <c r="Y6" t="s">
        <v>25</v>
      </c>
      <c r="Z6" t="s">
        <v>116</v>
      </c>
      <c r="AA6">
        <v>342000744</v>
      </c>
      <c r="AB6" t="s">
        <v>336</v>
      </c>
    </row>
    <row r="7" spans="1:28" x14ac:dyDescent="0.35">
      <c r="A7">
        <v>345101241</v>
      </c>
      <c r="B7" s="1">
        <v>46239</v>
      </c>
      <c r="C7" t="s">
        <v>320</v>
      </c>
      <c r="D7" t="s">
        <v>321</v>
      </c>
      <c r="E7" t="s">
        <v>1894</v>
      </c>
      <c r="F7" t="s">
        <v>1895</v>
      </c>
      <c r="G7" t="s">
        <v>1895</v>
      </c>
      <c r="H7" t="s">
        <v>337</v>
      </c>
      <c r="I7" s="1">
        <v>46233</v>
      </c>
      <c r="J7" s="1">
        <v>46239</v>
      </c>
      <c r="K7" t="s">
        <v>104</v>
      </c>
      <c r="L7" t="s">
        <v>338</v>
      </c>
      <c r="M7">
        <v>9983510275</v>
      </c>
      <c r="N7" t="s">
        <v>38</v>
      </c>
      <c r="O7" t="s">
        <v>53</v>
      </c>
      <c r="P7">
        <v>6000</v>
      </c>
      <c r="Q7">
        <v>0.16</v>
      </c>
      <c r="R7">
        <v>960</v>
      </c>
      <c r="S7">
        <v>1</v>
      </c>
      <c r="T7">
        <v>0.16</v>
      </c>
      <c r="U7">
        <v>960</v>
      </c>
      <c r="V7" t="s">
        <v>137</v>
      </c>
      <c r="W7" t="s">
        <v>138</v>
      </c>
      <c r="X7" t="s">
        <v>11</v>
      </c>
      <c r="Y7" t="s">
        <v>14</v>
      </c>
      <c r="Z7" t="s">
        <v>116</v>
      </c>
      <c r="AA7">
        <v>341003529</v>
      </c>
      <c r="AB7" t="s">
        <v>159</v>
      </c>
    </row>
    <row r="8" spans="1:28" x14ac:dyDescent="0.35">
      <c r="A8">
        <v>345101319</v>
      </c>
      <c r="B8" s="1">
        <v>46246</v>
      </c>
      <c r="C8" t="s">
        <v>1657</v>
      </c>
      <c r="D8" t="s">
        <v>1658</v>
      </c>
      <c r="E8" t="s">
        <v>121</v>
      </c>
      <c r="F8" t="s">
        <v>1895</v>
      </c>
      <c r="G8" t="s">
        <v>1895</v>
      </c>
      <c r="H8">
        <v>4500072940</v>
      </c>
      <c r="I8" s="1">
        <v>46239</v>
      </c>
      <c r="J8" s="1">
        <v>46246</v>
      </c>
      <c r="K8" t="s">
        <v>104</v>
      </c>
      <c r="L8" t="s">
        <v>1659</v>
      </c>
      <c r="M8">
        <v>1110005214</v>
      </c>
      <c r="N8" t="s">
        <v>58</v>
      </c>
      <c r="O8" t="s">
        <v>53</v>
      </c>
      <c r="P8">
        <v>10000</v>
      </c>
      <c r="Q8">
        <v>0.17199999999999999</v>
      </c>
      <c r="R8">
        <v>1720</v>
      </c>
      <c r="S8">
        <v>1</v>
      </c>
      <c r="T8">
        <v>0.17199999999999999</v>
      </c>
      <c r="U8">
        <v>1720</v>
      </c>
      <c r="V8" t="s">
        <v>137</v>
      </c>
      <c r="W8" t="s">
        <v>138</v>
      </c>
      <c r="X8" t="s">
        <v>13</v>
      </c>
      <c r="Y8" t="s">
        <v>14</v>
      </c>
      <c r="Z8" t="s">
        <v>116</v>
      </c>
      <c r="AA8">
        <v>342000841</v>
      </c>
      <c r="AB8" t="s">
        <v>1660</v>
      </c>
    </row>
    <row r="9" spans="1:28" x14ac:dyDescent="0.35">
      <c r="A9">
        <v>345101326</v>
      </c>
      <c r="B9" s="1">
        <v>46245</v>
      </c>
      <c r="C9" t="s">
        <v>410</v>
      </c>
      <c r="D9" t="s">
        <v>411</v>
      </c>
      <c r="E9" t="s">
        <v>411</v>
      </c>
      <c r="F9" t="s">
        <v>1892</v>
      </c>
      <c r="G9" t="s">
        <v>1893</v>
      </c>
      <c r="H9">
        <v>2102300162233</v>
      </c>
      <c r="I9" s="1">
        <v>46239</v>
      </c>
      <c r="J9" s="1">
        <v>46245</v>
      </c>
      <c r="K9" t="s">
        <v>104</v>
      </c>
      <c r="L9" t="s">
        <v>1603</v>
      </c>
      <c r="M9" t="s">
        <v>1604</v>
      </c>
      <c r="N9" t="s">
        <v>1602</v>
      </c>
      <c r="O9" t="s">
        <v>55</v>
      </c>
      <c r="P9">
        <v>3000</v>
      </c>
      <c r="Q9">
        <v>0.39</v>
      </c>
      <c r="R9">
        <v>1170</v>
      </c>
      <c r="S9">
        <v>1</v>
      </c>
      <c r="T9">
        <v>0.39</v>
      </c>
      <c r="U9">
        <v>1170</v>
      </c>
      <c r="V9" t="s">
        <v>137</v>
      </c>
      <c r="W9" t="s">
        <v>138</v>
      </c>
      <c r="X9" t="s">
        <v>78</v>
      </c>
      <c r="Y9" t="s">
        <v>17</v>
      </c>
      <c r="Z9" t="s">
        <v>116</v>
      </c>
      <c r="AA9">
        <v>341002390</v>
      </c>
      <c r="AB9" t="s">
        <v>159</v>
      </c>
    </row>
    <row r="10" spans="1:28" x14ac:dyDescent="0.35">
      <c r="A10">
        <v>345101175</v>
      </c>
      <c r="B10" s="1">
        <v>46245</v>
      </c>
      <c r="C10" t="s">
        <v>1648</v>
      </c>
      <c r="D10" t="s">
        <v>1649</v>
      </c>
      <c r="E10" t="s">
        <v>1896</v>
      </c>
      <c r="F10" t="s">
        <v>1897</v>
      </c>
      <c r="G10" t="s">
        <v>1898</v>
      </c>
      <c r="H10">
        <v>650000016</v>
      </c>
      <c r="I10" s="1">
        <v>46230</v>
      </c>
      <c r="J10" s="1">
        <v>46245</v>
      </c>
      <c r="K10" t="s">
        <v>104</v>
      </c>
      <c r="L10" t="s">
        <v>1650</v>
      </c>
      <c r="M10" t="s">
        <v>1651</v>
      </c>
      <c r="N10" t="s">
        <v>380</v>
      </c>
      <c r="O10" t="s">
        <v>55</v>
      </c>
      <c r="P10">
        <v>112</v>
      </c>
      <c r="Q10">
        <v>35.97</v>
      </c>
      <c r="R10">
        <v>4028.64</v>
      </c>
      <c r="S10">
        <v>1</v>
      </c>
      <c r="T10">
        <v>35.97</v>
      </c>
      <c r="U10">
        <v>4028.64</v>
      </c>
      <c r="V10" t="s">
        <v>1279</v>
      </c>
      <c r="W10" t="s">
        <v>138</v>
      </c>
      <c r="X10" t="s">
        <v>12</v>
      </c>
      <c r="Y10" t="s">
        <v>21</v>
      </c>
      <c r="Z10" t="s">
        <v>116</v>
      </c>
      <c r="AA10">
        <v>341003598</v>
      </c>
      <c r="AB10" t="s">
        <v>1652</v>
      </c>
    </row>
    <row r="11" spans="1:28" x14ac:dyDescent="0.35">
      <c r="A11">
        <v>345101255</v>
      </c>
      <c r="B11" s="1">
        <v>46237</v>
      </c>
      <c r="C11" t="s">
        <v>124</v>
      </c>
      <c r="D11" t="s">
        <v>125</v>
      </c>
      <c r="E11" t="s">
        <v>1899</v>
      </c>
      <c r="F11" t="s">
        <v>1900</v>
      </c>
      <c r="G11" t="s">
        <v>1901</v>
      </c>
      <c r="H11" t="s">
        <v>313</v>
      </c>
      <c r="I11" s="1">
        <v>46233</v>
      </c>
      <c r="J11" s="1">
        <v>46237</v>
      </c>
      <c r="K11" t="s">
        <v>104</v>
      </c>
      <c r="L11" t="s">
        <v>314</v>
      </c>
      <c r="M11" t="s">
        <v>315</v>
      </c>
      <c r="N11" t="s">
        <v>72</v>
      </c>
      <c r="O11" t="s">
        <v>53</v>
      </c>
      <c r="P11">
        <v>3000</v>
      </c>
      <c r="Q11">
        <v>3.65</v>
      </c>
      <c r="R11">
        <v>10950</v>
      </c>
      <c r="S11">
        <v>1</v>
      </c>
      <c r="T11">
        <v>3.65</v>
      </c>
      <c r="U11">
        <v>10950</v>
      </c>
      <c r="V11" t="s">
        <v>137</v>
      </c>
      <c r="W11" t="s">
        <v>138</v>
      </c>
      <c r="X11" t="s">
        <v>11</v>
      </c>
      <c r="Y11" t="s">
        <v>21</v>
      </c>
      <c r="Z11" t="s">
        <v>116</v>
      </c>
      <c r="AA11">
        <v>341003523</v>
      </c>
      <c r="AB11" t="s">
        <v>159</v>
      </c>
    </row>
    <row r="12" spans="1:28" x14ac:dyDescent="0.35">
      <c r="A12">
        <v>345101254</v>
      </c>
      <c r="B12" s="1">
        <v>46237</v>
      </c>
      <c r="C12" t="s">
        <v>124</v>
      </c>
      <c r="D12" t="s">
        <v>125</v>
      </c>
      <c r="E12" t="s">
        <v>1899</v>
      </c>
      <c r="F12" t="s">
        <v>1900</v>
      </c>
      <c r="G12" t="s">
        <v>1901</v>
      </c>
      <c r="H12" t="s">
        <v>168</v>
      </c>
      <c r="I12" s="1">
        <v>46233</v>
      </c>
      <c r="J12" s="1">
        <v>46237</v>
      </c>
      <c r="K12" t="s">
        <v>104</v>
      </c>
      <c r="L12" t="s">
        <v>126</v>
      </c>
      <c r="M12" t="s">
        <v>127</v>
      </c>
      <c r="N12" t="s">
        <v>128</v>
      </c>
      <c r="O12" t="s">
        <v>53</v>
      </c>
      <c r="P12">
        <v>9000</v>
      </c>
      <c r="Q12">
        <v>0.17899999999999999</v>
      </c>
      <c r="R12">
        <v>1611</v>
      </c>
      <c r="S12">
        <v>1</v>
      </c>
      <c r="T12">
        <v>0.17899999999999999</v>
      </c>
      <c r="U12">
        <v>1611</v>
      </c>
      <c r="V12" t="s">
        <v>137</v>
      </c>
      <c r="W12" t="s">
        <v>138</v>
      </c>
      <c r="X12" t="s">
        <v>11</v>
      </c>
      <c r="Y12" t="s">
        <v>21</v>
      </c>
      <c r="Z12" t="s">
        <v>116</v>
      </c>
      <c r="AA12">
        <v>341002968</v>
      </c>
      <c r="AB12" t="s">
        <v>159</v>
      </c>
    </row>
    <row r="13" spans="1:28" x14ac:dyDescent="0.35">
      <c r="A13">
        <v>345101181</v>
      </c>
      <c r="B13" s="1">
        <v>46238</v>
      </c>
      <c r="C13" t="s">
        <v>79</v>
      </c>
      <c r="D13" t="s">
        <v>80</v>
      </c>
      <c r="E13" t="s">
        <v>80</v>
      </c>
      <c r="F13" t="s">
        <v>1892</v>
      </c>
      <c r="G13" t="s">
        <v>1893</v>
      </c>
      <c r="H13">
        <v>4200000254</v>
      </c>
      <c r="I13" s="1">
        <v>46230</v>
      </c>
      <c r="J13" s="1">
        <v>46238</v>
      </c>
      <c r="K13" t="s">
        <v>104</v>
      </c>
      <c r="L13" t="s">
        <v>316</v>
      </c>
      <c r="M13" t="s">
        <v>317</v>
      </c>
      <c r="N13" t="s">
        <v>175</v>
      </c>
      <c r="O13" t="s">
        <v>62</v>
      </c>
      <c r="P13">
        <v>143550</v>
      </c>
      <c r="Q13">
        <v>7.9000000000000001E-2</v>
      </c>
      <c r="R13">
        <v>11340.45</v>
      </c>
      <c r="S13">
        <v>1</v>
      </c>
      <c r="T13">
        <v>7.9000000000000001E-2</v>
      </c>
      <c r="U13">
        <v>11340.45</v>
      </c>
      <c r="V13" t="s">
        <v>137</v>
      </c>
      <c r="W13" t="s">
        <v>138</v>
      </c>
      <c r="X13" t="s">
        <v>11</v>
      </c>
      <c r="Y13" t="s">
        <v>22</v>
      </c>
      <c r="Z13" t="s">
        <v>116</v>
      </c>
      <c r="AA13">
        <v>342000673</v>
      </c>
      <c r="AB13" t="s">
        <v>318</v>
      </c>
    </row>
    <row r="14" spans="1:28" x14ac:dyDescent="0.35">
      <c r="A14">
        <v>345101266</v>
      </c>
      <c r="B14" s="1">
        <v>46237</v>
      </c>
      <c r="C14" t="s">
        <v>69</v>
      </c>
      <c r="D14" t="s">
        <v>160</v>
      </c>
      <c r="E14" t="s">
        <v>1310</v>
      </c>
      <c r="F14" t="s">
        <v>1892</v>
      </c>
      <c r="G14" t="s">
        <v>1893</v>
      </c>
      <c r="H14">
        <v>4190086324</v>
      </c>
      <c r="I14" s="1">
        <v>46234</v>
      </c>
      <c r="J14" s="1">
        <v>46237</v>
      </c>
      <c r="K14" t="s">
        <v>104</v>
      </c>
      <c r="L14" t="s">
        <v>105</v>
      </c>
      <c r="M14" t="s">
        <v>162</v>
      </c>
      <c r="N14" t="s">
        <v>82</v>
      </c>
      <c r="O14" t="s">
        <v>55</v>
      </c>
      <c r="P14">
        <v>40000</v>
      </c>
      <c r="Q14">
        <v>0.13600000000000001</v>
      </c>
      <c r="R14">
        <v>5440</v>
      </c>
      <c r="S14">
        <v>1</v>
      </c>
      <c r="T14">
        <v>0.13600000000000001</v>
      </c>
      <c r="U14">
        <v>5440</v>
      </c>
      <c r="V14" t="s">
        <v>137</v>
      </c>
      <c r="W14" t="s">
        <v>138</v>
      </c>
      <c r="X14" t="s">
        <v>13</v>
      </c>
      <c r="Y14" t="s">
        <v>25</v>
      </c>
      <c r="Z14" t="s">
        <v>116</v>
      </c>
      <c r="AA14">
        <v>342000303</v>
      </c>
      <c r="AB14" t="s">
        <v>319</v>
      </c>
    </row>
    <row r="15" spans="1:28" x14ac:dyDescent="0.35">
      <c r="A15">
        <v>345101265</v>
      </c>
      <c r="B15" s="1">
        <v>46237</v>
      </c>
      <c r="C15" t="s">
        <v>69</v>
      </c>
      <c r="D15" t="s">
        <v>160</v>
      </c>
      <c r="E15" t="s">
        <v>1310</v>
      </c>
      <c r="F15" t="s">
        <v>1892</v>
      </c>
      <c r="G15" t="s">
        <v>1893</v>
      </c>
      <c r="H15">
        <v>4190089494</v>
      </c>
      <c r="I15" s="1">
        <v>46234</v>
      </c>
      <c r="J15" s="1">
        <v>46237</v>
      </c>
      <c r="K15" t="s">
        <v>104</v>
      </c>
      <c r="L15" t="s">
        <v>107</v>
      </c>
      <c r="M15" t="s">
        <v>163</v>
      </c>
      <c r="N15" t="s">
        <v>106</v>
      </c>
      <c r="O15" t="s">
        <v>53</v>
      </c>
      <c r="P15">
        <v>18000</v>
      </c>
      <c r="Q15">
        <v>6.8000000000000005E-2</v>
      </c>
      <c r="R15">
        <v>1224</v>
      </c>
      <c r="S15">
        <v>1</v>
      </c>
      <c r="T15">
        <v>6.8000000000000005E-2</v>
      </c>
      <c r="U15">
        <v>1224</v>
      </c>
      <c r="V15" t="s">
        <v>137</v>
      </c>
      <c r="W15" t="s">
        <v>138</v>
      </c>
      <c r="X15" t="s">
        <v>13</v>
      </c>
      <c r="Y15" t="s">
        <v>25</v>
      </c>
      <c r="Z15" t="s">
        <v>116</v>
      </c>
      <c r="AA15">
        <v>342000744</v>
      </c>
      <c r="AB15" t="s">
        <v>319</v>
      </c>
    </row>
    <row r="16" spans="1:28" x14ac:dyDescent="0.35">
      <c r="A16">
        <v>345101265</v>
      </c>
      <c r="B16" s="1">
        <v>46237</v>
      </c>
      <c r="C16" t="s">
        <v>69</v>
      </c>
      <c r="D16" t="s">
        <v>160</v>
      </c>
      <c r="E16" t="s">
        <v>1310</v>
      </c>
      <c r="F16" t="s">
        <v>1892</v>
      </c>
      <c r="G16" t="s">
        <v>1893</v>
      </c>
      <c r="H16">
        <v>4190089494</v>
      </c>
      <c r="I16" s="1">
        <v>46234</v>
      </c>
      <c r="J16" s="1">
        <v>46237</v>
      </c>
      <c r="K16" t="s">
        <v>104</v>
      </c>
      <c r="L16" t="s">
        <v>107</v>
      </c>
      <c r="M16" t="s">
        <v>163</v>
      </c>
      <c r="N16" t="s">
        <v>106</v>
      </c>
      <c r="O16" t="s">
        <v>53</v>
      </c>
      <c r="P16">
        <v>24000</v>
      </c>
      <c r="Q16">
        <v>6.8000000000000005E-2</v>
      </c>
      <c r="R16">
        <v>1632</v>
      </c>
      <c r="S16">
        <v>1</v>
      </c>
      <c r="T16">
        <v>6.8000000000000005E-2</v>
      </c>
      <c r="U16">
        <v>1632</v>
      </c>
      <c r="V16" t="s">
        <v>137</v>
      </c>
      <c r="W16" t="s">
        <v>138</v>
      </c>
      <c r="X16" t="s">
        <v>13</v>
      </c>
      <c r="Y16" t="s">
        <v>25</v>
      </c>
      <c r="Z16" t="s">
        <v>116</v>
      </c>
      <c r="AA16">
        <v>342000744</v>
      </c>
      <c r="AB16" t="s">
        <v>319</v>
      </c>
    </row>
    <row r="17" spans="1:28" x14ac:dyDescent="0.35">
      <c r="A17">
        <v>345101381</v>
      </c>
      <c r="B17" s="1">
        <v>46246</v>
      </c>
      <c r="C17" t="s">
        <v>403</v>
      </c>
      <c r="D17" t="s">
        <v>404</v>
      </c>
      <c r="E17" t="s">
        <v>405</v>
      </c>
      <c r="F17" t="s">
        <v>1900</v>
      </c>
      <c r="G17" t="s">
        <v>1902</v>
      </c>
      <c r="H17">
        <v>7200000319</v>
      </c>
      <c r="I17" s="1">
        <v>46245</v>
      </c>
      <c r="J17" s="1">
        <v>46246</v>
      </c>
      <c r="K17" t="s">
        <v>104</v>
      </c>
      <c r="L17" t="s">
        <v>1618</v>
      </c>
      <c r="M17">
        <v>1011000668</v>
      </c>
      <c r="N17" t="s">
        <v>54</v>
      </c>
      <c r="O17" t="s">
        <v>55</v>
      </c>
      <c r="P17">
        <v>1024</v>
      </c>
      <c r="Q17">
        <v>1.18</v>
      </c>
      <c r="R17">
        <v>1208.32</v>
      </c>
      <c r="S17">
        <v>1</v>
      </c>
      <c r="T17">
        <v>1.18</v>
      </c>
      <c r="U17">
        <v>1208.32</v>
      </c>
      <c r="V17" t="s">
        <v>137</v>
      </c>
      <c r="W17" t="s">
        <v>138</v>
      </c>
      <c r="X17" t="s">
        <v>78</v>
      </c>
      <c r="Y17" t="s">
        <v>17</v>
      </c>
      <c r="Z17" t="s">
        <v>116</v>
      </c>
      <c r="AA17">
        <v>342000759</v>
      </c>
      <c r="AB17" t="s">
        <v>159</v>
      </c>
    </row>
    <row r="18" spans="1:28" x14ac:dyDescent="0.35">
      <c r="A18">
        <v>345101242</v>
      </c>
      <c r="B18" s="1">
        <v>46237</v>
      </c>
      <c r="C18" t="s">
        <v>320</v>
      </c>
      <c r="D18" t="s">
        <v>321</v>
      </c>
      <c r="E18" t="s">
        <v>1903</v>
      </c>
      <c r="F18" t="s">
        <v>1904</v>
      </c>
      <c r="G18" t="s">
        <v>1905</v>
      </c>
      <c r="H18" t="s">
        <v>322</v>
      </c>
      <c r="I18" s="1">
        <v>46233</v>
      </c>
      <c r="J18" s="1">
        <v>46237</v>
      </c>
      <c r="K18" t="s">
        <v>104</v>
      </c>
      <c r="L18" t="s">
        <v>323</v>
      </c>
      <c r="M18" t="s">
        <v>324</v>
      </c>
      <c r="N18" t="s">
        <v>131</v>
      </c>
      <c r="O18" t="s">
        <v>53</v>
      </c>
      <c r="P18">
        <v>10000</v>
      </c>
      <c r="Q18">
        <v>0.245</v>
      </c>
      <c r="R18">
        <v>2450</v>
      </c>
      <c r="S18">
        <v>1</v>
      </c>
      <c r="T18">
        <v>0.245</v>
      </c>
      <c r="U18">
        <v>2450</v>
      </c>
      <c r="V18" t="s">
        <v>137</v>
      </c>
      <c r="W18" t="s">
        <v>138</v>
      </c>
      <c r="X18" t="s">
        <v>11</v>
      </c>
      <c r="Y18" t="s">
        <v>14</v>
      </c>
      <c r="Z18" t="s">
        <v>116</v>
      </c>
      <c r="AA18">
        <v>341001548</v>
      </c>
    </row>
    <row r="19" spans="1:28" x14ac:dyDescent="0.35">
      <c r="A19">
        <v>345101242</v>
      </c>
      <c r="B19" s="1">
        <v>46237</v>
      </c>
      <c r="C19" t="s">
        <v>320</v>
      </c>
      <c r="D19" t="s">
        <v>321</v>
      </c>
      <c r="E19" t="s">
        <v>1903</v>
      </c>
      <c r="F19" t="s">
        <v>1904</v>
      </c>
      <c r="G19" t="s">
        <v>1905</v>
      </c>
      <c r="H19" t="s">
        <v>322</v>
      </c>
      <c r="I19" s="1">
        <v>46233</v>
      </c>
      <c r="J19" s="1">
        <v>46237</v>
      </c>
      <c r="K19" t="s">
        <v>104</v>
      </c>
      <c r="L19" t="s">
        <v>323</v>
      </c>
      <c r="M19" t="s">
        <v>324</v>
      </c>
      <c r="N19" t="s">
        <v>131</v>
      </c>
      <c r="O19" t="s">
        <v>53</v>
      </c>
      <c r="P19">
        <v>25000</v>
      </c>
      <c r="Q19">
        <v>0.245</v>
      </c>
      <c r="R19">
        <v>6125</v>
      </c>
      <c r="S19">
        <v>1</v>
      </c>
      <c r="T19">
        <v>0.245</v>
      </c>
      <c r="U19">
        <v>6125</v>
      </c>
      <c r="V19" t="s">
        <v>137</v>
      </c>
      <c r="W19" t="s">
        <v>138</v>
      </c>
      <c r="X19" t="s">
        <v>11</v>
      </c>
      <c r="Y19" t="s">
        <v>14</v>
      </c>
      <c r="Z19" t="s">
        <v>116</v>
      </c>
      <c r="AA19">
        <v>341001548</v>
      </c>
    </row>
    <row r="20" spans="1:28" x14ac:dyDescent="0.35">
      <c r="A20">
        <v>345101242</v>
      </c>
      <c r="B20" s="1">
        <v>46237</v>
      </c>
      <c r="C20" t="s">
        <v>320</v>
      </c>
      <c r="D20" t="s">
        <v>321</v>
      </c>
      <c r="E20" t="s">
        <v>1903</v>
      </c>
      <c r="F20" t="s">
        <v>1904</v>
      </c>
      <c r="G20" t="s">
        <v>1905</v>
      </c>
      <c r="H20" t="s">
        <v>322</v>
      </c>
      <c r="I20" s="1">
        <v>46233</v>
      </c>
      <c r="J20" s="1">
        <v>46237</v>
      </c>
      <c r="K20" t="s">
        <v>104</v>
      </c>
      <c r="L20" t="s">
        <v>323</v>
      </c>
      <c r="M20" t="s">
        <v>324</v>
      </c>
      <c r="N20" t="s">
        <v>131</v>
      </c>
      <c r="O20" t="s">
        <v>53</v>
      </c>
      <c r="P20">
        <v>50000</v>
      </c>
      <c r="Q20">
        <v>0.245</v>
      </c>
      <c r="R20">
        <v>12250</v>
      </c>
      <c r="S20">
        <v>1</v>
      </c>
      <c r="T20">
        <v>0.245</v>
      </c>
      <c r="U20">
        <v>12250</v>
      </c>
      <c r="V20" t="s">
        <v>137</v>
      </c>
      <c r="W20" t="s">
        <v>138</v>
      </c>
      <c r="X20" t="s">
        <v>11</v>
      </c>
      <c r="Y20" t="s">
        <v>14</v>
      </c>
      <c r="Z20" t="s">
        <v>116</v>
      </c>
      <c r="AA20">
        <v>341001548</v>
      </c>
    </row>
    <row r="21" spans="1:28" x14ac:dyDescent="0.35">
      <c r="A21">
        <v>345101242</v>
      </c>
      <c r="B21" s="1">
        <v>46237</v>
      </c>
      <c r="C21" t="s">
        <v>320</v>
      </c>
      <c r="D21" t="s">
        <v>321</v>
      </c>
      <c r="E21" t="s">
        <v>1903</v>
      </c>
      <c r="F21" t="s">
        <v>1904</v>
      </c>
      <c r="G21" t="s">
        <v>1905</v>
      </c>
      <c r="H21" t="s">
        <v>325</v>
      </c>
      <c r="I21" s="1">
        <v>46233</v>
      </c>
      <c r="J21" s="1">
        <v>46237</v>
      </c>
      <c r="K21" t="s">
        <v>104</v>
      </c>
      <c r="L21" t="s">
        <v>326</v>
      </c>
      <c r="M21" t="s">
        <v>327</v>
      </c>
      <c r="N21" t="s">
        <v>131</v>
      </c>
      <c r="O21" t="s">
        <v>53</v>
      </c>
      <c r="P21">
        <v>40000</v>
      </c>
      <c r="Q21">
        <v>5.9999999999999995E-4</v>
      </c>
      <c r="R21">
        <v>24.8</v>
      </c>
      <c r="S21">
        <v>1</v>
      </c>
      <c r="T21">
        <v>5.9999999999999995E-4</v>
      </c>
      <c r="U21">
        <v>24.8</v>
      </c>
      <c r="V21" t="s">
        <v>137</v>
      </c>
      <c r="W21" t="s">
        <v>138</v>
      </c>
      <c r="X21" t="s">
        <v>11</v>
      </c>
      <c r="Y21" t="s">
        <v>14</v>
      </c>
      <c r="Z21" t="s">
        <v>116</v>
      </c>
      <c r="AA21">
        <v>341002150</v>
      </c>
    </row>
    <row r="22" spans="1:28" x14ac:dyDescent="0.35">
      <c r="A22">
        <v>345101242</v>
      </c>
      <c r="B22" s="1">
        <v>46237</v>
      </c>
      <c r="C22" t="s">
        <v>320</v>
      </c>
      <c r="D22" t="s">
        <v>321</v>
      </c>
      <c r="E22" t="s">
        <v>1903</v>
      </c>
      <c r="F22" t="s">
        <v>1904</v>
      </c>
      <c r="G22" t="s">
        <v>1905</v>
      </c>
      <c r="H22" t="s">
        <v>328</v>
      </c>
      <c r="I22" s="1">
        <v>46233</v>
      </c>
      <c r="J22" s="1">
        <v>46237</v>
      </c>
      <c r="K22" t="s">
        <v>104</v>
      </c>
      <c r="L22" t="s">
        <v>329</v>
      </c>
      <c r="M22" t="s">
        <v>330</v>
      </c>
      <c r="N22" t="s">
        <v>131</v>
      </c>
      <c r="O22" t="s">
        <v>53</v>
      </c>
      <c r="P22">
        <v>200000</v>
      </c>
      <c r="Q22">
        <v>4.4999999999999998E-2</v>
      </c>
      <c r="R22">
        <v>9000</v>
      </c>
      <c r="S22">
        <v>1</v>
      </c>
      <c r="T22">
        <v>4.4999999999999998E-2</v>
      </c>
      <c r="U22">
        <v>9000</v>
      </c>
      <c r="V22" t="s">
        <v>137</v>
      </c>
      <c r="W22" t="s">
        <v>138</v>
      </c>
      <c r="X22" t="s">
        <v>11</v>
      </c>
      <c r="Y22" t="s">
        <v>14</v>
      </c>
      <c r="Z22" t="s">
        <v>116</v>
      </c>
      <c r="AA22">
        <v>341002407</v>
      </c>
    </row>
    <row r="23" spans="1:28" x14ac:dyDescent="0.35">
      <c r="A23">
        <v>345101397</v>
      </c>
      <c r="B23" s="1">
        <v>46246</v>
      </c>
      <c r="C23" t="s">
        <v>403</v>
      </c>
      <c r="D23" t="s">
        <v>404</v>
      </c>
      <c r="E23" t="s">
        <v>405</v>
      </c>
      <c r="F23" t="s">
        <v>1900</v>
      </c>
      <c r="G23" t="s">
        <v>1902</v>
      </c>
      <c r="H23">
        <v>7200000366</v>
      </c>
      <c r="I23" s="1">
        <v>46245</v>
      </c>
      <c r="J23" s="1">
        <v>46246</v>
      </c>
      <c r="K23" t="s">
        <v>104</v>
      </c>
      <c r="L23" t="s">
        <v>1621</v>
      </c>
      <c r="M23">
        <v>1011001226</v>
      </c>
      <c r="N23" t="s">
        <v>58</v>
      </c>
      <c r="O23" t="s">
        <v>53</v>
      </c>
      <c r="P23">
        <v>10000</v>
      </c>
      <c r="Q23">
        <v>9.4000000000000004E-3</v>
      </c>
      <c r="R23">
        <v>94</v>
      </c>
      <c r="S23">
        <v>1</v>
      </c>
      <c r="T23">
        <v>9.4000000000000004E-3</v>
      </c>
      <c r="U23">
        <v>94</v>
      </c>
      <c r="V23" t="s">
        <v>137</v>
      </c>
      <c r="W23" t="s">
        <v>138</v>
      </c>
      <c r="X23" t="s">
        <v>78</v>
      </c>
      <c r="Y23" t="s">
        <v>17</v>
      </c>
      <c r="Z23" t="s">
        <v>116</v>
      </c>
      <c r="AA23">
        <v>342000993</v>
      </c>
      <c r="AB23" t="s">
        <v>159</v>
      </c>
    </row>
    <row r="24" spans="1:28" x14ac:dyDescent="0.35">
      <c r="A24">
        <v>345101280</v>
      </c>
      <c r="B24" s="1">
        <v>46237</v>
      </c>
      <c r="C24" t="s">
        <v>331</v>
      </c>
      <c r="D24" t="s">
        <v>332</v>
      </c>
      <c r="E24" t="s">
        <v>332</v>
      </c>
      <c r="F24" t="s">
        <v>1904</v>
      </c>
      <c r="G24" t="s">
        <v>1905</v>
      </c>
      <c r="H24">
        <v>20260010</v>
      </c>
      <c r="I24" s="1">
        <v>46234</v>
      </c>
      <c r="J24" s="1">
        <v>46237</v>
      </c>
      <c r="K24" t="s">
        <v>104</v>
      </c>
      <c r="L24" t="s">
        <v>333</v>
      </c>
      <c r="M24" t="s">
        <v>334</v>
      </c>
      <c r="N24" t="s">
        <v>54</v>
      </c>
      <c r="O24" t="s">
        <v>55</v>
      </c>
      <c r="P24">
        <v>3</v>
      </c>
      <c r="Q24">
        <v>3990</v>
      </c>
      <c r="R24">
        <v>11970</v>
      </c>
      <c r="S24">
        <v>1</v>
      </c>
      <c r="T24">
        <v>3990</v>
      </c>
      <c r="U24">
        <v>11970</v>
      </c>
      <c r="V24" t="s">
        <v>137</v>
      </c>
      <c r="W24" t="s">
        <v>138</v>
      </c>
      <c r="X24" t="s">
        <v>15</v>
      </c>
      <c r="Y24" t="s">
        <v>21</v>
      </c>
      <c r="Z24" t="s">
        <v>116</v>
      </c>
      <c r="AA24">
        <v>342000426</v>
      </c>
      <c r="AB24" t="s">
        <v>335</v>
      </c>
    </row>
    <row r="25" spans="1:28" x14ac:dyDescent="0.35">
      <c r="A25">
        <v>345100979</v>
      </c>
      <c r="B25" s="1">
        <v>46239</v>
      </c>
      <c r="C25" t="s">
        <v>69</v>
      </c>
      <c r="D25" t="s">
        <v>160</v>
      </c>
      <c r="E25" t="s">
        <v>1310</v>
      </c>
      <c r="F25" t="s">
        <v>1892</v>
      </c>
      <c r="G25" t="s">
        <v>1893</v>
      </c>
      <c r="H25">
        <v>4190086858</v>
      </c>
      <c r="I25" s="1">
        <v>46223</v>
      </c>
      <c r="J25" s="1">
        <v>46239</v>
      </c>
      <c r="K25" t="s">
        <v>104</v>
      </c>
      <c r="L25" t="s">
        <v>112</v>
      </c>
      <c r="M25" t="s">
        <v>111</v>
      </c>
      <c r="N25" t="s">
        <v>58</v>
      </c>
      <c r="O25" t="s">
        <v>53</v>
      </c>
      <c r="P25">
        <v>174600</v>
      </c>
      <c r="Q25">
        <v>0.15</v>
      </c>
      <c r="R25">
        <v>26190</v>
      </c>
      <c r="S25">
        <v>1</v>
      </c>
      <c r="T25">
        <v>0.15</v>
      </c>
      <c r="U25">
        <v>26190</v>
      </c>
      <c r="V25" t="s">
        <v>137</v>
      </c>
      <c r="W25" t="s">
        <v>138</v>
      </c>
      <c r="X25" t="s">
        <v>13</v>
      </c>
      <c r="Y25" t="s">
        <v>25</v>
      </c>
      <c r="Z25" t="s">
        <v>116</v>
      </c>
      <c r="AA25">
        <v>341003726</v>
      </c>
      <c r="AB25" t="s">
        <v>166</v>
      </c>
    </row>
    <row r="26" spans="1:28" x14ac:dyDescent="0.35">
      <c r="A26">
        <v>345100979</v>
      </c>
      <c r="B26" s="1">
        <v>46239</v>
      </c>
      <c r="C26" t="s">
        <v>69</v>
      </c>
      <c r="D26" t="s">
        <v>160</v>
      </c>
      <c r="E26" t="s">
        <v>1310</v>
      </c>
      <c r="F26" t="s">
        <v>1892</v>
      </c>
      <c r="G26" t="s">
        <v>1893</v>
      </c>
      <c r="H26">
        <v>4190087746</v>
      </c>
      <c r="I26" s="1">
        <v>46223</v>
      </c>
      <c r="J26" s="1">
        <v>46239</v>
      </c>
      <c r="K26" t="s">
        <v>104</v>
      </c>
      <c r="L26" t="s">
        <v>112</v>
      </c>
      <c r="M26" t="s">
        <v>111</v>
      </c>
      <c r="N26" t="s">
        <v>58</v>
      </c>
      <c r="O26" t="s">
        <v>53</v>
      </c>
      <c r="P26">
        <v>25400</v>
      </c>
      <c r="Q26">
        <v>0.15</v>
      </c>
      <c r="R26">
        <v>3810</v>
      </c>
      <c r="S26">
        <v>1</v>
      </c>
      <c r="T26">
        <v>0.15</v>
      </c>
      <c r="U26">
        <v>3810</v>
      </c>
      <c r="V26" t="s">
        <v>137</v>
      </c>
      <c r="W26" t="s">
        <v>138</v>
      </c>
      <c r="X26" t="s">
        <v>13</v>
      </c>
      <c r="Y26" t="s">
        <v>25</v>
      </c>
      <c r="Z26" t="s">
        <v>116</v>
      </c>
      <c r="AA26">
        <v>342000203</v>
      </c>
      <c r="AB26" t="s">
        <v>166</v>
      </c>
    </row>
    <row r="27" spans="1:28" x14ac:dyDescent="0.35">
      <c r="A27">
        <v>345100979</v>
      </c>
      <c r="B27" s="1">
        <v>46239</v>
      </c>
      <c r="C27" t="s">
        <v>69</v>
      </c>
      <c r="D27" t="s">
        <v>160</v>
      </c>
      <c r="I27" s="1">
        <v>46223</v>
      </c>
      <c r="J27" s="1">
        <v>46239</v>
      </c>
      <c r="K27" t="s">
        <v>104</v>
      </c>
      <c r="L27" t="s">
        <v>70</v>
      </c>
      <c r="M27" t="s">
        <v>70</v>
      </c>
      <c r="N27" t="s">
        <v>63</v>
      </c>
      <c r="O27" t="s">
        <v>350</v>
      </c>
      <c r="P27">
        <v>1</v>
      </c>
      <c r="Q27">
        <v>45</v>
      </c>
      <c r="R27">
        <v>45</v>
      </c>
      <c r="S27">
        <v>1</v>
      </c>
      <c r="T27">
        <v>45</v>
      </c>
      <c r="U27">
        <v>45</v>
      </c>
      <c r="V27" t="s">
        <v>137</v>
      </c>
      <c r="W27" t="s">
        <v>138</v>
      </c>
      <c r="X27" t="s">
        <v>13</v>
      </c>
      <c r="Y27" t="s">
        <v>25</v>
      </c>
      <c r="Z27" t="s">
        <v>116</v>
      </c>
      <c r="AB27" t="s">
        <v>166</v>
      </c>
    </row>
    <row r="28" spans="1:28" x14ac:dyDescent="0.35">
      <c r="A28">
        <v>345101005</v>
      </c>
      <c r="B28" s="1">
        <v>46239</v>
      </c>
      <c r="C28" t="s">
        <v>69</v>
      </c>
      <c r="D28" t="s">
        <v>160</v>
      </c>
      <c r="E28" t="s">
        <v>1310</v>
      </c>
      <c r="F28" t="s">
        <v>1892</v>
      </c>
      <c r="G28" t="s">
        <v>1893</v>
      </c>
      <c r="H28">
        <v>4190086852</v>
      </c>
      <c r="I28" s="1">
        <v>46224</v>
      </c>
      <c r="J28" s="1">
        <v>46239</v>
      </c>
      <c r="K28" t="s">
        <v>104</v>
      </c>
      <c r="L28" t="s">
        <v>110</v>
      </c>
      <c r="M28" t="s">
        <v>109</v>
      </c>
      <c r="N28" t="s">
        <v>58</v>
      </c>
      <c r="O28" t="s">
        <v>53</v>
      </c>
      <c r="P28">
        <v>59200</v>
      </c>
      <c r="Q28">
        <v>0.13500000000000001</v>
      </c>
      <c r="R28">
        <v>7992</v>
      </c>
      <c r="S28">
        <v>1</v>
      </c>
      <c r="T28">
        <v>0.13500000000000001</v>
      </c>
      <c r="U28">
        <v>7992</v>
      </c>
      <c r="V28" t="s">
        <v>137</v>
      </c>
      <c r="W28" t="s">
        <v>138</v>
      </c>
      <c r="X28" t="s">
        <v>13</v>
      </c>
      <c r="Y28" t="s">
        <v>25</v>
      </c>
      <c r="Z28" t="s">
        <v>116</v>
      </c>
      <c r="AA28">
        <v>341003710</v>
      </c>
      <c r="AB28" t="s">
        <v>165</v>
      </c>
    </row>
    <row r="29" spans="1:28" x14ac:dyDescent="0.35">
      <c r="A29">
        <v>345101005</v>
      </c>
      <c r="B29" s="1">
        <v>46239</v>
      </c>
      <c r="C29" t="s">
        <v>69</v>
      </c>
      <c r="D29" t="s">
        <v>160</v>
      </c>
      <c r="E29" t="s">
        <v>1310</v>
      </c>
      <c r="F29" t="s">
        <v>1892</v>
      </c>
      <c r="G29" t="s">
        <v>1893</v>
      </c>
      <c r="H29">
        <v>4190087746</v>
      </c>
      <c r="I29" s="1">
        <v>46224</v>
      </c>
      <c r="J29" s="1">
        <v>46239</v>
      </c>
      <c r="K29" t="s">
        <v>104</v>
      </c>
      <c r="L29" t="s">
        <v>112</v>
      </c>
      <c r="M29" t="s">
        <v>111</v>
      </c>
      <c r="N29" t="s">
        <v>58</v>
      </c>
      <c r="O29" t="s">
        <v>53</v>
      </c>
      <c r="P29">
        <v>100000</v>
      </c>
      <c r="Q29">
        <v>0.15</v>
      </c>
      <c r="R29">
        <v>15000</v>
      </c>
      <c r="S29">
        <v>1</v>
      </c>
      <c r="T29">
        <v>0.15</v>
      </c>
      <c r="U29">
        <v>15000</v>
      </c>
      <c r="V29" t="s">
        <v>137</v>
      </c>
      <c r="W29" t="s">
        <v>138</v>
      </c>
      <c r="X29" t="s">
        <v>13</v>
      </c>
      <c r="Y29" t="s">
        <v>25</v>
      </c>
      <c r="Z29" t="s">
        <v>116</v>
      </c>
      <c r="AA29">
        <v>342000203</v>
      </c>
      <c r="AB29" t="s">
        <v>165</v>
      </c>
    </row>
    <row r="30" spans="1:28" x14ac:dyDescent="0.35">
      <c r="A30">
        <v>345101005</v>
      </c>
      <c r="B30" s="1">
        <v>46239</v>
      </c>
      <c r="C30" t="s">
        <v>69</v>
      </c>
      <c r="D30" t="s">
        <v>160</v>
      </c>
      <c r="E30" t="s">
        <v>1310</v>
      </c>
      <c r="F30" t="s">
        <v>1892</v>
      </c>
      <c r="G30" t="s">
        <v>1893</v>
      </c>
      <c r="H30">
        <v>4190086322</v>
      </c>
      <c r="I30" s="1">
        <v>46224</v>
      </c>
      <c r="J30" s="1">
        <v>46239</v>
      </c>
      <c r="K30" t="s">
        <v>104</v>
      </c>
      <c r="L30" t="s">
        <v>339</v>
      </c>
      <c r="M30" t="s">
        <v>340</v>
      </c>
      <c r="N30" t="s">
        <v>58</v>
      </c>
      <c r="O30" t="s">
        <v>53</v>
      </c>
      <c r="P30">
        <v>36800</v>
      </c>
      <c r="Q30">
        <v>0.16</v>
      </c>
      <c r="R30">
        <v>5888</v>
      </c>
      <c r="S30">
        <v>1</v>
      </c>
      <c r="T30">
        <v>0.16</v>
      </c>
      <c r="U30">
        <v>5888</v>
      </c>
      <c r="V30" t="s">
        <v>137</v>
      </c>
      <c r="W30" t="s">
        <v>138</v>
      </c>
      <c r="X30" t="s">
        <v>13</v>
      </c>
      <c r="Y30" t="s">
        <v>25</v>
      </c>
      <c r="Z30" t="s">
        <v>116</v>
      </c>
      <c r="AA30">
        <v>341003439</v>
      </c>
      <c r="AB30" t="s">
        <v>165</v>
      </c>
    </row>
    <row r="31" spans="1:28" x14ac:dyDescent="0.35">
      <c r="A31">
        <v>345101005</v>
      </c>
      <c r="B31" s="1">
        <v>46239</v>
      </c>
      <c r="C31" t="s">
        <v>69</v>
      </c>
      <c r="D31" t="s">
        <v>160</v>
      </c>
      <c r="E31" t="s">
        <v>1310</v>
      </c>
      <c r="F31" t="s">
        <v>1892</v>
      </c>
      <c r="G31" t="s">
        <v>1893</v>
      </c>
      <c r="H31">
        <v>4190086322</v>
      </c>
      <c r="I31" s="1">
        <v>46224</v>
      </c>
      <c r="J31" s="1">
        <v>46239</v>
      </c>
      <c r="K31" t="s">
        <v>104</v>
      </c>
      <c r="L31" t="s">
        <v>339</v>
      </c>
      <c r="M31" t="s">
        <v>340</v>
      </c>
      <c r="N31" t="s">
        <v>58</v>
      </c>
      <c r="O31" t="s">
        <v>53</v>
      </c>
      <c r="P31">
        <v>40000</v>
      </c>
      <c r="Q31">
        <v>0.16</v>
      </c>
      <c r="R31">
        <v>6400</v>
      </c>
      <c r="S31">
        <v>1</v>
      </c>
      <c r="T31">
        <v>0.16</v>
      </c>
      <c r="U31">
        <v>6400</v>
      </c>
      <c r="V31" t="s">
        <v>137</v>
      </c>
      <c r="W31" t="s">
        <v>138</v>
      </c>
      <c r="X31" t="s">
        <v>13</v>
      </c>
      <c r="Y31" t="s">
        <v>25</v>
      </c>
      <c r="Z31" t="s">
        <v>116</v>
      </c>
      <c r="AA31">
        <v>341003439</v>
      </c>
      <c r="AB31" t="s">
        <v>165</v>
      </c>
    </row>
    <row r="32" spans="1:28" x14ac:dyDescent="0.35">
      <c r="A32">
        <v>345101058</v>
      </c>
      <c r="B32" s="1">
        <v>46239</v>
      </c>
      <c r="C32" t="s">
        <v>69</v>
      </c>
      <c r="D32" t="s">
        <v>160</v>
      </c>
      <c r="E32" t="s">
        <v>1310</v>
      </c>
      <c r="F32" t="s">
        <v>1892</v>
      </c>
      <c r="G32" t="s">
        <v>1893</v>
      </c>
      <c r="H32">
        <v>4190089447</v>
      </c>
      <c r="I32" s="1">
        <v>46225</v>
      </c>
      <c r="J32" s="1">
        <v>46239</v>
      </c>
      <c r="K32" t="s">
        <v>104</v>
      </c>
      <c r="L32" t="s">
        <v>341</v>
      </c>
      <c r="M32" t="s">
        <v>342</v>
      </c>
      <c r="N32" t="s">
        <v>108</v>
      </c>
      <c r="O32" t="s">
        <v>62</v>
      </c>
      <c r="P32">
        <v>249000</v>
      </c>
      <c r="Q32">
        <v>6.4000000000000003E-3</v>
      </c>
      <c r="R32">
        <v>1593.6</v>
      </c>
      <c r="S32">
        <v>1</v>
      </c>
      <c r="T32">
        <v>6.4000000000000003E-3</v>
      </c>
      <c r="U32">
        <v>1593.6</v>
      </c>
      <c r="V32" t="s">
        <v>137</v>
      </c>
      <c r="W32" t="s">
        <v>138</v>
      </c>
      <c r="X32" t="s">
        <v>13</v>
      </c>
      <c r="Y32" t="s">
        <v>25</v>
      </c>
      <c r="Z32" t="s">
        <v>116</v>
      </c>
      <c r="AA32">
        <v>342000732</v>
      </c>
      <c r="AB32" t="s">
        <v>166</v>
      </c>
    </row>
    <row r="33" spans="1:28" x14ac:dyDescent="0.35">
      <c r="A33">
        <v>345101058</v>
      </c>
      <c r="B33" s="1">
        <v>46239</v>
      </c>
      <c r="C33" t="s">
        <v>69</v>
      </c>
      <c r="D33" t="s">
        <v>160</v>
      </c>
      <c r="E33" t="s">
        <v>1310</v>
      </c>
      <c r="F33" t="s">
        <v>1892</v>
      </c>
      <c r="G33" t="s">
        <v>1893</v>
      </c>
      <c r="H33">
        <v>4190089447</v>
      </c>
      <c r="I33" s="1">
        <v>46225</v>
      </c>
      <c r="J33" s="1">
        <v>46239</v>
      </c>
      <c r="K33" t="s">
        <v>104</v>
      </c>
      <c r="L33" t="s">
        <v>341</v>
      </c>
      <c r="M33" t="s">
        <v>342</v>
      </c>
      <c r="N33" t="s">
        <v>108</v>
      </c>
      <c r="O33" t="s">
        <v>62</v>
      </c>
      <c r="P33">
        <v>249000</v>
      </c>
      <c r="Q33">
        <v>6.4000000000000003E-3</v>
      </c>
      <c r="R33">
        <v>1593.6</v>
      </c>
      <c r="S33">
        <v>1</v>
      </c>
      <c r="T33">
        <v>6.4000000000000003E-3</v>
      </c>
      <c r="U33">
        <v>1593.6</v>
      </c>
      <c r="V33" t="s">
        <v>137</v>
      </c>
      <c r="W33" t="s">
        <v>138</v>
      </c>
      <c r="X33" t="s">
        <v>13</v>
      </c>
      <c r="Y33" t="s">
        <v>25</v>
      </c>
      <c r="Z33" t="s">
        <v>116</v>
      </c>
      <c r="AA33">
        <v>342000732</v>
      </c>
      <c r="AB33" t="s">
        <v>166</v>
      </c>
    </row>
    <row r="34" spans="1:28" x14ac:dyDescent="0.35">
      <c r="A34">
        <v>345101058</v>
      </c>
      <c r="B34" s="1">
        <v>46239</v>
      </c>
      <c r="C34" t="s">
        <v>69</v>
      </c>
      <c r="D34" t="s">
        <v>160</v>
      </c>
      <c r="E34" t="s">
        <v>1310</v>
      </c>
      <c r="F34" t="s">
        <v>1892</v>
      </c>
      <c r="G34" t="s">
        <v>1893</v>
      </c>
      <c r="H34">
        <v>4190086984</v>
      </c>
      <c r="I34" s="1">
        <v>46225</v>
      </c>
      <c r="J34" s="1">
        <v>46239</v>
      </c>
      <c r="K34" t="s">
        <v>104</v>
      </c>
      <c r="L34" t="s">
        <v>343</v>
      </c>
      <c r="M34" t="s">
        <v>344</v>
      </c>
      <c r="N34" t="s">
        <v>38</v>
      </c>
      <c r="O34" t="s">
        <v>53</v>
      </c>
      <c r="P34">
        <v>28000</v>
      </c>
      <c r="Q34">
        <v>7.0000000000000007E-2</v>
      </c>
      <c r="R34">
        <v>1960</v>
      </c>
      <c r="S34">
        <v>1</v>
      </c>
      <c r="T34">
        <v>7.0000000000000007E-2</v>
      </c>
      <c r="U34">
        <v>1960</v>
      </c>
      <c r="V34" t="s">
        <v>137</v>
      </c>
      <c r="W34" t="s">
        <v>138</v>
      </c>
      <c r="X34" t="s">
        <v>13</v>
      </c>
      <c r="Y34" t="s">
        <v>25</v>
      </c>
      <c r="Z34" t="s">
        <v>116</v>
      </c>
      <c r="AA34">
        <v>342000024</v>
      </c>
      <c r="AB34" t="s">
        <v>166</v>
      </c>
    </row>
    <row r="35" spans="1:28" x14ac:dyDescent="0.35">
      <c r="A35">
        <v>345101058</v>
      </c>
      <c r="B35" s="1">
        <v>46239</v>
      </c>
      <c r="C35" t="s">
        <v>69</v>
      </c>
      <c r="D35" t="s">
        <v>160</v>
      </c>
      <c r="E35" t="s">
        <v>1310</v>
      </c>
      <c r="F35" t="s">
        <v>1892</v>
      </c>
      <c r="G35" t="s">
        <v>1893</v>
      </c>
      <c r="H35">
        <v>4190086984</v>
      </c>
      <c r="I35" s="1">
        <v>46225</v>
      </c>
      <c r="J35" s="1">
        <v>46239</v>
      </c>
      <c r="K35" t="s">
        <v>104</v>
      </c>
      <c r="L35" t="s">
        <v>343</v>
      </c>
      <c r="M35" t="s">
        <v>344</v>
      </c>
      <c r="N35" t="s">
        <v>38</v>
      </c>
      <c r="O35" t="s">
        <v>53</v>
      </c>
      <c r="P35">
        <v>29000</v>
      </c>
      <c r="Q35">
        <v>7.0000000000000007E-2</v>
      </c>
      <c r="R35">
        <v>2030</v>
      </c>
      <c r="S35">
        <v>1</v>
      </c>
      <c r="T35">
        <v>7.0000000000000007E-2</v>
      </c>
      <c r="U35">
        <v>2030</v>
      </c>
      <c r="V35" t="s">
        <v>137</v>
      </c>
      <c r="W35" t="s">
        <v>138</v>
      </c>
      <c r="X35" t="s">
        <v>13</v>
      </c>
      <c r="Y35" t="s">
        <v>25</v>
      </c>
      <c r="Z35" t="s">
        <v>116</v>
      </c>
      <c r="AA35">
        <v>342000024</v>
      </c>
      <c r="AB35" t="s">
        <v>166</v>
      </c>
    </row>
    <row r="36" spans="1:28" x14ac:dyDescent="0.35">
      <c r="A36">
        <v>345101058</v>
      </c>
      <c r="B36" s="1">
        <v>46239</v>
      </c>
      <c r="C36" t="s">
        <v>69</v>
      </c>
      <c r="D36" t="s">
        <v>160</v>
      </c>
      <c r="E36" t="s">
        <v>1310</v>
      </c>
      <c r="F36" t="s">
        <v>1892</v>
      </c>
      <c r="G36" t="s">
        <v>1893</v>
      </c>
      <c r="H36">
        <v>4190086984</v>
      </c>
      <c r="I36" s="1">
        <v>46225</v>
      </c>
      <c r="J36" s="1">
        <v>46239</v>
      </c>
      <c r="K36" t="s">
        <v>104</v>
      </c>
      <c r="L36" t="s">
        <v>343</v>
      </c>
      <c r="M36" t="s">
        <v>344</v>
      </c>
      <c r="N36" t="s">
        <v>38</v>
      </c>
      <c r="O36" t="s">
        <v>53</v>
      </c>
      <c r="P36">
        <v>20000</v>
      </c>
      <c r="Q36">
        <v>7.0000000000000007E-2</v>
      </c>
      <c r="R36">
        <v>1400</v>
      </c>
      <c r="S36">
        <v>1</v>
      </c>
      <c r="T36">
        <v>7.0000000000000007E-2</v>
      </c>
      <c r="U36">
        <v>1400</v>
      </c>
      <c r="V36" t="s">
        <v>137</v>
      </c>
      <c r="W36" t="s">
        <v>138</v>
      </c>
      <c r="X36" t="s">
        <v>13</v>
      </c>
      <c r="Y36" t="s">
        <v>25</v>
      </c>
      <c r="Z36" t="s">
        <v>116</v>
      </c>
      <c r="AA36">
        <v>342000024</v>
      </c>
      <c r="AB36" t="s">
        <v>166</v>
      </c>
    </row>
    <row r="37" spans="1:28" x14ac:dyDescent="0.35">
      <c r="A37">
        <v>345101058</v>
      </c>
      <c r="B37" s="1">
        <v>46239</v>
      </c>
      <c r="C37" t="s">
        <v>69</v>
      </c>
      <c r="D37" t="s">
        <v>160</v>
      </c>
      <c r="E37" t="s">
        <v>1310</v>
      </c>
      <c r="F37" t="s">
        <v>1892</v>
      </c>
      <c r="G37" t="s">
        <v>1893</v>
      </c>
      <c r="H37">
        <v>4190088874</v>
      </c>
      <c r="I37" s="1">
        <v>46225</v>
      </c>
      <c r="J37" s="1">
        <v>46239</v>
      </c>
      <c r="K37" t="s">
        <v>104</v>
      </c>
      <c r="L37" t="s">
        <v>343</v>
      </c>
      <c r="M37" t="s">
        <v>344</v>
      </c>
      <c r="N37" t="s">
        <v>38</v>
      </c>
      <c r="O37" t="s">
        <v>53</v>
      </c>
      <c r="P37">
        <v>23000</v>
      </c>
      <c r="Q37">
        <v>7.0000000000000007E-2</v>
      </c>
      <c r="R37">
        <v>1610</v>
      </c>
      <c r="S37">
        <v>1</v>
      </c>
      <c r="T37">
        <v>7.0000000000000007E-2</v>
      </c>
      <c r="U37">
        <v>1610</v>
      </c>
      <c r="V37" t="s">
        <v>137</v>
      </c>
      <c r="W37" t="s">
        <v>138</v>
      </c>
      <c r="X37" t="s">
        <v>13</v>
      </c>
      <c r="Y37" t="s">
        <v>25</v>
      </c>
      <c r="Z37" t="s">
        <v>116</v>
      </c>
      <c r="AA37">
        <v>342000733</v>
      </c>
      <c r="AB37" t="s">
        <v>166</v>
      </c>
    </row>
    <row r="38" spans="1:28" x14ac:dyDescent="0.35">
      <c r="A38">
        <v>345101058</v>
      </c>
      <c r="B38" s="1">
        <v>46239</v>
      </c>
      <c r="C38" t="s">
        <v>69</v>
      </c>
      <c r="D38" t="s">
        <v>160</v>
      </c>
      <c r="E38" t="s">
        <v>1310</v>
      </c>
      <c r="F38" t="s">
        <v>1892</v>
      </c>
      <c r="G38" t="s">
        <v>1893</v>
      </c>
      <c r="H38">
        <v>4190088874</v>
      </c>
      <c r="I38" s="1">
        <v>46225</v>
      </c>
      <c r="J38" s="1">
        <v>46239</v>
      </c>
      <c r="K38" t="s">
        <v>104</v>
      </c>
      <c r="L38" t="s">
        <v>343</v>
      </c>
      <c r="M38" t="s">
        <v>344</v>
      </c>
      <c r="N38" t="s">
        <v>38</v>
      </c>
      <c r="O38" t="s">
        <v>53</v>
      </c>
      <c r="P38">
        <v>200000</v>
      </c>
      <c r="Q38">
        <v>7.0000000000000007E-2</v>
      </c>
      <c r="R38">
        <v>14000</v>
      </c>
      <c r="S38">
        <v>1</v>
      </c>
      <c r="T38">
        <v>7.0000000000000007E-2</v>
      </c>
      <c r="U38">
        <v>14000</v>
      </c>
      <c r="V38" t="s">
        <v>137</v>
      </c>
      <c r="W38" t="s">
        <v>138</v>
      </c>
      <c r="X38" t="s">
        <v>13</v>
      </c>
      <c r="Y38" t="s">
        <v>25</v>
      </c>
      <c r="Z38" t="s">
        <v>116</v>
      </c>
      <c r="AA38">
        <v>342000733</v>
      </c>
      <c r="AB38" t="s">
        <v>166</v>
      </c>
    </row>
    <row r="39" spans="1:28" x14ac:dyDescent="0.35">
      <c r="A39">
        <v>345101334</v>
      </c>
      <c r="B39" s="1">
        <v>46247</v>
      </c>
      <c r="C39" t="s">
        <v>1664</v>
      </c>
      <c r="D39" t="s">
        <v>535</v>
      </c>
      <c r="I39" s="1">
        <v>46239</v>
      </c>
      <c r="J39" s="1">
        <v>46247</v>
      </c>
      <c r="K39" t="s">
        <v>104</v>
      </c>
      <c r="L39" t="s">
        <v>70</v>
      </c>
      <c r="M39" t="s">
        <v>70</v>
      </c>
      <c r="N39" t="s">
        <v>63</v>
      </c>
      <c r="O39" t="s">
        <v>350</v>
      </c>
      <c r="P39">
        <v>1</v>
      </c>
      <c r="Q39">
        <v>45</v>
      </c>
      <c r="R39">
        <v>45</v>
      </c>
      <c r="S39">
        <v>1</v>
      </c>
      <c r="T39">
        <v>45</v>
      </c>
      <c r="U39">
        <v>45</v>
      </c>
      <c r="V39" t="s">
        <v>137</v>
      </c>
      <c r="W39" t="s">
        <v>138</v>
      </c>
      <c r="X39" t="s">
        <v>13</v>
      </c>
      <c r="Y39" t="s">
        <v>14</v>
      </c>
      <c r="Z39" t="s">
        <v>116</v>
      </c>
      <c r="AB39" t="s">
        <v>1665</v>
      </c>
    </row>
    <row r="40" spans="1:28" x14ac:dyDescent="0.35">
      <c r="A40">
        <v>345101252</v>
      </c>
      <c r="B40" s="1">
        <v>46240</v>
      </c>
      <c r="C40" t="s">
        <v>351</v>
      </c>
      <c r="D40" t="s">
        <v>352</v>
      </c>
      <c r="E40" t="s">
        <v>352</v>
      </c>
      <c r="F40" t="s">
        <v>1897</v>
      </c>
      <c r="G40" t="s">
        <v>1906</v>
      </c>
      <c r="H40">
        <v>7000001195</v>
      </c>
      <c r="I40" s="1">
        <v>46233</v>
      </c>
      <c r="J40" s="1">
        <v>46240</v>
      </c>
      <c r="K40" t="s">
        <v>104</v>
      </c>
      <c r="L40" t="s">
        <v>353</v>
      </c>
      <c r="M40">
        <v>314000283</v>
      </c>
      <c r="N40" t="s">
        <v>59</v>
      </c>
      <c r="O40" t="s">
        <v>55</v>
      </c>
      <c r="P40">
        <v>5000</v>
      </c>
      <c r="Q40">
        <v>2.61</v>
      </c>
      <c r="R40">
        <v>13050</v>
      </c>
      <c r="S40">
        <v>1</v>
      </c>
      <c r="T40">
        <v>2.61</v>
      </c>
      <c r="U40">
        <v>13050</v>
      </c>
      <c r="V40" t="s">
        <v>137</v>
      </c>
      <c r="W40" t="s">
        <v>138</v>
      </c>
      <c r="X40" t="s">
        <v>13</v>
      </c>
      <c r="Y40" t="s">
        <v>14</v>
      </c>
      <c r="Z40" t="s">
        <v>116</v>
      </c>
      <c r="AA40">
        <v>341002623</v>
      </c>
    </row>
    <row r="41" spans="1:28" x14ac:dyDescent="0.35">
      <c r="A41">
        <v>345101252</v>
      </c>
      <c r="B41" s="1">
        <v>46240</v>
      </c>
      <c r="C41" t="s">
        <v>351</v>
      </c>
      <c r="D41" t="s">
        <v>352</v>
      </c>
      <c r="E41" t="s">
        <v>352</v>
      </c>
      <c r="F41" t="s">
        <v>1897</v>
      </c>
      <c r="G41" t="s">
        <v>1906</v>
      </c>
      <c r="H41">
        <v>7000001435</v>
      </c>
      <c r="I41" s="1">
        <v>46233</v>
      </c>
      <c r="J41" s="1">
        <v>46240</v>
      </c>
      <c r="K41" t="s">
        <v>104</v>
      </c>
      <c r="L41" t="s">
        <v>353</v>
      </c>
      <c r="M41">
        <v>314000283</v>
      </c>
      <c r="N41" t="s">
        <v>59</v>
      </c>
      <c r="O41" t="s">
        <v>55</v>
      </c>
      <c r="P41">
        <v>5000</v>
      </c>
      <c r="Q41">
        <v>2.61</v>
      </c>
      <c r="R41">
        <v>13050</v>
      </c>
      <c r="S41">
        <v>1</v>
      </c>
      <c r="T41">
        <v>2.61</v>
      </c>
      <c r="U41">
        <v>13050</v>
      </c>
      <c r="V41" t="s">
        <v>137</v>
      </c>
      <c r="W41" t="s">
        <v>138</v>
      </c>
      <c r="X41" t="s">
        <v>13</v>
      </c>
      <c r="Y41" t="s">
        <v>14</v>
      </c>
      <c r="Z41" t="s">
        <v>116</v>
      </c>
      <c r="AA41">
        <v>341003608</v>
      </c>
    </row>
    <row r="42" spans="1:28" x14ac:dyDescent="0.35">
      <c r="A42">
        <v>345101284</v>
      </c>
      <c r="B42" s="1">
        <v>46241</v>
      </c>
      <c r="C42" t="s">
        <v>361</v>
      </c>
      <c r="D42" t="s">
        <v>362</v>
      </c>
      <c r="E42" t="s">
        <v>363</v>
      </c>
      <c r="F42" t="s">
        <v>1904</v>
      </c>
      <c r="G42" t="s">
        <v>1907</v>
      </c>
      <c r="H42">
        <v>1029001422</v>
      </c>
      <c r="I42" s="1">
        <v>46237</v>
      </c>
      <c r="J42" s="1">
        <v>46241</v>
      </c>
      <c r="K42" t="s">
        <v>104</v>
      </c>
      <c r="L42" t="s">
        <v>364</v>
      </c>
      <c r="M42" t="s">
        <v>365</v>
      </c>
      <c r="N42" t="s">
        <v>366</v>
      </c>
      <c r="O42" t="s">
        <v>53</v>
      </c>
      <c r="P42">
        <v>5000</v>
      </c>
      <c r="Q42">
        <v>4.3E-3</v>
      </c>
      <c r="R42">
        <v>21.75</v>
      </c>
      <c r="S42">
        <v>1</v>
      </c>
      <c r="T42">
        <v>4.3E-3</v>
      </c>
      <c r="U42">
        <v>21.75</v>
      </c>
      <c r="V42" t="s">
        <v>137</v>
      </c>
      <c r="W42" t="s">
        <v>138</v>
      </c>
      <c r="X42" t="s">
        <v>11</v>
      </c>
      <c r="Y42" t="s">
        <v>14</v>
      </c>
      <c r="Z42" t="s">
        <v>116</v>
      </c>
      <c r="AA42">
        <v>232400933</v>
      </c>
      <c r="AB42" t="s">
        <v>159</v>
      </c>
    </row>
    <row r="43" spans="1:28" x14ac:dyDescent="0.35">
      <c r="A43">
        <v>345101325</v>
      </c>
      <c r="B43" s="1">
        <v>46241</v>
      </c>
      <c r="C43" t="s">
        <v>367</v>
      </c>
      <c r="D43" t="s">
        <v>132</v>
      </c>
      <c r="E43" t="s">
        <v>132</v>
      </c>
      <c r="F43" t="s">
        <v>1897</v>
      </c>
      <c r="G43" t="s">
        <v>1906</v>
      </c>
      <c r="H43" t="s">
        <v>368</v>
      </c>
      <c r="I43" s="1">
        <v>46239</v>
      </c>
      <c r="J43" s="1">
        <v>46241</v>
      </c>
      <c r="K43" t="s">
        <v>104</v>
      </c>
      <c r="L43" t="s">
        <v>369</v>
      </c>
      <c r="M43" t="s">
        <v>370</v>
      </c>
      <c r="N43" t="s">
        <v>371</v>
      </c>
      <c r="O43" t="s">
        <v>53</v>
      </c>
      <c r="P43">
        <v>1000</v>
      </c>
      <c r="Q43">
        <v>0.05</v>
      </c>
      <c r="R43">
        <v>50</v>
      </c>
      <c r="S43">
        <v>1</v>
      </c>
      <c r="T43">
        <v>0.05</v>
      </c>
      <c r="U43">
        <v>50</v>
      </c>
      <c r="V43" t="s">
        <v>137</v>
      </c>
      <c r="W43" t="s">
        <v>138</v>
      </c>
      <c r="X43" t="s">
        <v>13</v>
      </c>
      <c r="Y43" t="s">
        <v>23</v>
      </c>
      <c r="Z43" t="s">
        <v>372</v>
      </c>
      <c r="AA43">
        <v>341003558</v>
      </c>
      <c r="AB43" t="s">
        <v>159</v>
      </c>
    </row>
    <row r="44" spans="1:28" x14ac:dyDescent="0.35">
      <c r="A44">
        <v>345101100</v>
      </c>
      <c r="B44" s="1">
        <v>46240</v>
      </c>
      <c r="C44" t="s">
        <v>354</v>
      </c>
      <c r="D44" t="s">
        <v>355</v>
      </c>
      <c r="E44" t="s">
        <v>355</v>
      </c>
      <c r="F44" t="s">
        <v>1892</v>
      </c>
      <c r="G44" t="s">
        <v>1908</v>
      </c>
      <c r="H44" t="s">
        <v>356</v>
      </c>
      <c r="I44" s="1">
        <v>46226</v>
      </c>
      <c r="J44" s="1">
        <v>46240</v>
      </c>
      <c r="K44" t="s">
        <v>104</v>
      </c>
      <c r="L44" t="s">
        <v>357</v>
      </c>
      <c r="M44" t="s">
        <v>357</v>
      </c>
      <c r="N44" t="s">
        <v>58</v>
      </c>
      <c r="O44" t="s">
        <v>53</v>
      </c>
      <c r="P44">
        <v>84000</v>
      </c>
      <c r="Q44">
        <v>4.2500000000000003E-2</v>
      </c>
      <c r="R44">
        <v>3570</v>
      </c>
      <c r="S44">
        <v>1</v>
      </c>
      <c r="T44">
        <v>4.2500000000000003E-2</v>
      </c>
      <c r="U44">
        <v>3570</v>
      </c>
      <c r="V44" t="s">
        <v>137</v>
      </c>
      <c r="W44" t="s">
        <v>138</v>
      </c>
      <c r="X44" t="s">
        <v>13</v>
      </c>
      <c r="Y44" t="s">
        <v>21</v>
      </c>
      <c r="Z44" t="s">
        <v>116</v>
      </c>
      <c r="AA44">
        <v>341002831</v>
      </c>
      <c r="AB44" t="s">
        <v>358</v>
      </c>
    </row>
    <row r="45" spans="1:28" x14ac:dyDescent="0.35">
      <c r="A45">
        <v>345101100</v>
      </c>
      <c r="B45" s="1">
        <v>46240</v>
      </c>
      <c r="C45" t="s">
        <v>354</v>
      </c>
      <c r="D45" t="s">
        <v>355</v>
      </c>
      <c r="E45" t="s">
        <v>355</v>
      </c>
      <c r="F45" t="s">
        <v>1892</v>
      </c>
      <c r="G45" t="s">
        <v>1908</v>
      </c>
      <c r="H45" t="s">
        <v>356</v>
      </c>
      <c r="I45" s="1">
        <v>46226</v>
      </c>
      <c r="J45" s="1">
        <v>46240</v>
      </c>
      <c r="K45" t="s">
        <v>104</v>
      </c>
      <c r="L45" t="s">
        <v>357</v>
      </c>
      <c r="M45" t="s">
        <v>357</v>
      </c>
      <c r="N45" t="s">
        <v>58</v>
      </c>
      <c r="O45" t="s">
        <v>53</v>
      </c>
      <c r="P45">
        <v>71000</v>
      </c>
      <c r="Q45">
        <v>4.2500000000000003E-2</v>
      </c>
      <c r="R45">
        <v>3017.5</v>
      </c>
      <c r="S45">
        <v>1</v>
      </c>
      <c r="T45">
        <v>4.2500000000000003E-2</v>
      </c>
      <c r="U45">
        <v>3017.5</v>
      </c>
      <c r="V45" t="s">
        <v>137</v>
      </c>
      <c r="W45" t="s">
        <v>138</v>
      </c>
      <c r="X45" t="s">
        <v>13</v>
      </c>
      <c r="Y45" t="s">
        <v>21</v>
      </c>
      <c r="Z45" t="s">
        <v>116</v>
      </c>
      <c r="AA45">
        <v>341002831</v>
      </c>
      <c r="AB45" t="s">
        <v>358</v>
      </c>
    </row>
    <row r="46" spans="1:28" x14ac:dyDescent="0.35">
      <c r="A46">
        <v>345101100</v>
      </c>
      <c r="B46" s="1">
        <v>46240</v>
      </c>
      <c r="C46" t="s">
        <v>354</v>
      </c>
      <c r="D46" t="s">
        <v>355</v>
      </c>
      <c r="E46" t="s">
        <v>355</v>
      </c>
      <c r="F46" t="s">
        <v>1892</v>
      </c>
      <c r="G46" t="s">
        <v>1908</v>
      </c>
      <c r="H46" t="s">
        <v>356</v>
      </c>
      <c r="I46" s="1">
        <v>46226</v>
      </c>
      <c r="J46" s="1">
        <v>46240</v>
      </c>
      <c r="K46" t="s">
        <v>104</v>
      </c>
      <c r="L46" t="s">
        <v>359</v>
      </c>
      <c r="M46" t="s">
        <v>359</v>
      </c>
      <c r="N46" t="s">
        <v>58</v>
      </c>
      <c r="O46" t="s">
        <v>53</v>
      </c>
      <c r="P46">
        <v>105000</v>
      </c>
      <c r="Q46">
        <v>0.188</v>
      </c>
      <c r="R46">
        <v>19740</v>
      </c>
      <c r="S46">
        <v>1</v>
      </c>
      <c r="T46">
        <v>0.188</v>
      </c>
      <c r="U46">
        <v>19740</v>
      </c>
      <c r="V46" t="s">
        <v>137</v>
      </c>
      <c r="W46" t="s">
        <v>138</v>
      </c>
      <c r="X46" t="s">
        <v>13</v>
      </c>
      <c r="Y46" t="s">
        <v>21</v>
      </c>
      <c r="Z46" t="s">
        <v>116</v>
      </c>
      <c r="AA46">
        <v>341002831</v>
      </c>
      <c r="AB46" t="s">
        <v>358</v>
      </c>
    </row>
    <row r="47" spans="1:28" x14ac:dyDescent="0.35">
      <c r="A47">
        <v>345101100</v>
      </c>
      <c r="B47" s="1">
        <v>46240</v>
      </c>
      <c r="C47" t="s">
        <v>354</v>
      </c>
      <c r="D47" t="s">
        <v>355</v>
      </c>
      <c r="E47" t="s">
        <v>355</v>
      </c>
      <c r="F47" t="s">
        <v>1892</v>
      </c>
      <c r="G47" t="s">
        <v>1908</v>
      </c>
      <c r="H47" t="s">
        <v>356</v>
      </c>
      <c r="I47" s="1">
        <v>46226</v>
      </c>
      <c r="J47" s="1">
        <v>46240</v>
      </c>
      <c r="K47" t="s">
        <v>104</v>
      </c>
      <c r="L47" t="s">
        <v>359</v>
      </c>
      <c r="M47" t="s">
        <v>359</v>
      </c>
      <c r="N47" t="s">
        <v>58</v>
      </c>
      <c r="O47" t="s">
        <v>53</v>
      </c>
      <c r="P47">
        <v>30000</v>
      </c>
      <c r="Q47">
        <v>0.188</v>
      </c>
      <c r="R47">
        <v>5640</v>
      </c>
      <c r="S47">
        <v>1</v>
      </c>
      <c r="T47">
        <v>0.188</v>
      </c>
      <c r="U47">
        <v>5640</v>
      </c>
      <c r="V47" t="s">
        <v>137</v>
      </c>
      <c r="W47" t="s">
        <v>138</v>
      </c>
      <c r="X47" t="s">
        <v>13</v>
      </c>
      <c r="Y47" t="s">
        <v>21</v>
      </c>
      <c r="Z47" t="s">
        <v>116</v>
      </c>
      <c r="AA47">
        <v>341002831</v>
      </c>
      <c r="AB47" t="s">
        <v>358</v>
      </c>
    </row>
    <row r="48" spans="1:28" x14ac:dyDescent="0.35">
      <c r="A48">
        <v>345101100</v>
      </c>
      <c r="B48" s="1">
        <v>46240</v>
      </c>
      <c r="C48" t="s">
        <v>354</v>
      </c>
      <c r="D48" t="s">
        <v>355</v>
      </c>
      <c r="E48" t="s">
        <v>355</v>
      </c>
      <c r="F48" t="s">
        <v>1892</v>
      </c>
      <c r="G48" t="s">
        <v>1908</v>
      </c>
      <c r="H48" t="s">
        <v>356</v>
      </c>
      <c r="I48" s="1">
        <v>46226</v>
      </c>
      <c r="J48" s="1">
        <v>46240</v>
      </c>
      <c r="K48" t="s">
        <v>104</v>
      </c>
      <c r="L48" t="s">
        <v>360</v>
      </c>
      <c r="M48" t="s">
        <v>360</v>
      </c>
      <c r="N48" t="s">
        <v>58</v>
      </c>
      <c r="O48" t="s">
        <v>53</v>
      </c>
      <c r="P48">
        <v>200000</v>
      </c>
      <c r="Q48">
        <v>0.06</v>
      </c>
      <c r="R48">
        <v>12000</v>
      </c>
      <c r="S48">
        <v>1</v>
      </c>
      <c r="T48">
        <v>0.06</v>
      </c>
      <c r="U48">
        <v>12000</v>
      </c>
      <c r="V48" t="s">
        <v>137</v>
      </c>
      <c r="W48" t="s">
        <v>138</v>
      </c>
      <c r="X48" t="s">
        <v>13</v>
      </c>
      <c r="Y48" t="s">
        <v>21</v>
      </c>
      <c r="Z48" t="s">
        <v>116</v>
      </c>
      <c r="AA48">
        <v>341002831</v>
      </c>
      <c r="AB48" t="s">
        <v>358</v>
      </c>
    </row>
    <row r="49" spans="1:28" x14ac:dyDescent="0.35">
      <c r="A49">
        <v>345101100</v>
      </c>
      <c r="B49" s="1">
        <v>46240</v>
      </c>
      <c r="C49" t="s">
        <v>354</v>
      </c>
      <c r="D49" t="s">
        <v>355</v>
      </c>
      <c r="E49" t="s">
        <v>355</v>
      </c>
      <c r="F49" t="s">
        <v>1892</v>
      </c>
      <c r="G49" t="s">
        <v>1908</v>
      </c>
      <c r="H49" t="s">
        <v>356</v>
      </c>
      <c r="I49" s="1">
        <v>46226</v>
      </c>
      <c r="J49" s="1">
        <v>46240</v>
      </c>
      <c r="K49" t="s">
        <v>104</v>
      </c>
      <c r="L49" t="s">
        <v>360</v>
      </c>
      <c r="M49" t="s">
        <v>360</v>
      </c>
      <c r="N49" t="s">
        <v>58</v>
      </c>
      <c r="O49" t="s">
        <v>53</v>
      </c>
      <c r="P49">
        <v>177000</v>
      </c>
      <c r="Q49">
        <v>0.06</v>
      </c>
      <c r="R49">
        <v>10620</v>
      </c>
      <c r="S49">
        <v>1</v>
      </c>
      <c r="T49">
        <v>0.06</v>
      </c>
      <c r="U49">
        <v>10620</v>
      </c>
      <c r="V49" t="s">
        <v>137</v>
      </c>
      <c r="W49" t="s">
        <v>138</v>
      </c>
      <c r="X49" t="s">
        <v>13</v>
      </c>
      <c r="Y49" t="s">
        <v>21</v>
      </c>
      <c r="Z49" t="s">
        <v>116</v>
      </c>
      <c r="AA49">
        <v>341002831</v>
      </c>
      <c r="AB49" t="s">
        <v>358</v>
      </c>
    </row>
    <row r="50" spans="1:28" x14ac:dyDescent="0.35">
      <c r="A50">
        <v>345101325</v>
      </c>
      <c r="B50" s="1">
        <v>46241</v>
      </c>
      <c r="C50" t="s">
        <v>367</v>
      </c>
      <c r="D50" t="s">
        <v>132</v>
      </c>
      <c r="E50" t="s">
        <v>132</v>
      </c>
      <c r="F50" t="s">
        <v>1897</v>
      </c>
      <c r="G50" t="s">
        <v>1906</v>
      </c>
      <c r="H50" t="s">
        <v>368</v>
      </c>
      <c r="I50" s="1">
        <v>46239</v>
      </c>
      <c r="J50" s="1">
        <v>46241</v>
      </c>
      <c r="K50" t="s">
        <v>104</v>
      </c>
      <c r="L50" t="s">
        <v>373</v>
      </c>
      <c r="M50" t="s">
        <v>374</v>
      </c>
      <c r="N50" t="s">
        <v>371</v>
      </c>
      <c r="O50" t="s">
        <v>53</v>
      </c>
      <c r="P50">
        <v>1000</v>
      </c>
      <c r="Q50">
        <v>3.2500000000000001E-2</v>
      </c>
      <c r="R50">
        <v>32.5</v>
      </c>
      <c r="S50">
        <v>1</v>
      </c>
      <c r="T50">
        <v>3.2500000000000001E-2</v>
      </c>
      <c r="U50">
        <v>32.5</v>
      </c>
      <c r="V50" t="s">
        <v>137</v>
      </c>
      <c r="W50" t="s">
        <v>138</v>
      </c>
      <c r="X50" t="s">
        <v>13</v>
      </c>
      <c r="Y50" t="s">
        <v>23</v>
      </c>
      <c r="Z50" t="s">
        <v>372</v>
      </c>
      <c r="AA50">
        <v>341003558</v>
      </c>
      <c r="AB50" t="s">
        <v>159</v>
      </c>
    </row>
    <row r="51" spans="1:28" x14ac:dyDescent="0.35">
      <c r="A51">
        <v>345101325</v>
      </c>
      <c r="B51" s="1">
        <v>46241</v>
      </c>
      <c r="C51" t="s">
        <v>367</v>
      </c>
      <c r="D51" t="s">
        <v>132</v>
      </c>
      <c r="E51" t="s">
        <v>132</v>
      </c>
      <c r="F51" t="s">
        <v>1897</v>
      </c>
      <c r="G51" t="s">
        <v>1906</v>
      </c>
      <c r="H51" t="s">
        <v>368</v>
      </c>
      <c r="I51" s="1">
        <v>46239</v>
      </c>
      <c r="J51" s="1">
        <v>46241</v>
      </c>
      <c r="K51" t="s">
        <v>104</v>
      </c>
      <c r="L51" t="s">
        <v>375</v>
      </c>
      <c r="M51" t="s">
        <v>376</v>
      </c>
      <c r="N51" t="s">
        <v>377</v>
      </c>
      <c r="O51" t="s">
        <v>53</v>
      </c>
      <c r="P51">
        <v>2000</v>
      </c>
      <c r="Q51">
        <v>0.13700000000000001</v>
      </c>
      <c r="R51">
        <v>274</v>
      </c>
      <c r="S51">
        <v>1</v>
      </c>
      <c r="T51">
        <v>0.13700000000000001</v>
      </c>
      <c r="U51">
        <v>274</v>
      </c>
      <c r="V51" t="s">
        <v>137</v>
      </c>
      <c r="W51" t="s">
        <v>138</v>
      </c>
      <c r="X51" t="s">
        <v>13</v>
      </c>
      <c r="Y51" t="s">
        <v>23</v>
      </c>
      <c r="Z51" t="s">
        <v>372</v>
      </c>
      <c r="AA51">
        <v>341003558</v>
      </c>
      <c r="AB51" t="s">
        <v>159</v>
      </c>
    </row>
    <row r="52" spans="1:28" x14ac:dyDescent="0.35">
      <c r="A52">
        <v>345101325</v>
      </c>
      <c r="B52" s="1">
        <v>46241</v>
      </c>
      <c r="C52" t="s">
        <v>367</v>
      </c>
      <c r="D52" t="s">
        <v>132</v>
      </c>
      <c r="E52" t="s">
        <v>132</v>
      </c>
      <c r="F52" t="s">
        <v>1897</v>
      </c>
      <c r="G52" t="s">
        <v>1906</v>
      </c>
      <c r="H52" t="s">
        <v>368</v>
      </c>
      <c r="I52" s="1">
        <v>46239</v>
      </c>
      <c r="J52" s="1">
        <v>46241</v>
      </c>
      <c r="K52" t="s">
        <v>104</v>
      </c>
      <c r="L52" t="s">
        <v>378</v>
      </c>
      <c r="M52" t="s">
        <v>379</v>
      </c>
      <c r="N52" t="s">
        <v>380</v>
      </c>
      <c r="O52" t="s">
        <v>55</v>
      </c>
      <c r="P52">
        <v>1188</v>
      </c>
      <c r="Q52">
        <v>0.34</v>
      </c>
      <c r="R52">
        <v>403.92</v>
      </c>
      <c r="S52">
        <v>1</v>
      </c>
      <c r="T52">
        <v>0.34</v>
      </c>
      <c r="U52">
        <v>403.92</v>
      </c>
      <c r="V52" t="s">
        <v>137</v>
      </c>
      <c r="W52" t="s">
        <v>138</v>
      </c>
      <c r="X52" t="s">
        <v>13</v>
      </c>
      <c r="Y52" t="s">
        <v>23</v>
      </c>
      <c r="Z52" t="s">
        <v>372</v>
      </c>
      <c r="AA52">
        <v>341003558</v>
      </c>
      <c r="AB52" t="s">
        <v>159</v>
      </c>
    </row>
    <row r="53" spans="1:28" x14ac:dyDescent="0.35">
      <c r="A53">
        <v>345101325</v>
      </c>
      <c r="B53" s="1">
        <v>46241</v>
      </c>
      <c r="C53" t="s">
        <v>367</v>
      </c>
      <c r="D53" t="s">
        <v>132</v>
      </c>
      <c r="E53" t="s">
        <v>132</v>
      </c>
      <c r="F53" t="s">
        <v>1897</v>
      </c>
      <c r="G53" t="s">
        <v>1906</v>
      </c>
      <c r="H53" t="s">
        <v>368</v>
      </c>
      <c r="I53" s="1">
        <v>46239</v>
      </c>
      <c r="J53" s="1">
        <v>46241</v>
      </c>
      <c r="K53" t="s">
        <v>104</v>
      </c>
      <c r="L53" t="s">
        <v>381</v>
      </c>
      <c r="M53" t="s">
        <v>382</v>
      </c>
      <c r="N53" t="s">
        <v>58</v>
      </c>
      <c r="O53" t="s">
        <v>53</v>
      </c>
      <c r="P53">
        <v>2000</v>
      </c>
      <c r="Q53">
        <v>6.93E-2</v>
      </c>
      <c r="R53">
        <v>138.6</v>
      </c>
      <c r="S53">
        <v>1</v>
      </c>
      <c r="T53">
        <v>6.93E-2</v>
      </c>
      <c r="U53">
        <v>138.6</v>
      </c>
      <c r="V53" t="s">
        <v>137</v>
      </c>
      <c r="W53" t="s">
        <v>138</v>
      </c>
      <c r="X53" t="s">
        <v>13</v>
      </c>
      <c r="Y53" t="s">
        <v>23</v>
      </c>
      <c r="Z53" t="s">
        <v>372</v>
      </c>
      <c r="AA53">
        <v>341003558</v>
      </c>
      <c r="AB53" t="s">
        <v>159</v>
      </c>
    </row>
    <row r="54" spans="1:28" x14ac:dyDescent="0.35">
      <c r="A54">
        <v>345101325</v>
      </c>
      <c r="B54" s="1">
        <v>46241</v>
      </c>
      <c r="C54" t="s">
        <v>367</v>
      </c>
      <c r="D54" t="s">
        <v>132</v>
      </c>
      <c r="E54" t="s">
        <v>132</v>
      </c>
      <c r="F54" t="s">
        <v>1897</v>
      </c>
      <c r="G54" t="s">
        <v>1906</v>
      </c>
      <c r="H54" t="s">
        <v>368</v>
      </c>
      <c r="I54" s="1">
        <v>46239</v>
      </c>
      <c r="J54" s="1">
        <v>46241</v>
      </c>
      <c r="K54" t="s">
        <v>104</v>
      </c>
      <c r="L54" t="s">
        <v>383</v>
      </c>
      <c r="M54" t="s">
        <v>384</v>
      </c>
      <c r="N54" t="s">
        <v>58</v>
      </c>
      <c r="O54" t="s">
        <v>53</v>
      </c>
      <c r="P54">
        <v>1000</v>
      </c>
      <c r="Q54">
        <v>6.9599999999999995E-2</v>
      </c>
      <c r="R54">
        <v>69.63</v>
      </c>
      <c r="S54">
        <v>1</v>
      </c>
      <c r="T54">
        <v>6.9599999999999995E-2</v>
      </c>
      <c r="U54">
        <v>69.63</v>
      </c>
      <c r="V54" t="s">
        <v>137</v>
      </c>
      <c r="W54" t="s">
        <v>138</v>
      </c>
      <c r="X54" t="s">
        <v>13</v>
      </c>
      <c r="Y54" t="s">
        <v>23</v>
      </c>
      <c r="Z54" t="s">
        <v>372</v>
      </c>
      <c r="AA54">
        <v>341003558</v>
      </c>
      <c r="AB54" t="s">
        <v>159</v>
      </c>
    </row>
    <row r="55" spans="1:28" x14ac:dyDescent="0.35">
      <c r="A55">
        <v>345101325</v>
      </c>
      <c r="B55" s="1">
        <v>46241</v>
      </c>
      <c r="C55" t="s">
        <v>367</v>
      </c>
      <c r="D55" t="s">
        <v>132</v>
      </c>
      <c r="E55" t="s">
        <v>132</v>
      </c>
      <c r="F55" t="s">
        <v>1897</v>
      </c>
      <c r="G55" t="s">
        <v>1906</v>
      </c>
      <c r="H55" t="s">
        <v>368</v>
      </c>
      <c r="I55" s="1">
        <v>46239</v>
      </c>
      <c r="J55" s="1">
        <v>46241</v>
      </c>
      <c r="K55" t="s">
        <v>104</v>
      </c>
      <c r="L55" t="s">
        <v>385</v>
      </c>
      <c r="M55" t="s">
        <v>386</v>
      </c>
      <c r="N55" t="s">
        <v>58</v>
      </c>
      <c r="O55" t="s">
        <v>53</v>
      </c>
      <c r="P55">
        <v>600</v>
      </c>
      <c r="Q55">
        <v>6.7100000000000007E-2</v>
      </c>
      <c r="R55">
        <v>40.26</v>
      </c>
      <c r="S55">
        <v>1</v>
      </c>
      <c r="T55">
        <v>6.7100000000000007E-2</v>
      </c>
      <c r="U55">
        <v>40.26</v>
      </c>
      <c r="V55" t="s">
        <v>137</v>
      </c>
      <c r="W55" t="s">
        <v>138</v>
      </c>
      <c r="X55" t="s">
        <v>13</v>
      </c>
      <c r="Y55" t="s">
        <v>23</v>
      </c>
      <c r="Z55" t="s">
        <v>372</v>
      </c>
      <c r="AA55">
        <v>341003558</v>
      </c>
      <c r="AB55" t="s">
        <v>159</v>
      </c>
    </row>
    <row r="56" spans="1:28" x14ac:dyDescent="0.35">
      <c r="A56">
        <v>345101325</v>
      </c>
      <c r="B56" s="1">
        <v>46241</v>
      </c>
      <c r="C56" t="s">
        <v>367</v>
      </c>
      <c r="D56" t="s">
        <v>132</v>
      </c>
      <c r="E56" t="s">
        <v>132</v>
      </c>
      <c r="F56" t="s">
        <v>1897</v>
      </c>
      <c r="G56" t="s">
        <v>1906</v>
      </c>
      <c r="H56" t="s">
        <v>368</v>
      </c>
      <c r="I56" s="1">
        <v>46239</v>
      </c>
      <c r="J56" s="1">
        <v>46241</v>
      </c>
      <c r="K56" t="s">
        <v>104</v>
      </c>
      <c r="L56" t="s">
        <v>387</v>
      </c>
      <c r="M56" t="s">
        <v>388</v>
      </c>
      <c r="N56" t="s">
        <v>58</v>
      </c>
      <c r="O56" t="s">
        <v>53</v>
      </c>
      <c r="P56">
        <v>800</v>
      </c>
      <c r="Q56">
        <v>0.22109999999999999</v>
      </c>
      <c r="R56">
        <v>176.88</v>
      </c>
      <c r="S56">
        <v>1</v>
      </c>
      <c r="T56">
        <v>0.22109999999999999</v>
      </c>
      <c r="U56">
        <v>176.88</v>
      </c>
      <c r="V56" t="s">
        <v>137</v>
      </c>
      <c r="W56" t="s">
        <v>138</v>
      </c>
      <c r="X56" t="s">
        <v>13</v>
      </c>
      <c r="Y56" t="s">
        <v>23</v>
      </c>
      <c r="Z56" t="s">
        <v>372</v>
      </c>
      <c r="AA56">
        <v>341003558</v>
      </c>
      <c r="AB56" t="s">
        <v>159</v>
      </c>
    </row>
    <row r="57" spans="1:28" x14ac:dyDescent="0.35">
      <c r="A57">
        <v>345101325</v>
      </c>
      <c r="B57" s="1">
        <v>46241</v>
      </c>
      <c r="C57" t="s">
        <v>367</v>
      </c>
      <c r="D57" t="s">
        <v>132</v>
      </c>
      <c r="E57" t="s">
        <v>132</v>
      </c>
      <c r="F57" t="s">
        <v>1897</v>
      </c>
      <c r="G57" t="s">
        <v>1906</v>
      </c>
      <c r="H57" t="s">
        <v>368</v>
      </c>
      <c r="I57" s="1">
        <v>46239</v>
      </c>
      <c r="J57" s="1">
        <v>46241</v>
      </c>
      <c r="K57" t="s">
        <v>104</v>
      </c>
      <c r="L57" t="s">
        <v>389</v>
      </c>
      <c r="M57" t="s">
        <v>390</v>
      </c>
      <c r="N57" t="s">
        <v>58</v>
      </c>
      <c r="O57" t="s">
        <v>53</v>
      </c>
      <c r="P57">
        <v>1000</v>
      </c>
      <c r="Q57">
        <v>8.2500000000000004E-2</v>
      </c>
      <c r="R57">
        <v>82.5</v>
      </c>
      <c r="S57">
        <v>1</v>
      </c>
      <c r="T57">
        <v>8.2500000000000004E-2</v>
      </c>
      <c r="U57">
        <v>82.5</v>
      </c>
      <c r="V57" t="s">
        <v>137</v>
      </c>
      <c r="W57" t="s">
        <v>138</v>
      </c>
      <c r="X57" t="s">
        <v>13</v>
      </c>
      <c r="Y57" t="s">
        <v>23</v>
      </c>
      <c r="Z57" t="s">
        <v>372</v>
      </c>
      <c r="AA57">
        <v>341003558</v>
      </c>
      <c r="AB57" t="s">
        <v>159</v>
      </c>
    </row>
    <row r="58" spans="1:28" x14ac:dyDescent="0.35">
      <c r="A58">
        <v>345101340</v>
      </c>
      <c r="B58" s="1">
        <v>46241</v>
      </c>
      <c r="C58" t="s">
        <v>367</v>
      </c>
      <c r="D58" t="s">
        <v>132</v>
      </c>
      <c r="E58" t="s">
        <v>132</v>
      </c>
      <c r="F58" t="s">
        <v>1897</v>
      </c>
      <c r="G58" t="s">
        <v>1906</v>
      </c>
      <c r="H58" t="s">
        <v>368</v>
      </c>
      <c r="I58" s="1">
        <v>46240</v>
      </c>
      <c r="J58" s="1">
        <v>46241</v>
      </c>
      <c r="K58" t="s">
        <v>104</v>
      </c>
      <c r="L58" t="s">
        <v>369</v>
      </c>
      <c r="M58" t="s">
        <v>370</v>
      </c>
      <c r="N58" t="s">
        <v>371</v>
      </c>
      <c r="O58" t="s">
        <v>53</v>
      </c>
      <c r="P58">
        <v>100</v>
      </c>
      <c r="Q58">
        <v>0.05</v>
      </c>
      <c r="R58">
        <v>5</v>
      </c>
      <c r="S58">
        <v>1</v>
      </c>
      <c r="T58">
        <v>0.05</v>
      </c>
      <c r="U58">
        <v>5</v>
      </c>
      <c r="V58" t="s">
        <v>137</v>
      </c>
      <c r="W58" t="s">
        <v>138</v>
      </c>
      <c r="X58" t="s">
        <v>13</v>
      </c>
      <c r="Y58" t="s">
        <v>23</v>
      </c>
      <c r="Z58" t="s">
        <v>116</v>
      </c>
      <c r="AA58">
        <v>341003558</v>
      </c>
      <c r="AB58" t="s">
        <v>159</v>
      </c>
    </row>
    <row r="59" spans="1:28" x14ac:dyDescent="0.35">
      <c r="A59">
        <v>345101340</v>
      </c>
      <c r="B59" s="1">
        <v>46241</v>
      </c>
      <c r="C59" t="s">
        <v>367</v>
      </c>
      <c r="D59" t="s">
        <v>132</v>
      </c>
      <c r="E59" t="s">
        <v>132</v>
      </c>
      <c r="F59" t="s">
        <v>1897</v>
      </c>
      <c r="G59" t="s">
        <v>1906</v>
      </c>
      <c r="H59" t="s">
        <v>368</v>
      </c>
      <c r="I59" s="1">
        <v>46240</v>
      </c>
      <c r="J59" s="1">
        <v>46241</v>
      </c>
      <c r="K59" t="s">
        <v>104</v>
      </c>
      <c r="L59" t="s">
        <v>373</v>
      </c>
      <c r="M59" t="s">
        <v>374</v>
      </c>
      <c r="N59" t="s">
        <v>371</v>
      </c>
      <c r="O59" t="s">
        <v>53</v>
      </c>
      <c r="P59">
        <v>40</v>
      </c>
      <c r="Q59">
        <v>3.2500000000000001E-2</v>
      </c>
      <c r="R59">
        <v>1.3</v>
      </c>
      <c r="S59">
        <v>1</v>
      </c>
      <c r="T59">
        <v>3.2500000000000001E-2</v>
      </c>
      <c r="U59">
        <v>1.3</v>
      </c>
      <c r="V59" t="s">
        <v>137</v>
      </c>
      <c r="W59" t="s">
        <v>138</v>
      </c>
      <c r="X59" t="s">
        <v>13</v>
      </c>
      <c r="Y59" t="s">
        <v>23</v>
      </c>
      <c r="Z59" t="s">
        <v>116</v>
      </c>
      <c r="AA59">
        <v>341003558</v>
      </c>
      <c r="AB59" t="s">
        <v>159</v>
      </c>
    </row>
    <row r="60" spans="1:28" x14ac:dyDescent="0.35">
      <c r="A60">
        <v>345101362</v>
      </c>
      <c r="B60" s="1">
        <v>46241</v>
      </c>
      <c r="C60" t="s">
        <v>391</v>
      </c>
      <c r="D60" t="s">
        <v>392</v>
      </c>
      <c r="E60" t="s">
        <v>392</v>
      </c>
      <c r="F60" t="s">
        <v>1900</v>
      </c>
      <c r="G60" t="s">
        <v>1909</v>
      </c>
      <c r="H60" t="s">
        <v>393</v>
      </c>
      <c r="I60" s="1">
        <v>46240</v>
      </c>
      <c r="J60" s="1">
        <v>46241</v>
      </c>
      <c r="K60" t="s">
        <v>104</v>
      </c>
      <c r="L60" t="s">
        <v>394</v>
      </c>
      <c r="M60" t="s">
        <v>395</v>
      </c>
      <c r="N60" t="s">
        <v>396</v>
      </c>
      <c r="O60" t="s">
        <v>53</v>
      </c>
      <c r="P60">
        <v>6000</v>
      </c>
      <c r="Q60">
        <v>0.316</v>
      </c>
      <c r="R60">
        <v>1896</v>
      </c>
      <c r="S60">
        <v>1</v>
      </c>
      <c r="T60">
        <v>0.316</v>
      </c>
      <c r="U60">
        <v>1896</v>
      </c>
      <c r="V60" t="s">
        <v>137</v>
      </c>
      <c r="W60" t="s">
        <v>138</v>
      </c>
      <c r="X60" t="s">
        <v>15</v>
      </c>
      <c r="Y60" t="s">
        <v>22</v>
      </c>
      <c r="Z60" t="s">
        <v>116</v>
      </c>
      <c r="AA60">
        <v>342000359</v>
      </c>
      <c r="AB60" t="s">
        <v>159</v>
      </c>
    </row>
    <row r="61" spans="1:28" x14ac:dyDescent="0.35">
      <c r="A61">
        <v>345101354</v>
      </c>
      <c r="B61" s="1">
        <v>46241</v>
      </c>
      <c r="C61" t="s">
        <v>397</v>
      </c>
      <c r="D61" t="s">
        <v>192</v>
      </c>
      <c r="E61" t="s">
        <v>192</v>
      </c>
      <c r="F61" t="s">
        <v>1895</v>
      </c>
      <c r="G61" t="s">
        <v>1895</v>
      </c>
      <c r="H61" t="s">
        <v>398</v>
      </c>
      <c r="I61" s="1">
        <v>46240</v>
      </c>
      <c r="J61" s="1">
        <v>46241</v>
      </c>
      <c r="K61" t="s">
        <v>104</v>
      </c>
      <c r="L61" t="s">
        <v>399</v>
      </c>
      <c r="M61" t="s">
        <v>399</v>
      </c>
      <c r="N61" t="s">
        <v>38</v>
      </c>
      <c r="O61" t="s">
        <v>53</v>
      </c>
      <c r="P61">
        <v>6000</v>
      </c>
      <c r="Q61">
        <v>0.40250000000000002</v>
      </c>
      <c r="R61">
        <v>2415</v>
      </c>
      <c r="S61">
        <v>1</v>
      </c>
      <c r="T61">
        <v>0.40250000000000002</v>
      </c>
      <c r="U61">
        <v>2415</v>
      </c>
      <c r="V61" t="s">
        <v>137</v>
      </c>
      <c r="W61" t="s">
        <v>138</v>
      </c>
      <c r="X61" t="s">
        <v>15</v>
      </c>
      <c r="Y61" t="s">
        <v>14</v>
      </c>
      <c r="Z61" t="s">
        <v>116</v>
      </c>
      <c r="AA61">
        <v>341001363</v>
      </c>
      <c r="AB61" t="s">
        <v>159</v>
      </c>
    </row>
    <row r="62" spans="1:28" x14ac:dyDescent="0.35">
      <c r="A62">
        <v>345101354</v>
      </c>
      <c r="B62" s="1">
        <v>46241</v>
      </c>
      <c r="C62" t="s">
        <v>397</v>
      </c>
      <c r="D62" t="s">
        <v>192</v>
      </c>
      <c r="E62" t="s">
        <v>192</v>
      </c>
      <c r="F62" t="s">
        <v>1895</v>
      </c>
      <c r="G62" t="s">
        <v>1895</v>
      </c>
      <c r="H62" t="s">
        <v>398</v>
      </c>
      <c r="I62" s="1">
        <v>46240</v>
      </c>
      <c r="J62" s="1">
        <v>46241</v>
      </c>
      <c r="K62" t="s">
        <v>104</v>
      </c>
      <c r="L62" t="s">
        <v>400</v>
      </c>
      <c r="M62" t="s">
        <v>400</v>
      </c>
      <c r="N62" t="s">
        <v>38</v>
      </c>
      <c r="O62" t="s">
        <v>53</v>
      </c>
      <c r="P62">
        <v>4000</v>
      </c>
      <c r="Q62">
        <v>5.3E-3</v>
      </c>
      <c r="R62">
        <v>21.2</v>
      </c>
      <c r="S62">
        <v>1</v>
      </c>
      <c r="T62">
        <v>5.3E-3</v>
      </c>
      <c r="U62">
        <v>21.2</v>
      </c>
      <c r="V62" t="s">
        <v>137</v>
      </c>
      <c r="W62" t="s">
        <v>138</v>
      </c>
      <c r="X62" t="s">
        <v>15</v>
      </c>
      <c r="Y62" t="s">
        <v>14</v>
      </c>
      <c r="Z62" t="s">
        <v>116</v>
      </c>
      <c r="AA62">
        <v>341001363</v>
      </c>
      <c r="AB62" t="s">
        <v>159</v>
      </c>
    </row>
    <row r="63" spans="1:28" x14ac:dyDescent="0.35">
      <c r="A63">
        <v>345101287</v>
      </c>
      <c r="B63" s="1">
        <v>46241</v>
      </c>
      <c r="C63" t="s">
        <v>361</v>
      </c>
      <c r="D63" t="s">
        <v>362</v>
      </c>
      <c r="E63" t="s">
        <v>363</v>
      </c>
      <c r="F63" t="s">
        <v>1904</v>
      </c>
      <c r="G63" t="s">
        <v>1907</v>
      </c>
      <c r="H63">
        <v>1029002309</v>
      </c>
      <c r="I63" s="1">
        <v>46237</v>
      </c>
      <c r="J63" s="1">
        <v>46241</v>
      </c>
      <c r="K63" t="s">
        <v>104</v>
      </c>
      <c r="L63" t="s">
        <v>401</v>
      </c>
      <c r="M63" t="s">
        <v>402</v>
      </c>
      <c r="N63" t="s">
        <v>60</v>
      </c>
      <c r="O63" t="s">
        <v>53</v>
      </c>
      <c r="P63">
        <v>37500</v>
      </c>
      <c r="Q63">
        <v>2.8500000000000001E-2</v>
      </c>
      <c r="R63">
        <v>1068.75</v>
      </c>
      <c r="S63">
        <v>1</v>
      </c>
      <c r="T63">
        <v>2.8500000000000001E-2</v>
      </c>
      <c r="U63">
        <v>1068.75</v>
      </c>
      <c r="V63" t="s">
        <v>137</v>
      </c>
      <c r="W63" t="s">
        <v>138</v>
      </c>
      <c r="X63" t="s">
        <v>11</v>
      </c>
      <c r="Y63" t="s">
        <v>14</v>
      </c>
      <c r="Z63" t="s">
        <v>116</v>
      </c>
      <c r="AA63">
        <v>341001311</v>
      </c>
      <c r="AB63" t="s">
        <v>159</v>
      </c>
    </row>
    <row r="64" spans="1:28" x14ac:dyDescent="0.35">
      <c r="A64">
        <v>345101287</v>
      </c>
      <c r="B64" s="1">
        <v>46241</v>
      </c>
      <c r="C64" t="s">
        <v>361</v>
      </c>
      <c r="D64" t="s">
        <v>362</v>
      </c>
      <c r="E64" t="s">
        <v>363</v>
      </c>
      <c r="F64" t="s">
        <v>1904</v>
      </c>
      <c r="G64" t="s">
        <v>1907</v>
      </c>
      <c r="H64">
        <v>1029002309</v>
      </c>
      <c r="I64" s="1">
        <v>46237</v>
      </c>
      <c r="J64" s="1">
        <v>46241</v>
      </c>
      <c r="K64" t="s">
        <v>104</v>
      </c>
      <c r="L64" t="s">
        <v>401</v>
      </c>
      <c r="M64" t="s">
        <v>402</v>
      </c>
      <c r="N64" t="s">
        <v>60</v>
      </c>
      <c r="O64" t="s">
        <v>53</v>
      </c>
      <c r="P64">
        <v>67500</v>
      </c>
      <c r="Q64">
        <v>2.8500000000000001E-2</v>
      </c>
      <c r="R64">
        <v>1923.75</v>
      </c>
      <c r="S64">
        <v>1</v>
      </c>
      <c r="T64">
        <v>2.8500000000000001E-2</v>
      </c>
      <c r="U64">
        <v>1923.75</v>
      </c>
      <c r="V64" t="s">
        <v>137</v>
      </c>
      <c r="W64" t="s">
        <v>138</v>
      </c>
      <c r="X64" t="s">
        <v>11</v>
      </c>
      <c r="Y64" t="s">
        <v>14</v>
      </c>
      <c r="Z64" t="s">
        <v>116</v>
      </c>
      <c r="AA64">
        <v>341001311</v>
      </c>
      <c r="AB64" t="s">
        <v>159</v>
      </c>
    </row>
    <row r="65" spans="1:28" x14ac:dyDescent="0.35">
      <c r="A65">
        <v>345101334</v>
      </c>
      <c r="B65" s="1">
        <v>46247</v>
      </c>
      <c r="C65" t="s">
        <v>1664</v>
      </c>
      <c r="D65" t="s">
        <v>535</v>
      </c>
      <c r="E65" t="s">
        <v>535</v>
      </c>
      <c r="F65" t="s">
        <v>1892</v>
      </c>
      <c r="G65" t="s">
        <v>1908</v>
      </c>
      <c r="H65" t="s">
        <v>1666</v>
      </c>
      <c r="I65" s="1">
        <v>46239</v>
      </c>
      <c r="J65" s="1">
        <v>46247</v>
      </c>
      <c r="K65" t="s">
        <v>104</v>
      </c>
      <c r="L65" t="s">
        <v>1667</v>
      </c>
      <c r="M65" t="s">
        <v>1668</v>
      </c>
      <c r="N65" t="s">
        <v>371</v>
      </c>
      <c r="O65" t="s">
        <v>53</v>
      </c>
      <c r="P65">
        <v>5000</v>
      </c>
      <c r="Q65">
        <v>1.8499999999999999E-2</v>
      </c>
      <c r="R65">
        <v>92.5</v>
      </c>
      <c r="S65">
        <v>1</v>
      </c>
      <c r="T65">
        <v>1.8499999999999999E-2</v>
      </c>
      <c r="U65">
        <v>92.5</v>
      </c>
      <c r="V65" t="s">
        <v>137</v>
      </c>
      <c r="W65" t="s">
        <v>138</v>
      </c>
      <c r="X65" t="s">
        <v>13</v>
      </c>
      <c r="Y65" t="s">
        <v>14</v>
      </c>
      <c r="Z65" t="s">
        <v>116</v>
      </c>
      <c r="AA65">
        <v>342000692</v>
      </c>
      <c r="AB65" t="s">
        <v>1665</v>
      </c>
    </row>
    <row r="66" spans="1:28" x14ac:dyDescent="0.35">
      <c r="A66">
        <v>345101334</v>
      </c>
      <c r="B66" s="1">
        <v>46247</v>
      </c>
      <c r="C66" t="s">
        <v>1664</v>
      </c>
      <c r="D66" t="s">
        <v>535</v>
      </c>
      <c r="E66" t="s">
        <v>535</v>
      </c>
      <c r="F66" t="s">
        <v>1892</v>
      </c>
      <c r="G66" t="s">
        <v>1908</v>
      </c>
      <c r="H66" t="s">
        <v>1666</v>
      </c>
      <c r="I66" s="1">
        <v>46239</v>
      </c>
      <c r="J66" s="1">
        <v>46247</v>
      </c>
      <c r="K66" t="s">
        <v>104</v>
      </c>
      <c r="L66" t="s">
        <v>1669</v>
      </c>
      <c r="M66" t="s">
        <v>1670</v>
      </c>
      <c r="N66" t="s">
        <v>371</v>
      </c>
      <c r="O66" t="s">
        <v>53</v>
      </c>
      <c r="P66">
        <v>5000</v>
      </c>
      <c r="Q66">
        <v>2.41E-2</v>
      </c>
      <c r="R66">
        <v>120.5</v>
      </c>
      <c r="S66">
        <v>1</v>
      </c>
      <c r="T66">
        <v>2.41E-2</v>
      </c>
      <c r="U66">
        <v>120.5</v>
      </c>
      <c r="V66" t="s">
        <v>137</v>
      </c>
      <c r="W66" t="s">
        <v>138</v>
      </c>
      <c r="X66" t="s">
        <v>13</v>
      </c>
      <c r="Y66" t="s">
        <v>14</v>
      </c>
      <c r="Z66" t="s">
        <v>116</v>
      </c>
      <c r="AA66">
        <v>342000692</v>
      </c>
      <c r="AB66" t="s">
        <v>1665</v>
      </c>
    </row>
    <row r="67" spans="1:28" x14ac:dyDescent="0.35">
      <c r="A67">
        <v>345101334</v>
      </c>
      <c r="B67" s="1">
        <v>46247</v>
      </c>
      <c r="C67" t="s">
        <v>1664</v>
      </c>
      <c r="D67" t="s">
        <v>535</v>
      </c>
      <c r="E67" t="s">
        <v>535</v>
      </c>
      <c r="F67" t="s">
        <v>1892</v>
      </c>
      <c r="G67" t="s">
        <v>1908</v>
      </c>
      <c r="H67" t="s">
        <v>1666</v>
      </c>
      <c r="I67" s="1">
        <v>46239</v>
      </c>
      <c r="J67" s="1">
        <v>46247</v>
      </c>
      <c r="K67" t="s">
        <v>104</v>
      </c>
      <c r="L67" t="s">
        <v>1671</v>
      </c>
      <c r="M67" t="s">
        <v>1672</v>
      </c>
      <c r="N67" t="s">
        <v>371</v>
      </c>
      <c r="O67" t="s">
        <v>53</v>
      </c>
      <c r="P67">
        <v>5000</v>
      </c>
      <c r="Q67">
        <v>4.8300000000000003E-2</v>
      </c>
      <c r="R67">
        <v>241.5</v>
      </c>
      <c r="S67">
        <v>1</v>
      </c>
      <c r="T67">
        <v>4.8300000000000003E-2</v>
      </c>
      <c r="U67">
        <v>241.5</v>
      </c>
      <c r="V67" t="s">
        <v>137</v>
      </c>
      <c r="W67" t="s">
        <v>138</v>
      </c>
      <c r="X67" t="s">
        <v>13</v>
      </c>
      <c r="Y67" t="s">
        <v>14</v>
      </c>
      <c r="Z67" t="s">
        <v>116</v>
      </c>
      <c r="AA67">
        <v>342000692</v>
      </c>
      <c r="AB67" t="s">
        <v>1665</v>
      </c>
    </row>
    <row r="68" spans="1:28" x14ac:dyDescent="0.35">
      <c r="A68">
        <v>345101334</v>
      </c>
      <c r="B68" s="1">
        <v>46247</v>
      </c>
      <c r="C68" t="s">
        <v>1664</v>
      </c>
      <c r="D68" t="s">
        <v>535</v>
      </c>
      <c r="E68" t="s">
        <v>535</v>
      </c>
      <c r="F68" t="s">
        <v>1892</v>
      </c>
      <c r="G68" t="s">
        <v>1908</v>
      </c>
      <c r="H68" t="s">
        <v>1666</v>
      </c>
      <c r="I68" s="1">
        <v>46239</v>
      </c>
      <c r="J68" s="1">
        <v>46247</v>
      </c>
      <c r="K68" t="s">
        <v>104</v>
      </c>
      <c r="L68" t="s">
        <v>1673</v>
      </c>
      <c r="M68" t="s">
        <v>1674</v>
      </c>
      <c r="N68" t="s">
        <v>371</v>
      </c>
      <c r="O68" t="s">
        <v>53</v>
      </c>
      <c r="P68">
        <v>5000</v>
      </c>
      <c r="Q68">
        <v>6.4399999999999999E-2</v>
      </c>
      <c r="R68">
        <v>322</v>
      </c>
      <c r="S68">
        <v>1</v>
      </c>
      <c r="T68">
        <v>6.4399999999999999E-2</v>
      </c>
      <c r="U68">
        <v>322</v>
      </c>
      <c r="V68" t="s">
        <v>137</v>
      </c>
      <c r="W68" t="s">
        <v>138</v>
      </c>
      <c r="X68" t="s">
        <v>13</v>
      </c>
      <c r="Y68" t="s">
        <v>14</v>
      </c>
      <c r="Z68" t="s">
        <v>116</v>
      </c>
      <c r="AA68">
        <v>342000692</v>
      </c>
      <c r="AB68" t="s">
        <v>1665</v>
      </c>
    </row>
    <row r="69" spans="1:28" x14ac:dyDescent="0.35">
      <c r="A69">
        <v>345101285</v>
      </c>
      <c r="B69" s="1">
        <v>46245</v>
      </c>
      <c r="C69" t="s">
        <v>403</v>
      </c>
      <c r="D69" t="s">
        <v>404</v>
      </c>
      <c r="E69" t="s">
        <v>405</v>
      </c>
      <c r="F69" t="s">
        <v>1900</v>
      </c>
      <c r="G69" t="s">
        <v>1902</v>
      </c>
      <c r="H69">
        <v>7200000340</v>
      </c>
      <c r="I69" s="1">
        <v>46237</v>
      </c>
      <c r="J69" s="1">
        <v>46245</v>
      </c>
      <c r="K69" t="s">
        <v>104</v>
      </c>
      <c r="L69" t="s">
        <v>1619</v>
      </c>
      <c r="M69">
        <v>1011002070</v>
      </c>
      <c r="N69" t="s">
        <v>1620</v>
      </c>
      <c r="O69" t="s">
        <v>55</v>
      </c>
      <c r="P69">
        <v>45000</v>
      </c>
      <c r="Q69">
        <v>0.193</v>
      </c>
      <c r="R69">
        <v>8685</v>
      </c>
      <c r="S69">
        <v>1</v>
      </c>
      <c r="T69">
        <v>0.193</v>
      </c>
      <c r="U69">
        <v>8685</v>
      </c>
      <c r="V69" t="s">
        <v>137</v>
      </c>
      <c r="W69" t="s">
        <v>138</v>
      </c>
      <c r="X69" t="s">
        <v>78</v>
      </c>
      <c r="Y69" t="s">
        <v>17</v>
      </c>
      <c r="Z69" t="s">
        <v>116</v>
      </c>
      <c r="AA69">
        <v>342000865</v>
      </c>
      <c r="AB69" t="s">
        <v>159</v>
      </c>
    </row>
    <row r="70" spans="1:28" x14ac:dyDescent="0.35">
      <c r="A70">
        <v>345101363</v>
      </c>
      <c r="B70" s="1">
        <v>46241</v>
      </c>
      <c r="C70" t="s">
        <v>403</v>
      </c>
      <c r="D70" t="s">
        <v>404</v>
      </c>
      <c r="E70" t="s">
        <v>405</v>
      </c>
      <c r="F70" t="s">
        <v>1900</v>
      </c>
      <c r="G70" t="s">
        <v>1902</v>
      </c>
      <c r="H70">
        <v>7200000912</v>
      </c>
      <c r="I70" s="1">
        <v>46241</v>
      </c>
      <c r="J70" s="1">
        <v>46241</v>
      </c>
      <c r="K70" t="s">
        <v>104</v>
      </c>
      <c r="L70" t="s">
        <v>406</v>
      </c>
      <c r="M70">
        <v>1011000656</v>
      </c>
      <c r="N70" t="s">
        <v>366</v>
      </c>
      <c r="O70" t="s">
        <v>53</v>
      </c>
      <c r="P70">
        <v>10500</v>
      </c>
      <c r="Q70">
        <v>0.68700000000000006</v>
      </c>
      <c r="R70">
        <v>7213.5</v>
      </c>
      <c r="S70">
        <v>1</v>
      </c>
      <c r="T70">
        <v>0.68700000000000006</v>
      </c>
      <c r="U70">
        <v>7213.5</v>
      </c>
      <c r="V70" t="s">
        <v>137</v>
      </c>
      <c r="W70" t="s">
        <v>138</v>
      </c>
      <c r="X70" t="s">
        <v>78</v>
      </c>
      <c r="Y70" t="s">
        <v>17</v>
      </c>
      <c r="Z70" t="s">
        <v>116</v>
      </c>
      <c r="AA70">
        <v>341002051</v>
      </c>
      <c r="AB70" t="s">
        <v>159</v>
      </c>
    </row>
    <row r="71" spans="1:28" x14ac:dyDescent="0.35">
      <c r="A71">
        <v>345101363</v>
      </c>
      <c r="B71" s="1">
        <v>46241</v>
      </c>
      <c r="C71" t="s">
        <v>403</v>
      </c>
      <c r="D71" t="s">
        <v>404</v>
      </c>
      <c r="E71" t="s">
        <v>405</v>
      </c>
      <c r="F71" t="s">
        <v>1900</v>
      </c>
      <c r="G71" t="s">
        <v>1902</v>
      </c>
      <c r="H71">
        <v>7200000952</v>
      </c>
      <c r="I71" s="1">
        <v>46241</v>
      </c>
      <c r="J71" s="1">
        <v>46241</v>
      </c>
      <c r="K71" t="s">
        <v>104</v>
      </c>
      <c r="L71" t="s">
        <v>407</v>
      </c>
      <c r="M71">
        <v>1011001206</v>
      </c>
      <c r="N71" t="s">
        <v>366</v>
      </c>
      <c r="O71" t="s">
        <v>53</v>
      </c>
      <c r="P71">
        <v>4000</v>
      </c>
      <c r="Q71">
        <v>0.158</v>
      </c>
      <c r="R71">
        <v>632</v>
      </c>
      <c r="S71">
        <v>1</v>
      </c>
      <c r="T71">
        <v>0.158</v>
      </c>
      <c r="U71">
        <v>632</v>
      </c>
      <c r="V71" t="s">
        <v>137</v>
      </c>
      <c r="W71" t="s">
        <v>138</v>
      </c>
      <c r="X71" t="s">
        <v>78</v>
      </c>
      <c r="Y71" t="s">
        <v>17</v>
      </c>
      <c r="Z71" t="s">
        <v>116</v>
      </c>
      <c r="AA71">
        <v>341002706</v>
      </c>
      <c r="AB71" t="s">
        <v>159</v>
      </c>
    </row>
    <row r="72" spans="1:28" x14ac:dyDescent="0.35">
      <c r="A72">
        <v>345101363</v>
      </c>
      <c r="B72" s="1">
        <v>46241</v>
      </c>
      <c r="C72" t="s">
        <v>403</v>
      </c>
      <c r="D72" t="s">
        <v>404</v>
      </c>
      <c r="E72" t="s">
        <v>405</v>
      </c>
      <c r="F72" t="s">
        <v>1900</v>
      </c>
      <c r="G72" t="s">
        <v>1902</v>
      </c>
      <c r="H72">
        <v>7200000869</v>
      </c>
      <c r="I72" s="1">
        <v>46241</v>
      </c>
      <c r="J72" s="1">
        <v>46241</v>
      </c>
      <c r="K72" t="s">
        <v>104</v>
      </c>
      <c r="L72" t="s">
        <v>408</v>
      </c>
      <c r="M72">
        <v>1011001127</v>
      </c>
      <c r="N72" t="s">
        <v>40</v>
      </c>
      <c r="O72" t="s">
        <v>53</v>
      </c>
      <c r="P72">
        <v>16000</v>
      </c>
      <c r="Q72">
        <v>0.14899999999999999</v>
      </c>
      <c r="R72">
        <v>2383.52</v>
      </c>
      <c r="S72">
        <v>1</v>
      </c>
      <c r="T72">
        <v>0.14899999999999999</v>
      </c>
      <c r="U72">
        <v>2383.52</v>
      </c>
      <c r="V72" t="s">
        <v>137</v>
      </c>
      <c r="W72" t="s">
        <v>138</v>
      </c>
      <c r="X72" t="s">
        <v>78</v>
      </c>
      <c r="Y72" t="s">
        <v>17</v>
      </c>
      <c r="Z72" t="s">
        <v>116</v>
      </c>
      <c r="AA72">
        <v>341001989</v>
      </c>
      <c r="AB72" t="s">
        <v>159</v>
      </c>
    </row>
    <row r="73" spans="1:28" x14ac:dyDescent="0.35">
      <c r="A73">
        <v>345101363</v>
      </c>
      <c r="B73" s="1">
        <v>46241</v>
      </c>
      <c r="C73" t="s">
        <v>403</v>
      </c>
      <c r="D73" t="s">
        <v>404</v>
      </c>
      <c r="E73" t="s">
        <v>405</v>
      </c>
      <c r="F73" t="s">
        <v>1900</v>
      </c>
      <c r="G73" t="s">
        <v>1902</v>
      </c>
      <c r="H73">
        <v>7200000909</v>
      </c>
      <c r="I73" s="1">
        <v>46241</v>
      </c>
      <c r="J73" s="1">
        <v>46241</v>
      </c>
      <c r="K73" t="s">
        <v>104</v>
      </c>
      <c r="L73" t="s">
        <v>409</v>
      </c>
      <c r="M73">
        <v>1011001187</v>
      </c>
      <c r="N73" t="s">
        <v>40</v>
      </c>
      <c r="O73" t="s">
        <v>53</v>
      </c>
      <c r="P73">
        <v>5000</v>
      </c>
      <c r="Q73">
        <v>2E-3</v>
      </c>
      <c r="R73">
        <v>9.8000000000000007</v>
      </c>
      <c r="S73">
        <v>1</v>
      </c>
      <c r="T73">
        <v>2E-3</v>
      </c>
      <c r="U73">
        <v>9.8000000000000007</v>
      </c>
      <c r="V73" t="s">
        <v>137</v>
      </c>
      <c r="W73" t="s">
        <v>138</v>
      </c>
      <c r="X73" t="s">
        <v>78</v>
      </c>
      <c r="Y73" t="s">
        <v>17</v>
      </c>
      <c r="Z73" t="s">
        <v>116</v>
      </c>
      <c r="AA73">
        <v>341002419</v>
      </c>
      <c r="AB73" t="s">
        <v>159</v>
      </c>
    </row>
    <row r="74" spans="1:28" x14ac:dyDescent="0.35">
      <c r="A74">
        <v>345101310</v>
      </c>
      <c r="B74" s="1">
        <v>46241</v>
      </c>
      <c r="C74" t="s">
        <v>410</v>
      </c>
      <c r="D74" t="s">
        <v>411</v>
      </c>
      <c r="E74" t="s">
        <v>411</v>
      </c>
      <c r="F74" t="s">
        <v>1892</v>
      </c>
      <c r="G74" t="s">
        <v>1893</v>
      </c>
      <c r="H74">
        <v>2102300162262</v>
      </c>
      <c r="I74" s="1">
        <v>46238</v>
      </c>
      <c r="J74" s="1">
        <v>46241</v>
      </c>
      <c r="K74" t="s">
        <v>104</v>
      </c>
      <c r="L74" t="s">
        <v>412</v>
      </c>
      <c r="M74" t="s">
        <v>413</v>
      </c>
      <c r="N74" t="s">
        <v>414</v>
      </c>
      <c r="O74" t="s">
        <v>55</v>
      </c>
      <c r="P74">
        <v>5000</v>
      </c>
      <c r="Q74">
        <v>0.2</v>
      </c>
      <c r="R74">
        <v>1000</v>
      </c>
      <c r="S74">
        <v>1</v>
      </c>
      <c r="T74">
        <v>0.2</v>
      </c>
      <c r="U74">
        <v>1000</v>
      </c>
      <c r="V74" t="s">
        <v>137</v>
      </c>
      <c r="W74" t="s">
        <v>138</v>
      </c>
      <c r="X74" t="s">
        <v>78</v>
      </c>
      <c r="Y74" t="s">
        <v>17</v>
      </c>
      <c r="Z74" t="s">
        <v>116</v>
      </c>
      <c r="AA74">
        <v>341003316</v>
      </c>
      <c r="AB74" t="s">
        <v>159</v>
      </c>
    </row>
    <row r="75" spans="1:28" x14ac:dyDescent="0.35">
      <c r="A75">
        <v>345101310</v>
      </c>
      <c r="B75" s="1">
        <v>46241</v>
      </c>
      <c r="C75" t="s">
        <v>410</v>
      </c>
      <c r="D75" t="s">
        <v>411</v>
      </c>
      <c r="E75" t="s">
        <v>411</v>
      </c>
      <c r="F75" t="s">
        <v>1892</v>
      </c>
      <c r="G75" t="s">
        <v>1893</v>
      </c>
      <c r="H75">
        <v>2102300162266</v>
      </c>
      <c r="I75" s="1">
        <v>46238</v>
      </c>
      <c r="J75" s="1">
        <v>46241</v>
      </c>
      <c r="K75" t="s">
        <v>104</v>
      </c>
      <c r="L75" t="s">
        <v>412</v>
      </c>
      <c r="M75" t="s">
        <v>413</v>
      </c>
      <c r="N75" t="s">
        <v>414</v>
      </c>
      <c r="O75" t="s">
        <v>55</v>
      </c>
      <c r="P75">
        <v>25000</v>
      </c>
      <c r="Q75">
        <v>0.2</v>
      </c>
      <c r="R75">
        <v>5000</v>
      </c>
      <c r="S75">
        <v>1</v>
      </c>
      <c r="T75">
        <v>0.2</v>
      </c>
      <c r="U75">
        <v>5000</v>
      </c>
      <c r="V75" t="s">
        <v>137</v>
      </c>
      <c r="W75" t="s">
        <v>138</v>
      </c>
      <c r="X75" t="s">
        <v>78</v>
      </c>
      <c r="Y75" t="s">
        <v>17</v>
      </c>
      <c r="Z75" t="s">
        <v>116</v>
      </c>
      <c r="AA75">
        <v>341003414</v>
      </c>
      <c r="AB75" t="s">
        <v>159</v>
      </c>
    </row>
    <row r="76" spans="1:28" x14ac:dyDescent="0.35">
      <c r="A76">
        <v>345101282</v>
      </c>
      <c r="B76" s="1">
        <v>46245</v>
      </c>
      <c r="C76" t="s">
        <v>69</v>
      </c>
      <c r="D76" t="s">
        <v>160</v>
      </c>
      <c r="E76" t="s">
        <v>1310</v>
      </c>
      <c r="F76" t="s">
        <v>1892</v>
      </c>
      <c r="G76" t="s">
        <v>1893</v>
      </c>
      <c r="H76">
        <v>4190086852</v>
      </c>
      <c r="I76" s="1">
        <v>46234</v>
      </c>
      <c r="J76" s="1">
        <v>46245</v>
      </c>
      <c r="K76" t="s">
        <v>104</v>
      </c>
      <c r="L76" t="s">
        <v>1607</v>
      </c>
      <c r="M76" t="s">
        <v>1608</v>
      </c>
      <c r="N76" t="s">
        <v>58</v>
      </c>
      <c r="O76" t="s">
        <v>53</v>
      </c>
      <c r="P76">
        <v>36800</v>
      </c>
      <c r="Q76">
        <v>5.7000000000000002E-2</v>
      </c>
      <c r="R76">
        <v>2097.6</v>
      </c>
      <c r="S76">
        <v>1</v>
      </c>
      <c r="T76">
        <v>5.7000000000000002E-2</v>
      </c>
      <c r="U76">
        <v>2097.6</v>
      </c>
      <c r="V76" t="s">
        <v>137</v>
      </c>
      <c r="W76" t="s">
        <v>138</v>
      </c>
      <c r="X76" t="s">
        <v>13</v>
      </c>
      <c r="Y76" t="s">
        <v>25</v>
      </c>
      <c r="Z76" t="s">
        <v>116</v>
      </c>
      <c r="AA76">
        <v>341003710</v>
      </c>
      <c r="AB76" t="s">
        <v>1609</v>
      </c>
    </row>
    <row r="77" spans="1:28" x14ac:dyDescent="0.35">
      <c r="A77">
        <v>345101282</v>
      </c>
      <c r="B77" s="1">
        <v>46245</v>
      </c>
      <c r="C77" t="s">
        <v>69</v>
      </c>
      <c r="D77" t="s">
        <v>160</v>
      </c>
      <c r="E77" t="s">
        <v>1310</v>
      </c>
      <c r="F77" t="s">
        <v>1892</v>
      </c>
      <c r="G77" t="s">
        <v>1893</v>
      </c>
      <c r="H77">
        <v>4190087070</v>
      </c>
      <c r="I77" s="1">
        <v>46234</v>
      </c>
      <c r="J77" s="1">
        <v>46245</v>
      </c>
      <c r="K77" t="s">
        <v>104</v>
      </c>
      <c r="L77" t="s">
        <v>1607</v>
      </c>
      <c r="M77" t="s">
        <v>1608</v>
      </c>
      <c r="N77" t="s">
        <v>58</v>
      </c>
      <c r="O77" t="s">
        <v>53</v>
      </c>
      <c r="P77">
        <v>24600</v>
      </c>
      <c r="Q77">
        <v>5.7000000000000002E-2</v>
      </c>
      <c r="R77">
        <v>1402.2</v>
      </c>
      <c r="S77">
        <v>1</v>
      </c>
      <c r="T77">
        <v>5.7000000000000002E-2</v>
      </c>
      <c r="U77">
        <v>1402.2</v>
      </c>
      <c r="V77" t="s">
        <v>137</v>
      </c>
      <c r="W77" t="s">
        <v>138</v>
      </c>
      <c r="X77" t="s">
        <v>13</v>
      </c>
      <c r="Y77" t="s">
        <v>25</v>
      </c>
      <c r="Z77" t="s">
        <v>116</v>
      </c>
      <c r="AA77">
        <v>341003729</v>
      </c>
      <c r="AB77" t="s">
        <v>1609</v>
      </c>
    </row>
    <row r="78" spans="1:28" x14ac:dyDescent="0.35">
      <c r="A78">
        <v>345101283</v>
      </c>
      <c r="B78" s="1">
        <v>46245</v>
      </c>
      <c r="C78" t="s">
        <v>69</v>
      </c>
      <c r="D78" t="s">
        <v>160</v>
      </c>
      <c r="E78" t="s">
        <v>1310</v>
      </c>
      <c r="F78" t="s">
        <v>1892</v>
      </c>
      <c r="G78" t="s">
        <v>1893</v>
      </c>
      <c r="H78">
        <v>4190087070</v>
      </c>
      <c r="I78" s="1">
        <v>46234</v>
      </c>
      <c r="J78" s="1">
        <v>46245</v>
      </c>
      <c r="K78" t="s">
        <v>104</v>
      </c>
      <c r="L78" t="s">
        <v>1607</v>
      </c>
      <c r="M78" t="s">
        <v>1608</v>
      </c>
      <c r="N78" t="s">
        <v>58</v>
      </c>
      <c r="O78" t="s">
        <v>53</v>
      </c>
      <c r="P78">
        <v>64000</v>
      </c>
      <c r="Q78">
        <v>5.7000000000000002E-2</v>
      </c>
      <c r="R78">
        <v>3648</v>
      </c>
      <c r="S78">
        <v>1</v>
      </c>
      <c r="T78">
        <v>5.7000000000000002E-2</v>
      </c>
      <c r="U78">
        <v>3648</v>
      </c>
      <c r="V78" t="s">
        <v>137</v>
      </c>
      <c r="W78" t="s">
        <v>138</v>
      </c>
      <c r="X78" t="s">
        <v>13</v>
      </c>
      <c r="Y78" t="s">
        <v>25</v>
      </c>
      <c r="Z78" t="s">
        <v>116</v>
      </c>
      <c r="AA78">
        <v>341003729</v>
      </c>
      <c r="AB78" t="s">
        <v>1616</v>
      </c>
    </row>
    <row r="79" spans="1:28" x14ac:dyDescent="0.35">
      <c r="A79">
        <v>345101365</v>
      </c>
      <c r="B79" s="1">
        <v>46245</v>
      </c>
      <c r="C79" t="s">
        <v>69</v>
      </c>
      <c r="D79" t="s">
        <v>160</v>
      </c>
      <c r="E79" t="s">
        <v>1310</v>
      </c>
      <c r="F79" t="s">
        <v>1892</v>
      </c>
      <c r="G79" t="s">
        <v>1893</v>
      </c>
      <c r="H79">
        <v>4190084693</v>
      </c>
      <c r="I79" s="1">
        <v>46241</v>
      </c>
      <c r="J79" s="1">
        <v>46245</v>
      </c>
      <c r="K79" t="s">
        <v>104</v>
      </c>
      <c r="L79" t="s">
        <v>1614</v>
      </c>
      <c r="M79" t="s">
        <v>1615</v>
      </c>
      <c r="N79" t="s">
        <v>366</v>
      </c>
      <c r="O79" t="s">
        <v>53</v>
      </c>
      <c r="P79">
        <v>12500</v>
      </c>
      <c r="Q79">
        <v>0.127</v>
      </c>
      <c r="R79">
        <v>1587.5</v>
      </c>
      <c r="S79">
        <v>1</v>
      </c>
      <c r="T79">
        <v>0.127</v>
      </c>
      <c r="U79">
        <v>1587.5</v>
      </c>
      <c r="V79" t="s">
        <v>137</v>
      </c>
      <c r="W79" t="s">
        <v>138</v>
      </c>
      <c r="X79" t="s">
        <v>13</v>
      </c>
      <c r="Y79" t="s">
        <v>25</v>
      </c>
      <c r="Z79" t="s">
        <v>116</v>
      </c>
      <c r="AA79">
        <v>341003403</v>
      </c>
      <c r="AB79" t="s">
        <v>1613</v>
      </c>
    </row>
    <row r="80" spans="1:28" x14ac:dyDescent="0.35">
      <c r="A80">
        <v>345101365</v>
      </c>
      <c r="B80" s="1">
        <v>46245</v>
      </c>
      <c r="C80" t="s">
        <v>69</v>
      </c>
      <c r="D80" t="s">
        <v>160</v>
      </c>
      <c r="E80" t="s">
        <v>1310</v>
      </c>
      <c r="F80" t="s">
        <v>1892</v>
      </c>
      <c r="G80" t="s">
        <v>1893</v>
      </c>
      <c r="H80">
        <v>4190086107</v>
      </c>
      <c r="I80" s="1">
        <v>46241</v>
      </c>
      <c r="J80" s="1">
        <v>46245</v>
      </c>
      <c r="K80" t="s">
        <v>104</v>
      </c>
      <c r="L80" t="s">
        <v>1614</v>
      </c>
      <c r="M80" t="s">
        <v>1615</v>
      </c>
      <c r="N80" t="s">
        <v>366</v>
      </c>
      <c r="O80" t="s">
        <v>53</v>
      </c>
      <c r="P80">
        <v>5000</v>
      </c>
      <c r="Q80">
        <v>0.127</v>
      </c>
      <c r="R80">
        <v>635</v>
      </c>
      <c r="S80">
        <v>1</v>
      </c>
      <c r="T80">
        <v>0.127</v>
      </c>
      <c r="U80">
        <v>635</v>
      </c>
      <c r="V80" t="s">
        <v>137</v>
      </c>
      <c r="W80" t="s">
        <v>138</v>
      </c>
      <c r="X80" t="s">
        <v>13</v>
      </c>
      <c r="Y80" t="s">
        <v>25</v>
      </c>
      <c r="Z80" t="s">
        <v>116</v>
      </c>
      <c r="AA80">
        <v>341003441</v>
      </c>
      <c r="AB80" t="s">
        <v>1613</v>
      </c>
    </row>
    <row r="81" spans="1:28" x14ac:dyDescent="0.35">
      <c r="A81">
        <v>345101365</v>
      </c>
      <c r="B81" s="1">
        <v>46245</v>
      </c>
      <c r="C81" t="s">
        <v>69</v>
      </c>
      <c r="D81" t="s">
        <v>160</v>
      </c>
      <c r="E81" t="s">
        <v>1310</v>
      </c>
      <c r="F81" t="s">
        <v>1892</v>
      </c>
      <c r="G81" t="s">
        <v>1893</v>
      </c>
      <c r="H81">
        <v>4190083565</v>
      </c>
      <c r="I81" s="1">
        <v>46241</v>
      </c>
      <c r="J81" s="1">
        <v>46245</v>
      </c>
      <c r="K81" t="s">
        <v>104</v>
      </c>
      <c r="L81" t="s">
        <v>412</v>
      </c>
      <c r="M81" t="s">
        <v>1617</v>
      </c>
      <c r="N81" t="s">
        <v>414</v>
      </c>
      <c r="O81" t="s">
        <v>55</v>
      </c>
      <c r="P81">
        <v>52500</v>
      </c>
      <c r="Q81">
        <v>0.17699999999999999</v>
      </c>
      <c r="R81">
        <v>9292.5</v>
      </c>
      <c r="S81">
        <v>1</v>
      </c>
      <c r="T81">
        <v>0.17699999999999999</v>
      </c>
      <c r="U81">
        <v>9292.5</v>
      </c>
      <c r="V81" t="s">
        <v>137</v>
      </c>
      <c r="W81" t="s">
        <v>138</v>
      </c>
      <c r="X81" t="s">
        <v>13</v>
      </c>
      <c r="Y81" t="s">
        <v>25</v>
      </c>
      <c r="Z81" t="s">
        <v>116</v>
      </c>
      <c r="AA81">
        <v>341002345</v>
      </c>
      <c r="AB81" t="s">
        <v>1613</v>
      </c>
    </row>
    <row r="82" spans="1:28" x14ac:dyDescent="0.35">
      <c r="A82">
        <v>345101365</v>
      </c>
      <c r="B82" s="1">
        <v>46245</v>
      </c>
      <c r="C82" t="s">
        <v>69</v>
      </c>
      <c r="D82" t="s">
        <v>160</v>
      </c>
      <c r="E82" t="s">
        <v>1310</v>
      </c>
      <c r="F82" t="s">
        <v>1892</v>
      </c>
      <c r="G82" t="s">
        <v>1893</v>
      </c>
      <c r="H82">
        <v>4190087401</v>
      </c>
      <c r="I82" s="1">
        <v>46241</v>
      </c>
      <c r="J82" s="1">
        <v>46245</v>
      </c>
      <c r="K82" t="s">
        <v>104</v>
      </c>
      <c r="L82" t="s">
        <v>1610</v>
      </c>
      <c r="M82" t="s">
        <v>1611</v>
      </c>
      <c r="N82" t="s">
        <v>1612</v>
      </c>
      <c r="O82" t="s">
        <v>53</v>
      </c>
      <c r="P82">
        <v>100000</v>
      </c>
      <c r="Q82">
        <v>0.17799999999999999</v>
      </c>
      <c r="R82">
        <v>17800</v>
      </c>
      <c r="S82">
        <v>1</v>
      </c>
      <c r="T82">
        <v>0.17799999999999999</v>
      </c>
      <c r="U82">
        <v>17800</v>
      </c>
      <c r="V82" t="s">
        <v>137</v>
      </c>
      <c r="W82" t="s">
        <v>138</v>
      </c>
      <c r="X82" t="s">
        <v>13</v>
      </c>
      <c r="Y82" t="s">
        <v>25</v>
      </c>
      <c r="Z82" t="s">
        <v>116</v>
      </c>
      <c r="AA82">
        <v>341003730</v>
      </c>
      <c r="AB82" t="s">
        <v>1613</v>
      </c>
    </row>
    <row r="83" spans="1:28" x14ac:dyDescent="0.35">
      <c r="A83">
        <v>345101364</v>
      </c>
      <c r="B83" s="1">
        <v>46245</v>
      </c>
      <c r="C83" t="s">
        <v>69</v>
      </c>
      <c r="D83" t="s">
        <v>160</v>
      </c>
      <c r="E83" t="s">
        <v>1310</v>
      </c>
      <c r="F83" t="s">
        <v>1892</v>
      </c>
      <c r="G83" t="s">
        <v>1893</v>
      </c>
      <c r="H83">
        <v>4190086324</v>
      </c>
      <c r="I83" s="1">
        <v>46241</v>
      </c>
      <c r="J83" s="1">
        <v>46245</v>
      </c>
      <c r="K83" t="s">
        <v>104</v>
      </c>
      <c r="L83" t="s">
        <v>105</v>
      </c>
      <c r="M83" t="s">
        <v>162</v>
      </c>
      <c r="N83" t="s">
        <v>82</v>
      </c>
      <c r="O83" t="s">
        <v>55</v>
      </c>
      <c r="P83">
        <v>8000</v>
      </c>
      <c r="Q83">
        <v>0.13600000000000001</v>
      </c>
      <c r="R83">
        <v>1088</v>
      </c>
      <c r="S83">
        <v>1</v>
      </c>
      <c r="T83">
        <v>0.13600000000000001</v>
      </c>
      <c r="U83">
        <v>1088</v>
      </c>
      <c r="V83" t="s">
        <v>137</v>
      </c>
      <c r="W83" t="s">
        <v>138</v>
      </c>
      <c r="X83" t="s">
        <v>13</v>
      </c>
      <c r="Y83" t="s">
        <v>25</v>
      </c>
      <c r="Z83" t="s">
        <v>116</v>
      </c>
      <c r="AA83">
        <v>342000303</v>
      </c>
      <c r="AB83" t="s">
        <v>1613</v>
      </c>
    </row>
    <row r="84" spans="1:28" x14ac:dyDescent="0.35">
      <c r="A84">
        <v>345101364</v>
      </c>
      <c r="B84" s="1">
        <v>46245</v>
      </c>
      <c r="C84" t="s">
        <v>69</v>
      </c>
      <c r="D84" t="s">
        <v>160</v>
      </c>
      <c r="E84" t="s">
        <v>1310</v>
      </c>
      <c r="F84" t="s">
        <v>1892</v>
      </c>
      <c r="G84" t="s">
        <v>1893</v>
      </c>
      <c r="H84">
        <v>4190086324</v>
      </c>
      <c r="I84" s="1">
        <v>46241</v>
      </c>
      <c r="J84" s="1">
        <v>46245</v>
      </c>
      <c r="K84" t="s">
        <v>104</v>
      </c>
      <c r="L84" t="s">
        <v>105</v>
      </c>
      <c r="M84" t="s">
        <v>162</v>
      </c>
      <c r="N84" t="s">
        <v>82</v>
      </c>
      <c r="O84" t="s">
        <v>55</v>
      </c>
      <c r="P84">
        <v>60000</v>
      </c>
      <c r="Q84">
        <v>0.13600000000000001</v>
      </c>
      <c r="R84">
        <v>8160</v>
      </c>
      <c r="S84">
        <v>1</v>
      </c>
      <c r="T84">
        <v>0.13600000000000001</v>
      </c>
      <c r="U84">
        <v>8160</v>
      </c>
      <c r="V84" t="s">
        <v>137</v>
      </c>
      <c r="W84" t="s">
        <v>138</v>
      </c>
      <c r="X84" t="s">
        <v>13</v>
      </c>
      <c r="Y84" t="s">
        <v>25</v>
      </c>
      <c r="Z84" t="s">
        <v>116</v>
      </c>
      <c r="AA84">
        <v>342000303</v>
      </c>
      <c r="AB84" t="s">
        <v>1613</v>
      </c>
    </row>
    <row r="85" spans="1:28" x14ac:dyDescent="0.35">
      <c r="A85">
        <v>345101353</v>
      </c>
      <c r="B85" s="1">
        <v>46245</v>
      </c>
      <c r="C85" t="s">
        <v>73</v>
      </c>
      <c r="D85" t="s">
        <v>56</v>
      </c>
      <c r="E85" t="s">
        <v>411</v>
      </c>
      <c r="F85" t="s">
        <v>1892</v>
      </c>
      <c r="G85" t="s">
        <v>1893</v>
      </c>
      <c r="H85">
        <v>3102300056161</v>
      </c>
      <c r="I85" s="1">
        <v>46240</v>
      </c>
      <c r="J85" s="1">
        <v>46245</v>
      </c>
      <c r="K85" t="s">
        <v>104</v>
      </c>
      <c r="L85" t="s">
        <v>1598</v>
      </c>
      <c r="M85" t="s">
        <v>1599</v>
      </c>
      <c r="N85" t="s">
        <v>414</v>
      </c>
      <c r="O85" t="s">
        <v>55</v>
      </c>
      <c r="P85">
        <v>28000</v>
      </c>
      <c r="Q85">
        <v>0.49299999999999999</v>
      </c>
      <c r="R85">
        <v>13804</v>
      </c>
      <c r="S85">
        <v>1</v>
      </c>
      <c r="T85">
        <v>0.49299999999999999</v>
      </c>
      <c r="U85">
        <v>13804</v>
      </c>
      <c r="V85" t="s">
        <v>137</v>
      </c>
      <c r="W85" t="s">
        <v>138</v>
      </c>
      <c r="X85" t="s">
        <v>78</v>
      </c>
      <c r="Y85" t="s">
        <v>17</v>
      </c>
      <c r="Z85" t="s">
        <v>116</v>
      </c>
      <c r="AA85">
        <v>341003126</v>
      </c>
      <c r="AB85" t="s">
        <v>159</v>
      </c>
    </row>
    <row r="86" spans="1:28" x14ac:dyDescent="0.35">
      <c r="A86">
        <v>345101353</v>
      </c>
      <c r="B86" s="1">
        <v>46245</v>
      </c>
      <c r="C86" t="s">
        <v>73</v>
      </c>
      <c r="D86" t="s">
        <v>56</v>
      </c>
      <c r="E86" t="s">
        <v>411</v>
      </c>
      <c r="F86" t="s">
        <v>1892</v>
      </c>
      <c r="G86" t="s">
        <v>1893</v>
      </c>
      <c r="H86">
        <v>3102300056162</v>
      </c>
      <c r="I86" s="1">
        <v>46240</v>
      </c>
      <c r="J86" s="1">
        <v>46245</v>
      </c>
      <c r="K86" t="s">
        <v>104</v>
      </c>
      <c r="L86" t="s">
        <v>1598</v>
      </c>
      <c r="M86" t="s">
        <v>1599</v>
      </c>
      <c r="N86" t="s">
        <v>414</v>
      </c>
      <c r="O86" t="s">
        <v>55</v>
      </c>
      <c r="P86">
        <v>72000</v>
      </c>
      <c r="Q86">
        <v>0.49299999999999999</v>
      </c>
      <c r="R86">
        <v>35496</v>
      </c>
      <c r="S86">
        <v>1</v>
      </c>
      <c r="T86">
        <v>0.49299999999999999</v>
      </c>
      <c r="U86">
        <v>35496</v>
      </c>
      <c r="V86" t="s">
        <v>137</v>
      </c>
      <c r="W86" t="s">
        <v>138</v>
      </c>
      <c r="X86" t="s">
        <v>78</v>
      </c>
      <c r="Y86" t="s">
        <v>17</v>
      </c>
      <c r="Z86" t="s">
        <v>116</v>
      </c>
      <c r="AA86">
        <v>341003240</v>
      </c>
      <c r="AB86" t="s">
        <v>159</v>
      </c>
    </row>
    <row r="87" spans="1:28" x14ac:dyDescent="0.35">
      <c r="A87">
        <v>345101367</v>
      </c>
      <c r="B87" s="1">
        <v>46245</v>
      </c>
      <c r="C87" t="s">
        <v>1622</v>
      </c>
      <c r="D87" t="s">
        <v>120</v>
      </c>
      <c r="E87" t="s">
        <v>61</v>
      </c>
      <c r="F87" t="s">
        <v>1910</v>
      </c>
      <c r="G87" t="s">
        <v>1911</v>
      </c>
      <c r="H87" t="s">
        <v>1627</v>
      </c>
      <c r="I87" s="1">
        <v>46241</v>
      </c>
      <c r="J87" s="1">
        <v>46245</v>
      </c>
      <c r="K87" t="s">
        <v>104</v>
      </c>
      <c r="L87" t="s">
        <v>1628</v>
      </c>
      <c r="M87" t="s">
        <v>1629</v>
      </c>
      <c r="N87" t="s">
        <v>54</v>
      </c>
      <c r="O87" t="s">
        <v>55</v>
      </c>
      <c r="P87">
        <v>4000</v>
      </c>
      <c r="Q87">
        <v>0.44800000000000001</v>
      </c>
      <c r="R87">
        <v>1792</v>
      </c>
      <c r="S87">
        <v>1</v>
      </c>
      <c r="T87">
        <v>0.44800000000000001</v>
      </c>
      <c r="U87">
        <v>1792</v>
      </c>
      <c r="V87" t="s">
        <v>137</v>
      </c>
      <c r="W87" t="s">
        <v>138</v>
      </c>
      <c r="X87" t="s">
        <v>12</v>
      </c>
      <c r="Y87" t="s">
        <v>25</v>
      </c>
      <c r="Z87" t="s">
        <v>116</v>
      </c>
      <c r="AA87">
        <v>341003130</v>
      </c>
      <c r="AB87" t="s">
        <v>159</v>
      </c>
    </row>
    <row r="88" spans="1:28" x14ac:dyDescent="0.35">
      <c r="A88">
        <v>345101367</v>
      </c>
      <c r="B88" s="1">
        <v>46245</v>
      </c>
      <c r="C88" t="s">
        <v>1622</v>
      </c>
      <c r="D88" t="s">
        <v>120</v>
      </c>
      <c r="E88" t="s">
        <v>61</v>
      </c>
      <c r="F88" t="s">
        <v>1910</v>
      </c>
      <c r="G88" t="s">
        <v>1911</v>
      </c>
      <c r="H88" t="s">
        <v>1627</v>
      </c>
      <c r="I88" s="1">
        <v>46241</v>
      </c>
      <c r="J88" s="1">
        <v>46245</v>
      </c>
      <c r="K88" t="s">
        <v>104</v>
      </c>
      <c r="L88" t="s">
        <v>1628</v>
      </c>
      <c r="M88" t="s">
        <v>1629</v>
      </c>
      <c r="N88" t="s">
        <v>54</v>
      </c>
      <c r="O88" t="s">
        <v>55</v>
      </c>
      <c r="P88">
        <v>4000</v>
      </c>
      <c r="Q88">
        <v>0.44800000000000001</v>
      </c>
      <c r="R88">
        <v>1792</v>
      </c>
      <c r="S88">
        <v>1</v>
      </c>
      <c r="T88">
        <v>0.44800000000000001</v>
      </c>
      <c r="U88">
        <v>1792</v>
      </c>
      <c r="V88" t="s">
        <v>137</v>
      </c>
      <c r="W88" t="s">
        <v>138</v>
      </c>
      <c r="X88" t="s">
        <v>12</v>
      </c>
      <c r="Y88" t="s">
        <v>25</v>
      </c>
      <c r="Z88" t="s">
        <v>116</v>
      </c>
      <c r="AA88">
        <v>341003130</v>
      </c>
      <c r="AB88" t="s">
        <v>159</v>
      </c>
    </row>
    <row r="89" spans="1:28" x14ac:dyDescent="0.35">
      <c r="A89">
        <v>345101367</v>
      </c>
      <c r="B89" s="1">
        <v>46245</v>
      </c>
      <c r="C89" t="s">
        <v>1622</v>
      </c>
      <c r="D89" t="s">
        <v>120</v>
      </c>
      <c r="E89" t="s">
        <v>61</v>
      </c>
      <c r="F89" t="s">
        <v>1910</v>
      </c>
      <c r="G89" t="s">
        <v>1911</v>
      </c>
      <c r="H89" t="s">
        <v>1630</v>
      </c>
      <c r="I89" s="1">
        <v>46241</v>
      </c>
      <c r="J89" s="1">
        <v>46245</v>
      </c>
      <c r="K89" t="s">
        <v>104</v>
      </c>
      <c r="L89" t="s">
        <v>1631</v>
      </c>
      <c r="M89" t="s">
        <v>1632</v>
      </c>
      <c r="N89" t="s">
        <v>54</v>
      </c>
      <c r="O89" t="s">
        <v>55</v>
      </c>
      <c r="P89">
        <v>1280</v>
      </c>
      <c r="Q89">
        <v>0.58499999999999996</v>
      </c>
      <c r="R89">
        <v>748.8</v>
      </c>
      <c r="S89">
        <v>1</v>
      </c>
      <c r="T89">
        <v>0.58499999999999996</v>
      </c>
      <c r="U89">
        <v>748.8</v>
      </c>
      <c r="V89" t="s">
        <v>137</v>
      </c>
      <c r="W89" t="s">
        <v>138</v>
      </c>
      <c r="X89" t="s">
        <v>12</v>
      </c>
      <c r="Y89" t="s">
        <v>25</v>
      </c>
      <c r="Z89" t="s">
        <v>116</v>
      </c>
      <c r="AA89">
        <v>341003020</v>
      </c>
      <c r="AB89" t="s">
        <v>159</v>
      </c>
    </row>
    <row r="90" spans="1:28" x14ac:dyDescent="0.35">
      <c r="A90">
        <v>345101367</v>
      </c>
      <c r="B90" s="1">
        <v>46245</v>
      </c>
      <c r="C90" t="s">
        <v>1622</v>
      </c>
      <c r="D90" t="s">
        <v>120</v>
      </c>
      <c r="E90" t="s">
        <v>1912</v>
      </c>
      <c r="F90" t="s">
        <v>1897</v>
      </c>
      <c r="G90" t="s">
        <v>1898</v>
      </c>
      <c r="H90" t="s">
        <v>1633</v>
      </c>
      <c r="I90" s="1">
        <v>46241</v>
      </c>
      <c r="J90" s="1">
        <v>46245</v>
      </c>
      <c r="K90" t="s">
        <v>104</v>
      </c>
      <c r="L90" t="s">
        <v>1634</v>
      </c>
      <c r="M90" t="s">
        <v>1635</v>
      </c>
      <c r="N90" t="s">
        <v>54</v>
      </c>
      <c r="O90" t="s">
        <v>55</v>
      </c>
      <c r="P90">
        <v>3000</v>
      </c>
      <c r="Q90">
        <v>0.68799999999999994</v>
      </c>
      <c r="R90">
        <v>2064</v>
      </c>
      <c r="S90">
        <v>1</v>
      </c>
      <c r="T90">
        <v>0.68799999999999994</v>
      </c>
      <c r="U90">
        <v>2064</v>
      </c>
      <c r="V90" t="s">
        <v>137</v>
      </c>
      <c r="W90" t="s">
        <v>138</v>
      </c>
      <c r="X90" t="s">
        <v>12</v>
      </c>
      <c r="Y90" t="s">
        <v>25</v>
      </c>
      <c r="Z90" t="s">
        <v>116</v>
      </c>
      <c r="AA90">
        <v>341003451</v>
      </c>
      <c r="AB90" t="s">
        <v>159</v>
      </c>
    </row>
    <row r="91" spans="1:28" x14ac:dyDescent="0.35">
      <c r="A91">
        <v>345101366</v>
      </c>
      <c r="B91" s="1">
        <v>46245</v>
      </c>
      <c r="C91" t="s">
        <v>1622</v>
      </c>
      <c r="D91" t="s">
        <v>120</v>
      </c>
      <c r="E91" t="s">
        <v>120</v>
      </c>
      <c r="F91" t="s">
        <v>1910</v>
      </c>
      <c r="G91" t="s">
        <v>1911</v>
      </c>
      <c r="H91" t="s">
        <v>1640</v>
      </c>
      <c r="I91" s="1">
        <v>46241</v>
      </c>
      <c r="J91" s="1">
        <v>46245</v>
      </c>
      <c r="K91" t="s">
        <v>104</v>
      </c>
      <c r="L91" t="s">
        <v>1642</v>
      </c>
      <c r="M91" t="s">
        <v>1642</v>
      </c>
      <c r="N91" t="s">
        <v>366</v>
      </c>
      <c r="O91" t="s">
        <v>53</v>
      </c>
      <c r="P91">
        <v>9000</v>
      </c>
      <c r="Q91">
        <v>7.4999999999999997E-3</v>
      </c>
      <c r="R91">
        <v>67.5</v>
      </c>
      <c r="S91">
        <v>1</v>
      </c>
      <c r="T91">
        <v>7.4999999999999997E-3</v>
      </c>
      <c r="U91">
        <v>67.5</v>
      </c>
      <c r="V91" t="s">
        <v>137</v>
      </c>
      <c r="W91" t="s">
        <v>138</v>
      </c>
      <c r="X91" t="s">
        <v>12</v>
      </c>
      <c r="Y91" t="s">
        <v>25</v>
      </c>
      <c r="Z91" t="s">
        <v>116</v>
      </c>
      <c r="AA91">
        <v>341003770</v>
      </c>
      <c r="AB91" t="s">
        <v>159</v>
      </c>
    </row>
    <row r="92" spans="1:28" x14ac:dyDescent="0.35">
      <c r="A92">
        <v>345101366</v>
      </c>
      <c r="B92" s="1">
        <v>46245</v>
      </c>
      <c r="C92" t="s">
        <v>1622</v>
      </c>
      <c r="D92" t="s">
        <v>120</v>
      </c>
      <c r="E92" t="s">
        <v>120</v>
      </c>
      <c r="F92" t="s">
        <v>1910</v>
      </c>
      <c r="G92" t="s">
        <v>1911</v>
      </c>
      <c r="H92" t="s">
        <v>1638</v>
      </c>
      <c r="I92" s="1">
        <v>46241</v>
      </c>
      <c r="J92" s="1">
        <v>46245</v>
      </c>
      <c r="K92" t="s">
        <v>104</v>
      </c>
      <c r="L92" t="s">
        <v>1639</v>
      </c>
      <c r="M92" t="s">
        <v>1639</v>
      </c>
      <c r="N92" t="s">
        <v>366</v>
      </c>
      <c r="O92" t="s">
        <v>53</v>
      </c>
      <c r="P92">
        <v>6000</v>
      </c>
      <c r="Q92">
        <v>1.11E-2</v>
      </c>
      <c r="R92">
        <v>66.599999999999994</v>
      </c>
      <c r="S92">
        <v>1</v>
      </c>
      <c r="T92">
        <v>1.11E-2</v>
      </c>
      <c r="U92">
        <v>66.599999999999994</v>
      </c>
      <c r="V92" t="s">
        <v>137</v>
      </c>
      <c r="W92" t="s">
        <v>138</v>
      </c>
      <c r="X92" t="s">
        <v>12</v>
      </c>
      <c r="Y92" t="s">
        <v>25</v>
      </c>
      <c r="Z92" t="s">
        <v>116</v>
      </c>
      <c r="AA92">
        <v>341003413</v>
      </c>
      <c r="AB92" t="s">
        <v>159</v>
      </c>
    </row>
    <row r="93" spans="1:28" x14ac:dyDescent="0.35">
      <c r="A93">
        <v>345101366</v>
      </c>
      <c r="B93" s="1">
        <v>46245</v>
      </c>
      <c r="C93" t="s">
        <v>1622</v>
      </c>
      <c r="D93" t="s">
        <v>120</v>
      </c>
      <c r="E93" t="s">
        <v>120</v>
      </c>
      <c r="F93" t="s">
        <v>1910</v>
      </c>
      <c r="G93" t="s">
        <v>1911</v>
      </c>
      <c r="H93" t="s">
        <v>1645</v>
      </c>
      <c r="I93" s="1">
        <v>46241</v>
      </c>
      <c r="J93" s="1">
        <v>46245</v>
      </c>
      <c r="K93" t="s">
        <v>104</v>
      </c>
      <c r="L93" t="s">
        <v>1646</v>
      </c>
      <c r="M93" t="s">
        <v>1647</v>
      </c>
      <c r="N93" t="s">
        <v>366</v>
      </c>
      <c r="O93" t="s">
        <v>53</v>
      </c>
      <c r="P93">
        <v>50000</v>
      </c>
      <c r="Q93">
        <v>4.1399999999999999E-2</v>
      </c>
      <c r="R93">
        <v>2070</v>
      </c>
      <c r="S93">
        <v>1</v>
      </c>
      <c r="T93">
        <v>4.1399999999999999E-2</v>
      </c>
      <c r="U93">
        <v>2070</v>
      </c>
      <c r="V93" t="s">
        <v>137</v>
      </c>
      <c r="W93" t="s">
        <v>138</v>
      </c>
      <c r="X93" t="s">
        <v>12</v>
      </c>
      <c r="Y93" t="s">
        <v>25</v>
      </c>
      <c r="Z93" t="s">
        <v>116</v>
      </c>
      <c r="AA93">
        <v>341003236</v>
      </c>
      <c r="AB93" t="s">
        <v>159</v>
      </c>
    </row>
    <row r="94" spans="1:28" x14ac:dyDescent="0.35">
      <c r="A94">
        <v>345101366</v>
      </c>
      <c r="B94" s="1">
        <v>46245</v>
      </c>
      <c r="C94" t="s">
        <v>1622</v>
      </c>
      <c r="D94" t="s">
        <v>120</v>
      </c>
      <c r="E94" t="s">
        <v>120</v>
      </c>
      <c r="F94" t="s">
        <v>1910</v>
      </c>
      <c r="G94" t="s">
        <v>1911</v>
      </c>
      <c r="H94" t="s">
        <v>1636</v>
      </c>
      <c r="I94" s="1">
        <v>46241</v>
      </c>
      <c r="J94" s="1">
        <v>46245</v>
      </c>
      <c r="K94" t="s">
        <v>104</v>
      </c>
      <c r="L94" t="s">
        <v>1637</v>
      </c>
      <c r="M94" t="s">
        <v>1637</v>
      </c>
      <c r="N94" t="s">
        <v>366</v>
      </c>
      <c r="O94" t="s">
        <v>53</v>
      </c>
      <c r="P94">
        <v>2000</v>
      </c>
      <c r="Q94">
        <v>7.1999999999999998E-3</v>
      </c>
      <c r="R94">
        <v>14.4</v>
      </c>
      <c r="S94">
        <v>1</v>
      </c>
      <c r="T94">
        <v>7.1999999999999998E-3</v>
      </c>
      <c r="U94">
        <v>14.4</v>
      </c>
      <c r="V94" t="s">
        <v>137</v>
      </c>
      <c r="W94" t="s">
        <v>138</v>
      </c>
      <c r="X94" t="s">
        <v>12</v>
      </c>
      <c r="Y94" t="s">
        <v>25</v>
      </c>
      <c r="Z94" t="s">
        <v>116</v>
      </c>
      <c r="AA94">
        <v>341003134</v>
      </c>
      <c r="AB94" t="s">
        <v>159</v>
      </c>
    </row>
    <row r="95" spans="1:28" x14ac:dyDescent="0.35">
      <c r="A95">
        <v>345101366</v>
      </c>
      <c r="B95" s="1">
        <v>46245</v>
      </c>
      <c r="C95" t="s">
        <v>1622</v>
      </c>
      <c r="D95" t="s">
        <v>120</v>
      </c>
      <c r="E95" t="s">
        <v>120</v>
      </c>
      <c r="F95" t="s">
        <v>1910</v>
      </c>
      <c r="G95" t="s">
        <v>1911</v>
      </c>
      <c r="H95" t="s">
        <v>1636</v>
      </c>
      <c r="I95" s="1">
        <v>46241</v>
      </c>
      <c r="J95" s="1">
        <v>46245</v>
      </c>
      <c r="K95" t="s">
        <v>104</v>
      </c>
      <c r="L95" t="s">
        <v>1637</v>
      </c>
      <c r="M95" t="s">
        <v>1637</v>
      </c>
      <c r="N95" t="s">
        <v>366</v>
      </c>
      <c r="O95" t="s">
        <v>53</v>
      </c>
      <c r="P95">
        <v>1000</v>
      </c>
      <c r="Q95">
        <v>7.1999999999999998E-3</v>
      </c>
      <c r="R95">
        <v>7.2</v>
      </c>
      <c r="S95">
        <v>1</v>
      </c>
      <c r="T95">
        <v>7.1999999999999998E-3</v>
      </c>
      <c r="U95">
        <v>7.2</v>
      </c>
      <c r="V95" t="s">
        <v>137</v>
      </c>
      <c r="W95" t="s">
        <v>138</v>
      </c>
      <c r="X95" t="s">
        <v>12</v>
      </c>
      <c r="Y95" t="s">
        <v>25</v>
      </c>
      <c r="Z95" t="s">
        <v>116</v>
      </c>
      <c r="AA95">
        <v>341003134</v>
      </c>
      <c r="AB95" t="s">
        <v>159</v>
      </c>
    </row>
    <row r="96" spans="1:28" x14ac:dyDescent="0.35">
      <c r="A96">
        <v>345101366</v>
      </c>
      <c r="B96" s="1">
        <v>46245</v>
      </c>
      <c r="C96" t="s">
        <v>1622</v>
      </c>
      <c r="D96" t="s">
        <v>120</v>
      </c>
      <c r="E96" t="s">
        <v>120</v>
      </c>
      <c r="F96" t="s">
        <v>1910</v>
      </c>
      <c r="G96" t="s">
        <v>1911</v>
      </c>
      <c r="H96" t="s">
        <v>1640</v>
      </c>
      <c r="I96" s="1">
        <v>46241</v>
      </c>
      <c r="J96" s="1">
        <v>46245</v>
      </c>
      <c r="K96" t="s">
        <v>104</v>
      </c>
      <c r="L96" t="s">
        <v>1643</v>
      </c>
      <c r="M96" t="s">
        <v>1644</v>
      </c>
      <c r="N96" t="s">
        <v>366</v>
      </c>
      <c r="O96" t="s">
        <v>53</v>
      </c>
      <c r="P96">
        <v>7500</v>
      </c>
      <c r="Q96">
        <v>0.09</v>
      </c>
      <c r="R96">
        <v>675</v>
      </c>
      <c r="S96">
        <v>1</v>
      </c>
      <c r="T96">
        <v>0.09</v>
      </c>
      <c r="U96">
        <v>675</v>
      </c>
      <c r="V96" t="s">
        <v>137</v>
      </c>
      <c r="W96" t="s">
        <v>138</v>
      </c>
      <c r="X96" t="s">
        <v>12</v>
      </c>
      <c r="Y96" t="s">
        <v>25</v>
      </c>
      <c r="Z96" t="s">
        <v>116</v>
      </c>
      <c r="AA96">
        <v>341003770</v>
      </c>
      <c r="AB96" t="s">
        <v>159</v>
      </c>
    </row>
    <row r="97" spans="1:28" x14ac:dyDescent="0.35">
      <c r="A97">
        <v>345101366</v>
      </c>
      <c r="B97" s="1">
        <v>46245</v>
      </c>
      <c r="C97" t="s">
        <v>1622</v>
      </c>
      <c r="D97" t="s">
        <v>120</v>
      </c>
      <c r="E97" t="s">
        <v>61</v>
      </c>
      <c r="F97" t="s">
        <v>1910</v>
      </c>
      <c r="G97" t="s">
        <v>1911</v>
      </c>
      <c r="H97" t="s">
        <v>1640</v>
      </c>
      <c r="I97" s="1">
        <v>46241</v>
      </c>
      <c r="J97" s="1">
        <v>46245</v>
      </c>
      <c r="K97" t="s">
        <v>104</v>
      </c>
      <c r="L97" t="s">
        <v>1641</v>
      </c>
      <c r="M97" t="s">
        <v>1641</v>
      </c>
      <c r="N97" t="s">
        <v>366</v>
      </c>
      <c r="O97" t="s">
        <v>53</v>
      </c>
      <c r="P97">
        <v>30000</v>
      </c>
      <c r="Q97">
        <v>6.8999999999999999E-3</v>
      </c>
      <c r="R97">
        <v>207</v>
      </c>
      <c r="S97">
        <v>1</v>
      </c>
      <c r="T97">
        <v>6.8999999999999999E-3</v>
      </c>
      <c r="U97">
        <v>207</v>
      </c>
      <c r="V97" t="s">
        <v>137</v>
      </c>
      <c r="W97" t="s">
        <v>138</v>
      </c>
      <c r="X97" t="s">
        <v>12</v>
      </c>
      <c r="Y97" t="s">
        <v>25</v>
      </c>
      <c r="Z97" t="s">
        <v>116</v>
      </c>
      <c r="AA97">
        <v>341003770</v>
      </c>
      <c r="AB97" t="s">
        <v>159</v>
      </c>
    </row>
    <row r="98" spans="1:28" x14ac:dyDescent="0.35">
      <c r="A98">
        <v>345101366</v>
      </c>
      <c r="B98" s="1">
        <v>46245</v>
      </c>
      <c r="C98" t="s">
        <v>1622</v>
      </c>
      <c r="D98" t="s">
        <v>120</v>
      </c>
      <c r="E98" t="s">
        <v>120</v>
      </c>
      <c r="F98" t="s">
        <v>1910</v>
      </c>
      <c r="G98" t="s">
        <v>1911</v>
      </c>
      <c r="H98" t="s">
        <v>1623</v>
      </c>
      <c r="I98" s="1">
        <v>46241</v>
      </c>
      <c r="J98" s="1">
        <v>46245</v>
      </c>
      <c r="K98" t="s">
        <v>104</v>
      </c>
      <c r="L98" t="s">
        <v>1624</v>
      </c>
      <c r="M98" t="s">
        <v>1625</v>
      </c>
      <c r="N98" t="s">
        <v>1626</v>
      </c>
      <c r="O98" t="s">
        <v>62</v>
      </c>
      <c r="P98">
        <v>1500</v>
      </c>
      <c r="Q98">
        <v>1.23</v>
      </c>
      <c r="R98">
        <v>1845</v>
      </c>
      <c r="S98">
        <v>1</v>
      </c>
      <c r="T98">
        <v>1.23</v>
      </c>
      <c r="U98">
        <v>1845</v>
      </c>
      <c r="V98" t="s">
        <v>137</v>
      </c>
      <c r="W98" t="s">
        <v>138</v>
      </c>
      <c r="X98" t="s">
        <v>12</v>
      </c>
      <c r="Y98" t="s">
        <v>25</v>
      </c>
      <c r="Z98" t="s">
        <v>116</v>
      </c>
      <c r="AA98">
        <v>341003728</v>
      </c>
      <c r="AB98" t="s">
        <v>159</v>
      </c>
    </row>
    <row r="99" spans="1:28" x14ac:dyDescent="0.35">
      <c r="A99">
        <v>345101366</v>
      </c>
      <c r="B99" s="1">
        <v>46245</v>
      </c>
      <c r="C99" t="s">
        <v>1622</v>
      </c>
      <c r="D99" t="s">
        <v>120</v>
      </c>
      <c r="E99" t="s">
        <v>120</v>
      </c>
      <c r="F99" t="s">
        <v>1910</v>
      </c>
      <c r="G99" t="s">
        <v>1911</v>
      </c>
      <c r="H99" t="s">
        <v>1623</v>
      </c>
      <c r="I99" s="1">
        <v>46241</v>
      </c>
      <c r="J99" s="1">
        <v>46245</v>
      </c>
      <c r="K99" t="s">
        <v>104</v>
      </c>
      <c r="L99" t="s">
        <v>1624</v>
      </c>
      <c r="M99" t="s">
        <v>1625</v>
      </c>
      <c r="N99" t="s">
        <v>1626</v>
      </c>
      <c r="O99" t="s">
        <v>62</v>
      </c>
      <c r="P99">
        <v>1500</v>
      </c>
      <c r="Q99">
        <v>1.23</v>
      </c>
      <c r="R99">
        <v>1845</v>
      </c>
      <c r="S99">
        <v>1</v>
      </c>
      <c r="T99">
        <v>1.23</v>
      </c>
      <c r="U99">
        <v>1845</v>
      </c>
      <c r="V99" t="s">
        <v>137</v>
      </c>
      <c r="W99" t="s">
        <v>138</v>
      </c>
      <c r="X99" t="s">
        <v>12</v>
      </c>
      <c r="Y99" t="s">
        <v>25</v>
      </c>
      <c r="Z99" t="s">
        <v>116</v>
      </c>
      <c r="AA99">
        <v>341003728</v>
      </c>
      <c r="AB99" t="s">
        <v>159</v>
      </c>
    </row>
    <row r="100" spans="1:28" x14ac:dyDescent="0.35">
      <c r="A100">
        <v>345101350</v>
      </c>
      <c r="B100" s="1">
        <v>46245</v>
      </c>
      <c r="C100" t="s">
        <v>410</v>
      </c>
      <c r="D100" t="s">
        <v>411</v>
      </c>
      <c r="E100" t="s">
        <v>411</v>
      </c>
      <c r="F100" t="s">
        <v>1892</v>
      </c>
      <c r="G100" t="s">
        <v>1893</v>
      </c>
      <c r="H100">
        <v>2102300162232</v>
      </c>
      <c r="I100" s="1">
        <v>46240</v>
      </c>
      <c r="J100" s="1">
        <v>46245</v>
      </c>
      <c r="K100" t="s">
        <v>104</v>
      </c>
      <c r="L100" t="s">
        <v>1605</v>
      </c>
      <c r="M100" t="s">
        <v>1606</v>
      </c>
      <c r="N100" t="s">
        <v>54</v>
      </c>
      <c r="O100" t="s">
        <v>55</v>
      </c>
      <c r="P100">
        <v>240</v>
      </c>
      <c r="Q100">
        <v>2.835</v>
      </c>
      <c r="R100">
        <v>680.4</v>
      </c>
      <c r="S100">
        <v>1</v>
      </c>
      <c r="T100">
        <v>2.835</v>
      </c>
      <c r="U100">
        <v>680.4</v>
      </c>
      <c r="V100" t="s">
        <v>137</v>
      </c>
      <c r="W100" t="s">
        <v>138</v>
      </c>
      <c r="X100" t="s">
        <v>78</v>
      </c>
      <c r="Y100" t="s">
        <v>17</v>
      </c>
      <c r="Z100" t="s">
        <v>116</v>
      </c>
      <c r="AA100">
        <v>341002356</v>
      </c>
      <c r="AB100" t="s">
        <v>159</v>
      </c>
    </row>
    <row r="101" spans="1:28" x14ac:dyDescent="0.35">
      <c r="A101">
        <v>345101350</v>
      </c>
      <c r="B101" s="1">
        <v>46245</v>
      </c>
      <c r="C101" t="s">
        <v>410</v>
      </c>
      <c r="D101" t="s">
        <v>411</v>
      </c>
      <c r="E101" t="s">
        <v>411</v>
      </c>
      <c r="F101" t="s">
        <v>1892</v>
      </c>
      <c r="G101" t="s">
        <v>1893</v>
      </c>
      <c r="H101">
        <v>2102600009</v>
      </c>
      <c r="I101" s="1">
        <v>46240</v>
      </c>
      <c r="J101" s="1">
        <v>46245</v>
      </c>
      <c r="K101" t="s">
        <v>104</v>
      </c>
      <c r="L101" t="s">
        <v>1600</v>
      </c>
      <c r="M101" t="s">
        <v>1601</v>
      </c>
      <c r="N101" t="s">
        <v>1602</v>
      </c>
      <c r="O101" t="s">
        <v>55</v>
      </c>
      <c r="P101">
        <v>6000</v>
      </c>
      <c r="Q101">
        <v>0.2</v>
      </c>
      <c r="R101">
        <v>1200</v>
      </c>
      <c r="S101">
        <v>1</v>
      </c>
      <c r="T101">
        <v>0.2</v>
      </c>
      <c r="U101">
        <v>1200</v>
      </c>
      <c r="V101" t="s">
        <v>137</v>
      </c>
      <c r="W101" t="s">
        <v>138</v>
      </c>
      <c r="X101" t="s">
        <v>78</v>
      </c>
      <c r="Y101" t="s">
        <v>17</v>
      </c>
      <c r="Z101" t="s">
        <v>116</v>
      </c>
      <c r="AA101">
        <v>341003302</v>
      </c>
      <c r="AB101" t="s">
        <v>159</v>
      </c>
    </row>
    <row r="102" spans="1:28" x14ac:dyDescent="0.35">
      <c r="A102">
        <v>345101297</v>
      </c>
      <c r="B102" s="1">
        <v>46245</v>
      </c>
      <c r="C102" t="s">
        <v>1653</v>
      </c>
      <c r="D102" t="s">
        <v>16</v>
      </c>
      <c r="E102" t="s">
        <v>16</v>
      </c>
      <c r="F102" t="s">
        <v>1892</v>
      </c>
      <c r="G102" t="s">
        <v>1893</v>
      </c>
      <c r="H102">
        <v>1520008217</v>
      </c>
      <c r="I102" s="1">
        <v>46237</v>
      </c>
      <c r="J102" s="1">
        <v>46245</v>
      </c>
      <c r="K102" t="s">
        <v>1654</v>
      </c>
      <c r="L102" t="s">
        <v>1655</v>
      </c>
      <c r="M102" t="s">
        <v>1656</v>
      </c>
      <c r="N102" t="s">
        <v>58</v>
      </c>
      <c r="O102" t="s">
        <v>53</v>
      </c>
      <c r="P102">
        <v>48600</v>
      </c>
      <c r="Q102">
        <v>3.52</v>
      </c>
      <c r="R102">
        <v>171072</v>
      </c>
      <c r="S102">
        <v>6.1999999999999998E-3</v>
      </c>
      <c r="T102">
        <v>2.1899999999999999E-2</v>
      </c>
      <c r="U102">
        <v>1065.78</v>
      </c>
      <c r="V102" t="s">
        <v>1280</v>
      </c>
      <c r="W102" t="s">
        <v>138</v>
      </c>
      <c r="X102" t="s">
        <v>13</v>
      </c>
      <c r="Y102" t="s">
        <v>22</v>
      </c>
      <c r="Z102" t="s">
        <v>116</v>
      </c>
      <c r="AA102">
        <v>341001168</v>
      </c>
      <c r="AB102" t="s">
        <v>159</v>
      </c>
    </row>
    <row r="103" spans="1:28" x14ac:dyDescent="0.35">
      <c r="A103">
        <v>345101297</v>
      </c>
      <c r="B103" s="1">
        <v>46245</v>
      </c>
      <c r="C103" t="s">
        <v>1653</v>
      </c>
      <c r="D103" t="s">
        <v>16</v>
      </c>
      <c r="E103" t="s">
        <v>16</v>
      </c>
      <c r="F103" t="s">
        <v>1892</v>
      </c>
      <c r="G103" t="s">
        <v>1893</v>
      </c>
      <c r="H103">
        <v>1520008217</v>
      </c>
      <c r="I103" s="1">
        <v>46237</v>
      </c>
      <c r="J103" s="1">
        <v>46245</v>
      </c>
      <c r="K103" t="s">
        <v>1654</v>
      </c>
      <c r="L103" t="s">
        <v>1655</v>
      </c>
      <c r="M103" t="s">
        <v>1656</v>
      </c>
      <c r="N103" t="s">
        <v>58</v>
      </c>
      <c r="O103" t="s">
        <v>53</v>
      </c>
      <c r="P103">
        <v>44100</v>
      </c>
      <c r="Q103">
        <v>3.52</v>
      </c>
      <c r="R103">
        <v>155232</v>
      </c>
      <c r="S103">
        <v>6.1999999999999998E-3</v>
      </c>
      <c r="T103">
        <v>2.1899999999999999E-2</v>
      </c>
      <c r="U103">
        <v>967.1</v>
      </c>
      <c r="V103" t="s">
        <v>1280</v>
      </c>
      <c r="W103" t="s">
        <v>138</v>
      </c>
      <c r="X103" t="s">
        <v>13</v>
      </c>
      <c r="Y103" t="s">
        <v>22</v>
      </c>
      <c r="Z103" t="s">
        <v>116</v>
      </c>
      <c r="AA103">
        <v>341001168</v>
      </c>
      <c r="AB103" t="s">
        <v>159</v>
      </c>
    </row>
    <row r="104" spans="1:28" x14ac:dyDescent="0.35">
      <c r="A104">
        <v>345101297</v>
      </c>
      <c r="B104" s="1">
        <v>46245</v>
      </c>
      <c r="C104" t="s">
        <v>1653</v>
      </c>
      <c r="D104" t="s">
        <v>16</v>
      </c>
      <c r="E104" t="s">
        <v>16</v>
      </c>
      <c r="F104" t="s">
        <v>1892</v>
      </c>
      <c r="G104" t="s">
        <v>1893</v>
      </c>
      <c r="H104">
        <v>1520008798</v>
      </c>
      <c r="I104" s="1">
        <v>46237</v>
      </c>
      <c r="J104" s="1">
        <v>46245</v>
      </c>
      <c r="K104" t="s">
        <v>1654</v>
      </c>
      <c r="L104" t="s">
        <v>1655</v>
      </c>
      <c r="M104" t="s">
        <v>1656</v>
      </c>
      <c r="N104" t="s">
        <v>58</v>
      </c>
      <c r="O104" t="s">
        <v>53</v>
      </c>
      <c r="P104">
        <v>99900</v>
      </c>
      <c r="Q104">
        <v>3.52</v>
      </c>
      <c r="R104">
        <v>351648</v>
      </c>
      <c r="S104">
        <v>6.1999999999999998E-3</v>
      </c>
      <c r="T104">
        <v>2.1899999999999999E-2</v>
      </c>
      <c r="U104">
        <v>2190.77</v>
      </c>
      <c r="V104" t="s">
        <v>1280</v>
      </c>
      <c r="W104" t="s">
        <v>138</v>
      </c>
      <c r="X104" t="s">
        <v>13</v>
      </c>
      <c r="Y104" t="s">
        <v>22</v>
      </c>
      <c r="Z104" t="s">
        <v>116</v>
      </c>
      <c r="AA104">
        <v>341003780</v>
      </c>
      <c r="AB104" t="s">
        <v>159</v>
      </c>
    </row>
    <row r="105" spans="1:28" x14ac:dyDescent="0.35">
      <c r="A105">
        <v>345101297</v>
      </c>
      <c r="B105" s="1">
        <v>46245</v>
      </c>
      <c r="C105" t="s">
        <v>1653</v>
      </c>
      <c r="D105" t="s">
        <v>16</v>
      </c>
      <c r="E105" t="s">
        <v>16</v>
      </c>
      <c r="F105" t="s">
        <v>1892</v>
      </c>
      <c r="G105" t="s">
        <v>1893</v>
      </c>
      <c r="H105">
        <v>1520008798</v>
      </c>
      <c r="I105" s="1">
        <v>46237</v>
      </c>
      <c r="J105" s="1">
        <v>46245</v>
      </c>
      <c r="K105" t="s">
        <v>1654</v>
      </c>
      <c r="L105" t="s">
        <v>1655</v>
      </c>
      <c r="M105" t="s">
        <v>1656</v>
      </c>
      <c r="N105" t="s">
        <v>58</v>
      </c>
      <c r="O105" t="s">
        <v>53</v>
      </c>
      <c r="P105">
        <v>99900</v>
      </c>
      <c r="Q105">
        <v>3.52</v>
      </c>
      <c r="R105">
        <v>351648</v>
      </c>
      <c r="S105">
        <v>6.1999999999999998E-3</v>
      </c>
      <c r="T105">
        <v>2.1899999999999999E-2</v>
      </c>
      <c r="U105">
        <v>2190.77</v>
      </c>
      <c r="V105" t="s">
        <v>1280</v>
      </c>
      <c r="W105" t="s">
        <v>138</v>
      </c>
      <c r="X105" t="s">
        <v>13</v>
      </c>
      <c r="Y105" t="s">
        <v>22</v>
      </c>
      <c r="Z105" t="s">
        <v>116</v>
      </c>
      <c r="AA105">
        <v>341003780</v>
      </c>
      <c r="AB105" t="s">
        <v>159</v>
      </c>
    </row>
    <row r="106" spans="1:28" x14ac:dyDescent="0.35">
      <c r="A106">
        <v>345101297</v>
      </c>
      <c r="B106" s="1">
        <v>46245</v>
      </c>
      <c r="C106" t="s">
        <v>1653</v>
      </c>
      <c r="D106" t="s">
        <v>16</v>
      </c>
      <c r="E106" t="s">
        <v>16</v>
      </c>
      <c r="F106" t="s">
        <v>1892</v>
      </c>
      <c r="G106" t="s">
        <v>1893</v>
      </c>
      <c r="H106">
        <v>1520008798</v>
      </c>
      <c r="I106" s="1">
        <v>46237</v>
      </c>
      <c r="J106" s="1">
        <v>46245</v>
      </c>
      <c r="K106" t="s">
        <v>1654</v>
      </c>
      <c r="L106" t="s">
        <v>1655</v>
      </c>
      <c r="M106" t="s">
        <v>1656</v>
      </c>
      <c r="N106" t="s">
        <v>58</v>
      </c>
      <c r="O106" t="s">
        <v>53</v>
      </c>
      <c r="P106">
        <v>99900</v>
      </c>
      <c r="Q106">
        <v>3.52</v>
      </c>
      <c r="R106">
        <v>351648</v>
      </c>
      <c r="S106">
        <v>6.1999999999999998E-3</v>
      </c>
      <c r="T106">
        <v>2.1899999999999999E-2</v>
      </c>
      <c r="U106">
        <v>2190.77</v>
      </c>
      <c r="V106" t="s">
        <v>1280</v>
      </c>
      <c r="W106" t="s">
        <v>138</v>
      </c>
      <c r="X106" t="s">
        <v>13</v>
      </c>
      <c r="Y106" t="s">
        <v>22</v>
      </c>
      <c r="Z106" t="s">
        <v>116</v>
      </c>
      <c r="AA106">
        <v>341003780</v>
      </c>
      <c r="AB106" t="s">
        <v>159</v>
      </c>
    </row>
    <row r="107" spans="1:28" x14ac:dyDescent="0.35">
      <c r="A107">
        <v>345101321</v>
      </c>
      <c r="B107" s="1">
        <v>46247</v>
      </c>
      <c r="C107" t="s">
        <v>79</v>
      </c>
      <c r="D107" t="s">
        <v>80</v>
      </c>
      <c r="E107" t="s">
        <v>80</v>
      </c>
      <c r="F107" t="s">
        <v>1892</v>
      </c>
      <c r="G107" t="s">
        <v>1893</v>
      </c>
      <c r="H107">
        <v>4200000254</v>
      </c>
      <c r="I107" s="1">
        <v>46239</v>
      </c>
      <c r="J107" s="1">
        <v>46247</v>
      </c>
      <c r="K107" t="s">
        <v>104</v>
      </c>
      <c r="L107" t="s">
        <v>316</v>
      </c>
      <c r="M107" t="s">
        <v>317</v>
      </c>
      <c r="N107" t="s">
        <v>175</v>
      </c>
      <c r="O107" t="s">
        <v>62</v>
      </c>
      <c r="P107">
        <v>56475</v>
      </c>
      <c r="Q107">
        <v>7.9000000000000001E-2</v>
      </c>
      <c r="R107">
        <v>4461.53</v>
      </c>
      <c r="S107">
        <v>1</v>
      </c>
      <c r="T107">
        <v>7.9000000000000001E-2</v>
      </c>
      <c r="U107">
        <v>4461.53</v>
      </c>
      <c r="V107" t="s">
        <v>137</v>
      </c>
      <c r="W107" t="s">
        <v>138</v>
      </c>
      <c r="X107" t="s">
        <v>11</v>
      </c>
      <c r="Y107" t="s">
        <v>22</v>
      </c>
      <c r="Z107" t="s">
        <v>116</v>
      </c>
      <c r="AA107">
        <v>342000673</v>
      </c>
      <c r="AB107" t="s">
        <v>1675</v>
      </c>
    </row>
    <row r="108" spans="1:28" x14ac:dyDescent="0.35">
      <c r="A108">
        <v>345101321</v>
      </c>
      <c r="B108" s="1">
        <v>46247</v>
      </c>
      <c r="C108" t="s">
        <v>79</v>
      </c>
      <c r="D108" t="s">
        <v>80</v>
      </c>
      <c r="E108" t="s">
        <v>80</v>
      </c>
      <c r="F108" t="s">
        <v>1892</v>
      </c>
      <c r="G108" t="s">
        <v>1893</v>
      </c>
      <c r="H108">
        <v>4200000254</v>
      </c>
      <c r="I108" s="1">
        <v>46239</v>
      </c>
      <c r="J108" s="1">
        <v>46247</v>
      </c>
      <c r="K108" t="s">
        <v>104</v>
      </c>
      <c r="L108" t="s">
        <v>316</v>
      </c>
      <c r="M108" t="s">
        <v>317</v>
      </c>
      <c r="N108" t="s">
        <v>175</v>
      </c>
      <c r="O108" t="s">
        <v>62</v>
      </c>
      <c r="P108">
        <v>92025</v>
      </c>
      <c r="Q108">
        <v>7.9000000000000001E-2</v>
      </c>
      <c r="R108">
        <v>7269.98</v>
      </c>
      <c r="S108">
        <v>1</v>
      </c>
      <c r="T108">
        <v>7.9000000000000001E-2</v>
      </c>
      <c r="U108">
        <v>7269.98</v>
      </c>
      <c r="V108" t="s">
        <v>137</v>
      </c>
      <c r="W108" t="s">
        <v>138</v>
      </c>
      <c r="X108" t="s">
        <v>11</v>
      </c>
      <c r="Y108" t="s">
        <v>22</v>
      </c>
      <c r="Z108" t="s">
        <v>116</v>
      </c>
      <c r="AA108">
        <v>342000673</v>
      </c>
      <c r="AB108" t="s">
        <v>1675</v>
      </c>
    </row>
    <row r="109" spans="1:28" x14ac:dyDescent="0.35">
      <c r="A109">
        <v>345101434</v>
      </c>
      <c r="B109" s="1">
        <v>46247</v>
      </c>
      <c r="C109" t="s">
        <v>403</v>
      </c>
      <c r="D109" t="s">
        <v>404</v>
      </c>
      <c r="E109" t="s">
        <v>405</v>
      </c>
      <c r="F109" t="s">
        <v>1900</v>
      </c>
      <c r="G109" t="s">
        <v>1902</v>
      </c>
      <c r="H109">
        <v>7200000909</v>
      </c>
      <c r="I109" s="1">
        <v>46247</v>
      </c>
      <c r="J109" s="1">
        <v>46247</v>
      </c>
      <c r="K109" t="s">
        <v>104</v>
      </c>
      <c r="L109" t="s">
        <v>408</v>
      </c>
      <c r="M109">
        <v>1011001127</v>
      </c>
      <c r="N109" t="s">
        <v>40</v>
      </c>
      <c r="O109" t="s">
        <v>53</v>
      </c>
      <c r="P109">
        <v>8000</v>
      </c>
      <c r="Q109">
        <v>0.13800000000000001</v>
      </c>
      <c r="R109">
        <v>1104</v>
      </c>
      <c r="S109">
        <v>1</v>
      </c>
      <c r="T109">
        <v>0.13800000000000001</v>
      </c>
      <c r="U109">
        <v>1104</v>
      </c>
      <c r="V109" t="s">
        <v>137</v>
      </c>
      <c r="W109" t="s">
        <v>138</v>
      </c>
      <c r="X109" t="s">
        <v>78</v>
      </c>
      <c r="Y109" t="s">
        <v>17</v>
      </c>
      <c r="Z109" t="s">
        <v>116</v>
      </c>
      <c r="AA109">
        <v>341002419</v>
      </c>
      <c r="AB109" t="s">
        <v>159</v>
      </c>
    </row>
    <row r="110" spans="1:28" x14ac:dyDescent="0.35">
      <c r="A110">
        <v>345101434</v>
      </c>
      <c r="B110" s="1">
        <v>46247</v>
      </c>
      <c r="C110" t="s">
        <v>403</v>
      </c>
      <c r="D110" t="s">
        <v>404</v>
      </c>
      <c r="E110" t="s">
        <v>405</v>
      </c>
      <c r="F110" t="s">
        <v>1900</v>
      </c>
      <c r="G110" t="s">
        <v>1902</v>
      </c>
      <c r="H110">
        <v>7200000909</v>
      </c>
      <c r="I110" s="1">
        <v>46247</v>
      </c>
      <c r="J110" s="1">
        <v>46247</v>
      </c>
      <c r="K110" t="s">
        <v>104</v>
      </c>
      <c r="L110" t="s">
        <v>408</v>
      </c>
      <c r="M110">
        <v>1011001127</v>
      </c>
      <c r="N110" t="s">
        <v>40</v>
      </c>
      <c r="O110" t="s">
        <v>53</v>
      </c>
      <c r="P110">
        <v>8000</v>
      </c>
      <c r="Q110">
        <v>0.13800000000000001</v>
      </c>
      <c r="R110">
        <v>1104</v>
      </c>
      <c r="S110">
        <v>1</v>
      </c>
      <c r="T110">
        <v>0.13800000000000001</v>
      </c>
      <c r="U110">
        <v>1104</v>
      </c>
      <c r="V110" t="s">
        <v>137</v>
      </c>
      <c r="W110" t="s">
        <v>138</v>
      </c>
      <c r="X110" t="s">
        <v>78</v>
      </c>
      <c r="Y110" t="s">
        <v>17</v>
      </c>
      <c r="Z110" t="s">
        <v>116</v>
      </c>
      <c r="AA110">
        <v>341002419</v>
      </c>
      <c r="AB110" t="s">
        <v>159</v>
      </c>
    </row>
    <row r="111" spans="1:28" x14ac:dyDescent="0.35">
      <c r="A111">
        <v>345101393</v>
      </c>
      <c r="B111" s="1">
        <v>46246</v>
      </c>
      <c r="C111" t="s">
        <v>73</v>
      </c>
      <c r="D111" t="s">
        <v>56</v>
      </c>
      <c r="E111" t="s">
        <v>411</v>
      </c>
      <c r="F111" t="s">
        <v>1892</v>
      </c>
      <c r="G111" t="s">
        <v>1893</v>
      </c>
      <c r="H111">
        <v>310230139534</v>
      </c>
      <c r="I111" s="1">
        <v>46245</v>
      </c>
      <c r="J111" s="1">
        <v>46246</v>
      </c>
      <c r="K111" t="s">
        <v>104</v>
      </c>
      <c r="L111" t="s">
        <v>311</v>
      </c>
      <c r="M111" t="s">
        <v>312</v>
      </c>
      <c r="N111" t="s">
        <v>54</v>
      </c>
      <c r="O111" t="s">
        <v>55</v>
      </c>
      <c r="P111">
        <v>800</v>
      </c>
      <c r="Q111">
        <v>2.6669999999999998</v>
      </c>
      <c r="R111">
        <v>2133.6</v>
      </c>
      <c r="S111">
        <v>1</v>
      </c>
      <c r="T111">
        <v>2.6669999999999998</v>
      </c>
      <c r="U111">
        <v>2133.6</v>
      </c>
      <c r="V111" t="s">
        <v>137</v>
      </c>
      <c r="W111" t="s">
        <v>138</v>
      </c>
      <c r="X111" t="s">
        <v>78</v>
      </c>
      <c r="Y111" t="s">
        <v>17</v>
      </c>
      <c r="Z111" t="s">
        <v>116</v>
      </c>
      <c r="AA111">
        <v>341002855</v>
      </c>
      <c r="AB111" t="s">
        <v>159</v>
      </c>
    </row>
    <row r="112" spans="1:28" x14ac:dyDescent="0.35">
      <c r="A112">
        <v>345101433</v>
      </c>
      <c r="B112" s="1">
        <v>46247</v>
      </c>
      <c r="C112" t="s">
        <v>403</v>
      </c>
      <c r="D112" t="s">
        <v>404</v>
      </c>
      <c r="E112" t="s">
        <v>405</v>
      </c>
      <c r="F112" t="s">
        <v>1900</v>
      </c>
      <c r="G112" t="s">
        <v>1902</v>
      </c>
      <c r="H112">
        <v>7200000913</v>
      </c>
      <c r="I112" s="1">
        <v>46247</v>
      </c>
      <c r="J112" s="1">
        <v>46247</v>
      </c>
      <c r="K112" t="s">
        <v>104</v>
      </c>
      <c r="L112" t="s">
        <v>1676</v>
      </c>
      <c r="M112">
        <v>1011000668</v>
      </c>
      <c r="N112" t="s">
        <v>54</v>
      </c>
      <c r="O112" t="s">
        <v>55</v>
      </c>
      <c r="P112">
        <v>1280</v>
      </c>
      <c r="Q112">
        <v>1.18</v>
      </c>
      <c r="R112">
        <v>1510.4</v>
      </c>
      <c r="S112">
        <v>1</v>
      </c>
      <c r="T112">
        <v>1.18</v>
      </c>
      <c r="U112">
        <v>1510.4</v>
      </c>
      <c r="V112" t="s">
        <v>137</v>
      </c>
      <c r="W112" t="s">
        <v>138</v>
      </c>
      <c r="X112" t="s">
        <v>78</v>
      </c>
      <c r="Y112" t="s">
        <v>17</v>
      </c>
      <c r="Z112" t="s">
        <v>116</v>
      </c>
      <c r="AA112">
        <v>341002195</v>
      </c>
      <c r="AB112" t="s">
        <v>159</v>
      </c>
    </row>
    <row r="113" spans="1:28" x14ac:dyDescent="0.35">
      <c r="A113">
        <v>345101433</v>
      </c>
      <c r="B113" s="1">
        <v>46247</v>
      </c>
      <c r="C113" t="s">
        <v>403</v>
      </c>
      <c r="D113" t="s">
        <v>404</v>
      </c>
      <c r="E113" t="s">
        <v>405</v>
      </c>
      <c r="F113" t="s">
        <v>1900</v>
      </c>
      <c r="G113" t="s">
        <v>1902</v>
      </c>
      <c r="H113">
        <v>7200000913</v>
      </c>
      <c r="I113" s="1">
        <v>46247</v>
      </c>
      <c r="J113" s="1">
        <v>46247</v>
      </c>
      <c r="K113" t="s">
        <v>104</v>
      </c>
      <c r="L113" t="s">
        <v>1676</v>
      </c>
      <c r="M113">
        <v>1011000668</v>
      </c>
      <c r="N113" t="s">
        <v>54</v>
      </c>
      <c r="O113" t="s">
        <v>55</v>
      </c>
      <c r="P113">
        <v>8960</v>
      </c>
      <c r="Q113">
        <v>1.18</v>
      </c>
      <c r="R113">
        <v>10572.8</v>
      </c>
      <c r="S113">
        <v>1</v>
      </c>
      <c r="T113">
        <v>1.18</v>
      </c>
      <c r="U113">
        <v>10572.8</v>
      </c>
      <c r="V113" t="s">
        <v>137</v>
      </c>
      <c r="W113" t="s">
        <v>138</v>
      </c>
      <c r="X113" t="s">
        <v>78</v>
      </c>
      <c r="Y113" t="s">
        <v>17</v>
      </c>
      <c r="Z113" t="s">
        <v>116</v>
      </c>
      <c r="AA113">
        <v>341002195</v>
      </c>
      <c r="AB113" t="s">
        <v>159</v>
      </c>
    </row>
    <row r="114" spans="1:28" x14ac:dyDescent="0.35">
      <c r="A114">
        <v>345101433</v>
      </c>
      <c r="B114" s="1">
        <v>46247</v>
      </c>
      <c r="C114" t="s">
        <v>403</v>
      </c>
      <c r="D114" t="s">
        <v>404</v>
      </c>
      <c r="E114" t="s">
        <v>405</v>
      </c>
      <c r="F114" t="s">
        <v>1900</v>
      </c>
      <c r="G114" t="s">
        <v>1902</v>
      </c>
      <c r="H114">
        <v>7200000913</v>
      </c>
      <c r="I114" s="1">
        <v>46247</v>
      </c>
      <c r="J114" s="1">
        <v>46247</v>
      </c>
      <c r="K114" t="s">
        <v>104</v>
      </c>
      <c r="L114" t="s">
        <v>1676</v>
      </c>
      <c r="M114">
        <v>1011000668</v>
      </c>
      <c r="N114" t="s">
        <v>54</v>
      </c>
      <c r="O114" t="s">
        <v>55</v>
      </c>
      <c r="P114">
        <v>2560</v>
      </c>
      <c r="Q114">
        <v>1.18</v>
      </c>
      <c r="R114">
        <v>3020.8</v>
      </c>
      <c r="S114">
        <v>1</v>
      </c>
      <c r="T114">
        <v>1.18</v>
      </c>
      <c r="U114">
        <v>3020.8</v>
      </c>
      <c r="V114" t="s">
        <v>137</v>
      </c>
      <c r="W114" t="s">
        <v>138</v>
      </c>
      <c r="X114" t="s">
        <v>78</v>
      </c>
      <c r="Y114" t="s">
        <v>17</v>
      </c>
      <c r="Z114" t="s">
        <v>116</v>
      </c>
      <c r="AA114">
        <v>341002195</v>
      </c>
      <c r="AB114" t="s">
        <v>159</v>
      </c>
    </row>
    <row r="115" spans="1:28" x14ac:dyDescent="0.35">
      <c r="A115">
        <v>345101122</v>
      </c>
      <c r="B115" s="1">
        <v>46247</v>
      </c>
      <c r="C115" t="s">
        <v>1270</v>
      </c>
      <c r="D115" t="s">
        <v>1271</v>
      </c>
      <c r="E115" t="s">
        <v>1271</v>
      </c>
      <c r="F115" t="s">
        <v>1892</v>
      </c>
      <c r="G115" t="s">
        <v>1893</v>
      </c>
      <c r="H115">
        <v>1530017866</v>
      </c>
      <c r="I115" s="1">
        <v>46227</v>
      </c>
      <c r="J115" s="1">
        <v>46247</v>
      </c>
      <c r="K115" t="s">
        <v>104</v>
      </c>
      <c r="L115" t="s">
        <v>1677</v>
      </c>
      <c r="M115" t="s">
        <v>1678</v>
      </c>
      <c r="N115" t="s">
        <v>81</v>
      </c>
      <c r="O115" t="s">
        <v>55</v>
      </c>
      <c r="P115">
        <v>69000</v>
      </c>
      <c r="Q115">
        <v>2.4E-2</v>
      </c>
      <c r="R115">
        <v>1656</v>
      </c>
      <c r="S115">
        <v>1</v>
      </c>
      <c r="T115">
        <v>2.4E-2</v>
      </c>
      <c r="U115">
        <v>1656</v>
      </c>
      <c r="V115" t="s">
        <v>137</v>
      </c>
      <c r="W115" t="s">
        <v>138</v>
      </c>
      <c r="X115" t="s">
        <v>13</v>
      </c>
      <c r="Y115" t="s">
        <v>22</v>
      </c>
      <c r="Z115" t="s">
        <v>116</v>
      </c>
      <c r="AA115">
        <v>341003599</v>
      </c>
      <c r="AB115" t="s">
        <v>1679</v>
      </c>
    </row>
    <row r="116" spans="1:28" x14ac:dyDescent="0.35">
      <c r="A116">
        <v>345101122</v>
      </c>
      <c r="B116" s="1">
        <v>46247</v>
      </c>
      <c r="C116" t="s">
        <v>1270</v>
      </c>
      <c r="D116" t="s">
        <v>1271</v>
      </c>
      <c r="E116" t="s">
        <v>1271</v>
      </c>
      <c r="F116" t="s">
        <v>1892</v>
      </c>
      <c r="G116" t="s">
        <v>1893</v>
      </c>
      <c r="H116">
        <v>1530017866</v>
      </c>
      <c r="I116" s="1">
        <v>46227</v>
      </c>
      <c r="J116" s="1">
        <v>46247</v>
      </c>
      <c r="K116" t="s">
        <v>104</v>
      </c>
      <c r="L116" t="s">
        <v>1677</v>
      </c>
      <c r="M116" t="s">
        <v>1678</v>
      </c>
      <c r="N116" t="s">
        <v>81</v>
      </c>
      <c r="O116" t="s">
        <v>55</v>
      </c>
      <c r="P116">
        <v>462000</v>
      </c>
      <c r="Q116">
        <v>2.4E-2</v>
      </c>
      <c r="R116">
        <v>11088</v>
      </c>
      <c r="S116">
        <v>1</v>
      </c>
      <c r="T116">
        <v>2.4E-2</v>
      </c>
      <c r="U116">
        <v>11088</v>
      </c>
      <c r="V116" t="s">
        <v>137</v>
      </c>
      <c r="W116" t="s">
        <v>138</v>
      </c>
      <c r="X116" t="s">
        <v>13</v>
      </c>
      <c r="Y116" t="s">
        <v>22</v>
      </c>
      <c r="Z116" t="s">
        <v>116</v>
      </c>
      <c r="AA116">
        <v>341003599</v>
      </c>
      <c r="AB116" t="s">
        <v>1679</v>
      </c>
    </row>
    <row r="117" spans="1:28" x14ac:dyDescent="0.35">
      <c r="A117">
        <v>345101122</v>
      </c>
      <c r="B117" s="1">
        <v>46247</v>
      </c>
      <c r="C117" t="s">
        <v>1270</v>
      </c>
      <c r="D117" t="s">
        <v>1271</v>
      </c>
      <c r="E117" t="s">
        <v>1271</v>
      </c>
      <c r="F117" t="s">
        <v>1892</v>
      </c>
      <c r="G117" t="s">
        <v>1893</v>
      </c>
      <c r="H117">
        <v>1530017866</v>
      </c>
      <c r="I117" s="1">
        <v>46227</v>
      </c>
      <c r="J117" s="1">
        <v>46247</v>
      </c>
      <c r="K117" t="s">
        <v>104</v>
      </c>
      <c r="L117" t="s">
        <v>1677</v>
      </c>
      <c r="M117" t="s">
        <v>1678</v>
      </c>
      <c r="N117" t="s">
        <v>81</v>
      </c>
      <c r="O117" t="s">
        <v>55</v>
      </c>
      <c r="P117">
        <v>249000</v>
      </c>
      <c r="Q117">
        <v>2.4E-2</v>
      </c>
      <c r="R117">
        <v>5976</v>
      </c>
      <c r="S117">
        <v>1</v>
      </c>
      <c r="T117">
        <v>2.4E-2</v>
      </c>
      <c r="U117">
        <v>5976</v>
      </c>
      <c r="V117" t="s">
        <v>137</v>
      </c>
      <c r="W117" t="s">
        <v>138</v>
      </c>
      <c r="X117" t="s">
        <v>13</v>
      </c>
      <c r="Y117" t="s">
        <v>22</v>
      </c>
      <c r="Z117" t="s">
        <v>116</v>
      </c>
      <c r="AA117">
        <v>341003599</v>
      </c>
      <c r="AB117" t="s">
        <v>1679</v>
      </c>
    </row>
    <row r="118" spans="1:28" x14ac:dyDescent="0.35">
      <c r="A118">
        <v>345101352</v>
      </c>
      <c r="B118" s="1">
        <v>46248</v>
      </c>
      <c r="C118" t="s">
        <v>1913</v>
      </c>
      <c r="D118" t="s">
        <v>1914</v>
      </c>
      <c r="E118" t="s">
        <v>133</v>
      </c>
      <c r="F118" t="s">
        <v>1904</v>
      </c>
      <c r="G118" t="s">
        <v>1905</v>
      </c>
      <c r="H118">
        <v>6700004685</v>
      </c>
      <c r="I118" s="1">
        <v>46240</v>
      </c>
      <c r="J118" s="1">
        <v>46248</v>
      </c>
      <c r="K118" t="s">
        <v>104</v>
      </c>
      <c r="L118" t="s">
        <v>1915</v>
      </c>
      <c r="M118">
        <v>13003832</v>
      </c>
      <c r="N118" t="s">
        <v>58</v>
      </c>
      <c r="O118" t="s">
        <v>53</v>
      </c>
      <c r="P118">
        <v>10000</v>
      </c>
      <c r="Q118">
        <v>0.03</v>
      </c>
      <c r="R118">
        <v>300</v>
      </c>
      <c r="S118">
        <v>1</v>
      </c>
      <c r="T118">
        <v>0.03</v>
      </c>
      <c r="U118">
        <v>300</v>
      </c>
      <c r="V118" t="s">
        <v>137</v>
      </c>
      <c r="W118" t="s">
        <v>138</v>
      </c>
      <c r="X118" t="s">
        <v>13</v>
      </c>
      <c r="Y118" t="s">
        <v>24</v>
      </c>
      <c r="Z118" t="s">
        <v>116</v>
      </c>
      <c r="AA118">
        <v>342000811</v>
      </c>
      <c r="AB118" t="s">
        <v>1916</v>
      </c>
    </row>
    <row r="119" spans="1:28" x14ac:dyDescent="0.35">
      <c r="A119">
        <v>345101266</v>
      </c>
      <c r="B119" s="1">
        <v>46237</v>
      </c>
      <c r="C119" t="s">
        <v>69</v>
      </c>
      <c r="D119" t="s">
        <v>160</v>
      </c>
      <c r="E119" t="s">
        <v>1310</v>
      </c>
      <c r="F119" t="s">
        <v>1892</v>
      </c>
      <c r="G119" t="s">
        <v>1893</v>
      </c>
      <c r="H119">
        <v>4190077791</v>
      </c>
      <c r="I119" s="1">
        <v>46234</v>
      </c>
      <c r="J119" s="1">
        <v>46237</v>
      </c>
      <c r="K119" t="s">
        <v>104</v>
      </c>
      <c r="L119" t="s">
        <v>144</v>
      </c>
      <c r="M119" t="s">
        <v>164</v>
      </c>
      <c r="N119" t="s">
        <v>54</v>
      </c>
      <c r="O119" t="s">
        <v>55</v>
      </c>
      <c r="P119">
        <v>5120</v>
      </c>
      <c r="Q119">
        <v>0.81899999999999995</v>
      </c>
      <c r="R119">
        <v>4193.28</v>
      </c>
      <c r="S119">
        <v>1</v>
      </c>
      <c r="T119">
        <v>0.81899999999999995</v>
      </c>
      <c r="U119">
        <v>4193.28</v>
      </c>
      <c r="V119" t="s">
        <v>137</v>
      </c>
      <c r="W119" t="s">
        <v>138</v>
      </c>
      <c r="X119" t="s">
        <v>13</v>
      </c>
      <c r="Y119" t="s">
        <v>25</v>
      </c>
      <c r="Z119" t="s">
        <v>116</v>
      </c>
      <c r="AA119">
        <v>341000416</v>
      </c>
      <c r="AB119" t="s">
        <v>319</v>
      </c>
    </row>
    <row r="120" spans="1:28" x14ac:dyDescent="0.35">
      <c r="A120">
        <v>345101266</v>
      </c>
      <c r="B120" s="1">
        <v>46237</v>
      </c>
      <c r="C120" t="s">
        <v>69</v>
      </c>
      <c r="D120" t="s">
        <v>160</v>
      </c>
      <c r="E120" t="s">
        <v>1310</v>
      </c>
      <c r="F120" t="s">
        <v>1892</v>
      </c>
      <c r="G120" t="s">
        <v>1893</v>
      </c>
      <c r="H120">
        <v>4190074523</v>
      </c>
      <c r="I120" s="1">
        <v>46234</v>
      </c>
      <c r="J120" s="1">
        <v>46237</v>
      </c>
      <c r="K120" t="s">
        <v>104</v>
      </c>
      <c r="L120" t="s">
        <v>144</v>
      </c>
      <c r="M120" t="s">
        <v>164</v>
      </c>
      <c r="N120" t="s">
        <v>54</v>
      </c>
      <c r="O120" t="s">
        <v>55</v>
      </c>
      <c r="P120">
        <v>5120</v>
      </c>
      <c r="Q120">
        <v>0.81899999999999995</v>
      </c>
      <c r="R120">
        <v>4193.28</v>
      </c>
      <c r="S120">
        <v>1</v>
      </c>
      <c r="T120">
        <v>0.81899999999999995</v>
      </c>
      <c r="U120">
        <v>4193.28</v>
      </c>
      <c r="V120" t="s">
        <v>137</v>
      </c>
      <c r="W120" t="s">
        <v>138</v>
      </c>
      <c r="X120" t="s">
        <v>13</v>
      </c>
      <c r="Y120" t="s">
        <v>25</v>
      </c>
      <c r="Z120" t="s">
        <v>116</v>
      </c>
      <c r="AA120">
        <v>232403698</v>
      </c>
      <c r="AB120" t="s">
        <v>319</v>
      </c>
    </row>
    <row r="121" spans="1:28" x14ac:dyDescent="0.35">
      <c r="A121">
        <v>345101258</v>
      </c>
      <c r="B121" s="1">
        <v>46237</v>
      </c>
      <c r="C121" t="s">
        <v>124</v>
      </c>
      <c r="D121" t="s">
        <v>125</v>
      </c>
      <c r="E121" t="s">
        <v>1899</v>
      </c>
      <c r="F121" t="s">
        <v>1900</v>
      </c>
      <c r="G121" t="s">
        <v>1901</v>
      </c>
      <c r="H121" t="s">
        <v>167</v>
      </c>
      <c r="I121" s="1">
        <v>46233</v>
      </c>
      <c r="J121" s="1">
        <v>46237</v>
      </c>
      <c r="K121" t="s">
        <v>104</v>
      </c>
      <c r="L121" t="s">
        <v>129</v>
      </c>
      <c r="M121" t="s">
        <v>130</v>
      </c>
      <c r="N121" t="s">
        <v>54</v>
      </c>
      <c r="O121" t="s">
        <v>55</v>
      </c>
      <c r="P121">
        <v>7698</v>
      </c>
      <c r="Q121">
        <v>1.26</v>
      </c>
      <c r="R121">
        <v>9699.48</v>
      </c>
      <c r="S121">
        <v>1</v>
      </c>
      <c r="T121">
        <v>1.26</v>
      </c>
      <c r="U121">
        <v>9699.48</v>
      </c>
      <c r="V121" t="s">
        <v>137</v>
      </c>
      <c r="W121" t="s">
        <v>138</v>
      </c>
      <c r="X121" t="s">
        <v>11</v>
      </c>
      <c r="Y121" t="s">
        <v>21</v>
      </c>
      <c r="Z121" t="s">
        <v>116</v>
      </c>
      <c r="AA121">
        <v>341002467</v>
      </c>
      <c r="AB121" t="s">
        <v>159</v>
      </c>
    </row>
    <row r="122" spans="1:28" x14ac:dyDescent="0.35">
      <c r="A122">
        <v>345101177</v>
      </c>
      <c r="B122" s="1">
        <v>46240</v>
      </c>
      <c r="C122" t="s">
        <v>345</v>
      </c>
      <c r="D122" t="s">
        <v>346</v>
      </c>
      <c r="E122" t="s">
        <v>346</v>
      </c>
      <c r="F122" t="s">
        <v>1910</v>
      </c>
      <c r="G122" t="s">
        <v>1911</v>
      </c>
      <c r="H122" t="s">
        <v>349</v>
      </c>
      <c r="I122" s="1">
        <v>46230</v>
      </c>
      <c r="J122" s="1">
        <v>46240</v>
      </c>
      <c r="K122" t="s">
        <v>104</v>
      </c>
      <c r="L122" t="s">
        <v>91</v>
      </c>
      <c r="M122" t="s">
        <v>348</v>
      </c>
      <c r="N122" t="s">
        <v>54</v>
      </c>
      <c r="O122" t="s">
        <v>55</v>
      </c>
      <c r="P122">
        <v>10000</v>
      </c>
      <c r="Q122">
        <v>0.3</v>
      </c>
      <c r="R122">
        <v>3000</v>
      </c>
      <c r="S122">
        <v>1</v>
      </c>
      <c r="T122">
        <v>0.3</v>
      </c>
      <c r="U122">
        <v>3000</v>
      </c>
      <c r="V122" t="s">
        <v>137</v>
      </c>
      <c r="W122" t="s">
        <v>138</v>
      </c>
      <c r="X122" t="s">
        <v>18</v>
      </c>
      <c r="Y122" t="s">
        <v>25</v>
      </c>
      <c r="Z122" t="s">
        <v>116</v>
      </c>
      <c r="AA122">
        <v>342000789</v>
      </c>
      <c r="AB122" t="s">
        <v>159</v>
      </c>
    </row>
    <row r="123" spans="1:28" x14ac:dyDescent="0.35">
      <c r="A123">
        <v>345101258</v>
      </c>
      <c r="B123" s="1">
        <v>46237</v>
      </c>
      <c r="C123" t="s">
        <v>124</v>
      </c>
      <c r="D123" t="s">
        <v>125</v>
      </c>
      <c r="E123" t="s">
        <v>1899</v>
      </c>
      <c r="F123" t="s">
        <v>1900</v>
      </c>
      <c r="G123" t="s">
        <v>1901</v>
      </c>
      <c r="H123" t="s">
        <v>167</v>
      </c>
      <c r="I123" s="1">
        <v>46233</v>
      </c>
      <c r="J123" s="1">
        <v>46237</v>
      </c>
      <c r="K123" t="s">
        <v>104</v>
      </c>
      <c r="L123" t="s">
        <v>129</v>
      </c>
      <c r="M123" t="s">
        <v>130</v>
      </c>
      <c r="N123" t="s">
        <v>54</v>
      </c>
      <c r="O123" t="s">
        <v>55</v>
      </c>
      <c r="P123">
        <v>4523</v>
      </c>
      <c r="Q123">
        <v>1.26</v>
      </c>
      <c r="R123">
        <v>5698.98</v>
      </c>
      <c r="S123">
        <v>1</v>
      </c>
      <c r="T123">
        <v>1.26</v>
      </c>
      <c r="U123">
        <v>5698.98</v>
      </c>
      <c r="V123" t="s">
        <v>137</v>
      </c>
      <c r="W123" t="s">
        <v>138</v>
      </c>
      <c r="X123" t="s">
        <v>11</v>
      </c>
      <c r="Y123" t="s">
        <v>21</v>
      </c>
      <c r="Z123" t="s">
        <v>116</v>
      </c>
      <c r="AA123">
        <v>341002467</v>
      </c>
      <c r="AB123" t="s">
        <v>159</v>
      </c>
    </row>
    <row r="124" spans="1:28" x14ac:dyDescent="0.35">
      <c r="A124">
        <v>345101286</v>
      </c>
      <c r="B124" s="1">
        <v>46238</v>
      </c>
      <c r="C124" t="s">
        <v>73</v>
      </c>
      <c r="D124" t="s">
        <v>56</v>
      </c>
      <c r="E124" t="s">
        <v>56</v>
      </c>
      <c r="F124" t="s">
        <v>1892</v>
      </c>
      <c r="G124" t="s">
        <v>1893</v>
      </c>
      <c r="H124">
        <v>310230139533</v>
      </c>
      <c r="I124" s="1">
        <v>46237</v>
      </c>
      <c r="J124" s="1">
        <v>46238</v>
      </c>
      <c r="K124" t="s">
        <v>104</v>
      </c>
      <c r="L124" t="s">
        <v>311</v>
      </c>
      <c r="M124" t="s">
        <v>312</v>
      </c>
      <c r="N124" t="s">
        <v>54</v>
      </c>
      <c r="O124" t="s">
        <v>55</v>
      </c>
      <c r="P124">
        <v>800</v>
      </c>
      <c r="Q124">
        <v>2.6669999999999998</v>
      </c>
      <c r="R124">
        <v>2133.6</v>
      </c>
      <c r="S124">
        <v>1</v>
      </c>
      <c r="T124">
        <v>2.6669999999999998</v>
      </c>
      <c r="U124">
        <v>2133.6</v>
      </c>
      <c r="V124" t="s">
        <v>137</v>
      </c>
      <c r="W124" t="s">
        <v>138</v>
      </c>
      <c r="X124" t="s">
        <v>78</v>
      </c>
      <c r="Y124" t="s">
        <v>17</v>
      </c>
      <c r="Z124" t="s">
        <v>116</v>
      </c>
      <c r="AA124">
        <v>341002560</v>
      </c>
      <c r="AB124" t="s">
        <v>159</v>
      </c>
    </row>
    <row r="125" spans="1:28" x14ac:dyDescent="0.35">
      <c r="A125">
        <v>345101177</v>
      </c>
      <c r="B125" s="1">
        <v>46240</v>
      </c>
      <c r="C125" t="s">
        <v>345</v>
      </c>
      <c r="D125" t="s">
        <v>346</v>
      </c>
      <c r="E125" t="s">
        <v>346</v>
      </c>
      <c r="F125" t="s">
        <v>1910</v>
      </c>
      <c r="G125" t="s">
        <v>1911</v>
      </c>
      <c r="H125" t="s">
        <v>347</v>
      </c>
      <c r="I125" s="1">
        <v>46230</v>
      </c>
      <c r="J125" s="1">
        <v>46240</v>
      </c>
      <c r="K125" t="s">
        <v>104</v>
      </c>
      <c r="L125" t="s">
        <v>91</v>
      </c>
      <c r="M125" t="s">
        <v>348</v>
      </c>
      <c r="N125" t="s">
        <v>54</v>
      </c>
      <c r="O125" t="s">
        <v>55</v>
      </c>
      <c r="P125">
        <v>5000</v>
      </c>
      <c r="Q125">
        <v>0.3</v>
      </c>
      <c r="R125">
        <v>1500</v>
      </c>
      <c r="S125">
        <v>1</v>
      </c>
      <c r="T125">
        <v>0.3</v>
      </c>
      <c r="U125">
        <v>1500</v>
      </c>
      <c r="V125" t="s">
        <v>137</v>
      </c>
      <c r="W125" t="s">
        <v>138</v>
      </c>
      <c r="X125" t="s">
        <v>18</v>
      </c>
      <c r="Y125" t="s">
        <v>25</v>
      </c>
      <c r="Z125" t="s">
        <v>116</v>
      </c>
      <c r="AA125">
        <v>341002009</v>
      </c>
      <c r="AB125" t="s">
        <v>159</v>
      </c>
    </row>
    <row r="126" spans="1:28" x14ac:dyDescent="0.35">
      <c r="A126">
        <v>345101445</v>
      </c>
      <c r="B126" s="1">
        <v>46248</v>
      </c>
      <c r="C126" t="s">
        <v>1917</v>
      </c>
      <c r="D126" t="s">
        <v>1918</v>
      </c>
      <c r="E126" t="s">
        <v>1919</v>
      </c>
      <c r="F126" t="s">
        <v>62</v>
      </c>
      <c r="G126" t="s">
        <v>1920</v>
      </c>
      <c r="H126" t="s">
        <v>1921</v>
      </c>
      <c r="I126" s="1">
        <v>46247</v>
      </c>
      <c r="J126" s="1">
        <v>46248</v>
      </c>
      <c r="K126" t="s">
        <v>104</v>
      </c>
      <c r="L126" t="s">
        <v>1922</v>
      </c>
      <c r="M126" t="s">
        <v>1923</v>
      </c>
      <c r="N126" t="s">
        <v>38</v>
      </c>
      <c r="O126" t="s">
        <v>53</v>
      </c>
      <c r="P126">
        <v>10000</v>
      </c>
      <c r="Q126">
        <v>0.1</v>
      </c>
      <c r="R126">
        <v>1000</v>
      </c>
      <c r="S126">
        <v>1</v>
      </c>
      <c r="T126">
        <v>0.1</v>
      </c>
      <c r="U126">
        <v>1000</v>
      </c>
      <c r="V126" t="s">
        <v>137</v>
      </c>
      <c r="W126" t="s">
        <v>138</v>
      </c>
      <c r="X126" t="s">
        <v>11</v>
      </c>
      <c r="Y126" t="s">
        <v>24</v>
      </c>
      <c r="Z126" t="s">
        <v>116</v>
      </c>
      <c r="AA126">
        <v>232404363</v>
      </c>
      <c r="AB126" t="s">
        <v>159</v>
      </c>
    </row>
    <row r="127" spans="1:28" x14ac:dyDescent="0.35">
      <c r="A127">
        <v>345101446</v>
      </c>
      <c r="B127" s="1">
        <v>46248</v>
      </c>
      <c r="C127" t="s">
        <v>1917</v>
      </c>
      <c r="D127" t="s">
        <v>1918</v>
      </c>
      <c r="E127" t="s">
        <v>1919</v>
      </c>
      <c r="F127" t="s">
        <v>62</v>
      </c>
      <c r="G127" t="s">
        <v>1920</v>
      </c>
      <c r="H127" t="s">
        <v>1921</v>
      </c>
      <c r="I127" s="1">
        <v>46247</v>
      </c>
      <c r="J127" s="1">
        <v>46248</v>
      </c>
      <c r="K127" t="s">
        <v>104</v>
      </c>
      <c r="L127" t="s">
        <v>1924</v>
      </c>
      <c r="M127" t="s">
        <v>1925</v>
      </c>
      <c r="N127" t="s">
        <v>38</v>
      </c>
      <c r="O127" t="s">
        <v>53</v>
      </c>
      <c r="P127">
        <v>6000</v>
      </c>
      <c r="Q127">
        <v>7.0000000000000007E-2</v>
      </c>
      <c r="R127">
        <v>420</v>
      </c>
      <c r="S127">
        <v>1</v>
      </c>
      <c r="T127">
        <v>7.0000000000000007E-2</v>
      </c>
      <c r="U127">
        <v>420</v>
      </c>
      <c r="V127" t="s">
        <v>137</v>
      </c>
      <c r="W127" t="s">
        <v>138</v>
      </c>
      <c r="X127" t="s">
        <v>11</v>
      </c>
      <c r="Y127" t="s">
        <v>24</v>
      </c>
      <c r="Z127" t="s">
        <v>116</v>
      </c>
      <c r="AA127">
        <v>232404363</v>
      </c>
      <c r="AB127" t="s">
        <v>159</v>
      </c>
    </row>
    <row r="128" spans="1:28" x14ac:dyDescent="0.35">
      <c r="A128">
        <v>345101446</v>
      </c>
      <c r="B128" s="1">
        <v>46248</v>
      </c>
      <c r="C128" t="s">
        <v>1917</v>
      </c>
      <c r="D128" t="s">
        <v>1918</v>
      </c>
      <c r="E128" t="s">
        <v>1919</v>
      </c>
      <c r="F128" t="s">
        <v>62</v>
      </c>
      <c r="G128" t="s">
        <v>1920</v>
      </c>
      <c r="H128" t="s">
        <v>1921</v>
      </c>
      <c r="I128" s="1">
        <v>46247</v>
      </c>
      <c r="J128" s="1">
        <v>46248</v>
      </c>
      <c r="K128" t="s">
        <v>104</v>
      </c>
      <c r="L128" t="s">
        <v>1924</v>
      </c>
      <c r="M128" t="s">
        <v>1925</v>
      </c>
      <c r="N128" t="s">
        <v>38</v>
      </c>
      <c r="O128" t="s">
        <v>53</v>
      </c>
      <c r="P128">
        <v>34000</v>
      </c>
      <c r="Q128">
        <v>7.0000000000000007E-2</v>
      </c>
      <c r="R128">
        <v>2380</v>
      </c>
      <c r="S128">
        <v>1</v>
      </c>
      <c r="T128">
        <v>7.0000000000000007E-2</v>
      </c>
      <c r="U128">
        <v>2380</v>
      </c>
      <c r="V128" t="s">
        <v>137</v>
      </c>
      <c r="W128" t="s">
        <v>138</v>
      </c>
      <c r="X128" t="s">
        <v>11</v>
      </c>
      <c r="Y128" t="s">
        <v>24</v>
      </c>
      <c r="Z128" t="s">
        <v>116</v>
      </c>
      <c r="AA128">
        <v>232404363</v>
      </c>
      <c r="AB128" t="s">
        <v>159</v>
      </c>
    </row>
    <row r="129" spans="1:28" x14ac:dyDescent="0.35">
      <c r="A129">
        <v>345101426</v>
      </c>
      <c r="B129" s="1">
        <v>46248</v>
      </c>
      <c r="C129" t="s">
        <v>69</v>
      </c>
      <c r="D129" t="s">
        <v>160</v>
      </c>
      <c r="E129" t="s">
        <v>1310</v>
      </c>
      <c r="F129" t="s">
        <v>1892</v>
      </c>
      <c r="G129" t="s">
        <v>1893</v>
      </c>
      <c r="H129">
        <v>4190086531</v>
      </c>
      <c r="I129" s="1">
        <v>46246</v>
      </c>
      <c r="J129" s="1">
        <v>46248</v>
      </c>
      <c r="K129" t="s">
        <v>104</v>
      </c>
      <c r="L129" t="s">
        <v>1926</v>
      </c>
      <c r="M129" t="s">
        <v>1927</v>
      </c>
      <c r="N129" t="s">
        <v>54</v>
      </c>
      <c r="O129" t="s">
        <v>55</v>
      </c>
      <c r="P129">
        <v>52480</v>
      </c>
      <c r="Q129">
        <v>0.85399999999999998</v>
      </c>
      <c r="R129">
        <v>44817.919999999998</v>
      </c>
      <c r="S129">
        <v>1</v>
      </c>
      <c r="T129">
        <v>0.85399999999999998</v>
      </c>
      <c r="U129">
        <v>44817.919999999998</v>
      </c>
      <c r="V129" t="s">
        <v>137</v>
      </c>
      <c r="W129" t="s">
        <v>138</v>
      </c>
      <c r="X129" t="s">
        <v>13</v>
      </c>
      <c r="Y129" t="s">
        <v>25</v>
      </c>
      <c r="Z129" t="s">
        <v>116</v>
      </c>
      <c r="AA129">
        <v>341003584</v>
      </c>
      <c r="AB129" t="s">
        <v>159</v>
      </c>
    </row>
    <row r="130" spans="1:28" x14ac:dyDescent="0.35">
      <c r="A130">
        <v>345101426</v>
      </c>
      <c r="B130" s="1">
        <v>46248</v>
      </c>
      <c r="C130" t="s">
        <v>69</v>
      </c>
      <c r="D130" t="s">
        <v>160</v>
      </c>
      <c r="E130" t="s">
        <v>1310</v>
      </c>
      <c r="F130" t="s">
        <v>1892</v>
      </c>
      <c r="G130" t="s">
        <v>1893</v>
      </c>
      <c r="H130">
        <v>4190087716</v>
      </c>
      <c r="I130" s="1">
        <v>46246</v>
      </c>
      <c r="J130" s="1">
        <v>46248</v>
      </c>
      <c r="K130" t="s">
        <v>104</v>
      </c>
      <c r="L130" t="s">
        <v>1926</v>
      </c>
      <c r="M130" t="s">
        <v>1927</v>
      </c>
      <c r="N130" t="s">
        <v>54</v>
      </c>
      <c r="O130" t="s">
        <v>55</v>
      </c>
      <c r="P130">
        <v>23040</v>
      </c>
      <c r="Q130">
        <v>0.85399999999999998</v>
      </c>
      <c r="R130">
        <v>19676.16</v>
      </c>
      <c r="S130">
        <v>1</v>
      </c>
      <c r="T130">
        <v>0.85399999999999998</v>
      </c>
      <c r="U130">
        <v>19676.16</v>
      </c>
      <c r="V130" t="s">
        <v>137</v>
      </c>
      <c r="W130" t="s">
        <v>138</v>
      </c>
      <c r="X130" t="s">
        <v>13</v>
      </c>
      <c r="Y130" t="s">
        <v>25</v>
      </c>
      <c r="Z130" t="s">
        <v>116</v>
      </c>
      <c r="AA130">
        <v>342000183</v>
      </c>
      <c r="AB130" t="s">
        <v>159</v>
      </c>
    </row>
    <row r="131" spans="1:28" x14ac:dyDescent="0.35">
      <c r="A131">
        <v>345101426</v>
      </c>
      <c r="B131" s="1">
        <v>46248</v>
      </c>
      <c r="C131" t="s">
        <v>69</v>
      </c>
      <c r="D131" t="s">
        <v>160</v>
      </c>
      <c r="E131" t="s">
        <v>1310</v>
      </c>
      <c r="F131" t="s">
        <v>1892</v>
      </c>
      <c r="G131" t="s">
        <v>1893</v>
      </c>
      <c r="H131">
        <v>4190087716</v>
      </c>
      <c r="I131" s="1">
        <v>46246</v>
      </c>
      <c r="J131" s="1">
        <v>46248</v>
      </c>
      <c r="K131" t="s">
        <v>104</v>
      </c>
      <c r="L131" t="s">
        <v>1926</v>
      </c>
      <c r="M131" t="s">
        <v>1927</v>
      </c>
      <c r="N131" t="s">
        <v>54</v>
      </c>
      <c r="O131" t="s">
        <v>55</v>
      </c>
      <c r="P131">
        <v>5120</v>
      </c>
      <c r="Q131">
        <v>0.85399999999999998</v>
      </c>
      <c r="R131">
        <v>4372.4799999999996</v>
      </c>
      <c r="S131">
        <v>1</v>
      </c>
      <c r="T131">
        <v>0.85399999999999998</v>
      </c>
      <c r="U131">
        <v>4372.4799999999996</v>
      </c>
      <c r="V131" t="s">
        <v>137</v>
      </c>
      <c r="W131" t="s">
        <v>138</v>
      </c>
      <c r="X131" t="s">
        <v>13</v>
      </c>
      <c r="Y131" t="s">
        <v>25</v>
      </c>
      <c r="Z131" t="s">
        <v>116</v>
      </c>
      <c r="AA131">
        <v>342000183</v>
      </c>
      <c r="AB131" t="s">
        <v>159</v>
      </c>
    </row>
    <row r="132" spans="1:28" x14ac:dyDescent="0.35">
      <c r="A132">
        <v>345101426</v>
      </c>
      <c r="B132" s="1">
        <v>46248</v>
      </c>
      <c r="C132" t="s">
        <v>69</v>
      </c>
      <c r="D132" t="s">
        <v>160</v>
      </c>
      <c r="I132" s="1">
        <v>46246</v>
      </c>
      <c r="J132" s="1">
        <v>46248</v>
      </c>
      <c r="K132" t="s">
        <v>104</v>
      </c>
      <c r="L132" t="s">
        <v>70</v>
      </c>
      <c r="M132" t="s">
        <v>70</v>
      </c>
      <c r="N132" t="s">
        <v>63</v>
      </c>
      <c r="O132" t="s">
        <v>350</v>
      </c>
      <c r="P132">
        <v>1</v>
      </c>
      <c r="Q132">
        <v>45</v>
      </c>
      <c r="R132">
        <v>45</v>
      </c>
      <c r="S132">
        <v>1</v>
      </c>
      <c r="T132">
        <v>45</v>
      </c>
      <c r="U132">
        <v>45</v>
      </c>
      <c r="V132" t="s">
        <v>137</v>
      </c>
      <c r="W132" t="s">
        <v>138</v>
      </c>
      <c r="X132" t="s">
        <v>13</v>
      </c>
      <c r="Y132" t="s">
        <v>25</v>
      </c>
      <c r="Z132" t="s">
        <v>116</v>
      </c>
      <c r="AB132" t="s">
        <v>159</v>
      </c>
    </row>
    <row r="133" spans="1:28" x14ac:dyDescent="0.35">
      <c r="A133">
        <v>347000026</v>
      </c>
      <c r="B133" s="1">
        <v>46247</v>
      </c>
      <c r="C133" t="s">
        <v>1928</v>
      </c>
      <c r="D133" t="s">
        <v>1929</v>
      </c>
      <c r="I133" s="1">
        <v>46247</v>
      </c>
      <c r="K133" t="s">
        <v>104</v>
      </c>
      <c r="P133">
        <v>-1</v>
      </c>
      <c r="Q133">
        <v>2471.6999999999998</v>
      </c>
      <c r="R133">
        <v>-2471.6999999999998</v>
      </c>
      <c r="S133">
        <v>1</v>
      </c>
      <c r="T133">
        <v>2471.6999999999998</v>
      </c>
      <c r="U133">
        <v>-2471.6999999999998</v>
      </c>
      <c r="V133" t="s">
        <v>1278</v>
      </c>
      <c r="W133" t="s">
        <v>138</v>
      </c>
      <c r="X133" t="s">
        <v>12</v>
      </c>
      <c r="Y133" t="s">
        <v>21</v>
      </c>
      <c r="Z133" t="s">
        <v>116</v>
      </c>
      <c r="AB133" t="s">
        <v>1930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71BC8-5970-4734-A45C-7E062692C581}">
  <dimension ref="A1:AP6"/>
  <sheetViews>
    <sheetView topLeftCell="M1" workbookViewId="0">
      <selection activeCell="U2" sqref="U2"/>
    </sheetView>
  </sheetViews>
  <sheetFormatPr defaultRowHeight="14.5" x14ac:dyDescent="0.35"/>
  <cols>
    <col min="1" max="1" width="2.81640625" bestFit="1" customWidth="1"/>
    <col min="2" max="2" width="14.7265625" bestFit="1" customWidth="1"/>
    <col min="3" max="3" width="11.08984375" bestFit="1" customWidth="1"/>
    <col min="4" max="4" width="16.81640625" bestFit="1" customWidth="1"/>
    <col min="5" max="5" width="11.1796875" bestFit="1" customWidth="1"/>
    <col min="6" max="6" width="13.90625" bestFit="1" customWidth="1"/>
    <col min="7" max="7" width="14.81640625" bestFit="1" customWidth="1"/>
    <col min="8" max="8" width="12.26953125" bestFit="1" customWidth="1"/>
    <col min="9" max="9" width="6.81640625" bestFit="1" customWidth="1"/>
    <col min="10" max="10" width="16.36328125" bestFit="1" customWidth="1"/>
    <col min="11" max="11" width="13.7265625" bestFit="1" customWidth="1"/>
    <col min="12" max="12" width="33.453125" bestFit="1" customWidth="1"/>
    <col min="13" max="13" width="15.1796875" bestFit="1" customWidth="1"/>
    <col min="14" max="14" width="14.6328125" bestFit="1" customWidth="1"/>
    <col min="15" max="15" width="17.90625" bestFit="1" customWidth="1"/>
    <col min="16" max="16" width="15.81640625" bestFit="1" customWidth="1"/>
    <col min="17" max="17" width="21.453125" bestFit="1" customWidth="1"/>
    <col min="18" max="18" width="8.81640625" bestFit="1" customWidth="1"/>
    <col min="20" max="20" width="15.08984375" bestFit="1" customWidth="1"/>
    <col min="21" max="21" width="7.81640625" bestFit="1" customWidth="1"/>
    <col min="22" max="22" width="6.54296875" bestFit="1" customWidth="1"/>
    <col min="23" max="23" width="17.54296875" bestFit="1" customWidth="1"/>
    <col min="24" max="24" width="11.08984375" bestFit="1" customWidth="1"/>
    <col min="25" max="25" width="14.54296875" bestFit="1" customWidth="1"/>
    <col min="26" max="26" width="13.1796875" bestFit="1" customWidth="1"/>
    <col min="27" max="27" width="27.54296875" bestFit="1" customWidth="1"/>
    <col min="28" max="28" width="14.90625" bestFit="1" customWidth="1"/>
    <col min="29" max="29" width="19.36328125" bestFit="1" customWidth="1"/>
    <col min="30" max="30" width="25.453125" bestFit="1" customWidth="1"/>
    <col min="31" max="31" width="22.36328125" bestFit="1" customWidth="1"/>
    <col min="32" max="32" width="28.36328125" bestFit="1" customWidth="1"/>
    <col min="33" max="33" width="20.7265625" bestFit="1" customWidth="1"/>
    <col min="34" max="34" width="26.81640625" bestFit="1" customWidth="1"/>
    <col min="35" max="35" width="15.7265625" bestFit="1" customWidth="1"/>
    <col min="36" max="36" width="21.81640625" bestFit="1" customWidth="1"/>
    <col min="37" max="37" width="26" bestFit="1" customWidth="1"/>
    <col min="38" max="38" width="13.1796875" bestFit="1" customWidth="1"/>
    <col min="39" max="39" width="63.1796875" bestFit="1" customWidth="1"/>
    <col min="40" max="40" width="15.08984375" bestFit="1" customWidth="1"/>
    <col min="41" max="41" width="11.81640625" bestFit="1" customWidth="1"/>
    <col min="42" max="42" width="15.1796875" bestFit="1" customWidth="1"/>
  </cols>
  <sheetData>
    <row r="1" spans="1:42" x14ac:dyDescent="0.35">
      <c r="T1">
        <f>SUBTOTAL(9,T3:T6)</f>
        <v>15025.5</v>
      </c>
      <c r="U1">
        <f>T1/1000000</f>
        <v>1.5025500000000001E-2</v>
      </c>
    </row>
    <row r="2" spans="1:42" x14ac:dyDescent="0.35">
      <c r="A2" t="s">
        <v>1277</v>
      </c>
      <c r="B2" t="s">
        <v>1244</v>
      </c>
      <c r="C2" t="s">
        <v>1245</v>
      </c>
      <c r="D2" t="s">
        <v>113</v>
      </c>
      <c r="E2" t="s">
        <v>1246</v>
      </c>
      <c r="F2" t="s">
        <v>1247</v>
      </c>
      <c r="G2" t="s">
        <v>135</v>
      </c>
      <c r="H2" t="s">
        <v>136</v>
      </c>
      <c r="I2" t="s">
        <v>1248</v>
      </c>
      <c r="J2" t="s">
        <v>64</v>
      </c>
      <c r="K2" t="s">
        <v>1249</v>
      </c>
      <c r="L2" t="s">
        <v>1250</v>
      </c>
      <c r="M2" t="s">
        <v>94</v>
      </c>
      <c r="N2" t="s">
        <v>1251</v>
      </c>
      <c r="O2" t="s">
        <v>27</v>
      </c>
      <c r="P2" t="s">
        <v>4</v>
      </c>
      <c r="Q2" t="s">
        <v>1661</v>
      </c>
      <c r="R2" t="s">
        <v>7</v>
      </c>
      <c r="S2" t="s">
        <v>8</v>
      </c>
      <c r="T2" s="3" t="s">
        <v>66</v>
      </c>
      <c r="U2" t="s">
        <v>1252</v>
      </c>
      <c r="V2" t="s">
        <v>1253</v>
      </c>
      <c r="W2" t="s">
        <v>114</v>
      </c>
      <c r="X2" t="s">
        <v>1254</v>
      </c>
      <c r="Y2" t="s">
        <v>1255</v>
      </c>
      <c r="Z2" t="s">
        <v>1256</v>
      </c>
      <c r="AA2" t="s">
        <v>1257</v>
      </c>
      <c r="AB2" t="s">
        <v>1258</v>
      </c>
      <c r="AC2" t="s">
        <v>1259</v>
      </c>
      <c r="AD2" t="s">
        <v>1260</v>
      </c>
      <c r="AE2" t="s">
        <v>1261</v>
      </c>
      <c r="AF2" t="s">
        <v>1262</v>
      </c>
      <c r="AG2" t="s">
        <v>1263</v>
      </c>
      <c r="AH2" t="s">
        <v>1264</v>
      </c>
      <c r="AI2" t="s">
        <v>1265</v>
      </c>
      <c r="AJ2" t="s">
        <v>1266</v>
      </c>
      <c r="AK2" t="s">
        <v>1267</v>
      </c>
      <c r="AL2" t="s">
        <v>1268</v>
      </c>
      <c r="AM2" t="s">
        <v>103</v>
      </c>
      <c r="AN2" t="s">
        <v>115</v>
      </c>
      <c r="AO2" t="s">
        <v>26</v>
      </c>
      <c r="AP2" t="s">
        <v>28</v>
      </c>
    </row>
    <row r="3" spans="1:42" x14ac:dyDescent="0.35">
      <c r="A3">
        <v>20973</v>
      </c>
      <c r="C3">
        <v>345000238</v>
      </c>
      <c r="D3" s="1">
        <v>46240</v>
      </c>
      <c r="E3" s="1">
        <v>46240</v>
      </c>
      <c r="F3" s="1" t="s">
        <v>1269</v>
      </c>
      <c r="G3" t="s">
        <v>137</v>
      </c>
      <c r="H3" t="s">
        <v>138</v>
      </c>
      <c r="I3" t="s">
        <v>13</v>
      </c>
      <c r="J3" t="s">
        <v>1270</v>
      </c>
      <c r="K3" t="s">
        <v>1271</v>
      </c>
      <c r="L3" t="s">
        <v>1272</v>
      </c>
      <c r="M3">
        <v>1530016821</v>
      </c>
      <c r="N3" t="s">
        <v>380</v>
      </c>
      <c r="O3" t="s">
        <v>1273</v>
      </c>
      <c r="P3" t="s">
        <v>1274</v>
      </c>
      <c r="Q3" t="s">
        <v>1662</v>
      </c>
      <c r="R3" s="2">
        <v>8848</v>
      </c>
      <c r="S3">
        <v>0.375</v>
      </c>
      <c r="T3" s="2">
        <v>3318</v>
      </c>
      <c r="U3">
        <v>0.35625000000000001</v>
      </c>
      <c r="V3">
        <v>0</v>
      </c>
      <c r="W3" t="s">
        <v>104</v>
      </c>
      <c r="X3">
        <v>1</v>
      </c>
      <c r="Y3" t="s">
        <v>62</v>
      </c>
      <c r="Z3">
        <v>0</v>
      </c>
      <c r="AA3">
        <v>0</v>
      </c>
      <c r="AB3">
        <v>5</v>
      </c>
      <c r="AC3">
        <v>0</v>
      </c>
      <c r="AD3">
        <v>0</v>
      </c>
      <c r="AE3">
        <v>0</v>
      </c>
      <c r="AF3">
        <v>0</v>
      </c>
      <c r="AG3">
        <v>165.9</v>
      </c>
      <c r="AH3">
        <v>165.9</v>
      </c>
      <c r="AI3">
        <v>165.9</v>
      </c>
      <c r="AJ3">
        <v>165.9</v>
      </c>
      <c r="AK3">
        <v>341000095</v>
      </c>
      <c r="AL3">
        <v>0.35625000000000001</v>
      </c>
      <c r="AM3" t="s">
        <v>1275</v>
      </c>
      <c r="AN3" t="s">
        <v>116</v>
      </c>
      <c r="AP3" t="s">
        <v>55</v>
      </c>
    </row>
    <row r="4" spans="1:42" x14ac:dyDescent="0.35">
      <c r="A4">
        <v>20973</v>
      </c>
      <c r="B4">
        <v>1</v>
      </c>
      <c r="C4">
        <v>345000238</v>
      </c>
      <c r="D4" s="1">
        <v>46240</v>
      </c>
      <c r="E4" s="1">
        <v>46240</v>
      </c>
      <c r="F4" t="s">
        <v>1269</v>
      </c>
      <c r="G4" t="s">
        <v>137</v>
      </c>
      <c r="H4" t="s">
        <v>138</v>
      </c>
      <c r="I4" t="s">
        <v>13</v>
      </c>
      <c r="J4" t="s">
        <v>1270</v>
      </c>
      <c r="K4" t="s">
        <v>1271</v>
      </c>
      <c r="L4" t="s">
        <v>1272</v>
      </c>
      <c r="M4">
        <v>1530016944</v>
      </c>
      <c r="N4" t="s">
        <v>380</v>
      </c>
      <c r="O4" t="s">
        <v>1273</v>
      </c>
      <c r="P4" t="s">
        <v>1274</v>
      </c>
      <c r="Q4" t="s">
        <v>1662</v>
      </c>
      <c r="R4" s="2">
        <v>7000</v>
      </c>
      <c r="S4">
        <v>0.375</v>
      </c>
      <c r="T4" s="2">
        <v>2625</v>
      </c>
      <c r="U4">
        <v>0.35625000000000001</v>
      </c>
      <c r="V4">
        <v>0</v>
      </c>
      <c r="W4" t="s">
        <v>104</v>
      </c>
      <c r="X4">
        <v>1</v>
      </c>
      <c r="Y4" t="s">
        <v>62</v>
      </c>
      <c r="Z4">
        <v>0</v>
      </c>
      <c r="AA4">
        <v>0</v>
      </c>
      <c r="AB4">
        <v>5</v>
      </c>
      <c r="AC4">
        <v>0</v>
      </c>
      <c r="AD4">
        <v>0</v>
      </c>
      <c r="AE4">
        <v>0</v>
      </c>
      <c r="AF4">
        <v>0</v>
      </c>
      <c r="AG4">
        <v>131.25</v>
      </c>
      <c r="AH4">
        <v>131.25</v>
      </c>
      <c r="AI4">
        <v>131.25</v>
      </c>
      <c r="AJ4">
        <v>131.25</v>
      </c>
      <c r="AK4">
        <v>341000101</v>
      </c>
      <c r="AL4">
        <v>0.35625000000000001</v>
      </c>
      <c r="AM4" t="s">
        <v>1275</v>
      </c>
      <c r="AN4" t="s">
        <v>116</v>
      </c>
      <c r="AP4" t="s">
        <v>55</v>
      </c>
    </row>
    <row r="5" spans="1:42" x14ac:dyDescent="0.35">
      <c r="A5">
        <v>20973</v>
      </c>
      <c r="B5">
        <v>2</v>
      </c>
      <c r="C5">
        <v>345000238</v>
      </c>
      <c r="D5" s="1">
        <v>46240</v>
      </c>
      <c r="E5" s="1">
        <v>46240</v>
      </c>
      <c r="F5" t="s">
        <v>1269</v>
      </c>
      <c r="G5" t="s">
        <v>137</v>
      </c>
      <c r="H5" t="s">
        <v>138</v>
      </c>
      <c r="I5" t="s">
        <v>13</v>
      </c>
      <c r="J5" t="s">
        <v>1270</v>
      </c>
      <c r="K5" t="s">
        <v>1271</v>
      </c>
      <c r="L5" t="s">
        <v>1272</v>
      </c>
      <c r="M5">
        <v>1530016911</v>
      </c>
      <c r="N5" t="s">
        <v>380</v>
      </c>
      <c r="O5" t="s">
        <v>1273</v>
      </c>
      <c r="P5" t="s">
        <v>1274</v>
      </c>
      <c r="Q5" t="s">
        <v>1662</v>
      </c>
      <c r="R5" s="2">
        <v>18000</v>
      </c>
      <c r="S5">
        <v>0.375</v>
      </c>
      <c r="T5" s="2">
        <v>6750</v>
      </c>
      <c r="U5">
        <v>0.35625000000000001</v>
      </c>
      <c r="V5">
        <v>0</v>
      </c>
      <c r="W5" t="s">
        <v>104</v>
      </c>
      <c r="X5">
        <v>1</v>
      </c>
      <c r="Y5" t="s">
        <v>62</v>
      </c>
      <c r="Z5">
        <v>0</v>
      </c>
      <c r="AA5">
        <v>0</v>
      </c>
      <c r="AB5">
        <v>5</v>
      </c>
      <c r="AC5">
        <v>0</v>
      </c>
      <c r="AD5">
        <v>0</v>
      </c>
      <c r="AE5">
        <v>0</v>
      </c>
      <c r="AF5">
        <v>0</v>
      </c>
      <c r="AG5">
        <v>337.5</v>
      </c>
      <c r="AH5">
        <v>337.5</v>
      </c>
      <c r="AI5">
        <v>337.5</v>
      </c>
      <c r="AJ5">
        <v>337.5</v>
      </c>
      <c r="AK5">
        <v>341000099</v>
      </c>
      <c r="AL5">
        <v>0.35625000000000001</v>
      </c>
      <c r="AM5" t="s">
        <v>1275</v>
      </c>
      <c r="AN5" t="s">
        <v>116</v>
      </c>
      <c r="AP5" t="s">
        <v>55</v>
      </c>
    </row>
    <row r="6" spans="1:42" x14ac:dyDescent="0.35">
      <c r="A6">
        <v>20973</v>
      </c>
      <c r="B6">
        <v>3</v>
      </c>
      <c r="C6">
        <v>345000238</v>
      </c>
      <c r="D6" s="1">
        <v>46240</v>
      </c>
      <c r="E6" s="1">
        <v>46240</v>
      </c>
      <c r="F6" t="s">
        <v>1269</v>
      </c>
      <c r="G6" t="s">
        <v>137</v>
      </c>
      <c r="H6" t="s">
        <v>138</v>
      </c>
      <c r="I6" t="s">
        <v>13</v>
      </c>
      <c r="J6" t="s">
        <v>1270</v>
      </c>
      <c r="K6" t="s">
        <v>1271</v>
      </c>
      <c r="L6" t="s">
        <v>1272</v>
      </c>
      <c r="M6">
        <v>1530017013</v>
      </c>
      <c r="N6" t="s">
        <v>380</v>
      </c>
      <c r="O6" t="s">
        <v>1273</v>
      </c>
      <c r="P6" t="s">
        <v>1274</v>
      </c>
      <c r="Q6" t="s">
        <v>1662</v>
      </c>
      <c r="R6" s="2">
        <v>6220</v>
      </c>
      <c r="S6">
        <v>0.375</v>
      </c>
      <c r="T6" s="2">
        <v>2332.5</v>
      </c>
      <c r="U6">
        <v>0.35625000000000001</v>
      </c>
      <c r="V6">
        <v>0</v>
      </c>
      <c r="W6" t="s">
        <v>104</v>
      </c>
      <c r="X6">
        <v>1</v>
      </c>
      <c r="Y6" t="s">
        <v>62</v>
      </c>
      <c r="Z6">
        <v>0</v>
      </c>
      <c r="AA6">
        <v>0</v>
      </c>
      <c r="AB6">
        <v>5</v>
      </c>
      <c r="AC6">
        <v>0</v>
      </c>
      <c r="AD6">
        <v>0</v>
      </c>
      <c r="AE6">
        <v>0</v>
      </c>
      <c r="AF6">
        <v>0</v>
      </c>
      <c r="AG6">
        <v>116.625</v>
      </c>
      <c r="AH6">
        <v>116.625</v>
      </c>
      <c r="AI6">
        <v>116.625</v>
      </c>
      <c r="AJ6">
        <v>116.625</v>
      </c>
      <c r="AK6">
        <v>341000138</v>
      </c>
      <c r="AL6">
        <v>0.35625000000000001</v>
      </c>
      <c r="AM6" t="s">
        <v>1275</v>
      </c>
      <c r="AN6" t="s">
        <v>116</v>
      </c>
      <c r="AP6" t="s">
        <v>55</v>
      </c>
    </row>
  </sheetData>
  <autoFilter ref="A2:AP2" xr:uid="{2D671BC8-5970-4734-A45C-7E062692C58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Line</vt:lpstr>
      <vt:lpstr>MOUSER</vt:lpstr>
      <vt:lpstr>USD</vt:lpstr>
      <vt:lpstr>Direct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Chauhan</dc:creator>
  <cp:lastModifiedBy>Neha Chauhan</cp:lastModifiedBy>
  <dcterms:created xsi:type="dcterms:W3CDTF">2015-06-05T18:17:20Z</dcterms:created>
  <dcterms:modified xsi:type="dcterms:W3CDTF">2026-08-14T14:40:18Z</dcterms:modified>
</cp:coreProperties>
</file>